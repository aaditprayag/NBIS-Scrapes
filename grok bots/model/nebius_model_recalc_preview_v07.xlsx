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README" sheetId="2" state="visible" r:id="rId4"/>
    <sheet name="Bridge" sheetId="3" state="visible" r:id="rId5"/>
    <sheet name="Payback_Floor" sheetId="4" state="visible" r:id="rId6"/>
    <sheet name="Funding" sheetId="5" state="visible" r:id="rId7"/>
    <sheet name="Outputs" sheetId="6" state="visible" r:id="rId8"/>
    <sheet name="Checks" sheetId="7" state="visible" r:id="rId9"/>
    <sheet name="Inputs" sheetId="8" state="visible" r:id="rId10"/>
    <sheet name="Timeline" sheetId="9" state="visible" r:id="rId11"/>
    <sheet name="Hist" sheetId="10" state="visible" r:id="rId12"/>
    <sheet name="Sites" sheetId="11" state="visible" r:id="rId13"/>
    <sheet name="Pricing" sheetId="12" state="visible" r:id="rId14"/>
    <sheet name="Contracts" sheetId="13" state="visible" r:id="rId15"/>
    <sheet name="Revenue" sheetId="14" state="visible" r:id="rId16"/>
    <sheet name="Capex_DA" sheetId="15" state="visible" r:id="rId17"/>
    <sheet name="Financing" sheetId="16" state="visible" r:id="rId18"/>
    <sheet name="PnL" sheetId="17" state="visible" r:id="rId19"/>
    <sheet name="CashFlow" sheetId="18" state="visible" r:id="rId20"/>
    <sheet name="Shares" sheetId="19" state="visible" r:id="rId21"/>
    <sheet name="Valuation" sheetId="20" state="visible" r:id="rId22"/>
    <sheet name="KPIs" sheetId="21" state="visible" r:id="rId23"/>
    <sheet name="Sensitivity" sheetId="22" state="visible" r:id="rId24"/>
    <sheet name="Sources" sheetId="23" state="visible" r:id="rId25"/>
  </sheets>
  <definedNames>
    <definedName function="false" hidden="false" name="ACV_2026" vbProcedure="false">Inputs!$F$155</definedName>
    <definedName function="false" hidden="false" name="ACV_Q2" vbProcedure="false">Inputs!$F$156</definedName>
    <definedName function="false" hidden="false" name="AIRev" vbProcedure="false">Revenue!$F$95:$AG$95</definedName>
    <definedName function="false" hidden="false" name="AIRev_E" vbProcedure="false">Revenue!$E$95</definedName>
    <definedName function="false" hidden="false" name="AI_Model" vbProcedure="false">Revenue!$F$91:$AG$91</definedName>
    <definedName function="false" hidden="false" name="AI_Model_E" vbProcedure="false">Revenue!$E$91</definedName>
    <definedName function="false" hidden="false" name="ARR_JunMo" vbProcedure="false">Revenue!$E$113</definedName>
    <definedName function="false" hidden="false" name="ARR_Q2Mo" vbProcedure="false">Revenue!$E$114</definedName>
    <definedName function="false" hidden="false" name="ARR_Rep" vbProcedure="false">Revenue!$E$106</definedName>
    <definedName function="false" hidden="false" name="ARR_Res" vbProcedure="false">Revenue!$E$111</definedName>
    <definedName function="false" hidden="false" name="ARR_ResMW" vbProcedure="false">Revenue!$E$112</definedName>
    <definedName function="false" hidden="false" name="ARR_ResMW_THi" vbProcedure="false">Revenue!$E$120</definedName>
    <definedName function="false" hidden="false" name="ARR_ResMW_TLo" vbProcedure="false">Revenue!$E$119</definedName>
    <definedName function="false" hidden="false" name="ARR_ResTB_Hi" vbProcedure="false">Revenue!$E$118</definedName>
    <definedName function="false" hidden="false" name="ARR_ResTB_Lo" vbProcedure="false">Revenue!$E$117</definedName>
    <definedName function="false" hidden="false" name="ARR_ResTeamHi" vbProcedure="false">Inputs!$F$32</definedName>
    <definedName function="false" hidden="false" name="ARR_ResTeamLo" vbProcedure="false">Inputs!$F$31</definedName>
    <definedName function="false" hidden="false" name="ARR_RR" vbProcedure="false">Revenue!$E$109</definedName>
    <definedName function="false" hidden="false" name="ARR_RRa" vbProcedure="false">Revenue!$E$107</definedName>
    <definedName function="false" hidden="false" name="ARR_RRbc" vbProcedure="false">Revenue!$E$108</definedName>
    <definedName function="false" hidden="false" name="ARR_RRMW" vbProcedure="false">Revenue!$E$110</definedName>
    <definedName function="false" hidden="false" name="ARR_RRMW_Hi" vbProcedure="false">Inputs!$F$30</definedName>
    <definedName function="false" hidden="false" name="ARR_RRMW_Lo" vbProcedure="false">Inputs!$F$29</definedName>
    <definedName function="false" hidden="false" name="ARR_Step" vbProcedure="false">Revenue!$E$115</definedName>
    <definedName function="false" hidden="false" name="ARR_StepMW" vbProcedure="false">Revenue!$E$116</definedName>
    <definedName function="false" hidden="false" name="AssetLight" vbProcedure="false">Inputs!$C$366:$I$366</definedName>
    <definedName function="false" hidden="false" name="ATMOn" vbProcedure="false">Inputs!$F$242</definedName>
    <definedName function="false" hidden="false" name="ATM_Q3" vbProcedure="false">Inputs!$F$276</definedName>
    <definedName function="false" hidden="false" name="ATM_Rem" vbProcedure="false">Inputs!$F$285</definedName>
    <definedName function="false" hidden="false" name="AugGross" vbProcedure="false">Inputs!$F$243</definedName>
    <definedName function="false" hidden="false" name="AugNet" vbProcedure="false">Inputs!$F$273</definedName>
    <definedName function="false" hidden="false" name="AvailIdx_B200" vbProcedure="false">Inputs!$F$199</definedName>
    <definedName function="false" hidden="false" name="AvailIdx_GB300" vbProcedure="false">Inputs!$F$200</definedName>
    <definedName function="false" hidden="false" name="AvailIdx_H200" vbProcedure="false">Inputs!$F$198</definedName>
    <definedName function="false" hidden="false" name="AvailIdx_VR" vbProcedure="false">Inputs!$F$201</definedName>
    <definedName function="false" hidden="false" name="AVBurnOn" vbProcedure="false">Inputs!$F$326</definedName>
    <definedName function="false" hidden="false" name="AVBurnQ" vbProcedure="false">Inputs!$F$325</definedName>
    <definedName function="false" hidden="false" name="AVPt" vbProcedure="false">Inputs!$F$345</definedName>
    <definedName function="false" hidden="false" name="AV_Hi" vbProcedure="false">Inputs!$F$344</definedName>
    <definedName function="false" hidden="false" name="AV_Lo" vbProcedure="false">Inputs!$F$343</definedName>
    <definedName function="false" hidden="false" name="A_BillMW" vbProcedure="false">Contracts!$F$150:$AG$150</definedName>
    <definedName function="false" hidden="false" name="A_BillMW_E" vbProcedure="false">Contracts!$E$150</definedName>
    <definedName function="false" hidden="false" name="A_GPU_B" vbProcedure="false">Contracts!$F$158:$AG$158</definedName>
    <definedName function="false" hidden="false" name="A_GPU_B_E" vbProcedure="false">Contracts!$E$158</definedName>
    <definedName function="false" hidden="false" name="A_GPU_H" vbProcedure="false">Contracts!$F$157:$AG$157</definedName>
    <definedName function="false" hidden="false" name="A_GPU_H_E" vbProcedure="false">Contracts!$E$157</definedName>
    <definedName function="false" hidden="false" name="A_GPU_N" vbProcedure="false">Contracts!$F$159:$AG$159</definedName>
    <definedName function="false" hidden="false" name="A_GPU_N_E" vbProcedure="false">Contracts!$E$159</definedName>
    <definedName function="false" hidden="false" name="A_LD" vbProcedure="false">Contracts!$F$151:$AG$151</definedName>
    <definedName function="false" hidden="false" name="A_LD_E" vbProcedure="false">Contracts!$E$151</definedName>
    <definedName function="false" hidden="false" name="A_MW" vbProcedure="false">Contracts!$F$153:$AG$153</definedName>
    <definedName function="false" hidden="false" name="A_MW_E" vbProcedure="false">Contracts!$E$153</definedName>
    <definedName function="false" hidden="false" name="A_Post" vbProcedure="false">Contracts!$F$152:$AG$152</definedName>
    <definedName function="false" hidden="false" name="A_PostMW" vbProcedure="false">Contracts!$F$156:$AG$156</definedName>
    <definedName function="false" hidden="false" name="A_PostMW_E" vbProcedure="false">Contracts!$E$156</definedName>
    <definedName function="false" hidden="false" name="A_Post_E" vbProcedure="false">Contracts!$E$152</definedName>
    <definedName function="false" hidden="false" name="A_Rev" vbProcedure="false">Contracts!$F$149:$AG$149</definedName>
    <definedName function="false" hidden="false" name="A_Rev_E" vbProcedure="false">Contracts!$E$149</definedName>
    <definedName function="false" hidden="false" name="BaseRateMW" vbProcedure="false">Inputs!$F$206</definedName>
    <definedName function="false" hidden="false" name="BillLag" vbProcedure="false">Inputs!$F$196</definedName>
    <definedName function="false" hidden="false" name="BloomIdx" vbProcedure="false">Inputs!$F$160</definedName>
    <definedName function="false" hidden="false" name="BloomOn" vbProcedure="false">Inputs!$F$159</definedName>
    <definedName function="false" hidden="false" name="BloomSlipOn" vbProcedure="false">Inputs!$F$49</definedName>
    <definedName function="false" hidden="false" name="Book_A" vbProcedure="false">Revenue!$F$26:$AG$26</definedName>
    <definedName function="false" hidden="false" name="Book_A_E" vbProcedure="false">Revenue!$E$26</definedName>
    <definedName function="false" hidden="false" name="Book_B" vbProcedure="false">Revenue!$F$50:$AG$50</definedName>
    <definedName function="false" hidden="false" name="Book_B_E" vbProcedure="false">Revenue!$E$50</definedName>
    <definedName function="false" hidden="false" name="Book_C" vbProcedure="false">Revenue!$F$51:$AG$51</definedName>
    <definedName function="false" hidden="false" name="Book_C_E" vbProcedure="false">Revenue!$E$51</definedName>
    <definedName function="false" hidden="false" name="Book_Post" vbProcedure="false">Revenue!$F$27:$AG$27</definedName>
    <definedName function="false" hidden="false" name="Book_Post_E" vbProcedure="false">Revenue!$E$27</definedName>
    <definedName function="false" hidden="false" name="BR_Chk" vbProcedure="false">Contracts!$E$177</definedName>
    <definedName function="false" hidden="false" name="BR_Cons" vbProcedure="false">Contracts!$E$162</definedName>
    <definedName function="false" hidden="false" name="BR_Gap" vbProcedure="false">Contracts!$E$164</definedName>
    <definedName function="false" hidden="false" name="BR_MetaInc" vbProcedure="false">Contracts!$E$169</definedName>
    <definedName function="false" hidden="false" name="BR_MetaQ2" vbProcedure="false">Contracts!$E$168</definedName>
    <definedName function="false" hidden="false" name="BR_Model" vbProcedure="false">Contracts!$E$178</definedName>
    <definedName function="false" hidden="false" name="BR_MSInc" vbProcedure="false">Contracts!$E$167</definedName>
    <definedName function="false" hidden="false" name="BR_MSQ2" vbProcedure="false">Contracts!$E$165</definedName>
    <definedName function="false" hidden="false" name="BR_MSQ4" vbProcedure="false">Contracts!$E$166</definedName>
    <definedName function="false" hidden="false" name="BR_MW12" vbProcedure="false">Contracts!$E$176</definedName>
    <definedName function="false" hidden="false" name="BR_MW20" vbProcedure="false">Contracts!$E$175</definedName>
    <definedName function="false" hidden="false" name="BR_MW25" vbProcedure="false">Contracts!$E$174</definedName>
    <definedName function="false" hidden="false" name="BR_PxHi" vbProcedure="false">Contracts!$E$171</definedName>
    <definedName function="false" hidden="false" name="BR_PxLo" vbProcedure="false">Contracts!$E$170</definedName>
    <definedName function="false" hidden="false" name="BR_ResHi" vbProcedure="false">Contracts!$E$173</definedName>
    <definedName function="false" hidden="false" name="BR_ResLo" vbProcedure="false">Contracts!$E$172</definedName>
    <definedName function="false" hidden="false" name="BR_vsCons" vbProcedure="false">Contracts!$E$179</definedName>
    <definedName function="false" hidden="false" name="Calib" vbProcedure="false">Revenue!$F$96:$AG$96</definedName>
    <definedName function="false" hidden="false" name="Calib_E" vbProcedure="false">Revenue!$E$96</definedName>
    <definedName function="false" hidden="false" name="Capex" vbProcedure="false">Capex_DA!$F$32:$AG$32</definedName>
    <definedName function="false" hidden="false" name="CapexChk" vbProcedure="false">Capex_DA!$F$34:$AG$34</definedName>
    <definedName function="false" hidden="false" name="CapexChk_E" vbProcedure="false">Capex_DA!$E$34</definedName>
    <definedName function="false" hidden="false" name="CapexMethod" vbProcedure="false">Inputs!$F$14</definedName>
    <definedName function="false" hidden="false" name="CapexMode" vbProcedure="false">Inputs!$F$207</definedName>
    <definedName function="false" hidden="false" name="Capex_E" vbProcedure="false">Capex_DA!$E$32</definedName>
    <definedName function="false" hidden="false" name="CapGPU_B" vbProcedure="false">Capex_DA!$F$24:$AG$24</definedName>
    <definedName function="false" hidden="false" name="CapGPU_B_E" vbProcedure="false">Capex_DA!$E$24</definedName>
    <definedName function="false" hidden="false" name="CapGPU_H" vbProcedure="false">Capex_DA!$F$23:$AG$23</definedName>
    <definedName function="false" hidden="false" name="CapGPU_H_E" vbProcedure="false">Capex_DA!$E$23</definedName>
    <definedName function="false" hidden="false" name="CapGPU_N" vbProcedure="false">Capex_DA!$F$25:$AG$25</definedName>
    <definedName function="false" hidden="false" name="CapGPU_N_E" vbProcedure="false">Capex_DA!$E$25</definedName>
    <definedName function="false" hidden="false" name="CapInt" vbProcedure="false">Capex_DA!$F$59:$AG$59</definedName>
    <definedName function="false" hidden="false" name="CapIntLife" vbProcedure="false">Inputs!$F$209</definedName>
    <definedName function="false" hidden="false" name="CapIntPct" vbProcedure="false">Inputs!$F$208</definedName>
    <definedName function="false" hidden="false" name="CapInt_E" vbProcedure="false">Capex_DA!$E$59</definedName>
    <definedName function="false" hidden="false" name="CapMaint" vbProcedure="false">Capex_DA!$F$28:$AG$28</definedName>
    <definedName function="false" hidden="false" name="CapMaint_E" vbProcedure="false">Capex_DA!$E$28</definedName>
    <definedName function="false" hidden="false" name="CapNew" vbProcedure="false">Capex_DA!$F$33:$AG$33</definedName>
    <definedName function="false" hidden="false" name="CapNew_E" vbProcedure="false">Capex_DA!$E$33</definedName>
    <definedName function="false" hidden="false" name="CapRepl" vbProcedure="false">Capex_DA!$F$29:$AG$29</definedName>
    <definedName function="false" hidden="false" name="CapRepl_E" vbProcedure="false">Capex_DA!$E$29</definedName>
    <definedName function="false" hidden="false" name="CapTie" vbProcedure="false">Sites!$F$114:$AG$114</definedName>
    <definedName function="false" hidden="false" name="CapTie_E" vbProcedure="false">Sites!$E$114</definedName>
    <definedName function="false" hidden="false" name="CashYield" vbProcedure="false">Inputs!$F$264</definedName>
    <definedName function="false" hidden="false" name="CF_ATM" vbProcedure="false">CashFlow!$F$43:$AG$43</definedName>
    <definedName function="false" hidden="false" name="CF_ATM_E" vbProcedure="false">CashFlow!$E$43</definedName>
    <definedName function="false" hidden="false" name="CF_Cash" vbProcedure="false">CashFlow!$F$49:$AG$49</definedName>
    <definedName function="false" hidden="false" name="CF_Cash_E" vbProcedure="false">CashFlow!$E$49</definedName>
    <definedName function="false" hidden="false" name="CF_CVProc" vbProcedure="false">CashFlow!$F$39:$AG$39</definedName>
    <definedName function="false" hidden="false" name="CF_CVProc_E" vbProcedure="false">CashFlow!$E$39</definedName>
    <definedName function="false" hidden="false" name="CF_DRBal" vbProcedure="false">CashFlow!$F$25:$AG$25</definedName>
    <definedName function="false" hidden="false" name="CF_DRBal_E" vbProcedure="false">CashFlow!$E$25</definedName>
    <definedName function="false" hidden="false" name="CF_DRRel" vbProcedure="false">CashFlow!$F$24:$AG$24</definedName>
    <definedName function="false" hidden="false" name="CF_DRRelOpen" vbProcedure="false">CashFlow!$F$22:$AG$22</definedName>
    <definedName function="false" hidden="false" name="CF_DRRelOpen_E" vbProcedure="false">CashFlow!$E$22</definedName>
    <definedName function="false" hidden="false" name="CF_DRRel_E" vbProcedure="false">CashFlow!$E$24</definedName>
    <definedName function="false" hidden="false" name="CF_EqSh" vbProcedure="false">CashFlow!$F$48:$AG$48</definedName>
    <definedName function="false" hidden="false" name="CF_EqSh_E" vbProcedure="false">CashFlow!$E$48</definedName>
    <definedName function="false" hidden="false" name="CF_FCF" vbProcedure="false">CashFlow!$F$35:$AG$35</definedName>
    <definedName function="false" hidden="false" name="CF_FCF_E" vbProcedure="false">CashFlow!$E$35</definedName>
    <definedName function="false" hidden="false" name="CF_FPConv" vbProcedure="false">CashFlow!$F$40:$AG$40</definedName>
    <definedName function="false" hidden="false" name="CF_FPConv_E" vbProcedure="false">CashFlow!$E$40</definedName>
    <definedName function="false" hidden="false" name="CF_GrossDebt" vbProcedure="false">CashFlow!$F$53:$AG$53</definedName>
    <definedName function="false" hidden="false" name="CF_GrossDebt_E" vbProcedure="false">CashFlow!$E$53</definedName>
    <definedName function="false" hidden="false" name="CF_IntInc" vbProcedure="false">CashFlow!$F$29:$AG$29</definedName>
    <definedName function="false" hidden="false" name="CF_IntInc_E" vbProcedure="false">CashFlow!$E$29</definedName>
    <definedName function="false" hidden="false" name="CF_NetDebt" vbProcedure="false">CashFlow!$F$55:$AG$55</definedName>
    <definedName function="false" hidden="false" name="CF_NetDebt_E" vbProcedure="false">CashFlow!$E$55</definedName>
    <definedName function="false" hidden="false" name="CF_OthInv" vbProcedure="false">CashFlow!$F$34:$AG$34</definedName>
    <definedName function="false" hidden="false" name="CF_OthInv_E" vbProcedure="false">CashFlow!$E$34</definedName>
    <definedName function="false" hidden="false" name="CF_PlugBal" vbProcedure="false">CashFlow!$F$52:$AG$52</definedName>
    <definedName function="false" hidden="false" name="CF_PlugBal_E" vbProcedure="false">CashFlow!$E$52</definedName>
    <definedName function="false" hidden="false" name="CF_PlugInt" vbProcedure="false">CashFlow!$F$30:$AG$30</definedName>
    <definedName function="false" hidden="false" name="CF_PlugIntRow" vbProcedure="false">CashFlow!$F$30:$AG$30</definedName>
    <definedName function="false" hidden="false" name="CF_PlugIntRow_E" vbProcedure="false">CashFlow!$E$30</definedName>
    <definedName function="false" hidden="false" name="CF_PlugInt_E" vbProcedure="false">CashFlow!$E$30</definedName>
    <definedName function="false" hidden="false" name="CF_Prepay" vbProcedure="false">CashFlow!$F$21:$AG$21</definedName>
    <definedName function="false" hidden="false" name="CF_PrepayRate" vbProcedure="false">CashFlow!$F$20:$AG$20</definedName>
    <definedName function="false" hidden="false" name="CF_PrepayRate_E" vbProcedure="false">CashFlow!$E$20</definedName>
    <definedName function="false" hidden="false" name="CF_Prepay_E" vbProcedure="false">CashFlow!$E$21</definedName>
    <definedName function="false" hidden="false" name="CF_UFCF" vbProcedure="false">CashFlow!$F$36:$AG$36</definedName>
    <definedName function="false" hidden="false" name="CF_UFCF_E" vbProcedure="false">CashFlow!$E$36</definedName>
    <definedName function="false" hidden="false" name="Chk_RevEnMW" vbProcedure="false">Inputs!$F$262</definedName>
    <definedName function="false" hidden="false" name="Chk_RevGPUhr" vbProcedure="false">Inputs!$F$259</definedName>
    <definedName function="false" hidden="false" name="Chk_RevSrv" vbProcedure="false">Inputs!$F$260</definedName>
    <definedName function="false" hidden="false" name="Chk_SrvCap" vbProcedure="false">Inputs!$F$261</definedName>
    <definedName function="false" hidden="false" name="Chk_SrvHi" vbProcedure="false">Inputs!$F$114</definedName>
    <definedName function="false" hidden="false" name="Chk_SrvLo" vbProcedure="false">Inputs!$F$113</definedName>
    <definedName function="false" hidden="false" name="CH_Hi" vbProcedure="false">Inputs!$F$340</definedName>
    <definedName function="false" hidden="false" name="CH_Lo" vbProcedure="false">Inputs!$F$339</definedName>
    <definedName function="false" hidden="false" name="CIPRel1" vbProcedure="false">Inputs!$F$210</definedName>
    <definedName function="false" hidden="false" name="CIPRel2" vbProcedure="false">Inputs!$F$211</definedName>
    <definedName function="false" hidden="false" name="CLT1Prepay" vbProcedure="false">Inputs!$F$40</definedName>
    <definedName function="false" hidden="false" name="CLT1Rent" vbProcedure="false">Inputs!$F$39</definedName>
    <definedName function="false" hidden="false" name="CLT1_En" vbProcedure="false">Sites!$F$231:$AG$231</definedName>
    <definedName function="false" hidden="false" name="CLT1_En_E" vbProcedure="false">Sites!$E$231</definedName>
    <definedName function="false" hidden="false" name="CoMWQ2" vbProcedure="false">Inputs!$F$38</definedName>
    <definedName function="false" hidden="false" name="Cons_Cx" vbProcedure="false">Inputs!$C$369:$I$369</definedName>
    <definedName function="false" hidden="false" name="Cons_EB" vbProcedure="false">Inputs!$C$368:$I$368</definedName>
    <definedName function="false" hidden="false" name="Cons_Q4" vbProcedure="false">Inputs!$F$202</definedName>
    <definedName function="false" hidden="false" name="Cons_Rev" vbProcedure="false">Inputs!$C$367:$I$367</definedName>
    <definedName function="false" hidden="false" name="CPM_Lease" vbProcedure="false">Inputs!$F$19</definedName>
    <definedName function="false" hidden="false" name="CPM_Lease_GB300" vbProcedure="false">Inputs!$F$20</definedName>
    <definedName function="false" hidden="false" name="CPM_Lease_VR" vbProcedure="false">Inputs!$F$21</definedName>
    <definedName function="false" hidden="false" name="CPM_Own_GB200" vbProcedure="false">Inputs!$F$15</definedName>
    <definedName function="false" hidden="false" name="CPM_Own_GB300" vbProcedure="false">Inputs!$F$16</definedName>
    <definedName function="false" hidden="false" name="CPM_Own_Other" vbProcedure="false">Inputs!$F$18</definedName>
    <definedName function="false" hidden="false" name="CPM_Own_VR" vbProcedure="false">Inputs!$F$17</definedName>
    <definedName function="false" hidden="false" name="CPM_SP" vbProcedure="false">Inputs!$F$115</definedName>
    <definedName function="false" hidden="false" name="CRWV_Commit" vbProcedure="false">Inputs!$F$294</definedName>
    <definedName function="false" hidden="false" name="CRWV_Contr" vbProcedure="false">Inputs!$F$292</definedName>
    <definedName function="false" hidden="false" name="CRWV_EV" vbProcedure="false">Inputs!$F$290</definedName>
    <definedName function="false" hidden="false" name="CRWV_EVEB27" vbProcedure="false">Inputs!$F$258</definedName>
    <definedName function="false" hidden="false" name="CRWV_Lease" vbProcedure="false">Inputs!$F$293</definedName>
    <definedName function="false" hidden="false" name="CRWV_MW" vbProcedure="false">Inputs!$F$291</definedName>
    <definedName function="false" hidden="false" name="CS_Cash" vbProcedure="false">Inputs!$F$244</definedName>
    <definedName function="false" hidden="false" name="CS_ConvCarry" vbProcedure="false">Inputs!$F$246</definedName>
    <definedName function="false" hidden="false" name="CS_CurDebt" vbProcedure="false">Inputs!$F$247</definedName>
    <definedName function="false" hidden="false" name="CS_Restr" vbProcedure="false">Inputs!$F$245</definedName>
    <definedName function="false" hidden="false" name="Curve" vbProcedure="false">Inputs!$C$378:$J$378</definedName>
    <definedName function="false" hidden="false" name="Curve_Base" vbProcedure="false">Inputs!$C$376:$J$376</definedName>
    <definedName function="false" hidden="false" name="CVb_0" vbProcedure="false">Financing!$F$31:$AG$31</definedName>
    <definedName function="false" hidden="false" name="CVb_0_E" vbProcedure="false">Financing!$E$31</definedName>
    <definedName function="false" hidden="false" name="CVb_1" vbProcedure="false">Financing!$F$39:$AG$39</definedName>
    <definedName function="false" hidden="false" name="CVb_10" vbProcedure="false">Financing!$F$111:$AG$111</definedName>
    <definedName function="false" hidden="false" name="CVb_10_E" vbProcedure="false">Financing!$E$111</definedName>
    <definedName function="false" hidden="false" name="CVb_11" vbProcedure="false">Financing!$F$119:$AG$119</definedName>
    <definedName function="false" hidden="false" name="CVb_11_E" vbProcedure="false">Financing!$E$119</definedName>
    <definedName function="false" hidden="false" name="CVb_1_E" vbProcedure="false">Financing!$E$39</definedName>
    <definedName function="false" hidden="false" name="CVb_2" vbProcedure="false">Financing!$F$47:$AG$47</definedName>
    <definedName function="false" hidden="false" name="CVb_2_E" vbProcedure="false">Financing!$E$47</definedName>
    <definedName function="false" hidden="false" name="CVb_3" vbProcedure="false">Financing!$F$55:$AG$55</definedName>
    <definedName function="false" hidden="false" name="CVb_3_E" vbProcedure="false">Financing!$E$55</definedName>
    <definedName function="false" hidden="false" name="CVb_4" vbProcedure="false">Financing!$F$63:$AG$63</definedName>
    <definedName function="false" hidden="false" name="CVb_4_E" vbProcedure="false">Financing!$E$63</definedName>
    <definedName function="false" hidden="false" name="CVb_5" vbProcedure="false">Financing!$F$71:$AG$71</definedName>
    <definedName function="false" hidden="false" name="CVb_5_E" vbProcedure="false">Financing!$E$71</definedName>
    <definedName function="false" hidden="false" name="CVb_6" vbProcedure="false">Financing!$F$79:$AG$79</definedName>
    <definedName function="false" hidden="false" name="CVb_6_E" vbProcedure="false">Financing!$E$79</definedName>
    <definedName function="false" hidden="false" name="CVb_7" vbProcedure="false">Financing!$F$87:$AG$87</definedName>
    <definedName function="false" hidden="false" name="CVb_7_E" vbProcedure="false">Financing!$E$87</definedName>
    <definedName function="false" hidden="false" name="CVb_8" vbProcedure="false">Financing!$F$95:$AG$95</definedName>
    <definedName function="false" hidden="false" name="CVb_8_E" vbProcedure="false">Financing!$E$95</definedName>
    <definedName function="false" hidden="false" name="CVb_9" vbProcedure="false">Financing!$F$103:$AG$103</definedName>
    <definedName function="false" hidden="false" name="CVb_9_E" vbProcedure="false">Financing!$E$103</definedName>
    <definedName function="false" hidden="false" name="CVDebtBasis" vbProcedure="false">Inputs!$F$298</definedName>
    <definedName function="false" hidden="false" name="CVd_0" vbProcedure="false">Financing!$F$34:$AG$34</definedName>
    <definedName function="false" hidden="false" name="CVd_0_E" vbProcedure="false">Financing!$E$34</definedName>
    <definedName function="false" hidden="false" name="CVd_1" vbProcedure="false">Financing!$F$42:$AG$42</definedName>
    <definedName function="false" hidden="false" name="CVd_10" vbProcedure="false">Financing!$F$114:$AG$114</definedName>
    <definedName function="false" hidden="false" name="CVd_10_E" vbProcedure="false">Financing!$E$114</definedName>
    <definedName function="false" hidden="false" name="CVd_11" vbProcedure="false">Financing!$F$122:$AG$122</definedName>
    <definedName function="false" hidden="false" name="CVd_11_E" vbProcedure="false">Financing!$E$122</definedName>
    <definedName function="false" hidden="false" name="CVd_1_E" vbProcedure="false">Financing!$E$42</definedName>
    <definedName function="false" hidden="false" name="CVd_2" vbProcedure="false">Financing!$F$50:$AG$50</definedName>
    <definedName function="false" hidden="false" name="CVd_2_E" vbProcedure="false">Financing!$E$50</definedName>
    <definedName function="false" hidden="false" name="CVd_3" vbProcedure="false">Financing!$F$58:$AG$58</definedName>
    <definedName function="false" hidden="false" name="CVd_3_E" vbProcedure="false">Financing!$E$58</definedName>
    <definedName function="false" hidden="false" name="CVd_4" vbProcedure="false">Financing!$F$66:$AG$66</definedName>
    <definedName function="false" hidden="false" name="CVd_4_E" vbProcedure="false">Financing!$E$66</definedName>
    <definedName function="false" hidden="false" name="CVd_5" vbProcedure="false">Financing!$F$74:$AG$74</definedName>
    <definedName function="false" hidden="false" name="CVd_5_E" vbProcedure="false">Financing!$E$74</definedName>
    <definedName function="false" hidden="false" name="CVd_6" vbProcedure="false">Financing!$F$82:$AG$82</definedName>
    <definedName function="false" hidden="false" name="CVd_6_E" vbProcedure="false">Financing!$E$82</definedName>
    <definedName function="false" hidden="false" name="CVd_7" vbProcedure="false">Financing!$F$90:$AG$90</definedName>
    <definedName function="false" hidden="false" name="CVd_7_E" vbProcedure="false">Financing!$E$90</definedName>
    <definedName function="false" hidden="false" name="CVd_8" vbProcedure="false">Financing!$F$98:$AG$98</definedName>
    <definedName function="false" hidden="false" name="CVd_8_E" vbProcedure="false">Financing!$E$98</definedName>
    <definedName function="false" hidden="false" name="CVd_9" vbProcedure="false">Financing!$F$106:$AG$106</definedName>
    <definedName function="false" hidden="false" name="CVd_9_E" vbProcedure="false">Financing!$E$106</definedName>
    <definedName function="false" hidden="false" name="CVo_0" vbProcedure="false">Financing!$F$28:$AG$28</definedName>
    <definedName function="false" hidden="false" name="CVo_0_E" vbProcedure="false">Financing!$E$28</definedName>
    <definedName function="false" hidden="false" name="CVo_1" vbProcedure="false">Financing!$F$36:$AG$36</definedName>
    <definedName function="false" hidden="false" name="CVo_10" vbProcedure="false">Financing!$F$108:$AG$108</definedName>
    <definedName function="false" hidden="false" name="CVo_10_E" vbProcedure="false">Financing!$E$108</definedName>
    <definedName function="false" hidden="false" name="CVo_11" vbProcedure="false">Financing!$F$116:$AG$116</definedName>
    <definedName function="false" hidden="false" name="CVo_11_E" vbProcedure="false">Financing!$E$116</definedName>
    <definedName function="false" hidden="false" name="CVo_1_E" vbProcedure="false">Financing!$E$36</definedName>
    <definedName function="false" hidden="false" name="CVo_2" vbProcedure="false">Financing!$F$44:$AG$44</definedName>
    <definedName function="false" hidden="false" name="CVo_2_E" vbProcedure="false">Financing!$E$44</definedName>
    <definedName function="false" hidden="false" name="CVo_3" vbProcedure="false">Financing!$F$52:$AG$52</definedName>
    <definedName function="false" hidden="false" name="CVo_3_E" vbProcedure="false">Financing!$E$52</definedName>
    <definedName function="false" hidden="false" name="CVo_4" vbProcedure="false">Financing!$F$60:$AG$60</definedName>
    <definedName function="false" hidden="false" name="CVo_4_E" vbProcedure="false">Financing!$E$60</definedName>
    <definedName function="false" hidden="false" name="CVo_5" vbProcedure="false">Financing!$F$68:$AG$68</definedName>
    <definedName function="false" hidden="false" name="CVo_5_E" vbProcedure="false">Financing!$E$68</definedName>
    <definedName function="false" hidden="false" name="CVo_6" vbProcedure="false">Financing!$F$76:$AG$76</definedName>
    <definedName function="false" hidden="false" name="CVo_6_E" vbProcedure="false">Financing!$E$76</definedName>
    <definedName function="false" hidden="false" name="CVo_7" vbProcedure="false">Financing!$F$84:$AG$84</definedName>
    <definedName function="false" hidden="false" name="CVo_7_E" vbProcedure="false">Financing!$E$84</definedName>
    <definedName function="false" hidden="false" name="CVo_8" vbProcedure="false">Financing!$F$92:$AG$92</definedName>
    <definedName function="false" hidden="false" name="CVo_8_E" vbProcedure="false">Financing!$E$92</definedName>
    <definedName function="false" hidden="false" name="CVo_9" vbProcedure="false">Financing!$F$100:$AG$100</definedName>
    <definedName function="false" hidden="false" name="CVo_9_E" vbProcedure="false">Financing!$E$100</definedName>
    <definedName function="false" hidden="false" name="CVx_0" vbProcedure="false">Financing!$F$35:$AG$35</definedName>
    <definedName function="false" hidden="false" name="CVx_0_E" vbProcedure="false">Financing!$E$35</definedName>
    <definedName function="false" hidden="false" name="CVx_1" vbProcedure="false">Financing!$F$43:$AG$43</definedName>
    <definedName function="false" hidden="false" name="CVx_10" vbProcedure="false">Financing!$F$115:$AG$115</definedName>
    <definedName function="false" hidden="false" name="CVx_10_E" vbProcedure="false">Financing!$E$115</definedName>
    <definedName function="false" hidden="false" name="CVx_11" vbProcedure="false">Financing!$F$123:$AG$123</definedName>
    <definedName function="false" hidden="false" name="CVx_11_E" vbProcedure="false">Financing!$E$123</definedName>
    <definedName function="false" hidden="false" name="CVx_1_E" vbProcedure="false">Financing!$E$43</definedName>
    <definedName function="false" hidden="false" name="CVx_2" vbProcedure="false">Financing!$F$51:$AG$51</definedName>
    <definedName function="false" hidden="false" name="CVx_2_E" vbProcedure="false">Financing!$E$51</definedName>
    <definedName function="false" hidden="false" name="CVx_3" vbProcedure="false">Financing!$F$59:$AG$59</definedName>
    <definedName function="false" hidden="false" name="CVx_3_E" vbProcedure="false">Financing!$E$59</definedName>
    <definedName function="false" hidden="false" name="CVx_4" vbProcedure="false">Financing!$F$67:$AG$67</definedName>
    <definedName function="false" hidden="false" name="CVx_4_E" vbProcedure="false">Financing!$E$67</definedName>
    <definedName function="false" hidden="false" name="CVx_5" vbProcedure="false">Financing!$F$75:$AG$75</definedName>
    <definedName function="false" hidden="false" name="CVx_5_E" vbProcedure="false">Financing!$E$75</definedName>
    <definedName function="false" hidden="false" name="CVx_6" vbProcedure="false">Financing!$F$83:$AG$83</definedName>
    <definedName function="false" hidden="false" name="CVx_6_E" vbProcedure="false">Financing!$E$83</definedName>
    <definedName function="false" hidden="false" name="CVx_7" vbProcedure="false">Financing!$F$91:$AG$91</definedName>
    <definedName function="false" hidden="false" name="CVx_7_E" vbProcedure="false">Financing!$E$91</definedName>
    <definedName function="false" hidden="false" name="CVx_8" vbProcedure="false">Financing!$F$99:$AG$99</definedName>
    <definedName function="false" hidden="false" name="CVx_8_E" vbProcedure="false">Financing!$E$99</definedName>
    <definedName function="false" hidden="false" name="CVx_9" vbProcedure="false">Financing!$F$107:$AG$107</definedName>
    <definedName function="false" hidden="false" name="CVx_9_E" vbProcedure="false">Financing!$E$107</definedName>
    <definedName function="false" hidden="false" name="CV_acc" vbProcedure="false">Financing!$F$128:$AG$128</definedName>
    <definedName function="false" hidden="false" name="CV_acc_E" vbProcedure="false">Financing!$E$128</definedName>
    <definedName function="false" hidden="false" name="CV_bal" vbProcedure="false">Financing!$F$129:$AG$129</definedName>
    <definedName function="false" hidden="false" name="CV_bal_E" vbProcedure="false">Financing!$E$129</definedName>
    <definedName function="false" hidden="false" name="CV_cpn" vbProcedure="false">Financing!$F$127:$AG$127</definedName>
    <definedName function="false" hidden="false" name="CV_cpn_E" vbProcedure="false">Financing!$E$127</definedName>
    <definedName function="false" hidden="false" name="CV_csh" vbProcedure="false">Financing!$F$131:$AG$131</definedName>
    <definedName function="false" hidden="false" name="CV_csh_E" vbProcedure="false">Financing!$E$131</definedName>
    <definedName function="false" hidden="false" name="CV_debt" vbProcedure="false">Financing!$F$133:$AG$133</definedName>
    <definedName function="false" hidden="false" name="CV_debt_E" vbProcedure="false">Financing!$E$133</definedName>
    <definedName function="false" hidden="false" name="CV_dil" vbProcedure="false">Financing!$F$132:$AG$132</definedName>
    <definedName function="false" hidden="false" name="CV_dil_E" vbProcedure="false">Financing!$E$132</definedName>
    <definedName function="false" hidden="false" name="CV_out" vbProcedure="false">Financing!$F$126:$AG$126</definedName>
    <definedName function="false" hidden="false" name="CV_out_E" vbProcedure="false">Financing!$E$126</definedName>
    <definedName function="false" hidden="false" name="CV_Px" vbProcedure="false">Financing!$L$12:$L$23</definedName>
    <definedName function="false" hidden="false" name="CV_Rate" vbProcedure="false">Financing!$K$12:$K$23</definedName>
    <definedName function="false" hidden="false" name="CV_rep" vbProcedure="false">Financing!$F$130:$AG$130</definedName>
    <definedName function="false" hidden="false" name="CV_rep_E" vbProcedure="false">Financing!$E$130</definedName>
    <definedName function="false" hidden="false" name="DA" vbProcedure="false">Capex_DA!$F$66:$AG$66</definedName>
    <definedName function="false" hidden="false" name="DACalib" vbProcedure="false">Capex_DA!$F$67:$AG$67</definedName>
    <definedName function="false" hidden="false" name="DACalib_E" vbProcedure="false">Capex_DA!$E$67</definedName>
    <definedName function="false" hidden="false" name="DA_E" vbProcedure="false">Capex_DA!$E$66</definedName>
    <definedName function="false" hidden="false" name="DA_Model" vbProcedure="false">Capex_DA!$F$65:$AG$65</definedName>
    <definedName function="false" hidden="false" name="DA_Model_E" vbProcedure="false">Capex_DA!$E$65</definedName>
    <definedName function="false" hidden="false" name="DCFWeight" vbProcedure="false">Inputs!$F$336</definedName>
    <definedName function="false" hidden="false" name="DCLead" vbProcedure="false">Inputs!$F$214</definedName>
    <definedName function="false" hidden="false" name="DelivFactor" vbProcedure="false">Inputs!$F$157</definedName>
    <definedName function="false" hidden="false" name="DepYld" vbProcedure="false">Capex_DA!$F$79:$AG$79</definedName>
    <definedName function="false" hidden="false" name="DepYldFlag" vbProcedure="false">Capex_DA!$F$80:$AG$80</definedName>
    <definedName function="false" hidden="false" name="DepYldFlag_E" vbProcedure="false">Capex_DA!$E$80</definedName>
    <definedName function="false" hidden="false" name="DepYld_E" vbProcedure="false">Capex_DA!$E$79</definedName>
    <definedName function="false" hidden="false" name="Dep_B" vbProcedure="false">Capex_DA!$F$44:$AG$44</definedName>
    <definedName function="false" hidden="false" name="Dep_B_E" vbProcedure="false">Capex_DA!$E$44</definedName>
    <definedName function="false" hidden="false" name="Dep_GPU" vbProcedure="false">Capex_DA!$F$64:$AG$64</definedName>
    <definedName function="false" hidden="false" name="Dep_GPU_E" vbProcedure="false">Capex_DA!$E$64</definedName>
    <definedName function="false" hidden="false" name="Dep_H" vbProcedure="false">Capex_DA!$F$39:$AG$39</definedName>
    <definedName function="false" hidden="false" name="Dep_H_E" vbProcedure="false">Capex_DA!$E$39</definedName>
    <definedName function="false" hidden="false" name="Dep_N" vbProcedure="false">Capex_DA!$F$49:$AG$49</definedName>
    <definedName function="false" hidden="false" name="Dep_N_E" vbProcedure="false">Capex_DA!$E$49</definedName>
    <definedName function="false" hidden="false" name="Dep_Pow" vbProcedure="false">Capex_DA!$F$55:$AG$55</definedName>
    <definedName function="false" hidden="false" name="Dep_Pow_E" vbProcedure="false">Capex_DA!$E$55</definedName>
    <definedName function="false" hidden="false" name="Dep_Repl" vbProcedure="false">Capex_DA!$F$57:$AG$57</definedName>
    <definedName function="false" hidden="false" name="Dep_Repl_E" vbProcedure="false">Capex_DA!$E$57</definedName>
    <definedName function="false" hidden="false" name="Dep_Shell" vbProcedure="false">Capex_DA!$F$54:$AG$54</definedName>
    <definedName function="false" hidden="false" name="Dep_Shell_E" vbProcedure="false">Capex_DA!$E$54</definedName>
    <definedName function="false" hidden="false" name="DilMethod" vbProcedure="false">Inputs!$F$277</definedName>
    <definedName function="false" hidden="false" name="DilPx" vbProcedure="false">Valuation!$E$162</definedName>
    <definedName function="false" hidden="false" name="DilPxMode" vbProcedure="false">Inputs!$F$295</definedName>
    <definedName function="false" hidden="false" name="DRSchedMode" vbProcedure="false">Inputs!$F$67</definedName>
    <definedName function="false" hidden="false" name="DRTermOn" vbProcedure="false">Inputs!$F$86</definedName>
    <definedName function="false" hidden="false" name="DR_24" vbProcedure="false">Inputs!$F$73</definedName>
    <definedName function="false" hidden="false" name="DR_AmortQ" vbProcedure="false">Inputs!$F$239</definedName>
    <definedName function="false" hidden="false" name="DR_Cur" vbProcedure="false">Inputs!$F$72</definedName>
    <definedName function="false" hidden="false" name="DR_Open" vbProcedure="false">Inputs!$F$235</definedName>
    <definedName function="false" hidden="false" name="DR_TailQ" vbProcedure="false">Inputs!$F$74</definedName>
    <definedName function="false" hidden="false" name="DR_YE25" vbProcedure="false">Inputs!$F$236</definedName>
    <definedName function="false" hidden="false" name="Eigen" vbProcedure="false">Inputs!$F$283</definedName>
    <definedName function="false" hidden="false" name="EigenIn" vbProcedure="false">Inputs!$F$284</definedName>
    <definedName function="false" hidden="false" name="EnBaseIT" vbProcedure="false">Sites!$F$220:$AG$220</definedName>
    <definedName function="false" hidden="false" name="EnBaseIT_E" vbProcedure="false">Sites!$E$220</definedName>
    <definedName function="false" hidden="false" name="EnLag" vbProcedure="false">Inputs!$F$13</definedName>
    <definedName function="false" hidden="false" name="EnNewIT" vbProcedure="false">Sites!$F$179:$AG$179</definedName>
    <definedName function="false" hidden="false" name="EnNewIT_E" vbProcedure="false">Sites!$E$179</definedName>
    <definedName function="false" hidden="false" name="EqDisc" vbProcedure="false">Inputs!$F$272</definedName>
    <definedName function="false" hidden="false" name="ExchIdx" vbProcedure="false">Inputs!$F$275</definedName>
    <definedName function="false" hidden="false" name="ExchShares" vbProcedure="false">Inputs!$F$274</definedName>
    <definedName function="false" hidden="false" name="ExitMult" vbProcedure="false">Inputs!$F$335</definedName>
    <definedName function="false" hidden="false" name="FD_Filings" vbProcedure="false">Inputs!$F$286</definedName>
    <definedName function="false" hidden="false" name="FD_FilingsATM" vbProcedure="false">Inputs!$F$287</definedName>
    <definedName function="false" hidden="false" name="FileGPU_B" vbProcedure="false">Sites!$F$217:$AG$217</definedName>
    <definedName function="false" hidden="false" name="FileGPU_B_E" vbProcedure="false">Sites!$E$217</definedName>
    <definedName function="false" hidden="false" name="FileGPU_H" vbProcedure="false">Sites!$F$216:$AG$216</definedName>
    <definedName function="false" hidden="false" name="FileGPU_H_E" vbProcedure="false">Sites!$E$216</definedName>
    <definedName function="false" hidden="false" name="FileGPU_N" vbProcedure="false">Sites!$F$218:$AG$218</definedName>
    <definedName function="false" hidden="false" name="FileGPU_N_E" vbProcedure="false">Sites!$E$218</definedName>
    <definedName function="false" hidden="false" name="FixMgmt" vbProcedure="false">Inputs!$F$22</definedName>
    <definedName function="false" hidden="false" name="FP_AccL" vbProcedure="false">Inputs!$F$317</definedName>
    <definedName function="false" hidden="false" name="FP_AccS" vbProcedure="false">Inputs!$F$316</definedName>
    <definedName function="false" hidden="false" name="FP_ATMAmt" vbProcedure="false">Inputs!$F$304</definedName>
    <definedName function="false" hidden="false" name="FP_ATMDisc" vbProcedure="false">Inputs!$F$303</definedName>
    <definedName function="false" hidden="false" name="FP_ATMIdx" vbProcedure="false">Inputs!$F$302</definedName>
    <definedName function="false" hidden="false" name="FP_ATMMode" vbProcedure="false">Inputs!$F$301</definedName>
    <definedName function="false" hidden="false" name="FP_ATMProc" vbProcedure="false">Inputs!$F$307</definedName>
    <definedName function="false" hidden="false" name="FP_ATMPx" vbProcedure="false">Inputs!$F$305</definedName>
    <definedName function="false" hidden="false" name="FP_ATMSh" vbProcedure="false">Inputs!$F$306</definedName>
    <definedName function="false" hidden="false" name="FP_CpnL" vbProcedure="false">Inputs!$F$315</definedName>
    <definedName function="false" hidden="false" name="FP_CpnS" vbProcedure="false">Inputs!$F$314</definedName>
    <definedName function="false" hidden="false" name="FP_CV1Amt" vbProcedure="false">Inputs!$F$311</definedName>
    <definedName function="false" hidden="false" name="FP_CV1Idx" vbProcedure="false">Inputs!$F$309</definedName>
    <definedName function="false" hidden="false" name="FP_CV2Amt" vbProcedure="false">Inputs!$F$312</definedName>
    <definedName function="false" hidden="false" name="FP_CV2Idx" vbProcedure="false">Inputs!$F$310</definedName>
    <definedName function="false" hidden="false" name="FP_CVOpen" vbProcedure="false">Inputs!$F$308</definedName>
    <definedName function="false" hidden="false" name="FP_Fee" vbProcedure="false">Inputs!$F$323</definedName>
    <definedName function="false" hidden="false" name="FP_On" vbProcedure="false">Inputs!$F$300</definedName>
    <definedName function="false" hidden="false" name="FP_PostQ" vbProcedure="false">Inputs!$F$324</definedName>
    <definedName function="false" hidden="false" name="FP_PremL" vbProcedure="false">Inputs!$F$319</definedName>
    <definedName function="false" hidden="false" name="FP_PremS" vbProcedure="false">Inputs!$F$318</definedName>
    <definedName function="false" hidden="false" name="FP_RefPx" vbProcedure="false">Inputs!$F$322</definedName>
    <definedName function="false" hidden="false" name="FP_ShortSh" vbProcedure="false">Inputs!$F$313</definedName>
    <definedName function="false" hidden="false" name="FP_TenL" vbProcedure="false">Inputs!$F$321</definedName>
    <definedName function="false" hidden="false" name="FP_TenS" vbProcedure="false">Inputs!$F$320</definedName>
    <definedName function="false" hidden="false" name="FU_ABSCap" vbProcedure="false">Funding!$B$23</definedName>
    <definedName function="false" hidden="false" name="FU_ABSMax" vbProcedure="false">Funding!$B$22</definedName>
    <definedName function="false" hidden="false" name="FU_ABSr" vbProcedure="false">Funding!$B$24</definedName>
    <definedName function="false" hidden="false" name="FU_ATMd" vbProcedure="false">Funding!$B$17</definedName>
    <definedName function="false" hidden="false" name="FU_ATMpx" vbProcedure="false">Funding!$B$16</definedName>
    <definedName function="false" hidden="false" name="FU_ATMsh" vbProcedure="false">Funding!$B$15</definedName>
    <definedName function="false" hidden="false" name="FU_CVAmt" vbProcedure="false">Funding!$B$25</definedName>
    <definedName function="false" hidden="false" name="FU_CVPrem" vbProcedure="false">Funding!$B$26</definedName>
    <definedName function="false" hidden="false" name="FU_CVPx" vbProcedure="false">Funding!$B$27</definedName>
    <definedName function="false" hidden="false" name="FU_dV" vbProcedure="false">Funding!$B$43</definedName>
    <definedName function="false" hidden="false" name="FU_Gap27" vbProcedure="false">Funding!$B$7</definedName>
    <definedName function="false" hidden="false" name="FU_Gap28" vbProcedure="false">Funding!$B$8</definedName>
    <definedName function="false" hidden="false" name="FU_LTV" vbProcedure="false">Funding!$B$20</definedName>
    <definedName function="false" hidden="false" name="FU_Min27" vbProcedure="false">Funding!$B$5</definedName>
    <definedName function="false" hidden="false" name="FU_Min28" vbProcedure="false">Funding!$B$6</definedName>
    <definedName function="false" hidden="false" name="FU_N" vbProcedure="false">Funding!$B$12</definedName>
    <definedName function="false" hidden="false" name="FU_NBV" vbProcedure="false">Funding!$B$21</definedName>
    <definedName function="false" hidden="false" name="FU_P1" vbProcedure="false">Funding!$B$36</definedName>
    <definedName function="false" hidden="false" name="FU_P2" vbProcedure="false">Funding!$B$37</definedName>
    <definedName function="false" hidden="false" name="FU_P3" vbProcedure="false">Funding!$B$38</definedName>
    <definedName function="false" hidden="false" name="FU_P4" vbProcedure="false">Funding!$B$39</definedName>
    <definedName function="false" hidden="false" name="FU_PreAmt" vbProcedure="false">Funding!$B$18</definedName>
    <definedName function="false" hidden="false" name="FU_PreCost" vbProcedure="false">Funding!$B$19</definedName>
    <definedName function="false" hidden="false" name="FU_Rem" vbProcedure="false">Funding!$B$40</definedName>
    <definedName function="false" hidden="false" name="FU_Sh" vbProcedure="false">Funding!$B$41</definedName>
    <definedName function="false" hidden="false" name="FU_Tgt" vbProcedure="false">Funding!$B$10</definedName>
    <definedName function="false" hidden="false" name="FU_TgtSel" vbProcedure="false">Funding!$B$9</definedName>
    <definedName function="false" hidden="false" name="FU_V" vbProcedure="false">Funding!$B$11</definedName>
    <definedName function="false" hidden="false" name="FU_VC" vbProcedure="false">Funding!$B$42</definedName>
    <definedName function="false" hidden="false" name="FYBase" vbProcedure="false">Inputs!$F$10</definedName>
    <definedName function="false" hidden="false" name="GB_Prem" vbProcedure="false">Inputs!$F$138</definedName>
    <definedName function="false" hidden="false" name="GensetMW" vbProcedure="false">Inputs!$F$158</definedName>
    <definedName function="false" hidden="false" name="GPUAnchorD" vbProcedure="false">Sites!$F$219</definedName>
    <definedName function="false" hidden="false" name="GPUAnchorOn" vbProcedure="false">Inputs!$F$89</definedName>
    <definedName function="false" hidden="false" name="GPUCost_B" vbProcedure="false">Inputs!$F$189</definedName>
    <definedName function="false" hidden="false" name="GPUCost_H" vbProcedure="false">Inputs!$F$188</definedName>
    <definedName function="false" hidden="false" name="GPUCost_N" vbProcedure="false">Inputs!$F$190</definedName>
    <definedName function="false" hidden="false" name="GPULead" vbProcedure="false">Inputs!$F$194</definedName>
    <definedName function="false" hidden="false" name="GPUMW_B" vbProcedure="false">Inputs!$F$125</definedName>
    <definedName function="false" hidden="false" name="GPUMW_H" vbProcedure="false">Inputs!$F$124</definedName>
    <definedName function="false" hidden="false" name="GPUMW_N" vbProcedure="false">Inputs!$F$126</definedName>
    <definedName function="false" hidden="false" name="GPU_Add_B" vbProcedure="false">Revenue!$F$15:$AG$15</definedName>
    <definedName function="false" hidden="false" name="GPU_Add_B_E" vbProcedure="false">Revenue!$E$15</definedName>
    <definedName function="false" hidden="false" name="GPU_Add_H" vbProcedure="false">Revenue!$F$14:$AG$14</definedName>
    <definedName function="false" hidden="false" name="GPU_Add_H_E" vbProcedure="false">Revenue!$E$14</definedName>
    <definedName function="false" hidden="false" name="GPU_Add_N" vbProcedure="false">Revenue!$F$16:$AG$16</definedName>
    <definedName function="false" hidden="false" name="GPU_Add_N_E" vbProcedure="false">Revenue!$E$16</definedName>
    <definedName function="false" hidden="false" name="GPU_Avg" vbProcedure="false">Revenue!$F$21:$AG$21</definedName>
    <definedName function="false" hidden="false" name="GPU_Avg_E" vbProcedure="false">Revenue!$E$21</definedName>
    <definedName function="false" hidden="false" name="GPU_End" vbProcedure="false">Revenue!$F$20:$AG$20</definedName>
    <definedName function="false" hidden="false" name="GPU_End_B" vbProcedure="false">Revenue!$F$18:$AG$18</definedName>
    <definedName function="false" hidden="false" name="GPU_End_B_E" vbProcedure="false">Revenue!$E$18</definedName>
    <definedName function="false" hidden="false" name="GPU_End_E" vbProcedure="false">Revenue!$E$20</definedName>
    <definedName function="false" hidden="false" name="GPU_End_H" vbProcedure="false">Revenue!$F$17:$AG$17</definedName>
    <definedName function="false" hidden="false" name="GPU_End_H_E" vbProcedure="false">Revenue!$E$17</definedName>
    <definedName function="false" hidden="false" name="GPU_End_N" vbProcedure="false">Revenue!$F$19:$AG$19</definedName>
    <definedName function="false" hidden="false" name="GPU_End_N_E" vbProcedure="false">Revenue!$E$19</definedName>
    <definedName function="false" hidden="false" name="GPU_Q125" vbProcedure="false">Inputs!$F$90</definedName>
    <definedName function="false" hidden="false" name="HeadStart" vbProcedure="false">Inputs!$F$142</definedName>
    <definedName function="false" hidden="false" name="HistGPUsh" vbProcedure="false">Inputs!$F$216</definedName>
    <definedName function="false" hidden="false" name="HistMWBasis" vbProcedure="false">Inputs!$F$37</definedName>
    <definedName function="false" hidden="false" name="HistPowSh" vbProcedure="false">Inputs!$F$218</definedName>
    <definedName function="false" hidden="false" name="HistShellSh" vbProcedure="false">Inputs!$F$217</definedName>
    <definedName function="false" hidden="false" name="HSPre" vbProcedure="false">Inputs!$F$85</definedName>
    <definedName function="false" hidden="false" name="H_Active" vbProcedure="false">Hist!$F$118:$O$118</definedName>
    <definedName function="false" hidden="false" name="H_AIRev" vbProcedure="false">Hist!$F$16:$O$16</definedName>
    <definedName function="false" hidden="false" name="H_ARR" vbProcedure="false">Hist!$F$22:$O$22</definedName>
    <definedName function="false" hidden="false" name="H_Capex" vbProcedure="false">Hist!$F$100:$O$100</definedName>
    <definedName function="false" hidden="false" name="H_CapInt" vbProcedure="false">Hist!$F$88:$O$88</definedName>
    <definedName function="false" hidden="false" name="H_Cash" vbProcedure="false">Hist!$F$106:$O$106</definedName>
    <definedName function="false" hidden="false" name="H_CIP" vbProcedure="false">Hist!$F$64:$O$64</definedName>
    <definedName function="false" hidden="false" name="H_Contracted" vbProcedure="false">Hist!$F$124:$O$124</definedName>
    <definedName function="false" hidden="false" name="H_COR" vbProcedure="false">Hist!$F$28:$O$28</definedName>
    <definedName function="false" hidden="false" name="H_DA" vbProcedure="false">Hist!$F$46:$O$46</definedName>
    <definedName function="false" hidden="false" name="H_DAex" vbProcedure="false">Hist!$F$52:$O$52</definedName>
    <definedName function="false" hidden="false" name="H_DR" vbProcedure="false">Hist!$F$130:$O$130</definedName>
    <definedName function="false" hidden="false" name="H_EBITDA" vbProcedure="false">Hist!$F$94:$O$94</definedName>
    <definedName function="false" hidden="false" name="H_ISG" vbProcedure="false">Hist!$F$70:$O$70</definedName>
    <definedName function="false" hidden="false" name="H_PD" vbProcedure="false">Hist!$F$34:$O$34</definedName>
    <definedName function="false" hidden="false" name="H_PPDep" vbProcedure="false">Hist!$F$82:$O$82</definedName>
    <definedName function="false" hidden="false" name="H_PPE" vbProcedure="false">Hist!$F$58:$O$58</definedName>
    <definedName function="false" hidden="false" name="H_Rev" vbProcedure="false">Hist!$F$10:$O$10</definedName>
    <definedName function="false" hidden="false" name="H_RPO" vbProcedure="false">Hist!$F$136:$O$136</definedName>
    <definedName function="false" hidden="false" name="H_SGA" vbProcedure="false">Hist!$F$40:$O$40</definedName>
    <definedName function="false" hidden="false" name="H_Shares" vbProcedure="false">Hist!$F$112:$O$112</definedName>
    <definedName function="false" hidden="false" name="H_SRV" vbProcedure="false">Hist!$F$76:$O$76</definedName>
    <definedName function="false" hidden="false" name="IGMW" vbProcedure="false">Contracts!$F$155:$AG$155</definedName>
    <definedName function="false" hidden="false" name="IGMW_E" vbProcedure="false">Contracts!$E$155</definedName>
    <definedName function="false" hidden="false" name="Imp" vbProcedure="false">Capex_DA!$F$68:$AG$68</definedName>
    <definedName function="false" hidden="false" name="IMPE_B" vbProcedure="false">Capex_DA!$K$12</definedName>
    <definedName function="false" hidden="false" name="IMPE_H" vbProcedure="false">Capex_DA!$K$11</definedName>
    <definedName function="false" hidden="false" name="IMPE_N" vbProcedure="false">Capex_DA!$K$13</definedName>
    <definedName function="false" hidden="false" name="ImpPct_B" vbProcedure="false">Inputs!$F$229</definedName>
    <definedName function="false" hidden="false" name="ImpPct_H" vbProcedure="false">Inputs!$F$227</definedName>
    <definedName function="false" hidden="false" name="ImpPct_N" vbProcedure="false">Inputs!$F$231</definedName>
    <definedName function="false" hidden="false" name="ImpQ_B" vbProcedure="false">Inputs!$F$228</definedName>
    <definedName function="false" hidden="false" name="ImpQ_H" vbProcedure="false">Inputs!$F$226</definedName>
    <definedName function="false" hidden="false" name="ImpQ_N" vbProcedure="false">Inputs!$F$230</definedName>
    <definedName function="false" hidden="false" name="Imp_B" vbProcedure="false">Capex_DA!$F$45:$AG$45</definedName>
    <definedName function="false" hidden="false" name="Imp_B_E" vbProcedure="false">Capex_DA!$E$45</definedName>
    <definedName function="false" hidden="false" name="Imp_E" vbProcedure="false">Capex_DA!$E$68</definedName>
    <definedName function="false" hidden="false" name="Imp_H" vbProcedure="false">Capex_DA!$F$40:$AG$40</definedName>
    <definedName function="false" hidden="false" name="Imp_H_E" vbProcedure="false">Capex_DA!$E$40</definedName>
    <definedName function="false" hidden="false" name="Imp_N" vbProcedure="false">Capex_DA!$F$50:$AG$50</definedName>
    <definedName function="false" hidden="false" name="Imp_N_E" vbProcedure="false">Capex_DA!$E$50</definedName>
    <definedName function="false" hidden="false" name="InferizeAmt" vbProcedure="false">Inputs!$F$42</definedName>
    <definedName function="false" hidden="false" name="InferizeOn" vbProcedure="false">Inputs!$F$41</definedName>
    <definedName function="false" hidden="false" name="ISG" vbProcedure="false">Capex_DA!$F$75:$AG$75</definedName>
    <definedName function="false" hidden="false" name="ISG_E" vbProcedure="false">Capex_DA!$E$75</definedName>
    <definedName function="false" hidden="false" name="ITCapexMW" vbProcedure="false">Inputs!$F$191</definedName>
    <definedName function="false" hidden="false" name="ITM_Prin_Chk" vbProcedure="false">Inputs!$F$289</definedName>
    <definedName function="false" hidden="false" name="ITM_Sh_Chk" vbProcedure="false">Inputs!$F$288</definedName>
    <definedName function="false" hidden="false" name="JuneExitOn" vbProcedure="false">Inputs!$F$43</definedName>
    <definedName function="false" hidden="false" name="JuneOv" vbProcedure="false">Revenue!$F$90:$AG$90</definedName>
    <definedName function="false" hidden="false" name="JuneOv_E" vbProcedure="false">Revenue!$E$90</definedName>
    <definedName function="false" hidden="false" name="Ke" vbProcedure="false">Inputs!$F$329</definedName>
    <definedName function="false" hidden="false" name="LastHist" vbProcedure="false">Inputs!$F$9</definedName>
    <definedName function="false" hidden="false" name="LaunchOn" vbProcedure="false">Inputs!$F$140</definedName>
    <definedName function="false" hidden="false" name="LaunchPrem" vbProcedure="false">Inputs!$F$141</definedName>
    <definedName function="false" hidden="false" name="LD_Pct" vbProcedure="false">Inputs!$F$178</definedName>
    <definedName function="false" hidden="false" name="LifeChgFY26" vbProcedure="false">Inputs!$F$197</definedName>
    <definedName function="false" hidden="false" name="LifeOverride" vbProcedure="false">Inputs!$F$222</definedName>
    <definedName function="false" hidden="false" name="Life_B" vbProcedure="false">Inputs!$F$220</definedName>
    <definedName function="false" hidden="false" name="Life_H" vbProcedure="false">Inputs!$F$219</definedName>
    <definedName function="false" hidden="false" name="Life_Maint" vbProcedure="false">Inputs!$F$225</definedName>
    <definedName function="false" hidden="false" name="Life_N" vbProcedure="false">Inputs!$F$221</definedName>
    <definedName function="false" hidden="false" name="Life_Pow" vbProcedure="false">Inputs!$F$224</definedName>
    <definedName function="false" hidden="false" name="Life_Shell" vbProcedure="false">Inputs!$F$223</definedName>
    <definedName function="false" hidden="false" name="Liq" vbProcedure="false">CashFlow!$F$65:$AG$65</definedName>
    <definedName function="false" hidden="false" name="Liq_Aug" vbProcedure="false">CashFlow!$F$59:$AG$59</definedName>
    <definedName function="false" hidden="false" name="Liq_Aug_E" vbProcedure="false">CashFlow!$E$59</definedName>
    <definedName function="false" hidden="false" name="Liq_Cmp" vbProcedure="false">CashFlow!$E$71:$H$72</definedName>
    <definedName function="false" hidden="false" name="Liq_E" vbProcedure="false">CashFlow!$E$65</definedName>
    <definedName function="false" hidden="false" name="Liq_NegQ" vbProcedure="false">CashFlow!$E$67</definedName>
    <definedName function="false" hidden="false" name="Liq_Start" vbProcedure="false">CashFlow!$E$66</definedName>
    <definedName function="false" hidden="false" name="LoadFactor" vbProcedure="false">Inputs!$F$123</definedName>
    <definedName function="false" hidden="false" name="LoanOn" vbProcedure="false">Inputs!$F$241</definedName>
    <definedName function="false" hidden="false" name="LQ_B" vbProcedure="false">Capex_DA!$F$12</definedName>
    <definedName function="false" hidden="false" name="LQ_CapInt" vbProcedure="false">Capex_DA!$F$14</definedName>
    <definedName function="false" hidden="false" name="LQ_H" vbProcedure="false">Capex_DA!$F$11</definedName>
    <definedName function="false" hidden="false" name="LQ_Maint" vbProcedure="false">Capex_DA!$F$17</definedName>
    <definedName function="false" hidden="false" name="LQ_N" vbProcedure="false">Capex_DA!$F$13</definedName>
    <definedName function="false" hidden="false" name="LQ_Pow" vbProcedure="false">Capex_DA!$F$16</definedName>
    <definedName function="false" hidden="false" name="LQ_Shell" vbProcedure="false">Capex_DA!$F$15</definedName>
    <definedName function="false" hidden="false" name="MaintPct" vbProcedure="false">Inputs!$F$215</definedName>
    <definedName function="false" hidden="false" name="MaintRatio" vbProcedure="false">Inputs!$F$337</definedName>
    <definedName function="false" hidden="false" name="MarginCons28" vbProcedure="false">Inputs!$F$33</definedName>
    <definedName function="false" hidden="false" name="MarginPeer" vbProcedure="false">Inputs!$F$34</definedName>
    <definedName function="false" hidden="false" name="MarMo" vbProcedure="false">Inputs!$F$44</definedName>
    <definedName function="false" hidden="false" name="Meta1Q" vbProcedure="false">Inputs!$F$164</definedName>
    <definedName function="false" hidden="false" name="MinCash" vbProcedure="false">Inputs!$F$263</definedName>
    <definedName function="false" hidden="false" name="MixA_Q2" vbProcedure="false">Inputs!$F$172</definedName>
    <definedName function="false" hidden="false" name="MixB_Q2" vbProcedure="false">Inputs!$F$173</definedName>
    <definedName function="false" hidden="false" name="MixC_Q2" vbProcedure="false">Inputs!$F$174</definedName>
    <definedName function="false" hidden="false" name="Mix_B" vbProcedure="false">Inputs!$C$361:$I$361</definedName>
    <definedName function="false" hidden="false" name="Mix_H" vbProcedure="false">Inputs!$C$360:$I$360</definedName>
    <definedName function="false" hidden="false" name="Mix_N" vbProcedure="false">Inputs!$C$362:$I$362</definedName>
    <definedName function="false" hidden="false" name="MSFT_Ceil" vbProcedure="false">Inputs!$F$161</definedName>
    <definedName function="false" hidden="false" name="MSFT_Chk" vbProcedure="false">Contracts!$K$31</definedName>
    <definedName function="false" hidden="false" name="MSFT_MW" vbProcedure="false">Inputs!$F$153</definedName>
    <definedName function="false" hidden="false" name="MSFT_N" vbProcedure="false">Inputs!$F$154</definedName>
    <definedName function="false" hidden="false" name="MSFT_TCV" vbProcedure="false">Inputs!$F$152</definedName>
    <definedName function="false" hidden="false" name="MS_BillMW" vbProcedure="false">Contracts!$F$141:$AG$141</definedName>
    <definedName function="false" hidden="false" name="MS_BillMW_E" vbProcedure="false">Contracts!$E$141</definedName>
    <definedName function="false" hidden="false" name="MS_CeilChk" vbProcedure="false">Contracts!$F$147:$AG$147</definedName>
    <definedName function="false" hidden="false" name="MS_CeilChk_E" vbProcedure="false">Contracts!$E$147</definedName>
    <definedName function="false" hidden="false" name="MS_MW" vbProcedure="false">Contracts!$F$130:$AG$130</definedName>
    <definedName function="false" hidden="false" name="MS_MW_E" vbProcedure="false">Contracts!$E$130</definedName>
    <definedName function="false" hidden="false" name="MS_Q2RR" vbProcedure="false">Inputs!$F$163</definedName>
    <definedName function="false" hidden="false" name="MS_Rev" vbProcedure="false">Contracts!$F$144:$AG$144</definedName>
    <definedName function="false" hidden="false" name="MS_Rev_E" vbProcedure="false">Contracts!$E$144</definedName>
    <definedName function="false" hidden="false" name="MWSel" vbProcedure="false">Inputs!$F$12</definedName>
    <definedName function="false" hidden="false" name="MWUp" vbProcedure="false">Sites!$F$232</definedName>
    <definedName function="false" hidden="false" name="MW_Act" vbProcedure="false">Sites!$F$233:$AG$233</definedName>
    <definedName function="false" hidden="false" name="MW_Act_E" vbProcedure="false">Sites!$E$233</definedName>
    <definedName function="false" hidden="false" name="MW_Add31" vbProcedure="false">Sites!$E$183</definedName>
    <definedName function="false" hidden="false" name="MW_Avg" vbProcedure="false">Revenue!$F$12:$AG$12</definedName>
    <definedName function="false" hidden="false" name="MW_Avg_E" vbProcedure="false">Revenue!$E$12</definedName>
    <definedName function="false" hidden="false" name="MW_Contr" vbProcedure="false">Sites!$F$236:$AG$236</definedName>
    <definedName function="false" hidden="false" name="MW_Contr_E" vbProcedure="false">Sites!$E$236</definedName>
    <definedName function="false" hidden="false" name="MW_Delay" vbProcedure="false">Inputs!$F$121</definedName>
    <definedName function="false" hidden="false" name="MW_En" vbProcedure="false">Sites!$F$173:$AG$173</definedName>
    <definedName function="false" hidden="false" name="MW_En_E" vbProcedure="false">Sites!$E$173</definedName>
    <definedName function="false" hidden="false" name="MW_Fac" vbProcedure="false">Sites!$F$235:$AG$235</definedName>
    <definedName function="false" hidden="false" name="MW_Fac_E" vbProcedure="false">Sites!$E$235</definedName>
    <definedName function="false" hidden="false" name="MW_Gd" vbProcedure="false">Sites!$F$212:$AG$212</definedName>
    <definedName function="false" hidden="false" name="MW_Gd_E" vbProcedure="false">Sites!$E$212</definedName>
    <definedName function="false" hidden="false" name="MW_Haircut" vbProcedure="false">Inputs!$F$120</definedName>
    <definedName function="false" hidden="false" name="MW_New" vbProcedure="false">Revenue!$F$13:$AG$13</definedName>
    <definedName function="false" hidden="false" name="MW_New_E" vbProcedure="false">Revenue!$E$13</definedName>
    <definedName function="false" hidden="false" name="MW_Over" vbProcedure="false">Revenue!$F$36:$AG$36</definedName>
    <definedName function="false" hidden="false" name="MW_Over_E" vbProcedure="false">Revenue!$E$36</definedName>
    <definedName function="false" hidden="false" name="MW_OwnSh" vbProcedure="false">Sites!$F$234:$AG$234</definedName>
    <definedName function="false" hidden="false" name="MW_OwnSh_E" vbProcedure="false">Sites!$E$234</definedName>
    <definedName function="false" hidden="false" name="MYDecl" vbProcedure="false">Inputs!$F$57</definedName>
    <definedName function="false" hidden="false" name="MYDeclIdx" vbProcedure="false">Inputs!$F$58</definedName>
    <definedName function="false" hidden="false" name="MYPathMode" vbProcedure="false">Inputs!$F$56</definedName>
    <definedName function="false" hidden="false" name="MYRate" vbProcedure="false">Inputs!$F$55</definedName>
    <definedName function="false" hidden="false" name="MYRateU" vbProcedure="false">Inputs!$F$69</definedName>
    <definedName function="false" hidden="false" name="MYStressCut" vbProcedure="false">Inputs!$F$60</definedName>
    <definedName function="false" hidden="false" name="MYStressOn" vbProcedure="false">Inputs!$F$59</definedName>
    <definedName function="false" hidden="false" name="NBV" vbProcedure="false">Capex_DA!$F$69:$AG$69</definedName>
    <definedName function="false" hidden="false" name="NBV_B" vbProcedure="false">Capex_DA!$F$46:$AG$46</definedName>
    <definedName function="false" hidden="false" name="NBV_B_E" vbProcedure="false">Capex_DA!$E$46</definedName>
    <definedName function="false" hidden="false" name="NBV_E" vbProcedure="false">Capex_DA!$E$69</definedName>
    <definedName function="false" hidden="false" name="NBV_H" vbProcedure="false">Capex_DA!$F$41:$AG$41</definedName>
    <definedName function="false" hidden="false" name="NBV_H_E" vbProcedure="false">Capex_DA!$E$41</definedName>
    <definedName function="false" hidden="false" name="NBV_N" vbProcedure="false">Capex_DA!$F$51:$AG$51</definedName>
    <definedName function="false" hidden="false" name="NBV_N_E" vbProcedure="false">Capex_DA!$E$51</definedName>
    <definedName function="false" hidden="false" name="NCA_B" vbProcedure="false">Revenue!$F$34:$AG$34</definedName>
    <definedName function="false" hidden="false" name="NCA_B_E" vbProcedure="false">Revenue!$E$34</definedName>
    <definedName function="false" hidden="false" name="NCA_H" vbProcedure="false">Revenue!$F$33:$AG$33</definedName>
    <definedName function="false" hidden="false" name="NCA_H_E" vbProcedure="false">Revenue!$E$33</definedName>
    <definedName function="false" hidden="false" name="NCA_N" vbProcedure="false">Revenue!$F$35:$AG$35</definedName>
    <definedName function="false" hidden="false" name="NCA_N_E" vbProcedure="false">Revenue!$E$35</definedName>
    <definedName function="false" hidden="false" name="NCE_B" vbProcedure="false">Revenue!$F$31:$AG$31</definedName>
    <definedName function="false" hidden="false" name="NCE_B_E" vbProcedure="false">Revenue!$E$31</definedName>
    <definedName function="false" hidden="false" name="NCE_H" vbProcedure="false">Revenue!$F$30:$AG$30</definedName>
    <definedName function="false" hidden="false" name="NCE_H_E" vbProcedure="false">Revenue!$E$30</definedName>
    <definedName function="false" hidden="false" name="NCE_N" vbProcedure="false">Revenue!$F$32:$AG$32</definedName>
    <definedName function="false" hidden="false" name="NCE_N_E" vbProcedure="false">Revenue!$E$32</definedName>
    <definedName function="false" hidden="false" name="NDBasis" vbProcedure="false">Inputs!$F$75</definedName>
    <definedName function="false" hidden="false" name="ND_Adj" vbProcedure="false">Revenue!$F$84:$AG$84</definedName>
    <definedName function="false" hidden="false" name="ND_Adj_E" vbProcedure="false">Revenue!$E$84</definedName>
    <definedName function="false" hidden="false" name="ND_GenOn" vbProcedure="false">Inputs!$F$61</definedName>
    <definedName function="false" hidden="false" name="ND_GPUMW_GB" vbProcedure="false">Inputs!$F$53</definedName>
    <definedName function="false" hidden="false" name="ND_GrossX" vbProcedure="false">Inputs!$F$76</definedName>
    <definedName function="false" hidden="false" name="ND_MW" vbProcedure="false">Revenue!$F$58:$AG$58</definedName>
    <definedName function="false" hidden="false" name="ND_MW_E" vbProcedure="false">Revenue!$E$58</definedName>
    <definedName function="false" hidden="false" name="ND_MYRate" vbProcedure="false">Revenue!$F$66:$AG$66</definedName>
    <definedName function="false" hidden="false" name="ND_MYRate_E" vbProcedure="false">Revenue!$E$66</definedName>
    <definedName function="false" hidden="false" name="ND_Occ" vbProcedure="false">Inputs!$F$54</definedName>
    <definedName function="false" hidden="false" name="ND_Px" vbProcedure="false">Inputs!$F$52</definedName>
    <definedName function="false" hidden="false" name="ND_RateGB" vbProcedure="false">Revenue!$F$64:$AG$64</definedName>
    <definedName function="false" hidden="false" name="ND_RateGB_E" vbProcedure="false">Revenue!$E$64</definedName>
    <definedName function="false" hidden="false" name="ND_RateRubin" vbProcedure="false">Revenue!$F$65:$AG$65</definedName>
    <definedName function="false" hidden="false" name="ND_RateRubin_E" vbProcedure="false">Revenue!$E$65</definedName>
    <definedName function="false" hidden="false" name="ND_RevMW" vbProcedure="false">Revenue!$F$85:$AG$85</definedName>
    <definedName function="false" hidden="false" name="ND_RevMW_E" vbProcedure="false">Revenue!$E$85</definedName>
    <definedName function="false" hidden="false" name="ND_STRate" vbProcedure="false">Revenue!$F$68:$AG$68</definedName>
    <definedName function="false" hidden="false" name="ND_STRate_E" vbProcedure="false">Revenue!$E$68</definedName>
    <definedName function="false" hidden="false" name="NewDealHi" vbProcedure="false">Inputs!$F$205</definedName>
    <definedName function="false" hidden="false" name="NewDealIdx" vbProcedure="false">Inputs!$F$51</definedName>
    <definedName function="false" hidden="false" name="NewDealLo" vbProcedure="false">Inputs!$F$204</definedName>
    <definedName function="false" hidden="false" name="NewDealOn" vbProcedure="false">Inputs!$F$50</definedName>
    <definedName function="false" hidden="false" name="NextLaunchIdx" vbProcedure="false">Inputs!$F$143</definedName>
    <definedName function="false" hidden="false" name="NVDA_Idx" vbProcedure="false">Inputs!$F$279</definedName>
    <definedName function="false" hidden="false" name="NVDA_W" vbProcedure="false">Inputs!$F$278</definedName>
    <definedName function="false" hidden="false" name="ODc_B" vbProcedure="false">Pricing!$D$22</definedName>
    <definedName function="false" hidden="false" name="ODc_H" vbProcedure="false">Pricing!$D$21</definedName>
    <definedName function="false" hidden="false" name="ODc_N" vbProcedure="false">Pricing!$D$23</definedName>
    <definedName function="false" hidden="false" name="ODp_B" vbProcedure="false">Pricing!$C$22</definedName>
    <definedName function="false" hidden="false" name="ODp_H" vbProcedure="false">Pricing!$C$21</definedName>
    <definedName function="false" hidden="false" name="ODp_N" vbProcedure="false">Pricing!$C$23</definedName>
    <definedName function="false" hidden="false" name="ODq_B" vbProcedure="false">Pricing!$J$22</definedName>
    <definedName function="false" hidden="false" name="ODq_H" vbProcedure="false">Pricing!$J$21</definedName>
    <definedName function="false" hidden="false" name="ODq_H100" vbProcedure="false">Inputs!$F$28</definedName>
    <definedName function="false" hidden="false" name="ODq_N" vbProcedure="false">Pricing!$J$23</definedName>
    <definedName function="false" hidden="false" name="OffBSWt" vbProcedure="false">Inputs!$F$351</definedName>
    <definedName function="false" hidden="false" name="OffBS_Energy" vbProcedure="false">Inputs!$F$348</definedName>
    <definedName function="false" hidden="false" name="OffBS_Lease" vbProcedure="false">Inputs!$F$349</definedName>
    <definedName function="false" hidden="false" name="OM_MW" vbProcedure="false">Inputs!$F$25</definedName>
    <definedName function="false" hidden="false" name="OpenGPU_H" vbProcedure="false">Inputs!$F$232</definedName>
    <definedName function="false" hidden="false" name="OpexHold" vbProcedure="false">Inputs!$F$92</definedName>
    <definedName function="false" hidden="false" name="OpLease" vbProcedure="false">Inputs!$F$350</definedName>
    <definedName function="false" hidden="false" name="Options" vbProcedure="false">Inputs!$F$280</definedName>
    <definedName function="false" hidden="false" name="OptK" vbProcedure="false">Inputs!$F$281</definedName>
    <definedName function="false" hidden="false" name="OtherCOR" vbProcedure="false">Inputs!$F$185</definedName>
    <definedName function="false" hidden="false" name="OtherDA" vbProcedure="false">Inputs!$F$233</definedName>
    <definedName function="false" hidden="false" name="Other_Val" vbProcedure="false">Inputs!$F$346</definedName>
    <definedName function="false" hidden="false" name="OthRev_g" vbProcedure="false">Inputs!$F$180</definedName>
    <definedName function="false" hidden="false" name="OwnedSh" vbProcedure="false">Inputs!$C$359:$I$359</definedName>
    <definedName function="false" hidden="false" name="PathIT" vbProcedure="false">Sites!$F$177:$AG$177</definedName>
    <definedName function="false" hidden="false" name="PathIT_E" vbProcedure="false">Sites!$E$177</definedName>
    <definedName function="false" hidden="false" name="PathRateIT" vbProcedure="false">Sites!$F$180:$AG$180</definedName>
    <definedName function="false" hidden="false" name="PathRateIT_E" vbProcedure="false">Sites!$E$180</definedName>
    <definedName function="false" hidden="false" name="PathRateSP" vbProcedure="false">Sites!$F$181:$AG$181</definedName>
    <definedName function="false" hidden="false" name="PathRateSP_E" vbProcedure="false">Sites!$E$181</definedName>
    <definedName function="false" hidden="false" name="PathSP" vbProcedure="false">Sites!$F$178:$AG$178</definedName>
    <definedName function="false" hidden="false" name="PathSP_E" vbProcedure="false">Sites!$E$178</definedName>
    <definedName function="false" hidden="false" name="PB_CapGB" vbProcedure="false">Payback_Floor!$B$3</definedName>
    <definedName function="false" hidden="false" name="PB_CapOwnGB" vbProcedure="false">Payback_Floor!$B$5</definedName>
    <definedName function="false" hidden="false" name="PB_CapOwnRubin" vbProcedure="false">Payback_Floor!$B$6</definedName>
    <definedName function="false" hidden="false" name="PB_CapRubin" vbProcedure="false">Payback_Floor!$B$4</definedName>
    <definedName function="false" hidden="false" name="PB_EBGB" vbProcedure="false">Payback_Floor!$B$23</definedName>
    <definedName function="false" hidden="false" name="PB_EBRubin" vbProcedure="false">Payback_Floor!$C$23</definedName>
    <definedName function="false" hidden="false" name="PB_GB_Gr" vbProcedure="false">Payback_Floor!$D$28</definedName>
    <definedName function="false" hidden="false" name="PB_GB_IRR" vbProcedure="false">Payback_Floor!$J$28</definedName>
    <definedName function="false" hidden="false" name="PB_GB_IT" vbProcedure="false">Payback_Floor!$B$28</definedName>
    <definedName function="false" hidden="false" name="PB_ImplRevPre" vbProcedure="false">Payback_Floor!$H$40</definedName>
    <definedName function="false" hidden="false" name="PB_Life" vbProcedure="false">Payback_Floor!$B$9</definedName>
    <definedName function="false" hidden="false" name="PB_Opex" vbProcedure="false">Payback_Floor!$B$7</definedName>
    <definedName function="false" hidden="false" name="PB_OpexModel" vbProcedure="false">Payback_Floor!$B$24</definedName>
    <definedName function="false" hidden="false" name="PB_RU_Gr" vbProcedure="false">Payback_Floor!$B$31</definedName>
    <definedName function="false" hidden="false" name="PB_RU_IRR" vbProcedure="false">Payback_Floor!$J$29</definedName>
    <definedName function="false" hidden="false" name="PB_RU_IT" vbProcedure="false">Payback_Floor!$B$29</definedName>
    <definedName function="false" hidden="false" name="PB_Target" vbProcedure="false">Payback_Floor!$B$8</definedName>
    <definedName function="false" hidden="false" name="PDpct" vbProcedure="false">Inputs!$C$370:$I$370</definedName>
    <definedName function="false" hidden="false" name="PeerEVMW" vbProcedure="false">Inputs!$F$338</definedName>
    <definedName function="false" hidden="false" name="PeerMarginOn" vbProcedure="false">Inputs!$F$45</definedName>
    <definedName function="false" hidden="false" name="PeerMarginYr" vbProcedure="false">Inputs!$F$46</definedName>
    <definedName function="false" hidden="false" name="PF_Cap" vbProcedure="false">Payback_Floor!$B$53</definedName>
    <definedName function="false" hidden="false" name="PF_DCF" vbProcedure="false">Payback_Floor!$B$63</definedName>
    <definedName function="false" hidden="false" name="PF_EQ1" vbProcedure="false">Payback_Floor!$B$59</definedName>
    <definedName function="false" hidden="false" name="PF_EQ2" vbProcedure="false">Payback_Floor!$B$60</definedName>
    <definedName function="false" hidden="false" name="PF_EQ3" vbProcedure="false">Payback_Floor!$B$61</definedName>
    <definedName function="false" hidden="false" name="PF_EV" vbProcedure="false">Payback_Floor!$B$54</definedName>
    <definedName function="false" hidden="false" name="PF_Flag" vbProcedure="false">Payback_Floor!$B$64</definedName>
    <definedName function="false" hidden="false" name="PF_MWund" vbProcedure="false">Payback_Floor!$B$52</definedName>
    <definedName function="false" hidden="false" name="PF_ND" vbProcedure="false">Payback_Floor!$B$55</definedName>
    <definedName function="false" hidden="false" name="PF_PS1" vbProcedure="false">Payback_Floor!$B$62</definedName>
    <definedName function="false" hidden="false" name="PF_PS1x" vbProcedure="false">Payback_Floor!$H$83</definedName>
    <definedName function="false" hidden="false" name="PF_PS2" vbProcedure="false">Payback_Floor!$C$62</definedName>
    <definedName function="false" hidden="false" name="PF_PS2x" vbProcedure="false">Payback_Floor!$I$83</definedName>
    <definedName function="false" hidden="false" name="PF_PS3" vbProcedure="false">Payback_Floor!$D$62</definedName>
    <definedName function="false" hidden="false" name="PF_PS3x" vbProcedure="false">Payback_Floor!$J$83</definedName>
    <definedName function="false" hidden="false" name="PF_PV" vbProcedure="false">Payback_Floor!$B$50</definedName>
    <definedName function="false" hidden="false" name="PF_PV1" vbProcedure="false">Payback_Floor!$B$47</definedName>
    <definedName function="false" hidden="false" name="PF_PV2" vbProcedure="false">Payback_Floor!$B$48</definedName>
    <definedName function="false" hidden="false" name="PF_PV3" vbProcedure="false">Payback_Floor!$B$49</definedName>
    <definedName function="false" hidden="false" name="PF_PVat" vbProcedure="false">Payback_Floor!$B$51</definedName>
    <definedName function="false" hidden="false" name="PF_RPO" vbProcedure="false">Payback_Floor!$B$46</definedName>
    <definedName function="false" hidden="false" name="PF_S1" vbProcedure="false">Payback_Floor!$B$56</definedName>
    <definedName function="false" hidden="false" name="PF_S2" vbProcedure="false">Payback_Floor!$B$57</definedName>
    <definedName function="false" hidden="false" name="PF_S3" vbProcedure="false">Payback_Floor!$B$58</definedName>
    <definedName function="false" hidden="false" name="PISLag" vbProcedure="false">Inputs!$F$195</definedName>
    <definedName function="false" hidden="false" name="PlugDebtSh" vbProcedure="false">Inputs!$F$271</definedName>
    <definedName function="false" hidden="false" name="PlugSpread" vbProcedure="false">Inputs!$F$270</definedName>
    <definedName function="false" hidden="false" name="PL_DA" vbProcedure="false">PnL!$F$31:$AG$31</definedName>
    <definedName function="false" hidden="false" name="PL_DA_E" vbProcedure="false">PnL!$E$31</definedName>
    <definedName function="false" hidden="false" name="PL_EBIT" vbProcedure="false">PnL!$F$33:$AG$33</definedName>
    <definedName function="false" hidden="false" name="PL_EBITDA" vbProcedure="false">PnL!$F$28:$AG$28</definedName>
    <definedName function="false" hidden="false" name="PL_EBITDA_E" vbProcedure="false">PnL!$E$28</definedName>
    <definedName function="false" hidden="false" name="PL_EBIT_E" vbProcedure="false">PnL!$E$33</definedName>
    <definedName function="false" hidden="false" name="PL_NI" vbProcedure="false">PnL!$F$45:$AG$45</definedName>
    <definedName function="false" hidden="false" name="PL_NI_E" vbProcedure="false">PnL!$E$45</definedName>
    <definedName function="false" hidden="false" name="PL_Rent" vbProcedure="false">PnL!$F$18:$AG$18</definedName>
    <definedName function="false" hidden="false" name="PL_Rent_E" vbProcedure="false">PnL!$E$18</definedName>
    <definedName function="false" hidden="false" name="PL_Rev" vbProcedure="false">PnL!$F$11:$AG$11</definedName>
    <definedName function="false" hidden="false" name="PL_Rev_E" vbProcedure="false">PnL!$E$11</definedName>
    <definedName function="false" hidden="false" name="PL_Tax" vbProcedure="false">PnL!$F$44:$AG$44</definedName>
    <definedName function="false" hidden="false" name="PL_Tax_E" vbProcedure="false">PnL!$E$44</definedName>
    <definedName function="false" hidden="false" name="PowerMW" vbProcedure="false">Inputs!$F$193</definedName>
    <definedName function="false" hidden="false" name="PowerPx" vbProcedure="false">Inputs!$F$182</definedName>
    <definedName function="false" hidden="false" name="Prepay26" vbProcedure="false">Inputs!$F$237</definedName>
    <definedName function="false" hidden="false" name="PrepayBase" vbProcedure="false">Inputs!$F$88</definedName>
    <definedName function="false" hidden="false" name="PrepayByCust" vbProcedure="false">Inputs!$F$87</definedName>
    <definedName function="false" hidden="false" name="PrepayDecayOn" vbProcedure="false">Inputs!$F$81</definedName>
    <definedName function="false" hidden="false" name="PrepayIdx28" vbProcedure="false">Inputs!$F$84</definedName>
    <definedName function="false" hidden="false" name="PrepayOn" vbProcedure="false">Inputs!$F$80</definedName>
    <definedName function="false" hidden="false" name="PrepayPct" vbProcedure="false">Inputs!$F$238</definedName>
    <definedName function="false" hidden="false" name="PrepayPct27" vbProcedure="false">Inputs!$F$82</definedName>
    <definedName function="false" hidden="false" name="PrepayPct28" vbProcedure="false">Inputs!$F$83</definedName>
    <definedName function="false" hidden="false" name="PUE" vbProcedure="false">Inputs!$F$122</definedName>
    <definedName function="false" hidden="false" name="PUE_B" vbProcedure="false">Inputs!$D$122</definedName>
    <definedName function="false" hidden="false" name="PwrLooseDecl" vbProcedure="false">Inputs!$F$132</definedName>
    <definedName function="false" hidden="false" name="PwrLooseIdx" vbProcedure="false">Inputs!$F$133</definedName>
    <definedName function="false" hidden="false" name="PwrLooseOn" vbProcedure="false">Inputs!$F$131</definedName>
    <definedName function="false" hidden="false" name="PxBaseIdx" vbProcedure="false">Inputs!$F$137</definedName>
    <definedName function="false" hidden="false" name="PxChg_B" vbProcedure="false">Inputs!$F$135</definedName>
    <definedName function="false" hidden="false" name="PxChg_H" vbProcedure="false">Inputs!$F$134</definedName>
    <definedName function="false" hidden="false" name="PxChg_N" vbProcedure="false">Inputs!$F$136</definedName>
    <definedName function="false" hidden="false" name="PxCyc" vbProcedure="false">Inputs!$F$117</definedName>
    <definedName function="false" hidden="false" name="PxCycIdx" vbProcedure="false">Inputs!$F$118</definedName>
    <definedName function="false" hidden="false" name="PxCycleOn" vbProcedure="false">Inputs!$F$116</definedName>
    <definedName function="false" hidden="false" name="PxLine_Hi" vbProcedure="false">Inputs!$F$166</definedName>
    <definedName function="false" hidden="false" name="PxLine_Lo" vbProcedure="false">Inputs!$F$165</definedName>
    <definedName function="false" hidden="false" name="PxMult" vbProcedure="false">Inputs!$F$129</definedName>
    <definedName function="false" hidden="false" name="PxPathMode" vbProcedure="false">Inputs!$F$130</definedName>
    <definedName function="false" hidden="false" name="P_OD_B" vbProcedure="false">Pricing!$F$29:$AG$29</definedName>
    <definedName function="false" hidden="false" name="P_OD_B_E" vbProcedure="false">Pricing!$E$29</definedName>
    <definedName function="false" hidden="false" name="P_OD_H" vbProcedure="false">Pricing!$F$26:$AG$26</definedName>
    <definedName function="false" hidden="false" name="P_OD_H_E" vbProcedure="false">Pricing!$E$26</definedName>
    <definedName function="false" hidden="false" name="P_OD_N" vbProcedure="false">Pricing!$F$32:$AG$32</definedName>
    <definedName function="false" hidden="false" name="P_OD_N_E" vbProcedure="false">Pricing!$E$32</definedName>
    <definedName function="false" hidden="false" name="P_RES_B" vbProcedure="false">Pricing!$F$30:$AG$30</definedName>
    <definedName function="false" hidden="false" name="P_RES_B_E" vbProcedure="false">Pricing!$E$30</definedName>
    <definedName function="false" hidden="false" name="P_RES_H" vbProcedure="false">Pricing!$F$27:$AG$27</definedName>
    <definedName function="false" hidden="false" name="P_RES_H_E" vbProcedure="false">Pricing!$E$27</definedName>
    <definedName function="false" hidden="false" name="P_RES_N" vbProcedure="false">Pricing!$F$33:$AG$33</definedName>
    <definedName function="false" hidden="false" name="P_RES_N_E" vbProcedure="false">Pricing!$E$33</definedName>
    <definedName function="false" hidden="false" name="P_SPOT_B" vbProcedure="false">Pricing!$F$31:$AG$31</definedName>
    <definedName function="false" hidden="false" name="P_SPOT_B_E" vbProcedure="false">Pricing!$E$31</definedName>
    <definedName function="false" hidden="false" name="P_SPOT_H" vbProcedure="false">Pricing!$F$28:$AG$28</definedName>
    <definedName function="false" hidden="false" name="P_SPOT_H_E" vbProcedure="false">Pricing!$E$28</definedName>
    <definedName function="false" hidden="false" name="P_SPOT_N" vbProcedure="false">Pricing!$F$34:$AG$34</definedName>
    <definedName function="false" hidden="false" name="P_SPOT_N_E" vbProcedure="false">Pricing!$E$34</definedName>
    <definedName function="false" hidden="false" name="Q2GroupRev" vbProcedure="false">Inputs!$F$203</definedName>
    <definedName function="false" hidden="false" name="Q3TransAct" vbProcedure="false">Inputs!$F$212</definedName>
    <definedName function="false" hidden="false" name="Q3TransChk" vbProcedure="false">Capex_DA!$P$81</definedName>
    <definedName function="false" hidden="false" name="Q3TransMin" vbProcedure="false">Inputs!$F$213</definedName>
    <definedName function="false" hidden="false" name="Q_End" vbProcedure="false">Timeline!$F$4:$AG$4</definedName>
    <definedName function="false" hidden="false" name="Q_Hrs" vbProcedure="false">Timeline!$F$9:$AG$9</definedName>
    <definedName function="false" hidden="false" name="Q_Idx" vbProcedure="false">Timeline!$F$5:$AG$5</definedName>
    <definedName function="false" hidden="false" name="Q_Lab" vbProcedure="false">Timeline!$F$3:$AG$3</definedName>
    <definedName function="false" hidden="false" name="Q_Yr" vbProcedure="false">Timeline!$F$7:$AG$7</definedName>
    <definedName function="false" hidden="false" name="RampMS" vbProcedure="false">Inputs!$F$144</definedName>
    <definedName function="false" hidden="false" name="RampMS_B" vbProcedure="false">Inputs!$D$144</definedName>
    <definedName function="false" hidden="false" name="RealOD" vbProcedure="false">Inputs!$F$145</definedName>
    <definedName function="false" hidden="false" name="RealOD_B" vbProcedure="false">Inputs!$D$145</definedName>
    <definedName function="false" hidden="false" name="RealRes" vbProcedure="false">Inputs!$F$146</definedName>
    <definedName function="false" hidden="false" name="RealRes_B" vbProcedure="false">Inputs!$D$146</definedName>
    <definedName function="false" hidden="false" name="RedSites" vbProcedure="false">Sites!$F$237</definedName>
    <definedName function="false" hidden="false" name="RenewIdx" vbProcedure="false">Inputs!$F$95</definedName>
    <definedName function="false" hidden="false" name="RenewRate" vbProcedure="false">Inputs!$F$94</definedName>
    <definedName function="false" hidden="false" name="RenewUp" vbProcedure="false">Inputs!$F$27</definedName>
    <definedName function="false" hidden="false" name="RentMW" vbProcedure="false">Inputs!$F$183</definedName>
    <definedName function="false" hidden="false" name="ReplOn" vbProcedure="false">Inputs!$F$36</definedName>
    <definedName function="false" hidden="false" name="ReplPxOn" vbProcedure="false">Inputs!$F$91</definedName>
    <definedName function="false" hidden="false" name="RepriceOn" vbProcedure="false">Inputs!$F$26</definedName>
    <definedName function="false" hidden="false" name="ResDisc" vbProcedure="false">Inputs!$F$128</definedName>
    <definedName function="false" hidden="false" name="ResidBearCut" vbProcedure="false">Inputs!$F$177</definedName>
    <definedName function="false" hidden="false" name="ResidUtil" vbProcedure="false">Inputs!$F$150</definedName>
    <definedName function="false" hidden="false" name="ResLag" vbProcedure="false">Inputs!$F$171</definedName>
    <definedName function="false" hidden="false" name="ResSh" vbProcedure="false">Inputs!$C$363:$I$363</definedName>
    <definedName function="false" hidden="false" name="Res_B" vbProcedure="false">Pricing!$F$22</definedName>
    <definedName function="false" hidden="false" name="Res_H" vbProcedure="false">Pricing!$F$21</definedName>
    <definedName function="false" hidden="false" name="Res_N" vbProcedure="false">Pricing!$F$23</definedName>
    <definedName function="false" hidden="false" name="Rev" vbProcedure="false">Revenue!$F$94:$AG$94</definedName>
    <definedName function="false" hidden="false" name="Rev_E" vbProcedure="false">Revenue!$E$94</definedName>
    <definedName function="false" hidden="false" name="Rev_Model" vbProcedure="false">Revenue!$F$93:$AG$93</definedName>
    <definedName function="false" hidden="false" name="Rev_Model_E" vbProcedure="false">Revenue!$E$93</definedName>
    <definedName function="false" hidden="false" name="Rev_PxSens" vbProcedure="false">Revenue!$F$103:$AG$103</definedName>
    <definedName function="false" hidden="false" name="Rev_PxSens_E" vbProcedure="false">Revenue!$E$103</definedName>
    <definedName function="false" hidden="false" name="RM_GB300" vbProcedure="false">Pricing!$C$41</definedName>
    <definedName function="false" hidden="false" name="RM_GB300_L" vbProcedure="false">Pricing!$C$42</definedName>
    <definedName function="false" hidden="false" name="RM_GB300_O" vbProcedure="false">Pricing!$C$43</definedName>
    <definedName function="false" hidden="false" name="RM_GB300_Rate" vbProcedure="false">Pricing!$C$40</definedName>
    <definedName function="false" hidden="false" name="RM_MY" vbProcedure="false">Pricing!$B$46</definedName>
    <definedName function="false" hidden="false" name="RM_ND" vbProcedure="false">Pricing!$D$46</definedName>
    <definedName function="false" hidden="false" name="RM_ND_L" vbProcedure="false">Pricing!$E$46</definedName>
    <definedName function="false" hidden="false" name="RM_ND_O" vbProcedure="false">Pricing!$F$46</definedName>
    <definedName function="false" hidden="false" name="RM_Rubin" vbProcedure="false">Pricing!$D$41</definedName>
    <definedName function="false" hidden="false" name="RPO24Pct" vbProcedure="false">Inputs!$F$71</definedName>
    <definedName function="false" hidden="false" name="RPO_Cov" vbProcedure="false">Revenue!$F$75</definedName>
    <definedName function="false" hidden="false" name="RPO_New" vbProcedure="false">Revenue!$F$76</definedName>
    <definedName function="false" hidden="false" name="RPO_Sold" vbProcedure="false">Revenue!$F$77</definedName>
    <definedName function="false" hidden="false" name="RPO_SoldMW" vbProcedure="false">Revenue!$F$78</definedName>
    <definedName function="false" hidden="false" name="RPO_Tot" vbProcedure="false">Inputs!$F$70</definedName>
    <definedName function="false" hidden="false" name="RSU" vbProcedure="false">Inputs!$F$282</definedName>
    <definedName function="false" hidden="false" name="RubinGPUMW_D" vbProcedure="false">Inputs!$F$64</definedName>
    <definedName function="false" hidden="false" name="RubinMode" vbProcedure="false">Inputs!$F$62</definedName>
    <definedName function="false" hidden="false" name="RubinMW" vbProcedure="false">Inputs!$F$63</definedName>
    <definedName function="false" hidden="false" name="Rubin_Prem" vbProcedure="false">Inputs!$F$139</definedName>
    <definedName function="false" hidden="false" name="SBCpct" vbProcedure="false">Inputs!$F$186</definedName>
    <definedName function="false" hidden="false" name="SBCsh" vbProcedure="false">Inputs!$F$296</definedName>
    <definedName function="false" hidden="false" name="Scen" vbProcedure="false">Inputs!$D$4</definedName>
    <definedName function="false" hidden="false" name="SecAmt" vbProcedure="false">Inputs!$F$267</definedName>
    <definedName function="false" hidden="false" name="SecIdx" vbProcedure="false">Inputs!$F$268</definedName>
    <definedName function="false" hidden="false" name="SecMatIdx" vbProcedure="false">Inputs!$F$269</definedName>
    <definedName function="false" hidden="false" name="SecSpread" vbProcedure="false">Inputs!$F$266</definedName>
    <definedName function="false" hidden="false" name="Sec_Bal" vbProcedure="false">Financing!$F$136:$AG$136</definedName>
    <definedName function="false" hidden="false" name="Sec_Bal_E" vbProcedure="false">Financing!$E$136</definedName>
    <definedName function="false" hidden="false" name="Sec_Flow" vbProcedure="false">Financing!$F$138:$AG$138</definedName>
    <definedName function="false" hidden="false" name="Sec_Flow_E" vbProcedure="false">Financing!$E$138</definedName>
    <definedName function="false" hidden="false" name="Sec_Int" vbProcedure="false">Financing!$F$137:$AG$137</definedName>
    <definedName function="false" hidden="false" name="Sec_Int_E" vbProcedure="false">Financing!$E$137</definedName>
    <definedName function="false" hidden="false" name="SGApct" vbProcedure="false">Inputs!$C$371:$I$371</definedName>
    <definedName function="false" hidden="false" name="SharePx" vbProcedure="false">Inputs!$F$11</definedName>
    <definedName function="false" hidden="false" name="ShellMW" vbProcedure="false">Inputs!$F$192</definedName>
    <definedName function="false" hidden="false" name="Sh_Basic" vbProcedure="false">Shares!$F$9:$AG$9</definedName>
    <definedName function="false" hidden="false" name="Sh_Basic_E" vbProcedure="false">Shares!$E$9</definedName>
    <definedName function="false" hidden="false" name="Sh_Dil" vbProcedure="false">Shares!$F$15:$AG$15</definedName>
    <definedName function="false" hidden="false" name="Sh_Dil_E" vbProcedure="false">Shares!$E$15</definedName>
    <definedName function="false" hidden="false" name="Sh_EconBasic" vbProcedure="false">Shares!$F$11:$AG$11</definedName>
    <definedName function="false" hidden="false" name="Sh_EconBasic_E" vbProcedure="false">Shares!$E$11</definedName>
    <definedName function="false" hidden="false" name="SigMW" vbProcedure="false">Contracts!$F$154:$AG$154</definedName>
    <definedName function="false" hidden="false" name="SigMW_E" vbProcedure="false">Contracts!$E$154</definedName>
    <definedName function="false" hidden="false" name="Sk3C_YE27" vbProcedure="false">Inputs!$F$106</definedName>
    <definedName function="false" hidden="false" name="Sk3C_ZeroQ" vbProcedure="false">Inputs!$F$105</definedName>
    <definedName function="false" hidden="false" name="Sk3H_YE27" vbProcedure="false">Inputs!$F$103</definedName>
    <definedName function="false" hidden="false" name="Sk3H_YE28" vbProcedure="false">Inputs!$F$104</definedName>
    <definedName function="false" hidden="false" name="Sk3H_ZeroQ" vbProcedure="false">Inputs!$F$102</definedName>
    <definedName function="false" hidden="false" name="Sk3L_YE27" vbProcedure="false">Inputs!$F$100</definedName>
    <definedName function="false" hidden="false" name="Sk3L_YE28" vbProcedure="false">Inputs!$F$101</definedName>
    <definedName function="false" hidden="false" name="Sk3L_ZeroQ" vbProcedure="false">Inputs!$F$99</definedName>
    <definedName function="false" hidden="false" name="Sk3_DCF4" vbProcedure="false">Inputs!$F$107</definedName>
    <definedName function="false" hidden="false" name="Sk3_DCF5" vbProcedure="false">Inputs!$F$108</definedName>
    <definedName function="false" hidden="false" name="Sk3_DCF6" vbProcedure="false">Inputs!$F$109</definedName>
    <definedName function="false" hidden="false" name="Sk3_PC27" vbProcedure="false">Inputs!$F$110</definedName>
    <definedName function="false" hidden="false" name="Sk3_PC27Bear" vbProcedure="false">Inputs!$F$111</definedName>
    <definedName function="false" hidden="false" name="Sk3_PC28" vbProcedure="false">Inputs!$F$112</definedName>
    <definedName function="false" hidden="false" name="Sk3_YE27" vbProcedure="false">Inputs!$F$97</definedName>
    <definedName function="false" hidden="false" name="Sk3_YE28" vbProcedure="false">Inputs!$F$98</definedName>
    <definedName function="false" hidden="false" name="Sk3_ZeroQ" vbProcedure="false">Inputs!$F$96</definedName>
    <definedName function="false" hidden="false" name="SkEBIT4" vbProcedure="false">Inputs!$F$352</definedName>
    <definedName function="false" hidden="false" name="SkEBIT5" vbProcedure="false">Inputs!$F$353</definedName>
    <definedName function="false" hidden="false" name="SkEBIT6" vbProcedure="false">Inputs!$F$354</definedName>
    <definedName function="false" hidden="false" name="Sk_EVEB27" vbProcedure="false">Inputs!$F$257</definedName>
    <definedName function="false" hidden="false" name="Sk_Q127" vbProcedure="false">Inputs!$F$249</definedName>
    <definedName function="false" hidden="false" name="Sk_Q227" vbProcedure="false">Inputs!$F$250</definedName>
    <definedName function="false" hidden="false" name="Sk_Rev27Base" vbProcedure="false">Inputs!$F$253</definedName>
    <definedName function="false" hidden="false" name="Sk_Rev27Hi" vbProcedure="false">Inputs!$F$254</definedName>
    <definedName function="false" hidden="false" name="Sk_Rev27Lo" vbProcedure="false">Inputs!$F$252</definedName>
    <definedName function="false" hidden="false" name="Sk_Rev27St" vbProcedure="false">Inputs!$F$255</definedName>
    <definedName function="false" hidden="false" name="Sk_Rev28" vbProcedure="false">Inputs!$F$256</definedName>
    <definedName function="false" hidden="false" name="Sk_Start" vbProcedure="false">Inputs!$F$248</definedName>
    <definedName function="false" hidden="false" name="Sk_YE27" vbProcedure="false">Inputs!$F$251</definedName>
    <definedName function="false" hidden="false" name="SOFR" vbProcedure="false">Inputs!$F$265</definedName>
    <definedName function="false" hidden="false" name="SOTPPt" vbProcedure="false">Inputs!$F$347</definedName>
    <definedName function="false" hidden="false" name="SOTP_Disc" vbProcedure="false">Inputs!$F$355</definedName>
    <definedName function="false" hidden="false" name="SpotSh" vbProcedure="false">Inputs!$C$364:$I$364</definedName>
    <definedName function="false" hidden="false" name="Spot_B" vbProcedure="false">Pricing!$E$22</definedName>
    <definedName function="false" hidden="false" name="Spot_H" vbProcedure="false">Pricing!$E$21</definedName>
    <definedName function="false" hidden="false" name="Spot_N" vbProcedure="false">Pricing!$E$23</definedName>
    <definedName function="false" hidden="false" name="STGBOnly" vbProcedure="false">Inputs!$F$78</definedName>
    <definedName function="false" hidden="false" name="STMode" vbProcedure="false">Inputs!$F$66</definedName>
    <definedName function="false" hidden="false" name="STOcc" vbProcedure="false">Inputs!$F$68</definedName>
    <definedName function="false" hidden="false" name="STRate" vbProcedure="false">Inputs!$F$77</definedName>
    <definedName function="false" hidden="false" name="STRecov" vbProcedure="false">Inputs!$F$79</definedName>
    <definedName function="false" hidden="false" name="STShare" vbProcedure="false">Inputs!$F$65</definedName>
    <definedName function="false" hidden="false" name="StudioUp" vbProcedure="false">Inputs!$C$365:$I$365</definedName>
    <definedName function="false" hidden="false" name="ST_MW" vbProcedure="false">Revenue!$F$70:$AG$70</definedName>
    <definedName function="false" hidden="false" name="ST_MW_E" vbProcedure="false">Revenue!$E$70</definedName>
    <definedName function="false" hidden="false" name="TaxRate" vbProcedure="false">Inputs!$F$297</definedName>
    <definedName function="false" hidden="false" name="TCV_Model" vbProcedure="false">Contracts!$K$30</definedName>
    <definedName function="false" hidden="false" name="TermBase" vbProcedure="false">Inputs!$F$23</definedName>
    <definedName function="false" hidden="false" name="TermMode" vbProcedure="false">Inputs!$F$93</definedName>
    <definedName function="false" hidden="false" name="TermRONC" vbProcedure="false">Inputs!$F$332</definedName>
    <definedName function="false" hidden="false" name="TermRR" vbProcedure="false">Inputs!$F$333</definedName>
    <definedName function="false" hidden="false" name="TG" vbProcedure="false">Inputs!$F$330</definedName>
    <definedName function="false" hidden="false" name="TGCap" vbProcedure="false">Inputs!$F$334</definedName>
    <definedName function="false" hidden="false" name="TGMode" vbProcedure="false">Inputs!$F$331</definedName>
    <definedName function="false" hidden="false" name="TopCust" vbProcedure="false">Inputs!$F$162</definedName>
    <definedName function="false" hidden="false" name="TO_Hi" vbProcedure="false">Inputs!$F$342</definedName>
    <definedName function="false" hidden="false" name="TO_Lo" vbProcedure="false">Inputs!$F$341</definedName>
    <definedName function="false" hidden="false" name="Transfer" vbProcedure="false">Capex_DA!$F$73:$AG$73</definedName>
    <definedName function="false" hidden="false" name="Transfer_E" vbProcedure="false">Capex_DA!$E$73</definedName>
    <definedName function="false" hidden="false" name="TVFloor" vbProcedure="false">Inputs!$F$24</definedName>
    <definedName function="false" hidden="false" name="UnseenChkHi" vbProcedure="false">Inputs!$F$176</definedName>
    <definedName function="false" hidden="false" name="UnseenChkLo" vbProcedure="false">Inputs!$F$175</definedName>
    <definedName function="false" hidden="false" name="Unseen_MN" vbProcedure="false">Inputs!$F$168</definedName>
    <definedName function="false" hidden="false" name="Unseen_OK" vbProcedure="false">Inputs!$F$167</definedName>
    <definedName function="false" hidden="false" name="Unseen_OT" vbProcedure="false">Inputs!$F$169</definedName>
    <definedName function="false" hidden="false" name="UtilFlag" vbProcedure="false">Revenue!$F$47</definedName>
    <definedName function="false" hidden="false" name="UtilQ2" vbProcedure="false">Revenue!$E$47</definedName>
    <definedName function="false" hidden="false" name="Util_OD" vbProcedure="false">Inputs!$F$147</definedName>
    <definedName function="false" hidden="false" name="Util_Res" vbProcedure="false">Inputs!$F$148</definedName>
    <definedName function="false" hidden="false" name="Util_Spot" vbProcedure="false">Inputs!$F$149</definedName>
    <definedName function="false" hidden="false" name="ValDate" vbProcedure="false">Inputs!$F$8</definedName>
    <definedName function="false" hidden="false" name="VinCapOn" vbProcedure="false">Inputs!$F$35</definedName>
    <definedName function="false" hidden="false" name="VinEnIT" vbProcedure="false">Sites!$F$182:$AG$182</definedName>
    <definedName function="false" hidden="false" name="VinEnIT_E" vbProcedure="false">Sites!$E$182</definedName>
    <definedName function="false" hidden="false" name="VinExpQ4" vbProcedure="false">Contracts!$Q$146</definedName>
    <definedName function="false" hidden="false" name="VinLost" vbProcedure="false">Contracts!$F$143:$AG$143</definedName>
    <definedName function="false" hidden="false" name="VinLost_E" vbProcedure="false">Contracts!$E$143</definedName>
    <definedName function="false" hidden="false" name="VinOff" vbProcedure="false">Contracts!$F$140:$AG$140</definedName>
    <definedName function="false" hidden="false" name="VinOff_E" vbProcedure="false">Contracts!$E$140</definedName>
    <definedName function="false" hidden="false" name="VinPower" vbProcedure="false">Inputs!$F$184</definedName>
    <definedName function="false" hidden="false" name="VinPUE" vbProcedure="false">Inputs!$F$170</definedName>
    <definedName function="false" hidden="false" name="VinRevMW" vbProcedure="false">Inputs!$F$48</definedName>
    <definedName function="false" hidden="false" name="VinShutSel" vbProcedure="false">Inputs!$F$47</definedName>
    <definedName function="false" hidden="false" name="V_AV" vbProcedure="false">Valuation!$E$70</definedName>
    <definedName function="false" hidden="false" name="V_AVAdd" vbProcedure="false">Valuation!$E$72</definedName>
    <definedName function="false" hidden="false" name="V_BASIC" vbProcedure="false">Valuation!$E$93</definedName>
    <definedName function="false" hidden="false" name="V_CASH" vbProcedure="false">Valuation!$E$91</definedName>
    <definedName function="false" hidden="false" name="V_CH" vbProcedure="false">Valuation!$E$68</definedName>
    <definedName function="false" hidden="false" name="V_CONV" vbProcedure="false">Valuation!$E$113</definedName>
    <definedName function="false" hidden="false" name="V_CTMW" vbProcedure="false">Valuation!$E$188</definedName>
    <definedName function="false" hidden="false" name="V_CVDEBT" vbProcedure="false">Valuation!$F$116</definedName>
    <definedName function="false" hidden="false" name="V_CVDEBTF" vbProcedure="false">Valuation!$F$156</definedName>
    <definedName function="false" hidden="false" name="V_CVDmkt" vbProcedure="false">Valuation!$E$173</definedName>
    <definedName function="false" hidden="false" name="V_CVFull" vbProcedure="false">Valuation!$F$121</definedName>
    <definedName function="false" hidden="false" name="V_CVNSS" vbProcedure="false">Valuation!$F$122</definedName>
    <definedName function="false" hidden="false" name="V_CXChk" vbProcedure="false">Valuation!$E$30</definedName>
    <definedName function="false" hidden="false" name="V_CXReq" vbProcedure="false">Valuation!$E$28</definedName>
    <definedName function="false" hidden="false" name="V_CXT" vbProcedure="false">Valuation!$E$29</definedName>
    <definedName function="false" hidden="false" name="V_DA30" vbProcedure="false">Valuation!$E$20</definedName>
    <definedName function="false" hidden="false" name="V_DAT" vbProcedure="false">Valuation!$E$24</definedName>
    <definedName function="false" hidden="false" name="V_DF28" vbProcedure="false">Valuation!$E$45</definedName>
    <definedName function="false" hidden="false" name="V_DR30" vbProcedure="false">Valuation!$E$48</definedName>
    <definedName function="false" hidden="false" name="V_DRAdj" vbProcedure="false">Valuation!$E$50</definedName>
    <definedName function="false" hidden="false" name="V_DRPV" vbProcedure="false">Valuation!$E$49</definedName>
    <definedName function="false" hidden="false" name="V_Dss" vbProcedure="false">Valuation!$E$32</definedName>
    <definedName function="false" hidden="false" name="V_EB30" vbProcedure="false">Valuation!$E$19</definedName>
    <definedName function="false" hidden="false" name="V_EBT" vbProcedure="false">Valuation!$E$23</definedName>
    <definedName function="false" hidden="false" name="V_EBX" vbProcedure="false">Valuation!$E$22</definedName>
    <definedName function="false" hidden="false" name="V_ENMW" vbProcedure="false">Valuation!$E$187</definedName>
    <definedName function="false" hidden="false" name="V_EQ" vbProcedure="false">Valuation!$F$119</definedName>
    <definedName function="false" hidden="false" name="V_EV" vbProcedure="false">Valuation!$E$51</definedName>
    <definedName function="false" hidden="false" name="V_EVBaseS" vbProcedure="false">Valuation!$E$57</definedName>
    <definedName function="false" hidden="false" name="V_EVBearS" vbProcedure="false">Valuation!$E$59</definedName>
    <definedName function="false" hidden="false" name="V_EVBullS" vbProcedure="false">Valuation!$E$58</definedName>
    <definedName function="false" hidden="false" name="V_EVCMW" vbProcedure="false">Valuation!$E$195</definedName>
    <definedName function="false" hidden="false" name="V_EVEB27" vbProcedure="false">Valuation!$E$198</definedName>
    <definedName function="false" hidden="false" name="V_EVMemo" vbProcedure="false">Valuation!$E$55</definedName>
    <definedName function="false" hidden="false" name="V_EVMW1" vbProcedure="false">Valuation!$E$192</definedName>
    <definedName function="false" hidden="false" name="V_EVMW2" vbProcedure="false">Valuation!$E$193</definedName>
    <definedName function="false" hidden="false" name="V_EVMW3" vbProcedure="false">Valuation!$E$194</definedName>
    <definedName function="false" hidden="false" name="V_FDmkt" vbProcedure="false">Valuation!$E$170</definedName>
    <definedName function="false" hidden="false" name="V_FPCash" vbProcedure="false">Valuation!$E$134</definedName>
    <definedName function="false" hidden="false" name="V_FPSh" vbProcedure="false">Valuation!$E$135</definedName>
    <definedName function="false" hidden="false" name="V_g" vbProcedure="false">Valuation!$E$17</definedName>
    <definedName function="false" hidden="false" name="V_GRepl" vbProcedure="false">Valuation!$E$25</definedName>
    <definedName function="false" hidden="false" name="V_GrowCx" vbProcedure="false">Valuation!$E$27</definedName>
    <definedName function="false" hidden="false" name="V_ImpMult" vbProcedure="false">Valuation!$E$39</definedName>
    <definedName function="false" hidden="false" name="V_ITMprin" vbProcedure="false">Valuation!$E$172</definedName>
    <definedName function="false" hidden="false" name="V_ITMsh" vbProcedure="false">Valuation!$E$171</definedName>
    <definedName function="false" hidden="false" name="V_M30" vbProcedure="false">Valuation!$E$40</definedName>
    <definedName function="false" hidden="false" name="V_MKTEQ" vbProcedure="false">Valuation!$E$176</definedName>
    <definedName function="false" hidden="false" name="V_MKTEV" vbProcedure="false">Valuation!$E$184</definedName>
    <definedName function="false" hidden="false" name="V_MKTEV_FD" vbProcedure="false">Valuation!$E$185</definedName>
    <definedName function="false" hidden="false" name="V_ND" vbProcedure="false">Valuation!$E$161</definedName>
    <definedName function="false" hidden="false" name="V_NDm" vbProcedure="false">Valuation!$E$67</definedName>
    <definedName function="false" hidden="false" name="V_NonGPU" vbProcedure="false">Valuation!$E$26</definedName>
    <definedName function="false" hidden="false" name="V_NOPAT" vbProcedure="false">Valuation!$E$33</definedName>
    <definedName function="false" hidden="false" name="V_NTM" vbProcedure="false">Valuation!$E$165</definedName>
    <definedName function="false" hidden="false" name="V_ODEBT" vbProcedure="false">Valuation!$E$92</definedName>
    <definedName function="false" hidden="false" name="V_OFF" vbProcedure="false">Valuation!$E$74</definedName>
    <definedName function="false" hidden="false" name="V_OT" vbProcedure="false">Valuation!$E$71</definedName>
    <definedName function="false" hidden="false" name="V_PEEREV" vbProcedure="false">Valuation!$E$196</definedName>
    <definedName function="false" hidden="false" name="V_PS" vbProcedure="false">Valuation!$F$114</definedName>
    <definedName function="false" hidden="false" name="V_PSB" vbProcedure="false">Valuation!$F$120</definedName>
    <definedName function="false" hidden="false" name="V_PSF" vbProcedure="false">Valuation!$F$152</definedName>
    <definedName function="false" hidden="false" name="V_PSMemo" vbProcedure="false">Valuation!$E$56</definedName>
    <definedName function="false" hidden="false" name="V_PSolve" vbProcedure="false">Valuation!$F$112</definedName>
    <definedName function="false" hidden="false" name="V_PT" vbProcedure="false">Valuation!$F$157</definedName>
    <definedName function="false" hidden="false" name="V_PT36" vbProcedure="false">Valuation!$F$159</definedName>
    <definedName function="false" hidden="false" name="V_PT6" vbProcedure="false">Valuation!$F$158</definedName>
    <definedName function="false" hidden="false" name="V_PVF" vbProcedure="false">Valuation!$E$47</definedName>
    <definedName function="false" hidden="false" name="V_PVTV" vbProcedure="false">Valuation!$E$46</definedName>
    <definedName function="false" hidden="false" name="V_Q" vbProcedure="false">Valuation!$E$65</definedName>
    <definedName function="false" hidden="false" name="V_Rev30" vbProcedure="false">Valuation!$E$18</definedName>
    <definedName function="false" hidden="false" name="V_ROIC" vbProcedure="false">Valuation!$E$35</definedName>
    <definedName function="false" hidden="false" name="V_RRimp" vbProcedure="false">Valuation!$E$34</definedName>
    <definedName function="false" hidden="false" name="V_RSU" vbProcedure="false">Valuation!$E$94</definedName>
    <definedName function="false" hidden="false" name="V_SFCRate" vbProcedure="false">Valuation!$E$53</definedName>
    <definedName function="false" hidden="false" name="V_SH" vbProcedure="false">Valuation!$F$118</definedName>
    <definedName function="false" hidden="false" name="V_SHF" vbProcedure="false">Valuation!$F$153</definedName>
    <definedName function="false" hidden="false" name="V_SHFFull" vbProcedure="false">Valuation!$F$154</definedName>
    <definedName function="false" hidden="false" name="V_SHFNSS" vbProcedure="false">Valuation!$F$155</definedName>
    <definedName function="false" hidden="false" name="V_SHFull" vbProcedure="false">Valuation!$F$123</definedName>
    <definedName function="false" hidden="false" name="V_SHNSS" vbProcedure="false">Valuation!$F$124</definedName>
    <definedName function="false" hidden="false" name="V_SHq" vbProcedure="false">Valuation!$E$75</definedName>
    <definedName function="false" hidden="false" name="V_SOTP" vbProcedure="false">Valuation!$E$73</definedName>
    <definedName function="false" hidden="false" name="V_TO" vbProcedure="false">Valuation!$E$69</definedName>
    <definedName function="false" hidden="false" name="V_TrB" vbProcedure="false">Valuation!$F$79:$F$90</definedName>
    <definedName function="false" hidden="false" name="V_TrBP" vbProcedure="false">Valuation!$J$79:$J$90</definedName>
    <definedName function="false" hidden="false" name="V_TrO" vbProcedure="false">Valuation!$E$79:$E$90</definedName>
    <definedName function="false" hidden="false" name="V_TrOP" vbProcedure="false">Valuation!$I$79:$I$90</definedName>
    <definedName function="false" hidden="false" name="V_TrPX" vbProcedure="false">Valuation!$H$79:$H$90</definedName>
    <definedName function="false" hidden="false" name="V_TrRT" vbProcedure="false">Valuation!$G$79:$G$90</definedName>
    <definedName function="false" hidden="false" name="V_TScale" vbProcedure="false">Valuation!$E$21</definedName>
    <definedName function="false" hidden="false" name="V_TV" vbProcedure="false">Valuation!$E$43</definedName>
    <definedName function="false" hidden="false" name="V_TVB" vbProcedure="false">Valuation!$E$41</definedName>
    <definedName function="false" hidden="false" name="V_TVBasis" vbProcedure="false">Valuation!$E$44</definedName>
    <definedName function="false" hidden="false" name="V_TVG" vbProcedure="false">Valuation!$E$37</definedName>
    <definedName function="false" hidden="false" name="V_TVM" vbProcedure="false">Valuation!$E$38</definedName>
    <definedName function="false" hidden="false" name="V_TVRO" vbProcedure="false">Valuation!$E$42</definedName>
    <definedName function="false" hidden="false" name="V_TXT" vbProcedure="false">Valuation!$E$31</definedName>
    <definedName function="false" hidden="false" name="V_UFT" vbProcedure="false">Valuation!$E$36</definedName>
    <definedName function="false" hidden="false" name="V_UP" vbProcedure="false">Valuation!$F$160</definedName>
    <definedName function="false" hidden="false" name="V_UtBaseS" vbProcedure="false">Valuation!$E$60</definedName>
    <definedName function="false" hidden="false" name="V_UtBearS" vbProcedure="false">Valuation!$E$62</definedName>
    <definedName function="false" hidden="false" name="V_UtBullS" vbProcedure="false">Valuation!$E$61</definedName>
    <definedName function="false" hidden="false" name="WACC" vbProcedure="false">Inputs!$F$328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<sst xmlns="http://schemas.openxmlformats.org/spreadsheetml/2006/main" count="6973" uniqueCount="2698">
  <si>
    <t xml:space="preserve">Nebius (NBIS) driver-based model</t>
  </si>
  <si>
    <t xml:space="preserve">VERSION v0.7 – PROVISIONAL</t>
  </si>
  <si>
    <t xml:space="preserve">Build date: 2026-10-04. v0.3 base approved (terminal excludes Q4'30 spend for post-horizon MW and that MW; GPU capex lead 3 qtrs vs billing; history scenario-invariant; bear replacement at bear price path; bull Blackwell 6.25% cut after Rubin + next-gen -1.7%/yr).</t>
  </si>
  <si>
    <t xml:space="preserve">v0.7 changes: GB300 IT ($22M) and gross ($26.4M) co-equal (basis not disclosed by management); payback note + tests ($32M capex, $2M opex, prepayments counted); Rubin new deals priced directly at $18M/IT MW-yr (bull 20 / bear 16; no IT/gross toggle; short-term $40-50M tranche GB300-only); Rubin capex $41M leased (bull 41, bear 48.5; $32M outer-bull sensitivity; owned $56M), low-medium confidence; $775M facility $0 drawn in base; Aug-26 converts counted once; 2027 funding plan (remaining ATM + 2 x $5B converts on Aug-26 terms; bear ATM at -40%, converts shut) with post-funding per-share values; converts debt vs shares at the solved price (original principal), full-conversion and NSS counts; Avride burn added back when Avride is valued (bull double count fixed). v0.6 changes: multi-year new-deal $/MW flat nominal within generation through 2028 then -3%/yr (bear -6%/yr from 2027; 31% post-Rubin stress separate) - removes per-chip ageing double count; one linked new-deal input ($/GPU-hr x GPUs/IT MW x hours x occupancy); Rubin 1.2x GB300 per GPU-hr; payback and asset-floor checks (Payback_Floor tab); stake values per Filings Note 5. v0.5 changes: short-term tranche = 5% of TOTAL avg active MW at $45M x 85% occupancy (tests 2/10%, 0% floor); unsold new MW priced separately from RPO-contracted MW (sens $18/22/25); 6/30 deferred revenue released on Reported current/non-current split, new prepayments straight-line over 4 yrs; backlog floor checks; new-deal $/MW basis selector (IT $22M base; gross-equivalent $26.4M/IT MW); prepayments by customer type (signed Microsoft/Meta 0% new; new hyperscaler 30%; other 38.5% -&gt; 22.5% for 2028+ signings); closing deferred revenue run-off deducted from EV (cash double-count fix); SFC: none in model. v0.4 changes: split capex lead (shell/power 3 qtrs, GPUs 2 qtrs ahead of billing); price path year 2+ decline (-2.5/-6/-9.5%) + post-Rubin cut in all scenarios; terminal g from fundamentals (g = RR x RONC, reinvestment deducted); Rubin premium vs GB300 open input at per-MW parity; MW-basis selector; CLT1 rent/prepay; Inferize, June-exit, Vineland-shutdown and peer-margin switches; Funding and Bridge tabs. Also: new-deal pricing for 2027+ MW (multi-year $22M/IT MW-yr + 10% short-term $45M with post-Rubin cut/recovery); customer prepayments 38.5% of new-build capex (toggle); Vineland shutdown wired to Capacity table at $14.5M/IT MW-yr + Bloom-slip toggle; Capacity proposed MW path as MWSel 4 scenario (not base); GPU history anchored to ~30k at 3/31/25.</t>
  </si>
  <si>
    <t xml:space="preserve">Key outputs (live, current scenario)</t>
  </si>
  <si>
    <t xml:space="preserve">Scenario</t>
  </si>
  <si>
    <t xml:space="preserve">DCF EV ($M)</t>
  </si>
  <si>
    <t xml:space="preserve">FD value / share ($)</t>
  </si>
  <si>
    <t xml:space="preserve">12-month PT ($)</t>
  </si>
  <si>
    <t xml:space="preserve">First quarter liquidity &lt; 0</t>
  </si>
  <si>
    <t xml:space="preserve">Market EV ($M)</t>
  </si>
  <si>
    <t xml:space="preserve">Notes - open items</t>
  </si>
  <si>
    <t xml:space="preserve">OPEN: FY26 capex below the $20-25B guide (Aug 12 2026 call): v0.3 $18.1B (~$1.9B short); v0.4 split lead $16.7B (~$3.3B short); possible early 2027 shell/power or deposits not in the path. Check: Checks 'FY26 capex vs company guide'.</t>
  </si>
  <si>
    <t xml:space="preserve">Owner: Filings / Capacity</t>
  </si>
  <si>
    <t xml:space="preserve">OPEN: funding plan is ESTIMATED, not guidance. Base pre-plan YE27 liquidity -$13.5B (v0.6 -$9.5B: facility $0, Rubin capex $41M) -&gt; plan sized at ATM 12.27M sh + 2 x $6.4B converts (Aug-26 terms) to reach ~MinCash $2B at YE27; first negative quarter moves Q2'27 -&gt; Q1'28; 2028-30 still needs ~$36B more.</t>
  </si>
  <si>
    <t xml:space="preserve">Owner: Capacity</t>
  </si>
  <si>
    <t xml:space="preserve">OPEN: Rubin new-deal revenue $18M/IT MW-yr direct (bull 20 / bear 16; two contracts, medium-low) and Rubin capex $41M leased / $56M owned (bull 41, bear 48.5; $32M outer bull only) - LOW-MEDIUM confidence; Capacity reconciles networking ($3.6M vs GB300 $6.1M) Tuesday. Base EV swings -$5.3B / +$5.6B on Rubin revenue $16/$20M.</t>
  </si>
  <si>
    <t xml:space="preserve">Owner: GPU Market</t>
  </si>
  <si>
    <t xml:space="preserve">OPEN: AIB CLT1 prepayment (undisclosed; default $0) and Inferize price (press $100-150M, toggle off).</t>
  </si>
  <si>
    <t xml:space="preserve">Owner: Filings</t>
  </si>
  <si>
    <t xml:space="preserve">OPEN: Vineland shutdown default OFF (VinShutSel 0); scenarios/weights are Capacity judgment (prob-weighted Q4'26 loss ~$68M at $14.5M/IT MW-yr vs Capacity ~$67M); SLA credits undisclosed; genset power saving not credited.</t>
  </si>
  <si>
    <t xml:space="preserve">OPEN: Capacity proposed MW path is a scenario only (MWSel 4) until Capacity's Tuesday file; new-deal $/MW basis (IT vs gross) medium-low confidence; short-term share 10% is an estimate.</t>
  </si>
  <si>
    <t xml:space="preserve">Owner: Capacity / Filings</t>
  </si>
  <si>
    <t xml:space="preserve">OPEN: ARR scope / whether $3.0B ARR includes signed-not-billing tranches; unexplained ARR residual ~$0.6B shown as a line, not plugged.</t>
  </si>
  <si>
    <t xml:space="preserve">OPEN: YE27 ~950 MW IT normalization is a placeholder pending Capacity's basis column.</t>
  </si>
  <si>
    <t xml:space="preserve">OPEN: Q3'26 transfer into service (model $4,702M) pending Q3 filing; depreciation start dates (material weakness) flagged.</t>
  </si>
  <si>
    <t xml:space="preserve">FLAGS: base DCF EV ~ -$0.2B (IT) / +$2.3B (gross) -&gt; equity value and per-share $0 on BOTH bases (DCF EV below asset floor $3.6B); bull EV $90.4B (&gt;3x base); bear EV -$25.7B; bull YE27 liquidity -$3.4B even after plan; bear ATM 61.8M sh at $145.69 exceeds ~20% AGM issuance authority (~57.5M); FY26 capex $16.9B below $20-25B guide; FY30 margin 70.2% above peer +8pp; IT payback 28 mo vs mgmt 22 (gross 22.6) - test does not discriminate (fits IT at $32M capex, $2M opex, or prepayments counted). See Checks and Payback_Floor.</t>
  </si>
  <si>
    <t xml:space="preserve">Owner: Modeling / GPU Market</t>
  </si>
  <si>
    <t xml:space="preserve">Nebius (NBIS) driver model - README</t>
  </si>
  <si>
    <t xml:space="preserve">Save path: /workspace/nebius/model/nebius_model.xlsx. Quarterly Q1'24-Q2'26 actuals (Hist, tagged Reported/Derived/Estimated/Not disclosed + best estimate + source), Q3'26-Q4'30 forecast, FY roll-ups AI:AO.</t>
  </si>
  <si>
    <t xml:space="preserve">Scenario: Inputs!D4 (1 Bull / 2 Base / 3 Bear). Blue = input; orange = placeholder; yellow = estimated/consensus; black = formula.</t>
  </si>
  <si>
    <t xml:space="preserve">Flow: Inputs -&gt; Sites (contracted / energized [Capacity file] / mgmt-connected; MWSel; BillLag; PUE basis) -&gt; Pricing -&gt; Contracts (tranches, power ceiling, Q4 bridge) -&gt; Revenue (3 books) -&gt; Capex_DA (vintage cohorts, PISLag, impairment, cap. interest, dep-yield) -&gt; Financing -&gt; PnL -&gt; CashFlow -&gt; Shares -&gt; Valuation (DCF, dilution solve, EV bridge, EV/MW) -&gt; KPIs / Outputs / Sensitivity / Checks.</t>
  </si>
  <si>
    <t xml:space="preserve">Circularity: no Excel iterative calc needed. Valuation solves value/share by 15 unrolled fixed-point steps; DilPxMode 1 = SharePx for quarterly dilution.</t>
  </si>
  <si>
    <t xml:space="preserve">Converts: DilMethod 1 if-converted all / 2 ITM only (default; step dilution at conversion prices) / 3 net-share. Converted principal is removed from debt (Checks row 1).</t>
  </si>
  <si>
    <t xml:space="preserve">Static snapshot tables on Outputs / Sensitivity / Valuation memo rows / Checks (bull 3x, scenario-invariance) come from LibreOffice recalcs in snap.py; re-run snap.py after changing inputs.</t>
  </si>
  <si>
    <t xml:space="preserve">EV bridge v0.1 -&gt; v0.3 -&gt; v0.4 (STATIC, filled by snap.py)</t>
  </si>
  <si>
    <t xml:space="preserve">Base scenario. Each row = cumulative settings recomputed in the CURRENT model (bug fixes such as the renewal-formula bracket and scenario-invariant history are in every row). $B and $/share are FD value/share.</t>
  </si>
  <si>
    <t xml:space="preserve">Step</t>
  </si>
  <si>
    <t xml:space="preserve">DCF EV $B</t>
  </si>
  <si>
    <t xml:space="preserve">Change $B</t>
  </si>
  <si>
    <t xml:space="preserve">FD $/share</t>
  </si>
  <si>
    <t xml:space="preserve">Change $/sh</t>
  </si>
  <si>
    <t xml:space="preserve">12m PT $</t>
  </si>
  <si>
    <t xml:space="preserve">FY26 rev $M</t>
  </si>
  <si>
    <t xml:space="preserve">FY27 rev $M</t>
  </si>
  <si>
    <t xml:space="preserve">FY28 rev $M</t>
  </si>
  <si>
    <t xml:space="preserve">FY27 EBITDA $M</t>
  </si>
  <si>
    <t xml:space="preserve">YE27 liquidity $M</t>
  </si>
  <si>
    <t xml:space="preserve">First neg. qtr</t>
  </si>
  <si>
    <t xml:space="preserve">v0.1 (as reported)</t>
  </si>
  <si>
    <t xml:space="preserve">Q4'27</t>
  </si>
  <si>
    <t xml:space="preserve">+ fleet ratio forecast-only / capex on driver MW (FixMgmt)</t>
  </si>
  <si>
    <t xml:space="preserve">+ terminal on Q4'30 exit incl. Q1'31 MW (include both)</t>
  </si>
  <si>
    <t xml:space="preserve">+ TV run-off floor</t>
  </si>
  <si>
    <t xml:space="preserve">+ owned-site O&amp;M</t>
  </si>
  <si>
    <t xml:space="preserve">+ H2'26 repricing (= v0.2)</t>
  </si>
  <si>
    <t xml:space="preserve">+ exclude both Q4'30 spend &amp; Q1'31 MW</t>
  </si>
  <si>
    <t xml:space="preserve">+ GPU capex lead 3 qtrs (= v0.3)</t>
  </si>
  <si>
    <t xml:space="preserve">Q2'27</t>
  </si>
  <si>
    <t xml:space="preserve">+ split capex lead: shell/power 3, GPUs 2 qtrs</t>
  </si>
  <si>
    <t xml:space="preserve">Q3'27</t>
  </si>
  <si>
    <t xml:space="preserve">+ price path: post-Rubin cut 22% + -6%/yr from year 2</t>
  </si>
  <si>
    <t xml:space="preserve">+ Rubin premium at per-MW parity (1.56x GB300)</t>
  </si>
  <si>
    <t xml:space="preserve">+ CLT1 rent $2.2M/IT MW-yr</t>
  </si>
  <si>
    <t xml:space="preserve">+ terminal g from fundamentals</t>
  </si>
  <si>
    <t xml:space="preserve">+ new-deal pricing: 2027+ MW at $22M multi-year + 10% short-term $45M</t>
  </si>
  <si>
    <t xml:space="preserve">+ prepayments on new-build capex only (38.5%)</t>
  </si>
  <si>
    <t xml:space="preserve">+ GPU history anchor ~30k at 3/31/25 (= v0.4)</t>
  </si>
  <si>
    <t xml:space="preserve">+ closing deferred revenue run-off deducted from EV (cash double-count fix)</t>
  </si>
  <si>
    <t xml:space="preserve">+ prepayments by customer: signed MSFT/Meta 0% new, new hyperscaler 30%</t>
  </si>
  <si>
    <t xml:space="preserve">+ prepayment decay: other deals 38.5% -&gt; 22.5% for 2028+ signings</t>
  </si>
  <si>
    <t xml:space="preserve">+ DR release on Reported 6/30 split; new prepayments straight-line 4 yrs</t>
  </si>
  <si>
    <t xml:space="preserve">+ short-term = 5% of TOTAL active MW at $45M x 85% occupancy (= v0.5)</t>
  </si>
  <si>
    <t xml:space="preserve">+ new-deal $/MW path fix: flat nominal within generation to 2028, then -3%/yr (no per-chip ageing)</t>
  </si>
  <si>
    <t xml:space="preserve">+ Rubin new-deal pricing 1.2x GB300 per GPU-hr (generation step-down -22% $/MW)</t>
  </si>
  <si>
    <t xml:space="preserve">+ stake values per Filings Note 5; Avride $0 in base (= v0.6)</t>
  </si>
  <si>
    <t xml:space="preserve">+ $775M asset-backed facility $0 drawn (undisclosed)</t>
  </si>
  <si>
    <t xml:space="preserve">+ existing converts OTM at solved price as debt at ORIGINAL principal ($13.4B) not accreted</t>
  </si>
  <si>
    <t xml:space="preserve">+ Rubin revenue direct $18M/IT MW (no IT/gross toggle); short-term $45M tranche GB300-only</t>
  </si>
  <si>
    <t xml:space="preserve">+ Rubin capex $41M leased / $56M owned (was $32M / $43M)</t>
  </si>
  <si>
    <t xml:space="preserve">+ Avride double-count rule (base: Avride $0, burn kept - no change)</t>
  </si>
  <si>
    <t xml:space="preserve">+ 2027 funding plan: ATM 12.27M sh + 2 x $6.4B converts; post-funding per-share (= v0.7)</t>
  </si>
  <si>
    <t xml:space="preserve">Q1'28</t>
  </si>
  <si>
    <t xml:space="preserve">Horizon per-share values (FD value/share rolled at Ke; excludes future funding dilution - see Funding tab)</t>
  </si>
  <si>
    <t xml:space="preserve">Today</t>
  </si>
  <si>
    <t xml:space="preserve">6-month</t>
  </si>
  <si>
    <t xml:space="preserve">12-month PT</t>
  </si>
  <si>
    <t xml:space="preserve">3-year</t>
  </si>
  <si>
    <t xml:space="preserve">Base (live)</t>
  </si>
  <si>
    <t xml:space="preserve">Bull</t>
  </si>
  <si>
    <t xml:space="preserve">Bear</t>
  </si>
  <si>
    <t xml:space="preserve">New-MW pricing vs IREN &gt;$20M/IT MW-yr ($M per IT MW-yr). GB300 GPU-hour engine (legacy fleet) at Oct-1 list x RealRes x Util_Res; new 2027+ MW at new-deal blend (col G)</t>
  </si>
  <si>
    <t xml:space="preserve">GB300 gross</t>
  </si>
  <si>
    <t xml:space="preserve">net leased (-$2.2M rent)</t>
  </si>
  <si>
    <t xml:space="preserve">net owned (-O&amp;M)</t>
  </si>
  <si>
    <t xml:space="preserve">Rubin gross</t>
  </si>
  <si>
    <t xml:space="preserve">IREN gross / leased / owned</t>
  </si>
  <si>
    <t xml:space="preserve">New-deal blend gross</t>
  </si>
  <si>
    <t xml:space="preserve">20.0 / 17.8 / 19.25</t>
  </si>
  <si>
    <t xml:space="preserve">v0.5 BASE RANGE: 12m PT ($/share) by short-term share (of TOTAL active MW) x new-deal $/MW basis, with / without prepayment decay (STATIC). Green = base; yellow = supported tests; orange = gross-MW basis (alternative reading of slide); red = equity floored at 0</t>
  </si>
  <si>
    <t xml:space="preserve">Prepayment decay ON (base)</t>
  </si>
  <si>
    <t xml:space="preserve">ST share 0% (floor)</t>
  </si>
  <si>
    <t xml:space="preserve">ST share 2%</t>
  </si>
  <si>
    <t xml:space="preserve">ST share 5%</t>
  </si>
  <si>
    <t xml:space="preserve">ST share 10%</t>
  </si>
  <si>
    <t xml:space="preserve">IT basis $22M/IT MW</t>
  </si>
  <si>
    <t xml:space="preserve">Gross-MW basis = $26.4M/IT MW</t>
  </si>
  <si>
    <t xml:space="preserve">  EV $B / YE27 liq $B / 1st neg - IT</t>
  </si>
  <si>
    <t xml:space="preserve">-3.3 / 1.9 / Q1'28</t>
  </si>
  <si>
    <t xml:space="preserve">-2.1 / 2.0 / Q1'28</t>
  </si>
  <si>
    <t xml:space="preserve">-0.2 / 2.1 / Q1'28</t>
  </si>
  <si>
    <t xml:space="preserve">2.9 / 2.2 / Q1'28</t>
  </si>
  <si>
    <t xml:space="preserve">  EV $B / YE27 liq $B / 1st neg - gross</t>
  </si>
  <si>
    <t xml:space="preserve">0.1 / 2.3 / Q1'28</t>
  </si>
  <si>
    <t xml:space="preserve">1.0 / 2.4 / Q1'28</t>
  </si>
  <si>
    <t xml:space="preserve">2.3 / 2.4 / Q1'28</t>
  </si>
  <si>
    <t xml:space="preserve">4.6 / 2.5 / Q1'28</t>
  </si>
  <si>
    <t xml:space="preserve">Prepayment decay OFF (other deals 38.5% flat)</t>
  </si>
  <si>
    <t xml:space="preserve">-1.5 / 1.9 / Q1'28</t>
  </si>
  <si>
    <t xml:space="preserve">-0.3 / 2.0 / Q1'28</t>
  </si>
  <si>
    <t xml:space="preserve">1.6 / 2.1 / Q1'28</t>
  </si>
  <si>
    <t xml:space="preserve">4.7 / 2.2 / Q1'28</t>
  </si>
  <si>
    <t xml:space="preserve">1.8 / 2.3 / Q1'28</t>
  </si>
  <si>
    <t xml:space="preserve">2.7 / 2.4 / Q1'28</t>
  </si>
  <si>
    <t xml:space="preserve">4.1 / 2.4 / Q1'28</t>
  </si>
  <si>
    <t xml:space="preserve">6.4 / 2.5 / Q1'28</t>
  </si>
  <si>
    <t xml:space="preserve">Payback check, new-deal price cases, EBITDA per IT MW by generation, and asset floor (live formulas). Inputs blue.</t>
  </si>
  <si>
    <t xml:space="preserve">Leased GB300 capex per IT MW ($M; GPU + network + storage, no shell)</t>
  </si>
  <si>
    <t xml:space="preserve">Capacity gpu_mw_capex.xlsx colo base (~$41M)</t>
  </si>
  <si>
    <t xml:space="preserve">Leased Vera Rubin capex per IT MW ($M) - base (LOW-MEDIUM confidence)</t>
  </si>
  <si>
    <t xml:space="preserve">v0.7: flat to GB300 (SemiAnalysis TCO; Capacity at MS rack cost $42-48M); bull 41, bear 48.5, outer bull 32 (soft)</t>
  </si>
  <si>
    <t xml:space="preserve">Owned GB300 capex per IT MW ($M, incl. shell/power)</t>
  </si>
  <si>
    <t xml:space="preserve">Capacity owned base 53 (range 43-70)</t>
  </si>
  <si>
    <t xml:space="preserve">Owned Vera Rubin capex per IT MW ($M)</t>
  </si>
  <si>
    <t xml:space="preserve">v0.7: $53-59M (base 56); was 43</t>
  </si>
  <si>
    <t xml:space="preserve">Opex per IT MW-yr (rent $2.0-2.5M + power + ops), fixed across generations</t>
  </si>
  <si>
    <t xml:space="preserve">Range $4-5M; does NOT fall at the Rubin switch</t>
  </si>
  <si>
    <t xml:space="preserve">Management payback target (months)</t>
  </si>
  <si>
    <t xml:space="preserve">Q2'26 letter: 1 year 10 months, prepayments excluded (footnote basis)</t>
  </si>
  <si>
    <t xml:space="preserve">Asset life for unlevered IRR (yrs; capex at t0, flat EBITDA, no residual, pre-tax)</t>
  </si>
  <si>
    <t xml:space="preserve">GPU life 5 yrs (model base)</t>
  </si>
  <si>
    <t xml:space="preserve">A) New-deal price cases - $/IT MW-yr next to implied $/GPU-hr. GB300: one linked input (ND_Px x 491 x 8,760 x ND_Occ), IT vs gross toggle. RUBIN: direct $/IT MW-yr (no IT/gross toggle)</t>
  </si>
  <si>
    <t xml:space="preserve">Case</t>
  </si>
  <si>
    <t xml:space="preserve">IT reading $M/IT MW</t>
  </si>
  <si>
    <t xml:space="preserve">IT $/GPU-hr</t>
  </si>
  <si>
    <t xml:space="preserve">Gross reading $M/IT MW</t>
  </si>
  <si>
    <t xml:space="preserve">Gross $/GPU-hr</t>
  </si>
  <si>
    <t xml:space="preserve">$/GPU-hr at 400/MW (ref only)</t>
  </si>
  <si>
    <t xml:space="preserve">GB300 NVL72 (491 GPUs/IT MW)</t>
  </si>
  <si>
    <t xml:space="preserve">Vera Rubin $16M/IT MW [bear]</t>
  </si>
  <si>
    <t xml:space="preserve">same (no toggle)</t>
  </si>
  <si>
    <t xml:space="preserve">Vera Rubin $18M/IT MW [base]</t>
  </si>
  <si>
    <t xml:space="preserve">Vera Rubin $20M/IT MW [bull]</t>
  </si>
  <si>
    <t xml:space="preserve">Vera Rubin at live RubinMW</t>
  </si>
  <si>
    <t xml:space="preserve">Benchmarks: IREN new 3-yr GB300 ~$4.65/GPU-hr (&gt;$20M/IT MW); Rubin: Anthropic-Nscale ~$16.2M/MW (6-yr, MW basis unknown); WhiteFiber-Prime Intellect 576 VR200 ~$108.2M/3 yrs = ~$7.15/GPU-hr (~$20M/IT MW if packages counted, medium). GB300 basis not disclosed by management.</t>
  </si>
  <si>
    <t xml:space="preserve">B) EBITDA per IT MW-yr by generation (opex fixed across generations; Rubin = RubinMW, no toggle)</t>
  </si>
  <si>
    <t xml:space="preserve">GB300 IT</t>
  </si>
  <si>
    <t xml:space="preserve">Rubin (RubinMW)</t>
  </si>
  <si>
    <t xml:space="preserve">Change</t>
  </si>
  <si>
    <t xml:space="preserve">Revenue per IT MW-yr</t>
  </si>
  <si>
    <t xml:space="preserve">Opex per IT MW-yr (PB_Opex)</t>
  </si>
  <si>
    <t xml:space="preserve">EBITDA per IT MW-yr</t>
  </si>
  <si>
    <t xml:space="preserve">Memo: model's own leased opex/IT MW = RentMW x PUE + power (PUE x 8,760 x PowerPx) + OM_MW</t>
  </si>
  <si>
    <t xml:space="preserve">C) PAYBACK (months) = capex / (revenue - opex) x 12; prepayments EXCLUDED unless stated. Flag = within +/-3 months of 22. IRR = unlevered pre-tax, capex at t0, flat EBITDA over PB_Life, no residual</t>
  </si>
  <si>
    <t xml:space="preserve">IT / Rubin payback</t>
  </si>
  <si>
    <t xml:space="preserve">flag</t>
  </si>
  <si>
    <t xml:space="preserve">Gross $26.4M payback</t>
  </si>
  <si>
    <t xml:space="preserve">capex $M/IT MW</t>
  </si>
  <si>
    <t xml:space="preserve">opex</t>
  </si>
  <si>
    <t xml:space="preserve">revenue IT $M</t>
  </si>
  <si>
    <t xml:space="preserve">EBITDA/IT MW (IT)</t>
  </si>
  <si>
    <t xml:space="preserve">IRR (IT)</t>
  </si>
  <si>
    <t xml:space="preserve">IRR (gross)</t>
  </si>
  <si>
    <t xml:space="preserve">Leased GB300</t>
  </si>
  <si>
    <t xml:space="preserve">Leased Vera Rubin BASE: $18M rev / $41M capex</t>
  </si>
  <si>
    <t xml:space="preserve">n/a (no toggle)</t>
  </si>
  <si>
    <t xml:space="preserve">Leased Vera Rubin BULL: $20M / $41M</t>
  </si>
  <si>
    <t xml:space="preserve">Leased Vera Rubin BEAR: $16M / $48.5M</t>
  </si>
  <si>
    <t xml:space="preserve">Leased Vera Rubin OUTER BULL (sensitivity only; $32M capex is soft): $20M / $32M</t>
  </si>
  <si>
    <t xml:space="preserve">Owned GB300 (memo, base 53)</t>
  </si>
  <si>
    <t xml:space="preserve">Owned Vera Rubin (memo, base 56) at $18M</t>
  </si>
  <si>
    <t xml:space="preserve">MODEL'S OWN: GB300-era path capex (avg PathRateIT 2027) + model opex</t>
  </si>
  <si>
    <t xml:space="preserve">MODEL'S OWN: Rubin-era path capex (avg PathRateIT 2029) + model opex, live RubinMW</t>
  </si>
  <si>
    <t xml:space="preserve">TEST: GB300 IT at $32M capex/IT MW (IT fits 22 mo only at ~$32M = 12 x 32 / (22 - 4.5))</t>
  </si>
  <si>
    <t xml:space="preserve">TEST: GB300 IT with lower opex $2M/IT MW-yr (ex-rent definition)</t>
  </si>
  <si>
    <t xml:space="preserve">TEST: GB300 IT with prepayments counted as cash (55% of capex on 70% of deals = 38.5%)</t>
  </si>
  <si>
    <t xml:space="preserve">Implied GB300 revenue/IT MW if management's 22 months INCLUDES prepayments (capex x 61.5% x 12 / 22 + opex)</t>
  </si>
  <si>
    <t xml:space="preserve">NOTE (payback test): the gross reading fits management's 22 months only if capex is accurate to within ~20% (the IT reading fits at ~$32M leased GB300 capex/IT MW = 12 x 32 / (22 - 4.5)); management's opex definition is undisclosed (lower opex shortens IT payback); and if management's payback INCLUDES prepayments it would imply revenue BELOW the IT reading (~$18.4M vs $22M). The test therefore does not discriminate between IT and gross: both rows are kept co-equal, basis not disclosed by management.</t>
  </si>
  <si>
    <t xml:space="preserve">D) ASSET FLOOR: PV of EBITDA margin on signed RPO + stakes - net debt - capex still needed for contracted MW ($M)</t>
  </si>
  <si>
    <t xml:space="preserve">RPO schedule assumption: 36% ($13.5B) evenly Jul'26-Jun'28 (Q2'26 Note 2); remainder 64% spread evenly Jul'28-Jun'31 (12 qtrs; ~avg remaining tenor: Microsoft 5-yr from late 2025, Meta #2 5-yr from 2027 - assumption). Margin = model adj. EBITDA margin by quarter (FY30 margin after 2030); pre-tax; discounted at WACC from ValDate.</t>
  </si>
  <si>
    <t xml:space="preserve">RPO total ($M)</t>
  </si>
  <si>
    <t xml:space="preserve">PV of margin - window Jul'26-Jun'28</t>
  </si>
  <si>
    <t xml:space="preserve">PV of margin - remainder, Jul'28-Dec'30 (10 qtrs in horizon)</t>
  </si>
  <si>
    <t xml:space="preserve">PV of margin - remainder, Q1-Q2'31 at FY30 margin</t>
  </si>
  <si>
    <t xml:space="preserve">PV of margin on signed RPO (pre-tax)</t>
  </si>
  <si>
    <t xml:space="preserve">  memo: after tax at TaxRate (no D&amp;A shield)</t>
  </si>
  <si>
    <t xml:space="preserve">Contracted MW not yet delivered at 6/30 (Microsoft T5-T9 + Meta; backstop &amp; TBD excluded)</t>
  </si>
  <si>
    <t xml:space="preserve">Capex still needed for contracted MW (Microsoft/Vineland owned GB300 PB_CapOwnGB; Meta by gen: Rubin PB_CapRubin, Blackwell PB_CapGB) - gross, CIP already spent NOT netted (conservative)</t>
  </si>
  <si>
    <t xml:space="preserve">Operating asset floor (EV-equivalent) = PV margin - capex needed</t>
  </si>
  <si>
    <t xml:space="preserve">Net debt at the conservative floor price (secured + converts OTM at that price at principal - cash; Q3'26)</t>
  </si>
  <si>
    <t xml:space="preserve">Stakes - conservative (carrying values, Note 5: ClickHouse 1,517.7 + Toloka 86.5 + VC 13.8 + other 2.5; Avride $0)</t>
  </si>
  <si>
    <t xml:space="preserve">Stakes - mark (ClickHouse $4.2B est., Toloka FV 130.6, VC/other 16.3, Avride $0)</t>
  </si>
  <si>
    <t xml:space="preserve">Stakes - high (mark + Avride $2.75B Caplight, LOW confidence) + PV of Avride burn added back (credit value AND remove burn - v0.7 double-count fix)</t>
  </si>
  <si>
    <t xml:space="preserve">Equity floor - conservative (at solved floor price)</t>
  </si>
  <si>
    <t xml:space="preserve">Equity floor - mark</t>
  </si>
  <si>
    <t xml:space="preserve">Equity floor - high</t>
  </si>
  <si>
    <t xml:space="preserve">Equity floor per FD share - conservative / mark / high ($): solved jointly with price-dependent convert count (cols C-D; iteration in cols H-J)</t>
  </si>
  <si>
    <t xml:space="preserve">&lt;- convert shares at conservative floor price (M)</t>
  </si>
  <si>
    <t xml:space="preserve">Base DCF EV (live)</t>
  </si>
  <si>
    <t xml:space="preserve">FLAG: DCF EV vs operating asset floor</t>
  </si>
  <si>
    <t xml:space="preserve">Floor price iteration</t>
  </si>
  <si>
    <t xml:space="preserve">cons</t>
  </si>
  <si>
    <t xml:space="preserve">mark</t>
  </si>
  <si>
    <t xml:space="preserve">high</t>
  </si>
  <si>
    <t xml:space="preserve">LEGACY v0.4 parametric funding illustration (v0.7 plan is wired in Inputs FP_*, CashFlow, Valuation POST-FUNDING block) - ESTIMATED (illustrative; DCF value/share already reflects capex; dilution arises only from issuing equity/converts vs model value)</t>
  </si>
  <si>
    <t xml:space="preserve">Gap</t>
  </si>
  <si>
    <t xml:space="preserve">Minimum liquidity Q3'26-Q4'27 (no plug)</t>
  </si>
  <si>
    <t xml:space="preserve">Minimum liquidity Q3'26-Q4'28 (no plug)</t>
  </si>
  <si>
    <t xml:space="preserve">Funding need through FY27 = MinCash - min liquidity</t>
  </si>
  <si>
    <t xml:space="preserve">Funding need through FY28</t>
  </si>
  <si>
    <t xml:space="preserve">Plan target (1 = through FY27, 2 = through FY28)</t>
  </si>
  <si>
    <t xml:space="preserve">Plan target ($M)</t>
  </si>
  <si>
    <t xml:space="preserve">Model FD value/share (V_PS) and implied FD shares (M)</t>
  </si>
  <si>
    <t xml:space="preserve">  FD shares at value (M) = V_EQ / V_PS</t>
  </si>
  <si>
    <t xml:space="preserve">Source inputs (Estimated)</t>
  </si>
  <si>
    <t xml:space="preserve">ATM: shares remaining (M)</t>
  </si>
  <si>
    <t xml:space="preserve">ATM: issue price = SharePx x (1 - discount/fees)</t>
  </si>
  <si>
    <t xml:space="preserve">  ATM discount + fees</t>
  </si>
  <si>
    <t xml:space="preserve">Customer prepayments: incremental beyond PrepayPct ($M)</t>
  </si>
  <si>
    <t xml:space="preserve">Q2 letter: &gt;$9B prepayments in 2026; 70% of deals, 50-60% of capex</t>
  </si>
  <si>
    <t xml:space="preserve">  Prepayment price concession (% of amount, PV cost)</t>
  </si>
  <si>
    <t xml:space="preserve">ABS / GPU-backed debt: LTV on GPU net book value at Q2'27</t>
  </si>
  <si>
    <t xml:space="preserve">  GPU net book value at Q2'27 ($M)</t>
  </si>
  <si>
    <t xml:space="preserve">  ABS capacity ($M) = LTV x GPU NBV, capped</t>
  </si>
  <si>
    <t xml:space="preserve">  ABS cap ($M)</t>
  </si>
  <si>
    <t xml:space="preserve">  ABS interest rate</t>
  </si>
  <si>
    <t xml:space="preserve">memo: cost in WACC; no share dilution</t>
  </si>
  <si>
    <t xml:space="preserve">New converts: amount ($M)</t>
  </si>
  <si>
    <t xml:space="preserve">  Conversion premium</t>
  </si>
  <si>
    <t xml:space="preserve">  Conversion price</t>
  </si>
  <si>
    <t xml:space="preserve">Per-source effect if used ALONE at full size (value/share = (V_EQ + equity-like proceeds) / (shares + new shares))</t>
  </si>
  <si>
    <t xml:space="preserve">Proceeds $M</t>
  </si>
  <si>
    <t xml:space="preserve">New shares M</t>
  </si>
  <si>
    <t xml:space="preserve">Value/share $</t>
  </si>
  <si>
    <t xml:space="preserve">Dilution %</t>
  </si>
  <si>
    <t xml:space="preserve">ATM (all 12.27M sh)</t>
  </si>
  <si>
    <t xml:space="preserve">Customer prepayments</t>
  </si>
  <si>
    <t xml:space="preserve">ABS / GPU-backed debt</t>
  </si>
  <si>
    <t xml:space="preserve">New converts (if converted when value &gt; conv. price)</t>
  </si>
  <si>
    <t xml:space="preserve">Combined plan to fill the target: order prepayments -&gt; ATM -&gt; ABS -&gt; converts</t>
  </si>
  <si>
    <t xml:space="preserve">Prepayments used</t>
  </si>
  <si>
    <t xml:space="preserve">ATM used ($M)</t>
  </si>
  <si>
    <t xml:space="preserve">ABS used</t>
  </si>
  <si>
    <t xml:space="preserve">Converts used</t>
  </si>
  <si>
    <t xml:space="preserve">Unfunded remainder (needs equity plug / more sources)</t>
  </si>
  <si>
    <t xml:space="preserve">New shares: ATM + converts (if converted)</t>
  </si>
  <si>
    <t xml:space="preserve">Combined value/share</t>
  </si>
  <si>
    <t xml:space="preserve">Change vs model value/share ($)</t>
  </si>
  <si>
    <t xml:space="preserve">Dilution (% of FD shares)</t>
  </si>
  <si>
    <t xml:space="preserve">Memo: ABS annual interest ($M)</t>
  </si>
  <si>
    <t xml:space="preserve">Outputs - key metrics at valuation-date horizons</t>
  </si>
  <si>
    <t xml:space="preserve">Horizon quarter = last quarter end on/before EDATE(ValDate, months). LTM = 4 quarters ending at horizon. Per-share value rolled forward at Ke.</t>
  </si>
  <si>
    <t xml:space="preserve">Metric</t>
  </si>
  <si>
    <t xml:space="preserve">Valuation qtr</t>
  </si>
  <si>
    <t xml:space="preserve">+6 months</t>
  </si>
  <si>
    <t xml:space="preserve">+1 year</t>
  </si>
  <si>
    <t xml:space="preserve">+3 years</t>
  </si>
  <si>
    <t xml:space="preserve">Quarter index</t>
  </si>
  <si>
    <t xml:space="preserve">Quarter</t>
  </si>
  <si>
    <t xml:space="preserve">Months from ValDate</t>
  </si>
  <si>
    <t xml:space="preserve">Revenue - quarter ($M)</t>
  </si>
  <si>
    <t xml:space="preserve">Revenue - LTM ($M)</t>
  </si>
  <si>
    <t xml:space="preserve">Adj. EBITDA - quarter ($M)</t>
  </si>
  <si>
    <t xml:space="preserve">Adj. EBITDA - LTM ($M)</t>
  </si>
  <si>
    <t xml:space="preserve">EBIT - LTM ($M)</t>
  </si>
  <si>
    <t xml:space="preserve">Free cash flow - LTM ($M)</t>
  </si>
  <si>
    <t xml:space="preserve">Net debt ($M, model)</t>
  </si>
  <si>
    <t xml:space="preserve">Diluted shares (M, at DilPx)</t>
  </si>
  <si>
    <t xml:space="preserve">Active IT MW</t>
  </si>
  <si>
    <t xml:space="preserve">Energized IT MW (Capacity)</t>
  </si>
  <si>
    <t xml:space="preserve">Implied value per share - FD, rolled at Ke ($)</t>
  </si>
  <si>
    <t xml:space="preserve">Implied value per share - 308.69M-style basic ($)</t>
  </si>
  <si>
    <t xml:space="preserve">Valuation summary</t>
  </si>
  <si>
    <t xml:space="preserve">Market EV at SharePx ($M)</t>
  </si>
  <si>
    <t xml:space="preserve">FD value / share at solved price ($)</t>
  </si>
  <si>
    <t xml:space="preserve">Upside vs SharePx</t>
  </si>
  <si>
    <t xml:space="preserve">Share price ($)</t>
  </si>
  <si>
    <t xml:space="preserve">Off-B/S weight used</t>
  </si>
  <si>
    <t xml:space="preserve">Model vs consensus (Skeptic, Oct 2 2026)</t>
  </si>
  <si>
    <t xml:space="preserve">FY2026</t>
  </si>
  <si>
    <t xml:space="preserve">FY2027</t>
  </si>
  <si>
    <t xml:space="preserve">FY2028</t>
  </si>
  <si>
    <t xml:space="preserve">Revenue - model</t>
  </si>
  <si>
    <t xml:space="preserve">Revenue - consensus</t>
  </si>
  <si>
    <t xml:space="preserve">Revenue - model / consensus - 1</t>
  </si>
  <si>
    <t xml:space="preserve">Adj. EBITDA - model</t>
  </si>
  <si>
    <t xml:space="preserve">Adj. EBITDA - consensus</t>
  </si>
  <si>
    <t xml:space="preserve">Adj. EBITDA - model / consensus - 1</t>
  </si>
  <si>
    <t xml:space="preserve">Capex - model</t>
  </si>
  <si>
    <t xml:space="preserve">Capex - consensus</t>
  </si>
  <si>
    <t xml:space="preserve">Capex - model / consensus - 1</t>
  </si>
  <si>
    <t xml:space="preserve">MW sources at YE26 / YE27 (IT MW)</t>
  </si>
  <si>
    <t xml:space="preserve">Q4'26</t>
  </si>
  <si>
    <t xml:space="preserve">Energized - Capacity, IT-normalized (YE27 ~950 IT = PLACEHOLDER pending Capacity's Tue basis column; named 185/305/424 &amp; 764/1,069/1,374 mixed basis + unseen)</t>
  </si>
  <si>
    <t xml:space="preserve">Mgmt connected guide (800MW-1GW YE26; 1.8 GW YE27)</t>
  </si>
  <si>
    <t xml:space="preserve">Contracted</t>
  </si>
  <si>
    <t xml:space="preserve">Active MW driving revenue</t>
  </si>
  <si>
    <t xml:space="preserve">Comparison vs Skeptic v2 (model columns for low/high/stress are STATIC snapshots written by snap.py)</t>
  </si>
  <si>
    <t xml:space="preserve">Model</t>
  </si>
  <si>
    <t xml:space="preserve">Skeptic v2</t>
  </si>
  <si>
    <t xml:space="preserve">Model / Sk - 1</t>
  </si>
  <si>
    <t xml:space="preserve">FY27 revenue - low (model: bear)</t>
  </si>
  <si>
    <t xml:space="preserve">FY27 revenue - base (1-qtr lag)</t>
  </si>
  <si>
    <t xml:space="preserve">FY27 revenue - high (model: bull)</t>
  </si>
  <si>
    <t xml:space="preserve">FY27 revenue - STRESS (2-qtr energized lag)</t>
  </si>
  <si>
    <t xml:space="preserve">FY28 revenue - base</t>
  </si>
  <si>
    <t xml:space="preserve">Market EV / FY27 adj. EBITDA - Nebius</t>
  </si>
  <si>
    <t xml:space="preserve">EV / FY27 EBITDA - CoreWeave (Skeptic)</t>
  </si>
  <si>
    <t xml:space="preserve">Funding runway (CashFlow tab)</t>
  </si>
  <si>
    <t xml:space="preserve">Starting liquidity ($M)</t>
  </si>
  <si>
    <t xml:space="preserve">First quarter liquidity &lt; 0 (Skeptic rerun: Q2'27)</t>
  </si>
  <si>
    <t xml:space="preserve">Liquidity Q1'27 / Q2'27 / YE27 ($B)</t>
  </si>
  <si>
    <t xml:space="preserve">Funding runway: capex toggle side by side (STATIC, snap.py)</t>
  </si>
  <si>
    <t xml:space="preserve">Path-consistent (CapexMode 2, method 3)</t>
  </si>
  <si>
    <t xml:space="preserve">Consensus (CapexMode 1)</t>
  </si>
  <si>
    <t xml:space="preserve">Q2'28</t>
  </si>
  <si>
    <t xml:space="preserve">YE27 liquidity ($M)</t>
  </si>
  <si>
    <t xml:space="preserve">FY27 capex ($M)</t>
  </si>
  <si>
    <t xml:space="preserve">Price-cycle leg alone (Blackwell cut after Rubin; 50% reserved renewal in FY27; base MW path) vs base, STATIC ($M)</t>
  </si>
  <si>
    <t xml:space="preserve">FY27 revenue</t>
  </si>
  <si>
    <t xml:space="preserve">FY27 adj. EBITDA</t>
  </si>
  <si>
    <t xml:space="preserve">FY28 revenue</t>
  </si>
  <si>
    <t xml:space="preserve">FY28 adj. EBITDA</t>
  </si>
  <si>
    <t xml:space="preserve">Skeptic 03 v3.4 FY27 rev</t>
  </si>
  <si>
    <t xml:space="preserve">Skeptic 03 v3.4 FY28 rev</t>
  </si>
  <si>
    <t xml:space="preserve">Price-cycle leg, BULL cut 6.25% (base MW path, 50% renewal FY27)</t>
  </si>
  <si>
    <t xml:space="preserve">Price-cycle leg, BASE cut 22% (base MW path, 50% renewal FY27)</t>
  </si>
  <si>
    <t xml:space="preserve">Price-cycle leg, BEAR cut 31% (base MW path, 50% renewal FY27)</t>
  </si>
  <si>
    <t xml:space="preserve">Comparison vs Skeptic v3.2 (skeptic_03_depreciation.xlsx). NOTE: Skeptic's path run uses CONSENSUS EBITDA; ours is bottom-up. Model values STATIC from snap.py</t>
  </si>
  <si>
    <t xml:space="preserve">Model zero qtr</t>
  </si>
  <si>
    <t xml:space="preserve">Skeptic zero qtr</t>
  </si>
  <si>
    <t xml:space="preserve">Model YE27 ($B)</t>
  </si>
  <si>
    <t xml:space="preserve">Skeptic YE27 ($B)</t>
  </si>
  <si>
    <t xml:space="preserve">Model YE28 ($B)</t>
  </si>
  <si>
    <t xml:space="preserve">Skeptic YE28 ($B)</t>
  </si>
  <si>
    <t xml:space="preserve">Path-tied capex - base</t>
  </si>
  <si>
    <t xml:space="preserve">Low (model: bear scenario)</t>
  </si>
  <si>
    <t xml:space="preserve">High (model: bull scenario)</t>
  </si>
  <si>
    <t xml:space="preserve">Consensus capex</t>
  </si>
  <si>
    <t xml:space="preserve">DCF EV at GPU life ($B): model vs Skeptic v3.2 (market EV ~$74.7B)</t>
  </si>
  <si>
    <t xml:space="preserve">4 yrs</t>
  </si>
  <si>
    <t xml:space="preserve">5 yrs</t>
  </si>
  <si>
    <t xml:space="preserve">6 yrs</t>
  </si>
  <si>
    <t xml:space="preserve">Model DCF EV</t>
  </si>
  <si>
    <t xml:space="preserve">Skeptic v3.2 DCF EV</t>
  </si>
  <si>
    <t xml:space="preserve">Market EV</t>
  </si>
  <si>
    <t xml:space="preserve">v0.3 -&gt; v0.4 by scenario (full bridge on Bridge tab), STATIC</t>
  </si>
  <si>
    <t xml:space="preserve">DCF EV $M</t>
  </si>
  <si>
    <t xml:space="preserve">FD equity $M</t>
  </si>
  <si>
    <t xml:space="preserve">12m PT</t>
  </si>
  <si>
    <t xml:space="preserve">Q2'26 util</t>
  </si>
  <si>
    <t xml:space="preserve">FY27 rev</t>
  </si>
  <si>
    <t xml:space="preserve">FY27 EBITDA</t>
  </si>
  <si>
    <t xml:space="preserve">BRIDGE + GPU capex lead 3 qtrs (= v0.3)</t>
  </si>
  <si>
    <t xml:space="preserve">BULL - v0.3 settings</t>
  </si>
  <si>
    <t xml:space="preserve">BEAR - v0.3 settings</t>
  </si>
  <si>
    <t xml:space="preserve">MEMO: include-both terminal (TermBase=1)</t>
  </si>
  <si>
    <t xml:space="preserve">Base w/ mgmt connected guide MW (MWSel=3)</t>
  </si>
  <si>
    <t xml:space="preserve">Checks</t>
  </si>
  <si>
    <t xml:space="preserve">Check</t>
  </si>
  <si>
    <t xml:space="preserve">Target / tolerance</t>
  </si>
  <si>
    <t xml:space="preserve">Status</t>
  </si>
  <si>
    <t xml:space="preserve">Note</t>
  </si>
  <si>
    <t xml:space="preserve">CRITICAL: convert counted in BOTH shares and debt (solved price, chosen weight)</t>
  </si>
  <si>
    <t xml:space="preserve">If-converted + debt-counted must equal total (CVDebtBasis: 1 original principal, 2 accreted); net-share (3) keeps principal as debt by design</t>
  </si>
  <si>
    <t xml:space="preserve">CRITICAL: same at SharePx (market EV)</t>
  </si>
  <si>
    <t xml:space="preserve">Economic basic shares at Q3'26 (M) = 271.86 + 15.77 + 21.07</t>
  </si>
  <si>
    <t xml:space="preserve">Fully diluted at $242.81 EXCL. unsold ATM vs Filings CapStructure</t>
  </si>
  <si>
    <t xml:space="preserve">nebius_filings.xlsx CapStructure</t>
  </si>
  <si>
    <t xml:space="preserve">Fully diluted at $242.81 INCL. 12.27M ATM vs Filings</t>
  </si>
  <si>
    <t xml:space="preserve">ATM is a funding source, not in today's count</t>
  </si>
  <si>
    <t xml:space="preserve">ITM convert shares at $242.81 (six ITM)</t>
  </si>
  <si>
    <t xml:space="preserve">Steps at $324.65 / $313.46 / $183.22 / $180.31 / $138.75 / $51.45</t>
  </si>
  <si>
    <t xml:space="preserve">ITM convert principal at $242.81 ($M orig.)</t>
  </si>
  <si>
    <t xml:space="preserve">Market EV at $242.81 ($M), CapStructure basis vs Filings ~74.7B</t>
  </si>
  <si>
    <t xml:space="preserve">6/30 balance + Aug notes + exchange; unrestricted cash only</t>
  </si>
  <si>
    <t xml:space="preserve">Dilution solve convergence |P15-P14|</t>
  </si>
  <si>
    <t xml:space="preserve">Microsoft implied TCV vs reported ($M)</t>
  </si>
  <si>
    <t xml:space="preserve">Quarters (pre-Bloom) Microsoft revenue exceeds ~$350M/qtr genset ceiling</t>
  </si>
  <si>
    <t xml:space="preserve">Q4 bridge: unseen MW vs Skeptic/Capacity 83-200 MW</t>
  </si>
  <si>
    <t xml:space="preserve">History capex split = reported (sum abs diff)</t>
  </si>
  <si>
    <t xml:space="preserve">Q2'26 book (a) share vs GPU Market 45% (40-46%)</t>
  </si>
  <si>
    <t xml:space="preserve">Q2'26 book (b) share vs ~50% (44-57%)</t>
  </si>
  <si>
    <t xml:space="preserve">Q2'26 book (c) share vs ~4% (1.3-9%)</t>
  </si>
  <si>
    <t xml:space="preserve">Depreciation-yield flags (drop after chip availability)</t>
  </si>
  <si>
    <t xml:space="preserve">Material weakness over depreciation start dates</t>
  </si>
  <si>
    <t xml:space="preserve">Q3'26 transfer into service</t>
  </si>
  <si>
    <t xml:space="preserve">Sites: named-site energized imports tie to Capacity file COMPANY row (sum abs diff)</t>
  </si>
  <si>
    <t xml:space="preserve">Q2'26 tie: model AI cloud revenue vs actual $574.9M</t>
  </si>
  <si>
    <t xml:space="preserve">Utilization calibrated</t>
  </si>
  <si>
    <t xml:space="preserve">Implied Q2'26 utilization (books b+c)</t>
  </si>
  <si>
    <t xml:space="preserve">40-100%</t>
  </si>
  <si>
    <t xml:space="preserve">Flag (not forced) if outside 40-100%</t>
  </si>
  <si>
    <t xml:space="preserve">(a) Q2'26 revenue per GPU-hour of capacity (annualized AI rev / GPUs / 8,760)</t>
  </si>
  <si>
    <t xml:space="preserve">+/-10% (GPU Market, Derived)</t>
  </si>
  <si>
    <t xml:space="preserve">(b) Q2'26 annualized AI rev per $ avg gross servers in service</t>
  </si>
  <si>
    <t xml:space="preserve">Filings, Derived</t>
  </si>
  <si>
    <t xml:space="preserve">(b3) Capacity server ceiling: Q2'26 GPUs x $45-60k (high end) vs $5.2B servers in service</t>
  </si>
  <si>
    <t xml:space="preserve">Capacity, Estimated</t>
  </si>
  <si>
    <t xml:space="preserve">(b2) Modeled in-service GPU cost at 6/30 (GPUs x $/GPU) vs $5.2B servers</t>
  </si>
  <si>
    <t xml:space="preserve">(c) Q2'26 revenue per energized MW ($M/yr)</t>
  </si>
  <si>
    <t xml:space="preserve">~$13M (2.30B / ~173 MW)</t>
  </si>
  <si>
    <t xml:space="preserve">Q2'26 contract (book a) IT MW as share of energized MW</t>
  </si>
  <si>
    <t xml:space="preserve">info</t>
  </si>
  <si>
    <t xml:space="preserve">Microsoft GPU use capped at Vineland energized IT MW (39 MW Q2'26) + Meta #1 48 MW (TCV/ACV-derived) vs 173 MW energized; v0.1 fix took Q2'26 utilization from 133% to ~92%</t>
  </si>
  <si>
    <t xml:space="preserve">Q2'26 energized MW (Capacity base, IT)</t>
  </si>
  <si>
    <t xml:space="preserve">Q2'26 GPUs: model (Capacity 'GPUs deployed' ~80,416 + GPU anchor gap if GPUAnchorOn)</t>
  </si>
  <si>
    <t xml:space="preserve">Unexplained ARR residual at 6/30 (June run-rate basis; NOT unseen capacity)</t>
  </si>
  <si>
    <t xml:space="preserve">Pending Filings on ARR scope / signed-not-billing</t>
  </si>
  <si>
    <t xml:space="preserve">Adj. EBITDA margin FY28 - model vs consensus (flag if &gt; +5pp)</t>
  </si>
  <si>
    <t xml:space="preserve">Skeptic consensus 13.98/23.0</t>
  </si>
  <si>
    <t xml:space="preserve">Adj. EBITDA margin FY30 - model vs peer ~62% (flag if &gt; +8pp)</t>
  </si>
  <si>
    <t xml:space="preserve">CoreWeave ~62% placeholder</t>
  </si>
  <si>
    <t xml:space="preserve">FY30 margin sensitivity: PD + SG&amp;A held at FY28 % of revenue (vs placeholder step-down)</t>
  </si>
  <si>
    <t xml:space="preserve">PD 8% + SG&amp;A 10% (FY28) instead of 6% + 7% (FY30); toggle OpexHold=1 for full model effect (Sensitivity)</t>
  </si>
  <si>
    <t xml:space="preserve">FY30 opex per avg IT MW ($M/MW-yr: COR + PD + SG&amp;A ex-SBC)</t>
  </si>
  <si>
    <t xml:space="preserve">FY26 capex vs company guide $20-25B (Aug 12 2026 call)</t>
  </si>
  <si>
    <t xml:space="preserve">20,000-25,000</t>
  </si>
  <si>
    <t xml:space="preserve">Fact base: FY2026 capex guidance $20-25B (call transcript, CFO); GPULead calibration</t>
  </si>
  <si>
    <t xml:space="preserve">Bull DCF EV vs 3x base (STATIC, snap.py)</t>
  </si>
  <si>
    <t xml:space="preserve">Bull/base EVs from snapshot</t>
  </si>
  <si>
    <t xml:space="preserve">Q2'26 calibration scenario-invariant: utilization bull / bear minus base (STATIC)</t>
  </si>
  <si>
    <t xml:space="preserve">Implied blended realization vs OD list, Q2'26 books (b)+(c) (billed GPU-hours at Q2 avg list) vs GPU Market 0.72-0.80</t>
  </si>
  <si>
    <t xml:space="preserve">0.72-0.80</t>
  </si>
  <si>
    <t xml:space="preserve">Reserved RealRes_B 0.72 x ResSh + on-demand/spot mix</t>
  </si>
  <si>
    <t xml:space="preserve">New-deal pricing: model new-MW gross revenue per IT MW-yr (NewDealOn: blended multi-year + short-term at Q1'27 vintage; off: GB300 at Oct-1 list x RealRes x Util_Res) vs IREN &gt;$20M (3-yr GB300-class ~$4.65/GPU-hr)</t>
  </si>
  <si>
    <t xml:space="preserve">Short-term tranche (STShare) at $40-50M included in blend; IREN excludes short-term</t>
  </si>
  <si>
    <t xml:space="preserve">Vineland shutdown: probability-weighted Q4'26 Microsoft revenue at risk at VinRevMW vs Capacity ~$67M</t>
  </si>
  <si>
    <t xml:space="preserve">vineland_shutdown.xlsx weights; $14.5M/IT MW-yr</t>
  </si>
  <si>
    <t xml:space="preserve">Backlog floor: model AI cloud revenue Jul'26-Jun'28 minus RPO recognised in window (~$13.5B) = implied revenue from deals signed after Q2'26</t>
  </si>
  <si>
    <t xml:space="preserve">Q2'26 Note 2: RPO $37.49B, 36% Jul'26-Jun'28</t>
  </si>
  <si>
    <t xml:space="preserve">Backlog cash floor Jul'26-Jun'28 = RPO in window - 6/30 DR recognised within 24 months (DR_24 base $2.25B; range $2.0-2.5B)</t>
  </si>
  <si>
    <t xml:space="preserve">11,000-11,500</t>
  </si>
  <si>
    <t xml:space="preserve">DR 6/30: current $979.4M, non-current $4,995.8M (Reported)</t>
  </si>
  <si>
    <t xml:space="preserve">Payback (months) vs mgmt 1y10m (22), prepayments excluded: GB300 leased IT / gross; Rubin leased base / bear (no toggle)</t>
  </si>
  <si>
    <t xml:space="preserve">Payback_Floor tab C; basis not disclosed by management</t>
  </si>
  <si>
    <t xml:space="preserve">EBITDA per IT MW-yr by generation (IT reading): GB300 vs Rubin at RubinMW (direct); opex fixed</t>
  </si>
  <si>
    <t xml:space="preserve">v0.7: Rubin capex flat to GB300 in base</t>
  </si>
  <si>
    <t xml:space="preserve">Asset floor: DCF EV vs PV(RPO margin) - capex for contracted MW</t>
  </si>
  <si>
    <t xml:space="preserve">Payback_Floor tab D</t>
  </si>
  <si>
    <t xml:space="preserve">Revenue double-count: prepayments in revenue? (new-deal $20-25M/MW is revenue-recognition basis excl. prepayment, Q2 deck fn 2)</t>
  </si>
  <si>
    <t xml:space="preserve">Formula audit v0.5</t>
  </si>
  <si>
    <t xml:space="preserve">Cash double-count: DR release reduces later cash (CFO = EBITDA + prepayments - release); closing Q4'30 DR run-off deducted from EV ($M)</t>
  </si>
  <si>
    <t xml:space="preserve">v0.5 fix: before, terminal UFCF counted the unreleased prepaid balance as cash again</t>
  </si>
  <si>
    <t xml:space="preserve">Prepayments: total new prepayments FY26H2-FY30 / new-build capex (signed Microsoft/Meta 0%, new hyperscaler HSPre, other 38.5% -&gt; 22.5%)</t>
  </si>
  <si>
    <t xml:space="preserve">Significant financing component (ASC 606): SFC revenue gross-up in model revenue/EBITDA used for DCF</t>
  </si>
  <si>
    <t xml:space="preserve">Reported history may embed a small SFC gross-up (not disclosed separately)</t>
  </si>
  <si>
    <t xml:space="preserve">GPU history anchor: model GPUs at 3/31/2025 vs ~30,000 actual (20-F)</t>
  </si>
  <si>
    <t xml:space="preserve">Single GPU calibration point; Kansas City likely live Q1'25 at 5-15 MW</t>
  </si>
  <si>
    <t xml:space="preserve">Rubin $/GPU-hr premium vs GB300 (model) vs per-MW parity (GPUs/MW GB300 / Rubin)</t>
  </si>
  <si>
    <t xml:space="preserve">Sensitivity 1.0x / 1.25x / 1.53x</t>
  </si>
  <si>
    <t xml:space="preserve">History MW basis (1 Capacity 173 / 2 company ~190 both history &amp; forward / 3 mismatch test)</t>
  </si>
  <si>
    <t xml:space="preserve">Same basis must drive history calibration and forward path</t>
  </si>
  <si>
    <t xml:space="preserve">June step-up vs March: monthly $M and IT MW at take-or-pay pricing (upper end)</t>
  </si>
  <si>
    <t xml:space="preserve">DCF EV sign (negative = plan destroys value at WACC; equity floored at 0)</t>
  </si>
  <si>
    <t xml:space="preserve">Terminal value basis</t>
  </si>
  <si>
    <t xml:space="preserve">Run-off floor when replacement capex exceeds terminal cash generation</t>
  </si>
  <si>
    <t xml:space="preserve">Funding runway: first quarter liquidity &lt; 0 (after v0.7 funding plan when FP_On; no plug)</t>
  </si>
  <si>
    <t xml:space="preserve">Skeptic: Q2'27</t>
  </si>
  <si>
    <t xml:space="preserve">Opening liquidity: Aug-26 converts counted ONCE (runway gross row + CashFlow net row, Q3'26 only); 6/30 cash $8,042M excludes them</t>
  </si>
  <si>
    <t xml:space="preserve">Runway row '+ Aug-2026 converts gross' (CashFlow tab) and 'Convert issuance proceeds (net)' row</t>
  </si>
  <si>
    <t xml:space="preserve">$775M asset-backed facility drawn in base (LoanOn)</t>
  </si>
  <si>
    <t xml:space="preserve">SOFR+2.50%; cash, debt, interest and runway all switch together</t>
  </si>
  <si>
    <t xml:space="preserve">Liquidity after funding plan: min Q3'26-Q4'27 vs MinCash</t>
  </si>
  <si>
    <t xml:space="preserve">Plan is ESTIMATED (not guidance); 2028+ needs further raises</t>
  </si>
  <si>
    <t xml:space="preserve">Convert waterfall at $147 (existing notes): converting principal / full-conversion shares vs ~$3.34B / ~26.2M</t>
  </si>
  <si>
    <t xml:space="preserve">Parent reference: $46 all OTM ($13.4B debt); $147 26.2M sh; $243 all but Feb-30/Feb-34</t>
  </si>
  <si>
    <t xml:space="preserve">Post-funding FD shares at solved price (M) vs pre-funding</t>
  </si>
  <si>
    <t xml:space="preserve">Avride: value credited (V_AV) vs PV burn add-back (V_AVAdd) - credit value AND add back burn, or neither</t>
  </si>
  <si>
    <t xml:space="preserve">Red-graded sites (count)</t>
  </si>
  <si>
    <t xml:space="preserve">FY27 EBIT vs Skeptic at live life</t>
  </si>
  <si>
    <t xml:space="preserve">See Sensitivity 4/5/6</t>
  </si>
  <si>
    <t xml:space="preserve">Inputs &amp; Assumptions (scenario-driven)</t>
  </si>
  <si>
    <t xml:space="preserve">Blue = input. Fill: orange = PLACEHOLDER (no source yet), yellow = Estimated/Consensus, none = Reported/Derived. Live column = CHOOSE(Scenario, Bull, Base, Bear). Owners fill/replace their cells; never overwrite formulas.</t>
  </si>
  <si>
    <t xml:space="preserve">Scenario selector (1 = Bull, 2 = Base, 3 = Bear)</t>
  </si>
  <si>
    <t xml:space="preserve">Scalar input</t>
  </si>
  <si>
    <t xml:space="preserve">Unit</t>
  </si>
  <si>
    <t xml:space="preserve">Base</t>
  </si>
  <si>
    <t xml:space="preserve">LIVE</t>
  </si>
  <si>
    <t xml:space="preserve">Owner</t>
  </si>
  <si>
    <t xml:space="preserve">Source / method</t>
  </si>
  <si>
    <t xml:space="preserve">General</t>
  </si>
  <si>
    <t xml:space="preserve">Valuation date</t>
  </si>
  <si>
    <t xml:space="preserve">date</t>
  </si>
  <si>
    <t xml:space="preserve">—</t>
  </si>
  <si>
    <t xml:space="preserve">Modeling</t>
  </si>
  <si>
    <t xml:space="preserve">Input</t>
  </si>
  <si>
    <t xml:space="preserve">Pitch valuation date; drives DCF discounting and Outputs horizons</t>
  </si>
  <si>
    <t xml:space="preserve">Last actual quarter index (10 = Q2'26)</t>
  </si>
  <si>
    <t xml:space="preserve">#</t>
  </si>
  <si>
    <t xml:space="preserve">Roll forward to 11 when Q3'26 is reported</t>
  </si>
  <si>
    <t xml:space="preserve">Fiscal-year base (year before first model year)</t>
  </si>
  <si>
    <t xml:space="preserve">yr</t>
  </si>
  <si>
    <t xml:space="preserve">Structural: annual-input column = FY - FYBase</t>
  </si>
  <si>
    <t xml:space="preserve">Current share price (NBIS)</t>
  </si>
  <si>
    <t xml:space="preserve">$/sh</t>
  </si>
  <si>
    <t xml:space="preserve">Skeptic</t>
  </si>
  <si>
    <t xml:space="preserve">Reported</t>
  </si>
  <si>
    <t xml:space="preserve">Oct 2 2026 close per Skeptic (/workspace/nebius/skeptic/01_priced_in.xlsx), medium confidence; used for convert ITM test, TSM, equity raises</t>
  </si>
  <si>
    <t xml:space="preserve">MW block that drives revenue (1 contracted, 2 energized est. [Capacity, default], 3 mgmt-connected guide, 4 Capacity proposed path [scenario, not base until Tuesday file])</t>
  </si>
  <si>
    <t xml:space="preserve">Default = Capacity energized base (estimated live IT load); guided path kept as comparison only</t>
  </si>
  <si>
    <t xml:space="preserve">Energized (live IT load) -&gt; billing lag, MW source 2</t>
  </si>
  <si>
    <t xml:space="preserve">qtrs</t>
  </si>
  <si>
    <t xml:space="preserve">Capacity</t>
  </si>
  <si>
    <t xml:space="preserve">Estimated</t>
  </si>
  <si>
    <t xml:space="preserve">Base 1 qtr. 2 qtrs = STRESS case (Sensitivity snapshot), not the bear default</t>
  </si>
  <si>
    <t xml:space="preserve">IT capex method (1 = GPUs x $/GPU, 2 = flat $M per IT MW, 3 = site path: new energized IT MW x per-site $/MW by ownership &amp; generation [default])</t>
  </si>
  <si>
    <t xml:space="preserve">Method 3 = path-consistent per Capacity gpu_mw_capex.xlsx</t>
  </si>
  <si>
    <t xml:space="preserve">Owned site all-in capex per IT MW - GB200</t>
  </si>
  <si>
    <t xml:space="preserve">$M/MW</t>
  </si>
  <si>
    <t xml:space="preserve">/workspace/nebius/capacity/gpu_mw_capex.xlsx CapexPerMW (incl ~$10-12.5M shell+power)</t>
  </si>
  <si>
    <t xml:space="preserve">Owned site all-in capex per IT MW - GB300</t>
  </si>
  <si>
    <t xml:space="preserve">as above</t>
  </si>
  <si>
    <t xml:space="preserve">Owned site all-in capex per IT MW - Vera Rubin (LOW-MEDIUM confidence)</t>
  </si>
  <si>
    <t xml:space="preserve">v0.7: $53-59M (base 56) = leased $41-48.5M + shell/power; was $43M. Capacity reconciles networking Tuesday</t>
  </si>
  <si>
    <t xml:space="preserve">Owned site capex per IT MW - Hopper/B200/B300 (GB200 proxy)</t>
  </si>
  <si>
    <t xml:space="preserve">proxy</t>
  </si>
  <si>
    <t xml:space="preserve">Leased/colo capex per IT MW - GB200 (and Hopper/B200/B300 stand-ins); IT only, rent in opex</t>
  </si>
  <si>
    <t xml:space="preserve">gpu_mw_capex.xlsx (Capacity), medium confidence</t>
  </si>
  <si>
    <t xml:space="preserve">Leased/colo capex per IT MW - GB300 (Vineland, most leased builds)</t>
  </si>
  <si>
    <t xml:space="preserve">Leased/colo capex per IT MW - Vera Rubin (LOW-MEDIUM confidence)</t>
  </si>
  <si>
    <t xml:space="preserve">Capacity/Skeptic</t>
  </si>
  <si>
    <t xml:space="preserve">v0.7: base $41M flat to GB300 (SemiAnalysis TCO 1.51-1.56x/GPU-hr at 320 vs 491 GPUs/IT MW -&gt; ~0.98-1.02x GB300 per MW; Capacity at Morgan Stanley rack cost: leased $42-48M); bull $41M; bear $48.5M (Skeptic $45-52M midpoint: 0.65x racks/MW x MS 1.68-1.95x rack cost). $32M = OUTER-BULL sensitivity only (soft: ~$6.0M rack ~1.2x GB300; networking $3.6M looks low vs GB300 $6.1M - Capacity reconciles Tuesday)</t>
  </si>
  <si>
    <t xml:space="preserve">v0.2 fix: GPU fleet MW-ratio only in forecast + capex follows DRIVER MW (1 = on)</t>
  </si>
  <si>
    <t xml:space="preserve">0/1</t>
  </si>
  <si>
    <t xml:space="preserve">Off = v0.1 behaviour (history fleet scaled by selected MW block; capex followed energized path only)</t>
  </si>
  <si>
    <t xml:space="preserve">Terminal basis: 2 = EXCLUDE BOTH Q4'30-onward spend for MW billing after Q4'30 and that MW (terminal = Q4'30 exit run-rate x 4) [default, conservative]; 1 = INCLUDE BOTH (memo only: run-rate scaled x(MW Q4'30 + MW billing Q1'31)/MW Q4'30, unsourced ~1.2x step-up); 0 = v0.1 (FY2030 x (1+TG), Q4'30 spend charged)</t>
  </si>
  <si>
    <t xml:space="preserve">0/1/2</t>
  </si>
  <si>
    <t xml:space="preserve">v0.2 decision (Oct 4): do not credit unbilled capacity on an unsourced step-up; 'include both' EV shown as memo row in Valuation</t>
  </si>
  <si>
    <t xml:space="preserve">Terminal value floor: max(Gordon/blend, run-off value of existing fleet with no reinvestment) (1 = on)</t>
  </si>
  <si>
    <t xml:space="preserve">Operator would stop replacing GPUs at negative NPV; TV cannot be below run-off (&gt;= 0)</t>
  </si>
  <si>
    <t xml:space="preserve">Owned-site O&amp;M (facility staff, maintenance, insurance, property tax)</t>
  </si>
  <si>
    <t xml:space="preserve">$M/IT MW-yr</t>
  </si>
  <si>
    <t xml:space="preserve">Placeholder</t>
  </si>
  <si>
    <t xml:space="preserve">Leased sites carry this inside rent; owned sites had none in v0.1. Placeholder pending Capacity</t>
  </si>
  <si>
    <t xml:space="preserve">H2'26 repricing: Q2 list avg (H100 $2.95-&gt;$3.85 Jun-26), legacy reserved book renews +30% at 50%/12 months, new GPUs at current list (1 = on)</t>
  </si>
  <si>
    <t xml:space="preserve">GPU Market</t>
  </si>
  <si>
    <t xml:space="preserve">Off = v0.1 (Q2 at Jun list; reserved = lagged list)</t>
  </si>
  <si>
    <t xml:space="preserve">Reserved renewal repricing vs expiring contract</t>
  </si>
  <si>
    <t xml:space="preserve">%</t>
  </si>
  <si>
    <t xml:space="preserve">Filings</t>
  </si>
  <si>
    <t xml:space="preserve">Q2'26 letter: &gt;30% repricing on renewals</t>
  </si>
  <si>
    <t xml:space="preserve">H100 on-demand list - Q2'26 average</t>
  </si>
  <si>
    <t xml:space="preserve">$/GPU-hr</t>
  </si>
  <si>
    <t xml:space="preserve">Derived</t>
  </si>
  <si>
    <t xml:space="preserve">Archived nebius.com/prices: $2.95 Apr-May -&gt; $3.85 from Jun 2026 (Reported pages); Q2 avg derived</t>
  </si>
  <si>
    <t xml:space="preserve">Team June run-rate per MW - low</t>
  </si>
  <si>
    <t xml:space="preserve">$M/MW-yr</t>
  </si>
  <si>
    <t xml:space="preserve">June list + renewals signed by 6/30</t>
  </si>
  <si>
    <t xml:space="preserve">Team June run-rate per MW - high</t>
  </si>
  <si>
    <t xml:space="preserve">Team estimate: unexplained ARR residual - low</t>
  </si>
  <si>
    <t xml:space="preserve">$M</t>
  </si>
  <si>
    <t xml:space="preserve">~45-50 MW</t>
  </si>
  <si>
    <t xml:space="preserve">Team estimate: unexplained ARR residual - high</t>
  </si>
  <si>
    <t xml:space="preserve">Consensus FY28 adj. EBITDA margin (13.98 / 23.0)</t>
  </si>
  <si>
    <t xml:space="preserve">01_priced_in.xlsx</t>
  </si>
  <si>
    <t xml:space="preserve">Peer adj. EBITDA margin reference (CoreWeave ~62%)</t>
  </si>
  <si>
    <t xml:space="preserve">pending GPU Market comps</t>
  </si>
  <si>
    <t xml:space="preserve">Cap Microsoft GPU consumption at Vineland energized IT MW (Capacity) (1 = on)</t>
  </si>
  <si>
    <t xml:space="preserve">Fix for Q2'26 utilization: MSFT delivered-tranche MW (53 MW) exceeded Vineland energized (39 MW / 19,157 GPUs)</t>
  </si>
  <si>
    <t xml:space="preserve">GPU end-of-life replacement capex in forecast (1 = on)</t>
  </si>
  <si>
    <t xml:space="preserve">Cohort reaching GPU life is replaced at original cost (fleet persists in Capacity file)</t>
  </si>
  <si>
    <t xml:space="preserve">History MW basis: 1 = Capacity named-site (173 MW Q2'26) [default]; 2 = company-implied (~190 MW, ~$12M rev/installed MW) applied to history AND forward path (+uplift); 3 = MISMATCH test: history at 190, forward on 173 path</t>
  </si>
  <si>
    <t xml:space="preserve">Revenue/MW in history and the forward MW path must use the same basis (2); 3 only quantifies Skeptic's ~11% claim</t>
  </si>
  <si>
    <t xml:space="preserve">Company-implied installed MW at Q2'26 (Q2 letter ~$12M revenue per installed MW)</t>
  </si>
  <si>
    <t xml:space="preserve">MW</t>
  </si>
  <si>
    <t xml:space="preserve">~$2.3B annualized / ~$12M per MW</t>
  </si>
  <si>
    <t xml:space="preserve">AIB CLT1 colocation rent (12-yr), per IT MW-yr</t>
  </si>
  <si>
    <t xml:space="preserve">CLT1-sourced ~$2.2M per MW-yr (Capacity); applied via differential vs generic leased rent (RentMW x PUE)</t>
  </si>
  <si>
    <t xml:space="preserve">Nebius prepayment to AIB to fund CLT1 build (outflow Q4'26-Q2'27, equal thirds)</t>
  </si>
  <si>
    <t xml:space="preserve">Amount undisclosed (AIB 8-K Sep 30 2026); sensitivity $250M / $500M; liquidity only</t>
  </si>
  <si>
    <t xml:space="preserve">Inferize acquisition cash outflow Q4'26 (1 = on)</t>
  </si>
  <si>
    <t xml:space="preserve">6-K Oct 1 2026: terms undisclosed; PRESS-REPORTED $100-150M (unconfirmed)</t>
  </si>
  <si>
    <t xml:space="preserve">Inferize purchase price (press-reported, unconfirmed)</t>
  </si>
  <si>
    <t xml:space="preserve">Press $100-150M; liquidity only</t>
  </si>
  <si>
    <t xml:space="preserve">Q3'26 starts from June exit run-rate: AI cloud revenue &gt;= reported ARR / 4 before new MW (overlay held flat in $)</t>
  </si>
  <si>
    <t xml:space="preserve">Filings: ARR = June recognized AI cloud revenue x 12 (no signed-not-billing). Overlay not tied to MW; power/rent not added (EBITDA margin on overlay = 1 - other COR - PD - SG&amp;A %)</t>
  </si>
  <si>
    <t xml:space="preserve">March 2026 AI cloud revenue (monthly)</t>
  </si>
  <si>
    <t xml:space="preserve">$M/mo</t>
  </si>
  <si>
    <t xml:space="preserve">~$160M (Filings); June $250M = $3.0B / 12</t>
  </si>
  <si>
    <t xml:space="preserve">Sensitivity: cap adj. EBITDA margin at MarginPeer from PeerMarginYr (cost overlay)</t>
  </si>
  <si>
    <t xml:space="preserve">First year of peer-margin cap</t>
  </si>
  <si>
    <t xml:space="preserve">Vineland shutdown scenario (Capacity vineland_shutdown.xlsx): 0 off; 1 no shutdown; 2 partial 50% 2m; 3 partial minor-source 2m; 4 full 1m; 5 full 2m; 6 full 3m; 7 probability-weighted</t>
  </si>
  <si>
    <t xml:space="preserve">Outage from Nov 7 2026 (NJDEP order Sep 22 + 45 days); ~102.5 MW IT genset-fed; scenarios &amp; weights = Capacity judgment. SLA credits not disclosed (note only); genset power saving not credited</t>
  </si>
  <si>
    <t xml:space="preserve">Microsoft revenue per IT MW-yr for outage loss</t>
  </si>
  <si>
    <t xml:space="preserve">$17.4B TCV / 5 yrs / 240 MW IT; probability-weighted Q4'26 loss ~$67-68M</t>
  </si>
  <si>
    <t xml:space="preserve">Bloom slips 2 quarters: Vineland T5-T9 (2027) billing and Bloom go-live +2 qtrs (1 = on)</t>
  </si>
  <si>
    <t xml:space="preserve">New-deal pricing for 2027+ new non-contract MW: multi-year $/IT MW-yr tranche + short-term tranche (1 = on)</t>
  </si>
  <si>
    <t xml:space="preserve">Q2'26 letter: new deals &gt;$20M/MW, landmark $20-25M ACV/MW (basis likely IT, medium-low); &lt;=6-month deals $40-50M/MW (one signed). Legacy (Q4'26) non-contract fleet stays on GPU-hour pricing</t>
  </si>
  <si>
    <t xml:space="preserve">First quarter of new-deal pricing</t>
  </si>
  <si>
    <t xml:space="preserve">idx</t>
  </si>
  <si>
    <t xml:space="preserve">Q1'27</t>
  </si>
  <si>
    <t xml:space="preserve">NEW-DEAL GB300 $/GPU-hr (multi-year, IT reading) - the ONE linked new-deal price input</t>
  </si>
  <si>
    <t xml:space="preserve">Calibrated: $22M/IT MW = $5.12/GPU-hr x 491 GPUs/IT MW x 8,760 h x 100% (take-or-pay); IREN new 3-yr GB300 ~$4.65 (= bear $20M); bull $25M = $5.81</t>
  </si>
  <si>
    <t xml:space="preserve">GB300 NVL72 GPUs per IT MW (new-deal calibration)</t>
  </si>
  <si>
    <t xml:space="preserve">GPU/MW</t>
  </si>
  <si>
    <t xml:space="preserve">gpu_mw_capex.xlsx base; 409 per gross MW</t>
  </si>
  <si>
    <t xml:space="preserve">New-deal occupancy (multi-year take-or-pay)</t>
  </si>
  <si>
    <t xml:space="preserve">Take-or-pay = 100%</t>
  </si>
  <si>
    <t xml:space="preserve">Multi-year GB300 ACV per IT MW-yr = ND_Px x ND_GPUMW_GB x 8,760 x ND_Occ (derived; do not overwrite - change ND_Px)</t>
  </si>
  <si>
    <t xml:space="preserve">IT reading $22M &lt;-&gt; $5.12/GPU-hr; gross reading (NDBasis 2) x 491/409 = $26.4M &lt;-&gt; $6.14</t>
  </si>
  <si>
    <t xml:space="preserve">Multi-year $/MW path: 1 = v0.6 flat nominal within generation, then MYDecl/yr from MYDeclIdx (no per-chip ageing stacked); 0 = v0.5 Blackwell per-chip list path (double count)</t>
  </si>
  <si>
    <t xml:space="preserve">Team consensus v0.6: -6%/yr was per-chip on-demand ageing; Rubin switch handled by Rubin_Prem x GPUs/MW only</t>
  </si>
  <si>
    <t xml:space="preserve">Multi-year new-deal $/MW change per yr (within generation)</t>
  </si>
  <si>
    <t xml:space="preserve">%/yr</t>
  </si>
  <si>
    <t xml:space="preserve">Base flat through 2028 then -3%/yr; bear -6%/yr from 2027; bull -1.25%/yr from 2029 (base ratio -3/-6 applied to bull's -2.5% chip ageing)</t>
  </si>
  <si>
    <t xml:space="preserve">First quarter of multi-year $/MW decline</t>
  </si>
  <si>
    <t xml:space="preserve">Base/bull Q1'29; bear Q1'27</t>
  </si>
  <si>
    <t xml:space="preserve">STRESS: one-off 31% cut to new-deal $/MW once Rubin ships (never stacked with -6%/yr; sensitivity only)</t>
  </si>
  <si>
    <t xml:space="preserve">Stress cut</t>
  </si>
  <si>
    <t xml:space="preserve">Rubin new-deal $/MW = GB300 $/MW x Rubin_Prem x GPUMW_N / ND_GPUMW_GB (1 = v0.6; 0 = v0.5 single $/MW for all generations)</t>
  </si>
  <si>
    <t xml:space="preserve">Rubin at 1.2x and 320 GPUs/IT MW: $17.2M/IT MW (IT reading), -22% vs GB300</t>
  </si>
  <si>
    <t xml:space="preserve">Rubin new-deal revenue: 1 = direct $/IT MW-yr (RubinMW; v0.7, no IT/gross toggle); 0 = v0.6 GB300 x Rubin_Prem x 320/491</t>
  </si>
  <si>
    <t xml:space="preserve">IT/gross toggle applies to GB300-era deals only (avoids Filings-flagged double count)</t>
  </si>
  <si>
    <t xml:space="preserve">Rubin multi-year ACV per IT MW-yr (new deals, signing at Rubin availability; then MYDecl path within generation)</t>
  </si>
  <si>
    <t xml:space="preserve">Two contracts: Anthropic-Nscale ~$16.2M/MW (6-yr, MW basis unknown); WhiteFiber-Prime Intellect 576 VR200 ~$108.2M/3 yrs = ~$7.15/GPU-hr ~ $20M/IT MW if packages counted (medium). Base 18 / bull 20 / bear 16. Implied $/GPU-hr at 320 packages/IT MW: 6.42 / 7.13 / 5.71</t>
  </si>
  <si>
    <t xml:space="preserve">Rubin density for $/GPU-hr reference only (sensitivity; not used in revenue)</t>
  </si>
  <si>
    <t xml:space="preserve">320 vs 400 packages/IT MW: reference only</t>
  </si>
  <si>
    <t xml:space="preserve">Short-term (&lt;=6-month) tranche share of TOTAL average active IT MW (from Q1'27)</t>
  </si>
  <si>
    <t xml:space="preserve">v0.5: 5% of total capacity (on-demand/self-serve ~4% of Q2'26 revenue; one short-term deal signed); tests 2% / 10%; 0% floor row</t>
  </si>
  <si>
    <t xml:space="preserve">Short-term tranche mode: 1 = v0.5 share of TOTAL active MW x STOcc; 0 = v0.4 share of new 2027+ MW, no occupancy haircut</t>
  </si>
  <si>
    <t xml:space="preserve">Deferred revenue release: 1 = v0.5 (6/30 balance on Reported split; new prepayments straight-line over DR_AmortQ); 0 = v0.4 (balance / DR_AmortQ geometric)</t>
  </si>
  <si>
    <t xml:space="preserve">Short-term tranche occupancy between deals</t>
  </si>
  <si>
    <t xml:space="preserve">$45M x 85% ~ $38M per IT MW-yr effective yield</t>
  </si>
  <si>
    <t xml:space="preserve">Multi-year GB300-equivalent ACV for UNSOLD new MW ($M/IT MW-yr; contracted backlog stays at MYRate; Rubin scales by the same ratio)</t>
  </si>
  <si>
    <t xml:space="preserve">Headline sens $18 / $22 / $25 (Skeptic); default = MYRate; contracted vs unsold from RPO until Capacity site tags (Tuesday)</t>
  </si>
  <si>
    <t xml:space="preserve">Remaining performance obligations at 6/30/26</t>
  </si>
  <si>
    <t xml:space="preserve">Q2'26 6-K Note 2</t>
  </si>
  <si>
    <t xml:space="preserve">Share of RPO recognised Jul'26-Jun'28</t>
  </si>
  <si>
    <t xml:space="preserve">Q2'26 Note 2 (~$13.5B)</t>
  </si>
  <si>
    <t xml:space="preserve">6/30/26 deferred revenue - current (recognised within 12 months)</t>
  </si>
  <si>
    <t xml:space="preserve">Q2'26 6-K balance sheet; non-current $4,995.8M; total $5,975.2M; YE25 $1,577.5M (only $154.3M recognised in H1'26)</t>
  </si>
  <si>
    <t xml:space="preserve">6/30/26 deferred revenue recognised within 24 months</t>
  </si>
  <si>
    <t xml:space="preserve">$2.0-2.5B: months 13-24 at 1.0-1.5x the $979.4M current portion</t>
  </si>
  <si>
    <t xml:space="preserve">Quarters to release the remainder of the 6/30 balance after month 24</t>
  </si>
  <si>
    <t xml:space="preserve">Strategic contracts recognised over 1-5 yrs; tail Q3'28-Q2'31 (2 qtrs after horizon fall into the DR run-off deduction)</t>
  </si>
  <si>
    <t xml:space="preserve">New-deal $/MW basis: 1 = per IT MW [base; Filings: same axis as 2026 base $12M/MW ~ 250 MW active path, medium]; 2 = slide is per GROSS MW -&gt; MYRate x ND_GrossX per IT MW</t>
  </si>
  <si>
    <t xml:space="preserve">Gross-to-IT conversion for new-deal $/MW (GPUs per IT MW / GPUs per gross MW = 491/409)</t>
  </si>
  <si>
    <t xml:space="preserve">x</t>
  </si>
  <si>
    <t xml:space="preserve">Capacity: 409 GPUs/gross MW vs 491/IT MW -&gt; $22M per gross MW ~ $26.4M per IT MW</t>
  </si>
  <si>
    <t xml:space="preserve">Short-term tranche $/IT MW-yr (near on-demand)</t>
  </si>
  <si>
    <t xml:space="preserve">Q2'26 letter: Q3 short-term deals &gt;$40M; $40-50M range</t>
  </si>
  <si>
    <t xml:space="preserve">Short-term tranche ($40-50M) on GB300-era capacity only (1 = v0.7; 0 = v0.6 any generation)</t>
  </si>
  <si>
    <t xml:space="preserve">$40-50M is a GB300 rate, not a Rubin rate</t>
  </si>
  <si>
    <t xml:space="preserve">Short-term tranche recovers to list after post-Rubin cut (cut PxCyc for 3 qtrs after Rubin ships, then linear recovery over 2 qtrs)</t>
  </si>
  <si>
    <t xml:space="preserve">Bull 6.25% with recovery; base 22% with recovery; bear 31% no recovery. Reprices every 6 months</t>
  </si>
  <si>
    <t xml:space="preserve">New-deal customer prepayments in liquidity (1 = on)</t>
  </si>
  <si>
    <t xml:space="preserve">70% of deals x 55% of capex = 38.5% of new-build capex, received at capex time, released to revenue over DR_AmortQ</t>
  </si>
  <si>
    <t xml:space="preserve">Prepayment decay by signing period (1 = on; 0 = flat PrepayPct for all new non-hyperscaler deals)</t>
  </si>
  <si>
    <t xml:space="preserve">v0.5: Neolab/other new deals 38.5% before Rubin ships, 22.5% for 2028+ signings; bull keeps 38.5%; bear 0% beyond already signed</t>
  </si>
  <si>
    <t xml:space="preserve">Prepayment % of new-build capex - other new deals, capex in 2027 (Rubin ships Q1'27)</t>
  </si>
  <si>
    <t xml:space="preserve">Capex leads signing by ~2-4 qtrs, so 2027 capex treated as pre-Rubin signings (input); bear 0% beyond already-signed</t>
  </si>
  <si>
    <t xml:space="preserve">Prepayment % of new-build capex - other new deals, 2028+ signings (capex from PrepayIdx28)</t>
  </si>
  <si>
    <t xml:space="preserve">Bull keeps 38.5%; bear 0%</t>
  </si>
  <si>
    <t xml:space="preserve">First capex quarter at the 2028+ prepayment rate</t>
  </si>
  <si>
    <t xml:space="preserve">Prepayment % of related capex - NEW hyperscaler capacity (future IG / hyperscaler tranches)</t>
  </si>
  <si>
    <t xml:space="preserve">Range 20-40%: Microsoft-Nebius ~40% (~$7.0B of $17.39B), Microsoft-IREN ~20% (GPU Market, medium); bull 40%, bear 0%. Existing signed Microsoft/Meta tranches: 0% new prepayment (advances already in 6/30 DR $5,975M)</t>
  </si>
  <si>
    <t xml:space="preserve">Closing deferred revenue at Q4'30 runs off as non-cash revenue after the horizon: deduct PV from EV (1 = on)</t>
  </si>
  <si>
    <t xml:space="preserve">v0.5 cash double-count fix: terminal UFCF is EBITDA-based, so the unreleased prepaid balance would otherwise be counted as cash twice</t>
  </si>
  <si>
    <t xml:space="preserve">Prepayment by customer type (1 = v0.5: signed Microsoft/Meta 0%, new hyperscaler HSPre, other deals at rate path; 0 = v0.4 flat PrepayPct on all new-build capex)</t>
  </si>
  <si>
    <t xml:space="preserve">Prepayment base: 1 = new-build capex (GPU + shell + power) [v0.4]; 0 = total capex (v0.3)</t>
  </si>
  <si>
    <t xml:space="preserve">GPU history anchor: ~30,000 GPUs at 3/31/2025 (single quarter-end actual) - add gap vs Capacity file to fleet from Q1'25 (1 = on)</t>
  </si>
  <si>
    <t xml:space="preserve">FY24 20-F: ~30,000 GPUs at 3/31/2025 (the ~38k was a target). Kansas City likely live Q1'25 at 5-15 MW (Capacity, Estimated) - gap carried as Hopper-era fleet</t>
  </si>
  <si>
    <t xml:space="preserve">GPUs at 3/31/2025 (actual)</t>
  </si>
  <si>
    <t xml:space="preserve">GPUs</t>
  </si>
  <si>
    <t xml:space="preserve">FY24 20-F</t>
  </si>
  <si>
    <t xml:space="preserve">Replacement capex at scenario GPU price path: cohort cost x (1 + annual list-price change of its gen)^(life yrs) (1 = on)</t>
  </si>
  <si>
    <t xml:space="preserve">Bear on for internal consistency (bear rental prices fall 20-30%/yr; constant-$ replacement overstated capex vs revenue). Base/bull off (constant $, conservative); see Sensitivity</t>
  </si>
  <si>
    <t xml:space="preserve">Hold product development + SG&amp;A at FY28 % of revenue for FY29-30 (1 = on; sensitivity)</t>
  </si>
  <si>
    <t xml:space="preserve">Default 0 = placeholder step-down (PD 8%-&gt;6%, SG&amp;A 10%-&gt;7%)</t>
  </si>
  <si>
    <t xml:space="preserve">Terminal capex: 1 = max(D&amp;A, GPU replacement + non-GPU + growth reinvestment); 0 = D&amp;A x MaintRatio (old)</t>
  </si>
  <si>
    <t xml:space="preserve">Reserved book renewal pace (share of book repricing to current list per quarter from RenewIdx)</t>
  </si>
  <si>
    <t xml:space="preserve">%/qtr</t>
  </si>
  <si>
    <t xml:space="preserve">Nebius reserved terms max 24 months (3/6/12 mo 2024; 6/12/24 on H200); Q2 letter &gt;30% repricing on renewals. 50% of the reserved book renews within FY27 in ALL scenarios (12.5%/qtr from Q1'27, 100% by Q4'28). GPU Market archived pricing pages, Estimated</t>
  </si>
  <si>
    <t xml:space="preserve">Renewal schedule start quarter (first quarter after 6/30)</t>
  </si>
  <si>
    <t xml:space="preserve">Skeptic v3.2 path-tied capex base: first quarter liquidity &lt; 0</t>
  </si>
  <si>
    <t xml:space="preserve">qtr</t>
  </si>
  <si>
    <t xml:space="preserve">/workspace/nebius/skeptic/skeptic_03_depreciation.xlsx; Skeptic path run uses CONSENSUS EBITDA</t>
  </si>
  <si>
    <t xml:space="preserve">Skeptic v3.2 base YE27 liquidity</t>
  </si>
  <si>
    <t xml:space="preserve">$B</t>
  </si>
  <si>
    <t xml:space="preserve">Skeptic v3.2 base YE28 liquidity</t>
  </si>
  <si>
    <t xml:space="preserve">Skeptic v3.2 low: first quarter &lt; 0</t>
  </si>
  <si>
    <t xml:space="preserve">never thru 2030</t>
  </si>
  <si>
    <t xml:space="preserve">Skeptic v3.2 low YE27 liquidity</t>
  </si>
  <si>
    <t xml:space="preserve">Skeptic v3.2 low YE28 liquidity</t>
  </si>
  <si>
    <t xml:space="preserve">Skeptic v3.2 high: first quarter &lt; 0</t>
  </si>
  <si>
    <t xml:space="preserve">Skeptic v3.2 high YE27 liquidity</t>
  </si>
  <si>
    <t xml:space="preserve">Skeptic v3.2 high YE28 liquidity</t>
  </si>
  <si>
    <t xml:space="preserve">Skeptic v3.2 consensus-capex run: first quarter &lt; 0</t>
  </si>
  <si>
    <t xml:space="preserve">Skeptic v3.2 consensus-capex YE27 liquidity</t>
  </si>
  <si>
    <t xml:space="preserve">Skeptic v3.2 DCF EV at 4-yr life</t>
  </si>
  <si>
    <t xml:space="preserve">negative</t>
  </si>
  <si>
    <t xml:space="preserve">Skeptic v3.2 DCF EV at 5-yr life</t>
  </si>
  <si>
    <t xml:space="preserve">vs $74.7B market EV</t>
  </si>
  <si>
    <t xml:space="preserve">Skeptic v3.2 DCF EV at 6-yr life</t>
  </si>
  <si>
    <t xml:space="preserve">Skeptic price-cycle leg FY27 revenue (50% renewal)</t>
  </si>
  <si>
    <t xml:space="preserve">Skeptic price-cycle leg FY27 revenue (100% renewal)</t>
  </si>
  <si>
    <t xml:space="preserve">Skeptic price-cycle leg FY28 revenue</t>
  </si>
  <si>
    <t xml:space="preserve">Capacity server+network cost per GPU - low</t>
  </si>
  <si>
    <t xml:space="preserve">$/GPU</t>
  </si>
  <si>
    <t xml:space="preserve">servers + network</t>
  </si>
  <si>
    <t xml:space="preserve">Capacity server+network cost per GPU - high</t>
  </si>
  <si>
    <t xml:space="preserve">Shell + power portion of owned capex per IT MW</t>
  </si>
  <si>
    <t xml:space="preserve">~$10-12.5M midpoint</t>
  </si>
  <si>
    <t xml:space="preserve">Price-cycle leg: one-off post-launch cut on prior gen (Rubin 1H27 hits Blackwell)</t>
  </si>
  <si>
    <t xml:space="preserve">v0.4: on in all scenarios (bull 6.25% / base 22% / bear 31%). On-demand immediately; reserved at renewal; take-or-pay unaffected</t>
  </si>
  <si>
    <t xml:space="preserve">Price-cycle cut in $/GPU-hr over 12 months after new-gen launch (Blackwell, from Rubin)</t>
  </si>
  <si>
    <t xml:space="preserve">GPU Market gpu_price_history.xlsx, on-demand list, Estimated. Base 22% = H200 median $5.15 (Dec-24) -&gt; $4.04 (Sep-25); bear 31% = Nebius B200 $8.50 premium closes to $7.49 median then 22% swing (~$5.84); bull 6.25% = midpoint 0-12.5% (H100 median flat $3.44 Jun-25..Mar-26 after B200 GA; B200 -2% since CoreWeave Rubin launch Sep-30-26)</t>
  </si>
  <si>
    <t xml:space="preserve">Price-cycle start quarter (Rubin launch)</t>
  </si>
  <si>
    <t xml:space="preserve">Q1'27 (1H27)</t>
  </si>
  <si>
    <t xml:space="preserve">Capacity &amp; power</t>
  </si>
  <si>
    <t xml:space="preserve">Forecast MW haircut (x driver MW)</t>
  </si>
  <si>
    <t xml:space="preserve">Bear case: execution slippage on site ramps</t>
  </si>
  <si>
    <t xml:space="preserve">Additional forecast MW slip (Skeptic overlay)</t>
  </si>
  <si>
    <t xml:space="preserve">0 in all scenarios; energized low already embeds bear slippage; stress = EnLag 2</t>
  </si>
  <si>
    <t xml:space="preserve">PUE (facility MW / IT MW)</t>
  </si>
  <si>
    <t xml:space="preserve">Converts facility-basis site MW to IT MW and IT load to grid power; modern liquid-cooled AI DC ~1.15-1.35</t>
  </si>
  <si>
    <t xml:space="preserve">Average IT draw / IT capacity</t>
  </si>
  <si>
    <t xml:space="preserve">Power-cost driver</t>
  </si>
  <si>
    <t xml:space="preserve">GPUs per IT MW - Hopper (H100/H200)</t>
  </si>
  <si>
    <t xml:space="preserve">~1.47 kW per GPU all-in IT (HGX H100 ~10.2 kW/8 GPUs + ~15% network/storage); not disclosed by Nebius</t>
  </si>
  <si>
    <t xml:space="preserve">GPUs per IT MW - Blackwell (B200/B300/GB200/GB300)</t>
  </si>
  <si>
    <t xml:space="preserve">~2.1 kW per GPU all-in IT (GB200 NVL72 ~132 kW/72 + overhead); not disclosed</t>
  </si>
  <si>
    <t xml:space="preserve">GPUs per IT MW - Next-gen (Vera Rubin)</t>
  </si>
  <si>
    <t xml:space="preserve">~3.0 kW per GPU all-in IT assumed; awaiting NVIDIA VR NVL144 rack power data</t>
  </si>
  <si>
    <t xml:space="preserve">Pricing (chip-level list prices on Pricing tab)</t>
  </si>
  <si>
    <t xml:space="preserve">Reserved/commit discount vs on-demand</t>
  </si>
  <si>
    <t xml:space="preserve">nebius.com/prices: 'Pay up to 35% less than on-demand' -&gt; reserved floor = OD x (1-35%)</t>
  </si>
  <si>
    <t xml:space="preserve">Forecast list-price multiplier (on-demand, reserved, spot)</t>
  </si>
  <si>
    <t xml:space="preserve">Scenario lever on books (b) and (c); book (a) contracts are fixed $/MW-yr</t>
  </si>
  <si>
    <t xml:space="preserve">Price path: 1 = v0.4 (one-off post-Rubin Blackwell cut, then annual decline from year 2: Blackwell from PxCycIdx+4, Next-gen from NextLaunchIdx+4); 0 = v0.3 (annual change from PxBaseIdx)</t>
  </si>
  <si>
    <t xml:space="preserve">Bear stress: power loosens 2028 - steeper Blackwell/Next-gen decline from PwrLooseIdx (1 = on)</t>
  </si>
  <si>
    <t xml:space="preserve">Stress toggle; pending Skeptic's source</t>
  </si>
  <si>
    <t xml:space="preserve">Annual list-price change when power loosens</t>
  </si>
  <si>
    <t xml:space="preserve">Placeholder pending Skeptic's source</t>
  </si>
  <si>
    <t xml:space="preserve">Power-loosening start quarter</t>
  </si>
  <si>
    <t xml:space="preserve">Annual list-price change - Hopper</t>
  </si>
  <si>
    <t xml:space="preserve">Applied from PxBaseIdx; bear owned by Skeptic</t>
  </si>
  <si>
    <t xml:space="preserve">Annual list-price change - Blackwell (year 2 onward, after post-Rubin cut)</t>
  </si>
  <si>
    <t xml:space="preserve">GPU Market, from archived list prices: bull -2.5% / base -6% / bear -9.5% per yr from year 2, plus one-off post-Rubin cut (PxCyc 6.25/22/31%). v0.3 was -10% / 0% / -25% from Q4'26</t>
  </si>
  <si>
    <t xml:space="preserve">Annual list-price change - Next-gen (year 2 onward after launch)</t>
  </si>
  <si>
    <t xml:space="preserve">GPU Market, from archived list prices: bull -2.5% / base -6% / bear -9.5%. v0.3 was -1.7% / -5% / -20% from Q4'26</t>
  </si>
  <si>
    <t xml:space="preserve">First quarter on new (Oct 1 2026) list prices</t>
  </si>
  <si>
    <t xml:space="preserve">nebius.com/prices 'Effective October 1, 2026' column -&gt; Q4'26 (idx 12)</t>
  </si>
  <si>
    <t xml:space="preserve">GB200/GB300 NVL72 price premium vs HGX B300</t>
  </si>
  <si>
    <t xml:space="preserve">Nebius = 'Contact us'. Proxy: CoreWeave GB200 $10.50 vs B200 $8.60 per GPU-hr (Oct 4 2026 snapshot)</t>
  </si>
  <si>
    <t xml:space="preserve">Vera Rubin $/GPU-hr premium vs GB300 NVL72 (new deals)</t>
  </si>
  <si>
    <t xml:space="preserve">v0.6 base 1.2x (tests 1.1x / 1.5x): Anthropic-Nscale Rubin ~$5.76/GPU-hr vs IREN GB300 ~$4.65 (1.24x) and vs $5.10 implied by $22M/IT MW (1.13x); Nscale ~$16.2M/IT MW. Medium-low (single Rubin contract). v0.5 = 1.56x per-MW parity. v0.7: NOT used for new-deal revenue when RubinMode = 1 (direct $/IT MW); on-demand list/memo only</t>
  </si>
  <si>
    <t xml:space="preserve">Launch-premium driver on (0/1)</t>
  </si>
  <si>
    <t xml:space="preserve">Toggle kept; default premium 0% / head-start 0 months</t>
  </si>
  <si>
    <t xml:space="preserve">Nebius launch premium on new generation vs peers</t>
  </si>
  <si>
    <t xml:space="preserve">GPU Market &amp; Comps: Nebius trails CoreWeave by 2-6 months each generation since H200 and launched at/below peer prices -&gt; 0%</t>
  </si>
  <si>
    <t xml:space="preserve">Head-start window for launch premium</t>
  </si>
  <si>
    <t xml:space="preserve">months</t>
  </si>
  <si>
    <t xml:space="preserve">As above -&gt; 0 months</t>
  </si>
  <si>
    <t xml:space="preserve">Next-gen (Rubin) launch quarter</t>
  </si>
  <si>
    <t xml:space="preserve">Meta #2 Vera Rubin from early 2027</t>
  </si>
  <si>
    <t xml:space="preserve">Microsoft tranche billing ramp: quarters from delivery to full run-rate</t>
  </si>
  <si>
    <t xml:space="preserve">Capacity/Modeling</t>
  </si>
  <si>
    <t xml:space="preserve">Calibrated: Q2'26 MS revenue ~$121M = T1 (3/4) + T2 (2/4) x $96.6M/qtr (equal split); ramp defers, not recovered (conservative)</t>
  </si>
  <si>
    <t xml:space="preserve">Price realization vs list - on-demand (book c)</t>
  </si>
  <si>
    <t xml:space="preserve">bear 0.85 / base 0.95 / bull 1.00</t>
  </si>
  <si>
    <t xml:space="preserve">Price realization vs on-demand list - reserved/commit (book b)</t>
  </si>
  <si>
    <t xml:space="preserve">bear 0.65 / base 0.72 / bull 0.85 (list floor = OD x 0.65)</t>
  </si>
  <si>
    <t xml:space="preserve">Forecast utilization - on-demand book (c)</t>
  </si>
  <si>
    <t xml:space="preserve">Base linked to Q2-26 calibrated utilization, bounded to 40-100% for the FORECAST only (calibration itself is flagged, not forced)</t>
  </si>
  <si>
    <t xml:space="preserve">Forecast utilization - reserved/commit book (b)</t>
  </si>
  <si>
    <t xml:space="preserve">Base linked to Q2'26 calibrated utilization</t>
  </si>
  <si>
    <t xml:space="preserve">Billable utilization - spot/preemptible</t>
  </si>
  <si>
    <t xml:space="preserve">Post-term merchant utilization (residual value of contract GPUs)</t>
  </si>
  <si>
    <t xml:space="preserve">Skeptic/GPU Market</t>
  </si>
  <si>
    <t xml:space="preserve">Bear = A100 decay proxy at ~60% utilization (Skeptic)</t>
  </si>
  <si>
    <t xml:space="preserve">Hyperscaler take-or-pay contracts (tranche detail on Contracts tab)</t>
  </si>
  <si>
    <t xml:space="preserve">Microsoft committed TCV</t>
  </si>
  <si>
    <t xml:space="preserve">6-K Sep 8 2025 + 20-F FY25 Note 1: committed fees up to $17,392.9M, 5-yr, Vineland NJ, tranches 2025-26; up to ~$19.4B with extra capacity</t>
  </si>
  <si>
    <t xml:space="preserve">Microsoft dedicated IT MW (total across 9 tranches)</t>
  </si>
  <si>
    <t xml:space="preserve">Equal-size ASSUMPTION ~26.7 IT MW per tranche (not disclosed); Vineland 300 MW gross</t>
  </si>
  <si>
    <t xml:space="preserve">Microsoft tranche count (base contract)</t>
  </si>
  <si>
    <t xml:space="preserve">20-F FY25: nine tranches during 2025-2026</t>
  </si>
  <si>
    <t xml:space="preserve">ACV per MW - 2026 base capacity</t>
  </si>
  <si>
    <t xml:space="preserve">Q2'26 shareholder letter p.1 chart: '2026 base ~$12M' ACV per MW (approximate)</t>
  </si>
  <si>
    <t xml:space="preserve">ACV per MW - Q2'26 deals / new-gen capacity</t>
  </si>
  <si>
    <t xml:space="preserve">Q2'26 letter: $20-25M ACV per MW (midpoint)</t>
  </si>
  <si>
    <t xml:space="preserve">Revenue factor in delivery quarter</t>
  </si>
  <si>
    <t xml:space="preserve">Mid-quarter convention</t>
  </si>
  <si>
    <t xml:space="preserve">Microsoft/Vineland power ceiling before Bloom (gross MW)</t>
  </si>
  <si>
    <t xml:space="preserve">62 rented Caterpillar gensets x 1.98 MW = 122.8 MW gross (Capacity &amp; Power)</t>
  </si>
  <si>
    <t xml:space="preserve">Bloom fuel cells live at Vineland (0/1 toggle)</t>
  </si>
  <si>
    <t xml:space="preserve">1 = ceiling lifted from BloomIdx; 0 = genset cap forever</t>
  </si>
  <si>
    <t xml:space="preserve">Quarter Bloom fuel cells go live</t>
  </si>
  <si>
    <t xml:space="preserve">Bull Q1'27 / base Q2'27 / bear Q3'27 (tranches 5-9 need Bloom)</t>
  </si>
  <si>
    <t xml:space="preserve">Microsoft revenue ceiling check level</t>
  </si>
  <si>
    <t xml:space="preserve">$M/qtr</t>
  </si>
  <si>
    <t xml:space="preserve">~$350M/qtr at genset-limited power (check row only)</t>
  </si>
  <si>
    <t xml:space="preserve">Q2'26 24% customer = 1 Meta (default) / 2 Microsoft</t>
  </si>
  <si>
    <t xml:space="preserve">Q2'26: customers C/D/E = 24%/21%/14% of revenue (names not disclosed)</t>
  </si>
  <si>
    <t xml:space="preserve">Microsoft Q2'26 revenue run rate (bridge start)</t>
  </si>
  <si>
    <t xml:space="preserve">21% (if Meta = 24%) or 24% of Q2 AI cloud revenue $574.9M -&gt; ~$121M / ~$138M</t>
  </si>
  <si>
    <t xml:space="preserve">Meta #1 quarterly revenue (flat)</t>
  </si>
  <si>
    <t xml:space="preserve">$2,880.7M total (Reported) / 20 quarters</t>
  </si>
  <si>
    <t xml:space="preserve">Q4 bridge: Oct-1 list-price uplift - low</t>
  </si>
  <si>
    <t xml:space="preserve">GPU Market &amp; Comps: $40-125M/qtr</t>
  </si>
  <si>
    <t xml:space="preserve">Q4 bridge: Oct-1 list-price uplift - high</t>
  </si>
  <si>
    <t xml:space="preserve">Oklahoma (7 DC roles, live-looking) - IT MW from Q4'26 [Bull col = high, Base, Bear col = low]</t>
  </si>
  <si>
    <t xml:space="preserve">PLACEHOLDER - Capacity &amp; Power low/base/high, due Tue Oct 6</t>
  </si>
  <si>
    <t xml:space="preserve">Minnesota (RMA roles, likely colo live) - IT MW from Q4'26</t>
  </si>
  <si>
    <t xml:space="preserve">PLACEHOLDER - due Tue Oct 6</t>
  </si>
  <si>
    <t xml:space="preserve">Other unidentified colo - IT MW from Q4'26</t>
  </si>
  <si>
    <t xml:space="preserve">Vineland PUE used for genset ceiling</t>
  </si>
  <si>
    <t xml:space="preserve">Capacity file 'Vineland tranche track'</t>
  </si>
  <si>
    <t xml:space="preserve">Reserved/commit repricing lag (renewal) vs on-demand list</t>
  </si>
  <si>
    <t xml:space="preserve">List changes hit on-demand immediately; reserved reprices on renewal</t>
  </si>
  <si>
    <t xml:space="preserve">Q2'26 revenue mix - hyperscaler take-or-pay (calibration target)</t>
  </si>
  <si>
    <t xml:space="preserve">Range 40-46% (medium/low confidence)</t>
  </si>
  <si>
    <t xml:space="preserve">Q2'26 revenue mix - reserved/committed (calibration target)</t>
  </si>
  <si>
    <t xml:space="preserve">Range 44-57%</t>
  </si>
  <si>
    <t xml:space="preserve">Q2'26 revenue mix - on-demand + Token Factory (calibration target)</t>
  </si>
  <si>
    <t xml:space="preserve">Range 1.3-9%</t>
  </si>
  <si>
    <t xml:space="preserve">Skeptic/Capacity estimate of unseen billing MW - low (check only)</t>
  </si>
  <si>
    <t xml:space="preserve">Skeptic/Capacity</t>
  </si>
  <si>
    <t xml:space="preserve">Shown as a check against the bridge-implied MW, not used in calculations</t>
  </si>
  <si>
    <t xml:space="preserve">Skeptic/Capacity estimate of unseen billing MW - high (check only)</t>
  </si>
  <si>
    <t xml:space="preserve">Bear: GPU price at age 5 vs today's list (cut)</t>
  </si>
  <si>
    <t xml:space="preserve">Skeptic: 22-48% below today's list (A100 2022-peak to 2025-low path); midpoint 35%</t>
  </si>
  <si>
    <t xml:space="preserve">Late-delivery liquidated damages (% of scheduled qtr revenue per late quarter)</t>
  </si>
  <si>
    <t xml:space="preserve">Contract LD terms not disclosed</t>
  </si>
  <si>
    <t xml:space="preserve">Other revenue</t>
  </si>
  <si>
    <t xml:space="preserve">Other businesses revenue growth (Avride, TripleTen, net of elims)</t>
  </si>
  <si>
    <t xml:space="preserve">Q2'26: Avride $1.0M + TripleTen $10.0M - elim $3.6M = $7.4M</t>
  </si>
  <si>
    <t xml:space="preserve">Operating costs (ex-SBC)</t>
  </si>
  <si>
    <t xml:space="preserve">All-in power price</t>
  </si>
  <si>
    <t xml:space="preserve">$/MWh</t>
  </si>
  <si>
    <t xml:space="preserve">Blended across sites; not disclosed</t>
  </si>
  <si>
    <t xml:space="preserve">Leased/colo/build-to-suit rent (shell + power infrastructure)</t>
  </si>
  <si>
    <t xml:space="preserve">$M/gross MW-yr</t>
  </si>
  <si>
    <t xml:space="preserve">Capacity &amp; Power: $2.0-2.5M per gross MW-yr (market $165-205/kW-month); applied to leased IT MW x PUE; deducted from EBITDA</t>
  </si>
  <si>
    <t xml:space="preserve">Vineland power cost (Bloom fuel-cell PPA / gensets) - opex</t>
  </si>
  <si>
    <t xml:space="preserve">Capacity &amp; Power: ~$1.1M per gross MW-yr, range $93-185/MWh (low confidence); PPA = opex not capex</t>
  </si>
  <si>
    <t xml:space="preserve">Other cost of revenue (network, staff, support)</t>
  </si>
  <si>
    <t xml:space="preserve">% rev</t>
  </si>
  <si>
    <t xml:space="preserve">Calibrate to reported COR (Q2'26 23% of revenue incl. rent/power)</t>
  </si>
  <si>
    <t xml:space="preserve">Share-based compensation</t>
  </si>
  <si>
    <t xml:space="preserve">Excluded from adj. EBITDA; below-EBITDA charge</t>
  </si>
  <si>
    <t xml:space="preserve">Capex &amp; depreciation</t>
  </si>
  <si>
    <t xml:space="preserve">All-in cost per GPU - Hopper (server, network, storage)</t>
  </si>
  <si>
    <t xml:space="preserve">x GPUs/MW = ~$24M per IT MW</t>
  </si>
  <si>
    <t xml:space="preserve">All-in cost per GPU - Blackwell</t>
  </si>
  <si>
    <t xml:space="preserve">x 475/MW = ~$28.5M per IT MW (vs Capacity colo-case ~$30M/IT MW)</t>
  </si>
  <si>
    <t xml:space="preserve">All-in cost per GPU - Next-gen</t>
  </si>
  <si>
    <t xml:space="preserve">IT capex per IT MW (method 2, colo case)</t>
  </si>
  <si>
    <t xml:space="preserve">Capacity: ~$30M per IT MW (~$25M per gross MW)</t>
  </si>
  <si>
    <t xml:space="preserve">Owned shell/building capex per IT MW</t>
  </si>
  <si>
    <t xml:space="preserve">Owned sites only; leased sites pay rent instead</t>
  </si>
  <si>
    <t xml:space="preserve">Owned power/electrical/mechanical capex per IT MW</t>
  </si>
  <si>
    <t xml:space="preserve">Owned sites only</t>
  </si>
  <si>
    <t xml:space="preserve">IT/GPU (and rest) capex lead vs MW BILLING (qtrs; 1 or 2)</t>
  </si>
  <si>
    <t xml:space="preserve">v0.4 split lead (gpu_mw_capex.xlsx): GPUs/rest 1-2 qtrs ahead of billing (default 2); shell/power via DCLead 3. v0.3 used uniform 3 (sensitivity). Evidence: 6/30 assets-not-in-use $7.84B; FY26 capex guide $20-25B. GPU depreciation lag = PISLag + GPULead - 1 for forecast cohorts (starts at billing). First-negative quarter Q2'27 vs Q3'27 PROVISIONAL pending June MW</t>
  </si>
  <si>
    <t xml:space="preserve">Placed-in-service lag: capex quarter -&gt; depreciation start</t>
  </si>
  <si>
    <t xml:space="preserve">Filings/Skeptic</t>
  </si>
  <si>
    <t xml:space="preserve">Separate from billing lag. Bear 0 = depreciation starts at energization (unremediated material weakness over depreciation start dates, FY24 &amp; FY25 20-F; adverse ICFR opinion, Reanda)</t>
  </si>
  <si>
    <t xml:space="preserve">Mgmt CONNECTED power -&gt; billing lag (MW source 3 only)</t>
  </si>
  <si>
    <t xml:space="preserve">Call transcript: 'a few months' from CONNECTED power to revenue -&gt; 1-2 qtrs</t>
  </si>
  <si>
    <t xml:space="preserve">FY26 depreciation benefit from 4-&gt;5 yr life change (guided)</t>
  </si>
  <si>
    <t xml:space="preserve">20-F p.56 / Q2'26 Note 1</t>
  </si>
  <si>
    <t xml:space="preserve">H200 self-serve availability (Feb 4 2025)</t>
  </si>
  <si>
    <t xml:space="preserve">B200 GA (Jun 11 2025)</t>
  </si>
  <si>
    <t xml:space="preserve">GB300/B300 in customer use (Dec 17 2025)</t>
  </si>
  <si>
    <t xml:space="preserve">Vera Rubin availability (not yet; placeholder)</t>
  </si>
  <si>
    <t xml:space="preserve">Not yet available as of Oct 4 2026</t>
  </si>
  <si>
    <t xml:space="preserve">Consensus Q4'26 revenue</t>
  </si>
  <si>
    <t xml:space="preserve">Consensus, /workspace/nebius/skeptic/01_priced_in.xlsx (Oct 2 2026, medium confidence)</t>
  </si>
  <si>
    <t xml:space="preserve">Q2'26 group revenue (bridge start)</t>
  </si>
  <si>
    <t xml:space="preserve">Q2'26 6-K</t>
  </si>
  <si>
    <t xml:space="preserve">New-deal rate low (bridge MW implied)</t>
  </si>
  <si>
    <t xml:space="preserve">New-deal rate high</t>
  </si>
  <si>
    <t xml:space="preserve">Base revenue rate</t>
  </si>
  <si>
    <t xml:space="preserve">Capex toggle: 1 = consensus (FY27 = $29.1B via IT overlay cohort), 2 = path-consistent</t>
  </si>
  <si>
    <t xml:space="preserve">Path-consistent = Capacity energized path x capex per MW; GPU capex lands GPULead (1) qtr before billing (GPUs ship once site has power)</t>
  </si>
  <si>
    <t xml:space="preserve">Capitalized interest as % of gross convert + secured interest (forecast)</t>
  </si>
  <si>
    <t xml:space="preserve">Q2'26: 40.2 / 107.5 (Note 12); non-cash PP&amp;E addition, reduces P&amp;L interest, depreciated over CapIntLife</t>
  </si>
  <si>
    <t xml:space="preserve">Depreciation life of capitalized interest</t>
  </si>
  <si>
    <t xml:space="preserve">yrs</t>
  </si>
  <si>
    <t xml:space="preserve">Follows server life</t>
  </si>
  <si>
    <t xml:space="preserve">Release of Q2'26 assets-not-in-use into service in Q3'26</t>
  </si>
  <si>
    <t xml:space="preserve">Capacity/Filings</t>
  </si>
  <si>
    <t xml:space="preserve">Jul-Aug Vineland tranches T3-T4 + Q2 deployments</t>
  </si>
  <si>
    <t xml:space="preserve">Release of Q2'26 assets-not-in-use into service in Q4'26</t>
  </si>
  <si>
    <t xml:space="preserve">Q3'26 transfer into service - actual (enter when Q3 reported)</t>
  </si>
  <si>
    <t xml:space="preserve">From Q3'26 Note 7</t>
  </si>
  <si>
    <t xml:space="preserve">Q3'26 transfer threshold for 'large transfer' check</t>
  </si>
  <si>
    <t xml:space="preserve">Expect large transfer after Jul-Aug Vineland tranches</t>
  </si>
  <si>
    <t xml:space="preserve">Shell/power capex lead vs MW BILLING (qtrs)</t>
  </si>
  <si>
    <t xml:space="preserve">v0.4 split lead (gpu_mw_capex.xlsx): shell + power ~$10-12.5M/MW spent ~3 qtrs ahead of billing; depreciation from energization (PISLag + DCLead - 2 for forecast cohorts)</t>
  </si>
  <si>
    <t xml:space="preserve">Maintenance/other capex</t>
  </si>
  <si>
    <t xml:space="preserve">Historical capex split - IT/GPU share</t>
  </si>
  <si>
    <t xml:space="preserve">Split not disclosed; drives historical depreciation cohorts</t>
  </si>
  <si>
    <t xml:space="preserve">Historical capex split - shell/building share</t>
  </si>
  <si>
    <t xml:space="preserve">Historical capex split - power/electrical share</t>
  </si>
  <si>
    <t xml:space="preserve">Useful life - Hopper vintage</t>
  </si>
  <si>
    <t xml:space="preserve">Servers &amp; network 5 yrs from 1/1/2026 (was 4) - 20-F FY25 p.F-15; bull 6 / bear 4 (Skeptic) | GPU Market archived A100 list data: neocloud A100 composite $1.23 -&gt; $2.00 (Nov 2020 -&gt; Oct 2026); hyperscaler composite -1.8%/yr (Estimated support for 5-6 yr economic life)</t>
  </si>
  <si>
    <t xml:space="preserve">Useful life - Blackwell vintage</t>
  </si>
  <si>
    <t xml:space="preserve">Company policy 5 yrs; bull 6 / bear 4 | GPU Market archived A100 list data: neocloud A100 composite $1.23 -&gt; $2.00 (Nov 2020 -&gt; Oct 2026); hyperscaler composite -1.8%/yr (Estimated support for 5-6 yr economic life)</t>
  </si>
  <si>
    <t xml:space="preserve">Useful life - Next-gen vintage</t>
  </si>
  <si>
    <t xml:space="preserve">Company policy 5 yrs; bull 6 / bear 4</t>
  </si>
  <si>
    <t xml:space="preserve">GPU life override for ALL vintages (0 = use per-vintage)</t>
  </si>
  <si>
    <t xml:space="preserve">Set 4/5/6 to flex all vintages; Sensitivity tab shows 4/5/6 regardless</t>
  </si>
  <si>
    <t xml:space="preserve">Useful life - buildings/shell</t>
  </si>
  <si>
    <t xml:space="preserve">20-F FY25: buildings 20 yrs</t>
  </si>
  <si>
    <t xml:space="preserve">Useful life - power/electrical/infrastructure systems</t>
  </si>
  <si>
    <t xml:space="preserve">20-F FY25: infrastructure systems 3-10 yrs (upper end)</t>
  </si>
  <si>
    <t xml:space="preserve">Useful life - maintenance/other capex</t>
  </si>
  <si>
    <t xml:space="preserve">Impairment quarter index - Hopper (0 = none)</t>
  </si>
  <si>
    <t xml:space="preserve">e.g. 14 = Q2'27; write-down of remaining NBV of vintage cohorts placed up to that quarter</t>
  </si>
  <si>
    <t xml:space="preserve">Impairment % of NBV - Hopper</t>
  </si>
  <si>
    <t xml:space="preserve">Impairment quarter index - Blackwell (0 = none)</t>
  </si>
  <si>
    <t xml:space="preserve">Impairment % of NBV - Blackwell</t>
  </si>
  <si>
    <t xml:space="preserve">Impairment quarter index - Next-gen (0 = none)</t>
  </si>
  <si>
    <t xml:space="preserve">Impairment % of NBV - Next-gen</t>
  </si>
  <si>
    <t xml:space="preserve">Opening (pre-2024) Hopper gross cost</t>
  </si>
  <si>
    <t xml:space="preserve">Proxy = Q1'24 reported D&amp;A 8.9 x 16 quarters (4-yr life then in force)</t>
  </si>
  <si>
    <t xml:space="preserve">Other D&amp;A (intangibles, software) per quarter</t>
  </si>
  <si>
    <t xml:space="preserve">Acquired intangibles (Tavily, Clarifai, Eigen AI) not split out</t>
  </si>
  <si>
    <t xml:space="preserve">Customer prepayments / deferred revenue</t>
  </si>
  <si>
    <t xml:space="preserve">Deferred revenue at Q2'26 (current + non-current)</t>
  </si>
  <si>
    <t xml:space="preserve">Q2'26 interim FS: 979.4 current + 4,995.8 non-current</t>
  </si>
  <si>
    <t xml:space="preserve">Deferred revenue at Q4'25</t>
  </si>
  <si>
    <t xml:space="preserve">275.5 + 1,302.0</t>
  </si>
  <si>
    <t xml:space="preserve">FY2026 customer prepayments guided</t>
  </si>
  <si>
    <t xml:space="preserve">Q2'26 letter: 'over $9 billion in customer prepayments in 2026' (lower bound)</t>
  </si>
  <si>
    <t xml:space="preserve">New prepayments as % of capex (post 6/30)</t>
  </si>
  <si>
    <t xml:space="preserve">70% of deals x 55% of capex (Q2'26 letter: 50-60% of capex self-financed). Only NEW prepayments are cash; $5.975B opening DR is recognition only</t>
  </si>
  <si>
    <t xml:space="preserve">NEW prepayment release period (straight-line from billing start)</t>
  </si>
  <si>
    <t xml:space="preserve">v0.5: multi-year tranches 3-5 yrs -&gt; 4 yrs; slow burn-off (6/30 balance has its own Reported-split schedule)</t>
  </si>
  <si>
    <t xml:space="preserve">Financing &amp; capital structure (convert tranches on Financing tab)</t>
  </si>
  <si>
    <t xml:space="preserve">$775M asset-backed secured facility (SOFR+2.50%) drawn? 0 = $0 drawn (v0.7 base; drawn amount undisclosed), 1 = $775M (sensitivity)</t>
  </si>
  <si>
    <t xml:space="preserve">Drives cash, debt, interest AND runway consistently. Skeptic rerun basis includes it ($14.6B start)</t>
  </si>
  <si>
    <t xml:space="preserve">Runway: include remaining ATM (~12.27M sh at SharePx)</t>
  </si>
  <si>
    <t xml:space="preserve">Excluded by default</t>
  </si>
  <si>
    <t xml:space="preserve">Aug-2026 converts gross ($3.45B 2030s + $2.30B 2034s)</t>
  </si>
  <si>
    <t xml:space="preserve">CapStructure</t>
  </si>
  <si>
    <t xml:space="preserve">Unrestricted cash 6/30/26</t>
  </si>
  <si>
    <t xml:space="preserve">Excludes $1,056M restricted</t>
  </si>
  <si>
    <t xml:space="preserve">Restricted cash 6/30/26 (excluded)</t>
  </si>
  <si>
    <t xml:space="preserve">Older converts carrying, pro forma for Aug exchange</t>
  </si>
  <si>
    <t xml:space="preserve">Sum of 6/30 carrying (8,499.0) less 87.5% of 2029/2031 carrying exchanged (801.9)</t>
  </si>
  <si>
    <t xml:space="preserve">Debt, current 6/30/26</t>
  </si>
  <si>
    <t xml:space="preserve">Skeptic rerun: starting liquidity</t>
  </si>
  <si>
    <t xml:space="preserve">Same basis (cash + Aug gross + loan)</t>
  </si>
  <si>
    <t xml:space="preserve">Skeptic rerun: liquidity end Q1'27</t>
  </si>
  <si>
    <t xml:space="preserve">Skeptic rerun: liquidity end Q2'27</t>
  </si>
  <si>
    <t xml:space="preserve">Skeptic rerun: liquidity YE27</t>
  </si>
  <si>
    <t xml:space="preserve">Skeptic v2 FY27 revenue - low (1-qtr lag)</t>
  </si>
  <si>
    <t xml:space="preserve">Skeptic v2 FY27 revenue - base</t>
  </si>
  <si>
    <t xml:space="preserve">Skeptic v2 FY27 revenue - high</t>
  </si>
  <si>
    <t xml:space="preserve">Skeptic v2 FY27 revenue - stress (2-qtr lag)</t>
  </si>
  <si>
    <t xml:space="preserve">Skeptic v2 FY28 revenue</t>
  </si>
  <si>
    <t xml:space="preserve">Skeptic v2 EV / FY27 EBITDA - Nebius</t>
  </si>
  <si>
    <t xml:space="preserve">CoreWeave EV / FY27 EBITDA</t>
  </si>
  <si>
    <t xml:space="preserve">Q2'26 revenue per GPU-hour of capacity (check)</t>
  </si>
  <si>
    <t xml:space="preserve">$2.30B / 80,400 GPUs / 8,760</t>
  </si>
  <si>
    <t xml:space="preserve">Q2'26 annualized AI revenue per $ avg in-service servers (check)</t>
  </si>
  <si>
    <t xml:space="preserve">2.30 / avg(4.69, 5.20)</t>
  </si>
  <si>
    <t xml:space="preserve">Gross servers &amp; network in service 6/30/26</t>
  </si>
  <si>
    <t xml:space="preserve">Note 7</t>
  </si>
  <si>
    <t xml:space="preserve">Q2'26 revenue per energized MW (check)</t>
  </si>
  <si>
    <t xml:space="preserve">Capacity/GPU Market</t>
  </si>
  <si>
    <t xml:space="preserve">2.30B / ~173 MW</t>
  </si>
  <si>
    <t xml:space="preserve">Minimum cash balance</t>
  </si>
  <si>
    <t xml:space="preserve">Funding plug trigger</t>
  </si>
  <si>
    <t xml:space="preserve">Interest income yield on cash</t>
  </si>
  <si>
    <t xml:space="preserve">SOFR (forward avg)</t>
  </si>
  <si>
    <t xml:space="preserve">Secured term loan spread</t>
  </si>
  <si>
    <t xml:space="preserve">Jul-2026 $775M secured term loan at SOFR+2.50% (6-K/A Jul 17 2026)</t>
  </si>
  <si>
    <t xml:space="preserve">Secured term loan amount</t>
  </si>
  <si>
    <t xml:space="preserve">Signed 7/10/26; Nebius Compute II; MUFG lead</t>
  </si>
  <si>
    <t xml:space="preserve">Secured loan draw quarter</t>
  </si>
  <si>
    <t xml:space="preserve">Q3'26</t>
  </si>
  <si>
    <t xml:space="preserve">Secured loan maturity quarter</t>
  </si>
  <si>
    <t xml:space="preserve">Matures 10/31/2030 (Q4'30); amortization not disclosed -&gt; bullet assumed</t>
  </si>
  <si>
    <t xml:space="preserve">New debt (funding plug) spread over SOFR</t>
  </si>
  <si>
    <t xml:space="preserve">Funding gap filled with debt (rest = equity)</t>
  </si>
  <si>
    <t xml:space="preserve">Equity issuance discount to share price</t>
  </si>
  <si>
    <t xml:space="preserve">Aug-2026 convert net proceeds</t>
  </si>
  <si>
    <t xml:space="preserve">Pricing PR Aug 19 2026: ~$5.68B if options fully exercised (they were)</t>
  </si>
  <si>
    <t xml:space="preserve">Shares issued in Aug-2026 exchange of 2029/2031 notes</t>
  </si>
  <si>
    <t xml:space="preserve">M sh</t>
  </si>
  <si>
    <t xml:space="preserve">Filings &amp; Capital: 15.77M (PR: ~15.8M) Class A shares for $400M 2029s + $400M 2031s</t>
  </si>
  <si>
    <t xml:space="preserve">Exchange settlement quarter</t>
  </si>
  <si>
    <t xml:space="preserve">Q3'26 (Aug 24 2026)</t>
  </si>
  <si>
    <t xml:space="preserve">ATM shares sold Q3'26</t>
  </si>
  <si>
    <t xml:space="preserve">Not disclosed</t>
  </si>
  <si>
    <t xml:space="preserve">No post-6/30 ATM sales disclosed; ~0 in July (AGM record-date count); 12.27M remaining</t>
  </si>
  <si>
    <t xml:space="preserve">Convert dilution method (1 if-converted all, 2 ITM only, 3 net-share)</t>
  </si>
  <si>
    <t xml:space="preserve">Notes settle in cash/shares/combination at Nebius's election</t>
  </si>
  <si>
    <t xml:space="preserve">NVIDIA pre-funded warrant shares</t>
  </si>
  <si>
    <t xml:space="preserve">SPA 3/11/26, $0.0001 exercise; in basic EPS count but not in issued/outstanding</t>
  </si>
  <si>
    <t xml:space="preserve">Warrant issue quarter</t>
  </si>
  <si>
    <t xml:space="preserve">Q1'26</t>
  </si>
  <si>
    <t xml:space="preserve">Share options outstanding</t>
  </si>
  <si>
    <t xml:space="preserve">Q2'26 FS Note 13: 6,740,600, WAEP $88.65</t>
  </si>
  <si>
    <t xml:space="preserve">Options weighted-average exercise price</t>
  </si>
  <si>
    <t xml:space="preserve">Unvested RSUs</t>
  </si>
  <si>
    <t xml:space="preserve">Q2'26 FS Note 13: 6,234,091</t>
  </si>
  <si>
    <t xml:space="preserve">Unvested Eigen AI consideration shares</t>
  </si>
  <si>
    <t xml:space="preserve">Q2'26 Note 13; excluded from FD by default (not in Filings CapStructure tie-out)</t>
  </si>
  <si>
    <t xml:space="preserve">Include Eigen AI shares in diluted count (0/1)</t>
  </si>
  <si>
    <t xml:space="preserve">ATM shares remaining (funding source, NOT in today's count)</t>
  </si>
  <si>
    <t xml:space="preserve">12,270,507 at 6/30/26; used only in FD tie-out check</t>
  </si>
  <si>
    <t xml:space="preserve">Fully diluted shares at $242.81 EXCL. unsold ATM (Filings CapStructure)</t>
  </si>
  <si>
    <t xml:space="preserve">/workspace/nebius/filings/nebius_filings.xlsx CapStructure (check only)</t>
  </si>
  <si>
    <t xml:space="preserve">Fully diluted incl. 12.27M unsold ATM (Filings CapStructure)</t>
  </si>
  <si>
    <t xml:space="preserve">check only</t>
  </si>
  <si>
    <t xml:space="preserve">ITM convert shares at $242.81 (Filings)</t>
  </si>
  <si>
    <t xml:space="preserve">Six ITM converts</t>
  </si>
  <si>
    <t xml:space="preserve">ITM convert principal at $242.81 (Filings)</t>
  </si>
  <si>
    <t xml:space="preserve">CoreWeave EV at 6/30/26</t>
  </si>
  <si>
    <t xml:space="preserve">GPU Market &amp; Comps</t>
  </si>
  <si>
    <t xml:space="preserve">CoreWeave active MW</t>
  </si>
  <si>
    <t xml:space="preserve">CoreWeave contracted MW</t>
  </si>
  <si>
    <t xml:space="preserve">CoreWeave commenced lease liabilities</t>
  </si>
  <si>
    <t xml:space="preserve">CoreWeave other commitments (leases not commenced, power)</t>
  </si>
  <si>
    <t xml:space="preserve">Price used for quarterly convert/option dilution (1 = SharePx, 2 = solved valuation price)</t>
  </si>
  <si>
    <t xml:space="preserve">Valuation solves price and dilution jointly (unrolled fixed-point, no circularity)</t>
  </si>
  <si>
    <t xml:space="preserve">Net share issuance from new equity comp grants</t>
  </si>
  <si>
    <t xml:space="preserve">Default 0 (existing RSUs/options counted separately); set &gt;0 for future grants</t>
  </si>
  <si>
    <t xml:space="preserve">Tax rate on positive EBT</t>
  </si>
  <si>
    <t xml:space="preserve">NL statutory 25.8%; NOLs not modeled</t>
  </si>
  <si>
    <t xml:space="preserve">Existing/new converts left in debt (OTM at solved price): 1 = original principal (v0.7), 2 = accreted balance (v0.6)</t>
  </si>
  <si>
    <t xml:space="preserve">Filings CapStructure: $13.425B remaining original principal; NSS cash H = $1,000 per $1k original</t>
  </si>
  <si>
    <t xml:space="preserve">Funding plan v0.7 (ESTIMATED, not guidance): remaining ATM + two ~$5B convert deals in 2027 (Aug-26 terms); bear = converts shut, ATM at a discount</t>
  </si>
  <si>
    <t xml:space="preserve">Funding plan on (1) / off (0 = v0.6, no 2027 raises)</t>
  </si>
  <si>
    <t xml:space="preserve">Precedent (Filings): ~$21B raised externally in 15 months - $14.25B converts in 14 months, $1.15B follow-on Sep-25, NVIDIA $2.0B pre-funded warrant Mar-26, $2.81B net ATM Q2-26</t>
  </si>
  <si>
    <t xml:space="preserve">ATM sizing: 1 = remaining 12,270,507 sh; 2 = $ amount FP_ATMAmt (needs new program)</t>
  </si>
  <si>
    <t xml:space="preserve">Bear: converts shut -&gt; ATM sized to fill YE27 gap</t>
  </si>
  <si>
    <t xml:space="preserve">ATM sale quarter</t>
  </si>
  <si>
    <t xml:space="preserve">ATM price discount to SharePx</t>
  </si>
  <si>
    <t xml:space="preserve">Base/bull at $242.81 (~$2.98B); bear 40% below (test 30% / 50%)</t>
  </si>
  <si>
    <t xml:space="preserve">ATM $ amount if FP_ATMMode = 2</t>
  </si>
  <si>
    <t xml:space="preserve">Bear: sized so YE27 liquidity &gt;= MinCash</t>
  </si>
  <si>
    <t xml:space="preserve">ATM issue price</t>
  </si>
  <si>
    <t xml:space="preserve">ATM shares issued (M)</t>
  </si>
  <si>
    <t xml:space="preserve">ATM proceeds ($M)</t>
  </si>
  <si>
    <t xml:space="preserve">Fees ignored</t>
  </si>
  <si>
    <t xml:space="preserve">Convert market open (1) / shut (0)</t>
  </si>
  <si>
    <t xml:space="preserve">Bear: shut</t>
  </si>
  <si>
    <t xml:space="preserve">Convert deal 1 quarter</t>
  </si>
  <si>
    <t xml:space="preserve">Q1'27 (ahead of first negative quarter Q2'27)</t>
  </si>
  <si>
    <t xml:space="preserve">Convert deal 2 quarter</t>
  </si>
  <si>
    <t xml:space="preserve">Convert deal 1 gross ($M)</t>
  </si>
  <si>
    <t xml:space="preserve">Sized so base YE27 liquidity ~ MinCash $2B: pre-plan YE27 gap -$13.5B in v0.7 (loan $0, Rubin capex $41M) vs ~-$9.5B in v0.6; $5B each leaves -$0.7B. Aug-26 deal $5.75B</t>
  </si>
  <si>
    <t xml:space="preserve">Convert deal 2 gross ($M)</t>
  </si>
  <si>
    <t xml:space="preserve">Share of each deal in the short tranche</t>
  </si>
  <si>
    <t xml:space="preserve">Aug-26: $3.45B 2030s of $5.75B</t>
  </si>
  <si>
    <t xml:space="preserve">Short tranche coupon</t>
  </si>
  <si>
    <t xml:space="preserve">Aug-26 0.50% Feb-2030 (Mar-26: 1.25% Mar-2031)</t>
  </si>
  <si>
    <t xml:space="preserve">Long tranche coupon</t>
  </si>
  <si>
    <t xml:space="preserve">Aug-26 4.50% Feb-2034 (Mar-26: 2.625% Mar-2033)</t>
  </si>
  <si>
    <t xml:space="preserve">Short tranche accretion at maturity (x principal)</t>
  </si>
  <si>
    <t xml:space="preserve">Aug-26 2030s 110%</t>
  </si>
  <si>
    <t xml:space="preserve">Long tranche accretion at maturity</t>
  </si>
  <si>
    <t xml:space="preserve">Aug-26 2034s 125%</t>
  </si>
  <si>
    <t xml:space="preserve">Short tranche conversion premium over reference price</t>
  </si>
  <si>
    <t xml:space="preserve">Aug-26: $313.46 / $223.90 ref close = 1.40</t>
  </si>
  <si>
    <t xml:space="preserve">Long tranche conversion premium</t>
  </si>
  <si>
    <t xml:space="preserve">Aug-26: $324.65 / $223.90 = 1.45</t>
  </si>
  <si>
    <t xml:space="preserve">Short tranche tenor (years)</t>
  </si>
  <si>
    <t xml:space="preserve">Aug-26 2030s: 8/24/26 -&gt; 2/15/30</t>
  </si>
  <si>
    <t xml:space="preserve">Long tranche tenor (years)</t>
  </si>
  <si>
    <t xml:space="preserve">Aug-26 2034s: 8/24/26 -&gt; 2/15/34</t>
  </si>
  <si>
    <t xml:space="preserve">Reference share price at issue</t>
  </si>
  <si>
    <t xml:space="preserve">Market price (deals priced off market, not model value)</t>
  </si>
  <si>
    <t xml:space="preserve">Convert fees (% of gross)</t>
  </si>
  <si>
    <t xml:space="preserve">Aug-26: 5,680 net / 5,750 gross</t>
  </si>
  <si>
    <t xml:space="preserve">Post-funding share count quarter</t>
  </si>
  <si>
    <t xml:space="preserve">YE27 (after both deals)</t>
  </si>
  <si>
    <t xml:space="preserve">Avride adj. EBITDA per quarter (held flat)</t>
  </si>
  <si>
    <t xml:space="preserve">H1'26 -$74.2M / 2; inside consolidated EBITDA</t>
  </si>
  <si>
    <t xml:space="preserve">Add back PV of Avride burn when Avride is valued separately (V_AV &gt; 0) - avoids double count</t>
  </si>
  <si>
    <t xml:space="preserve">v0.7 fix; 0 = v0.6 (bull double count)</t>
  </si>
  <si>
    <t xml:space="preserve">Valuation</t>
  </si>
  <si>
    <t xml:space="preserve">WACC</t>
  </si>
  <si>
    <t xml:space="preserve">Cost of equity (12-month PT roll-forward)</t>
  </si>
  <si>
    <t xml:space="preserve">Terminal growth (TGMode 0 only)</t>
  </si>
  <si>
    <t xml:space="preserve">Terminal growth basis: 1 = fundamentals g = TermRR x TermRONC with matching reinvestment (TermRR x NOPAT... = g/RONC x NOPAT) deducted [v0.4 default]; 0 = fixed TG with TG x net PP&amp;E growth capex</t>
  </si>
  <si>
    <t xml:space="preserve">Skeptic: terminal g must be consistent with reinvestment</t>
  </si>
  <si>
    <t xml:space="preserve">Terminal return on NEW capital (after tax)</t>
  </si>
  <si>
    <t xml:space="preserve">Placeholder ~WACC + 1pp (new capital earns little excess return in a competitive GPU market); pending Skeptic</t>
  </si>
  <si>
    <t xml:space="preserve">Terminal reinvestment rate (net reinvestment / NOPAT)</t>
  </si>
  <si>
    <t xml:space="preserve">Placeholder; g = 25% x 12% = 3.0% base; pending Skeptic</t>
  </si>
  <si>
    <t xml:space="preserve">Cap on fundamental terminal g (nominal GDP-type ceiling)</t>
  </si>
  <si>
    <t xml:space="preserve">Exit / horizon EV / NTM adj. EBITDA</t>
  </si>
  <si>
    <t xml:space="preserve">Peer comps pending (CRWV ~5.7x FY27 per Skeptic)</t>
  </si>
  <si>
    <t xml:space="preserve">Weight on Gordon-growth TV (rest = exit multiple)</t>
  </si>
  <si>
    <t xml:space="preserve">Was 50%: the 14x exit multiple is an unsourced placeholder (CRWV ~4.8x FY27); Gordon is base, exit multiple shown as cross-check</t>
  </si>
  <si>
    <t xml:space="preserve">Terminal capex / D&amp;A</t>
  </si>
  <si>
    <t xml:space="preserve">Peer EV per contracted MW</t>
  </si>
  <si>
    <t xml:space="preserve">Cross-check only</t>
  </si>
  <si>
    <t xml:space="preserve">ClickHouse stake value - low (carrying value)</t>
  </si>
  <si>
    <t xml:space="preserve">Q2'26 6-K Ex.99.2 Note 5 carrying value (Filings SOTP tab)</t>
  </si>
  <si>
    <t xml:space="preserve">ClickHouse stake value - mark (~28% fully diluted x ~$15B Series D)</t>
  </si>
  <si>
    <t xml:space="preserve">Filings SOTP tab</t>
  </si>
  <si>
    <t xml:space="preserve">Toloka stake value - low (fair value)</t>
  </si>
  <si>
    <t xml:space="preserve">Fair value $130.6M (carrying $86.5M); Note 5</t>
  </si>
  <si>
    <t xml:space="preserve">Toloka stake value - high (fair value)</t>
  </si>
  <si>
    <t xml:space="preserve">Fair value $130.6M</t>
  </si>
  <si>
    <t xml:space="preserve">Avride value - low</t>
  </si>
  <si>
    <t xml:space="preserve">Not disclosed (consolidated sub) -&gt; floor $0</t>
  </si>
  <si>
    <t xml:space="preserve">Avride value - high (Caplight third-party estimate, LOW confidence)</t>
  </si>
  <si>
    <t xml:space="preserve">Avride H1'26 adj. EBITDA -$74.2M (Reported) is inside consolidated opex calibration -&gt; adding a stand-alone value double-counts its burn; high case only</t>
  </si>
  <si>
    <t xml:space="preserve">Avride point in low-high range (0 = $0 floor)</t>
  </si>
  <si>
    <t xml:space="preserve">v0.7: all scenarios 0 = keep Avride burn in consolidated EBITDA, credit $0 (v0.6 bull 0.5 credited value AND kept burn = double count). Alternative: AVPt 0.5 + AVBurnOn 1 (credit value, add back PV of burn) - sensitivity</t>
  </si>
  <si>
    <t xml:space="preserve">VC fund + other non-marketable investments (TripleTen not disclosed - blank)</t>
  </si>
  <si>
    <t xml:space="preserve">VC fund $13.8M + other non-marketable $2.5M (Note 5)</t>
  </si>
  <si>
    <t xml:space="preserve">SOTP point in low-high range (0 = low, 1 = high)</t>
  </si>
  <si>
    <t xml:space="preserve">Bull = high, base = mid, bear = low</t>
  </si>
  <si>
    <t xml:space="preserve">Energy purchase commitments (off-balance-sheet)</t>
  </si>
  <si>
    <t xml:space="preserve">Q2'26 interim FS commitments note (Filings &amp; Capital)</t>
  </si>
  <si>
    <t xml:space="preserve">Signed leases not yet commenced (off-balance-sheet)</t>
  </si>
  <si>
    <t xml:space="preserve">Q2'26 interim FS (Filings &amp; Capital)</t>
  </si>
  <si>
    <t xml:space="preserve">Operating lease liabilities on balance sheet</t>
  </si>
  <si>
    <t xml:space="preserve">Q2'26 balance sheet (Filings &amp; Capital); in lease toggle block (forecast rent already in EBITDA -&gt; partial weight)</t>
  </si>
  <si>
    <t xml:space="preserve">Weight of off-B/S commitments in EV bridge</t>
  </si>
  <si>
    <t xml:space="preserve">0-100%; Valuation shows 0% / chosen / 100%</t>
  </si>
  <si>
    <t xml:space="preserve">Skeptic FY27 EBIT at 4-yr GPU life</t>
  </si>
  <si>
    <t xml:space="preserve">Skeptic sensitivity figures for cross-check</t>
  </si>
  <si>
    <t xml:space="preserve">Skeptic FY27 EBIT at 5-yr GPU life</t>
  </si>
  <si>
    <t xml:space="preserve">Skeptic FY27 EBIT at 6-yr GPU life</t>
  </si>
  <si>
    <t xml:space="preserve">Holdco discount on stakes</t>
  </si>
  <si>
    <t xml:space="preserve">Annual time-series inputs (looked up by fiscal year)</t>
  </si>
  <si>
    <t xml:space="preserve">Annual input</t>
  </si>
  <si>
    <t xml:space="preserve">Owned share of unallocated (portfolio-level) MW</t>
  </si>
  <si>
    <t xml:space="preserve">Q1'26 letter: &gt;75% of contracted power owned; energized mix shifts to owned as MO/PA/AL ramp 2027+</t>
  </si>
  <si>
    <t xml:space="preserve">New-deployment generation mix - Hopper</t>
  </si>
  <si>
    <t xml:space="preserve">New-deployment generation mix - Blackwell</t>
  </si>
  <si>
    <t xml:space="preserve">New-deployment generation mix - Next-gen (Rubin)</t>
  </si>
  <si>
    <t xml:space="preserve">Meta #2 = Vera Rubin from early 2027</t>
  </si>
  <si>
    <t xml:space="preserve">Book (b) reserved/commit share of non-hyperscaler GPU capacity</t>
  </si>
  <si>
    <t xml:space="preserve">Set so Q2'26 b:c revenue ~50:4 (GPU Market mix) at realization 0.72 / 0.95</t>
  </si>
  <si>
    <t xml:space="preserve">Spot share within book (c) on-demand capacity</t>
  </si>
  <si>
    <t xml:space="preserve">AI Studio / Token Factory uplift on book (c)</t>
  </si>
  <si>
    <t xml:space="preserve">Token Factory production inference &gt;3x QoQ in Q2'26 (no $ disclosed)</t>
  </si>
  <si>
    <t xml:space="preserve">Asset-light partner revenue</t>
  </si>
  <si>
    <t xml:space="preserve">$M/yr</t>
  </si>
  <si>
    <t xml:space="preserve">Model launched Q2'26; no economics disclosed</t>
  </si>
  <si>
    <t xml:space="preserve">Consensus revenue (FY24..FY30; FY26-28 only)</t>
  </si>
  <si>
    <t xml:space="preserve">Consensus, /workspace/nebius/skeptic/01_priced_in.xlsx, Oct 2 2026, medium confidence</t>
  </si>
  <si>
    <t xml:space="preserve">Consensus adj. EBITDA</t>
  </si>
  <si>
    <t xml:space="preserve">as above (FY27 only)</t>
  </si>
  <si>
    <t xml:space="preserve">Product development ex-SBC</t>
  </si>
  <si>
    <t xml:space="preserve">Q2'26 PD $191.0M incl. $115.9M one-off Eigen AI SBC/post-combination -&gt; ~11-13% underlying</t>
  </si>
  <si>
    <t xml:space="preserve">SG&amp;A ex-SBC</t>
  </si>
  <si>
    <t xml:space="preserve">Calibrated so Q2'26 group adj. EBITDA margin ~41%</t>
  </si>
  <si>
    <t xml:space="preserve">Residual (post-term) price curve: % of launch on-demand price by GPU age</t>
  </si>
  <si>
    <t xml:space="preserve">Yr 1</t>
  </si>
  <si>
    <t xml:space="preserve">Yr 2</t>
  </si>
  <si>
    <t xml:space="preserve">Yr 3</t>
  </si>
  <si>
    <t xml:space="preserve">Yr 4</t>
  </si>
  <si>
    <t xml:space="preserve">Yr 5</t>
  </si>
  <si>
    <t xml:space="preserve">Yr 6</t>
  </si>
  <si>
    <t xml:space="preserve">Yr 7</t>
  </si>
  <si>
    <t xml:space="preserve">Yr 8</t>
  </si>
  <si>
    <t xml:space="preserve">H100 SXM on-demand neocloud median, annual avg ($/GPU-hr): 2024 | 2025 | 2026 YTD</t>
  </si>
  <si>
    <t xml:space="preserve">Loaded from /workspace/nebius/market/gpu_price_history.xlsx sheet H100_Nebius_vs_Medians (monthly fwd-filled medians, Jan-24..Oct-26); re-run build_model.py to refresh</t>
  </si>
  <si>
    <t xml:space="preserve">Base curve: yrs 1-3 = H100 median relative to 2024 (Derived); yrs 4-8 placeholder pending longer history</t>
  </si>
  <si>
    <t xml:space="preserve">Bear curve (A100 proxy): linear to (1 - ResidBearCut) at age 5, then same pace compounding; never zero; bear ResidUtil 60%</t>
  </si>
  <si>
    <t xml:space="preserve">LIVE curve</t>
  </si>
  <si>
    <t xml:space="preserve">Timeline (one column per quarter, Q1'24-Q4'30)</t>
  </si>
  <si>
    <t xml:space="preserve">Q1'24</t>
  </si>
  <si>
    <t xml:space="preserve">Q2'24</t>
  </si>
  <si>
    <t xml:space="preserve">Q3'24</t>
  </si>
  <si>
    <t xml:space="preserve">Q4'24</t>
  </si>
  <si>
    <t xml:space="preserve">Q1'25</t>
  </si>
  <si>
    <t xml:space="preserve">Q2'25</t>
  </si>
  <si>
    <t xml:space="preserve">Q3'25</t>
  </si>
  <si>
    <t xml:space="preserve">Q4'25</t>
  </si>
  <si>
    <t xml:space="preserve">Q2'26</t>
  </si>
  <si>
    <t xml:space="preserve">Q3'28</t>
  </si>
  <si>
    <t xml:space="preserve">Q4'28</t>
  </si>
  <si>
    <t xml:space="preserve">Q1'29</t>
  </si>
  <si>
    <t xml:space="preserve">Q2'29</t>
  </si>
  <si>
    <t xml:space="preserve">Q3'29</t>
  </si>
  <si>
    <t xml:space="preserve">Q4'29</t>
  </si>
  <si>
    <t xml:space="preserve">Q1'30</t>
  </si>
  <si>
    <t xml:space="preserve">Q2'30</t>
  </si>
  <si>
    <t xml:space="preserve">Q3'30</t>
  </si>
  <si>
    <t xml:space="preserve">Q4'30</t>
  </si>
  <si>
    <t xml:space="preserve">Period end</t>
  </si>
  <si>
    <t xml:space="preserve">Index</t>
  </si>
  <si>
    <t xml:space="preserve">A/F</t>
  </si>
  <si>
    <t xml:space="preserve">Fiscal year</t>
  </si>
  <si>
    <t xml:space="preserve">Days</t>
  </si>
  <si>
    <t xml:space="preserve">Hours</t>
  </si>
  <si>
    <t xml:space="preserve">Historical inputs Q1'24-Q2'26 with Reported / Derived / Estimated / Not disclosed tags</t>
  </si>
  <si>
    <t xml:space="preserve">Each metric = 5 rows: value as disclosed | tag | best estimate (numeric) | method/source | VALUE USED (= value if disclosed, else best estimate). No silent gaps: every quarter carries a tag. Other tabs link to the VALUE USED row only.</t>
  </si>
  <si>
    <t xml:space="preserve">Notes</t>
  </si>
  <si>
    <t xml:space="preserve">Group revenue</t>
  </si>
  <si>
    <t xml:space="preserve">Continuing ops. Q1'24 figure is on the pre-restatement basis (Q1'25 PR) - flag.</t>
  </si>
  <si>
    <t xml:space="preserve">   tag</t>
  </si>
  <si>
    <t xml:space="preserve">   best estimate</t>
  </si>
  <si>
    <t xml:space="preserve">   method / source</t>
  </si>
  <si>
    <t xml:space="preserve">Q1'25 6-K PR comparatives (pre-Toloka-deconsolidation basis)</t>
  </si>
  <si>
    <t xml:space="preserve">Q2'25 6-K PR comparative</t>
  </si>
  <si>
    <t xml:space="preserve">Q3'25 6-K PR comparative (restated)</t>
  </si>
  <si>
    <t xml:space="preserve">Q4'25 6-K PR comparative</t>
  </si>
  <si>
    <t xml:space="preserve">Q1'26 6-K PR comparative (restated)</t>
  </si>
  <si>
    <t xml:space="preserve">Q2'26 6-K PR comparative</t>
  </si>
  <si>
    <t xml:space="preserve">Q3'25 6-K PR</t>
  </si>
  <si>
    <t xml:space="preserve">Q4'25 6-K PR</t>
  </si>
  <si>
    <t xml:space="preserve">Q1'26 6-K PR</t>
  </si>
  <si>
    <t xml:space="preserve">Q2'26 6-K PR (acc. 0001104659-26-094568)</t>
  </si>
  <si>
    <t xml:space="preserve">   VALUE USED</t>
  </si>
  <si>
    <t xml:space="preserve">Nebius AI cloud revenue</t>
  </si>
  <si>
    <t xml:space="preserve">Segment disclosure; earlier quarters derived from YoY growth or estimated as % of group</t>
  </si>
  <si>
    <t xml:space="preserve">n.d.</t>
  </si>
  <si>
    <t xml:space="preserve">Est = 90% of group revenue (pre-2025 mix; Avride/TripleTen remainder)</t>
  </si>
  <si>
    <t xml:space="preserve">Derived: Q1'26 $389.7M / (1+841%)</t>
  </si>
  <si>
    <t xml:space="preserve">Derived: Q2'26 $574.9M / (1+514%)</t>
  </si>
  <si>
    <t xml:space="preserve">Est = 95% of group revenue</t>
  </si>
  <si>
    <t xml:space="preserve">Q4'25 letter</t>
  </si>
  <si>
    <t xml:space="preserve">Q1'26 letter</t>
  </si>
  <si>
    <t xml:space="preserve">Q2'26 letter</t>
  </si>
  <si>
    <t xml:space="preserve">ARR (last-month AI cloud revenue x 12)</t>
  </si>
  <si>
    <t xml:space="preserve">Mgmt definition; Q2'25/Q1'25 derived from stated YoY growth</t>
  </si>
  <si>
    <t xml:space="preserve">Est = AI cloud revenue est x 4 (run-rate proxy)</t>
  </si>
  <si>
    <t xml:space="preserve">Q4'25 letter ARR chart (Dec-24 $90M)</t>
  </si>
  <si>
    <t xml:space="preserve">Derived: $1.92B / (1+674%)</t>
  </si>
  <si>
    <t xml:space="preserve">Derived: $3.0B / (1+598%)</t>
  </si>
  <si>
    <t xml:space="preserve">Q4'25 letter: 'more than doubled from $551M'</t>
  </si>
  <si>
    <t xml:space="preserve">Q1'26 letter ($1.92B)</t>
  </si>
  <si>
    <t xml:space="preserve">Cost of revenues</t>
  </si>
  <si>
    <t xml:space="preserve">GAAP incl. SBC. Q1'24/Q2'24 estimated by splitting (revenue - adj. EBITDA) on Q3'24 mix</t>
  </si>
  <si>
    <t xml:space="preserve">Est: (rev - adj EBITDA) x Q3'24 COR share</t>
  </si>
  <si>
    <t xml:space="preserve">Product development</t>
  </si>
  <si>
    <t xml:space="preserve">GAAP incl. SBC. Q1'24/Q2'24 estimated by splitting (revenue - adj. EBITDA) on Q3'24 mix; Q2'26 incl. $115.9M one-off Eigen AI</t>
  </si>
  <si>
    <t xml:space="preserve">Est: (rev - adj EBITDA) x Q3'24 PD share</t>
  </si>
  <si>
    <t xml:space="preserve">Sales, general &amp; administrative</t>
  </si>
  <si>
    <t xml:space="preserve">Est: (rev - adj EBITDA) x Q3'24 SG&amp;A share</t>
  </si>
  <si>
    <t xml:space="preserve">Depreciation &amp; amortization</t>
  </si>
  <si>
    <t xml:space="preserve">D&amp;A excluding 4-&gt;5 yr life change</t>
  </si>
  <si>
    <t xml:space="preserve">Q1'26 benefit $43.1M, Q2'26 $43.0M (FY26 guided $167.6M); = reported + benefit</t>
  </si>
  <si>
    <t xml:space="preserve">Derived: 212.0 + 43.1 (Q1'26 6-K Note 1)</t>
  </si>
  <si>
    <t xml:space="preserve">Derived: 259.7 + 43.0 (Q2'26 6-K Note 1)</t>
  </si>
  <si>
    <t xml:space="preserve">PP&amp;E, net (end of period)</t>
  </si>
  <si>
    <t xml:space="preserve">Q1'24 not comparable (pre-divestiture); /workspace/nebius/filings/nebius_filings.xlsx Quarterly</t>
  </si>
  <si>
    <t xml:space="preserve">Est: Q2'24 less Q2 capex net of D&amp;A</t>
  </si>
  <si>
    <t xml:space="preserve">Assets not yet in use (CIP / not placed in service)</t>
  </si>
  <si>
    <t xml:space="preserve">Note 7 of Q1/Q2'26 statements (Filings &amp; Capital); pre-Q4'25 not disclosed</t>
  </si>
  <si>
    <t xml:space="preserve">Not disclosed (no best estimate; yield check starts Q1'26)</t>
  </si>
  <si>
    <t xml:space="preserve">Q1/Q2'26 6-K Note 7</t>
  </si>
  <si>
    <t xml:space="preserve">In-service gross PP&amp;E</t>
  </si>
  <si>
    <t xml:space="preserve">Derived = gross PP&amp;E - assets not yet in use (Note 7)</t>
  </si>
  <si>
    <t xml:space="preserve">Derived, Note 7</t>
  </si>
  <si>
    <t xml:space="preserve">  of which servers &amp; network equipment (gross, in service)</t>
  </si>
  <si>
    <t xml:space="preserve">PP&amp;E depreciation (excl. intangible amortization)</t>
  </si>
  <si>
    <t xml:space="preserve">Note 7; pre-Q1'26 best estimate = total D&amp;A</t>
  </si>
  <si>
    <t xml:space="preserve">Est = total D&amp;A (amortization small)</t>
  </si>
  <si>
    <t xml:space="preserve">Capitalized interest</t>
  </si>
  <si>
    <t xml:space="preserve">Note 12: Q2'26 $40.2M vs $107.5M gross convert interest</t>
  </si>
  <si>
    <t xml:space="preserve">Not disclosed; est 0</t>
  </si>
  <si>
    <t xml:space="preserve">Note 12</t>
  </si>
  <si>
    <t xml:space="preserve">Adjusted EBITDA (group)</t>
  </si>
  <si>
    <t xml:space="preserve">Q1'24 on pre-restatement basis</t>
  </si>
  <si>
    <t xml:space="preserve">Capex (purchases of PP&amp;E + intangibles, cash)</t>
  </si>
  <si>
    <t xml:space="preserve">FY24 cash capex $807.5M; FY25 $4,066.0M (20-F FY25 cash-flow)</t>
  </si>
  <si>
    <t xml:space="preserve">Est: (FY24 807.5 - Q4'24 417.6) / 3 - split not disclosed</t>
  </si>
  <si>
    <t xml:space="preserve">Q4'24 PR</t>
  </si>
  <si>
    <t xml:space="preserve">Q1'25 letter</t>
  </si>
  <si>
    <t xml:space="preserve">Q2'25 letter</t>
  </si>
  <si>
    <t xml:space="preserve">Q3'25 letter</t>
  </si>
  <si>
    <t xml:space="preserve">20-F FY25 cash flow (FY 4,066.0 less 9M)</t>
  </si>
  <si>
    <t xml:space="preserve">Derived: 1H26 8,130.3 - Q2 5,657.4</t>
  </si>
  <si>
    <t xml:space="preserve">Q2'26 PR (Filings)</t>
  </si>
  <si>
    <t xml:space="preserve">Cash &amp; equivalents (ex-restricted)</t>
  </si>
  <si>
    <t xml:space="preserve">Est: carry Q3'24 balance (not loaded)</t>
  </si>
  <si>
    <t xml:space="preserve">Q3'24 PR (pre-restatement) as best estimate</t>
  </si>
  <si>
    <t xml:space="preserve">Shares issued &amp; outstanding (Class A + B, ex-treasury)</t>
  </si>
  <si>
    <t xml:space="preserve">Est: carry Q3'24 (pre-restructuring counts not comparable)</t>
  </si>
  <si>
    <t xml:space="preserve">Active power (IT MW consumed)</t>
  </si>
  <si>
    <t xml:space="preserve">Only YE25 disclosed (~170 MW). Est = 170 x group revenue / Q4'25 revenue (pre-2026) or linear path to 900 MW by Q2'27 (2026)</t>
  </si>
  <si>
    <t xml:space="preserve">Est: revenue-proportional to YE25 170 MW (YE24 ~25 MW connected per Q3'25 letter = sanity check)</t>
  </si>
  <si>
    <t xml:space="preserve">Q4'25 letter: ~170 MW active</t>
  </si>
  <si>
    <t xml:space="preserve">Est: linear 170 MW (Q4'25) -&gt; 900 MW (Q2'27; 800MW-1GW connected YE26, active through 1H27 per Q2'26 call)</t>
  </si>
  <si>
    <t xml:space="preserve">Contracted power (portfolio)</t>
  </si>
  <si>
    <t xml:space="preserve">Contracted = land + power commitments, not built</t>
  </si>
  <si>
    <t xml:space="preserve">n.d. pre-Feb-26 (best est. n/a - not used for revenue)</t>
  </si>
  <si>
    <t xml:space="preserve">Q4'25 letter (Feb-26): &gt;2 GW</t>
  </si>
  <si>
    <t xml:space="preserve">Est: midpoint Feb-&gt;May</t>
  </si>
  <si>
    <t xml:space="preserve">Q1'26 letter (May-26): &gt;3.5 GW contracted</t>
  </si>
  <si>
    <t xml:space="preserve">Deferred revenue (current + non-current)</t>
  </si>
  <si>
    <t xml:space="preserve">Customer prepayments; Filings &amp; Capital</t>
  </si>
  <si>
    <t xml:space="preserve">n.d. in collected files; best est. 0 (pre-prepayment era) - Filings to verify</t>
  </si>
  <si>
    <t xml:space="preserve">Q4'25 20-F</t>
  </si>
  <si>
    <t xml:space="preserve">Q1'26 6-K FS</t>
  </si>
  <si>
    <t xml:space="preserve">Q2'26 6-K FS</t>
  </si>
  <si>
    <t xml:space="preserve">Remaining performance obligations</t>
  </si>
  <si>
    <t xml:space="preserve">100% AI cloud at 6/30/26 (36% &lt;24 months)</t>
  </si>
  <si>
    <t xml:space="preserve">n.d. in collected files (not used in model)</t>
  </si>
  <si>
    <t xml:space="preserve">20-F FY25</t>
  </si>
  <si>
    <t xml:space="preserve">Q2'26 6-K FS Note</t>
  </si>
  <si>
    <t xml:space="preserve">Sites</t>
  </si>
  <si>
    <t xml:space="preserve">Site-by-site MW: three blocks (contracted / energized estimate [Capacity] / mgmt-guided). Selector Inputs!MWSel picks the revenue driver. All MW converted to IT basis via PUE where basis = Facility.</t>
  </si>
  <si>
    <t xml:space="preserve">Line item</t>
  </si>
  <si>
    <t xml:space="preserve">Tag / source / method</t>
  </si>
  <si>
    <t xml:space="preserve">Open</t>
  </si>
  <si>
    <t xml:space="preserve">FY2024</t>
  </si>
  <si>
    <t xml:space="preserve">FY2025</t>
  </si>
  <si>
    <t xml:space="preserve">FY2029</t>
  </si>
  <si>
    <t xml:space="preserve">FY2030</t>
  </si>
  <si>
    <t xml:space="preserve">A = actual / F = forecast</t>
  </si>
  <si>
    <t xml:space="preserve">Site metadata (ownership switches shell+power between capex [Owned] and rent [Leased-colo / Build-to-suit lease]; MW basis flag converts Facility MW to IT MW via PUE)</t>
  </si>
  <si>
    <t xml:space="preserve">Site</t>
  </si>
  <si>
    <t xml:space="preserve">Ownership</t>
  </si>
  <si>
    <t xml:space="preserve">MW basis</t>
  </si>
  <si>
    <t xml:space="preserve">Capacity-file basis / notes</t>
  </si>
  <si>
    <t xml:space="preserve">Risk grade</t>
  </si>
  <si>
    <t xml:space="preserve">IT factor</t>
  </si>
  <si>
    <t xml:space="preserve">Owned?</t>
  </si>
  <si>
    <t xml:space="preserve">Go-live idx - early (bull)</t>
  </si>
  <si>
    <t xml:space="preserve">Go-live idx - base</t>
  </si>
  <si>
    <t xml:space="preserve">Go-live idx - late (bear)</t>
  </si>
  <si>
    <t xml:space="preserve">Go-live (live)</t>
  </si>
  <si>
    <t xml:space="preserve">Evidence tag</t>
  </si>
  <si>
    <t xml:space="preserve">Owner / due</t>
  </si>
  <si>
    <t xml:space="preserve">GPU generation</t>
  </si>
  <si>
    <t xml:space="preserve">Capex $M/IT MW</t>
  </si>
  <si>
    <t xml:space="preserve">of which shell+power</t>
  </si>
  <si>
    <t xml:space="preserve">Vineland NJ (DataOne)</t>
  </si>
  <si>
    <t xml:space="preserve">Build-to-suit lease</t>
  </si>
  <si>
    <t xml:space="preserve">IT</t>
  </si>
  <si>
    <t xml:space="preserve">file basis: IT; Vineland leased from DataOne; Bloom PPA power</t>
  </si>
  <si>
    <t xml:space="preserve">Red</t>
  </si>
  <si>
    <t xml:space="preserve">Capacity &amp; Power - due Tue Oct 6 (prefill = first non-zero energized qtr in Capacity file)</t>
  </si>
  <si>
    <t xml:space="preserve">GB300 NVL72</t>
  </si>
  <si>
    <t xml:space="preserve">Independence MO (Eastgate)</t>
  </si>
  <si>
    <t xml:space="preserve">Owned</t>
  </si>
  <si>
    <t xml:space="preserve">Facility</t>
  </si>
  <si>
    <t xml:space="preserve">file basis: stated/unknown</t>
  </si>
  <si>
    <t xml:space="preserve">Green</t>
  </si>
  <si>
    <t xml:space="preserve">Vera Rubin NVL72</t>
  </si>
  <si>
    <t xml:space="preserve">Butler Twp PA (Highridge)</t>
  </si>
  <si>
    <t xml:space="preserve">Birmingham AL (BHM01, Oxmoor)</t>
  </si>
  <si>
    <t xml:space="preserve">Yellow</t>
  </si>
  <si>
    <t xml:space="preserve">Bethune FR (Azur Datacenter, ex-Bridgestone)</t>
  </si>
  <si>
    <t xml:space="preserve">Leased-colo</t>
  </si>
  <si>
    <t xml:space="preserve">file basis: stated/unknown; Bethune 0/30/60 MW YE26 (Capacity)</t>
  </si>
  <si>
    <t xml:space="preserve">Lappeenranta FI (Pajarila / Polarnode)</t>
  </si>
  <si>
    <t xml:space="preserve">Mantsala FI #1</t>
  </si>
  <si>
    <t xml:space="preserve">Mantsala FI #2 (Kapuli)</t>
  </si>
  <si>
    <t xml:space="preserve">Kansas City MO (Patmos)</t>
  </si>
  <si>
    <t xml:space="preserve">B200 (HGX)</t>
  </si>
  <si>
    <t xml:space="preserve">Paris (Equinix PA10)</t>
  </si>
  <si>
    <t xml:space="preserve">Hopper H100/H200</t>
  </si>
  <si>
    <t xml:space="preserve">Keflavik IS (Verne)</t>
  </si>
  <si>
    <t xml:space="preserve">London Longcross (Ark LP01)</t>
  </si>
  <si>
    <t xml:space="preserve">B300 (HGX)</t>
  </si>
  <si>
    <t xml:space="preserve">Harlow UK (Kao Data KLON-02/03)</t>
  </si>
  <si>
    <t xml:space="preserve">UK 3rd new deployment (unnamed)</t>
  </si>
  <si>
    <t xml:space="preserve">n/d</t>
  </si>
  <si>
    <t xml:space="preserve">Modi'in IL (Mega Or)</t>
  </si>
  <si>
    <t xml:space="preserve">file basis: IT</t>
  </si>
  <si>
    <t xml:space="preserve">Masmiyya IL (Mega DC)</t>
  </si>
  <si>
    <t xml:space="preserve">Beit Shemesh IL (Mega DC)</t>
  </si>
  <si>
    <t xml:space="preserve">Madrid-Getafe ES (Merlin Edged)</t>
  </si>
  <si>
    <t xml:space="preserve">Tallinn EE (Greenergy Huuru)</t>
  </si>
  <si>
    <t xml:space="preserve">Minnesota (RMA roles, likely colo live)</t>
  </si>
  <si>
    <t xml:space="preserve">file basis: stated/unknown; PLACEHOLDER low/base/high on Inputs (Capacity &amp; Power)</t>
  </si>
  <si>
    <t xml:space="preserve">Oklahoma (7 DC roles, live-looking)</t>
  </si>
  <si>
    <t xml:space="preserve">France 2nd colo (unnamed; possibly eu-west2)</t>
  </si>
  <si>
    <t xml:space="preserve">AIB CLT1 (South Carolina)</t>
  </si>
  <si>
    <t xml:space="preserve">Other unidentified (colo not yet visible)</t>
  </si>
  <si>
    <t xml:space="preserve">file basis: n/a; PLACEHOLDER low/base/high on Inputs (Capacity &amp; Power)</t>
  </si>
  <si>
    <t xml:space="preserve">Other / unallocated portfolio MW (plug to portfolio total)</t>
  </si>
  <si>
    <t xml:space="preserve">Mixed</t>
  </si>
  <si>
    <t xml:space="preserve">Owned share from Inputs!OwnedSh</t>
  </si>
  <si>
    <t xml:space="preserve">Capacity-file import: energized MW low / base / high by site (as stated basis) - Capacity &amp; Power, /workspace/nebius/capacity/nebius_capacity.xlsx 'Quarterly MW' (copied values, as of Oct 4 2026 build)</t>
  </si>
  <si>
    <t xml:space="preserve">Vineland NJ (DataOne) - low</t>
  </si>
  <si>
    <t xml:space="preserve">Capacity file</t>
  </si>
  <si>
    <t xml:space="preserve">Vineland NJ (DataOne) - base</t>
  </si>
  <si>
    <t xml:space="preserve">Vineland NJ (DataOne) - high</t>
  </si>
  <si>
    <t xml:space="preserve">Independence MO (Eastgate) - low</t>
  </si>
  <si>
    <t xml:space="preserve">Independence MO (Eastgate) - base</t>
  </si>
  <si>
    <t xml:space="preserve">Independence MO (Eastgate) - high</t>
  </si>
  <si>
    <t xml:space="preserve">Butler Twp PA (Highridge) - low</t>
  </si>
  <si>
    <t xml:space="preserve">Butler Twp PA (Highridge) - base</t>
  </si>
  <si>
    <t xml:space="preserve">Butler Twp PA (Highridge) - high</t>
  </si>
  <si>
    <t xml:space="preserve">Birmingham AL (BHM01, Oxmoor) - low</t>
  </si>
  <si>
    <t xml:space="preserve">Birmingham AL (BHM01, Oxmoor) - base</t>
  </si>
  <si>
    <t xml:space="preserve">Birmingham AL (BHM01, Oxmoor) - high</t>
  </si>
  <si>
    <t xml:space="preserve">Bethune FR (Azur Datacenter, ex-Bridgestone) - low</t>
  </si>
  <si>
    <t xml:space="preserve">Bethune FR (Azur Datacenter, ex-Bridgestone) - base</t>
  </si>
  <si>
    <t xml:space="preserve">Bethune FR (Azur Datacenter, ex-Bridgestone) - high</t>
  </si>
  <si>
    <t xml:space="preserve">Lappeenranta FI (Pajarila / Polarnode) - low</t>
  </si>
  <si>
    <t xml:space="preserve">Lappeenranta FI (Pajarila / Polarnode) - base</t>
  </si>
  <si>
    <t xml:space="preserve">Lappeenranta FI (Pajarila / Polarnode) - high</t>
  </si>
  <si>
    <t xml:space="preserve">Mantsala FI #1 - low</t>
  </si>
  <si>
    <t xml:space="preserve">Mantsala FI #1 - base</t>
  </si>
  <si>
    <t xml:space="preserve">Mantsala FI #1 - high</t>
  </si>
  <si>
    <t xml:space="preserve">Mantsala FI #2 (Kapuli) - low</t>
  </si>
  <si>
    <t xml:space="preserve">Mantsala FI #2 (Kapuli) - base</t>
  </si>
  <si>
    <t xml:space="preserve">Mantsala FI #2 (Kapuli) - high</t>
  </si>
  <si>
    <t xml:space="preserve">Kansas City MO (Patmos) - low</t>
  </si>
  <si>
    <t xml:space="preserve">Kansas City MO (Patmos) - base</t>
  </si>
  <si>
    <t xml:space="preserve">Kansas City MO (Patmos) - high</t>
  </si>
  <si>
    <t xml:space="preserve">Paris (Equinix PA10) - low</t>
  </si>
  <si>
    <t xml:space="preserve">Paris (Equinix PA10) - base</t>
  </si>
  <si>
    <t xml:space="preserve">Paris (Equinix PA10) - high</t>
  </si>
  <si>
    <t xml:space="preserve">Keflavik IS (Verne) - low</t>
  </si>
  <si>
    <t xml:space="preserve">Keflavik IS (Verne) - base</t>
  </si>
  <si>
    <t xml:space="preserve">Keflavik IS (Verne) - high</t>
  </si>
  <si>
    <t xml:space="preserve">London Longcross (Ark LP01) - low</t>
  </si>
  <si>
    <t xml:space="preserve">London Longcross (Ark LP01) - base</t>
  </si>
  <si>
    <t xml:space="preserve">London Longcross (Ark LP01) - high</t>
  </si>
  <si>
    <t xml:space="preserve">Harlow UK (Kao Data KLON-02/03) - low</t>
  </si>
  <si>
    <t xml:space="preserve">Harlow UK (Kao Data KLON-02/03) - base</t>
  </si>
  <si>
    <t xml:space="preserve">Harlow UK (Kao Data KLON-02/03) - high</t>
  </si>
  <si>
    <t xml:space="preserve">UK 3rd new deployment (unnamed) - low</t>
  </si>
  <si>
    <t xml:space="preserve">UK 3rd new deployment (unnamed) - base</t>
  </si>
  <si>
    <t xml:space="preserve">UK 3rd new deployment (unnamed) - high</t>
  </si>
  <si>
    <t xml:space="preserve">Modi'in IL (Mega Or) - low</t>
  </si>
  <si>
    <t xml:space="preserve">Modi'in IL (Mega Or) - base</t>
  </si>
  <si>
    <t xml:space="preserve">Modi'in IL (Mega Or) - high</t>
  </si>
  <si>
    <t xml:space="preserve">Masmiyya IL (Mega DC) - low</t>
  </si>
  <si>
    <t xml:space="preserve">Masmiyya IL (Mega DC) - base</t>
  </si>
  <si>
    <t xml:space="preserve">Masmiyya IL (Mega DC) - high</t>
  </si>
  <si>
    <t xml:space="preserve">Beit Shemesh IL (Mega DC) - low</t>
  </si>
  <si>
    <t xml:space="preserve">Beit Shemesh IL (Mega DC) - base</t>
  </si>
  <si>
    <t xml:space="preserve">Beit Shemesh IL (Mega DC) - high</t>
  </si>
  <si>
    <t xml:space="preserve">Madrid-Getafe ES (Merlin Edged) - low</t>
  </si>
  <si>
    <t xml:space="preserve">Madrid-Getafe ES (Merlin Edged) - base</t>
  </si>
  <si>
    <t xml:space="preserve">Madrid-Getafe ES (Merlin Edged) - high</t>
  </si>
  <si>
    <t xml:space="preserve">Tallinn EE (Greenergy Huuru) - low</t>
  </si>
  <si>
    <t xml:space="preserve">Tallinn EE (Greenergy Huuru) - base</t>
  </si>
  <si>
    <t xml:space="preserve">Tallinn EE (Greenergy Huuru) - high</t>
  </si>
  <si>
    <t xml:space="preserve">Minnesota (RMA roles, likely colo live) - low</t>
  </si>
  <si>
    <t xml:space="preserve">PLACEHOLDER (Inputs, due Tue Oct 6)</t>
  </si>
  <si>
    <t xml:space="preserve">Minnesota (RMA roles, likely colo live) - base</t>
  </si>
  <si>
    <t xml:space="preserve">Minnesota (RMA roles, likely colo live) - high</t>
  </si>
  <si>
    <t xml:space="preserve">Oklahoma (7 DC roles, live-looking) - low</t>
  </si>
  <si>
    <t xml:space="preserve">Oklahoma (7 DC roles, live-looking) - base</t>
  </si>
  <si>
    <t xml:space="preserve">Oklahoma (7 DC roles, live-looking) - high</t>
  </si>
  <si>
    <t xml:space="preserve">France 2nd colo (unnamed; possibly eu-west2) - low</t>
  </si>
  <si>
    <t xml:space="preserve">France 2nd colo (unnamed; possibly eu-west2) - base</t>
  </si>
  <si>
    <t xml:space="preserve">France 2nd colo (unnamed; possibly eu-west2) - high</t>
  </si>
  <si>
    <t xml:space="preserve">AIB CLT1 (South Carolina) - low</t>
  </si>
  <si>
    <t xml:space="preserve">AIB CLT1 (South Carolina) - base</t>
  </si>
  <si>
    <t xml:space="preserve">AIB CLT1 (South Carolina) - high</t>
  </si>
  <si>
    <t xml:space="preserve">Other unidentified (colo not yet visible) - low</t>
  </si>
  <si>
    <t xml:space="preserve">Other unidentified (colo not yet visible) - base</t>
  </si>
  <si>
    <t xml:space="preserve">Other unidentified (colo not yet visible) - high</t>
  </si>
  <si>
    <t xml:space="preserve">Capacity file: identified sites energized base (as stated, mixed basis)</t>
  </si>
  <si>
    <t xml:space="preserve">COMPANY row, copied</t>
  </si>
  <si>
    <t xml:space="preserve">Model: sum of named-site base imports (as stated)</t>
  </si>
  <si>
    <t xml:space="preserve">Tie check (model - file; should be 0)</t>
  </si>
  <si>
    <t xml:space="preserve">Block 1 - CONTRACTED MW (land + power commitments; pipeline, not revenue capacity)</t>
  </si>
  <si>
    <t xml:space="preserve">Portfolio total (Facility basis)</t>
  </si>
  <si>
    <t xml:space="preserve">Feb-26 &gt;2 GW; May-26 &gt;3.5 GW; YE26 target 5 GW (Q2'26 letter); flat after (no guidance)</t>
  </si>
  <si>
    <t xml:space="preserve">Other / unallocated (IT MW)</t>
  </si>
  <si>
    <t xml:space="preserve">calc: MAX(0, portfolio (IT) - named sites (IT))</t>
  </si>
  <si>
    <t xml:space="preserve">TOTAL IT MW - Contracted</t>
  </si>
  <si>
    <t xml:space="preserve">every site normalized to IT basis via PUE</t>
  </si>
  <si>
    <t xml:space="preserve">  of which owned IT MW - Contracted</t>
  </si>
  <si>
    <t xml:space="preserve">Block 2 - ENERGIZED MW (Capacity estimate; bull = high, base = midpoint, bear = low). Named sites YE26 185/305/424 MW, YE27 764/1,069/1,374 MW</t>
  </si>
  <si>
    <t xml:space="preserve">Portfolio total (IT basis)</t>
  </si>
  <si>
    <t xml:space="preserve">No portfolio plug: energized = named + unseen sites only</t>
  </si>
  <si>
    <t xml:space="preserve">TOTAL IT MW - Energized</t>
  </si>
  <si>
    <t xml:space="preserve">  of which owned IT MW - Energized</t>
  </si>
  <si>
    <t xml:space="preserve">Path-consistent capex at energization (new energized IT MW x per-site $/IT MW by ownership &amp; generation); Capex_DA shifts it to 1 qtr before billing</t>
  </si>
  <si>
    <t xml:space="preserve">Path IT/GPU capex at energization quarter</t>
  </si>
  <si>
    <t xml:space="preserve">SUMPRODUCT(new energized MW x IT factor x (rate - shell+power))</t>
  </si>
  <si>
    <t xml:space="preserve">Path shell+power capex (owned sites) at energization quarter</t>
  </si>
  <si>
    <t xml:space="preserve">New energized IT MW (sum of site increases x IT factor)</t>
  </si>
  <si>
    <t xml:space="preserve">Path IT capex rate per new energized IT MW (site mix)</t>
  </si>
  <si>
    <t xml:space="preserve">fallback = forecast average when no new energized MW</t>
  </si>
  <si>
    <t xml:space="preserve">Path shell+power capex rate per new energized IT MW</t>
  </si>
  <si>
    <t xml:space="preserve">Vineland energized IT MW (Capacity, live scenario)</t>
  </si>
  <si>
    <t xml:space="preserve">caps Microsoft GPU consumption (VinCapOn)</t>
  </si>
  <si>
    <t xml:space="preserve">MW billing from Q1'31 not yet in Q4'30 active MW (energized in Q4'30 at EnLag 1; capex in Q4'30)</t>
  </si>
  <si>
    <t xml:space="preserve">Block 3 - GUIDED COMPARISON ONLY (413 MW Q2'26 best-estimate path) - MANAGEMENT-GUIDED CONNECTED IT MW path (YE25 170 MW active reported; 800MW-1GW connected YE26 = 900 mid, restated Aug 12 call, not in Q2 letter; YE27 1.8 GW connected; billing = connected lagged BillLag)</t>
  </si>
  <si>
    <t xml:space="preserve">Est. interpolation of guidance; pre-Q4'25 revenue-proportional (Hist tab)</t>
  </si>
  <si>
    <t xml:space="preserve">TOTAL IT MW - Guided</t>
  </si>
  <si>
    <t xml:space="preserve">  of which owned IT MW - Guided</t>
  </si>
  <si>
    <t xml:space="preserve">Capacity file 'GPUs deployed' (copied values, by generation) and named-site energized base in IT MW (fleet scaling base)</t>
  </si>
  <si>
    <t xml:space="preserve">Capacity file GPUs deployed - Hopper</t>
  </si>
  <si>
    <t xml:space="preserve">nebius_capacity.xlsx 'GPUs deployed' (Estimated); Q2'26 total ~80,400</t>
  </si>
  <si>
    <t xml:space="preserve">Capacity file GPUs deployed - Blackwell</t>
  </si>
  <si>
    <t xml:space="preserve">Capacity file GPUs deployed - Next-gen</t>
  </si>
  <si>
    <t xml:space="preserve">GPU history anchor gap: GPU_Q125 actual (~30,000 at 3/31/25, 20-F) - Capacity file total at Q1'25 (carried as Hopper-era fleet from Q1'25 when GPUAnchorOn)</t>
  </si>
  <si>
    <t xml:space="preserve">Filings/Capacity</t>
  </si>
  <si>
    <t xml:space="preserve">Kansas City likely live Q1'25 at 5-15 MW (Capacity, Estimated)</t>
  </si>
  <si>
    <t xml:space="preserve">Named-site energized BASE, IT MW (PUE-normalized)</t>
  </si>
  <si>
    <t xml:space="preserve">Denominator for GPU-fleet scaling</t>
  </si>
  <si>
    <t xml:space="preserve">Revenue-driving MW (selector, delay, haircut)</t>
  </si>
  <si>
    <t xml:space="preserve">Capacity proposed path (mw_path_proposed.csv, Capacity, Estimated) - MWSel 4 scenario, not base until Capacity's Tuesday file</t>
  </si>
  <si>
    <t xml:space="preserve">Proposed path delta vs model energized - low (active MW; held at Q4'27 delta after)</t>
  </si>
  <si>
    <t xml:space="preserve">csv: path - model_low (Oklahoma, Minnesota, Newport/UK, CLT1 timing, Masmiyya/Beit Shemesh slips); Vineland IT-basis restatement excluded (no MW, no capex)</t>
  </si>
  <si>
    <t xml:space="preserve">Proposed path delta vs model energized - base (active MW; held at Q4'27 delta after)</t>
  </si>
  <si>
    <t xml:space="preserve">csv: path - model_base (Oklahoma, Minnesota, Newport/UK, CLT1 timing, Masmiyya/Beit Shemesh slips); Vineland IT-basis restatement excluded (no MW, no capex)</t>
  </si>
  <si>
    <t xml:space="preserve">Proposed path delta vs model energized - high (active MW; held at Q4'27 delta after)</t>
  </si>
  <si>
    <t xml:space="preserve">csv: path - model_high (Oklahoma, Minnesota, Newport/UK, CLT1 timing, Masmiyya/Beit Shemesh slips); Vineland IT-basis restatement excluded (no MW, no capex)</t>
  </si>
  <si>
    <t xml:space="preserve">Proposed path delta - live scenario (leased colo; owned MW unchanged)</t>
  </si>
  <si>
    <t xml:space="preserve">CHOOSE(Scen, high, base, low)</t>
  </si>
  <si>
    <t xml:space="preserve">Selected block - IT MW (raw)</t>
  </si>
  <si>
    <t xml:space="preserve">CHOOSE(MWSel, contracted, energized, guided, energized + proposed-path delta)</t>
  </si>
  <si>
    <t xml:space="preserve">Selected block - owned IT MW (raw)</t>
  </si>
  <si>
    <t xml:space="preserve">AIB CLT1 energized IT MW (live scenario; Capacity file; Reported 8-K Sep 30 2026: 50 MW, 2 x 25 MW halls ~Aug &amp; Dec 2027)</t>
  </si>
  <si>
    <t xml:space="preserve">YE27 0 / 25 / 50 bear/base/bull</t>
  </si>
  <si>
    <t xml:space="preserve">MW basis uplift: company-implied Q2'26 MW - Capacity named-site base (HistMWBasis 2/3)</t>
  </si>
  <si>
    <t xml:space="preserve">ACTIVE IT MW driving revenue</t>
  </si>
  <si>
    <t xml:space="preserve">History = selected block (default energized base); forecast shifted by EnLag (energized) or BillLag (connected guide) + MW_Delay, x MW_Haircut</t>
  </si>
  <si>
    <t xml:space="preserve">Owned share of active IT MW</t>
  </si>
  <si>
    <t xml:space="preserve">Active facility MW (IT x PUE)</t>
  </si>
  <si>
    <t xml:space="preserve">Contracted IT MW (for EV/MW)</t>
  </si>
  <si>
    <t xml:space="preserve">Count of Red-graded sites</t>
  </si>
  <si>
    <t xml:space="preserve">Pricing</t>
  </si>
  <si>
    <t xml:space="preserve">Chip-level list prices (on-demand / reserved / spot) and quarterly price paths by generation. Hyperscaler take-or-pay is priced separately per $/MW-yr on Contracts.</t>
  </si>
  <si>
    <t xml:space="preserve">Chip price table ($/GPU-hr) - nebius.com/prices snapshot Oct 4 2026</t>
  </si>
  <si>
    <t xml:space="preserve">Chip</t>
  </si>
  <si>
    <t xml:space="preserve">Gen</t>
  </si>
  <si>
    <t xml:space="preserve">On-demand prior</t>
  </si>
  <si>
    <t xml:space="preserve">On-demand eff. Oct-1-26</t>
  </si>
  <si>
    <t xml:space="preserve">Spot floor ('from')</t>
  </si>
  <si>
    <t xml:space="preserve">Reserved floor</t>
  </si>
  <si>
    <t xml:space="preserve">Within-gen weight</t>
  </si>
  <si>
    <t xml:space="preserve">Tag</t>
  </si>
  <si>
    <t xml:space="preserve">OD Q2'26 avg</t>
  </si>
  <si>
    <t xml:space="preserve">H100</t>
  </si>
  <si>
    <t xml:space="preserve">H</t>
  </si>
  <si>
    <t xml:space="preserve">nebius.com/prices (Oct 4 2026 snapshot; market/data/price_snapshot_2026-10-04.csv)</t>
  </si>
  <si>
    <t xml:space="preserve">H200</t>
  </si>
  <si>
    <t xml:space="preserve">nebius.com/prices</t>
  </si>
  <si>
    <t xml:space="preserve">B200</t>
  </si>
  <si>
    <t xml:space="preserve">B</t>
  </si>
  <si>
    <t xml:space="preserve">B300</t>
  </si>
  <si>
    <t xml:space="preserve">GB200 NVL72</t>
  </si>
  <si>
    <t xml:space="preserve">'Contact us' -&gt; est = B300 x GB_Prem (CoreWeave GB200/B200 ratio)</t>
  </si>
  <si>
    <t xml:space="preserve">'Contact us' -&gt; est = B300 x GB_Prem</t>
  </si>
  <si>
    <t xml:space="preserve">Vera Rubin</t>
  </si>
  <si>
    <t xml:space="preserve">N</t>
  </si>
  <si>
    <t xml:space="preserve">No list price -&gt; est = B300 x Rubin_Prem (placeholder)</t>
  </si>
  <si>
    <t xml:space="preserve">Generation blend</t>
  </si>
  <si>
    <t xml:space="preserve">OD prior</t>
  </si>
  <si>
    <t xml:space="preserve">OD current</t>
  </si>
  <si>
    <t xml:space="preserve">Spot</t>
  </si>
  <si>
    <t xml:space="preserve">Reserved</t>
  </si>
  <si>
    <t xml:space="preserve">Hopper</t>
  </si>
  <si>
    <t xml:space="preserve">Blackwell</t>
  </si>
  <si>
    <t xml:space="preserve">Next-gen</t>
  </si>
  <si>
    <t xml:space="preserve">Quarterly list-price paths by generation ($/GPU-hr); prior column before PxBaseIdx, Oct-1-26 column after; forecast x PxMult x (1+annual change)^(quarters/4)</t>
  </si>
  <si>
    <t xml:space="preserve">On-demand - Hopper</t>
  </si>
  <si>
    <t xml:space="preserve">Reserved/commit - Hopper</t>
  </si>
  <si>
    <t xml:space="preserve">RepriceOn: legacy 6/30 book at Q2 rate, renewing RenewRate/qtr at min(+RenewUp, current list) x RealRes; GPUs added after 6/30 at current list x RealRes. Off: lagged list</t>
  </si>
  <si>
    <t xml:space="preserve">Spot - Hopper</t>
  </si>
  <si>
    <t xml:space="preserve">Floor price; dynamic</t>
  </si>
  <si>
    <t xml:space="preserve">On-demand - Blackwell</t>
  </si>
  <si>
    <t xml:space="preserve">Reserved/commit - Blackwell</t>
  </si>
  <si>
    <t xml:space="preserve">Spot - Blackwell</t>
  </si>
  <si>
    <t xml:space="preserve">On-demand - Next-gen</t>
  </si>
  <si>
    <t xml:space="preserve">Reserved/commit - Next-gen</t>
  </si>
  <si>
    <t xml:space="preserve">Spot - Next-gen</t>
  </si>
  <si>
    <t xml:space="preserve">Revenue per IT MW-yr at current (Oct-1-26) list, by generation - new-deal check vs IREN &gt;$20M/IT MW-yr (3-yr GB300-class, ~$4.65/GPU-hr; company-reported, IT basis). Nebius '&gt;$20M' basis-unknown; Q3 '&gt;$40M' short-term deals excluded</t>
  </si>
  <si>
    <t xml:space="preserve">Rubin / GB300</t>
  </si>
  <si>
    <t xml:space="preserve">GPUs per IT MW</t>
  </si>
  <si>
    <t xml:space="preserve">On-demand list $/GPU-hr (Oct-1-26; Rubin = GB300 x Rubin_Prem)</t>
  </si>
  <si>
    <t xml:space="preserve">Contract rate $/GPU-hr = list x RealRes (live scenario)</t>
  </si>
  <si>
    <t xml:space="preserve">Gross revenue per IT MW-yr at contract rate x Util_Res ($M)</t>
  </si>
  <si>
    <t xml:space="preserve">Net of facility cost - LEASED (less CLT1Rent $2.2M/IT MW-yr), before power</t>
  </si>
  <si>
    <t xml:space="preserve">Net of facility cost - OWNED (less owned-site O&amp;M OM_MW), before power</t>
  </si>
  <si>
    <t xml:space="preserve">Benchmark IREN $20M/IT MW-yr gross | leased net (less $2.2M rent) | owned net (less OM_MW)</t>
  </si>
  <si>
    <t xml:space="preserve">Rubin $/GPU-hr premium vs GB300 needed to hold revenue/IT MW (= GPUs/MW GB300 / Rubin) vs model Rubin_Prem</t>
  </si>
  <si>
    <t xml:space="preserve">NEW-DEAL economics (Q2'26 letter), $M/IT MW-yr at NewDealIdx vintage: B multi-year | C short-term | D blended (1-STShare, STShare) | E blended net leased | F blended net owned</t>
  </si>
  <si>
    <t xml:space="preserve">Multi-year tranche net of facility cost vs IREN: B gross | C net leased (vs 17.8) | D net owned (vs 20 - OM_MW)</t>
  </si>
  <si>
    <t xml:space="preserve">Contracts</t>
  </si>
  <si>
    <t xml:space="preserve">Book (a): hyperscaler / investment-grade take-or-pay contracts, tranche by tranche. Fixed $/MW-yr (insensitive to list price), cancellation toggle + probability, late-delivery LDs, post-term merchant residual stream.</t>
  </si>
  <si>
    <t xml:space="preserve">Tranche table (Capacity owns delivery quarters; Skeptic owns cancellation / LD; Filings owns TCV)</t>
  </si>
  <si>
    <t xml:space="preserve">Tranche</t>
  </si>
  <si>
    <t xml:space="preserve">Customer</t>
  </si>
  <si>
    <t xml:space="preserve">IT MW</t>
  </si>
  <si>
    <t xml:space="preserve">ACV $M/MW-yr</t>
  </si>
  <si>
    <t xml:space="preserve">Term (qtrs)</t>
  </si>
  <si>
    <t xml:space="preserve">Sched. qtr idx</t>
  </si>
  <si>
    <t xml:space="preserve">Billing start idx (live)</t>
  </si>
  <si>
    <t xml:space="preserve">Cancelled (0/1)</t>
  </si>
  <si>
    <t xml:space="preserve">Cancel prob.</t>
  </si>
  <si>
    <t xml:space="preserve">Implied TCV $M</t>
  </si>
  <si>
    <t xml:space="preserve">$/GPU-hr equiv.</t>
  </si>
  <si>
    <t xml:space="preserve">TCV basis $M</t>
  </si>
  <si>
    <t xml:space="preserve">Start - Bull</t>
  </si>
  <si>
    <t xml:space="preserve">Start - Base</t>
  </si>
  <si>
    <t xml:space="preserve">Start - Bear</t>
  </si>
  <si>
    <t xml:space="preserve">Billing ramp (qtrs)</t>
  </si>
  <si>
    <t xml:space="preserve">MSFT T1</t>
  </si>
  <si>
    <t xml:space="preserve">Microsoft</t>
  </si>
  <si>
    <t xml:space="preserve">Filings/Capacity/Skeptic</t>
  </si>
  <si>
    <t xml:space="preserve">Delivered (T1 Nov-25, T2 Feb-26, T3-T4 Jul-Aug-26) per Capacity tranche track; ~26.7 IT MW each (equal-size ASSUMPTION); ACV derived = TCV/(5 x MW)</t>
  </si>
  <si>
    <t xml:space="preserve">MSFT T2</t>
  </si>
  <si>
    <t xml:space="preserve">MSFT T3</t>
  </si>
  <si>
    <t xml:space="preserve">MSFT T4</t>
  </si>
  <si>
    <t xml:space="preserve">MSFT T5</t>
  </si>
  <si>
    <t xml:space="preserve">Not delivered; needs Bloom fuel cells; billing bull/base/bear per Capacity tranche track; no Q4'26 billing; ~26.7 IT MW each (equal-size ASSUMPTION); ACV derived = TCV/(5 x MW)</t>
  </si>
  <si>
    <t xml:space="preserve">MSFT T6</t>
  </si>
  <si>
    <t xml:space="preserve">MSFT T7</t>
  </si>
  <si>
    <t xml:space="preserve">MSFT T8</t>
  </si>
  <si>
    <t xml:space="preserve">MSFT T9</t>
  </si>
  <si>
    <t xml:space="preserve">MSFT addendum A</t>
  </si>
  <si>
    <t xml:space="preserve">Up to ~$19.4B incl. optional capacity (+$2.0B); Jan-26 addendum +2 tranches (Capacity) - MW placeholder 0</t>
  </si>
  <si>
    <t xml:space="preserve">MSFT addendum B</t>
  </si>
  <si>
    <t xml:space="preserve">As above</t>
  </si>
  <si>
    <t xml:space="preserve">Meta #1 T1</t>
  </si>
  <si>
    <t xml:space="preserve">Meta</t>
  </si>
  <si>
    <t xml:space="preserve">Nov-1-25 CISA: ~$2,880.7M total, 5-yr, 2 tranches (Dec-25, Feb-26); MW = TCV/(ACV x 5) with ACV = 2026 base $12M</t>
  </si>
  <si>
    <t xml:space="preserve">Meta #1 T2</t>
  </si>
  <si>
    <t xml:space="preserve">Meta #2 T1</t>
  </si>
  <si>
    <t xml:space="preserve">Mar-13-26: $12B dedicated Vera Rubin, 5-yr; company 'throughout 1H27'; base start Q3'27, bull 1H27, bear Q4'27+; split 50/50 est.; ACV = $22.5M/MW</t>
  </si>
  <si>
    <t xml:space="preserve">Meta #2 T2</t>
  </si>
  <si>
    <t xml:space="preserve">Meta backstop (contingent)</t>
  </si>
  <si>
    <t xml:space="preserve">Up to $15B: Meta buys unsold capacity on certain clusters for 5 yrs. Contingent -&gt; Cancelled=1 by default</t>
  </si>
  <si>
    <t xml:space="preserve">Future IG contract 1</t>
  </si>
  <si>
    <t xml:space="preserve">TBD</t>
  </si>
  <si>
    <t xml:space="preserve">&gt;$40B customer commitments; RPO $37.5B at 6/30/26 - unnamed IG deals, MW placeholder 0</t>
  </si>
  <si>
    <t xml:space="preserve">Future IG contract 2</t>
  </si>
  <si>
    <t xml:space="preserve">Total implied TCV (excl. cancelled)</t>
  </si>
  <si>
    <t xml:space="preserve">Microsoft implied TCV vs reported (check = 0)</t>
  </si>
  <si>
    <t xml:space="preserve">Quarterly tranche build</t>
  </si>
  <si>
    <t xml:space="preserve">MSFT T1 - contract revenue</t>
  </si>
  <si>
    <t xml:space="preserve">MSFT T1 - delivered IT MW</t>
  </si>
  <si>
    <t xml:space="preserve">MSFT T1 - late-delivery LDs (negative)</t>
  </si>
  <si>
    <t xml:space="preserve">MSFT T1 - post-term merchant MW</t>
  </si>
  <si>
    <t xml:space="preserve">MSFT T1 - post-term merchant revenue (residual value)</t>
  </si>
  <si>
    <t xml:space="preserve">GPUs x launch OD price x decay curve(age) x ResidUtil x hours</t>
  </si>
  <si>
    <t xml:space="preserve">MSFT T2 - contract revenue</t>
  </si>
  <si>
    <t xml:space="preserve">MSFT T2 - delivered IT MW</t>
  </si>
  <si>
    <t xml:space="preserve">MSFT T2 - late-delivery LDs (negative)</t>
  </si>
  <si>
    <t xml:space="preserve">MSFT T2 - post-term merchant MW</t>
  </si>
  <si>
    <t xml:space="preserve">MSFT T2 - post-term merchant revenue (residual value)</t>
  </si>
  <si>
    <t xml:space="preserve">MSFT T3 - contract revenue</t>
  </si>
  <si>
    <t xml:space="preserve">MSFT T3 - delivered IT MW</t>
  </si>
  <si>
    <t xml:space="preserve">MSFT T3 - late-delivery LDs (negative)</t>
  </si>
  <si>
    <t xml:space="preserve">MSFT T3 - post-term merchant MW</t>
  </si>
  <si>
    <t xml:space="preserve">MSFT T3 - post-term merchant revenue (residual value)</t>
  </si>
  <si>
    <t xml:space="preserve">MSFT T4 - contract revenue</t>
  </si>
  <si>
    <t xml:space="preserve">MSFT T4 - delivered IT MW</t>
  </si>
  <si>
    <t xml:space="preserve">MSFT T4 - late-delivery LDs (negative)</t>
  </si>
  <si>
    <t xml:space="preserve">MSFT T4 - post-term merchant MW</t>
  </si>
  <si>
    <t xml:space="preserve">MSFT T4 - post-term merchant revenue (residual value)</t>
  </si>
  <si>
    <t xml:space="preserve">MSFT T5 - contract revenue</t>
  </si>
  <si>
    <t xml:space="preserve">MSFT T5 - delivered IT MW</t>
  </si>
  <si>
    <t xml:space="preserve">MSFT T5 - late-delivery LDs (negative)</t>
  </si>
  <si>
    <t xml:space="preserve">MSFT T5 - post-term merchant MW</t>
  </si>
  <si>
    <t xml:space="preserve">MSFT T5 - post-term merchant revenue (residual value)</t>
  </si>
  <si>
    <t xml:space="preserve">MSFT T6 - contract revenue</t>
  </si>
  <si>
    <t xml:space="preserve">MSFT T6 - delivered IT MW</t>
  </si>
  <si>
    <t xml:space="preserve">MSFT T6 - late-delivery LDs (negative)</t>
  </si>
  <si>
    <t xml:space="preserve">MSFT T6 - post-term merchant MW</t>
  </si>
  <si>
    <t xml:space="preserve">MSFT T6 - post-term merchant revenue (residual value)</t>
  </si>
  <si>
    <t xml:space="preserve">MSFT T7 - contract revenue</t>
  </si>
  <si>
    <t xml:space="preserve">MSFT T7 - delivered IT MW</t>
  </si>
  <si>
    <t xml:space="preserve">MSFT T7 - late-delivery LDs (negative)</t>
  </si>
  <si>
    <t xml:space="preserve">MSFT T7 - post-term merchant MW</t>
  </si>
  <si>
    <t xml:space="preserve">MSFT T7 - post-term merchant revenue (residual value)</t>
  </si>
  <si>
    <t xml:space="preserve">MSFT T8 - contract revenue</t>
  </si>
  <si>
    <t xml:space="preserve">MSFT T8 - delivered IT MW</t>
  </si>
  <si>
    <t xml:space="preserve">MSFT T8 - late-delivery LDs (negative)</t>
  </si>
  <si>
    <t xml:space="preserve">MSFT T8 - post-term merchant MW</t>
  </si>
  <si>
    <t xml:space="preserve">MSFT T8 - post-term merchant revenue (residual value)</t>
  </si>
  <si>
    <t xml:space="preserve">MSFT T9 - contract revenue</t>
  </si>
  <si>
    <t xml:space="preserve">MSFT T9 - delivered IT MW</t>
  </si>
  <si>
    <t xml:space="preserve">MSFT T9 - late-delivery LDs (negative)</t>
  </si>
  <si>
    <t xml:space="preserve">MSFT T9 - post-term merchant MW</t>
  </si>
  <si>
    <t xml:space="preserve">MSFT T9 - post-term merchant revenue (residual value)</t>
  </si>
  <si>
    <t xml:space="preserve">MSFT addendum A - contract revenue</t>
  </si>
  <si>
    <t xml:space="preserve">MSFT addendum A - delivered IT MW</t>
  </si>
  <si>
    <t xml:space="preserve">MSFT addendum A - late-delivery LDs (negative)</t>
  </si>
  <si>
    <t xml:space="preserve">MSFT addendum A - post-term merchant MW</t>
  </si>
  <si>
    <t xml:space="preserve">MSFT addendum A - post-term merchant revenue (residual value)</t>
  </si>
  <si>
    <t xml:space="preserve">MSFT addendum B - contract revenue</t>
  </si>
  <si>
    <t xml:space="preserve">MSFT addendum B - delivered IT MW</t>
  </si>
  <si>
    <t xml:space="preserve">MSFT addendum B - late-delivery LDs (negative)</t>
  </si>
  <si>
    <t xml:space="preserve">MSFT addendum B - post-term merchant MW</t>
  </si>
  <si>
    <t xml:space="preserve">MSFT addendum B - post-term merchant revenue (residual value)</t>
  </si>
  <si>
    <t xml:space="preserve">Meta #1 T1 - contract revenue</t>
  </si>
  <si>
    <t xml:space="preserve">Meta #1 T1 - delivered IT MW</t>
  </si>
  <si>
    <t xml:space="preserve">Meta #1 T1 - late-delivery LDs (negative)</t>
  </si>
  <si>
    <t xml:space="preserve">Meta #1 T1 - post-term merchant MW</t>
  </si>
  <si>
    <t xml:space="preserve">Meta #1 T1 - post-term merchant revenue (residual value)</t>
  </si>
  <si>
    <t xml:space="preserve">Meta #1 T2 - contract revenue</t>
  </si>
  <si>
    <t xml:space="preserve">Meta #1 T2 - delivered IT MW</t>
  </si>
  <si>
    <t xml:space="preserve">Meta #1 T2 - late-delivery LDs (negative)</t>
  </si>
  <si>
    <t xml:space="preserve">Meta #1 T2 - post-term merchant MW</t>
  </si>
  <si>
    <t xml:space="preserve">Meta #1 T2 - post-term merchant revenue (residual value)</t>
  </si>
  <si>
    <t xml:space="preserve">Meta #2 T1 - contract revenue</t>
  </si>
  <si>
    <t xml:space="preserve">Meta #2 T1 - delivered IT MW</t>
  </si>
  <si>
    <t xml:space="preserve">Meta #2 T1 - late-delivery LDs (negative)</t>
  </si>
  <si>
    <t xml:space="preserve">Meta #2 T1 - post-term merchant MW</t>
  </si>
  <si>
    <t xml:space="preserve">Meta #2 T1 - post-term merchant revenue (residual value)</t>
  </si>
  <si>
    <t xml:space="preserve">Meta #2 T2 - contract revenue</t>
  </si>
  <si>
    <t xml:space="preserve">Meta #2 T2 - delivered IT MW</t>
  </si>
  <si>
    <t xml:space="preserve">Meta #2 T2 - late-delivery LDs (negative)</t>
  </si>
  <si>
    <t xml:space="preserve">Meta #2 T2 - post-term merchant MW</t>
  </si>
  <si>
    <t xml:space="preserve">Meta #2 T2 - post-term merchant revenue (residual value)</t>
  </si>
  <si>
    <t xml:space="preserve">Meta backstop (contingent) - contract revenue</t>
  </si>
  <si>
    <t xml:space="preserve">Meta backstop (contingent) - delivered IT MW</t>
  </si>
  <si>
    <t xml:space="preserve">Meta backstop (contingent) - late-delivery LDs (negative)</t>
  </si>
  <si>
    <t xml:space="preserve">Meta backstop (contingent) - post-term merchant MW</t>
  </si>
  <si>
    <t xml:space="preserve">Meta backstop (contingent) - post-term merchant revenue (residual value)</t>
  </si>
  <si>
    <t xml:space="preserve">Future IG contract 1 - contract revenue</t>
  </si>
  <si>
    <t xml:space="preserve">Future IG contract 1 - delivered IT MW</t>
  </si>
  <si>
    <t xml:space="preserve">Future IG contract 1 - late-delivery LDs (negative)</t>
  </si>
  <si>
    <t xml:space="preserve">Future IG contract 1 - post-term merchant MW</t>
  </si>
  <si>
    <t xml:space="preserve">Future IG contract 1 - post-term merchant revenue (residual value)</t>
  </si>
  <si>
    <t xml:space="preserve">Future IG contract 2 - contract revenue</t>
  </si>
  <si>
    <t xml:space="preserve">Future IG contract 2 - delivered IT MW</t>
  </si>
  <si>
    <t xml:space="preserve">Future IG contract 2 - late-delivery LDs (negative)</t>
  </si>
  <si>
    <t xml:space="preserve">Future IG contract 2 - post-term merchant MW</t>
  </si>
  <si>
    <t xml:space="preserve">Future IG contract 2 - post-term merchant revenue (residual value)</t>
  </si>
  <si>
    <t xml:space="preserve">Book (a) totals</t>
  </si>
  <si>
    <t xml:space="preserve">Microsoft / Vineland power ceiling (gensets until Bloom fuel cells live)</t>
  </si>
  <si>
    <t xml:space="preserve">Microsoft contract revenue - uncapped</t>
  </si>
  <si>
    <t xml:space="preserve">Microsoft delivered IT MW - uncapped</t>
  </si>
  <si>
    <t xml:space="preserve">Power ceiling (IT MW) = genset gross MW / PUE until Bloom live</t>
  </si>
  <si>
    <t xml:space="preserve">Vineland shutdown scenarios (Capacity, /workspace/nebius/capacity/vineland_shutdown.xlsx; outage from Nov 7 2026; scenarios &amp; weights = Capacity judgment)</t>
  </si>
  <si>
    <t xml:space="preserve">1. No shutdown</t>
  </si>
  <si>
    <t xml:space="preserve">C = IT MW offline, D = days in Q4'26, E = days in Q1'27, F = probability</t>
  </si>
  <si>
    <t xml:space="preserve">2. Partial 50% for 2 months</t>
  </si>
  <si>
    <t xml:space="preserve">3. Partial minor-source 2 months</t>
  </si>
  <si>
    <t xml:space="preserve">4. Full 1 month</t>
  </si>
  <si>
    <t xml:space="preserve">5. Full 2 months</t>
  </si>
  <si>
    <t xml:space="preserve">6. Full 3 months</t>
  </si>
  <si>
    <t xml:space="preserve">Vineland IT MW offline (avg in quarter) - selected shutdown scenario</t>
  </si>
  <si>
    <t xml:space="preserve">MW x days offline / days in quarter; physical only (billing MW not reduced, so no GPU reallocation to books b/c)</t>
  </si>
  <si>
    <t xml:space="preserve">Microsoft BILLING IT MW (capped at power ceiling)</t>
  </si>
  <si>
    <t xml:space="preserve">Microsoft revenue - capped at power ceiling (before shutdown loss)</t>
  </si>
  <si>
    <t xml:space="preserve">Vineland shutdown: Microsoft revenue lost = MW-days offline x VinRevMW / 365</t>
  </si>
  <si>
    <t xml:space="preserve">Prob-weighted (VinShutSel 7) Q4'26 ~ $67-68M at $14.5M/IT MW-yr (Capacity, Derived)</t>
  </si>
  <si>
    <t xml:space="preserve">Microsoft revenue - capped, net of shutdown loss</t>
  </si>
  <si>
    <t xml:space="preserve">Vineland shutdown: Microsoft tranches offline (equivalent, ~26.7 IT MW each)</t>
  </si>
  <si>
    <t xml:space="preserve">Memo: probability-weighted revenue at risk at VinRevMW (independent of VinShutSel) - Q4'26 in Q, Q1'27 in R</t>
  </si>
  <si>
    <t xml:space="preserve">Tie: Q4'26 ~ $67M (Capacity, Derived)</t>
  </si>
  <si>
    <t xml:space="preserve">Check: Microsoft revenue vs ~$350M/qtr ceiling (positive = above)</t>
  </si>
  <si>
    <t xml:space="preserve">Other contract revenue (Meta, IG)</t>
  </si>
  <si>
    <t xml:space="preserve">Book (a) contract revenue</t>
  </si>
  <si>
    <t xml:space="preserve">Contract BILLING IT MW (Microsoft capped + others)</t>
  </si>
  <si>
    <t xml:space="preserve">Late-delivery LDs</t>
  </si>
  <si>
    <t xml:space="preserve">Post-term merchant revenue</t>
  </si>
  <si>
    <t xml:space="preserve">Delivered contract IT MW</t>
  </si>
  <si>
    <t xml:space="preserve">Signed Microsoft/Meta delivered IT MW (no new prepayment; advances already in 6/30 DR)</t>
  </si>
  <si>
    <t xml:space="preserve">New hyperscaler / IG tranche delivered IT MW (HSPre prepayment)</t>
  </si>
  <si>
    <t xml:space="preserve">Post-term merchant IT MW</t>
  </si>
  <si>
    <t xml:space="preserve">Contract + post-term GPUs - Hopper</t>
  </si>
  <si>
    <t xml:space="preserve">Contract + post-term GPUs - Blackwell</t>
  </si>
  <si>
    <t xml:space="preserve">Contract + post-term GPUs - Next-gen</t>
  </si>
  <si>
    <t xml:space="preserve">Q4'26 consensus bridge (group revenue, $M)</t>
  </si>
  <si>
    <t xml:space="preserve">Skeptic, Estimated</t>
  </si>
  <si>
    <t xml:space="preserve">less Q2'26 group revenue</t>
  </si>
  <si>
    <t xml:space="preserve">Gap to bridge (consensus Q4 - Q2)</t>
  </si>
  <si>
    <t xml:space="preserve">Microsoft Q2'26 run rate (TopCust toggle)</t>
  </si>
  <si>
    <t xml:space="preserve">Meta=24% -&gt; MS 21% ~$121M; MS=24% -&gt; ~$138M</t>
  </si>
  <si>
    <t xml:space="preserve">Microsoft Q4'26 model revenue (capped)</t>
  </si>
  <si>
    <t xml:space="preserve">T1-T4 only; T5-9 need Bloom (no Q4'26 billing)</t>
  </si>
  <si>
    <t xml:space="preserve">Microsoft increment</t>
  </si>
  <si>
    <t xml:space="preserve">Meta #1 Q2'26 run rate (TopCust toggle)</t>
  </si>
  <si>
    <t xml:space="preserve">Meta #1 increment (flat ~$144M/qtr)</t>
  </si>
  <si>
    <t xml:space="preserve">Oct-1 list-price uplift - low</t>
  </si>
  <si>
    <t xml:space="preserve">GPU Market, Derived, $40-125M/qtr</t>
  </si>
  <si>
    <t xml:space="preserve">Oct-1 list-price uplift - high</t>
  </si>
  <si>
    <t xml:space="preserve">RESIDUAL from Meta #2 / other deals / unseen sites - at high price line</t>
  </si>
  <si>
    <t xml:space="preserve">RESIDUAL - at low price line</t>
  </si>
  <si>
    <t xml:space="preserve">Goal-seek: unseen billing MW implied @ NewDealHi ($25M/MW-yr) - range</t>
  </si>
  <si>
    <t xml:space="preserve">Goal-seek: unseen billing MW implied @ NewDealLo ($20M/MW-yr) - high residual</t>
  </si>
  <si>
    <t xml:space="preserve">Goal-seek: unseen billing MW implied @ base rate ($12M/MW-yr) - high residual</t>
  </si>
  <si>
    <t xml:space="preserve">Check vs Skeptic/Capacity unseen estimate 83-200 MW (OK if new-deal range overlaps)</t>
  </si>
  <si>
    <t xml:space="preserve">Model Q4'26 group revenue</t>
  </si>
  <si>
    <t xml:space="preserve">Model vs consensus Q4'26</t>
  </si>
  <si>
    <t xml:space="preserve">Revenue</t>
  </si>
  <si>
    <t xml:space="preserve">Three books: (a) hyperscaler take-or-pay [Contracts], (b) reserved/commit, (c) on-demand/self-serve + spot + AI Studio. Fleet built from active IT MW x GPUs/MW by deployment generation.</t>
  </si>
  <si>
    <t xml:space="preserve">Capacity &amp; GPU fleet</t>
  </si>
  <si>
    <t xml:space="preserve">Active IT MW (end)</t>
  </si>
  <si>
    <t xml:space="preserve">Active IT MW (average)</t>
  </si>
  <si>
    <t xml:space="preserve">New IT MW added</t>
  </si>
  <si>
    <t xml:space="preserve">GPUs added - Hopper</t>
  </si>
  <si>
    <t xml:space="preserve">calc: change in fleet end (fleet from Capacity GPU file)</t>
  </si>
  <si>
    <t xml:space="preserve">GPUs added - Blackwell</t>
  </si>
  <si>
    <t xml:space="preserve">GPUs added - Next-gen</t>
  </si>
  <si>
    <t xml:space="preserve">GPU fleet end (billing) - Hopper</t>
  </si>
  <si>
    <t xml:space="preserve">Forecast: Capacity GPUs deployed at (n - EnLag) x driver MW / energized base IT MW at (n - EnLag) - same-quarter IT pairing; = file in history</t>
  </si>
  <si>
    <t xml:space="preserve">GPU fleet end (billing) - Blackwell</t>
  </si>
  <si>
    <t xml:space="preserve">GPU fleet end (billing) - Next-gen</t>
  </si>
  <si>
    <t xml:space="preserve">GPU fleet end - total</t>
  </si>
  <si>
    <t xml:space="preserve">GPU fleet average - total</t>
  </si>
  <si>
    <t xml:space="preserve">Book (a) - hyperscaler take-or-pay (from Contracts)</t>
  </si>
  <si>
    <t xml:space="preserve">Contract delivered IT MW</t>
  </si>
  <si>
    <t xml:space="preserve">Book (a) revenue incl. LDs</t>
  </si>
  <si>
    <t xml:space="preserve">Fixed $/MW-yr; insensitive to list prices</t>
  </si>
  <si>
    <t xml:space="preserve">Post-term merchant revenue (residual value stream)</t>
  </si>
  <si>
    <t xml:space="preserve">Decay-curve priced</t>
  </si>
  <si>
    <t xml:space="preserve">Non-contract fleet available to books (b) and (c)</t>
  </si>
  <si>
    <t xml:space="preserve">Non-contract GPUs end - Hopper</t>
  </si>
  <si>
    <t xml:space="preserve">fleet - contract GPUs - post-term GPUs</t>
  </si>
  <si>
    <t xml:space="preserve">Non-contract GPUs end - Blackwell</t>
  </si>
  <si>
    <t xml:space="preserve">Non-contract GPUs end - Next-gen</t>
  </si>
  <si>
    <t xml:space="preserve">Non-contract GPUs avg - Hopper</t>
  </si>
  <si>
    <t xml:space="preserve">Non-contract GPUs avg - Blackwell</t>
  </si>
  <si>
    <t xml:space="preserve">Non-contract GPUs avg - Next-gen</t>
  </si>
  <si>
    <t xml:space="preserve">Contract MW in excess of active MW (check, should be 0)</t>
  </si>
  <si>
    <t xml:space="preserve">Books (b) and (c): capacity revenue at 100% utilization x utilization (Q2'26 utilization calibrated to actual AI cloud revenue)</t>
  </si>
  <si>
    <t xml:space="preserve">Book (b) @100% util - Hopper</t>
  </si>
  <si>
    <t xml:space="preserve">GPUs x hrs x ResSh x realized reserved price</t>
  </si>
  <si>
    <t xml:space="preserve">Book (b) @100% util - Blackwell</t>
  </si>
  <si>
    <t xml:space="preserve">Book (b) @100% util - Next-gen</t>
  </si>
  <si>
    <t xml:space="preserve">Book (b) @100% utilization</t>
  </si>
  <si>
    <t xml:space="preserve">Book (c) @100% util - Hopper</t>
  </si>
  <si>
    <t xml:space="preserve">GPUs x hrs x (1-ResSh) x [(1-spot) x OD x RealOD + spot x Spot] x (1+StudioUp)</t>
  </si>
  <si>
    <t xml:space="preserve">Book (c) @100% util - Blackwell</t>
  </si>
  <si>
    <t xml:space="preserve">Book (c) @100% util - Next-gen</t>
  </si>
  <si>
    <t xml:space="preserve">Book (c) @100% utilization</t>
  </si>
  <si>
    <t xml:space="preserve">Implied Q2'26 (LastHist) utilization = (actual AI rev - book a - post-term - asset-light) / (b + c @100%)</t>
  </si>
  <si>
    <t xml:space="preserve">Utilization used - book (b)</t>
  </si>
  <si>
    <t xml:space="preserve">History = UtilQ2 (calibrated); forecast = Util_Res input</t>
  </si>
  <si>
    <t xml:space="preserve">Utilization used - book (c)</t>
  </si>
  <si>
    <t xml:space="preserve">History = UtilQ2; forecast = Util_OD input</t>
  </si>
  <si>
    <t xml:space="preserve">Book (b) revenue - reserved / commit</t>
  </si>
  <si>
    <t xml:space="preserve">Book (c) revenue - on-demand / self-serve + spot + AI Studio</t>
  </si>
  <si>
    <t xml:space="preserve">New-deal pricing (NewDealOn): 2027+ new non-contract MW priced per IT MW-yr (Q2'26 letter); legacy Q4'26 non-contract fleet stays on GPU-hour books (b)/(c)</t>
  </si>
  <si>
    <t xml:space="preserve">Legacy non-contract GPUs avg (capped at NewDealIdx-1 level) - Hopper</t>
  </si>
  <si>
    <t xml:space="preserve">Legacy non-contract GPUs avg (capped at NewDealIdx-1 level) - Blackwell</t>
  </si>
  <si>
    <t xml:space="preserve">Legacy non-contract GPUs avg (capped at NewDealIdx-1 level) - Next-gen</t>
  </si>
  <si>
    <t xml:space="preserve">Legacy books (b)+(c) revenue (per-generation GPU share of book revenue)</t>
  </si>
  <si>
    <t xml:space="preserve">New 2027+ non-contract IT MW (avg) = (non-contract GPUs - legacy) / GPUs per MW</t>
  </si>
  <si>
    <t xml:space="preserve">New 2027+ non-contract IT MW (avg) - GB300/Blackwell (+Hopper)</t>
  </si>
  <si>
    <t xml:space="preserve">New 2027+ non-contract IT MW (avg) - Vera Rubin</t>
  </si>
  <si>
    <t xml:space="preserve">New MW added (vintage) - GB300</t>
  </si>
  <si>
    <t xml:space="preserve">New MW added (vintage) - Rubin</t>
  </si>
  <si>
    <t xml:space="preserve">New 2027+ MW added (vintage, both generations)</t>
  </si>
  <si>
    <t xml:space="preserve">Multi-year GB300 ACV by signing vintage ($M/IT MW-yr): v0.6 = MYRate x basis x flat-then-MYDecl path; v0.5 = x Blackwell OD list(v)/list(Q4'26)</t>
  </si>
  <si>
    <t xml:space="preserve">Filings/Modeling</t>
  </si>
  <si>
    <t xml:space="preserve">fixed for contract life</t>
  </si>
  <si>
    <t xml:space="preserve">Multi-year Rubin ACV by signing vintage: RubinMode 1 = RubinMW x path (direct, no IT/gross toggle); 0 = GB300 x Rubin_Prem x GPUMW_N / ND_GPUMW_GB</t>
  </si>
  <si>
    <t xml:space="preserve">only generation effect; no extra $/MW decline stacked</t>
  </si>
  <si>
    <t xml:space="preserve">Multi-year ACV by vintage - blended by generation mix of vintage adds</t>
  </si>
  <si>
    <t xml:space="preserve">Short-term tranche price index (post-Rubin cut PxCyc for 3 qtrs, then linear recovery over 2 qtrs if STRecov; x annual decline after; reprices every 6 months)</t>
  </si>
  <si>
    <t xml:space="preserve">Short-term tranche $M/IT MW-yr</t>
  </si>
  <si>
    <t xml:space="preserve">Legacy non-contract IT MW (avg)</t>
  </si>
  <si>
    <t xml:space="preserve">Short-term tranche IT MW = STShare x TOTAL average active MW (from NewDealIdx), carved out of legacy + new non-contract MW</t>
  </si>
  <si>
    <t xml:space="preserve">v0.5: share of total capacity, toggled on capacity (not revenue)</t>
  </si>
  <si>
    <t xml:space="preserve">Carve-out factor = short-term MW / (legacy + new non-contract MW; GB300-era only if STGBOnly)</t>
  </si>
  <si>
    <t xml:space="preserve">Multi-year revenue at contracted rate (all new MW at MYRate path; used for RPO sold/unsold split)</t>
  </si>
  <si>
    <t xml:space="preserve">Contracted vs unsold new MW from RPO (Q2'26 Note 2: RPO $37.49B, 36% recognised Jul'26-Jun'28) - Capacity site tags due Tuesday</t>
  </si>
  <si>
    <t xml:space="preserve">Window revenue Jul'26-Jun'28 already covered ex new MW: book (a) + post-term + legacy (b)+(c) (memo, col F)</t>
  </si>
  <si>
    <t xml:space="preserve">RPO backlog recognised in window remaining for new MW = MAX(0, RPO24 - covered)</t>
  </si>
  <si>
    <t xml:space="preserve">Sold share of new 2027+ MW through Q2'28 = MIN(1, RPO for new MW / window multi-year revenue at contracted rate)</t>
  </si>
  <si>
    <t xml:space="preserve">Contracted (sold) new MW = sold share x new MW at Q2'28; vintages filled first-in</t>
  </si>
  <si>
    <t xml:space="preserve">Cumulative new MW added (vintage)</t>
  </si>
  <si>
    <t xml:space="preserve">Sold (contracted) portion of vintage</t>
  </si>
  <si>
    <t xml:space="preserve">Vintage sold/unsold weight = (sold + unsold x MYRateU/MYRate) / vintage MW</t>
  </si>
  <si>
    <t xml:space="preserve">Multi-year tranche revenue = GB300 vintages x (1 - carve-out) + Rubin vintages x (1 - carve-out unless STGBOnly), each x ACV x sold/unsold weight /4</t>
  </si>
  <si>
    <t xml:space="preserve">take-or-pay, no utilization haircut; unsold MW repriced at MYRateU (headline sens $18/22/25)</t>
  </si>
  <si>
    <t xml:space="preserve">Short-term tranche revenue = short-term MW x STRate x price index x STOcc /4</t>
  </si>
  <si>
    <t xml:space="preserve">STOcc = occupancy between deals (Estimated 85%): $45M x 85% ~ $38M/IT MW-yr</t>
  </si>
  <si>
    <t xml:space="preserve">New-deal adjustment = IF(NewDealOn, legacy b+c + multi-year + short-term - (b+c GPU-hour engine), 0)</t>
  </si>
  <si>
    <t xml:space="preserve">Memo: multi-year new-MW revenue per IT MW-yr (before carve-out)</t>
  </si>
  <si>
    <t xml:space="preserve">Revenue roll-up</t>
  </si>
  <si>
    <t xml:space="preserve">AI cloud revenue - model before June-exit overlay</t>
  </si>
  <si>
    <t xml:space="preserve">June exit run-rate overlay (JuneExitOn): Q3'26 &gt;= ARR/4 before new MW, held flat</t>
  </si>
  <si>
    <t xml:space="preserve">MAX(0, ARR/4 - model Q3'26 AI revenue); not tied to MW; held flat in $</t>
  </si>
  <si>
    <t xml:space="preserve">AI cloud revenue - model</t>
  </si>
  <si>
    <t xml:space="preserve">Other businesses revenue (Avride, TripleTen, elims)</t>
  </si>
  <si>
    <t xml:space="preserve">History = group - AI cloud (Hist)</t>
  </si>
  <si>
    <t xml:space="preserve">Group revenue - model</t>
  </si>
  <si>
    <t xml:space="preserve">GROUP REVENUE (used: actual for history, model for forecast)</t>
  </si>
  <si>
    <t xml:space="preserve">AI cloud revenue (used)</t>
  </si>
  <si>
    <t xml:space="preserve">Model vs actual AI cloud revenue (history calibration)</t>
  </si>
  <si>
    <t xml:space="preserve">model / actual - 1 (history only)</t>
  </si>
  <si>
    <t xml:space="preserve">Book mix &amp; list-price exposure</t>
  </si>
  <si>
    <t xml:space="preserve">Book (a) share of AI cloud model revenue</t>
  </si>
  <si>
    <t xml:space="preserve">Book (b) share</t>
  </si>
  <si>
    <t xml:space="preserve">Book (c) share</t>
  </si>
  <si>
    <t xml:space="preserve">Post-term merchant share</t>
  </si>
  <si>
    <t xml:space="preserve">List-price-sensitive revenue (b + c)</t>
  </si>
  <si>
    <t xml:space="preserve">Sensitivity base</t>
  </si>
  <si>
    <t xml:space="preserve">ARR check at 6/30 - JUNE RUN-RATE basis (June list + renewals signed by 6/30; NOT H2 average or Oct-1 prices)</t>
  </si>
  <si>
    <t xml:space="preserve">Reported ARR at 6/30/26 ($M)</t>
  </si>
  <si>
    <t xml:space="preserve">Q2 letter; mgmt definition per Hist note = last-month AI cloud revenue x 12 (scope/segment pending Filings)</t>
  </si>
  <si>
    <t xml:space="preserve">Model take-or-pay June run-rate x 12</t>
  </si>
  <si>
    <t xml:space="preserve">Microsoft T1-T2 at end-June ramp point (avg of Q2, Q3 quarterly) + Meta #1 Q2; excludes T3-T4 (delivered Jul-Aug)</t>
  </si>
  <si>
    <t xml:space="preserve">Model reserved + on-demand June run-rate x 12</t>
  </si>
  <si>
    <t xml:space="preserve">Q2 books (b)+(c) x end/avg fleet; Hopper on-demand at June list ($3.85 H100); reserved at contracted (signed) rates</t>
  </si>
  <si>
    <t xml:space="preserve">Model June run-rate (annualized)</t>
  </si>
  <si>
    <t xml:space="preserve">  per energized IT MW at 6/30 ($M/MW-yr; team ~13.3-13.5)</t>
  </si>
  <si>
    <t xml:space="preserve">UNEXPLAINED ARR RESIDUAL (reported ARR - model June run-rate) - NOT unseen capacity</t>
  </si>
  <si>
    <t xml:space="preserve">Pending Filings: ARR segment scope; does ARR include signed-not-billing tranches? Evidence line only for Oklahoma/Minnesota; NOT plugged</t>
  </si>
  <si>
    <t xml:space="preserve">  MW-equivalent at model June run-rate per MW</t>
  </si>
  <si>
    <t xml:space="preserve">team estimate ~$0.65-0.7B / ~45-50 MW</t>
  </si>
  <si>
    <t xml:space="preserve">June 2026 AI cloud revenue (monthly) = ARR / 12 (Filings: ARR = June recognized x 12, no signed-not-billing)</t>
  </si>
  <si>
    <t xml:space="preserve">Q2'26 average monthly AI cloud revenue</t>
  </si>
  <si>
    <t xml:space="preserve">June step-up vs March (monthly, $M)</t>
  </si>
  <si>
    <t xml:space="preserve">INFO: ~$88M/mo</t>
  </si>
  <si>
    <t xml:space="preserve">  = IT MW at take-or-pay pricing (step x 12 / ACV_2026 $12M/MW) - UPPER END; fewer MW if reserved at Q2 renewal rates</t>
  </si>
  <si>
    <t xml:space="preserve">INFO only; not plugged. Toggle JuneExitOn tests Q3 from June exit</t>
  </si>
  <si>
    <t xml:space="preserve">Cross-check: residual at team June basis = ARR - 6/30 MW x $13.5M/MW (low)</t>
  </si>
  <si>
    <t xml:space="preserve">team basis ~$13.3-13.5M/MW (June list + renewals signed by 6/30)</t>
  </si>
  <si>
    <t xml:space="preserve">Cross-check: residual at team June basis = ARR - 6/30 MW x $13.3M/MW (high)</t>
  </si>
  <si>
    <t xml:space="preserve">  Model residual MW-equivalent at team $13.3-13.5M/MW (low end, /13.5)</t>
  </si>
  <si>
    <t xml:space="preserve">  Model residual MW-equivalent at team $13.3-13.5M/MW (high end, /13.3)</t>
  </si>
  <si>
    <t xml:space="preserve">Not used in revenue, capacity or valuation (no plug)</t>
  </si>
  <si>
    <t xml:space="preserve">Capex_DA</t>
  </si>
  <si>
    <t xml:space="preserve">Capex by asset class (IT/GPU by generation vintage, shell, power/electrical, maintenance) and depreciation waterfalls by vintage cohort with per-vintage life and optional impairment.</t>
  </si>
  <si>
    <t xml:space="preserve">Life &amp; impairment parameters (live)</t>
  </si>
  <si>
    <t xml:space="preserve">Depreciation life used - Hopper (quarters)</t>
  </si>
  <si>
    <t xml:space="preserve">Impairment qtr (999 = none)</t>
  </si>
  <si>
    <t xml:space="preserve">Depreciation life used - Blackwell (quarters)</t>
  </si>
  <si>
    <t xml:space="preserve">Depreciation life used - Next-gen (quarters)</t>
  </si>
  <si>
    <t xml:space="preserve">Capitalized interest life (quarters)</t>
  </si>
  <si>
    <t xml:space="preserve">Shell life (quarters)</t>
  </si>
  <si>
    <t xml:space="preserve">Power/electrical life (quarters)</t>
  </si>
  <si>
    <t xml:space="preserve">Maintenance capex life (quarters)</t>
  </si>
  <si>
    <t xml:space="preserve">Capex build</t>
  </si>
  <si>
    <t xml:space="preserve">New active IT MW (Revenue)</t>
  </si>
  <si>
    <t xml:space="preserve">Owned share of active IT MW (Sites)</t>
  </si>
  <si>
    <t xml:space="preserve">Historical capex (Hist, used)</t>
  </si>
  <si>
    <t xml:space="preserve">IT/GPU capex - Hopper vintage</t>
  </si>
  <si>
    <t xml:space="preserve">Forecast: GPUs added (lead GPULead) x $/GPU (method 1) or $M/IT MW (method 2)</t>
  </si>
  <si>
    <t xml:space="preserve">IT/GPU capex - Blackwell vintage</t>
  </si>
  <si>
    <t xml:space="preserve">IT/GPU capex - Next-gen vintage</t>
  </si>
  <si>
    <t xml:space="preserve">Shell/building capex (owned sites only)</t>
  </si>
  <si>
    <t xml:space="preserve">New MW (lead DCLead) x owned share x ShellMW</t>
  </si>
  <si>
    <t xml:space="preserve">Power/electrical capex (owned sites only)</t>
  </si>
  <si>
    <t xml:space="preserve">New MW (lead DCLead) x owned share x PowerMW</t>
  </si>
  <si>
    <t xml:space="preserve">MaintPct x revenue (forecast)</t>
  </si>
  <si>
    <t xml:space="preserve">GPU end-of-life replacement capex (cohort cost at GPU life)</t>
  </si>
  <si>
    <t xml:space="preserve">ReplOn; replaced at original cost; depreciated at next-gen life</t>
  </si>
  <si>
    <t xml:space="preserve">Path-consistent capex (GPU + shell + power + maintenance + replacement)</t>
  </si>
  <si>
    <t xml:space="preserve">Consensus capex overlay (IT cohort; CapexMode = 1, FY27 only)</t>
  </si>
  <si>
    <t xml:space="preserve">calc: Cons FY27 capex / 4 - path capex; depreciated at Blackwell life</t>
  </si>
  <si>
    <t xml:space="preserve">TOTAL CAPEX</t>
  </si>
  <si>
    <t xml:space="preserve">Memo: new-build capex (GPU + shell + power) - prepayment base</t>
  </si>
  <si>
    <t xml:space="preserve">Check: history capex split = reported (should be 0)</t>
  </si>
  <si>
    <t xml:space="preserve">GPU depreciation waterfall by vintage cohort (straight-line from PISLag quarters after spend; impairment writes down NBV of cohorts placed up to the impairment quarter)</t>
  </si>
  <si>
    <t xml:space="preserve">Hopper: dep. of cohorts placed &lt;= impairment qtr (pre-write-down)</t>
  </si>
  <si>
    <t xml:space="preserve">Hopper: dep. of cohorts placed after impairment qtr</t>
  </si>
  <si>
    <t xml:space="preserve">Hopper: GPU depreciation</t>
  </si>
  <si>
    <t xml:space="preserve">Hopper: impairment / repricing charge</t>
  </si>
  <si>
    <t xml:space="preserve">Hopper: GPU net book value</t>
  </si>
  <si>
    <t xml:space="preserve">Blackwell: dep. of cohorts placed &lt;= impairment qtr (pre-write-down)</t>
  </si>
  <si>
    <t xml:space="preserve">Blackwell: dep. of cohorts placed after impairment qtr</t>
  </si>
  <si>
    <t xml:space="preserve">Blackwell: GPU depreciation</t>
  </si>
  <si>
    <t xml:space="preserve">Blackwell: impairment / repricing charge</t>
  </si>
  <si>
    <t xml:space="preserve">Blackwell: GPU net book value</t>
  </si>
  <si>
    <t xml:space="preserve">Next-gen: dep. of cohorts placed &lt;= impairment qtr (pre-write-down)</t>
  </si>
  <si>
    <t xml:space="preserve">Next-gen: dep. of cohorts placed after impairment qtr</t>
  </si>
  <si>
    <t xml:space="preserve">Next-gen: GPU depreciation</t>
  </si>
  <si>
    <t xml:space="preserve">Next-gen: impairment / repricing charge</t>
  </si>
  <si>
    <t xml:space="preserve">Next-gen: GPU net book value</t>
  </si>
  <si>
    <t xml:space="preserve">Non-GPU depreciation</t>
  </si>
  <si>
    <t xml:space="preserve">Shell/building depreciation</t>
  </si>
  <si>
    <t xml:space="preserve">Power/electrical depreciation</t>
  </si>
  <si>
    <t xml:space="preserve">Maintenance capex depreciation</t>
  </si>
  <si>
    <t xml:space="preserve">Replacement capex depreciation</t>
  </si>
  <si>
    <t xml:space="preserve">Other D&amp;A (intangibles)</t>
  </si>
  <si>
    <t xml:space="preserve">Capitalized interest (non-cash PP&amp;E addition)</t>
  </si>
  <si>
    <t xml:space="preserve">Hist Note 12; fcst = CapIntPct x (convert coupon + accretion + secured interest)</t>
  </si>
  <si>
    <t xml:space="preserve">Capitalized-interest depreciation</t>
  </si>
  <si>
    <t xml:space="preserve">Consensus capex overlay depreciation</t>
  </si>
  <si>
    <t xml:space="preserve">D&amp;A totals</t>
  </si>
  <si>
    <t xml:space="preserve">GPU depreciation - all vintages</t>
  </si>
  <si>
    <t xml:space="preserve">Total D&amp;A - model</t>
  </si>
  <si>
    <t xml:space="preserve">D&amp;A USED (actual for history, model for forecast)</t>
  </si>
  <si>
    <t xml:space="preserve">Model D&amp;A vs reported (history calibration)</t>
  </si>
  <si>
    <t xml:space="preserve">Impairment charges (forecast)</t>
  </si>
  <si>
    <t xml:space="preserve">Total PP&amp;E net book value (model)</t>
  </si>
  <si>
    <t xml:space="preserve">In-service PP&amp;E roll-forward &amp; depreciation-yield check (D&amp;A / avg in-service gross PP&amp;E, annualized)</t>
  </si>
  <si>
    <t xml:space="preserve">Cash capex + capitalized interest</t>
  </si>
  <si>
    <t xml:space="preserve">Transfer into service</t>
  </si>
  <si>
    <t xml:space="preserve">Hist Derived = change in in-service gross; fcst = CIPRel x Q2'26 CIP + post-6/30 capex lagged PISLag+GPULead-1 (placed in service at billing)</t>
  </si>
  <si>
    <t xml:space="preserve">Assets not yet in use (CIP)</t>
  </si>
  <si>
    <t xml:space="preserve">Hist Note 7</t>
  </si>
  <si>
    <t xml:space="preserve">In-service gross PP&amp;E (no retirements)</t>
  </si>
  <si>
    <t xml:space="preserve">Hist Derived (Note 7)</t>
  </si>
  <si>
    <t xml:space="preserve">PP&amp;E depreciation - reported basis</t>
  </si>
  <si>
    <t xml:space="preserve">Hist Note 7; fcst = model D&amp;A - OtherDA</t>
  </si>
  <si>
    <t xml:space="preserve">PP&amp;E depreciation - ex 4-&gt;5 yr life change</t>
  </si>
  <si>
    <t xml:space="preserve">Hist + Note 1 benefit (43.1 / 43.0); fcst GPU dep x (LQ/16 - 1) added back</t>
  </si>
  <si>
    <t xml:space="preserve">Depreciation yield - REPORTED basis</t>
  </si>
  <si>
    <t xml:space="preserve">~17-18% Q1-Q2'26</t>
  </si>
  <si>
    <t xml:space="preserve">Depreciation yield - EX LIFE CHANGE (primary from Q1'26)</t>
  </si>
  <si>
    <t xml:space="preserve">~20-22% Q1-Q2'26</t>
  </si>
  <si>
    <t xml:space="preserve">FLAG (actuals): ex-change yield drops while new chips recently reached customers (0-2 qtrs after H200/B200/GB300/VR availability)</t>
  </si>
  <si>
    <t xml:space="preserve">Q3'26 check: large transfer into service expected after Jul-Aug Vineland tranches</t>
  </si>
  <si>
    <t xml:space="preserve">text</t>
  </si>
  <si>
    <t xml:space="preserve">Enter Q3TransAct when Q3 reported</t>
  </si>
  <si>
    <t xml:space="preserve">Financing</t>
  </si>
  <si>
    <t xml:space="preserve">Convertible notes by tranche (older series + Aug-2026 2030s and 2034s), exchange, secured term loan. Convert dilution routed to Shares; non-dilutive converts counted in net debt.</t>
  </si>
  <si>
    <t xml:space="preserve">Convertible tranche table (owner: Filings)</t>
  </si>
  <si>
    <t xml:space="preserve">Series</t>
  </si>
  <si>
    <t xml:space="preserve">Issue date</t>
  </si>
  <si>
    <t xml:space="preserve">Coupon</t>
  </si>
  <si>
    <t xml:space="preserve">Maturity date</t>
  </si>
  <si>
    <t xml:space="preserve">Original principal $M</t>
  </si>
  <si>
    <t xml:space="preserve">Prior conversions $M</t>
  </si>
  <si>
    <t xml:space="preserve">Exchanged $M</t>
  </si>
  <si>
    <t xml:space="preserve">Exchange qtr idx</t>
  </si>
  <si>
    <t xml:space="preserve">Exch. shares (M)</t>
  </si>
  <si>
    <t xml:space="preserve">Accreted value at maturity (x orig)</t>
  </si>
  <si>
    <t xml:space="preserve">Conv. rate /$1,000</t>
  </si>
  <si>
    <t xml:space="preserve">Conv. price $</t>
  </si>
  <si>
    <t xml:space="preserve">Issue idx</t>
  </si>
  <si>
    <t xml:space="preserve">Maturity idx</t>
  </si>
  <si>
    <t xml:space="preserve">ITM at SharePx (eff. px)</t>
  </si>
  <si>
    <t xml:space="preserve">Dilution factor</t>
  </si>
  <si>
    <t xml:space="preserve">2.00% Jun-2029 (Jun-25)</t>
  </si>
  <si>
    <t xml:space="preserve">Reported/Derived</t>
  </si>
  <si>
    <t xml:space="preserve">Reported principal/coupon/rate; prior conversions $12.5M (2025, Filings); exchange split 50/50 est.; accretion derived from Q2'26 Note 12 accreted $587.5M; maturity day est. Jun-1</t>
  </si>
  <si>
    <t xml:space="preserve">3.00% Jun-2031 (Jun-25)</t>
  </si>
  <si>
    <t xml:space="preserve">As above; accreted $612.5M</t>
  </si>
  <si>
    <t xml:space="preserve">1.00% Sep-2030 (Sep-25)</t>
  </si>
  <si>
    <t xml:space="preserve">Orig derived ($4.16B Jun+Sep total less $1.0B, split equally); accretes to 115% ($1,818.4M); rate per 20-F; maturity day est.</t>
  </si>
  <si>
    <t xml:space="preserve">2.75% Sep-2032 (Sep-25)</t>
  </si>
  <si>
    <t xml:space="preserve">1.25% Mar-2031 (Mar-26)</t>
  </si>
  <si>
    <t xml:space="preserve">Q2'26 Note 12: $2.59B incl. greenshoe; accretes to 120%; $183.22 conv. px</t>
  </si>
  <si>
    <t xml:space="preserve">2.625% Mar-2033 (Mar-26)</t>
  </si>
  <si>
    <t xml:space="preserve">Q2'26 Note 12: $1.75B; accretes to 120%; $180.31 conv. px</t>
  </si>
  <si>
    <t xml:space="preserve">0.50% Feb-2030 (Aug-26)</t>
  </si>
  <si>
    <t xml:space="preserve">Pricing PR Aug 19 + closing PR Aug 24 2026: $3.45B incl. $450M option; accretes to 110%; $313.46 conv. px ($344.81 effective)</t>
  </si>
  <si>
    <t xml:space="preserve">4.50% Feb-2034 (Aug-26)</t>
  </si>
  <si>
    <t xml:space="preserve">$2.30B incl. $300M option; accretes to 125%; $324.65 conv. px ($405.82 effective)</t>
  </si>
  <si>
    <t xml:space="preserve">PLAN deal 1 short (Estimated, Aug-26 terms)</t>
  </si>
  <si>
    <t xml:space="preserve">ESTIMATED 2027 funding plan; terms = Aug-26 pattern (Filings Converts): 60/40 short/long, 0.50%/4.50%, 110%/125% accretion, +40%/+45% premium, 3.5/7.5 yrs</t>
  </si>
  <si>
    <t xml:space="preserve">PLAN deal 1 long (Estimated, Aug-26 terms)</t>
  </si>
  <si>
    <t xml:space="preserve">PLAN deal 2 short (Estimated, Aug-26 terms)</t>
  </si>
  <si>
    <t xml:space="preserve">PLAN deal 2 long (Estimated, Aug-26 terms)</t>
  </si>
  <si>
    <t xml:space="preserve">Totals (original principal)</t>
  </si>
  <si>
    <t xml:space="preserve">Quarterly convert build (per tranche)</t>
  </si>
  <si>
    <t xml:space="preserve">2.00% Jun-2029 (Jun-25): original principal outstanding</t>
  </si>
  <si>
    <t xml:space="preserve">2.00% Jun-2029 (Jun-25): cash coupon</t>
  </si>
  <si>
    <t xml:space="preserve">2.00% Jun-2029 (Jun-25): accretion (non-cash interest)</t>
  </si>
  <si>
    <t xml:space="preserve">2.00% Jun-2029 (Jun-25): accreted balance</t>
  </si>
  <si>
    <t xml:space="preserve">2.00% Jun-2029 (Jun-25): cash repayment at maturity (if not converted)</t>
  </si>
  <si>
    <t xml:space="preserve">2.00% Jun-2029 (Jun-25): shares issued on conversion at maturity</t>
  </si>
  <si>
    <t xml:space="preserve">2.00% Jun-2029 (Jun-25): dilutive shares (per DilMethod)</t>
  </si>
  <si>
    <t xml:space="preserve">2.00% Jun-2029 (Jun-25): counted as debt in net debt</t>
  </si>
  <si>
    <t xml:space="preserve">3.00% Jun-2031 (Jun-25): original principal outstanding</t>
  </si>
  <si>
    <t xml:space="preserve">3.00% Jun-2031 (Jun-25): cash coupon</t>
  </si>
  <si>
    <t xml:space="preserve">3.00% Jun-2031 (Jun-25): accretion (non-cash interest)</t>
  </si>
  <si>
    <t xml:space="preserve">3.00% Jun-2031 (Jun-25): accreted balance</t>
  </si>
  <si>
    <t xml:space="preserve">3.00% Jun-2031 (Jun-25): cash repayment at maturity (if not converted)</t>
  </si>
  <si>
    <t xml:space="preserve">3.00% Jun-2031 (Jun-25): shares issued on conversion at maturity</t>
  </si>
  <si>
    <t xml:space="preserve">3.00% Jun-2031 (Jun-25): dilutive shares (per DilMethod)</t>
  </si>
  <si>
    <t xml:space="preserve">3.00% Jun-2031 (Jun-25): counted as debt in net debt</t>
  </si>
  <si>
    <t xml:space="preserve">1.00% Sep-2030 (Sep-25): original principal outstanding</t>
  </si>
  <si>
    <t xml:space="preserve">1.00% Sep-2030 (Sep-25): cash coupon</t>
  </si>
  <si>
    <t xml:space="preserve">1.00% Sep-2030 (Sep-25): accretion (non-cash interest)</t>
  </si>
  <si>
    <t xml:space="preserve">1.00% Sep-2030 (Sep-25): accreted balance</t>
  </si>
  <si>
    <t xml:space="preserve">1.00% Sep-2030 (Sep-25): cash repayment at maturity (if not converted)</t>
  </si>
  <si>
    <t xml:space="preserve">1.00% Sep-2030 (Sep-25): shares issued on conversion at maturity</t>
  </si>
  <si>
    <t xml:space="preserve">1.00% Sep-2030 (Sep-25): dilutive shares (per DilMethod)</t>
  </si>
  <si>
    <t xml:space="preserve">1.00% Sep-2030 (Sep-25): counted as debt in net debt</t>
  </si>
  <si>
    <t xml:space="preserve">2.75% Sep-2032 (Sep-25): original principal outstanding</t>
  </si>
  <si>
    <t xml:space="preserve">2.75% Sep-2032 (Sep-25): cash coupon</t>
  </si>
  <si>
    <t xml:space="preserve">2.75% Sep-2032 (Sep-25): accretion (non-cash interest)</t>
  </si>
  <si>
    <t xml:space="preserve">2.75% Sep-2032 (Sep-25): accreted balance</t>
  </si>
  <si>
    <t xml:space="preserve">2.75% Sep-2032 (Sep-25): cash repayment at maturity (if not converted)</t>
  </si>
  <si>
    <t xml:space="preserve">2.75% Sep-2032 (Sep-25): shares issued on conversion at maturity</t>
  </si>
  <si>
    <t xml:space="preserve">2.75% Sep-2032 (Sep-25): dilutive shares (per DilMethod)</t>
  </si>
  <si>
    <t xml:space="preserve">2.75% Sep-2032 (Sep-25): counted as debt in net debt</t>
  </si>
  <si>
    <t xml:space="preserve">1.25% Mar-2031 (Mar-26): original principal outstanding</t>
  </si>
  <si>
    <t xml:space="preserve">1.25% Mar-2031 (Mar-26): cash coupon</t>
  </si>
  <si>
    <t xml:space="preserve">1.25% Mar-2031 (Mar-26): accretion (non-cash interest)</t>
  </si>
  <si>
    <t xml:space="preserve">1.25% Mar-2031 (Mar-26): accreted balance</t>
  </si>
  <si>
    <t xml:space="preserve">1.25% Mar-2031 (Mar-26): cash repayment at maturity (if not converted)</t>
  </si>
  <si>
    <t xml:space="preserve">1.25% Mar-2031 (Mar-26): shares issued on conversion at maturity</t>
  </si>
  <si>
    <t xml:space="preserve">1.25% Mar-2031 (Mar-26): dilutive shares (per DilMethod)</t>
  </si>
  <si>
    <t xml:space="preserve">1.25% Mar-2031 (Mar-26): counted as debt in net debt</t>
  </si>
  <si>
    <t xml:space="preserve">2.625% Mar-2033 (Mar-26): original principal outstanding</t>
  </si>
  <si>
    <t xml:space="preserve">2.625% Mar-2033 (Mar-26): cash coupon</t>
  </si>
  <si>
    <t xml:space="preserve">2.625% Mar-2033 (Mar-26): accretion (non-cash interest)</t>
  </si>
  <si>
    <t xml:space="preserve">2.625% Mar-2033 (Mar-26): accreted balance</t>
  </si>
  <si>
    <t xml:space="preserve">2.625% Mar-2033 (Mar-26): cash repayment at maturity (if not converted)</t>
  </si>
  <si>
    <t xml:space="preserve">2.625% Mar-2033 (Mar-26): shares issued on conversion at maturity</t>
  </si>
  <si>
    <t xml:space="preserve">2.625% Mar-2033 (Mar-26): dilutive shares (per DilMethod)</t>
  </si>
  <si>
    <t xml:space="preserve">2.625% Mar-2033 (Mar-26): counted as debt in net debt</t>
  </si>
  <si>
    <t xml:space="preserve">0.50% Feb-2030 (Aug-26): original principal outstanding</t>
  </si>
  <si>
    <t xml:space="preserve">0.50% Feb-2030 (Aug-26): cash coupon</t>
  </si>
  <si>
    <t xml:space="preserve">0.50% Feb-2030 (Aug-26): accretion (non-cash interest)</t>
  </si>
  <si>
    <t xml:space="preserve">0.50% Feb-2030 (Aug-26): accreted balance</t>
  </si>
  <si>
    <t xml:space="preserve">0.50% Feb-2030 (Aug-26): cash repayment at maturity (if not converted)</t>
  </si>
  <si>
    <t xml:space="preserve">0.50% Feb-2030 (Aug-26): shares issued on conversion at maturity</t>
  </si>
  <si>
    <t xml:space="preserve">0.50% Feb-2030 (Aug-26): dilutive shares (per DilMethod)</t>
  </si>
  <si>
    <t xml:space="preserve">0.50% Feb-2030 (Aug-26): counted as debt in net debt</t>
  </si>
  <si>
    <t xml:space="preserve">4.50% Feb-2034 (Aug-26): original principal outstanding</t>
  </si>
  <si>
    <t xml:space="preserve">4.50% Feb-2034 (Aug-26): cash coupon</t>
  </si>
  <si>
    <t xml:space="preserve">4.50% Feb-2034 (Aug-26): accretion (non-cash interest)</t>
  </si>
  <si>
    <t xml:space="preserve">4.50% Feb-2034 (Aug-26): accreted balance</t>
  </si>
  <si>
    <t xml:space="preserve">4.50% Feb-2034 (Aug-26): cash repayment at maturity (if not converted)</t>
  </si>
  <si>
    <t xml:space="preserve">4.50% Feb-2034 (Aug-26): shares issued on conversion at maturity</t>
  </si>
  <si>
    <t xml:space="preserve">4.50% Feb-2034 (Aug-26): dilutive shares (per DilMethod)</t>
  </si>
  <si>
    <t xml:space="preserve">4.50% Feb-2034 (Aug-26): counted as debt in net debt</t>
  </si>
  <si>
    <t xml:space="preserve">PLAN deal 1 short (Estimated, Aug-26 terms): original principal outstanding</t>
  </si>
  <si>
    <t xml:space="preserve">PLAN deal 1 short (Estimated, Aug-26 terms): cash coupon</t>
  </si>
  <si>
    <t xml:space="preserve">PLAN deal 1 short (Estimated, Aug-26 terms): accretion (non-cash interest)</t>
  </si>
  <si>
    <t xml:space="preserve">PLAN deal 1 short (Estimated, Aug-26 terms): accreted balance</t>
  </si>
  <si>
    <t xml:space="preserve">PLAN deal 1 short (Estimated, Aug-26 terms): cash repayment at maturity (if not converted)</t>
  </si>
  <si>
    <t xml:space="preserve">PLAN deal 1 short (Estimated, Aug-26 terms): shares issued on conversion at maturity</t>
  </si>
  <si>
    <t xml:space="preserve">PLAN deal 1 short (Estimated, Aug-26 terms): dilutive shares (per DilMethod)</t>
  </si>
  <si>
    <t xml:space="preserve">PLAN deal 1 short (Estimated, Aug-26 terms): counted as debt in net debt</t>
  </si>
  <si>
    <t xml:space="preserve">PLAN deal 1 long (Estimated, Aug-26 terms): original principal outstanding</t>
  </si>
  <si>
    <t xml:space="preserve">PLAN deal 1 long (Estimated, Aug-26 terms): cash coupon</t>
  </si>
  <si>
    <t xml:space="preserve">PLAN deal 1 long (Estimated, Aug-26 terms): accretion (non-cash interest)</t>
  </si>
  <si>
    <t xml:space="preserve">PLAN deal 1 long (Estimated, Aug-26 terms): accreted balance</t>
  </si>
  <si>
    <t xml:space="preserve">PLAN deal 1 long (Estimated, Aug-26 terms): cash repayment at maturity (if not converted)</t>
  </si>
  <si>
    <t xml:space="preserve">PLAN deal 1 long (Estimated, Aug-26 terms): shares issued on conversion at maturity</t>
  </si>
  <si>
    <t xml:space="preserve">PLAN deal 1 long (Estimated, Aug-26 terms): dilutive shares (per DilMethod)</t>
  </si>
  <si>
    <t xml:space="preserve">PLAN deal 1 long (Estimated, Aug-26 terms): counted as debt in net debt</t>
  </si>
  <si>
    <t xml:space="preserve">PLAN deal 2 short (Estimated, Aug-26 terms): original principal outstanding</t>
  </si>
  <si>
    <t xml:space="preserve">PLAN deal 2 short (Estimated, Aug-26 terms): cash coupon</t>
  </si>
  <si>
    <t xml:space="preserve">PLAN deal 2 short (Estimated, Aug-26 terms): accretion (non-cash interest)</t>
  </si>
  <si>
    <t xml:space="preserve">PLAN deal 2 short (Estimated, Aug-26 terms): accreted balance</t>
  </si>
  <si>
    <t xml:space="preserve">PLAN deal 2 short (Estimated, Aug-26 terms): cash repayment at maturity (if not converted)</t>
  </si>
  <si>
    <t xml:space="preserve">PLAN deal 2 short (Estimated, Aug-26 terms): shares issued on conversion at maturity</t>
  </si>
  <si>
    <t xml:space="preserve">PLAN deal 2 short (Estimated, Aug-26 terms): dilutive shares (per DilMethod)</t>
  </si>
  <si>
    <t xml:space="preserve">PLAN deal 2 short (Estimated, Aug-26 terms): counted as debt in net debt</t>
  </si>
  <si>
    <t xml:space="preserve">PLAN deal 2 long (Estimated, Aug-26 terms): original principal outstanding</t>
  </si>
  <si>
    <t xml:space="preserve">PLAN deal 2 long (Estimated, Aug-26 terms): cash coupon</t>
  </si>
  <si>
    <t xml:space="preserve">PLAN deal 2 long (Estimated, Aug-26 terms): accretion (non-cash interest)</t>
  </si>
  <si>
    <t xml:space="preserve">PLAN deal 2 long (Estimated, Aug-26 terms): accreted balance</t>
  </si>
  <si>
    <t xml:space="preserve">PLAN deal 2 long (Estimated, Aug-26 terms): cash repayment at maturity (if not converted)</t>
  </si>
  <si>
    <t xml:space="preserve">PLAN deal 2 long (Estimated, Aug-26 terms): shares issued on conversion at maturity</t>
  </si>
  <si>
    <t xml:space="preserve">PLAN deal 2 long (Estimated, Aug-26 terms): dilutive shares (per DilMethod)</t>
  </si>
  <si>
    <t xml:space="preserve">PLAN deal 2 long (Estimated, Aug-26 terms): counted as debt in net debt</t>
  </si>
  <si>
    <t xml:space="preserve">Convert totals</t>
  </si>
  <si>
    <t xml:space="preserve">Original principal outstanding</t>
  </si>
  <si>
    <t xml:space="preserve">Cash coupons</t>
  </si>
  <si>
    <t xml:space="preserve">Accretion (non-cash)</t>
  </si>
  <si>
    <t xml:space="preserve">Accreted balance</t>
  </si>
  <si>
    <t xml:space="preserve">Cash repayments at maturity</t>
  </si>
  <si>
    <t xml:space="preserve">Shares issued at maturity conversion</t>
  </si>
  <si>
    <t xml:space="preserve">Dilutive convert shares</t>
  </si>
  <si>
    <t xml:space="preserve">Converts counted as debt</t>
  </si>
  <si>
    <t xml:space="preserve">Secured term loan ($775M, SOFR + 2.50%)</t>
  </si>
  <si>
    <t xml:space="preserve">Secured loan balance</t>
  </si>
  <si>
    <t xml:space="preserve">Bullet assumed (amortization n.d.)</t>
  </si>
  <si>
    <t xml:space="preserve">Secured loan interest</t>
  </si>
  <si>
    <t xml:space="preserve">Secured loan draws (+) / repayments (-)</t>
  </si>
  <si>
    <t xml:space="preserve">PnL</t>
  </si>
  <si>
    <t xml:space="preserve">Quarterly P&amp;L. History = reported (COR/PD/SG&amp;A GAAP incl. SBC); forecast = driver-based ex-SBC with SBC below EBITDA. Interest/tax/net income modeled for forecast only.</t>
  </si>
  <si>
    <t xml:space="preserve">  AI cloud revenue</t>
  </si>
  <si>
    <t xml:space="preserve">  YoY growth</t>
  </si>
  <si>
    <t xml:space="preserve">Operating costs</t>
  </si>
  <si>
    <t xml:space="preserve">Power - Vineland (Microsoft billing MW physically energized, PPA/genset opex)</t>
  </si>
  <si>
    <t xml:space="preserve">min(MS billing IT MW, Vineland energized IT MW) x PUE x VinPower / 4</t>
  </si>
  <si>
    <t xml:space="preserve">Power - rest of fleet</t>
  </si>
  <si>
    <t xml:space="preserve">(avg IT MW - Vineland physical MS MW) x LoadFactor x PUE x hrs x $/MWh</t>
  </si>
  <si>
    <t xml:space="preserve">Rent - leased / colo / build-to-suit (shell + power infra)</t>
  </si>
  <si>
    <t xml:space="preserve">avg IT MW x (1 - owned share) x PUE x RentMW / 4</t>
  </si>
  <si>
    <t xml:space="preserve">  AIB CLT1 rent differential (CLT1Rent per IT MW vs generic RentMW x PUE)</t>
  </si>
  <si>
    <t xml:space="preserve">CLT1 billing MW (energized lagged EnLag) x (CLT1Rent - RentMW x PUE) / 4</t>
  </si>
  <si>
    <t xml:space="preserve">Other cost of revenue</t>
  </si>
  <si>
    <t xml:space="preserve">Owned-site O&amp;M (staff, maintenance, insurance, property tax)</t>
  </si>
  <si>
    <t xml:space="preserve">avg IT MW x owned share x OM_MW / 4 (forecast)</t>
  </si>
  <si>
    <t xml:space="preserve">Cost of revenue (hist = reported GAAP)</t>
  </si>
  <si>
    <t xml:space="preserve">Product development (hist GAAP; fcst ex-SBC)</t>
  </si>
  <si>
    <t xml:space="preserve">SG&amp;A (hist GAAP; fcst ex-SBC)</t>
  </si>
  <si>
    <t xml:space="preserve">Profitability</t>
  </si>
  <si>
    <t xml:space="preserve">Peer-margin overlay (sensitivity; PeerMarginOn): cost so adj. EBITDA margin &lt;= MarginPeer from PeerMarginYr</t>
  </si>
  <si>
    <t xml:space="preserve">ADJUSTED EBITDA</t>
  </si>
  <si>
    <t xml:space="preserve">History = reported adj. EBITDA</t>
  </si>
  <si>
    <t xml:space="preserve">  Adj. EBITDA margin</t>
  </si>
  <si>
    <t xml:space="preserve">SBC &amp; other EBITDA adjustments</t>
  </si>
  <si>
    <t xml:space="preserve">Hist derived = adj EBITDA - (rev - GAAP opex ex-D&amp;A)</t>
  </si>
  <si>
    <t xml:space="preserve">Impairment / repricing</t>
  </si>
  <si>
    <t xml:space="preserve">EBIT</t>
  </si>
  <si>
    <t xml:space="preserve">  EBIT margin</t>
  </si>
  <si>
    <t xml:space="preserve">Below EBIT (forecast only; history: see filings)</t>
  </si>
  <si>
    <t xml:space="preserve">Convert cash coupons</t>
  </si>
  <si>
    <t xml:space="preserve">Convert accretion (non-cash)</t>
  </si>
  <si>
    <t xml:space="preserve">Funding-plug debt interest</t>
  </si>
  <si>
    <t xml:space="preserve">CashFlow</t>
  </si>
  <si>
    <t xml:space="preserve">Interest income</t>
  </si>
  <si>
    <t xml:space="preserve">Less: capitalized interest (to PP&amp;E)</t>
  </si>
  <si>
    <t xml:space="preserve">Pre-tax income</t>
  </si>
  <si>
    <t xml:space="preserve">Income tax</t>
  </si>
  <si>
    <t xml:space="preserve">TaxRate x positive EBT (no NOL)</t>
  </si>
  <si>
    <t xml:space="preserve">Net income</t>
  </si>
  <si>
    <t xml:space="preserve">Diluted shares (Shares)</t>
  </si>
  <si>
    <t xml:space="preserve">Shares</t>
  </si>
  <si>
    <t xml:space="preserve">Diluted EPS (forecast)</t>
  </si>
  <si>
    <t xml:space="preserve">Cash flow, deferred revenue (prepayments), funding plug (debt/equity at MinCash), debt balances, net debt. Forecast from LastHist+1.</t>
  </si>
  <si>
    <t xml:space="preserve">Operating cash flow</t>
  </si>
  <si>
    <t xml:space="preserve">Adj. EBITDA</t>
  </si>
  <si>
    <t xml:space="preserve">Cash taxes</t>
  </si>
  <si>
    <t xml:space="preserve">Deferred revenue (customer prepayments)</t>
  </si>
  <si>
    <t xml:space="preserve">Prepayment base: new-build capex split by the MW it serves (billing quarter = capex quarter + GPULead)</t>
  </si>
  <si>
    <t xml:space="preserve">Share of new-build capex for SIGNED Microsoft/Meta MW (0% new prepayment)</t>
  </si>
  <si>
    <t xml:space="preserve">Share for NEW hyperscaler / IG MW (HSPre)</t>
  </si>
  <si>
    <t xml:space="preserve">Share for other new deals (Neolab / non-hyperscaler)</t>
  </si>
  <si>
    <t xml:space="preserve">Prepayment rate - other new deals (PrepayDecayOn: 38.5% pre-Rubin, PrepayPct27 in 2027, PrepayPct28 from PrepayIdx28)</t>
  </si>
  <si>
    <t xml:space="preserve">Prepayments received</t>
  </si>
  <si>
    <t xml:space="preserve">NEW prepayments only (post 6/30) = new-build capex x (IG share x HSPre + other share x rate); signed Microsoft/Meta 0%; opening DR 5,975 is recognition only</t>
  </si>
  <si>
    <t xml:space="preserve">Release of 6/30 deferred revenue (Reported split): DR_Cur over Q3'26-Q2'27, DR_24-DR_Cur over Q3'27-Q2'28, remainder over DR_TailQ</t>
  </si>
  <si>
    <t xml:space="preserve">non-cash revenue; existing Microsoft/Meta advances</t>
  </si>
  <si>
    <t xml:space="preserve">Release of NEW prepayments: straight-line over DR_AmortQ from billing start (capex quarter + GPULead)</t>
  </si>
  <si>
    <t xml:space="preserve">slow burn-off consistent with multi-year tranches</t>
  </si>
  <si>
    <t xml:space="preserve">Deferred revenue released (non-cash revenue)</t>
  </si>
  <si>
    <t xml:space="preserve">6/30 balance schedule + new prepayment vintages</t>
  </si>
  <si>
    <t xml:space="preserve">Deferred revenue balance</t>
  </si>
  <si>
    <t xml:space="preserve">History = Hist H_DR</t>
  </si>
  <si>
    <t xml:space="preserve">Change in deferred revenue</t>
  </si>
  <si>
    <t xml:space="preserve">Interest (cash)</t>
  </si>
  <si>
    <t xml:space="preserve">Interest income on prior cash</t>
  </si>
  <si>
    <t xml:space="preserve">Interest on funding-plug debt (prior balance)</t>
  </si>
  <si>
    <t xml:space="preserve">Net cash interest</t>
  </si>
  <si>
    <t xml:space="preserve">-(coupons + secured + plug interest) + interest income</t>
  </si>
  <si>
    <t xml:space="preserve">CASH FROM OPERATIONS (proxy)</t>
  </si>
  <si>
    <t xml:space="preserve">Capex</t>
  </si>
  <si>
    <t xml:space="preserve">Other investing: AIB CLT1 build prepayment (placeholder) + Inferize acquisition (press-reported, toggle) - liquidity only, not in UFCF</t>
  </si>
  <si>
    <t xml:space="preserve">FREE CASH FLOW (levered)</t>
  </si>
  <si>
    <t xml:space="preserve">Unlevered FCF (for DCF)</t>
  </si>
  <si>
    <t xml:space="preserve">EBITDA - tax on EBIT + change in DR - capex</t>
  </si>
  <si>
    <t xml:space="preserve">Financing flows &amp; funding plug</t>
  </si>
  <si>
    <t xml:space="preserve">Convert issuance proceeds (net): Aug-2026 2030s + 2034s (ONCE, Q3'26; 6/30 cash excludes them) + 2027 plan deals</t>
  </si>
  <si>
    <t xml:space="preserve">Aug converts closed 8/24/26 -&gt; counted only here (Q3'26) and in runway row '+ Aug-2026 converts gross'</t>
  </si>
  <si>
    <t xml:space="preserve">  of which: 2027 funding-plan converts (net of fees)</t>
  </si>
  <si>
    <t xml:space="preserve">Convert cash repayments at maturity</t>
  </si>
  <si>
    <t xml:space="preserve">Secured loan draw / (repayment)</t>
  </si>
  <si>
    <t xml:space="preserve">ATM equity proceeds (Q3'26 actual sales + funding-plan ATM at FP_ATMIdx)</t>
  </si>
  <si>
    <t xml:space="preserve">Cash before funding plug</t>
  </si>
  <si>
    <t xml:space="preserve">Funding gap to MinCash</t>
  </si>
  <si>
    <t xml:space="preserve">  Debt plug drawn</t>
  </si>
  <si>
    <t xml:space="preserve">  Equity plug raised</t>
  </si>
  <si>
    <t xml:space="preserve">  Equity plug shares issued</t>
  </si>
  <si>
    <t xml:space="preserve">at SharePx x (1 - EqDisc)</t>
  </si>
  <si>
    <t xml:space="preserve">CASH (end)</t>
  </si>
  <si>
    <t xml:space="preserve">Hist/Modeling</t>
  </si>
  <si>
    <t xml:space="preserve">History = Hist cash</t>
  </si>
  <si>
    <t xml:space="preserve">Debt &amp; net debt</t>
  </si>
  <si>
    <t xml:space="preserve">Funding-plug debt balance</t>
  </si>
  <si>
    <t xml:space="preserve">Gross debt (accreted converts + secured + plug)</t>
  </si>
  <si>
    <t xml:space="preserve">Debt counted in net debt (excl. converts treated as equity)</t>
  </si>
  <si>
    <t xml:space="preserve">NET DEBT (debt counted - cash)</t>
  </si>
  <si>
    <t xml:space="preserve">FUNDING RUNWAY (no funding plug): start = 6/30 unrestricted cash; each later raise its own line; only NEW prepayments counted as cash</t>
  </si>
  <si>
    <t xml:space="preserve">Opening liquidity: unrestricted cash 6/30/26</t>
  </si>
  <si>
    <t xml:space="preserve">+ Aug-2026 converts gross ($3.45B + $2.30B; closed 8/24/26, NOT in 6/30 cash -&gt; added ONCE here at Q3'26)</t>
  </si>
  <si>
    <t xml:space="preserve">+ $775M asset-backed facility (LoanOn: base 0 = drawn amount undisclosed; 1 = $775M sensitivity)</t>
  </si>
  <si>
    <t xml:space="preserve">+ ATM: legacy toggle ATMOn (only when FP_On = 0) + funding-plan ATM at FP_ATMIdx</t>
  </si>
  <si>
    <t xml:space="preserve">+ 2027 funding-plan converts (net; Aug-26 terms; coupons flow through FCF below)</t>
  </si>
  <si>
    <t xml:space="preserve">+ Levered FCF ex funding-plug interest (incl. NEW prepayments; DR release non-cash)</t>
  </si>
  <si>
    <t xml:space="preserve">- Convert / secured repayments</t>
  </si>
  <si>
    <t xml:space="preserve">LIQUIDITY (end of quarter)</t>
  </si>
  <si>
    <t xml:space="preserve">Starting liquidity incl. post-6/30 raises (cash + Aug gross + loan + ATM toggle)</t>
  </si>
  <si>
    <t xml:space="preserve">Memo: H2'26 new prepayments (model) vs FY26 guide remainder (&gt;$9B - 1H26 DR build)</t>
  </si>
  <si>
    <t xml:space="preserve">Comparison vs Skeptic rerun (same basis), $B</t>
  </si>
  <si>
    <t xml:space="preserve">Start</t>
  </si>
  <si>
    <t xml:space="preserve">Q1'27 end</t>
  </si>
  <si>
    <t xml:space="preserve">Q2'27 end</t>
  </si>
  <si>
    <t xml:space="preserve">YE27</t>
  </si>
  <si>
    <t xml:space="preserve">Skeptic rerun</t>
  </si>
  <si>
    <t xml:space="preserve">Model - Skeptic</t>
  </si>
  <si>
    <t xml:space="preserve">Basic and diluted share count. Convert dilution from Financing (DilMethod); options by treasury-stock method at SharePx; NVIDIA pre-funded warrant included in economic basic.</t>
  </si>
  <si>
    <t xml:space="preserve">Issued &amp; outstanding shares (Class A + B)</t>
  </si>
  <si>
    <t xml:space="preserve">History = Hist; forecast adds exchange, ATM, equity plug, convert maturities, comp issuance</t>
  </si>
  <si>
    <t xml:space="preserve">Economic basic (issued + warrant)</t>
  </si>
  <si>
    <t xml:space="preserve">Options (treasury-stock method at DilPx)</t>
  </si>
  <si>
    <t xml:space="preserve">Unvested RSUs (+ Eigen AI shares if EigenIn = 1)</t>
  </si>
  <si>
    <t xml:space="preserve">Convertible notes - dilutive shares (DilMethod)</t>
  </si>
  <si>
    <t xml:space="preserve">DILUTED SHARES</t>
  </si>
  <si>
    <t xml:space="preserve">  Convert dilution as % of economic basic</t>
  </si>
  <si>
    <t xml:space="preserve">DCF (quarterly UFCF discounted to ValDate + terminal value) with EV bridge incl. weighted off-balance-sheet commitments, SOTP, 12-month PT, cross-checks.</t>
  </si>
  <si>
    <t xml:space="preserve">DCF</t>
  </si>
  <si>
    <t xml:space="preserve">Unlevered FCF</t>
  </si>
  <si>
    <t xml:space="preserve">Discount factor (periods after ValDate)</t>
  </si>
  <si>
    <t xml:space="preserve">PV of UFCF</t>
  </si>
  <si>
    <t xml:space="preserve">Terminal value (terminal year = FY2030 x (1 + TG))</t>
  </si>
  <si>
    <t xml:space="preserve">Terminal growth used: TGMode 1 = MIN(TGCap, TermRR x TermRONC); 0 = TG</t>
  </si>
  <si>
    <t xml:space="preserve">FY2030 revenue</t>
  </si>
  <si>
    <t xml:space="preserve">FY2030 adj. EBITDA</t>
  </si>
  <si>
    <t xml:space="preserve">FY2030 D&amp;A</t>
  </si>
  <si>
    <t xml:space="preserve">  MW scale to Q1'31 billing (Q4'30 active + MW energized in Q4'30) / Q4'30 active</t>
  </si>
  <si>
    <t xml:space="preserve">  Q4'30 adj. EBITDA x 4 (exit run-rate)</t>
  </si>
  <si>
    <t xml:space="preserve">Terminal-year EBITDA (TermBase 2 = Q4'30 x 4, no MW step-up [default]; 1 = x MW scale [memo]; 0 = FY30)</t>
  </si>
  <si>
    <t xml:space="preserve">Terminal-year D&amp;A = maintenance capex base</t>
  </si>
  <si>
    <t xml:space="preserve">  GPU replacement need = gross GPU cost in service at Q4'30 / GPU life (per yr)</t>
  </si>
  <si>
    <t xml:space="preserve">every cohort bought in the last life-years is replaced once per life</t>
  </si>
  <si>
    <t xml:space="preserve">  Non-GPU sustaining: FY30 shell + power depreciation + maintenance capex</t>
  </si>
  <si>
    <t xml:space="preserve">  Growth reinvestment: TGMode 1 = g / RONC x NOPAT (fundamentals); 0 = TG x net PP&amp;E at Q4'30</t>
  </si>
  <si>
    <t xml:space="preserve">  Required terminal capex = (replacement + non-GPU) x (1+V_g) + growth</t>
  </si>
  <si>
    <t xml:space="preserve">Terminal-year capex (used; ReplPxOn = required capex at scenario price path, no historical-cost D&amp;A floor)</t>
  </si>
  <si>
    <t xml:space="preserve">  Check: terminal capex &gt;= GPU replacement need</t>
  </si>
  <si>
    <t xml:space="preserve">Terminal-year tax on EBIT (D&amp;A for tax = max(D&amp;A, steady-state replacement))</t>
  </si>
  <si>
    <t xml:space="preserve">  Steady-state D&amp;A (= maintenance capex: replacement + non-GPU)</t>
  </si>
  <si>
    <t xml:space="preserve">  Terminal NOPAT = (EBITDA - steady-state D&amp;A) - tax</t>
  </si>
  <si>
    <t xml:space="preserve">  Implied reinvestment rate (growth capex / NOPAT)</t>
  </si>
  <si>
    <t xml:space="preserve">  Terminal ROIC (NOPAT / net PP&amp;E Q4'30) - memo vs TermRONC</t>
  </si>
  <si>
    <t xml:space="preserve">Terminal-year UFCF</t>
  </si>
  <si>
    <t xml:space="preserve">TV - Gordon growth</t>
  </si>
  <si>
    <t xml:space="preserve">TV - exit multiple (x terminal-year EBITDA)</t>
  </si>
  <si>
    <t xml:space="preserve">  Implied EV/EBITDA multiple of Gordon TV (cross-check vs ExitMult)</t>
  </si>
  <si>
    <t xml:space="preserve">  FY2030 adj. EBITDA margin (cross-check: consensus FY28 ~61%)</t>
  </si>
  <si>
    <t xml:space="preserve">TV - blended (Gordon / exit multiple)</t>
  </si>
  <si>
    <t xml:space="preserve">  Run-off value: existing fleet, no reinvestment (after-tax EBITDA declining linearly to 0 over GPU life)</t>
  </si>
  <si>
    <t xml:space="preserve">TV - used = IF(TVFloor, max(blend, run-off), blend)</t>
  </si>
  <si>
    <t xml:space="preserve">  TV basis</t>
  </si>
  <si>
    <t xml:space="preserve">Discount factor at Q4'30</t>
  </si>
  <si>
    <t xml:space="preserve">PV of terminal value</t>
  </si>
  <si>
    <t xml:space="preserve">Sum of PV of quarterly UFCF</t>
  </si>
  <si>
    <t xml:space="preserve">Closing deferred revenue at Q4'30 (prepaid, unreleased)</t>
  </si>
  <si>
    <t xml:space="preserve">  PV at Q4'30 of its post-horizon release (non-cash revenue inside terminal EBITDA; straight-line over DR_AmortQ/2 = avg remaining life)</t>
  </si>
  <si>
    <t xml:space="preserve">Deferred-revenue run-off deduction (DRTermOn; cash already received inside the horizon)</t>
  </si>
  <si>
    <t xml:space="preserve">v0.5 cash double-count fix</t>
  </si>
  <si>
    <t xml:space="preserve">ENTERPRISE VALUE (DCF)</t>
  </si>
  <si>
    <t xml:space="preserve">  Info: significant financing component (ASC 606) - model revenue/EBITDA include NO SFC gross-up and no SFC interest; DCF on cash flows only</t>
  </si>
  <si>
    <t xml:space="preserve">SFC accretion is non-cash (FY25 $4.5M); if shown, carry below EBITDA with no cash outflow. Q2'26 calibration uses reported revenue, which may embed a small gross-up (immaterial; not stripped)</t>
  </si>
  <si>
    <t xml:space="preserve">  Info (Estimated): implied financing cost of customer advances, annualized = (H1'26 interest expense 182.8 - convert interest 106.5) / avg H1 deferred revenue - UPPER BOUND (includes supplier deferred-payment interest)</t>
  </si>
  <si>
    <t xml:space="preserve">Q2'26 alone: (119.1-67.3)x4/avg(4,778,5,975) ~ 3.9%; FY25 SFC accretion $4.5M disclosed. Split vs supplier interest not disclosed</t>
  </si>
  <si>
    <t xml:space="preserve">  TV share of EV</t>
  </si>
  <si>
    <t xml:space="preserve">MEMO (not used): DCF EV with 'include both' terminal (TermBase=1: Q4'30 spend for MW billing Q1'31 charged AND that MW in terminal, ~1.2x unsourced step-up) - STATIC, snap.py</t>
  </si>
  <si>
    <t xml:space="preserve">Memo only; conservative default excludes both</t>
  </si>
  <si>
    <t xml:space="preserve">MEMO (not used): FD value/share with 'include both' terminal - STATIC, snap.py</t>
  </si>
  <si>
    <t xml:space="preserve">Scenario snapshot (STATIC, snap.py): DCF EV - BASE</t>
  </si>
  <si>
    <t xml:space="preserve">Scenario snapshot (STATIC, snap.py): DCF EV - BULL</t>
  </si>
  <si>
    <t xml:space="preserve">Scenario snapshot (STATIC, snap.py): DCF EV - BEAR</t>
  </si>
  <si>
    <t xml:space="preserve">Scenario snapshot (STATIC): Q2'26 calibrated utilization - BASE</t>
  </si>
  <si>
    <t xml:space="preserve">Scenario snapshot (STATIC): Q2'26 calibrated utilization - BULL</t>
  </si>
  <si>
    <t xml:space="preserve">Scenario snapshot (STATIC): Q2'26 calibrated utilization - BEAR</t>
  </si>
  <si>
    <t xml:space="preserve">EV -&gt; equity bridge (at valuation quarter = last quarter end on/before ValDate)</t>
  </si>
  <si>
    <t xml:space="preserve">Valuation quarter index</t>
  </si>
  <si>
    <t xml:space="preserve">Valuation quarter</t>
  </si>
  <si>
    <t xml:space="preserve">Net debt at valuation quarter (model)</t>
  </si>
  <si>
    <t xml:space="preserve">Includes Aug-26 converts, $775M secured, cash after Q3 burn; ITM converts excluded (in shares)</t>
  </si>
  <si>
    <t xml:space="preserve">SOTP: ClickHouse (low-high interpolation x (1 - discount))</t>
  </si>
  <si>
    <t xml:space="preserve">SOTP: Toloka</t>
  </si>
  <si>
    <t xml:space="preserve">SOTP: Avride</t>
  </si>
  <si>
    <t xml:space="preserve">SOTP: TripleTen / other</t>
  </si>
  <si>
    <t xml:space="preserve">  Avride burn add-back: PV of AVBurnQ (flat) Q4'26-Q4'30 + terminal at V_g - ONLY when Avride is valued separately (V_AV &gt; 0); credit value OR keep burn, not both</t>
  </si>
  <si>
    <t xml:space="preserve">v0.7 fix of bull double count (v0.6 bull credited Avride and kept its burn in EBITDA)</t>
  </si>
  <si>
    <t xml:space="preserve">SOTP total (incl. Avride burn add-back)</t>
  </si>
  <si>
    <t xml:space="preserve">Lease &amp; power commitments: energy $5.32B + leases not commenced $12.05B + B/S operating leases $1.625B</t>
  </si>
  <si>
    <t xml:space="preserve">Diluted shares at valuation quarter (Shares tab, DilPx)</t>
  </si>
  <si>
    <t xml:space="preserve">Dilution solve at the implied valuation price (unrolled fixed-point; converts ITM at price P move from debt to shares; options by TSM at P)</t>
  </si>
  <si>
    <t xml:space="preserve">Tranche (at valuation qtr)</t>
  </si>
  <si>
    <t xml:space="preserve">Orig. principal o/s</t>
  </si>
  <si>
    <t xml:space="preserve">Conv. rate</t>
  </si>
  <si>
    <t xml:space="preserve">Conv. price</t>
  </si>
  <si>
    <t xml:space="preserve">Orig. principal at FP_PostQ</t>
  </si>
  <si>
    <t xml:space="preserve">Accreted at FP_PostQ</t>
  </si>
  <si>
    <t xml:space="preserve">Cash at valuation quarter</t>
  </si>
  <si>
    <t xml:space="preserve">Secured + funding-plug debt at valuation quarter</t>
  </si>
  <si>
    <t xml:space="preserve">Economic basic shares (issued + exchange + NVIDIA warrant)</t>
  </si>
  <si>
    <t xml:space="preserve">Ties to 308.69M at Q3'26 = 271.86 + 15.77 + 21.07 (ATM 12.27M remaining excluded)</t>
  </si>
  <si>
    <t xml:space="preserve">RSUs (+ Eigen if included)</t>
  </si>
  <si>
    <t xml:space="preserve">Iteration</t>
  </si>
  <si>
    <t xml:space="preserve">Weight 0%</t>
  </si>
  <si>
    <t xml:space="preserve">Chosen weight</t>
  </si>
  <si>
    <t xml:space="preserve">Weight 100%</t>
  </si>
  <si>
    <t xml:space="preserve">Off-B/S / lease weight</t>
  </si>
  <si>
    <t xml:space="preserve">P0 = SharePx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</si>
  <si>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</si>
  <si>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</si>
  <si>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</si>
  <si>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</si>
  <si>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</si>
  <si>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</si>
  <si>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</si>
  <si>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</si>
  <si>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</si>
  <si>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P10</t>
  </si>
  <si>
    <t xml:space="preserve">P11</t>
  </si>
  <si>
    <t xml:space="preserve">P12</t>
  </si>
  <si>
    <t xml:space="preserve">P13</t>
  </si>
  <si>
    <t xml:space="preserve">P14</t>
  </si>
  <si>
    <t xml:space="preserve">P15</t>
  </si>
  <si>
    <t xml:space="preserve">Convergence |P15 - P14| (should be ~0)</t>
  </si>
  <si>
    <t xml:space="preserve">Solved value per share - FULLY DILUTED ($)</t>
  </si>
  <si>
    <t xml:space="preserve">  Convert shares at solved price (M)</t>
  </si>
  <si>
    <t xml:space="preserve">  Converts left in debt at solved price ($M)</t>
  </si>
  <si>
    <t xml:space="preserve">  Options (TSM) at solved price (M)</t>
  </si>
  <si>
    <t xml:space="preserve">  Fully diluted shares at solved price (M)</t>
  </si>
  <si>
    <t xml:space="preserve">Equity value - fully diluted basis ($M)</t>
  </si>
  <si>
    <t xml:space="preserve">Value per share on 308.69M-style economic basic, all converts as debt ($)</t>
  </si>
  <si>
    <t xml:space="preserve">  memo: convert shares at solved price - FULL CONVERSION of ITM notes (if-converted)</t>
  </si>
  <si>
    <t xml:space="preserve">  memo: convert shares at solved price - NET-SHARE SETTLEMENT (treasury-style; cash = principal)</t>
  </si>
  <si>
    <t xml:space="preserve">  memo: FD shares at solved price - full conversion / NSS basis</t>
  </si>
  <si>
    <t xml:space="preserve">  memo: FD shares at solved price - NSS basis</t>
  </si>
  <si>
    <t xml:space="preserve">Convert waterfall at reference prices (existing notes, valuation quarter; Filings CapStructure: $13.425B original principal)</t>
  </si>
  <si>
    <t xml:space="preserve">Price $/sh</t>
  </si>
  <si>
    <t xml:space="preserve">Price</t>
  </si>
  <si>
    <t xml:space="preserve">Converting principal $M</t>
  </si>
  <si>
    <t xml:space="preserve">Full-conv. shares M</t>
  </si>
  <si>
    <t xml:space="preserve">Debt left (full conv.) $M</t>
  </si>
  <si>
    <t xml:space="preserve">NSS shares M</t>
  </si>
  <si>
    <t xml:space="preserve">FD shares (full conv.)</t>
  </si>
  <si>
    <t xml:space="preserve">FD shares (NSS)</t>
  </si>
  <si>
    <t xml:space="preserve">At 46</t>
  </si>
  <si>
    <t xml:space="preserve">At 147</t>
  </si>
  <si>
    <t xml:space="preserve">At 242.81</t>
  </si>
  <si>
    <t xml:space="preserve">At V_PSolve</t>
  </si>
  <si>
    <t xml:space="preserve">POST-FUNDING per-share value (v0.7): equity + plan cash (ATM + net convert proceeds) / (FD shares + ATM shares + new &amp; existing convert shares at the solved price; notes OTM at that price stay debt at principal). Converts at FP_PostQ.</t>
  </si>
  <si>
    <t xml:space="preserve">Funding-plan cash added to equity ($M) = ATM proceeds + 2027 converts net</t>
  </si>
  <si>
    <t xml:space="preserve">New shares from ATM (M)</t>
  </si>
  <si>
    <t xml:space="preserve">Q0 = solved pre-funding price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</si>
  <si>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</si>
  <si>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</si>
  <si>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</si>
  <si>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</si>
  <si>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</si>
  <si>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</si>
  <si>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</si>
  <si>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</si>
  <si>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</si>
  <si>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</si>
  <si>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</si>
  <si>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Q12</t>
  </si>
  <si>
    <t xml:space="preserve">Q13</t>
  </si>
  <si>
    <t xml:space="preserve">Q14</t>
  </si>
  <si>
    <t xml:space="preserve">Q15</t>
  </si>
  <si>
    <t xml:space="preserve">POST-FUNDING value per share ($)</t>
  </si>
  <si>
    <t xml:space="preserve">  Post-funding FD shares at solved price (M)</t>
  </si>
  <si>
    <t xml:space="preserve">  Post-funding FD shares - full conversion / NSS memo (full)</t>
  </si>
  <si>
    <t xml:space="preserve">  Post-funding FD shares - NSS</t>
  </si>
  <si>
    <t xml:space="preserve">  Converts left in debt post-funding ($M)</t>
  </si>
  <si>
    <t xml:space="preserve">12-month price target ($) = value/share (POST-FUNDING when FP_On) x (1 + Ke)</t>
  </si>
  <si>
    <t xml:space="preserve">6-month value/share ($) = x (1 + Ke)^0.5</t>
  </si>
  <si>
    <t xml:space="preserve">3-year value/share ($) = x (1 + Ke)^3 (no dividends; funding through YE27 only)</t>
  </si>
  <si>
    <t xml:space="preserve">Upside / (downside) vs SharePx</t>
  </si>
  <si>
    <t xml:space="preserve">Net debt (secured + plug + converts left in debt - cash), chosen weight</t>
  </si>
  <si>
    <t xml:space="preserve">Price used for quarterly dilution (DilPx)</t>
  </si>
  <si>
    <t xml:space="preserve">Cross-checks</t>
  </si>
  <si>
    <t xml:space="preserve">NTM adj. EBITDA (4 quarters after valuation quarter)</t>
  </si>
  <si>
    <t xml:space="preserve">EV / NTM adj. EBITDA</t>
  </si>
  <si>
    <t xml:space="preserve">EV / FY2027 adj. EBITDA</t>
  </si>
  <si>
    <t xml:space="preserve">Market EV at SharePx (dilution at $242.81; ITM converts in shares and OUT of debt)</t>
  </si>
  <si>
    <t xml:space="preserve">FD shares at SharePx excl. unsold ATM (M)</t>
  </si>
  <si>
    <t xml:space="preserve">Check vs Filings 369.2M (Checks tab)</t>
  </si>
  <si>
    <t xml:space="preserve">  ITM convert shares at SharePx (M)</t>
  </si>
  <si>
    <t xml:space="preserve">  ITM convert principal at SharePx ($M orig.)</t>
  </si>
  <si>
    <t xml:space="preserve">  Converts left in debt at SharePx ($M accreted)</t>
  </si>
  <si>
    <t xml:space="preserve">MARKET EV - Filings CapStructure basis (6/30 balance sheet + Aug notes + Aug exchange); NO forecast cash</t>
  </si>
  <si>
    <t xml:space="preserve">Market equity = SharePx x economic basic 308.69M ($M)</t>
  </si>
  <si>
    <t xml:space="preserve">271.86 issued + 15.77 exchange + 21.07 NVIDIA warrant</t>
  </si>
  <si>
    <t xml:space="preserve">+ Older converts, carrying pro forma for Aug exchange</t>
  </si>
  <si>
    <t xml:space="preserve">+ Aug-2026 converts (2030s + 2034s) gross</t>
  </si>
  <si>
    <t xml:space="preserve">+ Debt, current (6/30)</t>
  </si>
  <si>
    <t xml:space="preserve">+ Secured loan (if drawn; cash-neutral)</t>
  </si>
  <si>
    <t xml:space="preserve">- Unrestricted cash 6/30 (excl. $1.06B restricted)</t>
  </si>
  <si>
    <t xml:space="preserve">- Aug converts proceeds held as cash</t>
  </si>
  <si>
    <t xml:space="preserve">- Secured loan proceeds held as cash</t>
  </si>
  <si>
    <t xml:space="preserve">MARKET EV ex-leases ($M)</t>
  </si>
  <si>
    <t xml:space="preserve">Target ~$74.7B at $242.81 (Filings)</t>
  </si>
  <si>
    <t xml:space="preserve">Memo: FD-basis market EV (FD equity at SharePx; ITM older converts out of debt)</t>
  </si>
  <si>
    <t xml:space="preserve">All older converts ITM at $242.81 -&gt; in shares; Aug notes OTM -&gt; debt</t>
  </si>
  <si>
    <t xml:space="preserve">Market EV / NTM adj. EBITDA</t>
  </si>
  <si>
    <t xml:space="preserve">Energized IT MW at valuation qtr (Capacity, live scenario)</t>
  </si>
  <si>
    <t xml:space="preserve">Contracted IT MW at valuation qtr</t>
  </si>
  <si>
    <t xml:space="preserve">EV per ENERGIZED MW (primary capacity multiple) - three ways; EV per contracted MW = indicative only</t>
  </si>
  <si>
    <t xml:space="preserve">Nebius market</t>
  </si>
  <si>
    <t xml:space="preserve">Nebius DCF</t>
  </si>
  <si>
    <t xml:space="preserve">CoreWeave</t>
  </si>
  <si>
    <t xml:space="preserve">NBIS / CRWV</t>
  </si>
  <si>
    <t xml:space="preserve">$M EV / energized MW - ex-leases</t>
  </si>
  <si>
    <t xml:space="preserve">$M EV / energized MW - incl. commenced leases both sides</t>
  </si>
  <si>
    <t xml:space="preserve">CRWV lease liab. placeholder (GPU Market)</t>
  </si>
  <si>
    <t xml:space="preserve">$M EV / energized MW - incl. all commitments</t>
  </si>
  <si>
    <t xml:space="preserve">CRWV commitments placeholder</t>
  </si>
  <si>
    <t xml:space="preserve">$M EV / contracted MW (INDICATIVE ONLY)</t>
  </si>
  <si>
    <t xml:space="preserve">pipeline, not capacity</t>
  </si>
  <si>
    <t xml:space="preserve">Peer-implied EV (CRWV EV/energized MW x Nebius energized MW)</t>
  </si>
  <si>
    <t xml:space="preserve">DCF EV / market EV</t>
  </si>
  <si>
    <t xml:space="preserve">Market EV / FY27 adj. EBITDA (model)</t>
  </si>
  <si>
    <t xml:space="preserve">KPIs</t>
  </si>
  <si>
    <t xml:space="preserve">Modeling-owned derived KPIs (quarterly, annualized where $/MW). All formulas from Revenue / Sites / Contracts / Capex_DA / PnL.</t>
  </si>
  <si>
    <t xml:space="preserve">MW bases (IT MW)</t>
  </si>
  <si>
    <t xml:space="preserve">BILLING IT MW = active - delivered-but-power-capped contract MW</t>
  </si>
  <si>
    <t xml:space="preserve">Contracted IT MW</t>
  </si>
  <si>
    <t xml:space="preserve">Energized IT MW (Capacity estimate, live scenario)</t>
  </si>
  <si>
    <t xml:space="preserve">Owned IT MW (active)</t>
  </si>
  <si>
    <t xml:space="preserve">Leased IT MW (active; colo + build-to-suit)</t>
  </si>
  <si>
    <t xml:space="preserve">Revenue per MW ($M per MW-yr, annualized AI cloud revenue)</t>
  </si>
  <si>
    <t xml:space="preserve">Revenue per BILLING MW</t>
  </si>
  <si>
    <t xml:space="preserve">Revenue per contracted MW</t>
  </si>
  <si>
    <t xml:space="preserve">Revenue per energized MW</t>
  </si>
  <si>
    <t xml:space="preserve">Microsoft revenue per Microsoft billing MW</t>
  </si>
  <si>
    <t xml:space="preserve">Fleet KPIs</t>
  </si>
  <si>
    <t xml:space="preserve">Revenue per GPU ($K per GPU-yr)</t>
  </si>
  <si>
    <t xml:space="preserve">$K/GPU-yr</t>
  </si>
  <si>
    <t xml:space="preserve">Implied blended $/GPU-hr</t>
  </si>
  <si>
    <t xml:space="preserve">AI revenue / (avg GPUs x hours)</t>
  </si>
  <si>
    <t xml:space="preserve">Fleet-weighted on-demand list price</t>
  </si>
  <si>
    <t xml:space="preserve">Implied utilization (blended $/hr / weighted list)</t>
  </si>
  <si>
    <t xml:space="preserve">Mixes realized-price discount with utilization</t>
  </si>
  <si>
    <t xml:space="preserve">Capex per new active MW ($M/MW)</t>
  </si>
  <si>
    <t xml:space="preserve">Adj. EBITDA per billing MW ($M/MW-yr)</t>
  </si>
  <si>
    <t xml:space="preserve">Adj. EBITDA per energized MW ($M/MW-yr)</t>
  </si>
  <si>
    <t xml:space="preserve">Owned vs leased cohorts ($M per MW-yr)</t>
  </si>
  <si>
    <t xml:space="preserve">Pre-rent EBITDA per active MW (both cohorts)</t>
  </si>
  <si>
    <t xml:space="preserve">Rent per leased MW</t>
  </si>
  <si>
    <t xml:space="preserve">EBITDA per MW - OWNED cohort (no rent; shell/power in capex)</t>
  </si>
  <si>
    <t xml:space="preserve">EBITDA per MW - LEASED cohort (after rent)</t>
  </si>
  <si>
    <t xml:space="preserve">Capex per MW - owned (IT + ShellMW + PowerMW)</t>
  </si>
  <si>
    <t xml:space="preserve">Inputs</t>
  </si>
  <si>
    <t xml:space="preserve">Capex per MW - leased (IT only; colo case ~$30M/IT MW)</t>
  </si>
  <si>
    <t xml:space="preserve">Depreciation yield ex life change (Capex_DA)</t>
  </si>
  <si>
    <t xml:space="preserve">Sensitivities</t>
  </si>
  <si>
    <t xml:space="preserve">1) List-price change from quarter after valuation: on-demand book (c) immediately; reserved book (b) only after ResLag renewal; hyperscaler book (a) unaffected. EBITDA = 100% flow-through (no revenue-linked cost).</t>
  </si>
  <si>
    <t xml:space="preserve">Revenue impact ($M)</t>
  </si>
  <si>
    <t xml:space="preserve">-20%</t>
  </si>
  <si>
    <t xml:space="preserve">-10%</t>
  </si>
  <si>
    <t xml:space="preserve">+10%</t>
  </si>
  <si>
    <t xml:space="preserve">+20%</t>
  </si>
  <si>
    <t xml:space="preserve">% of model rev (+10%)</t>
  </si>
  <si>
    <t xml:space="preserve">FY2026 revenue = EBITDA impact</t>
  </si>
  <si>
    <t xml:space="preserve">FY2027 revenue = EBITDA impact</t>
  </si>
  <si>
    <t xml:space="preserve">FY2028 revenue = EBITDA impact</t>
  </si>
  <si>
    <t xml:space="preserve">  Exposure mix at valuation quarter: book (a) / (b) / (c) share of AI cloud revenue</t>
  </si>
  <si>
    <t xml:space="preserve">2) Scenario / toggle snapshot - STATIC values from LibreOffice recalcs at build time (re-run snap.py after changing inputs). $M except per-share.</t>
  </si>
  <si>
    <t xml:space="preserve">Variant</t>
  </si>
  <si>
    <t xml:space="preserve">FY26 revenue</t>
  </si>
  <si>
    <t xml:space="preserve">FY27 EBIT</t>
  </si>
  <si>
    <t xml:space="preserve">FY27 D&amp;A</t>
  </si>
  <si>
    <t xml:space="preserve">DCF EV</t>
  </si>
  <si>
    <t xml:space="preserve">FD value/share</t>
  </si>
  <si>
    <t xml:space="preserve">Liquidity &lt;0 qtr</t>
  </si>
  <si>
    <t xml:space="preserve">YE27 liquidity</t>
  </si>
  <si>
    <t xml:space="preserve">FY27 capex</t>
  </si>
  <si>
    <t xml:space="preserve">YE28 liquidity</t>
  </si>
  <si>
    <t xml:space="preserve">FY26 adj. EBITDA</t>
  </si>
  <si>
    <t xml:space="preserve">FY28 EBIT</t>
  </si>
  <si>
    <t xml:space="preserve">FY26 capex</t>
  </si>
  <si>
    <t xml:space="preserve">FY28 capex</t>
  </si>
  <si>
    <t xml:space="preserve">FY26 EBIT</t>
  </si>
  <si>
    <t xml:space="preserve">Equity value FD</t>
  </si>
  <si>
    <t xml:space="preserve">TV PV</t>
  </si>
  <si>
    <t xml:space="preserve">Term capex</t>
  </si>
  <si>
    <t xml:space="preserve">6m value</t>
  </si>
  <si>
    <t xml:space="preserve">3y value</t>
  </si>
  <si>
    <t xml:space="preserve">GB300 rev/IT MW gross</t>
  </si>
  <si>
    <t xml:space="preserve">GB300 net leased</t>
  </si>
  <si>
    <t xml:space="preserve">GB300 net owned</t>
  </si>
  <si>
    <t xml:space="preserve">Rubin rev/IT MW</t>
  </si>
  <si>
    <t xml:space="preserve">Q3'26 rev</t>
  </si>
  <si>
    <t xml:space="preserve">Terminal g</t>
  </si>
  <si>
    <t xml:space="preserve">FY30 margin</t>
  </si>
  <si>
    <t xml:space="preserve">YE26 liquidity</t>
  </si>
  <si>
    <t xml:space="preserve">FY28 rev</t>
  </si>
  <si>
    <t xml:space="preserve">New-MW blended $/IT MW-yr</t>
  </si>
  <si>
    <t xml:space="preserve">Vineland loss FY26-27</t>
  </si>
  <si>
    <t xml:space="preserve">Min liquidity</t>
  </si>
  <si>
    <t xml:space="preserve">YE27 active MW</t>
  </si>
  <si>
    <t xml:space="preserve">Total new prepayments</t>
  </si>
  <si>
    <t xml:space="preserve">DR run-off adj</t>
  </si>
  <si>
    <t xml:space="preserve">Sold share new MW</t>
  </si>
  <si>
    <t xml:space="preserve">Post-funding $/sh</t>
  </si>
  <si>
    <t xml:space="preserve">Post-funding FD sh</t>
  </si>
  <si>
    <t xml:space="preserve">Pre-funding FD sh</t>
  </si>
  <si>
    <t xml:space="preserve">Min liq to YE27</t>
  </si>
  <si>
    <t xml:space="preserve">ATM shares</t>
  </si>
  <si>
    <t xml:space="preserve">Avride add-back</t>
  </si>
  <si>
    <t xml:space="preserve">SOTP</t>
  </si>
  <si>
    <t xml:space="preserve">FD sh full-conv</t>
  </si>
  <si>
    <t xml:space="preserve">FD sh NSS</t>
  </si>
  <si>
    <t xml:space="preserve">GPU life 4 yrs (all vintages)</t>
  </si>
  <si>
    <t xml:space="preserve">GPU life 5 yrs</t>
  </si>
  <si>
    <t xml:space="preserve">GPU life 6 yrs</t>
  </si>
  <si>
    <t xml:space="preserve">STRESS: energized-&gt;billing lag 2 qtrs</t>
  </si>
  <si>
    <t xml:space="preserve">Capex = consensus (CapexMode=1)</t>
  </si>
  <si>
    <t xml:space="preserve">Base w/ PISLag = 0 (dep at energization)</t>
  </si>
  <si>
    <t xml:space="preserve">Base w/ Microsoft = 24% customer</t>
  </si>
  <si>
    <t xml:space="preserve">Capex method 1 (GPUs x $/GPU)</t>
  </si>
  <si>
    <t xml:space="preserve">Exit-multiple blend 50% (old TV weighting)</t>
  </si>
  <si>
    <t xml:space="preserve">Sens: PD + SG&amp;A held at FY28 % of revenue (OpexHold=1)</t>
  </si>
  <si>
    <t xml:space="preserve">Sens: base replacement capex at price path (ReplPxOn=1)</t>
  </si>
  <si>
    <t xml:space="preserve">Sens: uniform capex lead 3 qtrs (v0.3 timing)</t>
  </si>
  <si>
    <t xml:space="preserve">Sens: GPU lead 1 qtr (shell/power 3)</t>
  </si>
  <si>
    <t xml:space="preserve">Sens: Rubin revenue $16M/IT MW</t>
  </si>
  <si>
    <t xml:space="preserve">Sens: Rubin revenue $18M/IT MW (base)</t>
  </si>
  <si>
    <t xml:space="preserve">Sens: Rubin revenue $20M/IT MW</t>
  </si>
  <si>
    <t xml:space="preserve">Sens: Rubin capex $32M/IT MW leased (OUTER BULL, soft)</t>
  </si>
  <si>
    <t xml:space="preserve">Sens: Rubin capex $41M leased (base)</t>
  </si>
  <si>
    <t xml:space="preserve">Sens: Rubin capex $48.5M leased (bear)</t>
  </si>
  <si>
    <t xml:space="preserve">Sens: $775M facility fully drawn</t>
  </si>
  <si>
    <t xml:space="preserve">BASE - pre-funding (FP_On 0)</t>
  </si>
  <si>
    <t xml:space="preserve">BULL - pre-funding</t>
  </si>
  <si>
    <t xml:space="preserve">BEAR - pre-funding</t>
  </si>
  <si>
    <t xml:space="preserve">BASE gross - pre-funding</t>
  </si>
  <si>
    <t xml:space="preserve">BEAR ATM at 30% below $242.81</t>
  </si>
  <si>
    <t xml:space="preserve">BEAR ATM at 50% below</t>
  </si>
  <si>
    <t xml:space="preserve">BULL Avride alt: credit 50% of $2.75B AND add back PV of burn</t>
  </si>
  <si>
    <t xml:space="preserve">BULL Avride v0.6 (credit value, keep burn = double count)</t>
  </si>
  <si>
    <t xml:space="preserve">Sens: converts net-share settled (DilMethod 3)</t>
  </si>
  <si>
    <t xml:space="preserve">GROSS - converts net-share settled</t>
  </si>
  <si>
    <t xml:space="preserve">Sens: converts debt at accreted (CVDebtBasis 2)</t>
  </si>
  <si>
    <t xml:space="preserve">STRESS: one-off 31% cut to new-deal $/MW once Rubin ships</t>
  </si>
  <si>
    <t xml:space="preserve">BULL - gross reading</t>
  </si>
  <si>
    <t xml:space="preserve">BEAR - gross reading</t>
  </si>
  <si>
    <t xml:space="preserve">Sens: peer adj. EBITDA margin 62% from FY28 (PeerMarginOn)</t>
  </si>
  <si>
    <t xml:space="preserve">Sens: terminal g = 0 floor (TermRR = 0)</t>
  </si>
  <si>
    <t xml:space="preserve">Sens: MW basis company ~190 (history + forward)</t>
  </si>
  <si>
    <t xml:space="preserve">Sens: MW basis MISMATCH (190 history, 173 forward)</t>
  </si>
  <si>
    <t xml:space="preserve">Sens: Q3'26 from June exit run-rate (JuneExitOn)</t>
  </si>
  <si>
    <t xml:space="preserve">Sens: Vineland shutdown prob-weighted (VinShutSel=7)</t>
  </si>
  <si>
    <t xml:space="preserve">Sens: Vineland full 3 months (VinShutSel=6)</t>
  </si>
  <si>
    <t xml:space="preserve">Sens: Bloom slips 2 quarters (T5-T9 +2 qtrs)</t>
  </si>
  <si>
    <t xml:space="preserve">Sens: Vineland prob-weighted + Bloom slips 2 qtrs</t>
  </si>
  <si>
    <t xml:space="preserve">Sens: prepayments OFF</t>
  </si>
  <si>
    <t xml:space="preserve">Capacity proposed path (MWSel=4)</t>
  </si>
  <si>
    <t xml:space="preserve">Capacity proposed path, prepayments OFF</t>
  </si>
  <si>
    <t xml:space="preserve">Sens: new-deal pricing OFF (GPU-hour engine for new MW)</t>
  </si>
  <si>
    <t xml:space="preserve">Sens: multi-year $20M/IT MW (ND_Px $4.65)</t>
  </si>
  <si>
    <t xml:space="preserve">Sens: multi-year $25M/IT MW (ND_Px $5.81)</t>
  </si>
  <si>
    <t xml:space="preserve">FLOOR: short-term share 0%</t>
  </si>
  <si>
    <t xml:space="preserve">Sens: short-term share 2% of total MW</t>
  </si>
  <si>
    <t xml:space="preserve">Sens: short-term share 10% of total MW</t>
  </si>
  <si>
    <t xml:space="preserve">HEADLINE: unsold new MW at $18M/IT MW (contracted backlog at existing pricing)</t>
  </si>
  <si>
    <t xml:space="preserve">HEADLINE: unsold new MW at $22M/IT MW</t>
  </si>
  <si>
    <t xml:space="preserve">HEADLINE: unsold new MW at $25M/IT MW</t>
  </si>
  <si>
    <t xml:space="preserve">EXTREME (unsupported): short-term share 25%</t>
  </si>
  <si>
    <t xml:space="preserve">Sens: new-deal basis per GROSS MW (= $26.4M per IT MW)</t>
  </si>
  <si>
    <t xml:space="preserve">Sens: prepayment decay OFF (other deals 38.5% flat)</t>
  </si>
  <si>
    <t xml:space="preserve">Sens: new hyperscaler prepay 20%</t>
  </si>
  <si>
    <t xml:space="preserve">Sens: new hyperscaler prepay 40%</t>
  </si>
  <si>
    <t xml:space="preserve">Sens: DR run-off deduction OFF (v0.4 cash treatment)</t>
  </si>
  <si>
    <t xml:space="preserve">Sens: GPU anchor OFF (Capacity file history)</t>
  </si>
  <si>
    <t xml:space="preserve">Sens: AIB CLT1 prepayment $250M</t>
  </si>
  <si>
    <t xml:space="preserve">Sens: AIB CLT1 prepayment $500M</t>
  </si>
  <si>
    <t xml:space="preserve">Sens: Inferize $130M Q4'26 (press-reported)</t>
  </si>
  <si>
    <t xml:space="preserve">BEAR + power loosens 2028 (-15%/yr)</t>
  </si>
  <si>
    <t xml:space="preserve">BRIDGE v0.1 (as reported)</t>
  </si>
  <si>
    <t xml:space="preserve">BRIDGE + fleet ratio forecast-only / capex on driver MW (FixMgmt)</t>
  </si>
  <si>
    <t xml:space="preserve">BRIDGE + terminal on Q4'30 exit incl. Q1'31 MW (include both)</t>
  </si>
  <si>
    <t xml:space="preserve">BRIDGE + TV run-off floor</t>
  </si>
  <si>
    <t xml:space="preserve">BRIDGE + owned-site O&amp;M</t>
  </si>
  <si>
    <t xml:space="preserve">BRIDGE + H2'26 repricing (= v0.2)</t>
  </si>
  <si>
    <t xml:space="preserve">BRIDGE + exclude both Q4'30 spend &amp; Q1'31 MW</t>
  </si>
  <si>
    <t xml:space="preserve">BRIDGE + split capex lead: shell/power 3, GPUs 2 qtrs</t>
  </si>
  <si>
    <t xml:space="preserve">BRIDGE + price path: post-Rubin cut 22% + -6%/yr from year 2</t>
  </si>
  <si>
    <t xml:space="preserve">BRIDGE + Rubin premium at per-MW parity (1.56x GB300)</t>
  </si>
  <si>
    <t xml:space="preserve">BRIDGE + CLT1 rent $2.2M/IT MW-yr</t>
  </si>
  <si>
    <t xml:space="preserve">BRIDGE + terminal g from fundamentals</t>
  </si>
  <si>
    <t xml:space="preserve">BRIDGE + new-deal pricing: 2027+ MW at $22M multi-year + 10% short-term $45M</t>
  </si>
  <si>
    <t xml:space="preserve">BRIDGE + prepayments on new-build capex only (38.5%)</t>
  </si>
  <si>
    <t xml:space="preserve">BRIDGE + GPU history anchor ~30k at 3/31/25 (= v0.4)</t>
  </si>
  <si>
    <t xml:space="preserve">BRIDGE + closing deferred revenue run-off deducted from EV (cash double-count fix)</t>
  </si>
  <si>
    <t xml:space="preserve">BRIDGE + prepayments by customer: signed MSFT/Meta 0% new, new hyperscaler 30%</t>
  </si>
  <si>
    <t xml:space="preserve">BRIDGE + prepayment decay: other deals 38.5% -&gt; 22.5% for 2028+ signings</t>
  </si>
  <si>
    <t xml:space="preserve">BRIDGE + DR release on Reported 6/30 split; new prepayments straight-line 4 yrs</t>
  </si>
  <si>
    <t xml:space="preserve">BRIDGE + short-term = 5% of TOTAL active MW at $45M x 85% occupancy (= v0.5)</t>
  </si>
  <si>
    <t xml:space="preserve">BRIDGE + new-deal $/MW path fix: flat nominal within generation to 2028, then -3%/yr (no per-chip ageing)</t>
  </si>
  <si>
    <t xml:space="preserve">BRIDGE + Rubin new-deal pricing 1.2x GB300 per GPU-hr (generation step-down -22% $/MW)</t>
  </si>
  <si>
    <t xml:space="preserve">BRIDGE + stake values per Filings Note 5; Avride $0 in base (= v0.6)</t>
  </si>
  <si>
    <t xml:space="preserve">BRIDGE + $775M asset-backed facility $0 drawn (undisclosed)</t>
  </si>
  <si>
    <t xml:space="preserve">BRIDGE + existing converts OTM at solved price as debt at ORIGINAL principal ($13.4B) not accreted</t>
  </si>
  <si>
    <t xml:space="preserve">BRIDGE + Rubin revenue direct $18M/IT MW (no IT/gross toggle); short-term $45M tranche GB300-only</t>
  </si>
  <si>
    <t xml:space="preserve">BRIDGE + Rubin capex $41M leased / $56M owned (was $32M / $43M)</t>
  </si>
  <si>
    <t xml:space="preserve">BRIDGE + Avride double-count rule (base: Avride $0, burn kept - no change)</t>
  </si>
  <si>
    <t xml:space="preserve">BRIDGE + 2027 funding plan: ATM 12.27M sh + 2 x $6.4B converts; post-funding per-share (= v0.7)</t>
  </si>
  <si>
    <t xml:space="preserve">GRID 0.0|1|1</t>
  </si>
  <si>
    <t xml:space="preserve">GRID 0.02|1|1</t>
  </si>
  <si>
    <t xml:space="preserve">GRID 0.05|1|1</t>
  </si>
  <si>
    <t xml:space="preserve">GRID 0.1|1|1</t>
  </si>
  <si>
    <t xml:space="preserve">GRID 0.0|2|1</t>
  </si>
  <si>
    <t xml:space="preserve">GRID 0.02|2|1</t>
  </si>
  <si>
    <t xml:space="preserve">GRID 0.05|2|1</t>
  </si>
  <si>
    <t xml:space="preserve">GRID 0.1|2|1</t>
  </si>
  <si>
    <t xml:space="preserve">GRID 0.0|1|0</t>
  </si>
  <si>
    <t xml:space="preserve">GRID 0.02|1|0</t>
  </si>
  <si>
    <t xml:space="preserve">GRID 0.05|1|0</t>
  </si>
  <si>
    <t xml:space="preserve">GRID 0.1|1|0</t>
  </si>
  <si>
    <t xml:space="preserve">GRID 0.0|2|0</t>
  </si>
  <si>
    <t xml:space="preserve">GRID 0.02|2|0</t>
  </si>
  <si>
    <t xml:space="preserve">GRID 0.05|2|0</t>
  </si>
  <si>
    <t xml:space="preserve">GRID 0.1|2|0</t>
  </si>
  <si>
    <t xml:space="preserve">3) FY27 EBIT at GPU life 4 / 5 / 6 yrs vs Skeptic</t>
  </si>
  <si>
    <t xml:space="preserve">Model FY27 EBIT ($M, static)</t>
  </si>
  <si>
    <t xml:space="preserve">Skeptic FY27 EBIT ($M)</t>
  </si>
  <si>
    <t xml:space="preserve">Sources &amp; linked files</t>
  </si>
  <si>
    <t xml:space="preserve">/workspace/nebius/capacity/nebius_capacity.xlsx (Sites, Quarterly MW copied as values; Vineland tranche track)</t>
  </si>
  <si>
    <t xml:space="preserve">Capacity &amp; Power</t>
  </si>
  <si>
    <t xml:space="preserve">GPU price history</t>
  </si>
  <si>
    <t xml:space="preserve">/workspace/nebius/market/gpu_price_history.xlsx (H100 decay -&gt; residual curve)</t>
  </si>
  <si>
    <t xml:space="preserve">nebius.com/prices snapshot Oct 4 2026 (effective Oct 1 2026)</t>
  </si>
  <si>
    <t xml:space="preserve">Consensus</t>
  </si>
  <si>
    <t xml:space="preserve">/workspace/nebius/skeptic/01_priced_in.xlsx (Oct 2 2026; share price 242.81)</t>
  </si>
  <si>
    <t xml:space="preserve">/workspace/nebius/filings/nebius_filings.xlsx (Quarterly, Converts, CapStructure, SOTP, Controls_Depreciation)</t>
  </si>
  <si>
    <t xml:space="preserve">Filings &amp; Capital</t>
  </si>
  <si>
    <t xml:space="preserve">Microsoft 6-K</t>
  </si>
  <si>
    <t xml:space="preserve">https://www.sec.gov/Archives/edgar/data/1513845/000110465925088312/tm2525580d1_6k.htm</t>
  </si>
  <si>
    <t xml:space="preserve">https://www.sec.gov/Archives/edgar/data/1513845/000110465926094568/tm2622968d1_ex99-1.htm (Notes 1, 7, 12)</t>
  </si>
  <si>
    <t xml:space="preserve">A100 list history</t>
  </si>
  <si>
    <t xml:space="preserve">GPU Market archived A100 list data: neocloud A100 composite $1.23 -&gt; $2.00 (Nov 2020 -&gt; Oct 2026); hyperscaler composite -1.8%/yr (Estimated; supports 5-6 yr economic GPU life)</t>
  </si>
  <si>
    <t xml:space="preserve">Nebius vs neocloud median OD list, Oct 2026</t>
  </si>
  <si>
    <t xml:space="preserve">H100 $4.50 vs $3.99; H200 $5.40 vs $5.29; B200 $8.50 vs $7.49 (GPU Market, /workspace/nebius/market/gpu_price_history.xlsx)</t>
  </si>
  <si>
    <t xml:space="preserve">Comps</t>
  </si>
  <si>
    <t xml:space="preserve">CoreWeave EV $79.5B at 6/30/26, ~1,500 MW active, ~3.7 GW contracted (GPU Market, Derived)</t>
  </si>
</sst>
</file>

<file path=xl/styles.xml><?xml version="1.0" encoding="utf-8"?>
<styleSheet xmlns="http://schemas.openxmlformats.org/spreadsheetml/2006/main">
  <numFmts count="28">
    <numFmt numFmtId="164" formatCode="General"/>
    <numFmt numFmtId="165" formatCode="@"/>
    <numFmt numFmtId="166" formatCode="#,##0"/>
    <numFmt numFmtId="167" formatCode="0.00"/>
    <numFmt numFmtId="168" formatCode="0.0;\(0.0\)"/>
    <numFmt numFmtId="169" formatCode="0.00;\(0.00\)"/>
    <numFmt numFmtId="170" formatCode="#,##0;\(#,##0\)"/>
    <numFmt numFmtId="171" formatCode="0.0"/>
    <numFmt numFmtId="172" formatCode="0"/>
    <numFmt numFmtId="173" formatCode="0%"/>
    <numFmt numFmtId="174" formatCode="0.0%"/>
    <numFmt numFmtId="175" formatCode="#,##0.0"/>
    <numFmt numFmtId="176" formatCode="0.00;\-0.00"/>
    <numFmt numFmtId="177" formatCode="0.0\x"/>
    <numFmt numFmtId="178" formatCode="#,##0.00"/>
    <numFmt numFmtId="179" formatCode="0.0000"/>
    <numFmt numFmtId="180" formatCode="0.000"/>
    <numFmt numFmtId="181" formatCode="yyyy\-mm\-dd"/>
    <numFmt numFmtId="182" formatCode="0.00%"/>
    <numFmt numFmtId="183" formatCode="mmm\-yy"/>
    <numFmt numFmtId="184" formatCode="#,##0.0;\(#,##0.0\);\-"/>
    <numFmt numFmtId="185" formatCode="#,##0.000"/>
    <numFmt numFmtId="186" formatCode="#,##0;\(#,##0\);\-"/>
    <numFmt numFmtId="187" formatCode="0.00\x"/>
    <numFmt numFmtId="188" formatCode="0%;\-0%"/>
    <numFmt numFmtId="189" formatCode="0.000%"/>
    <numFmt numFmtId="190" formatCode="0.00;\(0.00\);\-"/>
    <numFmt numFmtId="191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4"/>
      <color rgb="FFC00000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sz val="10"/>
      <color rgb="FF0000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9"/>
      <color rgb="FF595959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9999"/>
        <bgColor rgb="FFFF8080"/>
      </patternFill>
    </fill>
    <fill>
      <patternFill patternType="solid">
        <fgColor rgb="FFF8CBAD"/>
        <bgColor rgb="FFFFC7CE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9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91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CE4D6"/>
      <rgbColor rgb="FF99CCFF"/>
      <rgbColor rgb="FFFF9999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0"/>
    <col collapsed="false" customWidth="true" hidden="false" outlineLevel="0" max="2" min="2" style="0" width="24"/>
  </cols>
  <sheetData>
    <row r="1" customFormat="false" ht="17.35" hidden="false" customHeight="false" outlineLevel="0" collapsed="false">
      <c r="A1" s="1" t="s">
        <v>0</v>
      </c>
    </row>
    <row r="2" customFormat="false" ht="17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3" t="s">
        <v>4</v>
      </c>
    </row>
    <row r="6" customFormat="false" ht="15" hidden="false" customHeight="false" outlineLevel="0" collapsed="false">
      <c r="A6" s="0" t="s">
        <v>5</v>
      </c>
      <c r="B6" s="4" t="str">
        <f aca="false">CHOOSE(Scen,"BULL","BASE","BEAR")</f>
        <v>BASE</v>
      </c>
    </row>
    <row r="7" customFormat="false" ht="15" hidden="false" customHeight="false" outlineLevel="0" collapsed="false">
      <c r="A7" s="0" t="s">
        <v>6</v>
      </c>
      <c r="B7" s="5" t="n">
        <f aca="false">V_EV</f>
        <v>-183.737139392088</v>
      </c>
    </row>
    <row r="8" customFormat="false" ht="15" hidden="false" customHeight="false" outlineLevel="0" collapsed="false">
      <c r="A8" s="0" t="s">
        <v>7</v>
      </c>
      <c r="B8" s="6" t="n">
        <f aca="false">V_PS</f>
        <v>0.01</v>
      </c>
    </row>
    <row r="9" customFormat="false" ht="15" hidden="false" customHeight="false" outlineLevel="0" collapsed="false">
      <c r="A9" s="0" t="s">
        <v>8</v>
      </c>
      <c r="B9" s="6" t="n">
        <f aca="false">V_PT</f>
        <v>0</v>
      </c>
    </row>
    <row r="10" customFormat="false" ht="15" hidden="false" customHeight="false" outlineLevel="0" collapsed="false">
      <c r="A10" s="0" t="s">
        <v>9</v>
      </c>
      <c r="B10" s="4" t="str">
        <f aca="false">Liq_NegQ</f>
        <v>Q1'28</v>
      </c>
    </row>
    <row r="11" customFormat="false" ht="15" hidden="false" customHeight="false" outlineLevel="0" collapsed="false">
      <c r="A11" s="0" t="s">
        <v>10</v>
      </c>
      <c r="B11" s="5" t="n">
        <f aca="false">V_MKTEV</f>
        <v>74654.7189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0" t="s">
        <v>12</v>
      </c>
      <c r="B14" s="0" t="s">
        <v>13</v>
      </c>
    </row>
    <row r="15" customFormat="false" ht="15" hidden="false" customHeight="false" outlineLevel="0" collapsed="false">
      <c r="A15" s="0" t="s">
        <v>14</v>
      </c>
      <c r="B15" s="0" t="s">
        <v>15</v>
      </c>
    </row>
    <row r="16" customFormat="false" ht="15" hidden="false" customHeight="false" outlineLevel="0" collapsed="false">
      <c r="A16" s="0" t="s">
        <v>16</v>
      </c>
      <c r="B16" s="0" t="s">
        <v>17</v>
      </c>
    </row>
    <row r="17" customFormat="false" ht="15" hidden="false" customHeight="false" outlineLevel="0" collapsed="false">
      <c r="A17" s="0" t="s">
        <v>18</v>
      </c>
      <c r="B17" s="0" t="s">
        <v>19</v>
      </c>
    </row>
    <row r="18" customFormat="false" ht="15" hidden="false" customHeight="false" outlineLevel="0" collapsed="false">
      <c r="A18" s="0" t="s">
        <v>20</v>
      </c>
      <c r="B18" s="0" t="s">
        <v>15</v>
      </c>
    </row>
    <row r="19" customFormat="false" ht="15" hidden="false" customHeight="false" outlineLevel="0" collapsed="false">
      <c r="A19" s="0" t="s">
        <v>21</v>
      </c>
      <c r="B19" s="0" t="s">
        <v>22</v>
      </c>
    </row>
    <row r="20" customFormat="false" ht="15" hidden="false" customHeight="false" outlineLevel="0" collapsed="false">
      <c r="A20" s="0" t="s">
        <v>23</v>
      </c>
      <c r="B20" s="0" t="s">
        <v>19</v>
      </c>
    </row>
    <row r="21" customFormat="false" ht="15" hidden="false" customHeight="false" outlineLevel="0" collapsed="false">
      <c r="A21" s="0" t="s">
        <v>24</v>
      </c>
      <c r="B21" s="0" t="s">
        <v>15</v>
      </c>
    </row>
    <row r="22" customFormat="false" ht="15" hidden="false" customHeight="false" outlineLevel="0" collapsed="false">
      <c r="A22" s="0" t="s">
        <v>25</v>
      </c>
      <c r="B22" s="0" t="s">
        <v>19</v>
      </c>
    </row>
    <row r="23" customFormat="false" ht="15" hidden="false" customHeight="false" outlineLevel="0" collapsed="false">
      <c r="A23" s="0" t="s">
        <v>26</v>
      </c>
      <c r="B23" s="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0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0" t="s">
        <v>29</v>
      </c>
    </row>
    <row r="4" customFormat="false" ht="15" hidden="false" customHeight="false" outlineLevel="0" collapsed="false">
      <c r="A4" s="0" t="s">
        <v>30</v>
      </c>
    </row>
    <row r="5" customFormat="false" ht="15" hidden="false" customHeight="false" outlineLevel="0" collapsed="false">
      <c r="A5" s="0" t="s">
        <v>31</v>
      </c>
    </row>
    <row r="6" customFormat="false" ht="15" hidden="false" customHeight="false" outlineLevel="0" collapsed="false">
      <c r="A6" s="0" t="s">
        <v>32</v>
      </c>
    </row>
    <row r="7" customFormat="false" ht="15" hidden="false" customHeight="false" outlineLevel="0" collapsed="false">
      <c r="A7" s="0" t="s">
        <v>33</v>
      </c>
    </row>
    <row r="8" customFormat="false" ht="15" hidden="false" customHeight="false" outlineLevel="0" collapsed="false">
      <c r="A8" s="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12" min="2" style="0" width="13"/>
  </cols>
  <sheetData>
    <row r="1" customFormat="false" ht="17.35" hidden="false" customHeight="false" outlineLevel="0" collapsed="false">
      <c r="A1" s="1" t="s">
        <v>35</v>
      </c>
    </row>
    <row r="2" customFormat="false" ht="15" hidden="false" customHeight="false" outlineLevel="0" collapsed="false">
      <c r="A2" s="0" t="s">
        <v>36</v>
      </c>
    </row>
    <row r="4" customFormat="false" ht="15" hidden="false" customHeight="false" outlineLevel="0" collapsed="false">
      <c r="A4" s="7" t="s">
        <v>37</v>
      </c>
      <c r="B4" s="7" t="s">
        <v>38</v>
      </c>
      <c r="C4" s="7" t="s">
        <v>39</v>
      </c>
      <c r="D4" s="7" t="s">
        <v>40</v>
      </c>
      <c r="E4" s="7" t="s">
        <v>41</v>
      </c>
      <c r="F4" s="7" t="s">
        <v>42</v>
      </c>
      <c r="G4" s="7" t="s">
        <v>43</v>
      </c>
      <c r="H4" s="7" t="s">
        <v>44</v>
      </c>
      <c r="I4" s="7" t="s">
        <v>45</v>
      </c>
      <c r="J4" s="7" t="s">
        <v>46</v>
      </c>
      <c r="K4" s="7" t="s">
        <v>47</v>
      </c>
      <c r="L4" s="7" t="s">
        <v>48</v>
      </c>
    </row>
    <row r="5" customFormat="false" ht="15" hidden="false" customHeight="false" outlineLevel="0" collapsed="false">
      <c r="A5" s="8" t="s">
        <v>49</v>
      </c>
      <c r="B5" s="9" t="n">
        <v>45.4997639351377</v>
      </c>
      <c r="C5" s="9"/>
      <c r="D5" s="10" t="n">
        <v>117.214235706105</v>
      </c>
      <c r="E5" s="10"/>
      <c r="F5" s="10" t="n">
        <v>132.452086347899</v>
      </c>
      <c r="G5" s="11" t="n">
        <v>2400.63703930642</v>
      </c>
      <c r="H5" s="11" t="n">
        <v>8242.01885850092</v>
      </c>
      <c r="I5" s="11" t="n">
        <v>22266.6123981889</v>
      </c>
      <c r="J5" s="11" t="n">
        <v>4575.85815565856</v>
      </c>
      <c r="K5" s="11" t="n">
        <v>-4456.76170039065</v>
      </c>
      <c r="L5" s="11" t="s">
        <v>50</v>
      </c>
    </row>
    <row r="6" customFormat="false" ht="15" hidden="false" customHeight="false" outlineLevel="0" collapsed="false">
      <c r="A6" s="0" t="s">
        <v>51</v>
      </c>
      <c r="B6" s="12" t="n">
        <v>48.8231672547518</v>
      </c>
      <c r="C6" s="12" t="n">
        <v>3.3234033196141</v>
      </c>
      <c r="D6" s="13" t="n">
        <v>127.472733101188</v>
      </c>
      <c r="E6" s="13" t="n">
        <v>10.258497395083</v>
      </c>
      <c r="F6" s="13" t="n">
        <v>144.044188404343</v>
      </c>
      <c r="G6" s="14" t="n">
        <v>2400.63703930642</v>
      </c>
      <c r="H6" s="14" t="n">
        <v>8242.01885850092</v>
      </c>
      <c r="I6" s="14" t="n">
        <v>22266.6123981889</v>
      </c>
      <c r="J6" s="14" t="n">
        <v>4606.04613482523</v>
      </c>
      <c r="K6" s="14" t="n">
        <v>-4408.08477405391</v>
      </c>
      <c r="L6" s="14" t="s">
        <v>50</v>
      </c>
    </row>
    <row r="7" customFormat="false" ht="15" hidden="false" customHeight="false" outlineLevel="0" collapsed="false">
      <c r="A7" s="0" t="s">
        <v>52</v>
      </c>
      <c r="B7" s="12" t="n">
        <v>102.754668733471</v>
      </c>
      <c r="C7" s="12" t="n">
        <v>53.9315014787192</v>
      </c>
      <c r="D7" s="13" t="n">
        <v>277.208606888699</v>
      </c>
      <c r="E7" s="13" t="n">
        <v>149.735873787511</v>
      </c>
      <c r="F7" s="13" t="n">
        <v>313.24572578423</v>
      </c>
      <c r="G7" s="14" t="n">
        <v>2400.63703930642</v>
      </c>
      <c r="H7" s="14" t="n">
        <v>8242.01885850092</v>
      </c>
      <c r="I7" s="14" t="n">
        <v>22266.6123981889</v>
      </c>
      <c r="J7" s="14" t="n">
        <v>4606.04613482523</v>
      </c>
      <c r="K7" s="14" t="n">
        <v>-4408.08477405391</v>
      </c>
      <c r="L7" s="14" t="s">
        <v>50</v>
      </c>
    </row>
    <row r="8" customFormat="false" ht="15" hidden="false" customHeight="false" outlineLevel="0" collapsed="false">
      <c r="A8" s="0" t="s">
        <v>53</v>
      </c>
      <c r="B8" s="12" t="n">
        <v>102.754668733471</v>
      </c>
      <c r="C8" s="12" t="n">
        <v>0</v>
      </c>
      <c r="D8" s="13" t="n">
        <v>277.208606888699</v>
      </c>
      <c r="E8" s="13" t="n">
        <v>0</v>
      </c>
      <c r="F8" s="13" t="n">
        <v>313.24572578423</v>
      </c>
      <c r="G8" s="14" t="n">
        <v>2400.63703930642</v>
      </c>
      <c r="H8" s="14" t="n">
        <v>8242.01885850092</v>
      </c>
      <c r="I8" s="14" t="n">
        <v>22266.6123981889</v>
      </c>
      <c r="J8" s="14" t="n">
        <v>4606.04613482523</v>
      </c>
      <c r="K8" s="14" t="n">
        <v>-4408.08477405391</v>
      </c>
      <c r="L8" s="14" t="s">
        <v>50</v>
      </c>
    </row>
    <row r="9" customFormat="false" ht="15" hidden="false" customHeight="false" outlineLevel="0" collapsed="false">
      <c r="A9" s="0" t="s">
        <v>54</v>
      </c>
      <c r="B9" s="12" t="n">
        <v>91.6340484815768</v>
      </c>
      <c r="C9" s="12" t="n">
        <v>-11.1206202518942</v>
      </c>
      <c r="D9" s="13" t="n">
        <v>247.257811796192</v>
      </c>
      <c r="E9" s="13" t="n">
        <v>-29.950795092507</v>
      </c>
      <c r="F9" s="13" t="n">
        <v>279.401327329697</v>
      </c>
      <c r="G9" s="14" t="n">
        <v>2400.63703930642</v>
      </c>
      <c r="H9" s="14" t="n">
        <v>8242.01885850092</v>
      </c>
      <c r="I9" s="14" t="n">
        <v>22266.6123981889</v>
      </c>
      <c r="J9" s="14" t="n">
        <v>4517.47256608134</v>
      </c>
      <c r="K9" s="14" t="n">
        <v>-4518.47497945888</v>
      </c>
      <c r="L9" s="14" t="s">
        <v>50</v>
      </c>
    </row>
    <row r="10" customFormat="false" ht="15" hidden="false" customHeight="false" outlineLevel="0" collapsed="false">
      <c r="A10" s="8" t="s">
        <v>55</v>
      </c>
      <c r="B10" s="9" t="n">
        <v>102.450805036379</v>
      </c>
      <c r="C10" s="9" t="n">
        <v>10.8167565548022</v>
      </c>
      <c r="D10" s="10" t="n">
        <v>276.363924879488</v>
      </c>
      <c r="E10" s="10" t="n">
        <v>29.106113083296</v>
      </c>
      <c r="F10" s="10" t="n">
        <v>312.291235113822</v>
      </c>
      <c r="G10" s="11" t="n">
        <v>2425.32952419152</v>
      </c>
      <c r="H10" s="11" t="n">
        <v>8517.51527302704</v>
      </c>
      <c r="I10" s="11" t="n">
        <v>22648.7362066291</v>
      </c>
      <c r="J10" s="11" t="n">
        <v>4713.07502039488</v>
      </c>
      <c r="K10" s="11" t="n">
        <v>-4310.06657295393</v>
      </c>
      <c r="L10" s="11" t="s">
        <v>50</v>
      </c>
    </row>
    <row r="11" customFormat="false" ht="15" hidden="false" customHeight="false" outlineLevel="0" collapsed="false">
      <c r="A11" s="0" t="s">
        <v>56</v>
      </c>
      <c r="B11" s="12" t="n">
        <v>86.3638708865432</v>
      </c>
      <c r="C11" s="12" t="n">
        <v>-16.0869341498358</v>
      </c>
      <c r="D11" s="13" t="n">
        <v>233.083153078132</v>
      </c>
      <c r="E11" s="13" t="n">
        <v>-43.280771801356</v>
      </c>
      <c r="F11" s="13" t="n">
        <v>263.383962978289</v>
      </c>
      <c r="G11" s="14" t="n">
        <v>2425.32952419152</v>
      </c>
      <c r="H11" s="14" t="n">
        <v>8517.51527302704</v>
      </c>
      <c r="I11" s="14" t="n">
        <v>22648.7362066291</v>
      </c>
      <c r="J11" s="14" t="n">
        <v>4713.07502039488</v>
      </c>
      <c r="K11" s="14" t="n">
        <v>-4310.06657295393</v>
      </c>
      <c r="L11" s="14" t="s">
        <v>50</v>
      </c>
    </row>
    <row r="12" customFormat="false" ht="15" hidden="false" customHeight="false" outlineLevel="0" collapsed="false">
      <c r="A12" s="8" t="s">
        <v>57</v>
      </c>
      <c r="B12" s="9" t="n">
        <v>94.1159266440129</v>
      </c>
      <c r="C12" s="9" t="n">
        <v>7.7520557574697</v>
      </c>
      <c r="D12" s="10" t="n">
        <v>248.19386831554</v>
      </c>
      <c r="E12" s="10" t="n">
        <v>15.110715237408</v>
      </c>
      <c r="F12" s="10" t="n">
        <v>280.459071196561</v>
      </c>
      <c r="G12" s="11" t="n">
        <v>2425.32952419152</v>
      </c>
      <c r="H12" s="11" t="n">
        <v>8517.51527302704</v>
      </c>
      <c r="I12" s="11" t="n">
        <v>22648.7362066291</v>
      </c>
      <c r="J12" s="11" t="n">
        <v>4713.07502039488</v>
      </c>
      <c r="K12" s="11" t="n">
        <v>-7264.86916034205</v>
      </c>
      <c r="L12" s="11" t="s">
        <v>58</v>
      </c>
    </row>
    <row r="13" customFormat="false" ht="15" hidden="false" customHeight="false" outlineLevel="0" collapsed="false">
      <c r="A13" s="0" t="s">
        <v>59</v>
      </c>
      <c r="B13" s="12" t="n">
        <v>87.9215212564282</v>
      </c>
      <c r="C13" s="12" t="n">
        <v>-6.1944053875847</v>
      </c>
      <c r="D13" s="13" t="n">
        <v>233.708704629865</v>
      </c>
      <c r="E13" s="13" t="n">
        <v>-14.485163685675</v>
      </c>
      <c r="F13" s="13" t="n">
        <v>264.090836231747</v>
      </c>
      <c r="G13" s="14" t="n">
        <v>2425.32952419152</v>
      </c>
      <c r="H13" s="14" t="n">
        <v>8517.51527302704</v>
      </c>
      <c r="I13" s="14" t="n">
        <v>22648.7362066291</v>
      </c>
      <c r="J13" s="14" t="n">
        <v>4713.07502039488</v>
      </c>
      <c r="K13" s="14" t="n">
        <v>-7160.9335370009</v>
      </c>
      <c r="L13" s="14" t="s">
        <v>60</v>
      </c>
    </row>
    <row r="14" customFormat="false" ht="15" hidden="false" customHeight="false" outlineLevel="0" collapsed="false">
      <c r="A14" s="0" t="s">
        <v>61</v>
      </c>
      <c r="B14" s="12" t="n">
        <v>94.973210940963</v>
      </c>
      <c r="C14" s="12" t="n">
        <v>7.05168968453481</v>
      </c>
      <c r="D14" s="13" t="n">
        <v>252.680782790168</v>
      </c>
      <c r="E14" s="13" t="n">
        <v>18.972078160303</v>
      </c>
      <c r="F14" s="13" t="n">
        <v>285.52928455289</v>
      </c>
      <c r="G14" s="14" t="n">
        <v>2425.32952419152</v>
      </c>
      <c r="H14" s="14" t="n">
        <v>8102.58408534655</v>
      </c>
      <c r="I14" s="14" t="n">
        <v>22384.5389654596</v>
      </c>
      <c r="J14" s="14" t="n">
        <v>4418.47387714174</v>
      </c>
      <c r="K14" s="14" t="n">
        <v>-7450.325523597</v>
      </c>
      <c r="L14" s="14" t="s">
        <v>60</v>
      </c>
    </row>
    <row r="15" customFormat="false" ht="15" hidden="false" customHeight="false" outlineLevel="0" collapsed="false">
      <c r="A15" s="0" t="s">
        <v>62</v>
      </c>
      <c r="B15" s="12" t="n">
        <v>153.790606759039</v>
      </c>
      <c r="C15" s="12" t="n">
        <v>58.817395818076</v>
      </c>
      <c r="D15" s="13" t="n">
        <v>406.650478460103</v>
      </c>
      <c r="E15" s="13" t="n">
        <v>153.969695669935</v>
      </c>
      <c r="F15" s="13" t="n">
        <v>459.515040659916</v>
      </c>
      <c r="G15" s="14" t="n">
        <v>2425.32952419152</v>
      </c>
      <c r="H15" s="14" t="n">
        <v>8140.65856246629</v>
      </c>
      <c r="I15" s="14" t="n">
        <v>24633.6289824031</v>
      </c>
      <c r="J15" s="14" t="n">
        <v>4445.50675589675</v>
      </c>
      <c r="K15" s="14" t="n">
        <v>-7423.77977623466</v>
      </c>
      <c r="L15" s="14" t="s">
        <v>60</v>
      </c>
    </row>
    <row r="16" customFormat="false" ht="15" hidden="false" customHeight="false" outlineLevel="0" collapsed="false">
      <c r="A16" s="0" t="s">
        <v>63</v>
      </c>
      <c r="B16" s="12" t="n">
        <v>154.026218338665</v>
      </c>
      <c r="C16" s="12" t="n">
        <v>0.235611579626013</v>
      </c>
      <c r="D16" s="13" t="n">
        <v>407.254954129421</v>
      </c>
      <c r="E16" s="13" t="n">
        <v>0.604475669317992</v>
      </c>
      <c r="F16" s="13" t="n">
        <v>460.198098166245</v>
      </c>
      <c r="G16" s="14" t="n">
        <v>2425.32952419152</v>
      </c>
      <c r="H16" s="14" t="n">
        <v>8140.65856246629</v>
      </c>
      <c r="I16" s="14" t="n">
        <v>24633.6289824031</v>
      </c>
      <c r="J16" s="14" t="n">
        <v>4447.42081839675</v>
      </c>
      <c r="K16" s="14" t="n">
        <v>-7421.86571373466</v>
      </c>
      <c r="L16" s="14" t="s">
        <v>60</v>
      </c>
    </row>
    <row r="17" customFormat="false" ht="15" hidden="false" customHeight="false" outlineLevel="0" collapsed="false">
      <c r="A17" s="0" t="s">
        <v>64</v>
      </c>
      <c r="B17" s="12" t="n">
        <v>125.819689086013</v>
      </c>
      <c r="C17" s="12" t="n">
        <v>-28.206529252652</v>
      </c>
      <c r="D17" s="13" t="n">
        <v>334.889407936213</v>
      </c>
      <c r="E17" s="13" t="n">
        <v>-72.365546193208</v>
      </c>
      <c r="F17" s="13" t="n">
        <v>378.425030967921</v>
      </c>
      <c r="G17" s="14" t="n">
        <v>2425.32952419152</v>
      </c>
      <c r="H17" s="14" t="n">
        <v>8140.65856246629</v>
      </c>
      <c r="I17" s="14" t="n">
        <v>24633.6289824031</v>
      </c>
      <c r="J17" s="14" t="n">
        <v>4447.42081839675</v>
      </c>
      <c r="K17" s="14" t="n">
        <v>-7421.86571373466</v>
      </c>
      <c r="L17" s="14" t="s">
        <v>60</v>
      </c>
    </row>
    <row r="18" customFormat="false" ht="15" hidden="false" customHeight="false" outlineLevel="0" collapsed="false">
      <c r="A18" s="0" t="s">
        <v>65</v>
      </c>
      <c r="B18" s="12" t="n">
        <v>33.1835120760249</v>
      </c>
      <c r="C18" s="12" t="n">
        <v>-92.6361770099881</v>
      </c>
      <c r="D18" s="13" t="n">
        <v>74.9694186369603</v>
      </c>
      <c r="E18" s="13" t="n">
        <v>-259.919989299253</v>
      </c>
      <c r="F18" s="13" t="n">
        <v>84.7154430597651</v>
      </c>
      <c r="G18" s="14" t="n">
        <v>2425.32952419152</v>
      </c>
      <c r="H18" s="14" t="n">
        <v>7324.95218380129</v>
      </c>
      <c r="I18" s="14" t="n">
        <v>19028.3078080523</v>
      </c>
      <c r="J18" s="14" t="n">
        <v>3868.2692895446</v>
      </c>
      <c r="K18" s="14" t="n">
        <v>-7990.82841296473</v>
      </c>
      <c r="L18" s="14" t="s">
        <v>60</v>
      </c>
    </row>
    <row r="19" customFormat="false" ht="15" hidden="false" customHeight="false" outlineLevel="0" collapsed="false">
      <c r="A19" s="0" t="s">
        <v>66</v>
      </c>
      <c r="B19" s="12" t="n">
        <v>31.8847774877648</v>
      </c>
      <c r="C19" s="12" t="n">
        <v>-1.2987345882601</v>
      </c>
      <c r="D19" s="13" t="n">
        <v>70.8737358600682</v>
      </c>
      <c r="E19" s="13" t="n">
        <v>-4.0956827768921</v>
      </c>
      <c r="F19" s="13" t="n">
        <v>80.087321521877</v>
      </c>
      <c r="G19" s="14" t="n">
        <v>2425.32952419152</v>
      </c>
      <c r="H19" s="14" t="n">
        <v>7324.95218380129</v>
      </c>
      <c r="I19" s="14" t="n">
        <v>19028.3078080523</v>
      </c>
      <c r="J19" s="14" t="n">
        <v>3868.2692895446</v>
      </c>
      <c r="K19" s="14" t="n">
        <v>-8050.05808914412</v>
      </c>
      <c r="L19" s="14" t="s">
        <v>60</v>
      </c>
    </row>
    <row r="20" customFormat="false" ht="15" hidden="false" customHeight="false" outlineLevel="0" collapsed="false">
      <c r="A20" s="8" t="s">
        <v>67</v>
      </c>
      <c r="B20" s="9" t="n">
        <v>31.7981884260569</v>
      </c>
      <c r="C20" s="9" t="n">
        <v>-0.0865890617079022</v>
      </c>
      <c r="D20" s="10" t="n">
        <v>70.6024898159561</v>
      </c>
      <c r="E20" s="10" t="n">
        <v>-0.27124604411209</v>
      </c>
      <c r="F20" s="10" t="n">
        <v>79.7808134920304</v>
      </c>
      <c r="G20" s="11" t="n">
        <v>2423.40833661368</v>
      </c>
      <c r="H20" s="11" t="n">
        <v>7320.29311172376</v>
      </c>
      <c r="I20" s="11" t="n">
        <v>19024.8843100935</v>
      </c>
      <c r="J20" s="11" t="n">
        <v>3864.96134836955</v>
      </c>
      <c r="K20" s="11" t="n">
        <v>-8054.44067566647</v>
      </c>
      <c r="L20" s="11" t="s">
        <v>60</v>
      </c>
    </row>
    <row r="21" customFormat="false" ht="15" hidden="false" customHeight="false" outlineLevel="0" collapsed="false">
      <c r="A21" s="0" t="s">
        <v>68</v>
      </c>
      <c r="B21" s="12" t="n">
        <v>22.1871043125952</v>
      </c>
      <c r="C21" s="12" t="n">
        <v>-9.6110841134617</v>
      </c>
      <c r="D21" s="13" t="n">
        <v>40.2561686924613</v>
      </c>
      <c r="E21" s="13" t="n">
        <v>-30.3463211234948</v>
      </c>
      <c r="F21" s="13" t="n">
        <v>45.4894706224812</v>
      </c>
      <c r="G21" s="14" t="n">
        <v>2423.40833661368</v>
      </c>
      <c r="H21" s="14" t="n">
        <v>7320.29311172376</v>
      </c>
      <c r="I21" s="14" t="n">
        <v>19024.8843100935</v>
      </c>
      <c r="J21" s="14" t="n">
        <v>3864.96134836955</v>
      </c>
      <c r="K21" s="14" t="n">
        <v>-8054.44067566647</v>
      </c>
      <c r="L21" s="14" t="s">
        <v>60</v>
      </c>
    </row>
    <row r="22" customFormat="false" ht="15" hidden="false" customHeight="false" outlineLevel="0" collapsed="false">
      <c r="A22" s="0" t="s">
        <v>69</v>
      </c>
      <c r="B22" s="12" t="n">
        <v>21.363353847443</v>
      </c>
      <c r="C22" s="12" t="n">
        <v>-0.8237504651522</v>
      </c>
      <c r="D22" s="13" t="n">
        <v>37.6404670990493</v>
      </c>
      <c r="E22" s="13" t="n">
        <v>-2.615701593412</v>
      </c>
      <c r="F22" s="13" t="n">
        <v>42.5337278219258</v>
      </c>
      <c r="G22" s="14" t="n">
        <v>2423.40833661368</v>
      </c>
      <c r="H22" s="14" t="n">
        <v>7320.29311172376</v>
      </c>
      <c r="I22" s="14" t="n">
        <v>19024.8843100935</v>
      </c>
      <c r="J22" s="14" t="n">
        <v>3864.96134836955</v>
      </c>
      <c r="K22" s="14" t="n">
        <v>-11246.4034201647</v>
      </c>
      <c r="L22" s="14" t="s">
        <v>58</v>
      </c>
    </row>
    <row r="23" customFormat="false" ht="15" hidden="false" customHeight="false" outlineLevel="0" collapsed="false">
      <c r="A23" s="0" t="s">
        <v>70</v>
      </c>
      <c r="B23" s="12" t="n">
        <v>20.198770393295</v>
      </c>
      <c r="C23" s="12" t="n">
        <v>-1.164583454148</v>
      </c>
      <c r="D23" s="13" t="n">
        <v>33.942499176065</v>
      </c>
      <c r="E23" s="13" t="n">
        <v>-3.6979679229843</v>
      </c>
      <c r="F23" s="13" t="n">
        <v>38.3550240689534</v>
      </c>
      <c r="G23" s="14" t="n">
        <v>2423.40833661368</v>
      </c>
      <c r="H23" s="14" t="n">
        <v>7320.29311172376</v>
      </c>
      <c r="I23" s="14" t="n">
        <v>19024.8843100935</v>
      </c>
      <c r="J23" s="14" t="n">
        <v>3864.96134836955</v>
      </c>
      <c r="K23" s="14" t="n">
        <v>-11246.4034201647</v>
      </c>
      <c r="L23" s="14" t="s">
        <v>58</v>
      </c>
    </row>
    <row r="24" customFormat="false" ht="15" hidden="false" customHeight="false" outlineLevel="0" collapsed="false">
      <c r="A24" s="0" t="s">
        <v>71</v>
      </c>
      <c r="B24" s="12" t="n">
        <v>20.4704968509037</v>
      </c>
      <c r="C24" s="12" t="n">
        <v>0.2717264576087</v>
      </c>
      <c r="D24" s="13" t="n">
        <v>35.6089045614933</v>
      </c>
      <c r="E24" s="13" t="n">
        <v>1.6664053854283</v>
      </c>
      <c r="F24" s="13" t="n">
        <v>40.2380621544874</v>
      </c>
      <c r="G24" s="14" t="n">
        <v>2423.40833661368</v>
      </c>
      <c r="H24" s="14" t="n">
        <v>7320.29311172376</v>
      </c>
      <c r="I24" s="14" t="n">
        <v>19024.8843100935</v>
      </c>
      <c r="J24" s="14" t="n">
        <v>3864.96134836955</v>
      </c>
      <c r="K24" s="14" t="n">
        <v>-9683.89358152069</v>
      </c>
      <c r="L24" s="14" t="s">
        <v>58</v>
      </c>
    </row>
    <row r="25" customFormat="false" ht="15" hidden="false" customHeight="false" outlineLevel="0" collapsed="false">
      <c r="A25" s="8" t="s">
        <v>72</v>
      </c>
      <c r="B25" s="9" t="n">
        <v>10.1061247803303</v>
      </c>
      <c r="C25" s="9" t="n">
        <v>-10.3643720705734</v>
      </c>
      <c r="D25" s="10" t="n">
        <v>2.69832582852008</v>
      </c>
      <c r="E25" s="10" t="n">
        <v>-32.9105787329732</v>
      </c>
      <c r="F25" s="10" t="n">
        <v>3.04910818622769</v>
      </c>
      <c r="G25" s="11" t="n">
        <v>2423.40833661368</v>
      </c>
      <c r="H25" s="11" t="n">
        <v>7336.21347446577</v>
      </c>
      <c r="I25" s="11" t="n">
        <v>18576.5735684625</v>
      </c>
      <c r="J25" s="11" t="n">
        <v>3876.26480591638</v>
      </c>
      <c r="K25" s="11" t="n">
        <v>-9672.79955737185</v>
      </c>
      <c r="L25" s="11" t="s">
        <v>58</v>
      </c>
    </row>
    <row r="26" customFormat="false" ht="15" hidden="false" customHeight="false" outlineLevel="0" collapsed="false">
      <c r="A26" s="0" t="s">
        <v>73</v>
      </c>
      <c r="B26" s="12" t="n">
        <v>52.7191031689856</v>
      </c>
      <c r="C26" s="12" t="n">
        <v>42.6129783886553</v>
      </c>
      <c r="D26" s="13" t="n">
        <v>136.113967505863</v>
      </c>
      <c r="E26" s="13" t="n">
        <v>133.415641677343</v>
      </c>
      <c r="F26" s="13" t="n">
        <v>153.808783281625</v>
      </c>
      <c r="G26" s="14" t="n">
        <v>2423.40833661368</v>
      </c>
      <c r="H26" s="14" t="n">
        <v>7640.8884091291</v>
      </c>
      <c r="I26" s="14" t="n">
        <v>20773.0271269625</v>
      </c>
      <c r="J26" s="14" t="n">
        <v>4092.58400952734</v>
      </c>
      <c r="K26" s="14" t="n">
        <v>-9462.51644435236</v>
      </c>
      <c r="L26" s="14" t="s">
        <v>58</v>
      </c>
    </row>
    <row r="27" customFormat="false" ht="15" hidden="false" customHeight="false" outlineLevel="0" collapsed="false">
      <c r="A27" s="0" t="s">
        <v>74</v>
      </c>
      <c r="B27" s="12" t="n">
        <v>22.0731378314041</v>
      </c>
      <c r="C27" s="12" t="n">
        <v>-30.6459653375815</v>
      </c>
      <c r="D27" s="13" t="n">
        <v>40.6978614042527</v>
      </c>
      <c r="E27" s="13" t="n">
        <v>-95.4161061016103</v>
      </c>
      <c r="F27" s="13" t="n">
        <v>45.9885833868055</v>
      </c>
      <c r="G27" s="14" t="n">
        <v>2423.40833661368</v>
      </c>
      <c r="H27" s="14" t="n">
        <v>7619.72420522498</v>
      </c>
      <c r="I27" s="14" t="n">
        <v>19459.2297182455</v>
      </c>
      <c r="J27" s="14" t="n">
        <v>4077.55742475542</v>
      </c>
      <c r="K27" s="14" t="n">
        <v>-9477.1197450462</v>
      </c>
      <c r="L27" s="14" t="s">
        <v>58</v>
      </c>
    </row>
    <row r="28" customFormat="false" ht="15" hidden="false" customHeight="false" outlineLevel="0" collapsed="false">
      <c r="A28" s="8" t="s">
        <v>75</v>
      </c>
      <c r="B28" s="9" t="n">
        <v>22.0731378314041</v>
      </c>
      <c r="C28" s="9" t="n">
        <v>0</v>
      </c>
      <c r="D28" s="10" t="n">
        <v>40.6305835332773</v>
      </c>
      <c r="E28" s="10" t="n">
        <v>-0.0672778709753956</v>
      </c>
      <c r="F28" s="10" t="n">
        <v>45.9125593926033</v>
      </c>
      <c r="G28" s="11" t="n">
        <v>2423.40833661368</v>
      </c>
      <c r="H28" s="11" t="n">
        <v>7619.72420522498</v>
      </c>
      <c r="I28" s="11" t="n">
        <v>19459.2297182455</v>
      </c>
      <c r="J28" s="11" t="n">
        <v>4077.55742475542</v>
      </c>
      <c r="K28" s="11" t="n">
        <v>-9477.1197450462</v>
      </c>
      <c r="L28" s="11" t="s">
        <v>58</v>
      </c>
    </row>
    <row r="29" customFormat="false" ht="15" hidden="false" customHeight="false" outlineLevel="0" collapsed="false">
      <c r="A29" s="0" t="s">
        <v>76</v>
      </c>
      <c r="B29" s="12" t="n">
        <v>22.0670628189584</v>
      </c>
      <c r="C29" s="12" t="n">
        <v>-0.00607501244570085</v>
      </c>
      <c r="D29" s="13" t="n">
        <v>40.6512828505209</v>
      </c>
      <c r="E29" s="13" t="n">
        <v>0.0206993172435972</v>
      </c>
      <c r="F29" s="13" t="n">
        <v>45.9359496210886</v>
      </c>
      <c r="G29" s="14" t="n">
        <v>2423.40833661368</v>
      </c>
      <c r="H29" s="14" t="n">
        <v>7619.72420522498</v>
      </c>
      <c r="I29" s="14" t="n">
        <v>19459.2297182455</v>
      </c>
      <c r="J29" s="14" t="n">
        <v>4077.55742475542</v>
      </c>
      <c r="K29" s="14" t="n">
        <v>-10196.4144849004</v>
      </c>
      <c r="L29" s="14" t="s">
        <v>58</v>
      </c>
    </row>
    <row r="30" customFormat="false" ht="15" hidden="false" customHeight="false" outlineLevel="0" collapsed="false">
      <c r="A30" s="0" t="s">
        <v>77</v>
      </c>
      <c r="B30" s="12" t="n">
        <v>22.0670628189584</v>
      </c>
      <c r="C30" s="12" t="n">
        <v>0</v>
      </c>
      <c r="D30" s="13" t="n">
        <v>41.2706686036129</v>
      </c>
      <c r="E30" s="13" t="n">
        <v>0.619385753091997</v>
      </c>
      <c r="F30" s="13" t="n">
        <v>46.6358555220826</v>
      </c>
      <c r="G30" s="14" t="n">
        <v>2423.40833661368</v>
      </c>
      <c r="H30" s="14" t="n">
        <v>7619.72420522498</v>
      </c>
      <c r="I30" s="14" t="n">
        <v>19459.2297182455</v>
      </c>
      <c r="J30" s="14" t="n">
        <v>4077.55742475542</v>
      </c>
      <c r="K30" s="14" t="n">
        <v>-10196.4144849004</v>
      </c>
      <c r="L30" s="14" t="s">
        <v>58</v>
      </c>
    </row>
    <row r="31" customFormat="false" ht="15" hidden="false" customHeight="false" outlineLevel="0" collapsed="false">
      <c r="A31" s="0" t="s">
        <v>78</v>
      </c>
      <c r="B31" s="12" t="n">
        <v>26.0242362148849</v>
      </c>
      <c r="C31" s="12" t="n">
        <v>3.9571733959265</v>
      </c>
      <c r="D31" s="13" t="n">
        <v>53.8106113399246</v>
      </c>
      <c r="E31" s="13" t="n">
        <v>12.5399427363117</v>
      </c>
      <c r="F31" s="13" t="n">
        <v>60.8059908141148</v>
      </c>
      <c r="G31" s="14" t="n">
        <v>2423.40833661368</v>
      </c>
      <c r="H31" s="14" t="n">
        <v>7621.71734378923</v>
      </c>
      <c r="I31" s="14" t="n">
        <v>19606.894648061</v>
      </c>
      <c r="J31" s="14" t="n">
        <v>4078.97255313604</v>
      </c>
      <c r="K31" s="14" t="n">
        <v>-10195.0392192911</v>
      </c>
      <c r="L31" s="14" t="s">
        <v>58</v>
      </c>
    </row>
    <row r="32" customFormat="false" ht="15" hidden="false" customHeight="false" outlineLevel="0" collapsed="false">
      <c r="A32" s="0" t="s">
        <v>79</v>
      </c>
      <c r="B32" s="12" t="n">
        <v>-0.308596610364756</v>
      </c>
      <c r="C32" s="12" t="n">
        <v>-26.3328328252497</v>
      </c>
      <c r="D32" s="13" t="n">
        <v>0.01</v>
      </c>
      <c r="E32" s="13" t="n">
        <v>-53.8006113399246</v>
      </c>
      <c r="F32" s="13" t="n">
        <v>0.0113</v>
      </c>
      <c r="G32" s="14" t="n">
        <v>2423.40833661368</v>
      </c>
      <c r="H32" s="14" t="n">
        <v>7621.71734378923</v>
      </c>
      <c r="I32" s="14" t="n">
        <v>19606.894648061</v>
      </c>
      <c r="J32" s="14" t="n">
        <v>4078.97255313604</v>
      </c>
      <c r="K32" s="14" t="n">
        <v>-13507.4496750321</v>
      </c>
      <c r="L32" s="14" t="s">
        <v>58</v>
      </c>
    </row>
    <row r="33" customFormat="false" ht="15" hidden="false" customHeight="false" outlineLevel="0" collapsed="false">
      <c r="A33" s="0" t="s">
        <v>80</v>
      </c>
      <c r="B33" s="12" t="n">
        <v>-0.308596610364756</v>
      </c>
      <c r="C33" s="12" t="n">
        <v>0</v>
      </c>
      <c r="D33" s="13" t="n">
        <v>0.01</v>
      </c>
      <c r="E33" s="13" t="n">
        <v>0</v>
      </c>
      <c r="F33" s="13" t="n">
        <v>0.0113</v>
      </c>
      <c r="G33" s="14" t="n">
        <v>2423.40833661368</v>
      </c>
      <c r="H33" s="14" t="n">
        <v>7621.71734378923</v>
      </c>
      <c r="I33" s="14" t="n">
        <v>19606.894648061</v>
      </c>
      <c r="J33" s="14" t="n">
        <v>4078.97255313604</v>
      </c>
      <c r="K33" s="14" t="n">
        <v>-13507.4496750321</v>
      </c>
      <c r="L33" s="14" t="s">
        <v>58</v>
      </c>
    </row>
    <row r="34" customFormat="false" ht="15" hidden="false" customHeight="false" outlineLevel="0" collapsed="false">
      <c r="A34" s="8" t="s">
        <v>81</v>
      </c>
      <c r="B34" s="9" t="n">
        <v>-0.183737139392088</v>
      </c>
      <c r="C34" s="9" t="n">
        <v>0.124859470972668</v>
      </c>
      <c r="D34" s="10" t="n">
        <v>0.01</v>
      </c>
      <c r="E34" s="10" t="n">
        <v>0</v>
      </c>
      <c r="F34" s="10" t="n">
        <v>0</v>
      </c>
      <c r="G34" s="11" t="n">
        <v>2423.40833661368</v>
      </c>
      <c r="H34" s="11" t="n">
        <v>7621.71734378923</v>
      </c>
      <c r="I34" s="11" t="n">
        <v>19606.894648061</v>
      </c>
      <c r="J34" s="11" t="n">
        <v>4078.97255313604</v>
      </c>
      <c r="K34" s="11" t="n">
        <v>2073.20268369447</v>
      </c>
      <c r="L34" s="11" t="s">
        <v>82</v>
      </c>
    </row>
    <row r="37" customFormat="false" ht="15" hidden="false" customHeight="false" outlineLevel="0" collapsed="false">
      <c r="A37" s="8" t="s">
        <v>83</v>
      </c>
    </row>
    <row r="38" customFormat="false" ht="15" hidden="false" customHeight="false" outlineLevel="0" collapsed="false">
      <c r="A38" s="7" t="s">
        <v>5</v>
      </c>
      <c r="B38" s="7" t="s">
        <v>84</v>
      </c>
      <c r="C38" s="7" t="s">
        <v>85</v>
      </c>
      <c r="D38" s="7" t="s">
        <v>86</v>
      </c>
      <c r="E38" s="7" t="s">
        <v>87</v>
      </c>
    </row>
    <row r="39" customFormat="false" ht="15" hidden="false" customHeight="false" outlineLevel="0" collapsed="false">
      <c r="A39" s="0" t="s">
        <v>88</v>
      </c>
      <c r="B39" s="15" t="n">
        <v>0.01</v>
      </c>
      <c r="C39" s="15" t="n">
        <v>0</v>
      </c>
      <c r="D39" s="15" t="n">
        <v>0</v>
      </c>
      <c r="E39" s="15" t="n">
        <v>0</v>
      </c>
    </row>
    <row r="40" customFormat="false" ht="15" hidden="false" customHeight="false" outlineLevel="0" collapsed="false">
      <c r="A40" s="0" t="s">
        <v>89</v>
      </c>
      <c r="B40" s="15" t="n">
        <v>235.233575712941</v>
      </c>
      <c r="C40" s="15" t="n">
        <v>248.77455745317</v>
      </c>
      <c r="D40" s="15" t="n">
        <v>263.278244616495</v>
      </c>
      <c r="E40" s="15" t="n">
        <v>330.256230046931</v>
      </c>
    </row>
    <row r="41" customFormat="false" ht="15" hidden="false" customHeight="false" outlineLevel="0" collapsed="false">
      <c r="A41" s="0" t="s">
        <v>90</v>
      </c>
      <c r="B41" s="15" t="n">
        <v>0.01</v>
      </c>
      <c r="C41" s="15" t="n">
        <v>0</v>
      </c>
      <c r="D41" s="15" t="n">
        <v>0</v>
      </c>
      <c r="E41" s="15" t="n">
        <v>0</v>
      </c>
    </row>
    <row r="44" customFormat="false" ht="15" hidden="false" customHeight="false" outlineLevel="0" collapsed="false">
      <c r="A44" s="8" t="s">
        <v>91</v>
      </c>
    </row>
    <row r="45" customFormat="false" ht="15" hidden="false" customHeight="false" outlineLevel="0" collapsed="false">
      <c r="A45" s="7" t="s">
        <v>5</v>
      </c>
      <c r="B45" s="7" t="s">
        <v>92</v>
      </c>
      <c r="C45" s="7" t="s">
        <v>93</v>
      </c>
      <c r="D45" s="7" t="s">
        <v>94</v>
      </c>
      <c r="E45" s="7" t="s">
        <v>95</v>
      </c>
      <c r="F45" s="7" t="s">
        <v>96</v>
      </c>
      <c r="G45" s="7" t="s">
        <v>97</v>
      </c>
    </row>
    <row r="46" customFormat="false" ht="15" hidden="false" customHeight="false" outlineLevel="0" collapsed="false">
      <c r="A46" s="0" t="s">
        <v>88</v>
      </c>
      <c r="B46" s="16" t="n">
        <v>30.1575455502983</v>
      </c>
      <c r="C46" s="16" t="n">
        <v>27.9575455502983</v>
      </c>
      <c r="D46" s="16" t="n">
        <v>29.4075455502983</v>
      </c>
      <c r="E46" s="16" t="n">
        <v>23.1609949826291</v>
      </c>
      <c r="F46" s="0" t="s">
        <v>98</v>
      </c>
      <c r="G46" s="16" t="n">
        <v>22.39175</v>
      </c>
    </row>
    <row r="47" customFormat="false" ht="15" hidden="false" customHeight="false" outlineLevel="0" collapsed="false">
      <c r="A47" s="0" t="s">
        <v>89</v>
      </c>
      <c r="B47" s="16" t="n">
        <v>43.041696075</v>
      </c>
      <c r="C47" s="16" t="n">
        <v>40.841696075</v>
      </c>
      <c r="D47" s="16" t="n">
        <v>42.291696075</v>
      </c>
      <c r="E47" s="16" t="n">
        <v>33.0560225856</v>
      </c>
      <c r="F47" s="0" t="s">
        <v>98</v>
      </c>
      <c r="G47" s="16" t="n">
        <v>25.7421875</v>
      </c>
    </row>
    <row r="48" customFormat="false" ht="15" hidden="false" customHeight="false" outlineLevel="0" collapsed="false">
      <c r="A48" s="0" t="s">
        <v>90</v>
      </c>
      <c r="B48" s="16" t="n">
        <v>22.27279275</v>
      </c>
      <c r="C48" s="16" t="n">
        <v>20.07279275</v>
      </c>
      <c r="D48" s="16" t="n">
        <v>21.52279275</v>
      </c>
      <c r="E48" s="16" t="n">
        <v>17.105504832</v>
      </c>
      <c r="F48" s="0" t="s">
        <v>98</v>
      </c>
      <c r="G48" s="16" t="n">
        <v>19.8813533670246</v>
      </c>
    </row>
    <row r="51" customFormat="false" ht="15" hidden="false" customHeight="false" outlineLevel="0" collapsed="false">
      <c r="A51" s="8" t="s">
        <v>99</v>
      </c>
    </row>
    <row r="52" customFormat="false" ht="15" hidden="false" customHeight="false" outlineLevel="0" collapsed="false">
      <c r="A52" s="8" t="s">
        <v>100</v>
      </c>
      <c r="B52" s="7" t="s">
        <v>101</v>
      </c>
      <c r="C52" s="7" t="s">
        <v>102</v>
      </c>
      <c r="D52" s="7" t="s">
        <v>103</v>
      </c>
      <c r="E52" s="7" t="s">
        <v>104</v>
      </c>
    </row>
    <row r="53" customFormat="false" ht="15" hidden="false" customHeight="false" outlineLevel="0" collapsed="false">
      <c r="A53" s="0" t="s">
        <v>105</v>
      </c>
      <c r="B53" s="17" t="n">
        <v>0</v>
      </c>
      <c r="C53" s="17" t="n">
        <v>0</v>
      </c>
      <c r="D53" s="17" t="n">
        <v>0</v>
      </c>
      <c r="E53" s="17" t="n">
        <v>0</v>
      </c>
    </row>
    <row r="54" customFormat="false" ht="15" hidden="false" customHeight="false" outlineLevel="0" collapsed="false">
      <c r="A54" s="0" t="s">
        <v>106</v>
      </c>
      <c r="B54" s="17" t="n">
        <v>0</v>
      </c>
      <c r="C54" s="17" t="n">
        <v>0</v>
      </c>
      <c r="D54" s="17" t="n">
        <v>0</v>
      </c>
      <c r="E54" s="17" t="n">
        <v>0</v>
      </c>
    </row>
    <row r="55" customFormat="false" ht="15" hidden="false" customHeight="false" outlineLevel="0" collapsed="false">
      <c r="A55" s="0" t="s">
        <v>107</v>
      </c>
      <c r="B55" s="0" t="s">
        <v>108</v>
      </c>
      <c r="C55" s="0" t="s">
        <v>109</v>
      </c>
      <c r="D55" s="0" t="s">
        <v>110</v>
      </c>
      <c r="E55" s="0" t="s">
        <v>111</v>
      </c>
    </row>
    <row r="56" customFormat="false" ht="15" hidden="false" customHeight="false" outlineLevel="0" collapsed="false">
      <c r="A56" s="0" t="s">
        <v>112</v>
      </c>
      <c r="B56" s="0" t="s">
        <v>113</v>
      </c>
      <c r="C56" s="0" t="s">
        <v>114</v>
      </c>
      <c r="D56" s="0" t="s">
        <v>115</v>
      </c>
      <c r="E56" s="0" t="s">
        <v>116</v>
      </c>
    </row>
    <row r="58" customFormat="false" ht="15" hidden="false" customHeight="false" outlineLevel="0" collapsed="false">
      <c r="A58" s="8" t="s">
        <v>117</v>
      </c>
      <c r="B58" s="7" t="s">
        <v>101</v>
      </c>
      <c r="C58" s="7" t="s">
        <v>102</v>
      </c>
      <c r="D58" s="7" t="s">
        <v>103</v>
      </c>
      <c r="E58" s="7" t="s">
        <v>104</v>
      </c>
    </row>
    <row r="59" customFormat="false" ht="15" hidden="false" customHeight="false" outlineLevel="0" collapsed="false">
      <c r="A59" s="0" t="s">
        <v>105</v>
      </c>
      <c r="B59" s="17" t="n">
        <v>0</v>
      </c>
      <c r="C59" s="17" t="n">
        <v>0</v>
      </c>
      <c r="D59" s="17" t="n">
        <v>0</v>
      </c>
      <c r="E59" s="17" t="n">
        <v>0</v>
      </c>
    </row>
    <row r="60" customFormat="false" ht="15" hidden="false" customHeight="false" outlineLevel="0" collapsed="false">
      <c r="A60" s="0" t="s">
        <v>106</v>
      </c>
      <c r="B60" s="17" t="n">
        <v>0</v>
      </c>
      <c r="C60" s="17" t="n">
        <v>0</v>
      </c>
      <c r="D60" s="17" t="n">
        <v>0</v>
      </c>
      <c r="E60" s="18" t="n">
        <v>0.571248826721472</v>
      </c>
    </row>
    <row r="61" customFormat="false" ht="15" hidden="false" customHeight="false" outlineLevel="0" collapsed="false">
      <c r="A61" s="0" t="s">
        <v>107</v>
      </c>
      <c r="B61" s="0" t="s">
        <v>118</v>
      </c>
      <c r="C61" s="0" t="s">
        <v>119</v>
      </c>
      <c r="D61" s="0" t="s">
        <v>120</v>
      </c>
      <c r="E61" s="0" t="s">
        <v>121</v>
      </c>
    </row>
    <row r="62" customFormat="false" ht="15" hidden="false" customHeight="false" outlineLevel="0" collapsed="false">
      <c r="A62" s="0" t="s">
        <v>112</v>
      </c>
      <c r="B62" s="0" t="s">
        <v>122</v>
      </c>
      <c r="C62" s="0" t="s">
        <v>123</v>
      </c>
      <c r="D62" s="0" t="s">
        <v>124</v>
      </c>
      <c r="E62" s="0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5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" t="s">
        <v>126</v>
      </c>
    </row>
    <row r="3" customFormat="false" ht="15" hidden="false" customHeight="false" outlineLevel="0" collapsed="false">
      <c r="A3" s="0" t="s">
        <v>127</v>
      </c>
      <c r="B3" s="19" t="n">
        <v>41.3</v>
      </c>
      <c r="C3" s="20" t="s">
        <v>128</v>
      </c>
    </row>
    <row r="4" customFormat="false" ht="15" hidden="false" customHeight="false" outlineLevel="0" collapsed="false">
      <c r="A4" s="0" t="s">
        <v>129</v>
      </c>
      <c r="B4" s="19" t="n">
        <v>41</v>
      </c>
      <c r="C4" s="20" t="s">
        <v>130</v>
      </c>
    </row>
    <row r="5" customFormat="false" ht="15" hidden="false" customHeight="false" outlineLevel="0" collapsed="false">
      <c r="A5" s="0" t="s">
        <v>131</v>
      </c>
      <c r="B5" s="19" t="n">
        <v>53</v>
      </c>
      <c r="C5" s="20" t="s">
        <v>132</v>
      </c>
    </row>
    <row r="6" customFormat="false" ht="15" hidden="false" customHeight="false" outlineLevel="0" collapsed="false">
      <c r="A6" s="0" t="s">
        <v>133</v>
      </c>
      <c r="B6" s="19" t="n">
        <v>56</v>
      </c>
      <c r="C6" s="20" t="s">
        <v>134</v>
      </c>
    </row>
    <row r="7" customFormat="false" ht="15" hidden="false" customHeight="false" outlineLevel="0" collapsed="false">
      <c r="A7" s="0" t="s">
        <v>135</v>
      </c>
      <c r="B7" s="19" t="n">
        <v>4.5</v>
      </c>
      <c r="C7" s="20" t="s">
        <v>136</v>
      </c>
    </row>
    <row r="8" customFormat="false" ht="15" hidden="false" customHeight="false" outlineLevel="0" collapsed="false">
      <c r="A8" s="0" t="s">
        <v>137</v>
      </c>
      <c r="B8" s="21" t="n">
        <v>22</v>
      </c>
      <c r="C8" s="20" t="s">
        <v>138</v>
      </c>
    </row>
    <row r="9" customFormat="false" ht="15" hidden="false" customHeight="false" outlineLevel="0" collapsed="false">
      <c r="A9" s="0" t="s">
        <v>139</v>
      </c>
      <c r="B9" s="22" t="n">
        <v>5</v>
      </c>
      <c r="C9" s="20" t="s">
        <v>140</v>
      </c>
    </row>
    <row r="10" customFormat="false" ht="15" hidden="false" customHeight="false" outlineLevel="0" collapsed="false">
      <c r="A10" s="3" t="s">
        <v>141</v>
      </c>
    </row>
    <row r="11" customFormat="false" ht="15" hidden="false" customHeight="false" outlineLevel="0" collapsed="false">
      <c r="A11" s="3" t="s">
        <v>142</v>
      </c>
      <c r="B11" s="3" t="s">
        <v>143</v>
      </c>
      <c r="C11" s="3" t="s">
        <v>144</v>
      </c>
      <c r="D11" s="3" t="s">
        <v>145</v>
      </c>
      <c r="E11" s="3" t="s">
        <v>146</v>
      </c>
      <c r="F11" s="3" t="s">
        <v>147</v>
      </c>
    </row>
    <row r="12" customFormat="false" ht="15" hidden="false" customHeight="false" outlineLevel="0" collapsed="false">
      <c r="A12" s="0" t="s">
        <v>148</v>
      </c>
      <c r="B12" s="23" t="n">
        <f aca="false">MYRate</f>
        <v>22</v>
      </c>
      <c r="C12" s="24" t="n">
        <f aca="false">ND_Px</f>
        <v>5.11489923648504</v>
      </c>
      <c r="D12" s="23" t="n">
        <f aca="false">MYRate*ND_GrossX</f>
        <v>26.4107579462103</v>
      </c>
      <c r="E12" s="24" t="n">
        <f aca="false">ND_Px*ND_GrossX</f>
        <v>6.14038025700282</v>
      </c>
    </row>
    <row r="13" customFormat="false" ht="15" hidden="false" customHeight="false" outlineLevel="0" collapsed="false">
      <c r="A13" s="0" t="s">
        <v>149</v>
      </c>
      <c r="B13" s="23" t="n">
        <f aca="false">16</f>
        <v>16</v>
      </c>
      <c r="C13" s="24" t="n">
        <f aca="false">16*1000000/(GPUMW_N*8760)</f>
        <v>5.70776255707763</v>
      </c>
      <c r="D13" s="0" t="s">
        <v>150</v>
      </c>
      <c r="F13" s="24" t="n">
        <f aca="false">16*1000000/(RubinGPUMW_D*8760)</f>
        <v>4.5662100456621</v>
      </c>
    </row>
    <row r="14" customFormat="false" ht="15" hidden="false" customHeight="false" outlineLevel="0" collapsed="false">
      <c r="A14" s="0" t="s">
        <v>151</v>
      </c>
      <c r="B14" s="23" t="n">
        <f aca="false">18</f>
        <v>18</v>
      </c>
      <c r="C14" s="24" t="n">
        <f aca="false">18*1000000/(GPUMW_N*8760)</f>
        <v>6.42123287671233</v>
      </c>
      <c r="D14" s="0" t="s">
        <v>150</v>
      </c>
      <c r="F14" s="24" t="n">
        <f aca="false">18*1000000/(RubinGPUMW_D*8760)</f>
        <v>5.13698630136986</v>
      </c>
    </row>
    <row r="15" customFormat="false" ht="15" hidden="false" customHeight="false" outlineLevel="0" collapsed="false">
      <c r="A15" s="0" t="s">
        <v>152</v>
      </c>
      <c r="B15" s="23" t="n">
        <f aca="false">20</f>
        <v>20</v>
      </c>
      <c r="C15" s="24" t="n">
        <f aca="false">20*1000000/(GPUMW_N*8760)</f>
        <v>7.13470319634703</v>
      </c>
      <c r="D15" s="0" t="s">
        <v>150</v>
      </c>
      <c r="F15" s="24" t="n">
        <f aca="false">20*1000000/(RubinGPUMW_D*8760)</f>
        <v>5.70776255707763</v>
      </c>
    </row>
    <row r="16" customFormat="false" ht="15" hidden="false" customHeight="false" outlineLevel="0" collapsed="false">
      <c r="A16" s="0" t="s">
        <v>153</v>
      </c>
      <c r="B16" s="23" t="n">
        <f aca="false">RubinMW</f>
        <v>18</v>
      </c>
      <c r="C16" s="24" t="n">
        <f aca="false">RubinMW*1000000/(GPUMW_N*8760)</f>
        <v>6.42123287671233</v>
      </c>
      <c r="D16" s="0" t="s">
        <v>150</v>
      </c>
      <c r="F16" s="24" t="n">
        <f aca="false">RubinMW*1000000/(RubinGPUMW_D*8760)</f>
        <v>5.13698630136986</v>
      </c>
    </row>
    <row r="17" customFormat="false" ht="15" hidden="false" customHeight="false" outlineLevel="0" collapsed="false">
      <c r="A17" s="20" t="s">
        <v>154</v>
      </c>
    </row>
    <row r="19" customFormat="false" ht="15" hidden="false" customHeight="false" outlineLevel="0" collapsed="false">
      <c r="A19" s="3" t="s">
        <v>155</v>
      </c>
    </row>
    <row r="20" customFormat="false" ht="15" hidden="false" customHeight="false" outlineLevel="0" collapsed="false">
      <c r="A20" s="3"/>
      <c r="B20" s="3" t="s">
        <v>156</v>
      </c>
      <c r="C20" s="3" t="s">
        <v>157</v>
      </c>
      <c r="D20" s="3" t="s">
        <v>158</v>
      </c>
      <c r="E20" s="3" t="s">
        <v>92</v>
      </c>
      <c r="F20" s="3" t="s">
        <v>157</v>
      </c>
      <c r="G20" s="3" t="s">
        <v>158</v>
      </c>
    </row>
    <row r="21" customFormat="false" ht="15" hidden="false" customHeight="false" outlineLevel="0" collapsed="false">
      <c r="A21" s="0" t="s">
        <v>159</v>
      </c>
      <c r="B21" s="23" t="n">
        <f aca="false">B12</f>
        <v>22</v>
      </c>
      <c r="C21" s="23" t="n">
        <f aca="false">RubinMW</f>
        <v>18</v>
      </c>
      <c r="D21" s="25" t="n">
        <f aca="false">C21/B21-1</f>
        <v>-0.181818181818182</v>
      </c>
      <c r="E21" s="23" t="n">
        <f aca="false">D12</f>
        <v>26.4107579462103</v>
      </c>
      <c r="F21" s="23" t="n">
        <f aca="false">RubinMW</f>
        <v>18</v>
      </c>
      <c r="G21" s="25" t="n">
        <f aca="false">F21/E21-1</f>
        <v>-0.318459544528791</v>
      </c>
    </row>
    <row r="22" customFormat="false" ht="15" hidden="false" customHeight="false" outlineLevel="0" collapsed="false">
      <c r="A22" s="0" t="s">
        <v>160</v>
      </c>
      <c r="B22" s="23" t="n">
        <f aca="false">PB_Opex</f>
        <v>4.5</v>
      </c>
      <c r="C22" s="23" t="n">
        <f aca="false">PB_Opex</f>
        <v>4.5</v>
      </c>
      <c r="E22" s="23" t="n">
        <f aca="false">PB_Opex</f>
        <v>4.5</v>
      </c>
      <c r="F22" s="23" t="n">
        <f aca="false">PB_Opex</f>
        <v>4.5</v>
      </c>
    </row>
    <row r="23" customFormat="false" ht="15" hidden="false" customHeight="false" outlineLevel="0" collapsed="false">
      <c r="A23" s="0" t="s">
        <v>161</v>
      </c>
      <c r="B23" s="23" t="n">
        <f aca="false">B21-B22</f>
        <v>17.5</v>
      </c>
      <c r="C23" s="23" t="n">
        <f aca="false">C21-C22</f>
        <v>13.5</v>
      </c>
      <c r="D23" s="25" t="n">
        <f aca="false">C23/B23-1</f>
        <v>-0.228571428571429</v>
      </c>
      <c r="E23" s="23" t="n">
        <f aca="false">E21-E22</f>
        <v>21.9107579462103</v>
      </c>
      <c r="F23" s="23" t="n">
        <f aca="false">F21-F22</f>
        <v>13.5</v>
      </c>
      <c r="G23" s="25" t="n">
        <f aca="false">F23/E23-1</f>
        <v>-0.383864308430508</v>
      </c>
    </row>
    <row r="24" customFormat="false" ht="15" hidden="false" customHeight="false" outlineLevel="0" collapsed="false">
      <c r="A24" s="0" t="s">
        <v>162</v>
      </c>
      <c r="B24" s="24" t="n">
        <f aca="false">RentMW*PUE+PUE*8760*PowerPx/1000000+OM_MW</f>
        <v>4.38375</v>
      </c>
    </row>
    <row r="26" customFormat="false" ht="15" hidden="false" customHeight="false" outlineLevel="0" collapsed="false">
      <c r="A26" s="3" t="s">
        <v>163</v>
      </c>
    </row>
    <row r="27" customFormat="false" ht="15" hidden="false" customHeight="false" outlineLevel="0" collapsed="false">
      <c r="A27" s="3" t="s">
        <v>142</v>
      </c>
      <c r="B27" s="3" t="s">
        <v>164</v>
      </c>
      <c r="C27" s="3" t="s">
        <v>165</v>
      </c>
      <c r="D27" s="3" t="s">
        <v>166</v>
      </c>
      <c r="E27" s="3" t="s">
        <v>165</v>
      </c>
      <c r="F27" s="3" t="s">
        <v>167</v>
      </c>
      <c r="G27" s="3" t="s">
        <v>168</v>
      </c>
      <c r="H27" s="3" t="s">
        <v>169</v>
      </c>
      <c r="I27" s="3" t="s">
        <v>170</v>
      </c>
      <c r="J27" s="3" t="s">
        <v>171</v>
      </c>
      <c r="K27" s="3" t="s">
        <v>172</v>
      </c>
    </row>
    <row r="28" customFormat="false" ht="15" hidden="false" customHeight="false" outlineLevel="0" collapsed="false">
      <c r="A28" s="0" t="s">
        <v>173</v>
      </c>
      <c r="B28" s="23" t="n">
        <f aca="false">IFERROR(F28*1/(H28-G28)*12,999)</f>
        <v>28.32</v>
      </c>
      <c r="C28" s="26" t="str">
        <f aca="false">IF(ISNUMBER(B28),IF(ABS(B28-PB_Target)&lt;=3,"WITHIN +/-3","outside"),"")</f>
        <v>outside</v>
      </c>
      <c r="D28" s="23" t="n">
        <f aca="false">IFERROR(F28*1/(MYRate*ND_GrossX-G28)*12,999)</f>
        <v>22.6190258327289</v>
      </c>
      <c r="E28" s="26" t="str">
        <f aca="false">IF(ISNUMBER(D28),IF(ABS(D28-PB_Target)&lt;=3,"WITHIN +/-3","outside"),"")</f>
        <v>WITHIN +/-3</v>
      </c>
      <c r="F28" s="23" t="n">
        <f aca="false">PB_CapGB</f>
        <v>41.3</v>
      </c>
      <c r="G28" s="24" t="n">
        <f aca="false">PB_Opex</f>
        <v>4.5</v>
      </c>
      <c r="H28" s="23" t="n">
        <f aca="false">MYRate</f>
        <v>22</v>
      </c>
      <c r="I28" s="23" t="n">
        <f aca="false">H28-G28</f>
        <v>17.5</v>
      </c>
      <c r="J28" s="27" t="n">
        <f aca="false">IFERROR(RATE(PB_Life,I28,-F28*1),-1)</f>
        <v>0.316636398751146</v>
      </c>
      <c r="K28" s="27" t="n">
        <f aca="false">IFERROR(RATE(PB_Life,MYRate*ND_GrossX-G28,-F28*1),-1)</f>
        <v>0.446854173003512</v>
      </c>
    </row>
    <row r="29" customFormat="false" ht="15" hidden="false" customHeight="false" outlineLevel="0" collapsed="false">
      <c r="A29" s="0" t="s">
        <v>174</v>
      </c>
      <c r="B29" s="23" t="n">
        <f aca="false">IFERROR(F29*1/(H29-G29)*12,999)</f>
        <v>36.4444444444444</v>
      </c>
      <c r="C29" s="26" t="str">
        <f aca="false">IF(ISNUMBER(B29),IF(ABS(B29-PB_Target)&lt;=3,"WITHIN +/-3","outside"),"")</f>
        <v>outside</v>
      </c>
      <c r="D29" s="0" t="s">
        <v>175</v>
      </c>
      <c r="E29" s="26" t="str">
        <f aca="false">IF(ISNUMBER(D29),IF(ABS(D29-PB_Target)&lt;=3,"WITHIN +/-3","outside"),"")</f>
        <v/>
      </c>
      <c r="F29" s="23" t="n">
        <f aca="false">41</f>
        <v>41</v>
      </c>
      <c r="G29" s="24" t="n">
        <f aca="false">PB_Opex</f>
        <v>4.5</v>
      </c>
      <c r="H29" s="23" t="n">
        <f aca="false">18</f>
        <v>18</v>
      </c>
      <c r="I29" s="23" t="n">
        <f aca="false">H29-G29</f>
        <v>13.5</v>
      </c>
      <c r="J29" s="27" t="n">
        <f aca="false">IFERROR(RATE(PB_Life,I29,-F29*1),-1)</f>
        <v>0.193034462820611</v>
      </c>
    </row>
    <row r="30" customFormat="false" ht="15" hidden="false" customHeight="false" outlineLevel="0" collapsed="false">
      <c r="A30" s="0" t="s">
        <v>176</v>
      </c>
      <c r="B30" s="23" t="n">
        <f aca="false">IFERROR(F30*1/(H30-G30)*12,999)</f>
        <v>31.741935483871</v>
      </c>
      <c r="C30" s="26" t="str">
        <f aca="false">IF(ISNUMBER(B30),IF(ABS(B30-PB_Target)&lt;=3,"WITHIN +/-3","outside"),"")</f>
        <v>outside</v>
      </c>
      <c r="D30" s="0" t="s">
        <v>175</v>
      </c>
      <c r="E30" s="26" t="str">
        <f aca="false">IF(ISNUMBER(D30),IF(ABS(D30-PB_Target)&lt;=3,"WITHIN +/-3","outside"),"")</f>
        <v/>
      </c>
      <c r="F30" s="23" t="n">
        <f aca="false">41</f>
        <v>41</v>
      </c>
      <c r="G30" s="24" t="n">
        <f aca="false">PB_Opex</f>
        <v>4.5</v>
      </c>
      <c r="H30" s="23" t="n">
        <f aca="false">20</f>
        <v>20</v>
      </c>
      <c r="I30" s="23" t="n">
        <f aca="false">H30-G30</f>
        <v>15.5</v>
      </c>
      <c r="J30" s="27" t="n">
        <f aca="false">IFERROR(RATE(PB_Life,I30,-F30*1),-1)</f>
        <v>0.258112564014251</v>
      </c>
    </row>
    <row r="31" customFormat="false" ht="15" hidden="false" customHeight="false" outlineLevel="0" collapsed="false">
      <c r="A31" s="0" t="s">
        <v>177</v>
      </c>
      <c r="B31" s="23" t="n">
        <f aca="false">IFERROR(F31*1/(H31-G31)*12,999)</f>
        <v>50.6086956521739</v>
      </c>
      <c r="C31" s="26" t="str">
        <f aca="false">IF(ISNUMBER(B31),IF(ABS(B31-PB_Target)&lt;=3,"WITHIN +/-3","outside"),"")</f>
        <v>outside</v>
      </c>
      <c r="D31" s="0" t="s">
        <v>175</v>
      </c>
      <c r="E31" s="26" t="str">
        <f aca="false">IF(ISNUMBER(D31),IF(ABS(D31-PB_Target)&lt;=3,"WITHIN +/-3","outside"),"")</f>
        <v/>
      </c>
      <c r="F31" s="23" t="n">
        <f aca="false">48.5</f>
        <v>48.5</v>
      </c>
      <c r="G31" s="24" t="n">
        <f aca="false">PB_Opex</f>
        <v>4.5</v>
      </c>
      <c r="H31" s="23" t="n">
        <f aca="false">16</f>
        <v>16</v>
      </c>
      <c r="I31" s="23" t="n">
        <f aca="false">H31-G31</f>
        <v>11.5</v>
      </c>
      <c r="J31" s="27" t="n">
        <f aca="false">IFERROR(RATE(PB_Life,I31,-F31*1),-1)</f>
        <v>0.0595616885586709</v>
      </c>
    </row>
    <row r="32" customFormat="false" ht="15" hidden="false" customHeight="false" outlineLevel="0" collapsed="false">
      <c r="A32" s="0" t="s">
        <v>178</v>
      </c>
      <c r="B32" s="23" t="n">
        <f aca="false">IFERROR(F32*1/(H32-G32)*12,999)</f>
        <v>24.7741935483871</v>
      </c>
      <c r="C32" s="26" t="str">
        <f aca="false">IF(ISNUMBER(B32),IF(ABS(B32-PB_Target)&lt;=3,"WITHIN +/-3","outside"),"")</f>
        <v>WITHIN +/-3</v>
      </c>
      <c r="D32" s="0" t="s">
        <v>175</v>
      </c>
      <c r="E32" s="26" t="str">
        <f aca="false">IF(ISNUMBER(D32),IF(ABS(D32-PB_Target)&lt;=3,"WITHIN +/-3","outside"),"")</f>
        <v/>
      </c>
      <c r="F32" s="23" t="n">
        <f aca="false">32</f>
        <v>32</v>
      </c>
      <c r="G32" s="24" t="n">
        <f aca="false">PB_Opex</f>
        <v>4.5</v>
      </c>
      <c r="H32" s="23" t="n">
        <f aca="false">20</f>
        <v>20</v>
      </c>
      <c r="I32" s="23" t="n">
        <f aca="false">H32-G32</f>
        <v>15.5</v>
      </c>
      <c r="J32" s="27" t="n">
        <f aca="false">IFERROR(RATE(PB_Life,I32,-F32*1),-1)</f>
        <v>0.391542724875969</v>
      </c>
    </row>
    <row r="33" customFormat="false" ht="15" hidden="false" customHeight="false" outlineLevel="0" collapsed="false">
      <c r="A33" s="0" t="s">
        <v>179</v>
      </c>
      <c r="B33" s="23" t="n">
        <f aca="false">IFERROR(F33*1/(H33-G33)*12,999)</f>
        <v>36.3428571428571</v>
      </c>
      <c r="C33" s="26" t="str">
        <f aca="false">IF(ISNUMBER(B33),IF(ABS(B33-PB_Target)&lt;=3,"WITHIN +/-3","outside"),"")</f>
        <v>outside</v>
      </c>
      <c r="D33" s="23" t="n">
        <f aca="false">IFERROR(F33*1/(MYRate*ND_GrossX-G33)*12,999)</f>
        <v>29.0268370250516</v>
      </c>
      <c r="E33" s="26" t="str">
        <f aca="false">IF(ISNUMBER(D33),IF(ABS(D33-PB_Target)&lt;=3,"WITHIN +/-3","outside"),"")</f>
        <v>outside</v>
      </c>
      <c r="F33" s="23" t="n">
        <f aca="false">PB_CapOwnGB</f>
        <v>53</v>
      </c>
      <c r="G33" s="24" t="n">
        <f aca="false">PB_Opex</f>
        <v>4.5</v>
      </c>
      <c r="H33" s="23" t="n">
        <f aca="false">MYRate</f>
        <v>22</v>
      </c>
      <c r="I33" s="23" t="n">
        <f aca="false">H33-G33</f>
        <v>17.5</v>
      </c>
      <c r="J33" s="27" t="n">
        <f aca="false">IFERROR(RATE(PB_Life,I33,-F33*1),-1)</f>
        <v>0.194291478282155</v>
      </c>
      <c r="K33" s="27" t="n">
        <f aca="false">IFERROR(RATE(PB_Life,MYRate*ND_GrossX-G33,-F33*1),-1)</f>
        <v>0.303593099534345</v>
      </c>
    </row>
    <row r="34" customFormat="false" ht="15" hidden="false" customHeight="false" outlineLevel="0" collapsed="false">
      <c r="A34" s="0" t="s">
        <v>180</v>
      </c>
      <c r="B34" s="23" t="n">
        <f aca="false">IFERROR(F34*1/(H34-G34)*12,999)</f>
        <v>49.7777777777778</v>
      </c>
      <c r="C34" s="26" t="str">
        <f aca="false">IF(ISNUMBER(B34),IF(ABS(B34-PB_Target)&lt;=3,"WITHIN +/-3","outside"),"")</f>
        <v>outside</v>
      </c>
      <c r="D34" s="0" t="s">
        <v>175</v>
      </c>
      <c r="E34" s="26" t="str">
        <f aca="false">IF(ISNUMBER(D34),IF(ABS(D34-PB_Target)&lt;=3,"WITHIN +/-3","outside"),"")</f>
        <v/>
      </c>
      <c r="F34" s="23" t="n">
        <f aca="false">PB_CapOwnRubin</f>
        <v>56</v>
      </c>
      <c r="G34" s="24" t="n">
        <f aca="false">PB_Opex</f>
        <v>4.5</v>
      </c>
      <c r="H34" s="23" t="n">
        <f aca="false">18</f>
        <v>18</v>
      </c>
      <c r="I34" s="23" t="n">
        <f aca="false">H34-G34</f>
        <v>13.5</v>
      </c>
      <c r="J34" s="27" t="n">
        <f aca="false">IFERROR(RATE(PB_Life,I34,-F34*1),-1)</f>
        <v>0.0656724743645901</v>
      </c>
    </row>
    <row r="35" customFormat="false" ht="15" hidden="false" customHeight="false" outlineLevel="0" collapsed="false">
      <c r="A35" s="0" t="s">
        <v>181</v>
      </c>
      <c r="B35" s="23" t="n">
        <f aca="false">IFERROR(F35*1/(H35-G35)*12,999)</f>
        <v>28.3775774617233</v>
      </c>
      <c r="C35" s="26" t="str">
        <f aca="false">IF(ISNUMBER(B35),IF(ABS(B35-PB_Target)&lt;=3,"WITHIN +/-3","outside"),"")</f>
        <v>outside</v>
      </c>
      <c r="D35" s="23" t="n">
        <f aca="false">IFERROR(F35*1/(MYRate*ND_GrossX-G35)*12,999)</f>
        <v>22.6951613301656</v>
      </c>
      <c r="E35" s="26" t="str">
        <f aca="false">IF(ISNUMBER(D35),IF(ABS(D35-PB_Target)&lt;=3,"WITHIN +/-3","outside"),"")</f>
        <v>WITHIN +/-3</v>
      </c>
      <c r="F35" s="23" t="n">
        <f aca="false">AVERAGE(INDEX(PathRateIT,1,13),INDEX(PathRateIT,1,14),INDEX(PathRateIT,1,15),INDEX(PathRateIT,1,16))</f>
        <v>41.6588749133402</v>
      </c>
      <c r="G35" s="24" t="n">
        <f aca="false">PB_OpexModel</f>
        <v>4.38375</v>
      </c>
      <c r="H35" s="23" t="n">
        <f aca="false">MYRate</f>
        <v>22</v>
      </c>
      <c r="I35" s="23" t="n">
        <f aca="false">H35-G35</f>
        <v>17.61625</v>
      </c>
      <c r="J35" s="27" t="n">
        <f aca="false">IFERROR(RATE(PB_Life,I35,-F35*1),-1)</f>
        <v>0.31555325385521</v>
      </c>
      <c r="K35" s="27" t="n">
        <f aca="false">IFERROR(RATE(PB_Life,MYRate*ND_GrossX-G35,-F35*1),-1)</f>
        <v>0.444744455743627</v>
      </c>
    </row>
    <row r="36" customFormat="false" ht="15" hidden="false" customHeight="false" outlineLevel="0" collapsed="false">
      <c r="A36" s="0" t="s">
        <v>182</v>
      </c>
      <c r="B36" s="23" t="n">
        <f aca="false">IFERROR(F36*1/(H36-G36)*12,999)</f>
        <v>38.9748186559967</v>
      </c>
      <c r="C36" s="26" t="str">
        <f aca="false">IF(ISNUMBER(B36),IF(ABS(B36-PB_Target)&lt;=3,"WITHIN +/-3","outside"),"")</f>
        <v>outside</v>
      </c>
      <c r="D36" s="0" t="s">
        <v>175</v>
      </c>
      <c r="E36" s="26" t="str">
        <f aca="false">IF(ISNUMBER(D36),IF(ABS(D36-PB_Target)&lt;=3,"WITHIN +/-3","outside"),"")</f>
        <v/>
      </c>
      <c r="F36" s="23" t="n">
        <f aca="false">AVERAGE(INDEX(PathRateIT,1,21),INDEX(PathRateIT,1,22),INDEX(PathRateIT,1,23),INDEX(PathRateIT,1,24))</f>
        <v>44.2242395437262</v>
      </c>
      <c r="G36" s="24" t="n">
        <f aca="false">PB_OpexModel</f>
        <v>4.38375</v>
      </c>
      <c r="H36" s="23" t="n">
        <f aca="false">RubinMW</f>
        <v>18</v>
      </c>
      <c r="I36" s="23" t="n">
        <f aca="false">H36-G36</f>
        <v>13.61625</v>
      </c>
      <c r="J36" s="27" t="n">
        <f aca="false">IFERROR(RATE(PB_Life,I36,-F36*1),-1)</f>
        <v>0.163478300362595</v>
      </c>
    </row>
    <row r="37" customFormat="false" ht="15" hidden="false" customHeight="false" outlineLevel="0" collapsed="false">
      <c r="A37" s="0" t="s">
        <v>183</v>
      </c>
      <c r="B37" s="23" t="n">
        <f aca="false">IFERROR(F37*1/(H37-G37)*12,999)</f>
        <v>21.9428571428571</v>
      </c>
      <c r="C37" s="26" t="str">
        <f aca="false">IF(ISNUMBER(B37),IF(ABS(B37-PB_Target)&lt;=3,"WITHIN +/-3","outside"),"")</f>
        <v>WITHIN +/-3</v>
      </c>
      <c r="D37" s="23" t="n">
        <f aca="false">IFERROR(F37*1/(MYRate*ND_GrossX-G37)*12,999)</f>
        <v>17.5256374490878</v>
      </c>
      <c r="E37" s="26" t="str">
        <f aca="false">IF(ISNUMBER(D37),IF(ABS(D37-PB_Target)&lt;=3,"WITHIN +/-3","outside"),"")</f>
        <v>outside</v>
      </c>
      <c r="F37" s="23" t="n">
        <f aca="false">32</f>
        <v>32</v>
      </c>
      <c r="G37" s="24" t="n">
        <f aca="false">PB_Opex</f>
        <v>4.5</v>
      </c>
      <c r="H37" s="23" t="n">
        <f aca="false">MYRate</f>
        <v>22</v>
      </c>
      <c r="I37" s="23" t="n">
        <f aca="false">H37-G37</f>
        <v>17.5</v>
      </c>
      <c r="J37" s="27" t="n">
        <f aca="false">IFERROR(RATE(PB_Life,I37,-F37*1),-1)</f>
        <v>0.466153079509629</v>
      </c>
      <c r="K37" s="27" t="n">
        <f aca="false">IFERROR(RATE(PB_Life,MYRate*ND_GrossX-G37,-F37*1),-1)</f>
        <v>0.624118731075964</v>
      </c>
    </row>
    <row r="38" customFormat="false" ht="15" hidden="false" customHeight="false" outlineLevel="0" collapsed="false">
      <c r="A38" s="0" t="s">
        <v>184</v>
      </c>
      <c r="B38" s="23" t="n">
        <f aca="false">IFERROR(F38*1/(H38-G38)*12,999)</f>
        <v>24.78</v>
      </c>
      <c r="C38" s="26" t="str">
        <f aca="false">IF(ISNUMBER(B38),IF(ABS(B38-PB_Target)&lt;=3,"WITHIN +/-3","outside"),"")</f>
        <v>WITHIN +/-3</v>
      </c>
      <c r="D38" s="23" t="n">
        <f aca="false">IFERROR(F38*1/(MYRate*ND_GrossX-G38)*12,999)</f>
        <v>20.3025240384615</v>
      </c>
      <c r="E38" s="26" t="str">
        <f aca="false">IF(ISNUMBER(D38),IF(ABS(D38-PB_Target)&lt;=3,"WITHIN +/-3","outside"),"")</f>
        <v>WITHIN +/-3</v>
      </c>
      <c r="F38" s="23" t="n">
        <f aca="false">PB_CapGB</f>
        <v>41.3</v>
      </c>
      <c r="G38" s="24" t="n">
        <f aca="false">2</f>
        <v>2</v>
      </c>
      <c r="H38" s="23" t="n">
        <f aca="false">MYRate</f>
        <v>22</v>
      </c>
      <c r="I38" s="23" t="n">
        <f aca="false">H38-G38</f>
        <v>20</v>
      </c>
      <c r="J38" s="27" t="n">
        <f aca="false">IFERROR(RATE(PB_Life,I38,-F38*1),-1)</f>
        <v>0.391405054519456</v>
      </c>
      <c r="K38" s="27" t="n">
        <f aca="false">IFERROR(RATE(PB_Life,MYRate*ND_GrossX-G38,-F38*1),-1)</f>
        <v>0.517645377975679</v>
      </c>
    </row>
    <row r="39" customFormat="false" ht="15" hidden="false" customHeight="false" outlineLevel="0" collapsed="false">
      <c r="A39" s="0" t="s">
        <v>185</v>
      </c>
      <c r="B39" s="23" t="n">
        <f aca="false">IFERROR(F39*(1-0.55*0.7)/(H39-G39)*12,999)</f>
        <v>17.4168</v>
      </c>
      <c r="C39" s="26" t="str">
        <f aca="false">IF(ISNUMBER(B39),IF(ABS(B39-PB_Target)&lt;=3,"WITHIN +/-3","outside"),"")</f>
        <v>outside</v>
      </c>
      <c r="D39" s="23" t="n">
        <f aca="false">IFERROR(F39*(1-0.55*0.7)/(MYRate*ND_GrossX-G39)*12,999)</f>
        <v>13.9107008871283</v>
      </c>
      <c r="E39" s="26" t="str">
        <f aca="false">IF(ISNUMBER(D39),IF(ABS(D39-PB_Target)&lt;=3,"WITHIN +/-3","outside"),"")</f>
        <v>outside</v>
      </c>
      <c r="F39" s="23" t="n">
        <f aca="false">PB_CapGB</f>
        <v>41.3</v>
      </c>
      <c r="G39" s="24" t="n">
        <f aca="false">PB_Opex</f>
        <v>4.5</v>
      </c>
      <c r="H39" s="23" t="n">
        <f aca="false">MYRate</f>
        <v>22</v>
      </c>
      <c r="I39" s="23" t="n">
        <f aca="false">H39-G39</f>
        <v>17.5</v>
      </c>
      <c r="J39" s="27" t="n">
        <f aca="false">IFERROR(RATE(PB_Life,I39,-F39*(1-0.55*0.7)),-1)</f>
        <v>0.62891034972166</v>
      </c>
      <c r="K39" s="27" t="n">
        <f aca="false">IFERROR(RATE(PB_Life,MYRate*ND_GrossX-G39,-F39*(1-0.55*0.7)),-1)</f>
        <v>0.819371409817189</v>
      </c>
    </row>
    <row r="40" customFormat="false" ht="15" hidden="false" customHeight="false" outlineLevel="0" collapsed="false">
      <c r="A40" s="0" t="s">
        <v>186</v>
      </c>
      <c r="H40" s="23" t="n">
        <f aca="false">PB_CapGB*(1-0.55*0.7)*12/PB_Target+PB_Opex</f>
        <v>18.3542727272727</v>
      </c>
    </row>
    <row r="41" customFormat="false" ht="43.25" hidden="false" customHeight="false" outlineLevel="0" collapsed="false">
      <c r="A41" s="28" t="s">
        <v>187</v>
      </c>
    </row>
    <row r="44" customFormat="false" ht="15" hidden="false" customHeight="false" outlineLevel="0" collapsed="false">
      <c r="A44" s="3" t="s">
        <v>188</v>
      </c>
    </row>
    <row r="45" customFormat="false" ht="15" hidden="false" customHeight="false" outlineLevel="0" collapsed="false">
      <c r="A45" s="20" t="s">
        <v>189</v>
      </c>
    </row>
    <row r="46" customFormat="false" ht="15" hidden="false" customHeight="false" outlineLevel="0" collapsed="false">
      <c r="A46" s="0" t="s">
        <v>190</v>
      </c>
      <c r="B46" s="29" t="n">
        <f aca="false">RPO_Tot</f>
        <v>37490</v>
      </c>
    </row>
    <row r="47" customFormat="false" ht="15" hidden="false" customHeight="false" outlineLevel="0" collapsed="false">
      <c r="A47" s="0" t="s">
        <v>191</v>
      </c>
      <c r="B47" s="29" t="n">
        <f aca="false">SUMPRODUCT((Q_Idx&gt;LastHist)*(Q_Idx&lt;=LastHist+8)*(RPO_Tot*RPO24Pct/8)*PL_EBITDA/PL_Rev*1/(1+WACC)^((Q_End-ValDate)/365.25))</f>
        <v>6422.27781600978</v>
      </c>
    </row>
    <row r="48" customFormat="false" ht="15" hidden="false" customHeight="false" outlineLevel="0" collapsed="false">
      <c r="A48" s="0" t="s">
        <v>192</v>
      </c>
      <c r="B48" s="29" t="n">
        <f aca="false">SUMPRODUCT((Q_Idx&gt;LastHist+8)*(Q_Idx&lt;=28)*(RPO_Tot*(1-RPO24Pct)/12)*PL_EBITDA/PL_Rev*1/(1+WACC)^((Q_End-ValDate)/365.25))</f>
        <v>9749.33356626257</v>
      </c>
    </row>
    <row r="49" customFormat="false" ht="15" hidden="false" customHeight="false" outlineLevel="0" collapsed="false">
      <c r="A49" s="0" t="s">
        <v>193</v>
      </c>
      <c r="B49" s="29" t="n">
        <f aca="false">RPO_Tot*(1-RPO24Pct)/12*V_M30*(1/(1+WACC)^((INDEX(Q_End,1,28)+91-ValDate)/365.25)+1/(1+WACC)^((INDEX(Q_End,1,28)+182-ValDate)/365.25))</f>
        <v>1734.79521985275</v>
      </c>
    </row>
    <row r="50" customFormat="false" ht="15" hidden="false" customHeight="false" outlineLevel="0" collapsed="false">
      <c r="A50" s="0" t="s">
        <v>194</v>
      </c>
      <c r="B50" s="5" t="n">
        <f aca="false">PF_PV1+PF_PV2+PF_PV3</f>
        <v>17906.4066021251</v>
      </c>
    </row>
    <row r="51" customFormat="false" ht="15" hidden="false" customHeight="false" outlineLevel="0" collapsed="false">
      <c r="A51" s="0" t="s">
        <v>195</v>
      </c>
      <c r="B51" s="29" t="n">
        <f aca="false">PF_PV*(1-TaxRate)</f>
        <v>13286.5536987768</v>
      </c>
    </row>
    <row r="52" customFormat="false" ht="15" hidden="false" customHeight="false" outlineLevel="0" collapsed="false">
      <c r="A52" s="0" t="s">
        <v>196</v>
      </c>
      <c r="B52" s="29" t="n">
        <f aca="false">Contracts!$D$12*(Contracts!$H$12&gt;LastHist)*(1-Contracts!$I$12)+Contracts!$D$13*(Contracts!$H$13&gt;LastHist)*(1-Contracts!$I$13)+Contracts!$D$14*(Contracts!$H$14&gt;LastHist)*(1-Contracts!$I$14)+Contracts!$D$15*(Contracts!$H$15&gt;LastHist)*(1-Contracts!$I$15)+Contracts!$D$16*(Contracts!$H$16&gt;LastHist)*(1-Contracts!$I$16)+Contracts!$D$17*(Contracts!$H$17&gt;LastHist)*(1-Contracts!$I$17)+Contracts!$D$18*(Contracts!$H$18&gt;LastHist)*(1-Contracts!$I$18)+Contracts!$D$19*(Contracts!$H$19&gt;LastHist)*(1-Contracts!$I$19)+Contracts!$D$20*(Contracts!$H$20&gt;LastHist)*(1-Contracts!$I$20)+Contracts!$D$21*(Contracts!$H$21&gt;LastHist)*(1-Contracts!$I$21)+Contracts!$D$22*(Contracts!$H$22&gt;LastHist)*(1-Contracts!$I$22)+Contracts!$D$23*(Contracts!$H$23&gt;LastHist)*(1-Contracts!$I$23)+Contracts!$D$24*(Contracts!$H$24&gt;LastHist)*(1-Contracts!$I$24)+Contracts!$D$25*(Contracts!$H$25&gt;LastHist)*(1-Contracts!$I$25)+Contracts!$D$26*(Contracts!$H$26&gt;LastHist)*(1-Contracts!$I$26)+Contracts!$D$27*(Contracts!$H$27&gt;LastHist)*(1-Contracts!$I$27)</f>
        <v>293.333333333333</v>
      </c>
    </row>
    <row r="53" customFormat="false" ht="15" hidden="false" customHeight="false" outlineLevel="0" collapsed="false">
      <c r="A53" s="0" t="s">
        <v>197</v>
      </c>
      <c r="B53" s="29" t="n">
        <f aca="false">Contracts!$D$12*(Contracts!$H$12&gt;LastHist)*(1-Contracts!$I$12)*PB_CapOwnGB+Contracts!$D$13*(Contracts!$H$13&gt;LastHist)*(1-Contracts!$I$13)*PB_CapOwnGB+Contracts!$D$14*(Contracts!$H$14&gt;LastHist)*(1-Contracts!$I$14)*PB_CapOwnGB+Contracts!$D$15*(Contracts!$H$15&gt;LastHist)*(1-Contracts!$I$15)*PB_CapOwnGB+Contracts!$D$16*(Contracts!$H$16&gt;LastHist)*(1-Contracts!$I$16)*PB_CapOwnGB+Contracts!$D$17*(Contracts!$H$17&gt;LastHist)*(1-Contracts!$I$17)*PB_CapOwnGB+Contracts!$D$18*(Contracts!$H$18&gt;LastHist)*(1-Contracts!$I$18)*PB_CapOwnGB+Contracts!$D$19*(Contracts!$H$19&gt;LastHist)*(1-Contracts!$I$19)*PB_CapOwnGB+Contracts!$D$20*(Contracts!$H$20&gt;LastHist)*(1-Contracts!$I$20)*PB_CapOwnGB+Contracts!$D$21*(Contracts!$H$21&gt;LastHist)*(1-Contracts!$I$21)*PB_CapOwnGB+Contracts!$D$22*(Contracts!$H$22&gt;LastHist)*(1-Contracts!$I$22)*PB_CapOwnGB+Contracts!$D$23*(Contracts!$H$23&gt;LastHist)*(1-Contracts!$I$23)*PB_CapGB+Contracts!$D$24*(Contracts!$H$24&gt;LastHist)*(1-Contracts!$I$24)*PB_CapGB+Contracts!$D$25*(Contracts!$H$25&gt;LastHist)*(1-Contracts!$I$25)*PB_CapRubin+Contracts!$D$26*(Contracts!$H$26&gt;LastHist)*(1-Contracts!$I$26)*PB_CapRubin+Contracts!$D$27*(Contracts!$H$27&gt;LastHist)*(1-Contracts!$I$27)*PB_CapRubin</f>
        <v>14266.6666666667</v>
      </c>
    </row>
    <row r="54" customFormat="false" ht="15" hidden="false" customHeight="false" outlineLevel="0" collapsed="false">
      <c r="A54" s="0" t="s">
        <v>198</v>
      </c>
      <c r="B54" s="5" t="n">
        <f aca="false">PF_PV-PF_Cap</f>
        <v>3639.73993545842</v>
      </c>
    </row>
    <row r="55" customFormat="false" ht="15" hidden="false" customHeight="false" outlineLevel="0" collapsed="false">
      <c r="A55" s="0" t="s">
        <v>199</v>
      </c>
      <c r="B55" s="29" t="n">
        <f aca="false">V_ODEBT+CHOOSE(DilMethod,0,SUMPRODUCT((PF_PS1&lt;=V_TrPX)*((CVDebtBasis=1)*V_TrO+(CVDebtBasis=2)*V_TrB)),SUMPRODUCT(((CVDebtBasis=1)*V_TrO+(CVDebtBasis=2)*V_TrB)))-V_CASH</f>
        <v>1826.69989765181</v>
      </c>
    </row>
    <row r="56" customFormat="false" ht="15" hidden="false" customHeight="false" outlineLevel="0" collapsed="false">
      <c r="A56" s="0" t="s">
        <v>200</v>
      </c>
      <c r="B56" s="29" t="n">
        <f aca="false">1620.5</f>
        <v>1620.5</v>
      </c>
    </row>
    <row r="57" customFormat="false" ht="15" hidden="false" customHeight="false" outlineLevel="0" collapsed="false">
      <c r="A57" s="0" t="s">
        <v>201</v>
      </c>
      <c r="B57" s="29" t="n">
        <f aca="false">CH_Hi+TO_Hi+Other_Val</f>
        <v>4346.9</v>
      </c>
    </row>
    <row r="58" customFormat="false" ht="15" hidden="false" customHeight="false" outlineLevel="0" collapsed="false">
      <c r="A58" s="0" t="s">
        <v>202</v>
      </c>
      <c r="B58" s="29" t="n">
        <f aca="false">PF_S2+AV_Hi-AVBurnOn*AVBurnQ*(SUM(Valuation!$F$12:$AG$12)+4*(1+V_g)/(WACC-V_g)*V_DF28)</f>
        <v>8827.61078745663</v>
      </c>
    </row>
    <row r="59" customFormat="false" ht="15" hidden="false" customHeight="false" outlineLevel="0" collapsed="false">
      <c r="A59" s="0" t="s">
        <v>203</v>
      </c>
      <c r="B59" s="29" t="n">
        <f aca="false">PF_EV-V_ODEBT-CHOOSE(DilMethod,0,SUMPRODUCT((PF_PS1&lt;=V_TrPX)*((CVDebtBasis=1)*V_TrO+(CVDebtBasis=2)*V_TrB)),SUMPRODUCT(((CVDebtBasis=1)*V_TrO+(CVDebtBasis=2)*V_TrB)))+V_CASH+PF_S1</f>
        <v>3433.54003780661</v>
      </c>
    </row>
    <row r="60" customFormat="false" ht="15" hidden="false" customHeight="false" outlineLevel="0" collapsed="false">
      <c r="A60" s="0" t="s">
        <v>204</v>
      </c>
      <c r="B60" s="29" t="n">
        <f aca="false">PF_EV-V_ODEBT-CHOOSE(DilMethod,0,SUMPRODUCT((PF_PS2&lt;=V_TrPX)*((CVDebtBasis=1)*V_TrO+(CVDebtBasis=2)*V_TrB)),SUMPRODUCT(((CVDebtBasis=1)*V_TrO+(CVDebtBasis=2)*V_TrB)))+V_CASH+PF_S2</f>
        <v>6159.94003780661</v>
      </c>
    </row>
    <row r="61" customFormat="false" ht="15" hidden="false" customHeight="false" outlineLevel="0" collapsed="false">
      <c r="A61" s="0" t="s">
        <v>205</v>
      </c>
      <c r="B61" s="29" t="n">
        <f aca="false">PF_EV-V_ODEBT-CHOOSE(DilMethod,0,SUMPRODUCT((PF_PS3&lt;=V_TrPX)*((CVDebtBasis=1)*V_TrO+(CVDebtBasis=2)*V_TrB)),SUMPRODUCT(((CVDebtBasis=1)*V_TrO+(CVDebtBasis=2)*V_TrB)))+V_CASH+PF_S3</f>
        <v>10640.6508252632</v>
      </c>
    </row>
    <row r="62" customFormat="false" ht="15" hidden="false" customHeight="false" outlineLevel="0" collapsed="false">
      <c r="A62" s="0" t="s">
        <v>206</v>
      </c>
      <c r="B62" s="24" t="n">
        <f aca="false">PF_PS1x</f>
        <v>10.9027145086657</v>
      </c>
      <c r="C62" s="24" t="n">
        <f aca="false">PF_PS2x</f>
        <v>19.5600071306021</v>
      </c>
      <c r="D62" s="24" t="n">
        <f aca="false">PF_PS3x</f>
        <v>33.7878623394045</v>
      </c>
      <c r="E62" s="24" t="n">
        <f aca="false">CHOOSE(DilMethod,SUMPRODUCT(V_TrO,V_TrRT)/1000,SUMPRODUCT((PF_PS1&gt;V_TrPX)*V_TrO*V_TrRT)/1000,SUMPRODUCT(((V_TrO*V_TrRT/1000*PF_PS1-((CVDebtBasis=1)*V_TrO+(CVDebtBasis=2)*V_TrB))&gt;0)*(V_TrO*V_TrRT/1000*PF_PS1-((CVDebtBasis=1)*V_TrO+(CVDebtBasis=2)*V_TrB)))/PF_PS1)</f>
        <v>0</v>
      </c>
      <c r="F62" s="0" t="s">
        <v>207</v>
      </c>
    </row>
    <row r="63" customFormat="false" ht="15" hidden="false" customHeight="false" outlineLevel="0" collapsed="false">
      <c r="A63" s="0" t="s">
        <v>208</v>
      </c>
      <c r="B63" s="29" t="n">
        <f aca="false">V_EV</f>
        <v>-183.737139392088</v>
      </c>
    </row>
    <row r="64" customFormat="false" ht="15" hidden="false" customHeight="false" outlineLevel="0" collapsed="false">
      <c r="A64" s="0" t="s">
        <v>209</v>
      </c>
      <c r="B64" s="4" t="str">
        <f aca="false">IF(V_EV&lt;PF_EV,"FLAG: DCF EV below asset floor","OK: DCF EV above asset floor")</f>
        <v>FLAG: DCF EV below asset floor</v>
      </c>
    </row>
    <row r="66" customFormat="false" ht="15" hidden="false" customHeight="false" outlineLevel="0" collapsed="false">
      <c r="G66" s="0" t="s">
        <v>210</v>
      </c>
      <c r="H66" s="0" t="s">
        <v>211</v>
      </c>
      <c r="I66" s="0" t="s">
        <v>212</v>
      </c>
      <c r="J66" s="0" t="s">
        <v>213</v>
      </c>
    </row>
    <row r="67" customFormat="false" ht="15" hidden="false" customHeight="false" outlineLevel="0" collapsed="false">
      <c r="H67" s="24" t="n">
        <f aca="false">10</f>
        <v>10</v>
      </c>
      <c r="I67" s="24" t="n">
        <f aca="false">10</f>
        <v>10</v>
      </c>
      <c r="J67" s="24" t="n">
        <f aca="false">10</f>
        <v>10</v>
      </c>
    </row>
    <row r="68" customFormat="false" ht="15" hidden="false" customHeight="false" outlineLevel="0" collapsed="false">
      <c r="H68" s="24" t="n">
        <f aca="false">MAX(0.01,(PF_EV-V_ODEBT-CHOOSE(DilMethod,0,SUMPRODUCT((H67&lt;=V_TrPX)*((CVDebtBasis=1)*V_TrO+(CVDebtBasis=2)*V_TrB)),SUMPRODUCT(((CVDebtBasis=1)*V_TrO+(CVDebtBasis=2)*V_TrB)))+V_CASH+PF_S1)/(V_BASIC+V_RSU+Options*MAX(0,1-OptK/H67)+CHOOSE(DilMethod,SUMPRODUCT(V_TrO,V_TrRT)/1000,SUMPRODUCT((H67&gt;V_TrPX)*V_TrO*V_TrRT)/1000,SUMPRODUCT(((V_TrO*V_TrRT/1000*H67-((CVDebtBasis=1)*V_TrO+(CVDebtBasis=2)*V_TrB))&gt;0)*(V_TrO*V_TrRT/1000*H67-((CVDebtBasis=1)*V_TrO+(CVDebtBasis=2)*V_TrB)))/H67)))</f>
        <v>10.9027145086657</v>
      </c>
      <c r="I68" s="24" t="n">
        <f aca="false">MAX(0.01,(PF_EV-V_ODEBT-CHOOSE(DilMethod,0,SUMPRODUCT((I67&lt;=V_TrPX)*((CVDebtBasis=1)*V_TrO+(CVDebtBasis=2)*V_TrB)),SUMPRODUCT(((CVDebtBasis=1)*V_TrO+(CVDebtBasis=2)*V_TrB)))+V_CASH+PF_S2)/(V_BASIC+V_RSU+Options*MAX(0,1-OptK/I67)+CHOOSE(DilMethod,SUMPRODUCT(V_TrO,V_TrRT)/1000,SUMPRODUCT((I67&gt;V_TrPX)*V_TrO*V_TrRT)/1000,SUMPRODUCT(((V_TrO*V_TrRT/1000*I67-((CVDebtBasis=1)*V_TrO+(CVDebtBasis=2)*V_TrB))&gt;0)*(V_TrO*V_TrRT/1000*I67-((CVDebtBasis=1)*V_TrO+(CVDebtBasis=2)*V_TrB)))/I67)))</f>
        <v>19.5600071306021</v>
      </c>
      <c r="J68" s="24" t="n">
        <f aca="false">MAX(0.01,(PF_EV-V_ODEBT-CHOOSE(DilMethod,0,SUMPRODUCT((J67&lt;=V_TrPX)*((CVDebtBasis=1)*V_TrO+(CVDebtBasis=2)*V_TrB)),SUMPRODUCT(((CVDebtBasis=1)*V_TrO+(CVDebtBasis=2)*V_TrB)))+V_CASH+PF_S3)/(V_BASIC+V_RSU+Options*MAX(0,1-OptK/J67)+CHOOSE(DilMethod,SUMPRODUCT(V_TrO,V_TrRT)/1000,SUMPRODUCT((J67&gt;V_TrPX)*V_TrO*V_TrRT)/1000,SUMPRODUCT(((V_TrO*V_TrRT/1000*J67-((CVDebtBasis=1)*V_TrO+(CVDebtBasis=2)*V_TrB))&gt;0)*(V_TrO*V_TrRT/1000*J67-((CVDebtBasis=1)*V_TrO+(CVDebtBasis=2)*V_TrB)))/J67)))</f>
        <v>33.7878623394045</v>
      </c>
    </row>
    <row r="69" customFormat="false" ht="15" hidden="false" customHeight="false" outlineLevel="0" collapsed="false">
      <c r="H69" s="24" t="n">
        <f aca="false">MAX(0.01,(PF_EV-V_ODEBT-CHOOSE(DilMethod,0,SUMPRODUCT((H68&lt;=V_TrPX)*((CVDebtBasis=1)*V_TrO+(CVDebtBasis=2)*V_TrB)),SUMPRODUCT(((CVDebtBasis=1)*V_TrO+(CVDebtBasis=2)*V_TrB)))+V_CASH+PF_S1)/(V_BASIC+V_RSU+Options*MAX(0,1-OptK/H68)+CHOOSE(DilMethod,SUMPRODUCT(V_TrO,V_TrRT)/1000,SUMPRODUCT((H68&gt;V_TrPX)*V_TrO*V_TrRT)/1000,SUMPRODUCT(((V_TrO*V_TrRT/1000*H68-((CVDebtBasis=1)*V_TrO+(CVDebtBasis=2)*V_TrB))&gt;0)*(V_TrO*V_TrRT/1000*H68-((CVDebtBasis=1)*V_TrO+(CVDebtBasis=2)*V_TrB)))/H68)))</f>
        <v>10.9027145086657</v>
      </c>
      <c r="I69" s="24" t="n">
        <f aca="false">MAX(0.01,(PF_EV-V_ODEBT-CHOOSE(DilMethod,0,SUMPRODUCT((I68&lt;=V_TrPX)*((CVDebtBasis=1)*V_TrO+(CVDebtBasis=2)*V_TrB)),SUMPRODUCT(((CVDebtBasis=1)*V_TrO+(CVDebtBasis=2)*V_TrB)))+V_CASH+PF_S2)/(V_BASIC+V_RSU+Options*MAX(0,1-OptK/I68)+CHOOSE(DilMethod,SUMPRODUCT(V_TrO,V_TrRT)/1000,SUMPRODUCT((I68&gt;V_TrPX)*V_TrO*V_TrRT)/1000,SUMPRODUCT(((V_TrO*V_TrRT/1000*I68-((CVDebtBasis=1)*V_TrO+(CVDebtBasis=2)*V_TrB))&gt;0)*(V_TrO*V_TrRT/1000*I68-((CVDebtBasis=1)*V_TrO+(CVDebtBasis=2)*V_TrB)))/I68)))</f>
        <v>19.5600071306021</v>
      </c>
      <c r="J69" s="24" t="n">
        <f aca="false">MAX(0.01,(PF_EV-V_ODEBT-CHOOSE(DilMethod,0,SUMPRODUCT((J68&lt;=V_TrPX)*((CVDebtBasis=1)*V_TrO+(CVDebtBasis=2)*V_TrB)),SUMPRODUCT(((CVDebtBasis=1)*V_TrO+(CVDebtBasis=2)*V_TrB)))+V_CASH+PF_S3)/(V_BASIC+V_RSU+Options*MAX(0,1-OptK/J68)+CHOOSE(DilMethod,SUMPRODUCT(V_TrO,V_TrRT)/1000,SUMPRODUCT((J68&gt;V_TrPX)*V_TrO*V_TrRT)/1000,SUMPRODUCT(((V_TrO*V_TrRT/1000*J68-((CVDebtBasis=1)*V_TrO+(CVDebtBasis=2)*V_TrB))&gt;0)*(V_TrO*V_TrRT/1000*J68-((CVDebtBasis=1)*V_TrO+(CVDebtBasis=2)*V_TrB)))/J68)))</f>
        <v>33.7878623394045</v>
      </c>
    </row>
    <row r="70" customFormat="false" ht="15" hidden="false" customHeight="false" outlineLevel="0" collapsed="false">
      <c r="H70" s="24" t="n">
        <f aca="false">MAX(0.01,(PF_EV-V_ODEBT-CHOOSE(DilMethod,0,SUMPRODUCT((H69&lt;=V_TrPX)*((CVDebtBasis=1)*V_TrO+(CVDebtBasis=2)*V_TrB)),SUMPRODUCT(((CVDebtBasis=1)*V_TrO+(CVDebtBasis=2)*V_TrB)))+V_CASH+PF_S1)/(V_BASIC+V_RSU+Options*MAX(0,1-OptK/H69)+CHOOSE(DilMethod,SUMPRODUCT(V_TrO,V_TrRT)/1000,SUMPRODUCT((H69&gt;V_TrPX)*V_TrO*V_TrRT)/1000,SUMPRODUCT(((V_TrO*V_TrRT/1000*H69-((CVDebtBasis=1)*V_TrO+(CVDebtBasis=2)*V_TrB))&gt;0)*(V_TrO*V_TrRT/1000*H69-((CVDebtBasis=1)*V_TrO+(CVDebtBasis=2)*V_TrB)))/H69)))</f>
        <v>10.9027145086657</v>
      </c>
      <c r="I70" s="24" t="n">
        <f aca="false">MAX(0.01,(PF_EV-V_ODEBT-CHOOSE(DilMethod,0,SUMPRODUCT((I69&lt;=V_TrPX)*((CVDebtBasis=1)*V_TrO+(CVDebtBasis=2)*V_TrB)),SUMPRODUCT(((CVDebtBasis=1)*V_TrO+(CVDebtBasis=2)*V_TrB)))+V_CASH+PF_S2)/(V_BASIC+V_RSU+Options*MAX(0,1-OptK/I69)+CHOOSE(DilMethod,SUMPRODUCT(V_TrO,V_TrRT)/1000,SUMPRODUCT((I69&gt;V_TrPX)*V_TrO*V_TrRT)/1000,SUMPRODUCT(((V_TrO*V_TrRT/1000*I69-((CVDebtBasis=1)*V_TrO+(CVDebtBasis=2)*V_TrB))&gt;0)*(V_TrO*V_TrRT/1000*I69-((CVDebtBasis=1)*V_TrO+(CVDebtBasis=2)*V_TrB)))/I69)))</f>
        <v>19.5600071306021</v>
      </c>
      <c r="J70" s="24" t="n">
        <f aca="false">MAX(0.01,(PF_EV-V_ODEBT-CHOOSE(DilMethod,0,SUMPRODUCT((J69&lt;=V_TrPX)*((CVDebtBasis=1)*V_TrO+(CVDebtBasis=2)*V_TrB)),SUMPRODUCT(((CVDebtBasis=1)*V_TrO+(CVDebtBasis=2)*V_TrB)))+V_CASH+PF_S3)/(V_BASIC+V_RSU+Options*MAX(0,1-OptK/J69)+CHOOSE(DilMethod,SUMPRODUCT(V_TrO,V_TrRT)/1000,SUMPRODUCT((J69&gt;V_TrPX)*V_TrO*V_TrRT)/1000,SUMPRODUCT(((V_TrO*V_TrRT/1000*J69-((CVDebtBasis=1)*V_TrO+(CVDebtBasis=2)*V_TrB))&gt;0)*(V_TrO*V_TrRT/1000*J69-((CVDebtBasis=1)*V_TrO+(CVDebtBasis=2)*V_TrB)))/J69)))</f>
        <v>33.7878623394045</v>
      </c>
    </row>
    <row r="71" customFormat="false" ht="15" hidden="false" customHeight="false" outlineLevel="0" collapsed="false">
      <c r="H71" s="24" t="n">
        <f aca="false">MAX(0.01,(PF_EV-V_ODEBT-CHOOSE(DilMethod,0,SUMPRODUCT((H70&lt;=V_TrPX)*((CVDebtBasis=1)*V_TrO+(CVDebtBasis=2)*V_TrB)),SUMPRODUCT(((CVDebtBasis=1)*V_TrO+(CVDebtBasis=2)*V_TrB)))+V_CASH+PF_S1)/(V_BASIC+V_RSU+Options*MAX(0,1-OptK/H70)+CHOOSE(DilMethod,SUMPRODUCT(V_TrO,V_TrRT)/1000,SUMPRODUCT((H70&gt;V_TrPX)*V_TrO*V_TrRT)/1000,SUMPRODUCT(((V_TrO*V_TrRT/1000*H70-((CVDebtBasis=1)*V_TrO+(CVDebtBasis=2)*V_TrB))&gt;0)*(V_TrO*V_TrRT/1000*H70-((CVDebtBasis=1)*V_TrO+(CVDebtBasis=2)*V_TrB)))/H70)))</f>
        <v>10.9027145086657</v>
      </c>
      <c r="I71" s="24" t="n">
        <f aca="false">MAX(0.01,(PF_EV-V_ODEBT-CHOOSE(DilMethod,0,SUMPRODUCT((I70&lt;=V_TrPX)*((CVDebtBasis=1)*V_TrO+(CVDebtBasis=2)*V_TrB)),SUMPRODUCT(((CVDebtBasis=1)*V_TrO+(CVDebtBasis=2)*V_TrB)))+V_CASH+PF_S2)/(V_BASIC+V_RSU+Options*MAX(0,1-OptK/I70)+CHOOSE(DilMethod,SUMPRODUCT(V_TrO,V_TrRT)/1000,SUMPRODUCT((I70&gt;V_TrPX)*V_TrO*V_TrRT)/1000,SUMPRODUCT(((V_TrO*V_TrRT/1000*I70-((CVDebtBasis=1)*V_TrO+(CVDebtBasis=2)*V_TrB))&gt;0)*(V_TrO*V_TrRT/1000*I70-((CVDebtBasis=1)*V_TrO+(CVDebtBasis=2)*V_TrB)))/I70)))</f>
        <v>19.5600071306021</v>
      </c>
      <c r="J71" s="24" t="n">
        <f aca="false">MAX(0.01,(PF_EV-V_ODEBT-CHOOSE(DilMethod,0,SUMPRODUCT((J70&lt;=V_TrPX)*((CVDebtBasis=1)*V_TrO+(CVDebtBasis=2)*V_TrB)),SUMPRODUCT(((CVDebtBasis=1)*V_TrO+(CVDebtBasis=2)*V_TrB)))+V_CASH+PF_S3)/(V_BASIC+V_RSU+Options*MAX(0,1-OptK/J70)+CHOOSE(DilMethod,SUMPRODUCT(V_TrO,V_TrRT)/1000,SUMPRODUCT((J70&gt;V_TrPX)*V_TrO*V_TrRT)/1000,SUMPRODUCT(((V_TrO*V_TrRT/1000*J70-((CVDebtBasis=1)*V_TrO+(CVDebtBasis=2)*V_TrB))&gt;0)*(V_TrO*V_TrRT/1000*J70-((CVDebtBasis=1)*V_TrO+(CVDebtBasis=2)*V_TrB)))/J70)))</f>
        <v>33.7878623394045</v>
      </c>
    </row>
    <row r="72" customFormat="false" ht="15" hidden="false" customHeight="false" outlineLevel="0" collapsed="false">
      <c r="H72" s="24" t="n">
        <f aca="false">MAX(0.01,(PF_EV-V_ODEBT-CHOOSE(DilMethod,0,SUMPRODUCT((H71&lt;=V_TrPX)*((CVDebtBasis=1)*V_TrO+(CVDebtBasis=2)*V_TrB)),SUMPRODUCT(((CVDebtBasis=1)*V_TrO+(CVDebtBasis=2)*V_TrB)))+V_CASH+PF_S1)/(V_BASIC+V_RSU+Options*MAX(0,1-OptK/H71)+CHOOSE(DilMethod,SUMPRODUCT(V_TrO,V_TrRT)/1000,SUMPRODUCT((H71&gt;V_TrPX)*V_TrO*V_TrRT)/1000,SUMPRODUCT(((V_TrO*V_TrRT/1000*H71-((CVDebtBasis=1)*V_TrO+(CVDebtBasis=2)*V_TrB))&gt;0)*(V_TrO*V_TrRT/1000*H71-((CVDebtBasis=1)*V_TrO+(CVDebtBasis=2)*V_TrB)))/H71)))</f>
        <v>10.9027145086657</v>
      </c>
      <c r="I72" s="24" t="n">
        <f aca="false">MAX(0.01,(PF_EV-V_ODEBT-CHOOSE(DilMethod,0,SUMPRODUCT((I71&lt;=V_TrPX)*((CVDebtBasis=1)*V_TrO+(CVDebtBasis=2)*V_TrB)),SUMPRODUCT(((CVDebtBasis=1)*V_TrO+(CVDebtBasis=2)*V_TrB)))+V_CASH+PF_S2)/(V_BASIC+V_RSU+Options*MAX(0,1-OptK/I71)+CHOOSE(DilMethod,SUMPRODUCT(V_TrO,V_TrRT)/1000,SUMPRODUCT((I71&gt;V_TrPX)*V_TrO*V_TrRT)/1000,SUMPRODUCT(((V_TrO*V_TrRT/1000*I71-((CVDebtBasis=1)*V_TrO+(CVDebtBasis=2)*V_TrB))&gt;0)*(V_TrO*V_TrRT/1000*I71-((CVDebtBasis=1)*V_TrO+(CVDebtBasis=2)*V_TrB)))/I71)))</f>
        <v>19.5600071306021</v>
      </c>
      <c r="J72" s="24" t="n">
        <f aca="false">MAX(0.01,(PF_EV-V_ODEBT-CHOOSE(DilMethod,0,SUMPRODUCT((J71&lt;=V_TrPX)*((CVDebtBasis=1)*V_TrO+(CVDebtBasis=2)*V_TrB)),SUMPRODUCT(((CVDebtBasis=1)*V_TrO+(CVDebtBasis=2)*V_TrB)))+V_CASH+PF_S3)/(V_BASIC+V_RSU+Options*MAX(0,1-OptK/J71)+CHOOSE(DilMethod,SUMPRODUCT(V_TrO,V_TrRT)/1000,SUMPRODUCT((J71&gt;V_TrPX)*V_TrO*V_TrRT)/1000,SUMPRODUCT(((V_TrO*V_TrRT/1000*J71-((CVDebtBasis=1)*V_TrO+(CVDebtBasis=2)*V_TrB))&gt;0)*(V_TrO*V_TrRT/1000*J71-((CVDebtBasis=1)*V_TrO+(CVDebtBasis=2)*V_TrB)))/J71)))</f>
        <v>33.7878623394045</v>
      </c>
    </row>
    <row r="73" customFormat="false" ht="15" hidden="false" customHeight="false" outlineLevel="0" collapsed="false">
      <c r="H73" s="24" t="n">
        <f aca="false">MAX(0.01,(PF_EV-V_ODEBT-CHOOSE(DilMethod,0,SUMPRODUCT((H72&lt;=V_TrPX)*((CVDebtBasis=1)*V_TrO+(CVDebtBasis=2)*V_TrB)),SUMPRODUCT(((CVDebtBasis=1)*V_TrO+(CVDebtBasis=2)*V_TrB)))+V_CASH+PF_S1)/(V_BASIC+V_RSU+Options*MAX(0,1-OptK/H72)+CHOOSE(DilMethod,SUMPRODUCT(V_TrO,V_TrRT)/1000,SUMPRODUCT((H72&gt;V_TrPX)*V_TrO*V_TrRT)/1000,SUMPRODUCT(((V_TrO*V_TrRT/1000*H72-((CVDebtBasis=1)*V_TrO+(CVDebtBasis=2)*V_TrB))&gt;0)*(V_TrO*V_TrRT/1000*H72-((CVDebtBasis=1)*V_TrO+(CVDebtBasis=2)*V_TrB)))/H72)))</f>
        <v>10.9027145086657</v>
      </c>
      <c r="I73" s="24" t="n">
        <f aca="false">MAX(0.01,(PF_EV-V_ODEBT-CHOOSE(DilMethod,0,SUMPRODUCT((I72&lt;=V_TrPX)*((CVDebtBasis=1)*V_TrO+(CVDebtBasis=2)*V_TrB)),SUMPRODUCT(((CVDebtBasis=1)*V_TrO+(CVDebtBasis=2)*V_TrB)))+V_CASH+PF_S2)/(V_BASIC+V_RSU+Options*MAX(0,1-OptK/I72)+CHOOSE(DilMethod,SUMPRODUCT(V_TrO,V_TrRT)/1000,SUMPRODUCT((I72&gt;V_TrPX)*V_TrO*V_TrRT)/1000,SUMPRODUCT(((V_TrO*V_TrRT/1000*I72-((CVDebtBasis=1)*V_TrO+(CVDebtBasis=2)*V_TrB))&gt;0)*(V_TrO*V_TrRT/1000*I72-((CVDebtBasis=1)*V_TrO+(CVDebtBasis=2)*V_TrB)))/I72)))</f>
        <v>19.5600071306021</v>
      </c>
      <c r="J73" s="24" t="n">
        <f aca="false">MAX(0.01,(PF_EV-V_ODEBT-CHOOSE(DilMethod,0,SUMPRODUCT((J72&lt;=V_TrPX)*((CVDebtBasis=1)*V_TrO+(CVDebtBasis=2)*V_TrB)),SUMPRODUCT(((CVDebtBasis=1)*V_TrO+(CVDebtBasis=2)*V_TrB)))+V_CASH+PF_S3)/(V_BASIC+V_RSU+Options*MAX(0,1-OptK/J72)+CHOOSE(DilMethod,SUMPRODUCT(V_TrO,V_TrRT)/1000,SUMPRODUCT((J72&gt;V_TrPX)*V_TrO*V_TrRT)/1000,SUMPRODUCT(((V_TrO*V_TrRT/1000*J72-((CVDebtBasis=1)*V_TrO+(CVDebtBasis=2)*V_TrB))&gt;0)*(V_TrO*V_TrRT/1000*J72-((CVDebtBasis=1)*V_TrO+(CVDebtBasis=2)*V_TrB)))/J72)))</f>
        <v>33.7878623394045</v>
      </c>
    </row>
    <row r="74" customFormat="false" ht="15" hidden="false" customHeight="false" outlineLevel="0" collapsed="false">
      <c r="H74" s="24" t="n">
        <f aca="false">MAX(0.01,(PF_EV-V_ODEBT-CHOOSE(DilMethod,0,SUMPRODUCT((H73&lt;=V_TrPX)*((CVDebtBasis=1)*V_TrO+(CVDebtBasis=2)*V_TrB)),SUMPRODUCT(((CVDebtBasis=1)*V_TrO+(CVDebtBasis=2)*V_TrB)))+V_CASH+PF_S1)/(V_BASIC+V_RSU+Options*MAX(0,1-OptK/H73)+CHOOSE(DilMethod,SUMPRODUCT(V_TrO,V_TrRT)/1000,SUMPRODUCT((H73&gt;V_TrPX)*V_TrO*V_TrRT)/1000,SUMPRODUCT(((V_TrO*V_TrRT/1000*H73-((CVDebtBasis=1)*V_TrO+(CVDebtBasis=2)*V_TrB))&gt;0)*(V_TrO*V_TrRT/1000*H73-((CVDebtBasis=1)*V_TrO+(CVDebtBasis=2)*V_TrB)))/H73)))</f>
        <v>10.9027145086657</v>
      </c>
      <c r="I74" s="24" t="n">
        <f aca="false">MAX(0.01,(PF_EV-V_ODEBT-CHOOSE(DilMethod,0,SUMPRODUCT((I73&lt;=V_TrPX)*((CVDebtBasis=1)*V_TrO+(CVDebtBasis=2)*V_TrB)),SUMPRODUCT(((CVDebtBasis=1)*V_TrO+(CVDebtBasis=2)*V_TrB)))+V_CASH+PF_S2)/(V_BASIC+V_RSU+Options*MAX(0,1-OptK/I73)+CHOOSE(DilMethod,SUMPRODUCT(V_TrO,V_TrRT)/1000,SUMPRODUCT((I73&gt;V_TrPX)*V_TrO*V_TrRT)/1000,SUMPRODUCT(((V_TrO*V_TrRT/1000*I73-((CVDebtBasis=1)*V_TrO+(CVDebtBasis=2)*V_TrB))&gt;0)*(V_TrO*V_TrRT/1000*I73-((CVDebtBasis=1)*V_TrO+(CVDebtBasis=2)*V_TrB)))/I73)))</f>
        <v>19.5600071306021</v>
      </c>
      <c r="J74" s="24" t="n">
        <f aca="false">MAX(0.01,(PF_EV-V_ODEBT-CHOOSE(DilMethod,0,SUMPRODUCT((J73&lt;=V_TrPX)*((CVDebtBasis=1)*V_TrO+(CVDebtBasis=2)*V_TrB)),SUMPRODUCT(((CVDebtBasis=1)*V_TrO+(CVDebtBasis=2)*V_TrB)))+V_CASH+PF_S3)/(V_BASIC+V_RSU+Options*MAX(0,1-OptK/J73)+CHOOSE(DilMethod,SUMPRODUCT(V_TrO,V_TrRT)/1000,SUMPRODUCT((J73&gt;V_TrPX)*V_TrO*V_TrRT)/1000,SUMPRODUCT(((V_TrO*V_TrRT/1000*J73-((CVDebtBasis=1)*V_TrO+(CVDebtBasis=2)*V_TrB))&gt;0)*(V_TrO*V_TrRT/1000*J73-((CVDebtBasis=1)*V_TrO+(CVDebtBasis=2)*V_TrB)))/J73)))</f>
        <v>33.7878623394045</v>
      </c>
    </row>
    <row r="75" customFormat="false" ht="15" hidden="false" customHeight="false" outlineLevel="0" collapsed="false">
      <c r="H75" s="24" t="n">
        <f aca="false">MAX(0.01,(PF_EV-V_ODEBT-CHOOSE(DilMethod,0,SUMPRODUCT((H74&lt;=V_TrPX)*((CVDebtBasis=1)*V_TrO+(CVDebtBasis=2)*V_TrB)),SUMPRODUCT(((CVDebtBasis=1)*V_TrO+(CVDebtBasis=2)*V_TrB)))+V_CASH+PF_S1)/(V_BASIC+V_RSU+Options*MAX(0,1-OptK/H74)+CHOOSE(DilMethod,SUMPRODUCT(V_TrO,V_TrRT)/1000,SUMPRODUCT((H74&gt;V_TrPX)*V_TrO*V_TrRT)/1000,SUMPRODUCT(((V_TrO*V_TrRT/1000*H74-((CVDebtBasis=1)*V_TrO+(CVDebtBasis=2)*V_TrB))&gt;0)*(V_TrO*V_TrRT/1000*H74-((CVDebtBasis=1)*V_TrO+(CVDebtBasis=2)*V_TrB)))/H74)))</f>
        <v>10.9027145086657</v>
      </c>
      <c r="I75" s="24" t="n">
        <f aca="false">MAX(0.01,(PF_EV-V_ODEBT-CHOOSE(DilMethod,0,SUMPRODUCT((I74&lt;=V_TrPX)*((CVDebtBasis=1)*V_TrO+(CVDebtBasis=2)*V_TrB)),SUMPRODUCT(((CVDebtBasis=1)*V_TrO+(CVDebtBasis=2)*V_TrB)))+V_CASH+PF_S2)/(V_BASIC+V_RSU+Options*MAX(0,1-OptK/I74)+CHOOSE(DilMethod,SUMPRODUCT(V_TrO,V_TrRT)/1000,SUMPRODUCT((I74&gt;V_TrPX)*V_TrO*V_TrRT)/1000,SUMPRODUCT(((V_TrO*V_TrRT/1000*I74-((CVDebtBasis=1)*V_TrO+(CVDebtBasis=2)*V_TrB))&gt;0)*(V_TrO*V_TrRT/1000*I74-((CVDebtBasis=1)*V_TrO+(CVDebtBasis=2)*V_TrB)))/I74)))</f>
        <v>19.5600071306021</v>
      </c>
      <c r="J75" s="24" t="n">
        <f aca="false">MAX(0.01,(PF_EV-V_ODEBT-CHOOSE(DilMethod,0,SUMPRODUCT((J74&lt;=V_TrPX)*((CVDebtBasis=1)*V_TrO+(CVDebtBasis=2)*V_TrB)),SUMPRODUCT(((CVDebtBasis=1)*V_TrO+(CVDebtBasis=2)*V_TrB)))+V_CASH+PF_S3)/(V_BASIC+V_RSU+Options*MAX(0,1-OptK/J74)+CHOOSE(DilMethod,SUMPRODUCT(V_TrO,V_TrRT)/1000,SUMPRODUCT((J74&gt;V_TrPX)*V_TrO*V_TrRT)/1000,SUMPRODUCT(((V_TrO*V_TrRT/1000*J74-((CVDebtBasis=1)*V_TrO+(CVDebtBasis=2)*V_TrB))&gt;0)*(V_TrO*V_TrRT/1000*J74-((CVDebtBasis=1)*V_TrO+(CVDebtBasis=2)*V_TrB)))/J74)))</f>
        <v>33.7878623394045</v>
      </c>
    </row>
    <row r="76" customFormat="false" ht="15" hidden="false" customHeight="false" outlineLevel="0" collapsed="false">
      <c r="H76" s="24" t="n">
        <f aca="false">MAX(0.01,(PF_EV-V_ODEBT-CHOOSE(DilMethod,0,SUMPRODUCT((H75&lt;=V_TrPX)*((CVDebtBasis=1)*V_TrO+(CVDebtBasis=2)*V_TrB)),SUMPRODUCT(((CVDebtBasis=1)*V_TrO+(CVDebtBasis=2)*V_TrB)))+V_CASH+PF_S1)/(V_BASIC+V_RSU+Options*MAX(0,1-OptK/H75)+CHOOSE(DilMethod,SUMPRODUCT(V_TrO,V_TrRT)/1000,SUMPRODUCT((H75&gt;V_TrPX)*V_TrO*V_TrRT)/1000,SUMPRODUCT(((V_TrO*V_TrRT/1000*H75-((CVDebtBasis=1)*V_TrO+(CVDebtBasis=2)*V_TrB))&gt;0)*(V_TrO*V_TrRT/1000*H75-((CVDebtBasis=1)*V_TrO+(CVDebtBasis=2)*V_TrB)))/H75)))</f>
        <v>10.9027145086657</v>
      </c>
      <c r="I76" s="24" t="n">
        <f aca="false">MAX(0.01,(PF_EV-V_ODEBT-CHOOSE(DilMethod,0,SUMPRODUCT((I75&lt;=V_TrPX)*((CVDebtBasis=1)*V_TrO+(CVDebtBasis=2)*V_TrB)),SUMPRODUCT(((CVDebtBasis=1)*V_TrO+(CVDebtBasis=2)*V_TrB)))+V_CASH+PF_S2)/(V_BASIC+V_RSU+Options*MAX(0,1-OptK/I75)+CHOOSE(DilMethod,SUMPRODUCT(V_TrO,V_TrRT)/1000,SUMPRODUCT((I75&gt;V_TrPX)*V_TrO*V_TrRT)/1000,SUMPRODUCT(((V_TrO*V_TrRT/1000*I75-((CVDebtBasis=1)*V_TrO+(CVDebtBasis=2)*V_TrB))&gt;0)*(V_TrO*V_TrRT/1000*I75-((CVDebtBasis=1)*V_TrO+(CVDebtBasis=2)*V_TrB)))/I75)))</f>
        <v>19.5600071306021</v>
      </c>
      <c r="J76" s="24" t="n">
        <f aca="false">MAX(0.01,(PF_EV-V_ODEBT-CHOOSE(DilMethod,0,SUMPRODUCT((J75&lt;=V_TrPX)*((CVDebtBasis=1)*V_TrO+(CVDebtBasis=2)*V_TrB)),SUMPRODUCT(((CVDebtBasis=1)*V_TrO+(CVDebtBasis=2)*V_TrB)))+V_CASH+PF_S3)/(V_BASIC+V_RSU+Options*MAX(0,1-OptK/J75)+CHOOSE(DilMethod,SUMPRODUCT(V_TrO,V_TrRT)/1000,SUMPRODUCT((J75&gt;V_TrPX)*V_TrO*V_TrRT)/1000,SUMPRODUCT(((V_TrO*V_TrRT/1000*J75-((CVDebtBasis=1)*V_TrO+(CVDebtBasis=2)*V_TrB))&gt;0)*(V_TrO*V_TrRT/1000*J75-((CVDebtBasis=1)*V_TrO+(CVDebtBasis=2)*V_TrB)))/J75)))</f>
        <v>33.7878623394045</v>
      </c>
    </row>
    <row r="77" customFormat="false" ht="15" hidden="false" customHeight="false" outlineLevel="0" collapsed="false">
      <c r="H77" s="24" t="n">
        <f aca="false">MAX(0.01,(PF_EV-V_ODEBT-CHOOSE(DilMethod,0,SUMPRODUCT((H76&lt;=V_TrPX)*((CVDebtBasis=1)*V_TrO+(CVDebtBasis=2)*V_TrB)),SUMPRODUCT(((CVDebtBasis=1)*V_TrO+(CVDebtBasis=2)*V_TrB)))+V_CASH+PF_S1)/(V_BASIC+V_RSU+Options*MAX(0,1-OptK/H76)+CHOOSE(DilMethod,SUMPRODUCT(V_TrO,V_TrRT)/1000,SUMPRODUCT((H76&gt;V_TrPX)*V_TrO*V_TrRT)/1000,SUMPRODUCT(((V_TrO*V_TrRT/1000*H76-((CVDebtBasis=1)*V_TrO+(CVDebtBasis=2)*V_TrB))&gt;0)*(V_TrO*V_TrRT/1000*H76-((CVDebtBasis=1)*V_TrO+(CVDebtBasis=2)*V_TrB)))/H76)))</f>
        <v>10.9027145086657</v>
      </c>
      <c r="I77" s="24" t="n">
        <f aca="false">MAX(0.01,(PF_EV-V_ODEBT-CHOOSE(DilMethod,0,SUMPRODUCT((I76&lt;=V_TrPX)*((CVDebtBasis=1)*V_TrO+(CVDebtBasis=2)*V_TrB)),SUMPRODUCT(((CVDebtBasis=1)*V_TrO+(CVDebtBasis=2)*V_TrB)))+V_CASH+PF_S2)/(V_BASIC+V_RSU+Options*MAX(0,1-OptK/I76)+CHOOSE(DilMethod,SUMPRODUCT(V_TrO,V_TrRT)/1000,SUMPRODUCT((I76&gt;V_TrPX)*V_TrO*V_TrRT)/1000,SUMPRODUCT(((V_TrO*V_TrRT/1000*I76-((CVDebtBasis=1)*V_TrO+(CVDebtBasis=2)*V_TrB))&gt;0)*(V_TrO*V_TrRT/1000*I76-((CVDebtBasis=1)*V_TrO+(CVDebtBasis=2)*V_TrB)))/I76)))</f>
        <v>19.5600071306021</v>
      </c>
      <c r="J77" s="24" t="n">
        <f aca="false">MAX(0.01,(PF_EV-V_ODEBT-CHOOSE(DilMethod,0,SUMPRODUCT((J76&lt;=V_TrPX)*((CVDebtBasis=1)*V_TrO+(CVDebtBasis=2)*V_TrB)),SUMPRODUCT(((CVDebtBasis=1)*V_TrO+(CVDebtBasis=2)*V_TrB)))+V_CASH+PF_S3)/(V_BASIC+V_RSU+Options*MAX(0,1-OptK/J76)+CHOOSE(DilMethod,SUMPRODUCT(V_TrO,V_TrRT)/1000,SUMPRODUCT((J76&gt;V_TrPX)*V_TrO*V_TrRT)/1000,SUMPRODUCT(((V_TrO*V_TrRT/1000*J76-((CVDebtBasis=1)*V_TrO+(CVDebtBasis=2)*V_TrB))&gt;0)*(V_TrO*V_TrRT/1000*J76-((CVDebtBasis=1)*V_TrO+(CVDebtBasis=2)*V_TrB)))/J76)))</f>
        <v>33.7878623394045</v>
      </c>
    </row>
    <row r="78" customFormat="false" ht="15" hidden="false" customHeight="false" outlineLevel="0" collapsed="false">
      <c r="H78" s="24" t="n">
        <f aca="false">MAX(0.01,(PF_EV-V_ODEBT-CHOOSE(DilMethod,0,SUMPRODUCT((H77&lt;=V_TrPX)*((CVDebtBasis=1)*V_TrO+(CVDebtBasis=2)*V_TrB)),SUMPRODUCT(((CVDebtBasis=1)*V_TrO+(CVDebtBasis=2)*V_TrB)))+V_CASH+PF_S1)/(V_BASIC+V_RSU+Options*MAX(0,1-OptK/H77)+CHOOSE(DilMethod,SUMPRODUCT(V_TrO,V_TrRT)/1000,SUMPRODUCT((H77&gt;V_TrPX)*V_TrO*V_TrRT)/1000,SUMPRODUCT(((V_TrO*V_TrRT/1000*H77-((CVDebtBasis=1)*V_TrO+(CVDebtBasis=2)*V_TrB))&gt;0)*(V_TrO*V_TrRT/1000*H77-((CVDebtBasis=1)*V_TrO+(CVDebtBasis=2)*V_TrB)))/H77)))</f>
        <v>10.9027145086657</v>
      </c>
      <c r="I78" s="24" t="n">
        <f aca="false">MAX(0.01,(PF_EV-V_ODEBT-CHOOSE(DilMethod,0,SUMPRODUCT((I77&lt;=V_TrPX)*((CVDebtBasis=1)*V_TrO+(CVDebtBasis=2)*V_TrB)),SUMPRODUCT(((CVDebtBasis=1)*V_TrO+(CVDebtBasis=2)*V_TrB)))+V_CASH+PF_S2)/(V_BASIC+V_RSU+Options*MAX(0,1-OptK/I77)+CHOOSE(DilMethod,SUMPRODUCT(V_TrO,V_TrRT)/1000,SUMPRODUCT((I77&gt;V_TrPX)*V_TrO*V_TrRT)/1000,SUMPRODUCT(((V_TrO*V_TrRT/1000*I77-((CVDebtBasis=1)*V_TrO+(CVDebtBasis=2)*V_TrB))&gt;0)*(V_TrO*V_TrRT/1000*I77-((CVDebtBasis=1)*V_TrO+(CVDebtBasis=2)*V_TrB)))/I77)))</f>
        <v>19.5600071306021</v>
      </c>
      <c r="J78" s="24" t="n">
        <f aca="false">MAX(0.01,(PF_EV-V_ODEBT-CHOOSE(DilMethod,0,SUMPRODUCT((J77&lt;=V_TrPX)*((CVDebtBasis=1)*V_TrO+(CVDebtBasis=2)*V_TrB)),SUMPRODUCT(((CVDebtBasis=1)*V_TrO+(CVDebtBasis=2)*V_TrB)))+V_CASH+PF_S3)/(V_BASIC+V_RSU+Options*MAX(0,1-OptK/J77)+CHOOSE(DilMethod,SUMPRODUCT(V_TrO,V_TrRT)/1000,SUMPRODUCT((J77&gt;V_TrPX)*V_TrO*V_TrRT)/1000,SUMPRODUCT(((V_TrO*V_TrRT/1000*J77-((CVDebtBasis=1)*V_TrO+(CVDebtBasis=2)*V_TrB))&gt;0)*(V_TrO*V_TrRT/1000*J77-((CVDebtBasis=1)*V_TrO+(CVDebtBasis=2)*V_TrB)))/J77)))</f>
        <v>33.7878623394045</v>
      </c>
    </row>
    <row r="79" customFormat="false" ht="15" hidden="false" customHeight="false" outlineLevel="0" collapsed="false">
      <c r="H79" s="24" t="n">
        <f aca="false">MAX(0.01,(PF_EV-V_ODEBT-CHOOSE(DilMethod,0,SUMPRODUCT((H78&lt;=V_TrPX)*((CVDebtBasis=1)*V_TrO+(CVDebtBasis=2)*V_TrB)),SUMPRODUCT(((CVDebtBasis=1)*V_TrO+(CVDebtBasis=2)*V_TrB)))+V_CASH+PF_S1)/(V_BASIC+V_RSU+Options*MAX(0,1-OptK/H78)+CHOOSE(DilMethod,SUMPRODUCT(V_TrO,V_TrRT)/1000,SUMPRODUCT((H78&gt;V_TrPX)*V_TrO*V_TrRT)/1000,SUMPRODUCT(((V_TrO*V_TrRT/1000*H78-((CVDebtBasis=1)*V_TrO+(CVDebtBasis=2)*V_TrB))&gt;0)*(V_TrO*V_TrRT/1000*H78-((CVDebtBasis=1)*V_TrO+(CVDebtBasis=2)*V_TrB)))/H78)))</f>
        <v>10.9027145086657</v>
      </c>
      <c r="I79" s="24" t="n">
        <f aca="false">MAX(0.01,(PF_EV-V_ODEBT-CHOOSE(DilMethod,0,SUMPRODUCT((I78&lt;=V_TrPX)*((CVDebtBasis=1)*V_TrO+(CVDebtBasis=2)*V_TrB)),SUMPRODUCT(((CVDebtBasis=1)*V_TrO+(CVDebtBasis=2)*V_TrB)))+V_CASH+PF_S2)/(V_BASIC+V_RSU+Options*MAX(0,1-OptK/I78)+CHOOSE(DilMethod,SUMPRODUCT(V_TrO,V_TrRT)/1000,SUMPRODUCT((I78&gt;V_TrPX)*V_TrO*V_TrRT)/1000,SUMPRODUCT(((V_TrO*V_TrRT/1000*I78-((CVDebtBasis=1)*V_TrO+(CVDebtBasis=2)*V_TrB))&gt;0)*(V_TrO*V_TrRT/1000*I78-((CVDebtBasis=1)*V_TrO+(CVDebtBasis=2)*V_TrB)))/I78)))</f>
        <v>19.5600071306021</v>
      </c>
      <c r="J79" s="24" t="n">
        <f aca="false">MAX(0.01,(PF_EV-V_ODEBT-CHOOSE(DilMethod,0,SUMPRODUCT((J78&lt;=V_TrPX)*((CVDebtBasis=1)*V_TrO+(CVDebtBasis=2)*V_TrB)),SUMPRODUCT(((CVDebtBasis=1)*V_TrO+(CVDebtBasis=2)*V_TrB)))+V_CASH+PF_S3)/(V_BASIC+V_RSU+Options*MAX(0,1-OptK/J78)+CHOOSE(DilMethod,SUMPRODUCT(V_TrO,V_TrRT)/1000,SUMPRODUCT((J78&gt;V_TrPX)*V_TrO*V_TrRT)/1000,SUMPRODUCT(((V_TrO*V_TrRT/1000*J78-((CVDebtBasis=1)*V_TrO+(CVDebtBasis=2)*V_TrB))&gt;0)*(V_TrO*V_TrRT/1000*J78-((CVDebtBasis=1)*V_TrO+(CVDebtBasis=2)*V_TrB)))/J78)))</f>
        <v>33.7878623394045</v>
      </c>
    </row>
    <row r="80" customFormat="false" ht="15" hidden="false" customHeight="false" outlineLevel="0" collapsed="false">
      <c r="H80" s="24" t="n">
        <f aca="false">MAX(0.01,(PF_EV-V_ODEBT-CHOOSE(DilMethod,0,SUMPRODUCT((H79&lt;=V_TrPX)*((CVDebtBasis=1)*V_TrO+(CVDebtBasis=2)*V_TrB)),SUMPRODUCT(((CVDebtBasis=1)*V_TrO+(CVDebtBasis=2)*V_TrB)))+V_CASH+PF_S1)/(V_BASIC+V_RSU+Options*MAX(0,1-OptK/H79)+CHOOSE(DilMethod,SUMPRODUCT(V_TrO,V_TrRT)/1000,SUMPRODUCT((H79&gt;V_TrPX)*V_TrO*V_TrRT)/1000,SUMPRODUCT(((V_TrO*V_TrRT/1000*H79-((CVDebtBasis=1)*V_TrO+(CVDebtBasis=2)*V_TrB))&gt;0)*(V_TrO*V_TrRT/1000*H79-((CVDebtBasis=1)*V_TrO+(CVDebtBasis=2)*V_TrB)))/H79)))</f>
        <v>10.9027145086657</v>
      </c>
      <c r="I80" s="24" t="n">
        <f aca="false">MAX(0.01,(PF_EV-V_ODEBT-CHOOSE(DilMethod,0,SUMPRODUCT((I79&lt;=V_TrPX)*((CVDebtBasis=1)*V_TrO+(CVDebtBasis=2)*V_TrB)),SUMPRODUCT(((CVDebtBasis=1)*V_TrO+(CVDebtBasis=2)*V_TrB)))+V_CASH+PF_S2)/(V_BASIC+V_RSU+Options*MAX(0,1-OptK/I79)+CHOOSE(DilMethod,SUMPRODUCT(V_TrO,V_TrRT)/1000,SUMPRODUCT((I79&gt;V_TrPX)*V_TrO*V_TrRT)/1000,SUMPRODUCT(((V_TrO*V_TrRT/1000*I79-((CVDebtBasis=1)*V_TrO+(CVDebtBasis=2)*V_TrB))&gt;0)*(V_TrO*V_TrRT/1000*I79-((CVDebtBasis=1)*V_TrO+(CVDebtBasis=2)*V_TrB)))/I79)))</f>
        <v>19.5600071306021</v>
      </c>
      <c r="J80" s="24" t="n">
        <f aca="false">MAX(0.01,(PF_EV-V_ODEBT-CHOOSE(DilMethod,0,SUMPRODUCT((J79&lt;=V_TrPX)*((CVDebtBasis=1)*V_TrO+(CVDebtBasis=2)*V_TrB)),SUMPRODUCT(((CVDebtBasis=1)*V_TrO+(CVDebtBasis=2)*V_TrB)))+V_CASH+PF_S3)/(V_BASIC+V_RSU+Options*MAX(0,1-OptK/J79)+CHOOSE(DilMethod,SUMPRODUCT(V_TrO,V_TrRT)/1000,SUMPRODUCT((J79&gt;V_TrPX)*V_TrO*V_TrRT)/1000,SUMPRODUCT(((V_TrO*V_TrRT/1000*J79-((CVDebtBasis=1)*V_TrO+(CVDebtBasis=2)*V_TrB))&gt;0)*(V_TrO*V_TrRT/1000*J79-((CVDebtBasis=1)*V_TrO+(CVDebtBasis=2)*V_TrB)))/J79)))</f>
        <v>33.7878623394045</v>
      </c>
    </row>
    <row r="81" customFormat="false" ht="15" hidden="false" customHeight="false" outlineLevel="0" collapsed="false">
      <c r="H81" s="24" t="n">
        <f aca="false">MAX(0.01,(PF_EV-V_ODEBT-CHOOSE(DilMethod,0,SUMPRODUCT((H80&lt;=V_TrPX)*((CVDebtBasis=1)*V_TrO+(CVDebtBasis=2)*V_TrB)),SUMPRODUCT(((CVDebtBasis=1)*V_TrO+(CVDebtBasis=2)*V_TrB)))+V_CASH+PF_S1)/(V_BASIC+V_RSU+Options*MAX(0,1-OptK/H80)+CHOOSE(DilMethod,SUMPRODUCT(V_TrO,V_TrRT)/1000,SUMPRODUCT((H80&gt;V_TrPX)*V_TrO*V_TrRT)/1000,SUMPRODUCT(((V_TrO*V_TrRT/1000*H80-((CVDebtBasis=1)*V_TrO+(CVDebtBasis=2)*V_TrB))&gt;0)*(V_TrO*V_TrRT/1000*H80-((CVDebtBasis=1)*V_TrO+(CVDebtBasis=2)*V_TrB)))/H80)))</f>
        <v>10.9027145086657</v>
      </c>
      <c r="I81" s="24" t="n">
        <f aca="false">MAX(0.01,(PF_EV-V_ODEBT-CHOOSE(DilMethod,0,SUMPRODUCT((I80&lt;=V_TrPX)*((CVDebtBasis=1)*V_TrO+(CVDebtBasis=2)*V_TrB)),SUMPRODUCT(((CVDebtBasis=1)*V_TrO+(CVDebtBasis=2)*V_TrB)))+V_CASH+PF_S2)/(V_BASIC+V_RSU+Options*MAX(0,1-OptK/I80)+CHOOSE(DilMethod,SUMPRODUCT(V_TrO,V_TrRT)/1000,SUMPRODUCT((I80&gt;V_TrPX)*V_TrO*V_TrRT)/1000,SUMPRODUCT(((V_TrO*V_TrRT/1000*I80-((CVDebtBasis=1)*V_TrO+(CVDebtBasis=2)*V_TrB))&gt;0)*(V_TrO*V_TrRT/1000*I80-((CVDebtBasis=1)*V_TrO+(CVDebtBasis=2)*V_TrB)))/I80)))</f>
        <v>19.5600071306021</v>
      </c>
      <c r="J81" s="24" t="n">
        <f aca="false">MAX(0.01,(PF_EV-V_ODEBT-CHOOSE(DilMethod,0,SUMPRODUCT((J80&lt;=V_TrPX)*((CVDebtBasis=1)*V_TrO+(CVDebtBasis=2)*V_TrB)),SUMPRODUCT(((CVDebtBasis=1)*V_TrO+(CVDebtBasis=2)*V_TrB)))+V_CASH+PF_S3)/(V_BASIC+V_RSU+Options*MAX(0,1-OptK/J80)+CHOOSE(DilMethod,SUMPRODUCT(V_TrO,V_TrRT)/1000,SUMPRODUCT((J80&gt;V_TrPX)*V_TrO*V_TrRT)/1000,SUMPRODUCT(((V_TrO*V_TrRT/1000*J80-((CVDebtBasis=1)*V_TrO+(CVDebtBasis=2)*V_TrB))&gt;0)*(V_TrO*V_TrRT/1000*J80-((CVDebtBasis=1)*V_TrO+(CVDebtBasis=2)*V_TrB)))/J80)))</f>
        <v>33.7878623394045</v>
      </c>
    </row>
    <row r="82" customFormat="false" ht="15" hidden="false" customHeight="false" outlineLevel="0" collapsed="false">
      <c r="H82" s="24" t="n">
        <f aca="false">MAX(0.01,(PF_EV-V_ODEBT-CHOOSE(DilMethod,0,SUMPRODUCT((H81&lt;=V_TrPX)*((CVDebtBasis=1)*V_TrO+(CVDebtBasis=2)*V_TrB)),SUMPRODUCT(((CVDebtBasis=1)*V_TrO+(CVDebtBasis=2)*V_TrB)))+V_CASH+PF_S1)/(V_BASIC+V_RSU+Options*MAX(0,1-OptK/H81)+CHOOSE(DilMethod,SUMPRODUCT(V_TrO,V_TrRT)/1000,SUMPRODUCT((H81&gt;V_TrPX)*V_TrO*V_TrRT)/1000,SUMPRODUCT(((V_TrO*V_TrRT/1000*H81-((CVDebtBasis=1)*V_TrO+(CVDebtBasis=2)*V_TrB))&gt;0)*(V_TrO*V_TrRT/1000*H81-((CVDebtBasis=1)*V_TrO+(CVDebtBasis=2)*V_TrB)))/H81)))</f>
        <v>10.9027145086657</v>
      </c>
      <c r="I82" s="24" t="n">
        <f aca="false">MAX(0.01,(PF_EV-V_ODEBT-CHOOSE(DilMethod,0,SUMPRODUCT((I81&lt;=V_TrPX)*((CVDebtBasis=1)*V_TrO+(CVDebtBasis=2)*V_TrB)),SUMPRODUCT(((CVDebtBasis=1)*V_TrO+(CVDebtBasis=2)*V_TrB)))+V_CASH+PF_S2)/(V_BASIC+V_RSU+Options*MAX(0,1-OptK/I81)+CHOOSE(DilMethod,SUMPRODUCT(V_TrO,V_TrRT)/1000,SUMPRODUCT((I81&gt;V_TrPX)*V_TrO*V_TrRT)/1000,SUMPRODUCT(((V_TrO*V_TrRT/1000*I81-((CVDebtBasis=1)*V_TrO+(CVDebtBasis=2)*V_TrB))&gt;0)*(V_TrO*V_TrRT/1000*I81-((CVDebtBasis=1)*V_TrO+(CVDebtBasis=2)*V_TrB)))/I81)))</f>
        <v>19.5600071306021</v>
      </c>
      <c r="J82" s="24" t="n">
        <f aca="false">MAX(0.01,(PF_EV-V_ODEBT-CHOOSE(DilMethod,0,SUMPRODUCT((J81&lt;=V_TrPX)*((CVDebtBasis=1)*V_TrO+(CVDebtBasis=2)*V_TrB)),SUMPRODUCT(((CVDebtBasis=1)*V_TrO+(CVDebtBasis=2)*V_TrB)))+V_CASH+PF_S3)/(V_BASIC+V_RSU+Options*MAX(0,1-OptK/J81)+CHOOSE(DilMethod,SUMPRODUCT(V_TrO,V_TrRT)/1000,SUMPRODUCT((J81&gt;V_TrPX)*V_TrO*V_TrRT)/1000,SUMPRODUCT(((V_TrO*V_TrRT/1000*J81-((CVDebtBasis=1)*V_TrO+(CVDebtBasis=2)*V_TrB))&gt;0)*(V_TrO*V_TrRT/1000*J81-((CVDebtBasis=1)*V_TrO+(CVDebtBasis=2)*V_TrB)))/J81)))</f>
        <v>33.7878623394045</v>
      </c>
    </row>
    <row r="83" customFormat="false" ht="15" hidden="false" customHeight="false" outlineLevel="0" collapsed="false">
      <c r="H83" s="24" t="n">
        <f aca="false">IF(H82&lt;=0.011,0,H82)</f>
        <v>10.9027145086657</v>
      </c>
      <c r="I83" s="24" t="n">
        <f aca="false">IF(I82&lt;=0.011,0,I82)</f>
        <v>19.5600071306021</v>
      </c>
      <c r="J83" s="24" t="n">
        <f aca="false">IF(J82&lt;=0.011,0,J82)</f>
        <v>33.7878623394045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0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214</v>
      </c>
    </row>
    <row r="4" customFormat="false" ht="15" hidden="false" customHeight="false" outlineLevel="0" collapsed="false">
      <c r="A4" s="3" t="s">
        <v>215</v>
      </c>
    </row>
    <row r="5" customFormat="false" ht="15" hidden="false" customHeight="false" outlineLevel="0" collapsed="false">
      <c r="A5" s="0" t="s">
        <v>216</v>
      </c>
      <c r="B5" s="30" t="n">
        <f aca="false">MIN(INDEX(Liq,1,11):INDEX(Liq,1,16))</f>
        <v>2073.20268369447</v>
      </c>
      <c r="C5" s="20"/>
    </row>
    <row r="6" customFormat="false" ht="15" hidden="false" customHeight="false" outlineLevel="0" collapsed="false">
      <c r="A6" s="0" t="s">
        <v>217</v>
      </c>
      <c r="B6" s="30" t="n">
        <f aca="false">MIN(INDEX(Liq,1,11):INDEX(Liq,1,20))</f>
        <v>-13352.4239141392</v>
      </c>
      <c r="C6" s="20"/>
    </row>
    <row r="7" customFormat="false" ht="15" hidden="false" customHeight="false" outlineLevel="0" collapsed="false">
      <c r="A7" s="0" t="s">
        <v>218</v>
      </c>
      <c r="B7" s="30" t="n">
        <f aca="false">MAX(0,MinCash-FU_Min27)</f>
        <v>0</v>
      </c>
      <c r="C7" s="20"/>
    </row>
    <row r="8" customFormat="false" ht="15" hidden="false" customHeight="false" outlineLevel="0" collapsed="false">
      <c r="A8" s="0" t="s">
        <v>219</v>
      </c>
      <c r="B8" s="30" t="n">
        <f aca="false">MAX(0,MinCash-FU_Min28)</f>
        <v>15352.4239141392</v>
      </c>
      <c r="C8" s="20"/>
    </row>
    <row r="9" customFormat="false" ht="15" hidden="false" customHeight="false" outlineLevel="0" collapsed="false">
      <c r="A9" s="0" t="s">
        <v>220</v>
      </c>
      <c r="B9" s="22" t="n">
        <v>1</v>
      </c>
      <c r="C9" s="20"/>
    </row>
    <row r="10" customFormat="false" ht="15" hidden="false" customHeight="false" outlineLevel="0" collapsed="false">
      <c r="A10" s="0" t="s">
        <v>221</v>
      </c>
      <c r="B10" s="30" t="n">
        <f aca="false">IF(FU_TgtSel=2,FU_Gap28,FU_Gap27)</f>
        <v>0</v>
      </c>
      <c r="C10" s="20"/>
    </row>
    <row r="11" customFormat="false" ht="15" hidden="false" customHeight="false" outlineLevel="0" collapsed="false">
      <c r="A11" s="0" t="s">
        <v>222</v>
      </c>
      <c r="B11" s="24" t="n">
        <f aca="false">V_PS</f>
        <v>0.01</v>
      </c>
      <c r="C11" s="20"/>
    </row>
    <row r="12" customFormat="false" ht="15" hidden="false" customHeight="false" outlineLevel="0" collapsed="false">
      <c r="A12" s="0" t="s">
        <v>223</v>
      </c>
      <c r="B12" s="31" t="n">
        <f aca="false">IFERROR(V_EQ/V_PS,0)</f>
        <v>-925362.45370439</v>
      </c>
      <c r="C12" s="20"/>
    </row>
    <row r="14" customFormat="false" ht="15" hidden="false" customHeight="false" outlineLevel="0" collapsed="false">
      <c r="A14" s="3" t="s">
        <v>224</v>
      </c>
    </row>
    <row r="15" customFormat="false" ht="15" hidden="false" customHeight="false" outlineLevel="0" collapsed="false">
      <c r="A15" s="0" t="s">
        <v>225</v>
      </c>
      <c r="B15" s="24" t="n">
        <f aca="false">ATM_Rem</f>
        <v>12.270507</v>
      </c>
      <c r="C15" s="20"/>
    </row>
    <row r="16" customFormat="false" ht="15" hidden="false" customHeight="false" outlineLevel="0" collapsed="false">
      <c r="A16" s="0" t="s">
        <v>226</v>
      </c>
      <c r="B16" s="24" t="n">
        <f aca="false">SharePx*(1-FU_ATMd)</f>
        <v>237.9538</v>
      </c>
      <c r="C16" s="20"/>
    </row>
    <row r="17" customFormat="false" ht="15" hidden="false" customHeight="false" outlineLevel="0" collapsed="false">
      <c r="A17" s="0" t="s">
        <v>227</v>
      </c>
      <c r="B17" s="32" t="n">
        <v>0.02</v>
      </c>
      <c r="C17" s="20"/>
    </row>
    <row r="18" customFormat="false" ht="15" hidden="false" customHeight="false" outlineLevel="0" collapsed="false">
      <c r="A18" s="0" t="s">
        <v>228</v>
      </c>
      <c r="B18" s="33" t="n">
        <v>1500</v>
      </c>
      <c r="C18" s="20" t="s">
        <v>229</v>
      </c>
    </row>
    <row r="19" customFormat="false" ht="15" hidden="false" customHeight="false" outlineLevel="0" collapsed="false">
      <c r="A19" s="0" t="s">
        <v>230</v>
      </c>
      <c r="B19" s="32" t="n">
        <v>0</v>
      </c>
      <c r="C19" s="20"/>
    </row>
    <row r="20" customFormat="false" ht="15" hidden="false" customHeight="false" outlineLevel="0" collapsed="false">
      <c r="A20" s="0" t="s">
        <v>231</v>
      </c>
      <c r="B20" s="34" t="n">
        <v>0.5</v>
      </c>
      <c r="C20" s="20"/>
    </row>
    <row r="21" customFormat="false" ht="15" hidden="false" customHeight="false" outlineLevel="0" collapsed="false">
      <c r="A21" s="0" t="s">
        <v>232</v>
      </c>
      <c r="B21" s="30" t="n">
        <f aca="false">INDEX(NBV_H,1,14)+INDEX(NBV_B,1,14)+INDEX(NBV_N,1,14)</f>
        <v>26559.023</v>
      </c>
      <c r="C21" s="20"/>
    </row>
    <row r="22" customFormat="false" ht="15" hidden="false" customHeight="false" outlineLevel="0" collapsed="false">
      <c r="A22" s="0" t="s">
        <v>233</v>
      </c>
      <c r="B22" s="30" t="n">
        <f aca="false">MIN(FU_LTV*FU_NBV,FU_ABSCap)</f>
        <v>5000</v>
      </c>
      <c r="C22" s="20"/>
    </row>
    <row r="23" customFormat="false" ht="15" hidden="false" customHeight="false" outlineLevel="0" collapsed="false">
      <c r="A23" s="0" t="s">
        <v>234</v>
      </c>
      <c r="B23" s="33" t="n">
        <v>5000</v>
      </c>
      <c r="C23" s="20"/>
    </row>
    <row r="24" customFormat="false" ht="15" hidden="false" customHeight="false" outlineLevel="0" collapsed="false">
      <c r="A24" s="0" t="s">
        <v>235</v>
      </c>
      <c r="B24" s="32" t="n">
        <v>0.09</v>
      </c>
      <c r="C24" s="20" t="s">
        <v>236</v>
      </c>
    </row>
    <row r="25" customFormat="false" ht="15" hidden="false" customHeight="false" outlineLevel="0" collapsed="false">
      <c r="A25" s="0" t="s">
        <v>237</v>
      </c>
      <c r="B25" s="33" t="n">
        <v>3000</v>
      </c>
      <c r="C25" s="20"/>
    </row>
    <row r="26" customFormat="false" ht="15" hidden="false" customHeight="false" outlineLevel="0" collapsed="false">
      <c r="A26" s="0" t="s">
        <v>238</v>
      </c>
      <c r="B26" s="34" t="n">
        <v>0.35</v>
      </c>
      <c r="C26" s="20"/>
    </row>
    <row r="27" customFormat="false" ht="15" hidden="false" customHeight="false" outlineLevel="0" collapsed="false">
      <c r="A27" s="0" t="s">
        <v>239</v>
      </c>
      <c r="B27" s="24" t="n">
        <f aca="false">SharePx*(1+FU_CVPrem)</f>
        <v>327.7935</v>
      </c>
      <c r="C27" s="20"/>
    </row>
    <row r="29" customFormat="false" ht="15" hidden="false" customHeight="false" outlineLevel="0" collapsed="false">
      <c r="A29" s="3" t="s">
        <v>240</v>
      </c>
      <c r="B29" s="3" t="s">
        <v>241</v>
      </c>
      <c r="C29" s="3" t="s">
        <v>242</v>
      </c>
      <c r="D29" s="3" t="s">
        <v>243</v>
      </c>
      <c r="E29" s="3" t="s">
        <v>41</v>
      </c>
      <c r="F29" s="3" t="s">
        <v>244</v>
      </c>
    </row>
    <row r="30" customFormat="false" ht="15" hidden="false" customHeight="false" outlineLevel="0" collapsed="false">
      <c r="A30" s="0" t="s">
        <v>245</v>
      </c>
      <c r="B30" s="29" t="n">
        <f aca="false">FU_ATMsh*FU_ATMpx</f>
        <v>2919.8137685766</v>
      </c>
      <c r="C30" s="24" t="n">
        <f aca="false">FU_ATMsh</f>
        <v>12.270507</v>
      </c>
      <c r="D30" s="24" t="n">
        <f aca="false">(V_EQ+FU_ATMsh*FU_ATMpx)/(FU_N+FU_ATMsh)</f>
        <v>0.00684477172369696</v>
      </c>
      <c r="E30" s="35" t="n">
        <f aca="false">D30-FU_V</f>
        <v>-0.00315522827630304</v>
      </c>
      <c r="F30" s="27" t="n">
        <f aca="false">IFERROR(C30/FU_N,0)</f>
        <v>-1.32602170650851E-005</v>
      </c>
    </row>
    <row r="31" customFormat="false" ht="15" hidden="false" customHeight="false" outlineLevel="0" collapsed="false">
      <c r="A31" s="0" t="s">
        <v>246</v>
      </c>
      <c r="B31" s="29" t="n">
        <f aca="false">FU_PreAmt</f>
        <v>1500</v>
      </c>
      <c r="C31" s="24" t="n">
        <f aca="false">0</f>
        <v>0</v>
      </c>
      <c r="D31" s="24" t="n">
        <f aca="false">FU_V-FU_PreAmt*FU_PreCost/FU_N</f>
        <v>0.01</v>
      </c>
      <c r="E31" s="35" t="n">
        <f aca="false">D31-FU_V</f>
        <v>0</v>
      </c>
      <c r="F31" s="27" t="n">
        <f aca="false">IFERROR(C31/FU_N,0)</f>
        <v>-0</v>
      </c>
    </row>
    <row r="32" customFormat="false" ht="15" hidden="false" customHeight="false" outlineLevel="0" collapsed="false">
      <c r="A32" s="0" t="s">
        <v>247</v>
      </c>
      <c r="B32" s="29" t="n">
        <f aca="false">FU_ABSMax</f>
        <v>5000</v>
      </c>
      <c r="C32" s="24" t="n">
        <f aca="false">0</f>
        <v>0</v>
      </c>
      <c r="D32" s="24" t="n">
        <f aca="false">FU_V</f>
        <v>0.01</v>
      </c>
      <c r="E32" s="35" t="n">
        <f aca="false">D32-FU_V</f>
        <v>0</v>
      </c>
      <c r="F32" s="27" t="n">
        <f aca="false">IFERROR(C32/FU_N,0)</f>
        <v>-0</v>
      </c>
    </row>
    <row r="33" customFormat="false" ht="15" hidden="false" customHeight="false" outlineLevel="0" collapsed="false">
      <c r="A33" s="0" t="s">
        <v>248</v>
      </c>
      <c r="B33" s="29" t="n">
        <f aca="false">FU_CVAmt</f>
        <v>3000</v>
      </c>
      <c r="C33" s="24" t="n">
        <f aca="false">IF(FU_V&gt;FU_CVPx,FU_CVAmt/FU_CVPx,0)</f>
        <v>0</v>
      </c>
      <c r="D33" s="24" t="n">
        <f aca="false">IF(FU_V&gt;FU_CVPx,(V_EQ+FU_CVAmt)/(FU_N+FU_CVAmt/FU_CVPx),FU_V)</f>
        <v>0.01</v>
      </c>
      <c r="E33" s="35" t="n">
        <f aca="false">D33-FU_V</f>
        <v>0</v>
      </c>
      <c r="F33" s="27" t="n">
        <f aca="false">IFERROR(C33/FU_N,0)</f>
        <v>-0</v>
      </c>
    </row>
    <row r="35" customFormat="false" ht="15" hidden="false" customHeight="false" outlineLevel="0" collapsed="false">
      <c r="A35" s="3" t="s">
        <v>249</v>
      </c>
    </row>
    <row r="36" customFormat="false" ht="15" hidden="false" customHeight="false" outlineLevel="0" collapsed="false">
      <c r="A36" s="0" t="s">
        <v>250</v>
      </c>
      <c r="B36" s="30" t="n">
        <f aca="false">MIN(FU_PreAmt,FU_Tgt)</f>
        <v>0</v>
      </c>
      <c r="C36" s="20"/>
    </row>
    <row r="37" customFormat="false" ht="15" hidden="false" customHeight="false" outlineLevel="0" collapsed="false">
      <c r="A37" s="0" t="s">
        <v>251</v>
      </c>
      <c r="B37" s="30" t="n">
        <f aca="false">MIN(FU_ATMsh*FU_ATMpx,FU_Tgt-FU_P1)</f>
        <v>0</v>
      </c>
      <c r="C37" s="20"/>
    </row>
    <row r="38" customFormat="false" ht="15" hidden="false" customHeight="false" outlineLevel="0" collapsed="false">
      <c r="A38" s="0" t="s">
        <v>252</v>
      </c>
      <c r="B38" s="30" t="n">
        <f aca="false">MIN(FU_ABSMax,FU_Tgt-FU_P1-FU_P2)</f>
        <v>0</v>
      </c>
      <c r="C38" s="20"/>
    </row>
    <row r="39" customFormat="false" ht="15" hidden="false" customHeight="false" outlineLevel="0" collapsed="false">
      <c r="A39" s="0" t="s">
        <v>253</v>
      </c>
      <c r="B39" s="30" t="n">
        <f aca="false">MIN(FU_CVAmt,FU_Tgt-FU_P1-FU_P2-FU_P3)</f>
        <v>0</v>
      </c>
      <c r="C39" s="20"/>
    </row>
    <row r="40" customFormat="false" ht="15" hidden="false" customHeight="false" outlineLevel="0" collapsed="false">
      <c r="A40" s="0" t="s">
        <v>254</v>
      </c>
      <c r="B40" s="30" t="n">
        <f aca="false">FU_Tgt-FU_P1-FU_P2-FU_P3-FU_P4</f>
        <v>0</v>
      </c>
      <c r="C40" s="20"/>
    </row>
    <row r="41" customFormat="false" ht="15" hidden="false" customHeight="false" outlineLevel="0" collapsed="false">
      <c r="A41" s="0" t="s">
        <v>255</v>
      </c>
      <c r="B41" s="24" t="n">
        <f aca="false">IFERROR(FU_P2/FU_ATMpx,0)+IF(FU_V&gt;FU_CVPx,FU_P4/FU_CVPx,0)</f>
        <v>0</v>
      </c>
      <c r="C41" s="20"/>
    </row>
    <row r="42" customFormat="false" ht="15" hidden="false" customHeight="false" outlineLevel="0" collapsed="false">
      <c r="A42" s="0" t="s">
        <v>256</v>
      </c>
      <c r="B42" s="24" t="n">
        <f aca="false">(V_EQ+FU_P2+IF(FU_V&gt;FU_CVPx,FU_P4,0)-FU_P1*FU_PreCost)/(FU_N+FU_Sh)</f>
        <v>0.01</v>
      </c>
      <c r="C42" s="20"/>
    </row>
    <row r="43" customFormat="false" ht="15" hidden="false" customHeight="false" outlineLevel="0" collapsed="false">
      <c r="A43" s="0" t="s">
        <v>257</v>
      </c>
      <c r="B43" s="35" t="n">
        <f aca="false">FU_VC-FU_V</f>
        <v>0</v>
      </c>
      <c r="C43" s="20"/>
    </row>
    <row r="44" customFormat="false" ht="15" hidden="false" customHeight="false" outlineLevel="0" collapsed="false">
      <c r="A44" s="0" t="s">
        <v>258</v>
      </c>
      <c r="B44" s="27" t="n">
        <f aca="false">IFERROR(FU_Sh/FU_N,0)</f>
        <v>-0</v>
      </c>
      <c r="C44" s="20"/>
    </row>
    <row r="45" customFormat="false" ht="15" hidden="false" customHeight="false" outlineLevel="0" collapsed="false">
      <c r="A45" s="0" t="s">
        <v>259</v>
      </c>
      <c r="B45" s="30" t="n">
        <f aca="false">FU_P3*FU_ABSr</f>
        <v>0</v>
      </c>
      <c r="C45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4"/>
    <col collapsed="false" customWidth="true" hidden="false" outlineLevel="0" max="6" min="6" style="0" width="4"/>
    <col collapsed="false" customWidth="true" hidden="false" outlineLevel="0" max="9" min="7" style="0" width="14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20" t="s">
        <v>261</v>
      </c>
    </row>
    <row r="4" customFormat="false" ht="15" hidden="false" customHeight="false" outlineLevel="0" collapsed="false">
      <c r="A4" s="36" t="s">
        <v>262</v>
      </c>
      <c r="B4" s="36" t="s">
        <v>263</v>
      </c>
      <c r="C4" s="36" t="s">
        <v>264</v>
      </c>
      <c r="D4" s="36" t="s">
        <v>265</v>
      </c>
      <c r="E4" s="36" t="s">
        <v>266</v>
      </c>
    </row>
    <row r="5" customFormat="false" ht="15" hidden="false" customHeight="false" outlineLevel="0" collapsed="false">
      <c r="A5" s="0" t="s">
        <v>267</v>
      </c>
      <c r="B5" s="37" t="n">
        <f aca="false">MATCH(EDATE(ValDate,0),Q_End,1)</f>
        <v>11</v>
      </c>
      <c r="C5" s="37" t="n">
        <f aca="false">MATCH(EDATE(ValDate,6),Q_End,1)</f>
        <v>13</v>
      </c>
      <c r="D5" s="37" t="n">
        <f aca="false">MATCH(EDATE(ValDate,12),Q_End,1)</f>
        <v>15</v>
      </c>
      <c r="E5" s="37" t="n">
        <f aca="false">MATCH(EDATE(ValDate,36),Q_End,1)</f>
        <v>23</v>
      </c>
    </row>
    <row r="6" customFormat="false" ht="15" hidden="false" customHeight="false" outlineLevel="0" collapsed="false">
      <c r="A6" s="0" t="s">
        <v>268</v>
      </c>
      <c r="B6" s="4" t="str">
        <f aca="false">INDEX(Q_Lab,1,B5)</f>
        <v>Q3'26</v>
      </c>
      <c r="C6" s="4" t="str">
        <f aca="false">INDEX(Q_Lab,1,C5)</f>
        <v>Q1'27</v>
      </c>
      <c r="D6" s="4" t="str">
        <f aca="false">INDEX(Q_Lab,1,D5)</f>
        <v>Q3'27</v>
      </c>
      <c r="E6" s="4" t="str">
        <f aca="false">INDEX(Q_Lab,1,E5)</f>
        <v>Q3'29</v>
      </c>
    </row>
    <row r="7" customFormat="false" ht="15" hidden="false" customHeight="false" outlineLevel="0" collapsed="false">
      <c r="A7" s="0" t="s">
        <v>269</v>
      </c>
      <c r="B7" s="0" t="n">
        <v>0</v>
      </c>
      <c r="C7" s="0" t="n">
        <v>6</v>
      </c>
      <c r="D7" s="0" t="n">
        <v>12</v>
      </c>
      <c r="E7" s="0" t="n">
        <v>36</v>
      </c>
    </row>
    <row r="8" customFormat="false" ht="15" hidden="false" customHeight="false" outlineLevel="0" collapsed="false">
      <c r="A8" s="0" t="s">
        <v>270</v>
      </c>
      <c r="B8" s="29" t="n">
        <f aca="false">INDEX(PL_Rev,1,B$5)</f>
        <v>653.683373262198</v>
      </c>
      <c r="C8" s="29" t="n">
        <f aca="false">INDEX(PL_Rev,1,C$5)</f>
        <v>1059.38833607719</v>
      </c>
      <c r="D8" s="29" t="n">
        <f aca="false">INDEX(PL_Rev,1,D$5)</f>
        <v>2170.78198117659</v>
      </c>
      <c r="E8" s="29" t="n">
        <f aca="false">INDEX(PL_Rev,1,E$5)</f>
        <v>8123.46618438278</v>
      </c>
    </row>
    <row r="9" customFormat="false" ht="15" hidden="false" customHeight="false" outlineLevel="0" collapsed="false">
      <c r="A9" s="0" t="s">
        <v>271</v>
      </c>
      <c r="B9" s="29" t="n">
        <f aca="false">SUMPRODUCT(PL_Rev*(Q_Idx&gt;B$5-4)*(Q_Idx&lt;=B$5))</f>
        <v>1862.6833732622</v>
      </c>
      <c r="C9" s="29" t="n">
        <f aca="false">SUMPRODUCT(PL_Rev*(Q_Idx&gt;C$5-4)*(Q_Idx&lt;=C$5))</f>
        <v>3083.79667269087</v>
      </c>
      <c r="D9" s="29" t="n">
        <f aca="false">SUMPRODUCT(PL_Rev*(Q_Idx&gt;D$5-4)*(Q_Idx&lt;=D$5))</f>
        <v>5575.87146097161</v>
      </c>
      <c r="E9" s="29" t="n">
        <f aca="false">SUMPRODUCT(PL_Rev*(Q_Idx&gt;E$5-4)*(Q_Idx&lt;=E$5))</f>
        <v>27732.4633375594</v>
      </c>
    </row>
    <row r="10" customFormat="false" ht="15" hidden="false" customHeight="false" outlineLevel="0" collapsed="false">
      <c r="A10" s="0" t="s">
        <v>272</v>
      </c>
      <c r="B10" s="30" t="n">
        <f aca="false">INDEX(PL_EBITDA,1,B$5)</f>
        <v>273.751676063435</v>
      </c>
      <c r="C10" s="30" t="n">
        <f aca="false">INDEX(PL_EBITDA,1,C$5)</f>
        <v>547.369027899749</v>
      </c>
      <c r="D10" s="30" t="n">
        <f aca="false">INDEX(PL_EBITDA,1,D$5)</f>
        <v>1159.86951283972</v>
      </c>
      <c r="E10" s="30" t="n">
        <f aca="false">INDEX(PL_EBITDA,1,E$5)</f>
        <v>5460.4878356624</v>
      </c>
    </row>
    <row r="11" customFormat="false" ht="15" hidden="false" customHeight="false" outlineLevel="0" collapsed="false">
      <c r="A11" s="0" t="s">
        <v>273</v>
      </c>
      <c r="B11" s="30" t="n">
        <f aca="false">SUMPRODUCT(PL_EBITDA*(Q_Idx&gt;B$5-4)*(Q_Idx&lt;=B$5))</f>
        <v>654.451676063435</v>
      </c>
      <c r="C11" s="30" t="n">
        <f aca="false">SUMPRODUCT(PL_EBITDA*(Q_Idx&gt;C$5-4)*(Q_Idx&lt;=C$5))</f>
        <v>1386.38894789093</v>
      </c>
      <c r="D11" s="30" t="n">
        <f aca="false">SUMPRODUCT(PL_EBITDA*(Q_Idx&gt;D$5-4)*(Q_Idx&lt;=D$5))</f>
        <v>2849.95137299425</v>
      </c>
      <c r="E11" s="30" t="n">
        <f aca="false">SUMPRODUCT(PL_EBITDA*(Q_Idx&gt;E$5-4)*(Q_Idx&lt;=E$5))</f>
        <v>18351.1873416539</v>
      </c>
    </row>
    <row r="12" customFormat="false" ht="15" hidden="false" customHeight="false" outlineLevel="0" collapsed="false">
      <c r="A12" s="0" t="s">
        <v>274</v>
      </c>
      <c r="B12" s="30" t="n">
        <f aca="false">SUMPRODUCT(PL_EBIT*(Q_Idx&gt;B$5-4)*(Q_Idx&lt;=B$5))</f>
        <v>-877.882258867053</v>
      </c>
      <c r="C12" s="30" t="n">
        <f aca="false">SUMPRODUCT(PL_EBIT*(Q_Idx&gt;C$5-4)*(Q_Idx&lt;=C$5))</f>
        <v>-1069.65412338302</v>
      </c>
      <c r="D12" s="30" t="n">
        <f aca="false">SUMPRODUCT(PL_EBIT*(Q_Idx&gt;D$5-4)*(Q_Idx&lt;=D$5))</f>
        <v>-1068.71574957778</v>
      </c>
      <c r="E12" s="30" t="n">
        <f aca="false">SUMPRODUCT(PL_EBIT*(Q_Idx&gt;E$5-4)*(Q_Idx&lt;=E$5))</f>
        <v>2247.92605898948</v>
      </c>
    </row>
    <row r="13" customFormat="false" ht="15" hidden="false" customHeight="false" outlineLevel="0" collapsed="false">
      <c r="A13" s="0" t="s">
        <v>275</v>
      </c>
      <c r="B13" s="30" t="n">
        <f aca="false">SUMPRODUCT(CF_FCF*(Q_Idx&gt;B$5-4)*(Q_Idx&lt;=B$5))</f>
        <v>-2123.79989765181</v>
      </c>
      <c r="C13" s="30" t="n">
        <f aca="false">SUMPRODUCT(CF_FCF*(Q_Idx&gt;C$5-4)*(Q_Idx&lt;=C$5))</f>
        <v>-12090.2524629455</v>
      </c>
      <c r="D13" s="30" t="n">
        <f aca="false">SUMPRODUCT(CF_FCF*(Q_Idx&gt;D$5-4)*(Q_Idx&lt;=D$5))</f>
        <v>-22445.5275120583</v>
      </c>
      <c r="E13" s="30" t="n">
        <f aca="false">SUMPRODUCT(CF_FCF*(Q_Idx&gt;E$5-4)*(Q_Idx&lt;=E$5))</f>
        <v>-24513.3778062784</v>
      </c>
    </row>
    <row r="14" customFormat="false" ht="15" hidden="false" customHeight="false" outlineLevel="0" collapsed="false">
      <c r="A14" s="0" t="s">
        <v>276</v>
      </c>
      <c r="B14" s="30" t="n">
        <f aca="false">INDEX(CF_NetDebt,1,B$5)</f>
        <v>2021.7601076938</v>
      </c>
      <c r="C14" s="30" t="n">
        <f aca="false">INDEX(CF_NetDebt,1,C$5)</f>
        <v>9319.79625595026</v>
      </c>
      <c r="D14" s="30" t="n">
        <f aca="false">INDEX(CF_NetDebt,1,D$5)</f>
        <v>22209.8335411217</v>
      </c>
      <c r="E14" s="30" t="n">
        <f aca="false">INDEX(CF_NetDebt,1,E$5)</f>
        <v>46068.496864578</v>
      </c>
    </row>
    <row r="15" customFormat="false" ht="15" hidden="false" customHeight="false" outlineLevel="0" collapsed="false">
      <c r="A15" s="0" t="s">
        <v>277</v>
      </c>
      <c r="B15" s="31" t="n">
        <f aca="false">INDEX(Sh_Dil,1,B$5)</f>
        <v>314.925245</v>
      </c>
      <c r="C15" s="31" t="n">
        <f aca="false">INDEX(Sh_Dil,1,C$5)</f>
        <v>327.195752</v>
      </c>
      <c r="D15" s="31" t="n">
        <f aca="false">INDEX(Sh_Dil,1,D$5)</f>
        <v>327.195752</v>
      </c>
      <c r="E15" s="31" t="n">
        <f aca="false">INDEX(Sh_Dil,1,E$5)</f>
        <v>411.983132704255</v>
      </c>
    </row>
    <row r="16" customFormat="false" ht="15" hidden="false" customHeight="false" outlineLevel="0" collapsed="false">
      <c r="A16" s="0" t="s">
        <v>278</v>
      </c>
      <c r="B16" s="29" t="n">
        <f aca="false">INDEX(MW_Act,1,B$5)</f>
        <v>173</v>
      </c>
      <c r="C16" s="29" t="n">
        <f aca="false">INDEX(MW_Act,1,C$5)</f>
        <v>292.4</v>
      </c>
      <c r="D16" s="29" t="n">
        <f aca="false">INDEX(MW_Act,1,D$5)</f>
        <v>545.1</v>
      </c>
      <c r="E16" s="29" t="n">
        <f aca="false">INDEX(MW_Act,1,E$5)</f>
        <v>1875</v>
      </c>
    </row>
    <row r="17" customFormat="false" ht="15" hidden="false" customHeight="false" outlineLevel="0" collapsed="false">
      <c r="A17" s="0" t="s">
        <v>279</v>
      </c>
      <c r="B17" s="29" t="n">
        <f aca="false">INDEX(MW_En,1,B$5)</f>
        <v>207.5</v>
      </c>
      <c r="C17" s="29" t="n">
        <f aca="false">INDEX(MW_En,1,C$5)</f>
        <v>416.4</v>
      </c>
      <c r="D17" s="29" t="n">
        <f aca="false">INDEX(MW_En,1,D$5)</f>
        <v>684.5</v>
      </c>
      <c r="E17" s="29" t="n">
        <f aca="false">INDEX(MW_En,1,E$5)</f>
        <v>1875</v>
      </c>
    </row>
    <row r="18" customFormat="false" ht="15" hidden="false" customHeight="false" outlineLevel="0" collapsed="false">
      <c r="A18" s="0" t="s">
        <v>280</v>
      </c>
      <c r="B18" s="24" t="n">
        <f aca="false">V_PS*(1+Ke)^(B$7/12)</f>
        <v>0.01</v>
      </c>
      <c r="C18" s="24" t="n">
        <f aca="false">V_PS*(1+Ke)^(C$7/12)</f>
        <v>0.0106301458127347</v>
      </c>
      <c r="D18" s="24" t="n">
        <f aca="false">V_PS*(1+Ke)^(D$7/12)</f>
        <v>0.0113</v>
      </c>
      <c r="E18" s="24" t="n">
        <f aca="false">V_PS*(1+Ke)^(E$7/12)</f>
        <v>0.01442897</v>
      </c>
    </row>
    <row r="19" customFormat="false" ht="15" hidden="false" customHeight="false" outlineLevel="0" collapsed="false">
      <c r="A19" s="0" t="s">
        <v>281</v>
      </c>
      <c r="B19" s="24" t="n">
        <f aca="false">V_PSB*(1+Ke)^(B$7/12)</f>
        <v>-29.9769670012763</v>
      </c>
      <c r="C19" s="24" t="n">
        <f aca="false">V_PSB*(1+Ke)^(C$7/12)</f>
        <v>-31.8659530247102</v>
      </c>
      <c r="D19" s="24" t="n">
        <f aca="false">V_PSB*(1+Ke)^(D$7/12)</f>
        <v>-33.8739727114422</v>
      </c>
      <c r="E19" s="24" t="n">
        <f aca="false">V_PSB*(1+Ke)^(E$7/12)</f>
        <v>-43.2536757552405</v>
      </c>
    </row>
    <row r="21" customFormat="false" ht="15" hidden="false" customHeight="false" outlineLevel="0" collapsed="false">
      <c r="A21" s="3" t="s">
        <v>282</v>
      </c>
    </row>
    <row r="22" customFormat="false" ht="15" hidden="false" customHeight="false" outlineLevel="0" collapsed="false">
      <c r="A22" s="0" t="s">
        <v>6</v>
      </c>
      <c r="B22" s="5" t="n">
        <f aca="false">V_EV</f>
        <v>-183.737139392088</v>
      </c>
    </row>
    <row r="23" customFormat="false" ht="15" hidden="false" customHeight="false" outlineLevel="0" collapsed="false">
      <c r="A23" s="0" t="s">
        <v>283</v>
      </c>
      <c r="B23" s="5" t="n">
        <f aca="false">V_MKTEV</f>
        <v>74654.7189</v>
      </c>
    </row>
    <row r="24" customFormat="false" ht="15" hidden="false" customHeight="false" outlineLevel="0" collapsed="false">
      <c r="A24" s="0" t="s">
        <v>284</v>
      </c>
      <c r="B24" s="6" t="n">
        <f aca="false">V_PS</f>
        <v>0.01</v>
      </c>
    </row>
    <row r="25" customFormat="false" ht="15" hidden="false" customHeight="false" outlineLevel="0" collapsed="false">
      <c r="A25" s="0" t="s">
        <v>8</v>
      </c>
      <c r="B25" s="6" t="n">
        <f aca="false">V_PT</f>
        <v>0</v>
      </c>
    </row>
    <row r="26" customFormat="false" ht="15" hidden="false" customHeight="false" outlineLevel="0" collapsed="false">
      <c r="A26" s="0" t="s">
        <v>285</v>
      </c>
      <c r="B26" s="38" t="n">
        <f aca="false">V_UP</f>
        <v>-1</v>
      </c>
    </row>
    <row r="27" customFormat="false" ht="15" hidden="false" customHeight="false" outlineLevel="0" collapsed="false">
      <c r="A27" s="0" t="s">
        <v>286</v>
      </c>
      <c r="B27" s="6" t="n">
        <f aca="false">SharePx</f>
        <v>242.81</v>
      </c>
    </row>
    <row r="28" customFormat="false" ht="15" hidden="false" customHeight="false" outlineLevel="0" collapsed="false">
      <c r="A28" s="0" t="s">
        <v>287</v>
      </c>
      <c r="B28" s="38" t="n">
        <f aca="false">OffBSWt</f>
        <v>0.5</v>
      </c>
    </row>
    <row r="29" customFormat="false" ht="15" hidden="false" customHeight="false" outlineLevel="0" collapsed="false">
      <c r="A29" s="0" t="s">
        <v>5</v>
      </c>
      <c r="B29" s="4" t="str">
        <f aca="false">CHOOSE(Scen,"BULL","BASE","BEAR")</f>
        <v>BASE</v>
      </c>
    </row>
    <row r="32" customFormat="false" ht="15" hidden="false" customHeight="false" outlineLevel="0" collapsed="false">
      <c r="A32" s="3" t="s">
        <v>288</v>
      </c>
      <c r="B32" s="3" t="s">
        <v>289</v>
      </c>
      <c r="C32" s="3" t="s">
        <v>290</v>
      </c>
      <c r="D32" s="3" t="s">
        <v>291</v>
      </c>
    </row>
    <row r="33" customFormat="false" ht="15" hidden="false" customHeight="false" outlineLevel="0" collapsed="false">
      <c r="A33" s="0" t="s">
        <v>292</v>
      </c>
      <c r="B33" s="29" t="n">
        <f aca="false">SUMIF(Q_Yr,2026,PL_Rev)</f>
        <v>2423.40833661368</v>
      </c>
      <c r="C33" s="29" t="n">
        <f aca="false">SUMIF(Q_Yr,2027,PL_Rev)</f>
        <v>7621.71734378923</v>
      </c>
      <c r="D33" s="29" t="n">
        <f aca="false">SUMIF(Q_Yr,2028,PL_Rev)</f>
        <v>19606.894648061</v>
      </c>
    </row>
    <row r="34" customFormat="false" ht="15" hidden="false" customHeight="false" outlineLevel="0" collapsed="false">
      <c r="A34" s="0" t="s">
        <v>293</v>
      </c>
      <c r="B34" s="29" t="n">
        <f aca="false">INDEX(Cons_Rev,1,3)</f>
        <v>3340</v>
      </c>
      <c r="C34" s="29" t="n">
        <f aca="false">INDEX(Cons_Rev,1,4)</f>
        <v>12300</v>
      </c>
      <c r="D34" s="29" t="n">
        <f aca="false">INDEX(Cons_Rev,1,5)</f>
        <v>23000</v>
      </c>
    </row>
    <row r="35" customFormat="false" ht="15" hidden="false" customHeight="false" outlineLevel="0" collapsed="false">
      <c r="A35" s="0" t="s">
        <v>294</v>
      </c>
      <c r="B35" s="25" t="n">
        <f aca="false">IF(N(B34)=0,"n/a",B33/B34-1)</f>
        <v>-0.274428641732431</v>
      </c>
      <c r="C35" s="25" t="n">
        <f aca="false">IF(N(C34)=0,"n/a",C33/C34-1)</f>
        <v>-0.38034818343177</v>
      </c>
      <c r="D35" s="25" t="n">
        <f aca="false">IF(N(D34)=0,"n/a",D33/D34-1)</f>
        <v>-0.147526319649521</v>
      </c>
    </row>
    <row r="36" customFormat="false" ht="15" hidden="false" customHeight="false" outlineLevel="0" collapsed="false">
      <c r="A36" s="0" t="s">
        <v>295</v>
      </c>
      <c r="B36" s="29" t="n">
        <f aca="false">SUMIF(Q_Yr,2026,PL_EBITDA)</f>
        <v>968.519919991184</v>
      </c>
      <c r="C36" s="29" t="n">
        <f aca="false">SUMIF(Q_Yr,2027,PL_EBITDA)</f>
        <v>4078.97255313604</v>
      </c>
      <c r="D36" s="29" t="n">
        <f aca="false">SUMIF(Q_Yr,2028,PL_EBITDA)</f>
        <v>12202.2600162747</v>
      </c>
    </row>
    <row r="37" customFormat="false" ht="15" hidden="false" customHeight="false" outlineLevel="0" collapsed="false">
      <c r="A37" s="0" t="s">
        <v>296</v>
      </c>
      <c r="B37" s="29" t="n">
        <f aca="false">INDEX(Cons_EB,1,3)</f>
        <v>1390</v>
      </c>
      <c r="C37" s="29" t="n">
        <f aca="false">INDEX(Cons_EB,1,4)</f>
        <v>6730</v>
      </c>
      <c r="D37" s="29" t="n">
        <f aca="false">INDEX(Cons_EB,1,5)</f>
        <v>13980</v>
      </c>
    </row>
    <row r="38" customFormat="false" ht="15" hidden="false" customHeight="false" outlineLevel="0" collapsed="false">
      <c r="A38" s="0" t="s">
        <v>297</v>
      </c>
      <c r="B38" s="25" t="n">
        <f aca="false">IF(N(B37)=0,"n/a",B36/B37-1)</f>
        <v>-0.303223079143033</v>
      </c>
      <c r="C38" s="25" t="n">
        <f aca="false">IF(N(C37)=0,"n/a",C36/C37-1)</f>
        <v>-0.393911953471614</v>
      </c>
      <c r="D38" s="25" t="n">
        <f aca="false">IF(N(D37)=0,"n/a",D36/D37-1)</f>
        <v>-0.127163088964612</v>
      </c>
    </row>
    <row r="39" customFormat="false" ht="15" hidden="false" customHeight="false" outlineLevel="0" collapsed="false">
      <c r="A39" s="0" t="s">
        <v>298</v>
      </c>
      <c r="B39" s="29" t="n">
        <f aca="false">SUMIF(Q_Yr,2026,Capex)</f>
        <v>16850.3421667323</v>
      </c>
      <c r="C39" s="29" t="n">
        <f aca="false">SUMIF(Q_Yr,2027,Capex)</f>
        <v>32170.7343468758</v>
      </c>
      <c r="D39" s="29" t="n">
        <f aca="false">SUMIF(Q_Yr,2028,Capex)</f>
        <v>29456.0378929612</v>
      </c>
    </row>
    <row r="40" customFormat="false" ht="15" hidden="false" customHeight="false" outlineLevel="0" collapsed="false">
      <c r="A40" s="0" t="s">
        <v>299</v>
      </c>
      <c r="B40" s="29" t="n">
        <f aca="false">INDEX(Cons_Cx,1,3)</f>
        <v>0</v>
      </c>
      <c r="C40" s="29" t="n">
        <f aca="false">INDEX(Cons_Cx,1,4)</f>
        <v>29100</v>
      </c>
      <c r="D40" s="29" t="n">
        <f aca="false">INDEX(Cons_Cx,1,5)</f>
        <v>0</v>
      </c>
    </row>
    <row r="41" customFormat="false" ht="15" hidden="false" customHeight="false" outlineLevel="0" collapsed="false">
      <c r="A41" s="0" t="s">
        <v>300</v>
      </c>
      <c r="B41" s="25" t="str">
        <f aca="false">IF(N(B40)=0,"n/a",B39/B40-1)</f>
        <v>n/a</v>
      </c>
      <c r="C41" s="25" t="n">
        <f aca="false">IF(N(C40)=0,"n/a",C39/C40-1)</f>
        <v>0.105523517074769</v>
      </c>
      <c r="D41" s="25" t="str">
        <f aca="false">IF(N(D40)=0,"n/a",D39/D40-1)</f>
        <v>n/a</v>
      </c>
    </row>
    <row r="43" customFormat="false" ht="15" hidden="false" customHeight="false" outlineLevel="0" collapsed="false">
      <c r="A43" s="3" t="s">
        <v>301</v>
      </c>
      <c r="B43" s="3" t="s">
        <v>302</v>
      </c>
      <c r="C43" s="3" t="s">
        <v>50</v>
      </c>
    </row>
    <row r="44" customFormat="false" ht="15" hidden="false" customHeight="false" outlineLevel="0" collapsed="false">
      <c r="A44" s="0" t="s">
        <v>303</v>
      </c>
      <c r="B44" s="29" t="n">
        <f aca="false">INDEX(MW_En,1,12)</f>
        <v>292.4</v>
      </c>
      <c r="C44" s="29" t="n">
        <f aca="false">INDEX(MW_En,1,16)</f>
        <v>950</v>
      </c>
    </row>
    <row r="45" customFormat="false" ht="15" hidden="false" customHeight="false" outlineLevel="0" collapsed="false">
      <c r="A45" s="0" t="s">
        <v>304</v>
      </c>
      <c r="B45" s="29" t="n">
        <f aca="false">INDEX(MW_Gd,1,12)</f>
        <v>900</v>
      </c>
      <c r="C45" s="29" t="n">
        <f aca="false">INDEX(MW_Gd,1,16)</f>
        <v>1800</v>
      </c>
    </row>
    <row r="46" customFormat="false" ht="15" hidden="false" customHeight="false" outlineLevel="0" collapsed="false">
      <c r="A46" s="0" t="s">
        <v>305</v>
      </c>
      <c r="B46" s="29" t="n">
        <f aca="false">INDEX(MW_Contr,1,12)</f>
        <v>4000</v>
      </c>
      <c r="C46" s="29" t="n">
        <f aca="false">INDEX(MW_Contr,1,16)</f>
        <v>4000</v>
      </c>
    </row>
    <row r="47" customFormat="false" ht="15" hidden="false" customHeight="false" outlineLevel="0" collapsed="false">
      <c r="A47" s="0" t="s">
        <v>306</v>
      </c>
      <c r="B47" s="29" t="n">
        <f aca="false">INDEX(MW_Act,1,12)</f>
        <v>207.5</v>
      </c>
      <c r="C47" s="29" t="n">
        <f aca="false">INDEX(MW_Act,1,16)</f>
        <v>684.5</v>
      </c>
    </row>
    <row r="50" customFormat="false" ht="15" hidden="false" customHeight="false" outlineLevel="0" collapsed="false">
      <c r="A50" s="3" t="s">
        <v>307</v>
      </c>
    </row>
    <row r="51" customFormat="false" ht="15" hidden="false" customHeight="false" outlineLevel="0" collapsed="false">
      <c r="B51" s="3" t="s">
        <v>308</v>
      </c>
      <c r="C51" s="3" t="s">
        <v>309</v>
      </c>
      <c r="D51" s="3" t="s">
        <v>310</v>
      </c>
    </row>
    <row r="52" customFormat="false" ht="15" hidden="false" customHeight="false" outlineLevel="0" collapsed="false">
      <c r="A52" s="0" t="s">
        <v>311</v>
      </c>
      <c r="B52" s="39" t="n">
        <v>3988.80420552386</v>
      </c>
      <c r="C52" s="29" t="n">
        <f aca="false">Sk_Rev27Lo</f>
        <v>7000</v>
      </c>
      <c r="D52" s="25" t="n">
        <f aca="false">IFERROR(B52/C52-1,"")</f>
        <v>-0.430170827782306</v>
      </c>
    </row>
    <row r="53" customFormat="false" ht="15" hidden="false" customHeight="false" outlineLevel="0" collapsed="false">
      <c r="A53" s="0" t="s">
        <v>312</v>
      </c>
      <c r="B53" s="29" t="n">
        <f aca="false">SUMIF(Q_Yr,2027,PL_Rev)</f>
        <v>7621.71734378923</v>
      </c>
      <c r="C53" s="29" t="n">
        <f aca="false">Sk_Rev27Base</f>
        <v>9900</v>
      </c>
      <c r="D53" s="25" t="n">
        <f aca="false">IFERROR(B53/C53-1,"")</f>
        <v>-0.230129561233411</v>
      </c>
    </row>
    <row r="54" customFormat="false" ht="15" hidden="false" customHeight="false" outlineLevel="0" collapsed="false">
      <c r="A54" s="0" t="s">
        <v>313</v>
      </c>
      <c r="B54" s="39" t="n">
        <v>12743.5987324699</v>
      </c>
      <c r="C54" s="29" t="n">
        <f aca="false">Sk_Rev27Hi</f>
        <v>12900</v>
      </c>
      <c r="D54" s="25" t="n">
        <f aca="false">IFERROR(B54/C54-1,"")</f>
        <v>-0.0121241292658992</v>
      </c>
    </row>
    <row r="55" customFormat="false" ht="15" hidden="false" customHeight="false" outlineLevel="0" collapsed="false">
      <c r="A55" s="0" t="s">
        <v>314</v>
      </c>
      <c r="B55" s="39" t="n">
        <v>6370.20231587246</v>
      </c>
      <c r="C55" s="29" t="n">
        <f aca="false">Sk_Rev27St</f>
        <v>7600</v>
      </c>
      <c r="D55" s="25" t="n">
        <f aca="false">IFERROR(B55/C55-1,"")</f>
        <v>-0.161815484753624</v>
      </c>
    </row>
    <row r="56" customFormat="false" ht="15" hidden="false" customHeight="false" outlineLevel="0" collapsed="false">
      <c r="A56" s="0" t="s">
        <v>315</v>
      </c>
      <c r="B56" s="29" t="n">
        <f aca="false">SUMIF(Q_Yr,2028,PL_Rev)</f>
        <v>19606.894648061</v>
      </c>
      <c r="C56" s="29" t="n">
        <f aca="false">Sk_Rev28</f>
        <v>25300</v>
      </c>
      <c r="D56" s="25" t="n">
        <f aca="false">IFERROR(B56/C56-1,"")</f>
        <v>-0.22502392695411</v>
      </c>
    </row>
    <row r="57" customFormat="false" ht="15" hidden="false" customHeight="false" outlineLevel="0" collapsed="false">
      <c r="A57" s="0" t="s">
        <v>316</v>
      </c>
      <c r="B57" s="40" t="n">
        <f aca="false">V_EVEB27</f>
        <v>18.3023342097762</v>
      </c>
      <c r="C57" s="40" t="n">
        <f aca="false">Sk_EVEB27</f>
        <v>11.1</v>
      </c>
      <c r="D57" s="25" t="n">
        <f aca="false">IFERROR(B57/C57-1,"")</f>
        <v>0.648858937817679</v>
      </c>
    </row>
    <row r="58" customFormat="false" ht="15" hidden="false" customHeight="false" outlineLevel="0" collapsed="false">
      <c r="A58" s="0" t="s">
        <v>317</v>
      </c>
      <c r="B58" s="40" t="n">
        <f aca="false">CRWV_EVEB27</f>
        <v>4.8</v>
      </c>
      <c r="C58" s="40" t="n">
        <f aca="false">CRWV_EVEB27</f>
        <v>4.8</v>
      </c>
      <c r="D58" s="25" t="n">
        <f aca="false">IFERROR(B58/C58-1,"")</f>
        <v>0</v>
      </c>
    </row>
    <row r="60" customFormat="false" ht="15" hidden="false" customHeight="false" outlineLevel="0" collapsed="false">
      <c r="A60" s="3" t="s">
        <v>318</v>
      </c>
    </row>
    <row r="61" customFormat="false" ht="15" hidden="false" customHeight="false" outlineLevel="0" collapsed="false">
      <c r="A61" s="0" t="s">
        <v>319</v>
      </c>
      <c r="B61" s="29" t="n">
        <f aca="false">Liq_Start</f>
        <v>13792.1</v>
      </c>
    </row>
    <row r="62" customFormat="false" ht="15" hidden="false" customHeight="false" outlineLevel="0" collapsed="false">
      <c r="A62" s="0" t="s">
        <v>320</v>
      </c>
      <c r="B62" s="26" t="str">
        <f aca="false">Liq_NegQ</f>
        <v>Q1'28</v>
      </c>
    </row>
    <row r="63" customFormat="false" ht="15" hidden="false" customHeight="false" outlineLevel="0" collapsed="false">
      <c r="A63" s="0" t="s">
        <v>321</v>
      </c>
      <c r="B63" s="23" t="n">
        <f aca="false">INDEX(Liq,1,13)/1000</f>
        <v>11.0033362982463</v>
      </c>
      <c r="C63" s="23" t="n">
        <f aca="false">INDEX(Liq,1,14)/1000</f>
        <v>5.5153868477162</v>
      </c>
      <c r="D63" s="23" t="n">
        <f aca="false">INDEX(Liq,1,16)/1000</f>
        <v>2.07320268369447</v>
      </c>
    </row>
    <row r="65" customFormat="false" ht="15" hidden="false" customHeight="false" outlineLevel="0" collapsed="false">
      <c r="A65" s="8" t="s">
        <v>322</v>
      </c>
    </row>
    <row r="66" customFormat="false" ht="15" hidden="false" customHeight="false" outlineLevel="0" collapsed="false">
      <c r="B66" s="8" t="s">
        <v>323</v>
      </c>
      <c r="C66" s="8" t="s">
        <v>324</v>
      </c>
    </row>
    <row r="67" customFormat="false" ht="15" hidden="false" customHeight="false" outlineLevel="0" collapsed="false">
      <c r="A67" s="0" t="s">
        <v>9</v>
      </c>
      <c r="B67" s="0" t="s">
        <v>82</v>
      </c>
      <c r="C67" s="0" t="s">
        <v>325</v>
      </c>
    </row>
    <row r="68" customFormat="false" ht="15" hidden="false" customHeight="false" outlineLevel="0" collapsed="false">
      <c r="A68" s="0" t="s">
        <v>326</v>
      </c>
      <c r="B68" s="14" t="n">
        <v>2073.20268369447</v>
      </c>
      <c r="C68" s="14" t="n">
        <v>5168.0937052493</v>
      </c>
    </row>
    <row r="69" customFormat="false" ht="15" hidden="false" customHeight="false" outlineLevel="0" collapsed="false">
      <c r="A69" s="0" t="s">
        <v>327</v>
      </c>
      <c r="B69" s="39" t="n">
        <v>32170.7343468758</v>
      </c>
      <c r="C69" s="39" t="n">
        <v>29100</v>
      </c>
    </row>
    <row r="71" customFormat="false" ht="15" hidden="false" customHeight="false" outlineLevel="0" collapsed="false">
      <c r="A71" s="8" t="s">
        <v>328</v>
      </c>
    </row>
    <row r="72" customFormat="false" ht="15" hidden="false" customHeight="false" outlineLevel="0" collapsed="false">
      <c r="B72" s="8" t="s">
        <v>329</v>
      </c>
      <c r="C72" s="8" t="s">
        <v>330</v>
      </c>
      <c r="D72" s="8" t="s">
        <v>331</v>
      </c>
      <c r="E72" s="8" t="s">
        <v>332</v>
      </c>
      <c r="F72" s="8" t="s">
        <v>333</v>
      </c>
      <c r="G72" s="8" t="s">
        <v>334</v>
      </c>
    </row>
    <row r="73" customFormat="false" ht="15" hidden="false" customHeight="false" outlineLevel="0" collapsed="false">
      <c r="A73" s="0" t="s">
        <v>335</v>
      </c>
      <c r="B73" s="14" t="n">
        <v>190.63574527422</v>
      </c>
      <c r="C73" s="14" t="n">
        <v>135.35137914469</v>
      </c>
      <c r="D73" s="14" t="n">
        <v>98.4285286363011</v>
      </c>
      <c r="E73" s="14" t="n">
        <v>74.8056817635988</v>
      </c>
      <c r="F73" s="0" t="n">
        <v>-77</v>
      </c>
      <c r="G73" s="0" t="n">
        <v>-370</v>
      </c>
    </row>
    <row r="74" customFormat="false" ht="15" hidden="false" customHeight="false" outlineLevel="0" collapsed="false">
      <c r="A74" s="0" t="s">
        <v>336</v>
      </c>
      <c r="B74" s="14" t="n">
        <v>0</v>
      </c>
      <c r="C74" s="14" t="n">
        <v>0</v>
      </c>
      <c r="D74" s="14" t="n">
        <v>0</v>
      </c>
      <c r="E74" s="14" t="n">
        <v>0</v>
      </c>
      <c r="F74" s="0" t="n">
        <v>-271</v>
      </c>
      <c r="G74" s="0" t="n">
        <v>-1290</v>
      </c>
    </row>
    <row r="75" customFormat="false" ht="15" hidden="false" customHeight="false" outlineLevel="0" collapsed="false">
      <c r="A75" s="0" t="s">
        <v>337</v>
      </c>
      <c r="B75" s="14" t="n">
        <v>-108.93471158527</v>
      </c>
      <c r="C75" s="14" t="n">
        <v>-77.3436452255401</v>
      </c>
      <c r="D75" s="14" t="n">
        <v>-56.244873506399</v>
      </c>
      <c r="E75" s="14" t="n">
        <v>-42.7461038648999</v>
      </c>
      <c r="F75" s="0" t="n">
        <v>-383</v>
      </c>
      <c r="G75" s="0" t="n">
        <v>-1810</v>
      </c>
    </row>
    <row r="78" customFormat="false" ht="15" hidden="false" customHeight="false" outlineLevel="0" collapsed="false">
      <c r="A78" s="8" t="s">
        <v>338</v>
      </c>
    </row>
    <row r="79" customFormat="false" ht="15" hidden="false" customHeight="false" outlineLevel="0" collapsed="false">
      <c r="B79" s="8" t="s">
        <v>339</v>
      </c>
      <c r="C79" s="8" t="s">
        <v>340</v>
      </c>
      <c r="D79" s="8" t="s">
        <v>341</v>
      </c>
      <c r="E79" s="8" t="s">
        <v>342</v>
      </c>
      <c r="F79" s="8" t="s">
        <v>343</v>
      </c>
      <c r="G79" s="8" t="s">
        <v>344</v>
      </c>
    </row>
    <row r="80" customFormat="false" ht="15" hidden="false" customHeight="false" outlineLevel="0" collapsed="false">
      <c r="A80" s="0" t="s">
        <v>345</v>
      </c>
      <c r="B80" s="0" t="s">
        <v>82</v>
      </c>
      <c r="C80" s="0" t="str">
        <f aca="false">Sk3_ZeroQ</f>
        <v>Q4'27</v>
      </c>
      <c r="D80" s="16" t="n">
        <v>2.07320268369447</v>
      </c>
      <c r="E80" s="16" t="n">
        <f aca="false">Sk3_YE27</f>
        <v>-0.15</v>
      </c>
      <c r="F80" s="16" t="n">
        <v>-13.3524239141392</v>
      </c>
      <c r="G80" s="16" t="n">
        <f aca="false">Sk3_YE28</f>
        <v>-6.8</v>
      </c>
    </row>
    <row r="81" customFormat="false" ht="15" hidden="false" customHeight="false" outlineLevel="0" collapsed="false">
      <c r="A81" s="0" t="s">
        <v>346</v>
      </c>
      <c r="B81" s="0" t="s">
        <v>82</v>
      </c>
      <c r="C81" s="0" t="str">
        <f aca="false">Sk3L_ZeroQ</f>
        <v>never thru 2030</v>
      </c>
      <c r="D81" s="16" t="n">
        <v>2.12239193810732</v>
      </c>
      <c r="E81" s="16" t="n">
        <f aca="false">Sk3L_YE27</f>
        <v>7.1</v>
      </c>
      <c r="F81" s="16" t="n">
        <v>-20.2897050700109</v>
      </c>
      <c r="G81" s="16" t="n">
        <f aca="false">Sk3L_YE28</f>
        <v>1.5</v>
      </c>
    </row>
    <row r="82" customFormat="false" ht="15" hidden="false" customHeight="false" outlineLevel="0" collapsed="false">
      <c r="A82" s="0" t="s">
        <v>347</v>
      </c>
      <c r="B82" s="0" t="s">
        <v>60</v>
      </c>
      <c r="C82" s="0" t="str">
        <f aca="false">Sk3H_ZeroQ</f>
        <v>Q3'27</v>
      </c>
      <c r="D82" s="16" t="n">
        <v>-3.37408482730945</v>
      </c>
      <c r="E82" s="16" t="n">
        <f aca="false">Sk3H_YE27</f>
        <v>-7.4</v>
      </c>
      <c r="F82" s="16" t="n">
        <v>-9.14057107266631</v>
      </c>
      <c r="G82" s="16" t="n">
        <f aca="false">Sk3H_YE28</f>
        <v>-15.6</v>
      </c>
    </row>
    <row r="83" customFormat="false" ht="15" hidden="false" customHeight="false" outlineLevel="0" collapsed="false">
      <c r="A83" s="0" t="s">
        <v>348</v>
      </c>
      <c r="B83" s="0" t="s">
        <v>325</v>
      </c>
      <c r="C83" s="0" t="str">
        <f aca="false">Sk3C_ZeroQ</f>
        <v>Q2'27</v>
      </c>
      <c r="D83" s="16" t="n">
        <v>5.1680937052493</v>
      </c>
      <c r="E83" s="16" t="n">
        <f aca="false">Sk3C_YE27</f>
        <v>-9.9</v>
      </c>
      <c r="F83" s="16" t="n">
        <v>-10.3691927924015</v>
      </c>
    </row>
    <row r="85" customFormat="false" ht="15" hidden="false" customHeight="false" outlineLevel="0" collapsed="false">
      <c r="A85" s="8" t="s">
        <v>349</v>
      </c>
    </row>
    <row r="86" customFormat="false" ht="15" hidden="false" customHeight="false" outlineLevel="0" collapsed="false">
      <c r="B86" s="8" t="s">
        <v>350</v>
      </c>
      <c r="C86" s="8" t="s">
        <v>351</v>
      </c>
      <c r="D86" s="8" t="s">
        <v>352</v>
      </c>
    </row>
    <row r="87" customFormat="false" ht="15" hidden="false" customHeight="false" outlineLevel="0" collapsed="false">
      <c r="A87" s="0" t="s">
        <v>353</v>
      </c>
      <c r="B87" s="16" t="n">
        <v>-13.0735510428693</v>
      </c>
      <c r="C87" s="16" t="n">
        <v>-0.183737139392088</v>
      </c>
      <c r="D87" s="16" t="n">
        <v>8.64897219846273</v>
      </c>
    </row>
    <row r="88" customFormat="false" ht="15" hidden="false" customHeight="false" outlineLevel="0" collapsed="false">
      <c r="A88" s="0" t="s">
        <v>354</v>
      </c>
      <c r="B88" s="16" t="str">
        <f aca="false">Sk3_DCF4</f>
        <v>negative</v>
      </c>
      <c r="C88" s="16" t="n">
        <f aca="false">Sk3_DCF5</f>
        <v>2.3</v>
      </c>
      <c r="D88" s="16" t="n">
        <f aca="false">Sk3_DCF6</f>
        <v>16.3</v>
      </c>
    </row>
    <row r="89" customFormat="false" ht="15" hidden="false" customHeight="false" outlineLevel="0" collapsed="false">
      <c r="A89" s="0" t="s">
        <v>355</v>
      </c>
      <c r="B89" s="16" t="n">
        <f aca="false">V_MKTEV/1000</f>
        <v>74.6547189</v>
      </c>
    </row>
    <row r="91" customFormat="false" ht="15" hidden="false" customHeight="false" outlineLevel="0" collapsed="false">
      <c r="A91" s="8" t="s">
        <v>356</v>
      </c>
    </row>
    <row r="92" customFormat="false" ht="15" hidden="false" customHeight="false" outlineLevel="0" collapsed="false">
      <c r="B92" s="8" t="s">
        <v>357</v>
      </c>
      <c r="C92" s="8" t="s">
        <v>358</v>
      </c>
      <c r="D92" s="8" t="s">
        <v>40</v>
      </c>
      <c r="E92" s="8" t="s">
        <v>359</v>
      </c>
      <c r="F92" s="8" t="s">
        <v>360</v>
      </c>
      <c r="G92" s="8" t="s">
        <v>361</v>
      </c>
      <c r="H92" s="8" t="s">
        <v>362</v>
      </c>
    </row>
    <row r="93" customFormat="false" ht="15" hidden="false" customHeight="false" outlineLevel="0" collapsed="false">
      <c r="A93" s="0" t="s">
        <v>363</v>
      </c>
      <c r="B93" s="14" t="n">
        <v>94115.9266440129</v>
      </c>
      <c r="C93" s="14" t="n">
        <v>91653.0746645425</v>
      </c>
      <c r="D93" s="15" t="n">
        <v>248.19386831554</v>
      </c>
      <c r="E93" s="15" t="n">
        <v>280.459071196561</v>
      </c>
      <c r="F93" s="41" t="n">
        <v>0.953955874711187</v>
      </c>
      <c r="G93" s="14" t="n">
        <v>8517.51527302704</v>
      </c>
      <c r="H93" s="14" t="n">
        <v>4713.07502039488</v>
      </c>
    </row>
    <row r="94" customFormat="false" ht="15" hidden="false" customHeight="false" outlineLevel="0" collapsed="false">
      <c r="A94" s="0" t="s">
        <v>88</v>
      </c>
      <c r="B94" s="14" t="n">
        <v>-183.737139392088</v>
      </c>
      <c r="C94" s="14" t="n">
        <v>-9253.6245370439</v>
      </c>
      <c r="D94" s="15" t="n">
        <v>0.01</v>
      </c>
      <c r="E94" s="15" t="n">
        <v>0</v>
      </c>
      <c r="F94" s="41" t="n">
        <v>0.82509878873241</v>
      </c>
      <c r="G94" s="14" t="n">
        <v>7621.71734378923</v>
      </c>
      <c r="H94" s="14" t="n">
        <v>4078.97255313604</v>
      </c>
    </row>
    <row r="95" customFormat="false" ht="15" hidden="false" customHeight="false" outlineLevel="0" collapsed="false">
      <c r="A95" s="0" t="s">
        <v>364</v>
      </c>
      <c r="B95" s="14" t="n">
        <v>363040.190840581</v>
      </c>
      <c r="C95" s="14" t="n">
        <v>366980.896050532</v>
      </c>
      <c r="D95" s="15" t="n">
        <v>943.044607943326</v>
      </c>
      <c r="E95" s="15" t="n">
        <v>1056.20996089653</v>
      </c>
      <c r="F95" s="41" t="n">
        <v>0.953955874711187</v>
      </c>
      <c r="G95" s="14" t="n">
        <v>14376.3903039499</v>
      </c>
      <c r="H95" s="14" t="n">
        <v>8852.26722942071</v>
      </c>
    </row>
    <row r="96" customFormat="false" ht="15" hidden="false" customHeight="false" outlineLevel="0" collapsed="false">
      <c r="A96" s="0" t="s">
        <v>89</v>
      </c>
      <c r="B96" s="14" t="n">
        <v>90449.1360846713</v>
      </c>
      <c r="C96" s="14" t="n">
        <v>86835.8922303309</v>
      </c>
      <c r="D96" s="15" t="n">
        <v>235.233575712941</v>
      </c>
      <c r="E96" s="15" t="n">
        <v>263.278244616495</v>
      </c>
      <c r="F96" s="41" t="n">
        <v>0.82509878873241</v>
      </c>
      <c r="G96" s="14" t="n">
        <v>12743.5987324699</v>
      </c>
      <c r="H96" s="14" t="n">
        <v>7677.90729795512</v>
      </c>
    </row>
    <row r="97" customFormat="false" ht="15" hidden="false" customHeight="false" outlineLevel="0" collapsed="false">
      <c r="A97" s="0" t="s">
        <v>365</v>
      </c>
      <c r="B97" s="14" t="n">
        <v>-21541.1860088107</v>
      </c>
      <c r="C97" s="14" t="n">
        <v>-31992.2442370016</v>
      </c>
      <c r="D97" s="15" t="n">
        <v>0.01</v>
      </c>
      <c r="E97" s="15" t="n">
        <v>0.0115</v>
      </c>
      <c r="F97" s="41" t="n">
        <v>0.953955874711187</v>
      </c>
      <c r="G97" s="14" t="n">
        <v>3424.4744413531</v>
      </c>
      <c r="H97" s="14" t="n">
        <v>1375.17060364541</v>
      </c>
    </row>
    <row r="98" customFormat="false" ht="15" hidden="false" customHeight="false" outlineLevel="0" collapsed="false">
      <c r="A98" s="0" t="s">
        <v>90</v>
      </c>
      <c r="B98" s="14" t="n">
        <v>-25664.8938022506</v>
      </c>
      <c r="C98" s="14" t="n">
        <v>-33987.7795439486</v>
      </c>
      <c r="D98" s="15" t="n">
        <v>0.01</v>
      </c>
      <c r="E98" s="15" t="n">
        <v>0</v>
      </c>
      <c r="F98" s="41" t="n">
        <v>0.82509878873241</v>
      </c>
      <c r="G98" s="14" t="n">
        <v>3988.80420552386</v>
      </c>
      <c r="H98" s="14" t="n">
        <v>1764.55814092323</v>
      </c>
    </row>
    <row r="99" customFormat="false" ht="15" hidden="false" customHeight="false" outlineLevel="0" collapsed="false">
      <c r="A99" s="0" t="s">
        <v>366</v>
      </c>
      <c r="B99" s="14" t="n">
        <v>-7484.7981188281</v>
      </c>
      <c r="C99" s="14" t="n">
        <v>-16554.6855164799</v>
      </c>
      <c r="D99" s="15" t="n">
        <v>0.01</v>
      </c>
      <c r="E99" s="15" t="n">
        <v>0</v>
      </c>
      <c r="F99" s="41" t="n">
        <v>0.82509878873241</v>
      </c>
      <c r="G99" s="14" t="n">
        <v>7621.71734378923</v>
      </c>
      <c r="H99" s="14" t="n">
        <v>4078.97255313604</v>
      </c>
    </row>
    <row r="100" customFormat="false" ht="15" hidden="false" customHeight="false" outlineLevel="0" collapsed="false">
      <c r="A100" s="0" t="s">
        <v>367</v>
      </c>
      <c r="B100" s="14" t="n">
        <v>32246.702003054</v>
      </c>
      <c r="C100" s="14" t="n">
        <v>13551.0306205108</v>
      </c>
      <c r="D100" s="15" t="n">
        <v>43.0134183550517</v>
      </c>
      <c r="E100" s="15" t="n">
        <v>56.5310165292128</v>
      </c>
      <c r="F100" s="41" t="n">
        <v>0.82509878873241</v>
      </c>
      <c r="G100" s="14" t="n">
        <v>21866.9947339624</v>
      </c>
      <c r="H100" s="14" t="n">
        <v>12687.8927298633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0"/>
    <col collapsed="false" customWidth="true" hidden="false" outlineLevel="0" max="3" min="2" style="0" width="16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368</v>
      </c>
    </row>
    <row r="3" customFormat="false" ht="15" hidden="false" customHeight="false" outlineLevel="0" collapsed="false">
      <c r="A3" s="36" t="s">
        <v>369</v>
      </c>
      <c r="B3" s="36" t="s">
        <v>308</v>
      </c>
      <c r="C3" s="36" t="s">
        <v>370</v>
      </c>
      <c r="D3" s="36" t="s">
        <v>371</v>
      </c>
      <c r="E3" s="36" t="s">
        <v>372</v>
      </c>
    </row>
    <row r="4" customFormat="false" ht="15" hidden="false" customHeight="false" outlineLevel="0" collapsed="false">
      <c r="A4" s="0" t="s">
        <v>373</v>
      </c>
      <c r="B4" s="42" t="n">
        <f aca="false">IF(DilMethod=1,SUMPRODUCT((((CVDebtBasis=1)*Valuation!$E$79:$E$90+(CVDebtBasis=2)*Valuation!$F$79:$F$90))),IF(DilMethod=2,SUMPRODUCT((V_PSolve&gt;Valuation!$H$79:$H$90)*(((CVDebtBasis=1)*Valuation!$E$79:$E$90+(CVDebtBasis=2)*Valuation!$F$79:$F$90))),0))+V_CVDEBT-SUMPRODUCT((((CVDebtBasis=1)*Valuation!$E$79:$E$90+(CVDebtBasis=2)*Valuation!$F$79:$F$90)))</f>
        <v>0</v>
      </c>
      <c r="C4" s="43" t="n">
        <v>0</v>
      </c>
      <c r="D4" s="3" t="str">
        <f aca="false">IF(ABS(B4)&lt;0.5,"OK","DOUBLE COUNT")</f>
        <v>OK</v>
      </c>
      <c r="E4" s="20" t="s">
        <v>374</v>
      </c>
    </row>
    <row r="5" customFormat="false" ht="15" hidden="false" customHeight="false" outlineLevel="0" collapsed="false">
      <c r="A5" s="0" t="s">
        <v>375</v>
      </c>
      <c r="B5" s="42" t="n">
        <f aca="false">IF(DilMethod=1,SUMPRODUCT((((CVDebtBasis=1)*Valuation!$E$79:$E$90+(CVDebtBasis=2)*Valuation!$F$79:$F$90))),IF(DilMethod=2,SUMPRODUCT((SharePx&gt;Valuation!$H$79:$H$90)*(((CVDebtBasis=1)*Valuation!$E$79:$E$90+(CVDebtBasis=2)*Valuation!$F$79:$F$90))),0))+V_CVDmkt-SUMPRODUCT((((CVDebtBasis=1)*Valuation!$E$79:$E$90+(CVDebtBasis=2)*Valuation!$F$79:$F$90)))</f>
        <v>0</v>
      </c>
      <c r="C5" s="43" t="n">
        <v>0</v>
      </c>
      <c r="D5" s="3" t="str">
        <f aca="false">IF(ABS(B5)&lt;0.5,"OK","DOUBLE COUNT")</f>
        <v>OK</v>
      </c>
      <c r="E5" s="20"/>
    </row>
    <row r="6" customFormat="false" ht="15" hidden="false" customHeight="false" outlineLevel="0" collapsed="false">
      <c r="A6" s="0" t="s">
        <v>376</v>
      </c>
      <c r="B6" s="42" t="n">
        <f aca="false">INDEX(Sh_EconBasic,1,11)</f>
        <v>308.691154</v>
      </c>
      <c r="C6" s="43" t="n">
        <v>308.69</v>
      </c>
      <c r="D6" s="3" t="str">
        <f aca="false">IF(ABS(B6-C6)&lt;0.05,"OK","CHECK")</f>
        <v>OK</v>
      </c>
      <c r="E6" s="20"/>
    </row>
    <row r="7" customFormat="false" ht="15" hidden="false" customHeight="false" outlineLevel="0" collapsed="false">
      <c r="A7" s="0" t="s">
        <v>377</v>
      </c>
      <c r="B7" s="42" t="n">
        <f aca="false">V_FDmkt</f>
        <v>369.226788774505</v>
      </c>
      <c r="C7" s="43" t="n">
        <f aca="false">FD_Filings</f>
        <v>369.2</v>
      </c>
      <c r="D7" s="3" t="str">
        <f aca="false">IF(ABS(B7-C7)&lt;2,"OK","CHECK")</f>
        <v>OK</v>
      </c>
      <c r="E7" s="20" t="s">
        <v>378</v>
      </c>
    </row>
    <row r="8" customFormat="false" ht="15" hidden="false" customHeight="false" outlineLevel="0" collapsed="false">
      <c r="A8" s="0" t="s">
        <v>379</v>
      </c>
      <c r="B8" s="42" t="n">
        <f aca="false">V_FDmkt+ATM_Rem</f>
        <v>381.497295774505</v>
      </c>
      <c r="C8" s="43" t="n">
        <f aca="false">FD_FilingsATM</f>
        <v>381.5</v>
      </c>
      <c r="D8" s="3" t="str">
        <f aca="false">IF(ABS(B8-C8)&lt;2,"OK","CHECK")</f>
        <v>OK</v>
      </c>
      <c r="E8" s="20" t="s">
        <v>380</v>
      </c>
    </row>
    <row r="9" customFormat="false" ht="15" hidden="false" customHeight="false" outlineLevel="0" collapsed="false">
      <c r="A9" s="0" t="s">
        <v>381</v>
      </c>
      <c r="B9" s="42" t="n">
        <f aca="false">V_ITMsh</f>
        <v>50.02193875</v>
      </c>
      <c r="C9" s="43" t="n">
        <f aca="false">ITM_Sh_Chk</f>
        <v>50.03</v>
      </c>
      <c r="D9" s="3" t="str">
        <f aca="false">IF(ABS(B9-C9)&lt;0.5,"OK","CHECK")</f>
        <v>OK</v>
      </c>
      <c r="E9" s="20" t="s">
        <v>382</v>
      </c>
    </row>
    <row r="10" customFormat="false" ht="15" hidden="false" customHeight="false" outlineLevel="0" collapsed="false">
      <c r="A10" s="0" t="s">
        <v>383</v>
      </c>
      <c r="B10" s="42" t="n">
        <f aca="false">V_ITMprin</f>
        <v>7675</v>
      </c>
      <c r="C10" s="43" t="n">
        <f aca="false">ITM_Prin_Chk</f>
        <v>7680</v>
      </c>
      <c r="D10" s="3" t="str">
        <f aca="false">IF(ABS(B10-C10)&lt;15,"OK","CHECK")</f>
        <v>OK</v>
      </c>
      <c r="E10" s="20"/>
    </row>
    <row r="11" customFormat="false" ht="15" hidden="false" customHeight="false" outlineLevel="0" collapsed="false">
      <c r="A11" s="0" t="s">
        <v>384</v>
      </c>
      <c r="B11" s="42" t="n">
        <f aca="false">V_MKTEV</f>
        <v>74654.7189</v>
      </c>
      <c r="C11" s="43" t="n">
        <v>74700</v>
      </c>
      <c r="D11" s="3" t="str">
        <f aca="false">IF(ABS(B11/C11-1)&lt;0.01,"OK","CHECK")</f>
        <v>OK</v>
      </c>
      <c r="E11" s="20" t="s">
        <v>385</v>
      </c>
    </row>
    <row r="12" customFormat="false" ht="15" hidden="false" customHeight="false" outlineLevel="0" collapsed="false">
      <c r="A12" s="0" t="s">
        <v>386</v>
      </c>
      <c r="B12" s="44" t="n">
        <f aca="false">V_CONV</f>
        <v>0</v>
      </c>
      <c r="C12" s="45" t="n">
        <v>0.01</v>
      </c>
      <c r="D12" s="3" t="str">
        <f aca="false">IF(B12&lt;C12,"OK","NOT CONVERGED")</f>
        <v>OK</v>
      </c>
      <c r="E12" s="20"/>
    </row>
    <row r="13" customFormat="false" ht="15" hidden="false" customHeight="false" outlineLevel="0" collapsed="false">
      <c r="A13" s="0" t="s">
        <v>387</v>
      </c>
      <c r="B13" s="42" t="n">
        <f aca="false">MSFT_Chk</f>
        <v>0</v>
      </c>
      <c r="C13" s="43" t="n">
        <v>0</v>
      </c>
      <c r="D13" s="3" t="str">
        <f aca="false">IF(ABS(B13)&lt;5,"OK","CHECK")</f>
        <v>OK</v>
      </c>
      <c r="E13" s="20"/>
    </row>
    <row r="14" customFormat="false" ht="15" hidden="false" customHeight="false" outlineLevel="0" collapsed="false">
      <c r="A14" s="0" t="s">
        <v>388</v>
      </c>
      <c r="B14" s="37" t="n">
        <f aca="false">SUMPRODUCT((MS_CeilChk&gt;0)*(Q_Idx&lt;IF(BloomOn=1,BloomIdx,99)))</f>
        <v>0</v>
      </c>
      <c r="C14" s="46" t="n">
        <v>0</v>
      </c>
      <c r="D14" s="3" t="str">
        <f aca="false">IF(B14=0,"OK","CHECK")</f>
        <v>OK</v>
      </c>
      <c r="E14" s="20"/>
    </row>
    <row r="15" customFormat="false" ht="15" hidden="false" customHeight="false" outlineLevel="0" collapsed="false">
      <c r="A15" s="0" t="s">
        <v>389</v>
      </c>
      <c r="B15" s="29" t="n">
        <f aca="false">BR_MW25</f>
        <v>92.6461289583333</v>
      </c>
      <c r="C15" s="39" t="n">
        <f aca="false">UnseenChkHi</f>
        <v>200</v>
      </c>
      <c r="D15" s="3" t="str">
        <f aca="false">BR_Chk</f>
        <v>OK - overlaps 83-200 MW</v>
      </c>
      <c r="E15" s="20"/>
    </row>
    <row r="16" customFormat="false" ht="15" hidden="false" customHeight="false" outlineLevel="0" collapsed="false">
      <c r="A16" s="0" t="s">
        <v>390</v>
      </c>
      <c r="B16" s="42" t="n">
        <f aca="false">SUMPRODUCT(ABS(N(+CapexChk)))</f>
        <v>0</v>
      </c>
      <c r="C16" s="43" t="n">
        <v>0</v>
      </c>
      <c r="D16" s="3" t="str">
        <f aca="false">IF(B16&lt;1,"OK","CHECK")</f>
        <v>OK</v>
      </c>
      <c r="E16" s="20"/>
    </row>
    <row r="17" customFormat="false" ht="15" hidden="false" customHeight="false" outlineLevel="0" collapsed="false">
      <c r="A17" s="0" t="s">
        <v>391</v>
      </c>
      <c r="B17" s="25" t="n">
        <f aca="false">INDEX(Book_A,1,10)/INDEX(AI_Model,1,10)</f>
        <v>0.460634941342456</v>
      </c>
      <c r="C17" s="47" t="n">
        <f aca="false">MixA_Q2</f>
        <v>0.45</v>
      </c>
      <c r="D17" s="3" t="str">
        <f aca="false">IF(AND(ROUND(B17,2)&gt;=0.4,ROUND(B17,2)&lt;=0.46),"OK","CALIBRATE")</f>
        <v>OK</v>
      </c>
      <c r="E17" s="20"/>
    </row>
    <row r="18" customFormat="false" ht="15" hidden="false" customHeight="false" outlineLevel="0" collapsed="false">
      <c r="A18" s="0" t="s">
        <v>392</v>
      </c>
      <c r="B18" s="25" t="n">
        <f aca="false">INDEX(Book_B,1,10)/INDEX(AI_Model,1,10)</f>
        <v>0.469860583066317</v>
      </c>
      <c r="C18" s="47" t="n">
        <f aca="false">MixB_Q2</f>
        <v>0.5</v>
      </c>
      <c r="D18" s="3" t="str">
        <f aca="false">IF(AND(B18&gt;=0.44,B18&lt;=0.57),"OK","CALIBRATE")</f>
        <v>OK</v>
      </c>
      <c r="E18" s="20"/>
    </row>
    <row r="19" customFormat="false" ht="15" hidden="false" customHeight="false" outlineLevel="0" collapsed="false">
      <c r="A19" s="0" t="s">
        <v>393</v>
      </c>
      <c r="B19" s="25" t="n">
        <f aca="false">INDEX(Book_C,1,10)/INDEX(AI_Model,1,10)</f>
        <v>0.069504475591227</v>
      </c>
      <c r="C19" s="47" t="n">
        <f aca="false">MixC_Q2</f>
        <v>0.04</v>
      </c>
      <c r="D19" s="3" t="str">
        <f aca="false">IF(AND(B19&gt;=0.013,B19&lt;=0.09),"OK","CALIBRATE")</f>
        <v>OK</v>
      </c>
      <c r="E19" s="20"/>
    </row>
    <row r="20" customFormat="false" ht="15" hidden="false" customHeight="false" outlineLevel="0" collapsed="false">
      <c r="A20" s="0" t="s">
        <v>394</v>
      </c>
      <c r="B20" s="37" t="n">
        <f aca="false">SUM(DepYldFlag)</f>
        <v>1</v>
      </c>
      <c r="C20" s="46" t="n">
        <v>0</v>
      </c>
      <c r="D20" s="3" t="str">
        <f aca="false">IF(B20=0,"OK","FLAG - review PIS dates")</f>
        <v>FLAG - review PIS dates</v>
      </c>
      <c r="E20" s="20" t="s">
        <v>395</v>
      </c>
    </row>
    <row r="21" customFormat="false" ht="15" hidden="false" customHeight="false" outlineLevel="0" collapsed="false">
      <c r="A21" s="0" t="s">
        <v>396</v>
      </c>
      <c r="B21" s="26" t="str">
        <f aca="false">Q3TransChk</f>
        <v>PENDING (model 4,702)</v>
      </c>
      <c r="C21" s="48"/>
      <c r="D21" s="3" t="str">
        <f aca="false">B21</f>
        <v>PENDING (model 4,702)</v>
      </c>
      <c r="E21" s="20"/>
    </row>
    <row r="22" customFormat="false" ht="15" hidden="false" customHeight="false" outlineLevel="0" collapsed="false">
      <c r="A22" s="0" t="s">
        <v>397</v>
      </c>
      <c r="B22" s="31" t="n">
        <f aca="false">SUMPRODUCT(ABS(CapTie))</f>
        <v>0</v>
      </c>
      <c r="C22" s="49" t="n">
        <v>0</v>
      </c>
      <c r="D22" s="3" t="str">
        <f aca="false">IF(B22&lt;1,"OK","CHECK")</f>
        <v>OK</v>
      </c>
      <c r="E22" s="20"/>
    </row>
    <row r="23" customFormat="false" ht="15" hidden="false" customHeight="false" outlineLevel="0" collapsed="false">
      <c r="A23" s="0" t="s">
        <v>398</v>
      </c>
      <c r="B23" s="31" t="n">
        <f aca="false">INDEX(AI_Model,1,10)</f>
        <v>574.9</v>
      </c>
      <c r="C23" s="49" t="n">
        <f aca="false">INDEX(H_AIRev,1,10)</f>
        <v>574.9</v>
      </c>
      <c r="D23" s="3" t="str">
        <f aca="false">IF(ABS(B23/C23-1)&lt;0.01,"OK","CHECK")</f>
        <v>OK</v>
      </c>
      <c r="E23" s="20" t="s">
        <v>399</v>
      </c>
    </row>
    <row r="24" customFormat="false" ht="15" hidden="false" customHeight="false" outlineLevel="0" collapsed="false">
      <c r="A24" s="0" t="s">
        <v>400</v>
      </c>
      <c r="B24" s="27" t="n">
        <f aca="false">UtilQ2</f>
        <v>0.82509878873241</v>
      </c>
      <c r="C24" s="41" t="s">
        <v>401</v>
      </c>
      <c r="D24" s="3" t="str">
        <f aca="false">UtilFlag</f>
        <v>OK (40-100%)</v>
      </c>
      <c r="E24" s="20" t="s">
        <v>402</v>
      </c>
    </row>
    <row r="25" customFormat="false" ht="15" hidden="false" customHeight="false" outlineLevel="0" collapsed="false">
      <c r="A25" s="0" t="s">
        <v>403</v>
      </c>
      <c r="B25" s="24" t="n">
        <f aca="false">INDEX(AI_Model,1,10)*4*1000000/INDEX(GPU_End,1,10)/8760</f>
        <v>2.96706883893884</v>
      </c>
      <c r="C25" s="15" t="n">
        <f aca="false">Chk_RevGPUhr</f>
        <v>3.27</v>
      </c>
      <c r="D25" s="3" t="str">
        <f aca="false">IF(ABS(B25/C25-1)&lt;=0.1,"OK","CHECK")</f>
        <v>OK</v>
      </c>
      <c r="E25" s="20" t="s">
        <v>404</v>
      </c>
    </row>
    <row r="26" customFormat="false" ht="15" hidden="false" customHeight="false" outlineLevel="0" collapsed="false">
      <c r="A26" s="0" t="s">
        <v>405</v>
      </c>
      <c r="B26" s="24" t="n">
        <f aca="false">INDEX(AI_Model,1,10)*4/AVERAGE(INDEX(H_SRV,1,9),INDEX(H_SRV,1,10))</f>
        <v>0.465016581735825</v>
      </c>
      <c r="C26" s="15" t="n">
        <f aca="false">Chk_RevSrv</f>
        <v>0.46</v>
      </c>
      <c r="D26" s="3" t="str">
        <f aca="false">IF(ABS(B26/C26-1)&lt;=0.1,"OK","CHECK")</f>
        <v>OK</v>
      </c>
      <c r="E26" s="20" t="s">
        <v>406</v>
      </c>
    </row>
    <row r="27" customFormat="false" ht="15" hidden="false" customHeight="false" outlineLevel="0" collapsed="false">
      <c r="A27" s="0" t="s">
        <v>407</v>
      </c>
      <c r="B27" s="29" t="n">
        <f aca="false">INDEX(GPU_End,1,10)*Chk_SrvHi/1000000</f>
        <v>5308.5</v>
      </c>
      <c r="C27" s="39" t="n">
        <f aca="false">Chk_SrvCap</f>
        <v>5197.7</v>
      </c>
      <c r="D27" s="3" t="str">
        <f aca="false">IF(B27&lt;=C27,"OK: "&amp;TEXT(INDEX(GPU_End,1,10)*Chk_SrvLo/1000000,"#,##0")&amp;"-"&amp;TEXT(B27,"#,##0")&amp;" &lt;= 5,198; implied $"&amp;TEXT(C27*1000000/INDEX(GPU_End,1,10),"#,##0")&amp;"/GPU","FLAG")</f>
        <v>FLAG</v>
      </c>
      <c r="E27" s="20" t="s">
        <v>408</v>
      </c>
    </row>
    <row r="28" customFormat="false" ht="15" hidden="false" customHeight="false" outlineLevel="0" collapsed="false">
      <c r="A28" s="0" t="s">
        <v>409</v>
      </c>
      <c r="B28" s="29" t="n">
        <f aca="false">(INDEX(GPU_End_H,1,10)*GPUCost_H+INDEX(GPU_End_B,1,10)*GPUCost_B+INDEX(GPU_End_N,1,10)*GPUCost_N)/1000000</f>
        <v>4489.925</v>
      </c>
      <c r="C28" s="39" t="n">
        <f aca="false">Chk_SrvCap</f>
        <v>5197.7</v>
      </c>
      <c r="D28" s="3" t="str">
        <f aca="false">IF(B28&lt;=C28,"OK","FLAG: exceeds servers in service")</f>
        <v>OK</v>
      </c>
      <c r="E28" s="20"/>
    </row>
    <row r="29" customFormat="false" ht="15" hidden="false" customHeight="false" outlineLevel="0" collapsed="false">
      <c r="A29" s="0" t="s">
        <v>410</v>
      </c>
      <c r="B29" s="23" t="n">
        <f aca="false">INDEX(AI_Model,1,10)*4/INDEX(MW_En,1,10)</f>
        <v>13.2924855491329</v>
      </c>
      <c r="C29" s="16" t="n">
        <f aca="false">Chk_RevEnMW</f>
        <v>13</v>
      </c>
      <c r="D29" s="3" t="str">
        <f aca="false">IF(ABS(B29/C29-1)&lt;=0.15,"OK","CHECK")</f>
        <v>OK</v>
      </c>
      <c r="E29" s="20" t="s">
        <v>411</v>
      </c>
    </row>
    <row r="30" customFormat="false" ht="15" hidden="false" customHeight="false" outlineLevel="0" collapsed="false">
      <c r="A30" s="0" t="s">
        <v>412</v>
      </c>
      <c r="B30" s="25" t="n">
        <f aca="false">INDEX(A_MW,1,10)/INDEX(MW_En,1,10)</f>
        <v>0.585809248554913</v>
      </c>
      <c r="C30" s="47" t="s">
        <v>413</v>
      </c>
      <c r="D30" s="3" t="str">
        <f aca="false">"INFO"</f>
        <v>INFO</v>
      </c>
      <c r="E30" s="20" t="s">
        <v>414</v>
      </c>
    </row>
    <row r="31" customFormat="false" ht="15" hidden="false" customHeight="false" outlineLevel="0" collapsed="false">
      <c r="A31" s="0" t="s">
        <v>415</v>
      </c>
      <c r="B31" s="31" t="n">
        <f aca="false">INDEX(MW_En,1,10)</f>
        <v>173</v>
      </c>
      <c r="C31" s="49" t="n">
        <v>173</v>
      </c>
      <c r="D31" s="3" t="str">
        <f aca="false">IF(ABS(B31-C31)&lt;3,"OK","CHECK")</f>
        <v>OK</v>
      </c>
      <c r="E31" s="20"/>
    </row>
    <row r="32" customFormat="false" ht="15" hidden="false" customHeight="false" outlineLevel="0" collapsed="false">
      <c r="A32" s="0" t="s">
        <v>416</v>
      </c>
      <c r="B32" s="29" t="n">
        <f aca="false">INDEX(GPU_End,1,10)</f>
        <v>88475</v>
      </c>
      <c r="C32" s="39" t="n">
        <f aca="false">80416+GPUAnchorD</f>
        <v>88475</v>
      </c>
      <c r="D32" s="3" t="str">
        <f aca="false">IF(ABS(B32/C32-1)&lt;0.01,IF(GPUAnchorOn=1,"INFO: anchored to ~30k at 3/31/25 (+"&amp;TEXT(GPUAnchorD,"#,##0")&amp;" vs Capacity file); Q2 utilization "&amp;TEXT(UtilQ2,"0.0%"),"OK"),"CHECK")</f>
        <v>INFO: anchored to ~30k at 3/31/25 (+8,059 vs Capacity file); Q2 utilization 82.5%</v>
      </c>
      <c r="E32" s="20"/>
    </row>
    <row r="33" customFormat="false" ht="15" hidden="false" customHeight="false" outlineLevel="0" collapsed="false">
      <c r="A33" s="0" t="s">
        <v>417</v>
      </c>
      <c r="B33" s="29" t="n">
        <f aca="false">ARR_Res</f>
        <v>597.13511014747</v>
      </c>
      <c r="C33" s="39" t="str">
        <f aca="false">ARR_ResTeamLo&amp;"-"&amp;ARR_ResTeamHi</f>
        <v>650-700</v>
      </c>
      <c r="D33" s="3" t="str">
        <f aca="false">"INFO: model "&amp;TEXT(ARR_Res,"#,##0")&amp;" = "&amp;TEXT(ARR_ResMW_TLo,"0")&amp;"-"&amp;TEXT(ARR_ResMW_THi,"0")&amp;" MW-eq at team $13.3-13.5M/MW (model June RR "&amp;TEXT(ARR_RR,"#,##0")&amp;" = $"&amp;TEXT(ARR_RRMW,"0.0")&amp;"M/MW); team-basis residual "&amp;TEXT(ARR_ResTB_Lo,"#,##0")&amp;"-"&amp;TEXT(ARR_ResTB_Hi,"#,##0")</f>
        <v>INFO: model 597 = 44-45 MW-eq at team $13.3-13.5M/MW (model June RR 2,403 = $13.9M/MW); team-basis residual 665-699</v>
      </c>
      <c r="E33" s="20" t="s">
        <v>418</v>
      </c>
    </row>
    <row r="34" customFormat="false" ht="15" hidden="false" customHeight="false" outlineLevel="0" collapsed="false">
      <c r="A34" s="0" t="s">
        <v>419</v>
      </c>
      <c r="B34" s="27" t="n">
        <f aca="false">SUMIF(Q_Yr,2028,PL_EBITDA)/SUMIF(Q_Yr,2028,PL_Rev)</f>
        <v>0.622345365510567</v>
      </c>
      <c r="C34" s="41" t="n">
        <f aca="false">MarginCons28</f>
        <v>0.607826086956522</v>
      </c>
      <c r="D34" s="3" t="str">
        <f aca="false">IF(B34-C34&gt;0.05,"FLAG: model margin &gt; consensus +5pp","OK")</f>
        <v>OK</v>
      </c>
      <c r="E34" s="20" t="s">
        <v>420</v>
      </c>
    </row>
    <row r="35" customFormat="false" ht="15" hidden="false" customHeight="false" outlineLevel="0" collapsed="false">
      <c r="A35" s="0" t="s">
        <v>421</v>
      </c>
      <c r="B35" s="27" t="n">
        <f aca="false">SUMIF(Q_Yr,2030,PL_EBITDA)/SUMIF(Q_Yr,2030,PL_Rev)</f>
        <v>0.702129022128044</v>
      </c>
      <c r="C35" s="41" t="n">
        <f aca="false">MarginPeer</f>
        <v>0.62</v>
      </c>
      <c r="D35" s="3" t="str">
        <f aca="false">IF(B35-C35&gt;0.08,"FLAG: above peer +8pp - review opex/MW and revenue/MW","OK")</f>
        <v>FLAG: above peer +8pp - review opex/MW and revenue/MW</v>
      </c>
      <c r="E35" s="20" t="s">
        <v>422</v>
      </c>
    </row>
    <row r="36" customFormat="false" ht="15" hidden="false" customHeight="false" outlineLevel="0" collapsed="false">
      <c r="A36" s="0" t="s">
        <v>423</v>
      </c>
      <c r="B36" s="27" t="n">
        <f aca="false">SUMIF(Q_Yr,2030,PL_EBITDA)/SUMIF(Q_Yr,2030,PL_Rev)-(1-OpexHold)*((INDEX(PDpct,1,2028-FYBase)+INDEX(SGApct,1,2028-FYBase))-(INDEX(PDpct,1,2030-FYBase)+INDEX(SGApct,1,2030-FYBase)))</f>
        <v>0.652129022128044</v>
      </c>
      <c r="C36" s="41" t="n">
        <f aca="false">MarginPeer</f>
        <v>0.62</v>
      </c>
      <c r="D36" s="3" t="str">
        <f aca="false">IF(B36-C36&gt;0.08,"FLAG: still above peer +8pp","INFO: within +8pp of peer")</f>
        <v>INFO: within +8pp of peer</v>
      </c>
      <c r="E36" s="20" t="s">
        <v>424</v>
      </c>
    </row>
    <row r="37" customFormat="false" ht="15" hidden="false" customHeight="false" outlineLevel="0" collapsed="false">
      <c r="A37" s="0" t="s">
        <v>425</v>
      </c>
      <c r="B37" s="24" t="n">
        <f aca="false">(SUMIF(Q_Yr,2030,PL_Rev)-SUMIF(Q_Yr,2030,PL_EBITDA))/(SUMIF(Q_Yr,2030,MW_Avg)/4)</f>
        <v>5.63478148839313</v>
      </c>
      <c r="C37" s="15" t="s">
        <v>413</v>
      </c>
      <c r="D37" s="3" t="str">
        <f aca="false">"INFO: revenue/MW "&amp;TEXT(SUMIF(Q_Yr,2030,PL_Rev)/(SUMIF(Q_Yr,2030,MW_Avg)/4),"0.0")</f>
        <v>INFO: revenue/MW 18.9</v>
      </c>
      <c r="E37" s="20"/>
    </row>
    <row r="38" customFormat="false" ht="15" hidden="false" customHeight="false" outlineLevel="0" collapsed="false">
      <c r="A38" s="0" t="s">
        <v>426</v>
      </c>
      <c r="B38" s="29" t="n">
        <f aca="false">SUMIF(Q_Yr,2026,Capex)</f>
        <v>16850.3421667323</v>
      </c>
      <c r="C38" s="39" t="s">
        <v>427</v>
      </c>
      <c r="D38" s="3" t="str">
        <f aca="false">IF(AND(B38&gt;=20000*0.9,B38&lt;=25000*1.1),"OK (within guide +/-10%)","FLAG: outside guide")</f>
        <v>FLAG: outside guide</v>
      </c>
      <c r="E38" s="20" t="s">
        <v>428</v>
      </c>
    </row>
    <row r="39" customFormat="false" ht="15" hidden="false" customHeight="false" outlineLevel="0" collapsed="false">
      <c r="A39" s="0" t="s">
        <v>429</v>
      </c>
      <c r="B39" s="29" t="n">
        <f aca="false">V_EVBullS</f>
        <v>90449.1360846713</v>
      </c>
      <c r="C39" s="39" t="n">
        <f aca="false">3*V_EVBaseS</f>
        <v>-551.211418176264</v>
      </c>
      <c r="D39" s="3" t="str">
        <f aca="false">IF(V_EVBaseS=0,"run snap.py",IF(B39&gt;C39,"FLAG: bull EV &gt; 3x base - review bull drivers","OK"))</f>
        <v>FLAG: bull EV &gt; 3x base - review bull drivers</v>
      </c>
      <c r="E39" s="20" t="s">
        <v>430</v>
      </c>
    </row>
    <row r="40" customFormat="false" ht="15" hidden="false" customHeight="false" outlineLevel="0" collapsed="false">
      <c r="A40" s="0" t="s">
        <v>431</v>
      </c>
      <c r="B40" s="44" t="n">
        <f aca="false">MAX(ABS(V_UtBullS-V_UtBaseS),ABS(V_UtBearS-V_UtBaseS))</f>
        <v>0</v>
      </c>
      <c r="C40" s="45" t="n">
        <v>0</v>
      </c>
      <c r="D40" s="3" t="str">
        <f aca="false">IF(V_UtBaseS=0,"run snap.py",IF(B40&lt;0.0005,"OK: all scenarios tie $574.9M at "&amp;TEXT(V_UtBaseS,"0.0%"),"FLAG: history depends on scenario"))</f>
        <v>OK: all scenarios tie $574.9M at 82.5%</v>
      </c>
      <c r="E40" s="20"/>
    </row>
    <row r="41" customFormat="false" ht="15" hidden="false" customHeight="false" outlineLevel="0" collapsed="false">
      <c r="A41" s="0" t="s">
        <v>432</v>
      </c>
      <c r="B41" s="50" t="n">
        <f aca="false">(INDEX(Book_B,1,LastHist)+INDEX(Book_C,1,LastHist))*1000000/((INDEX(NCA_H,1,LastHist)*ODq_H+INDEX(NCA_B,1,LastHist)*ODq_B+INDEX(NCA_N,1,LastHist)*ODq_N)*INDEX(Q_Hrs,1,LastHist)*UtilQ2)</f>
        <v>0.743855881098156</v>
      </c>
      <c r="C41" s="51" t="s">
        <v>433</v>
      </c>
      <c r="D41" s="3" t="str">
        <f aca="false">IF(AND(B41&gt;=0.72,B41&lt;=0.8),"OK: within GPU Market range",IF(B41&lt;0.72,"INFO: below range","FLAG: above range"))</f>
        <v>OK: within GPU Market range</v>
      </c>
      <c r="E41" s="20" t="s">
        <v>434</v>
      </c>
    </row>
    <row r="42" customFormat="false" ht="15" hidden="false" customHeight="false" outlineLevel="0" collapsed="false">
      <c r="A42" s="0" t="s">
        <v>435</v>
      </c>
      <c r="B42" s="23" t="n">
        <f aca="false">IF(NewDealOn=1,RM_ND,RM_GB300)</f>
        <v>22.39175</v>
      </c>
      <c r="C42" s="16" t="n">
        <v>20</v>
      </c>
      <c r="D42" s="3" t="str">
        <f aca="false">IF(B42&gt;C42*1.25,"FLAG: model new-MW pricing &gt;1.25x IREN benchmark",IF(B42&lt;C42*0.8,"INFO: below benchmark","OK: multi-year "&amp;TEXT(RM_MY,"0.0")&amp;"; blended net leased "&amp;TEXT(RM_ND_L,"0.0")&amp;" vs 17.8; GPU-hour GB300 engine "&amp;TEXT(RM_GB300,"0.0")&amp;" (legacy only)"))</f>
        <v>OK: multi-year 22.0; blended net leased 20.2 vs 17.8; GPU-hour GB300 engine 30.2 (legacy only)</v>
      </c>
      <c r="E42" s="20" t="s">
        <v>436</v>
      </c>
    </row>
    <row r="43" customFormat="false" ht="15" hidden="false" customHeight="false" outlineLevel="0" collapsed="false">
      <c r="A43" s="0" t="s">
        <v>437</v>
      </c>
      <c r="B43" s="23" t="n">
        <f aca="false">VinExpQ4</f>
        <v>68.0352910958904</v>
      </c>
      <c r="C43" s="16" t="n">
        <v>67</v>
      </c>
      <c r="D43" s="3" t="str">
        <f aca="false">IF(ABS(B43-C43)&lt;=3,"OK: ties ~$67M (Capacity, Derived); VinShutSel="&amp;VinShutSel,"FLAG: differs from Capacity tie-out")</f>
        <v>OK: ties ~$67M (Capacity, Derived); VinShutSel=0</v>
      </c>
      <c r="E43" s="20" t="s">
        <v>438</v>
      </c>
    </row>
    <row r="44" customFormat="false" ht="15" hidden="false" customHeight="false" outlineLevel="0" collapsed="false">
      <c r="A44" s="0" t="s">
        <v>439</v>
      </c>
      <c r="B44" s="29" t="n">
        <f aca="false">SUMPRODUCT((Q_Idx&gt;LastHist)*(Q_Idx&lt;=LastHist+8)*AI_Model)-RPO_Tot*RPO24Pct</f>
        <v>4069.28635823571</v>
      </c>
      <c r="C44" s="39" t="n">
        <f aca="false">RPO_Tot*RPO24Pct</f>
        <v>13496.4</v>
      </c>
      <c r="D44" s="3" t="str">
        <f aca="false">IF(B44&lt;0,"FLAG: model below contracted backlog","INFO: "&amp;TEXT(B44/(B44+C44),"0%")&amp;" of window revenue unsold at 6/30 (~"&amp;TEXT(B44/(B44+C44)*SUMPRODUCT((Q_Idx&gt;LastHist)*(Q_Idx&lt;=LastHist+8)*MW_Avg)/8,"0")&amp;" of avg "&amp;TEXT(SUMPRODUCT((Q_Idx&gt;LastHist)*(Q_Idx&lt;=LastHist+8)*MW_Avg)/8,"0")&amp;" active MW, revenue-weighted); sold share of new 2027+ MW "&amp;TEXT(RPO_Sold,"0%"))</f>
        <v>INFO: 23% of window revenue unsold at 6/30 (~112 of avg 485 active MW, revenue-weighted); sold share of new 2027+ MW 52%</v>
      </c>
      <c r="E44" s="20" t="s">
        <v>440</v>
      </c>
    </row>
    <row r="45" customFormat="false" ht="15" hidden="false" customHeight="false" outlineLevel="0" collapsed="false">
      <c r="A45" s="0" t="s">
        <v>441</v>
      </c>
      <c r="B45" s="29" t="n">
        <f aca="false">RPO_Tot*RPO24Pct-DR_24</f>
        <v>11246.4</v>
      </c>
      <c r="C45" s="39" t="s">
        <v>442</v>
      </c>
      <c r="D45" s="3" t="str">
        <f aca="false">"INFO: range "&amp;TEXT(RPO_Tot*RPO24Pct-2500,"#,##0")&amp;"-"&amp;TEXT(RPO_Tot*RPO24Pct-2000,"#,##0")&amp;"; model cash revenue in window (AI rev - DR release) "&amp;TEXT(SUMPRODUCT((Q_Idx&gt;LastHist)*(Q_Idx&lt;=LastHist+8)*(AI_Model-CF_DRRel)),"#,##0")</f>
        <v>INFO: range 10,996-11,496; model cash revenue in window (AI rev - DR release) 13,381</v>
      </c>
      <c r="E45" s="20" t="s">
        <v>443</v>
      </c>
    </row>
    <row r="46" customFormat="false" ht="15" hidden="false" customHeight="false" outlineLevel="0" collapsed="false">
      <c r="A46" s="0" t="s">
        <v>444</v>
      </c>
      <c r="B46" s="23" t="n">
        <f aca="false">PB_GB_IT</f>
        <v>28.32</v>
      </c>
      <c r="C46" s="16" t="n">
        <f aca="false">PB_Target</f>
        <v>22</v>
      </c>
      <c r="D46" s="3" t="str">
        <f aca="false">"INFO: GB300 "&amp;TEXT(PB_GB_IT,"0")&amp;" / "&amp;TEXT(PB_GB_Gr,"0")&amp;" mo (IT / gross); Rubin base "&amp;TEXT(PB_RU_IT,"0")&amp;" / bear "&amp;TEXT(PB_RU_Gr,"0")&amp;" mo; IRR GB300 IT "&amp;TEXT(PB_GB_IRR,"0%")&amp;", Rubin base "&amp;TEXT(PB_RU_IRR,"0%")&amp;"; IT fits 22 only at ~$32M capex, or if prepayments counted (implied rev "&amp;TEXT(PB_ImplRevPre,"0.0")&amp;")"</f>
        <v>INFO: GB300 28 / 23 mo (IT / gross); Rubin base 36 / bear 51 mo; IRR GB300 IT 32%, Rubin base 19%; IT fits 22 only at ~$32M capex, or if prepayments counted (implied rev 18.4)</v>
      </c>
      <c r="E46" s="20" t="s">
        <v>445</v>
      </c>
    </row>
    <row r="47" customFormat="false" ht="15" hidden="false" customHeight="false" outlineLevel="0" collapsed="false">
      <c r="A47" s="0" t="s">
        <v>446</v>
      </c>
      <c r="B47" s="23" t="n">
        <f aca="false">PB_EBGB</f>
        <v>17.5</v>
      </c>
      <c r="C47" s="16" t="n">
        <f aca="false">PB_EBRubin</f>
        <v>13.5</v>
      </c>
      <c r="D47" s="3" t="str">
        <f aca="false">"INFO: GB300 "&amp;TEXT(PB_EBGB,"0.0")&amp;" -&gt; Rubin "&amp;TEXT(PB_EBRubin,"0.0")&amp;" ("&amp;TEXT(PB_EBRubin/PB_EBGB-1,"0%")&amp;"); Rubin leased capex "&amp;TEXT(CPM_Lease_VR,"0.0")&amp;" (low-medium confidence)"</f>
        <v>INFO: GB300 17.5 -&gt; Rubin 13.5 (-23%); Rubin leased capex 41.0 (low-medium confidence)</v>
      </c>
      <c r="E47" s="20" t="s">
        <v>447</v>
      </c>
    </row>
    <row r="48" customFormat="false" ht="15" hidden="false" customHeight="false" outlineLevel="0" collapsed="false">
      <c r="A48" s="0" t="s">
        <v>448</v>
      </c>
      <c r="B48" s="29" t="n">
        <f aca="false">V_EV</f>
        <v>-183.737139392088</v>
      </c>
      <c r="C48" s="39" t="n">
        <f aca="false">PF_EV</f>
        <v>3639.73993545842</v>
      </c>
      <c r="D48" s="3" t="str">
        <f aca="false">IF(B48&lt;C48,"FLAG: DCF EV below asset floor","OK: DCF EV above floor")&amp;"; equity floor $/sh (price-dependent FD count) "&amp;TEXT(PF_PS1,"0.0")&amp;" cons / "&amp;TEXT(PF_PS2,"0.0")&amp;" mark / "&amp;TEXT(PF_PS3,"0.0")&amp;" high"</f>
        <v>FLAG: DCF EV below asset floor; equity floor $/sh (price-dependent FD count) 10.9 cons / 19.6 mark / 33.8 high</v>
      </c>
      <c r="E48" s="20" t="s">
        <v>449</v>
      </c>
    </row>
    <row r="49" customFormat="false" ht="15" hidden="false" customHeight="false" outlineLevel="0" collapsed="false">
      <c r="A49" s="0" t="s">
        <v>450</v>
      </c>
      <c r="B49" s="37" t="n">
        <f aca="false">0</f>
        <v>0</v>
      </c>
      <c r="C49" s="46" t="n">
        <v>0</v>
      </c>
      <c r="D49" s="3" t="str">
        <f aca="false">"OK: prepayments are cash timing only (CashFlow: Prepayments received / DR release); revenue engine = MW x $/MW and GPU-hours, no reference to prepayments or DR"</f>
        <v>OK: prepayments are cash timing only (CashFlow: Prepayments received / DR release); revenue engine = MW x $/MW and GPU-hours, no reference to prepayments or DR</v>
      </c>
      <c r="E49" s="20" t="s">
        <v>451</v>
      </c>
    </row>
    <row r="50" customFormat="false" ht="15" hidden="false" customHeight="false" outlineLevel="0" collapsed="false">
      <c r="A50" s="0" t="s">
        <v>452</v>
      </c>
      <c r="B50" s="29" t="n">
        <f aca="false">V_DRAdj</f>
        <v>-7119.9037923103</v>
      </c>
      <c r="C50" s="39" t="n">
        <f aca="false">-V_DR30</f>
        <v>-12442.234487047</v>
      </c>
      <c r="D50" s="3" t="str">
        <f aca="false">"INFO: within-horizon release "&amp;TEXT(SUM(CF_DRRel),"#,##0")&amp;" deducted from cash; post-horizon run-off PV "&amp;TEXT(-V_DRAdj,"#,##0")&amp;" deducted (DRTermOn="&amp;DRTermOn&amp;"); closing DR "&amp;TEXT(V_DR30,"#,##0")</f>
        <v>INFO: within-horizon release 20,611 deducted from cash; post-horizon run-off PV 7,120 deducted (DRTermOn=1); closing DR 12,442</v>
      </c>
      <c r="E50" s="20" t="s">
        <v>453</v>
      </c>
    </row>
    <row r="51" customFormat="false" ht="15" hidden="false" customHeight="false" outlineLevel="0" collapsed="false">
      <c r="A51" s="0" t="s">
        <v>454</v>
      </c>
      <c r="B51" s="27" t="n">
        <f aca="false">SUM(CF_Prepay)/SUMPRODUCT((Q_Idx&gt;LastHist)*CapNew)</f>
        <v>0.244223340395953</v>
      </c>
      <c r="C51" s="41" t="s">
        <v>413</v>
      </c>
      <c r="D51" s="3" t="str">
        <f aca="false">"INFO: HSPre "&amp;TEXT(HSPre,"0%")&amp;"; other 2028+ "&amp;TEXT(PrepayPct28,"0.0%")&amp;"; decay "&amp;PrepayDecayOn</f>
        <v>INFO: HSPre 30%; other 2028+ 22.5%; decay 1</v>
      </c>
      <c r="E51" s="20"/>
    </row>
    <row r="52" customFormat="false" ht="15" hidden="false" customHeight="false" outlineLevel="0" collapsed="false">
      <c r="A52" s="0" t="s">
        <v>455</v>
      </c>
      <c r="B52" s="37" t="n">
        <f aca="false">0</f>
        <v>0</v>
      </c>
      <c r="C52" s="46" t="n">
        <v>0</v>
      </c>
      <c r="D52" s="3" t="str">
        <f aca="false">"OK: none (no SFC gross-up, no SFC interest; DCF on cash flows). Implied advance financing cost &lt;= "&amp;TEXT(V_SFCRate,"0.0%")&amp;"/yr (Estimated upper bound)"</f>
        <v>OK: none (no SFC gross-up, no SFC interest; DCF on cash flows). Implied advance financing cost &lt;= 3.7%/yr (Estimated upper bound)</v>
      </c>
      <c r="E52" s="20" t="s">
        <v>456</v>
      </c>
    </row>
    <row r="53" customFormat="false" ht="15" hidden="false" customHeight="false" outlineLevel="0" collapsed="false">
      <c r="A53" s="0" t="s">
        <v>457</v>
      </c>
      <c r="B53" s="29" t="n">
        <f aca="false">INDEX(GPU_End,1,5)</f>
        <v>30000</v>
      </c>
      <c r="C53" s="39" t="n">
        <f aca="false">GPU_Q125</f>
        <v>30000</v>
      </c>
      <c r="D53" s="3" t="str">
        <f aca="false">IF(ABS(B53-C53)&lt;500,"OK: anchored (gap "&amp;TEXT(GPUAnchorD,"#,##0")&amp;" GPUs vs Capacity file)","FLAG: Capacity file "&amp;TEXT(B53,"#,##0")&amp;" vs ~30,000 actual (GPUAnchorOn=0)")</f>
        <v>OK: anchored (gap 8,059 GPUs vs Capacity file)</v>
      </c>
      <c r="E53" s="20" t="s">
        <v>458</v>
      </c>
    </row>
    <row r="54" customFormat="false" ht="15" hidden="false" customHeight="false" outlineLevel="0" collapsed="false">
      <c r="A54" s="0" t="s">
        <v>459</v>
      </c>
      <c r="B54" s="24" t="n">
        <f aca="false">Rubin_Prem</f>
        <v>1.2</v>
      </c>
      <c r="C54" s="15" t="n">
        <f aca="false">GPUMW_B/GPUMW_N</f>
        <v>1.5625</v>
      </c>
      <c r="D54" s="3" t="str">
        <f aca="false">IF(ABS(B54-C54)&lt;0.01,"INFO: at parity (OPEN input, no public Rubin price)",IF(B54&lt;C54,"INFO: Rubin revenue/MW below GB300","INFO: Rubin revenue/MW above GB300"))</f>
        <v>INFO: Rubin revenue/MW below GB300</v>
      </c>
      <c r="E54" s="20" t="s">
        <v>460</v>
      </c>
    </row>
    <row r="55" customFormat="false" ht="15" hidden="false" customHeight="false" outlineLevel="0" collapsed="false">
      <c r="A55" s="0" t="s">
        <v>461</v>
      </c>
      <c r="B55" s="37" t="n">
        <f aca="false">HistMWBasis</f>
        <v>1</v>
      </c>
      <c r="C55" s="46" t="n">
        <v>1</v>
      </c>
      <c r="D55" s="3" t="str">
        <f aca="false">"INFO: Q2 energized basis "&amp;TEXT(INDEX(MW_Act,1,LastHist),"0")&amp;" MW; Q2 rev/MW $"&amp;TEXT(INDEX(H_AIRev,1,LastHist)*4/INDEX(MW_Act,1,LastHist),"0.0")&amp;"M"</f>
        <v>INFO: Q2 energized basis 173 MW; Q2 rev/MW $13.3M</v>
      </c>
      <c r="E55" s="20" t="s">
        <v>462</v>
      </c>
    </row>
    <row r="56" customFormat="false" ht="15" hidden="false" customHeight="false" outlineLevel="0" collapsed="false">
      <c r="A56" s="0" t="s">
        <v>463</v>
      </c>
      <c r="B56" s="29" t="n">
        <f aca="false">ARR_Step</f>
        <v>88</v>
      </c>
      <c r="C56" s="39" t="n">
        <f aca="false">ARR_StepMW</f>
        <v>88</v>
      </c>
      <c r="D56" s="3" t="str">
        <f aca="false">"INFO: ~"&amp;TEXT(ARR_StepMW,"0")&amp;" MW at $12M/MW take-or-pay (fewer if reserved at Q2 renewal rates); JuneExitOn="&amp;JuneExitOn</f>
        <v>INFO: ~88 MW at $12M/MW take-or-pay (fewer if reserved at Q2 renewal rates); JuneExitOn=0</v>
      </c>
      <c r="E56" s="20"/>
    </row>
    <row r="57" customFormat="false" ht="15" hidden="false" customHeight="false" outlineLevel="0" collapsed="false">
      <c r="A57" s="0" t="s">
        <v>464</v>
      </c>
      <c r="B57" s="29" t="n">
        <f aca="false">V_EV</f>
        <v>-183.737139392088</v>
      </c>
      <c r="C57" s="39" t="n">
        <v>0</v>
      </c>
      <c r="D57" s="3" t="str">
        <f aca="false">IF(B57&lt;0,"FLAG: EV&lt;0; FD value/share floored at 0","OK")</f>
        <v>FLAG: EV&lt;0; FD value/share floored at 0</v>
      </c>
      <c r="E57" s="20"/>
    </row>
    <row r="58" customFormat="false" ht="15" hidden="false" customHeight="false" outlineLevel="0" collapsed="false">
      <c r="A58" s="0" t="s">
        <v>465</v>
      </c>
      <c r="B58" s="29" t="n">
        <f aca="false">V_TV</f>
        <v>71675.4402312843</v>
      </c>
      <c r="C58" s="39" t="n">
        <f aca="false">V_TVB</f>
        <v>59466.8460501952</v>
      </c>
      <c r="D58" s="3" t="str">
        <f aca="false">V_TVBasis</f>
        <v>RUN-OFF (reinvestment value-destroying)</v>
      </c>
      <c r="E58" s="20" t="s">
        <v>466</v>
      </c>
    </row>
    <row r="59" customFormat="false" ht="15" hidden="false" customHeight="false" outlineLevel="0" collapsed="false">
      <c r="A59" s="0" t="s">
        <v>467</v>
      </c>
      <c r="B59" s="26" t="str">
        <f aca="false">Liq_NegQ</f>
        <v>Q1'28</v>
      </c>
      <c r="C59" s="48" t="s">
        <v>468</v>
      </c>
      <c r="D59" s="3" t="str">
        <f aca="false">"INFO"</f>
        <v>INFO</v>
      </c>
      <c r="E59" s="20"/>
    </row>
    <row r="60" customFormat="false" ht="15" hidden="false" customHeight="false" outlineLevel="0" collapsed="false">
      <c r="A60" s="0" t="s">
        <v>469</v>
      </c>
      <c r="B60" s="29" t="n">
        <f aca="false">SUM(Liq_Aug)</f>
        <v>5750</v>
      </c>
      <c r="C60" s="39" t="n">
        <f aca="false">AugGross</f>
        <v>5750</v>
      </c>
      <c r="D60" s="3" t="str">
        <f aca="false">IF(AND(ABS(B60-C60)&lt;0.5,ABS(SUMPRODUCT((Q_Idx&lt;&gt;11)*Liq_Aug))&lt;0.5,ABS(INDEX(H_Cash,1,LastHist)-CS_Cash)&lt;0.5,ABS(SUM(CF_CVProc)-SUM(CF_FPConv)-AugNet)&lt;0.5),"OK: once (runway Q3'26 gross 5,750; CashFlow Q3'26 net 5,680)","DOUBLE/MISSING")</f>
        <v>OK: once (runway Q3'26 gross 5,750; CashFlow Q3'26 net 5,680)</v>
      </c>
      <c r="E60" s="20" t="s">
        <v>470</v>
      </c>
    </row>
    <row r="61" customFormat="false" ht="15" hidden="false" customHeight="false" outlineLevel="0" collapsed="false">
      <c r="A61" s="0" t="s">
        <v>471</v>
      </c>
      <c r="B61" s="29" t="n">
        <f aca="false">SecAmt*LoanOn</f>
        <v>0</v>
      </c>
      <c r="C61" s="39" t="n">
        <v>0</v>
      </c>
      <c r="D61" s="3" t="str">
        <f aca="false">IF(LoanOn=0,"OK: $0 drawn (undisclosed); $775M sensitivity","INFO: $775M drawn sensitivity")</f>
        <v>OK: $0 drawn (undisclosed); $775M sensitivity</v>
      </c>
      <c r="E61" s="20" t="s">
        <v>472</v>
      </c>
    </row>
    <row r="62" customFormat="false" ht="15" hidden="false" customHeight="false" outlineLevel="0" collapsed="false">
      <c r="A62" s="0" t="s">
        <v>473</v>
      </c>
      <c r="B62" s="29" t="n">
        <f aca="false">MIN(INDEX(Liq,1,11):INDEX(Liq,1,16))</f>
        <v>2073.20268369447</v>
      </c>
      <c r="C62" s="39" t="n">
        <f aca="false">MinCash</f>
        <v>2000</v>
      </c>
      <c r="D62" s="3" t="str">
        <f aca="false">IF(FP_On=0,"INFO: plan off",IF(B62&gt;=C62,"OK: gap through YE27 closed","FLAG: plan does not close the FY27 gap"))&amp;"; min to Q4'30 "&amp;TEXT(MIN(Liq),"#,##0")</f>
        <v>OK: gap through YE27 closed; min to Q4'30 -36,275</v>
      </c>
      <c r="E62" s="20" t="s">
        <v>474</v>
      </c>
    </row>
    <row r="63" customFormat="false" ht="15" hidden="false" customHeight="false" outlineLevel="0" collapsed="false">
      <c r="A63" s="0" t="s">
        <v>475</v>
      </c>
      <c r="B63" s="29" t="n">
        <f aca="false">SUMPRODUCT((147&gt;Valuation!$H$79:$H$90)*Valuation!$E$79:$E$90)</f>
        <v>3337.5</v>
      </c>
      <c r="C63" s="39" t="n">
        <v>3337.5</v>
      </c>
      <c r="D63" s="3" t="str">
        <f aca="false">IF(ABS(B63-C63)&lt;5,"OK","CHECK")&amp;"; shares "&amp;TEXT(SUMPRODUCT((147&gt;Valuation!$H$79:$H$90)*Valuation!$E$79:$E$90*Valuation!$G$79:$G$90)/1000,"0.0")&amp;"M; at $46 debt "&amp;TEXT(SUMPRODUCT((46&lt;=Valuation!$H$79:$H$90)*Valuation!$E$79:$E$90),"#,##0")</f>
        <v>OK; shares 26.2M; at $46 debt 13,425</v>
      </c>
      <c r="E63" s="20" t="s">
        <v>476</v>
      </c>
    </row>
    <row r="64" customFormat="false" ht="15" hidden="false" customHeight="false" outlineLevel="0" collapsed="false">
      <c r="A64" s="0" t="s">
        <v>477</v>
      </c>
      <c r="B64" s="31" t="n">
        <f aca="false">V_SHF</f>
        <v>327.195752</v>
      </c>
      <c r="C64" s="49" t="n">
        <f aca="false">V_SH</f>
        <v>314.925245</v>
      </c>
      <c r="D64" s="3" t="str">
        <f aca="false">"INFO: +"&amp;TEXT(V_SHF-V_SH,"0.0")&amp;"M (ATM "&amp;TEXT(V_FPSh,"0.0")&amp;"M); full-conv "&amp;TEXT(V_SHFFull,"0.0")&amp;" / NSS "&amp;TEXT(V_SHFNSS,"0.0")&amp;"; value/share pre "&amp;TEXT(V_PS,"0.0")&amp;" -&gt; post "&amp;TEXT(V_PSF,"0.0")</f>
        <v>INFO: +12.3M (ATM 12.3M); full-conv 327.2 / NSS 327.2; value/share pre 0.0 -&gt; post 0.0</v>
      </c>
      <c r="E64" s="20"/>
    </row>
    <row r="65" customFormat="false" ht="15" hidden="false" customHeight="false" outlineLevel="0" collapsed="false">
      <c r="A65" s="0" t="s">
        <v>478</v>
      </c>
      <c r="B65" s="29" t="n">
        <f aca="false">V_AV</f>
        <v>0</v>
      </c>
      <c r="C65" s="39" t="n">
        <f aca="false">V_AVAdd</f>
        <v>0</v>
      </c>
      <c r="D65" s="3" t="str">
        <f aca="false">IF(V_AV=0,"OK: Avride $0, burn kept in EBITDA",IF(V_AVAdd&gt;0,"OK: burn added back (no double count)","FLAG: double count"))</f>
        <v>OK: Avride $0, burn kept in EBITDA</v>
      </c>
      <c r="E65" s="20"/>
    </row>
    <row r="66" customFormat="false" ht="15" hidden="false" customHeight="false" outlineLevel="0" collapsed="false">
      <c r="A66" s="0" t="s">
        <v>479</v>
      </c>
      <c r="B66" s="37" t="n">
        <f aca="false">RedSites</f>
        <v>5</v>
      </c>
      <c r="C66" s="46"/>
      <c r="D66" s="3" t="str">
        <f aca="false">"INFO"</f>
        <v>INFO</v>
      </c>
      <c r="E66" s="20"/>
    </row>
    <row r="67" customFormat="false" ht="15" hidden="false" customHeight="false" outlineLevel="0" collapsed="false">
      <c r="A67" s="0" t="s">
        <v>480</v>
      </c>
      <c r="B67" s="29" t="n">
        <f aca="false">SUMIF(Q_Yr,2027,PL_EBIT)</f>
        <v>-984.898133745312</v>
      </c>
      <c r="C67" s="39" t="n">
        <f aca="false">CHOOSE(MATCH(Life_B,{4,5,6},1),SkEBIT4,SkEBIT5,SkEBIT6)</f>
        <v>1980</v>
      </c>
      <c r="D67" s="3" t="str">
        <f aca="false">"INFO"</f>
        <v>INFO</v>
      </c>
      <c r="E67" s="20" t="s">
        <v>481</v>
      </c>
    </row>
  </sheetData>
  <conditionalFormatting sqref="D4:D68">
    <cfRule type="expression" priority="2" aboveAverage="0" equalAverage="0" bottom="0" percent="0" rank="0" text="" dxfId="0">
      <formula>ISNUMBER(SEARCH("OK",D4))</formula>
    </cfRule>
    <cfRule type="expression" priority="3" aboveAverage="0" equalAverage="0" bottom="0" percent="0" rank="0" text="" dxfId="1">
      <formula>AND(D4&lt;&gt;"INFO",NOT(ISNUMBER(SEARCH("OK",D4))))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9" min="3" style="0" width="11"/>
    <col collapsed="false" customWidth="true" hidden="false" outlineLevel="0" max="10" min="10" style="0" width="16"/>
    <col collapsed="false" customWidth="true" hidden="false" outlineLevel="0" max="11" min="11" style="0" width="14"/>
    <col collapsed="false" customWidth="true" hidden="false" outlineLevel="0" max="12" min="12" style="0" width="90"/>
  </cols>
  <sheetData>
    <row r="1" customFormat="false" ht="17.35" hidden="false" customHeight="false" outlineLevel="0" collapsed="false">
      <c r="A1" s="1" t="s">
        <v>482</v>
      </c>
    </row>
    <row r="2" customFormat="false" ht="15" hidden="false" customHeight="false" outlineLevel="0" collapsed="false">
      <c r="A2" s="20" t="s">
        <v>483</v>
      </c>
    </row>
    <row r="4" customFormat="false" ht="15" hidden="false" customHeight="false" outlineLevel="0" collapsed="false">
      <c r="A4" s="3" t="s">
        <v>484</v>
      </c>
      <c r="D4" s="52" t="n">
        <v>2</v>
      </c>
      <c r="E4" s="3" t="str">
        <f aca="false">CHOOSE(Scen,"BULL","BASE","BEAR")</f>
        <v>BASE</v>
      </c>
    </row>
    <row r="6" customFormat="false" ht="15" hidden="false" customHeight="false" outlineLevel="0" collapsed="false">
      <c r="A6" s="36" t="s">
        <v>485</v>
      </c>
      <c r="B6" s="36" t="s">
        <v>486</v>
      </c>
      <c r="C6" s="36" t="s">
        <v>89</v>
      </c>
      <c r="D6" s="36" t="s">
        <v>487</v>
      </c>
      <c r="E6" s="36" t="s">
        <v>90</v>
      </c>
      <c r="F6" s="36" t="s">
        <v>488</v>
      </c>
      <c r="G6" s="36"/>
      <c r="H6" s="36"/>
      <c r="I6" s="36"/>
      <c r="J6" s="36" t="s">
        <v>489</v>
      </c>
      <c r="K6" s="36" t="s">
        <v>371</v>
      </c>
      <c r="L6" s="36" t="s">
        <v>490</v>
      </c>
    </row>
    <row r="7" customFormat="false" ht="15" hidden="false" customHeight="false" outlineLevel="0" collapsed="false">
      <c r="A7" s="53" t="s">
        <v>491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</row>
    <row r="8" customFormat="false" ht="15" hidden="false" customHeight="false" outlineLevel="0" collapsed="false">
      <c r="A8" s="0" t="s">
        <v>492</v>
      </c>
      <c r="B8" s="20" t="s">
        <v>493</v>
      </c>
      <c r="C8" s="0" t="s">
        <v>494</v>
      </c>
      <c r="D8" s="55" t="n">
        <v>46299</v>
      </c>
      <c r="E8" s="0" t="s">
        <v>494</v>
      </c>
      <c r="F8" s="56" t="n">
        <f aca="false">D8</f>
        <v>46299</v>
      </c>
      <c r="J8" s="20" t="s">
        <v>495</v>
      </c>
      <c r="K8" s="20" t="s">
        <v>496</v>
      </c>
      <c r="L8" s="20" t="s">
        <v>497</v>
      </c>
    </row>
    <row r="9" customFormat="false" ht="15" hidden="false" customHeight="false" outlineLevel="0" collapsed="false">
      <c r="A9" s="0" t="s">
        <v>498</v>
      </c>
      <c r="B9" s="20" t="s">
        <v>499</v>
      </c>
      <c r="C9" s="0" t="s">
        <v>494</v>
      </c>
      <c r="D9" s="21" t="n">
        <v>10</v>
      </c>
      <c r="E9" s="0" t="s">
        <v>494</v>
      </c>
      <c r="F9" s="57" t="n">
        <f aca="false">D9</f>
        <v>10</v>
      </c>
      <c r="J9" s="20" t="s">
        <v>495</v>
      </c>
      <c r="K9" s="20" t="s">
        <v>496</v>
      </c>
      <c r="L9" s="20" t="s">
        <v>500</v>
      </c>
    </row>
    <row r="10" customFormat="false" ht="15" hidden="false" customHeight="false" outlineLevel="0" collapsed="false">
      <c r="A10" s="0" t="s">
        <v>501</v>
      </c>
      <c r="B10" s="20" t="s">
        <v>502</v>
      </c>
      <c r="C10" s="0" t="s">
        <v>494</v>
      </c>
      <c r="D10" s="21" t="n">
        <v>2023</v>
      </c>
      <c r="E10" s="0" t="s">
        <v>494</v>
      </c>
      <c r="F10" s="57" t="n">
        <f aca="false">D10</f>
        <v>2023</v>
      </c>
      <c r="J10" s="20" t="s">
        <v>495</v>
      </c>
      <c r="K10" s="20" t="s">
        <v>496</v>
      </c>
      <c r="L10" s="20" t="s">
        <v>503</v>
      </c>
    </row>
    <row r="11" customFormat="false" ht="15" hidden="false" customHeight="false" outlineLevel="0" collapsed="false">
      <c r="A11" s="0" t="s">
        <v>504</v>
      </c>
      <c r="B11" s="20" t="s">
        <v>505</v>
      </c>
      <c r="C11" s="0" t="s">
        <v>494</v>
      </c>
      <c r="D11" s="58" t="n">
        <v>242.81</v>
      </c>
      <c r="E11" s="0" t="s">
        <v>494</v>
      </c>
      <c r="F11" s="59" t="n">
        <f aca="false">D11</f>
        <v>242.81</v>
      </c>
      <c r="J11" s="20" t="s">
        <v>506</v>
      </c>
      <c r="K11" s="20" t="s">
        <v>507</v>
      </c>
      <c r="L11" s="20" t="s">
        <v>508</v>
      </c>
    </row>
    <row r="12" customFormat="false" ht="15" hidden="false" customHeight="false" outlineLevel="0" collapsed="false">
      <c r="A12" s="0" t="s">
        <v>509</v>
      </c>
      <c r="B12" s="20" t="s">
        <v>499</v>
      </c>
      <c r="C12" s="0" t="s">
        <v>494</v>
      </c>
      <c r="D12" s="21" t="n">
        <v>2</v>
      </c>
      <c r="E12" s="0" t="s">
        <v>494</v>
      </c>
      <c r="F12" s="57" t="n">
        <f aca="false">D12</f>
        <v>2</v>
      </c>
      <c r="J12" s="20" t="s">
        <v>495</v>
      </c>
      <c r="K12" s="20" t="s">
        <v>496</v>
      </c>
      <c r="L12" s="20" t="s">
        <v>510</v>
      </c>
    </row>
    <row r="13" customFormat="false" ht="15" hidden="false" customHeight="false" outlineLevel="0" collapsed="false">
      <c r="A13" s="0" t="s">
        <v>511</v>
      </c>
      <c r="B13" s="20" t="s">
        <v>512</v>
      </c>
      <c r="C13" s="22" t="n">
        <v>1</v>
      </c>
      <c r="D13" s="22" t="n">
        <v>1</v>
      </c>
      <c r="E13" s="22" t="n">
        <v>1</v>
      </c>
      <c r="F13" s="57" t="n">
        <f aca="false">CHOOSE(Scen,C13,D13,E13)</f>
        <v>1</v>
      </c>
      <c r="J13" s="20" t="s">
        <v>513</v>
      </c>
      <c r="K13" s="20" t="s">
        <v>514</v>
      </c>
      <c r="L13" s="20" t="s">
        <v>515</v>
      </c>
    </row>
    <row r="14" customFormat="false" ht="15" hidden="false" customHeight="false" outlineLevel="0" collapsed="false">
      <c r="A14" s="0" t="s">
        <v>516</v>
      </c>
      <c r="B14" s="20" t="s">
        <v>499</v>
      </c>
      <c r="C14" s="0" t="s">
        <v>494</v>
      </c>
      <c r="D14" s="21" t="n">
        <v>3</v>
      </c>
      <c r="E14" s="0" t="s">
        <v>494</v>
      </c>
      <c r="F14" s="57" t="n">
        <f aca="false">D14</f>
        <v>3</v>
      </c>
      <c r="J14" s="20" t="s">
        <v>495</v>
      </c>
      <c r="K14" s="20" t="s">
        <v>496</v>
      </c>
      <c r="L14" s="20" t="s">
        <v>517</v>
      </c>
    </row>
    <row r="15" customFormat="false" ht="15" hidden="false" customHeight="false" outlineLevel="0" collapsed="false">
      <c r="A15" s="0" t="s">
        <v>518</v>
      </c>
      <c r="B15" s="20" t="s">
        <v>519</v>
      </c>
      <c r="C15" s="0" t="s">
        <v>494</v>
      </c>
      <c r="D15" s="19" t="n">
        <v>42</v>
      </c>
      <c r="E15" s="0" t="s">
        <v>494</v>
      </c>
      <c r="F15" s="60" t="n">
        <f aca="false">D15</f>
        <v>42</v>
      </c>
      <c r="J15" s="20" t="s">
        <v>513</v>
      </c>
      <c r="K15" s="20" t="s">
        <v>514</v>
      </c>
      <c r="L15" s="20" t="s">
        <v>520</v>
      </c>
    </row>
    <row r="16" customFormat="false" ht="15" hidden="false" customHeight="false" outlineLevel="0" collapsed="false">
      <c r="A16" s="0" t="s">
        <v>521</v>
      </c>
      <c r="B16" s="20" t="s">
        <v>519</v>
      </c>
      <c r="C16" s="0" t="s">
        <v>494</v>
      </c>
      <c r="D16" s="19" t="n">
        <v>53</v>
      </c>
      <c r="E16" s="0" t="s">
        <v>494</v>
      </c>
      <c r="F16" s="60" t="n">
        <f aca="false">D16</f>
        <v>53</v>
      </c>
      <c r="J16" s="20" t="s">
        <v>513</v>
      </c>
      <c r="K16" s="20" t="s">
        <v>514</v>
      </c>
      <c r="L16" s="20" t="s">
        <v>522</v>
      </c>
    </row>
    <row r="17" customFormat="false" ht="15" hidden="false" customHeight="false" outlineLevel="0" collapsed="false">
      <c r="A17" s="0" t="s">
        <v>523</v>
      </c>
      <c r="B17" s="20" t="s">
        <v>519</v>
      </c>
      <c r="C17" s="19" t="n">
        <v>53</v>
      </c>
      <c r="D17" s="19" t="n">
        <v>56</v>
      </c>
      <c r="E17" s="19" t="n">
        <v>59</v>
      </c>
      <c r="F17" s="60" t="n">
        <f aca="false">CHOOSE(Scen,C17,D17,E17)</f>
        <v>56</v>
      </c>
      <c r="J17" s="20" t="s">
        <v>513</v>
      </c>
      <c r="K17" s="20" t="s">
        <v>514</v>
      </c>
      <c r="L17" s="20" t="s">
        <v>524</v>
      </c>
    </row>
    <row r="18" customFormat="false" ht="15" hidden="false" customHeight="false" outlineLevel="0" collapsed="false">
      <c r="A18" s="0" t="s">
        <v>525</v>
      </c>
      <c r="B18" s="20" t="s">
        <v>519</v>
      </c>
      <c r="C18" s="0" t="s">
        <v>494</v>
      </c>
      <c r="D18" s="19" t="n">
        <v>42</v>
      </c>
      <c r="E18" s="0" t="s">
        <v>494</v>
      </c>
      <c r="F18" s="60" t="n">
        <f aca="false">D18</f>
        <v>42</v>
      </c>
      <c r="J18" s="20" t="s">
        <v>513</v>
      </c>
      <c r="K18" s="20" t="s">
        <v>514</v>
      </c>
      <c r="L18" s="20" t="s">
        <v>526</v>
      </c>
    </row>
    <row r="19" customFormat="false" ht="15" hidden="false" customHeight="false" outlineLevel="0" collapsed="false">
      <c r="A19" s="0" t="s">
        <v>527</v>
      </c>
      <c r="B19" s="20" t="s">
        <v>519</v>
      </c>
      <c r="C19" s="0" t="s">
        <v>494</v>
      </c>
      <c r="D19" s="19" t="n">
        <v>30</v>
      </c>
      <c r="E19" s="0" t="s">
        <v>494</v>
      </c>
      <c r="F19" s="60" t="n">
        <f aca="false">D19</f>
        <v>30</v>
      </c>
      <c r="J19" s="20" t="s">
        <v>513</v>
      </c>
      <c r="K19" s="20" t="s">
        <v>514</v>
      </c>
      <c r="L19" s="20" t="s">
        <v>528</v>
      </c>
    </row>
    <row r="20" customFormat="false" ht="15" hidden="false" customHeight="false" outlineLevel="0" collapsed="false">
      <c r="A20" s="0" t="s">
        <v>529</v>
      </c>
      <c r="B20" s="20" t="s">
        <v>519</v>
      </c>
      <c r="C20" s="0" t="s">
        <v>494</v>
      </c>
      <c r="D20" s="19" t="n">
        <v>41</v>
      </c>
      <c r="E20" s="0" t="s">
        <v>494</v>
      </c>
      <c r="F20" s="60" t="n">
        <f aca="false">D20</f>
        <v>41</v>
      </c>
      <c r="J20" s="20" t="s">
        <v>513</v>
      </c>
      <c r="K20" s="20" t="s">
        <v>514</v>
      </c>
      <c r="L20" s="20" t="s">
        <v>528</v>
      </c>
    </row>
    <row r="21" customFormat="false" ht="15" hidden="false" customHeight="false" outlineLevel="0" collapsed="false">
      <c r="A21" s="0" t="s">
        <v>530</v>
      </c>
      <c r="B21" s="20" t="s">
        <v>519</v>
      </c>
      <c r="C21" s="19" t="n">
        <v>41</v>
      </c>
      <c r="D21" s="19" t="n">
        <v>41</v>
      </c>
      <c r="E21" s="19" t="n">
        <v>48.5</v>
      </c>
      <c r="F21" s="60" t="n">
        <f aca="false">CHOOSE(Scen,C21,D21,E21)</f>
        <v>41</v>
      </c>
      <c r="J21" s="20" t="s">
        <v>531</v>
      </c>
      <c r="K21" s="20" t="s">
        <v>514</v>
      </c>
      <c r="L21" s="20" t="s">
        <v>532</v>
      </c>
    </row>
    <row r="22" customFormat="false" ht="15" hidden="false" customHeight="false" outlineLevel="0" collapsed="false">
      <c r="A22" s="0" t="s">
        <v>533</v>
      </c>
      <c r="B22" s="20" t="s">
        <v>534</v>
      </c>
      <c r="C22" s="0" t="s">
        <v>494</v>
      </c>
      <c r="D22" s="21" t="n">
        <v>1</v>
      </c>
      <c r="E22" s="0" t="s">
        <v>494</v>
      </c>
      <c r="F22" s="57" t="n">
        <f aca="false">D22</f>
        <v>1</v>
      </c>
      <c r="J22" s="20" t="s">
        <v>495</v>
      </c>
      <c r="K22" s="20" t="s">
        <v>496</v>
      </c>
      <c r="L22" s="20" t="s">
        <v>535</v>
      </c>
    </row>
    <row r="23" customFormat="false" ht="15" hidden="false" customHeight="false" outlineLevel="0" collapsed="false">
      <c r="A23" s="0" t="s">
        <v>536</v>
      </c>
      <c r="B23" s="20" t="s">
        <v>537</v>
      </c>
      <c r="C23" s="0" t="s">
        <v>494</v>
      </c>
      <c r="D23" s="21" t="n">
        <v>2</v>
      </c>
      <c r="E23" s="0" t="s">
        <v>494</v>
      </c>
      <c r="F23" s="57" t="n">
        <f aca="false">D23</f>
        <v>2</v>
      </c>
      <c r="J23" s="20" t="s">
        <v>495</v>
      </c>
      <c r="K23" s="20" t="s">
        <v>496</v>
      </c>
      <c r="L23" s="20" t="s">
        <v>538</v>
      </c>
    </row>
    <row r="24" customFormat="false" ht="15" hidden="false" customHeight="false" outlineLevel="0" collapsed="false">
      <c r="A24" s="0" t="s">
        <v>539</v>
      </c>
      <c r="B24" s="20" t="s">
        <v>534</v>
      </c>
      <c r="C24" s="0" t="s">
        <v>494</v>
      </c>
      <c r="D24" s="21" t="n">
        <v>1</v>
      </c>
      <c r="E24" s="0" t="s">
        <v>494</v>
      </c>
      <c r="F24" s="57" t="n">
        <f aca="false">D24</f>
        <v>1</v>
      </c>
      <c r="J24" s="20" t="s">
        <v>495</v>
      </c>
      <c r="K24" s="20" t="s">
        <v>496</v>
      </c>
      <c r="L24" s="20" t="s">
        <v>540</v>
      </c>
    </row>
    <row r="25" customFormat="false" ht="15" hidden="false" customHeight="false" outlineLevel="0" collapsed="false">
      <c r="A25" s="0" t="s">
        <v>541</v>
      </c>
      <c r="B25" s="20" t="s">
        <v>542</v>
      </c>
      <c r="C25" s="0" t="s">
        <v>494</v>
      </c>
      <c r="D25" s="61" t="n">
        <v>0.75</v>
      </c>
      <c r="E25" s="0" t="s">
        <v>494</v>
      </c>
      <c r="F25" s="6" t="n">
        <f aca="false">D25</f>
        <v>0.75</v>
      </c>
      <c r="J25" s="20" t="s">
        <v>513</v>
      </c>
      <c r="K25" s="20" t="s">
        <v>543</v>
      </c>
      <c r="L25" s="20" t="s">
        <v>544</v>
      </c>
    </row>
    <row r="26" customFormat="false" ht="15" hidden="false" customHeight="false" outlineLevel="0" collapsed="false">
      <c r="A26" s="0" t="s">
        <v>545</v>
      </c>
      <c r="B26" s="20" t="s">
        <v>534</v>
      </c>
      <c r="C26" s="0" t="s">
        <v>494</v>
      </c>
      <c r="D26" s="21" t="n">
        <v>1</v>
      </c>
      <c r="E26" s="0" t="s">
        <v>494</v>
      </c>
      <c r="F26" s="57" t="n">
        <f aca="false">D26</f>
        <v>1</v>
      </c>
      <c r="J26" s="20" t="s">
        <v>546</v>
      </c>
      <c r="K26" s="20" t="s">
        <v>496</v>
      </c>
      <c r="L26" s="20" t="s">
        <v>547</v>
      </c>
    </row>
    <row r="27" customFormat="false" ht="15" hidden="false" customHeight="false" outlineLevel="0" collapsed="false">
      <c r="A27" s="0" t="s">
        <v>548</v>
      </c>
      <c r="B27" s="20" t="s">
        <v>549</v>
      </c>
      <c r="C27" s="0" t="s">
        <v>494</v>
      </c>
      <c r="D27" s="62" t="n">
        <v>0.3</v>
      </c>
      <c r="E27" s="0" t="s">
        <v>494</v>
      </c>
      <c r="F27" s="38" t="n">
        <f aca="false">D27</f>
        <v>0.3</v>
      </c>
      <c r="J27" s="20" t="s">
        <v>550</v>
      </c>
      <c r="K27" s="20" t="s">
        <v>507</v>
      </c>
      <c r="L27" s="20" t="s">
        <v>551</v>
      </c>
    </row>
    <row r="28" customFormat="false" ht="15" hidden="false" customHeight="false" outlineLevel="0" collapsed="false">
      <c r="A28" s="0" t="s">
        <v>552</v>
      </c>
      <c r="B28" s="20" t="s">
        <v>553</v>
      </c>
      <c r="C28" s="0" t="s">
        <v>494</v>
      </c>
      <c r="D28" s="24" t="n">
        <f aca="false">(2*2.95+3.85)/3</f>
        <v>3.25</v>
      </c>
      <c r="E28" s="0" t="s">
        <v>494</v>
      </c>
      <c r="F28" s="6" t="n">
        <f aca="false">D28</f>
        <v>3.25</v>
      </c>
      <c r="J28" s="20" t="s">
        <v>546</v>
      </c>
      <c r="K28" s="20" t="s">
        <v>554</v>
      </c>
      <c r="L28" s="20" t="s">
        <v>555</v>
      </c>
    </row>
    <row r="29" customFormat="false" ht="15" hidden="false" customHeight="false" outlineLevel="0" collapsed="false">
      <c r="A29" s="0" t="s">
        <v>556</v>
      </c>
      <c r="B29" s="20" t="s">
        <v>557</v>
      </c>
      <c r="C29" s="0" t="s">
        <v>494</v>
      </c>
      <c r="D29" s="19" t="n">
        <v>13.3</v>
      </c>
      <c r="E29" s="0" t="s">
        <v>494</v>
      </c>
      <c r="F29" s="60" t="n">
        <f aca="false">D29</f>
        <v>13.3</v>
      </c>
      <c r="J29" s="20" t="s">
        <v>495</v>
      </c>
      <c r="K29" s="20" t="s">
        <v>514</v>
      </c>
      <c r="L29" s="20" t="s">
        <v>558</v>
      </c>
    </row>
    <row r="30" customFormat="false" ht="15" hidden="false" customHeight="false" outlineLevel="0" collapsed="false">
      <c r="A30" s="0" t="s">
        <v>559</v>
      </c>
      <c r="B30" s="20" t="s">
        <v>557</v>
      </c>
      <c r="C30" s="0" t="s">
        <v>494</v>
      </c>
      <c r="D30" s="19" t="n">
        <v>13.5</v>
      </c>
      <c r="E30" s="0" t="s">
        <v>494</v>
      </c>
      <c r="F30" s="60" t="n">
        <f aca="false">D30</f>
        <v>13.5</v>
      </c>
      <c r="J30" s="20" t="s">
        <v>495</v>
      </c>
      <c r="K30" s="20" t="s">
        <v>514</v>
      </c>
      <c r="L30" s="20"/>
    </row>
    <row r="31" customFormat="false" ht="15" hidden="false" customHeight="false" outlineLevel="0" collapsed="false">
      <c r="A31" s="0" t="s">
        <v>560</v>
      </c>
      <c r="B31" s="20" t="s">
        <v>561</v>
      </c>
      <c r="C31" s="0" t="s">
        <v>494</v>
      </c>
      <c r="D31" s="63" t="n">
        <v>650</v>
      </c>
      <c r="E31" s="0" t="s">
        <v>494</v>
      </c>
      <c r="F31" s="5" t="n">
        <f aca="false">D31</f>
        <v>650</v>
      </c>
      <c r="J31" s="20" t="s">
        <v>495</v>
      </c>
      <c r="K31" s="20" t="s">
        <v>514</v>
      </c>
      <c r="L31" s="20" t="s">
        <v>562</v>
      </c>
    </row>
    <row r="32" customFormat="false" ht="15" hidden="false" customHeight="false" outlineLevel="0" collapsed="false">
      <c r="A32" s="0" t="s">
        <v>563</v>
      </c>
      <c r="B32" s="20" t="s">
        <v>561</v>
      </c>
      <c r="C32" s="0" t="s">
        <v>494</v>
      </c>
      <c r="D32" s="63" t="n">
        <v>700</v>
      </c>
      <c r="E32" s="0" t="s">
        <v>494</v>
      </c>
      <c r="F32" s="5" t="n">
        <f aca="false">D32</f>
        <v>700</v>
      </c>
      <c r="J32" s="20" t="s">
        <v>495</v>
      </c>
      <c r="K32" s="20" t="s">
        <v>514</v>
      </c>
      <c r="L32" s="20"/>
    </row>
    <row r="33" customFormat="false" ht="15" hidden="false" customHeight="false" outlineLevel="0" collapsed="false">
      <c r="A33" s="0" t="s">
        <v>564</v>
      </c>
      <c r="B33" s="20" t="s">
        <v>549</v>
      </c>
      <c r="C33" s="0" t="s">
        <v>494</v>
      </c>
      <c r="D33" s="64" t="n">
        <f aca="false">13.98/23</f>
        <v>0.607826086956522</v>
      </c>
      <c r="E33" s="0" t="s">
        <v>494</v>
      </c>
      <c r="F33" s="65" t="n">
        <f aca="false">D33</f>
        <v>0.607826086956522</v>
      </c>
      <c r="J33" s="20" t="s">
        <v>506</v>
      </c>
      <c r="K33" s="20" t="s">
        <v>514</v>
      </c>
      <c r="L33" s="20" t="s">
        <v>565</v>
      </c>
    </row>
    <row r="34" customFormat="false" ht="15" hidden="false" customHeight="false" outlineLevel="0" collapsed="false">
      <c r="A34" s="0" t="s">
        <v>566</v>
      </c>
      <c r="B34" s="20" t="s">
        <v>549</v>
      </c>
      <c r="C34" s="0" t="s">
        <v>494</v>
      </c>
      <c r="D34" s="66" t="n">
        <v>0.62</v>
      </c>
      <c r="E34" s="0" t="s">
        <v>494</v>
      </c>
      <c r="F34" s="38" t="n">
        <f aca="false">D34</f>
        <v>0.62</v>
      </c>
      <c r="J34" s="20" t="s">
        <v>546</v>
      </c>
      <c r="K34" s="20" t="s">
        <v>543</v>
      </c>
      <c r="L34" s="20" t="s">
        <v>567</v>
      </c>
    </row>
    <row r="35" customFormat="false" ht="15" hidden="false" customHeight="false" outlineLevel="0" collapsed="false">
      <c r="A35" s="0" t="s">
        <v>568</v>
      </c>
      <c r="B35" s="20" t="s">
        <v>534</v>
      </c>
      <c r="C35" s="0" t="s">
        <v>494</v>
      </c>
      <c r="D35" s="21" t="n">
        <v>1</v>
      </c>
      <c r="E35" s="0" t="s">
        <v>494</v>
      </c>
      <c r="F35" s="57" t="n">
        <f aca="false">D35</f>
        <v>1</v>
      </c>
      <c r="J35" s="20" t="s">
        <v>495</v>
      </c>
      <c r="K35" s="20" t="s">
        <v>496</v>
      </c>
      <c r="L35" s="20" t="s">
        <v>569</v>
      </c>
    </row>
    <row r="36" customFormat="false" ht="15" hidden="false" customHeight="false" outlineLevel="0" collapsed="false">
      <c r="A36" s="0" t="s">
        <v>570</v>
      </c>
      <c r="B36" s="20" t="s">
        <v>534</v>
      </c>
      <c r="C36" s="0" t="s">
        <v>494</v>
      </c>
      <c r="D36" s="21" t="n">
        <v>1</v>
      </c>
      <c r="E36" s="0" t="s">
        <v>494</v>
      </c>
      <c r="F36" s="57" t="n">
        <f aca="false">D36</f>
        <v>1</v>
      </c>
      <c r="J36" s="20" t="s">
        <v>495</v>
      </c>
      <c r="K36" s="20" t="s">
        <v>496</v>
      </c>
      <c r="L36" s="20" t="s">
        <v>571</v>
      </c>
    </row>
    <row r="37" customFormat="false" ht="15" hidden="false" customHeight="false" outlineLevel="0" collapsed="false">
      <c r="A37" s="0" t="s">
        <v>572</v>
      </c>
      <c r="B37" s="20" t="s">
        <v>499</v>
      </c>
      <c r="C37" s="0" t="s">
        <v>494</v>
      </c>
      <c r="D37" s="21" t="n">
        <v>1</v>
      </c>
      <c r="E37" s="0" t="s">
        <v>494</v>
      </c>
      <c r="F37" s="57" t="n">
        <f aca="false">D37</f>
        <v>1</v>
      </c>
      <c r="J37" s="20" t="s">
        <v>531</v>
      </c>
      <c r="K37" s="20" t="s">
        <v>496</v>
      </c>
      <c r="L37" s="20" t="s">
        <v>573</v>
      </c>
    </row>
    <row r="38" customFormat="false" ht="15" hidden="false" customHeight="false" outlineLevel="0" collapsed="false">
      <c r="A38" s="0" t="s">
        <v>574</v>
      </c>
      <c r="B38" s="20" t="s">
        <v>575</v>
      </c>
      <c r="C38" s="0" t="s">
        <v>494</v>
      </c>
      <c r="D38" s="67" t="n">
        <v>190</v>
      </c>
      <c r="E38" s="0" t="s">
        <v>494</v>
      </c>
      <c r="F38" s="5" t="n">
        <f aca="false">D38</f>
        <v>190</v>
      </c>
      <c r="J38" s="20" t="s">
        <v>550</v>
      </c>
      <c r="K38" s="20" t="s">
        <v>554</v>
      </c>
      <c r="L38" s="20" t="s">
        <v>576</v>
      </c>
    </row>
    <row r="39" customFormat="false" ht="15" hidden="false" customHeight="false" outlineLevel="0" collapsed="false">
      <c r="A39" s="0" t="s">
        <v>577</v>
      </c>
      <c r="B39" s="20" t="s">
        <v>542</v>
      </c>
      <c r="C39" s="0" t="s">
        <v>494</v>
      </c>
      <c r="D39" s="68" t="n">
        <v>2.2</v>
      </c>
      <c r="E39" s="0" t="s">
        <v>494</v>
      </c>
      <c r="F39" s="6" t="n">
        <f aca="false">D39</f>
        <v>2.2</v>
      </c>
      <c r="J39" s="20" t="s">
        <v>513</v>
      </c>
      <c r="K39" s="20" t="s">
        <v>514</v>
      </c>
      <c r="L39" s="20" t="s">
        <v>578</v>
      </c>
    </row>
    <row r="40" customFormat="false" ht="15" hidden="false" customHeight="false" outlineLevel="0" collapsed="false">
      <c r="A40" s="0" t="s">
        <v>579</v>
      </c>
      <c r="B40" s="20" t="s">
        <v>561</v>
      </c>
      <c r="C40" s="0" t="s">
        <v>494</v>
      </c>
      <c r="D40" s="69" t="n">
        <v>0</v>
      </c>
      <c r="E40" s="0" t="s">
        <v>494</v>
      </c>
      <c r="F40" s="5" t="n">
        <f aca="false">D40</f>
        <v>0</v>
      </c>
      <c r="J40" s="20" t="s">
        <v>550</v>
      </c>
      <c r="K40" s="20" t="s">
        <v>543</v>
      </c>
      <c r="L40" s="20" t="s">
        <v>580</v>
      </c>
    </row>
    <row r="41" customFormat="false" ht="15" hidden="false" customHeight="false" outlineLevel="0" collapsed="false">
      <c r="A41" s="0" t="s">
        <v>581</v>
      </c>
      <c r="B41" s="20" t="s">
        <v>534</v>
      </c>
      <c r="C41" s="0" t="s">
        <v>494</v>
      </c>
      <c r="D41" s="70" t="n">
        <v>0</v>
      </c>
      <c r="E41" s="0" t="s">
        <v>494</v>
      </c>
      <c r="F41" s="57" t="n">
        <f aca="false">D41</f>
        <v>0</v>
      </c>
      <c r="J41" s="20" t="s">
        <v>550</v>
      </c>
      <c r="K41" s="20" t="s">
        <v>543</v>
      </c>
      <c r="L41" s="20" t="s">
        <v>582</v>
      </c>
    </row>
    <row r="42" customFormat="false" ht="15" hidden="false" customHeight="false" outlineLevel="0" collapsed="false">
      <c r="A42" s="0" t="s">
        <v>583</v>
      </c>
      <c r="B42" s="20" t="s">
        <v>561</v>
      </c>
      <c r="C42" s="0" t="s">
        <v>494</v>
      </c>
      <c r="D42" s="69" t="n">
        <v>130</v>
      </c>
      <c r="E42" s="0" t="s">
        <v>494</v>
      </c>
      <c r="F42" s="5" t="n">
        <f aca="false">D42</f>
        <v>130</v>
      </c>
      <c r="J42" s="20" t="s">
        <v>550</v>
      </c>
      <c r="K42" s="20" t="s">
        <v>543</v>
      </c>
      <c r="L42" s="20" t="s">
        <v>584</v>
      </c>
    </row>
    <row r="43" customFormat="false" ht="15" hidden="false" customHeight="false" outlineLevel="0" collapsed="false">
      <c r="A43" s="0" t="s">
        <v>585</v>
      </c>
      <c r="B43" s="20" t="s">
        <v>534</v>
      </c>
      <c r="C43" s="0" t="s">
        <v>494</v>
      </c>
      <c r="D43" s="21" t="n">
        <v>0</v>
      </c>
      <c r="E43" s="0" t="s">
        <v>494</v>
      </c>
      <c r="F43" s="57" t="n">
        <f aca="false">D43</f>
        <v>0</v>
      </c>
      <c r="J43" s="20" t="s">
        <v>550</v>
      </c>
      <c r="K43" s="20" t="s">
        <v>496</v>
      </c>
      <c r="L43" s="20" t="s">
        <v>586</v>
      </c>
    </row>
    <row r="44" customFormat="false" ht="15" hidden="false" customHeight="false" outlineLevel="0" collapsed="false">
      <c r="A44" s="0" t="s">
        <v>587</v>
      </c>
      <c r="B44" s="20" t="s">
        <v>588</v>
      </c>
      <c r="C44" s="0" t="s">
        <v>494</v>
      </c>
      <c r="D44" s="63" t="n">
        <v>162</v>
      </c>
      <c r="E44" s="0" t="s">
        <v>494</v>
      </c>
      <c r="F44" s="5" t="n">
        <f aca="false">D44</f>
        <v>162</v>
      </c>
      <c r="J44" s="20" t="s">
        <v>550</v>
      </c>
      <c r="K44" s="20" t="s">
        <v>514</v>
      </c>
      <c r="L44" s="20" t="s">
        <v>589</v>
      </c>
    </row>
    <row r="45" customFormat="false" ht="15" hidden="false" customHeight="false" outlineLevel="0" collapsed="false">
      <c r="A45" s="0" t="s">
        <v>590</v>
      </c>
      <c r="B45" s="20" t="s">
        <v>534</v>
      </c>
      <c r="C45" s="0" t="s">
        <v>494</v>
      </c>
      <c r="D45" s="21" t="n">
        <v>0</v>
      </c>
      <c r="E45" s="0" t="s">
        <v>494</v>
      </c>
      <c r="F45" s="57" t="n">
        <f aca="false">D45</f>
        <v>0</v>
      </c>
      <c r="J45" s="20" t="s">
        <v>546</v>
      </c>
      <c r="K45" s="20" t="s">
        <v>496</v>
      </c>
      <c r="L45" s="20"/>
    </row>
    <row r="46" customFormat="false" ht="15" hidden="false" customHeight="false" outlineLevel="0" collapsed="false">
      <c r="A46" s="0" t="s">
        <v>591</v>
      </c>
      <c r="B46" s="20" t="s">
        <v>502</v>
      </c>
      <c r="C46" s="0" t="s">
        <v>494</v>
      </c>
      <c r="D46" s="21" t="n">
        <v>2028</v>
      </c>
      <c r="E46" s="0" t="s">
        <v>494</v>
      </c>
      <c r="F46" s="57" t="n">
        <f aca="false">D46</f>
        <v>2028</v>
      </c>
      <c r="J46" s="20" t="s">
        <v>495</v>
      </c>
      <c r="K46" s="20" t="s">
        <v>496</v>
      </c>
      <c r="L46" s="20"/>
    </row>
    <row r="47" customFormat="false" ht="15" hidden="false" customHeight="false" outlineLevel="0" collapsed="false">
      <c r="A47" s="0" t="s">
        <v>592</v>
      </c>
      <c r="B47" s="20" t="s">
        <v>499</v>
      </c>
      <c r="C47" s="0" t="s">
        <v>494</v>
      </c>
      <c r="D47" s="22" t="n">
        <v>0</v>
      </c>
      <c r="E47" s="0" t="s">
        <v>494</v>
      </c>
      <c r="F47" s="57" t="n">
        <f aca="false">D47</f>
        <v>0</v>
      </c>
      <c r="J47" s="20" t="s">
        <v>513</v>
      </c>
      <c r="K47" s="20" t="s">
        <v>514</v>
      </c>
      <c r="L47" s="20" t="s">
        <v>593</v>
      </c>
    </row>
    <row r="48" customFormat="false" ht="15" hidden="false" customHeight="false" outlineLevel="0" collapsed="false">
      <c r="A48" s="0" t="s">
        <v>594</v>
      </c>
      <c r="B48" s="20" t="s">
        <v>542</v>
      </c>
      <c r="C48" s="0" t="s">
        <v>494</v>
      </c>
      <c r="D48" s="71" t="n">
        <v>14.5</v>
      </c>
      <c r="E48" s="0" t="s">
        <v>494</v>
      </c>
      <c r="F48" s="60" t="n">
        <f aca="false">D48</f>
        <v>14.5</v>
      </c>
      <c r="J48" s="20" t="s">
        <v>513</v>
      </c>
      <c r="K48" s="20" t="s">
        <v>554</v>
      </c>
      <c r="L48" s="20" t="s">
        <v>595</v>
      </c>
    </row>
    <row r="49" customFormat="false" ht="15" hidden="false" customHeight="false" outlineLevel="0" collapsed="false">
      <c r="A49" s="0" t="s">
        <v>596</v>
      </c>
      <c r="B49" s="20" t="s">
        <v>534</v>
      </c>
      <c r="C49" s="0" t="s">
        <v>494</v>
      </c>
      <c r="D49" s="21" t="n">
        <v>0</v>
      </c>
      <c r="E49" s="0" t="s">
        <v>494</v>
      </c>
      <c r="F49" s="57" t="n">
        <f aca="false">D49</f>
        <v>0</v>
      </c>
      <c r="J49" s="20" t="s">
        <v>513</v>
      </c>
      <c r="K49" s="20" t="s">
        <v>496</v>
      </c>
      <c r="L49" s="20"/>
    </row>
    <row r="50" customFormat="false" ht="15" hidden="false" customHeight="false" outlineLevel="0" collapsed="false">
      <c r="A50" s="0" t="s">
        <v>597</v>
      </c>
      <c r="B50" s="20" t="s">
        <v>534</v>
      </c>
      <c r="C50" s="0" t="s">
        <v>494</v>
      </c>
      <c r="D50" s="21" t="n">
        <v>1</v>
      </c>
      <c r="E50" s="0" t="s">
        <v>494</v>
      </c>
      <c r="F50" s="57" t="n">
        <f aca="false">D50</f>
        <v>1</v>
      </c>
      <c r="J50" s="20" t="s">
        <v>550</v>
      </c>
      <c r="K50" s="20" t="s">
        <v>496</v>
      </c>
      <c r="L50" s="20" t="s">
        <v>598</v>
      </c>
    </row>
    <row r="51" customFormat="false" ht="15" hidden="false" customHeight="false" outlineLevel="0" collapsed="false">
      <c r="A51" s="0" t="s">
        <v>599</v>
      </c>
      <c r="B51" s="20" t="s">
        <v>600</v>
      </c>
      <c r="C51" s="0" t="s">
        <v>494</v>
      </c>
      <c r="D51" s="21" t="n">
        <v>13</v>
      </c>
      <c r="E51" s="0" t="s">
        <v>494</v>
      </c>
      <c r="F51" s="57" t="n">
        <f aca="false">D51</f>
        <v>13</v>
      </c>
      <c r="J51" s="20" t="s">
        <v>550</v>
      </c>
      <c r="K51" s="20" t="s">
        <v>496</v>
      </c>
      <c r="L51" s="20" t="s">
        <v>601</v>
      </c>
    </row>
    <row r="52" customFormat="false" ht="15" hidden="false" customHeight="false" outlineLevel="0" collapsed="false">
      <c r="A52" s="0" t="s">
        <v>602</v>
      </c>
      <c r="B52" s="20" t="s">
        <v>553</v>
      </c>
      <c r="C52" s="72" t="n">
        <v>5.81238549600573</v>
      </c>
      <c r="D52" s="72" t="n">
        <v>5.11489923648504</v>
      </c>
      <c r="E52" s="72" t="n">
        <v>4.64990839680458</v>
      </c>
      <c r="F52" s="73" t="n">
        <f aca="false">CHOOSE(Scen,C52,D52,E52)</f>
        <v>5.11489923648504</v>
      </c>
      <c r="J52" s="20" t="s">
        <v>550</v>
      </c>
      <c r="K52" s="20" t="s">
        <v>554</v>
      </c>
      <c r="L52" s="20" t="s">
        <v>603</v>
      </c>
    </row>
    <row r="53" customFormat="false" ht="15" hidden="false" customHeight="false" outlineLevel="0" collapsed="false">
      <c r="A53" s="0" t="s">
        <v>604</v>
      </c>
      <c r="B53" s="20" t="s">
        <v>605</v>
      </c>
      <c r="C53" s="0" t="s">
        <v>494</v>
      </c>
      <c r="D53" s="63" t="n">
        <v>491</v>
      </c>
      <c r="E53" s="0" t="s">
        <v>494</v>
      </c>
      <c r="F53" s="5" t="n">
        <f aca="false">D53</f>
        <v>491</v>
      </c>
      <c r="J53" s="20" t="s">
        <v>513</v>
      </c>
      <c r="K53" s="20" t="s">
        <v>514</v>
      </c>
      <c r="L53" s="20" t="s">
        <v>606</v>
      </c>
    </row>
    <row r="54" customFormat="false" ht="15" hidden="false" customHeight="false" outlineLevel="0" collapsed="false">
      <c r="A54" s="0" t="s">
        <v>607</v>
      </c>
      <c r="B54" s="20" t="s">
        <v>549</v>
      </c>
      <c r="C54" s="0" t="s">
        <v>494</v>
      </c>
      <c r="D54" s="34" t="n">
        <v>1</v>
      </c>
      <c r="E54" s="0" t="s">
        <v>494</v>
      </c>
      <c r="F54" s="38" t="n">
        <f aca="false">D54</f>
        <v>1</v>
      </c>
      <c r="J54" s="20" t="s">
        <v>550</v>
      </c>
      <c r="K54" s="20" t="s">
        <v>514</v>
      </c>
      <c r="L54" s="20" t="s">
        <v>608</v>
      </c>
    </row>
    <row r="55" customFormat="false" ht="15" hidden="false" customHeight="false" outlineLevel="0" collapsed="false">
      <c r="A55" s="0" t="s">
        <v>609</v>
      </c>
      <c r="B55" s="20" t="s">
        <v>542</v>
      </c>
      <c r="C55" s="0" t="s">
        <v>494</v>
      </c>
      <c r="D55" s="23" t="n">
        <f aca="false">ND_Px*ND_GPUMW_GB*8760*ND_Occ/1000000</f>
        <v>22</v>
      </c>
      <c r="E55" s="0" t="s">
        <v>494</v>
      </c>
      <c r="F55" s="60" t="n">
        <f aca="false">D55</f>
        <v>22</v>
      </c>
      <c r="J55" s="20" t="s">
        <v>550</v>
      </c>
      <c r="K55" s="20" t="s">
        <v>554</v>
      </c>
      <c r="L55" s="20" t="s">
        <v>610</v>
      </c>
    </row>
    <row r="56" customFormat="false" ht="15" hidden="false" customHeight="false" outlineLevel="0" collapsed="false">
      <c r="A56" s="0" t="s">
        <v>611</v>
      </c>
      <c r="B56" s="20" t="s">
        <v>534</v>
      </c>
      <c r="C56" s="0" t="s">
        <v>494</v>
      </c>
      <c r="D56" s="22" t="n">
        <v>1</v>
      </c>
      <c r="E56" s="0" t="s">
        <v>494</v>
      </c>
      <c r="F56" s="57" t="n">
        <f aca="false">D56</f>
        <v>1</v>
      </c>
      <c r="J56" s="20" t="s">
        <v>495</v>
      </c>
      <c r="K56" s="20" t="s">
        <v>514</v>
      </c>
      <c r="L56" s="20" t="s">
        <v>612</v>
      </c>
    </row>
    <row r="57" customFormat="false" ht="15" hidden="false" customHeight="false" outlineLevel="0" collapsed="false">
      <c r="A57" s="0" t="s">
        <v>613</v>
      </c>
      <c r="B57" s="20" t="s">
        <v>614</v>
      </c>
      <c r="C57" s="74" t="n">
        <v>-0.0125</v>
      </c>
      <c r="D57" s="74" t="n">
        <v>-0.03</v>
      </c>
      <c r="E57" s="74" t="n">
        <v>-0.06</v>
      </c>
      <c r="F57" s="75" t="n">
        <f aca="false">CHOOSE(Scen,C57,D57,E57)</f>
        <v>-0.03</v>
      </c>
      <c r="J57" s="20" t="s">
        <v>495</v>
      </c>
      <c r="K57" s="20" t="s">
        <v>514</v>
      </c>
      <c r="L57" s="20" t="s">
        <v>615</v>
      </c>
    </row>
    <row r="58" customFormat="false" ht="15" hidden="false" customHeight="false" outlineLevel="0" collapsed="false">
      <c r="A58" s="0" t="s">
        <v>616</v>
      </c>
      <c r="B58" s="20" t="s">
        <v>600</v>
      </c>
      <c r="C58" s="22" t="n">
        <v>21</v>
      </c>
      <c r="D58" s="22" t="n">
        <v>21</v>
      </c>
      <c r="E58" s="22" t="n">
        <v>13</v>
      </c>
      <c r="F58" s="57" t="n">
        <f aca="false">CHOOSE(Scen,C58,D58,E58)</f>
        <v>21</v>
      </c>
      <c r="J58" s="20" t="s">
        <v>495</v>
      </c>
      <c r="K58" s="20" t="s">
        <v>514</v>
      </c>
      <c r="L58" s="20" t="s">
        <v>617</v>
      </c>
    </row>
    <row r="59" customFormat="false" ht="15" hidden="false" customHeight="false" outlineLevel="0" collapsed="false">
      <c r="A59" s="0" t="s">
        <v>618</v>
      </c>
      <c r="B59" s="20" t="s">
        <v>534</v>
      </c>
      <c r="C59" s="0" t="s">
        <v>494</v>
      </c>
      <c r="D59" s="22" t="n">
        <v>0</v>
      </c>
      <c r="E59" s="0" t="s">
        <v>494</v>
      </c>
      <c r="F59" s="57" t="n">
        <f aca="false">D59</f>
        <v>0</v>
      </c>
      <c r="J59" s="20" t="s">
        <v>506</v>
      </c>
      <c r="K59" s="20" t="s">
        <v>514</v>
      </c>
      <c r="L59" s="20"/>
    </row>
    <row r="60" customFormat="false" ht="15" hidden="false" customHeight="false" outlineLevel="0" collapsed="false">
      <c r="A60" s="0" t="s">
        <v>619</v>
      </c>
      <c r="B60" s="20" t="s">
        <v>549</v>
      </c>
      <c r="C60" s="0" t="s">
        <v>494</v>
      </c>
      <c r="D60" s="34" t="n">
        <v>0.31</v>
      </c>
      <c r="E60" s="0" t="s">
        <v>494</v>
      </c>
      <c r="F60" s="38" t="n">
        <f aca="false">D60</f>
        <v>0.31</v>
      </c>
      <c r="J60" s="20" t="s">
        <v>506</v>
      </c>
      <c r="K60" s="20" t="s">
        <v>514</v>
      </c>
      <c r="L60" s="20"/>
    </row>
    <row r="61" customFormat="false" ht="15" hidden="false" customHeight="false" outlineLevel="0" collapsed="false">
      <c r="A61" s="0" t="s">
        <v>620</v>
      </c>
      <c r="B61" s="20" t="s">
        <v>534</v>
      </c>
      <c r="C61" s="0" t="s">
        <v>494</v>
      </c>
      <c r="D61" s="21" t="n">
        <v>1</v>
      </c>
      <c r="E61" s="0" t="s">
        <v>494</v>
      </c>
      <c r="F61" s="57" t="n">
        <f aca="false">D61</f>
        <v>1</v>
      </c>
      <c r="J61" s="20" t="s">
        <v>495</v>
      </c>
      <c r="K61" s="20" t="s">
        <v>496</v>
      </c>
      <c r="L61" s="20" t="s">
        <v>621</v>
      </c>
    </row>
    <row r="62" customFormat="false" ht="15" hidden="false" customHeight="false" outlineLevel="0" collapsed="false">
      <c r="A62" s="0" t="s">
        <v>622</v>
      </c>
      <c r="B62" s="20" t="s">
        <v>499</v>
      </c>
      <c r="C62" s="0" t="s">
        <v>494</v>
      </c>
      <c r="D62" s="21" t="n">
        <v>1</v>
      </c>
      <c r="E62" s="0" t="s">
        <v>494</v>
      </c>
      <c r="F62" s="57" t="n">
        <f aca="false">D62</f>
        <v>1</v>
      </c>
      <c r="J62" s="20" t="s">
        <v>495</v>
      </c>
      <c r="K62" s="20" t="s">
        <v>496</v>
      </c>
      <c r="L62" s="20" t="s">
        <v>623</v>
      </c>
    </row>
    <row r="63" customFormat="false" ht="15" hidden="false" customHeight="false" outlineLevel="0" collapsed="false">
      <c r="A63" s="0" t="s">
        <v>624</v>
      </c>
      <c r="B63" s="20" t="s">
        <v>542</v>
      </c>
      <c r="C63" s="19" t="n">
        <v>20</v>
      </c>
      <c r="D63" s="19" t="n">
        <v>18</v>
      </c>
      <c r="E63" s="19" t="n">
        <v>16</v>
      </c>
      <c r="F63" s="60" t="n">
        <f aca="false">CHOOSE(Scen,C63,D63,E63)</f>
        <v>18</v>
      </c>
      <c r="J63" s="20" t="s">
        <v>546</v>
      </c>
      <c r="K63" s="20" t="s">
        <v>514</v>
      </c>
      <c r="L63" s="20" t="s">
        <v>625</v>
      </c>
    </row>
    <row r="64" customFormat="false" ht="15" hidden="false" customHeight="false" outlineLevel="0" collapsed="false">
      <c r="A64" s="0" t="s">
        <v>626</v>
      </c>
      <c r="B64" s="20" t="s">
        <v>605</v>
      </c>
      <c r="C64" s="0" t="s">
        <v>494</v>
      </c>
      <c r="D64" s="22" t="n">
        <v>400</v>
      </c>
      <c r="E64" s="0" t="s">
        <v>494</v>
      </c>
      <c r="F64" s="57" t="n">
        <f aca="false">D64</f>
        <v>400</v>
      </c>
      <c r="J64" s="20" t="s">
        <v>513</v>
      </c>
      <c r="K64" s="20" t="s">
        <v>514</v>
      </c>
      <c r="L64" s="20" t="s">
        <v>627</v>
      </c>
    </row>
    <row r="65" customFormat="false" ht="15" hidden="false" customHeight="false" outlineLevel="0" collapsed="false">
      <c r="A65" s="0" t="s">
        <v>628</v>
      </c>
      <c r="B65" s="20" t="s">
        <v>549</v>
      </c>
      <c r="C65" s="0" t="s">
        <v>494</v>
      </c>
      <c r="D65" s="34" t="n">
        <v>0.05</v>
      </c>
      <c r="E65" s="0" t="s">
        <v>494</v>
      </c>
      <c r="F65" s="38" t="n">
        <f aca="false">D65</f>
        <v>0.05</v>
      </c>
      <c r="J65" s="20" t="s">
        <v>546</v>
      </c>
      <c r="K65" s="20" t="s">
        <v>514</v>
      </c>
      <c r="L65" s="20" t="s">
        <v>629</v>
      </c>
    </row>
    <row r="66" customFormat="false" ht="15" hidden="false" customHeight="false" outlineLevel="0" collapsed="false">
      <c r="A66" s="0" t="s">
        <v>630</v>
      </c>
      <c r="B66" s="20" t="s">
        <v>534</v>
      </c>
      <c r="C66" s="0" t="s">
        <v>494</v>
      </c>
      <c r="D66" s="21" t="n">
        <v>1</v>
      </c>
      <c r="E66" s="0" t="s">
        <v>494</v>
      </c>
      <c r="F66" s="57" t="n">
        <f aca="false">D66</f>
        <v>1</v>
      </c>
      <c r="J66" s="20" t="s">
        <v>495</v>
      </c>
      <c r="K66" s="20" t="s">
        <v>496</v>
      </c>
      <c r="L66" s="20"/>
    </row>
    <row r="67" customFormat="false" ht="15" hidden="false" customHeight="false" outlineLevel="0" collapsed="false">
      <c r="A67" s="0" t="s">
        <v>631</v>
      </c>
      <c r="B67" s="20" t="s">
        <v>534</v>
      </c>
      <c r="C67" s="0" t="s">
        <v>494</v>
      </c>
      <c r="D67" s="21" t="n">
        <v>1</v>
      </c>
      <c r="E67" s="0" t="s">
        <v>494</v>
      </c>
      <c r="F67" s="57" t="n">
        <f aca="false">D67</f>
        <v>1</v>
      </c>
      <c r="J67" s="20" t="s">
        <v>495</v>
      </c>
      <c r="K67" s="20" t="s">
        <v>496</v>
      </c>
      <c r="L67" s="20"/>
    </row>
    <row r="68" customFormat="false" ht="15" hidden="false" customHeight="false" outlineLevel="0" collapsed="false">
      <c r="A68" s="0" t="s">
        <v>632</v>
      </c>
      <c r="B68" s="20" t="s">
        <v>549</v>
      </c>
      <c r="C68" s="0" t="s">
        <v>494</v>
      </c>
      <c r="D68" s="34" t="n">
        <v>0.85</v>
      </c>
      <c r="E68" s="0" t="s">
        <v>494</v>
      </c>
      <c r="F68" s="38" t="n">
        <f aca="false">D68</f>
        <v>0.85</v>
      </c>
      <c r="J68" s="20" t="s">
        <v>546</v>
      </c>
      <c r="K68" s="20" t="s">
        <v>514</v>
      </c>
      <c r="L68" s="20" t="s">
        <v>633</v>
      </c>
    </row>
    <row r="69" customFormat="false" ht="15" hidden="false" customHeight="false" outlineLevel="0" collapsed="false">
      <c r="A69" s="0" t="s">
        <v>634</v>
      </c>
      <c r="B69" s="20" t="s">
        <v>542</v>
      </c>
      <c r="C69" s="0" t="s">
        <v>494</v>
      </c>
      <c r="D69" s="76" t="n">
        <f aca="false">MYRate</f>
        <v>22</v>
      </c>
      <c r="E69" s="0" t="s">
        <v>494</v>
      </c>
      <c r="F69" s="60" t="n">
        <f aca="false">D69</f>
        <v>22</v>
      </c>
      <c r="J69" s="20" t="s">
        <v>506</v>
      </c>
      <c r="K69" s="20" t="s">
        <v>514</v>
      </c>
      <c r="L69" s="20" t="s">
        <v>635</v>
      </c>
    </row>
    <row r="70" customFormat="false" ht="15" hidden="false" customHeight="false" outlineLevel="0" collapsed="false">
      <c r="A70" s="0" t="s">
        <v>636</v>
      </c>
      <c r="B70" s="20" t="s">
        <v>561</v>
      </c>
      <c r="C70" s="0" t="s">
        <v>494</v>
      </c>
      <c r="D70" s="67" t="n">
        <v>37490</v>
      </c>
      <c r="E70" s="0" t="s">
        <v>494</v>
      </c>
      <c r="F70" s="5" t="n">
        <f aca="false">D70</f>
        <v>37490</v>
      </c>
      <c r="J70" s="20" t="s">
        <v>550</v>
      </c>
      <c r="K70" s="20" t="s">
        <v>507</v>
      </c>
      <c r="L70" s="20" t="s">
        <v>637</v>
      </c>
    </row>
    <row r="71" customFormat="false" ht="15" hidden="false" customHeight="false" outlineLevel="0" collapsed="false">
      <c r="A71" s="0" t="s">
        <v>638</v>
      </c>
      <c r="B71" s="20" t="s">
        <v>549</v>
      </c>
      <c r="C71" s="0" t="s">
        <v>494</v>
      </c>
      <c r="D71" s="62" t="n">
        <v>0.36</v>
      </c>
      <c r="E71" s="0" t="s">
        <v>494</v>
      </c>
      <c r="F71" s="38" t="n">
        <f aca="false">D71</f>
        <v>0.36</v>
      </c>
      <c r="J71" s="20" t="s">
        <v>550</v>
      </c>
      <c r="K71" s="20" t="s">
        <v>507</v>
      </c>
      <c r="L71" s="20" t="s">
        <v>639</v>
      </c>
    </row>
    <row r="72" customFormat="false" ht="15" hidden="false" customHeight="false" outlineLevel="0" collapsed="false">
      <c r="A72" s="0" t="s">
        <v>640</v>
      </c>
      <c r="B72" s="20" t="s">
        <v>561</v>
      </c>
      <c r="C72" s="0" t="s">
        <v>494</v>
      </c>
      <c r="D72" s="77" t="n">
        <v>979.4</v>
      </c>
      <c r="E72" s="0" t="s">
        <v>494</v>
      </c>
      <c r="F72" s="78" t="n">
        <f aca="false">D72</f>
        <v>979.4</v>
      </c>
      <c r="J72" s="20" t="s">
        <v>550</v>
      </c>
      <c r="K72" s="20" t="s">
        <v>507</v>
      </c>
      <c r="L72" s="20" t="s">
        <v>641</v>
      </c>
    </row>
    <row r="73" customFormat="false" ht="15" hidden="false" customHeight="false" outlineLevel="0" collapsed="false">
      <c r="A73" s="0" t="s">
        <v>642</v>
      </c>
      <c r="B73" s="20" t="s">
        <v>561</v>
      </c>
      <c r="C73" s="0" t="s">
        <v>494</v>
      </c>
      <c r="D73" s="63" t="n">
        <v>2250</v>
      </c>
      <c r="E73" s="0" t="s">
        <v>494</v>
      </c>
      <c r="F73" s="5" t="n">
        <f aca="false">D73</f>
        <v>2250</v>
      </c>
      <c r="J73" s="20" t="s">
        <v>550</v>
      </c>
      <c r="K73" s="20" t="s">
        <v>514</v>
      </c>
      <c r="L73" s="20" t="s">
        <v>643</v>
      </c>
    </row>
    <row r="74" customFormat="false" ht="15" hidden="false" customHeight="false" outlineLevel="0" collapsed="false">
      <c r="A74" s="0" t="s">
        <v>644</v>
      </c>
      <c r="B74" s="20" t="s">
        <v>512</v>
      </c>
      <c r="C74" s="0" t="s">
        <v>494</v>
      </c>
      <c r="D74" s="22" t="n">
        <v>12</v>
      </c>
      <c r="E74" s="0" t="s">
        <v>494</v>
      </c>
      <c r="F74" s="57" t="n">
        <f aca="false">D74</f>
        <v>12</v>
      </c>
      <c r="J74" s="20" t="s">
        <v>550</v>
      </c>
      <c r="K74" s="20" t="s">
        <v>514</v>
      </c>
      <c r="L74" s="20" t="s">
        <v>645</v>
      </c>
    </row>
    <row r="75" customFormat="false" ht="15" hidden="false" customHeight="false" outlineLevel="0" collapsed="false">
      <c r="A75" s="0" t="s">
        <v>646</v>
      </c>
      <c r="B75" s="20" t="s">
        <v>499</v>
      </c>
      <c r="C75" s="0" t="s">
        <v>494</v>
      </c>
      <c r="D75" s="22" t="n">
        <v>1</v>
      </c>
      <c r="E75" s="0" t="s">
        <v>494</v>
      </c>
      <c r="F75" s="57" t="n">
        <f aca="false">D75</f>
        <v>1</v>
      </c>
      <c r="J75" s="20" t="s">
        <v>550</v>
      </c>
      <c r="K75" s="20" t="s">
        <v>514</v>
      </c>
      <c r="L75" s="20"/>
    </row>
    <row r="76" customFormat="false" ht="15" hidden="false" customHeight="false" outlineLevel="0" collapsed="false">
      <c r="A76" s="0" t="s">
        <v>647</v>
      </c>
      <c r="B76" s="20" t="s">
        <v>648</v>
      </c>
      <c r="C76" s="0" t="s">
        <v>494</v>
      </c>
      <c r="D76" s="79" t="n">
        <v>1.20048899755501</v>
      </c>
      <c r="E76" s="0" t="s">
        <v>494</v>
      </c>
      <c r="F76" s="73" t="n">
        <f aca="false">D76</f>
        <v>1.20048899755501</v>
      </c>
      <c r="J76" s="20" t="s">
        <v>513</v>
      </c>
      <c r="K76" s="20" t="s">
        <v>514</v>
      </c>
      <c r="L76" s="20" t="s">
        <v>649</v>
      </c>
    </row>
    <row r="77" customFormat="false" ht="15" hidden="false" customHeight="false" outlineLevel="0" collapsed="false">
      <c r="A77" s="0" t="s">
        <v>650</v>
      </c>
      <c r="B77" s="20" t="s">
        <v>542</v>
      </c>
      <c r="C77" s="71" t="n">
        <v>50</v>
      </c>
      <c r="D77" s="71" t="n">
        <v>45</v>
      </c>
      <c r="E77" s="71" t="n">
        <v>40</v>
      </c>
      <c r="F77" s="60" t="n">
        <f aca="false">CHOOSE(Scen,C77,D77,E77)</f>
        <v>45</v>
      </c>
      <c r="J77" s="20" t="s">
        <v>550</v>
      </c>
      <c r="K77" s="20" t="s">
        <v>507</v>
      </c>
      <c r="L77" s="20" t="s">
        <v>651</v>
      </c>
    </row>
    <row r="78" customFormat="false" ht="15" hidden="false" customHeight="false" outlineLevel="0" collapsed="false">
      <c r="A78" s="0" t="s">
        <v>652</v>
      </c>
      <c r="B78" s="20" t="s">
        <v>534</v>
      </c>
      <c r="C78" s="0" t="s">
        <v>494</v>
      </c>
      <c r="D78" s="21" t="n">
        <v>1</v>
      </c>
      <c r="E78" s="0" t="s">
        <v>494</v>
      </c>
      <c r="F78" s="57" t="n">
        <f aca="false">D78</f>
        <v>1</v>
      </c>
      <c r="J78" s="20" t="s">
        <v>550</v>
      </c>
      <c r="K78" s="20" t="s">
        <v>496</v>
      </c>
      <c r="L78" s="20" t="s">
        <v>653</v>
      </c>
    </row>
    <row r="79" customFormat="false" ht="15" hidden="false" customHeight="false" outlineLevel="0" collapsed="false">
      <c r="A79" s="0" t="s">
        <v>654</v>
      </c>
      <c r="B79" s="20" t="s">
        <v>534</v>
      </c>
      <c r="C79" s="22" t="n">
        <v>1</v>
      </c>
      <c r="D79" s="22" t="n">
        <v>1</v>
      </c>
      <c r="E79" s="22" t="n">
        <v>0</v>
      </c>
      <c r="F79" s="57" t="n">
        <f aca="false">CHOOSE(Scen,C79,D79,E79)</f>
        <v>1</v>
      </c>
      <c r="J79" s="20" t="s">
        <v>546</v>
      </c>
      <c r="K79" s="20" t="s">
        <v>514</v>
      </c>
      <c r="L79" s="20" t="s">
        <v>655</v>
      </c>
    </row>
    <row r="80" customFormat="false" ht="15" hidden="false" customHeight="false" outlineLevel="0" collapsed="false">
      <c r="A80" s="0" t="s">
        <v>656</v>
      </c>
      <c r="B80" s="20" t="s">
        <v>534</v>
      </c>
      <c r="C80" s="0" t="s">
        <v>494</v>
      </c>
      <c r="D80" s="21" t="n">
        <v>1</v>
      </c>
      <c r="E80" s="0" t="s">
        <v>494</v>
      </c>
      <c r="F80" s="57" t="n">
        <f aca="false">D80</f>
        <v>1</v>
      </c>
      <c r="J80" s="20" t="s">
        <v>550</v>
      </c>
      <c r="K80" s="20" t="s">
        <v>507</v>
      </c>
      <c r="L80" s="20" t="s">
        <v>657</v>
      </c>
    </row>
    <row r="81" customFormat="false" ht="15" hidden="false" customHeight="false" outlineLevel="0" collapsed="false">
      <c r="A81" s="0" t="s">
        <v>658</v>
      </c>
      <c r="B81" s="20" t="s">
        <v>534</v>
      </c>
      <c r="C81" s="0" t="s">
        <v>494</v>
      </c>
      <c r="D81" s="22" t="n">
        <v>1</v>
      </c>
      <c r="E81" s="0" t="s">
        <v>494</v>
      </c>
      <c r="F81" s="57" t="n">
        <f aca="false">D81</f>
        <v>1</v>
      </c>
      <c r="J81" s="20" t="s">
        <v>506</v>
      </c>
      <c r="K81" s="20" t="s">
        <v>514</v>
      </c>
      <c r="L81" s="20" t="s">
        <v>659</v>
      </c>
    </row>
    <row r="82" customFormat="false" ht="15" hidden="false" customHeight="false" outlineLevel="0" collapsed="false">
      <c r="A82" s="0" t="s">
        <v>660</v>
      </c>
      <c r="B82" s="20" t="s">
        <v>549</v>
      </c>
      <c r="C82" s="32" t="n">
        <v>0.385</v>
      </c>
      <c r="D82" s="32" t="n">
        <v>0.385</v>
      </c>
      <c r="E82" s="32" t="n">
        <v>0</v>
      </c>
      <c r="F82" s="65" t="n">
        <f aca="false">CHOOSE(Scen,C82,D82,E82)</f>
        <v>0.385</v>
      </c>
      <c r="J82" s="20" t="s">
        <v>506</v>
      </c>
      <c r="K82" s="20" t="s">
        <v>514</v>
      </c>
      <c r="L82" s="20" t="s">
        <v>661</v>
      </c>
    </row>
    <row r="83" customFormat="false" ht="15" hidden="false" customHeight="false" outlineLevel="0" collapsed="false">
      <c r="A83" s="0" t="s">
        <v>662</v>
      </c>
      <c r="B83" s="20" t="s">
        <v>549</v>
      </c>
      <c r="C83" s="32" t="n">
        <v>0.385</v>
      </c>
      <c r="D83" s="32" t="n">
        <v>0.225</v>
      </c>
      <c r="E83" s="32" t="n">
        <v>0</v>
      </c>
      <c r="F83" s="65" t="n">
        <f aca="false">CHOOSE(Scen,C83,D83,E83)</f>
        <v>0.225</v>
      </c>
      <c r="J83" s="20" t="s">
        <v>506</v>
      </c>
      <c r="K83" s="20" t="s">
        <v>514</v>
      </c>
      <c r="L83" s="20" t="s">
        <v>663</v>
      </c>
    </row>
    <row r="84" customFormat="false" ht="15" hidden="false" customHeight="false" outlineLevel="0" collapsed="false">
      <c r="A84" s="0" t="s">
        <v>664</v>
      </c>
      <c r="B84" s="20" t="s">
        <v>600</v>
      </c>
      <c r="C84" s="0" t="s">
        <v>494</v>
      </c>
      <c r="D84" s="22" t="n">
        <v>17</v>
      </c>
      <c r="E84" s="0" t="s">
        <v>494</v>
      </c>
      <c r="F84" s="57" t="n">
        <f aca="false">D84</f>
        <v>17</v>
      </c>
      <c r="J84" s="20" t="s">
        <v>506</v>
      </c>
      <c r="K84" s="20" t="s">
        <v>514</v>
      </c>
      <c r="L84" s="20" t="s">
        <v>82</v>
      </c>
    </row>
    <row r="85" customFormat="false" ht="15" hidden="false" customHeight="false" outlineLevel="0" collapsed="false">
      <c r="A85" s="0" t="s">
        <v>665</v>
      </c>
      <c r="B85" s="20" t="s">
        <v>549</v>
      </c>
      <c r="C85" s="34" t="n">
        <v>0.4</v>
      </c>
      <c r="D85" s="34" t="n">
        <v>0.3</v>
      </c>
      <c r="E85" s="34" t="n">
        <v>0</v>
      </c>
      <c r="F85" s="38" t="n">
        <f aca="false">CHOOSE(Scen,C85,D85,E85)</f>
        <v>0.3</v>
      </c>
      <c r="J85" s="20" t="s">
        <v>546</v>
      </c>
      <c r="K85" s="20" t="s">
        <v>514</v>
      </c>
      <c r="L85" s="20" t="s">
        <v>666</v>
      </c>
    </row>
    <row r="86" customFormat="false" ht="15" hidden="false" customHeight="false" outlineLevel="0" collapsed="false">
      <c r="A86" s="0" t="s">
        <v>667</v>
      </c>
      <c r="B86" s="20" t="s">
        <v>534</v>
      </c>
      <c r="C86" s="0" t="s">
        <v>494</v>
      </c>
      <c r="D86" s="21" t="n">
        <v>1</v>
      </c>
      <c r="E86" s="0" t="s">
        <v>494</v>
      </c>
      <c r="F86" s="57" t="n">
        <f aca="false">D86</f>
        <v>1</v>
      </c>
      <c r="J86" s="20" t="s">
        <v>495</v>
      </c>
      <c r="K86" s="20" t="s">
        <v>496</v>
      </c>
      <c r="L86" s="20" t="s">
        <v>668</v>
      </c>
    </row>
    <row r="87" customFormat="false" ht="15" hidden="false" customHeight="false" outlineLevel="0" collapsed="false">
      <c r="A87" s="0" t="s">
        <v>669</v>
      </c>
      <c r="B87" s="20" t="s">
        <v>534</v>
      </c>
      <c r="C87" s="0" t="s">
        <v>494</v>
      </c>
      <c r="D87" s="21" t="n">
        <v>1</v>
      </c>
      <c r="E87" s="0" t="s">
        <v>494</v>
      </c>
      <c r="F87" s="57" t="n">
        <f aca="false">D87</f>
        <v>1</v>
      </c>
      <c r="J87" s="20" t="s">
        <v>495</v>
      </c>
      <c r="K87" s="20" t="s">
        <v>496</v>
      </c>
      <c r="L87" s="20"/>
    </row>
    <row r="88" customFormat="false" ht="15" hidden="false" customHeight="false" outlineLevel="0" collapsed="false">
      <c r="A88" s="0" t="s">
        <v>670</v>
      </c>
      <c r="B88" s="20" t="s">
        <v>534</v>
      </c>
      <c r="C88" s="0" t="s">
        <v>494</v>
      </c>
      <c r="D88" s="21" t="n">
        <v>1</v>
      </c>
      <c r="E88" s="0" t="s">
        <v>494</v>
      </c>
      <c r="F88" s="57" t="n">
        <f aca="false">D88</f>
        <v>1</v>
      </c>
      <c r="J88" s="20" t="s">
        <v>550</v>
      </c>
      <c r="K88" s="20" t="s">
        <v>496</v>
      </c>
      <c r="L88" s="20"/>
    </row>
    <row r="89" customFormat="false" ht="15" hidden="false" customHeight="false" outlineLevel="0" collapsed="false">
      <c r="A89" s="0" t="s">
        <v>671</v>
      </c>
      <c r="B89" s="20" t="s">
        <v>534</v>
      </c>
      <c r="C89" s="0" t="s">
        <v>494</v>
      </c>
      <c r="D89" s="21" t="n">
        <v>1</v>
      </c>
      <c r="E89" s="0" t="s">
        <v>494</v>
      </c>
      <c r="F89" s="57" t="n">
        <f aca="false">D89</f>
        <v>1</v>
      </c>
      <c r="J89" s="20" t="s">
        <v>550</v>
      </c>
      <c r="K89" s="20" t="s">
        <v>507</v>
      </c>
      <c r="L89" s="20" t="s">
        <v>672</v>
      </c>
    </row>
    <row r="90" customFormat="false" ht="15" hidden="false" customHeight="false" outlineLevel="0" collapsed="false">
      <c r="A90" s="0" t="s">
        <v>673</v>
      </c>
      <c r="B90" s="20" t="s">
        <v>674</v>
      </c>
      <c r="C90" s="0" t="s">
        <v>494</v>
      </c>
      <c r="D90" s="67" t="n">
        <v>30000</v>
      </c>
      <c r="E90" s="0" t="s">
        <v>494</v>
      </c>
      <c r="F90" s="5" t="n">
        <f aca="false">D90</f>
        <v>30000</v>
      </c>
      <c r="J90" s="20" t="s">
        <v>550</v>
      </c>
      <c r="K90" s="20" t="s">
        <v>507</v>
      </c>
      <c r="L90" s="20" t="s">
        <v>675</v>
      </c>
    </row>
    <row r="91" customFormat="false" ht="15" hidden="false" customHeight="false" outlineLevel="0" collapsed="false">
      <c r="A91" s="0" t="s">
        <v>676</v>
      </c>
      <c r="B91" s="20" t="s">
        <v>534</v>
      </c>
      <c r="C91" s="21" t="n">
        <v>0</v>
      </c>
      <c r="D91" s="21" t="n">
        <v>0</v>
      </c>
      <c r="E91" s="21" t="n">
        <v>1</v>
      </c>
      <c r="F91" s="57" t="n">
        <f aca="false">CHOOSE(Scen,C91,D91,E91)</f>
        <v>0</v>
      </c>
      <c r="J91" s="20" t="s">
        <v>495</v>
      </c>
      <c r="K91" s="20" t="s">
        <v>496</v>
      </c>
      <c r="L91" s="20" t="s">
        <v>677</v>
      </c>
    </row>
    <row r="92" customFormat="false" ht="15" hidden="false" customHeight="false" outlineLevel="0" collapsed="false">
      <c r="A92" s="0" t="s">
        <v>678</v>
      </c>
      <c r="B92" s="20" t="s">
        <v>534</v>
      </c>
      <c r="C92" s="0" t="s">
        <v>494</v>
      </c>
      <c r="D92" s="21" t="n">
        <v>0</v>
      </c>
      <c r="E92" s="0" t="s">
        <v>494</v>
      </c>
      <c r="F92" s="57" t="n">
        <f aca="false">D92</f>
        <v>0</v>
      </c>
      <c r="J92" s="20" t="s">
        <v>495</v>
      </c>
      <c r="K92" s="20" t="s">
        <v>496</v>
      </c>
      <c r="L92" s="20" t="s">
        <v>679</v>
      </c>
    </row>
    <row r="93" customFormat="false" ht="15" hidden="false" customHeight="false" outlineLevel="0" collapsed="false">
      <c r="A93" s="0" t="s">
        <v>680</v>
      </c>
      <c r="B93" s="20" t="s">
        <v>534</v>
      </c>
      <c r="C93" s="0" t="s">
        <v>494</v>
      </c>
      <c r="D93" s="21" t="n">
        <v>1</v>
      </c>
      <c r="E93" s="0" t="s">
        <v>494</v>
      </c>
      <c r="F93" s="57" t="n">
        <f aca="false">D93</f>
        <v>1</v>
      </c>
      <c r="J93" s="20" t="s">
        <v>495</v>
      </c>
      <c r="K93" s="20" t="s">
        <v>496</v>
      </c>
      <c r="L93" s="20"/>
    </row>
    <row r="94" customFormat="false" ht="15" hidden="false" customHeight="false" outlineLevel="0" collapsed="false">
      <c r="A94" s="0" t="s">
        <v>681</v>
      </c>
      <c r="B94" s="20" t="s">
        <v>682</v>
      </c>
      <c r="C94" s="0" t="s">
        <v>494</v>
      </c>
      <c r="D94" s="32" t="n">
        <v>0.125</v>
      </c>
      <c r="E94" s="0" t="s">
        <v>494</v>
      </c>
      <c r="F94" s="65" t="n">
        <f aca="false">D94</f>
        <v>0.125</v>
      </c>
      <c r="J94" s="20" t="s">
        <v>546</v>
      </c>
      <c r="K94" s="20" t="s">
        <v>514</v>
      </c>
      <c r="L94" s="20" t="s">
        <v>683</v>
      </c>
    </row>
    <row r="95" customFormat="false" ht="15" hidden="false" customHeight="false" outlineLevel="0" collapsed="false">
      <c r="A95" s="0" t="s">
        <v>684</v>
      </c>
      <c r="B95" s="20" t="s">
        <v>600</v>
      </c>
      <c r="C95" s="0" t="s">
        <v>494</v>
      </c>
      <c r="D95" s="22" t="n">
        <v>11</v>
      </c>
      <c r="E95" s="0" t="s">
        <v>494</v>
      </c>
      <c r="F95" s="57" t="n">
        <f aca="false">D95</f>
        <v>11</v>
      </c>
      <c r="J95" s="20" t="s">
        <v>546</v>
      </c>
      <c r="K95" s="20" t="s">
        <v>514</v>
      </c>
      <c r="L95" s="20" t="s">
        <v>601</v>
      </c>
    </row>
    <row r="96" customFormat="false" ht="15" hidden="false" customHeight="false" outlineLevel="0" collapsed="false">
      <c r="A96" s="0" t="s">
        <v>685</v>
      </c>
      <c r="B96" s="20" t="s">
        <v>686</v>
      </c>
      <c r="C96" s="0" t="s">
        <v>494</v>
      </c>
      <c r="D96" s="80" t="s">
        <v>50</v>
      </c>
      <c r="E96" s="0" t="s">
        <v>494</v>
      </c>
      <c r="F96" s="4" t="str">
        <f aca="false">D96</f>
        <v>Q4'27</v>
      </c>
      <c r="J96" s="20" t="s">
        <v>506</v>
      </c>
      <c r="K96" s="20" t="s">
        <v>514</v>
      </c>
      <c r="L96" s="20" t="s">
        <v>687</v>
      </c>
    </row>
    <row r="97" customFormat="false" ht="15" hidden="false" customHeight="false" outlineLevel="0" collapsed="false">
      <c r="A97" s="0" t="s">
        <v>688</v>
      </c>
      <c r="B97" s="20" t="s">
        <v>689</v>
      </c>
      <c r="C97" s="0" t="s">
        <v>494</v>
      </c>
      <c r="D97" s="68" t="n">
        <v>-0.15</v>
      </c>
      <c r="E97" s="0" t="s">
        <v>494</v>
      </c>
      <c r="F97" s="6" t="n">
        <f aca="false">D97</f>
        <v>-0.15</v>
      </c>
      <c r="J97" s="20" t="s">
        <v>506</v>
      </c>
      <c r="K97" s="20" t="s">
        <v>514</v>
      </c>
      <c r="L97" s="20"/>
    </row>
    <row r="98" customFormat="false" ht="15" hidden="false" customHeight="false" outlineLevel="0" collapsed="false">
      <c r="A98" s="0" t="s">
        <v>690</v>
      </c>
      <c r="B98" s="20" t="s">
        <v>689</v>
      </c>
      <c r="C98" s="0" t="s">
        <v>494</v>
      </c>
      <c r="D98" s="19" t="n">
        <v>-6.8</v>
      </c>
      <c r="E98" s="0" t="s">
        <v>494</v>
      </c>
      <c r="F98" s="60" t="n">
        <f aca="false">D98</f>
        <v>-6.8</v>
      </c>
      <c r="J98" s="20" t="s">
        <v>506</v>
      </c>
      <c r="K98" s="20" t="s">
        <v>514</v>
      </c>
      <c r="L98" s="20"/>
    </row>
    <row r="99" customFormat="false" ht="15" hidden="false" customHeight="false" outlineLevel="0" collapsed="false">
      <c r="A99" s="0" t="s">
        <v>691</v>
      </c>
      <c r="B99" s="20" t="s">
        <v>686</v>
      </c>
      <c r="C99" s="0" t="s">
        <v>494</v>
      </c>
      <c r="D99" s="80" t="s">
        <v>692</v>
      </c>
      <c r="E99" s="0" t="s">
        <v>494</v>
      </c>
      <c r="F99" s="4" t="str">
        <f aca="false">D99</f>
        <v>never thru 2030</v>
      </c>
      <c r="J99" s="20" t="s">
        <v>506</v>
      </c>
      <c r="K99" s="20" t="s">
        <v>514</v>
      </c>
      <c r="L99" s="20"/>
    </row>
    <row r="100" customFormat="false" ht="15" hidden="false" customHeight="false" outlineLevel="0" collapsed="false">
      <c r="A100" s="0" t="s">
        <v>693</v>
      </c>
      <c r="B100" s="20" t="s">
        <v>689</v>
      </c>
      <c r="C100" s="0" t="s">
        <v>494</v>
      </c>
      <c r="D100" s="19" t="n">
        <v>7.1</v>
      </c>
      <c r="E100" s="0" t="s">
        <v>494</v>
      </c>
      <c r="F100" s="60" t="n">
        <f aca="false">D100</f>
        <v>7.1</v>
      </c>
      <c r="J100" s="20" t="s">
        <v>506</v>
      </c>
      <c r="K100" s="20" t="s">
        <v>514</v>
      </c>
      <c r="L100" s="20"/>
    </row>
    <row r="101" customFormat="false" ht="15" hidden="false" customHeight="false" outlineLevel="0" collapsed="false">
      <c r="A101" s="0" t="s">
        <v>694</v>
      </c>
      <c r="B101" s="20" t="s">
        <v>689</v>
      </c>
      <c r="C101" s="0" t="s">
        <v>494</v>
      </c>
      <c r="D101" s="19" t="n">
        <v>1.5</v>
      </c>
      <c r="E101" s="0" t="s">
        <v>494</v>
      </c>
      <c r="F101" s="60" t="n">
        <f aca="false">D101</f>
        <v>1.5</v>
      </c>
      <c r="J101" s="20" t="s">
        <v>506</v>
      </c>
      <c r="K101" s="20" t="s">
        <v>514</v>
      </c>
      <c r="L101" s="20"/>
    </row>
    <row r="102" customFormat="false" ht="15" hidden="false" customHeight="false" outlineLevel="0" collapsed="false">
      <c r="A102" s="0" t="s">
        <v>695</v>
      </c>
      <c r="B102" s="20" t="s">
        <v>686</v>
      </c>
      <c r="C102" s="0" t="s">
        <v>494</v>
      </c>
      <c r="D102" s="80" t="s">
        <v>60</v>
      </c>
      <c r="E102" s="0" t="s">
        <v>494</v>
      </c>
      <c r="F102" s="4" t="str">
        <f aca="false">D102</f>
        <v>Q3'27</v>
      </c>
      <c r="J102" s="20" t="s">
        <v>506</v>
      </c>
      <c r="K102" s="20" t="s">
        <v>514</v>
      </c>
      <c r="L102" s="20"/>
    </row>
    <row r="103" customFormat="false" ht="15" hidden="false" customHeight="false" outlineLevel="0" collapsed="false">
      <c r="A103" s="0" t="s">
        <v>696</v>
      </c>
      <c r="B103" s="20" t="s">
        <v>689</v>
      </c>
      <c r="C103" s="0" t="s">
        <v>494</v>
      </c>
      <c r="D103" s="19" t="n">
        <v>-7.4</v>
      </c>
      <c r="E103" s="0" t="s">
        <v>494</v>
      </c>
      <c r="F103" s="60" t="n">
        <f aca="false">D103</f>
        <v>-7.4</v>
      </c>
      <c r="J103" s="20" t="s">
        <v>506</v>
      </c>
      <c r="K103" s="20" t="s">
        <v>514</v>
      </c>
      <c r="L103" s="20"/>
    </row>
    <row r="104" customFormat="false" ht="15" hidden="false" customHeight="false" outlineLevel="0" collapsed="false">
      <c r="A104" s="0" t="s">
        <v>697</v>
      </c>
      <c r="B104" s="20" t="s">
        <v>689</v>
      </c>
      <c r="C104" s="0" t="s">
        <v>494</v>
      </c>
      <c r="D104" s="19" t="n">
        <v>-15.6</v>
      </c>
      <c r="E104" s="0" t="s">
        <v>494</v>
      </c>
      <c r="F104" s="60" t="n">
        <f aca="false">D104</f>
        <v>-15.6</v>
      </c>
      <c r="J104" s="20" t="s">
        <v>506</v>
      </c>
      <c r="K104" s="20" t="s">
        <v>514</v>
      </c>
      <c r="L104" s="20"/>
    </row>
    <row r="105" customFormat="false" ht="15" hidden="false" customHeight="false" outlineLevel="0" collapsed="false">
      <c r="A105" s="0" t="s">
        <v>698</v>
      </c>
      <c r="B105" s="20" t="s">
        <v>686</v>
      </c>
      <c r="C105" s="0" t="s">
        <v>494</v>
      </c>
      <c r="D105" s="80" t="s">
        <v>58</v>
      </c>
      <c r="E105" s="0" t="s">
        <v>494</v>
      </c>
      <c r="F105" s="4" t="str">
        <f aca="false">D105</f>
        <v>Q2'27</v>
      </c>
      <c r="J105" s="20" t="s">
        <v>506</v>
      </c>
      <c r="K105" s="20" t="s">
        <v>514</v>
      </c>
      <c r="L105" s="20"/>
    </row>
    <row r="106" customFormat="false" ht="15" hidden="false" customHeight="false" outlineLevel="0" collapsed="false">
      <c r="A106" s="0" t="s">
        <v>699</v>
      </c>
      <c r="B106" s="20" t="s">
        <v>689</v>
      </c>
      <c r="C106" s="0" t="s">
        <v>494</v>
      </c>
      <c r="D106" s="19" t="n">
        <v>-9.9</v>
      </c>
      <c r="E106" s="0" t="s">
        <v>494</v>
      </c>
      <c r="F106" s="60" t="n">
        <f aca="false">D106</f>
        <v>-9.9</v>
      </c>
      <c r="J106" s="20" t="s">
        <v>506</v>
      </c>
      <c r="K106" s="20" t="s">
        <v>514</v>
      </c>
      <c r="L106" s="20"/>
    </row>
    <row r="107" customFormat="false" ht="15" hidden="false" customHeight="false" outlineLevel="0" collapsed="false">
      <c r="A107" s="0" t="s">
        <v>700</v>
      </c>
      <c r="B107" s="20" t="s">
        <v>689</v>
      </c>
      <c r="C107" s="0" t="s">
        <v>494</v>
      </c>
      <c r="D107" s="80" t="s">
        <v>701</v>
      </c>
      <c r="E107" s="0" t="s">
        <v>494</v>
      </c>
      <c r="F107" s="4" t="str">
        <f aca="false">D107</f>
        <v>negative</v>
      </c>
      <c r="J107" s="20" t="s">
        <v>506</v>
      </c>
      <c r="K107" s="20" t="s">
        <v>514</v>
      </c>
      <c r="L107" s="20"/>
    </row>
    <row r="108" customFormat="false" ht="15" hidden="false" customHeight="false" outlineLevel="0" collapsed="false">
      <c r="A108" s="0" t="s">
        <v>702</v>
      </c>
      <c r="B108" s="20" t="s">
        <v>689</v>
      </c>
      <c r="C108" s="0" t="s">
        <v>494</v>
      </c>
      <c r="D108" s="19" t="n">
        <v>2.3</v>
      </c>
      <c r="E108" s="0" t="s">
        <v>494</v>
      </c>
      <c r="F108" s="60" t="n">
        <f aca="false">D108</f>
        <v>2.3</v>
      </c>
      <c r="J108" s="20" t="s">
        <v>506</v>
      </c>
      <c r="K108" s="20" t="s">
        <v>514</v>
      </c>
      <c r="L108" s="20" t="s">
        <v>703</v>
      </c>
    </row>
    <row r="109" customFormat="false" ht="15" hidden="false" customHeight="false" outlineLevel="0" collapsed="false">
      <c r="A109" s="0" t="s">
        <v>704</v>
      </c>
      <c r="B109" s="20" t="s">
        <v>689</v>
      </c>
      <c r="C109" s="0" t="s">
        <v>494</v>
      </c>
      <c r="D109" s="19" t="n">
        <v>16.3</v>
      </c>
      <c r="E109" s="0" t="s">
        <v>494</v>
      </c>
      <c r="F109" s="60" t="n">
        <f aca="false">D109</f>
        <v>16.3</v>
      </c>
      <c r="J109" s="20" t="s">
        <v>506</v>
      </c>
      <c r="K109" s="20" t="s">
        <v>514</v>
      </c>
      <c r="L109" s="20"/>
    </row>
    <row r="110" customFormat="false" ht="15" hidden="false" customHeight="false" outlineLevel="0" collapsed="false">
      <c r="A110" s="0" t="s">
        <v>705</v>
      </c>
      <c r="B110" s="20" t="s">
        <v>561</v>
      </c>
      <c r="C110" s="0" t="s">
        <v>494</v>
      </c>
      <c r="D110" s="63" t="n">
        <v>-340</v>
      </c>
      <c r="E110" s="0" t="s">
        <v>494</v>
      </c>
      <c r="F110" s="5" t="n">
        <f aca="false">D110</f>
        <v>-340</v>
      </c>
      <c r="J110" s="20" t="s">
        <v>506</v>
      </c>
      <c r="K110" s="20" t="s">
        <v>514</v>
      </c>
      <c r="L110" s="20"/>
    </row>
    <row r="111" customFormat="false" ht="15" hidden="false" customHeight="false" outlineLevel="0" collapsed="false">
      <c r="A111" s="0" t="s">
        <v>706</v>
      </c>
      <c r="B111" s="20" t="s">
        <v>561</v>
      </c>
      <c r="C111" s="0" t="s">
        <v>494</v>
      </c>
      <c r="D111" s="63" t="n">
        <v>-782</v>
      </c>
      <c r="E111" s="0" t="s">
        <v>494</v>
      </c>
      <c r="F111" s="5" t="n">
        <f aca="false">D111</f>
        <v>-782</v>
      </c>
      <c r="J111" s="20" t="s">
        <v>506</v>
      </c>
      <c r="K111" s="20" t="s">
        <v>514</v>
      </c>
      <c r="L111" s="20"/>
    </row>
    <row r="112" customFormat="false" ht="15" hidden="false" customHeight="false" outlineLevel="0" collapsed="false">
      <c r="A112" s="0" t="s">
        <v>707</v>
      </c>
      <c r="B112" s="20" t="s">
        <v>561</v>
      </c>
      <c r="C112" s="0" t="s">
        <v>494</v>
      </c>
      <c r="D112" s="63" t="n">
        <v>-1600</v>
      </c>
      <c r="E112" s="0" t="s">
        <v>494</v>
      </c>
      <c r="F112" s="5" t="n">
        <f aca="false">D112</f>
        <v>-1600</v>
      </c>
      <c r="J112" s="20" t="s">
        <v>506</v>
      </c>
      <c r="K112" s="20" t="s">
        <v>514</v>
      </c>
      <c r="L112" s="20"/>
    </row>
    <row r="113" customFormat="false" ht="15" hidden="false" customHeight="false" outlineLevel="0" collapsed="false">
      <c r="A113" s="0" t="s">
        <v>708</v>
      </c>
      <c r="B113" s="20" t="s">
        <v>709</v>
      </c>
      <c r="C113" s="0" t="s">
        <v>494</v>
      </c>
      <c r="D113" s="63" t="n">
        <v>45000</v>
      </c>
      <c r="E113" s="0" t="s">
        <v>494</v>
      </c>
      <c r="F113" s="5" t="n">
        <f aca="false">D113</f>
        <v>45000</v>
      </c>
      <c r="J113" s="20" t="s">
        <v>513</v>
      </c>
      <c r="K113" s="20" t="s">
        <v>514</v>
      </c>
      <c r="L113" s="20" t="s">
        <v>710</v>
      </c>
    </row>
    <row r="114" customFormat="false" ht="15" hidden="false" customHeight="false" outlineLevel="0" collapsed="false">
      <c r="A114" s="0" t="s">
        <v>711</v>
      </c>
      <c r="B114" s="20" t="s">
        <v>709</v>
      </c>
      <c r="C114" s="0" t="s">
        <v>494</v>
      </c>
      <c r="D114" s="63" t="n">
        <v>60000</v>
      </c>
      <c r="E114" s="0" t="s">
        <v>494</v>
      </c>
      <c r="F114" s="5" t="n">
        <f aca="false">D114</f>
        <v>60000</v>
      </c>
      <c r="J114" s="20" t="s">
        <v>513</v>
      </c>
      <c r="K114" s="20" t="s">
        <v>514</v>
      </c>
      <c r="L114" s="20"/>
    </row>
    <row r="115" customFormat="false" ht="15" hidden="false" customHeight="false" outlineLevel="0" collapsed="false">
      <c r="A115" s="0" t="s">
        <v>712</v>
      </c>
      <c r="B115" s="20" t="s">
        <v>519</v>
      </c>
      <c r="C115" s="0" t="s">
        <v>494</v>
      </c>
      <c r="D115" s="68" t="n">
        <v>11.25</v>
      </c>
      <c r="E115" s="0" t="s">
        <v>494</v>
      </c>
      <c r="F115" s="6" t="n">
        <f aca="false">D115</f>
        <v>11.25</v>
      </c>
      <c r="J115" s="20" t="s">
        <v>513</v>
      </c>
      <c r="K115" s="20" t="s">
        <v>514</v>
      </c>
      <c r="L115" s="20" t="s">
        <v>713</v>
      </c>
    </row>
    <row r="116" customFormat="false" ht="15" hidden="false" customHeight="false" outlineLevel="0" collapsed="false">
      <c r="A116" s="0" t="s">
        <v>714</v>
      </c>
      <c r="B116" s="20" t="s">
        <v>534</v>
      </c>
      <c r="C116" s="21" t="n">
        <v>1</v>
      </c>
      <c r="D116" s="21" t="n">
        <v>1</v>
      </c>
      <c r="E116" s="21" t="n">
        <v>1</v>
      </c>
      <c r="F116" s="57" t="n">
        <f aca="false">CHOOSE(Scen,C116,D116,E116)</f>
        <v>1</v>
      </c>
      <c r="J116" s="20" t="s">
        <v>546</v>
      </c>
      <c r="K116" s="20" t="s">
        <v>496</v>
      </c>
      <c r="L116" s="20" t="s">
        <v>715</v>
      </c>
    </row>
    <row r="117" customFormat="false" ht="15" hidden="false" customHeight="false" outlineLevel="0" collapsed="false">
      <c r="A117" s="0" t="s">
        <v>716</v>
      </c>
      <c r="B117" s="20" t="s">
        <v>549</v>
      </c>
      <c r="C117" s="74" t="n">
        <v>0.0625</v>
      </c>
      <c r="D117" s="74" t="n">
        <v>0.22</v>
      </c>
      <c r="E117" s="74" t="n">
        <v>0.31</v>
      </c>
      <c r="F117" s="75" t="n">
        <f aca="false">CHOOSE(Scen,C117,D117,E117)</f>
        <v>0.22</v>
      </c>
      <c r="J117" s="20" t="s">
        <v>546</v>
      </c>
      <c r="K117" s="20" t="s">
        <v>514</v>
      </c>
      <c r="L117" s="20" t="s">
        <v>717</v>
      </c>
    </row>
    <row r="118" customFormat="false" ht="15" hidden="false" customHeight="false" outlineLevel="0" collapsed="false">
      <c r="A118" s="0" t="s">
        <v>718</v>
      </c>
      <c r="B118" s="20" t="s">
        <v>600</v>
      </c>
      <c r="C118" s="0" t="s">
        <v>494</v>
      </c>
      <c r="D118" s="22" t="n">
        <v>13</v>
      </c>
      <c r="E118" s="0" t="s">
        <v>494</v>
      </c>
      <c r="F118" s="57" t="n">
        <f aca="false">D118</f>
        <v>13</v>
      </c>
      <c r="J118" s="20" t="s">
        <v>546</v>
      </c>
      <c r="K118" s="20" t="s">
        <v>514</v>
      </c>
      <c r="L118" s="20" t="s">
        <v>719</v>
      </c>
    </row>
    <row r="119" customFormat="false" ht="15" hidden="false" customHeight="false" outlineLevel="0" collapsed="false">
      <c r="A119" s="53" t="s">
        <v>720</v>
      </c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</row>
    <row r="120" customFormat="false" ht="15" hidden="false" customHeight="false" outlineLevel="0" collapsed="false">
      <c r="A120" s="0" t="s">
        <v>721</v>
      </c>
      <c r="B120" s="20" t="s">
        <v>648</v>
      </c>
      <c r="C120" s="81" t="n">
        <v>1</v>
      </c>
      <c r="D120" s="81" t="n">
        <v>1</v>
      </c>
      <c r="E120" s="81" t="n">
        <v>0.85</v>
      </c>
      <c r="F120" s="59" t="n">
        <f aca="false">CHOOSE(Scen,C120,D120,E120)</f>
        <v>1</v>
      </c>
      <c r="J120" s="20" t="s">
        <v>506</v>
      </c>
      <c r="K120" s="20" t="s">
        <v>543</v>
      </c>
      <c r="L120" s="20" t="s">
        <v>722</v>
      </c>
    </row>
    <row r="121" customFormat="false" ht="15" hidden="false" customHeight="false" outlineLevel="0" collapsed="false">
      <c r="A121" s="0" t="s">
        <v>723</v>
      </c>
      <c r="B121" s="20" t="s">
        <v>512</v>
      </c>
      <c r="C121" s="70" t="n">
        <v>0</v>
      </c>
      <c r="D121" s="70" t="n">
        <v>0</v>
      </c>
      <c r="E121" s="70" t="n">
        <v>0</v>
      </c>
      <c r="F121" s="57" t="n">
        <f aca="false">CHOOSE(Scen,C121,D121,E121)</f>
        <v>0</v>
      </c>
      <c r="J121" s="20" t="s">
        <v>506</v>
      </c>
      <c r="K121" s="20" t="s">
        <v>543</v>
      </c>
      <c r="L121" s="20" t="s">
        <v>724</v>
      </c>
    </row>
    <row r="122" customFormat="false" ht="15" hidden="false" customHeight="false" outlineLevel="0" collapsed="false">
      <c r="A122" s="0" t="s">
        <v>725</v>
      </c>
      <c r="B122" s="20" t="s">
        <v>648</v>
      </c>
      <c r="C122" s="82" t="n">
        <v>1.2</v>
      </c>
      <c r="D122" s="82" t="n">
        <v>1.25</v>
      </c>
      <c r="E122" s="82" t="n">
        <v>1.35</v>
      </c>
      <c r="F122" s="59" t="n">
        <f aca="false">CHOOSE(Scen,C122,D122,E122)</f>
        <v>1.25</v>
      </c>
      <c r="J122" s="20" t="s">
        <v>513</v>
      </c>
      <c r="K122" s="20" t="s">
        <v>514</v>
      </c>
      <c r="L122" s="20" t="s">
        <v>726</v>
      </c>
    </row>
    <row r="123" customFormat="false" ht="15" hidden="false" customHeight="false" outlineLevel="0" collapsed="false">
      <c r="A123" s="0" t="s">
        <v>727</v>
      </c>
      <c r="B123" s="20" t="s">
        <v>549</v>
      </c>
      <c r="C123" s="0" t="s">
        <v>494</v>
      </c>
      <c r="D123" s="66" t="n">
        <v>0.8</v>
      </c>
      <c r="E123" s="0" t="s">
        <v>494</v>
      </c>
      <c r="F123" s="38" t="n">
        <f aca="false">D123</f>
        <v>0.8</v>
      </c>
      <c r="J123" s="20" t="s">
        <v>513</v>
      </c>
      <c r="K123" s="20" t="s">
        <v>543</v>
      </c>
      <c r="L123" s="20" t="s">
        <v>728</v>
      </c>
    </row>
    <row r="124" customFormat="false" ht="15" hidden="false" customHeight="false" outlineLevel="0" collapsed="false">
      <c r="A124" s="0" t="s">
        <v>729</v>
      </c>
      <c r="B124" s="20" t="s">
        <v>605</v>
      </c>
      <c r="C124" s="0" t="s">
        <v>494</v>
      </c>
      <c r="D124" s="63" t="n">
        <v>713</v>
      </c>
      <c r="E124" s="0" t="s">
        <v>494</v>
      </c>
      <c r="F124" s="5" t="n">
        <f aca="false">D124</f>
        <v>713</v>
      </c>
      <c r="J124" s="20" t="s">
        <v>513</v>
      </c>
      <c r="K124" s="20" t="s">
        <v>514</v>
      </c>
      <c r="L124" s="20" t="s">
        <v>730</v>
      </c>
    </row>
    <row r="125" customFormat="false" ht="15" hidden="false" customHeight="false" outlineLevel="0" collapsed="false">
      <c r="A125" s="0" t="s">
        <v>731</v>
      </c>
      <c r="B125" s="20" t="s">
        <v>605</v>
      </c>
      <c r="C125" s="0" t="s">
        <v>494</v>
      </c>
      <c r="D125" s="63" t="n">
        <v>500</v>
      </c>
      <c r="E125" s="0" t="s">
        <v>494</v>
      </c>
      <c r="F125" s="5" t="n">
        <f aca="false">D125</f>
        <v>500</v>
      </c>
      <c r="J125" s="20" t="s">
        <v>513</v>
      </c>
      <c r="K125" s="20" t="s">
        <v>514</v>
      </c>
      <c r="L125" s="20" t="s">
        <v>732</v>
      </c>
    </row>
    <row r="126" customFormat="false" ht="15" hidden="false" customHeight="false" outlineLevel="0" collapsed="false">
      <c r="A126" s="0" t="s">
        <v>733</v>
      </c>
      <c r="B126" s="20" t="s">
        <v>605</v>
      </c>
      <c r="C126" s="0" t="s">
        <v>494</v>
      </c>
      <c r="D126" s="69" t="n">
        <v>320</v>
      </c>
      <c r="E126" s="0" t="s">
        <v>494</v>
      </c>
      <c r="F126" s="5" t="n">
        <f aca="false">D126</f>
        <v>320</v>
      </c>
      <c r="J126" s="20" t="s">
        <v>513</v>
      </c>
      <c r="K126" s="20" t="s">
        <v>543</v>
      </c>
      <c r="L126" s="20" t="s">
        <v>734</v>
      </c>
    </row>
    <row r="127" customFormat="false" ht="15" hidden="false" customHeight="false" outlineLevel="0" collapsed="false">
      <c r="A127" s="53" t="s">
        <v>735</v>
      </c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</row>
    <row r="128" customFormat="false" ht="15" hidden="false" customHeight="false" outlineLevel="0" collapsed="false">
      <c r="A128" s="0" t="s">
        <v>736</v>
      </c>
      <c r="B128" s="20" t="s">
        <v>549</v>
      </c>
      <c r="C128" s="62" t="n">
        <v>0.25</v>
      </c>
      <c r="D128" s="62" t="n">
        <v>0.35</v>
      </c>
      <c r="E128" s="62" t="n">
        <v>0.35</v>
      </c>
      <c r="F128" s="38" t="n">
        <f aca="false">CHOOSE(Scen,C128,D128,E128)</f>
        <v>0.35</v>
      </c>
      <c r="J128" s="20" t="s">
        <v>546</v>
      </c>
      <c r="K128" s="20" t="s">
        <v>554</v>
      </c>
      <c r="L128" s="20" t="s">
        <v>737</v>
      </c>
    </row>
    <row r="129" customFormat="false" ht="15" hidden="false" customHeight="false" outlineLevel="0" collapsed="false">
      <c r="A129" s="0" t="s">
        <v>738</v>
      </c>
      <c r="B129" s="20" t="s">
        <v>648</v>
      </c>
      <c r="C129" s="81" t="n">
        <v>1.05</v>
      </c>
      <c r="D129" s="81" t="n">
        <v>1</v>
      </c>
      <c r="E129" s="81" t="n">
        <v>0.9</v>
      </c>
      <c r="F129" s="59" t="n">
        <f aca="false">CHOOSE(Scen,C129,D129,E129)</f>
        <v>1</v>
      </c>
      <c r="J129" s="20" t="s">
        <v>546</v>
      </c>
      <c r="K129" s="20" t="s">
        <v>543</v>
      </c>
      <c r="L129" s="20" t="s">
        <v>739</v>
      </c>
    </row>
    <row r="130" customFormat="false" ht="15" hidden="false" customHeight="false" outlineLevel="0" collapsed="false">
      <c r="A130" s="0" t="s">
        <v>740</v>
      </c>
      <c r="B130" s="20" t="s">
        <v>534</v>
      </c>
      <c r="C130" s="0" t="s">
        <v>494</v>
      </c>
      <c r="D130" s="21" t="n">
        <v>1</v>
      </c>
      <c r="E130" s="0" t="s">
        <v>494</v>
      </c>
      <c r="F130" s="57" t="n">
        <f aca="false">D130</f>
        <v>1</v>
      </c>
      <c r="J130" s="20" t="s">
        <v>546</v>
      </c>
      <c r="K130" s="20" t="s">
        <v>496</v>
      </c>
      <c r="L130" s="20"/>
    </row>
    <row r="131" customFormat="false" ht="15" hidden="false" customHeight="false" outlineLevel="0" collapsed="false">
      <c r="A131" s="0" t="s">
        <v>741</v>
      </c>
      <c r="B131" s="20" t="s">
        <v>534</v>
      </c>
      <c r="C131" s="0" t="s">
        <v>494</v>
      </c>
      <c r="D131" s="70" t="n">
        <v>0</v>
      </c>
      <c r="E131" s="0" t="s">
        <v>494</v>
      </c>
      <c r="F131" s="57" t="n">
        <f aca="false">D131</f>
        <v>0</v>
      </c>
      <c r="J131" s="20" t="s">
        <v>506</v>
      </c>
      <c r="K131" s="20" t="s">
        <v>543</v>
      </c>
      <c r="L131" s="20" t="s">
        <v>742</v>
      </c>
    </row>
    <row r="132" customFormat="false" ht="15" hidden="false" customHeight="false" outlineLevel="0" collapsed="false">
      <c r="A132" s="0" t="s">
        <v>743</v>
      </c>
      <c r="B132" s="20" t="s">
        <v>614</v>
      </c>
      <c r="C132" s="0" t="s">
        <v>494</v>
      </c>
      <c r="D132" s="66" t="n">
        <v>-0.15</v>
      </c>
      <c r="E132" s="0" t="s">
        <v>494</v>
      </c>
      <c r="F132" s="38" t="n">
        <f aca="false">D132</f>
        <v>-0.15</v>
      </c>
      <c r="J132" s="20" t="s">
        <v>506</v>
      </c>
      <c r="K132" s="20" t="s">
        <v>543</v>
      </c>
      <c r="L132" s="20" t="s">
        <v>744</v>
      </c>
    </row>
    <row r="133" customFormat="false" ht="15" hidden="false" customHeight="false" outlineLevel="0" collapsed="false">
      <c r="A133" s="0" t="s">
        <v>745</v>
      </c>
      <c r="B133" s="20" t="s">
        <v>600</v>
      </c>
      <c r="C133" s="0" t="s">
        <v>494</v>
      </c>
      <c r="D133" s="70" t="n">
        <v>17</v>
      </c>
      <c r="E133" s="0" t="s">
        <v>494</v>
      </c>
      <c r="F133" s="57" t="n">
        <f aca="false">D133</f>
        <v>17</v>
      </c>
      <c r="J133" s="20" t="s">
        <v>506</v>
      </c>
      <c r="K133" s="20" t="s">
        <v>543</v>
      </c>
      <c r="L133" s="20" t="s">
        <v>82</v>
      </c>
    </row>
    <row r="134" customFormat="false" ht="15" hidden="false" customHeight="false" outlineLevel="0" collapsed="false">
      <c r="A134" s="0" t="s">
        <v>746</v>
      </c>
      <c r="B134" s="20" t="s">
        <v>614</v>
      </c>
      <c r="C134" s="66" t="n">
        <v>-0.05</v>
      </c>
      <c r="D134" s="66" t="n">
        <v>-0.15</v>
      </c>
      <c r="E134" s="66" t="n">
        <v>-0.3</v>
      </c>
      <c r="F134" s="38" t="n">
        <f aca="false">CHOOSE(Scen,C134,D134,E134)</f>
        <v>-0.15</v>
      </c>
      <c r="J134" s="20" t="s">
        <v>546</v>
      </c>
      <c r="K134" s="20" t="s">
        <v>543</v>
      </c>
      <c r="L134" s="20" t="s">
        <v>747</v>
      </c>
    </row>
    <row r="135" customFormat="false" ht="15" hidden="false" customHeight="false" outlineLevel="0" collapsed="false">
      <c r="A135" s="0" t="s">
        <v>748</v>
      </c>
      <c r="B135" s="20" t="s">
        <v>614</v>
      </c>
      <c r="C135" s="32" t="n">
        <v>-0.025</v>
      </c>
      <c r="D135" s="32" t="n">
        <v>-0.06</v>
      </c>
      <c r="E135" s="32" t="n">
        <v>-0.095</v>
      </c>
      <c r="F135" s="65" t="n">
        <f aca="false">CHOOSE(Scen,C135,D135,E135)</f>
        <v>-0.06</v>
      </c>
      <c r="J135" s="20" t="s">
        <v>546</v>
      </c>
      <c r="K135" s="20" t="s">
        <v>514</v>
      </c>
      <c r="L135" s="20" t="s">
        <v>749</v>
      </c>
    </row>
    <row r="136" customFormat="false" ht="15" hidden="false" customHeight="false" outlineLevel="0" collapsed="false">
      <c r="A136" s="0" t="s">
        <v>750</v>
      </c>
      <c r="B136" s="20" t="s">
        <v>614</v>
      </c>
      <c r="C136" s="32" t="n">
        <v>-0.025</v>
      </c>
      <c r="D136" s="32" t="n">
        <v>-0.06</v>
      </c>
      <c r="E136" s="32" t="n">
        <v>-0.095</v>
      </c>
      <c r="F136" s="65" t="n">
        <f aca="false">CHOOSE(Scen,C136,D136,E136)</f>
        <v>-0.06</v>
      </c>
      <c r="J136" s="20" t="s">
        <v>546</v>
      </c>
      <c r="K136" s="20" t="s">
        <v>514</v>
      </c>
      <c r="L136" s="20" t="s">
        <v>751</v>
      </c>
    </row>
    <row r="137" customFormat="false" ht="15" hidden="false" customHeight="false" outlineLevel="0" collapsed="false">
      <c r="A137" s="0" t="s">
        <v>752</v>
      </c>
      <c r="B137" s="20" t="s">
        <v>600</v>
      </c>
      <c r="C137" s="0" t="s">
        <v>494</v>
      </c>
      <c r="D137" s="21" t="n">
        <v>12</v>
      </c>
      <c r="E137" s="0" t="s">
        <v>494</v>
      </c>
      <c r="F137" s="57" t="n">
        <f aca="false">D137</f>
        <v>12</v>
      </c>
      <c r="J137" s="20" t="s">
        <v>546</v>
      </c>
      <c r="K137" s="20" t="s">
        <v>507</v>
      </c>
      <c r="L137" s="20" t="s">
        <v>753</v>
      </c>
    </row>
    <row r="138" customFormat="false" ht="15" hidden="false" customHeight="false" outlineLevel="0" collapsed="false">
      <c r="A138" s="0" t="s">
        <v>754</v>
      </c>
      <c r="B138" s="20" t="s">
        <v>648</v>
      </c>
      <c r="C138" s="0" t="s">
        <v>494</v>
      </c>
      <c r="D138" s="58" t="n">
        <v>1.22</v>
      </c>
      <c r="E138" s="0" t="s">
        <v>494</v>
      </c>
      <c r="F138" s="59" t="n">
        <f aca="false">D138</f>
        <v>1.22</v>
      </c>
      <c r="J138" s="20" t="s">
        <v>546</v>
      </c>
      <c r="K138" s="20" t="s">
        <v>554</v>
      </c>
      <c r="L138" s="20" t="s">
        <v>755</v>
      </c>
    </row>
    <row r="139" customFormat="false" ht="15" hidden="false" customHeight="false" outlineLevel="0" collapsed="false">
      <c r="A139" s="0" t="s">
        <v>756</v>
      </c>
      <c r="B139" s="20" t="s">
        <v>648</v>
      </c>
      <c r="C139" s="0" t="s">
        <v>494</v>
      </c>
      <c r="D139" s="68" t="n">
        <v>1.2</v>
      </c>
      <c r="E139" s="0" t="s">
        <v>494</v>
      </c>
      <c r="F139" s="6" t="n">
        <f aca="false">D139</f>
        <v>1.2</v>
      </c>
      <c r="J139" s="20" t="s">
        <v>546</v>
      </c>
      <c r="K139" s="20" t="s">
        <v>514</v>
      </c>
      <c r="L139" s="20" t="s">
        <v>757</v>
      </c>
    </row>
    <row r="140" customFormat="false" ht="15" hidden="false" customHeight="false" outlineLevel="0" collapsed="false">
      <c r="A140" s="0" t="s">
        <v>758</v>
      </c>
      <c r="B140" s="20" t="s">
        <v>534</v>
      </c>
      <c r="C140" s="0" t="s">
        <v>494</v>
      </c>
      <c r="D140" s="21" t="n">
        <v>1</v>
      </c>
      <c r="E140" s="0" t="s">
        <v>494</v>
      </c>
      <c r="F140" s="57" t="n">
        <f aca="false">D140</f>
        <v>1</v>
      </c>
      <c r="J140" s="20" t="s">
        <v>546</v>
      </c>
      <c r="K140" s="20" t="s">
        <v>496</v>
      </c>
      <c r="L140" s="20" t="s">
        <v>759</v>
      </c>
    </row>
    <row r="141" customFormat="false" ht="15" hidden="false" customHeight="false" outlineLevel="0" collapsed="false">
      <c r="A141" s="0" t="s">
        <v>760</v>
      </c>
      <c r="B141" s="20" t="s">
        <v>549</v>
      </c>
      <c r="C141" s="0" t="s">
        <v>494</v>
      </c>
      <c r="D141" s="62" t="n">
        <v>0</v>
      </c>
      <c r="E141" s="0" t="s">
        <v>494</v>
      </c>
      <c r="F141" s="38" t="n">
        <f aca="false">D141</f>
        <v>0</v>
      </c>
      <c r="J141" s="20" t="s">
        <v>546</v>
      </c>
      <c r="K141" s="20" t="s">
        <v>554</v>
      </c>
      <c r="L141" s="20" t="s">
        <v>761</v>
      </c>
    </row>
    <row r="142" customFormat="false" ht="15" hidden="false" customHeight="false" outlineLevel="0" collapsed="false">
      <c r="A142" s="0" t="s">
        <v>762</v>
      </c>
      <c r="B142" s="20" t="s">
        <v>763</v>
      </c>
      <c r="C142" s="0" t="s">
        <v>494</v>
      </c>
      <c r="D142" s="21" t="n">
        <v>0</v>
      </c>
      <c r="E142" s="0" t="s">
        <v>494</v>
      </c>
      <c r="F142" s="57" t="n">
        <f aca="false">D142</f>
        <v>0</v>
      </c>
      <c r="J142" s="20" t="s">
        <v>546</v>
      </c>
      <c r="K142" s="20" t="s">
        <v>554</v>
      </c>
      <c r="L142" s="20" t="s">
        <v>764</v>
      </c>
    </row>
    <row r="143" customFormat="false" ht="15" hidden="false" customHeight="false" outlineLevel="0" collapsed="false">
      <c r="A143" s="0" t="s">
        <v>765</v>
      </c>
      <c r="B143" s="20" t="s">
        <v>600</v>
      </c>
      <c r="C143" s="0" t="s">
        <v>494</v>
      </c>
      <c r="D143" s="22" t="n">
        <v>13</v>
      </c>
      <c r="E143" s="0" t="s">
        <v>494</v>
      </c>
      <c r="F143" s="57" t="n">
        <f aca="false">D143</f>
        <v>13</v>
      </c>
      <c r="J143" s="20" t="s">
        <v>546</v>
      </c>
      <c r="K143" s="20" t="s">
        <v>514</v>
      </c>
      <c r="L143" s="20" t="s">
        <v>766</v>
      </c>
    </row>
    <row r="144" customFormat="false" ht="15" hidden="false" customHeight="false" outlineLevel="0" collapsed="false">
      <c r="A144" s="0" t="s">
        <v>767</v>
      </c>
      <c r="B144" s="20" t="s">
        <v>512</v>
      </c>
      <c r="C144" s="21" t="n">
        <v>3</v>
      </c>
      <c r="D144" s="21" t="n">
        <v>4</v>
      </c>
      <c r="E144" s="21" t="n">
        <v>5</v>
      </c>
      <c r="F144" s="57" t="n">
        <f aca="false">CHOOSE(Scen,C144,D144,E144)</f>
        <v>4</v>
      </c>
      <c r="J144" s="20" t="s">
        <v>768</v>
      </c>
      <c r="K144" s="20" t="s">
        <v>554</v>
      </c>
      <c r="L144" s="20" t="s">
        <v>769</v>
      </c>
    </row>
    <row r="145" customFormat="false" ht="15" hidden="false" customHeight="false" outlineLevel="0" collapsed="false">
      <c r="A145" s="0" t="s">
        <v>770</v>
      </c>
      <c r="B145" s="20" t="s">
        <v>648</v>
      </c>
      <c r="C145" s="68" t="n">
        <v>1</v>
      </c>
      <c r="D145" s="68" t="n">
        <v>0.95</v>
      </c>
      <c r="E145" s="68" t="n">
        <v>0.85</v>
      </c>
      <c r="F145" s="6" t="n">
        <f aca="false">CHOOSE(Scen,C145,D145,E145)</f>
        <v>0.95</v>
      </c>
      <c r="J145" s="20" t="s">
        <v>546</v>
      </c>
      <c r="K145" s="20" t="s">
        <v>514</v>
      </c>
      <c r="L145" s="20" t="s">
        <v>771</v>
      </c>
    </row>
    <row r="146" customFormat="false" ht="15" hidden="false" customHeight="false" outlineLevel="0" collapsed="false">
      <c r="A146" s="0" t="s">
        <v>772</v>
      </c>
      <c r="B146" s="20" t="s">
        <v>648</v>
      </c>
      <c r="C146" s="68" t="n">
        <v>0.85</v>
      </c>
      <c r="D146" s="68" t="n">
        <v>0.72</v>
      </c>
      <c r="E146" s="68" t="n">
        <v>0.65</v>
      </c>
      <c r="F146" s="6" t="n">
        <f aca="false">CHOOSE(Scen,C146,D146,E146)</f>
        <v>0.72</v>
      </c>
      <c r="J146" s="20" t="s">
        <v>546</v>
      </c>
      <c r="K146" s="20" t="s">
        <v>514</v>
      </c>
      <c r="L146" s="20" t="s">
        <v>773</v>
      </c>
    </row>
    <row r="147" customFormat="false" ht="15" hidden="false" customHeight="false" outlineLevel="0" collapsed="false">
      <c r="A147" s="0" t="s">
        <v>774</v>
      </c>
      <c r="B147" s="20" t="s">
        <v>549</v>
      </c>
      <c r="C147" s="66" t="n">
        <v>0.9</v>
      </c>
      <c r="D147" s="66" t="n">
        <f aca="false">IF(UtilQ2&gt;1,1,IF(UtilQ2&lt;0.4,0.4,UtilQ2))</f>
        <v>0.82509878873241</v>
      </c>
      <c r="E147" s="66" t="n">
        <v>0.65</v>
      </c>
      <c r="F147" s="38" t="n">
        <f aca="false">CHOOSE(Scen,C147,D147,E147)</f>
        <v>0.82509878873241</v>
      </c>
      <c r="J147" s="20" t="s">
        <v>546</v>
      </c>
      <c r="K147" s="20" t="s">
        <v>543</v>
      </c>
      <c r="L147" s="20" t="s">
        <v>775</v>
      </c>
    </row>
    <row r="148" customFormat="false" ht="15" hidden="false" customHeight="false" outlineLevel="0" collapsed="false">
      <c r="A148" s="0" t="s">
        <v>776</v>
      </c>
      <c r="B148" s="20" t="s">
        <v>549</v>
      </c>
      <c r="C148" s="66" t="n">
        <v>0.95</v>
      </c>
      <c r="D148" s="66" t="n">
        <f aca="false">IF(UtilQ2&gt;1,1,IF(UtilQ2&lt;0.4,0.4,UtilQ2))</f>
        <v>0.82509878873241</v>
      </c>
      <c r="E148" s="66" t="n">
        <v>0.75</v>
      </c>
      <c r="F148" s="38" t="n">
        <f aca="false">CHOOSE(Scen,C148,D148,E148)</f>
        <v>0.82509878873241</v>
      </c>
      <c r="J148" s="20" t="s">
        <v>546</v>
      </c>
      <c r="K148" s="20" t="s">
        <v>543</v>
      </c>
      <c r="L148" s="20" t="s">
        <v>777</v>
      </c>
    </row>
    <row r="149" customFormat="false" ht="15" hidden="false" customHeight="false" outlineLevel="0" collapsed="false">
      <c r="A149" s="0" t="s">
        <v>778</v>
      </c>
      <c r="B149" s="20" t="s">
        <v>549</v>
      </c>
      <c r="C149" s="66" t="n">
        <v>0.5</v>
      </c>
      <c r="D149" s="66" t="n">
        <v>0.4</v>
      </c>
      <c r="E149" s="66" t="n">
        <v>0.3</v>
      </c>
      <c r="F149" s="38" t="n">
        <f aca="false">CHOOSE(Scen,C149,D149,E149)</f>
        <v>0.4</v>
      </c>
      <c r="J149" s="20" t="s">
        <v>546</v>
      </c>
      <c r="K149" s="20" t="s">
        <v>543</v>
      </c>
      <c r="L149" s="20"/>
    </row>
    <row r="150" customFormat="false" ht="15" hidden="false" customHeight="false" outlineLevel="0" collapsed="false">
      <c r="A150" s="0" t="s">
        <v>779</v>
      </c>
      <c r="B150" s="20" t="s">
        <v>549</v>
      </c>
      <c r="C150" s="66" t="n">
        <v>0.7</v>
      </c>
      <c r="D150" s="66" t="n">
        <v>0.65</v>
      </c>
      <c r="E150" s="66" t="n">
        <v>0.6</v>
      </c>
      <c r="F150" s="38" t="n">
        <f aca="false">CHOOSE(Scen,C150,D150,E150)</f>
        <v>0.65</v>
      </c>
      <c r="J150" s="20" t="s">
        <v>780</v>
      </c>
      <c r="K150" s="20" t="s">
        <v>543</v>
      </c>
      <c r="L150" s="20" t="s">
        <v>781</v>
      </c>
    </row>
    <row r="151" customFormat="false" ht="15" hidden="false" customHeight="false" outlineLevel="0" collapsed="false">
      <c r="A151" s="53" t="s">
        <v>782</v>
      </c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</row>
    <row r="152" customFormat="false" ht="15" hidden="false" customHeight="false" outlineLevel="0" collapsed="false">
      <c r="A152" s="0" t="s">
        <v>783</v>
      </c>
      <c r="B152" s="20" t="s">
        <v>561</v>
      </c>
      <c r="C152" s="0" t="s">
        <v>494</v>
      </c>
      <c r="D152" s="58" t="n">
        <v>17392.9</v>
      </c>
      <c r="E152" s="0" t="s">
        <v>494</v>
      </c>
      <c r="F152" s="59" t="n">
        <f aca="false">D152</f>
        <v>17392.9</v>
      </c>
      <c r="J152" s="20" t="s">
        <v>550</v>
      </c>
      <c r="K152" s="20" t="s">
        <v>507</v>
      </c>
      <c r="L152" s="20" t="s">
        <v>784</v>
      </c>
    </row>
    <row r="153" customFormat="false" ht="15" hidden="false" customHeight="false" outlineLevel="0" collapsed="false">
      <c r="A153" s="0" t="s">
        <v>785</v>
      </c>
      <c r="B153" s="20" t="s">
        <v>575</v>
      </c>
      <c r="C153" s="0" t="s">
        <v>494</v>
      </c>
      <c r="D153" s="63" t="n">
        <v>240</v>
      </c>
      <c r="E153" s="0" t="s">
        <v>494</v>
      </c>
      <c r="F153" s="5" t="n">
        <f aca="false">D153</f>
        <v>240</v>
      </c>
      <c r="J153" s="20" t="s">
        <v>513</v>
      </c>
      <c r="K153" s="20" t="s">
        <v>514</v>
      </c>
      <c r="L153" s="20" t="s">
        <v>786</v>
      </c>
    </row>
    <row r="154" customFormat="false" ht="15" hidden="false" customHeight="false" outlineLevel="0" collapsed="false">
      <c r="A154" s="0" t="s">
        <v>787</v>
      </c>
      <c r="B154" s="20" t="s">
        <v>499</v>
      </c>
      <c r="C154" s="0" t="s">
        <v>494</v>
      </c>
      <c r="D154" s="21" t="n">
        <v>9</v>
      </c>
      <c r="E154" s="0" t="s">
        <v>494</v>
      </c>
      <c r="F154" s="57" t="n">
        <f aca="false">D154</f>
        <v>9</v>
      </c>
      <c r="J154" s="20" t="s">
        <v>550</v>
      </c>
      <c r="K154" s="20" t="s">
        <v>507</v>
      </c>
      <c r="L154" s="20" t="s">
        <v>788</v>
      </c>
    </row>
    <row r="155" customFormat="false" ht="15" hidden="false" customHeight="false" outlineLevel="0" collapsed="false">
      <c r="A155" s="0" t="s">
        <v>789</v>
      </c>
      <c r="B155" s="20" t="s">
        <v>557</v>
      </c>
      <c r="C155" s="0" t="s">
        <v>494</v>
      </c>
      <c r="D155" s="58" t="n">
        <v>12</v>
      </c>
      <c r="E155" s="0" t="s">
        <v>494</v>
      </c>
      <c r="F155" s="59" t="n">
        <f aca="false">D155</f>
        <v>12</v>
      </c>
      <c r="J155" s="20" t="s">
        <v>550</v>
      </c>
      <c r="K155" s="20" t="s">
        <v>507</v>
      </c>
      <c r="L155" s="20" t="s">
        <v>790</v>
      </c>
    </row>
    <row r="156" customFormat="false" ht="15" hidden="false" customHeight="false" outlineLevel="0" collapsed="false">
      <c r="A156" s="0" t="s">
        <v>791</v>
      </c>
      <c r="B156" s="20" t="s">
        <v>557</v>
      </c>
      <c r="C156" s="0" t="s">
        <v>494</v>
      </c>
      <c r="D156" s="58" t="n">
        <v>22.5</v>
      </c>
      <c r="E156" s="0" t="s">
        <v>494</v>
      </c>
      <c r="F156" s="59" t="n">
        <f aca="false">D156</f>
        <v>22.5</v>
      </c>
      <c r="J156" s="20" t="s">
        <v>550</v>
      </c>
      <c r="K156" s="20" t="s">
        <v>554</v>
      </c>
      <c r="L156" s="20" t="s">
        <v>792</v>
      </c>
    </row>
    <row r="157" customFormat="false" ht="15" hidden="false" customHeight="false" outlineLevel="0" collapsed="false">
      <c r="A157" s="0" t="s">
        <v>793</v>
      </c>
      <c r="B157" s="20" t="s">
        <v>648</v>
      </c>
      <c r="C157" s="0" t="s">
        <v>494</v>
      </c>
      <c r="D157" s="82" t="n">
        <v>0.5</v>
      </c>
      <c r="E157" s="0" t="s">
        <v>494</v>
      </c>
      <c r="F157" s="59" t="n">
        <f aca="false">D157</f>
        <v>0.5</v>
      </c>
      <c r="J157" s="20" t="s">
        <v>495</v>
      </c>
      <c r="K157" s="20" t="s">
        <v>514</v>
      </c>
      <c r="L157" s="20" t="s">
        <v>794</v>
      </c>
    </row>
    <row r="158" customFormat="false" ht="15" hidden="false" customHeight="false" outlineLevel="0" collapsed="false">
      <c r="A158" s="0" t="s">
        <v>795</v>
      </c>
      <c r="B158" s="20" t="s">
        <v>575</v>
      </c>
      <c r="C158" s="0" t="s">
        <v>494</v>
      </c>
      <c r="D158" s="83" t="n">
        <v>122.9</v>
      </c>
      <c r="E158" s="0" t="s">
        <v>494</v>
      </c>
      <c r="F158" s="78" t="n">
        <f aca="false">D158</f>
        <v>122.9</v>
      </c>
      <c r="J158" s="20" t="s">
        <v>513</v>
      </c>
      <c r="K158" s="20" t="s">
        <v>514</v>
      </c>
      <c r="L158" s="20" t="s">
        <v>796</v>
      </c>
    </row>
    <row r="159" customFormat="false" ht="15" hidden="false" customHeight="false" outlineLevel="0" collapsed="false">
      <c r="A159" s="0" t="s">
        <v>797</v>
      </c>
      <c r="B159" s="20" t="s">
        <v>534</v>
      </c>
      <c r="C159" s="0" t="s">
        <v>494</v>
      </c>
      <c r="D159" s="21" t="n">
        <v>1</v>
      </c>
      <c r="E159" s="0" t="s">
        <v>494</v>
      </c>
      <c r="F159" s="57" t="n">
        <f aca="false">D159</f>
        <v>1</v>
      </c>
      <c r="J159" s="20" t="s">
        <v>513</v>
      </c>
      <c r="K159" s="20" t="s">
        <v>496</v>
      </c>
      <c r="L159" s="20" t="s">
        <v>798</v>
      </c>
    </row>
    <row r="160" customFormat="false" ht="15" hidden="false" customHeight="false" outlineLevel="0" collapsed="false">
      <c r="A160" s="0" t="s">
        <v>799</v>
      </c>
      <c r="B160" s="20" t="s">
        <v>600</v>
      </c>
      <c r="C160" s="22" t="n">
        <v>13</v>
      </c>
      <c r="D160" s="22" t="n">
        <v>14</v>
      </c>
      <c r="E160" s="22" t="n">
        <v>15</v>
      </c>
      <c r="F160" s="57" t="n">
        <f aca="false">CHOOSE(Scen,C160,D160,E160)</f>
        <v>14</v>
      </c>
      <c r="J160" s="20" t="s">
        <v>513</v>
      </c>
      <c r="K160" s="20" t="s">
        <v>514</v>
      </c>
      <c r="L160" s="20" t="s">
        <v>800</v>
      </c>
    </row>
    <row r="161" customFormat="false" ht="15" hidden="false" customHeight="false" outlineLevel="0" collapsed="false">
      <c r="A161" s="0" t="s">
        <v>801</v>
      </c>
      <c r="B161" s="20" t="s">
        <v>802</v>
      </c>
      <c r="C161" s="0" t="s">
        <v>494</v>
      </c>
      <c r="D161" s="63" t="n">
        <v>350</v>
      </c>
      <c r="E161" s="0" t="s">
        <v>494</v>
      </c>
      <c r="F161" s="5" t="n">
        <f aca="false">D161</f>
        <v>350</v>
      </c>
      <c r="J161" s="20" t="s">
        <v>531</v>
      </c>
      <c r="K161" s="20" t="s">
        <v>514</v>
      </c>
      <c r="L161" s="20" t="s">
        <v>803</v>
      </c>
    </row>
    <row r="162" customFormat="false" ht="15" hidden="false" customHeight="false" outlineLevel="0" collapsed="false">
      <c r="A162" s="0" t="s">
        <v>804</v>
      </c>
      <c r="B162" s="20" t="s">
        <v>499</v>
      </c>
      <c r="C162" s="0" t="s">
        <v>494</v>
      </c>
      <c r="D162" s="21" t="n">
        <v>1</v>
      </c>
      <c r="E162" s="0" t="s">
        <v>494</v>
      </c>
      <c r="F162" s="57" t="n">
        <f aca="false">D162</f>
        <v>1</v>
      </c>
      <c r="J162" s="20" t="s">
        <v>550</v>
      </c>
      <c r="K162" s="20" t="s">
        <v>496</v>
      </c>
      <c r="L162" s="20" t="s">
        <v>805</v>
      </c>
    </row>
    <row r="163" customFormat="false" ht="15" hidden="false" customHeight="false" outlineLevel="0" collapsed="false">
      <c r="A163" s="0" t="s">
        <v>806</v>
      </c>
      <c r="B163" s="20" t="s">
        <v>802</v>
      </c>
      <c r="C163" s="0" t="s">
        <v>494</v>
      </c>
      <c r="D163" s="31" t="n">
        <f aca="false">IF(TopCust=1,0.21,0.24)*574.9</f>
        <v>120.729</v>
      </c>
      <c r="E163" s="0" t="s">
        <v>494</v>
      </c>
      <c r="F163" s="78" t="n">
        <f aca="false">D163</f>
        <v>120.729</v>
      </c>
      <c r="J163" s="20" t="s">
        <v>550</v>
      </c>
      <c r="K163" s="20" t="s">
        <v>554</v>
      </c>
      <c r="L163" s="20" t="s">
        <v>807</v>
      </c>
    </row>
    <row r="164" customFormat="false" ht="15" hidden="false" customHeight="false" outlineLevel="0" collapsed="false">
      <c r="A164" s="0" t="s">
        <v>808</v>
      </c>
      <c r="B164" s="20" t="s">
        <v>802</v>
      </c>
      <c r="C164" s="0" t="s">
        <v>494</v>
      </c>
      <c r="D164" s="31" t="n">
        <f aca="false">2880.7/20</f>
        <v>144.035</v>
      </c>
      <c r="E164" s="0" t="s">
        <v>494</v>
      </c>
      <c r="F164" s="78" t="n">
        <f aca="false">D164</f>
        <v>144.035</v>
      </c>
      <c r="J164" s="20" t="s">
        <v>550</v>
      </c>
      <c r="K164" s="20" t="s">
        <v>554</v>
      </c>
      <c r="L164" s="20" t="s">
        <v>809</v>
      </c>
    </row>
    <row r="165" customFormat="false" ht="15" hidden="false" customHeight="false" outlineLevel="0" collapsed="false">
      <c r="A165" s="0" t="s">
        <v>810</v>
      </c>
      <c r="B165" s="20" t="s">
        <v>802</v>
      </c>
      <c r="C165" s="0" t="s">
        <v>494</v>
      </c>
      <c r="D165" s="67" t="n">
        <v>40</v>
      </c>
      <c r="E165" s="0" t="s">
        <v>494</v>
      </c>
      <c r="F165" s="5" t="n">
        <f aca="false">D165</f>
        <v>40</v>
      </c>
      <c r="J165" s="20" t="s">
        <v>546</v>
      </c>
      <c r="K165" s="20" t="s">
        <v>554</v>
      </c>
      <c r="L165" s="20" t="s">
        <v>811</v>
      </c>
    </row>
    <row r="166" customFormat="false" ht="15" hidden="false" customHeight="false" outlineLevel="0" collapsed="false">
      <c r="A166" s="0" t="s">
        <v>812</v>
      </c>
      <c r="B166" s="20" t="s">
        <v>802</v>
      </c>
      <c r="C166" s="0" t="s">
        <v>494</v>
      </c>
      <c r="D166" s="67" t="n">
        <v>125</v>
      </c>
      <c r="E166" s="0" t="s">
        <v>494</v>
      </c>
      <c r="F166" s="5" t="n">
        <f aca="false">D166</f>
        <v>125</v>
      </c>
      <c r="J166" s="20" t="s">
        <v>546</v>
      </c>
      <c r="K166" s="20" t="s">
        <v>554</v>
      </c>
      <c r="L166" s="20"/>
    </row>
    <row r="167" customFormat="false" ht="15" hidden="false" customHeight="false" outlineLevel="0" collapsed="false">
      <c r="A167" s="0" t="s">
        <v>813</v>
      </c>
      <c r="B167" s="20" t="s">
        <v>575</v>
      </c>
      <c r="C167" s="69" t="n">
        <v>0</v>
      </c>
      <c r="D167" s="69" t="n">
        <v>0</v>
      </c>
      <c r="E167" s="69" t="n">
        <v>0</v>
      </c>
      <c r="F167" s="5" t="n">
        <f aca="false">CHOOSE(Scen,C167,D167,E167)</f>
        <v>0</v>
      </c>
      <c r="J167" s="20" t="s">
        <v>513</v>
      </c>
      <c r="K167" s="20" t="s">
        <v>543</v>
      </c>
      <c r="L167" s="20" t="s">
        <v>814</v>
      </c>
    </row>
    <row r="168" customFormat="false" ht="15" hidden="false" customHeight="false" outlineLevel="0" collapsed="false">
      <c r="A168" s="0" t="s">
        <v>815</v>
      </c>
      <c r="B168" s="20" t="s">
        <v>575</v>
      </c>
      <c r="C168" s="69" t="n">
        <v>0</v>
      </c>
      <c r="D168" s="69" t="n">
        <v>0</v>
      </c>
      <c r="E168" s="69" t="n">
        <v>0</v>
      </c>
      <c r="F168" s="5" t="n">
        <f aca="false">CHOOSE(Scen,C168,D168,E168)</f>
        <v>0</v>
      </c>
      <c r="J168" s="20" t="s">
        <v>513</v>
      </c>
      <c r="K168" s="20" t="s">
        <v>543</v>
      </c>
      <c r="L168" s="20" t="s">
        <v>816</v>
      </c>
    </row>
    <row r="169" customFormat="false" ht="15" hidden="false" customHeight="false" outlineLevel="0" collapsed="false">
      <c r="A169" s="0" t="s">
        <v>817</v>
      </c>
      <c r="B169" s="20" t="s">
        <v>575</v>
      </c>
      <c r="C169" s="69" t="n">
        <v>0</v>
      </c>
      <c r="D169" s="69" t="n">
        <v>0</v>
      </c>
      <c r="E169" s="69" t="n">
        <v>0</v>
      </c>
      <c r="F169" s="5" t="n">
        <f aca="false">CHOOSE(Scen,C169,D169,E169)</f>
        <v>0</v>
      </c>
      <c r="J169" s="20" t="s">
        <v>513</v>
      </c>
      <c r="K169" s="20" t="s">
        <v>543</v>
      </c>
      <c r="L169" s="20" t="s">
        <v>816</v>
      </c>
    </row>
    <row r="170" customFormat="false" ht="15" hidden="false" customHeight="false" outlineLevel="0" collapsed="false">
      <c r="A170" s="0" t="s">
        <v>818</v>
      </c>
      <c r="B170" s="20" t="s">
        <v>648</v>
      </c>
      <c r="C170" s="0" t="s">
        <v>494</v>
      </c>
      <c r="D170" s="82" t="n">
        <v>1.2</v>
      </c>
      <c r="E170" s="0" t="s">
        <v>494</v>
      </c>
      <c r="F170" s="59" t="n">
        <f aca="false">D170</f>
        <v>1.2</v>
      </c>
      <c r="J170" s="20" t="s">
        <v>513</v>
      </c>
      <c r="K170" s="20" t="s">
        <v>514</v>
      </c>
      <c r="L170" s="20" t="s">
        <v>819</v>
      </c>
    </row>
    <row r="171" customFormat="false" ht="15" hidden="false" customHeight="false" outlineLevel="0" collapsed="false">
      <c r="A171" s="0" t="s">
        <v>820</v>
      </c>
      <c r="B171" s="20" t="s">
        <v>512</v>
      </c>
      <c r="C171" s="22" t="n">
        <v>2</v>
      </c>
      <c r="D171" s="22" t="n">
        <v>4</v>
      </c>
      <c r="E171" s="22" t="n">
        <v>6</v>
      </c>
      <c r="F171" s="57" t="n">
        <f aca="false">CHOOSE(Scen,C171,D171,E171)</f>
        <v>4</v>
      </c>
      <c r="J171" s="20" t="s">
        <v>546</v>
      </c>
      <c r="K171" s="20" t="s">
        <v>514</v>
      </c>
      <c r="L171" s="20" t="s">
        <v>821</v>
      </c>
    </row>
    <row r="172" customFormat="false" ht="15" hidden="false" customHeight="false" outlineLevel="0" collapsed="false">
      <c r="A172" s="0" t="s">
        <v>822</v>
      </c>
      <c r="B172" s="20" t="s">
        <v>549</v>
      </c>
      <c r="C172" s="0" t="s">
        <v>494</v>
      </c>
      <c r="D172" s="34" t="n">
        <v>0.45</v>
      </c>
      <c r="E172" s="0" t="s">
        <v>494</v>
      </c>
      <c r="F172" s="38" t="n">
        <f aca="false">D172</f>
        <v>0.45</v>
      </c>
      <c r="J172" s="20" t="s">
        <v>546</v>
      </c>
      <c r="K172" s="20" t="s">
        <v>514</v>
      </c>
      <c r="L172" s="20" t="s">
        <v>823</v>
      </c>
    </row>
    <row r="173" customFormat="false" ht="15" hidden="false" customHeight="false" outlineLevel="0" collapsed="false">
      <c r="A173" s="0" t="s">
        <v>824</v>
      </c>
      <c r="B173" s="20" t="s">
        <v>549</v>
      </c>
      <c r="C173" s="0" t="s">
        <v>494</v>
      </c>
      <c r="D173" s="34" t="n">
        <v>0.5</v>
      </c>
      <c r="E173" s="0" t="s">
        <v>494</v>
      </c>
      <c r="F173" s="38" t="n">
        <f aca="false">D173</f>
        <v>0.5</v>
      </c>
      <c r="J173" s="20" t="s">
        <v>546</v>
      </c>
      <c r="K173" s="20" t="s">
        <v>514</v>
      </c>
      <c r="L173" s="20" t="s">
        <v>825</v>
      </c>
    </row>
    <row r="174" customFormat="false" ht="15" hidden="false" customHeight="false" outlineLevel="0" collapsed="false">
      <c r="A174" s="0" t="s">
        <v>826</v>
      </c>
      <c r="B174" s="20" t="s">
        <v>549</v>
      </c>
      <c r="C174" s="0" t="s">
        <v>494</v>
      </c>
      <c r="D174" s="34" t="n">
        <v>0.04</v>
      </c>
      <c r="E174" s="0" t="s">
        <v>494</v>
      </c>
      <c r="F174" s="38" t="n">
        <f aca="false">D174</f>
        <v>0.04</v>
      </c>
      <c r="J174" s="20" t="s">
        <v>546</v>
      </c>
      <c r="K174" s="20" t="s">
        <v>514</v>
      </c>
      <c r="L174" s="20" t="s">
        <v>827</v>
      </c>
    </row>
    <row r="175" customFormat="false" ht="15" hidden="false" customHeight="false" outlineLevel="0" collapsed="false">
      <c r="A175" s="0" t="s">
        <v>828</v>
      </c>
      <c r="B175" s="20" t="s">
        <v>575</v>
      </c>
      <c r="C175" s="0" t="s">
        <v>494</v>
      </c>
      <c r="D175" s="63" t="n">
        <v>83</v>
      </c>
      <c r="E175" s="0" t="s">
        <v>494</v>
      </c>
      <c r="F175" s="5" t="n">
        <f aca="false">D175</f>
        <v>83</v>
      </c>
      <c r="J175" s="20" t="s">
        <v>829</v>
      </c>
      <c r="K175" s="20" t="s">
        <v>514</v>
      </c>
      <c r="L175" s="20" t="s">
        <v>830</v>
      </c>
    </row>
    <row r="176" customFormat="false" ht="15" hidden="false" customHeight="false" outlineLevel="0" collapsed="false">
      <c r="A176" s="0" t="s">
        <v>831</v>
      </c>
      <c r="B176" s="20" t="s">
        <v>575</v>
      </c>
      <c r="C176" s="0" t="s">
        <v>494</v>
      </c>
      <c r="D176" s="63" t="n">
        <v>200</v>
      </c>
      <c r="E176" s="0" t="s">
        <v>494</v>
      </c>
      <c r="F176" s="5" t="n">
        <f aca="false">D176</f>
        <v>200</v>
      </c>
      <c r="J176" s="20" t="s">
        <v>829</v>
      </c>
      <c r="K176" s="20" t="s">
        <v>514</v>
      </c>
      <c r="L176" s="20"/>
    </row>
    <row r="177" customFormat="false" ht="15" hidden="false" customHeight="false" outlineLevel="0" collapsed="false">
      <c r="A177" s="0" t="s">
        <v>832</v>
      </c>
      <c r="B177" s="20" t="s">
        <v>549</v>
      </c>
      <c r="C177" s="0" t="s">
        <v>494</v>
      </c>
      <c r="D177" s="34" t="n">
        <v>0.35</v>
      </c>
      <c r="E177" s="0" t="s">
        <v>494</v>
      </c>
      <c r="F177" s="38" t="n">
        <f aca="false">D177</f>
        <v>0.35</v>
      </c>
      <c r="J177" s="20" t="s">
        <v>506</v>
      </c>
      <c r="K177" s="20" t="s">
        <v>514</v>
      </c>
      <c r="L177" s="20" t="s">
        <v>833</v>
      </c>
    </row>
    <row r="178" customFormat="false" ht="15" hidden="false" customHeight="false" outlineLevel="0" collapsed="false">
      <c r="A178" s="0" t="s">
        <v>834</v>
      </c>
      <c r="B178" s="20" t="s">
        <v>549</v>
      </c>
      <c r="C178" s="0" t="s">
        <v>494</v>
      </c>
      <c r="D178" s="66" t="n">
        <v>0</v>
      </c>
      <c r="E178" s="0" t="s">
        <v>494</v>
      </c>
      <c r="F178" s="38" t="n">
        <f aca="false">D178</f>
        <v>0</v>
      </c>
      <c r="J178" s="20" t="s">
        <v>829</v>
      </c>
      <c r="K178" s="20" t="s">
        <v>543</v>
      </c>
      <c r="L178" s="20" t="s">
        <v>835</v>
      </c>
    </row>
    <row r="179" customFormat="false" ht="15" hidden="false" customHeight="false" outlineLevel="0" collapsed="false">
      <c r="A179" s="53" t="s">
        <v>836</v>
      </c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</row>
    <row r="180" customFormat="false" ht="15" hidden="false" customHeight="false" outlineLevel="0" collapsed="false">
      <c r="A180" s="0" t="s">
        <v>837</v>
      </c>
      <c r="B180" s="20" t="s">
        <v>682</v>
      </c>
      <c r="C180" s="84" t="n">
        <v>0.03</v>
      </c>
      <c r="D180" s="84" t="n">
        <v>0.02</v>
      </c>
      <c r="E180" s="84" t="n">
        <v>0</v>
      </c>
      <c r="F180" s="65" t="n">
        <f aca="false">CHOOSE(Scen,C180,D180,E180)</f>
        <v>0.02</v>
      </c>
      <c r="J180" s="20" t="s">
        <v>550</v>
      </c>
      <c r="K180" s="20" t="s">
        <v>543</v>
      </c>
      <c r="L180" s="20" t="s">
        <v>838</v>
      </c>
    </row>
    <row r="181" customFormat="false" ht="15" hidden="false" customHeight="false" outlineLevel="0" collapsed="false">
      <c r="A181" s="53" t="s">
        <v>839</v>
      </c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</row>
    <row r="182" customFormat="false" ht="15" hidden="false" customHeight="false" outlineLevel="0" collapsed="false">
      <c r="A182" s="0" t="s">
        <v>840</v>
      </c>
      <c r="B182" s="20" t="s">
        <v>841</v>
      </c>
      <c r="C182" s="69" t="n">
        <v>65</v>
      </c>
      <c r="D182" s="69" t="n">
        <v>75</v>
      </c>
      <c r="E182" s="69" t="n">
        <v>90</v>
      </c>
      <c r="F182" s="5" t="n">
        <f aca="false">CHOOSE(Scen,C182,D182,E182)</f>
        <v>75</v>
      </c>
      <c r="J182" s="20" t="s">
        <v>513</v>
      </c>
      <c r="K182" s="20" t="s">
        <v>543</v>
      </c>
      <c r="L182" s="20" t="s">
        <v>842</v>
      </c>
    </row>
    <row r="183" customFormat="false" ht="15" hidden="false" customHeight="false" outlineLevel="0" collapsed="false">
      <c r="A183" s="0" t="s">
        <v>843</v>
      </c>
      <c r="B183" s="20" t="s">
        <v>844</v>
      </c>
      <c r="C183" s="82" t="n">
        <v>2</v>
      </c>
      <c r="D183" s="82" t="n">
        <v>2.25</v>
      </c>
      <c r="E183" s="82" t="n">
        <v>2.5</v>
      </c>
      <c r="F183" s="59" t="n">
        <f aca="false">CHOOSE(Scen,C183,D183,E183)</f>
        <v>2.25</v>
      </c>
      <c r="J183" s="20" t="s">
        <v>513</v>
      </c>
      <c r="K183" s="20" t="s">
        <v>514</v>
      </c>
      <c r="L183" s="20" t="s">
        <v>845</v>
      </c>
    </row>
    <row r="184" customFormat="false" ht="15" hidden="false" customHeight="false" outlineLevel="0" collapsed="false">
      <c r="A184" s="0" t="s">
        <v>846</v>
      </c>
      <c r="B184" s="20" t="s">
        <v>844</v>
      </c>
      <c r="C184" s="58" t="n">
        <v>0.9</v>
      </c>
      <c r="D184" s="58" t="n">
        <v>1.1</v>
      </c>
      <c r="E184" s="58" t="n">
        <v>1.6</v>
      </c>
      <c r="F184" s="59" t="n">
        <f aca="false">CHOOSE(Scen,C184,D184,E184)</f>
        <v>1.1</v>
      </c>
      <c r="J184" s="20" t="s">
        <v>513</v>
      </c>
      <c r="K184" s="20" t="s">
        <v>554</v>
      </c>
      <c r="L184" s="20" t="s">
        <v>847</v>
      </c>
    </row>
    <row r="185" customFormat="false" ht="15" hidden="false" customHeight="false" outlineLevel="0" collapsed="false">
      <c r="A185" s="0" t="s">
        <v>848</v>
      </c>
      <c r="B185" s="20" t="s">
        <v>849</v>
      </c>
      <c r="C185" s="84" t="n">
        <v>0.05</v>
      </c>
      <c r="D185" s="84" t="n">
        <v>0.06</v>
      </c>
      <c r="E185" s="84" t="n">
        <v>0.08</v>
      </c>
      <c r="F185" s="65" t="n">
        <f aca="false">CHOOSE(Scen,C185,D185,E185)</f>
        <v>0.06</v>
      </c>
      <c r="J185" s="20" t="s">
        <v>495</v>
      </c>
      <c r="K185" s="20" t="s">
        <v>543</v>
      </c>
      <c r="L185" s="20" t="s">
        <v>850</v>
      </c>
    </row>
    <row r="186" customFormat="false" ht="15" hidden="false" customHeight="false" outlineLevel="0" collapsed="false">
      <c r="A186" s="0" t="s">
        <v>851</v>
      </c>
      <c r="B186" s="20" t="s">
        <v>849</v>
      </c>
      <c r="C186" s="0" t="s">
        <v>494</v>
      </c>
      <c r="D186" s="32" t="n">
        <v>0.04</v>
      </c>
      <c r="E186" s="0" t="s">
        <v>494</v>
      </c>
      <c r="F186" s="65" t="n">
        <f aca="false">D186</f>
        <v>0.04</v>
      </c>
      <c r="J186" s="20" t="s">
        <v>550</v>
      </c>
      <c r="K186" s="20" t="s">
        <v>514</v>
      </c>
      <c r="L186" s="20" t="s">
        <v>852</v>
      </c>
    </row>
    <row r="187" customFormat="false" ht="15" hidden="false" customHeight="false" outlineLevel="0" collapsed="false">
      <c r="A187" s="53" t="s">
        <v>853</v>
      </c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</row>
    <row r="188" customFormat="false" ht="15" hidden="false" customHeight="false" outlineLevel="0" collapsed="false">
      <c r="A188" s="0" t="s">
        <v>854</v>
      </c>
      <c r="B188" s="20" t="s">
        <v>709</v>
      </c>
      <c r="C188" s="0" t="s">
        <v>494</v>
      </c>
      <c r="D188" s="69" t="n">
        <v>35000</v>
      </c>
      <c r="E188" s="0" t="s">
        <v>494</v>
      </c>
      <c r="F188" s="5" t="n">
        <f aca="false">D188</f>
        <v>35000</v>
      </c>
      <c r="J188" s="20" t="s">
        <v>546</v>
      </c>
      <c r="K188" s="20" t="s">
        <v>543</v>
      </c>
      <c r="L188" s="20" t="s">
        <v>855</v>
      </c>
    </row>
    <row r="189" customFormat="false" ht="15" hidden="false" customHeight="false" outlineLevel="0" collapsed="false">
      <c r="A189" s="0" t="s">
        <v>856</v>
      </c>
      <c r="B189" s="20" t="s">
        <v>709</v>
      </c>
      <c r="C189" s="0" t="s">
        <v>494</v>
      </c>
      <c r="D189" s="69" t="n">
        <v>60000</v>
      </c>
      <c r="E189" s="0" t="s">
        <v>494</v>
      </c>
      <c r="F189" s="5" t="n">
        <f aca="false">D189</f>
        <v>60000</v>
      </c>
      <c r="J189" s="20" t="s">
        <v>546</v>
      </c>
      <c r="K189" s="20" t="s">
        <v>543</v>
      </c>
      <c r="L189" s="20" t="s">
        <v>857</v>
      </c>
    </row>
    <row r="190" customFormat="false" ht="15" hidden="false" customHeight="false" outlineLevel="0" collapsed="false">
      <c r="A190" s="0" t="s">
        <v>858</v>
      </c>
      <c r="B190" s="20" t="s">
        <v>709</v>
      </c>
      <c r="C190" s="0" t="s">
        <v>494</v>
      </c>
      <c r="D190" s="69" t="n">
        <v>90000</v>
      </c>
      <c r="E190" s="0" t="s">
        <v>494</v>
      </c>
      <c r="F190" s="5" t="n">
        <f aca="false">D190</f>
        <v>90000</v>
      </c>
      <c r="J190" s="20" t="s">
        <v>546</v>
      </c>
      <c r="K190" s="20" t="s">
        <v>543</v>
      </c>
      <c r="L190" s="20"/>
    </row>
    <row r="191" customFormat="false" ht="15" hidden="false" customHeight="false" outlineLevel="0" collapsed="false">
      <c r="A191" s="0" t="s">
        <v>859</v>
      </c>
      <c r="B191" s="20" t="s">
        <v>519</v>
      </c>
      <c r="C191" s="0" t="s">
        <v>494</v>
      </c>
      <c r="D191" s="82" t="n">
        <v>30</v>
      </c>
      <c r="E191" s="0" t="s">
        <v>494</v>
      </c>
      <c r="F191" s="59" t="n">
        <f aca="false">D191</f>
        <v>30</v>
      </c>
      <c r="J191" s="20" t="s">
        <v>513</v>
      </c>
      <c r="K191" s="20" t="s">
        <v>514</v>
      </c>
      <c r="L191" s="20" t="s">
        <v>860</v>
      </c>
    </row>
    <row r="192" customFormat="false" ht="15" hidden="false" customHeight="false" outlineLevel="0" collapsed="false">
      <c r="A192" s="0" t="s">
        <v>861</v>
      </c>
      <c r="B192" s="20" t="s">
        <v>519</v>
      </c>
      <c r="C192" s="0" t="s">
        <v>494</v>
      </c>
      <c r="D192" s="81" t="n">
        <v>4</v>
      </c>
      <c r="E192" s="0" t="s">
        <v>494</v>
      </c>
      <c r="F192" s="59" t="n">
        <f aca="false">D192</f>
        <v>4</v>
      </c>
      <c r="J192" s="20" t="s">
        <v>513</v>
      </c>
      <c r="K192" s="20" t="s">
        <v>543</v>
      </c>
      <c r="L192" s="20" t="s">
        <v>862</v>
      </c>
    </row>
    <row r="193" customFormat="false" ht="15" hidden="false" customHeight="false" outlineLevel="0" collapsed="false">
      <c r="A193" s="0" t="s">
        <v>863</v>
      </c>
      <c r="B193" s="20" t="s">
        <v>519</v>
      </c>
      <c r="C193" s="0" t="s">
        <v>494</v>
      </c>
      <c r="D193" s="81" t="n">
        <v>6</v>
      </c>
      <c r="E193" s="0" t="s">
        <v>494</v>
      </c>
      <c r="F193" s="59" t="n">
        <f aca="false">D193</f>
        <v>6</v>
      </c>
      <c r="J193" s="20" t="s">
        <v>513</v>
      </c>
      <c r="K193" s="20" t="s">
        <v>543</v>
      </c>
      <c r="L193" s="20" t="s">
        <v>864</v>
      </c>
    </row>
    <row r="194" customFormat="false" ht="15" hidden="false" customHeight="false" outlineLevel="0" collapsed="false">
      <c r="A194" s="0" t="s">
        <v>865</v>
      </c>
      <c r="B194" s="20" t="s">
        <v>512</v>
      </c>
      <c r="C194" s="0" t="s">
        <v>494</v>
      </c>
      <c r="D194" s="22" t="n">
        <v>2</v>
      </c>
      <c r="E194" s="0" t="s">
        <v>494</v>
      </c>
      <c r="F194" s="57" t="n">
        <f aca="false">D194</f>
        <v>2</v>
      </c>
      <c r="J194" s="20" t="s">
        <v>513</v>
      </c>
      <c r="K194" s="20" t="s">
        <v>514</v>
      </c>
      <c r="L194" s="20" t="s">
        <v>866</v>
      </c>
    </row>
    <row r="195" customFormat="false" ht="15" hidden="false" customHeight="false" outlineLevel="0" collapsed="false">
      <c r="A195" s="0" t="s">
        <v>867</v>
      </c>
      <c r="B195" s="20" t="s">
        <v>512</v>
      </c>
      <c r="C195" s="22" t="n">
        <v>1</v>
      </c>
      <c r="D195" s="22" t="n">
        <v>1</v>
      </c>
      <c r="E195" s="22" t="n">
        <v>0</v>
      </c>
      <c r="F195" s="57" t="n">
        <f aca="false">CHOOSE(Scen,C195,D195,E195)</f>
        <v>1</v>
      </c>
      <c r="J195" s="20" t="s">
        <v>868</v>
      </c>
      <c r="K195" s="20" t="s">
        <v>514</v>
      </c>
      <c r="L195" s="20" t="s">
        <v>869</v>
      </c>
    </row>
    <row r="196" customFormat="false" ht="15" hidden="false" customHeight="false" outlineLevel="0" collapsed="false">
      <c r="A196" s="0" t="s">
        <v>870</v>
      </c>
      <c r="B196" s="20" t="s">
        <v>512</v>
      </c>
      <c r="C196" s="22" t="n">
        <v>1</v>
      </c>
      <c r="D196" s="22" t="n">
        <v>1</v>
      </c>
      <c r="E196" s="22" t="n">
        <v>2</v>
      </c>
      <c r="F196" s="57" t="n">
        <f aca="false">CHOOSE(Scen,C196,D196,E196)</f>
        <v>1</v>
      </c>
      <c r="J196" s="20" t="s">
        <v>513</v>
      </c>
      <c r="K196" s="20" t="s">
        <v>514</v>
      </c>
      <c r="L196" s="20" t="s">
        <v>871</v>
      </c>
    </row>
    <row r="197" customFormat="false" ht="15" hidden="false" customHeight="false" outlineLevel="0" collapsed="false">
      <c r="A197" s="0" t="s">
        <v>872</v>
      </c>
      <c r="B197" s="20" t="s">
        <v>561</v>
      </c>
      <c r="C197" s="0" t="s">
        <v>494</v>
      </c>
      <c r="D197" s="77" t="n">
        <v>167.6</v>
      </c>
      <c r="E197" s="0" t="s">
        <v>494</v>
      </c>
      <c r="F197" s="78" t="n">
        <f aca="false">D197</f>
        <v>167.6</v>
      </c>
      <c r="J197" s="20" t="s">
        <v>550</v>
      </c>
      <c r="K197" s="20" t="s">
        <v>507</v>
      </c>
      <c r="L197" s="20" t="s">
        <v>873</v>
      </c>
    </row>
    <row r="198" customFormat="false" ht="15" hidden="false" customHeight="false" outlineLevel="0" collapsed="false">
      <c r="A198" s="0" t="s">
        <v>874</v>
      </c>
      <c r="B198" s="20" t="s">
        <v>600</v>
      </c>
      <c r="C198" s="0" t="s">
        <v>494</v>
      </c>
      <c r="D198" s="21" t="n">
        <v>5</v>
      </c>
      <c r="E198" s="0" t="s">
        <v>494</v>
      </c>
      <c r="F198" s="57" t="n">
        <f aca="false">D198</f>
        <v>5</v>
      </c>
      <c r="J198" s="20" t="s">
        <v>546</v>
      </c>
      <c r="K198" s="20" t="s">
        <v>507</v>
      </c>
      <c r="L198" s="20"/>
    </row>
    <row r="199" customFormat="false" ht="15" hidden="false" customHeight="false" outlineLevel="0" collapsed="false">
      <c r="A199" s="0" t="s">
        <v>875</v>
      </c>
      <c r="B199" s="20" t="s">
        <v>600</v>
      </c>
      <c r="C199" s="0" t="s">
        <v>494</v>
      </c>
      <c r="D199" s="21" t="n">
        <v>6</v>
      </c>
      <c r="E199" s="0" t="s">
        <v>494</v>
      </c>
      <c r="F199" s="57" t="n">
        <f aca="false">D199</f>
        <v>6</v>
      </c>
      <c r="J199" s="20" t="s">
        <v>546</v>
      </c>
      <c r="K199" s="20" t="s">
        <v>507</v>
      </c>
      <c r="L199" s="20"/>
    </row>
    <row r="200" customFormat="false" ht="15" hidden="false" customHeight="false" outlineLevel="0" collapsed="false">
      <c r="A200" s="0" t="s">
        <v>876</v>
      </c>
      <c r="B200" s="20" t="s">
        <v>600</v>
      </c>
      <c r="C200" s="0" t="s">
        <v>494</v>
      </c>
      <c r="D200" s="21" t="n">
        <v>8</v>
      </c>
      <c r="E200" s="0" t="s">
        <v>494</v>
      </c>
      <c r="F200" s="57" t="n">
        <f aca="false">D200</f>
        <v>8</v>
      </c>
      <c r="J200" s="20" t="s">
        <v>546</v>
      </c>
      <c r="K200" s="20" t="s">
        <v>507</v>
      </c>
      <c r="L200" s="20"/>
    </row>
    <row r="201" customFormat="false" ht="15" hidden="false" customHeight="false" outlineLevel="0" collapsed="false">
      <c r="A201" s="0" t="s">
        <v>877</v>
      </c>
      <c r="B201" s="20" t="s">
        <v>600</v>
      </c>
      <c r="C201" s="0" t="s">
        <v>494</v>
      </c>
      <c r="D201" s="70" t="n">
        <v>14</v>
      </c>
      <c r="E201" s="0" t="s">
        <v>494</v>
      </c>
      <c r="F201" s="57" t="n">
        <f aca="false">D201</f>
        <v>14</v>
      </c>
      <c r="J201" s="20" t="s">
        <v>546</v>
      </c>
      <c r="K201" s="20" t="s">
        <v>543</v>
      </c>
      <c r="L201" s="20" t="s">
        <v>878</v>
      </c>
    </row>
    <row r="202" customFormat="false" ht="15" hidden="false" customHeight="false" outlineLevel="0" collapsed="false">
      <c r="A202" s="0" t="s">
        <v>879</v>
      </c>
      <c r="B202" s="20" t="s">
        <v>561</v>
      </c>
      <c r="C202" s="0" t="s">
        <v>494</v>
      </c>
      <c r="D202" s="63" t="n">
        <v>1450</v>
      </c>
      <c r="E202" s="0" t="s">
        <v>494</v>
      </c>
      <c r="F202" s="5" t="n">
        <f aca="false">D202</f>
        <v>1450</v>
      </c>
      <c r="J202" s="20" t="s">
        <v>506</v>
      </c>
      <c r="K202" s="20" t="s">
        <v>514</v>
      </c>
      <c r="L202" s="20" t="s">
        <v>880</v>
      </c>
    </row>
    <row r="203" customFormat="false" ht="15" hidden="false" customHeight="false" outlineLevel="0" collapsed="false">
      <c r="A203" s="0" t="s">
        <v>881</v>
      </c>
      <c r="B203" s="20" t="s">
        <v>561</v>
      </c>
      <c r="C203" s="0" t="s">
        <v>494</v>
      </c>
      <c r="D203" s="77" t="n">
        <v>582.3</v>
      </c>
      <c r="E203" s="0" t="s">
        <v>494</v>
      </c>
      <c r="F203" s="78" t="n">
        <f aca="false">D203</f>
        <v>582.3</v>
      </c>
      <c r="J203" s="20" t="s">
        <v>550</v>
      </c>
      <c r="K203" s="20" t="s">
        <v>507</v>
      </c>
      <c r="L203" s="20" t="s">
        <v>882</v>
      </c>
    </row>
    <row r="204" customFormat="false" ht="15" hidden="false" customHeight="false" outlineLevel="0" collapsed="false">
      <c r="A204" s="0" t="s">
        <v>883</v>
      </c>
      <c r="B204" s="20" t="s">
        <v>557</v>
      </c>
      <c r="C204" s="0" t="s">
        <v>494</v>
      </c>
      <c r="D204" s="71" t="n">
        <v>20</v>
      </c>
      <c r="E204" s="0" t="s">
        <v>494</v>
      </c>
      <c r="F204" s="60" t="n">
        <f aca="false">D204</f>
        <v>20</v>
      </c>
      <c r="J204" s="20" t="s">
        <v>546</v>
      </c>
      <c r="K204" s="20" t="s">
        <v>554</v>
      </c>
      <c r="L204" s="20"/>
    </row>
    <row r="205" customFormat="false" ht="15" hidden="false" customHeight="false" outlineLevel="0" collapsed="false">
      <c r="A205" s="0" t="s">
        <v>884</v>
      </c>
      <c r="B205" s="20" t="s">
        <v>557</v>
      </c>
      <c r="C205" s="0" t="s">
        <v>494</v>
      </c>
      <c r="D205" s="71" t="n">
        <v>25</v>
      </c>
      <c r="E205" s="0" t="s">
        <v>494</v>
      </c>
      <c r="F205" s="60" t="n">
        <f aca="false">D205</f>
        <v>25</v>
      </c>
      <c r="J205" s="20" t="s">
        <v>546</v>
      </c>
      <c r="K205" s="20" t="s">
        <v>554</v>
      </c>
      <c r="L205" s="20"/>
    </row>
    <row r="206" customFormat="false" ht="15" hidden="false" customHeight="false" outlineLevel="0" collapsed="false">
      <c r="A206" s="0" t="s">
        <v>885</v>
      </c>
      <c r="B206" s="20" t="s">
        <v>557</v>
      </c>
      <c r="C206" s="0" t="s">
        <v>494</v>
      </c>
      <c r="D206" s="71" t="n">
        <v>12</v>
      </c>
      <c r="E206" s="0" t="s">
        <v>494</v>
      </c>
      <c r="F206" s="60" t="n">
        <f aca="false">D206</f>
        <v>12</v>
      </c>
      <c r="J206" s="20" t="s">
        <v>546</v>
      </c>
      <c r="K206" s="20" t="s">
        <v>554</v>
      </c>
      <c r="L206" s="20"/>
    </row>
    <row r="207" customFormat="false" ht="15" hidden="false" customHeight="false" outlineLevel="0" collapsed="false">
      <c r="A207" s="0" t="s">
        <v>886</v>
      </c>
      <c r="B207" s="20" t="s">
        <v>499</v>
      </c>
      <c r="C207" s="0" t="s">
        <v>494</v>
      </c>
      <c r="D207" s="21" t="n">
        <v>2</v>
      </c>
      <c r="E207" s="0" t="s">
        <v>494</v>
      </c>
      <c r="F207" s="57" t="n">
        <f aca="false">D207</f>
        <v>2</v>
      </c>
      <c r="J207" s="20" t="s">
        <v>495</v>
      </c>
      <c r="K207" s="20" t="s">
        <v>496</v>
      </c>
      <c r="L207" s="20" t="s">
        <v>887</v>
      </c>
    </row>
    <row r="208" customFormat="false" ht="15" hidden="false" customHeight="false" outlineLevel="0" collapsed="false">
      <c r="A208" s="0" t="s">
        <v>888</v>
      </c>
      <c r="B208" s="20" t="s">
        <v>549</v>
      </c>
      <c r="C208" s="85" t="n">
        <v>0.374</v>
      </c>
      <c r="D208" s="85" t="n">
        <v>0.374</v>
      </c>
      <c r="E208" s="85" t="n">
        <v>0.374</v>
      </c>
      <c r="F208" s="65" t="n">
        <f aca="false">CHOOSE(Scen,C208,D208,E208)</f>
        <v>0.374</v>
      </c>
      <c r="J208" s="20" t="s">
        <v>550</v>
      </c>
      <c r="K208" s="20" t="s">
        <v>554</v>
      </c>
      <c r="L208" s="20" t="s">
        <v>889</v>
      </c>
    </row>
    <row r="209" customFormat="false" ht="15" hidden="false" customHeight="false" outlineLevel="0" collapsed="false">
      <c r="A209" s="0" t="s">
        <v>890</v>
      </c>
      <c r="B209" s="20" t="s">
        <v>891</v>
      </c>
      <c r="C209" s="0" t="s">
        <v>494</v>
      </c>
      <c r="D209" s="22" t="n">
        <v>5</v>
      </c>
      <c r="E209" s="0" t="s">
        <v>494</v>
      </c>
      <c r="F209" s="57" t="n">
        <f aca="false">D209</f>
        <v>5</v>
      </c>
      <c r="J209" s="20" t="s">
        <v>495</v>
      </c>
      <c r="K209" s="20" t="s">
        <v>514</v>
      </c>
      <c r="L209" s="20" t="s">
        <v>892</v>
      </c>
    </row>
    <row r="210" customFormat="false" ht="15" hidden="false" customHeight="false" outlineLevel="0" collapsed="false">
      <c r="A210" s="0" t="s">
        <v>893</v>
      </c>
      <c r="B210" s="20" t="s">
        <v>549</v>
      </c>
      <c r="C210" s="0" t="s">
        <v>494</v>
      </c>
      <c r="D210" s="34" t="n">
        <v>0.6</v>
      </c>
      <c r="E210" s="0" t="s">
        <v>494</v>
      </c>
      <c r="F210" s="38" t="n">
        <f aca="false">D210</f>
        <v>0.6</v>
      </c>
      <c r="J210" s="20" t="s">
        <v>894</v>
      </c>
      <c r="K210" s="20" t="s">
        <v>514</v>
      </c>
      <c r="L210" s="20" t="s">
        <v>895</v>
      </c>
    </row>
    <row r="211" customFormat="false" ht="15" hidden="false" customHeight="false" outlineLevel="0" collapsed="false">
      <c r="A211" s="0" t="s">
        <v>896</v>
      </c>
      <c r="B211" s="20" t="s">
        <v>549</v>
      </c>
      <c r="C211" s="0" t="s">
        <v>494</v>
      </c>
      <c r="D211" s="34" t="n">
        <v>0.4</v>
      </c>
      <c r="E211" s="0" t="s">
        <v>494</v>
      </c>
      <c r="F211" s="38" t="n">
        <f aca="false">D211</f>
        <v>0.4</v>
      </c>
      <c r="J211" s="20" t="s">
        <v>894</v>
      </c>
      <c r="K211" s="20" t="s">
        <v>514</v>
      </c>
      <c r="L211" s="20"/>
    </row>
    <row r="212" customFormat="false" ht="15" hidden="false" customHeight="false" outlineLevel="0" collapsed="false">
      <c r="A212" s="0" t="s">
        <v>897</v>
      </c>
      <c r="B212" s="20" t="s">
        <v>561</v>
      </c>
      <c r="C212" s="0" t="s">
        <v>494</v>
      </c>
      <c r="D212" s="69"/>
      <c r="E212" s="0" t="s">
        <v>494</v>
      </c>
      <c r="F212" s="5" t="n">
        <f aca="false">D212</f>
        <v>0</v>
      </c>
      <c r="J212" s="20" t="s">
        <v>550</v>
      </c>
      <c r="K212" s="20" t="s">
        <v>543</v>
      </c>
      <c r="L212" s="20" t="s">
        <v>898</v>
      </c>
    </row>
    <row r="213" customFormat="false" ht="15" hidden="false" customHeight="false" outlineLevel="0" collapsed="false">
      <c r="A213" s="0" t="s">
        <v>899</v>
      </c>
      <c r="B213" s="20" t="s">
        <v>561</v>
      </c>
      <c r="C213" s="0" t="s">
        <v>494</v>
      </c>
      <c r="D213" s="63" t="n">
        <v>3000</v>
      </c>
      <c r="E213" s="0" t="s">
        <v>494</v>
      </c>
      <c r="F213" s="5" t="n">
        <f aca="false">D213</f>
        <v>3000</v>
      </c>
      <c r="J213" s="20" t="s">
        <v>550</v>
      </c>
      <c r="K213" s="20" t="s">
        <v>514</v>
      </c>
      <c r="L213" s="20" t="s">
        <v>900</v>
      </c>
    </row>
    <row r="214" customFormat="false" ht="15" hidden="false" customHeight="false" outlineLevel="0" collapsed="false">
      <c r="A214" s="0" t="s">
        <v>901</v>
      </c>
      <c r="B214" s="20" t="s">
        <v>512</v>
      </c>
      <c r="C214" s="0" t="s">
        <v>494</v>
      </c>
      <c r="D214" s="22" t="n">
        <v>3</v>
      </c>
      <c r="E214" s="0" t="s">
        <v>494</v>
      </c>
      <c r="F214" s="57" t="n">
        <f aca="false">D214</f>
        <v>3</v>
      </c>
      <c r="J214" s="20" t="s">
        <v>513</v>
      </c>
      <c r="K214" s="20" t="s">
        <v>514</v>
      </c>
      <c r="L214" s="20" t="s">
        <v>902</v>
      </c>
    </row>
    <row r="215" customFormat="false" ht="15" hidden="false" customHeight="false" outlineLevel="0" collapsed="false">
      <c r="A215" s="0" t="s">
        <v>903</v>
      </c>
      <c r="B215" s="20" t="s">
        <v>849</v>
      </c>
      <c r="C215" s="0" t="s">
        <v>494</v>
      </c>
      <c r="D215" s="84" t="n">
        <v>0.02</v>
      </c>
      <c r="E215" s="0" t="s">
        <v>494</v>
      </c>
      <c r="F215" s="65" t="n">
        <f aca="false">D215</f>
        <v>0.02</v>
      </c>
      <c r="J215" s="20" t="s">
        <v>495</v>
      </c>
      <c r="K215" s="20" t="s">
        <v>543</v>
      </c>
      <c r="L215" s="20"/>
    </row>
    <row r="216" customFormat="false" ht="15" hidden="false" customHeight="false" outlineLevel="0" collapsed="false">
      <c r="A216" s="0" t="s">
        <v>904</v>
      </c>
      <c r="B216" s="20" t="s">
        <v>549</v>
      </c>
      <c r="C216" s="0" t="s">
        <v>494</v>
      </c>
      <c r="D216" s="66" t="n">
        <v>0.8</v>
      </c>
      <c r="E216" s="0" t="s">
        <v>494</v>
      </c>
      <c r="F216" s="38" t="n">
        <f aca="false">D216</f>
        <v>0.8</v>
      </c>
      <c r="J216" s="20" t="s">
        <v>550</v>
      </c>
      <c r="K216" s="20" t="s">
        <v>543</v>
      </c>
      <c r="L216" s="20" t="s">
        <v>905</v>
      </c>
    </row>
    <row r="217" customFormat="false" ht="15" hidden="false" customHeight="false" outlineLevel="0" collapsed="false">
      <c r="A217" s="0" t="s">
        <v>906</v>
      </c>
      <c r="B217" s="20" t="s">
        <v>549</v>
      </c>
      <c r="C217" s="0" t="s">
        <v>494</v>
      </c>
      <c r="D217" s="66" t="n">
        <v>0.08</v>
      </c>
      <c r="E217" s="0" t="s">
        <v>494</v>
      </c>
      <c r="F217" s="38" t="n">
        <f aca="false">D217</f>
        <v>0.08</v>
      </c>
      <c r="J217" s="20" t="s">
        <v>550</v>
      </c>
      <c r="K217" s="20" t="s">
        <v>543</v>
      </c>
      <c r="L217" s="20"/>
    </row>
    <row r="218" customFormat="false" ht="15" hidden="false" customHeight="false" outlineLevel="0" collapsed="false">
      <c r="A218" s="0" t="s">
        <v>907</v>
      </c>
      <c r="B218" s="20" t="s">
        <v>549</v>
      </c>
      <c r="C218" s="0" t="s">
        <v>494</v>
      </c>
      <c r="D218" s="66" t="n">
        <v>0.12</v>
      </c>
      <c r="E218" s="0" t="s">
        <v>494</v>
      </c>
      <c r="F218" s="38" t="n">
        <f aca="false">D218</f>
        <v>0.12</v>
      </c>
      <c r="J218" s="20" t="s">
        <v>550</v>
      </c>
      <c r="K218" s="20" t="s">
        <v>543</v>
      </c>
      <c r="L218" s="20"/>
    </row>
    <row r="219" customFormat="false" ht="15" hidden="false" customHeight="false" outlineLevel="0" collapsed="false">
      <c r="A219" s="0" t="s">
        <v>908</v>
      </c>
      <c r="B219" s="20" t="s">
        <v>891</v>
      </c>
      <c r="C219" s="71" t="n">
        <v>6</v>
      </c>
      <c r="D219" s="71" t="n">
        <v>5</v>
      </c>
      <c r="E219" s="71" t="n">
        <v>4</v>
      </c>
      <c r="F219" s="60" t="n">
        <f aca="false">CHOOSE(Scen,C219,D219,E219)</f>
        <v>5</v>
      </c>
      <c r="J219" s="20" t="s">
        <v>868</v>
      </c>
      <c r="K219" s="20" t="s">
        <v>507</v>
      </c>
      <c r="L219" s="20" t="s">
        <v>909</v>
      </c>
    </row>
    <row r="220" customFormat="false" ht="15" hidden="false" customHeight="false" outlineLevel="0" collapsed="false">
      <c r="A220" s="0" t="s">
        <v>910</v>
      </c>
      <c r="B220" s="20" t="s">
        <v>891</v>
      </c>
      <c r="C220" s="71" t="n">
        <v>6</v>
      </c>
      <c r="D220" s="71" t="n">
        <v>5</v>
      </c>
      <c r="E220" s="71" t="n">
        <v>4</v>
      </c>
      <c r="F220" s="60" t="n">
        <f aca="false">CHOOSE(Scen,C220,D220,E220)</f>
        <v>5</v>
      </c>
      <c r="J220" s="20" t="s">
        <v>868</v>
      </c>
      <c r="K220" s="20" t="s">
        <v>507</v>
      </c>
      <c r="L220" s="20" t="s">
        <v>911</v>
      </c>
    </row>
    <row r="221" customFormat="false" ht="15" hidden="false" customHeight="false" outlineLevel="0" collapsed="false">
      <c r="A221" s="0" t="s">
        <v>912</v>
      </c>
      <c r="B221" s="20" t="s">
        <v>891</v>
      </c>
      <c r="C221" s="71" t="n">
        <v>6</v>
      </c>
      <c r="D221" s="71" t="n">
        <v>5</v>
      </c>
      <c r="E221" s="71" t="n">
        <v>4</v>
      </c>
      <c r="F221" s="60" t="n">
        <f aca="false">CHOOSE(Scen,C221,D221,E221)</f>
        <v>5</v>
      </c>
      <c r="J221" s="20" t="s">
        <v>868</v>
      </c>
      <c r="K221" s="20" t="s">
        <v>507</v>
      </c>
      <c r="L221" s="20" t="s">
        <v>913</v>
      </c>
    </row>
    <row r="222" customFormat="false" ht="15" hidden="false" customHeight="false" outlineLevel="0" collapsed="false">
      <c r="A222" s="0" t="s">
        <v>914</v>
      </c>
      <c r="B222" s="20" t="s">
        <v>891</v>
      </c>
      <c r="C222" s="0" t="s">
        <v>494</v>
      </c>
      <c r="D222" s="21" t="n">
        <v>0</v>
      </c>
      <c r="E222" s="0" t="s">
        <v>494</v>
      </c>
      <c r="F222" s="57" t="n">
        <f aca="false">D222</f>
        <v>0</v>
      </c>
      <c r="J222" s="20" t="s">
        <v>495</v>
      </c>
      <c r="K222" s="20" t="s">
        <v>496</v>
      </c>
      <c r="L222" s="20" t="s">
        <v>915</v>
      </c>
    </row>
    <row r="223" customFormat="false" ht="15" hidden="false" customHeight="false" outlineLevel="0" collapsed="false">
      <c r="A223" s="0" t="s">
        <v>916</v>
      </c>
      <c r="B223" s="20" t="s">
        <v>891</v>
      </c>
      <c r="C223" s="0" t="s">
        <v>494</v>
      </c>
      <c r="D223" s="21" t="n">
        <v>20</v>
      </c>
      <c r="E223" s="0" t="s">
        <v>494</v>
      </c>
      <c r="F223" s="57" t="n">
        <f aca="false">D223</f>
        <v>20</v>
      </c>
      <c r="J223" s="20" t="s">
        <v>550</v>
      </c>
      <c r="K223" s="20" t="s">
        <v>507</v>
      </c>
      <c r="L223" s="20" t="s">
        <v>917</v>
      </c>
    </row>
    <row r="224" customFormat="false" ht="15" hidden="false" customHeight="false" outlineLevel="0" collapsed="false">
      <c r="A224" s="0" t="s">
        <v>918</v>
      </c>
      <c r="B224" s="20" t="s">
        <v>891</v>
      </c>
      <c r="C224" s="0" t="s">
        <v>494</v>
      </c>
      <c r="D224" s="22" t="n">
        <v>10</v>
      </c>
      <c r="E224" s="0" t="s">
        <v>494</v>
      </c>
      <c r="F224" s="57" t="n">
        <f aca="false">D224</f>
        <v>10</v>
      </c>
      <c r="J224" s="20" t="s">
        <v>550</v>
      </c>
      <c r="K224" s="20" t="s">
        <v>514</v>
      </c>
      <c r="L224" s="20" t="s">
        <v>919</v>
      </c>
    </row>
    <row r="225" customFormat="false" ht="15" hidden="false" customHeight="false" outlineLevel="0" collapsed="false">
      <c r="A225" s="0" t="s">
        <v>920</v>
      </c>
      <c r="B225" s="20" t="s">
        <v>891</v>
      </c>
      <c r="C225" s="0" t="s">
        <v>494</v>
      </c>
      <c r="D225" s="22" t="n">
        <v>5</v>
      </c>
      <c r="E225" s="0" t="s">
        <v>494</v>
      </c>
      <c r="F225" s="57" t="n">
        <f aca="false">D225</f>
        <v>5</v>
      </c>
      <c r="J225" s="20" t="s">
        <v>495</v>
      </c>
      <c r="K225" s="20" t="s">
        <v>514</v>
      </c>
      <c r="L225" s="20"/>
    </row>
    <row r="226" customFormat="false" ht="15" hidden="false" customHeight="false" outlineLevel="0" collapsed="false">
      <c r="A226" s="0" t="s">
        <v>921</v>
      </c>
      <c r="B226" s="20" t="s">
        <v>600</v>
      </c>
      <c r="C226" s="0" t="s">
        <v>494</v>
      </c>
      <c r="D226" s="70" t="n">
        <v>0</v>
      </c>
      <c r="E226" s="0" t="s">
        <v>494</v>
      </c>
      <c r="F226" s="57" t="n">
        <f aca="false">D226</f>
        <v>0</v>
      </c>
      <c r="J226" s="20" t="s">
        <v>506</v>
      </c>
      <c r="K226" s="20" t="s">
        <v>543</v>
      </c>
      <c r="L226" s="20" t="s">
        <v>922</v>
      </c>
    </row>
    <row r="227" customFormat="false" ht="15" hidden="false" customHeight="false" outlineLevel="0" collapsed="false">
      <c r="A227" s="0" t="s">
        <v>923</v>
      </c>
      <c r="B227" s="20" t="s">
        <v>549</v>
      </c>
      <c r="C227" s="0" t="s">
        <v>494</v>
      </c>
      <c r="D227" s="66" t="n">
        <v>0</v>
      </c>
      <c r="E227" s="0" t="s">
        <v>494</v>
      </c>
      <c r="F227" s="38" t="n">
        <f aca="false">D227</f>
        <v>0</v>
      </c>
      <c r="J227" s="20" t="s">
        <v>506</v>
      </c>
      <c r="K227" s="20" t="s">
        <v>543</v>
      </c>
      <c r="L227" s="20"/>
    </row>
    <row r="228" customFormat="false" ht="15" hidden="false" customHeight="false" outlineLevel="0" collapsed="false">
      <c r="A228" s="0" t="s">
        <v>924</v>
      </c>
      <c r="B228" s="20" t="s">
        <v>600</v>
      </c>
      <c r="C228" s="0" t="s">
        <v>494</v>
      </c>
      <c r="D228" s="70" t="n">
        <v>0</v>
      </c>
      <c r="E228" s="0" t="s">
        <v>494</v>
      </c>
      <c r="F228" s="57" t="n">
        <f aca="false">D228</f>
        <v>0</v>
      </c>
      <c r="J228" s="20" t="s">
        <v>506</v>
      </c>
      <c r="K228" s="20" t="s">
        <v>543</v>
      </c>
      <c r="L228" s="20"/>
    </row>
    <row r="229" customFormat="false" ht="15" hidden="false" customHeight="false" outlineLevel="0" collapsed="false">
      <c r="A229" s="0" t="s">
        <v>925</v>
      </c>
      <c r="B229" s="20" t="s">
        <v>549</v>
      </c>
      <c r="C229" s="0" t="s">
        <v>494</v>
      </c>
      <c r="D229" s="66" t="n">
        <v>0</v>
      </c>
      <c r="E229" s="0" t="s">
        <v>494</v>
      </c>
      <c r="F229" s="38" t="n">
        <f aca="false">D229</f>
        <v>0</v>
      </c>
      <c r="J229" s="20" t="s">
        <v>506</v>
      </c>
      <c r="K229" s="20" t="s">
        <v>543</v>
      </c>
      <c r="L229" s="20"/>
    </row>
    <row r="230" customFormat="false" ht="15" hidden="false" customHeight="false" outlineLevel="0" collapsed="false">
      <c r="A230" s="0" t="s">
        <v>926</v>
      </c>
      <c r="B230" s="20" t="s">
        <v>600</v>
      </c>
      <c r="C230" s="0" t="s">
        <v>494</v>
      </c>
      <c r="D230" s="70" t="n">
        <v>0</v>
      </c>
      <c r="E230" s="0" t="s">
        <v>494</v>
      </c>
      <c r="F230" s="57" t="n">
        <f aca="false">D230</f>
        <v>0</v>
      </c>
      <c r="J230" s="20" t="s">
        <v>506</v>
      </c>
      <c r="K230" s="20" t="s">
        <v>543</v>
      </c>
      <c r="L230" s="20"/>
    </row>
    <row r="231" customFormat="false" ht="15" hidden="false" customHeight="false" outlineLevel="0" collapsed="false">
      <c r="A231" s="0" t="s">
        <v>927</v>
      </c>
      <c r="B231" s="20" t="s">
        <v>549</v>
      </c>
      <c r="C231" s="0" t="s">
        <v>494</v>
      </c>
      <c r="D231" s="66" t="n">
        <v>0</v>
      </c>
      <c r="E231" s="0" t="s">
        <v>494</v>
      </c>
      <c r="F231" s="38" t="n">
        <f aca="false">D231</f>
        <v>0</v>
      </c>
      <c r="J231" s="20" t="s">
        <v>506</v>
      </c>
      <c r="K231" s="20" t="s">
        <v>543</v>
      </c>
      <c r="L231" s="20"/>
    </row>
    <row r="232" customFormat="false" ht="15" hidden="false" customHeight="false" outlineLevel="0" collapsed="false">
      <c r="A232" s="0" t="s">
        <v>928</v>
      </c>
      <c r="B232" s="20" t="s">
        <v>561</v>
      </c>
      <c r="C232" s="0" t="s">
        <v>494</v>
      </c>
      <c r="D232" s="58" t="n">
        <v>142.4</v>
      </c>
      <c r="E232" s="0" t="s">
        <v>494</v>
      </c>
      <c r="F232" s="59" t="n">
        <f aca="false">D232</f>
        <v>142.4</v>
      </c>
      <c r="J232" s="20" t="s">
        <v>550</v>
      </c>
      <c r="K232" s="20" t="s">
        <v>554</v>
      </c>
      <c r="L232" s="20" t="s">
        <v>929</v>
      </c>
    </row>
    <row r="233" customFormat="false" ht="15" hidden="false" customHeight="false" outlineLevel="0" collapsed="false">
      <c r="A233" s="0" t="s">
        <v>930</v>
      </c>
      <c r="B233" s="20" t="s">
        <v>802</v>
      </c>
      <c r="C233" s="0" t="s">
        <v>494</v>
      </c>
      <c r="D233" s="81" t="n">
        <v>5</v>
      </c>
      <c r="E233" s="0" t="s">
        <v>494</v>
      </c>
      <c r="F233" s="59" t="n">
        <f aca="false">D233</f>
        <v>5</v>
      </c>
      <c r="J233" s="20" t="s">
        <v>550</v>
      </c>
      <c r="K233" s="20" t="s">
        <v>543</v>
      </c>
      <c r="L233" s="20" t="s">
        <v>931</v>
      </c>
    </row>
    <row r="234" customFormat="false" ht="15" hidden="false" customHeight="false" outlineLevel="0" collapsed="false">
      <c r="A234" s="53" t="s">
        <v>932</v>
      </c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</row>
    <row r="235" customFormat="false" ht="15" hidden="false" customHeight="false" outlineLevel="0" collapsed="false">
      <c r="A235" s="0" t="s">
        <v>933</v>
      </c>
      <c r="B235" s="20" t="s">
        <v>561</v>
      </c>
      <c r="C235" s="0" t="s">
        <v>494</v>
      </c>
      <c r="D235" s="58" t="n">
        <v>5975.2</v>
      </c>
      <c r="E235" s="0" t="s">
        <v>494</v>
      </c>
      <c r="F235" s="59" t="n">
        <f aca="false">D235</f>
        <v>5975.2</v>
      </c>
      <c r="J235" s="20" t="s">
        <v>550</v>
      </c>
      <c r="K235" s="20" t="s">
        <v>507</v>
      </c>
      <c r="L235" s="20" t="s">
        <v>934</v>
      </c>
    </row>
    <row r="236" customFormat="false" ht="15" hidden="false" customHeight="false" outlineLevel="0" collapsed="false">
      <c r="A236" s="0" t="s">
        <v>935</v>
      </c>
      <c r="B236" s="20" t="s">
        <v>561</v>
      </c>
      <c r="C236" s="0" t="s">
        <v>494</v>
      </c>
      <c r="D236" s="58" t="n">
        <v>1577.5</v>
      </c>
      <c r="E236" s="0" t="s">
        <v>494</v>
      </c>
      <c r="F236" s="59" t="n">
        <f aca="false">D236</f>
        <v>1577.5</v>
      </c>
      <c r="J236" s="20" t="s">
        <v>550</v>
      </c>
      <c r="K236" s="20" t="s">
        <v>507</v>
      </c>
      <c r="L236" s="20" t="s">
        <v>936</v>
      </c>
    </row>
    <row r="237" customFormat="false" ht="15" hidden="false" customHeight="false" outlineLevel="0" collapsed="false">
      <c r="A237" s="0" t="s">
        <v>937</v>
      </c>
      <c r="B237" s="20" t="s">
        <v>561</v>
      </c>
      <c r="C237" s="0" t="s">
        <v>494</v>
      </c>
      <c r="D237" s="58" t="n">
        <v>9000</v>
      </c>
      <c r="E237" s="0" t="s">
        <v>494</v>
      </c>
      <c r="F237" s="59" t="n">
        <f aca="false">D237</f>
        <v>9000</v>
      </c>
      <c r="J237" s="20" t="s">
        <v>550</v>
      </c>
      <c r="K237" s="20" t="s">
        <v>507</v>
      </c>
      <c r="L237" s="20" t="s">
        <v>938</v>
      </c>
    </row>
    <row r="238" customFormat="false" ht="15" hidden="false" customHeight="false" outlineLevel="0" collapsed="false">
      <c r="A238" s="0" t="s">
        <v>939</v>
      </c>
      <c r="B238" s="20" t="s">
        <v>549</v>
      </c>
      <c r="C238" s="85" t="n">
        <v>0.45</v>
      </c>
      <c r="D238" s="85" t="n">
        <v>0.385</v>
      </c>
      <c r="E238" s="85" t="n">
        <v>0.25</v>
      </c>
      <c r="F238" s="65" t="n">
        <f aca="false">CHOOSE(Scen,C238,D238,E238)</f>
        <v>0.385</v>
      </c>
      <c r="J238" s="20" t="s">
        <v>868</v>
      </c>
      <c r="K238" s="20" t="s">
        <v>554</v>
      </c>
      <c r="L238" s="20" t="s">
        <v>940</v>
      </c>
    </row>
    <row r="239" customFormat="false" ht="15" hidden="false" customHeight="false" outlineLevel="0" collapsed="false">
      <c r="A239" s="0" t="s">
        <v>941</v>
      </c>
      <c r="B239" s="20" t="s">
        <v>512</v>
      </c>
      <c r="C239" s="0" t="s">
        <v>494</v>
      </c>
      <c r="D239" s="22" t="n">
        <v>16</v>
      </c>
      <c r="E239" s="0" t="s">
        <v>494</v>
      </c>
      <c r="F239" s="57" t="n">
        <f aca="false">D239</f>
        <v>16</v>
      </c>
      <c r="J239" s="20" t="s">
        <v>495</v>
      </c>
      <c r="K239" s="20" t="s">
        <v>514</v>
      </c>
      <c r="L239" s="20" t="s">
        <v>942</v>
      </c>
    </row>
    <row r="240" customFormat="false" ht="15" hidden="false" customHeight="false" outlineLevel="0" collapsed="false">
      <c r="A240" s="53" t="s">
        <v>943</v>
      </c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</row>
    <row r="241" customFormat="false" ht="15" hidden="false" customHeight="false" outlineLevel="0" collapsed="false">
      <c r="A241" s="0" t="s">
        <v>944</v>
      </c>
      <c r="B241" s="20" t="s">
        <v>534</v>
      </c>
      <c r="C241" s="0" t="s">
        <v>494</v>
      </c>
      <c r="D241" s="21" t="n">
        <v>0</v>
      </c>
      <c r="E241" s="0" t="s">
        <v>494</v>
      </c>
      <c r="F241" s="57" t="n">
        <f aca="false">D241</f>
        <v>0</v>
      </c>
      <c r="J241" s="20" t="s">
        <v>550</v>
      </c>
      <c r="K241" s="20" t="s">
        <v>496</v>
      </c>
      <c r="L241" s="20" t="s">
        <v>945</v>
      </c>
    </row>
    <row r="242" customFormat="false" ht="15" hidden="false" customHeight="false" outlineLevel="0" collapsed="false">
      <c r="A242" s="0" t="s">
        <v>946</v>
      </c>
      <c r="B242" s="20" t="s">
        <v>534</v>
      </c>
      <c r="C242" s="0" t="s">
        <v>494</v>
      </c>
      <c r="D242" s="21" t="n">
        <v>0</v>
      </c>
      <c r="E242" s="0" t="s">
        <v>494</v>
      </c>
      <c r="F242" s="57" t="n">
        <f aca="false">D242</f>
        <v>0</v>
      </c>
      <c r="J242" s="20" t="s">
        <v>550</v>
      </c>
      <c r="K242" s="20" t="s">
        <v>496</v>
      </c>
      <c r="L242" s="20" t="s">
        <v>947</v>
      </c>
    </row>
    <row r="243" customFormat="false" ht="15" hidden="false" customHeight="false" outlineLevel="0" collapsed="false">
      <c r="A243" s="0" t="s">
        <v>948</v>
      </c>
      <c r="B243" s="20" t="s">
        <v>561</v>
      </c>
      <c r="C243" s="0" t="s">
        <v>494</v>
      </c>
      <c r="D243" s="67" t="n">
        <v>5750</v>
      </c>
      <c r="E243" s="0" t="s">
        <v>494</v>
      </c>
      <c r="F243" s="5" t="n">
        <f aca="false">D243</f>
        <v>5750</v>
      </c>
      <c r="J243" s="20" t="s">
        <v>550</v>
      </c>
      <c r="K243" s="20" t="s">
        <v>507</v>
      </c>
      <c r="L243" s="20" t="s">
        <v>949</v>
      </c>
    </row>
    <row r="244" customFormat="false" ht="15" hidden="false" customHeight="false" outlineLevel="0" collapsed="false">
      <c r="A244" s="0" t="s">
        <v>950</v>
      </c>
      <c r="B244" s="20" t="s">
        <v>561</v>
      </c>
      <c r="C244" s="0" t="s">
        <v>494</v>
      </c>
      <c r="D244" s="77" t="n">
        <v>8042.1</v>
      </c>
      <c r="E244" s="0" t="s">
        <v>494</v>
      </c>
      <c r="F244" s="78" t="n">
        <f aca="false">D244</f>
        <v>8042.1</v>
      </c>
      <c r="J244" s="20" t="s">
        <v>550</v>
      </c>
      <c r="K244" s="20" t="s">
        <v>507</v>
      </c>
      <c r="L244" s="20" t="s">
        <v>951</v>
      </c>
    </row>
    <row r="245" customFormat="false" ht="15" hidden="false" customHeight="false" outlineLevel="0" collapsed="false">
      <c r="A245" s="0" t="s">
        <v>952</v>
      </c>
      <c r="B245" s="20" t="s">
        <v>561</v>
      </c>
      <c r="C245" s="0" t="s">
        <v>494</v>
      </c>
      <c r="D245" s="67" t="n">
        <v>1056</v>
      </c>
      <c r="E245" s="0" t="s">
        <v>494</v>
      </c>
      <c r="F245" s="5" t="n">
        <f aca="false">D245</f>
        <v>1056</v>
      </c>
      <c r="J245" s="20" t="s">
        <v>550</v>
      </c>
      <c r="K245" s="20" t="s">
        <v>507</v>
      </c>
      <c r="L245" s="20"/>
    </row>
    <row r="246" customFormat="false" ht="15" hidden="false" customHeight="false" outlineLevel="0" collapsed="false">
      <c r="A246" s="0" t="s">
        <v>953</v>
      </c>
      <c r="B246" s="20" t="s">
        <v>561</v>
      </c>
      <c r="C246" s="0" t="s">
        <v>494</v>
      </c>
      <c r="D246" s="77" t="n">
        <v>7697.1</v>
      </c>
      <c r="E246" s="0" t="s">
        <v>494</v>
      </c>
      <c r="F246" s="78" t="n">
        <f aca="false">D246</f>
        <v>7697.1</v>
      </c>
      <c r="J246" s="20" t="s">
        <v>550</v>
      </c>
      <c r="K246" s="20" t="s">
        <v>554</v>
      </c>
      <c r="L246" s="20" t="s">
        <v>954</v>
      </c>
    </row>
    <row r="247" customFormat="false" ht="15" hidden="false" customHeight="false" outlineLevel="0" collapsed="false">
      <c r="A247" s="0" t="s">
        <v>955</v>
      </c>
      <c r="B247" s="20" t="s">
        <v>561</v>
      </c>
      <c r="C247" s="0" t="s">
        <v>494</v>
      </c>
      <c r="D247" s="77" t="n">
        <v>46.7</v>
      </c>
      <c r="E247" s="0" t="s">
        <v>494</v>
      </c>
      <c r="F247" s="78" t="n">
        <f aca="false">D247</f>
        <v>46.7</v>
      </c>
      <c r="J247" s="20" t="s">
        <v>550</v>
      </c>
      <c r="K247" s="20" t="s">
        <v>507</v>
      </c>
      <c r="L247" s="20"/>
    </row>
    <row r="248" customFormat="false" ht="15" hidden="false" customHeight="false" outlineLevel="0" collapsed="false">
      <c r="A248" s="0" t="s">
        <v>956</v>
      </c>
      <c r="B248" s="20" t="s">
        <v>689</v>
      </c>
      <c r="C248" s="0" t="s">
        <v>494</v>
      </c>
      <c r="D248" s="19" t="n">
        <v>14.6</v>
      </c>
      <c r="E248" s="0" t="s">
        <v>494</v>
      </c>
      <c r="F248" s="60" t="n">
        <f aca="false">D248</f>
        <v>14.6</v>
      </c>
      <c r="J248" s="20" t="s">
        <v>506</v>
      </c>
      <c r="K248" s="20" t="s">
        <v>514</v>
      </c>
      <c r="L248" s="20" t="s">
        <v>957</v>
      </c>
    </row>
    <row r="249" customFormat="false" ht="15" hidden="false" customHeight="false" outlineLevel="0" collapsed="false">
      <c r="A249" s="0" t="s">
        <v>958</v>
      </c>
      <c r="B249" s="20" t="s">
        <v>689</v>
      </c>
      <c r="C249" s="0" t="s">
        <v>494</v>
      </c>
      <c r="D249" s="19" t="n">
        <v>1.1</v>
      </c>
      <c r="E249" s="0" t="s">
        <v>494</v>
      </c>
      <c r="F249" s="60" t="n">
        <f aca="false">D249</f>
        <v>1.1</v>
      </c>
      <c r="J249" s="20" t="s">
        <v>506</v>
      </c>
      <c r="K249" s="20" t="s">
        <v>514</v>
      </c>
      <c r="L249" s="20"/>
    </row>
    <row r="250" customFormat="false" ht="15" hidden="false" customHeight="false" outlineLevel="0" collapsed="false">
      <c r="A250" s="0" t="s">
        <v>959</v>
      </c>
      <c r="B250" s="20" t="s">
        <v>689</v>
      </c>
      <c r="C250" s="0" t="s">
        <v>494</v>
      </c>
      <c r="D250" s="19" t="n">
        <v>-2.7</v>
      </c>
      <c r="E250" s="0" t="s">
        <v>494</v>
      </c>
      <c r="F250" s="60" t="n">
        <f aca="false">D250</f>
        <v>-2.7</v>
      </c>
      <c r="J250" s="20" t="s">
        <v>506</v>
      </c>
      <c r="K250" s="20" t="s">
        <v>514</v>
      </c>
      <c r="L250" s="20"/>
    </row>
    <row r="251" customFormat="false" ht="15" hidden="false" customHeight="false" outlineLevel="0" collapsed="false">
      <c r="A251" s="0" t="s">
        <v>960</v>
      </c>
      <c r="B251" s="20" t="s">
        <v>689</v>
      </c>
      <c r="C251" s="0" t="s">
        <v>494</v>
      </c>
      <c r="D251" s="19" t="n">
        <v>-9.9</v>
      </c>
      <c r="E251" s="0" t="s">
        <v>494</v>
      </c>
      <c r="F251" s="60" t="n">
        <f aca="false">D251</f>
        <v>-9.9</v>
      </c>
      <c r="J251" s="20" t="s">
        <v>506</v>
      </c>
      <c r="K251" s="20" t="s">
        <v>514</v>
      </c>
      <c r="L251" s="20"/>
    </row>
    <row r="252" customFormat="false" ht="15" hidden="false" customHeight="false" outlineLevel="0" collapsed="false">
      <c r="A252" s="0" t="s">
        <v>961</v>
      </c>
      <c r="B252" s="20" t="s">
        <v>561</v>
      </c>
      <c r="C252" s="0" t="s">
        <v>494</v>
      </c>
      <c r="D252" s="63" t="n">
        <v>7000</v>
      </c>
      <c r="E252" s="0" t="s">
        <v>494</v>
      </c>
      <c r="F252" s="5" t="n">
        <f aca="false">D252</f>
        <v>7000</v>
      </c>
      <c r="J252" s="20" t="s">
        <v>506</v>
      </c>
      <c r="K252" s="20" t="s">
        <v>514</v>
      </c>
      <c r="L252" s="20"/>
    </row>
    <row r="253" customFormat="false" ht="15" hidden="false" customHeight="false" outlineLevel="0" collapsed="false">
      <c r="A253" s="0" t="s">
        <v>962</v>
      </c>
      <c r="B253" s="20" t="s">
        <v>561</v>
      </c>
      <c r="C253" s="0" t="s">
        <v>494</v>
      </c>
      <c r="D253" s="63" t="n">
        <v>9900</v>
      </c>
      <c r="E253" s="0" t="s">
        <v>494</v>
      </c>
      <c r="F253" s="5" t="n">
        <f aca="false">D253</f>
        <v>9900</v>
      </c>
      <c r="J253" s="20" t="s">
        <v>506</v>
      </c>
      <c r="K253" s="20" t="s">
        <v>514</v>
      </c>
      <c r="L253" s="20"/>
    </row>
    <row r="254" customFormat="false" ht="15" hidden="false" customHeight="false" outlineLevel="0" collapsed="false">
      <c r="A254" s="0" t="s">
        <v>963</v>
      </c>
      <c r="B254" s="20" t="s">
        <v>561</v>
      </c>
      <c r="C254" s="0" t="s">
        <v>494</v>
      </c>
      <c r="D254" s="63" t="n">
        <v>12900</v>
      </c>
      <c r="E254" s="0" t="s">
        <v>494</v>
      </c>
      <c r="F254" s="5" t="n">
        <f aca="false">D254</f>
        <v>12900</v>
      </c>
      <c r="J254" s="20" t="s">
        <v>506</v>
      </c>
      <c r="K254" s="20" t="s">
        <v>514</v>
      </c>
      <c r="L254" s="20"/>
    </row>
    <row r="255" customFormat="false" ht="15" hidden="false" customHeight="false" outlineLevel="0" collapsed="false">
      <c r="A255" s="0" t="s">
        <v>964</v>
      </c>
      <c r="B255" s="20" t="s">
        <v>561</v>
      </c>
      <c r="C255" s="0" t="s">
        <v>494</v>
      </c>
      <c r="D255" s="63" t="n">
        <v>7600</v>
      </c>
      <c r="E255" s="0" t="s">
        <v>494</v>
      </c>
      <c r="F255" s="5" t="n">
        <f aca="false">D255</f>
        <v>7600</v>
      </c>
      <c r="J255" s="20" t="s">
        <v>506</v>
      </c>
      <c r="K255" s="20" t="s">
        <v>514</v>
      </c>
      <c r="L255" s="20"/>
    </row>
    <row r="256" customFormat="false" ht="15" hidden="false" customHeight="false" outlineLevel="0" collapsed="false">
      <c r="A256" s="0" t="s">
        <v>965</v>
      </c>
      <c r="B256" s="20" t="s">
        <v>561</v>
      </c>
      <c r="C256" s="0" t="s">
        <v>494</v>
      </c>
      <c r="D256" s="63" t="n">
        <v>25300</v>
      </c>
      <c r="E256" s="0" t="s">
        <v>494</v>
      </c>
      <c r="F256" s="5" t="n">
        <f aca="false">D256</f>
        <v>25300</v>
      </c>
      <c r="J256" s="20" t="s">
        <v>506</v>
      </c>
      <c r="K256" s="20" t="s">
        <v>514</v>
      </c>
      <c r="L256" s="20"/>
    </row>
    <row r="257" customFormat="false" ht="15" hidden="false" customHeight="false" outlineLevel="0" collapsed="false">
      <c r="A257" s="0" t="s">
        <v>966</v>
      </c>
      <c r="B257" s="20" t="s">
        <v>648</v>
      </c>
      <c r="C257" s="0" t="s">
        <v>494</v>
      </c>
      <c r="D257" s="19" t="n">
        <v>11.1</v>
      </c>
      <c r="E257" s="0" t="s">
        <v>494</v>
      </c>
      <c r="F257" s="60" t="n">
        <f aca="false">D257</f>
        <v>11.1</v>
      </c>
      <c r="J257" s="20" t="s">
        <v>506</v>
      </c>
      <c r="K257" s="20" t="s">
        <v>514</v>
      </c>
      <c r="L257" s="20"/>
    </row>
    <row r="258" customFormat="false" ht="15" hidden="false" customHeight="false" outlineLevel="0" collapsed="false">
      <c r="A258" s="0" t="s">
        <v>967</v>
      </c>
      <c r="B258" s="20" t="s">
        <v>648</v>
      </c>
      <c r="C258" s="0" t="s">
        <v>494</v>
      </c>
      <c r="D258" s="19" t="n">
        <v>4.8</v>
      </c>
      <c r="E258" s="0" t="s">
        <v>494</v>
      </c>
      <c r="F258" s="60" t="n">
        <f aca="false">D258</f>
        <v>4.8</v>
      </c>
      <c r="J258" s="20" t="s">
        <v>506</v>
      </c>
      <c r="K258" s="20" t="s">
        <v>514</v>
      </c>
      <c r="L258" s="20"/>
    </row>
    <row r="259" customFormat="false" ht="15" hidden="false" customHeight="false" outlineLevel="0" collapsed="false">
      <c r="A259" s="0" t="s">
        <v>968</v>
      </c>
      <c r="B259" s="20" t="s">
        <v>553</v>
      </c>
      <c r="C259" s="0" t="s">
        <v>494</v>
      </c>
      <c r="D259" s="86" t="n">
        <v>3.27</v>
      </c>
      <c r="E259" s="0" t="s">
        <v>494</v>
      </c>
      <c r="F259" s="6" t="n">
        <f aca="false">D259</f>
        <v>3.27</v>
      </c>
      <c r="J259" s="20" t="s">
        <v>546</v>
      </c>
      <c r="K259" s="20" t="s">
        <v>554</v>
      </c>
      <c r="L259" s="20" t="s">
        <v>969</v>
      </c>
    </row>
    <row r="260" customFormat="false" ht="15" hidden="false" customHeight="false" outlineLevel="0" collapsed="false">
      <c r="A260" s="0" t="s">
        <v>970</v>
      </c>
      <c r="B260" s="20" t="s">
        <v>648</v>
      </c>
      <c r="C260" s="0" t="s">
        <v>494</v>
      </c>
      <c r="D260" s="86" t="n">
        <v>0.46</v>
      </c>
      <c r="E260" s="0" t="s">
        <v>494</v>
      </c>
      <c r="F260" s="6" t="n">
        <f aca="false">D260</f>
        <v>0.46</v>
      </c>
      <c r="J260" s="20" t="s">
        <v>550</v>
      </c>
      <c r="K260" s="20" t="s">
        <v>554</v>
      </c>
      <c r="L260" s="20" t="s">
        <v>971</v>
      </c>
    </row>
    <row r="261" customFormat="false" ht="15" hidden="false" customHeight="false" outlineLevel="0" collapsed="false">
      <c r="A261" s="0" t="s">
        <v>972</v>
      </c>
      <c r="B261" s="20" t="s">
        <v>561</v>
      </c>
      <c r="C261" s="0" t="s">
        <v>494</v>
      </c>
      <c r="D261" s="67" t="n">
        <v>5197.7</v>
      </c>
      <c r="E261" s="0" t="s">
        <v>494</v>
      </c>
      <c r="F261" s="5" t="n">
        <f aca="false">D261</f>
        <v>5197.7</v>
      </c>
      <c r="J261" s="20" t="s">
        <v>550</v>
      </c>
      <c r="K261" s="20" t="s">
        <v>507</v>
      </c>
      <c r="L261" s="20" t="s">
        <v>973</v>
      </c>
    </row>
    <row r="262" customFormat="false" ht="15" hidden="false" customHeight="false" outlineLevel="0" collapsed="false">
      <c r="A262" s="0" t="s">
        <v>974</v>
      </c>
      <c r="B262" s="20" t="s">
        <v>557</v>
      </c>
      <c r="C262" s="0" t="s">
        <v>494</v>
      </c>
      <c r="D262" s="71" t="n">
        <v>13</v>
      </c>
      <c r="E262" s="0" t="s">
        <v>494</v>
      </c>
      <c r="F262" s="60" t="n">
        <f aca="false">D262</f>
        <v>13</v>
      </c>
      <c r="J262" s="20" t="s">
        <v>975</v>
      </c>
      <c r="K262" s="20" t="s">
        <v>554</v>
      </c>
      <c r="L262" s="20" t="s">
        <v>976</v>
      </c>
    </row>
    <row r="263" customFormat="false" ht="15" hidden="false" customHeight="false" outlineLevel="0" collapsed="false">
      <c r="A263" s="0" t="s">
        <v>977</v>
      </c>
      <c r="B263" s="20" t="s">
        <v>561</v>
      </c>
      <c r="C263" s="0" t="s">
        <v>494</v>
      </c>
      <c r="D263" s="69" t="n">
        <v>2000</v>
      </c>
      <c r="E263" s="0" t="s">
        <v>494</v>
      </c>
      <c r="F263" s="5" t="n">
        <f aca="false">D263</f>
        <v>2000</v>
      </c>
      <c r="J263" s="20" t="s">
        <v>495</v>
      </c>
      <c r="K263" s="20" t="s">
        <v>543</v>
      </c>
      <c r="L263" s="20" t="s">
        <v>978</v>
      </c>
    </row>
    <row r="264" customFormat="false" ht="15" hidden="false" customHeight="false" outlineLevel="0" collapsed="false">
      <c r="A264" s="0" t="s">
        <v>979</v>
      </c>
      <c r="B264" s="20" t="s">
        <v>549</v>
      </c>
      <c r="C264" s="0" t="s">
        <v>494</v>
      </c>
      <c r="D264" s="87" t="n">
        <v>0.035</v>
      </c>
      <c r="E264" s="0" t="s">
        <v>494</v>
      </c>
      <c r="F264" s="75" t="n">
        <f aca="false">D264</f>
        <v>0.035</v>
      </c>
      <c r="J264" s="20" t="s">
        <v>495</v>
      </c>
      <c r="K264" s="20" t="s">
        <v>543</v>
      </c>
      <c r="L264" s="20"/>
    </row>
    <row r="265" customFormat="false" ht="15" hidden="false" customHeight="false" outlineLevel="0" collapsed="false">
      <c r="A265" s="0" t="s">
        <v>980</v>
      </c>
      <c r="B265" s="20" t="s">
        <v>549</v>
      </c>
      <c r="C265" s="0" t="s">
        <v>494</v>
      </c>
      <c r="D265" s="87" t="n">
        <v>0.04</v>
      </c>
      <c r="E265" s="0" t="s">
        <v>494</v>
      </c>
      <c r="F265" s="75" t="n">
        <f aca="false">D265</f>
        <v>0.04</v>
      </c>
      <c r="J265" s="20" t="s">
        <v>550</v>
      </c>
      <c r="K265" s="20" t="s">
        <v>543</v>
      </c>
      <c r="L265" s="20"/>
    </row>
    <row r="266" customFormat="false" ht="15" hidden="false" customHeight="false" outlineLevel="0" collapsed="false">
      <c r="A266" s="0" t="s">
        <v>981</v>
      </c>
      <c r="B266" s="20" t="s">
        <v>549</v>
      </c>
      <c r="C266" s="0" t="s">
        <v>494</v>
      </c>
      <c r="D266" s="88" t="n">
        <v>0.025</v>
      </c>
      <c r="E266" s="0" t="s">
        <v>494</v>
      </c>
      <c r="F266" s="75" t="n">
        <f aca="false">D266</f>
        <v>0.025</v>
      </c>
      <c r="J266" s="20" t="s">
        <v>550</v>
      </c>
      <c r="K266" s="20" t="s">
        <v>507</v>
      </c>
      <c r="L266" s="20" t="s">
        <v>982</v>
      </c>
    </row>
    <row r="267" customFormat="false" ht="15" hidden="false" customHeight="false" outlineLevel="0" collapsed="false">
      <c r="A267" s="0" t="s">
        <v>983</v>
      </c>
      <c r="B267" s="20" t="s">
        <v>561</v>
      </c>
      <c r="C267" s="0" t="s">
        <v>494</v>
      </c>
      <c r="D267" s="67" t="n">
        <v>775</v>
      </c>
      <c r="E267" s="0" t="s">
        <v>494</v>
      </c>
      <c r="F267" s="5" t="n">
        <f aca="false">D267</f>
        <v>775</v>
      </c>
      <c r="J267" s="20" t="s">
        <v>550</v>
      </c>
      <c r="K267" s="20" t="s">
        <v>507</v>
      </c>
      <c r="L267" s="20" t="s">
        <v>984</v>
      </c>
    </row>
    <row r="268" customFormat="false" ht="15" hidden="false" customHeight="false" outlineLevel="0" collapsed="false">
      <c r="A268" s="0" t="s">
        <v>985</v>
      </c>
      <c r="B268" s="20" t="s">
        <v>600</v>
      </c>
      <c r="C268" s="0" t="s">
        <v>494</v>
      </c>
      <c r="D268" s="21" t="n">
        <v>11</v>
      </c>
      <c r="E268" s="0" t="s">
        <v>494</v>
      </c>
      <c r="F268" s="57" t="n">
        <f aca="false">D268</f>
        <v>11</v>
      </c>
      <c r="J268" s="20" t="s">
        <v>550</v>
      </c>
      <c r="K268" s="20" t="s">
        <v>507</v>
      </c>
      <c r="L268" s="20" t="s">
        <v>986</v>
      </c>
    </row>
    <row r="269" customFormat="false" ht="15" hidden="false" customHeight="false" outlineLevel="0" collapsed="false">
      <c r="A269" s="0" t="s">
        <v>987</v>
      </c>
      <c r="B269" s="20" t="s">
        <v>600</v>
      </c>
      <c r="C269" s="0" t="s">
        <v>494</v>
      </c>
      <c r="D269" s="21" t="n">
        <v>28</v>
      </c>
      <c r="E269" s="0" t="s">
        <v>494</v>
      </c>
      <c r="F269" s="57" t="n">
        <f aca="false">D269</f>
        <v>28</v>
      </c>
      <c r="J269" s="20" t="s">
        <v>550</v>
      </c>
      <c r="K269" s="20" t="s">
        <v>507</v>
      </c>
      <c r="L269" s="20" t="s">
        <v>988</v>
      </c>
    </row>
    <row r="270" customFormat="false" ht="15" hidden="false" customHeight="false" outlineLevel="0" collapsed="false">
      <c r="A270" s="0" t="s">
        <v>989</v>
      </c>
      <c r="B270" s="20" t="s">
        <v>549</v>
      </c>
      <c r="C270" s="0" t="s">
        <v>494</v>
      </c>
      <c r="D270" s="87" t="n">
        <v>0.03</v>
      </c>
      <c r="E270" s="0" t="s">
        <v>494</v>
      </c>
      <c r="F270" s="75" t="n">
        <f aca="false">D270</f>
        <v>0.03</v>
      </c>
      <c r="J270" s="20" t="s">
        <v>550</v>
      </c>
      <c r="K270" s="20" t="s">
        <v>543</v>
      </c>
      <c r="L270" s="20"/>
    </row>
    <row r="271" customFormat="false" ht="15" hidden="false" customHeight="false" outlineLevel="0" collapsed="false">
      <c r="A271" s="0" t="s">
        <v>990</v>
      </c>
      <c r="B271" s="20" t="s">
        <v>549</v>
      </c>
      <c r="C271" s="66" t="n">
        <v>0.6</v>
      </c>
      <c r="D271" s="66" t="n">
        <v>0.5</v>
      </c>
      <c r="E271" s="66" t="n">
        <v>0.3</v>
      </c>
      <c r="F271" s="38" t="n">
        <f aca="false">CHOOSE(Scen,C271,D271,E271)</f>
        <v>0.5</v>
      </c>
      <c r="J271" s="20" t="s">
        <v>495</v>
      </c>
      <c r="K271" s="20" t="s">
        <v>543</v>
      </c>
      <c r="L271" s="20"/>
    </row>
    <row r="272" customFormat="false" ht="15" hidden="false" customHeight="false" outlineLevel="0" collapsed="false">
      <c r="A272" s="0" t="s">
        <v>991</v>
      </c>
      <c r="B272" s="20" t="s">
        <v>549</v>
      </c>
      <c r="C272" s="0" t="s">
        <v>494</v>
      </c>
      <c r="D272" s="66" t="n">
        <v>0.03</v>
      </c>
      <c r="E272" s="0" t="s">
        <v>494</v>
      </c>
      <c r="F272" s="38" t="n">
        <f aca="false">D272</f>
        <v>0.03</v>
      </c>
      <c r="J272" s="20" t="s">
        <v>495</v>
      </c>
      <c r="K272" s="20" t="s">
        <v>543</v>
      </c>
      <c r="L272" s="20"/>
    </row>
    <row r="273" customFormat="false" ht="15" hidden="false" customHeight="false" outlineLevel="0" collapsed="false">
      <c r="A273" s="0" t="s">
        <v>992</v>
      </c>
      <c r="B273" s="20" t="s">
        <v>561</v>
      </c>
      <c r="C273" s="0" t="s">
        <v>494</v>
      </c>
      <c r="D273" s="67" t="n">
        <v>5680</v>
      </c>
      <c r="E273" s="0" t="s">
        <v>494</v>
      </c>
      <c r="F273" s="5" t="n">
        <f aca="false">D273</f>
        <v>5680</v>
      </c>
      <c r="J273" s="20" t="s">
        <v>550</v>
      </c>
      <c r="K273" s="20" t="s">
        <v>507</v>
      </c>
      <c r="L273" s="20" t="s">
        <v>993</v>
      </c>
    </row>
    <row r="274" customFormat="false" ht="15" hidden="false" customHeight="false" outlineLevel="0" collapsed="false">
      <c r="A274" s="0" t="s">
        <v>994</v>
      </c>
      <c r="B274" s="20" t="s">
        <v>995</v>
      </c>
      <c r="C274" s="0" t="s">
        <v>494</v>
      </c>
      <c r="D274" s="58" t="n">
        <v>15.77</v>
      </c>
      <c r="E274" s="0" t="s">
        <v>494</v>
      </c>
      <c r="F274" s="59" t="n">
        <f aca="false">D274</f>
        <v>15.77</v>
      </c>
      <c r="J274" s="20" t="s">
        <v>550</v>
      </c>
      <c r="K274" s="20" t="s">
        <v>507</v>
      </c>
      <c r="L274" s="20" t="s">
        <v>996</v>
      </c>
    </row>
    <row r="275" customFormat="false" ht="15" hidden="false" customHeight="false" outlineLevel="0" collapsed="false">
      <c r="A275" s="0" t="s">
        <v>997</v>
      </c>
      <c r="B275" s="20" t="s">
        <v>600</v>
      </c>
      <c r="C275" s="0" t="s">
        <v>494</v>
      </c>
      <c r="D275" s="21" t="n">
        <v>11</v>
      </c>
      <c r="E275" s="0" t="s">
        <v>494</v>
      </c>
      <c r="F275" s="57" t="n">
        <f aca="false">D275</f>
        <v>11</v>
      </c>
      <c r="J275" s="20" t="s">
        <v>550</v>
      </c>
      <c r="K275" s="20" t="s">
        <v>507</v>
      </c>
      <c r="L275" s="20" t="s">
        <v>998</v>
      </c>
    </row>
    <row r="276" customFormat="false" ht="15" hidden="false" customHeight="false" outlineLevel="0" collapsed="false">
      <c r="A276" s="0" t="s">
        <v>999</v>
      </c>
      <c r="B276" s="20" t="s">
        <v>995</v>
      </c>
      <c r="C276" s="0" t="s">
        <v>494</v>
      </c>
      <c r="D276" s="81" t="n">
        <v>0</v>
      </c>
      <c r="E276" s="0" t="s">
        <v>494</v>
      </c>
      <c r="F276" s="59" t="n">
        <f aca="false">D276</f>
        <v>0</v>
      </c>
      <c r="J276" s="20" t="s">
        <v>550</v>
      </c>
      <c r="K276" s="20" t="s">
        <v>1000</v>
      </c>
      <c r="L276" s="20" t="s">
        <v>1001</v>
      </c>
    </row>
    <row r="277" customFormat="false" ht="15" hidden="false" customHeight="false" outlineLevel="0" collapsed="false">
      <c r="A277" s="0" t="s">
        <v>1002</v>
      </c>
      <c r="B277" s="20" t="s">
        <v>499</v>
      </c>
      <c r="C277" s="0" t="s">
        <v>494</v>
      </c>
      <c r="D277" s="21" t="n">
        <v>2</v>
      </c>
      <c r="E277" s="0" t="s">
        <v>494</v>
      </c>
      <c r="F277" s="57" t="n">
        <f aca="false">D277</f>
        <v>2</v>
      </c>
      <c r="J277" s="20" t="s">
        <v>495</v>
      </c>
      <c r="K277" s="20" t="s">
        <v>496</v>
      </c>
      <c r="L277" s="20" t="s">
        <v>1003</v>
      </c>
    </row>
    <row r="278" customFormat="false" ht="15" hidden="false" customHeight="false" outlineLevel="0" collapsed="false">
      <c r="A278" s="0" t="s">
        <v>1004</v>
      </c>
      <c r="B278" s="20" t="s">
        <v>995</v>
      </c>
      <c r="C278" s="0" t="s">
        <v>494</v>
      </c>
      <c r="D278" s="72" t="n">
        <v>21.065936</v>
      </c>
      <c r="E278" s="0" t="s">
        <v>494</v>
      </c>
      <c r="F278" s="73" t="n">
        <f aca="false">D278</f>
        <v>21.065936</v>
      </c>
      <c r="J278" s="20" t="s">
        <v>550</v>
      </c>
      <c r="K278" s="20" t="s">
        <v>507</v>
      </c>
      <c r="L278" s="20" t="s">
        <v>1005</v>
      </c>
    </row>
    <row r="279" customFormat="false" ht="15" hidden="false" customHeight="false" outlineLevel="0" collapsed="false">
      <c r="A279" s="0" t="s">
        <v>1006</v>
      </c>
      <c r="B279" s="20" t="s">
        <v>600</v>
      </c>
      <c r="C279" s="0" t="s">
        <v>494</v>
      </c>
      <c r="D279" s="21" t="n">
        <v>9</v>
      </c>
      <c r="E279" s="0" t="s">
        <v>494</v>
      </c>
      <c r="F279" s="57" t="n">
        <f aca="false">D279</f>
        <v>9</v>
      </c>
      <c r="J279" s="20" t="s">
        <v>550</v>
      </c>
      <c r="K279" s="20" t="s">
        <v>507</v>
      </c>
      <c r="L279" s="20" t="s">
        <v>1007</v>
      </c>
    </row>
    <row r="280" customFormat="false" ht="15" hidden="false" customHeight="false" outlineLevel="0" collapsed="false">
      <c r="A280" s="0" t="s">
        <v>1008</v>
      </c>
      <c r="B280" s="20" t="s">
        <v>995</v>
      </c>
      <c r="C280" s="0" t="s">
        <v>494</v>
      </c>
      <c r="D280" s="72" t="n">
        <v>6.7406</v>
      </c>
      <c r="E280" s="0" t="s">
        <v>494</v>
      </c>
      <c r="F280" s="73" t="n">
        <f aca="false">D280</f>
        <v>6.7406</v>
      </c>
      <c r="J280" s="20" t="s">
        <v>550</v>
      </c>
      <c r="K280" s="20" t="s">
        <v>507</v>
      </c>
      <c r="L280" s="20" t="s">
        <v>1009</v>
      </c>
    </row>
    <row r="281" customFormat="false" ht="15" hidden="false" customHeight="false" outlineLevel="0" collapsed="false">
      <c r="A281" s="0" t="s">
        <v>1010</v>
      </c>
      <c r="B281" s="20" t="s">
        <v>505</v>
      </c>
      <c r="C281" s="0" t="s">
        <v>494</v>
      </c>
      <c r="D281" s="58" t="n">
        <v>88.65</v>
      </c>
      <c r="E281" s="0" t="s">
        <v>494</v>
      </c>
      <c r="F281" s="59" t="n">
        <f aca="false">D281</f>
        <v>88.65</v>
      </c>
      <c r="J281" s="20" t="s">
        <v>550</v>
      </c>
      <c r="K281" s="20" t="s">
        <v>507</v>
      </c>
      <c r="L281" s="20"/>
    </row>
    <row r="282" customFormat="false" ht="15" hidden="false" customHeight="false" outlineLevel="0" collapsed="false">
      <c r="A282" s="0" t="s">
        <v>1011</v>
      </c>
      <c r="B282" s="20" t="s">
        <v>995</v>
      </c>
      <c r="C282" s="0" t="s">
        <v>494</v>
      </c>
      <c r="D282" s="72" t="n">
        <v>6.234091</v>
      </c>
      <c r="E282" s="0" t="s">
        <v>494</v>
      </c>
      <c r="F282" s="73" t="n">
        <f aca="false">D282</f>
        <v>6.234091</v>
      </c>
      <c r="J282" s="20" t="s">
        <v>550</v>
      </c>
      <c r="K282" s="20" t="s">
        <v>507</v>
      </c>
      <c r="L282" s="20" t="s">
        <v>1012</v>
      </c>
    </row>
    <row r="283" customFormat="false" ht="15" hidden="false" customHeight="false" outlineLevel="0" collapsed="false">
      <c r="A283" s="0" t="s">
        <v>1013</v>
      </c>
      <c r="B283" s="20" t="s">
        <v>995</v>
      </c>
      <c r="C283" s="0" t="s">
        <v>494</v>
      </c>
      <c r="D283" s="72" t="n">
        <v>2.743655</v>
      </c>
      <c r="E283" s="0" t="s">
        <v>494</v>
      </c>
      <c r="F283" s="73" t="n">
        <f aca="false">D283</f>
        <v>2.743655</v>
      </c>
      <c r="J283" s="20" t="s">
        <v>550</v>
      </c>
      <c r="K283" s="20" t="s">
        <v>507</v>
      </c>
      <c r="L283" s="20" t="s">
        <v>1014</v>
      </c>
    </row>
    <row r="284" customFormat="false" ht="15" hidden="false" customHeight="false" outlineLevel="0" collapsed="false">
      <c r="A284" s="0" t="s">
        <v>1015</v>
      </c>
      <c r="B284" s="20" t="s">
        <v>534</v>
      </c>
      <c r="C284" s="0" t="s">
        <v>494</v>
      </c>
      <c r="D284" s="21" t="n">
        <v>0</v>
      </c>
      <c r="E284" s="0" t="s">
        <v>494</v>
      </c>
      <c r="F284" s="57" t="n">
        <f aca="false">D284</f>
        <v>0</v>
      </c>
      <c r="J284" s="20" t="s">
        <v>495</v>
      </c>
      <c r="K284" s="20" t="s">
        <v>496</v>
      </c>
      <c r="L284" s="20"/>
    </row>
    <row r="285" customFormat="false" ht="15" hidden="false" customHeight="false" outlineLevel="0" collapsed="false">
      <c r="A285" s="0" t="s">
        <v>1016</v>
      </c>
      <c r="B285" s="20" t="s">
        <v>995</v>
      </c>
      <c r="C285" s="0" t="s">
        <v>494</v>
      </c>
      <c r="D285" s="72" t="n">
        <v>12.270507</v>
      </c>
      <c r="E285" s="0" t="s">
        <v>494</v>
      </c>
      <c r="F285" s="73" t="n">
        <f aca="false">D285</f>
        <v>12.270507</v>
      </c>
      <c r="J285" s="20" t="s">
        <v>550</v>
      </c>
      <c r="K285" s="20" t="s">
        <v>507</v>
      </c>
      <c r="L285" s="20" t="s">
        <v>1017</v>
      </c>
    </row>
    <row r="286" customFormat="false" ht="15" hidden="false" customHeight="false" outlineLevel="0" collapsed="false">
      <c r="A286" s="0" t="s">
        <v>1018</v>
      </c>
      <c r="B286" s="20" t="s">
        <v>995</v>
      </c>
      <c r="C286" s="0" t="s">
        <v>494</v>
      </c>
      <c r="D286" s="71" t="n">
        <v>369.2</v>
      </c>
      <c r="E286" s="0" t="s">
        <v>494</v>
      </c>
      <c r="F286" s="60" t="n">
        <f aca="false">D286</f>
        <v>369.2</v>
      </c>
      <c r="J286" s="20" t="s">
        <v>550</v>
      </c>
      <c r="K286" s="20" t="s">
        <v>507</v>
      </c>
      <c r="L286" s="20" t="s">
        <v>1019</v>
      </c>
    </row>
    <row r="287" customFormat="false" ht="15" hidden="false" customHeight="false" outlineLevel="0" collapsed="false">
      <c r="A287" s="0" t="s">
        <v>1020</v>
      </c>
      <c r="B287" s="20" t="s">
        <v>995</v>
      </c>
      <c r="C287" s="0" t="s">
        <v>494</v>
      </c>
      <c r="D287" s="71" t="n">
        <v>381.5</v>
      </c>
      <c r="E287" s="0" t="s">
        <v>494</v>
      </c>
      <c r="F287" s="60" t="n">
        <f aca="false">D287</f>
        <v>381.5</v>
      </c>
      <c r="J287" s="20" t="s">
        <v>550</v>
      </c>
      <c r="K287" s="20" t="s">
        <v>507</v>
      </c>
      <c r="L287" s="20" t="s">
        <v>1021</v>
      </c>
    </row>
    <row r="288" customFormat="false" ht="15" hidden="false" customHeight="false" outlineLevel="0" collapsed="false">
      <c r="A288" s="0" t="s">
        <v>1022</v>
      </c>
      <c r="B288" s="20" t="s">
        <v>995</v>
      </c>
      <c r="C288" s="0" t="s">
        <v>494</v>
      </c>
      <c r="D288" s="86" t="n">
        <v>50.03</v>
      </c>
      <c r="E288" s="0" t="s">
        <v>494</v>
      </c>
      <c r="F288" s="6" t="n">
        <f aca="false">D288</f>
        <v>50.03</v>
      </c>
      <c r="J288" s="20" t="s">
        <v>550</v>
      </c>
      <c r="K288" s="20" t="s">
        <v>507</v>
      </c>
      <c r="L288" s="20" t="s">
        <v>1023</v>
      </c>
    </row>
    <row r="289" customFormat="false" ht="15" hidden="false" customHeight="false" outlineLevel="0" collapsed="false">
      <c r="A289" s="0" t="s">
        <v>1024</v>
      </c>
      <c r="B289" s="20" t="s">
        <v>561</v>
      </c>
      <c r="C289" s="0" t="s">
        <v>494</v>
      </c>
      <c r="D289" s="67" t="n">
        <v>7680</v>
      </c>
      <c r="E289" s="0" t="s">
        <v>494</v>
      </c>
      <c r="F289" s="5" t="n">
        <f aca="false">D289</f>
        <v>7680</v>
      </c>
      <c r="J289" s="20" t="s">
        <v>550</v>
      </c>
      <c r="K289" s="20" t="s">
        <v>507</v>
      </c>
      <c r="L289" s="20"/>
    </row>
    <row r="290" customFormat="false" ht="15" hidden="false" customHeight="false" outlineLevel="0" collapsed="false">
      <c r="A290" s="0" t="s">
        <v>1025</v>
      </c>
      <c r="B290" s="20" t="s">
        <v>561</v>
      </c>
      <c r="C290" s="0" t="s">
        <v>494</v>
      </c>
      <c r="D290" s="67" t="n">
        <v>79500</v>
      </c>
      <c r="E290" s="0" t="s">
        <v>494</v>
      </c>
      <c r="F290" s="5" t="n">
        <f aca="false">D290</f>
        <v>79500</v>
      </c>
      <c r="J290" s="20" t="s">
        <v>546</v>
      </c>
      <c r="K290" s="20" t="s">
        <v>554</v>
      </c>
      <c r="L290" s="20" t="s">
        <v>1026</v>
      </c>
    </row>
    <row r="291" customFormat="false" ht="15" hidden="false" customHeight="false" outlineLevel="0" collapsed="false">
      <c r="A291" s="0" t="s">
        <v>1027</v>
      </c>
      <c r="B291" s="20" t="s">
        <v>575</v>
      </c>
      <c r="C291" s="0" t="s">
        <v>494</v>
      </c>
      <c r="D291" s="67" t="n">
        <v>1500</v>
      </c>
      <c r="E291" s="0" t="s">
        <v>494</v>
      </c>
      <c r="F291" s="5" t="n">
        <f aca="false">D291</f>
        <v>1500</v>
      </c>
      <c r="J291" s="20" t="s">
        <v>546</v>
      </c>
      <c r="K291" s="20" t="s">
        <v>554</v>
      </c>
      <c r="L291" s="20"/>
    </row>
    <row r="292" customFormat="false" ht="15" hidden="false" customHeight="false" outlineLevel="0" collapsed="false">
      <c r="A292" s="0" t="s">
        <v>1028</v>
      </c>
      <c r="B292" s="20" t="s">
        <v>575</v>
      </c>
      <c r="C292" s="0" t="s">
        <v>494</v>
      </c>
      <c r="D292" s="67" t="n">
        <v>3700</v>
      </c>
      <c r="E292" s="0" t="s">
        <v>494</v>
      </c>
      <c r="F292" s="5" t="n">
        <f aca="false">D292</f>
        <v>3700</v>
      </c>
      <c r="J292" s="20" t="s">
        <v>546</v>
      </c>
      <c r="K292" s="20" t="s">
        <v>554</v>
      </c>
      <c r="L292" s="20"/>
    </row>
    <row r="293" customFormat="false" ht="15" hidden="false" customHeight="false" outlineLevel="0" collapsed="false">
      <c r="A293" s="0" t="s">
        <v>1029</v>
      </c>
      <c r="B293" s="20" t="s">
        <v>561</v>
      </c>
      <c r="C293" s="0" t="s">
        <v>494</v>
      </c>
      <c r="D293" s="69" t="n">
        <v>0</v>
      </c>
      <c r="E293" s="0" t="s">
        <v>494</v>
      </c>
      <c r="F293" s="5" t="n">
        <f aca="false">D293</f>
        <v>0</v>
      </c>
      <c r="J293" s="20" t="s">
        <v>546</v>
      </c>
      <c r="K293" s="20" t="s">
        <v>543</v>
      </c>
      <c r="L293" s="20"/>
    </row>
    <row r="294" customFormat="false" ht="15" hidden="false" customHeight="false" outlineLevel="0" collapsed="false">
      <c r="A294" s="0" t="s">
        <v>1030</v>
      </c>
      <c r="B294" s="20" t="s">
        <v>561</v>
      </c>
      <c r="C294" s="0" t="s">
        <v>494</v>
      </c>
      <c r="D294" s="69" t="n">
        <v>0</v>
      </c>
      <c r="E294" s="0" t="s">
        <v>494</v>
      </c>
      <c r="F294" s="5" t="n">
        <f aca="false">D294</f>
        <v>0</v>
      </c>
      <c r="J294" s="20" t="s">
        <v>546</v>
      </c>
      <c r="K294" s="20" t="s">
        <v>543</v>
      </c>
      <c r="L294" s="20"/>
    </row>
    <row r="295" customFormat="false" ht="15" hidden="false" customHeight="false" outlineLevel="0" collapsed="false">
      <c r="A295" s="0" t="s">
        <v>1031</v>
      </c>
      <c r="B295" s="20" t="s">
        <v>499</v>
      </c>
      <c r="C295" s="0" t="s">
        <v>494</v>
      </c>
      <c r="D295" s="21" t="n">
        <v>2</v>
      </c>
      <c r="E295" s="0" t="s">
        <v>494</v>
      </c>
      <c r="F295" s="57" t="n">
        <f aca="false">D295</f>
        <v>2</v>
      </c>
      <c r="J295" s="20" t="s">
        <v>495</v>
      </c>
      <c r="K295" s="20" t="s">
        <v>496</v>
      </c>
      <c r="L295" s="20" t="s">
        <v>1032</v>
      </c>
    </row>
    <row r="296" customFormat="false" ht="15" hidden="false" customHeight="false" outlineLevel="0" collapsed="false">
      <c r="A296" s="0" t="s">
        <v>1033</v>
      </c>
      <c r="B296" s="20" t="s">
        <v>682</v>
      </c>
      <c r="C296" s="0" t="s">
        <v>494</v>
      </c>
      <c r="D296" s="87" t="n">
        <v>0</v>
      </c>
      <c r="E296" s="0" t="s">
        <v>494</v>
      </c>
      <c r="F296" s="75" t="n">
        <f aca="false">D296</f>
        <v>0</v>
      </c>
      <c r="J296" s="20" t="s">
        <v>550</v>
      </c>
      <c r="K296" s="20" t="s">
        <v>543</v>
      </c>
      <c r="L296" s="20" t="s">
        <v>1034</v>
      </c>
    </row>
    <row r="297" customFormat="false" ht="15" hidden="false" customHeight="false" outlineLevel="0" collapsed="false">
      <c r="A297" s="0" t="s">
        <v>1035</v>
      </c>
      <c r="B297" s="20" t="s">
        <v>549</v>
      </c>
      <c r="C297" s="0" t="s">
        <v>494</v>
      </c>
      <c r="D297" s="32" t="n">
        <v>0.258</v>
      </c>
      <c r="E297" s="0" t="s">
        <v>494</v>
      </c>
      <c r="F297" s="65" t="n">
        <f aca="false">D297</f>
        <v>0.258</v>
      </c>
      <c r="J297" s="20" t="s">
        <v>550</v>
      </c>
      <c r="K297" s="20" t="s">
        <v>514</v>
      </c>
      <c r="L297" s="20" t="s">
        <v>1036</v>
      </c>
    </row>
    <row r="298" customFormat="false" ht="15" hidden="false" customHeight="false" outlineLevel="0" collapsed="false">
      <c r="A298" s="0" t="s">
        <v>1037</v>
      </c>
      <c r="B298" s="20" t="s">
        <v>499</v>
      </c>
      <c r="C298" s="0" t="s">
        <v>494</v>
      </c>
      <c r="D298" s="21" t="n">
        <v>1</v>
      </c>
      <c r="E298" s="0" t="s">
        <v>494</v>
      </c>
      <c r="F298" s="57" t="n">
        <f aca="false">D298</f>
        <v>1</v>
      </c>
      <c r="J298" s="20" t="s">
        <v>550</v>
      </c>
      <c r="K298" s="20" t="s">
        <v>496</v>
      </c>
      <c r="L298" s="20" t="s">
        <v>1038</v>
      </c>
    </row>
    <row r="299" customFormat="false" ht="15" hidden="false" customHeight="false" outlineLevel="0" collapsed="false">
      <c r="A299" s="53" t="s">
        <v>1039</v>
      </c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</row>
    <row r="300" customFormat="false" ht="15" hidden="false" customHeight="false" outlineLevel="0" collapsed="false">
      <c r="A300" s="0" t="s">
        <v>1040</v>
      </c>
      <c r="B300" s="20" t="s">
        <v>534</v>
      </c>
      <c r="C300" s="0" t="s">
        <v>494</v>
      </c>
      <c r="D300" s="22" t="n">
        <v>1</v>
      </c>
      <c r="E300" s="0" t="s">
        <v>494</v>
      </c>
      <c r="F300" s="57" t="n">
        <f aca="false">D300</f>
        <v>1</v>
      </c>
      <c r="J300" s="20" t="s">
        <v>495</v>
      </c>
      <c r="K300" s="20" t="s">
        <v>514</v>
      </c>
      <c r="L300" s="20" t="s">
        <v>1041</v>
      </c>
    </row>
    <row r="301" customFormat="false" ht="15" hidden="false" customHeight="false" outlineLevel="0" collapsed="false">
      <c r="A301" s="0" t="s">
        <v>1042</v>
      </c>
      <c r="B301" s="20" t="s">
        <v>499</v>
      </c>
      <c r="C301" s="22" t="n">
        <v>1</v>
      </c>
      <c r="D301" s="22" t="n">
        <v>1</v>
      </c>
      <c r="E301" s="22" t="n">
        <v>2</v>
      </c>
      <c r="F301" s="57" t="n">
        <f aca="false">CHOOSE(Scen,C301,D301,E301)</f>
        <v>1</v>
      </c>
      <c r="J301" s="20" t="s">
        <v>495</v>
      </c>
      <c r="K301" s="20" t="s">
        <v>514</v>
      </c>
      <c r="L301" s="20" t="s">
        <v>1043</v>
      </c>
    </row>
    <row r="302" customFormat="false" ht="15" hidden="false" customHeight="false" outlineLevel="0" collapsed="false">
      <c r="A302" s="0" t="s">
        <v>1044</v>
      </c>
      <c r="B302" s="20" t="s">
        <v>600</v>
      </c>
      <c r="C302" s="0" t="s">
        <v>494</v>
      </c>
      <c r="D302" s="22" t="n">
        <v>12</v>
      </c>
      <c r="E302" s="0" t="s">
        <v>494</v>
      </c>
      <c r="F302" s="57" t="n">
        <f aca="false">D302</f>
        <v>12</v>
      </c>
      <c r="J302" s="20" t="s">
        <v>495</v>
      </c>
      <c r="K302" s="20" t="s">
        <v>514</v>
      </c>
      <c r="L302" s="20" t="s">
        <v>302</v>
      </c>
    </row>
    <row r="303" customFormat="false" ht="15" hidden="false" customHeight="false" outlineLevel="0" collapsed="false">
      <c r="A303" s="0" t="s">
        <v>1045</v>
      </c>
      <c r="B303" s="20" t="s">
        <v>549</v>
      </c>
      <c r="C303" s="34" t="n">
        <v>0</v>
      </c>
      <c r="D303" s="34" t="n">
        <v>0</v>
      </c>
      <c r="E303" s="34" t="n">
        <v>0.4</v>
      </c>
      <c r="F303" s="38" t="n">
        <f aca="false">CHOOSE(Scen,C303,D303,E303)</f>
        <v>0</v>
      </c>
      <c r="J303" s="20" t="s">
        <v>495</v>
      </c>
      <c r="K303" s="20" t="s">
        <v>514</v>
      </c>
      <c r="L303" s="20" t="s">
        <v>1046</v>
      </c>
    </row>
    <row r="304" customFormat="false" ht="15" hidden="false" customHeight="false" outlineLevel="0" collapsed="false">
      <c r="A304" s="0" t="s">
        <v>1047</v>
      </c>
      <c r="B304" s="20" t="s">
        <v>561</v>
      </c>
      <c r="C304" s="63" t="n">
        <v>0</v>
      </c>
      <c r="D304" s="63" t="n">
        <v>0</v>
      </c>
      <c r="E304" s="63" t="n">
        <v>9000</v>
      </c>
      <c r="F304" s="5" t="n">
        <f aca="false">CHOOSE(Scen,C304,D304,E304)</f>
        <v>0</v>
      </c>
      <c r="J304" s="20" t="s">
        <v>495</v>
      </c>
      <c r="K304" s="20" t="s">
        <v>514</v>
      </c>
      <c r="L304" s="20" t="s">
        <v>1048</v>
      </c>
    </row>
    <row r="305" customFormat="false" ht="15" hidden="false" customHeight="false" outlineLevel="0" collapsed="false">
      <c r="A305" s="0" t="s">
        <v>1049</v>
      </c>
      <c r="B305" s="20" t="s">
        <v>505</v>
      </c>
      <c r="C305" s="0" t="s">
        <v>494</v>
      </c>
      <c r="D305" s="24" t="n">
        <f aca="false">SharePx*(1-FP_ATMDisc)</f>
        <v>242.81</v>
      </c>
      <c r="E305" s="0" t="s">
        <v>494</v>
      </c>
      <c r="F305" s="6" t="n">
        <f aca="false">D305</f>
        <v>242.81</v>
      </c>
      <c r="J305" s="20" t="s">
        <v>495</v>
      </c>
      <c r="K305" s="20" t="s">
        <v>554</v>
      </c>
      <c r="L305" s="20"/>
    </row>
    <row r="306" customFormat="false" ht="15" hidden="false" customHeight="false" outlineLevel="0" collapsed="false">
      <c r="A306" s="0" t="s">
        <v>1050</v>
      </c>
      <c r="B306" s="20" t="s">
        <v>995</v>
      </c>
      <c r="C306" s="0" t="s">
        <v>494</v>
      </c>
      <c r="D306" s="50" t="n">
        <f aca="false">FP_On*IF(FP_ATMMode=1,ATM_Rem,FP_ATMAmt/FP_ATMPx)</f>
        <v>12.270507</v>
      </c>
      <c r="E306" s="0" t="s">
        <v>494</v>
      </c>
      <c r="F306" s="73" t="n">
        <f aca="false">D306</f>
        <v>12.270507</v>
      </c>
      <c r="J306" s="20" t="s">
        <v>495</v>
      </c>
      <c r="K306" s="20" t="s">
        <v>554</v>
      </c>
      <c r="L306" s="20"/>
    </row>
    <row r="307" customFormat="false" ht="15" hidden="false" customHeight="false" outlineLevel="0" collapsed="false">
      <c r="A307" s="0" t="s">
        <v>1051</v>
      </c>
      <c r="B307" s="20" t="s">
        <v>561</v>
      </c>
      <c r="C307" s="0" t="s">
        <v>494</v>
      </c>
      <c r="D307" s="29" t="n">
        <f aca="false">FP_ATMSh*FP_ATMPx</f>
        <v>2979.40180467</v>
      </c>
      <c r="E307" s="0" t="s">
        <v>494</v>
      </c>
      <c r="F307" s="5" t="n">
        <f aca="false">D307</f>
        <v>2979.40180467</v>
      </c>
      <c r="J307" s="20" t="s">
        <v>495</v>
      </c>
      <c r="K307" s="20" t="s">
        <v>554</v>
      </c>
      <c r="L307" s="20" t="s">
        <v>1052</v>
      </c>
    </row>
    <row r="308" customFormat="false" ht="15" hidden="false" customHeight="false" outlineLevel="0" collapsed="false">
      <c r="A308" s="0" t="s">
        <v>1053</v>
      </c>
      <c r="B308" s="20" t="s">
        <v>534</v>
      </c>
      <c r="C308" s="22" t="n">
        <v>1</v>
      </c>
      <c r="D308" s="22" t="n">
        <v>1</v>
      </c>
      <c r="E308" s="22" t="n">
        <v>0</v>
      </c>
      <c r="F308" s="57" t="n">
        <f aca="false">CHOOSE(Scen,C308,D308,E308)</f>
        <v>1</v>
      </c>
      <c r="J308" s="20" t="s">
        <v>495</v>
      </c>
      <c r="K308" s="20" t="s">
        <v>514</v>
      </c>
      <c r="L308" s="20" t="s">
        <v>1054</v>
      </c>
    </row>
    <row r="309" customFormat="false" ht="15" hidden="false" customHeight="false" outlineLevel="0" collapsed="false">
      <c r="A309" s="0" t="s">
        <v>1055</v>
      </c>
      <c r="B309" s="20" t="s">
        <v>600</v>
      </c>
      <c r="C309" s="0" t="s">
        <v>494</v>
      </c>
      <c r="D309" s="22" t="n">
        <v>13</v>
      </c>
      <c r="E309" s="0" t="s">
        <v>494</v>
      </c>
      <c r="F309" s="57" t="n">
        <f aca="false">D309</f>
        <v>13</v>
      </c>
      <c r="J309" s="20" t="s">
        <v>495</v>
      </c>
      <c r="K309" s="20" t="s">
        <v>514</v>
      </c>
      <c r="L309" s="20" t="s">
        <v>1056</v>
      </c>
    </row>
    <row r="310" customFormat="false" ht="15" hidden="false" customHeight="false" outlineLevel="0" collapsed="false">
      <c r="A310" s="0" t="s">
        <v>1057</v>
      </c>
      <c r="B310" s="20" t="s">
        <v>600</v>
      </c>
      <c r="C310" s="0" t="s">
        <v>494</v>
      </c>
      <c r="D310" s="22" t="n">
        <v>15</v>
      </c>
      <c r="E310" s="0" t="s">
        <v>494</v>
      </c>
      <c r="F310" s="57" t="n">
        <f aca="false">D310</f>
        <v>15</v>
      </c>
      <c r="J310" s="20" t="s">
        <v>495</v>
      </c>
      <c r="K310" s="20" t="s">
        <v>514</v>
      </c>
      <c r="L310" s="20" t="s">
        <v>60</v>
      </c>
    </row>
    <row r="311" customFormat="false" ht="15" hidden="false" customHeight="false" outlineLevel="0" collapsed="false">
      <c r="A311" s="0" t="s">
        <v>1058</v>
      </c>
      <c r="B311" s="20" t="s">
        <v>561</v>
      </c>
      <c r="C311" s="0" t="s">
        <v>494</v>
      </c>
      <c r="D311" s="63" t="n">
        <v>6400</v>
      </c>
      <c r="E311" s="0" t="s">
        <v>494</v>
      </c>
      <c r="F311" s="5" t="n">
        <f aca="false">D311</f>
        <v>6400</v>
      </c>
      <c r="J311" s="20" t="s">
        <v>495</v>
      </c>
      <c r="K311" s="20" t="s">
        <v>514</v>
      </c>
      <c r="L311" s="20" t="s">
        <v>1059</v>
      </c>
    </row>
    <row r="312" customFormat="false" ht="15" hidden="false" customHeight="false" outlineLevel="0" collapsed="false">
      <c r="A312" s="0" t="s">
        <v>1060</v>
      </c>
      <c r="B312" s="20" t="s">
        <v>561</v>
      </c>
      <c r="C312" s="0" t="s">
        <v>494</v>
      </c>
      <c r="D312" s="63" t="n">
        <v>6400</v>
      </c>
      <c r="E312" s="0" t="s">
        <v>494</v>
      </c>
      <c r="F312" s="5" t="n">
        <f aca="false">D312</f>
        <v>6400</v>
      </c>
      <c r="J312" s="20" t="s">
        <v>495</v>
      </c>
      <c r="K312" s="20" t="s">
        <v>514</v>
      </c>
      <c r="L312" s="20"/>
    </row>
    <row r="313" customFormat="false" ht="15" hidden="false" customHeight="false" outlineLevel="0" collapsed="false">
      <c r="A313" s="0" t="s">
        <v>1061</v>
      </c>
      <c r="B313" s="20" t="s">
        <v>549</v>
      </c>
      <c r="C313" s="0" t="s">
        <v>494</v>
      </c>
      <c r="D313" s="62" t="n">
        <v>0.6</v>
      </c>
      <c r="E313" s="0" t="s">
        <v>494</v>
      </c>
      <c r="F313" s="38" t="n">
        <f aca="false">D313</f>
        <v>0.6</v>
      </c>
      <c r="J313" s="20" t="s">
        <v>550</v>
      </c>
      <c r="K313" s="20" t="s">
        <v>554</v>
      </c>
      <c r="L313" s="20" t="s">
        <v>1062</v>
      </c>
    </row>
    <row r="314" customFormat="false" ht="15" hidden="false" customHeight="false" outlineLevel="0" collapsed="false">
      <c r="A314" s="0" t="s">
        <v>1063</v>
      </c>
      <c r="B314" s="20" t="s">
        <v>549</v>
      </c>
      <c r="C314" s="0" t="s">
        <v>494</v>
      </c>
      <c r="D314" s="88" t="n">
        <v>0.005</v>
      </c>
      <c r="E314" s="0" t="s">
        <v>494</v>
      </c>
      <c r="F314" s="75" t="n">
        <f aca="false">D314</f>
        <v>0.005</v>
      </c>
      <c r="J314" s="20" t="s">
        <v>550</v>
      </c>
      <c r="K314" s="20" t="s">
        <v>507</v>
      </c>
      <c r="L314" s="20" t="s">
        <v>1064</v>
      </c>
    </row>
    <row r="315" customFormat="false" ht="15" hidden="false" customHeight="false" outlineLevel="0" collapsed="false">
      <c r="A315" s="0" t="s">
        <v>1065</v>
      </c>
      <c r="B315" s="20" t="s">
        <v>549</v>
      </c>
      <c r="C315" s="0" t="s">
        <v>494</v>
      </c>
      <c r="D315" s="88" t="n">
        <v>0.045</v>
      </c>
      <c r="E315" s="0" t="s">
        <v>494</v>
      </c>
      <c r="F315" s="75" t="n">
        <f aca="false">D315</f>
        <v>0.045</v>
      </c>
      <c r="J315" s="20" t="s">
        <v>550</v>
      </c>
      <c r="K315" s="20" t="s">
        <v>507</v>
      </c>
      <c r="L315" s="20" t="s">
        <v>1066</v>
      </c>
    </row>
    <row r="316" customFormat="false" ht="15" hidden="false" customHeight="false" outlineLevel="0" collapsed="false">
      <c r="A316" s="0" t="s">
        <v>1067</v>
      </c>
      <c r="B316" s="20" t="s">
        <v>648</v>
      </c>
      <c r="C316" s="0" t="s">
        <v>494</v>
      </c>
      <c r="D316" s="86" t="n">
        <v>1.1</v>
      </c>
      <c r="E316" s="0" t="s">
        <v>494</v>
      </c>
      <c r="F316" s="6" t="n">
        <f aca="false">D316</f>
        <v>1.1</v>
      </c>
      <c r="J316" s="20" t="s">
        <v>550</v>
      </c>
      <c r="K316" s="20" t="s">
        <v>507</v>
      </c>
      <c r="L316" s="20" t="s">
        <v>1068</v>
      </c>
    </row>
    <row r="317" customFormat="false" ht="15" hidden="false" customHeight="false" outlineLevel="0" collapsed="false">
      <c r="A317" s="0" t="s">
        <v>1069</v>
      </c>
      <c r="B317" s="20" t="s">
        <v>648</v>
      </c>
      <c r="C317" s="0" t="s">
        <v>494</v>
      </c>
      <c r="D317" s="86" t="n">
        <v>1.25</v>
      </c>
      <c r="E317" s="0" t="s">
        <v>494</v>
      </c>
      <c r="F317" s="6" t="n">
        <f aca="false">D317</f>
        <v>1.25</v>
      </c>
      <c r="J317" s="20" t="s">
        <v>550</v>
      </c>
      <c r="K317" s="20" t="s">
        <v>507</v>
      </c>
      <c r="L317" s="20" t="s">
        <v>1070</v>
      </c>
    </row>
    <row r="318" customFormat="false" ht="15" hidden="false" customHeight="false" outlineLevel="0" collapsed="false">
      <c r="A318" s="0" t="s">
        <v>1071</v>
      </c>
      <c r="B318" s="20" t="s">
        <v>549</v>
      </c>
      <c r="C318" s="0" t="s">
        <v>494</v>
      </c>
      <c r="D318" s="62" t="n">
        <v>0.4</v>
      </c>
      <c r="E318" s="0" t="s">
        <v>494</v>
      </c>
      <c r="F318" s="38" t="n">
        <f aca="false">D318</f>
        <v>0.4</v>
      </c>
      <c r="J318" s="20" t="s">
        <v>550</v>
      </c>
      <c r="K318" s="20" t="s">
        <v>554</v>
      </c>
      <c r="L318" s="20" t="s">
        <v>1072</v>
      </c>
    </row>
    <row r="319" customFormat="false" ht="15" hidden="false" customHeight="false" outlineLevel="0" collapsed="false">
      <c r="A319" s="0" t="s">
        <v>1073</v>
      </c>
      <c r="B319" s="20" t="s">
        <v>549</v>
      </c>
      <c r="C319" s="0" t="s">
        <v>494</v>
      </c>
      <c r="D319" s="62" t="n">
        <v>0.45</v>
      </c>
      <c r="E319" s="0" t="s">
        <v>494</v>
      </c>
      <c r="F319" s="38" t="n">
        <f aca="false">D319</f>
        <v>0.45</v>
      </c>
      <c r="J319" s="20" t="s">
        <v>550</v>
      </c>
      <c r="K319" s="20" t="s">
        <v>554</v>
      </c>
      <c r="L319" s="20" t="s">
        <v>1074</v>
      </c>
    </row>
    <row r="320" customFormat="false" ht="15" hidden="false" customHeight="false" outlineLevel="0" collapsed="false">
      <c r="A320" s="0" t="s">
        <v>1075</v>
      </c>
      <c r="B320" s="20" t="s">
        <v>891</v>
      </c>
      <c r="C320" s="0" t="s">
        <v>494</v>
      </c>
      <c r="D320" s="71" t="n">
        <v>3.5</v>
      </c>
      <c r="E320" s="0" t="s">
        <v>494</v>
      </c>
      <c r="F320" s="60" t="n">
        <f aca="false">D320</f>
        <v>3.5</v>
      </c>
      <c r="J320" s="20" t="s">
        <v>550</v>
      </c>
      <c r="K320" s="20" t="s">
        <v>554</v>
      </c>
      <c r="L320" s="20" t="s">
        <v>1076</v>
      </c>
    </row>
    <row r="321" customFormat="false" ht="15" hidden="false" customHeight="false" outlineLevel="0" collapsed="false">
      <c r="A321" s="0" t="s">
        <v>1077</v>
      </c>
      <c r="B321" s="20" t="s">
        <v>891</v>
      </c>
      <c r="C321" s="0" t="s">
        <v>494</v>
      </c>
      <c r="D321" s="71" t="n">
        <v>7.5</v>
      </c>
      <c r="E321" s="0" t="s">
        <v>494</v>
      </c>
      <c r="F321" s="60" t="n">
        <f aca="false">D321</f>
        <v>7.5</v>
      </c>
      <c r="J321" s="20" t="s">
        <v>550</v>
      </c>
      <c r="K321" s="20" t="s">
        <v>554</v>
      </c>
      <c r="L321" s="20" t="s">
        <v>1078</v>
      </c>
    </row>
    <row r="322" customFormat="false" ht="15" hidden="false" customHeight="false" outlineLevel="0" collapsed="false">
      <c r="A322" s="0" t="s">
        <v>1079</v>
      </c>
      <c r="B322" s="20" t="s">
        <v>505</v>
      </c>
      <c r="C322" s="0" t="s">
        <v>494</v>
      </c>
      <c r="D322" s="89" t="n">
        <f aca="false">SharePx</f>
        <v>242.81</v>
      </c>
      <c r="E322" s="0" t="s">
        <v>494</v>
      </c>
      <c r="F322" s="6" t="n">
        <f aca="false">D322</f>
        <v>242.81</v>
      </c>
      <c r="J322" s="20" t="s">
        <v>495</v>
      </c>
      <c r="K322" s="20" t="s">
        <v>514</v>
      </c>
      <c r="L322" s="20" t="s">
        <v>1080</v>
      </c>
    </row>
    <row r="323" customFormat="false" ht="15" hidden="false" customHeight="false" outlineLevel="0" collapsed="false">
      <c r="A323" s="0" t="s">
        <v>1081</v>
      </c>
      <c r="B323" s="20" t="s">
        <v>549</v>
      </c>
      <c r="C323" s="0" t="s">
        <v>494</v>
      </c>
      <c r="D323" s="27" t="n">
        <f aca="false">1-AugNet/AugGross</f>
        <v>0.0121739130434783</v>
      </c>
      <c r="E323" s="0" t="s">
        <v>494</v>
      </c>
      <c r="F323" s="65" t="n">
        <f aca="false">D323</f>
        <v>0.0121739130434783</v>
      </c>
      <c r="J323" s="20" t="s">
        <v>550</v>
      </c>
      <c r="K323" s="20" t="s">
        <v>554</v>
      </c>
      <c r="L323" s="20" t="s">
        <v>1082</v>
      </c>
    </row>
    <row r="324" customFormat="false" ht="15" hidden="false" customHeight="false" outlineLevel="0" collapsed="false">
      <c r="A324" s="0" t="s">
        <v>1083</v>
      </c>
      <c r="B324" s="20" t="s">
        <v>600</v>
      </c>
      <c r="C324" s="0" t="s">
        <v>494</v>
      </c>
      <c r="D324" s="21" t="n">
        <v>16</v>
      </c>
      <c r="E324" s="0" t="s">
        <v>494</v>
      </c>
      <c r="F324" s="57" t="n">
        <f aca="false">D324</f>
        <v>16</v>
      </c>
      <c r="J324" s="20" t="s">
        <v>495</v>
      </c>
      <c r="K324" s="20" t="s">
        <v>496</v>
      </c>
      <c r="L324" s="20" t="s">
        <v>1084</v>
      </c>
    </row>
    <row r="325" customFormat="false" ht="15" hidden="false" customHeight="false" outlineLevel="0" collapsed="false">
      <c r="A325" s="0" t="s">
        <v>1085</v>
      </c>
      <c r="B325" s="20" t="s">
        <v>561</v>
      </c>
      <c r="C325" s="0" t="s">
        <v>494</v>
      </c>
      <c r="D325" s="77" t="n">
        <v>-37.1</v>
      </c>
      <c r="E325" s="0" t="s">
        <v>494</v>
      </c>
      <c r="F325" s="78" t="n">
        <f aca="false">D325</f>
        <v>-37.1</v>
      </c>
      <c r="J325" s="20" t="s">
        <v>550</v>
      </c>
      <c r="K325" s="20" t="s">
        <v>507</v>
      </c>
      <c r="L325" s="20" t="s">
        <v>1086</v>
      </c>
    </row>
    <row r="326" customFormat="false" ht="15" hidden="false" customHeight="false" outlineLevel="0" collapsed="false">
      <c r="A326" s="0" t="s">
        <v>1087</v>
      </c>
      <c r="B326" s="20" t="s">
        <v>534</v>
      </c>
      <c r="C326" s="0" t="s">
        <v>494</v>
      </c>
      <c r="D326" s="21" t="n">
        <v>1</v>
      </c>
      <c r="E326" s="0" t="s">
        <v>494</v>
      </c>
      <c r="F326" s="57" t="n">
        <f aca="false">D326</f>
        <v>1</v>
      </c>
      <c r="J326" s="20" t="s">
        <v>495</v>
      </c>
      <c r="K326" s="20" t="s">
        <v>496</v>
      </c>
      <c r="L326" s="20" t="s">
        <v>1088</v>
      </c>
    </row>
    <row r="327" customFormat="false" ht="15" hidden="false" customHeight="false" outlineLevel="0" collapsed="false">
      <c r="A327" s="53" t="s">
        <v>1089</v>
      </c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</row>
    <row r="328" customFormat="false" ht="15" hidden="false" customHeight="false" outlineLevel="0" collapsed="false">
      <c r="A328" s="0" t="s">
        <v>1090</v>
      </c>
      <c r="B328" s="20" t="s">
        <v>549</v>
      </c>
      <c r="C328" s="32" t="n">
        <v>0.1</v>
      </c>
      <c r="D328" s="32" t="n">
        <v>0.11</v>
      </c>
      <c r="E328" s="32" t="n">
        <v>0.13</v>
      </c>
      <c r="F328" s="65" t="n">
        <f aca="false">CHOOSE(Scen,C328,D328,E328)</f>
        <v>0.11</v>
      </c>
      <c r="J328" s="20" t="s">
        <v>495</v>
      </c>
      <c r="K328" s="20" t="s">
        <v>514</v>
      </c>
      <c r="L328" s="20"/>
    </row>
    <row r="329" customFormat="false" ht="15" hidden="false" customHeight="false" outlineLevel="0" collapsed="false">
      <c r="A329" s="0" t="s">
        <v>1091</v>
      </c>
      <c r="B329" s="20" t="s">
        <v>549</v>
      </c>
      <c r="C329" s="32" t="n">
        <v>0.12</v>
      </c>
      <c r="D329" s="32" t="n">
        <v>0.13</v>
      </c>
      <c r="E329" s="32" t="n">
        <v>0.15</v>
      </c>
      <c r="F329" s="65" t="n">
        <f aca="false">CHOOSE(Scen,C329,D329,E329)</f>
        <v>0.13</v>
      </c>
      <c r="J329" s="20" t="s">
        <v>495</v>
      </c>
      <c r="K329" s="20" t="s">
        <v>514</v>
      </c>
      <c r="L329" s="20"/>
    </row>
    <row r="330" customFormat="false" ht="15" hidden="false" customHeight="false" outlineLevel="0" collapsed="false">
      <c r="A330" s="0" t="s">
        <v>1092</v>
      </c>
      <c r="B330" s="20" t="s">
        <v>549</v>
      </c>
      <c r="C330" s="32" t="n">
        <v>0.035</v>
      </c>
      <c r="D330" s="32" t="n">
        <v>0.03</v>
      </c>
      <c r="E330" s="32" t="n">
        <v>0.02</v>
      </c>
      <c r="F330" s="65" t="n">
        <f aca="false">CHOOSE(Scen,C330,D330,E330)</f>
        <v>0.03</v>
      </c>
      <c r="J330" s="20" t="s">
        <v>495</v>
      </c>
      <c r="K330" s="20" t="s">
        <v>514</v>
      </c>
      <c r="L330" s="20"/>
    </row>
    <row r="331" customFormat="false" ht="15" hidden="false" customHeight="false" outlineLevel="0" collapsed="false">
      <c r="A331" s="0" t="s">
        <v>1093</v>
      </c>
      <c r="B331" s="20" t="s">
        <v>534</v>
      </c>
      <c r="C331" s="0" t="s">
        <v>494</v>
      </c>
      <c r="D331" s="21" t="n">
        <v>1</v>
      </c>
      <c r="E331" s="0" t="s">
        <v>494</v>
      </c>
      <c r="F331" s="57" t="n">
        <f aca="false">D331</f>
        <v>1</v>
      </c>
      <c r="J331" s="20" t="s">
        <v>506</v>
      </c>
      <c r="K331" s="20" t="s">
        <v>496</v>
      </c>
      <c r="L331" s="20" t="s">
        <v>1094</v>
      </c>
    </row>
    <row r="332" customFormat="false" ht="15" hidden="false" customHeight="false" outlineLevel="0" collapsed="false">
      <c r="A332" s="0" t="s">
        <v>1095</v>
      </c>
      <c r="B332" s="20" t="s">
        <v>549</v>
      </c>
      <c r="C332" s="32" t="n">
        <v>0.14</v>
      </c>
      <c r="D332" s="32" t="n">
        <v>0.12</v>
      </c>
      <c r="E332" s="32" t="n">
        <v>0.1</v>
      </c>
      <c r="F332" s="65" t="n">
        <f aca="false">CHOOSE(Scen,C332,D332,E332)</f>
        <v>0.12</v>
      </c>
      <c r="J332" s="20" t="s">
        <v>506</v>
      </c>
      <c r="K332" s="20" t="s">
        <v>514</v>
      </c>
      <c r="L332" s="20" t="s">
        <v>1096</v>
      </c>
    </row>
    <row r="333" customFormat="false" ht="15" hidden="false" customHeight="false" outlineLevel="0" collapsed="false">
      <c r="A333" s="0" t="s">
        <v>1097</v>
      </c>
      <c r="B333" s="20" t="s">
        <v>549</v>
      </c>
      <c r="C333" s="32" t="n">
        <v>0.25</v>
      </c>
      <c r="D333" s="32" t="n">
        <v>0.25</v>
      </c>
      <c r="E333" s="32" t="n">
        <v>0.2</v>
      </c>
      <c r="F333" s="65" t="n">
        <f aca="false">CHOOSE(Scen,C333,D333,E333)</f>
        <v>0.25</v>
      </c>
      <c r="J333" s="20" t="s">
        <v>506</v>
      </c>
      <c r="K333" s="20" t="s">
        <v>514</v>
      </c>
      <c r="L333" s="20" t="s">
        <v>1098</v>
      </c>
    </row>
    <row r="334" customFormat="false" ht="15" hidden="false" customHeight="false" outlineLevel="0" collapsed="false">
      <c r="A334" s="0" t="s">
        <v>1099</v>
      </c>
      <c r="B334" s="20" t="s">
        <v>549</v>
      </c>
      <c r="C334" s="0" t="s">
        <v>494</v>
      </c>
      <c r="D334" s="32" t="n">
        <v>0.04</v>
      </c>
      <c r="E334" s="0" t="s">
        <v>494</v>
      </c>
      <c r="F334" s="65" t="n">
        <f aca="false">D334</f>
        <v>0.04</v>
      </c>
      <c r="J334" s="20" t="s">
        <v>495</v>
      </c>
      <c r="K334" s="20" t="s">
        <v>514</v>
      </c>
      <c r="L334" s="20"/>
    </row>
    <row r="335" customFormat="false" ht="15" hidden="false" customHeight="false" outlineLevel="0" collapsed="false">
      <c r="A335" s="0" t="s">
        <v>1100</v>
      </c>
      <c r="B335" s="20" t="s">
        <v>648</v>
      </c>
      <c r="C335" s="90" t="n">
        <v>18</v>
      </c>
      <c r="D335" s="90" t="n">
        <v>14</v>
      </c>
      <c r="E335" s="90" t="n">
        <v>9</v>
      </c>
      <c r="F335" s="91" t="n">
        <f aca="false">CHOOSE(Scen,C335,D335,E335)</f>
        <v>14</v>
      </c>
      <c r="J335" s="20" t="s">
        <v>546</v>
      </c>
      <c r="K335" s="20" t="s">
        <v>543</v>
      </c>
      <c r="L335" s="20" t="s">
        <v>1101</v>
      </c>
    </row>
    <row r="336" customFormat="false" ht="15" hidden="false" customHeight="false" outlineLevel="0" collapsed="false">
      <c r="A336" s="0" t="s">
        <v>1102</v>
      </c>
      <c r="B336" s="20" t="s">
        <v>549</v>
      </c>
      <c r="C336" s="0" t="s">
        <v>494</v>
      </c>
      <c r="D336" s="62" t="n">
        <v>1</v>
      </c>
      <c r="E336" s="0" t="s">
        <v>494</v>
      </c>
      <c r="F336" s="38" t="n">
        <f aca="false">D336</f>
        <v>1</v>
      </c>
      <c r="J336" s="20" t="s">
        <v>495</v>
      </c>
      <c r="K336" s="20" t="s">
        <v>496</v>
      </c>
      <c r="L336" s="20" t="s">
        <v>1103</v>
      </c>
    </row>
    <row r="337" customFormat="false" ht="15" hidden="false" customHeight="false" outlineLevel="0" collapsed="false">
      <c r="A337" s="0" t="s">
        <v>1104</v>
      </c>
      <c r="B337" s="20" t="s">
        <v>648</v>
      </c>
      <c r="C337" s="0" t="s">
        <v>494</v>
      </c>
      <c r="D337" s="82" t="n">
        <v>1</v>
      </c>
      <c r="E337" s="0" t="s">
        <v>494</v>
      </c>
      <c r="F337" s="59" t="n">
        <f aca="false">D337</f>
        <v>1</v>
      </c>
      <c r="J337" s="20" t="s">
        <v>495</v>
      </c>
      <c r="K337" s="20" t="s">
        <v>514</v>
      </c>
      <c r="L337" s="20"/>
    </row>
    <row r="338" customFormat="false" ht="15" hidden="false" customHeight="false" outlineLevel="0" collapsed="false">
      <c r="A338" s="0" t="s">
        <v>1105</v>
      </c>
      <c r="B338" s="20" t="s">
        <v>519</v>
      </c>
      <c r="C338" s="0" t="s">
        <v>494</v>
      </c>
      <c r="D338" s="81" t="n">
        <v>0</v>
      </c>
      <c r="E338" s="0" t="s">
        <v>494</v>
      </c>
      <c r="F338" s="59" t="n">
        <f aca="false">D338</f>
        <v>0</v>
      </c>
      <c r="J338" s="20" t="s">
        <v>546</v>
      </c>
      <c r="K338" s="20" t="s">
        <v>543</v>
      </c>
      <c r="L338" s="20" t="s">
        <v>1106</v>
      </c>
    </row>
    <row r="339" customFormat="false" ht="15" hidden="false" customHeight="false" outlineLevel="0" collapsed="false">
      <c r="A339" s="0" t="s">
        <v>1107</v>
      </c>
      <c r="B339" s="20" t="s">
        <v>561</v>
      </c>
      <c r="C339" s="0" t="s">
        <v>494</v>
      </c>
      <c r="D339" s="77" t="n">
        <v>1517.7</v>
      </c>
      <c r="E339" s="0" t="s">
        <v>494</v>
      </c>
      <c r="F339" s="78" t="n">
        <f aca="false">D339</f>
        <v>1517.7</v>
      </c>
      <c r="J339" s="20" t="s">
        <v>550</v>
      </c>
      <c r="K339" s="20" t="s">
        <v>507</v>
      </c>
      <c r="L339" s="20" t="s">
        <v>1108</v>
      </c>
    </row>
    <row r="340" customFormat="false" ht="15" hidden="false" customHeight="false" outlineLevel="0" collapsed="false">
      <c r="A340" s="0" t="s">
        <v>1109</v>
      </c>
      <c r="B340" s="20" t="s">
        <v>561</v>
      </c>
      <c r="C340" s="0" t="s">
        <v>494</v>
      </c>
      <c r="D340" s="63" t="n">
        <v>4200</v>
      </c>
      <c r="E340" s="0" t="s">
        <v>494</v>
      </c>
      <c r="F340" s="5" t="n">
        <f aca="false">D340</f>
        <v>4200</v>
      </c>
      <c r="J340" s="20" t="s">
        <v>550</v>
      </c>
      <c r="K340" s="20" t="s">
        <v>514</v>
      </c>
      <c r="L340" s="20" t="s">
        <v>1110</v>
      </c>
    </row>
    <row r="341" customFormat="false" ht="15" hidden="false" customHeight="false" outlineLevel="0" collapsed="false">
      <c r="A341" s="0" t="s">
        <v>1111</v>
      </c>
      <c r="B341" s="20" t="s">
        <v>561</v>
      </c>
      <c r="C341" s="0" t="s">
        <v>494</v>
      </c>
      <c r="D341" s="77" t="n">
        <v>130.6</v>
      </c>
      <c r="E341" s="0" t="s">
        <v>494</v>
      </c>
      <c r="F341" s="78" t="n">
        <f aca="false">D341</f>
        <v>130.6</v>
      </c>
      <c r="J341" s="20" t="s">
        <v>550</v>
      </c>
      <c r="K341" s="20" t="s">
        <v>507</v>
      </c>
      <c r="L341" s="20" t="s">
        <v>1112</v>
      </c>
    </row>
    <row r="342" customFormat="false" ht="15" hidden="false" customHeight="false" outlineLevel="0" collapsed="false">
      <c r="A342" s="0" t="s">
        <v>1113</v>
      </c>
      <c r="B342" s="20" t="s">
        <v>561</v>
      </c>
      <c r="C342" s="0" t="s">
        <v>494</v>
      </c>
      <c r="D342" s="77" t="n">
        <v>130.6</v>
      </c>
      <c r="E342" s="0" t="s">
        <v>494</v>
      </c>
      <c r="F342" s="78" t="n">
        <f aca="false">D342</f>
        <v>130.6</v>
      </c>
      <c r="J342" s="20" t="s">
        <v>550</v>
      </c>
      <c r="K342" s="20" t="s">
        <v>507</v>
      </c>
      <c r="L342" s="20" t="s">
        <v>1114</v>
      </c>
    </row>
    <row r="343" customFormat="false" ht="15" hidden="false" customHeight="false" outlineLevel="0" collapsed="false">
      <c r="A343" s="0" t="s">
        <v>1115</v>
      </c>
      <c r="B343" s="20" t="s">
        <v>561</v>
      </c>
      <c r="C343" s="0" t="s">
        <v>494</v>
      </c>
      <c r="D343" s="67" t="n">
        <v>0</v>
      </c>
      <c r="E343" s="0" t="s">
        <v>494</v>
      </c>
      <c r="F343" s="5" t="n">
        <f aca="false">D343</f>
        <v>0</v>
      </c>
      <c r="J343" s="20" t="s">
        <v>550</v>
      </c>
      <c r="K343" s="20" t="s">
        <v>507</v>
      </c>
      <c r="L343" s="20" t="s">
        <v>1116</v>
      </c>
    </row>
    <row r="344" customFormat="false" ht="15" hidden="false" customHeight="false" outlineLevel="0" collapsed="false">
      <c r="A344" s="0" t="s">
        <v>1117</v>
      </c>
      <c r="B344" s="20" t="s">
        <v>561</v>
      </c>
      <c r="C344" s="0" t="s">
        <v>494</v>
      </c>
      <c r="D344" s="63" t="n">
        <v>2750</v>
      </c>
      <c r="E344" s="0" t="s">
        <v>494</v>
      </c>
      <c r="F344" s="5" t="n">
        <f aca="false">D344</f>
        <v>2750</v>
      </c>
      <c r="J344" s="20" t="s">
        <v>550</v>
      </c>
      <c r="K344" s="20" t="s">
        <v>514</v>
      </c>
      <c r="L344" s="20" t="s">
        <v>1118</v>
      </c>
    </row>
    <row r="345" customFormat="false" ht="15" hidden="false" customHeight="false" outlineLevel="0" collapsed="false">
      <c r="A345" s="0" t="s">
        <v>1119</v>
      </c>
      <c r="B345" s="20" t="s">
        <v>648</v>
      </c>
      <c r="C345" s="0" t="s">
        <v>494</v>
      </c>
      <c r="D345" s="71" t="n">
        <v>0</v>
      </c>
      <c r="E345" s="0" t="s">
        <v>494</v>
      </c>
      <c r="F345" s="60" t="n">
        <f aca="false">D345</f>
        <v>0</v>
      </c>
      <c r="J345" s="20" t="s">
        <v>495</v>
      </c>
      <c r="K345" s="20" t="s">
        <v>496</v>
      </c>
      <c r="L345" s="20" t="s">
        <v>1120</v>
      </c>
    </row>
    <row r="346" customFormat="false" ht="15" hidden="false" customHeight="false" outlineLevel="0" collapsed="false">
      <c r="A346" s="0" t="s">
        <v>1121</v>
      </c>
      <c r="B346" s="20" t="s">
        <v>561</v>
      </c>
      <c r="C346" s="0" t="s">
        <v>494</v>
      </c>
      <c r="D346" s="77" t="n">
        <v>16.3</v>
      </c>
      <c r="E346" s="0" t="s">
        <v>494</v>
      </c>
      <c r="F346" s="78" t="n">
        <f aca="false">D346</f>
        <v>16.3</v>
      </c>
      <c r="J346" s="20" t="s">
        <v>550</v>
      </c>
      <c r="K346" s="20" t="s">
        <v>507</v>
      </c>
      <c r="L346" s="20" t="s">
        <v>1122</v>
      </c>
    </row>
    <row r="347" customFormat="false" ht="15" hidden="false" customHeight="false" outlineLevel="0" collapsed="false">
      <c r="A347" s="0" t="s">
        <v>1123</v>
      </c>
      <c r="B347" s="20" t="s">
        <v>648</v>
      </c>
      <c r="C347" s="71" t="n">
        <v>1</v>
      </c>
      <c r="D347" s="71" t="n">
        <v>0.5</v>
      </c>
      <c r="E347" s="71" t="n">
        <v>0</v>
      </c>
      <c r="F347" s="60" t="n">
        <f aca="false">CHOOSE(Scen,C347,D347,E347)</f>
        <v>0.5</v>
      </c>
      <c r="J347" s="20" t="s">
        <v>495</v>
      </c>
      <c r="K347" s="20" t="s">
        <v>496</v>
      </c>
      <c r="L347" s="20" t="s">
        <v>1124</v>
      </c>
    </row>
    <row r="348" customFormat="false" ht="15" hidden="false" customHeight="false" outlineLevel="0" collapsed="false">
      <c r="A348" s="0" t="s">
        <v>1125</v>
      </c>
      <c r="B348" s="20" t="s">
        <v>561</v>
      </c>
      <c r="C348" s="0" t="s">
        <v>494</v>
      </c>
      <c r="D348" s="67" t="n">
        <v>5320</v>
      </c>
      <c r="E348" s="0" t="s">
        <v>494</v>
      </c>
      <c r="F348" s="5" t="n">
        <f aca="false">D348</f>
        <v>5320</v>
      </c>
      <c r="J348" s="20" t="s">
        <v>550</v>
      </c>
      <c r="K348" s="20" t="s">
        <v>507</v>
      </c>
      <c r="L348" s="20" t="s">
        <v>1126</v>
      </c>
    </row>
    <row r="349" customFormat="false" ht="15" hidden="false" customHeight="false" outlineLevel="0" collapsed="false">
      <c r="A349" s="0" t="s">
        <v>1127</v>
      </c>
      <c r="B349" s="20" t="s">
        <v>561</v>
      </c>
      <c r="C349" s="0" t="s">
        <v>494</v>
      </c>
      <c r="D349" s="67" t="n">
        <v>12050</v>
      </c>
      <c r="E349" s="0" t="s">
        <v>494</v>
      </c>
      <c r="F349" s="5" t="n">
        <f aca="false">D349</f>
        <v>12050</v>
      </c>
      <c r="J349" s="20" t="s">
        <v>550</v>
      </c>
      <c r="K349" s="20" t="s">
        <v>507</v>
      </c>
      <c r="L349" s="20" t="s">
        <v>1128</v>
      </c>
    </row>
    <row r="350" customFormat="false" ht="15" hidden="false" customHeight="false" outlineLevel="0" collapsed="false">
      <c r="A350" s="0" t="s">
        <v>1129</v>
      </c>
      <c r="B350" s="20" t="s">
        <v>561</v>
      </c>
      <c r="C350" s="0" t="s">
        <v>494</v>
      </c>
      <c r="D350" s="67" t="n">
        <v>1625</v>
      </c>
      <c r="E350" s="0" t="s">
        <v>494</v>
      </c>
      <c r="F350" s="5" t="n">
        <f aca="false">D350</f>
        <v>1625</v>
      </c>
      <c r="J350" s="20" t="s">
        <v>550</v>
      </c>
      <c r="K350" s="20" t="s">
        <v>507</v>
      </c>
      <c r="L350" s="20" t="s">
        <v>1130</v>
      </c>
    </row>
    <row r="351" customFormat="false" ht="15" hidden="false" customHeight="false" outlineLevel="0" collapsed="false">
      <c r="A351" s="0" t="s">
        <v>1131</v>
      </c>
      <c r="B351" s="20" t="s">
        <v>549</v>
      </c>
      <c r="C351" s="0" t="s">
        <v>494</v>
      </c>
      <c r="D351" s="62" t="n">
        <v>0.5</v>
      </c>
      <c r="E351" s="0" t="s">
        <v>494</v>
      </c>
      <c r="F351" s="38" t="n">
        <f aca="false">D351</f>
        <v>0.5</v>
      </c>
      <c r="J351" s="20" t="s">
        <v>495</v>
      </c>
      <c r="K351" s="20" t="s">
        <v>496</v>
      </c>
      <c r="L351" s="20" t="s">
        <v>1132</v>
      </c>
    </row>
    <row r="352" customFormat="false" ht="15" hidden="false" customHeight="false" outlineLevel="0" collapsed="false">
      <c r="A352" s="0" t="s">
        <v>1133</v>
      </c>
      <c r="B352" s="20" t="s">
        <v>561</v>
      </c>
      <c r="C352" s="0" t="s">
        <v>494</v>
      </c>
      <c r="D352" s="63" t="n">
        <v>820</v>
      </c>
      <c r="E352" s="0" t="s">
        <v>494</v>
      </c>
      <c r="F352" s="5" t="n">
        <f aca="false">D352</f>
        <v>820</v>
      </c>
      <c r="J352" s="20" t="s">
        <v>506</v>
      </c>
      <c r="K352" s="20" t="s">
        <v>514</v>
      </c>
      <c r="L352" s="20" t="s">
        <v>1134</v>
      </c>
    </row>
    <row r="353" customFormat="false" ht="15" hidden="false" customHeight="false" outlineLevel="0" collapsed="false">
      <c r="A353" s="0" t="s">
        <v>1135</v>
      </c>
      <c r="B353" s="20" t="s">
        <v>561</v>
      </c>
      <c r="C353" s="0" t="s">
        <v>494</v>
      </c>
      <c r="D353" s="63" t="n">
        <v>1980</v>
      </c>
      <c r="E353" s="0" t="s">
        <v>494</v>
      </c>
      <c r="F353" s="5" t="n">
        <f aca="false">D353</f>
        <v>1980</v>
      </c>
      <c r="J353" s="20" t="s">
        <v>506</v>
      </c>
      <c r="K353" s="20" t="s">
        <v>514</v>
      </c>
      <c r="L353" s="20"/>
    </row>
    <row r="354" customFormat="false" ht="15" hidden="false" customHeight="false" outlineLevel="0" collapsed="false">
      <c r="A354" s="0" t="s">
        <v>1136</v>
      </c>
      <c r="B354" s="20" t="s">
        <v>561</v>
      </c>
      <c r="C354" s="0" t="s">
        <v>494</v>
      </c>
      <c r="D354" s="63" t="n">
        <v>2750</v>
      </c>
      <c r="E354" s="0" t="s">
        <v>494</v>
      </c>
      <c r="F354" s="5" t="n">
        <f aca="false">D354</f>
        <v>2750</v>
      </c>
      <c r="J354" s="20" t="s">
        <v>506</v>
      </c>
      <c r="K354" s="20" t="s">
        <v>514</v>
      </c>
      <c r="L354" s="20"/>
    </row>
    <row r="355" customFormat="false" ht="15" hidden="false" customHeight="false" outlineLevel="0" collapsed="false">
      <c r="A355" s="0" t="s">
        <v>1137</v>
      </c>
      <c r="B355" s="20" t="s">
        <v>549</v>
      </c>
      <c r="C355" s="34" t="n">
        <v>0.15</v>
      </c>
      <c r="D355" s="34" t="n">
        <v>0.25</v>
      </c>
      <c r="E355" s="34" t="n">
        <v>0.4</v>
      </c>
      <c r="F355" s="38" t="n">
        <f aca="false">CHOOSE(Scen,C355,D355,E355)</f>
        <v>0.25</v>
      </c>
      <c r="J355" s="20" t="s">
        <v>495</v>
      </c>
      <c r="K355" s="20" t="s">
        <v>514</v>
      </c>
      <c r="L355" s="20"/>
    </row>
    <row r="357" customFormat="false" ht="15" hidden="false" customHeight="false" outlineLevel="0" collapsed="false">
      <c r="A357" s="53" t="s">
        <v>1138</v>
      </c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</row>
    <row r="358" customFormat="false" ht="15" hidden="false" customHeight="false" outlineLevel="0" collapsed="false">
      <c r="A358" s="36" t="s">
        <v>1139</v>
      </c>
      <c r="B358" s="36" t="s">
        <v>486</v>
      </c>
      <c r="C358" s="36" t="n">
        <v>2024</v>
      </c>
      <c r="D358" s="36" t="n">
        <v>2025</v>
      </c>
      <c r="E358" s="36" t="n">
        <v>2026</v>
      </c>
      <c r="F358" s="36" t="n">
        <v>2027</v>
      </c>
      <c r="G358" s="36" t="n">
        <v>2028</v>
      </c>
      <c r="H358" s="36" t="n">
        <v>2029</v>
      </c>
      <c r="I358" s="36" t="n">
        <v>2030</v>
      </c>
      <c r="J358" s="36" t="s">
        <v>489</v>
      </c>
      <c r="K358" s="36" t="s">
        <v>371</v>
      </c>
      <c r="L358" s="36" t="s">
        <v>490</v>
      </c>
    </row>
    <row r="359" customFormat="false" ht="15" hidden="false" customHeight="false" outlineLevel="0" collapsed="false">
      <c r="A359" s="0" t="s">
        <v>1140</v>
      </c>
      <c r="B359" s="20" t="s">
        <v>549</v>
      </c>
      <c r="C359" s="34" t="n">
        <v>0.3</v>
      </c>
      <c r="D359" s="34" t="n">
        <v>0.3</v>
      </c>
      <c r="E359" s="34" t="n">
        <v>0.3</v>
      </c>
      <c r="F359" s="34" t="n">
        <v>0.5</v>
      </c>
      <c r="G359" s="34" t="n">
        <v>0.65</v>
      </c>
      <c r="H359" s="34" t="n">
        <v>0.7</v>
      </c>
      <c r="I359" s="34" t="n">
        <v>0.75</v>
      </c>
      <c r="J359" s="20" t="s">
        <v>513</v>
      </c>
      <c r="K359" s="20" t="s">
        <v>514</v>
      </c>
      <c r="L359" s="20" t="s">
        <v>1141</v>
      </c>
    </row>
    <row r="360" customFormat="false" ht="15" hidden="false" customHeight="false" outlineLevel="0" collapsed="false">
      <c r="A360" s="0" t="s">
        <v>1142</v>
      </c>
      <c r="B360" s="20" t="s">
        <v>549</v>
      </c>
      <c r="C360" s="66" t="n">
        <v>1</v>
      </c>
      <c r="D360" s="66" t="n">
        <v>0.6</v>
      </c>
      <c r="E360" s="66" t="n">
        <v>0.1</v>
      </c>
      <c r="F360" s="66" t="n">
        <v>0</v>
      </c>
      <c r="G360" s="66" t="n">
        <v>0</v>
      </c>
      <c r="H360" s="66" t="n">
        <v>0</v>
      </c>
      <c r="I360" s="66" t="n">
        <v>0</v>
      </c>
      <c r="J360" s="20" t="s">
        <v>546</v>
      </c>
      <c r="K360" s="20" t="s">
        <v>543</v>
      </c>
      <c r="L360" s="20"/>
    </row>
    <row r="361" customFormat="false" ht="15" hidden="false" customHeight="false" outlineLevel="0" collapsed="false">
      <c r="A361" s="0" t="s">
        <v>1143</v>
      </c>
      <c r="B361" s="20" t="s">
        <v>549</v>
      </c>
      <c r="C361" s="66" t="n">
        <v>0</v>
      </c>
      <c r="D361" s="66" t="n">
        <v>0.4</v>
      </c>
      <c r="E361" s="66" t="n">
        <v>0.9</v>
      </c>
      <c r="F361" s="66" t="n">
        <v>0.6</v>
      </c>
      <c r="G361" s="66" t="n">
        <v>0.3</v>
      </c>
      <c r="H361" s="66" t="n">
        <v>0.1</v>
      </c>
      <c r="I361" s="66" t="n">
        <v>0</v>
      </c>
      <c r="J361" s="20" t="s">
        <v>546</v>
      </c>
      <c r="K361" s="20" t="s">
        <v>543</v>
      </c>
      <c r="L361" s="20"/>
    </row>
    <row r="362" customFormat="false" ht="15" hidden="false" customHeight="false" outlineLevel="0" collapsed="false">
      <c r="A362" s="0" t="s">
        <v>1144</v>
      </c>
      <c r="B362" s="20" t="s">
        <v>549</v>
      </c>
      <c r="C362" s="66" t="n">
        <v>0</v>
      </c>
      <c r="D362" s="66" t="n">
        <v>0</v>
      </c>
      <c r="E362" s="66" t="n">
        <v>0</v>
      </c>
      <c r="F362" s="66" t="n">
        <v>0.4</v>
      </c>
      <c r="G362" s="66" t="n">
        <v>0.7</v>
      </c>
      <c r="H362" s="66" t="n">
        <v>0.9</v>
      </c>
      <c r="I362" s="66" t="n">
        <v>1</v>
      </c>
      <c r="J362" s="20" t="s">
        <v>546</v>
      </c>
      <c r="K362" s="20" t="s">
        <v>543</v>
      </c>
      <c r="L362" s="20" t="s">
        <v>1145</v>
      </c>
    </row>
    <row r="363" customFormat="false" ht="15" hidden="false" customHeight="false" outlineLevel="0" collapsed="false">
      <c r="A363" s="0" t="s">
        <v>1146</v>
      </c>
      <c r="B363" s="20" t="s">
        <v>549</v>
      </c>
      <c r="C363" s="34" t="n">
        <v>0.85</v>
      </c>
      <c r="D363" s="34" t="n">
        <v>0.88</v>
      </c>
      <c r="E363" s="34" t="n">
        <v>0.9</v>
      </c>
      <c r="F363" s="34" t="n">
        <v>0.9</v>
      </c>
      <c r="G363" s="34" t="n">
        <v>0.9</v>
      </c>
      <c r="H363" s="34" t="n">
        <v>0.9</v>
      </c>
      <c r="I363" s="34" t="n">
        <v>0.9</v>
      </c>
      <c r="J363" s="20" t="s">
        <v>546</v>
      </c>
      <c r="K363" s="20" t="s">
        <v>514</v>
      </c>
      <c r="L363" s="20" t="s">
        <v>1147</v>
      </c>
    </row>
    <row r="364" customFormat="false" ht="15" hidden="false" customHeight="false" outlineLevel="0" collapsed="false">
      <c r="A364" s="0" t="s">
        <v>1148</v>
      </c>
      <c r="B364" s="20" t="s">
        <v>549</v>
      </c>
      <c r="C364" s="66" t="n">
        <v>0.1</v>
      </c>
      <c r="D364" s="66" t="n">
        <v>0.1</v>
      </c>
      <c r="E364" s="66" t="n">
        <v>0.1</v>
      </c>
      <c r="F364" s="66" t="n">
        <v>0.1</v>
      </c>
      <c r="G364" s="66" t="n">
        <v>0.1</v>
      </c>
      <c r="H364" s="66" t="n">
        <v>0.1</v>
      </c>
      <c r="I364" s="66" t="n">
        <v>0.1</v>
      </c>
      <c r="J364" s="20" t="s">
        <v>546</v>
      </c>
      <c r="K364" s="20" t="s">
        <v>543</v>
      </c>
      <c r="L364" s="20"/>
    </row>
    <row r="365" customFormat="false" ht="15" hidden="false" customHeight="false" outlineLevel="0" collapsed="false">
      <c r="A365" s="0" t="s">
        <v>1149</v>
      </c>
      <c r="B365" s="20" t="s">
        <v>549</v>
      </c>
      <c r="C365" s="66" t="n">
        <v>0.05</v>
      </c>
      <c r="D365" s="66" t="n">
        <v>0.05</v>
      </c>
      <c r="E365" s="66" t="n">
        <v>0.1</v>
      </c>
      <c r="F365" s="66" t="n">
        <v>0.15</v>
      </c>
      <c r="G365" s="66" t="n">
        <v>0.2</v>
      </c>
      <c r="H365" s="66" t="n">
        <v>0.2</v>
      </c>
      <c r="I365" s="66" t="n">
        <v>0.2</v>
      </c>
      <c r="J365" s="20" t="s">
        <v>546</v>
      </c>
      <c r="K365" s="20" t="s">
        <v>543</v>
      </c>
      <c r="L365" s="20" t="s">
        <v>1150</v>
      </c>
    </row>
    <row r="366" customFormat="false" ht="15" hidden="false" customHeight="false" outlineLevel="0" collapsed="false">
      <c r="A366" s="0" t="s">
        <v>1151</v>
      </c>
      <c r="B366" s="20" t="s">
        <v>1152</v>
      </c>
      <c r="C366" s="69" t="n">
        <v>0</v>
      </c>
      <c r="D366" s="69" t="n">
        <v>0</v>
      </c>
      <c r="E366" s="69" t="n">
        <v>0</v>
      </c>
      <c r="F366" s="69" t="n">
        <v>0</v>
      </c>
      <c r="G366" s="69" t="n">
        <v>0</v>
      </c>
      <c r="H366" s="69" t="n">
        <v>0</v>
      </c>
      <c r="I366" s="69" t="n">
        <v>0</v>
      </c>
      <c r="J366" s="20" t="s">
        <v>546</v>
      </c>
      <c r="K366" s="20" t="s">
        <v>543</v>
      </c>
      <c r="L366" s="20" t="s">
        <v>1153</v>
      </c>
    </row>
    <row r="367" customFormat="false" ht="15" hidden="false" customHeight="false" outlineLevel="0" collapsed="false">
      <c r="A367" s="0" t="s">
        <v>1154</v>
      </c>
      <c r="B367" s="20" t="s">
        <v>561</v>
      </c>
      <c r="C367" s="63"/>
      <c r="D367" s="63"/>
      <c r="E367" s="63" t="n">
        <v>3340</v>
      </c>
      <c r="F367" s="63" t="n">
        <v>12300</v>
      </c>
      <c r="G367" s="63" t="n">
        <v>23000</v>
      </c>
      <c r="H367" s="63"/>
      <c r="I367" s="63"/>
      <c r="J367" s="20" t="s">
        <v>506</v>
      </c>
      <c r="K367" s="20" t="s">
        <v>514</v>
      </c>
      <c r="L367" s="20" t="s">
        <v>1155</v>
      </c>
    </row>
    <row r="368" customFormat="false" ht="15" hidden="false" customHeight="false" outlineLevel="0" collapsed="false">
      <c r="A368" s="0" t="s">
        <v>1156</v>
      </c>
      <c r="B368" s="20" t="s">
        <v>561</v>
      </c>
      <c r="C368" s="63"/>
      <c r="D368" s="63"/>
      <c r="E368" s="63" t="n">
        <v>1390</v>
      </c>
      <c r="F368" s="63" t="n">
        <v>6730</v>
      </c>
      <c r="G368" s="63" t="n">
        <v>13980</v>
      </c>
      <c r="H368" s="63"/>
      <c r="I368" s="63"/>
      <c r="J368" s="20" t="s">
        <v>506</v>
      </c>
      <c r="K368" s="20" t="s">
        <v>514</v>
      </c>
      <c r="L368" s="20" t="s">
        <v>522</v>
      </c>
    </row>
    <row r="369" customFormat="false" ht="15" hidden="false" customHeight="false" outlineLevel="0" collapsed="false">
      <c r="A369" s="0" t="s">
        <v>348</v>
      </c>
      <c r="B369" s="20" t="s">
        <v>561</v>
      </c>
      <c r="C369" s="63"/>
      <c r="D369" s="63"/>
      <c r="E369" s="63"/>
      <c r="F369" s="63" t="n">
        <v>29100</v>
      </c>
      <c r="G369" s="63"/>
      <c r="H369" s="63"/>
      <c r="I369" s="63"/>
      <c r="J369" s="20" t="s">
        <v>506</v>
      </c>
      <c r="K369" s="20" t="s">
        <v>514</v>
      </c>
      <c r="L369" s="20" t="s">
        <v>1157</v>
      </c>
    </row>
    <row r="370" customFormat="false" ht="15" hidden="false" customHeight="false" outlineLevel="0" collapsed="false">
      <c r="A370" s="0" t="s">
        <v>1158</v>
      </c>
      <c r="B370" s="20" t="s">
        <v>849</v>
      </c>
      <c r="C370" s="66" t="n">
        <v>0.11</v>
      </c>
      <c r="D370" s="66" t="n">
        <v>0.11</v>
      </c>
      <c r="E370" s="66" t="n">
        <v>0.11</v>
      </c>
      <c r="F370" s="66" t="n">
        <v>0.09</v>
      </c>
      <c r="G370" s="66" t="n">
        <v>0.08</v>
      </c>
      <c r="H370" s="66" t="n">
        <v>0.07</v>
      </c>
      <c r="I370" s="66" t="n">
        <v>0.06</v>
      </c>
      <c r="J370" s="20" t="s">
        <v>495</v>
      </c>
      <c r="K370" s="20" t="s">
        <v>543</v>
      </c>
      <c r="L370" s="20" t="s">
        <v>1159</v>
      </c>
    </row>
    <row r="371" customFormat="false" ht="15" hidden="false" customHeight="false" outlineLevel="0" collapsed="false">
      <c r="A371" s="0" t="s">
        <v>1160</v>
      </c>
      <c r="B371" s="20" t="s">
        <v>849</v>
      </c>
      <c r="C371" s="66" t="n">
        <v>0.22</v>
      </c>
      <c r="D371" s="66" t="n">
        <v>0.22</v>
      </c>
      <c r="E371" s="66" t="n">
        <v>0.22</v>
      </c>
      <c r="F371" s="66" t="n">
        <v>0.14</v>
      </c>
      <c r="G371" s="66" t="n">
        <v>0.1</v>
      </c>
      <c r="H371" s="66" t="n">
        <v>0.08</v>
      </c>
      <c r="I371" s="66" t="n">
        <v>0.07</v>
      </c>
      <c r="J371" s="20" t="s">
        <v>495</v>
      </c>
      <c r="K371" s="20" t="s">
        <v>543</v>
      </c>
      <c r="L371" s="20" t="s">
        <v>1161</v>
      </c>
    </row>
    <row r="373" customFormat="false" ht="15" hidden="false" customHeight="false" outlineLevel="0" collapsed="false">
      <c r="A373" s="3" t="s">
        <v>1162</v>
      </c>
    </row>
    <row r="374" customFormat="false" ht="15" hidden="false" customHeight="false" outlineLevel="0" collapsed="false">
      <c r="C374" s="36" t="s">
        <v>1163</v>
      </c>
      <c r="D374" s="36" t="s">
        <v>1164</v>
      </c>
      <c r="E374" s="36" t="s">
        <v>1165</v>
      </c>
      <c r="F374" s="36" t="s">
        <v>1166</v>
      </c>
      <c r="G374" s="36" t="s">
        <v>1167</v>
      </c>
      <c r="H374" s="36" t="s">
        <v>1168</v>
      </c>
      <c r="I374" s="36" t="s">
        <v>1169</v>
      </c>
      <c r="J374" s="36" t="s">
        <v>1170</v>
      </c>
    </row>
    <row r="375" customFormat="false" ht="15" hidden="false" customHeight="false" outlineLevel="0" collapsed="false">
      <c r="A375" s="0" t="s">
        <v>1171</v>
      </c>
      <c r="C375" s="86" t="n">
        <v>3.5275</v>
      </c>
      <c r="D375" s="86" t="n">
        <v>3.1796</v>
      </c>
      <c r="E375" s="86" t="n">
        <v>3.717</v>
      </c>
      <c r="J375" s="0" t="s">
        <v>546</v>
      </c>
      <c r="K375" s="0" t="s">
        <v>554</v>
      </c>
      <c r="L375" s="0" t="s">
        <v>1172</v>
      </c>
    </row>
    <row r="376" customFormat="false" ht="15" hidden="false" customHeight="false" outlineLevel="0" collapsed="false">
      <c r="A376" s="0" t="s">
        <v>1173</v>
      </c>
      <c r="C376" s="25" t="n">
        <f aca="false">1</f>
        <v>1</v>
      </c>
      <c r="D376" s="25" t="n">
        <f aca="false">D375/C375</f>
        <v>0.901374911410347</v>
      </c>
      <c r="E376" s="25" t="n">
        <f aca="false">E375/C375</f>
        <v>1.0537207654146</v>
      </c>
      <c r="F376" s="66" t="n">
        <v>0.85</v>
      </c>
      <c r="G376" s="66" t="n">
        <v>0.7</v>
      </c>
      <c r="H376" s="66" t="n">
        <v>0.55</v>
      </c>
      <c r="I376" s="66" t="n">
        <v>0.45</v>
      </c>
      <c r="J376" s="66" t="s">
        <v>546</v>
      </c>
      <c r="K376" s="0" t="s">
        <v>543</v>
      </c>
    </row>
    <row r="377" customFormat="false" ht="15" hidden="false" customHeight="false" outlineLevel="0" collapsed="false">
      <c r="A377" s="0" t="s">
        <v>1174</v>
      </c>
      <c r="C377" s="92" t="n">
        <f aca="false">1-ResidBearCut*0/4</f>
        <v>1</v>
      </c>
      <c r="D377" s="92" t="n">
        <f aca="false">1-ResidBearCut*1/4</f>
        <v>0.9125</v>
      </c>
      <c r="E377" s="92" t="n">
        <f aca="false">1-ResidBearCut*2/4</f>
        <v>0.825</v>
      </c>
      <c r="F377" s="92" t="n">
        <f aca="false">1-ResidBearCut*3/4</f>
        <v>0.7375</v>
      </c>
      <c r="G377" s="92" t="n">
        <f aca="false">1-ResidBearCut*4/4</f>
        <v>0.65</v>
      </c>
      <c r="H377" s="92" t="n">
        <f aca="false">(1-ResidBearCut)*(1-ResidBearCut/4)^1</f>
        <v>0.593125</v>
      </c>
      <c r="I377" s="92" t="n">
        <f aca="false">(1-ResidBearCut)*(1-ResidBearCut/4)^2</f>
        <v>0.5412265625</v>
      </c>
      <c r="J377" s="92" t="s">
        <v>506</v>
      </c>
      <c r="K377" s="0" t="s">
        <v>543</v>
      </c>
    </row>
    <row r="378" customFormat="false" ht="15" hidden="false" customHeight="false" outlineLevel="0" collapsed="false">
      <c r="A378" s="0" t="s">
        <v>1175</v>
      </c>
      <c r="C378" s="38" t="n">
        <f aca="false">IF(Scen=3,C377,C376)</f>
        <v>1</v>
      </c>
      <c r="D378" s="38" t="n">
        <f aca="false">IF(Scen=3,D377,D376)</f>
        <v>0.901374911410347</v>
      </c>
      <c r="E378" s="38" t="n">
        <f aca="false">IF(Scen=3,E377,E376)</f>
        <v>1.0537207654146</v>
      </c>
      <c r="F378" s="38" t="n">
        <f aca="false">IF(Scen=3,F377,F376)</f>
        <v>0.85</v>
      </c>
      <c r="G378" s="38" t="n">
        <f aca="false">IF(Scen=3,G377,G376)</f>
        <v>0.7</v>
      </c>
      <c r="H378" s="38" t="n">
        <f aca="false">IF(Scen=3,H377,H376)</f>
        <v>0.55</v>
      </c>
      <c r="I378" s="38" t="n">
        <f aca="false">IF(Scen=3,I377,I376)</f>
        <v>0.45</v>
      </c>
      <c r="J378" s="38" t="str">
        <f aca="false">IF(Scen=3,J377,J376)</f>
        <v>GPU Market</v>
      </c>
    </row>
  </sheetData>
  <dataValidations count="1">
    <dataValidation allowBlank="false" errorStyle="stop" operator="between" showDropDown="false" showErrorMessage="false" showInputMessage="false" sqref="D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3" min="6" style="0" width="11"/>
  </cols>
  <sheetData>
    <row r="1" customFormat="false" ht="17.35" hidden="false" customHeight="false" outlineLevel="0" collapsed="false">
      <c r="A1" s="1" t="s">
        <v>1176</v>
      </c>
    </row>
    <row r="3" customFormat="false" ht="15" hidden="false" customHeight="false" outlineLevel="0" collapsed="false">
      <c r="A3" s="3" t="s">
        <v>268</v>
      </c>
      <c r="F3" s="0" t="s">
        <v>1177</v>
      </c>
      <c r="G3" s="0" t="s">
        <v>1178</v>
      </c>
      <c r="H3" s="0" t="s">
        <v>1179</v>
      </c>
      <c r="I3" s="0" t="s">
        <v>1180</v>
      </c>
      <c r="J3" s="0" t="s">
        <v>1181</v>
      </c>
      <c r="K3" s="0" t="s">
        <v>1182</v>
      </c>
      <c r="L3" s="0" t="s">
        <v>1183</v>
      </c>
      <c r="M3" s="0" t="s">
        <v>1184</v>
      </c>
      <c r="N3" s="0" t="s">
        <v>1007</v>
      </c>
      <c r="O3" s="0" t="s">
        <v>1185</v>
      </c>
      <c r="P3" s="0" t="s">
        <v>986</v>
      </c>
      <c r="Q3" s="0" t="s">
        <v>302</v>
      </c>
      <c r="R3" s="0" t="s">
        <v>601</v>
      </c>
      <c r="S3" s="0" t="s">
        <v>58</v>
      </c>
      <c r="T3" s="0" t="s">
        <v>60</v>
      </c>
      <c r="U3" s="0" t="s">
        <v>50</v>
      </c>
      <c r="V3" s="0" t="s">
        <v>82</v>
      </c>
      <c r="W3" s="0" t="s">
        <v>325</v>
      </c>
      <c r="X3" s="0" t="s">
        <v>1186</v>
      </c>
      <c r="Y3" s="0" t="s">
        <v>1187</v>
      </c>
      <c r="Z3" s="0" t="s">
        <v>1188</v>
      </c>
      <c r="AA3" s="0" t="s">
        <v>1189</v>
      </c>
      <c r="AB3" s="0" t="s">
        <v>1190</v>
      </c>
      <c r="AC3" s="0" t="s">
        <v>1191</v>
      </c>
      <c r="AD3" s="0" t="s">
        <v>1192</v>
      </c>
      <c r="AE3" s="0" t="s">
        <v>1193</v>
      </c>
      <c r="AF3" s="0" t="s">
        <v>1194</v>
      </c>
      <c r="AG3" s="0" t="s">
        <v>1195</v>
      </c>
    </row>
    <row r="4" customFormat="false" ht="15" hidden="false" customHeight="false" outlineLevel="0" collapsed="false">
      <c r="A4" s="3" t="s">
        <v>1196</v>
      </c>
      <c r="E4" s="93" t="n">
        <v>45291</v>
      </c>
      <c r="F4" s="93" t="n">
        <v>45382</v>
      </c>
      <c r="G4" s="93" t="n">
        <v>45473</v>
      </c>
      <c r="H4" s="93" t="n">
        <v>45565</v>
      </c>
      <c r="I4" s="93" t="n">
        <v>45657</v>
      </c>
      <c r="J4" s="93" t="n">
        <v>45747</v>
      </c>
      <c r="K4" s="93" t="n">
        <v>45838</v>
      </c>
      <c r="L4" s="93" t="n">
        <v>45930</v>
      </c>
      <c r="M4" s="93" t="n">
        <v>46022</v>
      </c>
      <c r="N4" s="93" t="n">
        <v>46112</v>
      </c>
      <c r="O4" s="93" t="n">
        <v>46203</v>
      </c>
      <c r="P4" s="93" t="n">
        <v>46295</v>
      </c>
      <c r="Q4" s="93" t="n">
        <v>46387</v>
      </c>
      <c r="R4" s="93" t="n">
        <v>46477</v>
      </c>
      <c r="S4" s="93" t="n">
        <v>46568</v>
      </c>
      <c r="T4" s="93" t="n">
        <v>46660</v>
      </c>
      <c r="U4" s="93" t="n">
        <v>46752</v>
      </c>
      <c r="V4" s="93" t="n">
        <v>46843</v>
      </c>
      <c r="W4" s="93" t="n">
        <v>46934</v>
      </c>
      <c r="X4" s="93" t="n">
        <v>47026</v>
      </c>
      <c r="Y4" s="93" t="n">
        <v>47118</v>
      </c>
      <c r="Z4" s="93" t="n">
        <v>47208</v>
      </c>
      <c r="AA4" s="93" t="n">
        <v>47299</v>
      </c>
      <c r="AB4" s="93" t="n">
        <v>47391</v>
      </c>
      <c r="AC4" s="93" t="n">
        <v>47483</v>
      </c>
      <c r="AD4" s="93" t="n">
        <v>47573</v>
      </c>
      <c r="AE4" s="93" t="n">
        <v>47664</v>
      </c>
      <c r="AF4" s="93" t="n">
        <v>47756</v>
      </c>
      <c r="AG4" s="93" t="n">
        <v>47848</v>
      </c>
    </row>
    <row r="5" customFormat="false" ht="15" hidden="false" customHeight="false" outlineLevel="0" collapsed="false">
      <c r="A5" s="3" t="s">
        <v>1197</v>
      </c>
      <c r="E5" s="0" t="n">
        <v>0</v>
      </c>
      <c r="F5" s="0" t="n">
        <v>1</v>
      </c>
      <c r="G5" s="0" t="n">
        <v>2</v>
      </c>
      <c r="H5" s="0" t="n">
        <v>3</v>
      </c>
      <c r="I5" s="0" t="n">
        <v>4</v>
      </c>
      <c r="J5" s="0" t="n">
        <v>5</v>
      </c>
      <c r="K5" s="0" t="n">
        <v>6</v>
      </c>
      <c r="L5" s="0" t="n">
        <v>7</v>
      </c>
      <c r="M5" s="0" t="n">
        <v>8</v>
      </c>
      <c r="N5" s="0" t="n">
        <v>9</v>
      </c>
      <c r="O5" s="0" t="n">
        <v>10</v>
      </c>
      <c r="P5" s="0" t="n">
        <v>11</v>
      </c>
      <c r="Q5" s="0" t="n">
        <v>12</v>
      </c>
      <c r="R5" s="0" t="n">
        <v>13</v>
      </c>
      <c r="S5" s="0" t="n">
        <v>14</v>
      </c>
      <c r="T5" s="0" t="n">
        <v>15</v>
      </c>
      <c r="U5" s="0" t="n">
        <v>16</v>
      </c>
      <c r="V5" s="0" t="n">
        <v>17</v>
      </c>
      <c r="W5" s="0" t="n">
        <v>18</v>
      </c>
      <c r="X5" s="0" t="n">
        <v>19</v>
      </c>
      <c r="Y5" s="0" t="n">
        <v>20</v>
      </c>
      <c r="Z5" s="0" t="n">
        <v>21</v>
      </c>
      <c r="AA5" s="0" t="n">
        <v>22</v>
      </c>
      <c r="AB5" s="0" t="n">
        <v>23</v>
      </c>
      <c r="AC5" s="0" t="n">
        <v>24</v>
      </c>
      <c r="AD5" s="0" t="n">
        <v>25</v>
      </c>
      <c r="AE5" s="0" t="n">
        <v>26</v>
      </c>
      <c r="AF5" s="0" t="n">
        <v>27</v>
      </c>
      <c r="AG5" s="0" t="n">
        <v>28</v>
      </c>
    </row>
    <row r="6" customFormat="false" ht="15" hidden="false" customHeight="false" outlineLevel="0" collapsed="false">
      <c r="A6" s="3" t="s">
        <v>1198</v>
      </c>
      <c r="F6" s="0" t="str">
        <f aca="false">IF(F5&lt;=LastHist,"A","F")</f>
        <v>A</v>
      </c>
      <c r="G6" s="0" t="str">
        <f aca="false">IF(G5&lt;=LastHist,"A","F")</f>
        <v>A</v>
      </c>
      <c r="H6" s="0" t="str">
        <f aca="false">IF(H5&lt;=LastHist,"A","F")</f>
        <v>A</v>
      </c>
      <c r="I6" s="0" t="str">
        <f aca="false">IF(I5&lt;=LastHist,"A","F")</f>
        <v>A</v>
      </c>
      <c r="J6" s="0" t="str">
        <f aca="false">IF(J5&lt;=LastHist,"A","F")</f>
        <v>A</v>
      </c>
      <c r="K6" s="0" t="str">
        <f aca="false">IF(K5&lt;=LastHist,"A","F")</f>
        <v>A</v>
      </c>
      <c r="L6" s="0" t="str">
        <f aca="false">IF(L5&lt;=LastHist,"A","F")</f>
        <v>A</v>
      </c>
      <c r="M6" s="0" t="str">
        <f aca="false">IF(M5&lt;=LastHist,"A","F")</f>
        <v>A</v>
      </c>
      <c r="N6" s="0" t="str">
        <f aca="false">IF(N5&lt;=LastHist,"A","F")</f>
        <v>A</v>
      </c>
      <c r="O6" s="0" t="str">
        <f aca="false">IF(O5&lt;=LastHist,"A","F")</f>
        <v>A</v>
      </c>
      <c r="P6" s="0" t="str">
        <f aca="false">IF(P5&lt;=LastHist,"A","F")</f>
        <v>F</v>
      </c>
      <c r="Q6" s="0" t="str">
        <f aca="false">IF(Q5&lt;=LastHist,"A","F")</f>
        <v>F</v>
      </c>
      <c r="R6" s="0" t="str">
        <f aca="false">IF(R5&lt;=LastHist,"A","F")</f>
        <v>F</v>
      </c>
      <c r="S6" s="0" t="str">
        <f aca="false">IF(S5&lt;=LastHist,"A","F")</f>
        <v>F</v>
      </c>
      <c r="T6" s="0" t="str">
        <f aca="false">IF(T5&lt;=LastHist,"A","F")</f>
        <v>F</v>
      </c>
      <c r="U6" s="0" t="str">
        <f aca="false">IF(U5&lt;=LastHist,"A","F")</f>
        <v>F</v>
      </c>
      <c r="V6" s="0" t="str">
        <f aca="false">IF(V5&lt;=LastHist,"A","F")</f>
        <v>F</v>
      </c>
      <c r="W6" s="0" t="str">
        <f aca="false">IF(W5&lt;=LastHist,"A","F")</f>
        <v>F</v>
      </c>
      <c r="X6" s="0" t="str">
        <f aca="false">IF(X5&lt;=LastHist,"A","F")</f>
        <v>F</v>
      </c>
      <c r="Y6" s="0" t="str">
        <f aca="false">IF(Y5&lt;=LastHist,"A","F")</f>
        <v>F</v>
      </c>
      <c r="Z6" s="0" t="str">
        <f aca="false">IF(Z5&lt;=LastHist,"A","F")</f>
        <v>F</v>
      </c>
      <c r="AA6" s="0" t="str">
        <f aca="false">IF(AA5&lt;=LastHist,"A","F")</f>
        <v>F</v>
      </c>
      <c r="AB6" s="0" t="str">
        <f aca="false">IF(AB5&lt;=LastHist,"A","F")</f>
        <v>F</v>
      </c>
      <c r="AC6" s="0" t="str">
        <f aca="false">IF(AC5&lt;=LastHist,"A","F")</f>
        <v>F</v>
      </c>
      <c r="AD6" s="0" t="str">
        <f aca="false">IF(AD5&lt;=LastHist,"A","F")</f>
        <v>F</v>
      </c>
      <c r="AE6" s="0" t="str">
        <f aca="false">IF(AE5&lt;=LastHist,"A","F")</f>
        <v>F</v>
      </c>
      <c r="AF6" s="0" t="str">
        <f aca="false">IF(AF5&lt;=LastHist,"A","F")</f>
        <v>F</v>
      </c>
      <c r="AG6" s="0" t="str">
        <f aca="false">IF(AG5&lt;=LastHist,"A","F")</f>
        <v>F</v>
      </c>
    </row>
    <row r="7" customFormat="false" ht="15" hidden="false" customHeight="false" outlineLevel="0" collapsed="false">
      <c r="A7" s="3" t="s">
        <v>1199</v>
      </c>
      <c r="F7" s="0" t="n">
        <f aca="false">YEAR(F4)</f>
        <v>2024</v>
      </c>
      <c r="G7" s="0" t="n">
        <f aca="false">YEAR(G4)</f>
        <v>2024</v>
      </c>
      <c r="H7" s="0" t="n">
        <f aca="false">YEAR(H4)</f>
        <v>2024</v>
      </c>
      <c r="I7" s="0" t="n">
        <f aca="false">YEAR(I4)</f>
        <v>2024</v>
      </c>
      <c r="J7" s="0" t="n">
        <f aca="false">YEAR(J4)</f>
        <v>2025</v>
      </c>
      <c r="K7" s="0" t="n">
        <f aca="false">YEAR(K4)</f>
        <v>2025</v>
      </c>
      <c r="L7" s="0" t="n">
        <f aca="false">YEAR(L4)</f>
        <v>2025</v>
      </c>
      <c r="M7" s="0" t="n">
        <f aca="false">YEAR(M4)</f>
        <v>2025</v>
      </c>
      <c r="N7" s="0" t="n">
        <f aca="false">YEAR(N4)</f>
        <v>2026</v>
      </c>
      <c r="O7" s="0" t="n">
        <f aca="false">YEAR(O4)</f>
        <v>2026</v>
      </c>
      <c r="P7" s="0" t="n">
        <f aca="false">YEAR(P4)</f>
        <v>2026</v>
      </c>
      <c r="Q7" s="0" t="n">
        <f aca="false">YEAR(Q4)</f>
        <v>2026</v>
      </c>
      <c r="R7" s="0" t="n">
        <f aca="false">YEAR(R4)</f>
        <v>2027</v>
      </c>
      <c r="S7" s="0" t="n">
        <f aca="false">YEAR(S4)</f>
        <v>2027</v>
      </c>
      <c r="T7" s="0" t="n">
        <f aca="false">YEAR(T4)</f>
        <v>2027</v>
      </c>
      <c r="U7" s="0" t="n">
        <f aca="false">YEAR(U4)</f>
        <v>2027</v>
      </c>
      <c r="V7" s="0" t="n">
        <f aca="false">YEAR(V4)</f>
        <v>2028</v>
      </c>
      <c r="W7" s="0" t="n">
        <f aca="false">YEAR(W4)</f>
        <v>2028</v>
      </c>
      <c r="X7" s="0" t="n">
        <f aca="false">YEAR(X4)</f>
        <v>2028</v>
      </c>
      <c r="Y7" s="0" t="n">
        <f aca="false">YEAR(Y4)</f>
        <v>2028</v>
      </c>
      <c r="Z7" s="0" t="n">
        <f aca="false">YEAR(Z4)</f>
        <v>2029</v>
      </c>
      <c r="AA7" s="0" t="n">
        <f aca="false">YEAR(AA4)</f>
        <v>2029</v>
      </c>
      <c r="AB7" s="0" t="n">
        <f aca="false">YEAR(AB4)</f>
        <v>2029</v>
      </c>
      <c r="AC7" s="0" t="n">
        <f aca="false">YEAR(AC4)</f>
        <v>2029</v>
      </c>
      <c r="AD7" s="0" t="n">
        <f aca="false">YEAR(AD4)</f>
        <v>2030</v>
      </c>
      <c r="AE7" s="0" t="n">
        <f aca="false">YEAR(AE4)</f>
        <v>2030</v>
      </c>
      <c r="AF7" s="0" t="n">
        <f aca="false">YEAR(AF4)</f>
        <v>2030</v>
      </c>
      <c r="AG7" s="0" t="n">
        <f aca="false">YEAR(AG4)</f>
        <v>2030</v>
      </c>
    </row>
    <row r="8" customFormat="false" ht="15" hidden="false" customHeight="false" outlineLevel="0" collapsed="false">
      <c r="A8" s="3" t="s">
        <v>1200</v>
      </c>
      <c r="F8" s="0" t="n">
        <f aca="false">F4-E4</f>
        <v>91</v>
      </c>
      <c r="G8" s="0" t="n">
        <f aca="false">G4-F4</f>
        <v>91</v>
      </c>
      <c r="H8" s="0" t="n">
        <f aca="false">H4-G4</f>
        <v>92</v>
      </c>
      <c r="I8" s="0" t="n">
        <f aca="false">I4-H4</f>
        <v>92</v>
      </c>
      <c r="J8" s="0" t="n">
        <f aca="false">J4-I4</f>
        <v>90</v>
      </c>
      <c r="K8" s="0" t="n">
        <f aca="false">K4-J4</f>
        <v>91</v>
      </c>
      <c r="L8" s="0" t="n">
        <f aca="false">L4-K4</f>
        <v>92</v>
      </c>
      <c r="M8" s="0" t="n">
        <f aca="false">M4-L4</f>
        <v>92</v>
      </c>
      <c r="N8" s="0" t="n">
        <f aca="false">N4-M4</f>
        <v>90</v>
      </c>
      <c r="O8" s="0" t="n">
        <f aca="false">O4-N4</f>
        <v>91</v>
      </c>
      <c r="P8" s="0" t="n">
        <f aca="false">P4-O4</f>
        <v>92</v>
      </c>
      <c r="Q8" s="0" t="n">
        <f aca="false">Q4-P4</f>
        <v>92</v>
      </c>
      <c r="R8" s="0" t="n">
        <f aca="false">R4-Q4</f>
        <v>90</v>
      </c>
      <c r="S8" s="0" t="n">
        <f aca="false">S4-R4</f>
        <v>91</v>
      </c>
      <c r="T8" s="0" t="n">
        <f aca="false">T4-S4</f>
        <v>92</v>
      </c>
      <c r="U8" s="0" t="n">
        <f aca="false">U4-T4</f>
        <v>92</v>
      </c>
      <c r="V8" s="0" t="n">
        <f aca="false">V4-U4</f>
        <v>91</v>
      </c>
      <c r="W8" s="0" t="n">
        <f aca="false">W4-V4</f>
        <v>91</v>
      </c>
      <c r="X8" s="0" t="n">
        <f aca="false">X4-W4</f>
        <v>92</v>
      </c>
      <c r="Y8" s="0" t="n">
        <f aca="false">Y4-X4</f>
        <v>92</v>
      </c>
      <c r="Z8" s="0" t="n">
        <f aca="false">Z4-Y4</f>
        <v>90</v>
      </c>
      <c r="AA8" s="0" t="n">
        <f aca="false">AA4-Z4</f>
        <v>91</v>
      </c>
      <c r="AB8" s="0" t="n">
        <f aca="false">AB4-AA4</f>
        <v>92</v>
      </c>
      <c r="AC8" s="0" t="n">
        <f aca="false">AC4-AB4</f>
        <v>92</v>
      </c>
      <c r="AD8" s="0" t="n">
        <f aca="false">AD4-AC4</f>
        <v>90</v>
      </c>
      <c r="AE8" s="0" t="n">
        <f aca="false">AE4-AD4</f>
        <v>91</v>
      </c>
      <c r="AF8" s="0" t="n">
        <f aca="false">AF4-AE4</f>
        <v>92</v>
      </c>
      <c r="AG8" s="0" t="n">
        <f aca="false">AG4-AF4</f>
        <v>92</v>
      </c>
    </row>
    <row r="9" customFormat="false" ht="15" hidden="false" customHeight="false" outlineLevel="0" collapsed="false">
      <c r="A9" s="3" t="s">
        <v>1201</v>
      </c>
      <c r="F9" s="0" t="n">
        <f aca="false">F8*24</f>
        <v>2184</v>
      </c>
      <c r="G9" s="0" t="n">
        <f aca="false">G8*24</f>
        <v>2184</v>
      </c>
      <c r="H9" s="0" t="n">
        <f aca="false">H8*24</f>
        <v>2208</v>
      </c>
      <c r="I9" s="0" t="n">
        <f aca="false">I8*24</f>
        <v>2208</v>
      </c>
      <c r="J9" s="0" t="n">
        <f aca="false">J8*24</f>
        <v>2160</v>
      </c>
      <c r="K9" s="0" t="n">
        <f aca="false">K8*24</f>
        <v>2184</v>
      </c>
      <c r="L9" s="0" t="n">
        <f aca="false">L8*24</f>
        <v>2208</v>
      </c>
      <c r="M9" s="0" t="n">
        <f aca="false">M8*24</f>
        <v>2208</v>
      </c>
      <c r="N9" s="0" t="n">
        <f aca="false">N8*24</f>
        <v>2160</v>
      </c>
      <c r="O9" s="0" t="n">
        <f aca="false">O8*24</f>
        <v>2184</v>
      </c>
      <c r="P9" s="0" t="n">
        <f aca="false">P8*24</f>
        <v>2208</v>
      </c>
      <c r="Q9" s="0" t="n">
        <f aca="false">Q8*24</f>
        <v>2208</v>
      </c>
      <c r="R9" s="0" t="n">
        <f aca="false">R8*24</f>
        <v>2160</v>
      </c>
      <c r="S9" s="0" t="n">
        <f aca="false">S8*24</f>
        <v>2184</v>
      </c>
      <c r="T9" s="0" t="n">
        <f aca="false">T8*24</f>
        <v>2208</v>
      </c>
      <c r="U9" s="0" t="n">
        <f aca="false">U8*24</f>
        <v>2208</v>
      </c>
      <c r="V9" s="0" t="n">
        <f aca="false">V8*24</f>
        <v>2184</v>
      </c>
      <c r="W9" s="0" t="n">
        <f aca="false">W8*24</f>
        <v>2184</v>
      </c>
      <c r="X9" s="0" t="n">
        <f aca="false">X8*24</f>
        <v>2208</v>
      </c>
      <c r="Y9" s="0" t="n">
        <f aca="false">Y8*24</f>
        <v>2208</v>
      </c>
      <c r="Z9" s="0" t="n">
        <f aca="false">Z8*24</f>
        <v>2160</v>
      </c>
      <c r="AA9" s="0" t="n">
        <f aca="false">AA8*24</f>
        <v>2184</v>
      </c>
      <c r="AB9" s="0" t="n">
        <f aca="false">AB8*24</f>
        <v>2208</v>
      </c>
      <c r="AC9" s="0" t="n">
        <f aca="false">AC8*24</f>
        <v>2208</v>
      </c>
      <c r="AD9" s="0" t="n">
        <f aca="false">AD8*24</f>
        <v>2160</v>
      </c>
      <c r="AE9" s="0" t="n">
        <f aca="false">AE8*24</f>
        <v>2184</v>
      </c>
      <c r="AF9" s="0" t="n">
        <f aca="false">AF8*24</f>
        <v>2208</v>
      </c>
      <c r="AG9" s="0" t="n">
        <f aca="false">AG8*24</f>
        <v>2208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50"/>
    <col collapsed="false" customWidth="true" hidden="false" outlineLevel="0" max="5" min="5" style="0" width="3"/>
    <col collapsed="false" customWidth="true" hidden="false" outlineLevel="0" max="15" min="6" style="0" width="13"/>
  </cols>
  <sheetData>
    <row r="1" customFormat="false" ht="17.35" hidden="false" customHeight="false" outlineLevel="0" collapsed="false">
      <c r="A1" s="1" t="s">
        <v>1202</v>
      </c>
    </row>
    <row r="2" customFormat="false" ht="15" hidden="false" customHeight="false" outlineLevel="0" collapsed="false">
      <c r="A2" s="20" t="s">
        <v>1203</v>
      </c>
    </row>
    <row r="3" customFormat="false" ht="15" hidden="false" customHeight="false" outlineLevel="0" collapsed="false">
      <c r="A3" s="36" t="s">
        <v>262</v>
      </c>
      <c r="B3" s="36" t="s">
        <v>486</v>
      </c>
      <c r="C3" s="36" t="s">
        <v>489</v>
      </c>
      <c r="D3" s="36" t="s">
        <v>1204</v>
      </c>
      <c r="E3" s="36"/>
      <c r="F3" s="36" t="s">
        <v>1177</v>
      </c>
      <c r="G3" s="36" t="s">
        <v>1178</v>
      </c>
      <c r="H3" s="36" t="s">
        <v>1179</v>
      </c>
      <c r="I3" s="36" t="s">
        <v>1180</v>
      </c>
      <c r="J3" s="36" t="s">
        <v>1181</v>
      </c>
      <c r="K3" s="36" t="s">
        <v>1182</v>
      </c>
      <c r="L3" s="36" t="s">
        <v>1183</v>
      </c>
      <c r="M3" s="36" t="s">
        <v>1184</v>
      </c>
      <c r="N3" s="36" t="s">
        <v>1007</v>
      </c>
      <c r="O3" s="36" t="s">
        <v>1185</v>
      </c>
    </row>
    <row r="4" customFormat="false" ht="15" hidden="false" customHeight="false" outlineLevel="0" collapsed="false">
      <c r="F4" s="94" t="n">
        <v>45382</v>
      </c>
      <c r="G4" s="94" t="n">
        <v>45473</v>
      </c>
      <c r="H4" s="94" t="n">
        <v>45565</v>
      </c>
      <c r="I4" s="94" t="n">
        <v>45657</v>
      </c>
      <c r="J4" s="94" t="n">
        <v>45747</v>
      </c>
      <c r="K4" s="94" t="n">
        <v>45838</v>
      </c>
      <c r="L4" s="94" t="n">
        <v>45930</v>
      </c>
      <c r="M4" s="94" t="n">
        <v>46022</v>
      </c>
      <c r="N4" s="94" t="n">
        <v>46112</v>
      </c>
      <c r="O4" s="94" t="n">
        <v>46203</v>
      </c>
    </row>
    <row r="6" customFormat="false" ht="22.35" hidden="false" customHeight="false" outlineLevel="0" collapsed="false">
      <c r="A6" s="3" t="s">
        <v>1205</v>
      </c>
      <c r="B6" s="0" t="s">
        <v>561</v>
      </c>
      <c r="C6" s="0" t="s">
        <v>550</v>
      </c>
      <c r="D6" s="28" t="s">
        <v>1206</v>
      </c>
      <c r="F6" s="95" t="n">
        <v>11.4</v>
      </c>
      <c r="G6" s="95" t="n">
        <v>14.5</v>
      </c>
      <c r="H6" s="95" t="n">
        <v>32.1</v>
      </c>
      <c r="I6" s="95" t="n">
        <v>35.2</v>
      </c>
      <c r="J6" s="95" t="n">
        <v>50.9</v>
      </c>
      <c r="K6" s="95" t="n">
        <v>105.1</v>
      </c>
      <c r="L6" s="95" t="n">
        <v>146.1</v>
      </c>
      <c r="M6" s="95" t="n">
        <v>227.7</v>
      </c>
      <c r="N6" s="95" t="n">
        <v>399</v>
      </c>
      <c r="O6" s="95" t="n">
        <v>582.3</v>
      </c>
    </row>
    <row r="7" customFormat="false" ht="15" hidden="false" customHeight="false" outlineLevel="0" collapsed="false">
      <c r="A7" s="20" t="s">
        <v>1207</v>
      </c>
      <c r="F7" s="52" t="s">
        <v>507</v>
      </c>
      <c r="G7" s="52" t="s">
        <v>507</v>
      </c>
      <c r="H7" s="52" t="s">
        <v>507</v>
      </c>
      <c r="I7" s="52" t="s">
        <v>507</v>
      </c>
      <c r="J7" s="52" t="s">
        <v>507</v>
      </c>
      <c r="K7" s="52" t="s">
        <v>507</v>
      </c>
      <c r="L7" s="52" t="s">
        <v>507</v>
      </c>
      <c r="M7" s="52" t="s">
        <v>507</v>
      </c>
      <c r="N7" s="52" t="s">
        <v>507</v>
      </c>
      <c r="O7" s="52" t="s">
        <v>507</v>
      </c>
    </row>
    <row r="8" customFormat="false" ht="15" hidden="false" customHeight="false" outlineLevel="0" collapsed="false">
      <c r="A8" s="20" t="s">
        <v>1208</v>
      </c>
    </row>
    <row r="9" customFormat="false" ht="15" hidden="false" customHeight="false" outlineLevel="0" collapsed="false">
      <c r="A9" s="20" t="s">
        <v>1209</v>
      </c>
      <c r="F9" s="20" t="s">
        <v>1210</v>
      </c>
      <c r="G9" s="20" t="s">
        <v>1211</v>
      </c>
      <c r="H9" s="20" t="s">
        <v>1212</v>
      </c>
      <c r="I9" s="20" t="s">
        <v>1213</v>
      </c>
      <c r="J9" s="20" t="s">
        <v>1214</v>
      </c>
      <c r="K9" s="20" t="s">
        <v>1215</v>
      </c>
      <c r="L9" s="20" t="s">
        <v>1216</v>
      </c>
      <c r="M9" s="20" t="s">
        <v>1217</v>
      </c>
      <c r="N9" s="20" t="s">
        <v>1218</v>
      </c>
      <c r="O9" s="20" t="s">
        <v>1219</v>
      </c>
    </row>
    <row r="10" customFormat="false" ht="15" hidden="false" customHeight="false" outlineLevel="0" collapsed="false">
      <c r="A10" s="3" t="s">
        <v>1220</v>
      </c>
      <c r="F10" s="96" t="n">
        <f aca="false">IF(F7="Not disclosed",F8,F6)</f>
        <v>11.4</v>
      </c>
      <c r="G10" s="96" t="n">
        <f aca="false">IF(G7="Not disclosed",G8,G6)</f>
        <v>14.5</v>
      </c>
      <c r="H10" s="96" t="n">
        <f aca="false">IF(H7="Not disclosed",H8,H6)</f>
        <v>32.1</v>
      </c>
      <c r="I10" s="96" t="n">
        <f aca="false">IF(I7="Not disclosed",I8,I6)</f>
        <v>35.2</v>
      </c>
      <c r="J10" s="96" t="n">
        <f aca="false">IF(J7="Not disclosed",J8,J6)</f>
        <v>50.9</v>
      </c>
      <c r="K10" s="96" t="n">
        <f aca="false">IF(K7="Not disclosed",K8,K6)</f>
        <v>105.1</v>
      </c>
      <c r="L10" s="96" t="n">
        <f aca="false">IF(L7="Not disclosed",L8,L6)</f>
        <v>146.1</v>
      </c>
      <c r="M10" s="96" t="n">
        <f aca="false">IF(M7="Not disclosed",M8,M6)</f>
        <v>227.7</v>
      </c>
      <c r="N10" s="96" t="n">
        <f aca="false">IF(N7="Not disclosed",N8,N6)</f>
        <v>399</v>
      </c>
      <c r="O10" s="96" t="n">
        <f aca="false">IF(O7="Not disclosed",O8,O6)</f>
        <v>582.3</v>
      </c>
    </row>
    <row r="12" customFormat="false" ht="22.35" hidden="false" customHeight="false" outlineLevel="0" collapsed="false">
      <c r="A12" s="3" t="s">
        <v>1221</v>
      </c>
      <c r="B12" s="0" t="s">
        <v>561</v>
      </c>
      <c r="C12" s="0" t="s">
        <v>550</v>
      </c>
      <c r="D12" s="28" t="s">
        <v>1222</v>
      </c>
      <c r="F12" s="20" t="s">
        <v>1223</v>
      </c>
      <c r="G12" s="20" t="s">
        <v>1223</v>
      </c>
      <c r="H12" s="20" t="s">
        <v>1223</v>
      </c>
      <c r="I12" s="20" t="s">
        <v>1223</v>
      </c>
      <c r="J12" s="95" t="n">
        <v>41.4</v>
      </c>
      <c r="K12" s="95" t="n">
        <v>93.6</v>
      </c>
      <c r="L12" s="20" t="s">
        <v>1223</v>
      </c>
      <c r="M12" s="95" t="n">
        <v>214.2</v>
      </c>
      <c r="N12" s="95" t="n">
        <v>389.7</v>
      </c>
      <c r="O12" s="95" t="n">
        <v>574.9</v>
      </c>
    </row>
    <row r="13" customFormat="false" ht="15" hidden="false" customHeight="false" outlineLevel="0" collapsed="false">
      <c r="A13" s="20" t="s">
        <v>1207</v>
      </c>
      <c r="F13" s="97" t="s">
        <v>1000</v>
      </c>
      <c r="G13" s="97" t="s">
        <v>1000</v>
      </c>
      <c r="H13" s="97" t="s">
        <v>1000</v>
      </c>
      <c r="I13" s="97" t="s">
        <v>1000</v>
      </c>
      <c r="J13" s="52" t="s">
        <v>554</v>
      </c>
      <c r="K13" s="52" t="s">
        <v>554</v>
      </c>
      <c r="L13" s="97" t="s">
        <v>1000</v>
      </c>
      <c r="M13" s="52" t="s">
        <v>507</v>
      </c>
      <c r="N13" s="52" t="s">
        <v>507</v>
      </c>
      <c r="O13" s="52" t="s">
        <v>507</v>
      </c>
    </row>
    <row r="14" customFormat="false" ht="15" hidden="false" customHeight="false" outlineLevel="0" collapsed="false">
      <c r="A14" s="20" t="s">
        <v>1208</v>
      </c>
      <c r="F14" s="98" t="n">
        <v>10.3</v>
      </c>
      <c r="G14" s="98" t="n">
        <v>13.1</v>
      </c>
      <c r="H14" s="98" t="n">
        <v>28.9</v>
      </c>
      <c r="I14" s="98" t="n">
        <v>31.7</v>
      </c>
      <c r="L14" s="98" t="n">
        <v>138.8</v>
      </c>
    </row>
    <row r="15" customFormat="false" ht="15" hidden="false" customHeight="false" outlineLevel="0" collapsed="false">
      <c r="A15" s="20" t="s">
        <v>1209</v>
      </c>
      <c r="F15" s="20" t="s">
        <v>1224</v>
      </c>
      <c r="G15" s="20" t="s">
        <v>1224</v>
      </c>
      <c r="H15" s="20" t="s">
        <v>1224</v>
      </c>
      <c r="I15" s="20" t="s">
        <v>1224</v>
      </c>
      <c r="J15" s="20" t="s">
        <v>1225</v>
      </c>
      <c r="K15" s="20" t="s">
        <v>1226</v>
      </c>
      <c r="L15" s="20" t="s">
        <v>1227</v>
      </c>
      <c r="M15" s="20" t="s">
        <v>1228</v>
      </c>
      <c r="N15" s="20" t="s">
        <v>1229</v>
      </c>
      <c r="O15" s="20" t="s">
        <v>1230</v>
      </c>
    </row>
    <row r="16" customFormat="false" ht="15" hidden="false" customHeight="false" outlineLevel="0" collapsed="false">
      <c r="A16" s="3" t="s">
        <v>1220</v>
      </c>
      <c r="F16" s="96" t="n">
        <f aca="false">IF(F13="Not disclosed",F14,F12)</f>
        <v>10.3</v>
      </c>
      <c r="G16" s="96" t="n">
        <f aca="false">IF(G13="Not disclosed",G14,G12)</f>
        <v>13.1</v>
      </c>
      <c r="H16" s="96" t="n">
        <f aca="false">IF(H13="Not disclosed",H14,H12)</f>
        <v>28.9</v>
      </c>
      <c r="I16" s="96" t="n">
        <f aca="false">IF(I13="Not disclosed",I14,I12)</f>
        <v>31.7</v>
      </c>
      <c r="J16" s="96" t="n">
        <f aca="false">IF(J13="Not disclosed",J14,J12)</f>
        <v>41.4</v>
      </c>
      <c r="K16" s="96" t="n">
        <f aca="false">IF(K13="Not disclosed",K14,K12)</f>
        <v>93.6</v>
      </c>
      <c r="L16" s="96" t="n">
        <f aca="false">IF(L13="Not disclosed",L14,L12)</f>
        <v>138.8</v>
      </c>
      <c r="M16" s="96" t="n">
        <f aca="false">IF(M13="Not disclosed",M14,M12)</f>
        <v>214.2</v>
      </c>
      <c r="N16" s="96" t="n">
        <f aca="false">IF(N13="Not disclosed",N14,N12)</f>
        <v>389.7</v>
      </c>
      <c r="O16" s="96" t="n">
        <f aca="false">IF(O13="Not disclosed",O14,O12)</f>
        <v>574.9</v>
      </c>
    </row>
    <row r="18" customFormat="false" ht="15" hidden="false" customHeight="false" outlineLevel="0" collapsed="false">
      <c r="A18" s="3" t="s">
        <v>1231</v>
      </c>
      <c r="B18" s="0" t="s">
        <v>561</v>
      </c>
      <c r="C18" s="0" t="s">
        <v>550</v>
      </c>
      <c r="D18" s="28" t="s">
        <v>1232</v>
      </c>
      <c r="F18" s="20" t="s">
        <v>1223</v>
      </c>
      <c r="G18" s="20" t="s">
        <v>1223</v>
      </c>
      <c r="H18" s="20" t="s">
        <v>1223</v>
      </c>
      <c r="I18" s="95" t="n">
        <v>90</v>
      </c>
      <c r="J18" s="95" t="n">
        <v>248</v>
      </c>
      <c r="K18" s="95" t="n">
        <v>430</v>
      </c>
      <c r="L18" s="95" t="n">
        <v>551</v>
      </c>
      <c r="M18" s="95" t="n">
        <v>1250</v>
      </c>
      <c r="N18" s="95" t="n">
        <v>1920</v>
      </c>
      <c r="O18" s="95" t="n">
        <v>3000</v>
      </c>
    </row>
    <row r="19" customFormat="false" ht="15" hidden="false" customHeight="false" outlineLevel="0" collapsed="false">
      <c r="A19" s="20" t="s">
        <v>1207</v>
      </c>
      <c r="F19" s="97" t="s">
        <v>1000</v>
      </c>
      <c r="G19" s="97" t="s">
        <v>1000</v>
      </c>
      <c r="H19" s="97" t="s">
        <v>1000</v>
      </c>
      <c r="I19" s="52" t="s">
        <v>507</v>
      </c>
      <c r="J19" s="52" t="s">
        <v>554</v>
      </c>
      <c r="K19" s="52" t="s">
        <v>554</v>
      </c>
      <c r="L19" s="52" t="s">
        <v>507</v>
      </c>
      <c r="M19" s="52" t="s">
        <v>507</v>
      </c>
      <c r="N19" s="52" t="s">
        <v>507</v>
      </c>
      <c r="O19" s="52" t="s">
        <v>507</v>
      </c>
    </row>
    <row r="20" customFormat="false" ht="15" hidden="false" customHeight="false" outlineLevel="0" collapsed="false">
      <c r="A20" s="20" t="s">
        <v>1208</v>
      </c>
      <c r="F20" s="83" t="n">
        <v>41.04</v>
      </c>
      <c r="G20" s="83" t="n">
        <v>52.2</v>
      </c>
      <c r="H20" s="83" t="n">
        <v>115.56</v>
      </c>
    </row>
    <row r="21" customFormat="false" ht="15" hidden="false" customHeight="false" outlineLevel="0" collapsed="false">
      <c r="A21" s="20" t="s">
        <v>1209</v>
      </c>
      <c r="F21" s="20" t="s">
        <v>1233</v>
      </c>
      <c r="G21" s="20" t="s">
        <v>1233</v>
      </c>
      <c r="H21" s="20" t="s">
        <v>1233</v>
      </c>
      <c r="I21" s="20" t="s">
        <v>1234</v>
      </c>
      <c r="J21" s="20" t="s">
        <v>1235</v>
      </c>
      <c r="K21" s="20" t="s">
        <v>1236</v>
      </c>
      <c r="L21" s="20" t="s">
        <v>1237</v>
      </c>
      <c r="M21" s="20" t="s">
        <v>1228</v>
      </c>
      <c r="N21" s="20" t="s">
        <v>1238</v>
      </c>
      <c r="O21" s="20" t="s">
        <v>1230</v>
      </c>
    </row>
    <row r="22" customFormat="false" ht="15" hidden="false" customHeight="false" outlineLevel="0" collapsed="false">
      <c r="A22" s="3" t="s">
        <v>1220</v>
      </c>
      <c r="F22" s="96" t="n">
        <f aca="false">IF(F19="Not disclosed",F20,F18)</f>
        <v>41.04</v>
      </c>
      <c r="G22" s="96" t="n">
        <f aca="false">IF(G19="Not disclosed",G20,G18)</f>
        <v>52.2</v>
      </c>
      <c r="H22" s="96" t="n">
        <f aca="false">IF(H19="Not disclosed",H20,H18)</f>
        <v>115.56</v>
      </c>
      <c r="I22" s="96" t="n">
        <f aca="false">IF(I19="Not disclosed",I20,I18)</f>
        <v>90</v>
      </c>
      <c r="J22" s="96" t="n">
        <f aca="false">IF(J19="Not disclosed",J20,J18)</f>
        <v>248</v>
      </c>
      <c r="K22" s="96" t="n">
        <f aca="false">IF(K19="Not disclosed",K20,K18)</f>
        <v>430</v>
      </c>
      <c r="L22" s="96" t="n">
        <f aca="false">IF(L19="Not disclosed",L20,L18)</f>
        <v>551</v>
      </c>
      <c r="M22" s="96" t="n">
        <f aca="false">IF(M19="Not disclosed",M20,M18)</f>
        <v>1250</v>
      </c>
      <c r="N22" s="96" t="n">
        <f aca="false">IF(N19="Not disclosed",N20,N18)</f>
        <v>1920</v>
      </c>
      <c r="O22" s="96" t="n">
        <f aca="false">IF(O19="Not disclosed",O20,O18)</f>
        <v>3000</v>
      </c>
    </row>
    <row r="24" customFormat="false" ht="22.35" hidden="false" customHeight="false" outlineLevel="0" collapsed="false">
      <c r="A24" s="3" t="s">
        <v>1239</v>
      </c>
      <c r="B24" s="0" t="s">
        <v>561</v>
      </c>
      <c r="C24" s="0" t="s">
        <v>550</v>
      </c>
      <c r="D24" s="28" t="s">
        <v>1240</v>
      </c>
      <c r="F24" s="20" t="s">
        <v>1223</v>
      </c>
      <c r="G24" s="20" t="s">
        <v>1223</v>
      </c>
      <c r="H24" s="95" t="n">
        <v>9.9</v>
      </c>
      <c r="I24" s="95" t="n">
        <v>21.1</v>
      </c>
      <c r="J24" s="95" t="n">
        <v>24.7</v>
      </c>
      <c r="K24" s="95" t="n">
        <v>30.1</v>
      </c>
      <c r="L24" s="95" t="n">
        <v>42.9</v>
      </c>
      <c r="M24" s="95" t="n">
        <v>68.5</v>
      </c>
      <c r="N24" s="95" t="n">
        <v>103.8</v>
      </c>
      <c r="O24" s="95" t="n">
        <v>133.6</v>
      </c>
    </row>
    <row r="25" customFormat="false" ht="15" hidden="false" customHeight="false" outlineLevel="0" collapsed="false">
      <c r="A25" s="20" t="s">
        <v>1207</v>
      </c>
      <c r="F25" s="97" t="s">
        <v>1000</v>
      </c>
      <c r="G25" s="97" t="s">
        <v>1000</v>
      </c>
      <c r="H25" s="52" t="s">
        <v>507</v>
      </c>
      <c r="I25" s="52" t="s">
        <v>507</v>
      </c>
      <c r="J25" s="52" t="s">
        <v>507</v>
      </c>
      <c r="K25" s="52" t="s">
        <v>507</v>
      </c>
      <c r="L25" s="52" t="s">
        <v>507</v>
      </c>
      <c r="M25" s="52" t="s">
        <v>507</v>
      </c>
      <c r="N25" s="52" t="s">
        <v>507</v>
      </c>
      <c r="O25" s="52" t="s">
        <v>507</v>
      </c>
    </row>
    <row r="26" customFormat="false" ht="15" hidden="false" customHeight="false" outlineLevel="0" collapsed="false">
      <c r="A26" s="20" t="s">
        <v>1208</v>
      </c>
      <c r="F26" s="98" t="n">
        <v>9.1</v>
      </c>
      <c r="G26" s="98" t="n">
        <v>8.1</v>
      </c>
    </row>
    <row r="27" customFormat="false" ht="15" hidden="false" customHeight="false" outlineLevel="0" collapsed="false">
      <c r="A27" s="20" t="s">
        <v>1209</v>
      </c>
      <c r="F27" s="20" t="s">
        <v>1241</v>
      </c>
      <c r="G27" s="20" t="s">
        <v>1241</v>
      </c>
      <c r="H27" s="20" t="s">
        <v>1212</v>
      </c>
      <c r="I27" s="20" t="s">
        <v>1213</v>
      </c>
      <c r="J27" s="20" t="s">
        <v>1214</v>
      </c>
      <c r="K27" s="20" t="s">
        <v>1215</v>
      </c>
      <c r="L27" s="20" t="s">
        <v>1216</v>
      </c>
      <c r="M27" s="20" t="s">
        <v>1217</v>
      </c>
      <c r="N27" s="20" t="s">
        <v>1218</v>
      </c>
      <c r="O27" s="20" t="s">
        <v>1219</v>
      </c>
    </row>
    <row r="28" customFormat="false" ht="15" hidden="false" customHeight="false" outlineLevel="0" collapsed="false">
      <c r="A28" s="3" t="s">
        <v>1220</v>
      </c>
      <c r="F28" s="96" t="n">
        <f aca="false">IF(F25="Not disclosed",F26,F24)</f>
        <v>9.1</v>
      </c>
      <c r="G28" s="96" t="n">
        <f aca="false">IF(G25="Not disclosed",G26,G24)</f>
        <v>8.1</v>
      </c>
      <c r="H28" s="96" t="n">
        <f aca="false">IF(H25="Not disclosed",H26,H24)</f>
        <v>9.9</v>
      </c>
      <c r="I28" s="96" t="n">
        <f aca="false">IF(I25="Not disclosed",I26,I24)</f>
        <v>21.1</v>
      </c>
      <c r="J28" s="96" t="n">
        <f aca="false">IF(J25="Not disclosed",J26,J24)</f>
        <v>24.7</v>
      </c>
      <c r="K28" s="96" t="n">
        <f aca="false">IF(K25="Not disclosed",K26,K24)</f>
        <v>30.1</v>
      </c>
      <c r="L28" s="96" t="n">
        <f aca="false">IF(L25="Not disclosed",L26,L24)</f>
        <v>42.9</v>
      </c>
      <c r="M28" s="96" t="n">
        <f aca="false">IF(M25="Not disclosed",M26,M24)</f>
        <v>68.5</v>
      </c>
      <c r="N28" s="96" t="n">
        <f aca="false">IF(N25="Not disclosed",N26,N24)</f>
        <v>103.8</v>
      </c>
      <c r="O28" s="96" t="n">
        <f aca="false">IF(O25="Not disclosed",O26,O24)</f>
        <v>133.6</v>
      </c>
    </row>
    <row r="30" customFormat="false" ht="22.35" hidden="false" customHeight="false" outlineLevel="0" collapsed="false">
      <c r="A30" s="3" t="s">
        <v>1242</v>
      </c>
      <c r="B30" s="0" t="s">
        <v>561</v>
      </c>
      <c r="C30" s="0" t="s">
        <v>550</v>
      </c>
      <c r="D30" s="28" t="s">
        <v>1243</v>
      </c>
      <c r="F30" s="20" t="s">
        <v>1223</v>
      </c>
      <c r="G30" s="20" t="s">
        <v>1223</v>
      </c>
      <c r="H30" s="95" t="n">
        <v>31.4</v>
      </c>
      <c r="I30" s="95" t="n">
        <v>31.9</v>
      </c>
      <c r="J30" s="95" t="n">
        <v>36.5</v>
      </c>
      <c r="K30" s="95" t="n">
        <v>42.8</v>
      </c>
      <c r="L30" s="95" t="n">
        <v>44.9</v>
      </c>
      <c r="M30" s="95" t="n">
        <v>53.1</v>
      </c>
      <c r="N30" s="95" t="n">
        <v>67.4</v>
      </c>
      <c r="O30" s="95" t="n">
        <v>191</v>
      </c>
    </row>
    <row r="31" customFormat="false" ht="15" hidden="false" customHeight="false" outlineLevel="0" collapsed="false">
      <c r="A31" s="20" t="s">
        <v>1207</v>
      </c>
      <c r="F31" s="97" t="s">
        <v>1000</v>
      </c>
      <c r="G31" s="97" t="s">
        <v>1000</v>
      </c>
      <c r="H31" s="52" t="s">
        <v>507</v>
      </c>
      <c r="I31" s="52" t="s">
        <v>507</v>
      </c>
      <c r="J31" s="52" t="s">
        <v>507</v>
      </c>
      <c r="K31" s="52" t="s">
        <v>507</v>
      </c>
      <c r="L31" s="52" t="s">
        <v>507</v>
      </c>
      <c r="M31" s="52" t="s">
        <v>507</v>
      </c>
      <c r="N31" s="52" t="s">
        <v>507</v>
      </c>
      <c r="O31" s="52" t="s">
        <v>507</v>
      </c>
    </row>
    <row r="32" customFormat="false" ht="15" hidden="false" customHeight="false" outlineLevel="0" collapsed="false">
      <c r="A32" s="20" t="s">
        <v>1208</v>
      </c>
      <c r="F32" s="98" t="n">
        <v>29</v>
      </c>
      <c r="G32" s="98" t="n">
        <v>25.6</v>
      </c>
    </row>
    <row r="33" customFormat="false" ht="15" hidden="false" customHeight="false" outlineLevel="0" collapsed="false">
      <c r="A33" s="20" t="s">
        <v>1209</v>
      </c>
      <c r="F33" s="20" t="s">
        <v>1244</v>
      </c>
      <c r="G33" s="20" t="s">
        <v>1244</v>
      </c>
      <c r="H33" s="20" t="s">
        <v>1212</v>
      </c>
      <c r="I33" s="20" t="s">
        <v>1213</v>
      </c>
      <c r="J33" s="20" t="s">
        <v>1214</v>
      </c>
      <c r="K33" s="20" t="s">
        <v>1215</v>
      </c>
      <c r="L33" s="20" t="s">
        <v>1216</v>
      </c>
      <c r="M33" s="20" t="s">
        <v>1217</v>
      </c>
      <c r="N33" s="20" t="s">
        <v>1218</v>
      </c>
      <c r="O33" s="20" t="s">
        <v>1219</v>
      </c>
    </row>
    <row r="34" customFormat="false" ht="15" hidden="false" customHeight="false" outlineLevel="0" collapsed="false">
      <c r="A34" s="3" t="s">
        <v>1220</v>
      </c>
      <c r="F34" s="96" t="n">
        <f aca="false">IF(F31="Not disclosed",F32,F30)</f>
        <v>29</v>
      </c>
      <c r="G34" s="96" t="n">
        <f aca="false">IF(G31="Not disclosed",G32,G30)</f>
        <v>25.6</v>
      </c>
      <c r="H34" s="96" t="n">
        <f aca="false">IF(H31="Not disclosed",H32,H30)</f>
        <v>31.4</v>
      </c>
      <c r="I34" s="96" t="n">
        <f aca="false">IF(I31="Not disclosed",I32,I30)</f>
        <v>31.9</v>
      </c>
      <c r="J34" s="96" t="n">
        <f aca="false">IF(J31="Not disclosed",J32,J30)</f>
        <v>36.5</v>
      </c>
      <c r="K34" s="96" t="n">
        <f aca="false">IF(K31="Not disclosed",K32,K30)</f>
        <v>42.8</v>
      </c>
      <c r="L34" s="96" t="n">
        <f aca="false">IF(L31="Not disclosed",L32,L30)</f>
        <v>44.9</v>
      </c>
      <c r="M34" s="96" t="n">
        <f aca="false">IF(M31="Not disclosed",M32,M30)</f>
        <v>53.1</v>
      </c>
      <c r="N34" s="96" t="n">
        <f aca="false">IF(N31="Not disclosed",N32,N30)</f>
        <v>67.4</v>
      </c>
      <c r="O34" s="96" t="n">
        <f aca="false">IF(O31="Not disclosed",O32,O30)</f>
        <v>191</v>
      </c>
    </row>
    <row r="36" customFormat="false" ht="22.35" hidden="false" customHeight="false" outlineLevel="0" collapsed="false">
      <c r="A36" s="3" t="s">
        <v>1245</v>
      </c>
      <c r="B36" s="0" t="s">
        <v>561</v>
      </c>
      <c r="C36" s="0" t="s">
        <v>550</v>
      </c>
      <c r="D36" s="28" t="s">
        <v>1240</v>
      </c>
      <c r="F36" s="20" t="s">
        <v>1223</v>
      </c>
      <c r="G36" s="20" t="s">
        <v>1223</v>
      </c>
      <c r="H36" s="95" t="n">
        <v>47.9</v>
      </c>
      <c r="I36" s="95" t="n">
        <v>85.4</v>
      </c>
      <c r="J36" s="95" t="n">
        <v>60.9</v>
      </c>
      <c r="K36" s="95" t="n">
        <v>68.2</v>
      </c>
      <c r="L36" s="95" t="n">
        <v>89.5</v>
      </c>
      <c r="M36" s="95" t="n">
        <v>159.9</v>
      </c>
      <c r="N36" s="95" t="n">
        <v>143.8</v>
      </c>
      <c r="O36" s="95" t="n">
        <v>173.9</v>
      </c>
    </row>
    <row r="37" customFormat="false" ht="15" hidden="false" customHeight="false" outlineLevel="0" collapsed="false">
      <c r="A37" s="20" t="s">
        <v>1207</v>
      </c>
      <c r="F37" s="97" t="s">
        <v>1000</v>
      </c>
      <c r="G37" s="97" t="s">
        <v>1000</v>
      </c>
      <c r="H37" s="52" t="s">
        <v>507</v>
      </c>
      <c r="I37" s="52" t="s">
        <v>507</v>
      </c>
      <c r="J37" s="52" t="s">
        <v>507</v>
      </c>
      <c r="K37" s="52" t="s">
        <v>507</v>
      </c>
      <c r="L37" s="52" t="s">
        <v>507</v>
      </c>
      <c r="M37" s="52" t="s">
        <v>507</v>
      </c>
      <c r="N37" s="52" t="s">
        <v>507</v>
      </c>
      <c r="O37" s="52" t="s">
        <v>507</v>
      </c>
    </row>
    <row r="38" customFormat="false" ht="15" hidden="false" customHeight="false" outlineLevel="0" collapsed="false">
      <c r="A38" s="20" t="s">
        <v>1208</v>
      </c>
      <c r="F38" s="98" t="n">
        <v>44.2</v>
      </c>
      <c r="G38" s="98" t="n">
        <v>39</v>
      </c>
    </row>
    <row r="39" customFormat="false" ht="15" hidden="false" customHeight="false" outlineLevel="0" collapsed="false">
      <c r="A39" s="20" t="s">
        <v>1209</v>
      </c>
      <c r="F39" s="20" t="s">
        <v>1246</v>
      </c>
      <c r="G39" s="20" t="s">
        <v>1246</v>
      </c>
      <c r="H39" s="20" t="s">
        <v>1212</v>
      </c>
      <c r="I39" s="20" t="s">
        <v>1213</v>
      </c>
      <c r="J39" s="20" t="s">
        <v>1214</v>
      </c>
      <c r="K39" s="20" t="s">
        <v>1215</v>
      </c>
      <c r="L39" s="20" t="s">
        <v>1216</v>
      </c>
      <c r="M39" s="20" t="s">
        <v>1217</v>
      </c>
      <c r="N39" s="20" t="s">
        <v>1218</v>
      </c>
      <c r="O39" s="20" t="s">
        <v>1219</v>
      </c>
    </row>
    <row r="40" customFormat="false" ht="15" hidden="false" customHeight="false" outlineLevel="0" collapsed="false">
      <c r="A40" s="3" t="s">
        <v>1220</v>
      </c>
      <c r="F40" s="96" t="n">
        <f aca="false">IF(F37="Not disclosed",F38,F36)</f>
        <v>44.2</v>
      </c>
      <c r="G40" s="96" t="n">
        <f aca="false">IF(G37="Not disclosed",G38,G36)</f>
        <v>39</v>
      </c>
      <c r="H40" s="96" t="n">
        <f aca="false">IF(H37="Not disclosed",H38,H36)</f>
        <v>47.9</v>
      </c>
      <c r="I40" s="96" t="n">
        <f aca="false">IF(I37="Not disclosed",I38,I36)</f>
        <v>85.4</v>
      </c>
      <c r="J40" s="96" t="n">
        <f aca="false">IF(J37="Not disclosed",J38,J36)</f>
        <v>60.9</v>
      </c>
      <c r="K40" s="96" t="n">
        <f aca="false">IF(K37="Not disclosed",K38,K36)</f>
        <v>68.2</v>
      </c>
      <c r="L40" s="96" t="n">
        <f aca="false">IF(L37="Not disclosed",L38,L36)</f>
        <v>89.5</v>
      </c>
      <c r="M40" s="96" t="n">
        <f aca="false">IF(M37="Not disclosed",M38,M36)</f>
        <v>159.9</v>
      </c>
      <c r="N40" s="96" t="n">
        <f aca="false">IF(N37="Not disclosed",N38,N36)</f>
        <v>143.8</v>
      </c>
      <c r="O40" s="96" t="n">
        <f aca="false">IF(O37="Not disclosed",O38,O36)</f>
        <v>173.9</v>
      </c>
    </row>
    <row r="42" customFormat="false" ht="15" hidden="false" customHeight="false" outlineLevel="0" collapsed="false">
      <c r="A42" s="3" t="s">
        <v>1247</v>
      </c>
      <c r="B42" s="0" t="s">
        <v>561</v>
      </c>
      <c r="C42" s="0" t="s">
        <v>550</v>
      </c>
      <c r="D42" s="28"/>
      <c r="F42" s="95" t="n">
        <v>8.9</v>
      </c>
      <c r="G42" s="95" t="n">
        <v>11.4</v>
      </c>
      <c r="H42" s="95" t="n">
        <v>23.5</v>
      </c>
      <c r="I42" s="95" t="n">
        <v>33.3</v>
      </c>
      <c r="J42" s="95" t="n">
        <v>49.1</v>
      </c>
      <c r="K42" s="95" t="n">
        <v>75.2</v>
      </c>
      <c r="L42" s="95" t="n">
        <v>99</v>
      </c>
      <c r="M42" s="95" t="n">
        <v>180.7</v>
      </c>
      <c r="N42" s="95" t="n">
        <v>212</v>
      </c>
      <c r="O42" s="95" t="n">
        <v>259.7</v>
      </c>
    </row>
    <row r="43" customFormat="false" ht="15" hidden="false" customHeight="false" outlineLevel="0" collapsed="false">
      <c r="A43" s="20" t="s">
        <v>1207</v>
      </c>
      <c r="F43" s="52" t="s">
        <v>507</v>
      </c>
      <c r="G43" s="52" t="s">
        <v>507</v>
      </c>
      <c r="H43" s="52" t="s">
        <v>507</v>
      </c>
      <c r="I43" s="52" t="s">
        <v>507</v>
      </c>
      <c r="J43" s="52" t="s">
        <v>507</v>
      </c>
      <c r="K43" s="52" t="s">
        <v>507</v>
      </c>
      <c r="L43" s="52" t="s">
        <v>507</v>
      </c>
      <c r="M43" s="52" t="s">
        <v>507</v>
      </c>
      <c r="N43" s="52" t="s">
        <v>507</v>
      </c>
      <c r="O43" s="52" t="s">
        <v>507</v>
      </c>
    </row>
    <row r="44" customFormat="false" ht="15" hidden="false" customHeight="false" outlineLevel="0" collapsed="false">
      <c r="A44" s="20" t="s">
        <v>1208</v>
      </c>
    </row>
    <row r="45" customFormat="false" ht="15" hidden="false" customHeight="false" outlineLevel="0" collapsed="false">
      <c r="A45" s="20" t="s">
        <v>1209</v>
      </c>
      <c r="F45" s="20" t="s">
        <v>1210</v>
      </c>
      <c r="G45" s="20" t="s">
        <v>1211</v>
      </c>
      <c r="H45" s="20" t="s">
        <v>1212</v>
      </c>
      <c r="I45" s="20" t="s">
        <v>1213</v>
      </c>
      <c r="J45" s="20" t="s">
        <v>1214</v>
      </c>
      <c r="K45" s="20" t="s">
        <v>1215</v>
      </c>
      <c r="L45" s="20" t="s">
        <v>1216</v>
      </c>
      <c r="M45" s="20" t="s">
        <v>1217</v>
      </c>
      <c r="N45" s="20" t="s">
        <v>1218</v>
      </c>
      <c r="O45" s="20" t="s">
        <v>1219</v>
      </c>
    </row>
    <row r="46" customFormat="false" ht="15" hidden="false" customHeight="false" outlineLevel="0" collapsed="false">
      <c r="A46" s="3" t="s">
        <v>1220</v>
      </c>
      <c r="F46" s="96" t="n">
        <f aca="false">IF(F43="Not disclosed",F44,F42)</f>
        <v>8.9</v>
      </c>
      <c r="G46" s="96" t="n">
        <f aca="false">IF(G43="Not disclosed",G44,G42)</f>
        <v>11.4</v>
      </c>
      <c r="H46" s="96" t="n">
        <f aca="false">IF(H43="Not disclosed",H44,H42)</f>
        <v>23.5</v>
      </c>
      <c r="I46" s="96" t="n">
        <f aca="false">IF(I43="Not disclosed",I44,I42)</f>
        <v>33.3</v>
      </c>
      <c r="J46" s="96" t="n">
        <f aca="false">IF(J43="Not disclosed",J44,J42)</f>
        <v>49.1</v>
      </c>
      <c r="K46" s="96" t="n">
        <f aca="false">IF(K43="Not disclosed",K44,K42)</f>
        <v>75.2</v>
      </c>
      <c r="L46" s="96" t="n">
        <f aca="false">IF(L43="Not disclosed",L44,L42)</f>
        <v>99</v>
      </c>
      <c r="M46" s="96" t="n">
        <f aca="false">IF(M43="Not disclosed",M44,M42)</f>
        <v>180.7</v>
      </c>
      <c r="N46" s="96" t="n">
        <f aca="false">IF(N43="Not disclosed",N44,N42)</f>
        <v>212</v>
      </c>
      <c r="O46" s="96" t="n">
        <f aca="false">IF(O43="Not disclosed",O44,O42)</f>
        <v>259.7</v>
      </c>
    </row>
    <row r="48" customFormat="false" ht="22.35" hidden="false" customHeight="false" outlineLevel="0" collapsed="false">
      <c r="A48" s="3" t="s">
        <v>1248</v>
      </c>
      <c r="B48" s="0" t="s">
        <v>561</v>
      </c>
      <c r="C48" s="0" t="s">
        <v>550</v>
      </c>
      <c r="D48" s="28" t="s">
        <v>1249</v>
      </c>
      <c r="F48" s="95" t="n">
        <v>8.9</v>
      </c>
      <c r="G48" s="95" t="n">
        <v>11.4</v>
      </c>
      <c r="H48" s="95" t="n">
        <v>23.5</v>
      </c>
      <c r="I48" s="95" t="n">
        <v>33.3</v>
      </c>
      <c r="J48" s="95" t="n">
        <v>49.1</v>
      </c>
      <c r="K48" s="95" t="n">
        <v>75.2</v>
      </c>
      <c r="L48" s="95" t="n">
        <v>99</v>
      </c>
      <c r="M48" s="95" t="n">
        <v>180.7</v>
      </c>
      <c r="N48" s="95" t="n">
        <v>255.1</v>
      </c>
      <c r="O48" s="95" t="n">
        <v>302.7</v>
      </c>
    </row>
    <row r="49" customFormat="false" ht="15" hidden="false" customHeight="false" outlineLevel="0" collapsed="false">
      <c r="A49" s="20" t="s">
        <v>1207</v>
      </c>
      <c r="F49" s="52" t="s">
        <v>507</v>
      </c>
      <c r="G49" s="52" t="s">
        <v>507</v>
      </c>
      <c r="H49" s="52" t="s">
        <v>507</v>
      </c>
      <c r="I49" s="52" t="s">
        <v>507</v>
      </c>
      <c r="J49" s="52" t="s">
        <v>507</v>
      </c>
      <c r="K49" s="52" t="s">
        <v>507</v>
      </c>
      <c r="L49" s="52" t="s">
        <v>507</v>
      </c>
      <c r="M49" s="52" t="s">
        <v>507</v>
      </c>
      <c r="N49" s="52" t="s">
        <v>554</v>
      </c>
      <c r="O49" s="52" t="s">
        <v>554</v>
      </c>
    </row>
    <row r="50" customFormat="false" ht="15" hidden="false" customHeight="false" outlineLevel="0" collapsed="false">
      <c r="A50" s="20" t="s">
        <v>1208</v>
      </c>
    </row>
    <row r="51" customFormat="false" ht="15" hidden="false" customHeight="false" outlineLevel="0" collapsed="false">
      <c r="A51" s="20" t="s">
        <v>1209</v>
      </c>
      <c r="F51" s="20" t="s">
        <v>1210</v>
      </c>
      <c r="G51" s="20" t="s">
        <v>1211</v>
      </c>
      <c r="H51" s="20" t="s">
        <v>1212</v>
      </c>
      <c r="I51" s="20" t="s">
        <v>1213</v>
      </c>
      <c r="J51" s="20" t="s">
        <v>1214</v>
      </c>
      <c r="K51" s="20" t="s">
        <v>1215</v>
      </c>
      <c r="L51" s="20" t="s">
        <v>1216</v>
      </c>
      <c r="M51" s="20" t="s">
        <v>1217</v>
      </c>
      <c r="N51" s="20" t="s">
        <v>1250</v>
      </c>
      <c r="O51" s="20" t="s">
        <v>1251</v>
      </c>
    </row>
    <row r="52" customFormat="false" ht="15" hidden="false" customHeight="false" outlineLevel="0" collapsed="false">
      <c r="A52" s="3" t="s">
        <v>1220</v>
      </c>
      <c r="F52" s="96" t="n">
        <f aca="false">IF(F49="Not disclosed",F50,F48)</f>
        <v>8.9</v>
      </c>
      <c r="G52" s="96" t="n">
        <f aca="false">IF(G49="Not disclosed",G50,G48)</f>
        <v>11.4</v>
      </c>
      <c r="H52" s="96" t="n">
        <f aca="false">IF(H49="Not disclosed",H50,H48)</f>
        <v>23.5</v>
      </c>
      <c r="I52" s="96" t="n">
        <f aca="false">IF(I49="Not disclosed",I50,I48)</f>
        <v>33.3</v>
      </c>
      <c r="J52" s="96" t="n">
        <f aca="false">IF(J49="Not disclosed",J50,J48)</f>
        <v>49.1</v>
      </c>
      <c r="K52" s="96" t="n">
        <f aca="false">IF(K49="Not disclosed",K50,K48)</f>
        <v>75.2</v>
      </c>
      <c r="L52" s="96" t="n">
        <f aca="false">IF(L49="Not disclosed",L50,L48)</f>
        <v>99</v>
      </c>
      <c r="M52" s="96" t="n">
        <f aca="false">IF(M49="Not disclosed",M50,M48)</f>
        <v>180.7</v>
      </c>
      <c r="N52" s="96" t="n">
        <f aca="false">IF(N49="Not disclosed",N50,N48)</f>
        <v>255.1</v>
      </c>
      <c r="O52" s="96" t="n">
        <f aca="false">IF(O49="Not disclosed",O50,O48)</f>
        <v>302.7</v>
      </c>
    </row>
    <row r="54" customFormat="false" ht="22.35" hidden="false" customHeight="false" outlineLevel="0" collapsed="false">
      <c r="A54" s="3" t="s">
        <v>1252</v>
      </c>
      <c r="B54" s="0" t="s">
        <v>561</v>
      </c>
      <c r="C54" s="0" t="s">
        <v>550</v>
      </c>
      <c r="D54" s="28" t="s">
        <v>1253</v>
      </c>
      <c r="F54" s="20" t="s">
        <v>1223</v>
      </c>
      <c r="G54" s="95" t="n">
        <v>328.3</v>
      </c>
      <c r="H54" s="95" t="n">
        <v>475.3</v>
      </c>
      <c r="I54" s="95" t="n">
        <v>846.7</v>
      </c>
      <c r="J54" s="95" t="n">
        <v>1334.1</v>
      </c>
      <c r="K54" s="95" t="n">
        <v>1789.4</v>
      </c>
      <c r="L54" s="95" t="n">
        <v>3314.4</v>
      </c>
      <c r="M54" s="95" t="n">
        <v>5553.3</v>
      </c>
      <c r="N54" s="95" t="n">
        <v>7131.7</v>
      </c>
      <c r="O54" s="95" t="n">
        <v>13045.2</v>
      </c>
    </row>
    <row r="55" customFormat="false" ht="15" hidden="false" customHeight="false" outlineLevel="0" collapsed="false">
      <c r="A55" s="20" t="s">
        <v>1207</v>
      </c>
      <c r="F55" s="97" t="s">
        <v>1000</v>
      </c>
      <c r="G55" s="52" t="s">
        <v>507</v>
      </c>
      <c r="H55" s="52" t="s">
        <v>507</v>
      </c>
      <c r="I55" s="52" t="s">
        <v>507</v>
      </c>
      <c r="J55" s="52" t="s">
        <v>507</v>
      </c>
      <c r="K55" s="52" t="s">
        <v>507</v>
      </c>
      <c r="L55" s="52" t="s">
        <v>507</v>
      </c>
      <c r="M55" s="52" t="s">
        <v>507</v>
      </c>
      <c r="N55" s="52" t="s">
        <v>507</v>
      </c>
      <c r="O55" s="52" t="s">
        <v>507</v>
      </c>
    </row>
    <row r="56" customFormat="false" ht="15" hidden="false" customHeight="false" outlineLevel="0" collapsed="false">
      <c r="A56" s="20" t="s">
        <v>1208</v>
      </c>
      <c r="F56" s="98" t="n">
        <v>250</v>
      </c>
    </row>
    <row r="57" customFormat="false" ht="15" hidden="false" customHeight="false" outlineLevel="0" collapsed="false">
      <c r="A57" s="20" t="s">
        <v>1209</v>
      </c>
      <c r="F57" s="20" t="s">
        <v>1254</v>
      </c>
      <c r="G57" s="20" t="s">
        <v>1211</v>
      </c>
      <c r="H57" s="20" t="s">
        <v>1212</v>
      </c>
      <c r="I57" s="20" t="s">
        <v>1213</v>
      </c>
      <c r="J57" s="20" t="s">
        <v>1214</v>
      </c>
      <c r="K57" s="20" t="s">
        <v>1215</v>
      </c>
      <c r="L57" s="20" t="s">
        <v>1216</v>
      </c>
      <c r="M57" s="20" t="s">
        <v>1217</v>
      </c>
      <c r="N57" s="20" t="s">
        <v>1218</v>
      </c>
      <c r="O57" s="20" t="s">
        <v>1219</v>
      </c>
    </row>
    <row r="58" customFormat="false" ht="15" hidden="false" customHeight="false" outlineLevel="0" collapsed="false">
      <c r="A58" s="3" t="s">
        <v>1220</v>
      </c>
      <c r="F58" s="96" t="n">
        <f aca="false">IF(F55="Not disclosed",F56,F54)</f>
        <v>250</v>
      </c>
      <c r="G58" s="96" t="n">
        <f aca="false">IF(G55="Not disclosed",G56,G54)</f>
        <v>328.3</v>
      </c>
      <c r="H58" s="96" t="n">
        <f aca="false">IF(H55="Not disclosed",H56,H54)</f>
        <v>475.3</v>
      </c>
      <c r="I58" s="96" t="n">
        <f aca="false">IF(I55="Not disclosed",I56,I54)</f>
        <v>846.7</v>
      </c>
      <c r="J58" s="96" t="n">
        <f aca="false">IF(J55="Not disclosed",J56,J54)</f>
        <v>1334.1</v>
      </c>
      <c r="K58" s="96" t="n">
        <f aca="false">IF(K55="Not disclosed",K56,K54)</f>
        <v>1789.4</v>
      </c>
      <c r="L58" s="96" t="n">
        <f aca="false">IF(L55="Not disclosed",L56,L54)</f>
        <v>3314.4</v>
      </c>
      <c r="M58" s="96" t="n">
        <f aca="false">IF(M55="Not disclosed",M56,M54)</f>
        <v>5553.3</v>
      </c>
      <c r="N58" s="96" t="n">
        <f aca="false">IF(N55="Not disclosed",N56,N54)</f>
        <v>7131.7</v>
      </c>
      <c r="O58" s="96" t="n">
        <f aca="false">IF(O55="Not disclosed",O56,O54)</f>
        <v>13045.2</v>
      </c>
    </row>
    <row r="60" customFormat="false" ht="22.35" hidden="false" customHeight="false" outlineLevel="0" collapsed="false">
      <c r="A60" s="3" t="s">
        <v>1255</v>
      </c>
      <c r="B60" s="0" t="s">
        <v>561</v>
      </c>
      <c r="C60" s="0" t="s">
        <v>550</v>
      </c>
      <c r="D60" s="28" t="s">
        <v>1256</v>
      </c>
      <c r="F60" s="20" t="s">
        <v>1223</v>
      </c>
      <c r="G60" s="20" t="s">
        <v>1223</v>
      </c>
      <c r="H60" s="20" t="s">
        <v>1223</v>
      </c>
      <c r="I60" s="20" t="s">
        <v>1223</v>
      </c>
      <c r="J60" s="20" t="s">
        <v>1223</v>
      </c>
      <c r="K60" s="20" t="s">
        <v>1223</v>
      </c>
      <c r="L60" s="20" t="s">
        <v>1223</v>
      </c>
      <c r="M60" s="95" t="n">
        <v>2417.4</v>
      </c>
      <c r="N60" s="95" t="n">
        <v>2427.9</v>
      </c>
      <c r="O60" s="95" t="n">
        <v>7836.4</v>
      </c>
    </row>
    <row r="61" customFormat="false" ht="15" hidden="false" customHeight="false" outlineLevel="0" collapsed="false">
      <c r="A61" s="20" t="s">
        <v>1207</v>
      </c>
      <c r="F61" s="97" t="s">
        <v>1000</v>
      </c>
      <c r="G61" s="97" t="s">
        <v>1000</v>
      </c>
      <c r="H61" s="97" t="s">
        <v>1000</v>
      </c>
      <c r="I61" s="97" t="s">
        <v>1000</v>
      </c>
      <c r="J61" s="97" t="s">
        <v>1000</v>
      </c>
      <c r="K61" s="97" t="s">
        <v>1000</v>
      </c>
      <c r="L61" s="97" t="s">
        <v>1000</v>
      </c>
      <c r="M61" s="52" t="s">
        <v>507</v>
      </c>
      <c r="N61" s="52" t="s">
        <v>507</v>
      </c>
      <c r="O61" s="52" t="s">
        <v>507</v>
      </c>
    </row>
    <row r="62" customFormat="false" ht="15" hidden="false" customHeight="false" outlineLevel="0" collapsed="false">
      <c r="A62" s="20" t="s">
        <v>1208</v>
      </c>
    </row>
    <row r="63" customFormat="false" ht="15" hidden="false" customHeight="false" outlineLevel="0" collapsed="false">
      <c r="A63" s="20" t="s">
        <v>1209</v>
      </c>
      <c r="F63" s="20" t="s">
        <v>1257</v>
      </c>
      <c r="G63" s="20" t="s">
        <v>1257</v>
      </c>
      <c r="H63" s="20" t="s">
        <v>1257</v>
      </c>
      <c r="I63" s="20" t="s">
        <v>1257</v>
      </c>
      <c r="J63" s="20" t="s">
        <v>1257</v>
      </c>
      <c r="K63" s="20" t="s">
        <v>1257</v>
      </c>
      <c r="L63" s="20" t="s">
        <v>1257</v>
      </c>
      <c r="M63" s="20" t="s">
        <v>1258</v>
      </c>
      <c r="N63" s="20" t="s">
        <v>1258</v>
      </c>
      <c r="O63" s="20" t="s">
        <v>1258</v>
      </c>
    </row>
    <row r="64" customFormat="false" ht="15" hidden="false" customHeight="false" outlineLevel="0" collapsed="false">
      <c r="A64" s="3" t="s">
        <v>1220</v>
      </c>
      <c r="F64" s="96" t="n">
        <f aca="false">IF(F61="Not disclosed",F62,F60)</f>
        <v>0</v>
      </c>
      <c r="G64" s="96" t="n">
        <f aca="false">IF(G61="Not disclosed",G62,G60)</f>
        <v>0</v>
      </c>
      <c r="H64" s="96" t="n">
        <f aca="false">IF(H61="Not disclosed",H62,H60)</f>
        <v>0</v>
      </c>
      <c r="I64" s="96" t="n">
        <f aca="false">IF(I61="Not disclosed",I62,I60)</f>
        <v>0</v>
      </c>
      <c r="J64" s="96" t="n">
        <f aca="false">IF(J61="Not disclosed",J62,J60)</f>
        <v>0</v>
      </c>
      <c r="K64" s="96" t="n">
        <f aca="false">IF(K61="Not disclosed",K62,K60)</f>
        <v>0</v>
      </c>
      <c r="L64" s="96" t="n">
        <f aca="false">IF(L61="Not disclosed",L62,L60)</f>
        <v>0</v>
      </c>
      <c r="M64" s="96" t="n">
        <f aca="false">IF(M61="Not disclosed",M62,M60)</f>
        <v>2417.4</v>
      </c>
      <c r="N64" s="96" t="n">
        <f aca="false">IF(N61="Not disclosed",N62,N60)</f>
        <v>2427.9</v>
      </c>
      <c r="O64" s="96" t="n">
        <f aca="false">IF(O61="Not disclosed",O62,O60)</f>
        <v>7836.4</v>
      </c>
    </row>
    <row r="66" customFormat="false" ht="15" hidden="false" customHeight="false" outlineLevel="0" collapsed="false">
      <c r="A66" s="3" t="s">
        <v>1259</v>
      </c>
      <c r="B66" s="0" t="s">
        <v>561</v>
      </c>
      <c r="C66" s="0" t="s">
        <v>550</v>
      </c>
      <c r="D66" s="28" t="s">
        <v>1260</v>
      </c>
      <c r="F66" s="20" t="s">
        <v>1223</v>
      </c>
      <c r="G66" s="20" t="s">
        <v>1223</v>
      </c>
      <c r="H66" s="20" t="s">
        <v>1223</v>
      </c>
      <c r="I66" s="20" t="s">
        <v>1223</v>
      </c>
      <c r="J66" s="20" t="s">
        <v>1223</v>
      </c>
      <c r="K66" s="20" t="s">
        <v>1223</v>
      </c>
      <c r="L66" s="20" t="s">
        <v>1223</v>
      </c>
      <c r="M66" s="95" t="n">
        <v>3772.9</v>
      </c>
      <c r="N66" s="95" t="n">
        <v>5548.7</v>
      </c>
      <c r="O66" s="95" t="n">
        <v>6313.1</v>
      </c>
    </row>
    <row r="67" customFormat="false" ht="15" hidden="false" customHeight="false" outlineLevel="0" collapsed="false">
      <c r="A67" s="20" t="s">
        <v>1207</v>
      </c>
      <c r="F67" s="97" t="s">
        <v>1000</v>
      </c>
      <c r="G67" s="97" t="s">
        <v>1000</v>
      </c>
      <c r="H67" s="97" t="s">
        <v>1000</v>
      </c>
      <c r="I67" s="97" t="s">
        <v>1000</v>
      </c>
      <c r="J67" s="97" t="s">
        <v>1000</v>
      </c>
      <c r="K67" s="97" t="s">
        <v>1000</v>
      </c>
      <c r="L67" s="97" t="s">
        <v>1000</v>
      </c>
      <c r="M67" s="52" t="s">
        <v>554</v>
      </c>
      <c r="N67" s="52" t="s">
        <v>554</v>
      </c>
      <c r="O67" s="52" t="s">
        <v>554</v>
      </c>
    </row>
    <row r="68" customFormat="false" ht="15" hidden="false" customHeight="false" outlineLevel="0" collapsed="false">
      <c r="A68" s="20" t="s">
        <v>1208</v>
      </c>
    </row>
    <row r="69" customFormat="false" ht="15" hidden="false" customHeight="false" outlineLevel="0" collapsed="false">
      <c r="A69" s="20" t="s">
        <v>1209</v>
      </c>
      <c r="F69" s="20" t="s">
        <v>1000</v>
      </c>
      <c r="G69" s="20" t="s">
        <v>1000</v>
      </c>
      <c r="H69" s="20" t="s">
        <v>1000</v>
      </c>
      <c r="I69" s="20" t="s">
        <v>1000</v>
      </c>
      <c r="J69" s="20" t="s">
        <v>1000</v>
      </c>
      <c r="K69" s="20" t="s">
        <v>1000</v>
      </c>
      <c r="L69" s="20" t="s">
        <v>1000</v>
      </c>
      <c r="M69" s="20" t="s">
        <v>1261</v>
      </c>
      <c r="N69" s="20" t="s">
        <v>1261</v>
      </c>
      <c r="O69" s="20" t="s">
        <v>1261</v>
      </c>
    </row>
    <row r="70" customFormat="false" ht="15" hidden="false" customHeight="false" outlineLevel="0" collapsed="false">
      <c r="A70" s="3" t="s">
        <v>1220</v>
      </c>
      <c r="F70" s="96" t="n">
        <f aca="false">IF(F67="Not disclosed",F68,F66)</f>
        <v>0</v>
      </c>
      <c r="G70" s="96" t="n">
        <f aca="false">IF(G67="Not disclosed",G68,G66)</f>
        <v>0</v>
      </c>
      <c r="H70" s="96" t="n">
        <f aca="false">IF(H67="Not disclosed",H68,H66)</f>
        <v>0</v>
      </c>
      <c r="I70" s="96" t="n">
        <f aca="false">IF(I67="Not disclosed",I68,I66)</f>
        <v>0</v>
      </c>
      <c r="J70" s="96" t="n">
        <f aca="false">IF(J67="Not disclosed",J68,J66)</f>
        <v>0</v>
      </c>
      <c r="K70" s="96" t="n">
        <f aca="false">IF(K67="Not disclosed",K68,K66)</f>
        <v>0</v>
      </c>
      <c r="L70" s="96" t="n">
        <f aca="false">IF(L67="Not disclosed",L68,L66)</f>
        <v>0</v>
      </c>
      <c r="M70" s="96" t="n">
        <f aca="false">IF(M67="Not disclosed",M68,M66)</f>
        <v>3772.9</v>
      </c>
      <c r="N70" s="96" t="n">
        <f aca="false">IF(N67="Not disclosed",N68,N66)</f>
        <v>5548.7</v>
      </c>
      <c r="O70" s="96" t="n">
        <f aca="false">IF(O67="Not disclosed",O68,O66)</f>
        <v>6313.1</v>
      </c>
    </row>
    <row r="72" customFormat="false" ht="15" hidden="false" customHeight="false" outlineLevel="0" collapsed="false">
      <c r="A72" s="3" t="s">
        <v>1262</v>
      </c>
      <c r="B72" s="0" t="s">
        <v>561</v>
      </c>
      <c r="C72" s="0" t="s">
        <v>550</v>
      </c>
      <c r="D72" s="28" t="s">
        <v>973</v>
      </c>
      <c r="F72" s="20" t="s">
        <v>1223</v>
      </c>
      <c r="G72" s="20" t="s">
        <v>1223</v>
      </c>
      <c r="H72" s="20" t="s">
        <v>1223</v>
      </c>
      <c r="I72" s="20" t="s">
        <v>1223</v>
      </c>
      <c r="J72" s="20" t="s">
        <v>1223</v>
      </c>
      <c r="K72" s="20" t="s">
        <v>1223</v>
      </c>
      <c r="L72" s="20" t="s">
        <v>1223</v>
      </c>
      <c r="M72" s="95" t="n">
        <v>3123.6</v>
      </c>
      <c r="N72" s="95" t="n">
        <v>4692.7</v>
      </c>
      <c r="O72" s="95" t="n">
        <v>5197.7</v>
      </c>
    </row>
    <row r="73" customFormat="false" ht="15" hidden="false" customHeight="false" outlineLevel="0" collapsed="false">
      <c r="A73" s="20" t="s">
        <v>1207</v>
      </c>
      <c r="F73" s="97" t="s">
        <v>1000</v>
      </c>
      <c r="G73" s="97" t="s">
        <v>1000</v>
      </c>
      <c r="H73" s="97" t="s">
        <v>1000</v>
      </c>
      <c r="I73" s="97" t="s">
        <v>1000</v>
      </c>
      <c r="J73" s="97" t="s">
        <v>1000</v>
      </c>
      <c r="K73" s="97" t="s">
        <v>1000</v>
      </c>
      <c r="L73" s="97" t="s">
        <v>1000</v>
      </c>
      <c r="M73" s="52" t="s">
        <v>507</v>
      </c>
      <c r="N73" s="52" t="s">
        <v>507</v>
      </c>
      <c r="O73" s="52" t="s">
        <v>507</v>
      </c>
    </row>
    <row r="74" customFormat="false" ht="15" hidden="false" customHeight="false" outlineLevel="0" collapsed="false">
      <c r="A74" s="20" t="s">
        <v>1208</v>
      </c>
    </row>
    <row r="75" customFormat="false" ht="15" hidden="false" customHeight="false" outlineLevel="0" collapsed="false">
      <c r="A75" s="20" t="s">
        <v>1209</v>
      </c>
      <c r="F75" s="20" t="s">
        <v>1000</v>
      </c>
      <c r="G75" s="20" t="s">
        <v>1000</v>
      </c>
      <c r="H75" s="20" t="s">
        <v>1000</v>
      </c>
      <c r="I75" s="20" t="s">
        <v>1000</v>
      </c>
      <c r="J75" s="20" t="s">
        <v>1000</v>
      </c>
      <c r="K75" s="20" t="s">
        <v>1000</v>
      </c>
      <c r="L75" s="20" t="s">
        <v>1000</v>
      </c>
      <c r="M75" s="20" t="s">
        <v>973</v>
      </c>
      <c r="N75" s="20" t="s">
        <v>973</v>
      </c>
      <c r="O75" s="20" t="s">
        <v>973</v>
      </c>
    </row>
    <row r="76" customFormat="false" ht="15" hidden="false" customHeight="false" outlineLevel="0" collapsed="false">
      <c r="A76" s="3" t="s">
        <v>1220</v>
      </c>
      <c r="F76" s="96" t="n">
        <f aca="false">IF(F73="Not disclosed",F74,F72)</f>
        <v>0</v>
      </c>
      <c r="G76" s="96" t="n">
        <f aca="false">IF(G73="Not disclosed",G74,G72)</f>
        <v>0</v>
      </c>
      <c r="H76" s="96" t="n">
        <f aca="false">IF(H73="Not disclosed",H74,H72)</f>
        <v>0</v>
      </c>
      <c r="I76" s="96" t="n">
        <f aca="false">IF(I73="Not disclosed",I74,I72)</f>
        <v>0</v>
      </c>
      <c r="J76" s="96" t="n">
        <f aca="false">IF(J73="Not disclosed",J74,J72)</f>
        <v>0</v>
      </c>
      <c r="K76" s="96" t="n">
        <f aca="false">IF(K73="Not disclosed",K74,K72)</f>
        <v>0</v>
      </c>
      <c r="L76" s="96" t="n">
        <f aca="false">IF(L73="Not disclosed",L74,L72)</f>
        <v>0</v>
      </c>
      <c r="M76" s="96" t="n">
        <f aca="false">IF(M73="Not disclosed",M74,M72)</f>
        <v>3123.6</v>
      </c>
      <c r="N76" s="96" t="n">
        <f aca="false">IF(N73="Not disclosed",N74,N72)</f>
        <v>4692.7</v>
      </c>
      <c r="O76" s="96" t="n">
        <f aca="false">IF(O73="Not disclosed",O74,O72)</f>
        <v>5197.7</v>
      </c>
    </row>
    <row r="78" customFormat="false" ht="15" hidden="false" customHeight="false" outlineLevel="0" collapsed="false">
      <c r="A78" s="3" t="s">
        <v>1263</v>
      </c>
      <c r="B78" s="0" t="s">
        <v>561</v>
      </c>
      <c r="C78" s="0" t="s">
        <v>550</v>
      </c>
      <c r="D78" s="28" t="s">
        <v>1264</v>
      </c>
      <c r="F78" s="20" t="s">
        <v>1223</v>
      </c>
      <c r="G78" s="20" t="s">
        <v>1223</v>
      </c>
      <c r="H78" s="20" t="s">
        <v>1223</v>
      </c>
      <c r="I78" s="20" t="s">
        <v>1223</v>
      </c>
      <c r="J78" s="20" t="s">
        <v>1223</v>
      </c>
      <c r="K78" s="20" t="s">
        <v>1223</v>
      </c>
      <c r="L78" s="20" t="s">
        <v>1223</v>
      </c>
      <c r="M78" s="20" t="s">
        <v>1223</v>
      </c>
      <c r="N78" s="95" t="n">
        <v>208.8</v>
      </c>
      <c r="O78" s="95" t="n">
        <v>253.8</v>
      </c>
    </row>
    <row r="79" customFormat="false" ht="15" hidden="false" customHeight="false" outlineLevel="0" collapsed="false">
      <c r="A79" s="20" t="s">
        <v>1207</v>
      </c>
      <c r="F79" s="97" t="s">
        <v>1000</v>
      </c>
      <c r="G79" s="97" t="s">
        <v>1000</v>
      </c>
      <c r="H79" s="97" t="s">
        <v>1000</v>
      </c>
      <c r="I79" s="97" t="s">
        <v>1000</v>
      </c>
      <c r="J79" s="97" t="s">
        <v>1000</v>
      </c>
      <c r="K79" s="97" t="s">
        <v>1000</v>
      </c>
      <c r="L79" s="97" t="s">
        <v>1000</v>
      </c>
      <c r="M79" s="97" t="s">
        <v>1000</v>
      </c>
      <c r="N79" s="52" t="s">
        <v>507</v>
      </c>
      <c r="O79" s="52" t="s">
        <v>507</v>
      </c>
    </row>
    <row r="80" customFormat="false" ht="15" hidden="false" customHeight="false" outlineLevel="0" collapsed="false">
      <c r="A80" s="20" t="s">
        <v>1208</v>
      </c>
      <c r="F80" s="98" t="n">
        <v>8.9</v>
      </c>
      <c r="G80" s="98" t="n">
        <v>11.4</v>
      </c>
      <c r="H80" s="98" t="n">
        <v>23.5</v>
      </c>
      <c r="I80" s="98" t="n">
        <v>33.3</v>
      </c>
      <c r="J80" s="98" t="n">
        <v>49.1</v>
      </c>
      <c r="K80" s="98" t="n">
        <v>75.2</v>
      </c>
      <c r="L80" s="98" t="n">
        <v>99</v>
      </c>
      <c r="M80" s="98" t="n">
        <v>180.7</v>
      </c>
    </row>
    <row r="81" customFormat="false" ht="15" hidden="false" customHeight="false" outlineLevel="0" collapsed="false">
      <c r="A81" s="20" t="s">
        <v>1209</v>
      </c>
      <c r="F81" s="20" t="s">
        <v>1265</v>
      </c>
      <c r="G81" s="20" t="s">
        <v>1265</v>
      </c>
      <c r="H81" s="20" t="s">
        <v>1265</v>
      </c>
      <c r="I81" s="20" t="s">
        <v>1265</v>
      </c>
      <c r="J81" s="20" t="s">
        <v>1265</v>
      </c>
      <c r="K81" s="20" t="s">
        <v>1265</v>
      </c>
      <c r="L81" s="20" t="s">
        <v>1265</v>
      </c>
      <c r="M81" s="20" t="s">
        <v>1265</v>
      </c>
      <c r="N81" s="20" t="s">
        <v>973</v>
      </c>
      <c r="O81" s="20" t="s">
        <v>973</v>
      </c>
    </row>
    <row r="82" customFormat="false" ht="15" hidden="false" customHeight="false" outlineLevel="0" collapsed="false">
      <c r="A82" s="3" t="s">
        <v>1220</v>
      </c>
      <c r="F82" s="96" t="n">
        <f aca="false">IF(F79="Not disclosed",F80,F78)</f>
        <v>8.9</v>
      </c>
      <c r="G82" s="96" t="n">
        <f aca="false">IF(G79="Not disclosed",G80,G78)</f>
        <v>11.4</v>
      </c>
      <c r="H82" s="96" t="n">
        <f aca="false">IF(H79="Not disclosed",H80,H78)</f>
        <v>23.5</v>
      </c>
      <c r="I82" s="96" t="n">
        <f aca="false">IF(I79="Not disclosed",I80,I78)</f>
        <v>33.3</v>
      </c>
      <c r="J82" s="96" t="n">
        <f aca="false">IF(J79="Not disclosed",J80,J78)</f>
        <v>49.1</v>
      </c>
      <c r="K82" s="96" t="n">
        <f aca="false">IF(K79="Not disclosed",K80,K78)</f>
        <v>75.2</v>
      </c>
      <c r="L82" s="96" t="n">
        <f aca="false">IF(L79="Not disclosed",L80,L78)</f>
        <v>99</v>
      </c>
      <c r="M82" s="96" t="n">
        <f aca="false">IF(M79="Not disclosed",M80,M78)</f>
        <v>180.7</v>
      </c>
      <c r="N82" s="96" t="n">
        <f aca="false">IF(N79="Not disclosed",N80,N78)</f>
        <v>208.8</v>
      </c>
      <c r="O82" s="96" t="n">
        <f aca="false">IF(O79="Not disclosed",O80,O78)</f>
        <v>253.8</v>
      </c>
    </row>
    <row r="84" customFormat="false" ht="15" hidden="false" customHeight="false" outlineLevel="0" collapsed="false">
      <c r="A84" s="3" t="s">
        <v>1266</v>
      </c>
      <c r="B84" s="0" t="s">
        <v>561</v>
      </c>
      <c r="C84" s="0" t="s">
        <v>550</v>
      </c>
      <c r="D84" s="28" t="s">
        <v>1267</v>
      </c>
      <c r="F84" s="20" t="s">
        <v>1223</v>
      </c>
      <c r="G84" s="20" t="s">
        <v>1223</v>
      </c>
      <c r="H84" s="20" t="s">
        <v>1223</v>
      </c>
      <c r="I84" s="20" t="s">
        <v>1223</v>
      </c>
      <c r="J84" s="20" t="s">
        <v>1223</v>
      </c>
      <c r="K84" s="20" t="s">
        <v>1223</v>
      </c>
      <c r="L84" s="20" t="s">
        <v>1223</v>
      </c>
      <c r="M84" s="20" t="s">
        <v>1223</v>
      </c>
      <c r="N84" s="95" t="n">
        <v>15.7</v>
      </c>
      <c r="O84" s="95" t="n">
        <v>40.2</v>
      </c>
    </row>
    <row r="85" customFormat="false" ht="15" hidden="false" customHeight="false" outlineLevel="0" collapsed="false">
      <c r="A85" s="20" t="s">
        <v>1207</v>
      </c>
      <c r="F85" s="97" t="s">
        <v>1000</v>
      </c>
      <c r="G85" s="97" t="s">
        <v>1000</v>
      </c>
      <c r="H85" s="97" t="s">
        <v>1000</v>
      </c>
      <c r="I85" s="97" t="s">
        <v>1000</v>
      </c>
      <c r="J85" s="97" t="s">
        <v>1000</v>
      </c>
      <c r="K85" s="97" t="s">
        <v>1000</v>
      </c>
      <c r="L85" s="97" t="s">
        <v>1000</v>
      </c>
      <c r="M85" s="97" t="s">
        <v>1000</v>
      </c>
      <c r="N85" s="52" t="s">
        <v>507</v>
      </c>
      <c r="O85" s="52" t="s">
        <v>507</v>
      </c>
    </row>
    <row r="86" customFormat="false" ht="15" hidden="false" customHeight="false" outlineLevel="0" collapsed="false">
      <c r="A86" s="20" t="s">
        <v>1208</v>
      </c>
      <c r="F86" s="98" t="n">
        <v>0</v>
      </c>
      <c r="G86" s="98" t="n">
        <v>0</v>
      </c>
      <c r="H86" s="98" t="n">
        <v>0</v>
      </c>
      <c r="I86" s="98" t="n">
        <v>0</v>
      </c>
      <c r="J86" s="98" t="n">
        <v>0</v>
      </c>
      <c r="K86" s="98" t="n">
        <v>0</v>
      </c>
      <c r="L86" s="98" t="n">
        <v>0</v>
      </c>
      <c r="M86" s="98" t="n">
        <v>0</v>
      </c>
    </row>
    <row r="87" customFormat="false" ht="15" hidden="false" customHeight="false" outlineLevel="0" collapsed="false">
      <c r="A87" s="20" t="s">
        <v>1209</v>
      </c>
      <c r="F87" s="20" t="s">
        <v>1268</v>
      </c>
      <c r="G87" s="20" t="s">
        <v>1268</v>
      </c>
      <c r="H87" s="20" t="s">
        <v>1268</v>
      </c>
      <c r="I87" s="20" t="s">
        <v>1268</v>
      </c>
      <c r="J87" s="20" t="s">
        <v>1268</v>
      </c>
      <c r="K87" s="20" t="s">
        <v>1268</v>
      </c>
      <c r="L87" s="20" t="s">
        <v>1268</v>
      </c>
      <c r="M87" s="20" t="s">
        <v>1268</v>
      </c>
      <c r="N87" s="20" t="s">
        <v>1269</v>
      </c>
      <c r="O87" s="20" t="s">
        <v>1269</v>
      </c>
    </row>
    <row r="88" customFormat="false" ht="15" hidden="false" customHeight="false" outlineLevel="0" collapsed="false">
      <c r="A88" s="3" t="s">
        <v>1220</v>
      </c>
      <c r="F88" s="96" t="n">
        <f aca="false">IF(F85="Not disclosed",F86,F84)</f>
        <v>0</v>
      </c>
      <c r="G88" s="96" t="n">
        <f aca="false">IF(G85="Not disclosed",G86,G84)</f>
        <v>0</v>
      </c>
      <c r="H88" s="96" t="n">
        <f aca="false">IF(H85="Not disclosed",H86,H84)</f>
        <v>0</v>
      </c>
      <c r="I88" s="96" t="n">
        <f aca="false">IF(I85="Not disclosed",I86,I84)</f>
        <v>0</v>
      </c>
      <c r="J88" s="96" t="n">
        <f aca="false">IF(J85="Not disclosed",J86,J84)</f>
        <v>0</v>
      </c>
      <c r="K88" s="96" t="n">
        <f aca="false">IF(K85="Not disclosed",K86,K84)</f>
        <v>0</v>
      </c>
      <c r="L88" s="96" t="n">
        <f aca="false">IF(L85="Not disclosed",L86,L84)</f>
        <v>0</v>
      </c>
      <c r="M88" s="96" t="n">
        <f aca="false">IF(M85="Not disclosed",M86,M84)</f>
        <v>0</v>
      </c>
      <c r="N88" s="96" t="n">
        <f aca="false">IF(N85="Not disclosed",N86,N84)</f>
        <v>15.7</v>
      </c>
      <c r="O88" s="96" t="n">
        <f aca="false">IF(O85="Not disclosed",O86,O84)</f>
        <v>40.2</v>
      </c>
    </row>
    <row r="90" customFormat="false" ht="15" hidden="false" customHeight="false" outlineLevel="0" collapsed="false">
      <c r="A90" s="3" t="s">
        <v>1270</v>
      </c>
      <c r="B90" s="0" t="s">
        <v>561</v>
      </c>
      <c r="C90" s="0" t="s">
        <v>550</v>
      </c>
      <c r="D90" s="28" t="s">
        <v>1271</v>
      </c>
      <c r="F90" s="95" t="n">
        <v>-70.9</v>
      </c>
      <c r="G90" s="95" t="n">
        <v>-58.1</v>
      </c>
      <c r="H90" s="95" t="n">
        <v>-45.9</v>
      </c>
      <c r="I90" s="95" t="n">
        <v>-63.9</v>
      </c>
      <c r="J90" s="95" t="n">
        <v>-53.7</v>
      </c>
      <c r="K90" s="95" t="n">
        <v>-21</v>
      </c>
      <c r="L90" s="95" t="n">
        <v>-5.2</v>
      </c>
      <c r="M90" s="95" t="n">
        <v>15</v>
      </c>
      <c r="N90" s="95" t="n">
        <v>129.5</v>
      </c>
      <c r="O90" s="95" t="n">
        <v>236.2</v>
      </c>
    </row>
    <row r="91" customFormat="false" ht="15" hidden="false" customHeight="false" outlineLevel="0" collapsed="false">
      <c r="A91" s="20" t="s">
        <v>1207</v>
      </c>
      <c r="F91" s="52" t="s">
        <v>507</v>
      </c>
      <c r="G91" s="52" t="s">
        <v>507</v>
      </c>
      <c r="H91" s="52" t="s">
        <v>507</v>
      </c>
      <c r="I91" s="52" t="s">
        <v>507</v>
      </c>
      <c r="J91" s="52" t="s">
        <v>507</v>
      </c>
      <c r="K91" s="52" t="s">
        <v>507</v>
      </c>
      <c r="L91" s="52" t="s">
        <v>507</v>
      </c>
      <c r="M91" s="52" t="s">
        <v>507</v>
      </c>
      <c r="N91" s="52" t="s">
        <v>507</v>
      </c>
      <c r="O91" s="52" t="s">
        <v>507</v>
      </c>
    </row>
    <row r="92" customFormat="false" ht="15" hidden="false" customHeight="false" outlineLevel="0" collapsed="false">
      <c r="A92" s="20" t="s">
        <v>1208</v>
      </c>
    </row>
    <row r="93" customFormat="false" ht="15" hidden="false" customHeight="false" outlineLevel="0" collapsed="false">
      <c r="A93" s="20" t="s">
        <v>1209</v>
      </c>
      <c r="F93" s="20" t="s">
        <v>1210</v>
      </c>
      <c r="G93" s="20" t="s">
        <v>1211</v>
      </c>
      <c r="H93" s="20" t="s">
        <v>1212</v>
      </c>
      <c r="I93" s="20" t="s">
        <v>1213</v>
      </c>
      <c r="J93" s="20" t="s">
        <v>1214</v>
      </c>
      <c r="K93" s="20" t="s">
        <v>1215</v>
      </c>
      <c r="L93" s="20" t="s">
        <v>1216</v>
      </c>
      <c r="M93" s="20" t="s">
        <v>1217</v>
      </c>
      <c r="N93" s="20" t="s">
        <v>1218</v>
      </c>
      <c r="O93" s="20" t="s">
        <v>1219</v>
      </c>
    </row>
    <row r="94" customFormat="false" ht="15" hidden="false" customHeight="false" outlineLevel="0" collapsed="false">
      <c r="A94" s="3" t="s">
        <v>1220</v>
      </c>
      <c r="F94" s="96" t="n">
        <f aca="false">IF(F91="Not disclosed",F92,F90)</f>
        <v>-70.9</v>
      </c>
      <c r="G94" s="96" t="n">
        <f aca="false">IF(G91="Not disclosed",G92,G90)</f>
        <v>-58.1</v>
      </c>
      <c r="H94" s="96" t="n">
        <f aca="false">IF(H91="Not disclosed",H92,H90)</f>
        <v>-45.9</v>
      </c>
      <c r="I94" s="96" t="n">
        <f aca="false">IF(I91="Not disclosed",I92,I90)</f>
        <v>-63.9</v>
      </c>
      <c r="J94" s="96" t="n">
        <f aca="false">IF(J91="Not disclosed",J92,J90)</f>
        <v>-53.7</v>
      </c>
      <c r="K94" s="96" t="n">
        <f aca="false">IF(K91="Not disclosed",K92,K90)</f>
        <v>-21</v>
      </c>
      <c r="L94" s="96" t="n">
        <f aca="false">IF(L91="Not disclosed",L92,L90)</f>
        <v>-5.2</v>
      </c>
      <c r="M94" s="96" t="n">
        <f aca="false">IF(M91="Not disclosed",M92,M90)</f>
        <v>15</v>
      </c>
      <c r="N94" s="96" t="n">
        <f aca="false">IF(N91="Not disclosed",N92,N90)</f>
        <v>129.5</v>
      </c>
      <c r="O94" s="96" t="n">
        <f aca="false">IF(O91="Not disclosed",O92,O90)</f>
        <v>236.2</v>
      </c>
    </row>
    <row r="96" customFormat="false" ht="15" hidden="false" customHeight="false" outlineLevel="0" collapsed="false">
      <c r="A96" s="3" t="s">
        <v>1272</v>
      </c>
      <c r="B96" s="0" t="s">
        <v>561</v>
      </c>
      <c r="C96" s="0" t="s">
        <v>550</v>
      </c>
      <c r="D96" s="28" t="s">
        <v>1273</v>
      </c>
      <c r="F96" s="20" t="s">
        <v>1223</v>
      </c>
      <c r="G96" s="20" t="s">
        <v>1223</v>
      </c>
      <c r="H96" s="20" t="s">
        <v>1223</v>
      </c>
      <c r="I96" s="95" t="n">
        <v>417.6</v>
      </c>
      <c r="J96" s="95" t="n">
        <v>544</v>
      </c>
      <c r="K96" s="95" t="n">
        <v>510.6</v>
      </c>
      <c r="L96" s="95" t="n">
        <v>955.5</v>
      </c>
      <c r="M96" s="95" t="n">
        <v>2056</v>
      </c>
      <c r="N96" s="95" t="n">
        <v>2472.9</v>
      </c>
      <c r="O96" s="95" t="n">
        <v>5657.4</v>
      </c>
    </row>
    <row r="97" customFormat="false" ht="15" hidden="false" customHeight="false" outlineLevel="0" collapsed="false">
      <c r="A97" s="20" t="s">
        <v>1207</v>
      </c>
      <c r="F97" s="97" t="s">
        <v>1000</v>
      </c>
      <c r="G97" s="97" t="s">
        <v>1000</v>
      </c>
      <c r="H97" s="97" t="s">
        <v>1000</v>
      </c>
      <c r="I97" s="52" t="s">
        <v>507</v>
      </c>
      <c r="J97" s="52" t="s">
        <v>507</v>
      </c>
      <c r="K97" s="52" t="s">
        <v>507</v>
      </c>
      <c r="L97" s="52" t="s">
        <v>507</v>
      </c>
      <c r="M97" s="52" t="s">
        <v>507</v>
      </c>
      <c r="N97" s="52" t="s">
        <v>554</v>
      </c>
      <c r="O97" s="52" t="s">
        <v>507</v>
      </c>
    </row>
    <row r="98" customFormat="false" ht="15" hidden="false" customHeight="false" outlineLevel="0" collapsed="false">
      <c r="A98" s="20" t="s">
        <v>1208</v>
      </c>
      <c r="F98" s="98" t="n">
        <v>130</v>
      </c>
      <c r="G98" s="98" t="n">
        <v>130</v>
      </c>
      <c r="H98" s="98" t="n">
        <v>129.9</v>
      </c>
    </row>
    <row r="99" customFormat="false" ht="15" hidden="false" customHeight="false" outlineLevel="0" collapsed="false">
      <c r="A99" s="20" t="s">
        <v>1209</v>
      </c>
      <c r="F99" s="20" t="s">
        <v>1274</v>
      </c>
      <c r="G99" s="20" t="s">
        <v>1274</v>
      </c>
      <c r="H99" s="20" t="s">
        <v>1274</v>
      </c>
      <c r="I99" s="20" t="s">
        <v>1275</v>
      </c>
      <c r="J99" s="20" t="s">
        <v>1276</v>
      </c>
      <c r="K99" s="20" t="s">
        <v>1277</v>
      </c>
      <c r="L99" s="20" t="s">
        <v>1278</v>
      </c>
      <c r="M99" s="20" t="s">
        <v>1279</v>
      </c>
      <c r="N99" s="20" t="s">
        <v>1280</v>
      </c>
      <c r="O99" s="20" t="s">
        <v>1281</v>
      </c>
    </row>
    <row r="100" customFormat="false" ht="15" hidden="false" customHeight="false" outlineLevel="0" collapsed="false">
      <c r="A100" s="3" t="s">
        <v>1220</v>
      </c>
      <c r="F100" s="96" t="n">
        <f aca="false">IF(F97="Not disclosed",F98,F96)</f>
        <v>130</v>
      </c>
      <c r="G100" s="96" t="n">
        <f aca="false">IF(G97="Not disclosed",G98,G96)</f>
        <v>130</v>
      </c>
      <c r="H100" s="96" t="n">
        <f aca="false">IF(H97="Not disclosed",H98,H96)</f>
        <v>129.9</v>
      </c>
      <c r="I100" s="96" t="n">
        <f aca="false">IF(I97="Not disclosed",I98,I96)</f>
        <v>417.6</v>
      </c>
      <c r="J100" s="96" t="n">
        <f aca="false">IF(J97="Not disclosed",J98,J96)</f>
        <v>544</v>
      </c>
      <c r="K100" s="96" t="n">
        <f aca="false">IF(K97="Not disclosed",K98,K96)</f>
        <v>510.6</v>
      </c>
      <c r="L100" s="96" t="n">
        <f aca="false">IF(L97="Not disclosed",L98,L96)</f>
        <v>955.5</v>
      </c>
      <c r="M100" s="96" t="n">
        <f aca="false">IF(M97="Not disclosed",M98,M96)</f>
        <v>2056</v>
      </c>
      <c r="N100" s="96" t="n">
        <f aca="false">IF(N97="Not disclosed",N98,N96)</f>
        <v>2472.9</v>
      </c>
      <c r="O100" s="96" t="n">
        <f aca="false">IF(O97="Not disclosed",O98,O96)</f>
        <v>5657.4</v>
      </c>
    </row>
    <row r="102" customFormat="false" ht="15" hidden="false" customHeight="false" outlineLevel="0" collapsed="false">
      <c r="A102" s="3" t="s">
        <v>1282</v>
      </c>
      <c r="B102" s="0" t="s">
        <v>561</v>
      </c>
      <c r="C102" s="0" t="s">
        <v>550</v>
      </c>
      <c r="D102" s="28"/>
      <c r="F102" s="20" t="s">
        <v>1223</v>
      </c>
      <c r="G102" s="20" t="s">
        <v>1223</v>
      </c>
      <c r="H102" s="20" t="s">
        <v>1223</v>
      </c>
      <c r="I102" s="95" t="n">
        <v>2434.7</v>
      </c>
      <c r="J102" s="95" t="n">
        <v>1447</v>
      </c>
      <c r="K102" s="95" t="n">
        <v>1679.3</v>
      </c>
      <c r="L102" s="95" t="n">
        <v>4794.8</v>
      </c>
      <c r="M102" s="95" t="n">
        <v>3678.1</v>
      </c>
      <c r="N102" s="95" t="n">
        <v>9298.2</v>
      </c>
      <c r="O102" s="95" t="n">
        <v>8042.1</v>
      </c>
    </row>
    <row r="103" customFormat="false" ht="15" hidden="false" customHeight="false" outlineLevel="0" collapsed="false">
      <c r="A103" s="20" t="s">
        <v>1207</v>
      </c>
      <c r="F103" s="97" t="s">
        <v>1000</v>
      </c>
      <c r="G103" s="97" t="s">
        <v>1000</v>
      </c>
      <c r="H103" s="97" t="s">
        <v>1000</v>
      </c>
      <c r="I103" s="52" t="s">
        <v>507</v>
      </c>
      <c r="J103" s="52" t="s">
        <v>507</v>
      </c>
      <c r="K103" s="52" t="s">
        <v>507</v>
      </c>
      <c r="L103" s="52" t="s">
        <v>507</v>
      </c>
      <c r="M103" s="52" t="s">
        <v>507</v>
      </c>
      <c r="N103" s="52" t="s">
        <v>507</v>
      </c>
      <c r="O103" s="52" t="s">
        <v>507</v>
      </c>
    </row>
    <row r="104" customFormat="false" ht="15" hidden="false" customHeight="false" outlineLevel="0" collapsed="false">
      <c r="A104" s="20" t="s">
        <v>1208</v>
      </c>
      <c r="F104" s="83" t="n">
        <v>2288.2</v>
      </c>
      <c r="G104" s="83" t="n">
        <v>2288.2</v>
      </c>
      <c r="H104" s="98" t="n">
        <v>2288.2</v>
      </c>
    </row>
    <row r="105" customFormat="false" ht="15" hidden="false" customHeight="false" outlineLevel="0" collapsed="false">
      <c r="A105" s="20" t="s">
        <v>1209</v>
      </c>
      <c r="F105" s="20" t="s">
        <v>1283</v>
      </c>
      <c r="G105" s="20" t="s">
        <v>1283</v>
      </c>
      <c r="H105" s="20" t="s">
        <v>1284</v>
      </c>
      <c r="I105" s="20" t="s">
        <v>1213</v>
      </c>
      <c r="J105" s="20" t="s">
        <v>1214</v>
      </c>
      <c r="K105" s="20" t="s">
        <v>1215</v>
      </c>
      <c r="L105" s="20" t="s">
        <v>1216</v>
      </c>
      <c r="M105" s="20" t="s">
        <v>1217</v>
      </c>
      <c r="N105" s="20" t="s">
        <v>1218</v>
      </c>
      <c r="O105" s="20" t="s">
        <v>1219</v>
      </c>
    </row>
    <row r="106" customFormat="false" ht="15" hidden="false" customHeight="false" outlineLevel="0" collapsed="false">
      <c r="A106" s="3" t="s">
        <v>1220</v>
      </c>
      <c r="F106" s="96" t="n">
        <f aca="false">IF(F103="Not disclosed",F104,F102)</f>
        <v>2288.2</v>
      </c>
      <c r="G106" s="96" t="n">
        <f aca="false">IF(G103="Not disclosed",G104,G102)</f>
        <v>2288.2</v>
      </c>
      <c r="H106" s="96" t="n">
        <f aca="false">IF(H103="Not disclosed",H104,H102)</f>
        <v>2288.2</v>
      </c>
      <c r="I106" s="96" t="n">
        <f aca="false">IF(I103="Not disclosed",I104,I102)</f>
        <v>2434.7</v>
      </c>
      <c r="J106" s="96" t="n">
        <f aca="false">IF(J103="Not disclosed",J104,J102)</f>
        <v>1447</v>
      </c>
      <c r="K106" s="96" t="n">
        <f aca="false">IF(K103="Not disclosed",K104,K102)</f>
        <v>1679.3</v>
      </c>
      <c r="L106" s="96" t="n">
        <f aca="false">IF(L103="Not disclosed",L104,L102)</f>
        <v>4794.8</v>
      </c>
      <c r="M106" s="96" t="n">
        <f aca="false">IF(M103="Not disclosed",M104,M102)</f>
        <v>3678.1</v>
      </c>
      <c r="N106" s="96" t="n">
        <f aca="false">IF(N103="Not disclosed",N104,N102)</f>
        <v>9298.2</v>
      </c>
      <c r="O106" s="96" t="n">
        <f aca="false">IF(O103="Not disclosed",O104,O102)</f>
        <v>8042.1</v>
      </c>
    </row>
    <row r="108" customFormat="false" ht="15" hidden="false" customHeight="false" outlineLevel="0" collapsed="false">
      <c r="A108" s="3" t="s">
        <v>1285</v>
      </c>
      <c r="B108" s="0" t="s">
        <v>995</v>
      </c>
      <c r="C108" s="0" t="s">
        <v>550</v>
      </c>
      <c r="D108" s="28"/>
      <c r="F108" s="20" t="s">
        <v>1223</v>
      </c>
      <c r="G108" s="20" t="s">
        <v>1223</v>
      </c>
      <c r="H108" s="99" t="n">
        <v>199.340118</v>
      </c>
      <c r="I108" s="99" t="n">
        <v>235.7536</v>
      </c>
      <c r="J108" s="99" t="n">
        <v>238.108831</v>
      </c>
      <c r="K108" s="99" t="n">
        <v>238.705092</v>
      </c>
      <c r="L108" s="99" t="n">
        <v>251.807222</v>
      </c>
      <c r="M108" s="99" t="n">
        <v>253.016971</v>
      </c>
      <c r="N108" s="99" t="n">
        <v>253.898194</v>
      </c>
      <c r="O108" s="99" t="n">
        <v>271.855218</v>
      </c>
    </row>
    <row r="109" customFormat="false" ht="15" hidden="false" customHeight="false" outlineLevel="0" collapsed="false">
      <c r="A109" s="20" t="s">
        <v>1207</v>
      </c>
      <c r="F109" s="97" t="s">
        <v>1000</v>
      </c>
      <c r="G109" s="97" t="s">
        <v>1000</v>
      </c>
      <c r="H109" s="52" t="s">
        <v>507</v>
      </c>
      <c r="I109" s="52" t="s">
        <v>507</v>
      </c>
      <c r="J109" s="52" t="s">
        <v>507</v>
      </c>
      <c r="K109" s="52" t="s">
        <v>507</v>
      </c>
      <c r="L109" s="52" t="s">
        <v>507</v>
      </c>
      <c r="M109" s="52" t="s">
        <v>507</v>
      </c>
      <c r="N109" s="52" t="s">
        <v>507</v>
      </c>
      <c r="O109" s="52" t="s">
        <v>507</v>
      </c>
    </row>
    <row r="110" customFormat="false" ht="15" hidden="false" customHeight="false" outlineLevel="0" collapsed="false">
      <c r="A110" s="20" t="s">
        <v>1208</v>
      </c>
      <c r="F110" s="100" t="n">
        <v>199.34</v>
      </c>
      <c r="G110" s="100" t="n">
        <v>199.34</v>
      </c>
    </row>
    <row r="111" customFormat="false" ht="15" hidden="false" customHeight="false" outlineLevel="0" collapsed="false">
      <c r="A111" s="20" t="s">
        <v>1209</v>
      </c>
      <c r="F111" s="20" t="s">
        <v>1286</v>
      </c>
      <c r="G111" s="20" t="s">
        <v>1286</v>
      </c>
      <c r="H111" s="20" t="s">
        <v>1212</v>
      </c>
      <c r="I111" s="20" t="s">
        <v>1213</v>
      </c>
      <c r="J111" s="20" t="s">
        <v>1214</v>
      </c>
      <c r="K111" s="20" t="s">
        <v>1215</v>
      </c>
      <c r="L111" s="20" t="s">
        <v>1216</v>
      </c>
      <c r="M111" s="20" t="s">
        <v>1217</v>
      </c>
      <c r="N111" s="20" t="s">
        <v>1218</v>
      </c>
      <c r="O111" s="20" t="s">
        <v>1219</v>
      </c>
    </row>
    <row r="112" customFormat="false" ht="15" hidden="false" customHeight="false" outlineLevel="0" collapsed="false">
      <c r="A112" s="3" t="s">
        <v>1220</v>
      </c>
      <c r="F112" s="101" t="n">
        <f aca="false">IF(F109="Not disclosed",F110,F108)</f>
        <v>199.34</v>
      </c>
      <c r="G112" s="101" t="n">
        <f aca="false">IF(G109="Not disclosed",G110,G108)</f>
        <v>199.34</v>
      </c>
      <c r="H112" s="101" t="n">
        <f aca="false">IF(H109="Not disclosed",H110,H108)</f>
        <v>199.340118</v>
      </c>
      <c r="I112" s="101" t="n">
        <f aca="false">IF(I109="Not disclosed",I110,I108)</f>
        <v>235.7536</v>
      </c>
      <c r="J112" s="101" t="n">
        <f aca="false">IF(J109="Not disclosed",J110,J108)</f>
        <v>238.108831</v>
      </c>
      <c r="K112" s="101" t="n">
        <f aca="false">IF(K109="Not disclosed",K110,K108)</f>
        <v>238.705092</v>
      </c>
      <c r="L112" s="101" t="n">
        <f aca="false">IF(L109="Not disclosed",L110,L108)</f>
        <v>251.807222</v>
      </c>
      <c r="M112" s="101" t="n">
        <f aca="false">IF(M109="Not disclosed",M110,M108)</f>
        <v>253.016971</v>
      </c>
      <c r="N112" s="101" t="n">
        <f aca="false">IF(N109="Not disclosed",N110,N108)</f>
        <v>253.898194</v>
      </c>
      <c r="O112" s="101" t="n">
        <f aca="false">IF(O109="Not disclosed",O110,O108)</f>
        <v>271.855218</v>
      </c>
    </row>
    <row r="114" customFormat="false" ht="22.35" hidden="false" customHeight="false" outlineLevel="0" collapsed="false">
      <c r="A114" s="3" t="s">
        <v>1287</v>
      </c>
      <c r="B114" s="0" t="s">
        <v>575</v>
      </c>
      <c r="C114" s="0" t="s">
        <v>513</v>
      </c>
      <c r="D114" s="28" t="s">
        <v>1288</v>
      </c>
      <c r="F114" s="20" t="s">
        <v>1223</v>
      </c>
      <c r="G114" s="20" t="s">
        <v>1223</v>
      </c>
      <c r="H114" s="20" t="s">
        <v>1223</v>
      </c>
      <c r="I114" s="20" t="s">
        <v>1223</v>
      </c>
      <c r="J114" s="20" t="s">
        <v>1223</v>
      </c>
      <c r="K114" s="20" t="s">
        <v>1223</v>
      </c>
      <c r="L114" s="20" t="s">
        <v>1223</v>
      </c>
      <c r="M114" s="95" t="n">
        <v>170</v>
      </c>
      <c r="N114" s="20" t="s">
        <v>1223</v>
      </c>
      <c r="O114" s="20" t="s">
        <v>1223</v>
      </c>
    </row>
    <row r="115" customFormat="false" ht="15" hidden="false" customHeight="false" outlineLevel="0" collapsed="false">
      <c r="A115" s="20" t="s">
        <v>1207</v>
      </c>
      <c r="F115" s="97" t="s">
        <v>1000</v>
      </c>
      <c r="G115" s="97" t="s">
        <v>1000</v>
      </c>
      <c r="H115" s="97" t="s">
        <v>1000</v>
      </c>
      <c r="I115" s="97" t="s">
        <v>1000</v>
      </c>
      <c r="J115" s="97" t="s">
        <v>1000</v>
      </c>
      <c r="K115" s="97" t="s">
        <v>1000</v>
      </c>
      <c r="L115" s="97" t="s">
        <v>1000</v>
      </c>
      <c r="M115" s="52" t="s">
        <v>507</v>
      </c>
      <c r="N115" s="97" t="s">
        <v>1000</v>
      </c>
      <c r="O115" s="97" t="s">
        <v>1000</v>
      </c>
    </row>
    <row r="116" customFormat="false" ht="15" hidden="false" customHeight="false" outlineLevel="0" collapsed="false">
      <c r="A116" s="20" t="s">
        <v>1208</v>
      </c>
      <c r="F116" s="98" t="n">
        <v>8.5</v>
      </c>
      <c r="G116" s="98" t="n">
        <v>10.8</v>
      </c>
      <c r="H116" s="98" t="n">
        <v>24</v>
      </c>
      <c r="I116" s="98" t="n">
        <v>26.3</v>
      </c>
      <c r="J116" s="98" t="n">
        <v>38</v>
      </c>
      <c r="K116" s="98" t="n">
        <v>78.5</v>
      </c>
      <c r="L116" s="98" t="n">
        <v>109.1</v>
      </c>
      <c r="N116" s="98" t="n">
        <v>291.7</v>
      </c>
      <c r="O116" s="98" t="n">
        <v>413.3</v>
      </c>
    </row>
    <row r="117" customFormat="false" ht="15" hidden="false" customHeight="false" outlineLevel="0" collapsed="false">
      <c r="A117" s="20" t="s">
        <v>1209</v>
      </c>
      <c r="F117" s="20" t="s">
        <v>1289</v>
      </c>
      <c r="G117" s="20" t="s">
        <v>1289</v>
      </c>
      <c r="H117" s="20" t="s">
        <v>1289</v>
      </c>
      <c r="I117" s="20" t="s">
        <v>1289</v>
      </c>
      <c r="J117" s="20" t="s">
        <v>1289</v>
      </c>
      <c r="K117" s="20" t="s">
        <v>1289</v>
      </c>
      <c r="L117" s="20" t="s">
        <v>1289</v>
      </c>
      <c r="M117" s="20" t="s">
        <v>1290</v>
      </c>
      <c r="N117" s="20" t="s">
        <v>1291</v>
      </c>
      <c r="O117" s="20" t="s">
        <v>1291</v>
      </c>
    </row>
    <row r="118" customFormat="false" ht="15" hidden="false" customHeight="false" outlineLevel="0" collapsed="false">
      <c r="A118" s="3" t="s">
        <v>1220</v>
      </c>
      <c r="F118" s="96" t="n">
        <f aca="false">IF(F115="Not disclosed",F116,F114)</f>
        <v>8.5</v>
      </c>
      <c r="G118" s="96" t="n">
        <f aca="false">IF(G115="Not disclosed",G116,G114)</f>
        <v>10.8</v>
      </c>
      <c r="H118" s="96" t="n">
        <f aca="false">IF(H115="Not disclosed",H116,H114)</f>
        <v>24</v>
      </c>
      <c r="I118" s="96" t="n">
        <f aca="false">IF(I115="Not disclosed",I116,I114)</f>
        <v>26.3</v>
      </c>
      <c r="J118" s="96" t="n">
        <f aca="false">IF(J115="Not disclosed",J116,J114)</f>
        <v>38</v>
      </c>
      <c r="K118" s="96" t="n">
        <f aca="false">IF(K115="Not disclosed",K116,K114)</f>
        <v>78.5</v>
      </c>
      <c r="L118" s="96" t="n">
        <f aca="false">IF(L115="Not disclosed",L116,L114)</f>
        <v>109.1</v>
      </c>
      <c r="M118" s="96" t="n">
        <f aca="false">IF(M115="Not disclosed",M116,M114)</f>
        <v>170</v>
      </c>
      <c r="N118" s="96" t="n">
        <f aca="false">IF(N115="Not disclosed",N116,N114)</f>
        <v>291.7</v>
      </c>
      <c r="O118" s="96" t="n">
        <f aca="false">IF(O115="Not disclosed",O116,O114)</f>
        <v>413.3</v>
      </c>
    </row>
    <row r="120" customFormat="false" ht="15" hidden="false" customHeight="false" outlineLevel="0" collapsed="false">
      <c r="A120" s="3" t="s">
        <v>1292</v>
      </c>
      <c r="B120" s="0" t="s">
        <v>575</v>
      </c>
      <c r="C120" s="0" t="s">
        <v>894</v>
      </c>
      <c r="D120" s="28" t="s">
        <v>1293</v>
      </c>
      <c r="F120" s="20" t="s">
        <v>1223</v>
      </c>
      <c r="G120" s="20" t="s">
        <v>1223</v>
      </c>
      <c r="H120" s="20" t="s">
        <v>1223</v>
      </c>
      <c r="I120" s="20" t="s">
        <v>1223</v>
      </c>
      <c r="J120" s="20" t="s">
        <v>1223</v>
      </c>
      <c r="K120" s="20" t="s">
        <v>1223</v>
      </c>
      <c r="L120" s="20" t="s">
        <v>1223</v>
      </c>
      <c r="M120" s="95" t="n">
        <v>2000</v>
      </c>
      <c r="N120" s="20" t="s">
        <v>1223</v>
      </c>
      <c r="O120" s="95" t="n">
        <v>3500</v>
      </c>
    </row>
    <row r="121" customFormat="false" ht="15" hidden="false" customHeight="false" outlineLevel="0" collapsed="false">
      <c r="A121" s="20" t="s">
        <v>1207</v>
      </c>
      <c r="F121" s="97" t="s">
        <v>1000</v>
      </c>
      <c r="G121" s="97" t="s">
        <v>1000</v>
      </c>
      <c r="H121" s="97" t="s">
        <v>1000</v>
      </c>
      <c r="I121" s="97" t="s">
        <v>1000</v>
      </c>
      <c r="J121" s="97" t="s">
        <v>1000</v>
      </c>
      <c r="K121" s="97" t="s">
        <v>1000</v>
      </c>
      <c r="L121" s="97" t="s">
        <v>1000</v>
      </c>
      <c r="M121" s="52" t="s">
        <v>507</v>
      </c>
      <c r="N121" s="97" t="s">
        <v>1000</v>
      </c>
      <c r="O121" s="52" t="s">
        <v>507</v>
      </c>
    </row>
    <row r="122" customFormat="false" ht="15" hidden="false" customHeight="false" outlineLevel="0" collapsed="false">
      <c r="A122" s="20" t="s">
        <v>1208</v>
      </c>
      <c r="F122" s="63" t="n">
        <v>0</v>
      </c>
      <c r="G122" s="63" t="n">
        <v>0</v>
      </c>
      <c r="H122" s="63" t="n">
        <v>0</v>
      </c>
      <c r="I122" s="63" t="n">
        <v>0</v>
      </c>
      <c r="J122" s="63" t="n">
        <v>0</v>
      </c>
      <c r="K122" s="63" t="n">
        <v>0</v>
      </c>
      <c r="L122" s="63" t="n">
        <v>0</v>
      </c>
      <c r="N122" s="98" t="n">
        <v>2750</v>
      </c>
    </row>
    <row r="123" customFormat="false" ht="15" hidden="false" customHeight="false" outlineLevel="0" collapsed="false">
      <c r="A123" s="20" t="s">
        <v>1209</v>
      </c>
      <c r="F123" s="20" t="s">
        <v>1294</v>
      </c>
      <c r="G123" s="20" t="s">
        <v>1294</v>
      </c>
      <c r="H123" s="20" t="s">
        <v>1294</v>
      </c>
      <c r="I123" s="20" t="s">
        <v>1294</v>
      </c>
      <c r="J123" s="20" t="s">
        <v>1294</v>
      </c>
      <c r="K123" s="20" t="s">
        <v>1294</v>
      </c>
      <c r="L123" s="20" t="s">
        <v>1294</v>
      </c>
      <c r="M123" s="20" t="s">
        <v>1295</v>
      </c>
      <c r="N123" s="20" t="s">
        <v>1296</v>
      </c>
      <c r="O123" s="20" t="s">
        <v>1297</v>
      </c>
    </row>
    <row r="124" customFormat="false" ht="15" hidden="false" customHeight="false" outlineLevel="0" collapsed="false">
      <c r="A124" s="3" t="s">
        <v>1220</v>
      </c>
      <c r="F124" s="96" t="n">
        <f aca="false">IF(F121="Not disclosed",F122,F120)</f>
        <v>0</v>
      </c>
      <c r="G124" s="96" t="n">
        <f aca="false">IF(G121="Not disclosed",G122,G120)</f>
        <v>0</v>
      </c>
      <c r="H124" s="96" t="n">
        <f aca="false">IF(H121="Not disclosed",H122,H120)</f>
        <v>0</v>
      </c>
      <c r="I124" s="96" t="n">
        <f aca="false">IF(I121="Not disclosed",I122,I120)</f>
        <v>0</v>
      </c>
      <c r="J124" s="96" t="n">
        <f aca="false">IF(J121="Not disclosed",J122,J120)</f>
        <v>0</v>
      </c>
      <c r="K124" s="96" t="n">
        <f aca="false">IF(K121="Not disclosed",K122,K120)</f>
        <v>0</v>
      </c>
      <c r="L124" s="96" t="n">
        <f aca="false">IF(L121="Not disclosed",L122,L120)</f>
        <v>0</v>
      </c>
      <c r="M124" s="96" t="n">
        <f aca="false">IF(M121="Not disclosed",M122,M120)</f>
        <v>2000</v>
      </c>
      <c r="N124" s="96" t="n">
        <f aca="false">IF(N121="Not disclosed",N122,N120)</f>
        <v>2750</v>
      </c>
      <c r="O124" s="96" t="n">
        <f aca="false">IF(O121="Not disclosed",O122,O120)</f>
        <v>3500</v>
      </c>
    </row>
    <row r="126" customFormat="false" ht="15" hidden="false" customHeight="false" outlineLevel="0" collapsed="false">
      <c r="A126" s="3" t="s">
        <v>1298</v>
      </c>
      <c r="B126" s="0" t="s">
        <v>561</v>
      </c>
      <c r="C126" s="0" t="s">
        <v>550</v>
      </c>
      <c r="D126" s="28" t="s">
        <v>1299</v>
      </c>
      <c r="F126" s="20" t="s">
        <v>1223</v>
      </c>
      <c r="G126" s="20" t="s">
        <v>1223</v>
      </c>
      <c r="H126" s="20" t="s">
        <v>1223</v>
      </c>
      <c r="I126" s="20" t="s">
        <v>1223</v>
      </c>
      <c r="J126" s="20" t="s">
        <v>1223</v>
      </c>
      <c r="K126" s="20" t="s">
        <v>1223</v>
      </c>
      <c r="L126" s="20" t="s">
        <v>1223</v>
      </c>
      <c r="M126" s="67" t="n">
        <v>1578</v>
      </c>
      <c r="N126" s="67" t="n">
        <v>4778</v>
      </c>
      <c r="O126" s="67" t="n">
        <v>5975</v>
      </c>
    </row>
    <row r="127" customFormat="false" ht="15" hidden="false" customHeight="false" outlineLevel="0" collapsed="false">
      <c r="A127" s="20" t="s">
        <v>1207</v>
      </c>
      <c r="F127" s="97" t="s">
        <v>1000</v>
      </c>
      <c r="G127" s="97" t="s">
        <v>1000</v>
      </c>
      <c r="H127" s="97" t="s">
        <v>1000</v>
      </c>
      <c r="I127" s="97" t="s">
        <v>1000</v>
      </c>
      <c r="J127" s="97" t="s">
        <v>1000</v>
      </c>
      <c r="K127" s="97" t="s">
        <v>1000</v>
      </c>
      <c r="L127" s="97" t="s">
        <v>1000</v>
      </c>
      <c r="M127" s="52" t="s">
        <v>507</v>
      </c>
      <c r="N127" s="52" t="s">
        <v>507</v>
      </c>
      <c r="O127" s="52" t="s">
        <v>507</v>
      </c>
    </row>
    <row r="128" customFormat="false" ht="15" hidden="false" customHeight="false" outlineLevel="0" collapsed="false">
      <c r="A128" s="20" t="s">
        <v>1208</v>
      </c>
      <c r="F128" s="63" t="n">
        <v>0</v>
      </c>
      <c r="G128" s="63" t="n">
        <v>0</v>
      </c>
      <c r="H128" s="63" t="n">
        <v>0</v>
      </c>
      <c r="I128" s="63" t="n">
        <v>0</v>
      </c>
      <c r="J128" s="63" t="n">
        <v>0</v>
      </c>
      <c r="K128" s="63" t="n">
        <v>0</v>
      </c>
      <c r="L128" s="63" t="n">
        <v>0</v>
      </c>
    </row>
    <row r="129" customFormat="false" ht="15" hidden="false" customHeight="false" outlineLevel="0" collapsed="false">
      <c r="A129" s="20" t="s">
        <v>1209</v>
      </c>
      <c r="F129" s="20" t="s">
        <v>1300</v>
      </c>
      <c r="G129" s="20" t="s">
        <v>1300</v>
      </c>
      <c r="H129" s="20" t="s">
        <v>1300</v>
      </c>
      <c r="I129" s="20" t="s">
        <v>1300</v>
      </c>
      <c r="J129" s="20" t="s">
        <v>1300</v>
      </c>
      <c r="K129" s="20" t="s">
        <v>1300</v>
      </c>
      <c r="L129" s="20" t="s">
        <v>1300</v>
      </c>
      <c r="M129" s="20" t="s">
        <v>1301</v>
      </c>
      <c r="N129" s="20" t="s">
        <v>1302</v>
      </c>
      <c r="O129" s="20" t="s">
        <v>1303</v>
      </c>
    </row>
    <row r="130" customFormat="false" ht="15" hidden="false" customHeight="false" outlineLevel="0" collapsed="false">
      <c r="A130" s="3" t="s">
        <v>1220</v>
      </c>
      <c r="F130" s="5" t="n">
        <f aca="false">IF(F127="Not disclosed",F128,F126)</f>
        <v>0</v>
      </c>
      <c r="G130" s="5" t="n">
        <f aca="false">IF(G127="Not disclosed",G128,G126)</f>
        <v>0</v>
      </c>
      <c r="H130" s="5" t="n">
        <f aca="false">IF(H127="Not disclosed",H128,H126)</f>
        <v>0</v>
      </c>
      <c r="I130" s="5" t="n">
        <f aca="false">IF(I127="Not disclosed",I128,I126)</f>
        <v>0</v>
      </c>
      <c r="J130" s="5" t="n">
        <f aca="false">IF(J127="Not disclosed",J128,J126)</f>
        <v>0</v>
      </c>
      <c r="K130" s="5" t="n">
        <f aca="false">IF(K127="Not disclosed",K128,K126)</f>
        <v>0</v>
      </c>
      <c r="L130" s="5" t="n">
        <f aca="false">IF(L127="Not disclosed",L128,L126)</f>
        <v>0</v>
      </c>
      <c r="M130" s="5" t="n">
        <f aca="false">IF(M127="Not disclosed",M128,M126)</f>
        <v>1578</v>
      </c>
      <c r="N130" s="5" t="n">
        <f aca="false">IF(N127="Not disclosed",N128,N126)</f>
        <v>4778</v>
      </c>
      <c r="O130" s="5" t="n">
        <f aca="false">IF(O127="Not disclosed",O128,O126)</f>
        <v>5975</v>
      </c>
    </row>
    <row r="132" customFormat="false" ht="15" hidden="false" customHeight="false" outlineLevel="0" collapsed="false">
      <c r="A132" s="3" t="s">
        <v>1304</v>
      </c>
      <c r="B132" s="0" t="s">
        <v>561</v>
      </c>
      <c r="C132" s="0" t="s">
        <v>550</v>
      </c>
      <c r="D132" s="28" t="s">
        <v>1305</v>
      </c>
      <c r="F132" s="20" t="s">
        <v>1223</v>
      </c>
      <c r="G132" s="20" t="s">
        <v>1223</v>
      </c>
      <c r="H132" s="20" t="s">
        <v>1223</v>
      </c>
      <c r="I132" s="20" t="s">
        <v>1223</v>
      </c>
      <c r="J132" s="20" t="s">
        <v>1223</v>
      </c>
      <c r="K132" s="20" t="s">
        <v>1223</v>
      </c>
      <c r="L132" s="20" t="s">
        <v>1223</v>
      </c>
      <c r="M132" s="67" t="n">
        <v>21300</v>
      </c>
      <c r="N132" s="67" t="n">
        <v>33600</v>
      </c>
      <c r="O132" s="67" t="n">
        <v>37490.6</v>
      </c>
    </row>
    <row r="133" customFormat="false" ht="15" hidden="false" customHeight="false" outlineLevel="0" collapsed="false">
      <c r="A133" s="20" t="s">
        <v>1207</v>
      </c>
      <c r="F133" s="97" t="s">
        <v>1000</v>
      </c>
      <c r="G133" s="97" t="s">
        <v>1000</v>
      </c>
      <c r="H133" s="97" t="s">
        <v>1000</v>
      </c>
      <c r="I133" s="97" t="s">
        <v>1000</v>
      </c>
      <c r="J133" s="97" t="s">
        <v>1000</v>
      </c>
      <c r="K133" s="97" t="s">
        <v>1000</v>
      </c>
      <c r="L133" s="97" t="s">
        <v>1000</v>
      </c>
      <c r="M133" s="52" t="s">
        <v>507</v>
      </c>
      <c r="N133" s="52" t="s">
        <v>507</v>
      </c>
      <c r="O133" s="52" t="s">
        <v>507</v>
      </c>
    </row>
    <row r="134" customFormat="false" ht="15" hidden="false" customHeight="false" outlineLevel="0" collapsed="false">
      <c r="A134" s="20" t="s">
        <v>1208</v>
      </c>
    </row>
    <row r="135" customFormat="false" ht="15" hidden="false" customHeight="false" outlineLevel="0" collapsed="false">
      <c r="A135" s="20" t="s">
        <v>1209</v>
      </c>
      <c r="F135" s="20" t="s">
        <v>1306</v>
      </c>
      <c r="G135" s="20" t="s">
        <v>1306</v>
      </c>
      <c r="H135" s="20" t="s">
        <v>1306</v>
      </c>
      <c r="I135" s="20" t="s">
        <v>1306</v>
      </c>
      <c r="J135" s="20" t="s">
        <v>1306</v>
      </c>
      <c r="K135" s="20" t="s">
        <v>1306</v>
      </c>
      <c r="L135" s="20" t="s">
        <v>1306</v>
      </c>
      <c r="M135" s="20" t="s">
        <v>1307</v>
      </c>
      <c r="N135" s="20" t="s">
        <v>1302</v>
      </c>
      <c r="O135" s="20" t="s">
        <v>1308</v>
      </c>
    </row>
    <row r="136" customFormat="false" ht="15" hidden="false" customHeight="false" outlineLevel="0" collapsed="false">
      <c r="A136" s="3" t="s">
        <v>1220</v>
      </c>
      <c r="F136" s="5" t="n">
        <f aca="false">IF(F133="Not disclosed",F134,F132)</f>
        <v>0</v>
      </c>
      <c r="G136" s="5" t="n">
        <f aca="false">IF(G133="Not disclosed",G134,G132)</f>
        <v>0</v>
      </c>
      <c r="H136" s="5" t="n">
        <f aca="false">IF(H133="Not disclosed",H134,H132)</f>
        <v>0</v>
      </c>
      <c r="I136" s="5" t="n">
        <f aca="false">IF(I133="Not disclosed",I134,I132)</f>
        <v>0</v>
      </c>
      <c r="J136" s="5" t="n">
        <f aca="false">IF(J133="Not disclosed",J134,J132)</f>
        <v>0</v>
      </c>
      <c r="K136" s="5" t="n">
        <f aca="false">IF(K133="Not disclosed",K134,K132)</f>
        <v>0</v>
      </c>
      <c r="L136" s="5" t="n">
        <f aca="false">IF(L133="Not disclosed",L134,L132)</f>
        <v>0</v>
      </c>
      <c r="M136" s="5" t="n">
        <f aca="false">IF(M133="Not disclosed",M134,M132)</f>
        <v>21300</v>
      </c>
      <c r="N136" s="5" t="n">
        <f aca="false">IF(N133="Not disclosed",N134,N132)</f>
        <v>33600</v>
      </c>
      <c r="O136" s="5" t="n">
        <f aca="false">IF(O133="Not disclosed",O134,O132)</f>
        <v>37490.6</v>
      </c>
    </row>
  </sheetData>
  <dataValidations count="1">
    <dataValidation allowBlank="false" errorStyle="stop" operator="between" showDropDown="false" showErrorMessage="false" showInputMessage="false" sqref="F7:O7 F13:O13 F19:O19 F25:O25 F31:O31 F37:O37 F43:O43 F49:O49 F55:O55 F61:O61 F67:O67 F73:O73 F79:O79 F85:O85 F91:O91 F97:O97 F103:O103 F109:O109 F115:O115 F121:O121 F127:O127 F133:O133" type="list">
      <formula1>"Reported,Derived,Estimated,Not disclosed"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2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1309</v>
      </c>
    </row>
    <row r="2" customFormat="false" ht="15" hidden="false" customHeight="false" outlineLevel="0" collapsed="false">
      <c r="A2" s="20" t="s">
        <v>1310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1319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1320</v>
      </c>
      <c r="B11" s="3" t="s">
        <v>1321</v>
      </c>
      <c r="C11" s="3" t="s">
        <v>1322</v>
      </c>
      <c r="D11" s="3" t="s">
        <v>1323</v>
      </c>
      <c r="E11" s="3" t="s">
        <v>1324</v>
      </c>
      <c r="F11" s="3" t="s">
        <v>1325</v>
      </c>
      <c r="G11" s="3" t="s">
        <v>1326</v>
      </c>
      <c r="H11" s="3" t="s">
        <v>1327</v>
      </c>
      <c r="I11" s="3" t="s">
        <v>1328</v>
      </c>
      <c r="J11" s="3" t="s">
        <v>1329</v>
      </c>
      <c r="K11" s="3" t="s">
        <v>1330</v>
      </c>
      <c r="L11" s="3" t="s">
        <v>1331</v>
      </c>
      <c r="M11" s="3" t="s">
        <v>1332</v>
      </c>
      <c r="N11" s="3" t="s">
        <v>1333</v>
      </c>
      <c r="O11" s="3" t="s">
        <v>1334</v>
      </c>
      <c r="P11" s="3" t="s">
        <v>1335</v>
      </c>
    </row>
    <row r="12" customFormat="false" ht="15" hidden="false" customHeight="false" outlineLevel="0" collapsed="false">
      <c r="A12" s="0" t="s">
        <v>1336</v>
      </c>
      <c r="B12" s="103" t="s">
        <v>1337</v>
      </c>
      <c r="C12" s="103" t="s">
        <v>1338</v>
      </c>
      <c r="D12" s="20" t="s">
        <v>1339</v>
      </c>
      <c r="E12" s="103" t="s">
        <v>1340</v>
      </c>
      <c r="F12" s="24" t="n">
        <f aca="false">IF(C12="Facility",1/PUE,1)</f>
        <v>1</v>
      </c>
      <c r="G12" s="37" t="n">
        <f aca="false">IF(B12="Owned",1,0)</f>
        <v>0</v>
      </c>
      <c r="H12" s="70" t="n">
        <v>8</v>
      </c>
      <c r="I12" s="70" t="n">
        <v>8</v>
      </c>
      <c r="J12" s="70" t="n">
        <v>8</v>
      </c>
      <c r="K12" s="26" t="str">
        <f aca="false">IF(N(CHOOSE(Scen,H12,I12,J12))=0,"n/a",INDEX(Q_Lab,1,CHOOSE(Scen,H12,I12,J12)))</f>
        <v>Q4'25</v>
      </c>
      <c r="L12" s="97"/>
      <c r="M12" s="20" t="s">
        <v>1341</v>
      </c>
      <c r="N12" s="103" t="s">
        <v>1342</v>
      </c>
      <c r="O12" s="23" t="n">
        <f aca="false">IF(B12="Owned",IF(N12="GB300 NVL72",CPM_Own_GB300,IF(N12="Vera Rubin NVL72",CPM_Own_VR,IF(N12="GB200 NVL72",CPM_Own_GB200,CPM_Own_Other))),IF(N12="GB300 NVL72",CPM_Lease_GB300,IF(N12="Vera Rubin NVL72",CPM_Lease_VR,CPM_Lease)))</f>
        <v>41</v>
      </c>
      <c r="P12" s="24" t="n">
        <f aca="false">IF(B12="Owned",CPM_SP,0)</f>
        <v>0</v>
      </c>
    </row>
    <row r="13" customFormat="false" ht="15" hidden="false" customHeight="false" outlineLevel="0" collapsed="false">
      <c r="A13" s="0" t="s">
        <v>1343</v>
      </c>
      <c r="B13" s="103" t="s">
        <v>1344</v>
      </c>
      <c r="C13" s="103" t="s">
        <v>1345</v>
      </c>
      <c r="D13" s="20" t="s">
        <v>1346</v>
      </c>
      <c r="E13" s="103" t="s">
        <v>1347</v>
      </c>
      <c r="F13" s="24" t="n">
        <f aca="false">IF(C13="Facility",1/PUE,1)</f>
        <v>0.8</v>
      </c>
      <c r="G13" s="37" t="n">
        <f aca="false">IF(B13="Owned",1,0)</f>
        <v>1</v>
      </c>
      <c r="H13" s="70" t="n">
        <v>15</v>
      </c>
      <c r="I13" s="70" t="n">
        <v>15</v>
      </c>
      <c r="J13" s="70" t="n">
        <v>16</v>
      </c>
      <c r="K13" s="26" t="str">
        <f aca="false">IF(N(CHOOSE(Scen,H13,I13,J13))=0,"n/a",INDEX(Q_Lab,1,CHOOSE(Scen,H13,I13,J13)))</f>
        <v>Q3'27</v>
      </c>
      <c r="L13" s="97"/>
      <c r="M13" s="20" t="s">
        <v>1341</v>
      </c>
      <c r="N13" s="103" t="s">
        <v>1348</v>
      </c>
      <c r="O13" s="23" t="n">
        <f aca="false">IF(B13="Owned",IF(N13="GB300 NVL72",CPM_Own_GB300,IF(N13="Vera Rubin NVL72",CPM_Own_VR,IF(N13="GB200 NVL72",CPM_Own_GB200,CPM_Own_Other))),IF(N13="GB300 NVL72",CPM_Lease_GB300,IF(N13="Vera Rubin NVL72",CPM_Lease_VR,CPM_Lease)))</f>
        <v>56</v>
      </c>
      <c r="P13" s="24" t="n">
        <f aca="false">IF(B13="Owned",CPM_SP,0)</f>
        <v>11.25</v>
      </c>
    </row>
    <row r="14" customFormat="false" ht="15" hidden="false" customHeight="false" outlineLevel="0" collapsed="false">
      <c r="A14" s="0" t="s">
        <v>1349</v>
      </c>
      <c r="B14" s="103" t="s">
        <v>1344</v>
      </c>
      <c r="C14" s="103" t="s">
        <v>1345</v>
      </c>
      <c r="D14" s="20" t="s">
        <v>1346</v>
      </c>
      <c r="E14" s="103" t="s">
        <v>1340</v>
      </c>
      <c r="F14" s="24" t="n">
        <f aca="false">IF(C14="Facility",1/PUE,1)</f>
        <v>0.8</v>
      </c>
      <c r="G14" s="37" t="n">
        <f aca="false">IF(B14="Owned",1,0)</f>
        <v>1</v>
      </c>
      <c r="H14" s="70" t="n">
        <v>16</v>
      </c>
      <c r="I14" s="70" t="n">
        <v>16</v>
      </c>
      <c r="J14" s="70" t="n">
        <v>20</v>
      </c>
      <c r="K14" s="26" t="str">
        <f aca="false">IF(N(CHOOSE(Scen,H14,I14,J14))=0,"n/a",INDEX(Q_Lab,1,CHOOSE(Scen,H14,I14,J14)))</f>
        <v>Q4'27</v>
      </c>
      <c r="L14" s="97"/>
      <c r="M14" s="20" t="s">
        <v>1341</v>
      </c>
      <c r="N14" s="103" t="s">
        <v>1348</v>
      </c>
      <c r="O14" s="23" t="n">
        <f aca="false">IF(B14="Owned",IF(N14="GB300 NVL72",CPM_Own_GB300,IF(N14="Vera Rubin NVL72",CPM_Own_VR,IF(N14="GB200 NVL72",CPM_Own_GB200,CPM_Own_Other))),IF(N14="GB300 NVL72",CPM_Lease_GB300,IF(N14="Vera Rubin NVL72",CPM_Lease_VR,CPM_Lease)))</f>
        <v>56</v>
      </c>
      <c r="P14" s="24" t="n">
        <f aca="false">IF(B14="Owned",CPM_SP,0)</f>
        <v>11.25</v>
      </c>
    </row>
    <row r="15" customFormat="false" ht="15" hidden="false" customHeight="false" outlineLevel="0" collapsed="false">
      <c r="A15" s="0" t="s">
        <v>1350</v>
      </c>
      <c r="B15" s="103" t="s">
        <v>1344</v>
      </c>
      <c r="C15" s="103" t="s">
        <v>1345</v>
      </c>
      <c r="D15" s="20" t="s">
        <v>1346</v>
      </c>
      <c r="E15" s="103" t="s">
        <v>1351</v>
      </c>
      <c r="F15" s="24" t="n">
        <f aca="false">IF(C15="Facility",1/PUE,1)</f>
        <v>0.8</v>
      </c>
      <c r="G15" s="37" t="n">
        <f aca="false">IF(B15="Owned",1,0)</f>
        <v>1</v>
      </c>
      <c r="H15" s="70" t="n">
        <v>13</v>
      </c>
      <c r="I15" s="70" t="n">
        <v>13</v>
      </c>
      <c r="J15" s="70" t="n">
        <v>15</v>
      </c>
      <c r="K15" s="26" t="str">
        <f aca="false">IF(N(CHOOSE(Scen,H15,I15,J15))=0,"n/a",INDEX(Q_Lab,1,CHOOSE(Scen,H15,I15,J15)))</f>
        <v>Q1'27</v>
      </c>
      <c r="L15" s="97"/>
      <c r="M15" s="20" t="s">
        <v>1341</v>
      </c>
      <c r="N15" s="103" t="s">
        <v>1348</v>
      </c>
      <c r="O15" s="23" t="n">
        <f aca="false">IF(B15="Owned",IF(N15="GB300 NVL72",CPM_Own_GB300,IF(N15="Vera Rubin NVL72",CPM_Own_VR,IF(N15="GB200 NVL72",CPM_Own_GB200,CPM_Own_Other))),IF(N15="GB300 NVL72",CPM_Lease_GB300,IF(N15="Vera Rubin NVL72",CPM_Lease_VR,CPM_Lease)))</f>
        <v>56</v>
      </c>
      <c r="P15" s="24" t="n">
        <f aca="false">IF(B15="Owned",CPM_SP,0)</f>
        <v>11.25</v>
      </c>
    </row>
    <row r="16" customFormat="false" ht="15" hidden="false" customHeight="false" outlineLevel="0" collapsed="false">
      <c r="A16" s="0" t="s">
        <v>1352</v>
      </c>
      <c r="B16" s="103" t="s">
        <v>1353</v>
      </c>
      <c r="C16" s="103" t="s">
        <v>1345</v>
      </c>
      <c r="D16" s="20" t="s">
        <v>1354</v>
      </c>
      <c r="E16" s="103" t="s">
        <v>1351</v>
      </c>
      <c r="F16" s="24" t="n">
        <f aca="false">IF(C16="Facility",1/PUE,1)</f>
        <v>0.8</v>
      </c>
      <c r="G16" s="37" t="n">
        <f aca="false">IF(B16="Owned",1,0)</f>
        <v>0</v>
      </c>
      <c r="H16" s="70" t="n">
        <v>12</v>
      </c>
      <c r="I16" s="70" t="n">
        <v>12</v>
      </c>
      <c r="J16" s="70" t="n">
        <v>13</v>
      </c>
      <c r="K16" s="26" t="str">
        <f aca="false">IF(N(CHOOSE(Scen,H16,I16,J16))=0,"n/a",INDEX(Q_Lab,1,CHOOSE(Scen,H16,I16,J16)))</f>
        <v>Q4'26</v>
      </c>
      <c r="L16" s="97"/>
      <c r="M16" s="20" t="s">
        <v>1341</v>
      </c>
      <c r="N16" s="103" t="s">
        <v>1342</v>
      </c>
      <c r="O16" s="23" t="n">
        <f aca="false">IF(B16="Owned",IF(N16="GB300 NVL72",CPM_Own_GB300,IF(N16="Vera Rubin NVL72",CPM_Own_VR,IF(N16="GB200 NVL72",CPM_Own_GB200,CPM_Own_Other))),IF(N16="GB300 NVL72",CPM_Lease_GB300,IF(N16="Vera Rubin NVL72",CPM_Lease_VR,CPM_Lease)))</f>
        <v>41</v>
      </c>
      <c r="P16" s="24" t="n">
        <f aca="false">IF(B16="Owned",CPM_SP,0)</f>
        <v>0</v>
      </c>
    </row>
    <row r="17" customFormat="false" ht="15" hidden="false" customHeight="false" outlineLevel="0" collapsed="false">
      <c r="A17" s="0" t="s">
        <v>1355</v>
      </c>
      <c r="B17" s="103" t="s">
        <v>1344</v>
      </c>
      <c r="C17" s="103" t="s">
        <v>1345</v>
      </c>
      <c r="D17" s="20" t="s">
        <v>1346</v>
      </c>
      <c r="E17" s="103" t="s">
        <v>1347</v>
      </c>
      <c r="F17" s="24" t="n">
        <f aca="false">IF(C17="Facility",1/PUE,1)</f>
        <v>0.8</v>
      </c>
      <c r="G17" s="37" t="n">
        <f aca="false">IF(B17="Owned",1,0)</f>
        <v>1</v>
      </c>
      <c r="H17" s="70" t="n">
        <v>14</v>
      </c>
      <c r="I17" s="70" t="n">
        <v>14</v>
      </c>
      <c r="J17" s="70" t="n">
        <v>16</v>
      </c>
      <c r="K17" s="26" t="str">
        <f aca="false">IF(N(CHOOSE(Scen,H17,I17,J17))=0,"n/a",INDEX(Q_Lab,1,CHOOSE(Scen,H17,I17,J17)))</f>
        <v>Q2'27</v>
      </c>
      <c r="L17" s="97"/>
      <c r="M17" s="20" t="s">
        <v>1341</v>
      </c>
      <c r="N17" s="103" t="s">
        <v>1348</v>
      </c>
      <c r="O17" s="23" t="n">
        <f aca="false">IF(B17="Owned",IF(N17="GB300 NVL72",CPM_Own_GB300,IF(N17="Vera Rubin NVL72",CPM_Own_VR,IF(N17="GB200 NVL72",CPM_Own_GB200,CPM_Own_Other))),IF(N17="GB300 NVL72",CPM_Lease_GB300,IF(N17="Vera Rubin NVL72",CPM_Lease_VR,CPM_Lease)))</f>
        <v>56</v>
      </c>
      <c r="P17" s="24" t="n">
        <f aca="false">IF(B17="Owned",CPM_SP,0)</f>
        <v>11.25</v>
      </c>
    </row>
    <row r="18" customFormat="false" ht="15" hidden="false" customHeight="false" outlineLevel="0" collapsed="false">
      <c r="A18" s="0" t="s">
        <v>1356</v>
      </c>
      <c r="B18" s="103" t="s">
        <v>1344</v>
      </c>
      <c r="C18" s="103" t="s">
        <v>1338</v>
      </c>
      <c r="D18" s="20" t="s">
        <v>1346</v>
      </c>
      <c r="E18" s="103" t="s">
        <v>1347</v>
      </c>
      <c r="F18" s="24" t="n">
        <f aca="false">IF(C18="Facility",1/PUE,1)</f>
        <v>1</v>
      </c>
      <c r="G18" s="37" t="n">
        <f aca="false">IF(B18="Owned",1,0)</f>
        <v>1</v>
      </c>
      <c r="H18" s="70" t="n">
        <v>1</v>
      </c>
      <c r="I18" s="70" t="n">
        <v>1</v>
      </c>
      <c r="J18" s="70" t="n">
        <v>1</v>
      </c>
      <c r="K18" s="26" t="str">
        <f aca="false">IF(N(CHOOSE(Scen,H18,I18,J18))=0,"n/a",INDEX(Q_Lab,1,CHOOSE(Scen,H18,I18,J18)))</f>
        <v>Q1'24</v>
      </c>
      <c r="L18" s="97"/>
      <c r="M18" s="20" t="s">
        <v>1341</v>
      </c>
      <c r="N18" s="103" t="s">
        <v>1342</v>
      </c>
      <c r="O18" s="23" t="n">
        <f aca="false">IF(B18="Owned",IF(N18="GB300 NVL72",CPM_Own_GB300,IF(N18="Vera Rubin NVL72",CPM_Own_VR,IF(N18="GB200 NVL72",CPM_Own_GB200,CPM_Own_Other))),IF(N18="GB300 NVL72",CPM_Lease_GB300,IF(N18="Vera Rubin NVL72",CPM_Lease_VR,CPM_Lease)))</f>
        <v>53</v>
      </c>
      <c r="P18" s="24" t="n">
        <f aca="false">IF(B18="Owned",CPM_SP,0)</f>
        <v>11.25</v>
      </c>
    </row>
    <row r="19" customFormat="false" ht="15" hidden="false" customHeight="false" outlineLevel="0" collapsed="false">
      <c r="A19" s="0" t="s">
        <v>1357</v>
      </c>
      <c r="B19" s="103" t="s">
        <v>1344</v>
      </c>
      <c r="C19" s="103" t="s">
        <v>1345</v>
      </c>
      <c r="D19" s="20" t="s">
        <v>1346</v>
      </c>
      <c r="E19" s="103" t="s">
        <v>1351</v>
      </c>
      <c r="F19" s="24" t="n">
        <f aca="false">IF(C19="Facility",1/PUE,1)</f>
        <v>0.8</v>
      </c>
      <c r="G19" s="37" t="n">
        <f aca="false">IF(B19="Owned",1,0)</f>
        <v>1</v>
      </c>
      <c r="H19" s="70" t="n">
        <v>16</v>
      </c>
      <c r="I19" s="70" t="n">
        <v>16</v>
      </c>
      <c r="J19" s="70" t="n">
        <v>17</v>
      </c>
      <c r="K19" s="26" t="str">
        <f aca="false">IF(N(CHOOSE(Scen,H19,I19,J19))=0,"n/a",INDEX(Q_Lab,1,CHOOSE(Scen,H19,I19,J19)))</f>
        <v>Q4'27</v>
      </c>
      <c r="L19" s="97"/>
      <c r="M19" s="20" t="s">
        <v>1341</v>
      </c>
      <c r="N19" s="103" t="s">
        <v>1348</v>
      </c>
      <c r="O19" s="23" t="n">
        <f aca="false">IF(B19="Owned",IF(N19="GB300 NVL72",CPM_Own_GB300,IF(N19="Vera Rubin NVL72",CPM_Own_VR,IF(N19="GB200 NVL72",CPM_Own_GB200,CPM_Own_Other))),IF(N19="GB300 NVL72",CPM_Lease_GB300,IF(N19="Vera Rubin NVL72",CPM_Lease_VR,CPM_Lease)))</f>
        <v>56</v>
      </c>
      <c r="P19" s="24" t="n">
        <f aca="false">IF(B19="Owned",CPM_SP,0)</f>
        <v>11.25</v>
      </c>
    </row>
    <row r="20" customFormat="false" ht="15" hidden="false" customHeight="false" outlineLevel="0" collapsed="false">
      <c r="A20" s="0" t="s">
        <v>1358</v>
      </c>
      <c r="B20" s="103" t="s">
        <v>1353</v>
      </c>
      <c r="C20" s="103" t="s">
        <v>1338</v>
      </c>
      <c r="D20" s="20" t="s">
        <v>1346</v>
      </c>
      <c r="E20" s="103" t="s">
        <v>1347</v>
      </c>
      <c r="F20" s="24" t="n">
        <f aca="false">IF(C20="Facility",1/PUE,1)</f>
        <v>1</v>
      </c>
      <c r="G20" s="37" t="n">
        <f aca="false">IF(B20="Owned",1,0)</f>
        <v>0</v>
      </c>
      <c r="H20" s="70" t="n">
        <v>6</v>
      </c>
      <c r="I20" s="70" t="n">
        <v>6</v>
      </c>
      <c r="J20" s="70" t="n">
        <v>6</v>
      </c>
      <c r="K20" s="26" t="str">
        <f aca="false">IF(N(CHOOSE(Scen,H20,I20,J20))=0,"n/a",INDEX(Q_Lab,1,CHOOSE(Scen,H20,I20,J20)))</f>
        <v>Q2'25</v>
      </c>
      <c r="L20" s="97"/>
      <c r="M20" s="20" t="s">
        <v>1341</v>
      </c>
      <c r="N20" s="103" t="s">
        <v>1359</v>
      </c>
      <c r="O20" s="23" t="n">
        <f aca="false">IF(B20="Owned",IF(N20="GB300 NVL72",CPM_Own_GB300,IF(N20="Vera Rubin NVL72",CPM_Own_VR,IF(N20="GB200 NVL72",CPM_Own_GB200,CPM_Own_Other))),IF(N20="GB300 NVL72",CPM_Lease_GB300,IF(N20="Vera Rubin NVL72",CPM_Lease_VR,CPM_Lease)))</f>
        <v>30</v>
      </c>
      <c r="P20" s="24" t="n">
        <f aca="false">IF(B20="Owned",CPM_SP,0)</f>
        <v>0</v>
      </c>
    </row>
    <row r="21" customFormat="false" ht="15" hidden="false" customHeight="false" outlineLevel="0" collapsed="false">
      <c r="A21" s="0" t="s">
        <v>1360</v>
      </c>
      <c r="B21" s="103" t="s">
        <v>1353</v>
      </c>
      <c r="C21" s="103" t="s">
        <v>1338</v>
      </c>
      <c r="D21" s="20" t="s">
        <v>1346</v>
      </c>
      <c r="E21" s="103" t="s">
        <v>1347</v>
      </c>
      <c r="F21" s="24" t="n">
        <f aca="false">IF(C21="Facility",1/PUE,1)</f>
        <v>1</v>
      </c>
      <c r="G21" s="37" t="n">
        <f aca="false">IF(B21="Owned",1,0)</f>
        <v>0</v>
      </c>
      <c r="H21" s="70" t="n">
        <v>4</v>
      </c>
      <c r="I21" s="70" t="n">
        <v>4</v>
      </c>
      <c r="J21" s="70" t="n">
        <v>4</v>
      </c>
      <c r="K21" s="26" t="str">
        <f aca="false">IF(N(CHOOSE(Scen,H21,I21,J21))=0,"n/a",INDEX(Q_Lab,1,CHOOSE(Scen,H21,I21,J21)))</f>
        <v>Q4'24</v>
      </c>
      <c r="L21" s="97"/>
      <c r="M21" s="20" t="s">
        <v>1341</v>
      </c>
      <c r="N21" s="103" t="s">
        <v>1361</v>
      </c>
      <c r="O21" s="23" t="n">
        <f aca="false">IF(B21="Owned",IF(N21="GB300 NVL72",CPM_Own_GB300,IF(N21="Vera Rubin NVL72",CPM_Own_VR,IF(N21="GB200 NVL72",CPM_Own_GB200,CPM_Own_Other))),IF(N21="GB300 NVL72",CPM_Lease_GB300,IF(N21="Vera Rubin NVL72",CPM_Lease_VR,CPM_Lease)))</f>
        <v>30</v>
      </c>
      <c r="P21" s="24" t="n">
        <f aca="false">IF(B21="Owned",CPM_SP,0)</f>
        <v>0</v>
      </c>
    </row>
    <row r="22" customFormat="false" ht="15" hidden="false" customHeight="false" outlineLevel="0" collapsed="false">
      <c r="A22" s="0" t="s">
        <v>1362</v>
      </c>
      <c r="B22" s="103" t="s">
        <v>1353</v>
      </c>
      <c r="C22" s="103" t="s">
        <v>1338</v>
      </c>
      <c r="D22" s="20" t="s">
        <v>1346</v>
      </c>
      <c r="E22" s="103" t="s">
        <v>1347</v>
      </c>
      <c r="F22" s="24" t="n">
        <f aca="false">IF(C22="Facility",1/PUE,1)</f>
        <v>1</v>
      </c>
      <c r="G22" s="37" t="n">
        <f aca="false">IF(B22="Owned",1,0)</f>
        <v>0</v>
      </c>
      <c r="H22" s="70" t="n">
        <v>5</v>
      </c>
      <c r="I22" s="70" t="n">
        <v>5</v>
      </c>
      <c r="J22" s="70" t="n">
        <v>5</v>
      </c>
      <c r="K22" s="26" t="str">
        <f aca="false">IF(N(CHOOSE(Scen,H22,I22,J22))=0,"n/a",INDEX(Q_Lab,1,CHOOSE(Scen,H22,I22,J22)))</f>
        <v>Q1'25</v>
      </c>
      <c r="L22" s="97"/>
      <c r="M22" s="20" t="s">
        <v>1341</v>
      </c>
      <c r="N22" s="103" t="s">
        <v>1361</v>
      </c>
      <c r="O22" s="23" t="n">
        <f aca="false">IF(B22="Owned",IF(N22="GB300 NVL72",CPM_Own_GB300,IF(N22="Vera Rubin NVL72",CPM_Own_VR,IF(N22="GB200 NVL72",CPM_Own_GB200,CPM_Own_Other))),IF(N22="GB300 NVL72",CPM_Lease_GB300,IF(N22="Vera Rubin NVL72",CPM_Lease_VR,CPM_Lease)))</f>
        <v>30</v>
      </c>
      <c r="P22" s="24" t="n">
        <f aca="false">IF(B22="Owned",CPM_SP,0)</f>
        <v>0</v>
      </c>
    </row>
    <row r="23" customFormat="false" ht="15" hidden="false" customHeight="false" outlineLevel="0" collapsed="false">
      <c r="A23" s="0" t="s">
        <v>1363</v>
      </c>
      <c r="B23" s="103" t="s">
        <v>1353</v>
      </c>
      <c r="C23" s="103" t="s">
        <v>1338</v>
      </c>
      <c r="D23" s="20" t="s">
        <v>1346</v>
      </c>
      <c r="E23" s="103" t="s">
        <v>1347</v>
      </c>
      <c r="F23" s="24" t="n">
        <f aca="false">IF(C23="Facility",1/PUE,1)</f>
        <v>1</v>
      </c>
      <c r="G23" s="37" t="n">
        <f aca="false">IF(B23="Owned",1,0)</f>
        <v>0</v>
      </c>
      <c r="H23" s="70" t="n">
        <v>8</v>
      </c>
      <c r="I23" s="70" t="n">
        <v>8</v>
      </c>
      <c r="J23" s="70" t="n">
        <v>8</v>
      </c>
      <c r="K23" s="26" t="str">
        <f aca="false">IF(N(CHOOSE(Scen,H23,I23,J23))=0,"n/a",INDEX(Q_Lab,1,CHOOSE(Scen,H23,I23,J23)))</f>
        <v>Q4'25</v>
      </c>
      <c r="L23" s="97"/>
      <c r="M23" s="20" t="s">
        <v>1341</v>
      </c>
      <c r="N23" s="103" t="s">
        <v>1364</v>
      </c>
      <c r="O23" s="23" t="n">
        <f aca="false">IF(B23="Owned",IF(N23="GB300 NVL72",CPM_Own_GB300,IF(N23="Vera Rubin NVL72",CPM_Own_VR,IF(N23="GB200 NVL72",CPM_Own_GB200,CPM_Own_Other))),IF(N23="GB300 NVL72",CPM_Lease_GB300,IF(N23="Vera Rubin NVL72",CPM_Lease_VR,CPM_Lease)))</f>
        <v>30</v>
      </c>
      <c r="P23" s="24" t="n">
        <f aca="false">IF(B23="Owned",CPM_SP,0)</f>
        <v>0</v>
      </c>
    </row>
    <row r="24" customFormat="false" ht="15" hidden="false" customHeight="false" outlineLevel="0" collapsed="false">
      <c r="A24" s="0" t="s">
        <v>1365</v>
      </c>
      <c r="B24" s="103" t="s">
        <v>1353</v>
      </c>
      <c r="C24" s="103" t="s">
        <v>1338</v>
      </c>
      <c r="D24" s="20" t="s">
        <v>1346</v>
      </c>
      <c r="E24" s="103" t="s">
        <v>1351</v>
      </c>
      <c r="F24" s="24" t="n">
        <f aca="false">IF(C24="Facility",1/PUE,1)</f>
        <v>1</v>
      </c>
      <c r="G24" s="37" t="n">
        <f aca="false">IF(B24="Owned",1,0)</f>
        <v>0</v>
      </c>
      <c r="H24" s="70" t="n">
        <v>12</v>
      </c>
      <c r="I24" s="70" t="n">
        <v>12</v>
      </c>
      <c r="J24" s="70" t="n">
        <v>13</v>
      </c>
      <c r="K24" s="26" t="str">
        <f aca="false">IF(N(CHOOSE(Scen,H24,I24,J24))=0,"n/a",INDEX(Q_Lab,1,CHOOSE(Scen,H24,I24,J24)))</f>
        <v>Q4'26</v>
      </c>
      <c r="L24" s="97"/>
      <c r="M24" s="20" t="s">
        <v>1341</v>
      </c>
      <c r="N24" s="103" t="s">
        <v>1364</v>
      </c>
      <c r="O24" s="23" t="n">
        <f aca="false">IF(B24="Owned",IF(N24="GB300 NVL72",CPM_Own_GB300,IF(N24="Vera Rubin NVL72",CPM_Own_VR,IF(N24="GB200 NVL72",CPM_Own_GB200,CPM_Own_Other))),IF(N24="GB300 NVL72",CPM_Lease_GB300,IF(N24="Vera Rubin NVL72",CPM_Lease_VR,CPM_Lease)))</f>
        <v>30</v>
      </c>
      <c r="P24" s="24" t="n">
        <f aca="false">IF(B24="Owned",CPM_SP,0)</f>
        <v>0</v>
      </c>
    </row>
    <row r="25" customFormat="false" ht="15" hidden="false" customHeight="false" outlineLevel="0" collapsed="false">
      <c r="A25" s="0" t="s">
        <v>1366</v>
      </c>
      <c r="B25" s="103" t="s">
        <v>1353</v>
      </c>
      <c r="C25" s="103" t="s">
        <v>1338</v>
      </c>
      <c r="D25" s="20" t="s">
        <v>1346</v>
      </c>
      <c r="E25" s="103" t="s">
        <v>1340</v>
      </c>
      <c r="F25" s="24" t="n">
        <f aca="false">IF(C25="Facility",1/PUE,1)</f>
        <v>1</v>
      </c>
      <c r="G25" s="37" t="n">
        <f aca="false">IF(B25="Owned",1,0)</f>
        <v>0</v>
      </c>
      <c r="H25" s="70"/>
      <c r="I25" s="70"/>
      <c r="J25" s="70"/>
      <c r="K25" s="26" t="str">
        <f aca="false">IF(N(CHOOSE(Scen,H25,I25,J25))=0,"n/a",INDEX(Q_Lab,1,CHOOSE(Scen,H25,I25,J25)))</f>
        <v>n/a</v>
      </c>
      <c r="L25" s="97"/>
      <c r="M25" s="20" t="s">
        <v>1341</v>
      </c>
      <c r="N25" s="103" t="s">
        <v>1367</v>
      </c>
      <c r="O25" s="23" t="n">
        <f aca="false">IF(B25="Owned",IF(N25="GB300 NVL72",CPM_Own_GB300,IF(N25="Vera Rubin NVL72",CPM_Own_VR,IF(N25="GB200 NVL72",CPM_Own_GB200,CPM_Own_Other))),IF(N25="GB300 NVL72",CPM_Lease_GB300,IF(N25="Vera Rubin NVL72",CPM_Lease_VR,CPM_Lease)))</f>
        <v>30</v>
      </c>
      <c r="P25" s="24" t="n">
        <f aca="false">IF(B25="Owned",CPM_SP,0)</f>
        <v>0</v>
      </c>
    </row>
    <row r="26" customFormat="false" ht="15" hidden="false" customHeight="false" outlineLevel="0" collapsed="false">
      <c r="A26" s="0" t="s">
        <v>1368</v>
      </c>
      <c r="B26" s="103" t="s">
        <v>1353</v>
      </c>
      <c r="C26" s="103" t="s">
        <v>1338</v>
      </c>
      <c r="D26" s="20" t="s">
        <v>1369</v>
      </c>
      <c r="E26" s="103" t="s">
        <v>1347</v>
      </c>
      <c r="F26" s="24" t="n">
        <f aca="false">IF(C26="Facility",1/PUE,1)</f>
        <v>1</v>
      </c>
      <c r="G26" s="37" t="n">
        <f aca="false">IF(B26="Owned",1,0)</f>
        <v>0</v>
      </c>
      <c r="H26" s="70" t="n">
        <v>8</v>
      </c>
      <c r="I26" s="70" t="n">
        <v>8</v>
      </c>
      <c r="J26" s="70" t="n">
        <v>8</v>
      </c>
      <c r="K26" s="26" t="str">
        <f aca="false">IF(N(CHOOSE(Scen,H26,I26,J26))=0,"n/a",INDEX(Q_Lab,1,CHOOSE(Scen,H26,I26,J26)))</f>
        <v>Q4'25</v>
      </c>
      <c r="L26" s="97"/>
      <c r="M26" s="20" t="s">
        <v>1341</v>
      </c>
      <c r="N26" s="103" t="s">
        <v>1359</v>
      </c>
      <c r="O26" s="23" t="n">
        <f aca="false">IF(B26="Owned",IF(N26="GB300 NVL72",CPM_Own_GB300,IF(N26="Vera Rubin NVL72",CPM_Own_VR,IF(N26="GB200 NVL72",CPM_Own_GB200,CPM_Own_Other))),IF(N26="GB300 NVL72",CPM_Lease_GB300,IF(N26="Vera Rubin NVL72",CPM_Lease_VR,CPM_Lease)))</f>
        <v>30</v>
      </c>
      <c r="P26" s="24" t="n">
        <f aca="false">IF(B26="Owned",CPM_SP,0)</f>
        <v>0</v>
      </c>
    </row>
    <row r="27" customFormat="false" ht="15" hidden="false" customHeight="false" outlineLevel="0" collapsed="false">
      <c r="A27" s="0" t="s">
        <v>1370</v>
      </c>
      <c r="B27" s="103" t="s">
        <v>1353</v>
      </c>
      <c r="C27" s="103" t="s">
        <v>1345</v>
      </c>
      <c r="D27" s="20" t="s">
        <v>1346</v>
      </c>
      <c r="E27" s="103" t="s">
        <v>1351</v>
      </c>
      <c r="F27" s="24" t="n">
        <f aca="false">IF(C27="Facility",1/PUE,1)</f>
        <v>0.8</v>
      </c>
      <c r="G27" s="37" t="n">
        <f aca="false">IF(B27="Owned",1,0)</f>
        <v>0</v>
      </c>
      <c r="H27" s="70" t="n">
        <v>12</v>
      </c>
      <c r="I27" s="70" t="n">
        <v>12</v>
      </c>
      <c r="J27" s="70" t="n">
        <v>13</v>
      </c>
      <c r="K27" s="26" t="str">
        <f aca="false">IF(N(CHOOSE(Scen,H27,I27,J27))=0,"n/a",INDEX(Q_Lab,1,CHOOSE(Scen,H27,I27,J27)))</f>
        <v>Q4'26</v>
      </c>
      <c r="L27" s="97"/>
      <c r="M27" s="20" t="s">
        <v>1341</v>
      </c>
      <c r="N27" s="103" t="s">
        <v>1342</v>
      </c>
      <c r="O27" s="23" t="n">
        <f aca="false">IF(B27="Owned",IF(N27="GB300 NVL72",CPM_Own_GB300,IF(N27="Vera Rubin NVL72",CPM_Own_VR,IF(N27="GB200 NVL72",CPM_Own_GB200,CPM_Own_Other))),IF(N27="GB300 NVL72",CPM_Lease_GB300,IF(N27="Vera Rubin NVL72",CPM_Lease_VR,CPM_Lease)))</f>
        <v>41</v>
      </c>
      <c r="P27" s="24" t="n">
        <f aca="false">IF(B27="Owned",CPM_SP,0)</f>
        <v>0</v>
      </c>
    </row>
    <row r="28" customFormat="false" ht="15" hidden="false" customHeight="false" outlineLevel="0" collapsed="false">
      <c r="A28" s="0" t="s">
        <v>1371</v>
      </c>
      <c r="B28" s="103" t="s">
        <v>1353</v>
      </c>
      <c r="C28" s="103" t="s">
        <v>1345</v>
      </c>
      <c r="D28" s="20" t="s">
        <v>1346</v>
      </c>
      <c r="E28" s="103" t="s">
        <v>1351</v>
      </c>
      <c r="F28" s="24" t="n">
        <f aca="false">IF(C28="Facility",1/PUE,1)</f>
        <v>0.8</v>
      </c>
      <c r="G28" s="37" t="n">
        <f aca="false">IF(B28="Owned",1,0)</f>
        <v>0</v>
      </c>
      <c r="H28" s="70" t="n">
        <v>12</v>
      </c>
      <c r="I28" s="70" t="n">
        <v>12</v>
      </c>
      <c r="J28" s="70" t="n">
        <v>13</v>
      </c>
      <c r="K28" s="26" t="str">
        <f aca="false">IF(N(CHOOSE(Scen,H28,I28,J28))=0,"n/a",INDEX(Q_Lab,1,CHOOSE(Scen,H28,I28,J28)))</f>
        <v>Q4'26</v>
      </c>
      <c r="L28" s="97"/>
      <c r="M28" s="20" t="s">
        <v>1341</v>
      </c>
      <c r="N28" s="103" t="s">
        <v>1342</v>
      </c>
      <c r="O28" s="23" t="n">
        <f aca="false">IF(B28="Owned",IF(N28="GB300 NVL72",CPM_Own_GB300,IF(N28="Vera Rubin NVL72",CPM_Own_VR,IF(N28="GB200 NVL72",CPM_Own_GB200,CPM_Own_Other))),IF(N28="GB300 NVL72",CPM_Lease_GB300,IF(N28="Vera Rubin NVL72",CPM_Lease_VR,CPM_Lease)))</f>
        <v>41</v>
      </c>
      <c r="P28" s="24" t="n">
        <f aca="false">IF(B28="Owned",CPM_SP,0)</f>
        <v>0</v>
      </c>
    </row>
    <row r="29" customFormat="false" ht="15" hidden="false" customHeight="false" outlineLevel="0" collapsed="false">
      <c r="A29" s="0" t="s">
        <v>1372</v>
      </c>
      <c r="B29" s="103" t="s">
        <v>1353</v>
      </c>
      <c r="C29" s="103" t="s">
        <v>1338</v>
      </c>
      <c r="D29" s="20" t="s">
        <v>1346</v>
      </c>
      <c r="E29" s="103" t="s">
        <v>1347</v>
      </c>
      <c r="F29" s="24" t="n">
        <f aca="false">IF(C29="Facility",1/PUE,1)</f>
        <v>1</v>
      </c>
      <c r="G29" s="37" t="n">
        <f aca="false">IF(B29="Owned",1,0)</f>
        <v>0</v>
      </c>
      <c r="H29" s="70" t="n">
        <v>11</v>
      </c>
      <c r="I29" s="70" t="n">
        <v>11</v>
      </c>
      <c r="J29" s="70" t="n">
        <v>11</v>
      </c>
      <c r="K29" s="26" t="str">
        <f aca="false">IF(N(CHOOSE(Scen,H29,I29,J29))=0,"n/a",INDEX(Q_Lab,1,CHOOSE(Scen,H29,I29,J29)))</f>
        <v>Q3'26</v>
      </c>
      <c r="L29" s="97"/>
      <c r="M29" s="20" t="s">
        <v>1341</v>
      </c>
      <c r="N29" s="103" t="s">
        <v>1364</v>
      </c>
      <c r="O29" s="23" t="n">
        <f aca="false">IF(B29="Owned",IF(N29="GB300 NVL72",CPM_Own_GB300,IF(N29="Vera Rubin NVL72",CPM_Own_VR,IF(N29="GB200 NVL72",CPM_Own_GB200,CPM_Own_Other))),IF(N29="GB300 NVL72",CPM_Lease_GB300,IF(N29="Vera Rubin NVL72",CPM_Lease_VR,CPM_Lease)))</f>
        <v>30</v>
      </c>
      <c r="P29" s="24" t="n">
        <f aca="false">IF(B29="Owned",CPM_SP,0)</f>
        <v>0</v>
      </c>
    </row>
    <row r="30" customFormat="false" ht="15" hidden="false" customHeight="false" outlineLevel="0" collapsed="false">
      <c r="A30" s="0" t="s">
        <v>1373</v>
      </c>
      <c r="B30" s="103" t="s">
        <v>1353</v>
      </c>
      <c r="C30" s="103" t="s">
        <v>1338</v>
      </c>
      <c r="D30" s="20" t="s">
        <v>1346</v>
      </c>
      <c r="E30" s="103" t="s">
        <v>1351</v>
      </c>
      <c r="F30" s="24" t="n">
        <f aca="false">IF(C30="Facility",1/PUE,1)</f>
        <v>1</v>
      </c>
      <c r="G30" s="37" t="n">
        <f aca="false">IF(B30="Owned",1,0)</f>
        <v>0</v>
      </c>
      <c r="H30" s="70" t="n">
        <v>12</v>
      </c>
      <c r="I30" s="70" t="n">
        <v>12</v>
      </c>
      <c r="J30" s="70" t="n">
        <v>13</v>
      </c>
      <c r="K30" s="26" t="str">
        <f aca="false">IF(N(CHOOSE(Scen,H30,I30,J30))=0,"n/a",INDEX(Q_Lab,1,CHOOSE(Scen,H30,I30,J30)))</f>
        <v>Q4'26</v>
      </c>
      <c r="L30" s="97"/>
      <c r="M30" s="20" t="s">
        <v>1341</v>
      </c>
      <c r="N30" s="103" t="s">
        <v>1342</v>
      </c>
      <c r="O30" s="23" t="n">
        <f aca="false">IF(B30="Owned",IF(N30="GB300 NVL72",CPM_Own_GB300,IF(N30="Vera Rubin NVL72",CPM_Own_VR,IF(N30="GB200 NVL72",CPM_Own_GB200,CPM_Own_Other))),IF(N30="GB300 NVL72",CPM_Lease_GB300,IF(N30="Vera Rubin NVL72",CPM_Lease_VR,CPM_Lease)))</f>
        <v>41</v>
      </c>
      <c r="P30" s="24" t="n">
        <f aca="false">IF(B30="Owned",CPM_SP,0)</f>
        <v>0</v>
      </c>
    </row>
    <row r="31" customFormat="false" ht="15" hidden="false" customHeight="false" outlineLevel="0" collapsed="false">
      <c r="A31" s="0" t="s">
        <v>1374</v>
      </c>
      <c r="B31" s="103" t="s">
        <v>1353</v>
      </c>
      <c r="C31" s="103" t="s">
        <v>1338</v>
      </c>
      <c r="D31" s="20" t="s">
        <v>1375</v>
      </c>
      <c r="E31" s="103" t="s">
        <v>1351</v>
      </c>
      <c r="F31" s="24" t="n">
        <f aca="false">IF(C31="Facility",1/PUE,1)</f>
        <v>1</v>
      </c>
      <c r="G31" s="37" t="n">
        <f aca="false">IF(B31="Owned",1,0)</f>
        <v>0</v>
      </c>
      <c r="H31" s="70"/>
      <c r="I31" s="70"/>
      <c r="J31" s="70"/>
      <c r="K31" s="26" t="str">
        <f aca="false">IF(N(CHOOSE(Scen,H31,I31,J31))=0,"n/a",INDEX(Q_Lab,1,CHOOSE(Scen,H31,I31,J31)))</f>
        <v>n/a</v>
      </c>
      <c r="L31" s="97"/>
      <c r="M31" s="20" t="s">
        <v>1341</v>
      </c>
      <c r="N31" s="103" t="s">
        <v>1367</v>
      </c>
      <c r="O31" s="23" t="n">
        <f aca="false">IF(B31="Owned",IF(N31="GB300 NVL72",CPM_Own_GB300,IF(N31="Vera Rubin NVL72",CPM_Own_VR,IF(N31="GB200 NVL72",CPM_Own_GB200,CPM_Own_Other))),IF(N31="GB300 NVL72",CPM_Lease_GB300,IF(N31="Vera Rubin NVL72",CPM_Lease_VR,CPM_Lease)))</f>
        <v>30</v>
      </c>
      <c r="P31" s="24" t="n">
        <f aca="false">IF(B31="Owned",CPM_SP,0)</f>
        <v>0</v>
      </c>
    </row>
    <row r="32" customFormat="false" ht="15" hidden="false" customHeight="false" outlineLevel="0" collapsed="false">
      <c r="A32" s="0" t="s">
        <v>1376</v>
      </c>
      <c r="B32" s="103" t="s">
        <v>1353</v>
      </c>
      <c r="C32" s="103" t="s">
        <v>1338</v>
      </c>
      <c r="D32" s="20" t="s">
        <v>1375</v>
      </c>
      <c r="E32" s="103" t="s">
        <v>1351</v>
      </c>
      <c r="F32" s="24" t="n">
        <f aca="false">IF(C32="Facility",1/PUE,1)</f>
        <v>1</v>
      </c>
      <c r="G32" s="37" t="n">
        <f aca="false">IF(B32="Owned",1,0)</f>
        <v>0</v>
      </c>
      <c r="H32" s="70"/>
      <c r="I32" s="70"/>
      <c r="J32" s="70"/>
      <c r="K32" s="26" t="str">
        <f aca="false">IF(N(CHOOSE(Scen,H32,I32,J32))=0,"n/a",INDEX(Q_Lab,1,CHOOSE(Scen,H32,I32,J32)))</f>
        <v>n/a</v>
      </c>
      <c r="L32" s="97"/>
      <c r="M32" s="20" t="s">
        <v>1341</v>
      </c>
      <c r="N32" s="103" t="s">
        <v>1367</v>
      </c>
      <c r="O32" s="23" t="n">
        <f aca="false">IF(B32="Owned",IF(N32="GB300 NVL72",CPM_Own_GB300,IF(N32="Vera Rubin NVL72",CPM_Own_VR,IF(N32="GB200 NVL72",CPM_Own_GB200,CPM_Own_Other))),IF(N32="GB300 NVL72",CPM_Lease_GB300,IF(N32="Vera Rubin NVL72",CPM_Lease_VR,CPM_Lease)))</f>
        <v>30</v>
      </c>
      <c r="P32" s="24" t="n">
        <f aca="false">IF(B32="Owned",CPM_SP,0)</f>
        <v>0</v>
      </c>
    </row>
    <row r="33" customFormat="false" ht="15" hidden="false" customHeight="false" outlineLevel="0" collapsed="false">
      <c r="A33" s="0" t="s">
        <v>1377</v>
      </c>
      <c r="B33" s="103" t="s">
        <v>1353</v>
      </c>
      <c r="C33" s="103" t="s">
        <v>1338</v>
      </c>
      <c r="D33" s="20" t="s">
        <v>1346</v>
      </c>
      <c r="E33" s="103" t="s">
        <v>1351</v>
      </c>
      <c r="F33" s="24" t="n">
        <f aca="false">IF(C33="Facility",1/PUE,1)</f>
        <v>1</v>
      </c>
      <c r="G33" s="37" t="n">
        <f aca="false">IF(B33="Owned",1,0)</f>
        <v>0</v>
      </c>
      <c r="H33" s="70"/>
      <c r="I33" s="70"/>
      <c r="J33" s="70"/>
      <c r="K33" s="26" t="str">
        <f aca="false">IF(N(CHOOSE(Scen,H33,I33,J33))=0,"n/a",INDEX(Q_Lab,1,CHOOSE(Scen,H33,I33,J33)))</f>
        <v>n/a</v>
      </c>
      <c r="L33" s="97"/>
      <c r="M33" s="20" t="s">
        <v>1341</v>
      </c>
      <c r="N33" s="103" t="s">
        <v>1367</v>
      </c>
      <c r="O33" s="23" t="n">
        <f aca="false">IF(B33="Owned",IF(N33="GB300 NVL72",CPM_Own_GB300,IF(N33="Vera Rubin NVL72",CPM_Own_VR,IF(N33="GB200 NVL72",CPM_Own_GB200,CPM_Own_Other))),IF(N33="GB300 NVL72",CPM_Lease_GB300,IF(N33="Vera Rubin NVL72",CPM_Lease_VR,CPM_Lease)))</f>
        <v>30</v>
      </c>
      <c r="P33" s="24" t="n">
        <f aca="false">IF(B33="Owned",CPM_SP,0)</f>
        <v>0</v>
      </c>
    </row>
    <row r="34" customFormat="false" ht="15" hidden="false" customHeight="false" outlineLevel="0" collapsed="false">
      <c r="A34" s="0" t="s">
        <v>1378</v>
      </c>
      <c r="B34" s="103" t="s">
        <v>1353</v>
      </c>
      <c r="C34" s="103" t="s">
        <v>1338</v>
      </c>
      <c r="D34" s="20" t="s">
        <v>1369</v>
      </c>
      <c r="E34" s="103" t="s">
        <v>1340</v>
      </c>
      <c r="F34" s="24" t="n">
        <f aca="false">IF(C34="Facility",1/PUE,1)</f>
        <v>1</v>
      </c>
      <c r="G34" s="37" t="n">
        <f aca="false">IF(B34="Owned",1,0)</f>
        <v>0</v>
      </c>
      <c r="H34" s="70" t="n">
        <v>15</v>
      </c>
      <c r="I34" s="70" t="n">
        <v>15</v>
      </c>
      <c r="J34" s="70" t="n">
        <v>17</v>
      </c>
      <c r="K34" s="26" t="str">
        <f aca="false">IF(N(CHOOSE(Scen,H34,I34,J34))=0,"n/a",INDEX(Q_Lab,1,CHOOSE(Scen,H34,I34,J34)))</f>
        <v>Q3'27</v>
      </c>
      <c r="L34" s="97"/>
      <c r="M34" s="20" t="s">
        <v>1341</v>
      </c>
      <c r="N34" s="103" t="s">
        <v>1348</v>
      </c>
      <c r="O34" s="23" t="n">
        <f aca="false">IF(B34="Owned",IF(N34="GB300 NVL72",CPM_Own_GB300,IF(N34="Vera Rubin NVL72",CPM_Own_VR,IF(N34="GB200 NVL72",CPM_Own_GB200,CPM_Own_Other))),IF(N34="GB300 NVL72",CPM_Lease_GB300,IF(N34="Vera Rubin NVL72",CPM_Lease_VR,CPM_Lease)))</f>
        <v>41</v>
      </c>
      <c r="P34" s="24" t="n">
        <f aca="false">IF(B34="Owned",CPM_SP,0)</f>
        <v>0</v>
      </c>
    </row>
    <row r="35" customFormat="false" ht="15" hidden="false" customHeight="false" outlineLevel="0" collapsed="false">
      <c r="A35" s="0" t="s">
        <v>1379</v>
      </c>
      <c r="B35" s="103" t="s">
        <v>1353</v>
      </c>
      <c r="C35" s="103" t="s">
        <v>1338</v>
      </c>
      <c r="D35" s="20" t="s">
        <v>1380</v>
      </c>
      <c r="E35" s="103" t="s">
        <v>1340</v>
      </c>
      <c r="F35" s="24" t="n">
        <f aca="false">IF(C35="Facility",1/PUE,1)</f>
        <v>1</v>
      </c>
      <c r="G35" s="37" t="n">
        <f aca="false">IF(B35="Owned",1,0)</f>
        <v>0</v>
      </c>
      <c r="H35" s="70"/>
      <c r="I35" s="70"/>
      <c r="J35" s="70"/>
      <c r="K35" s="26" t="str">
        <f aca="false">IF(N(CHOOSE(Scen,H35,I35,J35))=0,"n/a",INDEX(Q_Lab,1,CHOOSE(Scen,H35,I35,J35)))</f>
        <v>n/a</v>
      </c>
      <c r="L35" s="97"/>
      <c r="M35" s="20" t="s">
        <v>1341</v>
      </c>
      <c r="N35" s="103" t="s">
        <v>1367</v>
      </c>
      <c r="O35" s="23" t="n">
        <f aca="false">IF(B35="Owned",IF(N35="GB300 NVL72",CPM_Own_GB300,IF(N35="Vera Rubin NVL72",CPM_Own_VR,IF(N35="GB200 NVL72",CPM_Own_GB200,CPM_Own_Other))),IF(N35="GB300 NVL72",CPM_Lease_GB300,IF(N35="Vera Rubin NVL72",CPM_Lease_VR,CPM_Lease)))</f>
        <v>30</v>
      </c>
      <c r="P35" s="24" t="n">
        <f aca="false">IF(B35="Owned",CPM_SP,0)</f>
        <v>0</v>
      </c>
    </row>
    <row r="36" customFormat="false" ht="15" hidden="false" customHeight="false" outlineLevel="0" collapsed="false">
      <c r="A36" s="0" t="s">
        <v>1381</v>
      </c>
      <c r="B36" s="103" t="s">
        <v>1382</v>
      </c>
      <c r="C36" s="103" t="s">
        <v>1338</v>
      </c>
      <c r="D36" s="0" t="s">
        <v>1383</v>
      </c>
      <c r="E36" s="103" t="s">
        <v>1351</v>
      </c>
      <c r="F36" s="24" t="n">
        <f aca="false">IF(C36="Facility",1/PUE,1)</f>
        <v>1</v>
      </c>
    </row>
    <row r="39" customFormat="false" ht="15" hidden="false" customHeight="false" outlineLevel="0" collapsed="false">
      <c r="A39" s="53" t="s">
        <v>1384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</row>
    <row r="40" customFormat="false" ht="15" hidden="false" customHeight="false" outlineLevel="0" collapsed="false">
      <c r="A40" s="104" t="s">
        <v>1385</v>
      </c>
      <c r="B40" s="20" t="s">
        <v>575</v>
      </c>
      <c r="C40" s="20" t="s">
        <v>513</v>
      </c>
      <c r="D40" s="20" t="s">
        <v>1386</v>
      </c>
      <c r="F40" s="105" t="n">
        <v>0</v>
      </c>
      <c r="G40" s="105" t="n">
        <v>0</v>
      </c>
      <c r="H40" s="105" t="n">
        <v>0</v>
      </c>
      <c r="I40" s="105" t="n">
        <v>0</v>
      </c>
      <c r="J40" s="105" t="n">
        <v>0</v>
      </c>
      <c r="K40" s="105" t="n">
        <v>0</v>
      </c>
      <c r="L40" s="105" t="n">
        <v>0</v>
      </c>
      <c r="M40" s="105" t="n">
        <v>21.8</v>
      </c>
      <c r="N40" s="105" t="n">
        <v>30</v>
      </c>
      <c r="O40" s="105" t="n">
        <v>33</v>
      </c>
      <c r="P40" s="105" t="n">
        <v>57</v>
      </c>
      <c r="Q40" s="105" t="n">
        <v>57</v>
      </c>
      <c r="R40" s="105" t="n">
        <v>57</v>
      </c>
      <c r="S40" s="105" t="n">
        <v>107</v>
      </c>
      <c r="T40" s="105" t="n">
        <v>160</v>
      </c>
      <c r="U40" s="105" t="n">
        <v>230</v>
      </c>
      <c r="V40" s="105" t="n">
        <v>230</v>
      </c>
      <c r="W40" s="105" t="n">
        <v>230</v>
      </c>
      <c r="X40" s="105" t="n">
        <v>230</v>
      </c>
      <c r="Y40" s="105" t="n">
        <v>230</v>
      </c>
      <c r="Z40" s="105" t="n">
        <v>230</v>
      </c>
      <c r="AA40" s="105" t="n">
        <v>230</v>
      </c>
      <c r="AB40" s="105" t="n">
        <v>230</v>
      </c>
      <c r="AC40" s="105" t="n">
        <v>230</v>
      </c>
      <c r="AD40" s="105" t="n">
        <v>230</v>
      </c>
      <c r="AE40" s="105" t="n">
        <v>230</v>
      </c>
      <c r="AF40" s="105" t="n">
        <v>230</v>
      </c>
      <c r="AG40" s="105" t="n">
        <v>230</v>
      </c>
      <c r="AI40" s="106" t="n">
        <f aca="false">INDEX($F40:$AG40,1,MATCH(AI$7,$F$7:$AG$7,1))</f>
        <v>0</v>
      </c>
      <c r="AJ40" s="106" t="n">
        <f aca="false">INDEX($F40:$AG40,1,MATCH(AJ$7,$F$7:$AG$7,1))</f>
        <v>21.8</v>
      </c>
      <c r="AK40" s="106" t="n">
        <f aca="false">INDEX($F40:$AG40,1,MATCH(AK$7,$F$7:$AG$7,1))</f>
        <v>57</v>
      </c>
      <c r="AL40" s="106" t="n">
        <f aca="false">INDEX($F40:$AG40,1,MATCH(AL$7,$F$7:$AG$7,1))</f>
        <v>230</v>
      </c>
      <c r="AM40" s="106" t="n">
        <f aca="false">INDEX($F40:$AG40,1,MATCH(AM$7,$F$7:$AG$7,1))</f>
        <v>230</v>
      </c>
      <c r="AN40" s="106" t="n">
        <f aca="false">INDEX($F40:$AG40,1,MATCH(AN$7,$F$7:$AG$7,1))</f>
        <v>230</v>
      </c>
      <c r="AO40" s="106" t="n">
        <f aca="false">INDEX($F40:$AG40,1,MATCH(AO$7,$F$7:$AG$7,1))</f>
        <v>230</v>
      </c>
    </row>
    <row r="41" customFormat="false" ht="15" hidden="false" customHeight="false" outlineLevel="0" collapsed="false">
      <c r="A41" s="104" t="s">
        <v>1387</v>
      </c>
      <c r="B41" s="20" t="s">
        <v>575</v>
      </c>
      <c r="C41" s="20" t="s">
        <v>513</v>
      </c>
      <c r="D41" s="20" t="s">
        <v>1386</v>
      </c>
      <c r="F41" s="105" t="n">
        <v>0</v>
      </c>
      <c r="G41" s="105" t="n">
        <v>0</v>
      </c>
      <c r="H41" s="105" t="n">
        <v>0</v>
      </c>
      <c r="I41" s="105" t="n">
        <v>0</v>
      </c>
      <c r="J41" s="105" t="n">
        <v>0</v>
      </c>
      <c r="K41" s="105" t="n">
        <v>0</v>
      </c>
      <c r="L41" s="105" t="n">
        <v>0</v>
      </c>
      <c r="M41" s="105" t="n">
        <v>26.2</v>
      </c>
      <c r="N41" s="105" t="n">
        <v>37.5</v>
      </c>
      <c r="O41" s="105" t="n">
        <v>39</v>
      </c>
      <c r="P41" s="105" t="n">
        <v>66</v>
      </c>
      <c r="Q41" s="105" t="n">
        <v>81.8</v>
      </c>
      <c r="R41" s="105" t="n">
        <v>118.5</v>
      </c>
      <c r="S41" s="105" t="n">
        <v>168.5</v>
      </c>
      <c r="T41" s="105" t="n">
        <v>205</v>
      </c>
      <c r="U41" s="105" t="n">
        <v>240</v>
      </c>
      <c r="V41" s="105" t="n">
        <v>240</v>
      </c>
      <c r="W41" s="105" t="n">
        <v>240</v>
      </c>
      <c r="X41" s="105" t="n">
        <v>240</v>
      </c>
      <c r="Y41" s="105" t="n">
        <v>240</v>
      </c>
      <c r="Z41" s="105" t="n">
        <v>240</v>
      </c>
      <c r="AA41" s="105" t="n">
        <v>240</v>
      </c>
      <c r="AB41" s="105" t="n">
        <v>240</v>
      </c>
      <c r="AC41" s="105" t="n">
        <v>240</v>
      </c>
      <c r="AD41" s="105" t="n">
        <v>240</v>
      </c>
      <c r="AE41" s="105" t="n">
        <v>240</v>
      </c>
      <c r="AF41" s="105" t="n">
        <v>240</v>
      </c>
      <c r="AG41" s="105" t="n">
        <v>240</v>
      </c>
      <c r="AI41" s="106" t="n">
        <f aca="false">INDEX($F41:$AG41,1,MATCH(AI$7,$F$7:$AG$7,1))</f>
        <v>0</v>
      </c>
      <c r="AJ41" s="106" t="n">
        <f aca="false">INDEX($F41:$AG41,1,MATCH(AJ$7,$F$7:$AG$7,1))</f>
        <v>26.2</v>
      </c>
      <c r="AK41" s="106" t="n">
        <f aca="false">INDEX($F41:$AG41,1,MATCH(AK$7,$F$7:$AG$7,1))</f>
        <v>81.8</v>
      </c>
      <c r="AL41" s="106" t="n">
        <f aca="false">INDEX($F41:$AG41,1,MATCH(AL$7,$F$7:$AG$7,1))</f>
        <v>240</v>
      </c>
      <c r="AM41" s="106" t="n">
        <f aca="false">INDEX($F41:$AG41,1,MATCH(AM$7,$F$7:$AG$7,1))</f>
        <v>240</v>
      </c>
      <c r="AN41" s="106" t="n">
        <f aca="false">INDEX($F41:$AG41,1,MATCH(AN$7,$F$7:$AG$7,1))</f>
        <v>240</v>
      </c>
      <c r="AO41" s="106" t="n">
        <f aca="false">INDEX($F41:$AG41,1,MATCH(AO$7,$F$7:$AG$7,1))</f>
        <v>240</v>
      </c>
    </row>
    <row r="42" customFormat="false" ht="15" hidden="false" customHeight="false" outlineLevel="0" collapsed="false">
      <c r="A42" s="104" t="s">
        <v>1388</v>
      </c>
      <c r="B42" s="20" t="s">
        <v>575</v>
      </c>
      <c r="C42" s="20" t="s">
        <v>513</v>
      </c>
      <c r="D42" s="20" t="s">
        <v>1386</v>
      </c>
      <c r="F42" s="105" t="n">
        <v>0</v>
      </c>
      <c r="G42" s="105" t="n">
        <v>0</v>
      </c>
      <c r="H42" s="105" t="n">
        <v>0</v>
      </c>
      <c r="I42" s="105" t="n">
        <v>0</v>
      </c>
      <c r="J42" s="105" t="n">
        <v>0</v>
      </c>
      <c r="K42" s="105" t="n">
        <v>0</v>
      </c>
      <c r="L42" s="105" t="n">
        <v>0</v>
      </c>
      <c r="M42" s="105" t="n">
        <v>30.6</v>
      </c>
      <c r="N42" s="105" t="n">
        <v>45</v>
      </c>
      <c r="O42" s="105" t="n">
        <v>45</v>
      </c>
      <c r="P42" s="105" t="n">
        <v>75</v>
      </c>
      <c r="Q42" s="105" t="n">
        <v>106.6</v>
      </c>
      <c r="R42" s="105" t="n">
        <v>180</v>
      </c>
      <c r="S42" s="105" t="n">
        <v>230</v>
      </c>
      <c r="T42" s="105" t="n">
        <v>250</v>
      </c>
      <c r="U42" s="105" t="n">
        <v>250</v>
      </c>
      <c r="V42" s="105" t="n">
        <v>250</v>
      </c>
      <c r="W42" s="105" t="n">
        <v>250</v>
      </c>
      <c r="X42" s="105" t="n">
        <v>250</v>
      </c>
      <c r="Y42" s="105" t="n">
        <v>250</v>
      </c>
      <c r="Z42" s="105" t="n">
        <v>250</v>
      </c>
      <c r="AA42" s="105" t="n">
        <v>250</v>
      </c>
      <c r="AB42" s="105" t="n">
        <v>250</v>
      </c>
      <c r="AC42" s="105" t="n">
        <v>250</v>
      </c>
      <c r="AD42" s="105" t="n">
        <v>250</v>
      </c>
      <c r="AE42" s="105" t="n">
        <v>250</v>
      </c>
      <c r="AF42" s="105" t="n">
        <v>250</v>
      </c>
      <c r="AG42" s="105" t="n">
        <v>250</v>
      </c>
      <c r="AI42" s="106" t="n">
        <f aca="false">INDEX($F42:$AG42,1,MATCH(AI$7,$F$7:$AG$7,1))</f>
        <v>0</v>
      </c>
      <c r="AJ42" s="106" t="n">
        <f aca="false">INDEX($F42:$AG42,1,MATCH(AJ$7,$F$7:$AG$7,1))</f>
        <v>30.6</v>
      </c>
      <c r="AK42" s="106" t="n">
        <f aca="false">INDEX($F42:$AG42,1,MATCH(AK$7,$F$7:$AG$7,1))</f>
        <v>106.6</v>
      </c>
      <c r="AL42" s="106" t="n">
        <f aca="false">INDEX($F42:$AG42,1,MATCH(AL$7,$F$7:$AG$7,1))</f>
        <v>250</v>
      </c>
      <c r="AM42" s="106" t="n">
        <f aca="false">INDEX($F42:$AG42,1,MATCH(AM$7,$F$7:$AG$7,1))</f>
        <v>250</v>
      </c>
      <c r="AN42" s="106" t="n">
        <f aca="false">INDEX($F42:$AG42,1,MATCH(AN$7,$F$7:$AG$7,1))</f>
        <v>250</v>
      </c>
      <c r="AO42" s="106" t="n">
        <f aca="false">INDEX($F42:$AG42,1,MATCH(AO$7,$F$7:$AG$7,1))</f>
        <v>250</v>
      </c>
    </row>
    <row r="43" customFormat="false" ht="15" hidden="false" customHeight="false" outlineLevel="0" collapsed="false">
      <c r="A43" s="104" t="s">
        <v>1389</v>
      </c>
      <c r="B43" s="20" t="s">
        <v>575</v>
      </c>
      <c r="C43" s="20" t="s">
        <v>513</v>
      </c>
      <c r="D43" s="20" t="s">
        <v>1386</v>
      </c>
      <c r="F43" s="105" t="n">
        <v>0</v>
      </c>
      <c r="G43" s="105" t="n">
        <v>0</v>
      </c>
      <c r="H43" s="105" t="n">
        <v>0</v>
      </c>
      <c r="I43" s="105" t="n">
        <v>0</v>
      </c>
      <c r="J43" s="105" t="n">
        <v>0</v>
      </c>
      <c r="K43" s="105" t="n">
        <v>0</v>
      </c>
      <c r="L43" s="105" t="n">
        <v>0</v>
      </c>
      <c r="M43" s="105" t="n">
        <v>0</v>
      </c>
      <c r="N43" s="105" t="n">
        <v>0</v>
      </c>
      <c r="O43" s="105" t="n">
        <v>0</v>
      </c>
      <c r="P43" s="105" t="n">
        <v>0</v>
      </c>
      <c r="Q43" s="105" t="n">
        <v>0</v>
      </c>
      <c r="R43" s="105" t="n">
        <v>0</v>
      </c>
      <c r="S43" s="105" t="n">
        <v>0</v>
      </c>
      <c r="T43" s="105" t="n">
        <v>0</v>
      </c>
      <c r="U43" s="105" t="n">
        <v>50</v>
      </c>
      <c r="V43" s="105" t="n">
        <v>50</v>
      </c>
      <c r="W43" s="105" t="n">
        <v>100</v>
      </c>
      <c r="X43" s="105" t="n">
        <v>100</v>
      </c>
      <c r="Y43" s="105" t="n">
        <v>200</v>
      </c>
      <c r="Z43" s="105" t="n">
        <v>200</v>
      </c>
      <c r="AA43" s="105" t="n">
        <v>300</v>
      </c>
      <c r="AB43" s="105" t="n">
        <v>300</v>
      </c>
      <c r="AC43" s="105" t="n">
        <v>500</v>
      </c>
      <c r="AD43" s="105" t="n">
        <v>500</v>
      </c>
      <c r="AE43" s="105" t="n">
        <v>500</v>
      </c>
      <c r="AF43" s="105" t="n">
        <v>500</v>
      </c>
      <c r="AG43" s="105" t="n">
        <v>700</v>
      </c>
      <c r="AI43" s="106" t="n">
        <f aca="false">INDEX($F43:$AG43,1,MATCH(AI$7,$F$7:$AG$7,1))</f>
        <v>0</v>
      </c>
      <c r="AJ43" s="106" t="n">
        <f aca="false">INDEX($F43:$AG43,1,MATCH(AJ$7,$F$7:$AG$7,1))</f>
        <v>0</v>
      </c>
      <c r="AK43" s="106" t="n">
        <f aca="false">INDEX($F43:$AG43,1,MATCH(AK$7,$F$7:$AG$7,1))</f>
        <v>0</v>
      </c>
      <c r="AL43" s="106" t="n">
        <f aca="false">INDEX($F43:$AG43,1,MATCH(AL$7,$F$7:$AG$7,1))</f>
        <v>50</v>
      </c>
      <c r="AM43" s="106" t="n">
        <f aca="false">INDEX($F43:$AG43,1,MATCH(AM$7,$F$7:$AG$7,1))</f>
        <v>200</v>
      </c>
      <c r="AN43" s="106" t="n">
        <f aca="false">INDEX($F43:$AG43,1,MATCH(AN$7,$F$7:$AG$7,1))</f>
        <v>500</v>
      </c>
      <c r="AO43" s="106" t="n">
        <f aca="false">INDEX($F43:$AG43,1,MATCH(AO$7,$F$7:$AG$7,1))</f>
        <v>700</v>
      </c>
    </row>
    <row r="44" customFormat="false" ht="15" hidden="false" customHeight="false" outlineLevel="0" collapsed="false">
      <c r="A44" s="104" t="s">
        <v>1390</v>
      </c>
      <c r="B44" s="20" t="s">
        <v>575</v>
      </c>
      <c r="C44" s="20" t="s">
        <v>513</v>
      </c>
      <c r="D44" s="20" t="s">
        <v>1386</v>
      </c>
      <c r="F44" s="105" t="n">
        <v>0</v>
      </c>
      <c r="G44" s="105" t="n">
        <v>0</v>
      </c>
      <c r="H44" s="105" t="n">
        <v>0</v>
      </c>
      <c r="I44" s="105" t="n">
        <v>0</v>
      </c>
      <c r="J44" s="105" t="n">
        <v>0</v>
      </c>
      <c r="K44" s="105" t="n">
        <v>0</v>
      </c>
      <c r="L44" s="105" t="n">
        <v>0</v>
      </c>
      <c r="M44" s="105" t="n">
        <v>0</v>
      </c>
      <c r="N44" s="105" t="n">
        <v>0</v>
      </c>
      <c r="O44" s="105" t="n">
        <v>0</v>
      </c>
      <c r="P44" s="105" t="n">
        <v>0</v>
      </c>
      <c r="Q44" s="105" t="n">
        <v>0</v>
      </c>
      <c r="R44" s="105" t="n">
        <v>0</v>
      </c>
      <c r="S44" s="105" t="n">
        <v>0</v>
      </c>
      <c r="T44" s="105" t="n">
        <v>50</v>
      </c>
      <c r="U44" s="105" t="n">
        <v>125</v>
      </c>
      <c r="V44" s="105" t="n">
        <v>125</v>
      </c>
      <c r="W44" s="105" t="n">
        <v>175</v>
      </c>
      <c r="X44" s="105" t="n">
        <v>175</v>
      </c>
      <c r="Y44" s="105" t="n">
        <v>225</v>
      </c>
      <c r="Z44" s="105" t="n">
        <v>225</v>
      </c>
      <c r="AA44" s="105" t="n">
        <v>450</v>
      </c>
      <c r="AB44" s="105" t="n">
        <v>450</v>
      </c>
      <c r="AC44" s="105" t="n">
        <v>650</v>
      </c>
      <c r="AD44" s="105" t="n">
        <v>650</v>
      </c>
      <c r="AE44" s="105" t="n">
        <v>650</v>
      </c>
      <c r="AF44" s="105" t="n">
        <v>650</v>
      </c>
      <c r="AG44" s="105" t="n">
        <v>950</v>
      </c>
      <c r="AI44" s="106" t="n">
        <f aca="false">INDEX($F44:$AG44,1,MATCH(AI$7,$F$7:$AG$7,1))</f>
        <v>0</v>
      </c>
      <c r="AJ44" s="106" t="n">
        <f aca="false">INDEX($F44:$AG44,1,MATCH(AJ$7,$F$7:$AG$7,1))</f>
        <v>0</v>
      </c>
      <c r="AK44" s="106" t="n">
        <f aca="false">INDEX($F44:$AG44,1,MATCH(AK$7,$F$7:$AG$7,1))</f>
        <v>0</v>
      </c>
      <c r="AL44" s="106" t="n">
        <f aca="false">INDEX($F44:$AG44,1,MATCH(AL$7,$F$7:$AG$7,1))</f>
        <v>125</v>
      </c>
      <c r="AM44" s="106" t="n">
        <f aca="false">INDEX($F44:$AG44,1,MATCH(AM$7,$F$7:$AG$7,1))</f>
        <v>225</v>
      </c>
      <c r="AN44" s="106" t="n">
        <f aca="false">INDEX($F44:$AG44,1,MATCH(AN$7,$F$7:$AG$7,1))</f>
        <v>650</v>
      </c>
      <c r="AO44" s="106" t="n">
        <f aca="false">INDEX($F44:$AG44,1,MATCH(AO$7,$F$7:$AG$7,1))</f>
        <v>950</v>
      </c>
    </row>
    <row r="45" customFormat="false" ht="15" hidden="false" customHeight="false" outlineLevel="0" collapsed="false">
      <c r="A45" s="104" t="s">
        <v>1391</v>
      </c>
      <c r="B45" s="20" t="s">
        <v>575</v>
      </c>
      <c r="C45" s="20" t="s">
        <v>513</v>
      </c>
      <c r="D45" s="20" t="s">
        <v>1386</v>
      </c>
      <c r="F45" s="105" t="n">
        <v>0</v>
      </c>
      <c r="G45" s="105" t="n">
        <v>0</v>
      </c>
      <c r="H45" s="105" t="n">
        <v>0</v>
      </c>
      <c r="I45" s="105" t="n">
        <v>0</v>
      </c>
      <c r="J45" s="105" t="n">
        <v>0</v>
      </c>
      <c r="K45" s="105" t="n">
        <v>0</v>
      </c>
      <c r="L45" s="105" t="n">
        <v>0</v>
      </c>
      <c r="M45" s="105" t="n">
        <v>0</v>
      </c>
      <c r="N45" s="105" t="n">
        <v>0</v>
      </c>
      <c r="O45" s="105" t="n">
        <v>0</v>
      </c>
      <c r="P45" s="105" t="n">
        <v>0</v>
      </c>
      <c r="Q45" s="105" t="n">
        <v>0</v>
      </c>
      <c r="R45" s="105" t="n">
        <v>0</v>
      </c>
      <c r="S45" s="105" t="n">
        <v>0</v>
      </c>
      <c r="T45" s="105" t="n">
        <v>100</v>
      </c>
      <c r="U45" s="105" t="n">
        <v>200</v>
      </c>
      <c r="V45" s="105" t="n">
        <v>200</v>
      </c>
      <c r="W45" s="105" t="n">
        <v>250</v>
      </c>
      <c r="X45" s="105" t="n">
        <v>250</v>
      </c>
      <c r="Y45" s="105" t="n">
        <v>250</v>
      </c>
      <c r="Z45" s="105" t="n">
        <v>250</v>
      </c>
      <c r="AA45" s="105" t="n">
        <v>600</v>
      </c>
      <c r="AB45" s="105" t="n">
        <v>600</v>
      </c>
      <c r="AC45" s="105" t="n">
        <v>800</v>
      </c>
      <c r="AD45" s="105" t="n">
        <v>800</v>
      </c>
      <c r="AE45" s="105" t="n">
        <v>800</v>
      </c>
      <c r="AF45" s="105" t="n">
        <v>800</v>
      </c>
      <c r="AG45" s="105" t="n">
        <v>1200</v>
      </c>
      <c r="AI45" s="106" t="n">
        <f aca="false">INDEX($F45:$AG45,1,MATCH(AI$7,$F$7:$AG$7,1))</f>
        <v>0</v>
      </c>
      <c r="AJ45" s="106" t="n">
        <f aca="false">INDEX($F45:$AG45,1,MATCH(AJ$7,$F$7:$AG$7,1))</f>
        <v>0</v>
      </c>
      <c r="AK45" s="106" t="n">
        <f aca="false">INDEX($F45:$AG45,1,MATCH(AK$7,$F$7:$AG$7,1))</f>
        <v>0</v>
      </c>
      <c r="AL45" s="106" t="n">
        <f aca="false">INDEX($F45:$AG45,1,MATCH(AL$7,$F$7:$AG$7,1))</f>
        <v>200</v>
      </c>
      <c r="AM45" s="106" t="n">
        <f aca="false">INDEX($F45:$AG45,1,MATCH(AM$7,$F$7:$AG$7,1))</f>
        <v>250</v>
      </c>
      <c r="AN45" s="106" t="n">
        <f aca="false">INDEX($F45:$AG45,1,MATCH(AN$7,$F$7:$AG$7,1))</f>
        <v>800</v>
      </c>
      <c r="AO45" s="106" t="n">
        <f aca="false">INDEX($F45:$AG45,1,MATCH(AO$7,$F$7:$AG$7,1))</f>
        <v>1200</v>
      </c>
    </row>
    <row r="46" customFormat="false" ht="15" hidden="false" customHeight="false" outlineLevel="0" collapsed="false">
      <c r="A46" s="104" t="s">
        <v>1392</v>
      </c>
      <c r="B46" s="20" t="s">
        <v>575</v>
      </c>
      <c r="C46" s="20" t="s">
        <v>513</v>
      </c>
      <c r="D46" s="20" t="s">
        <v>1386</v>
      </c>
      <c r="F46" s="105" t="n">
        <v>0</v>
      </c>
      <c r="G46" s="105" t="n">
        <v>0</v>
      </c>
      <c r="H46" s="105" t="n">
        <v>0</v>
      </c>
      <c r="I46" s="105" t="n">
        <v>0</v>
      </c>
      <c r="J46" s="105" t="n">
        <v>0</v>
      </c>
      <c r="K46" s="105" t="n">
        <v>0</v>
      </c>
      <c r="L46" s="105" t="n">
        <v>0</v>
      </c>
      <c r="M46" s="105" t="n">
        <v>0</v>
      </c>
      <c r="N46" s="105" t="n">
        <v>0</v>
      </c>
      <c r="O46" s="105" t="n">
        <v>0</v>
      </c>
      <c r="P46" s="105" t="n">
        <v>0</v>
      </c>
      <c r="Q46" s="105" t="n">
        <v>0</v>
      </c>
      <c r="R46" s="105" t="n">
        <v>0</v>
      </c>
      <c r="S46" s="105" t="n">
        <v>0</v>
      </c>
      <c r="T46" s="105" t="n">
        <v>0</v>
      </c>
      <c r="U46" s="105" t="n">
        <v>0</v>
      </c>
      <c r="V46" s="105" t="n">
        <v>0</v>
      </c>
      <c r="W46" s="105" t="n">
        <v>0</v>
      </c>
      <c r="X46" s="105" t="n">
        <v>0</v>
      </c>
      <c r="Y46" s="105" t="n">
        <v>130</v>
      </c>
      <c r="Z46" s="105" t="n">
        <v>130</v>
      </c>
      <c r="AA46" s="105" t="n">
        <v>260</v>
      </c>
      <c r="AB46" s="105" t="n">
        <v>260</v>
      </c>
      <c r="AC46" s="105" t="n">
        <v>400</v>
      </c>
      <c r="AD46" s="105" t="n">
        <v>400</v>
      </c>
      <c r="AE46" s="105" t="n">
        <v>400</v>
      </c>
      <c r="AF46" s="105" t="n">
        <v>400</v>
      </c>
      <c r="AG46" s="105" t="n">
        <v>660</v>
      </c>
      <c r="AI46" s="106" t="n">
        <f aca="false">INDEX($F46:$AG46,1,MATCH(AI$7,$F$7:$AG$7,1))</f>
        <v>0</v>
      </c>
      <c r="AJ46" s="106" t="n">
        <f aca="false">INDEX($F46:$AG46,1,MATCH(AJ$7,$F$7:$AG$7,1))</f>
        <v>0</v>
      </c>
      <c r="AK46" s="106" t="n">
        <f aca="false">INDEX($F46:$AG46,1,MATCH(AK$7,$F$7:$AG$7,1))</f>
        <v>0</v>
      </c>
      <c r="AL46" s="106" t="n">
        <f aca="false">INDEX($F46:$AG46,1,MATCH(AL$7,$F$7:$AG$7,1))</f>
        <v>0</v>
      </c>
      <c r="AM46" s="106" t="n">
        <f aca="false">INDEX($F46:$AG46,1,MATCH(AM$7,$F$7:$AG$7,1))</f>
        <v>130</v>
      </c>
      <c r="AN46" s="106" t="n">
        <f aca="false">INDEX($F46:$AG46,1,MATCH(AN$7,$F$7:$AG$7,1))</f>
        <v>400</v>
      </c>
      <c r="AO46" s="106" t="n">
        <f aca="false">INDEX($F46:$AG46,1,MATCH(AO$7,$F$7:$AG$7,1))</f>
        <v>660</v>
      </c>
    </row>
    <row r="47" customFormat="false" ht="15" hidden="false" customHeight="false" outlineLevel="0" collapsed="false">
      <c r="A47" s="104" t="s">
        <v>1393</v>
      </c>
      <c r="B47" s="20" t="s">
        <v>575</v>
      </c>
      <c r="C47" s="20" t="s">
        <v>513</v>
      </c>
      <c r="D47" s="20" t="s">
        <v>1386</v>
      </c>
      <c r="F47" s="105" t="n">
        <v>0</v>
      </c>
      <c r="G47" s="105" t="n">
        <v>0</v>
      </c>
      <c r="H47" s="105" t="n">
        <v>0</v>
      </c>
      <c r="I47" s="105" t="n">
        <v>0</v>
      </c>
      <c r="J47" s="105" t="n">
        <v>0</v>
      </c>
      <c r="K47" s="105" t="n">
        <v>0</v>
      </c>
      <c r="L47" s="105" t="n">
        <v>0</v>
      </c>
      <c r="M47" s="105" t="n">
        <v>0</v>
      </c>
      <c r="N47" s="105" t="n">
        <v>0</v>
      </c>
      <c r="O47" s="105" t="n">
        <v>0</v>
      </c>
      <c r="P47" s="105" t="n">
        <v>0</v>
      </c>
      <c r="Q47" s="105" t="n">
        <v>0</v>
      </c>
      <c r="R47" s="105" t="n">
        <v>0</v>
      </c>
      <c r="S47" s="105" t="n">
        <v>0</v>
      </c>
      <c r="T47" s="105" t="n">
        <v>0</v>
      </c>
      <c r="U47" s="105" t="n">
        <v>65</v>
      </c>
      <c r="V47" s="105" t="n">
        <v>130</v>
      </c>
      <c r="W47" s="105" t="n">
        <v>130</v>
      </c>
      <c r="X47" s="105" t="n">
        <v>130</v>
      </c>
      <c r="Y47" s="105" t="n">
        <v>265</v>
      </c>
      <c r="Z47" s="105" t="n">
        <v>265</v>
      </c>
      <c r="AA47" s="105" t="n">
        <v>460</v>
      </c>
      <c r="AB47" s="105" t="n">
        <v>460</v>
      </c>
      <c r="AC47" s="105" t="n">
        <v>700</v>
      </c>
      <c r="AD47" s="105" t="n">
        <v>700</v>
      </c>
      <c r="AE47" s="105" t="n">
        <v>700</v>
      </c>
      <c r="AF47" s="105" t="n">
        <v>700</v>
      </c>
      <c r="AG47" s="105" t="n">
        <v>930</v>
      </c>
      <c r="AI47" s="106" t="n">
        <f aca="false">INDEX($F47:$AG47,1,MATCH(AI$7,$F$7:$AG$7,1))</f>
        <v>0</v>
      </c>
      <c r="AJ47" s="106" t="n">
        <f aca="false">INDEX($F47:$AG47,1,MATCH(AJ$7,$F$7:$AG$7,1))</f>
        <v>0</v>
      </c>
      <c r="AK47" s="106" t="n">
        <f aca="false">INDEX($F47:$AG47,1,MATCH(AK$7,$F$7:$AG$7,1))</f>
        <v>0</v>
      </c>
      <c r="AL47" s="106" t="n">
        <f aca="false">INDEX($F47:$AG47,1,MATCH(AL$7,$F$7:$AG$7,1))</f>
        <v>65</v>
      </c>
      <c r="AM47" s="106" t="n">
        <f aca="false">INDEX($F47:$AG47,1,MATCH(AM$7,$F$7:$AG$7,1))</f>
        <v>265</v>
      </c>
      <c r="AN47" s="106" t="n">
        <f aca="false">INDEX($F47:$AG47,1,MATCH(AN$7,$F$7:$AG$7,1))</f>
        <v>700</v>
      </c>
      <c r="AO47" s="106" t="n">
        <f aca="false">INDEX($F47:$AG47,1,MATCH(AO$7,$F$7:$AG$7,1))</f>
        <v>930</v>
      </c>
    </row>
    <row r="48" customFormat="false" ht="15" hidden="false" customHeight="false" outlineLevel="0" collapsed="false">
      <c r="A48" s="104" t="s">
        <v>1394</v>
      </c>
      <c r="B48" s="20" t="s">
        <v>575</v>
      </c>
      <c r="C48" s="20" t="s">
        <v>513</v>
      </c>
      <c r="D48" s="20" t="s">
        <v>1386</v>
      </c>
      <c r="F48" s="105" t="n">
        <v>0</v>
      </c>
      <c r="G48" s="105" t="n">
        <v>0</v>
      </c>
      <c r="H48" s="105" t="n">
        <v>0</v>
      </c>
      <c r="I48" s="105" t="n">
        <v>0</v>
      </c>
      <c r="J48" s="105" t="n">
        <v>0</v>
      </c>
      <c r="K48" s="105" t="n">
        <v>0</v>
      </c>
      <c r="L48" s="105" t="n">
        <v>0</v>
      </c>
      <c r="M48" s="105" t="n">
        <v>0</v>
      </c>
      <c r="N48" s="105" t="n">
        <v>0</v>
      </c>
      <c r="O48" s="105" t="n">
        <v>0</v>
      </c>
      <c r="P48" s="105" t="n">
        <v>0</v>
      </c>
      <c r="Q48" s="105" t="n">
        <v>0</v>
      </c>
      <c r="R48" s="105" t="n">
        <v>0</v>
      </c>
      <c r="S48" s="105" t="n">
        <v>0</v>
      </c>
      <c r="T48" s="105" t="n">
        <v>0</v>
      </c>
      <c r="U48" s="105" t="n">
        <v>130</v>
      </c>
      <c r="V48" s="105" t="n">
        <v>260</v>
      </c>
      <c r="W48" s="105" t="n">
        <v>260</v>
      </c>
      <c r="X48" s="105" t="n">
        <v>260</v>
      </c>
      <c r="Y48" s="105" t="n">
        <v>400</v>
      </c>
      <c r="Z48" s="105" t="n">
        <v>400</v>
      </c>
      <c r="AA48" s="105" t="n">
        <v>660</v>
      </c>
      <c r="AB48" s="105" t="n">
        <v>660</v>
      </c>
      <c r="AC48" s="105" t="n">
        <v>1000</v>
      </c>
      <c r="AD48" s="105" t="n">
        <v>1000</v>
      </c>
      <c r="AE48" s="105" t="n">
        <v>1000</v>
      </c>
      <c r="AF48" s="105" t="n">
        <v>1000</v>
      </c>
      <c r="AG48" s="105" t="n">
        <v>1200</v>
      </c>
      <c r="AI48" s="106" t="n">
        <f aca="false">INDEX($F48:$AG48,1,MATCH(AI$7,$F$7:$AG$7,1))</f>
        <v>0</v>
      </c>
      <c r="AJ48" s="106" t="n">
        <f aca="false">INDEX($F48:$AG48,1,MATCH(AJ$7,$F$7:$AG$7,1))</f>
        <v>0</v>
      </c>
      <c r="AK48" s="106" t="n">
        <f aca="false">INDEX($F48:$AG48,1,MATCH(AK$7,$F$7:$AG$7,1))</f>
        <v>0</v>
      </c>
      <c r="AL48" s="106" t="n">
        <f aca="false">INDEX($F48:$AG48,1,MATCH(AL$7,$F$7:$AG$7,1))</f>
        <v>130</v>
      </c>
      <c r="AM48" s="106" t="n">
        <f aca="false">INDEX($F48:$AG48,1,MATCH(AM$7,$F$7:$AG$7,1))</f>
        <v>400</v>
      </c>
      <c r="AN48" s="106" t="n">
        <f aca="false">INDEX($F48:$AG48,1,MATCH(AN$7,$F$7:$AG$7,1))</f>
        <v>1000</v>
      </c>
      <c r="AO48" s="106" t="n">
        <f aca="false">INDEX($F48:$AG48,1,MATCH(AO$7,$F$7:$AG$7,1))</f>
        <v>1200</v>
      </c>
    </row>
    <row r="49" customFormat="false" ht="15" hidden="false" customHeight="false" outlineLevel="0" collapsed="false">
      <c r="A49" s="104" t="s">
        <v>1395</v>
      </c>
      <c r="B49" s="20" t="s">
        <v>575</v>
      </c>
      <c r="C49" s="20" t="s">
        <v>513</v>
      </c>
      <c r="D49" s="20" t="s">
        <v>1386</v>
      </c>
      <c r="F49" s="105" t="n">
        <v>0</v>
      </c>
      <c r="G49" s="105" t="n">
        <v>0</v>
      </c>
      <c r="H49" s="105" t="n">
        <v>0</v>
      </c>
      <c r="I49" s="105" t="n">
        <v>0</v>
      </c>
      <c r="J49" s="105" t="n">
        <v>0</v>
      </c>
      <c r="K49" s="105" t="n">
        <v>0</v>
      </c>
      <c r="L49" s="105" t="n">
        <v>0</v>
      </c>
      <c r="M49" s="105" t="n">
        <v>0</v>
      </c>
      <c r="N49" s="105" t="n">
        <v>0</v>
      </c>
      <c r="O49" s="105" t="n">
        <v>0</v>
      </c>
      <c r="P49" s="105" t="n">
        <v>0</v>
      </c>
      <c r="Q49" s="105" t="n">
        <v>0</v>
      </c>
      <c r="R49" s="105" t="n">
        <v>0</v>
      </c>
      <c r="S49" s="105" t="n">
        <v>0</v>
      </c>
      <c r="T49" s="105" t="n">
        <v>25</v>
      </c>
      <c r="U49" s="105" t="n">
        <v>50</v>
      </c>
      <c r="V49" s="105" t="n">
        <v>50</v>
      </c>
      <c r="W49" s="105" t="n">
        <v>100</v>
      </c>
      <c r="X49" s="105" t="n">
        <v>100</v>
      </c>
      <c r="Y49" s="105" t="n">
        <v>200</v>
      </c>
      <c r="Z49" s="105" t="n">
        <v>200</v>
      </c>
      <c r="AA49" s="105" t="n">
        <v>200</v>
      </c>
      <c r="AB49" s="105" t="n">
        <v>200</v>
      </c>
      <c r="AC49" s="105" t="n">
        <v>300</v>
      </c>
      <c r="AD49" s="105" t="n">
        <v>300</v>
      </c>
      <c r="AE49" s="105" t="n">
        <v>300</v>
      </c>
      <c r="AF49" s="105" t="n">
        <v>300</v>
      </c>
      <c r="AG49" s="105" t="n">
        <v>300</v>
      </c>
      <c r="AI49" s="106" t="n">
        <f aca="false">INDEX($F49:$AG49,1,MATCH(AI$7,$F$7:$AG$7,1))</f>
        <v>0</v>
      </c>
      <c r="AJ49" s="106" t="n">
        <f aca="false">INDEX($F49:$AG49,1,MATCH(AJ$7,$F$7:$AG$7,1))</f>
        <v>0</v>
      </c>
      <c r="AK49" s="106" t="n">
        <f aca="false">INDEX($F49:$AG49,1,MATCH(AK$7,$F$7:$AG$7,1))</f>
        <v>0</v>
      </c>
      <c r="AL49" s="106" t="n">
        <f aca="false">INDEX($F49:$AG49,1,MATCH(AL$7,$F$7:$AG$7,1))</f>
        <v>50</v>
      </c>
      <c r="AM49" s="106" t="n">
        <f aca="false">INDEX($F49:$AG49,1,MATCH(AM$7,$F$7:$AG$7,1))</f>
        <v>200</v>
      </c>
      <c r="AN49" s="106" t="n">
        <f aca="false">INDEX($F49:$AG49,1,MATCH(AN$7,$F$7:$AG$7,1))</f>
        <v>300</v>
      </c>
      <c r="AO49" s="106" t="n">
        <f aca="false">INDEX($F49:$AG49,1,MATCH(AO$7,$F$7:$AG$7,1))</f>
        <v>300</v>
      </c>
    </row>
    <row r="50" customFormat="false" ht="15" hidden="false" customHeight="false" outlineLevel="0" collapsed="false">
      <c r="A50" s="104" t="s">
        <v>1396</v>
      </c>
      <c r="B50" s="20" t="s">
        <v>575</v>
      </c>
      <c r="C50" s="20" t="s">
        <v>513</v>
      </c>
      <c r="D50" s="20" t="s">
        <v>1386</v>
      </c>
      <c r="F50" s="105" t="n">
        <v>0</v>
      </c>
      <c r="G50" s="105" t="n">
        <v>0</v>
      </c>
      <c r="H50" s="105" t="n">
        <v>0</v>
      </c>
      <c r="I50" s="105" t="n">
        <v>0</v>
      </c>
      <c r="J50" s="105" t="n">
        <v>0</v>
      </c>
      <c r="K50" s="105" t="n">
        <v>0</v>
      </c>
      <c r="L50" s="105" t="n">
        <v>0</v>
      </c>
      <c r="M50" s="105" t="n">
        <v>0</v>
      </c>
      <c r="N50" s="105" t="n">
        <v>0</v>
      </c>
      <c r="O50" s="105" t="n">
        <v>0</v>
      </c>
      <c r="P50" s="105" t="n">
        <v>0</v>
      </c>
      <c r="Q50" s="105" t="n">
        <v>0</v>
      </c>
      <c r="R50" s="105" t="n">
        <v>12.5</v>
      </c>
      <c r="S50" s="105" t="n">
        <v>25</v>
      </c>
      <c r="T50" s="105" t="n">
        <v>50</v>
      </c>
      <c r="U50" s="105" t="n">
        <v>75</v>
      </c>
      <c r="V50" s="105" t="n">
        <v>75</v>
      </c>
      <c r="W50" s="105" t="n">
        <v>150</v>
      </c>
      <c r="X50" s="105" t="n">
        <v>150</v>
      </c>
      <c r="Y50" s="105" t="n">
        <v>250</v>
      </c>
      <c r="Z50" s="105" t="n">
        <v>250</v>
      </c>
      <c r="AA50" s="105" t="n">
        <v>250</v>
      </c>
      <c r="AB50" s="105" t="n">
        <v>250</v>
      </c>
      <c r="AC50" s="105" t="n">
        <v>300</v>
      </c>
      <c r="AD50" s="105" t="n">
        <v>300</v>
      </c>
      <c r="AE50" s="105" t="n">
        <v>300</v>
      </c>
      <c r="AF50" s="105" t="n">
        <v>300</v>
      </c>
      <c r="AG50" s="105" t="n">
        <v>300</v>
      </c>
      <c r="AI50" s="106" t="n">
        <f aca="false">INDEX($F50:$AG50,1,MATCH(AI$7,$F$7:$AG$7,1))</f>
        <v>0</v>
      </c>
      <c r="AJ50" s="106" t="n">
        <f aca="false">INDEX($F50:$AG50,1,MATCH(AJ$7,$F$7:$AG$7,1))</f>
        <v>0</v>
      </c>
      <c r="AK50" s="106" t="n">
        <f aca="false">INDEX($F50:$AG50,1,MATCH(AK$7,$F$7:$AG$7,1))</f>
        <v>0</v>
      </c>
      <c r="AL50" s="106" t="n">
        <f aca="false">INDEX($F50:$AG50,1,MATCH(AL$7,$F$7:$AG$7,1))</f>
        <v>75</v>
      </c>
      <c r="AM50" s="106" t="n">
        <f aca="false">INDEX($F50:$AG50,1,MATCH(AM$7,$F$7:$AG$7,1))</f>
        <v>250</v>
      </c>
      <c r="AN50" s="106" t="n">
        <f aca="false">INDEX($F50:$AG50,1,MATCH(AN$7,$F$7:$AG$7,1))</f>
        <v>300</v>
      </c>
      <c r="AO50" s="106" t="n">
        <f aca="false">INDEX($F50:$AG50,1,MATCH(AO$7,$F$7:$AG$7,1))</f>
        <v>300</v>
      </c>
    </row>
    <row r="51" customFormat="false" ht="15" hidden="false" customHeight="false" outlineLevel="0" collapsed="false">
      <c r="A51" s="104" t="s">
        <v>1397</v>
      </c>
      <c r="B51" s="20" t="s">
        <v>575</v>
      </c>
      <c r="C51" s="20" t="s">
        <v>513</v>
      </c>
      <c r="D51" s="20" t="s">
        <v>1386</v>
      </c>
      <c r="F51" s="105" t="n">
        <v>0</v>
      </c>
      <c r="G51" s="105" t="n">
        <v>0</v>
      </c>
      <c r="H51" s="105" t="n">
        <v>0</v>
      </c>
      <c r="I51" s="105" t="n">
        <v>0</v>
      </c>
      <c r="J51" s="105" t="n">
        <v>0</v>
      </c>
      <c r="K51" s="105" t="n">
        <v>0</v>
      </c>
      <c r="L51" s="105" t="n">
        <v>0</v>
      </c>
      <c r="M51" s="105" t="n">
        <v>0</v>
      </c>
      <c r="N51" s="105" t="n">
        <v>0</v>
      </c>
      <c r="O51" s="105" t="n">
        <v>0</v>
      </c>
      <c r="P51" s="105" t="n">
        <v>0</v>
      </c>
      <c r="Q51" s="105" t="n">
        <v>0</v>
      </c>
      <c r="R51" s="105" t="n">
        <v>25</v>
      </c>
      <c r="S51" s="105" t="n">
        <v>50</v>
      </c>
      <c r="T51" s="105" t="n">
        <v>75</v>
      </c>
      <c r="U51" s="105" t="n">
        <v>100</v>
      </c>
      <c r="V51" s="105" t="n">
        <v>100</v>
      </c>
      <c r="W51" s="105" t="n">
        <v>200</v>
      </c>
      <c r="X51" s="105" t="n">
        <v>200</v>
      </c>
      <c r="Y51" s="105" t="n">
        <v>300</v>
      </c>
      <c r="Z51" s="105" t="n">
        <v>300</v>
      </c>
      <c r="AA51" s="105" t="n">
        <v>300</v>
      </c>
      <c r="AB51" s="105" t="n">
        <v>300</v>
      </c>
      <c r="AC51" s="105" t="n">
        <v>300</v>
      </c>
      <c r="AD51" s="105" t="n">
        <v>300</v>
      </c>
      <c r="AE51" s="105" t="n">
        <v>300</v>
      </c>
      <c r="AF51" s="105" t="n">
        <v>300</v>
      </c>
      <c r="AG51" s="105" t="n">
        <v>300</v>
      </c>
      <c r="AI51" s="106" t="n">
        <f aca="false">INDEX($F51:$AG51,1,MATCH(AI$7,$F$7:$AG$7,1))</f>
        <v>0</v>
      </c>
      <c r="AJ51" s="106" t="n">
        <f aca="false">INDEX($F51:$AG51,1,MATCH(AJ$7,$F$7:$AG$7,1))</f>
        <v>0</v>
      </c>
      <c r="AK51" s="106" t="n">
        <f aca="false">INDEX($F51:$AG51,1,MATCH(AK$7,$F$7:$AG$7,1))</f>
        <v>0</v>
      </c>
      <c r="AL51" s="106" t="n">
        <f aca="false">INDEX($F51:$AG51,1,MATCH(AL$7,$F$7:$AG$7,1))</f>
        <v>100</v>
      </c>
      <c r="AM51" s="106" t="n">
        <f aca="false">INDEX($F51:$AG51,1,MATCH(AM$7,$F$7:$AG$7,1))</f>
        <v>300</v>
      </c>
      <c r="AN51" s="106" t="n">
        <f aca="false">INDEX($F51:$AG51,1,MATCH(AN$7,$F$7:$AG$7,1))</f>
        <v>300</v>
      </c>
      <c r="AO51" s="106" t="n">
        <f aca="false">INDEX($F51:$AG51,1,MATCH(AO$7,$F$7:$AG$7,1))</f>
        <v>300</v>
      </c>
    </row>
    <row r="52" customFormat="false" ht="15" hidden="false" customHeight="false" outlineLevel="0" collapsed="false">
      <c r="A52" s="104" t="s">
        <v>1398</v>
      </c>
      <c r="B52" s="20" t="s">
        <v>575</v>
      </c>
      <c r="C52" s="20" t="s">
        <v>513</v>
      </c>
      <c r="D52" s="20" t="s">
        <v>1386</v>
      </c>
      <c r="F52" s="105" t="n">
        <v>0</v>
      </c>
      <c r="G52" s="105" t="n">
        <v>0</v>
      </c>
      <c r="H52" s="105" t="n">
        <v>0</v>
      </c>
      <c r="I52" s="105" t="n">
        <v>0</v>
      </c>
      <c r="J52" s="105" t="n">
        <v>0</v>
      </c>
      <c r="K52" s="105" t="n">
        <v>0</v>
      </c>
      <c r="L52" s="105" t="n">
        <v>0</v>
      </c>
      <c r="M52" s="105" t="n">
        <v>0</v>
      </c>
      <c r="N52" s="105" t="n">
        <v>0</v>
      </c>
      <c r="O52" s="105" t="n">
        <v>0</v>
      </c>
      <c r="P52" s="105" t="n">
        <v>0</v>
      </c>
      <c r="Q52" s="105" t="n">
        <v>0</v>
      </c>
      <c r="R52" s="105" t="n">
        <v>27</v>
      </c>
      <c r="S52" s="105" t="n">
        <v>60</v>
      </c>
      <c r="T52" s="105" t="n">
        <v>60</v>
      </c>
      <c r="U52" s="105" t="n">
        <v>120</v>
      </c>
      <c r="V52" s="105" t="n">
        <v>120</v>
      </c>
      <c r="W52" s="105" t="n">
        <v>120</v>
      </c>
      <c r="X52" s="105" t="n">
        <v>120</v>
      </c>
      <c r="Y52" s="105" t="n">
        <v>240</v>
      </c>
      <c r="Z52" s="105" t="n">
        <v>240</v>
      </c>
      <c r="AA52" s="105" t="n">
        <v>240</v>
      </c>
      <c r="AB52" s="105" t="n">
        <v>240</v>
      </c>
      <c r="AC52" s="105" t="n">
        <v>240</v>
      </c>
      <c r="AD52" s="105" t="n">
        <v>240</v>
      </c>
      <c r="AE52" s="105" t="n">
        <v>240</v>
      </c>
      <c r="AF52" s="105" t="n">
        <v>240</v>
      </c>
      <c r="AG52" s="105" t="n">
        <v>240</v>
      </c>
      <c r="AI52" s="106" t="n">
        <f aca="false">INDEX($F52:$AG52,1,MATCH(AI$7,$F$7:$AG$7,1))</f>
        <v>0</v>
      </c>
      <c r="AJ52" s="106" t="n">
        <f aca="false">INDEX($F52:$AG52,1,MATCH(AJ$7,$F$7:$AG$7,1))</f>
        <v>0</v>
      </c>
      <c r="AK52" s="106" t="n">
        <f aca="false">INDEX($F52:$AG52,1,MATCH(AK$7,$F$7:$AG$7,1))</f>
        <v>0</v>
      </c>
      <c r="AL52" s="106" t="n">
        <f aca="false">INDEX($F52:$AG52,1,MATCH(AL$7,$F$7:$AG$7,1))</f>
        <v>120</v>
      </c>
      <c r="AM52" s="106" t="n">
        <f aca="false">INDEX($F52:$AG52,1,MATCH(AM$7,$F$7:$AG$7,1))</f>
        <v>240</v>
      </c>
      <c r="AN52" s="106" t="n">
        <f aca="false">INDEX($F52:$AG52,1,MATCH(AN$7,$F$7:$AG$7,1))</f>
        <v>240</v>
      </c>
      <c r="AO52" s="106" t="n">
        <f aca="false">INDEX($F52:$AG52,1,MATCH(AO$7,$F$7:$AG$7,1))</f>
        <v>240</v>
      </c>
    </row>
    <row r="53" customFormat="false" ht="15" hidden="false" customHeight="false" outlineLevel="0" collapsed="false">
      <c r="A53" s="104" t="s">
        <v>1399</v>
      </c>
      <c r="B53" s="20" t="s">
        <v>575</v>
      </c>
      <c r="C53" s="20" t="s">
        <v>513</v>
      </c>
      <c r="D53" s="20" t="s">
        <v>1386</v>
      </c>
      <c r="F53" s="105" t="n">
        <v>0</v>
      </c>
      <c r="G53" s="105" t="n">
        <v>0</v>
      </c>
      <c r="H53" s="105" t="n">
        <v>0</v>
      </c>
      <c r="I53" s="105" t="n">
        <v>0</v>
      </c>
      <c r="J53" s="105" t="n">
        <v>0</v>
      </c>
      <c r="K53" s="105" t="n">
        <v>0</v>
      </c>
      <c r="L53" s="105" t="n">
        <v>0</v>
      </c>
      <c r="M53" s="105" t="n">
        <v>0</v>
      </c>
      <c r="N53" s="105" t="n">
        <v>0</v>
      </c>
      <c r="O53" s="105" t="n">
        <v>0</v>
      </c>
      <c r="P53" s="105" t="n">
        <v>0</v>
      </c>
      <c r="Q53" s="105" t="n">
        <v>30</v>
      </c>
      <c r="R53" s="105" t="n">
        <v>73.5</v>
      </c>
      <c r="S53" s="105" t="n">
        <v>120</v>
      </c>
      <c r="T53" s="105" t="n">
        <v>120</v>
      </c>
      <c r="U53" s="105" t="n">
        <v>180</v>
      </c>
      <c r="V53" s="105" t="n">
        <v>180</v>
      </c>
      <c r="W53" s="105" t="n">
        <v>180</v>
      </c>
      <c r="X53" s="105" t="n">
        <v>180</v>
      </c>
      <c r="Y53" s="105" t="n">
        <v>240</v>
      </c>
      <c r="Z53" s="105" t="n">
        <v>240</v>
      </c>
      <c r="AA53" s="105" t="n">
        <v>240</v>
      </c>
      <c r="AB53" s="105" t="n">
        <v>240</v>
      </c>
      <c r="AC53" s="105" t="n">
        <v>240</v>
      </c>
      <c r="AD53" s="105" t="n">
        <v>240</v>
      </c>
      <c r="AE53" s="105" t="n">
        <v>240</v>
      </c>
      <c r="AF53" s="105" t="n">
        <v>240</v>
      </c>
      <c r="AG53" s="105" t="n">
        <v>240</v>
      </c>
      <c r="AI53" s="106" t="n">
        <f aca="false">INDEX($F53:$AG53,1,MATCH(AI$7,$F$7:$AG$7,1))</f>
        <v>0</v>
      </c>
      <c r="AJ53" s="106" t="n">
        <f aca="false">INDEX($F53:$AG53,1,MATCH(AJ$7,$F$7:$AG$7,1))</f>
        <v>0</v>
      </c>
      <c r="AK53" s="106" t="n">
        <f aca="false">INDEX($F53:$AG53,1,MATCH(AK$7,$F$7:$AG$7,1))</f>
        <v>30</v>
      </c>
      <c r="AL53" s="106" t="n">
        <f aca="false">INDEX($F53:$AG53,1,MATCH(AL$7,$F$7:$AG$7,1))</f>
        <v>180</v>
      </c>
      <c r="AM53" s="106" t="n">
        <f aca="false">INDEX($F53:$AG53,1,MATCH(AM$7,$F$7:$AG$7,1))</f>
        <v>240</v>
      </c>
      <c r="AN53" s="106" t="n">
        <f aca="false">INDEX($F53:$AG53,1,MATCH(AN$7,$F$7:$AG$7,1))</f>
        <v>240</v>
      </c>
      <c r="AO53" s="106" t="n">
        <f aca="false">INDEX($F53:$AG53,1,MATCH(AO$7,$F$7:$AG$7,1))</f>
        <v>240</v>
      </c>
    </row>
    <row r="54" customFormat="false" ht="15" hidden="false" customHeight="false" outlineLevel="0" collapsed="false">
      <c r="A54" s="104" t="s">
        <v>1400</v>
      </c>
      <c r="B54" s="20" t="s">
        <v>575</v>
      </c>
      <c r="C54" s="20" t="s">
        <v>513</v>
      </c>
      <c r="D54" s="20" t="s">
        <v>1386</v>
      </c>
      <c r="F54" s="105" t="n">
        <v>0</v>
      </c>
      <c r="G54" s="105" t="n">
        <v>0</v>
      </c>
      <c r="H54" s="105" t="n">
        <v>0</v>
      </c>
      <c r="I54" s="105" t="n">
        <v>0</v>
      </c>
      <c r="J54" s="105" t="n">
        <v>0</v>
      </c>
      <c r="K54" s="105" t="n">
        <v>0</v>
      </c>
      <c r="L54" s="105" t="n">
        <v>0</v>
      </c>
      <c r="M54" s="105" t="n">
        <v>0</v>
      </c>
      <c r="N54" s="105" t="n">
        <v>0</v>
      </c>
      <c r="O54" s="105" t="n">
        <v>0</v>
      </c>
      <c r="P54" s="105" t="n">
        <v>0</v>
      </c>
      <c r="Q54" s="105" t="n">
        <v>60</v>
      </c>
      <c r="R54" s="105" t="n">
        <v>120</v>
      </c>
      <c r="S54" s="105" t="n">
        <v>180</v>
      </c>
      <c r="T54" s="105" t="n">
        <v>180</v>
      </c>
      <c r="U54" s="105" t="n">
        <v>240</v>
      </c>
      <c r="V54" s="105" t="n">
        <v>240</v>
      </c>
      <c r="W54" s="105" t="n">
        <v>240</v>
      </c>
      <c r="X54" s="105" t="n">
        <v>240</v>
      </c>
      <c r="Y54" s="105" t="n">
        <v>240</v>
      </c>
      <c r="Z54" s="105" t="n">
        <v>240</v>
      </c>
      <c r="AA54" s="105" t="n">
        <v>240</v>
      </c>
      <c r="AB54" s="105" t="n">
        <v>240</v>
      </c>
      <c r="AC54" s="105" t="n">
        <v>240</v>
      </c>
      <c r="AD54" s="105" t="n">
        <v>240</v>
      </c>
      <c r="AE54" s="105" t="n">
        <v>240</v>
      </c>
      <c r="AF54" s="105" t="n">
        <v>240</v>
      </c>
      <c r="AG54" s="105" t="n">
        <v>240</v>
      </c>
      <c r="AI54" s="106" t="n">
        <f aca="false">INDEX($F54:$AG54,1,MATCH(AI$7,$F$7:$AG$7,1))</f>
        <v>0</v>
      </c>
      <c r="AJ54" s="106" t="n">
        <f aca="false">INDEX($F54:$AG54,1,MATCH(AJ$7,$F$7:$AG$7,1))</f>
        <v>0</v>
      </c>
      <c r="AK54" s="106" t="n">
        <f aca="false">INDEX($F54:$AG54,1,MATCH(AK$7,$F$7:$AG$7,1))</f>
        <v>60</v>
      </c>
      <c r="AL54" s="106" t="n">
        <f aca="false">INDEX($F54:$AG54,1,MATCH(AL$7,$F$7:$AG$7,1))</f>
        <v>240</v>
      </c>
      <c r="AM54" s="106" t="n">
        <f aca="false">INDEX($F54:$AG54,1,MATCH(AM$7,$F$7:$AG$7,1))</f>
        <v>240</v>
      </c>
      <c r="AN54" s="106" t="n">
        <f aca="false">INDEX($F54:$AG54,1,MATCH(AN$7,$F$7:$AG$7,1))</f>
        <v>240</v>
      </c>
      <c r="AO54" s="106" t="n">
        <f aca="false">INDEX($F54:$AG54,1,MATCH(AO$7,$F$7:$AG$7,1))</f>
        <v>240</v>
      </c>
    </row>
    <row r="55" customFormat="false" ht="15" hidden="false" customHeight="false" outlineLevel="0" collapsed="false">
      <c r="A55" s="104" t="s">
        <v>1401</v>
      </c>
      <c r="B55" s="20" t="s">
        <v>575</v>
      </c>
      <c r="C55" s="20" t="s">
        <v>513</v>
      </c>
      <c r="D55" s="20" t="s">
        <v>1386</v>
      </c>
      <c r="F55" s="105" t="n">
        <v>0</v>
      </c>
      <c r="G55" s="105" t="n">
        <v>0</v>
      </c>
      <c r="H55" s="105" t="n">
        <v>0</v>
      </c>
      <c r="I55" s="105" t="n">
        <v>0</v>
      </c>
      <c r="J55" s="105" t="n">
        <v>0</v>
      </c>
      <c r="K55" s="105" t="n">
        <v>0</v>
      </c>
      <c r="L55" s="105" t="n">
        <v>0</v>
      </c>
      <c r="M55" s="105" t="n">
        <v>0</v>
      </c>
      <c r="N55" s="105" t="n">
        <v>0</v>
      </c>
      <c r="O55" s="105" t="n">
        <v>0</v>
      </c>
      <c r="P55" s="105" t="n">
        <v>0</v>
      </c>
      <c r="Q55" s="105" t="n">
        <v>0</v>
      </c>
      <c r="R55" s="105" t="n">
        <v>0</v>
      </c>
      <c r="S55" s="105" t="n">
        <v>0</v>
      </c>
      <c r="T55" s="105" t="n">
        <v>0</v>
      </c>
      <c r="U55" s="105" t="n">
        <v>35</v>
      </c>
      <c r="V55" s="105" t="n">
        <v>35</v>
      </c>
      <c r="W55" s="105" t="n">
        <v>70</v>
      </c>
      <c r="X55" s="105" t="n">
        <v>70</v>
      </c>
      <c r="Y55" s="105" t="n">
        <v>140</v>
      </c>
      <c r="Z55" s="105" t="n">
        <v>140</v>
      </c>
      <c r="AA55" s="105" t="n">
        <v>140</v>
      </c>
      <c r="AB55" s="105" t="n">
        <v>140</v>
      </c>
      <c r="AC55" s="105" t="n">
        <v>220</v>
      </c>
      <c r="AD55" s="105" t="n">
        <v>220</v>
      </c>
      <c r="AE55" s="105" t="n">
        <v>220</v>
      </c>
      <c r="AF55" s="105" t="n">
        <v>220</v>
      </c>
      <c r="AG55" s="105" t="n">
        <v>310</v>
      </c>
      <c r="AI55" s="106" t="n">
        <f aca="false">INDEX($F55:$AG55,1,MATCH(AI$7,$F$7:$AG$7,1))</f>
        <v>0</v>
      </c>
      <c r="AJ55" s="106" t="n">
        <f aca="false">INDEX($F55:$AG55,1,MATCH(AJ$7,$F$7:$AG$7,1))</f>
        <v>0</v>
      </c>
      <c r="AK55" s="106" t="n">
        <f aca="false">INDEX($F55:$AG55,1,MATCH(AK$7,$F$7:$AG$7,1))</f>
        <v>0</v>
      </c>
      <c r="AL55" s="106" t="n">
        <f aca="false">INDEX($F55:$AG55,1,MATCH(AL$7,$F$7:$AG$7,1))</f>
        <v>35</v>
      </c>
      <c r="AM55" s="106" t="n">
        <f aca="false">INDEX($F55:$AG55,1,MATCH(AM$7,$F$7:$AG$7,1))</f>
        <v>140</v>
      </c>
      <c r="AN55" s="106" t="n">
        <f aca="false">INDEX($F55:$AG55,1,MATCH(AN$7,$F$7:$AG$7,1))</f>
        <v>220</v>
      </c>
      <c r="AO55" s="106" t="n">
        <f aca="false">INDEX($F55:$AG55,1,MATCH(AO$7,$F$7:$AG$7,1))</f>
        <v>310</v>
      </c>
    </row>
    <row r="56" customFormat="false" ht="15" hidden="false" customHeight="false" outlineLevel="0" collapsed="false">
      <c r="A56" s="104" t="s">
        <v>1402</v>
      </c>
      <c r="B56" s="20" t="s">
        <v>575</v>
      </c>
      <c r="C56" s="20" t="s">
        <v>513</v>
      </c>
      <c r="D56" s="20" t="s">
        <v>1386</v>
      </c>
      <c r="F56" s="105" t="n">
        <v>0</v>
      </c>
      <c r="G56" s="105" t="n">
        <v>0</v>
      </c>
      <c r="H56" s="105" t="n">
        <v>0</v>
      </c>
      <c r="I56" s="105" t="n">
        <v>0</v>
      </c>
      <c r="J56" s="105" t="n">
        <v>0</v>
      </c>
      <c r="K56" s="105" t="n">
        <v>0</v>
      </c>
      <c r="L56" s="105" t="n">
        <v>0</v>
      </c>
      <c r="M56" s="105" t="n">
        <v>0</v>
      </c>
      <c r="N56" s="105" t="n">
        <v>0</v>
      </c>
      <c r="O56" s="105" t="n">
        <v>0</v>
      </c>
      <c r="P56" s="105" t="n">
        <v>0</v>
      </c>
      <c r="Q56" s="105" t="n">
        <v>0</v>
      </c>
      <c r="R56" s="105" t="n">
        <v>0</v>
      </c>
      <c r="S56" s="105" t="n">
        <v>17.5</v>
      </c>
      <c r="T56" s="105" t="n">
        <v>35</v>
      </c>
      <c r="U56" s="105" t="n">
        <v>52.5</v>
      </c>
      <c r="V56" s="105" t="n">
        <v>52.5</v>
      </c>
      <c r="W56" s="105" t="n">
        <v>105</v>
      </c>
      <c r="X56" s="105" t="n">
        <v>105</v>
      </c>
      <c r="Y56" s="105" t="n">
        <v>170</v>
      </c>
      <c r="Z56" s="105" t="n">
        <v>170</v>
      </c>
      <c r="AA56" s="105" t="n">
        <v>170</v>
      </c>
      <c r="AB56" s="105" t="n">
        <v>170</v>
      </c>
      <c r="AC56" s="105" t="n">
        <v>265</v>
      </c>
      <c r="AD56" s="105" t="n">
        <v>265</v>
      </c>
      <c r="AE56" s="105" t="n">
        <v>265</v>
      </c>
      <c r="AF56" s="105" t="n">
        <v>265</v>
      </c>
      <c r="AG56" s="105" t="n">
        <v>310</v>
      </c>
      <c r="AI56" s="106" t="n">
        <f aca="false">INDEX($F56:$AG56,1,MATCH(AI$7,$F$7:$AG$7,1))</f>
        <v>0</v>
      </c>
      <c r="AJ56" s="106" t="n">
        <f aca="false">INDEX($F56:$AG56,1,MATCH(AJ$7,$F$7:$AG$7,1))</f>
        <v>0</v>
      </c>
      <c r="AK56" s="106" t="n">
        <f aca="false">INDEX($F56:$AG56,1,MATCH(AK$7,$F$7:$AG$7,1))</f>
        <v>0</v>
      </c>
      <c r="AL56" s="106" t="n">
        <f aca="false">INDEX($F56:$AG56,1,MATCH(AL$7,$F$7:$AG$7,1))</f>
        <v>52.5</v>
      </c>
      <c r="AM56" s="106" t="n">
        <f aca="false">INDEX($F56:$AG56,1,MATCH(AM$7,$F$7:$AG$7,1))</f>
        <v>170</v>
      </c>
      <c r="AN56" s="106" t="n">
        <f aca="false">INDEX($F56:$AG56,1,MATCH(AN$7,$F$7:$AG$7,1))</f>
        <v>265</v>
      </c>
      <c r="AO56" s="106" t="n">
        <f aca="false">INDEX($F56:$AG56,1,MATCH(AO$7,$F$7:$AG$7,1))</f>
        <v>310</v>
      </c>
    </row>
    <row r="57" customFormat="false" ht="15" hidden="false" customHeight="false" outlineLevel="0" collapsed="false">
      <c r="A57" s="104" t="s">
        <v>1403</v>
      </c>
      <c r="B57" s="20" t="s">
        <v>575</v>
      </c>
      <c r="C57" s="20" t="s">
        <v>513</v>
      </c>
      <c r="D57" s="20" t="s">
        <v>1386</v>
      </c>
      <c r="F57" s="105" t="n">
        <v>0</v>
      </c>
      <c r="G57" s="105" t="n">
        <v>0</v>
      </c>
      <c r="H57" s="105" t="n">
        <v>0</v>
      </c>
      <c r="I57" s="105" t="n">
        <v>0</v>
      </c>
      <c r="J57" s="105" t="n">
        <v>0</v>
      </c>
      <c r="K57" s="105" t="n">
        <v>0</v>
      </c>
      <c r="L57" s="105" t="n">
        <v>0</v>
      </c>
      <c r="M57" s="105" t="n">
        <v>0</v>
      </c>
      <c r="N57" s="105" t="n">
        <v>0</v>
      </c>
      <c r="O57" s="105" t="n">
        <v>0</v>
      </c>
      <c r="P57" s="105" t="n">
        <v>0</v>
      </c>
      <c r="Q57" s="105" t="n">
        <v>0</v>
      </c>
      <c r="R57" s="105" t="n">
        <v>0</v>
      </c>
      <c r="S57" s="105" t="n">
        <v>35</v>
      </c>
      <c r="T57" s="105" t="n">
        <v>70</v>
      </c>
      <c r="U57" s="105" t="n">
        <v>70</v>
      </c>
      <c r="V57" s="105" t="n">
        <v>70</v>
      </c>
      <c r="W57" s="105" t="n">
        <v>140</v>
      </c>
      <c r="X57" s="105" t="n">
        <v>140</v>
      </c>
      <c r="Y57" s="105" t="n">
        <v>200</v>
      </c>
      <c r="Z57" s="105" t="n">
        <v>200</v>
      </c>
      <c r="AA57" s="105" t="n">
        <v>200</v>
      </c>
      <c r="AB57" s="105" t="n">
        <v>200</v>
      </c>
      <c r="AC57" s="105" t="n">
        <v>310</v>
      </c>
      <c r="AD57" s="105" t="n">
        <v>310</v>
      </c>
      <c r="AE57" s="105" t="n">
        <v>310</v>
      </c>
      <c r="AF57" s="105" t="n">
        <v>310</v>
      </c>
      <c r="AG57" s="105" t="n">
        <v>310</v>
      </c>
      <c r="AI57" s="106" t="n">
        <f aca="false">INDEX($F57:$AG57,1,MATCH(AI$7,$F$7:$AG$7,1))</f>
        <v>0</v>
      </c>
      <c r="AJ57" s="106" t="n">
        <f aca="false">INDEX($F57:$AG57,1,MATCH(AJ$7,$F$7:$AG$7,1))</f>
        <v>0</v>
      </c>
      <c r="AK57" s="106" t="n">
        <f aca="false">INDEX($F57:$AG57,1,MATCH(AK$7,$F$7:$AG$7,1))</f>
        <v>0</v>
      </c>
      <c r="AL57" s="106" t="n">
        <f aca="false">INDEX($F57:$AG57,1,MATCH(AL$7,$F$7:$AG$7,1))</f>
        <v>70</v>
      </c>
      <c r="AM57" s="106" t="n">
        <f aca="false">INDEX($F57:$AG57,1,MATCH(AM$7,$F$7:$AG$7,1))</f>
        <v>200</v>
      </c>
      <c r="AN57" s="106" t="n">
        <f aca="false">INDEX($F57:$AG57,1,MATCH(AN$7,$F$7:$AG$7,1))</f>
        <v>310</v>
      </c>
      <c r="AO57" s="106" t="n">
        <f aca="false">INDEX($F57:$AG57,1,MATCH(AO$7,$F$7:$AG$7,1))</f>
        <v>310</v>
      </c>
    </row>
    <row r="58" customFormat="false" ht="15" hidden="false" customHeight="false" outlineLevel="0" collapsed="false">
      <c r="A58" s="104" t="s">
        <v>1404</v>
      </c>
      <c r="B58" s="20" t="s">
        <v>575</v>
      </c>
      <c r="C58" s="20" t="s">
        <v>513</v>
      </c>
      <c r="D58" s="20" t="s">
        <v>1386</v>
      </c>
      <c r="F58" s="105" t="n">
        <v>25</v>
      </c>
      <c r="G58" s="105" t="n">
        <v>25</v>
      </c>
      <c r="H58" s="105" t="n">
        <v>25</v>
      </c>
      <c r="I58" s="105" t="n">
        <v>25</v>
      </c>
      <c r="J58" s="105" t="n">
        <v>25</v>
      </c>
      <c r="K58" s="105" t="n">
        <v>25</v>
      </c>
      <c r="L58" s="105" t="n">
        <v>25</v>
      </c>
      <c r="M58" s="105" t="n">
        <v>50</v>
      </c>
      <c r="N58" s="105" t="n">
        <v>75</v>
      </c>
      <c r="O58" s="105" t="n">
        <v>75</v>
      </c>
      <c r="P58" s="105" t="n">
        <v>75</v>
      </c>
      <c r="Q58" s="105" t="n">
        <v>75</v>
      </c>
      <c r="R58" s="105" t="n">
        <v>75</v>
      </c>
      <c r="S58" s="105" t="n">
        <v>75</v>
      </c>
      <c r="T58" s="105" t="n">
        <v>75</v>
      </c>
      <c r="U58" s="105" t="n">
        <v>75</v>
      </c>
      <c r="V58" s="105" t="n">
        <v>75</v>
      </c>
      <c r="W58" s="105" t="n">
        <v>75</v>
      </c>
      <c r="X58" s="105" t="n">
        <v>75</v>
      </c>
      <c r="Y58" s="105" t="n">
        <v>75</v>
      </c>
      <c r="Z58" s="105" t="n">
        <v>75</v>
      </c>
      <c r="AA58" s="105" t="n">
        <v>75</v>
      </c>
      <c r="AB58" s="105" t="n">
        <v>75</v>
      </c>
      <c r="AC58" s="105" t="n">
        <v>75</v>
      </c>
      <c r="AD58" s="105" t="n">
        <v>75</v>
      </c>
      <c r="AE58" s="105" t="n">
        <v>75</v>
      </c>
      <c r="AF58" s="105" t="n">
        <v>75</v>
      </c>
      <c r="AG58" s="105" t="n">
        <v>75</v>
      </c>
      <c r="AI58" s="106" t="n">
        <f aca="false">INDEX($F58:$AG58,1,MATCH(AI$7,$F$7:$AG$7,1))</f>
        <v>25</v>
      </c>
      <c r="AJ58" s="106" t="n">
        <f aca="false">INDEX($F58:$AG58,1,MATCH(AJ$7,$F$7:$AG$7,1))</f>
        <v>50</v>
      </c>
      <c r="AK58" s="106" t="n">
        <f aca="false">INDEX($F58:$AG58,1,MATCH(AK$7,$F$7:$AG$7,1))</f>
        <v>75</v>
      </c>
      <c r="AL58" s="106" t="n">
        <f aca="false">INDEX($F58:$AG58,1,MATCH(AL$7,$F$7:$AG$7,1))</f>
        <v>75</v>
      </c>
      <c r="AM58" s="106" t="n">
        <f aca="false">INDEX($F58:$AG58,1,MATCH(AM$7,$F$7:$AG$7,1))</f>
        <v>75</v>
      </c>
      <c r="AN58" s="106" t="n">
        <f aca="false">INDEX($F58:$AG58,1,MATCH(AN$7,$F$7:$AG$7,1))</f>
        <v>75</v>
      </c>
      <c r="AO58" s="106" t="n">
        <f aca="false">INDEX($F58:$AG58,1,MATCH(AO$7,$F$7:$AG$7,1))</f>
        <v>75</v>
      </c>
    </row>
    <row r="59" customFormat="false" ht="15" hidden="false" customHeight="false" outlineLevel="0" collapsed="false">
      <c r="A59" s="104" t="s">
        <v>1405</v>
      </c>
      <c r="B59" s="20" t="s">
        <v>575</v>
      </c>
      <c r="C59" s="20" t="s">
        <v>513</v>
      </c>
      <c r="D59" s="20" t="s">
        <v>1386</v>
      </c>
      <c r="F59" s="105" t="n">
        <v>25</v>
      </c>
      <c r="G59" s="105" t="n">
        <v>25</v>
      </c>
      <c r="H59" s="105" t="n">
        <v>25</v>
      </c>
      <c r="I59" s="105" t="n">
        <v>25</v>
      </c>
      <c r="J59" s="105" t="n">
        <v>25</v>
      </c>
      <c r="K59" s="105" t="n">
        <v>25</v>
      </c>
      <c r="L59" s="105" t="n">
        <v>37.5</v>
      </c>
      <c r="M59" s="105" t="n">
        <v>62.5</v>
      </c>
      <c r="N59" s="105" t="n">
        <v>75</v>
      </c>
      <c r="O59" s="105" t="n">
        <v>75</v>
      </c>
      <c r="P59" s="105" t="n">
        <v>75</v>
      </c>
      <c r="Q59" s="105" t="n">
        <v>75</v>
      </c>
      <c r="R59" s="105" t="n">
        <v>75</v>
      </c>
      <c r="S59" s="105" t="n">
        <v>75</v>
      </c>
      <c r="T59" s="105" t="n">
        <v>75</v>
      </c>
      <c r="U59" s="105" t="n">
        <v>75</v>
      </c>
      <c r="V59" s="105" t="n">
        <v>75</v>
      </c>
      <c r="W59" s="105" t="n">
        <v>75</v>
      </c>
      <c r="X59" s="105" t="n">
        <v>75</v>
      </c>
      <c r="Y59" s="105" t="n">
        <v>75</v>
      </c>
      <c r="Z59" s="105" t="n">
        <v>75</v>
      </c>
      <c r="AA59" s="105" t="n">
        <v>75</v>
      </c>
      <c r="AB59" s="105" t="n">
        <v>75</v>
      </c>
      <c r="AC59" s="105" t="n">
        <v>75</v>
      </c>
      <c r="AD59" s="105" t="n">
        <v>75</v>
      </c>
      <c r="AE59" s="105" t="n">
        <v>75</v>
      </c>
      <c r="AF59" s="105" t="n">
        <v>75</v>
      </c>
      <c r="AG59" s="105" t="n">
        <v>75</v>
      </c>
      <c r="AI59" s="106" t="n">
        <f aca="false">INDEX($F59:$AG59,1,MATCH(AI$7,$F$7:$AG$7,1))</f>
        <v>25</v>
      </c>
      <c r="AJ59" s="106" t="n">
        <f aca="false">INDEX($F59:$AG59,1,MATCH(AJ$7,$F$7:$AG$7,1))</f>
        <v>62.5</v>
      </c>
      <c r="AK59" s="106" t="n">
        <f aca="false">INDEX($F59:$AG59,1,MATCH(AK$7,$F$7:$AG$7,1))</f>
        <v>75</v>
      </c>
      <c r="AL59" s="106" t="n">
        <f aca="false">INDEX($F59:$AG59,1,MATCH(AL$7,$F$7:$AG$7,1))</f>
        <v>75</v>
      </c>
      <c r="AM59" s="106" t="n">
        <f aca="false">INDEX($F59:$AG59,1,MATCH(AM$7,$F$7:$AG$7,1))</f>
        <v>75</v>
      </c>
      <c r="AN59" s="106" t="n">
        <f aca="false">INDEX($F59:$AG59,1,MATCH(AN$7,$F$7:$AG$7,1))</f>
        <v>75</v>
      </c>
      <c r="AO59" s="106" t="n">
        <f aca="false">INDEX($F59:$AG59,1,MATCH(AO$7,$F$7:$AG$7,1))</f>
        <v>75</v>
      </c>
    </row>
    <row r="60" customFormat="false" ht="15" hidden="false" customHeight="false" outlineLevel="0" collapsed="false">
      <c r="A60" s="104" t="s">
        <v>1406</v>
      </c>
      <c r="B60" s="20" t="s">
        <v>575</v>
      </c>
      <c r="C60" s="20" t="s">
        <v>513</v>
      </c>
      <c r="D60" s="20" t="s">
        <v>1386</v>
      </c>
      <c r="F60" s="105" t="n">
        <v>25</v>
      </c>
      <c r="G60" s="105" t="n">
        <v>25</v>
      </c>
      <c r="H60" s="105" t="n">
        <v>25</v>
      </c>
      <c r="I60" s="105" t="n">
        <v>25</v>
      </c>
      <c r="J60" s="105" t="n">
        <v>25</v>
      </c>
      <c r="K60" s="105" t="n">
        <v>25</v>
      </c>
      <c r="L60" s="105" t="n">
        <v>50</v>
      </c>
      <c r="M60" s="105" t="n">
        <v>75</v>
      </c>
      <c r="N60" s="105" t="n">
        <v>75</v>
      </c>
      <c r="O60" s="105" t="n">
        <v>75</v>
      </c>
      <c r="P60" s="105" t="n">
        <v>75</v>
      </c>
      <c r="Q60" s="105" t="n">
        <v>75</v>
      </c>
      <c r="R60" s="105" t="n">
        <v>75</v>
      </c>
      <c r="S60" s="105" t="n">
        <v>75</v>
      </c>
      <c r="T60" s="105" t="n">
        <v>75</v>
      </c>
      <c r="U60" s="105" t="n">
        <v>75</v>
      </c>
      <c r="V60" s="105" t="n">
        <v>75</v>
      </c>
      <c r="W60" s="105" t="n">
        <v>75</v>
      </c>
      <c r="X60" s="105" t="n">
        <v>75</v>
      </c>
      <c r="Y60" s="105" t="n">
        <v>75</v>
      </c>
      <c r="Z60" s="105" t="n">
        <v>75</v>
      </c>
      <c r="AA60" s="105" t="n">
        <v>75</v>
      </c>
      <c r="AB60" s="105" t="n">
        <v>75</v>
      </c>
      <c r="AC60" s="105" t="n">
        <v>75</v>
      </c>
      <c r="AD60" s="105" t="n">
        <v>75</v>
      </c>
      <c r="AE60" s="105" t="n">
        <v>75</v>
      </c>
      <c r="AF60" s="105" t="n">
        <v>75</v>
      </c>
      <c r="AG60" s="105" t="n">
        <v>75</v>
      </c>
      <c r="AI60" s="106" t="n">
        <f aca="false">INDEX($F60:$AG60,1,MATCH(AI$7,$F$7:$AG$7,1))</f>
        <v>25</v>
      </c>
      <c r="AJ60" s="106" t="n">
        <f aca="false">INDEX($F60:$AG60,1,MATCH(AJ$7,$F$7:$AG$7,1))</f>
        <v>75</v>
      </c>
      <c r="AK60" s="106" t="n">
        <f aca="false">INDEX($F60:$AG60,1,MATCH(AK$7,$F$7:$AG$7,1))</f>
        <v>75</v>
      </c>
      <c r="AL60" s="106" t="n">
        <f aca="false">INDEX($F60:$AG60,1,MATCH(AL$7,$F$7:$AG$7,1))</f>
        <v>75</v>
      </c>
      <c r="AM60" s="106" t="n">
        <f aca="false">INDEX($F60:$AG60,1,MATCH(AM$7,$F$7:$AG$7,1))</f>
        <v>75</v>
      </c>
      <c r="AN60" s="106" t="n">
        <f aca="false">INDEX($F60:$AG60,1,MATCH(AN$7,$F$7:$AG$7,1))</f>
        <v>75</v>
      </c>
      <c r="AO60" s="106" t="n">
        <f aca="false">INDEX($F60:$AG60,1,MATCH(AO$7,$F$7:$AG$7,1))</f>
        <v>75</v>
      </c>
    </row>
    <row r="61" customFormat="false" ht="15" hidden="false" customHeight="false" outlineLevel="0" collapsed="false">
      <c r="A61" s="104" t="s">
        <v>1407</v>
      </c>
      <c r="B61" s="20" t="s">
        <v>575</v>
      </c>
      <c r="C61" s="20" t="s">
        <v>513</v>
      </c>
      <c r="D61" s="20" t="s">
        <v>1386</v>
      </c>
      <c r="F61" s="105" t="n">
        <v>0</v>
      </c>
      <c r="G61" s="105" t="n">
        <v>0</v>
      </c>
      <c r="H61" s="105" t="n">
        <v>0</v>
      </c>
      <c r="I61" s="105" t="n">
        <v>0</v>
      </c>
      <c r="J61" s="105" t="n">
        <v>0</v>
      </c>
      <c r="K61" s="105" t="n">
        <v>0</v>
      </c>
      <c r="L61" s="105" t="n">
        <v>0</v>
      </c>
      <c r="M61" s="105" t="n">
        <v>0</v>
      </c>
      <c r="N61" s="105" t="n">
        <v>0</v>
      </c>
      <c r="O61" s="105" t="n">
        <v>0</v>
      </c>
      <c r="P61" s="105" t="n">
        <v>0</v>
      </c>
      <c r="Q61" s="105" t="n">
        <v>0</v>
      </c>
      <c r="R61" s="105" t="n">
        <v>0</v>
      </c>
      <c r="S61" s="105" t="n">
        <v>0</v>
      </c>
      <c r="T61" s="105" t="n">
        <v>0</v>
      </c>
      <c r="U61" s="105" t="n">
        <v>0</v>
      </c>
      <c r="V61" s="105" t="n">
        <v>35</v>
      </c>
      <c r="W61" s="105" t="n">
        <v>70</v>
      </c>
      <c r="X61" s="105" t="n">
        <v>70</v>
      </c>
      <c r="Y61" s="105" t="n">
        <v>70</v>
      </c>
      <c r="Z61" s="105" t="n">
        <v>70</v>
      </c>
      <c r="AA61" s="105" t="n">
        <v>70</v>
      </c>
      <c r="AB61" s="105" t="n">
        <v>70</v>
      </c>
      <c r="AC61" s="105" t="n">
        <v>70</v>
      </c>
      <c r="AD61" s="105" t="n">
        <v>70</v>
      </c>
      <c r="AE61" s="105" t="n">
        <v>70</v>
      </c>
      <c r="AF61" s="105" t="n">
        <v>70</v>
      </c>
      <c r="AG61" s="105" t="n">
        <v>70</v>
      </c>
      <c r="AI61" s="106" t="n">
        <f aca="false">INDEX($F61:$AG61,1,MATCH(AI$7,$F$7:$AG$7,1))</f>
        <v>0</v>
      </c>
      <c r="AJ61" s="106" t="n">
        <f aca="false">INDEX($F61:$AG61,1,MATCH(AJ$7,$F$7:$AG$7,1))</f>
        <v>0</v>
      </c>
      <c r="AK61" s="106" t="n">
        <f aca="false">INDEX($F61:$AG61,1,MATCH(AK$7,$F$7:$AG$7,1))</f>
        <v>0</v>
      </c>
      <c r="AL61" s="106" t="n">
        <f aca="false">INDEX($F61:$AG61,1,MATCH(AL$7,$F$7:$AG$7,1))</f>
        <v>0</v>
      </c>
      <c r="AM61" s="106" t="n">
        <f aca="false">INDEX($F61:$AG61,1,MATCH(AM$7,$F$7:$AG$7,1))</f>
        <v>70</v>
      </c>
      <c r="AN61" s="106" t="n">
        <f aca="false">INDEX($F61:$AG61,1,MATCH(AN$7,$F$7:$AG$7,1))</f>
        <v>70</v>
      </c>
      <c r="AO61" s="106" t="n">
        <f aca="false">INDEX($F61:$AG61,1,MATCH(AO$7,$F$7:$AG$7,1))</f>
        <v>70</v>
      </c>
    </row>
    <row r="62" customFormat="false" ht="15" hidden="false" customHeight="false" outlineLevel="0" collapsed="false">
      <c r="A62" s="104" t="s">
        <v>1408</v>
      </c>
      <c r="B62" s="20" t="s">
        <v>575</v>
      </c>
      <c r="C62" s="20" t="s">
        <v>513</v>
      </c>
      <c r="D62" s="20" t="s">
        <v>1386</v>
      </c>
      <c r="F62" s="105" t="n">
        <v>0</v>
      </c>
      <c r="G62" s="105" t="n">
        <v>0</v>
      </c>
      <c r="H62" s="105" t="n">
        <v>0</v>
      </c>
      <c r="I62" s="105" t="n">
        <v>0</v>
      </c>
      <c r="J62" s="105" t="n">
        <v>0</v>
      </c>
      <c r="K62" s="105" t="n">
        <v>0</v>
      </c>
      <c r="L62" s="105" t="n">
        <v>0</v>
      </c>
      <c r="M62" s="105" t="n">
        <v>0</v>
      </c>
      <c r="N62" s="105" t="n">
        <v>0</v>
      </c>
      <c r="O62" s="105" t="n">
        <v>0</v>
      </c>
      <c r="P62" s="105" t="n">
        <v>0</v>
      </c>
      <c r="Q62" s="105" t="n">
        <v>0</v>
      </c>
      <c r="R62" s="105" t="n">
        <v>0</v>
      </c>
      <c r="S62" s="105" t="n">
        <v>0</v>
      </c>
      <c r="T62" s="105" t="n">
        <v>0</v>
      </c>
      <c r="U62" s="105" t="n">
        <v>17.5</v>
      </c>
      <c r="V62" s="105" t="n">
        <v>52.5</v>
      </c>
      <c r="W62" s="105" t="n">
        <v>70</v>
      </c>
      <c r="X62" s="105" t="n">
        <v>70</v>
      </c>
      <c r="Y62" s="105" t="n">
        <v>70</v>
      </c>
      <c r="Z62" s="105" t="n">
        <v>70</v>
      </c>
      <c r="AA62" s="105" t="n">
        <v>70</v>
      </c>
      <c r="AB62" s="105" t="n">
        <v>70</v>
      </c>
      <c r="AC62" s="105" t="n">
        <v>70</v>
      </c>
      <c r="AD62" s="105" t="n">
        <v>70</v>
      </c>
      <c r="AE62" s="105" t="n">
        <v>70</v>
      </c>
      <c r="AF62" s="105" t="n">
        <v>70</v>
      </c>
      <c r="AG62" s="105" t="n">
        <v>70</v>
      </c>
      <c r="AI62" s="106" t="n">
        <f aca="false">INDEX($F62:$AG62,1,MATCH(AI$7,$F$7:$AG$7,1))</f>
        <v>0</v>
      </c>
      <c r="AJ62" s="106" t="n">
        <f aca="false">INDEX($F62:$AG62,1,MATCH(AJ$7,$F$7:$AG$7,1))</f>
        <v>0</v>
      </c>
      <c r="AK62" s="106" t="n">
        <f aca="false">INDEX($F62:$AG62,1,MATCH(AK$7,$F$7:$AG$7,1))</f>
        <v>0</v>
      </c>
      <c r="AL62" s="106" t="n">
        <f aca="false">INDEX($F62:$AG62,1,MATCH(AL$7,$F$7:$AG$7,1))</f>
        <v>17.5</v>
      </c>
      <c r="AM62" s="106" t="n">
        <f aca="false">INDEX($F62:$AG62,1,MATCH(AM$7,$F$7:$AG$7,1))</f>
        <v>70</v>
      </c>
      <c r="AN62" s="106" t="n">
        <f aca="false">INDEX($F62:$AG62,1,MATCH(AN$7,$F$7:$AG$7,1))</f>
        <v>70</v>
      </c>
      <c r="AO62" s="106" t="n">
        <f aca="false">INDEX($F62:$AG62,1,MATCH(AO$7,$F$7:$AG$7,1))</f>
        <v>70</v>
      </c>
    </row>
    <row r="63" customFormat="false" ht="15" hidden="false" customHeight="false" outlineLevel="0" collapsed="false">
      <c r="A63" s="104" t="s">
        <v>1409</v>
      </c>
      <c r="B63" s="20" t="s">
        <v>575</v>
      </c>
      <c r="C63" s="20" t="s">
        <v>513</v>
      </c>
      <c r="D63" s="20" t="s">
        <v>1386</v>
      </c>
      <c r="F63" s="105" t="n">
        <v>0</v>
      </c>
      <c r="G63" s="105" t="n">
        <v>0</v>
      </c>
      <c r="H63" s="105" t="n">
        <v>0</v>
      </c>
      <c r="I63" s="105" t="n">
        <v>0</v>
      </c>
      <c r="J63" s="105" t="n">
        <v>0</v>
      </c>
      <c r="K63" s="105" t="n">
        <v>0</v>
      </c>
      <c r="L63" s="105" t="n">
        <v>0</v>
      </c>
      <c r="M63" s="105" t="n">
        <v>0</v>
      </c>
      <c r="N63" s="105" t="n">
        <v>0</v>
      </c>
      <c r="O63" s="105" t="n">
        <v>0</v>
      </c>
      <c r="P63" s="105" t="n">
        <v>0</v>
      </c>
      <c r="Q63" s="105" t="n">
        <v>0</v>
      </c>
      <c r="R63" s="105" t="n">
        <v>0</v>
      </c>
      <c r="S63" s="105" t="n">
        <v>0</v>
      </c>
      <c r="T63" s="105" t="n">
        <v>0</v>
      </c>
      <c r="U63" s="105" t="n">
        <v>35</v>
      </c>
      <c r="V63" s="105" t="n">
        <v>70</v>
      </c>
      <c r="W63" s="105" t="n">
        <v>70</v>
      </c>
      <c r="X63" s="105" t="n">
        <v>70</v>
      </c>
      <c r="Y63" s="105" t="n">
        <v>70</v>
      </c>
      <c r="Z63" s="105" t="n">
        <v>70</v>
      </c>
      <c r="AA63" s="105" t="n">
        <v>70</v>
      </c>
      <c r="AB63" s="105" t="n">
        <v>70</v>
      </c>
      <c r="AC63" s="105" t="n">
        <v>70</v>
      </c>
      <c r="AD63" s="105" t="n">
        <v>70</v>
      </c>
      <c r="AE63" s="105" t="n">
        <v>70</v>
      </c>
      <c r="AF63" s="105" t="n">
        <v>70</v>
      </c>
      <c r="AG63" s="105" t="n">
        <v>70</v>
      </c>
      <c r="AI63" s="106" t="n">
        <f aca="false">INDEX($F63:$AG63,1,MATCH(AI$7,$F$7:$AG$7,1))</f>
        <v>0</v>
      </c>
      <c r="AJ63" s="106" t="n">
        <f aca="false">INDEX($F63:$AG63,1,MATCH(AJ$7,$F$7:$AG$7,1))</f>
        <v>0</v>
      </c>
      <c r="AK63" s="106" t="n">
        <f aca="false">INDEX($F63:$AG63,1,MATCH(AK$7,$F$7:$AG$7,1))</f>
        <v>0</v>
      </c>
      <c r="AL63" s="106" t="n">
        <f aca="false">INDEX($F63:$AG63,1,MATCH(AL$7,$F$7:$AG$7,1))</f>
        <v>35</v>
      </c>
      <c r="AM63" s="106" t="n">
        <f aca="false">INDEX($F63:$AG63,1,MATCH(AM$7,$F$7:$AG$7,1))</f>
        <v>70</v>
      </c>
      <c r="AN63" s="106" t="n">
        <f aca="false">INDEX($F63:$AG63,1,MATCH(AN$7,$F$7:$AG$7,1))</f>
        <v>70</v>
      </c>
      <c r="AO63" s="106" t="n">
        <f aca="false">INDEX($F63:$AG63,1,MATCH(AO$7,$F$7:$AG$7,1))</f>
        <v>70</v>
      </c>
    </row>
    <row r="64" customFormat="false" ht="15" hidden="false" customHeight="false" outlineLevel="0" collapsed="false">
      <c r="A64" s="104" t="s">
        <v>1410</v>
      </c>
      <c r="B64" s="20" t="s">
        <v>575</v>
      </c>
      <c r="C64" s="20" t="s">
        <v>513</v>
      </c>
      <c r="D64" s="20" t="s">
        <v>1386</v>
      </c>
      <c r="F64" s="105" t="n">
        <v>0</v>
      </c>
      <c r="G64" s="105" t="n">
        <v>0</v>
      </c>
      <c r="H64" s="105" t="n">
        <v>0</v>
      </c>
      <c r="I64" s="105" t="n">
        <v>0</v>
      </c>
      <c r="J64" s="105" t="n">
        <v>0</v>
      </c>
      <c r="K64" s="105" t="n">
        <v>5</v>
      </c>
      <c r="L64" s="105" t="n">
        <v>5</v>
      </c>
      <c r="M64" s="105" t="n">
        <v>5</v>
      </c>
      <c r="N64" s="105" t="n">
        <v>5</v>
      </c>
      <c r="O64" s="105" t="n">
        <v>5</v>
      </c>
      <c r="P64" s="105" t="n">
        <v>5</v>
      </c>
      <c r="Q64" s="105" t="n">
        <v>5</v>
      </c>
      <c r="R64" s="105" t="n">
        <v>5</v>
      </c>
      <c r="S64" s="105" t="n">
        <v>5</v>
      </c>
      <c r="T64" s="105" t="n">
        <v>5</v>
      </c>
      <c r="U64" s="105" t="n">
        <v>20</v>
      </c>
      <c r="V64" s="105" t="n">
        <v>20</v>
      </c>
      <c r="W64" s="105" t="n">
        <v>20</v>
      </c>
      <c r="X64" s="105" t="n">
        <v>20</v>
      </c>
      <c r="Y64" s="105" t="n">
        <v>20</v>
      </c>
      <c r="Z64" s="105" t="n">
        <v>20</v>
      </c>
      <c r="AA64" s="105" t="n">
        <v>20</v>
      </c>
      <c r="AB64" s="105" t="n">
        <v>20</v>
      </c>
      <c r="AC64" s="105" t="n">
        <v>20</v>
      </c>
      <c r="AD64" s="105" t="n">
        <v>20</v>
      </c>
      <c r="AE64" s="105" t="n">
        <v>20</v>
      </c>
      <c r="AF64" s="105" t="n">
        <v>20</v>
      </c>
      <c r="AG64" s="105" t="n">
        <v>20</v>
      </c>
      <c r="AI64" s="106" t="n">
        <f aca="false">INDEX($F64:$AG64,1,MATCH(AI$7,$F$7:$AG$7,1))</f>
        <v>0</v>
      </c>
      <c r="AJ64" s="106" t="n">
        <f aca="false">INDEX($F64:$AG64,1,MATCH(AJ$7,$F$7:$AG$7,1))</f>
        <v>5</v>
      </c>
      <c r="AK64" s="106" t="n">
        <f aca="false">INDEX($F64:$AG64,1,MATCH(AK$7,$F$7:$AG$7,1))</f>
        <v>5</v>
      </c>
      <c r="AL64" s="106" t="n">
        <f aca="false">INDEX($F64:$AG64,1,MATCH(AL$7,$F$7:$AG$7,1))</f>
        <v>20</v>
      </c>
      <c r="AM64" s="106" t="n">
        <f aca="false">INDEX($F64:$AG64,1,MATCH(AM$7,$F$7:$AG$7,1))</f>
        <v>20</v>
      </c>
      <c r="AN64" s="106" t="n">
        <f aca="false">INDEX($F64:$AG64,1,MATCH(AN$7,$F$7:$AG$7,1))</f>
        <v>20</v>
      </c>
      <c r="AO64" s="106" t="n">
        <f aca="false">INDEX($F64:$AG64,1,MATCH(AO$7,$F$7:$AG$7,1))</f>
        <v>20</v>
      </c>
    </row>
    <row r="65" customFormat="false" ht="15" hidden="false" customHeight="false" outlineLevel="0" collapsed="false">
      <c r="A65" s="104" t="s">
        <v>1411</v>
      </c>
      <c r="B65" s="20" t="s">
        <v>575</v>
      </c>
      <c r="C65" s="20" t="s">
        <v>513</v>
      </c>
      <c r="D65" s="20" t="s">
        <v>1386</v>
      </c>
      <c r="F65" s="105" t="n">
        <v>0</v>
      </c>
      <c r="G65" s="105" t="n">
        <v>0</v>
      </c>
      <c r="H65" s="105" t="n">
        <v>0</v>
      </c>
      <c r="I65" s="105" t="n">
        <v>0</v>
      </c>
      <c r="J65" s="105" t="n">
        <v>0</v>
      </c>
      <c r="K65" s="105" t="n">
        <v>5</v>
      </c>
      <c r="L65" s="105" t="n">
        <v>10</v>
      </c>
      <c r="M65" s="105" t="n">
        <v>20</v>
      </c>
      <c r="N65" s="105" t="n">
        <v>20</v>
      </c>
      <c r="O65" s="105" t="n">
        <v>20</v>
      </c>
      <c r="P65" s="105" t="n">
        <v>20</v>
      </c>
      <c r="Q65" s="105" t="n">
        <v>20</v>
      </c>
      <c r="R65" s="105" t="n">
        <v>20</v>
      </c>
      <c r="S65" s="105" t="n">
        <v>20</v>
      </c>
      <c r="T65" s="105" t="n">
        <v>20</v>
      </c>
      <c r="U65" s="105" t="n">
        <v>30</v>
      </c>
      <c r="V65" s="105" t="n">
        <v>30</v>
      </c>
      <c r="W65" s="105" t="n">
        <v>30</v>
      </c>
      <c r="X65" s="105" t="n">
        <v>30</v>
      </c>
      <c r="Y65" s="105" t="n">
        <v>30</v>
      </c>
      <c r="Z65" s="105" t="n">
        <v>30</v>
      </c>
      <c r="AA65" s="105" t="n">
        <v>30</v>
      </c>
      <c r="AB65" s="105" t="n">
        <v>30</v>
      </c>
      <c r="AC65" s="105" t="n">
        <v>30</v>
      </c>
      <c r="AD65" s="105" t="n">
        <v>30</v>
      </c>
      <c r="AE65" s="105" t="n">
        <v>30</v>
      </c>
      <c r="AF65" s="105" t="n">
        <v>30</v>
      </c>
      <c r="AG65" s="105" t="n">
        <v>30</v>
      </c>
      <c r="AI65" s="106" t="n">
        <f aca="false">INDEX($F65:$AG65,1,MATCH(AI$7,$F$7:$AG$7,1))</f>
        <v>0</v>
      </c>
      <c r="AJ65" s="106" t="n">
        <f aca="false">INDEX($F65:$AG65,1,MATCH(AJ$7,$F$7:$AG$7,1))</f>
        <v>20</v>
      </c>
      <c r="AK65" s="106" t="n">
        <f aca="false">INDEX($F65:$AG65,1,MATCH(AK$7,$F$7:$AG$7,1))</f>
        <v>20</v>
      </c>
      <c r="AL65" s="106" t="n">
        <f aca="false">INDEX($F65:$AG65,1,MATCH(AL$7,$F$7:$AG$7,1))</f>
        <v>30</v>
      </c>
      <c r="AM65" s="106" t="n">
        <f aca="false">INDEX($F65:$AG65,1,MATCH(AM$7,$F$7:$AG$7,1))</f>
        <v>30</v>
      </c>
      <c r="AN65" s="106" t="n">
        <f aca="false">INDEX($F65:$AG65,1,MATCH(AN$7,$F$7:$AG$7,1))</f>
        <v>30</v>
      </c>
      <c r="AO65" s="106" t="n">
        <f aca="false">INDEX($F65:$AG65,1,MATCH(AO$7,$F$7:$AG$7,1))</f>
        <v>30</v>
      </c>
    </row>
    <row r="66" customFormat="false" ht="15" hidden="false" customHeight="false" outlineLevel="0" collapsed="false">
      <c r="A66" s="104" t="s">
        <v>1412</v>
      </c>
      <c r="B66" s="20" t="s">
        <v>575</v>
      </c>
      <c r="C66" s="20" t="s">
        <v>513</v>
      </c>
      <c r="D66" s="20" t="s">
        <v>1386</v>
      </c>
      <c r="F66" s="105" t="n">
        <v>0</v>
      </c>
      <c r="G66" s="105" t="n">
        <v>0</v>
      </c>
      <c r="H66" s="105" t="n">
        <v>0</v>
      </c>
      <c r="I66" s="105" t="n">
        <v>0</v>
      </c>
      <c r="J66" s="105" t="n">
        <v>0</v>
      </c>
      <c r="K66" s="105" t="n">
        <v>5</v>
      </c>
      <c r="L66" s="105" t="n">
        <v>15</v>
      </c>
      <c r="M66" s="105" t="n">
        <v>35</v>
      </c>
      <c r="N66" s="105" t="n">
        <v>35</v>
      </c>
      <c r="O66" s="105" t="n">
        <v>35</v>
      </c>
      <c r="P66" s="105" t="n">
        <v>35</v>
      </c>
      <c r="Q66" s="105" t="n">
        <v>35</v>
      </c>
      <c r="R66" s="105" t="n">
        <v>35</v>
      </c>
      <c r="S66" s="105" t="n">
        <v>35</v>
      </c>
      <c r="T66" s="105" t="n">
        <v>35</v>
      </c>
      <c r="U66" s="105" t="n">
        <v>40</v>
      </c>
      <c r="V66" s="105" t="n">
        <v>40</v>
      </c>
      <c r="W66" s="105" t="n">
        <v>40</v>
      </c>
      <c r="X66" s="105" t="n">
        <v>40</v>
      </c>
      <c r="Y66" s="105" t="n">
        <v>40</v>
      </c>
      <c r="Z66" s="105" t="n">
        <v>40</v>
      </c>
      <c r="AA66" s="105" t="n">
        <v>40</v>
      </c>
      <c r="AB66" s="105" t="n">
        <v>40</v>
      </c>
      <c r="AC66" s="105" t="n">
        <v>40</v>
      </c>
      <c r="AD66" s="105" t="n">
        <v>40</v>
      </c>
      <c r="AE66" s="105" t="n">
        <v>40</v>
      </c>
      <c r="AF66" s="105" t="n">
        <v>40</v>
      </c>
      <c r="AG66" s="105" t="n">
        <v>40</v>
      </c>
      <c r="AI66" s="106" t="n">
        <f aca="false">INDEX($F66:$AG66,1,MATCH(AI$7,$F$7:$AG$7,1))</f>
        <v>0</v>
      </c>
      <c r="AJ66" s="106" t="n">
        <f aca="false">INDEX($F66:$AG66,1,MATCH(AJ$7,$F$7:$AG$7,1))</f>
        <v>35</v>
      </c>
      <c r="AK66" s="106" t="n">
        <f aca="false">INDEX($F66:$AG66,1,MATCH(AK$7,$F$7:$AG$7,1))</f>
        <v>35</v>
      </c>
      <c r="AL66" s="106" t="n">
        <f aca="false">INDEX($F66:$AG66,1,MATCH(AL$7,$F$7:$AG$7,1))</f>
        <v>40</v>
      </c>
      <c r="AM66" s="106" t="n">
        <f aca="false">INDEX($F66:$AG66,1,MATCH(AM$7,$F$7:$AG$7,1))</f>
        <v>40</v>
      </c>
      <c r="AN66" s="106" t="n">
        <f aca="false">INDEX($F66:$AG66,1,MATCH(AN$7,$F$7:$AG$7,1))</f>
        <v>40</v>
      </c>
      <c r="AO66" s="106" t="n">
        <f aca="false">INDEX($F66:$AG66,1,MATCH(AO$7,$F$7:$AG$7,1))</f>
        <v>40</v>
      </c>
    </row>
    <row r="67" customFormat="false" ht="15" hidden="false" customHeight="false" outlineLevel="0" collapsed="false">
      <c r="A67" s="104" t="s">
        <v>1413</v>
      </c>
      <c r="B67" s="20" t="s">
        <v>575</v>
      </c>
      <c r="C67" s="20" t="s">
        <v>513</v>
      </c>
      <c r="D67" s="20" t="s">
        <v>1386</v>
      </c>
      <c r="F67" s="105" t="n">
        <v>0</v>
      </c>
      <c r="G67" s="105" t="n">
        <v>0</v>
      </c>
      <c r="H67" s="105" t="n">
        <v>0</v>
      </c>
      <c r="I67" s="105" t="n">
        <v>5</v>
      </c>
      <c r="J67" s="105" t="n">
        <v>5</v>
      </c>
      <c r="K67" s="105" t="n">
        <v>5</v>
      </c>
      <c r="L67" s="105" t="n">
        <v>5</v>
      </c>
      <c r="M67" s="105" t="n">
        <v>5</v>
      </c>
      <c r="N67" s="105" t="n">
        <v>5</v>
      </c>
      <c r="O67" s="105" t="n">
        <v>5</v>
      </c>
      <c r="P67" s="105" t="n">
        <v>5</v>
      </c>
      <c r="Q67" s="105" t="n">
        <v>5</v>
      </c>
      <c r="R67" s="105" t="n">
        <v>5</v>
      </c>
      <c r="S67" s="105" t="n">
        <v>5</v>
      </c>
      <c r="T67" s="105" t="n">
        <v>5</v>
      </c>
      <c r="U67" s="105" t="n">
        <v>5</v>
      </c>
      <c r="V67" s="105" t="n">
        <v>5</v>
      </c>
      <c r="W67" s="105" t="n">
        <v>5</v>
      </c>
      <c r="X67" s="105" t="n">
        <v>5</v>
      </c>
      <c r="Y67" s="105" t="n">
        <v>5</v>
      </c>
      <c r="Z67" s="105" t="n">
        <v>5</v>
      </c>
      <c r="AA67" s="105" t="n">
        <v>5</v>
      </c>
      <c r="AB67" s="105" t="n">
        <v>5</v>
      </c>
      <c r="AC67" s="105" t="n">
        <v>5</v>
      </c>
      <c r="AD67" s="105" t="n">
        <v>5</v>
      </c>
      <c r="AE67" s="105" t="n">
        <v>5</v>
      </c>
      <c r="AF67" s="105" t="n">
        <v>5</v>
      </c>
      <c r="AG67" s="105" t="n">
        <v>5</v>
      </c>
      <c r="AI67" s="106" t="n">
        <f aca="false">INDEX($F67:$AG67,1,MATCH(AI$7,$F$7:$AG$7,1))</f>
        <v>5</v>
      </c>
      <c r="AJ67" s="106" t="n">
        <f aca="false">INDEX($F67:$AG67,1,MATCH(AJ$7,$F$7:$AG$7,1))</f>
        <v>5</v>
      </c>
      <c r="AK67" s="106" t="n">
        <f aca="false">INDEX($F67:$AG67,1,MATCH(AK$7,$F$7:$AG$7,1))</f>
        <v>5</v>
      </c>
      <c r="AL67" s="106" t="n">
        <f aca="false">INDEX($F67:$AG67,1,MATCH(AL$7,$F$7:$AG$7,1))</f>
        <v>5</v>
      </c>
      <c r="AM67" s="106" t="n">
        <f aca="false">INDEX($F67:$AG67,1,MATCH(AM$7,$F$7:$AG$7,1))</f>
        <v>5</v>
      </c>
      <c r="AN67" s="106" t="n">
        <f aca="false">INDEX($F67:$AG67,1,MATCH(AN$7,$F$7:$AG$7,1))</f>
        <v>5</v>
      </c>
      <c r="AO67" s="106" t="n">
        <f aca="false">INDEX($F67:$AG67,1,MATCH(AO$7,$F$7:$AG$7,1))</f>
        <v>5</v>
      </c>
    </row>
    <row r="68" customFormat="false" ht="15" hidden="false" customHeight="false" outlineLevel="0" collapsed="false">
      <c r="A68" s="104" t="s">
        <v>1414</v>
      </c>
      <c r="B68" s="20" t="s">
        <v>575</v>
      </c>
      <c r="C68" s="20" t="s">
        <v>513</v>
      </c>
      <c r="D68" s="20" t="s">
        <v>1386</v>
      </c>
      <c r="F68" s="105" t="n">
        <v>0</v>
      </c>
      <c r="G68" s="105" t="n">
        <v>0</v>
      </c>
      <c r="H68" s="105" t="n">
        <v>0</v>
      </c>
      <c r="I68" s="105" t="n">
        <v>5</v>
      </c>
      <c r="J68" s="105" t="n">
        <v>5</v>
      </c>
      <c r="K68" s="105" t="n">
        <v>5</v>
      </c>
      <c r="L68" s="105" t="n">
        <v>5</v>
      </c>
      <c r="M68" s="105" t="n">
        <v>5</v>
      </c>
      <c r="N68" s="105" t="n">
        <v>5</v>
      </c>
      <c r="O68" s="105" t="n">
        <v>5</v>
      </c>
      <c r="P68" s="105" t="n">
        <v>5</v>
      </c>
      <c r="Q68" s="105" t="n">
        <v>5</v>
      </c>
      <c r="R68" s="105" t="n">
        <v>5</v>
      </c>
      <c r="S68" s="105" t="n">
        <v>5</v>
      </c>
      <c r="T68" s="105" t="n">
        <v>5</v>
      </c>
      <c r="U68" s="105" t="n">
        <v>5</v>
      </c>
      <c r="V68" s="105" t="n">
        <v>5</v>
      </c>
      <c r="W68" s="105" t="n">
        <v>5</v>
      </c>
      <c r="X68" s="105" t="n">
        <v>5</v>
      </c>
      <c r="Y68" s="105" t="n">
        <v>5</v>
      </c>
      <c r="Z68" s="105" t="n">
        <v>5</v>
      </c>
      <c r="AA68" s="105" t="n">
        <v>5</v>
      </c>
      <c r="AB68" s="105" t="n">
        <v>5</v>
      </c>
      <c r="AC68" s="105" t="n">
        <v>5</v>
      </c>
      <c r="AD68" s="105" t="n">
        <v>5</v>
      </c>
      <c r="AE68" s="105" t="n">
        <v>5</v>
      </c>
      <c r="AF68" s="105" t="n">
        <v>5</v>
      </c>
      <c r="AG68" s="105" t="n">
        <v>5</v>
      </c>
      <c r="AI68" s="106" t="n">
        <f aca="false">INDEX($F68:$AG68,1,MATCH(AI$7,$F$7:$AG$7,1))</f>
        <v>5</v>
      </c>
      <c r="AJ68" s="106" t="n">
        <f aca="false">INDEX($F68:$AG68,1,MATCH(AJ$7,$F$7:$AG$7,1))</f>
        <v>5</v>
      </c>
      <c r="AK68" s="106" t="n">
        <f aca="false">INDEX($F68:$AG68,1,MATCH(AK$7,$F$7:$AG$7,1))</f>
        <v>5</v>
      </c>
      <c r="AL68" s="106" t="n">
        <f aca="false">INDEX($F68:$AG68,1,MATCH(AL$7,$F$7:$AG$7,1))</f>
        <v>5</v>
      </c>
      <c r="AM68" s="106" t="n">
        <f aca="false">INDEX($F68:$AG68,1,MATCH(AM$7,$F$7:$AG$7,1))</f>
        <v>5</v>
      </c>
      <c r="AN68" s="106" t="n">
        <f aca="false">INDEX($F68:$AG68,1,MATCH(AN$7,$F$7:$AG$7,1))</f>
        <v>5</v>
      </c>
      <c r="AO68" s="106" t="n">
        <f aca="false">INDEX($F68:$AG68,1,MATCH(AO$7,$F$7:$AG$7,1))</f>
        <v>5</v>
      </c>
    </row>
    <row r="69" customFormat="false" ht="15" hidden="false" customHeight="false" outlineLevel="0" collapsed="false">
      <c r="A69" s="104" t="s">
        <v>1415</v>
      </c>
      <c r="B69" s="20" t="s">
        <v>575</v>
      </c>
      <c r="C69" s="20" t="s">
        <v>513</v>
      </c>
      <c r="D69" s="20" t="s">
        <v>1386</v>
      </c>
      <c r="F69" s="105" t="n">
        <v>0</v>
      </c>
      <c r="G69" s="105" t="n">
        <v>0</v>
      </c>
      <c r="H69" s="105" t="n">
        <v>0</v>
      </c>
      <c r="I69" s="105" t="n">
        <v>5</v>
      </c>
      <c r="J69" s="105" t="n">
        <v>5</v>
      </c>
      <c r="K69" s="105" t="n">
        <v>5</v>
      </c>
      <c r="L69" s="105" t="n">
        <v>5</v>
      </c>
      <c r="M69" s="105" t="n">
        <v>5</v>
      </c>
      <c r="N69" s="105" t="n">
        <v>5</v>
      </c>
      <c r="O69" s="105" t="n">
        <v>5</v>
      </c>
      <c r="P69" s="105" t="n">
        <v>5</v>
      </c>
      <c r="Q69" s="105" t="n">
        <v>5</v>
      </c>
      <c r="R69" s="105" t="n">
        <v>5</v>
      </c>
      <c r="S69" s="105" t="n">
        <v>5</v>
      </c>
      <c r="T69" s="105" t="n">
        <v>5</v>
      </c>
      <c r="U69" s="105" t="n">
        <v>5</v>
      </c>
      <c r="V69" s="105" t="n">
        <v>5</v>
      </c>
      <c r="W69" s="105" t="n">
        <v>5</v>
      </c>
      <c r="X69" s="105" t="n">
        <v>5</v>
      </c>
      <c r="Y69" s="105" t="n">
        <v>5</v>
      </c>
      <c r="Z69" s="105" t="n">
        <v>5</v>
      </c>
      <c r="AA69" s="105" t="n">
        <v>5</v>
      </c>
      <c r="AB69" s="105" t="n">
        <v>5</v>
      </c>
      <c r="AC69" s="105" t="n">
        <v>5</v>
      </c>
      <c r="AD69" s="105" t="n">
        <v>5</v>
      </c>
      <c r="AE69" s="105" t="n">
        <v>5</v>
      </c>
      <c r="AF69" s="105" t="n">
        <v>5</v>
      </c>
      <c r="AG69" s="105" t="n">
        <v>5</v>
      </c>
      <c r="AI69" s="106" t="n">
        <f aca="false">INDEX($F69:$AG69,1,MATCH(AI$7,$F$7:$AG$7,1))</f>
        <v>5</v>
      </c>
      <c r="AJ69" s="106" t="n">
        <f aca="false">INDEX($F69:$AG69,1,MATCH(AJ$7,$F$7:$AG$7,1))</f>
        <v>5</v>
      </c>
      <c r="AK69" s="106" t="n">
        <f aca="false">INDEX($F69:$AG69,1,MATCH(AK$7,$F$7:$AG$7,1))</f>
        <v>5</v>
      </c>
      <c r="AL69" s="106" t="n">
        <f aca="false">INDEX($F69:$AG69,1,MATCH(AL$7,$F$7:$AG$7,1))</f>
        <v>5</v>
      </c>
      <c r="AM69" s="106" t="n">
        <f aca="false">INDEX($F69:$AG69,1,MATCH(AM$7,$F$7:$AG$7,1))</f>
        <v>5</v>
      </c>
      <c r="AN69" s="106" t="n">
        <f aca="false">INDEX($F69:$AG69,1,MATCH(AN$7,$F$7:$AG$7,1))</f>
        <v>5</v>
      </c>
      <c r="AO69" s="106" t="n">
        <f aca="false">INDEX($F69:$AG69,1,MATCH(AO$7,$F$7:$AG$7,1))</f>
        <v>5</v>
      </c>
    </row>
    <row r="70" customFormat="false" ht="15" hidden="false" customHeight="false" outlineLevel="0" collapsed="false">
      <c r="A70" s="104" t="s">
        <v>1416</v>
      </c>
      <c r="B70" s="20" t="s">
        <v>575</v>
      </c>
      <c r="C70" s="20" t="s">
        <v>513</v>
      </c>
      <c r="D70" s="20" t="s">
        <v>1386</v>
      </c>
      <c r="F70" s="105" t="n">
        <v>0</v>
      </c>
      <c r="G70" s="105" t="n">
        <v>0</v>
      </c>
      <c r="H70" s="105" t="n">
        <v>0</v>
      </c>
      <c r="I70" s="105" t="n">
        <v>0</v>
      </c>
      <c r="J70" s="105" t="n">
        <v>10</v>
      </c>
      <c r="K70" s="105" t="n">
        <v>10</v>
      </c>
      <c r="L70" s="105" t="n">
        <v>10</v>
      </c>
      <c r="M70" s="105" t="n">
        <v>10</v>
      </c>
      <c r="N70" s="105" t="n">
        <v>10</v>
      </c>
      <c r="O70" s="105" t="n">
        <v>10</v>
      </c>
      <c r="P70" s="105" t="n">
        <v>10</v>
      </c>
      <c r="Q70" s="105" t="n">
        <v>10</v>
      </c>
      <c r="R70" s="105" t="n">
        <v>10</v>
      </c>
      <c r="S70" s="105" t="n">
        <v>10</v>
      </c>
      <c r="T70" s="105" t="n">
        <v>10</v>
      </c>
      <c r="U70" s="105" t="n">
        <v>10</v>
      </c>
      <c r="V70" s="105" t="n">
        <v>10</v>
      </c>
      <c r="W70" s="105" t="n">
        <v>10</v>
      </c>
      <c r="X70" s="105" t="n">
        <v>10</v>
      </c>
      <c r="Y70" s="105" t="n">
        <v>10</v>
      </c>
      <c r="Z70" s="105" t="n">
        <v>10</v>
      </c>
      <c r="AA70" s="105" t="n">
        <v>10</v>
      </c>
      <c r="AB70" s="105" t="n">
        <v>10</v>
      </c>
      <c r="AC70" s="105" t="n">
        <v>10</v>
      </c>
      <c r="AD70" s="105" t="n">
        <v>10</v>
      </c>
      <c r="AE70" s="105" t="n">
        <v>10</v>
      </c>
      <c r="AF70" s="105" t="n">
        <v>10</v>
      </c>
      <c r="AG70" s="105" t="n">
        <v>10</v>
      </c>
      <c r="AI70" s="106" t="n">
        <f aca="false">INDEX($F70:$AG70,1,MATCH(AI$7,$F$7:$AG$7,1))</f>
        <v>0</v>
      </c>
      <c r="AJ70" s="106" t="n">
        <f aca="false">INDEX($F70:$AG70,1,MATCH(AJ$7,$F$7:$AG$7,1))</f>
        <v>10</v>
      </c>
      <c r="AK70" s="106" t="n">
        <f aca="false">INDEX($F70:$AG70,1,MATCH(AK$7,$F$7:$AG$7,1))</f>
        <v>10</v>
      </c>
      <c r="AL70" s="106" t="n">
        <f aca="false">INDEX($F70:$AG70,1,MATCH(AL$7,$F$7:$AG$7,1))</f>
        <v>10</v>
      </c>
      <c r="AM70" s="106" t="n">
        <f aca="false">INDEX($F70:$AG70,1,MATCH(AM$7,$F$7:$AG$7,1))</f>
        <v>10</v>
      </c>
      <c r="AN70" s="106" t="n">
        <f aca="false">INDEX($F70:$AG70,1,MATCH(AN$7,$F$7:$AG$7,1))</f>
        <v>10</v>
      </c>
      <c r="AO70" s="106" t="n">
        <f aca="false">INDEX($F70:$AG70,1,MATCH(AO$7,$F$7:$AG$7,1))</f>
        <v>10</v>
      </c>
    </row>
    <row r="71" customFormat="false" ht="15" hidden="false" customHeight="false" outlineLevel="0" collapsed="false">
      <c r="A71" s="104" t="s">
        <v>1417</v>
      </c>
      <c r="B71" s="20" t="s">
        <v>575</v>
      </c>
      <c r="C71" s="20" t="s">
        <v>513</v>
      </c>
      <c r="D71" s="20" t="s">
        <v>1386</v>
      </c>
      <c r="F71" s="105" t="n">
        <v>0</v>
      </c>
      <c r="G71" s="105" t="n">
        <v>0</v>
      </c>
      <c r="H71" s="105" t="n">
        <v>0</v>
      </c>
      <c r="I71" s="105" t="n">
        <v>0</v>
      </c>
      <c r="J71" s="105" t="n">
        <v>10</v>
      </c>
      <c r="K71" s="105" t="n">
        <v>10</v>
      </c>
      <c r="L71" s="105" t="n">
        <v>10</v>
      </c>
      <c r="M71" s="105" t="n">
        <v>10</v>
      </c>
      <c r="N71" s="105" t="n">
        <v>10</v>
      </c>
      <c r="O71" s="105" t="n">
        <v>10</v>
      </c>
      <c r="P71" s="105" t="n">
        <v>10</v>
      </c>
      <c r="Q71" s="105" t="n">
        <v>10</v>
      </c>
      <c r="R71" s="105" t="n">
        <v>10</v>
      </c>
      <c r="S71" s="105" t="n">
        <v>10</v>
      </c>
      <c r="T71" s="105" t="n">
        <v>10</v>
      </c>
      <c r="U71" s="105" t="n">
        <v>10</v>
      </c>
      <c r="V71" s="105" t="n">
        <v>10</v>
      </c>
      <c r="W71" s="105" t="n">
        <v>10</v>
      </c>
      <c r="X71" s="105" t="n">
        <v>10</v>
      </c>
      <c r="Y71" s="105" t="n">
        <v>10</v>
      </c>
      <c r="Z71" s="105" t="n">
        <v>10</v>
      </c>
      <c r="AA71" s="105" t="n">
        <v>10</v>
      </c>
      <c r="AB71" s="105" t="n">
        <v>10</v>
      </c>
      <c r="AC71" s="105" t="n">
        <v>10</v>
      </c>
      <c r="AD71" s="105" t="n">
        <v>10</v>
      </c>
      <c r="AE71" s="105" t="n">
        <v>10</v>
      </c>
      <c r="AF71" s="105" t="n">
        <v>10</v>
      </c>
      <c r="AG71" s="105" t="n">
        <v>10</v>
      </c>
      <c r="AI71" s="106" t="n">
        <f aca="false">INDEX($F71:$AG71,1,MATCH(AI$7,$F$7:$AG$7,1))</f>
        <v>0</v>
      </c>
      <c r="AJ71" s="106" t="n">
        <f aca="false">INDEX($F71:$AG71,1,MATCH(AJ$7,$F$7:$AG$7,1))</f>
        <v>10</v>
      </c>
      <c r="AK71" s="106" t="n">
        <f aca="false">INDEX($F71:$AG71,1,MATCH(AK$7,$F$7:$AG$7,1))</f>
        <v>10</v>
      </c>
      <c r="AL71" s="106" t="n">
        <f aca="false">INDEX($F71:$AG71,1,MATCH(AL$7,$F$7:$AG$7,1))</f>
        <v>10</v>
      </c>
      <c r="AM71" s="106" t="n">
        <f aca="false">INDEX($F71:$AG71,1,MATCH(AM$7,$F$7:$AG$7,1))</f>
        <v>10</v>
      </c>
      <c r="AN71" s="106" t="n">
        <f aca="false">INDEX($F71:$AG71,1,MATCH(AN$7,$F$7:$AG$7,1))</f>
        <v>10</v>
      </c>
      <c r="AO71" s="106" t="n">
        <f aca="false">INDEX($F71:$AG71,1,MATCH(AO$7,$F$7:$AG$7,1))</f>
        <v>10</v>
      </c>
    </row>
    <row r="72" customFormat="false" ht="15" hidden="false" customHeight="false" outlineLevel="0" collapsed="false">
      <c r="A72" s="104" t="s">
        <v>1418</v>
      </c>
      <c r="B72" s="20" t="s">
        <v>575</v>
      </c>
      <c r="C72" s="20" t="s">
        <v>513</v>
      </c>
      <c r="D72" s="20" t="s">
        <v>1386</v>
      </c>
      <c r="F72" s="105" t="n">
        <v>0</v>
      </c>
      <c r="G72" s="105" t="n">
        <v>0</v>
      </c>
      <c r="H72" s="105" t="n">
        <v>0</v>
      </c>
      <c r="I72" s="105" t="n">
        <v>0</v>
      </c>
      <c r="J72" s="105" t="n">
        <v>10</v>
      </c>
      <c r="K72" s="105" t="n">
        <v>10</v>
      </c>
      <c r="L72" s="105" t="n">
        <v>10</v>
      </c>
      <c r="M72" s="105" t="n">
        <v>10</v>
      </c>
      <c r="N72" s="105" t="n">
        <v>10</v>
      </c>
      <c r="O72" s="105" t="n">
        <v>10</v>
      </c>
      <c r="P72" s="105" t="n">
        <v>10</v>
      </c>
      <c r="Q72" s="105" t="n">
        <v>10</v>
      </c>
      <c r="R72" s="105" t="n">
        <v>10</v>
      </c>
      <c r="S72" s="105" t="n">
        <v>10</v>
      </c>
      <c r="T72" s="105" t="n">
        <v>10</v>
      </c>
      <c r="U72" s="105" t="n">
        <v>10</v>
      </c>
      <c r="V72" s="105" t="n">
        <v>10</v>
      </c>
      <c r="W72" s="105" t="n">
        <v>10</v>
      </c>
      <c r="X72" s="105" t="n">
        <v>10</v>
      </c>
      <c r="Y72" s="105" t="n">
        <v>10</v>
      </c>
      <c r="Z72" s="105" t="n">
        <v>10</v>
      </c>
      <c r="AA72" s="105" t="n">
        <v>10</v>
      </c>
      <c r="AB72" s="105" t="n">
        <v>10</v>
      </c>
      <c r="AC72" s="105" t="n">
        <v>10</v>
      </c>
      <c r="AD72" s="105" t="n">
        <v>10</v>
      </c>
      <c r="AE72" s="105" t="n">
        <v>10</v>
      </c>
      <c r="AF72" s="105" t="n">
        <v>10</v>
      </c>
      <c r="AG72" s="105" t="n">
        <v>10</v>
      </c>
      <c r="AI72" s="106" t="n">
        <f aca="false">INDEX($F72:$AG72,1,MATCH(AI$7,$F$7:$AG$7,1))</f>
        <v>0</v>
      </c>
      <c r="AJ72" s="106" t="n">
        <f aca="false">INDEX($F72:$AG72,1,MATCH(AJ$7,$F$7:$AG$7,1))</f>
        <v>10</v>
      </c>
      <c r="AK72" s="106" t="n">
        <f aca="false">INDEX($F72:$AG72,1,MATCH(AK$7,$F$7:$AG$7,1))</f>
        <v>10</v>
      </c>
      <c r="AL72" s="106" t="n">
        <f aca="false">INDEX($F72:$AG72,1,MATCH(AL$7,$F$7:$AG$7,1))</f>
        <v>10</v>
      </c>
      <c r="AM72" s="106" t="n">
        <f aca="false">INDEX($F72:$AG72,1,MATCH(AM$7,$F$7:$AG$7,1))</f>
        <v>10</v>
      </c>
      <c r="AN72" s="106" t="n">
        <f aca="false">INDEX($F72:$AG72,1,MATCH(AN$7,$F$7:$AG$7,1))</f>
        <v>10</v>
      </c>
      <c r="AO72" s="106" t="n">
        <f aca="false">INDEX($F72:$AG72,1,MATCH(AO$7,$F$7:$AG$7,1))</f>
        <v>10</v>
      </c>
    </row>
    <row r="73" customFormat="false" ht="15" hidden="false" customHeight="false" outlineLevel="0" collapsed="false">
      <c r="A73" s="104" t="s">
        <v>1419</v>
      </c>
      <c r="B73" s="20" t="s">
        <v>575</v>
      </c>
      <c r="C73" s="20" t="s">
        <v>513</v>
      </c>
      <c r="D73" s="20" t="s">
        <v>1386</v>
      </c>
      <c r="F73" s="105" t="n">
        <v>0</v>
      </c>
      <c r="G73" s="105" t="n">
        <v>0</v>
      </c>
      <c r="H73" s="105" t="n">
        <v>0</v>
      </c>
      <c r="I73" s="105" t="n">
        <v>0</v>
      </c>
      <c r="J73" s="105" t="n">
        <v>0</v>
      </c>
      <c r="K73" s="105" t="n">
        <v>0</v>
      </c>
      <c r="L73" s="105" t="n">
        <v>0</v>
      </c>
      <c r="M73" s="105" t="n">
        <v>16</v>
      </c>
      <c r="N73" s="105" t="n">
        <v>16</v>
      </c>
      <c r="O73" s="105" t="n">
        <v>16</v>
      </c>
      <c r="P73" s="105" t="n">
        <v>16</v>
      </c>
      <c r="Q73" s="105" t="n">
        <v>16</v>
      </c>
      <c r="R73" s="105" t="n">
        <v>19</v>
      </c>
      <c r="S73" s="105" t="n">
        <v>19</v>
      </c>
      <c r="T73" s="105" t="n">
        <v>19</v>
      </c>
      <c r="U73" s="105" t="n">
        <v>19</v>
      </c>
      <c r="V73" s="105" t="n">
        <v>19</v>
      </c>
      <c r="W73" s="105" t="n">
        <v>19</v>
      </c>
      <c r="X73" s="105" t="n">
        <v>19</v>
      </c>
      <c r="Y73" s="105" t="n">
        <v>19</v>
      </c>
      <c r="Z73" s="105" t="n">
        <v>19</v>
      </c>
      <c r="AA73" s="105" t="n">
        <v>19</v>
      </c>
      <c r="AB73" s="105" t="n">
        <v>19</v>
      </c>
      <c r="AC73" s="105" t="n">
        <v>19</v>
      </c>
      <c r="AD73" s="105" t="n">
        <v>19</v>
      </c>
      <c r="AE73" s="105" t="n">
        <v>19</v>
      </c>
      <c r="AF73" s="105" t="n">
        <v>19</v>
      </c>
      <c r="AG73" s="105" t="n">
        <v>19</v>
      </c>
      <c r="AI73" s="106" t="n">
        <f aca="false">INDEX($F73:$AG73,1,MATCH(AI$7,$F$7:$AG$7,1))</f>
        <v>0</v>
      </c>
      <c r="AJ73" s="106" t="n">
        <f aca="false">INDEX($F73:$AG73,1,MATCH(AJ$7,$F$7:$AG$7,1))</f>
        <v>16</v>
      </c>
      <c r="AK73" s="106" t="n">
        <f aca="false">INDEX($F73:$AG73,1,MATCH(AK$7,$F$7:$AG$7,1))</f>
        <v>16</v>
      </c>
      <c r="AL73" s="106" t="n">
        <f aca="false">INDEX($F73:$AG73,1,MATCH(AL$7,$F$7:$AG$7,1))</f>
        <v>19</v>
      </c>
      <c r="AM73" s="106" t="n">
        <f aca="false">INDEX($F73:$AG73,1,MATCH(AM$7,$F$7:$AG$7,1))</f>
        <v>19</v>
      </c>
      <c r="AN73" s="106" t="n">
        <f aca="false">INDEX($F73:$AG73,1,MATCH(AN$7,$F$7:$AG$7,1))</f>
        <v>19</v>
      </c>
      <c r="AO73" s="106" t="n">
        <f aca="false">INDEX($F73:$AG73,1,MATCH(AO$7,$F$7:$AG$7,1))</f>
        <v>19</v>
      </c>
    </row>
    <row r="74" customFormat="false" ht="15" hidden="false" customHeight="false" outlineLevel="0" collapsed="false">
      <c r="A74" s="104" t="s">
        <v>1420</v>
      </c>
      <c r="B74" s="20" t="s">
        <v>575</v>
      </c>
      <c r="C74" s="20" t="s">
        <v>513</v>
      </c>
      <c r="D74" s="20" t="s">
        <v>1386</v>
      </c>
      <c r="F74" s="105" t="n">
        <v>0</v>
      </c>
      <c r="G74" s="105" t="n">
        <v>0</v>
      </c>
      <c r="H74" s="105" t="n">
        <v>0</v>
      </c>
      <c r="I74" s="105" t="n">
        <v>0</v>
      </c>
      <c r="J74" s="105" t="n">
        <v>0</v>
      </c>
      <c r="K74" s="105" t="n">
        <v>0</v>
      </c>
      <c r="L74" s="105" t="n">
        <v>0</v>
      </c>
      <c r="M74" s="105" t="n">
        <v>16</v>
      </c>
      <c r="N74" s="105" t="n">
        <v>16</v>
      </c>
      <c r="O74" s="105" t="n">
        <v>16</v>
      </c>
      <c r="P74" s="105" t="n">
        <v>16</v>
      </c>
      <c r="Q74" s="105" t="n">
        <v>17.5</v>
      </c>
      <c r="R74" s="105" t="n">
        <v>19</v>
      </c>
      <c r="S74" s="105" t="n">
        <v>19</v>
      </c>
      <c r="T74" s="105" t="n">
        <v>19</v>
      </c>
      <c r="U74" s="105" t="n">
        <v>19</v>
      </c>
      <c r="V74" s="105" t="n">
        <v>19</v>
      </c>
      <c r="W74" s="105" t="n">
        <v>19</v>
      </c>
      <c r="X74" s="105" t="n">
        <v>19</v>
      </c>
      <c r="Y74" s="105" t="n">
        <v>19</v>
      </c>
      <c r="Z74" s="105" t="n">
        <v>19</v>
      </c>
      <c r="AA74" s="105" t="n">
        <v>19</v>
      </c>
      <c r="AB74" s="105" t="n">
        <v>19</v>
      </c>
      <c r="AC74" s="105" t="n">
        <v>19</v>
      </c>
      <c r="AD74" s="105" t="n">
        <v>19</v>
      </c>
      <c r="AE74" s="105" t="n">
        <v>19</v>
      </c>
      <c r="AF74" s="105" t="n">
        <v>19</v>
      </c>
      <c r="AG74" s="105" t="n">
        <v>19</v>
      </c>
      <c r="AI74" s="106" t="n">
        <f aca="false">INDEX($F74:$AG74,1,MATCH(AI$7,$F$7:$AG$7,1))</f>
        <v>0</v>
      </c>
      <c r="AJ74" s="106" t="n">
        <f aca="false">INDEX($F74:$AG74,1,MATCH(AJ$7,$F$7:$AG$7,1))</f>
        <v>16</v>
      </c>
      <c r="AK74" s="106" t="n">
        <f aca="false">INDEX($F74:$AG74,1,MATCH(AK$7,$F$7:$AG$7,1))</f>
        <v>17.5</v>
      </c>
      <c r="AL74" s="106" t="n">
        <f aca="false">INDEX($F74:$AG74,1,MATCH(AL$7,$F$7:$AG$7,1))</f>
        <v>19</v>
      </c>
      <c r="AM74" s="106" t="n">
        <f aca="false">INDEX($F74:$AG74,1,MATCH(AM$7,$F$7:$AG$7,1))</f>
        <v>19</v>
      </c>
      <c r="AN74" s="106" t="n">
        <f aca="false">INDEX($F74:$AG74,1,MATCH(AN$7,$F$7:$AG$7,1))</f>
        <v>19</v>
      </c>
      <c r="AO74" s="106" t="n">
        <f aca="false">INDEX($F74:$AG74,1,MATCH(AO$7,$F$7:$AG$7,1))</f>
        <v>19</v>
      </c>
    </row>
    <row r="75" customFormat="false" ht="15" hidden="false" customHeight="false" outlineLevel="0" collapsed="false">
      <c r="A75" s="104" t="s">
        <v>1421</v>
      </c>
      <c r="B75" s="20" t="s">
        <v>575</v>
      </c>
      <c r="C75" s="20" t="s">
        <v>513</v>
      </c>
      <c r="D75" s="20" t="s">
        <v>1386</v>
      </c>
      <c r="F75" s="105" t="n">
        <v>0</v>
      </c>
      <c r="G75" s="105" t="n">
        <v>0</v>
      </c>
      <c r="H75" s="105" t="n">
        <v>0</v>
      </c>
      <c r="I75" s="105" t="n">
        <v>0</v>
      </c>
      <c r="J75" s="105" t="n">
        <v>0</v>
      </c>
      <c r="K75" s="105" t="n">
        <v>0</v>
      </c>
      <c r="L75" s="105" t="n">
        <v>0</v>
      </c>
      <c r="M75" s="105" t="n">
        <v>16</v>
      </c>
      <c r="N75" s="105" t="n">
        <v>16</v>
      </c>
      <c r="O75" s="105" t="n">
        <v>16</v>
      </c>
      <c r="P75" s="105" t="n">
        <v>16</v>
      </c>
      <c r="Q75" s="105" t="n">
        <v>19</v>
      </c>
      <c r="R75" s="105" t="n">
        <v>19</v>
      </c>
      <c r="S75" s="105" t="n">
        <v>19</v>
      </c>
      <c r="T75" s="105" t="n">
        <v>19</v>
      </c>
      <c r="U75" s="105" t="n">
        <v>19</v>
      </c>
      <c r="V75" s="105" t="n">
        <v>19</v>
      </c>
      <c r="W75" s="105" t="n">
        <v>19</v>
      </c>
      <c r="X75" s="105" t="n">
        <v>19</v>
      </c>
      <c r="Y75" s="105" t="n">
        <v>19</v>
      </c>
      <c r="Z75" s="105" t="n">
        <v>19</v>
      </c>
      <c r="AA75" s="105" t="n">
        <v>19</v>
      </c>
      <c r="AB75" s="105" t="n">
        <v>19</v>
      </c>
      <c r="AC75" s="105" t="n">
        <v>19</v>
      </c>
      <c r="AD75" s="105" t="n">
        <v>19</v>
      </c>
      <c r="AE75" s="105" t="n">
        <v>19</v>
      </c>
      <c r="AF75" s="105" t="n">
        <v>19</v>
      </c>
      <c r="AG75" s="105" t="n">
        <v>19</v>
      </c>
      <c r="AI75" s="106" t="n">
        <f aca="false">INDEX($F75:$AG75,1,MATCH(AI$7,$F$7:$AG$7,1))</f>
        <v>0</v>
      </c>
      <c r="AJ75" s="106" t="n">
        <f aca="false">INDEX($F75:$AG75,1,MATCH(AJ$7,$F$7:$AG$7,1))</f>
        <v>16</v>
      </c>
      <c r="AK75" s="106" t="n">
        <f aca="false">INDEX($F75:$AG75,1,MATCH(AK$7,$F$7:$AG$7,1))</f>
        <v>19</v>
      </c>
      <c r="AL75" s="106" t="n">
        <f aca="false">INDEX($F75:$AG75,1,MATCH(AL$7,$F$7:$AG$7,1))</f>
        <v>19</v>
      </c>
      <c r="AM75" s="106" t="n">
        <f aca="false">INDEX($F75:$AG75,1,MATCH(AM$7,$F$7:$AG$7,1))</f>
        <v>19</v>
      </c>
      <c r="AN75" s="106" t="n">
        <f aca="false">INDEX($F75:$AG75,1,MATCH(AN$7,$F$7:$AG$7,1))</f>
        <v>19</v>
      </c>
      <c r="AO75" s="106" t="n">
        <f aca="false">INDEX($F75:$AG75,1,MATCH(AO$7,$F$7:$AG$7,1))</f>
        <v>19</v>
      </c>
    </row>
    <row r="76" customFormat="false" ht="15" hidden="false" customHeight="false" outlineLevel="0" collapsed="false">
      <c r="A76" s="104" t="s">
        <v>1422</v>
      </c>
      <c r="B76" s="20" t="s">
        <v>575</v>
      </c>
      <c r="C76" s="20" t="s">
        <v>513</v>
      </c>
      <c r="D76" s="20" t="s">
        <v>1386</v>
      </c>
      <c r="F76" s="105" t="n">
        <v>0</v>
      </c>
      <c r="G76" s="105" t="n">
        <v>0</v>
      </c>
      <c r="H76" s="105" t="n">
        <v>0</v>
      </c>
      <c r="I76" s="105" t="n">
        <v>0</v>
      </c>
      <c r="J76" s="105" t="n">
        <v>0</v>
      </c>
      <c r="K76" s="105" t="n">
        <v>0</v>
      </c>
      <c r="L76" s="105" t="n">
        <v>0</v>
      </c>
      <c r="M76" s="105" t="n">
        <v>0</v>
      </c>
      <c r="N76" s="105" t="n">
        <v>0</v>
      </c>
      <c r="O76" s="105" t="n">
        <v>0</v>
      </c>
      <c r="P76" s="105" t="n">
        <v>0</v>
      </c>
      <c r="Q76" s="105" t="n">
        <v>0</v>
      </c>
      <c r="R76" s="105" t="n">
        <v>4.4</v>
      </c>
      <c r="S76" s="105" t="n">
        <v>4.4</v>
      </c>
      <c r="T76" s="105" t="n">
        <v>22</v>
      </c>
      <c r="U76" s="105" t="n">
        <v>22</v>
      </c>
      <c r="V76" s="105" t="n">
        <v>22</v>
      </c>
      <c r="W76" s="105" t="n">
        <v>22</v>
      </c>
      <c r="X76" s="105" t="n">
        <v>22</v>
      </c>
      <c r="Y76" s="105" t="n">
        <v>22</v>
      </c>
      <c r="Z76" s="105" t="n">
        <v>22</v>
      </c>
      <c r="AA76" s="105" t="n">
        <v>22</v>
      </c>
      <c r="AB76" s="105" t="n">
        <v>22</v>
      </c>
      <c r="AC76" s="105" t="n">
        <v>22</v>
      </c>
      <c r="AD76" s="105" t="n">
        <v>22</v>
      </c>
      <c r="AE76" s="105" t="n">
        <v>22</v>
      </c>
      <c r="AF76" s="105" t="n">
        <v>22</v>
      </c>
      <c r="AG76" s="105" t="n">
        <v>22</v>
      </c>
      <c r="AI76" s="106" t="n">
        <f aca="false">INDEX($F76:$AG76,1,MATCH(AI$7,$F$7:$AG$7,1))</f>
        <v>0</v>
      </c>
      <c r="AJ76" s="106" t="n">
        <f aca="false">INDEX($F76:$AG76,1,MATCH(AJ$7,$F$7:$AG$7,1))</f>
        <v>0</v>
      </c>
      <c r="AK76" s="106" t="n">
        <f aca="false">INDEX($F76:$AG76,1,MATCH(AK$7,$F$7:$AG$7,1))</f>
        <v>0</v>
      </c>
      <c r="AL76" s="106" t="n">
        <f aca="false">INDEX($F76:$AG76,1,MATCH(AL$7,$F$7:$AG$7,1))</f>
        <v>22</v>
      </c>
      <c r="AM76" s="106" t="n">
        <f aca="false">INDEX($F76:$AG76,1,MATCH(AM$7,$F$7:$AG$7,1))</f>
        <v>22</v>
      </c>
      <c r="AN76" s="106" t="n">
        <f aca="false">INDEX($F76:$AG76,1,MATCH(AN$7,$F$7:$AG$7,1))</f>
        <v>22</v>
      </c>
      <c r="AO76" s="106" t="n">
        <f aca="false">INDEX($F76:$AG76,1,MATCH(AO$7,$F$7:$AG$7,1))</f>
        <v>22</v>
      </c>
    </row>
    <row r="77" customFormat="false" ht="15" hidden="false" customHeight="false" outlineLevel="0" collapsed="false">
      <c r="A77" s="104" t="s">
        <v>1423</v>
      </c>
      <c r="B77" s="20" t="s">
        <v>575</v>
      </c>
      <c r="C77" s="20" t="s">
        <v>513</v>
      </c>
      <c r="D77" s="20" t="s">
        <v>1386</v>
      </c>
      <c r="F77" s="105" t="n">
        <v>0</v>
      </c>
      <c r="G77" s="105" t="n">
        <v>0</v>
      </c>
      <c r="H77" s="105" t="n">
        <v>0</v>
      </c>
      <c r="I77" s="105" t="n">
        <v>0</v>
      </c>
      <c r="J77" s="105" t="n">
        <v>0</v>
      </c>
      <c r="K77" s="105" t="n">
        <v>0</v>
      </c>
      <c r="L77" s="105" t="n">
        <v>0</v>
      </c>
      <c r="M77" s="105" t="n">
        <v>0</v>
      </c>
      <c r="N77" s="105" t="n">
        <v>0</v>
      </c>
      <c r="O77" s="105" t="n">
        <v>0</v>
      </c>
      <c r="P77" s="105" t="n">
        <v>0</v>
      </c>
      <c r="Q77" s="105" t="n">
        <v>2.2</v>
      </c>
      <c r="R77" s="105" t="n">
        <v>13.2</v>
      </c>
      <c r="S77" s="105" t="n">
        <v>13.2</v>
      </c>
      <c r="T77" s="105" t="n">
        <v>22</v>
      </c>
      <c r="U77" s="105" t="n">
        <v>22</v>
      </c>
      <c r="V77" s="105" t="n">
        <v>22</v>
      </c>
      <c r="W77" s="105" t="n">
        <v>22</v>
      </c>
      <c r="X77" s="105" t="n">
        <v>22</v>
      </c>
      <c r="Y77" s="105" t="n">
        <v>22</v>
      </c>
      <c r="Z77" s="105" t="n">
        <v>22</v>
      </c>
      <c r="AA77" s="105" t="n">
        <v>22</v>
      </c>
      <c r="AB77" s="105" t="n">
        <v>22</v>
      </c>
      <c r="AC77" s="105" t="n">
        <v>22</v>
      </c>
      <c r="AD77" s="105" t="n">
        <v>22</v>
      </c>
      <c r="AE77" s="105" t="n">
        <v>22</v>
      </c>
      <c r="AF77" s="105" t="n">
        <v>22</v>
      </c>
      <c r="AG77" s="105" t="n">
        <v>22</v>
      </c>
      <c r="AI77" s="106" t="n">
        <f aca="false">INDEX($F77:$AG77,1,MATCH(AI$7,$F$7:$AG$7,1))</f>
        <v>0</v>
      </c>
      <c r="AJ77" s="106" t="n">
        <f aca="false">INDEX($F77:$AG77,1,MATCH(AJ$7,$F$7:$AG$7,1))</f>
        <v>0</v>
      </c>
      <c r="AK77" s="106" t="n">
        <f aca="false">INDEX($F77:$AG77,1,MATCH(AK$7,$F$7:$AG$7,1))</f>
        <v>2.2</v>
      </c>
      <c r="AL77" s="106" t="n">
        <f aca="false">INDEX($F77:$AG77,1,MATCH(AL$7,$F$7:$AG$7,1))</f>
        <v>22</v>
      </c>
      <c r="AM77" s="106" t="n">
        <f aca="false">INDEX($F77:$AG77,1,MATCH(AM$7,$F$7:$AG$7,1))</f>
        <v>22</v>
      </c>
      <c r="AN77" s="106" t="n">
        <f aca="false">INDEX($F77:$AG77,1,MATCH(AN$7,$F$7:$AG$7,1))</f>
        <v>22</v>
      </c>
      <c r="AO77" s="106" t="n">
        <f aca="false">INDEX($F77:$AG77,1,MATCH(AO$7,$F$7:$AG$7,1))</f>
        <v>22</v>
      </c>
    </row>
    <row r="78" customFormat="false" ht="15" hidden="false" customHeight="false" outlineLevel="0" collapsed="false">
      <c r="A78" s="104" t="s">
        <v>1424</v>
      </c>
      <c r="B78" s="20" t="s">
        <v>575</v>
      </c>
      <c r="C78" s="20" t="s">
        <v>513</v>
      </c>
      <c r="D78" s="20" t="s">
        <v>1386</v>
      </c>
      <c r="F78" s="105" t="n">
        <v>0</v>
      </c>
      <c r="G78" s="105" t="n">
        <v>0</v>
      </c>
      <c r="H78" s="105" t="n">
        <v>0</v>
      </c>
      <c r="I78" s="105" t="n">
        <v>0</v>
      </c>
      <c r="J78" s="105" t="n">
        <v>0</v>
      </c>
      <c r="K78" s="105" t="n">
        <v>0</v>
      </c>
      <c r="L78" s="105" t="n">
        <v>0</v>
      </c>
      <c r="M78" s="105" t="n">
        <v>0</v>
      </c>
      <c r="N78" s="105" t="n">
        <v>0</v>
      </c>
      <c r="O78" s="105" t="n">
        <v>0</v>
      </c>
      <c r="P78" s="105" t="n">
        <v>0</v>
      </c>
      <c r="Q78" s="105" t="n">
        <v>4.4</v>
      </c>
      <c r="R78" s="105" t="n">
        <v>22</v>
      </c>
      <c r="S78" s="105" t="n">
        <v>22</v>
      </c>
      <c r="T78" s="105" t="n">
        <v>22</v>
      </c>
      <c r="U78" s="105" t="n">
        <v>22</v>
      </c>
      <c r="V78" s="105" t="n">
        <v>22</v>
      </c>
      <c r="W78" s="105" t="n">
        <v>22</v>
      </c>
      <c r="X78" s="105" t="n">
        <v>22</v>
      </c>
      <c r="Y78" s="105" t="n">
        <v>22</v>
      </c>
      <c r="Z78" s="105" t="n">
        <v>22</v>
      </c>
      <c r="AA78" s="105" t="n">
        <v>22</v>
      </c>
      <c r="AB78" s="105" t="n">
        <v>22</v>
      </c>
      <c r="AC78" s="105" t="n">
        <v>22</v>
      </c>
      <c r="AD78" s="105" t="n">
        <v>22</v>
      </c>
      <c r="AE78" s="105" t="n">
        <v>22</v>
      </c>
      <c r="AF78" s="105" t="n">
        <v>22</v>
      </c>
      <c r="AG78" s="105" t="n">
        <v>22</v>
      </c>
      <c r="AI78" s="106" t="n">
        <f aca="false">INDEX($F78:$AG78,1,MATCH(AI$7,$F$7:$AG$7,1))</f>
        <v>0</v>
      </c>
      <c r="AJ78" s="106" t="n">
        <f aca="false">INDEX($F78:$AG78,1,MATCH(AJ$7,$F$7:$AG$7,1))</f>
        <v>0</v>
      </c>
      <c r="AK78" s="106" t="n">
        <f aca="false">INDEX($F78:$AG78,1,MATCH(AK$7,$F$7:$AG$7,1))</f>
        <v>4.4</v>
      </c>
      <c r="AL78" s="106" t="n">
        <f aca="false">INDEX($F78:$AG78,1,MATCH(AL$7,$F$7:$AG$7,1))</f>
        <v>22</v>
      </c>
      <c r="AM78" s="106" t="n">
        <f aca="false">INDEX($F78:$AG78,1,MATCH(AM$7,$F$7:$AG$7,1))</f>
        <v>22</v>
      </c>
      <c r="AN78" s="106" t="n">
        <f aca="false">INDEX($F78:$AG78,1,MATCH(AN$7,$F$7:$AG$7,1))</f>
        <v>22</v>
      </c>
      <c r="AO78" s="106" t="n">
        <f aca="false">INDEX($F78:$AG78,1,MATCH(AO$7,$F$7:$AG$7,1))</f>
        <v>22</v>
      </c>
    </row>
    <row r="79" customFormat="false" ht="15" hidden="false" customHeight="false" outlineLevel="0" collapsed="false">
      <c r="A79" s="104" t="s">
        <v>1425</v>
      </c>
      <c r="B79" s="20" t="s">
        <v>575</v>
      </c>
      <c r="C79" s="20" t="s">
        <v>513</v>
      </c>
      <c r="D79" s="20" t="s">
        <v>1386</v>
      </c>
      <c r="AI79" s="106" t="n">
        <f aca="false">INDEX($F79:$AG79,1,MATCH(AI$7,$F$7:$AG$7,1))</f>
        <v>0</v>
      </c>
      <c r="AJ79" s="106" t="n">
        <f aca="false">INDEX($F79:$AG79,1,MATCH(AJ$7,$F$7:$AG$7,1))</f>
        <v>0</v>
      </c>
      <c r="AK79" s="106" t="n">
        <f aca="false">INDEX($F79:$AG79,1,MATCH(AK$7,$F$7:$AG$7,1))</f>
        <v>0</v>
      </c>
      <c r="AL79" s="106" t="n">
        <f aca="false">INDEX($F79:$AG79,1,MATCH(AL$7,$F$7:$AG$7,1))</f>
        <v>0</v>
      </c>
      <c r="AM79" s="106" t="n">
        <f aca="false">INDEX($F79:$AG79,1,MATCH(AM$7,$F$7:$AG$7,1))</f>
        <v>0</v>
      </c>
      <c r="AN79" s="106" t="n">
        <f aca="false">INDEX($F79:$AG79,1,MATCH(AN$7,$F$7:$AG$7,1))</f>
        <v>0</v>
      </c>
      <c r="AO79" s="106" t="n">
        <f aca="false">INDEX($F79:$AG79,1,MATCH(AO$7,$F$7:$AG$7,1))</f>
        <v>0</v>
      </c>
    </row>
    <row r="80" customFormat="false" ht="15" hidden="false" customHeight="false" outlineLevel="0" collapsed="false">
      <c r="A80" s="104" t="s">
        <v>1426</v>
      </c>
      <c r="B80" s="20" t="s">
        <v>575</v>
      </c>
      <c r="C80" s="20" t="s">
        <v>513</v>
      </c>
      <c r="D80" s="20" t="s">
        <v>1386</v>
      </c>
      <c r="AI80" s="106" t="n">
        <f aca="false">INDEX($F80:$AG80,1,MATCH(AI$7,$F$7:$AG$7,1))</f>
        <v>0</v>
      </c>
      <c r="AJ80" s="106" t="n">
        <f aca="false">INDEX($F80:$AG80,1,MATCH(AJ$7,$F$7:$AG$7,1))</f>
        <v>0</v>
      </c>
      <c r="AK80" s="106" t="n">
        <f aca="false">INDEX($F80:$AG80,1,MATCH(AK$7,$F$7:$AG$7,1))</f>
        <v>0</v>
      </c>
      <c r="AL80" s="106" t="n">
        <f aca="false">INDEX($F80:$AG80,1,MATCH(AL$7,$F$7:$AG$7,1))</f>
        <v>0</v>
      </c>
      <c r="AM80" s="106" t="n">
        <f aca="false">INDEX($F80:$AG80,1,MATCH(AM$7,$F$7:$AG$7,1))</f>
        <v>0</v>
      </c>
      <c r="AN80" s="106" t="n">
        <f aca="false">INDEX($F80:$AG80,1,MATCH(AN$7,$F$7:$AG$7,1))</f>
        <v>0</v>
      </c>
      <c r="AO80" s="106" t="n">
        <f aca="false">INDEX($F80:$AG80,1,MATCH(AO$7,$F$7:$AG$7,1))</f>
        <v>0</v>
      </c>
    </row>
    <row r="81" customFormat="false" ht="15" hidden="false" customHeight="false" outlineLevel="0" collapsed="false">
      <c r="A81" s="104" t="s">
        <v>1427</v>
      </c>
      <c r="B81" s="20" t="s">
        <v>575</v>
      </c>
      <c r="C81" s="20" t="s">
        <v>513</v>
      </c>
      <c r="D81" s="20" t="s">
        <v>1386</v>
      </c>
      <c r="AI81" s="106" t="n">
        <f aca="false">INDEX($F81:$AG81,1,MATCH(AI$7,$F$7:$AG$7,1))</f>
        <v>0</v>
      </c>
      <c r="AJ81" s="106" t="n">
        <f aca="false">INDEX($F81:$AG81,1,MATCH(AJ$7,$F$7:$AG$7,1))</f>
        <v>0</v>
      </c>
      <c r="AK81" s="106" t="n">
        <f aca="false">INDEX($F81:$AG81,1,MATCH(AK$7,$F$7:$AG$7,1))</f>
        <v>0</v>
      </c>
      <c r="AL81" s="106" t="n">
        <f aca="false">INDEX($F81:$AG81,1,MATCH(AL$7,$F$7:$AG$7,1))</f>
        <v>0</v>
      </c>
      <c r="AM81" s="106" t="n">
        <f aca="false">INDEX($F81:$AG81,1,MATCH(AM$7,$F$7:$AG$7,1))</f>
        <v>0</v>
      </c>
      <c r="AN81" s="106" t="n">
        <f aca="false">INDEX($F81:$AG81,1,MATCH(AN$7,$F$7:$AG$7,1))</f>
        <v>0</v>
      </c>
      <c r="AO81" s="106" t="n">
        <f aca="false">INDEX($F81:$AG81,1,MATCH(AO$7,$F$7:$AG$7,1))</f>
        <v>0</v>
      </c>
    </row>
    <row r="82" customFormat="false" ht="15" hidden="false" customHeight="false" outlineLevel="0" collapsed="false">
      <c r="A82" s="104" t="s">
        <v>1428</v>
      </c>
      <c r="B82" s="20" t="s">
        <v>575</v>
      </c>
      <c r="C82" s="20" t="s">
        <v>513</v>
      </c>
      <c r="D82" s="20" t="s">
        <v>1386</v>
      </c>
      <c r="F82" s="105" t="n">
        <v>0</v>
      </c>
      <c r="G82" s="105" t="n">
        <v>0</v>
      </c>
      <c r="H82" s="105" t="n">
        <v>0</v>
      </c>
      <c r="I82" s="105" t="n">
        <v>0</v>
      </c>
      <c r="J82" s="105" t="n">
        <v>0</v>
      </c>
      <c r="K82" s="105" t="n">
        <v>0</v>
      </c>
      <c r="L82" s="105" t="n">
        <v>0</v>
      </c>
      <c r="M82" s="105" t="n">
        <v>8</v>
      </c>
      <c r="N82" s="105" t="n">
        <v>8</v>
      </c>
      <c r="O82" s="105" t="n">
        <v>8</v>
      </c>
      <c r="P82" s="105" t="n">
        <v>8</v>
      </c>
      <c r="Q82" s="105" t="n">
        <v>8</v>
      </c>
      <c r="R82" s="105" t="n">
        <v>8</v>
      </c>
      <c r="S82" s="105" t="n">
        <v>8</v>
      </c>
      <c r="T82" s="105" t="n">
        <v>8</v>
      </c>
      <c r="U82" s="105" t="n">
        <v>8</v>
      </c>
      <c r="V82" s="105" t="n">
        <v>8</v>
      </c>
      <c r="W82" s="105" t="n">
        <v>8</v>
      </c>
      <c r="X82" s="105" t="n">
        <v>8</v>
      </c>
      <c r="Y82" s="105" t="n">
        <v>8</v>
      </c>
      <c r="Z82" s="105" t="n">
        <v>8</v>
      </c>
      <c r="AA82" s="105" t="n">
        <v>8</v>
      </c>
      <c r="AB82" s="105" t="n">
        <v>8</v>
      </c>
      <c r="AC82" s="105" t="n">
        <v>8</v>
      </c>
      <c r="AD82" s="105" t="n">
        <v>8</v>
      </c>
      <c r="AE82" s="105" t="n">
        <v>8</v>
      </c>
      <c r="AF82" s="105" t="n">
        <v>8</v>
      </c>
      <c r="AG82" s="105" t="n">
        <v>8</v>
      </c>
      <c r="AI82" s="106" t="n">
        <f aca="false">INDEX($F82:$AG82,1,MATCH(AI$7,$F$7:$AG$7,1))</f>
        <v>0</v>
      </c>
      <c r="AJ82" s="106" t="n">
        <f aca="false">INDEX($F82:$AG82,1,MATCH(AJ$7,$F$7:$AG$7,1))</f>
        <v>8</v>
      </c>
      <c r="AK82" s="106" t="n">
        <f aca="false">INDEX($F82:$AG82,1,MATCH(AK$7,$F$7:$AG$7,1))</f>
        <v>8</v>
      </c>
      <c r="AL82" s="106" t="n">
        <f aca="false">INDEX($F82:$AG82,1,MATCH(AL$7,$F$7:$AG$7,1))</f>
        <v>8</v>
      </c>
      <c r="AM82" s="106" t="n">
        <f aca="false">INDEX($F82:$AG82,1,MATCH(AM$7,$F$7:$AG$7,1))</f>
        <v>8</v>
      </c>
      <c r="AN82" s="106" t="n">
        <f aca="false">INDEX($F82:$AG82,1,MATCH(AN$7,$F$7:$AG$7,1))</f>
        <v>8</v>
      </c>
      <c r="AO82" s="106" t="n">
        <f aca="false">INDEX($F82:$AG82,1,MATCH(AO$7,$F$7:$AG$7,1))</f>
        <v>8</v>
      </c>
    </row>
    <row r="83" customFormat="false" ht="15" hidden="false" customHeight="false" outlineLevel="0" collapsed="false">
      <c r="A83" s="104" t="s">
        <v>1429</v>
      </c>
      <c r="B83" s="20" t="s">
        <v>575</v>
      </c>
      <c r="C83" s="20" t="s">
        <v>513</v>
      </c>
      <c r="D83" s="20" t="s">
        <v>1386</v>
      </c>
      <c r="F83" s="105" t="n">
        <v>0</v>
      </c>
      <c r="G83" s="105" t="n">
        <v>0</v>
      </c>
      <c r="H83" s="105" t="n">
        <v>0</v>
      </c>
      <c r="I83" s="105" t="n">
        <v>0</v>
      </c>
      <c r="J83" s="105" t="n">
        <v>0</v>
      </c>
      <c r="K83" s="105" t="n">
        <v>0</v>
      </c>
      <c r="L83" s="105" t="n">
        <v>0</v>
      </c>
      <c r="M83" s="105" t="n">
        <v>8</v>
      </c>
      <c r="N83" s="105" t="n">
        <v>8</v>
      </c>
      <c r="O83" s="105" t="n">
        <v>8</v>
      </c>
      <c r="P83" s="105" t="n">
        <v>8</v>
      </c>
      <c r="Q83" s="105" t="n">
        <v>8</v>
      </c>
      <c r="R83" s="105" t="n">
        <v>8</v>
      </c>
      <c r="S83" s="105" t="n">
        <v>8</v>
      </c>
      <c r="T83" s="105" t="n">
        <v>8</v>
      </c>
      <c r="U83" s="105" t="n">
        <v>8</v>
      </c>
      <c r="V83" s="105" t="n">
        <v>8</v>
      </c>
      <c r="W83" s="105" t="n">
        <v>8</v>
      </c>
      <c r="X83" s="105" t="n">
        <v>8</v>
      </c>
      <c r="Y83" s="105" t="n">
        <v>8</v>
      </c>
      <c r="Z83" s="105" t="n">
        <v>8</v>
      </c>
      <c r="AA83" s="105" t="n">
        <v>8</v>
      </c>
      <c r="AB83" s="105" t="n">
        <v>8</v>
      </c>
      <c r="AC83" s="105" t="n">
        <v>8</v>
      </c>
      <c r="AD83" s="105" t="n">
        <v>8</v>
      </c>
      <c r="AE83" s="105" t="n">
        <v>8</v>
      </c>
      <c r="AF83" s="105" t="n">
        <v>8</v>
      </c>
      <c r="AG83" s="105" t="n">
        <v>8</v>
      </c>
      <c r="AI83" s="106" t="n">
        <f aca="false">INDEX($F83:$AG83,1,MATCH(AI$7,$F$7:$AG$7,1))</f>
        <v>0</v>
      </c>
      <c r="AJ83" s="106" t="n">
        <f aca="false">INDEX($F83:$AG83,1,MATCH(AJ$7,$F$7:$AG$7,1))</f>
        <v>8</v>
      </c>
      <c r="AK83" s="106" t="n">
        <f aca="false">INDEX($F83:$AG83,1,MATCH(AK$7,$F$7:$AG$7,1))</f>
        <v>8</v>
      </c>
      <c r="AL83" s="106" t="n">
        <f aca="false">INDEX($F83:$AG83,1,MATCH(AL$7,$F$7:$AG$7,1))</f>
        <v>8</v>
      </c>
      <c r="AM83" s="106" t="n">
        <f aca="false">INDEX($F83:$AG83,1,MATCH(AM$7,$F$7:$AG$7,1))</f>
        <v>8</v>
      </c>
      <c r="AN83" s="106" t="n">
        <f aca="false">INDEX($F83:$AG83,1,MATCH(AN$7,$F$7:$AG$7,1))</f>
        <v>8</v>
      </c>
      <c r="AO83" s="106" t="n">
        <f aca="false">INDEX($F83:$AG83,1,MATCH(AO$7,$F$7:$AG$7,1))</f>
        <v>8</v>
      </c>
    </row>
    <row r="84" customFormat="false" ht="15" hidden="false" customHeight="false" outlineLevel="0" collapsed="false">
      <c r="A84" s="104" t="s">
        <v>1430</v>
      </c>
      <c r="B84" s="20" t="s">
        <v>575</v>
      </c>
      <c r="C84" s="20" t="s">
        <v>513</v>
      </c>
      <c r="D84" s="20" t="s">
        <v>1386</v>
      </c>
      <c r="F84" s="105" t="n">
        <v>0</v>
      </c>
      <c r="G84" s="105" t="n">
        <v>0</v>
      </c>
      <c r="H84" s="105" t="n">
        <v>0</v>
      </c>
      <c r="I84" s="105" t="n">
        <v>0</v>
      </c>
      <c r="J84" s="105" t="n">
        <v>0</v>
      </c>
      <c r="K84" s="105" t="n">
        <v>0</v>
      </c>
      <c r="L84" s="105" t="n">
        <v>0</v>
      </c>
      <c r="M84" s="105" t="n">
        <v>8</v>
      </c>
      <c r="N84" s="105" t="n">
        <v>8</v>
      </c>
      <c r="O84" s="105" t="n">
        <v>8</v>
      </c>
      <c r="P84" s="105" t="n">
        <v>8</v>
      </c>
      <c r="Q84" s="105" t="n">
        <v>8</v>
      </c>
      <c r="R84" s="105" t="n">
        <v>8</v>
      </c>
      <c r="S84" s="105" t="n">
        <v>8</v>
      </c>
      <c r="T84" s="105" t="n">
        <v>8</v>
      </c>
      <c r="U84" s="105" t="n">
        <v>8</v>
      </c>
      <c r="V84" s="105" t="n">
        <v>8</v>
      </c>
      <c r="W84" s="105" t="n">
        <v>8</v>
      </c>
      <c r="X84" s="105" t="n">
        <v>8</v>
      </c>
      <c r="Y84" s="105" t="n">
        <v>8</v>
      </c>
      <c r="Z84" s="105" t="n">
        <v>8</v>
      </c>
      <c r="AA84" s="105" t="n">
        <v>8</v>
      </c>
      <c r="AB84" s="105" t="n">
        <v>8</v>
      </c>
      <c r="AC84" s="105" t="n">
        <v>8</v>
      </c>
      <c r="AD84" s="105" t="n">
        <v>8</v>
      </c>
      <c r="AE84" s="105" t="n">
        <v>8</v>
      </c>
      <c r="AF84" s="105" t="n">
        <v>8</v>
      </c>
      <c r="AG84" s="105" t="n">
        <v>8</v>
      </c>
      <c r="AI84" s="106" t="n">
        <f aca="false">INDEX($F84:$AG84,1,MATCH(AI$7,$F$7:$AG$7,1))</f>
        <v>0</v>
      </c>
      <c r="AJ84" s="106" t="n">
        <f aca="false">INDEX($F84:$AG84,1,MATCH(AJ$7,$F$7:$AG$7,1))</f>
        <v>8</v>
      </c>
      <c r="AK84" s="106" t="n">
        <f aca="false">INDEX($F84:$AG84,1,MATCH(AK$7,$F$7:$AG$7,1))</f>
        <v>8</v>
      </c>
      <c r="AL84" s="106" t="n">
        <f aca="false">INDEX($F84:$AG84,1,MATCH(AL$7,$F$7:$AG$7,1))</f>
        <v>8</v>
      </c>
      <c r="AM84" s="106" t="n">
        <f aca="false">INDEX($F84:$AG84,1,MATCH(AM$7,$F$7:$AG$7,1))</f>
        <v>8</v>
      </c>
      <c r="AN84" s="106" t="n">
        <f aca="false">INDEX($F84:$AG84,1,MATCH(AN$7,$F$7:$AG$7,1))</f>
        <v>8</v>
      </c>
      <c r="AO84" s="106" t="n">
        <f aca="false">INDEX($F84:$AG84,1,MATCH(AO$7,$F$7:$AG$7,1))</f>
        <v>8</v>
      </c>
    </row>
    <row r="85" customFormat="false" ht="15" hidden="false" customHeight="false" outlineLevel="0" collapsed="false">
      <c r="A85" s="104" t="s">
        <v>1431</v>
      </c>
      <c r="B85" s="20" t="s">
        <v>575</v>
      </c>
      <c r="C85" s="20" t="s">
        <v>513</v>
      </c>
      <c r="D85" s="20" t="s">
        <v>1386</v>
      </c>
      <c r="F85" s="105" t="n">
        <v>0</v>
      </c>
      <c r="G85" s="105" t="n">
        <v>0</v>
      </c>
      <c r="H85" s="105" t="n">
        <v>0</v>
      </c>
      <c r="I85" s="105" t="n">
        <v>0</v>
      </c>
      <c r="J85" s="105" t="n">
        <v>0</v>
      </c>
      <c r="K85" s="105" t="n">
        <v>0</v>
      </c>
      <c r="L85" s="105" t="n">
        <v>0</v>
      </c>
      <c r="M85" s="105" t="n">
        <v>0</v>
      </c>
      <c r="N85" s="105" t="n">
        <v>0</v>
      </c>
      <c r="O85" s="105" t="n">
        <v>0</v>
      </c>
      <c r="P85" s="105" t="n">
        <v>0</v>
      </c>
      <c r="Q85" s="105" t="n">
        <v>0</v>
      </c>
      <c r="R85" s="105" t="n">
        <v>11</v>
      </c>
      <c r="S85" s="105" t="n">
        <v>22</v>
      </c>
      <c r="T85" s="105" t="n">
        <v>22</v>
      </c>
      <c r="U85" s="105" t="n">
        <v>22</v>
      </c>
      <c r="V85" s="105" t="n">
        <v>22</v>
      </c>
      <c r="W85" s="105" t="n">
        <v>22</v>
      </c>
      <c r="X85" s="105" t="n">
        <v>22</v>
      </c>
      <c r="Y85" s="105" t="n">
        <v>22</v>
      </c>
      <c r="Z85" s="105" t="n">
        <v>22</v>
      </c>
      <c r="AA85" s="105" t="n">
        <v>22</v>
      </c>
      <c r="AB85" s="105" t="n">
        <v>22</v>
      </c>
      <c r="AC85" s="105" t="n">
        <v>22</v>
      </c>
      <c r="AD85" s="105" t="n">
        <v>22</v>
      </c>
      <c r="AE85" s="105" t="n">
        <v>22</v>
      </c>
      <c r="AF85" s="105" t="n">
        <v>22</v>
      </c>
      <c r="AG85" s="105" t="n">
        <v>22</v>
      </c>
      <c r="AI85" s="106" t="n">
        <f aca="false">INDEX($F85:$AG85,1,MATCH(AI$7,$F$7:$AG$7,1))</f>
        <v>0</v>
      </c>
      <c r="AJ85" s="106" t="n">
        <f aca="false">INDEX($F85:$AG85,1,MATCH(AJ$7,$F$7:$AG$7,1))</f>
        <v>0</v>
      </c>
      <c r="AK85" s="106" t="n">
        <f aca="false">INDEX($F85:$AG85,1,MATCH(AK$7,$F$7:$AG$7,1))</f>
        <v>0</v>
      </c>
      <c r="AL85" s="106" t="n">
        <f aca="false">INDEX($F85:$AG85,1,MATCH(AL$7,$F$7:$AG$7,1))</f>
        <v>22</v>
      </c>
      <c r="AM85" s="106" t="n">
        <f aca="false">INDEX($F85:$AG85,1,MATCH(AM$7,$F$7:$AG$7,1))</f>
        <v>22</v>
      </c>
      <c r="AN85" s="106" t="n">
        <f aca="false">INDEX($F85:$AG85,1,MATCH(AN$7,$F$7:$AG$7,1))</f>
        <v>22</v>
      </c>
      <c r="AO85" s="106" t="n">
        <f aca="false">INDEX($F85:$AG85,1,MATCH(AO$7,$F$7:$AG$7,1))</f>
        <v>22</v>
      </c>
    </row>
    <row r="86" customFormat="false" ht="15" hidden="false" customHeight="false" outlineLevel="0" collapsed="false">
      <c r="A86" s="104" t="s">
        <v>1432</v>
      </c>
      <c r="B86" s="20" t="s">
        <v>575</v>
      </c>
      <c r="C86" s="20" t="s">
        <v>513</v>
      </c>
      <c r="D86" s="20" t="s">
        <v>1386</v>
      </c>
      <c r="F86" s="105" t="n">
        <v>0</v>
      </c>
      <c r="G86" s="105" t="n">
        <v>0</v>
      </c>
      <c r="H86" s="105" t="n">
        <v>0</v>
      </c>
      <c r="I86" s="105" t="n">
        <v>0</v>
      </c>
      <c r="J86" s="105" t="n">
        <v>0</v>
      </c>
      <c r="K86" s="105" t="n">
        <v>0</v>
      </c>
      <c r="L86" s="105" t="n">
        <v>0</v>
      </c>
      <c r="M86" s="105" t="n">
        <v>0</v>
      </c>
      <c r="N86" s="105" t="n">
        <v>0</v>
      </c>
      <c r="O86" s="105" t="n">
        <v>0</v>
      </c>
      <c r="P86" s="105" t="n">
        <v>0</v>
      </c>
      <c r="Q86" s="105" t="n">
        <v>11</v>
      </c>
      <c r="R86" s="105" t="n">
        <v>16.5</v>
      </c>
      <c r="S86" s="105" t="n">
        <v>22</v>
      </c>
      <c r="T86" s="105" t="n">
        <v>22</v>
      </c>
      <c r="U86" s="105" t="n">
        <v>22</v>
      </c>
      <c r="V86" s="105" t="n">
        <v>22</v>
      </c>
      <c r="W86" s="105" t="n">
        <v>22</v>
      </c>
      <c r="X86" s="105" t="n">
        <v>22</v>
      </c>
      <c r="Y86" s="105" t="n">
        <v>22</v>
      </c>
      <c r="Z86" s="105" t="n">
        <v>22</v>
      </c>
      <c r="AA86" s="105" t="n">
        <v>22</v>
      </c>
      <c r="AB86" s="105" t="n">
        <v>22</v>
      </c>
      <c r="AC86" s="105" t="n">
        <v>22</v>
      </c>
      <c r="AD86" s="105" t="n">
        <v>22</v>
      </c>
      <c r="AE86" s="105" t="n">
        <v>22</v>
      </c>
      <c r="AF86" s="105" t="n">
        <v>22</v>
      </c>
      <c r="AG86" s="105" t="n">
        <v>22</v>
      </c>
      <c r="AI86" s="106" t="n">
        <f aca="false">INDEX($F86:$AG86,1,MATCH(AI$7,$F$7:$AG$7,1))</f>
        <v>0</v>
      </c>
      <c r="AJ86" s="106" t="n">
        <f aca="false">INDEX($F86:$AG86,1,MATCH(AJ$7,$F$7:$AG$7,1))</f>
        <v>0</v>
      </c>
      <c r="AK86" s="106" t="n">
        <f aca="false">INDEX($F86:$AG86,1,MATCH(AK$7,$F$7:$AG$7,1))</f>
        <v>11</v>
      </c>
      <c r="AL86" s="106" t="n">
        <f aca="false">INDEX($F86:$AG86,1,MATCH(AL$7,$F$7:$AG$7,1))</f>
        <v>22</v>
      </c>
      <c r="AM86" s="106" t="n">
        <f aca="false">INDEX($F86:$AG86,1,MATCH(AM$7,$F$7:$AG$7,1))</f>
        <v>22</v>
      </c>
      <c r="AN86" s="106" t="n">
        <f aca="false">INDEX($F86:$AG86,1,MATCH(AN$7,$F$7:$AG$7,1))</f>
        <v>22</v>
      </c>
      <c r="AO86" s="106" t="n">
        <f aca="false">INDEX($F86:$AG86,1,MATCH(AO$7,$F$7:$AG$7,1))</f>
        <v>22</v>
      </c>
    </row>
    <row r="87" customFormat="false" ht="15" hidden="false" customHeight="false" outlineLevel="0" collapsed="false">
      <c r="A87" s="104" t="s">
        <v>1433</v>
      </c>
      <c r="B87" s="20" t="s">
        <v>575</v>
      </c>
      <c r="C87" s="20" t="s">
        <v>513</v>
      </c>
      <c r="D87" s="20" t="s">
        <v>1386</v>
      </c>
      <c r="F87" s="105" t="n">
        <v>0</v>
      </c>
      <c r="G87" s="105" t="n">
        <v>0</v>
      </c>
      <c r="H87" s="105" t="n">
        <v>0</v>
      </c>
      <c r="I87" s="105" t="n">
        <v>0</v>
      </c>
      <c r="J87" s="105" t="n">
        <v>0</v>
      </c>
      <c r="K87" s="105" t="n">
        <v>0</v>
      </c>
      <c r="L87" s="105" t="n">
        <v>0</v>
      </c>
      <c r="M87" s="105" t="n">
        <v>0</v>
      </c>
      <c r="N87" s="105" t="n">
        <v>0</v>
      </c>
      <c r="O87" s="105" t="n">
        <v>0</v>
      </c>
      <c r="P87" s="105" t="n">
        <v>0</v>
      </c>
      <c r="Q87" s="105" t="n">
        <v>22</v>
      </c>
      <c r="R87" s="105" t="n">
        <v>22</v>
      </c>
      <c r="S87" s="105" t="n">
        <v>22</v>
      </c>
      <c r="T87" s="105" t="n">
        <v>22</v>
      </c>
      <c r="U87" s="105" t="n">
        <v>22</v>
      </c>
      <c r="V87" s="105" t="n">
        <v>22</v>
      </c>
      <c r="W87" s="105" t="n">
        <v>22</v>
      </c>
      <c r="X87" s="105" t="n">
        <v>22</v>
      </c>
      <c r="Y87" s="105" t="n">
        <v>22</v>
      </c>
      <c r="Z87" s="105" t="n">
        <v>22</v>
      </c>
      <c r="AA87" s="105" t="n">
        <v>22</v>
      </c>
      <c r="AB87" s="105" t="n">
        <v>22</v>
      </c>
      <c r="AC87" s="105" t="n">
        <v>22</v>
      </c>
      <c r="AD87" s="105" t="n">
        <v>22</v>
      </c>
      <c r="AE87" s="105" t="n">
        <v>22</v>
      </c>
      <c r="AF87" s="105" t="n">
        <v>22</v>
      </c>
      <c r="AG87" s="105" t="n">
        <v>22</v>
      </c>
      <c r="AI87" s="106" t="n">
        <f aca="false">INDEX($F87:$AG87,1,MATCH(AI$7,$F$7:$AG$7,1))</f>
        <v>0</v>
      </c>
      <c r="AJ87" s="106" t="n">
        <f aca="false">INDEX($F87:$AG87,1,MATCH(AJ$7,$F$7:$AG$7,1))</f>
        <v>0</v>
      </c>
      <c r="AK87" s="106" t="n">
        <f aca="false">INDEX($F87:$AG87,1,MATCH(AK$7,$F$7:$AG$7,1))</f>
        <v>22</v>
      </c>
      <c r="AL87" s="106" t="n">
        <f aca="false">INDEX($F87:$AG87,1,MATCH(AL$7,$F$7:$AG$7,1))</f>
        <v>22</v>
      </c>
      <c r="AM87" s="106" t="n">
        <f aca="false">INDEX($F87:$AG87,1,MATCH(AM$7,$F$7:$AG$7,1))</f>
        <v>22</v>
      </c>
      <c r="AN87" s="106" t="n">
        <f aca="false">INDEX($F87:$AG87,1,MATCH(AN$7,$F$7:$AG$7,1))</f>
        <v>22</v>
      </c>
      <c r="AO87" s="106" t="n">
        <f aca="false">INDEX($F87:$AG87,1,MATCH(AO$7,$F$7:$AG$7,1))</f>
        <v>22</v>
      </c>
    </row>
    <row r="88" customFormat="false" ht="15" hidden="false" customHeight="false" outlineLevel="0" collapsed="false">
      <c r="A88" s="104" t="s">
        <v>1434</v>
      </c>
      <c r="B88" s="20" t="s">
        <v>575</v>
      </c>
      <c r="C88" s="20" t="s">
        <v>513</v>
      </c>
      <c r="D88" s="20" t="s">
        <v>1386</v>
      </c>
      <c r="F88" s="105" t="n">
        <v>0</v>
      </c>
      <c r="G88" s="105" t="n">
        <v>0</v>
      </c>
      <c r="H88" s="105" t="n">
        <v>0</v>
      </c>
      <c r="I88" s="105" t="n">
        <v>0</v>
      </c>
      <c r="J88" s="105" t="n">
        <v>0</v>
      </c>
      <c r="K88" s="105" t="n">
        <v>0</v>
      </c>
      <c r="L88" s="105" t="n">
        <v>0</v>
      </c>
      <c r="M88" s="105" t="n">
        <v>0</v>
      </c>
      <c r="N88" s="105" t="n">
        <v>0</v>
      </c>
      <c r="O88" s="105" t="n">
        <v>0</v>
      </c>
      <c r="P88" s="105" t="n">
        <v>0</v>
      </c>
      <c r="Q88" s="105" t="n">
        <v>0</v>
      </c>
      <c r="R88" s="105" t="n">
        <v>20</v>
      </c>
      <c r="S88" s="105" t="n">
        <v>39</v>
      </c>
      <c r="T88" s="105" t="n">
        <v>58</v>
      </c>
      <c r="U88" s="105" t="n">
        <v>58</v>
      </c>
      <c r="V88" s="105" t="n">
        <v>58</v>
      </c>
      <c r="W88" s="105" t="n">
        <v>58</v>
      </c>
      <c r="X88" s="105" t="n">
        <v>58</v>
      </c>
      <c r="Y88" s="105" t="n">
        <v>58</v>
      </c>
      <c r="Z88" s="105" t="n">
        <v>58</v>
      </c>
      <c r="AA88" s="105" t="n">
        <v>58</v>
      </c>
      <c r="AB88" s="105" t="n">
        <v>58</v>
      </c>
      <c r="AC88" s="105" t="n">
        <v>58</v>
      </c>
      <c r="AD88" s="105" t="n">
        <v>58</v>
      </c>
      <c r="AE88" s="105" t="n">
        <v>58</v>
      </c>
      <c r="AF88" s="105" t="n">
        <v>58</v>
      </c>
      <c r="AG88" s="105" t="n">
        <v>58</v>
      </c>
      <c r="AI88" s="106" t="n">
        <f aca="false">INDEX($F88:$AG88,1,MATCH(AI$7,$F$7:$AG$7,1))</f>
        <v>0</v>
      </c>
      <c r="AJ88" s="106" t="n">
        <f aca="false">INDEX($F88:$AG88,1,MATCH(AJ$7,$F$7:$AG$7,1))</f>
        <v>0</v>
      </c>
      <c r="AK88" s="106" t="n">
        <f aca="false">INDEX($F88:$AG88,1,MATCH(AK$7,$F$7:$AG$7,1))</f>
        <v>0</v>
      </c>
      <c r="AL88" s="106" t="n">
        <f aca="false">INDEX($F88:$AG88,1,MATCH(AL$7,$F$7:$AG$7,1))</f>
        <v>58</v>
      </c>
      <c r="AM88" s="106" t="n">
        <f aca="false">INDEX($F88:$AG88,1,MATCH(AM$7,$F$7:$AG$7,1))</f>
        <v>58</v>
      </c>
      <c r="AN88" s="106" t="n">
        <f aca="false">INDEX($F88:$AG88,1,MATCH(AN$7,$F$7:$AG$7,1))</f>
        <v>58</v>
      </c>
      <c r="AO88" s="106" t="n">
        <f aca="false">INDEX($F88:$AG88,1,MATCH(AO$7,$F$7:$AG$7,1))</f>
        <v>58</v>
      </c>
    </row>
    <row r="89" customFormat="false" ht="15" hidden="false" customHeight="false" outlineLevel="0" collapsed="false">
      <c r="A89" s="104" t="s">
        <v>1435</v>
      </c>
      <c r="B89" s="20" t="s">
        <v>575</v>
      </c>
      <c r="C89" s="20" t="s">
        <v>513</v>
      </c>
      <c r="D89" s="20" t="s">
        <v>1386</v>
      </c>
      <c r="F89" s="105" t="n">
        <v>0</v>
      </c>
      <c r="G89" s="105" t="n">
        <v>0</v>
      </c>
      <c r="H89" s="105" t="n">
        <v>0</v>
      </c>
      <c r="I89" s="105" t="n">
        <v>0</v>
      </c>
      <c r="J89" s="105" t="n">
        <v>0</v>
      </c>
      <c r="K89" s="105" t="n">
        <v>0</v>
      </c>
      <c r="L89" s="105" t="n">
        <v>0</v>
      </c>
      <c r="M89" s="105" t="n">
        <v>0</v>
      </c>
      <c r="N89" s="105" t="n">
        <v>0</v>
      </c>
      <c r="O89" s="105" t="n">
        <v>0</v>
      </c>
      <c r="P89" s="105" t="n">
        <v>0</v>
      </c>
      <c r="Q89" s="105" t="n">
        <v>19.5</v>
      </c>
      <c r="R89" s="105" t="n">
        <v>39</v>
      </c>
      <c r="S89" s="105" t="n">
        <v>48.5</v>
      </c>
      <c r="T89" s="105" t="n">
        <v>58</v>
      </c>
      <c r="U89" s="105" t="n">
        <v>58</v>
      </c>
      <c r="V89" s="105" t="n">
        <v>58</v>
      </c>
      <c r="W89" s="105" t="n">
        <v>58</v>
      </c>
      <c r="X89" s="105" t="n">
        <v>58</v>
      </c>
      <c r="Y89" s="105" t="n">
        <v>58</v>
      </c>
      <c r="Z89" s="105" t="n">
        <v>58</v>
      </c>
      <c r="AA89" s="105" t="n">
        <v>58</v>
      </c>
      <c r="AB89" s="105" t="n">
        <v>58</v>
      </c>
      <c r="AC89" s="105" t="n">
        <v>58</v>
      </c>
      <c r="AD89" s="105" t="n">
        <v>58</v>
      </c>
      <c r="AE89" s="105" t="n">
        <v>58</v>
      </c>
      <c r="AF89" s="105" t="n">
        <v>58</v>
      </c>
      <c r="AG89" s="105" t="n">
        <v>58</v>
      </c>
      <c r="AI89" s="106" t="n">
        <f aca="false">INDEX($F89:$AG89,1,MATCH(AI$7,$F$7:$AG$7,1))</f>
        <v>0</v>
      </c>
      <c r="AJ89" s="106" t="n">
        <f aca="false">INDEX($F89:$AG89,1,MATCH(AJ$7,$F$7:$AG$7,1))</f>
        <v>0</v>
      </c>
      <c r="AK89" s="106" t="n">
        <f aca="false">INDEX($F89:$AG89,1,MATCH(AK$7,$F$7:$AG$7,1))</f>
        <v>19.5</v>
      </c>
      <c r="AL89" s="106" t="n">
        <f aca="false">INDEX($F89:$AG89,1,MATCH(AL$7,$F$7:$AG$7,1))</f>
        <v>58</v>
      </c>
      <c r="AM89" s="106" t="n">
        <f aca="false">INDEX($F89:$AG89,1,MATCH(AM$7,$F$7:$AG$7,1))</f>
        <v>58</v>
      </c>
      <c r="AN89" s="106" t="n">
        <f aca="false">INDEX($F89:$AG89,1,MATCH(AN$7,$F$7:$AG$7,1))</f>
        <v>58</v>
      </c>
      <c r="AO89" s="106" t="n">
        <f aca="false">INDEX($F89:$AG89,1,MATCH(AO$7,$F$7:$AG$7,1))</f>
        <v>58</v>
      </c>
    </row>
    <row r="90" customFormat="false" ht="15" hidden="false" customHeight="false" outlineLevel="0" collapsed="false">
      <c r="A90" s="104" t="s">
        <v>1436</v>
      </c>
      <c r="B90" s="20" t="s">
        <v>575</v>
      </c>
      <c r="C90" s="20" t="s">
        <v>513</v>
      </c>
      <c r="D90" s="20" t="s">
        <v>1386</v>
      </c>
      <c r="F90" s="105" t="n">
        <v>0</v>
      </c>
      <c r="G90" s="105" t="n">
        <v>0</v>
      </c>
      <c r="H90" s="105" t="n">
        <v>0</v>
      </c>
      <c r="I90" s="105" t="n">
        <v>0</v>
      </c>
      <c r="J90" s="105" t="n">
        <v>0</v>
      </c>
      <c r="K90" s="105" t="n">
        <v>0</v>
      </c>
      <c r="L90" s="105" t="n">
        <v>0</v>
      </c>
      <c r="M90" s="105" t="n">
        <v>0</v>
      </c>
      <c r="N90" s="105" t="n">
        <v>0</v>
      </c>
      <c r="O90" s="105" t="n">
        <v>0</v>
      </c>
      <c r="P90" s="105" t="n">
        <v>0</v>
      </c>
      <c r="Q90" s="105" t="n">
        <v>39</v>
      </c>
      <c r="R90" s="105" t="n">
        <v>58</v>
      </c>
      <c r="S90" s="105" t="n">
        <v>58</v>
      </c>
      <c r="T90" s="105" t="n">
        <v>58</v>
      </c>
      <c r="U90" s="105" t="n">
        <v>58</v>
      </c>
      <c r="V90" s="105" t="n">
        <v>58</v>
      </c>
      <c r="W90" s="105" t="n">
        <v>58</v>
      </c>
      <c r="X90" s="105" t="n">
        <v>58</v>
      </c>
      <c r="Y90" s="105" t="n">
        <v>58</v>
      </c>
      <c r="Z90" s="105" t="n">
        <v>58</v>
      </c>
      <c r="AA90" s="105" t="n">
        <v>58</v>
      </c>
      <c r="AB90" s="105" t="n">
        <v>58</v>
      </c>
      <c r="AC90" s="105" t="n">
        <v>58</v>
      </c>
      <c r="AD90" s="105" t="n">
        <v>58</v>
      </c>
      <c r="AE90" s="105" t="n">
        <v>58</v>
      </c>
      <c r="AF90" s="105" t="n">
        <v>58</v>
      </c>
      <c r="AG90" s="105" t="n">
        <v>58</v>
      </c>
      <c r="AI90" s="106" t="n">
        <f aca="false">INDEX($F90:$AG90,1,MATCH(AI$7,$F$7:$AG$7,1))</f>
        <v>0</v>
      </c>
      <c r="AJ90" s="106" t="n">
        <f aca="false">INDEX($F90:$AG90,1,MATCH(AJ$7,$F$7:$AG$7,1))</f>
        <v>0</v>
      </c>
      <c r="AK90" s="106" t="n">
        <f aca="false">INDEX($F90:$AG90,1,MATCH(AK$7,$F$7:$AG$7,1))</f>
        <v>39</v>
      </c>
      <c r="AL90" s="106" t="n">
        <f aca="false">INDEX($F90:$AG90,1,MATCH(AL$7,$F$7:$AG$7,1))</f>
        <v>58</v>
      </c>
      <c r="AM90" s="106" t="n">
        <f aca="false">INDEX($F90:$AG90,1,MATCH(AM$7,$F$7:$AG$7,1))</f>
        <v>58</v>
      </c>
      <c r="AN90" s="106" t="n">
        <f aca="false">INDEX($F90:$AG90,1,MATCH(AN$7,$F$7:$AG$7,1))</f>
        <v>58</v>
      </c>
      <c r="AO90" s="106" t="n">
        <f aca="false">INDEX($F90:$AG90,1,MATCH(AO$7,$F$7:$AG$7,1))</f>
        <v>58</v>
      </c>
    </row>
    <row r="91" customFormat="false" ht="15" hidden="false" customHeight="false" outlineLevel="0" collapsed="false">
      <c r="A91" s="104" t="s">
        <v>1437</v>
      </c>
      <c r="B91" s="20" t="s">
        <v>575</v>
      </c>
      <c r="C91" s="20" t="s">
        <v>513</v>
      </c>
      <c r="D91" s="20" t="s">
        <v>1386</v>
      </c>
      <c r="F91" s="105" t="n">
        <v>0</v>
      </c>
      <c r="G91" s="105" t="n">
        <v>0</v>
      </c>
      <c r="H91" s="105" t="n">
        <v>0</v>
      </c>
      <c r="I91" s="105" t="n">
        <v>0</v>
      </c>
      <c r="J91" s="105" t="n">
        <v>0</v>
      </c>
      <c r="K91" s="105" t="n">
        <v>0</v>
      </c>
      <c r="L91" s="105" t="n">
        <v>0</v>
      </c>
      <c r="M91" s="105" t="n">
        <v>0</v>
      </c>
      <c r="N91" s="105" t="n">
        <v>0</v>
      </c>
      <c r="O91" s="105" t="n">
        <v>0</v>
      </c>
      <c r="P91" s="105" t="n">
        <v>6</v>
      </c>
      <c r="Q91" s="105" t="n">
        <v>9</v>
      </c>
      <c r="R91" s="105" t="n">
        <v>18</v>
      </c>
      <c r="S91" s="105" t="n">
        <v>18</v>
      </c>
      <c r="T91" s="105" t="n">
        <v>18</v>
      </c>
      <c r="U91" s="105" t="n">
        <v>18</v>
      </c>
      <c r="V91" s="105" t="n">
        <v>18</v>
      </c>
      <c r="W91" s="105" t="n">
        <v>18</v>
      </c>
      <c r="X91" s="105" t="n">
        <v>18</v>
      </c>
      <c r="Y91" s="105" t="n">
        <v>18</v>
      </c>
      <c r="Z91" s="105" t="n">
        <v>18</v>
      </c>
      <c r="AA91" s="105" t="n">
        <v>18</v>
      </c>
      <c r="AB91" s="105" t="n">
        <v>18</v>
      </c>
      <c r="AC91" s="105" t="n">
        <v>18</v>
      </c>
      <c r="AD91" s="105" t="n">
        <v>18</v>
      </c>
      <c r="AE91" s="105" t="n">
        <v>18</v>
      </c>
      <c r="AF91" s="105" t="n">
        <v>18</v>
      </c>
      <c r="AG91" s="105" t="n">
        <v>18</v>
      </c>
      <c r="AI91" s="106" t="n">
        <f aca="false">INDEX($F91:$AG91,1,MATCH(AI$7,$F$7:$AG$7,1))</f>
        <v>0</v>
      </c>
      <c r="AJ91" s="106" t="n">
        <f aca="false">INDEX($F91:$AG91,1,MATCH(AJ$7,$F$7:$AG$7,1))</f>
        <v>0</v>
      </c>
      <c r="AK91" s="106" t="n">
        <f aca="false">INDEX($F91:$AG91,1,MATCH(AK$7,$F$7:$AG$7,1))</f>
        <v>9</v>
      </c>
      <c r="AL91" s="106" t="n">
        <f aca="false">INDEX($F91:$AG91,1,MATCH(AL$7,$F$7:$AG$7,1))</f>
        <v>18</v>
      </c>
      <c r="AM91" s="106" t="n">
        <f aca="false">INDEX($F91:$AG91,1,MATCH(AM$7,$F$7:$AG$7,1))</f>
        <v>18</v>
      </c>
      <c r="AN91" s="106" t="n">
        <f aca="false">INDEX($F91:$AG91,1,MATCH(AN$7,$F$7:$AG$7,1))</f>
        <v>18</v>
      </c>
      <c r="AO91" s="106" t="n">
        <f aca="false">INDEX($F91:$AG91,1,MATCH(AO$7,$F$7:$AG$7,1))</f>
        <v>18</v>
      </c>
    </row>
    <row r="92" customFormat="false" ht="15" hidden="false" customHeight="false" outlineLevel="0" collapsed="false">
      <c r="A92" s="104" t="s">
        <v>1438</v>
      </c>
      <c r="B92" s="20" t="s">
        <v>575</v>
      </c>
      <c r="C92" s="20" t="s">
        <v>513</v>
      </c>
      <c r="D92" s="20" t="s">
        <v>1386</v>
      </c>
      <c r="F92" s="105" t="n">
        <v>0</v>
      </c>
      <c r="G92" s="105" t="n">
        <v>0</v>
      </c>
      <c r="H92" s="105" t="n">
        <v>0</v>
      </c>
      <c r="I92" s="105" t="n">
        <v>0</v>
      </c>
      <c r="J92" s="105" t="n">
        <v>0</v>
      </c>
      <c r="K92" s="105" t="n">
        <v>0</v>
      </c>
      <c r="L92" s="105" t="n">
        <v>0</v>
      </c>
      <c r="M92" s="105" t="n">
        <v>0</v>
      </c>
      <c r="N92" s="105" t="n">
        <v>0</v>
      </c>
      <c r="O92" s="105" t="n">
        <v>0</v>
      </c>
      <c r="P92" s="105" t="n">
        <v>7.5</v>
      </c>
      <c r="Q92" s="105" t="n">
        <v>13.5</v>
      </c>
      <c r="R92" s="105" t="n">
        <v>18</v>
      </c>
      <c r="S92" s="105" t="n">
        <v>18</v>
      </c>
      <c r="T92" s="105" t="n">
        <v>18</v>
      </c>
      <c r="U92" s="105" t="n">
        <v>18</v>
      </c>
      <c r="V92" s="105" t="n">
        <v>18</v>
      </c>
      <c r="W92" s="105" t="n">
        <v>18</v>
      </c>
      <c r="X92" s="105" t="n">
        <v>18</v>
      </c>
      <c r="Y92" s="105" t="n">
        <v>18</v>
      </c>
      <c r="Z92" s="105" t="n">
        <v>18</v>
      </c>
      <c r="AA92" s="105" t="n">
        <v>18</v>
      </c>
      <c r="AB92" s="105" t="n">
        <v>18</v>
      </c>
      <c r="AC92" s="105" t="n">
        <v>18</v>
      </c>
      <c r="AD92" s="105" t="n">
        <v>18</v>
      </c>
      <c r="AE92" s="105" t="n">
        <v>18</v>
      </c>
      <c r="AF92" s="105" t="n">
        <v>18</v>
      </c>
      <c r="AG92" s="105" t="n">
        <v>18</v>
      </c>
      <c r="AI92" s="106" t="n">
        <f aca="false">INDEX($F92:$AG92,1,MATCH(AI$7,$F$7:$AG$7,1))</f>
        <v>0</v>
      </c>
      <c r="AJ92" s="106" t="n">
        <f aca="false">INDEX($F92:$AG92,1,MATCH(AJ$7,$F$7:$AG$7,1))</f>
        <v>0</v>
      </c>
      <c r="AK92" s="106" t="n">
        <f aca="false">INDEX($F92:$AG92,1,MATCH(AK$7,$F$7:$AG$7,1))</f>
        <v>13.5</v>
      </c>
      <c r="AL92" s="106" t="n">
        <f aca="false">INDEX($F92:$AG92,1,MATCH(AL$7,$F$7:$AG$7,1))</f>
        <v>18</v>
      </c>
      <c r="AM92" s="106" t="n">
        <f aca="false">INDEX($F92:$AG92,1,MATCH(AM$7,$F$7:$AG$7,1))</f>
        <v>18</v>
      </c>
      <c r="AN92" s="106" t="n">
        <f aca="false">INDEX($F92:$AG92,1,MATCH(AN$7,$F$7:$AG$7,1))</f>
        <v>18</v>
      </c>
      <c r="AO92" s="106" t="n">
        <f aca="false">INDEX($F92:$AG92,1,MATCH(AO$7,$F$7:$AG$7,1))</f>
        <v>18</v>
      </c>
    </row>
    <row r="93" customFormat="false" ht="15" hidden="false" customHeight="false" outlineLevel="0" collapsed="false">
      <c r="A93" s="104" t="s">
        <v>1439</v>
      </c>
      <c r="B93" s="20" t="s">
        <v>575</v>
      </c>
      <c r="C93" s="20" t="s">
        <v>513</v>
      </c>
      <c r="D93" s="20" t="s">
        <v>1386</v>
      </c>
      <c r="F93" s="105" t="n">
        <v>0</v>
      </c>
      <c r="G93" s="105" t="n">
        <v>0</v>
      </c>
      <c r="H93" s="105" t="n">
        <v>0</v>
      </c>
      <c r="I93" s="105" t="n">
        <v>0</v>
      </c>
      <c r="J93" s="105" t="n">
        <v>0</v>
      </c>
      <c r="K93" s="105" t="n">
        <v>0</v>
      </c>
      <c r="L93" s="105" t="n">
        <v>0</v>
      </c>
      <c r="M93" s="105" t="n">
        <v>0</v>
      </c>
      <c r="N93" s="105" t="n">
        <v>0</v>
      </c>
      <c r="O93" s="105" t="n">
        <v>0</v>
      </c>
      <c r="P93" s="105" t="n">
        <v>9</v>
      </c>
      <c r="Q93" s="105" t="n">
        <v>18</v>
      </c>
      <c r="R93" s="105" t="n">
        <v>18</v>
      </c>
      <c r="S93" s="105" t="n">
        <v>18</v>
      </c>
      <c r="T93" s="105" t="n">
        <v>18</v>
      </c>
      <c r="U93" s="105" t="n">
        <v>18</v>
      </c>
      <c r="V93" s="105" t="n">
        <v>18</v>
      </c>
      <c r="W93" s="105" t="n">
        <v>18</v>
      </c>
      <c r="X93" s="105" t="n">
        <v>18</v>
      </c>
      <c r="Y93" s="105" t="n">
        <v>18</v>
      </c>
      <c r="Z93" s="105" t="n">
        <v>18</v>
      </c>
      <c r="AA93" s="105" t="n">
        <v>18</v>
      </c>
      <c r="AB93" s="105" t="n">
        <v>18</v>
      </c>
      <c r="AC93" s="105" t="n">
        <v>18</v>
      </c>
      <c r="AD93" s="105" t="n">
        <v>18</v>
      </c>
      <c r="AE93" s="105" t="n">
        <v>18</v>
      </c>
      <c r="AF93" s="105" t="n">
        <v>18</v>
      </c>
      <c r="AG93" s="105" t="n">
        <v>18</v>
      </c>
      <c r="AI93" s="106" t="n">
        <f aca="false">INDEX($F93:$AG93,1,MATCH(AI$7,$F$7:$AG$7,1))</f>
        <v>0</v>
      </c>
      <c r="AJ93" s="106" t="n">
        <f aca="false">INDEX($F93:$AG93,1,MATCH(AJ$7,$F$7:$AG$7,1))</f>
        <v>0</v>
      </c>
      <c r="AK93" s="106" t="n">
        <f aca="false">INDEX($F93:$AG93,1,MATCH(AK$7,$F$7:$AG$7,1))</f>
        <v>18</v>
      </c>
      <c r="AL93" s="106" t="n">
        <f aca="false">INDEX($F93:$AG93,1,MATCH(AL$7,$F$7:$AG$7,1))</f>
        <v>18</v>
      </c>
      <c r="AM93" s="106" t="n">
        <f aca="false">INDEX($F93:$AG93,1,MATCH(AM$7,$F$7:$AG$7,1))</f>
        <v>18</v>
      </c>
      <c r="AN93" s="106" t="n">
        <f aca="false">INDEX($F93:$AG93,1,MATCH(AN$7,$F$7:$AG$7,1))</f>
        <v>18</v>
      </c>
      <c r="AO93" s="106" t="n">
        <f aca="false">INDEX($F93:$AG93,1,MATCH(AO$7,$F$7:$AG$7,1))</f>
        <v>18</v>
      </c>
    </row>
    <row r="94" customFormat="false" ht="15" hidden="false" customHeight="false" outlineLevel="0" collapsed="false">
      <c r="A94" s="104" t="s">
        <v>1440</v>
      </c>
      <c r="B94" s="20" t="s">
        <v>575</v>
      </c>
      <c r="C94" s="20" t="s">
        <v>513</v>
      </c>
      <c r="D94" s="20" t="s">
        <v>1386</v>
      </c>
      <c r="F94" s="105" t="n">
        <v>0</v>
      </c>
      <c r="G94" s="105" t="n">
        <v>0</v>
      </c>
      <c r="H94" s="105" t="n">
        <v>0</v>
      </c>
      <c r="I94" s="105" t="n">
        <v>0</v>
      </c>
      <c r="J94" s="105" t="n">
        <v>0</v>
      </c>
      <c r="K94" s="105" t="n">
        <v>0</v>
      </c>
      <c r="L94" s="105" t="n">
        <v>0</v>
      </c>
      <c r="M94" s="105" t="n">
        <v>0</v>
      </c>
      <c r="N94" s="105" t="n">
        <v>0</v>
      </c>
      <c r="O94" s="105" t="n">
        <v>0</v>
      </c>
      <c r="P94" s="105" t="n">
        <v>0</v>
      </c>
      <c r="Q94" s="105" t="n">
        <v>0</v>
      </c>
      <c r="R94" s="105" t="n">
        <v>11</v>
      </c>
      <c r="S94" s="105" t="n">
        <v>22</v>
      </c>
      <c r="T94" s="105" t="n">
        <v>22</v>
      </c>
      <c r="U94" s="105" t="n">
        <v>22</v>
      </c>
      <c r="V94" s="105" t="n">
        <v>22</v>
      </c>
      <c r="W94" s="105" t="n">
        <v>22</v>
      </c>
      <c r="X94" s="105" t="n">
        <v>22</v>
      </c>
      <c r="Y94" s="105" t="n">
        <v>22</v>
      </c>
      <c r="Z94" s="105" t="n">
        <v>22</v>
      </c>
      <c r="AA94" s="105" t="n">
        <v>22</v>
      </c>
      <c r="AB94" s="105" t="n">
        <v>22</v>
      </c>
      <c r="AC94" s="105" t="n">
        <v>22</v>
      </c>
      <c r="AD94" s="105" t="n">
        <v>22</v>
      </c>
      <c r="AE94" s="105" t="n">
        <v>22</v>
      </c>
      <c r="AF94" s="105" t="n">
        <v>22</v>
      </c>
      <c r="AG94" s="105" t="n">
        <v>22</v>
      </c>
      <c r="AI94" s="106" t="n">
        <f aca="false">INDEX($F94:$AG94,1,MATCH(AI$7,$F$7:$AG$7,1))</f>
        <v>0</v>
      </c>
      <c r="AJ94" s="106" t="n">
        <f aca="false">INDEX($F94:$AG94,1,MATCH(AJ$7,$F$7:$AG$7,1))</f>
        <v>0</v>
      </c>
      <c r="AK94" s="106" t="n">
        <f aca="false">INDEX($F94:$AG94,1,MATCH(AK$7,$F$7:$AG$7,1))</f>
        <v>0</v>
      </c>
      <c r="AL94" s="106" t="n">
        <f aca="false">INDEX($F94:$AG94,1,MATCH(AL$7,$F$7:$AG$7,1))</f>
        <v>22</v>
      </c>
      <c r="AM94" s="106" t="n">
        <f aca="false">INDEX($F94:$AG94,1,MATCH(AM$7,$F$7:$AG$7,1))</f>
        <v>22</v>
      </c>
      <c r="AN94" s="106" t="n">
        <f aca="false">INDEX($F94:$AG94,1,MATCH(AN$7,$F$7:$AG$7,1))</f>
        <v>22</v>
      </c>
      <c r="AO94" s="106" t="n">
        <f aca="false">INDEX($F94:$AG94,1,MATCH(AO$7,$F$7:$AG$7,1))</f>
        <v>22</v>
      </c>
    </row>
    <row r="95" customFormat="false" ht="15" hidden="false" customHeight="false" outlineLevel="0" collapsed="false">
      <c r="A95" s="104" t="s">
        <v>1441</v>
      </c>
      <c r="B95" s="20" t="s">
        <v>575</v>
      </c>
      <c r="C95" s="20" t="s">
        <v>513</v>
      </c>
      <c r="D95" s="20" t="s">
        <v>1386</v>
      </c>
      <c r="F95" s="105" t="n">
        <v>0</v>
      </c>
      <c r="G95" s="105" t="n">
        <v>0</v>
      </c>
      <c r="H95" s="105" t="n">
        <v>0</v>
      </c>
      <c r="I95" s="105" t="n">
        <v>0</v>
      </c>
      <c r="J95" s="105" t="n">
        <v>0</v>
      </c>
      <c r="K95" s="105" t="n">
        <v>0</v>
      </c>
      <c r="L95" s="105" t="n">
        <v>0</v>
      </c>
      <c r="M95" s="105" t="n">
        <v>0</v>
      </c>
      <c r="N95" s="105" t="n">
        <v>0</v>
      </c>
      <c r="O95" s="105" t="n">
        <v>0</v>
      </c>
      <c r="P95" s="105" t="n">
        <v>0</v>
      </c>
      <c r="Q95" s="105" t="n">
        <v>11</v>
      </c>
      <c r="R95" s="105" t="n">
        <v>16.5</v>
      </c>
      <c r="S95" s="105" t="n">
        <v>22</v>
      </c>
      <c r="T95" s="105" t="n">
        <v>22</v>
      </c>
      <c r="U95" s="105" t="n">
        <v>22</v>
      </c>
      <c r="V95" s="105" t="n">
        <v>22</v>
      </c>
      <c r="W95" s="105" t="n">
        <v>22</v>
      </c>
      <c r="X95" s="105" t="n">
        <v>22</v>
      </c>
      <c r="Y95" s="105" t="n">
        <v>22</v>
      </c>
      <c r="Z95" s="105" t="n">
        <v>22</v>
      </c>
      <c r="AA95" s="105" t="n">
        <v>22</v>
      </c>
      <c r="AB95" s="105" t="n">
        <v>22</v>
      </c>
      <c r="AC95" s="105" t="n">
        <v>22</v>
      </c>
      <c r="AD95" s="105" t="n">
        <v>22</v>
      </c>
      <c r="AE95" s="105" t="n">
        <v>22</v>
      </c>
      <c r="AF95" s="105" t="n">
        <v>22</v>
      </c>
      <c r="AG95" s="105" t="n">
        <v>22</v>
      </c>
      <c r="AI95" s="106" t="n">
        <f aca="false">INDEX($F95:$AG95,1,MATCH(AI$7,$F$7:$AG$7,1))</f>
        <v>0</v>
      </c>
      <c r="AJ95" s="106" t="n">
        <f aca="false">INDEX($F95:$AG95,1,MATCH(AJ$7,$F$7:$AG$7,1))</f>
        <v>0</v>
      </c>
      <c r="AK95" s="106" t="n">
        <f aca="false">INDEX($F95:$AG95,1,MATCH(AK$7,$F$7:$AG$7,1))</f>
        <v>11</v>
      </c>
      <c r="AL95" s="106" t="n">
        <f aca="false">INDEX($F95:$AG95,1,MATCH(AL$7,$F$7:$AG$7,1))</f>
        <v>22</v>
      </c>
      <c r="AM95" s="106" t="n">
        <f aca="false">INDEX($F95:$AG95,1,MATCH(AM$7,$F$7:$AG$7,1))</f>
        <v>22</v>
      </c>
      <c r="AN95" s="106" t="n">
        <f aca="false">INDEX($F95:$AG95,1,MATCH(AN$7,$F$7:$AG$7,1))</f>
        <v>22</v>
      </c>
      <c r="AO95" s="106" t="n">
        <f aca="false">INDEX($F95:$AG95,1,MATCH(AO$7,$F$7:$AG$7,1))</f>
        <v>22</v>
      </c>
    </row>
    <row r="96" customFormat="false" ht="15" hidden="false" customHeight="false" outlineLevel="0" collapsed="false">
      <c r="A96" s="104" t="s">
        <v>1442</v>
      </c>
      <c r="B96" s="20" t="s">
        <v>575</v>
      </c>
      <c r="C96" s="20" t="s">
        <v>513</v>
      </c>
      <c r="D96" s="20" t="s">
        <v>1386</v>
      </c>
      <c r="F96" s="105" t="n">
        <v>0</v>
      </c>
      <c r="G96" s="105" t="n">
        <v>0</v>
      </c>
      <c r="H96" s="105" t="n">
        <v>0</v>
      </c>
      <c r="I96" s="105" t="n">
        <v>0</v>
      </c>
      <c r="J96" s="105" t="n">
        <v>0</v>
      </c>
      <c r="K96" s="105" t="n">
        <v>0</v>
      </c>
      <c r="L96" s="105" t="n">
        <v>0</v>
      </c>
      <c r="M96" s="105" t="n">
        <v>0</v>
      </c>
      <c r="N96" s="105" t="n">
        <v>0</v>
      </c>
      <c r="O96" s="105" t="n">
        <v>0</v>
      </c>
      <c r="P96" s="105" t="n">
        <v>0</v>
      </c>
      <c r="Q96" s="105" t="n">
        <v>22</v>
      </c>
      <c r="R96" s="105" t="n">
        <v>22</v>
      </c>
      <c r="S96" s="105" t="n">
        <v>22</v>
      </c>
      <c r="T96" s="105" t="n">
        <v>22</v>
      </c>
      <c r="U96" s="105" t="n">
        <v>22</v>
      </c>
      <c r="V96" s="105" t="n">
        <v>22</v>
      </c>
      <c r="W96" s="105" t="n">
        <v>22</v>
      </c>
      <c r="X96" s="105" t="n">
        <v>22</v>
      </c>
      <c r="Y96" s="105" t="n">
        <v>22</v>
      </c>
      <c r="Z96" s="105" t="n">
        <v>22</v>
      </c>
      <c r="AA96" s="105" t="n">
        <v>22</v>
      </c>
      <c r="AB96" s="105" t="n">
        <v>22</v>
      </c>
      <c r="AC96" s="105" t="n">
        <v>22</v>
      </c>
      <c r="AD96" s="105" t="n">
        <v>22</v>
      </c>
      <c r="AE96" s="105" t="n">
        <v>22</v>
      </c>
      <c r="AF96" s="105" t="n">
        <v>22</v>
      </c>
      <c r="AG96" s="105" t="n">
        <v>22</v>
      </c>
      <c r="AI96" s="106" t="n">
        <f aca="false">INDEX($F96:$AG96,1,MATCH(AI$7,$F$7:$AG$7,1))</f>
        <v>0</v>
      </c>
      <c r="AJ96" s="106" t="n">
        <f aca="false">INDEX($F96:$AG96,1,MATCH(AJ$7,$F$7:$AG$7,1))</f>
        <v>0</v>
      </c>
      <c r="AK96" s="106" t="n">
        <f aca="false">INDEX($F96:$AG96,1,MATCH(AK$7,$F$7:$AG$7,1))</f>
        <v>22</v>
      </c>
      <c r="AL96" s="106" t="n">
        <f aca="false">INDEX($F96:$AG96,1,MATCH(AL$7,$F$7:$AG$7,1))</f>
        <v>22</v>
      </c>
      <c r="AM96" s="106" t="n">
        <f aca="false">INDEX($F96:$AG96,1,MATCH(AM$7,$F$7:$AG$7,1))</f>
        <v>22</v>
      </c>
      <c r="AN96" s="106" t="n">
        <f aca="false">INDEX($F96:$AG96,1,MATCH(AN$7,$F$7:$AG$7,1))</f>
        <v>22</v>
      </c>
      <c r="AO96" s="106" t="n">
        <f aca="false">INDEX($F96:$AG96,1,MATCH(AO$7,$F$7:$AG$7,1))</f>
        <v>22</v>
      </c>
    </row>
    <row r="97" customFormat="false" ht="15" hidden="false" customHeight="false" outlineLevel="0" collapsed="false">
      <c r="A97" s="104" t="s">
        <v>1443</v>
      </c>
      <c r="B97" s="20" t="s">
        <v>575</v>
      </c>
      <c r="C97" s="20" t="s">
        <v>513</v>
      </c>
      <c r="D97" s="20" t="s">
        <v>1444</v>
      </c>
      <c r="F97" s="107" t="n">
        <f aca="false">IF(F$5&gt;=12,Inputs!$E$168,0)</f>
        <v>0</v>
      </c>
      <c r="G97" s="107" t="n">
        <f aca="false">IF(G$5&gt;=12,Inputs!$E$168,0)</f>
        <v>0</v>
      </c>
      <c r="H97" s="107" t="n">
        <f aca="false">IF(H$5&gt;=12,Inputs!$E$168,0)</f>
        <v>0</v>
      </c>
      <c r="I97" s="107" t="n">
        <f aca="false">IF(I$5&gt;=12,Inputs!$E$168,0)</f>
        <v>0</v>
      </c>
      <c r="J97" s="107" t="n">
        <f aca="false">IF(J$5&gt;=12,Inputs!$E$168,0)</f>
        <v>0</v>
      </c>
      <c r="K97" s="107" t="n">
        <f aca="false">IF(K$5&gt;=12,Inputs!$E$168,0)</f>
        <v>0</v>
      </c>
      <c r="L97" s="107" t="n">
        <f aca="false">IF(L$5&gt;=12,Inputs!$E$168,0)</f>
        <v>0</v>
      </c>
      <c r="M97" s="107" t="n">
        <f aca="false">IF(M$5&gt;=12,Inputs!$E$168,0)</f>
        <v>0</v>
      </c>
      <c r="N97" s="107" t="n">
        <f aca="false">IF(N$5&gt;=12,Inputs!$E$168,0)</f>
        <v>0</v>
      </c>
      <c r="O97" s="107" t="n">
        <f aca="false">IF(O$5&gt;=12,Inputs!$E$168,0)</f>
        <v>0</v>
      </c>
      <c r="P97" s="107" t="n">
        <f aca="false">IF(P$5&gt;=12,Inputs!$E$168,0)</f>
        <v>0</v>
      </c>
      <c r="Q97" s="107" t="n">
        <f aca="false">IF(Q$5&gt;=12,Inputs!$E$168,0)</f>
        <v>0</v>
      </c>
      <c r="R97" s="107" t="n">
        <f aca="false">IF(R$5&gt;=12,Inputs!$E$168,0)</f>
        <v>0</v>
      </c>
      <c r="S97" s="107" t="n">
        <f aca="false">IF(S$5&gt;=12,Inputs!$E$168,0)</f>
        <v>0</v>
      </c>
      <c r="T97" s="107" t="n">
        <f aca="false">IF(T$5&gt;=12,Inputs!$E$168,0)</f>
        <v>0</v>
      </c>
      <c r="U97" s="107" t="n">
        <f aca="false">IF(U$5&gt;=12,Inputs!$E$168,0)</f>
        <v>0</v>
      </c>
      <c r="V97" s="107" t="n">
        <f aca="false">IF(V$5&gt;=12,Inputs!$E$168,0)</f>
        <v>0</v>
      </c>
      <c r="W97" s="107" t="n">
        <f aca="false">IF(W$5&gt;=12,Inputs!$E$168,0)</f>
        <v>0</v>
      </c>
      <c r="X97" s="107" t="n">
        <f aca="false">IF(X$5&gt;=12,Inputs!$E$168,0)</f>
        <v>0</v>
      </c>
      <c r="Y97" s="107" t="n">
        <f aca="false">IF(Y$5&gt;=12,Inputs!$E$168,0)</f>
        <v>0</v>
      </c>
      <c r="Z97" s="107" t="n">
        <f aca="false">IF(Z$5&gt;=12,Inputs!$E$168,0)</f>
        <v>0</v>
      </c>
      <c r="AA97" s="107" t="n">
        <f aca="false">IF(AA$5&gt;=12,Inputs!$E$168,0)</f>
        <v>0</v>
      </c>
      <c r="AB97" s="107" t="n">
        <f aca="false">IF(AB$5&gt;=12,Inputs!$E$168,0)</f>
        <v>0</v>
      </c>
      <c r="AC97" s="107" t="n">
        <f aca="false">IF(AC$5&gt;=12,Inputs!$E$168,0)</f>
        <v>0</v>
      </c>
      <c r="AD97" s="107" t="n">
        <f aca="false">IF(AD$5&gt;=12,Inputs!$E$168,0)</f>
        <v>0</v>
      </c>
      <c r="AE97" s="107" t="n">
        <f aca="false">IF(AE$5&gt;=12,Inputs!$E$168,0)</f>
        <v>0</v>
      </c>
      <c r="AF97" s="107" t="n">
        <f aca="false">IF(AF$5&gt;=12,Inputs!$E$168,0)</f>
        <v>0</v>
      </c>
      <c r="AG97" s="107" t="n">
        <f aca="false">IF(AG$5&gt;=12,Inputs!$E$168,0)</f>
        <v>0</v>
      </c>
      <c r="AI97" s="106" t="n">
        <f aca="false">INDEX($F97:$AG97,1,MATCH(AI$7,$F$7:$AG$7,1))</f>
        <v>0</v>
      </c>
      <c r="AJ97" s="106" t="n">
        <f aca="false">INDEX($F97:$AG97,1,MATCH(AJ$7,$F$7:$AG$7,1))</f>
        <v>0</v>
      </c>
      <c r="AK97" s="106" t="n">
        <f aca="false">INDEX($F97:$AG97,1,MATCH(AK$7,$F$7:$AG$7,1))</f>
        <v>0</v>
      </c>
      <c r="AL97" s="106" t="n">
        <f aca="false">INDEX($F97:$AG97,1,MATCH(AL$7,$F$7:$AG$7,1))</f>
        <v>0</v>
      </c>
      <c r="AM97" s="106" t="n">
        <f aca="false">INDEX($F97:$AG97,1,MATCH(AM$7,$F$7:$AG$7,1))</f>
        <v>0</v>
      </c>
      <c r="AN97" s="106" t="n">
        <f aca="false">INDEX($F97:$AG97,1,MATCH(AN$7,$F$7:$AG$7,1))</f>
        <v>0</v>
      </c>
      <c r="AO97" s="106" t="n">
        <f aca="false">INDEX($F97:$AG97,1,MATCH(AO$7,$F$7:$AG$7,1))</f>
        <v>0</v>
      </c>
    </row>
    <row r="98" customFormat="false" ht="15" hidden="false" customHeight="false" outlineLevel="0" collapsed="false">
      <c r="A98" s="104" t="s">
        <v>1445</v>
      </c>
      <c r="B98" s="20" t="s">
        <v>575</v>
      </c>
      <c r="C98" s="20" t="s">
        <v>513</v>
      </c>
      <c r="D98" s="20" t="s">
        <v>1444</v>
      </c>
      <c r="F98" s="107" t="n">
        <f aca="false">IF(F$5&gt;=12,Inputs!$D$168,0)</f>
        <v>0</v>
      </c>
      <c r="G98" s="107" t="n">
        <f aca="false">IF(G$5&gt;=12,Inputs!$D$168,0)</f>
        <v>0</v>
      </c>
      <c r="H98" s="107" t="n">
        <f aca="false">IF(H$5&gt;=12,Inputs!$D$168,0)</f>
        <v>0</v>
      </c>
      <c r="I98" s="107" t="n">
        <f aca="false">IF(I$5&gt;=12,Inputs!$D$168,0)</f>
        <v>0</v>
      </c>
      <c r="J98" s="107" t="n">
        <f aca="false">IF(J$5&gt;=12,Inputs!$D$168,0)</f>
        <v>0</v>
      </c>
      <c r="K98" s="107" t="n">
        <f aca="false">IF(K$5&gt;=12,Inputs!$D$168,0)</f>
        <v>0</v>
      </c>
      <c r="L98" s="107" t="n">
        <f aca="false">IF(L$5&gt;=12,Inputs!$D$168,0)</f>
        <v>0</v>
      </c>
      <c r="M98" s="107" t="n">
        <f aca="false">IF(M$5&gt;=12,Inputs!$D$168,0)</f>
        <v>0</v>
      </c>
      <c r="N98" s="107" t="n">
        <f aca="false">IF(N$5&gt;=12,Inputs!$D$168,0)</f>
        <v>0</v>
      </c>
      <c r="O98" s="107" t="n">
        <f aca="false">IF(O$5&gt;=12,Inputs!$D$168,0)</f>
        <v>0</v>
      </c>
      <c r="P98" s="107" t="n">
        <f aca="false">IF(P$5&gt;=12,Inputs!$D$168,0)</f>
        <v>0</v>
      </c>
      <c r="Q98" s="107" t="n">
        <f aca="false">IF(Q$5&gt;=12,Inputs!$D$168,0)</f>
        <v>0</v>
      </c>
      <c r="R98" s="107" t="n">
        <f aca="false">IF(R$5&gt;=12,Inputs!$D$168,0)</f>
        <v>0</v>
      </c>
      <c r="S98" s="107" t="n">
        <f aca="false">IF(S$5&gt;=12,Inputs!$D$168,0)</f>
        <v>0</v>
      </c>
      <c r="T98" s="107" t="n">
        <f aca="false">IF(T$5&gt;=12,Inputs!$D$168,0)</f>
        <v>0</v>
      </c>
      <c r="U98" s="107" t="n">
        <f aca="false">IF(U$5&gt;=12,Inputs!$D$168,0)</f>
        <v>0</v>
      </c>
      <c r="V98" s="107" t="n">
        <f aca="false">IF(V$5&gt;=12,Inputs!$D$168,0)</f>
        <v>0</v>
      </c>
      <c r="W98" s="107" t="n">
        <f aca="false">IF(W$5&gt;=12,Inputs!$D$168,0)</f>
        <v>0</v>
      </c>
      <c r="X98" s="107" t="n">
        <f aca="false">IF(X$5&gt;=12,Inputs!$D$168,0)</f>
        <v>0</v>
      </c>
      <c r="Y98" s="107" t="n">
        <f aca="false">IF(Y$5&gt;=12,Inputs!$D$168,0)</f>
        <v>0</v>
      </c>
      <c r="Z98" s="107" t="n">
        <f aca="false">IF(Z$5&gt;=12,Inputs!$D$168,0)</f>
        <v>0</v>
      </c>
      <c r="AA98" s="107" t="n">
        <f aca="false">IF(AA$5&gt;=12,Inputs!$D$168,0)</f>
        <v>0</v>
      </c>
      <c r="AB98" s="107" t="n">
        <f aca="false">IF(AB$5&gt;=12,Inputs!$D$168,0)</f>
        <v>0</v>
      </c>
      <c r="AC98" s="107" t="n">
        <f aca="false">IF(AC$5&gt;=12,Inputs!$D$168,0)</f>
        <v>0</v>
      </c>
      <c r="AD98" s="107" t="n">
        <f aca="false">IF(AD$5&gt;=12,Inputs!$D$168,0)</f>
        <v>0</v>
      </c>
      <c r="AE98" s="107" t="n">
        <f aca="false">IF(AE$5&gt;=12,Inputs!$D$168,0)</f>
        <v>0</v>
      </c>
      <c r="AF98" s="107" t="n">
        <f aca="false">IF(AF$5&gt;=12,Inputs!$D$168,0)</f>
        <v>0</v>
      </c>
      <c r="AG98" s="107" t="n">
        <f aca="false">IF(AG$5&gt;=12,Inputs!$D$168,0)</f>
        <v>0</v>
      </c>
      <c r="AI98" s="106" t="n">
        <f aca="false">INDEX($F98:$AG98,1,MATCH(AI$7,$F$7:$AG$7,1))</f>
        <v>0</v>
      </c>
      <c r="AJ98" s="106" t="n">
        <f aca="false">INDEX($F98:$AG98,1,MATCH(AJ$7,$F$7:$AG$7,1))</f>
        <v>0</v>
      </c>
      <c r="AK98" s="106" t="n">
        <f aca="false">INDEX($F98:$AG98,1,MATCH(AK$7,$F$7:$AG$7,1))</f>
        <v>0</v>
      </c>
      <c r="AL98" s="106" t="n">
        <f aca="false">INDEX($F98:$AG98,1,MATCH(AL$7,$F$7:$AG$7,1))</f>
        <v>0</v>
      </c>
      <c r="AM98" s="106" t="n">
        <f aca="false">INDEX($F98:$AG98,1,MATCH(AM$7,$F$7:$AG$7,1))</f>
        <v>0</v>
      </c>
      <c r="AN98" s="106" t="n">
        <f aca="false">INDEX($F98:$AG98,1,MATCH(AN$7,$F$7:$AG$7,1))</f>
        <v>0</v>
      </c>
      <c r="AO98" s="106" t="n">
        <f aca="false">INDEX($F98:$AG98,1,MATCH(AO$7,$F$7:$AG$7,1))</f>
        <v>0</v>
      </c>
    </row>
    <row r="99" customFormat="false" ht="15" hidden="false" customHeight="false" outlineLevel="0" collapsed="false">
      <c r="A99" s="104" t="s">
        <v>1446</v>
      </c>
      <c r="B99" s="20" t="s">
        <v>575</v>
      </c>
      <c r="C99" s="20" t="s">
        <v>513</v>
      </c>
      <c r="D99" s="20" t="s">
        <v>1444</v>
      </c>
      <c r="F99" s="107" t="n">
        <f aca="false">IF(F$5&gt;=12,Inputs!$C$168,0)</f>
        <v>0</v>
      </c>
      <c r="G99" s="107" t="n">
        <f aca="false">IF(G$5&gt;=12,Inputs!$C$168,0)</f>
        <v>0</v>
      </c>
      <c r="H99" s="107" t="n">
        <f aca="false">IF(H$5&gt;=12,Inputs!$C$168,0)</f>
        <v>0</v>
      </c>
      <c r="I99" s="107" t="n">
        <f aca="false">IF(I$5&gt;=12,Inputs!$C$168,0)</f>
        <v>0</v>
      </c>
      <c r="J99" s="107" t="n">
        <f aca="false">IF(J$5&gt;=12,Inputs!$C$168,0)</f>
        <v>0</v>
      </c>
      <c r="K99" s="107" t="n">
        <f aca="false">IF(K$5&gt;=12,Inputs!$C$168,0)</f>
        <v>0</v>
      </c>
      <c r="L99" s="107" t="n">
        <f aca="false">IF(L$5&gt;=12,Inputs!$C$168,0)</f>
        <v>0</v>
      </c>
      <c r="M99" s="107" t="n">
        <f aca="false">IF(M$5&gt;=12,Inputs!$C$168,0)</f>
        <v>0</v>
      </c>
      <c r="N99" s="107" t="n">
        <f aca="false">IF(N$5&gt;=12,Inputs!$C$168,0)</f>
        <v>0</v>
      </c>
      <c r="O99" s="107" t="n">
        <f aca="false">IF(O$5&gt;=12,Inputs!$C$168,0)</f>
        <v>0</v>
      </c>
      <c r="P99" s="107" t="n">
        <f aca="false">IF(P$5&gt;=12,Inputs!$C$168,0)</f>
        <v>0</v>
      </c>
      <c r="Q99" s="107" t="n">
        <f aca="false">IF(Q$5&gt;=12,Inputs!$C$168,0)</f>
        <v>0</v>
      </c>
      <c r="R99" s="107" t="n">
        <f aca="false">IF(R$5&gt;=12,Inputs!$C$168,0)</f>
        <v>0</v>
      </c>
      <c r="S99" s="107" t="n">
        <f aca="false">IF(S$5&gt;=12,Inputs!$C$168,0)</f>
        <v>0</v>
      </c>
      <c r="T99" s="107" t="n">
        <f aca="false">IF(T$5&gt;=12,Inputs!$C$168,0)</f>
        <v>0</v>
      </c>
      <c r="U99" s="107" t="n">
        <f aca="false">IF(U$5&gt;=12,Inputs!$C$168,0)</f>
        <v>0</v>
      </c>
      <c r="V99" s="107" t="n">
        <f aca="false">IF(V$5&gt;=12,Inputs!$C$168,0)</f>
        <v>0</v>
      </c>
      <c r="W99" s="107" t="n">
        <f aca="false">IF(W$5&gt;=12,Inputs!$C$168,0)</f>
        <v>0</v>
      </c>
      <c r="X99" s="107" t="n">
        <f aca="false">IF(X$5&gt;=12,Inputs!$C$168,0)</f>
        <v>0</v>
      </c>
      <c r="Y99" s="107" t="n">
        <f aca="false">IF(Y$5&gt;=12,Inputs!$C$168,0)</f>
        <v>0</v>
      </c>
      <c r="Z99" s="107" t="n">
        <f aca="false">IF(Z$5&gt;=12,Inputs!$C$168,0)</f>
        <v>0</v>
      </c>
      <c r="AA99" s="107" t="n">
        <f aca="false">IF(AA$5&gt;=12,Inputs!$C$168,0)</f>
        <v>0</v>
      </c>
      <c r="AB99" s="107" t="n">
        <f aca="false">IF(AB$5&gt;=12,Inputs!$C$168,0)</f>
        <v>0</v>
      </c>
      <c r="AC99" s="107" t="n">
        <f aca="false">IF(AC$5&gt;=12,Inputs!$C$168,0)</f>
        <v>0</v>
      </c>
      <c r="AD99" s="107" t="n">
        <f aca="false">IF(AD$5&gt;=12,Inputs!$C$168,0)</f>
        <v>0</v>
      </c>
      <c r="AE99" s="107" t="n">
        <f aca="false">IF(AE$5&gt;=12,Inputs!$C$168,0)</f>
        <v>0</v>
      </c>
      <c r="AF99" s="107" t="n">
        <f aca="false">IF(AF$5&gt;=12,Inputs!$C$168,0)</f>
        <v>0</v>
      </c>
      <c r="AG99" s="107" t="n">
        <f aca="false">IF(AG$5&gt;=12,Inputs!$C$168,0)</f>
        <v>0</v>
      </c>
      <c r="AI99" s="106" t="n">
        <f aca="false">INDEX($F99:$AG99,1,MATCH(AI$7,$F$7:$AG$7,1))</f>
        <v>0</v>
      </c>
      <c r="AJ99" s="106" t="n">
        <f aca="false">INDEX($F99:$AG99,1,MATCH(AJ$7,$F$7:$AG$7,1))</f>
        <v>0</v>
      </c>
      <c r="AK99" s="106" t="n">
        <f aca="false">INDEX($F99:$AG99,1,MATCH(AK$7,$F$7:$AG$7,1))</f>
        <v>0</v>
      </c>
      <c r="AL99" s="106" t="n">
        <f aca="false">INDEX($F99:$AG99,1,MATCH(AL$7,$F$7:$AG$7,1))</f>
        <v>0</v>
      </c>
      <c r="AM99" s="106" t="n">
        <f aca="false">INDEX($F99:$AG99,1,MATCH(AM$7,$F$7:$AG$7,1))</f>
        <v>0</v>
      </c>
      <c r="AN99" s="106" t="n">
        <f aca="false">INDEX($F99:$AG99,1,MATCH(AN$7,$F$7:$AG$7,1))</f>
        <v>0</v>
      </c>
      <c r="AO99" s="106" t="n">
        <f aca="false">INDEX($F99:$AG99,1,MATCH(AO$7,$F$7:$AG$7,1))</f>
        <v>0</v>
      </c>
    </row>
    <row r="100" customFormat="false" ht="15" hidden="false" customHeight="false" outlineLevel="0" collapsed="false">
      <c r="A100" s="104" t="s">
        <v>1447</v>
      </c>
      <c r="B100" s="20" t="s">
        <v>575</v>
      </c>
      <c r="C100" s="20" t="s">
        <v>513</v>
      </c>
      <c r="D100" s="20" t="s">
        <v>1444</v>
      </c>
      <c r="F100" s="107" t="n">
        <f aca="false">IF(F$5&gt;=12,Inputs!$E$167,0)</f>
        <v>0</v>
      </c>
      <c r="G100" s="107" t="n">
        <f aca="false">IF(G$5&gt;=12,Inputs!$E$167,0)</f>
        <v>0</v>
      </c>
      <c r="H100" s="107" t="n">
        <f aca="false">IF(H$5&gt;=12,Inputs!$E$167,0)</f>
        <v>0</v>
      </c>
      <c r="I100" s="107" t="n">
        <f aca="false">IF(I$5&gt;=12,Inputs!$E$167,0)</f>
        <v>0</v>
      </c>
      <c r="J100" s="107" t="n">
        <f aca="false">IF(J$5&gt;=12,Inputs!$E$167,0)</f>
        <v>0</v>
      </c>
      <c r="K100" s="107" t="n">
        <f aca="false">IF(K$5&gt;=12,Inputs!$E$167,0)</f>
        <v>0</v>
      </c>
      <c r="L100" s="107" t="n">
        <f aca="false">IF(L$5&gt;=12,Inputs!$E$167,0)</f>
        <v>0</v>
      </c>
      <c r="M100" s="107" t="n">
        <f aca="false">IF(M$5&gt;=12,Inputs!$E$167,0)</f>
        <v>0</v>
      </c>
      <c r="N100" s="107" t="n">
        <f aca="false">IF(N$5&gt;=12,Inputs!$E$167,0)</f>
        <v>0</v>
      </c>
      <c r="O100" s="107" t="n">
        <f aca="false">IF(O$5&gt;=12,Inputs!$E$167,0)</f>
        <v>0</v>
      </c>
      <c r="P100" s="107" t="n">
        <f aca="false">IF(P$5&gt;=12,Inputs!$E$167,0)</f>
        <v>0</v>
      </c>
      <c r="Q100" s="107" t="n">
        <f aca="false">IF(Q$5&gt;=12,Inputs!$E$167,0)</f>
        <v>0</v>
      </c>
      <c r="R100" s="107" t="n">
        <f aca="false">IF(R$5&gt;=12,Inputs!$E$167,0)</f>
        <v>0</v>
      </c>
      <c r="S100" s="107" t="n">
        <f aca="false">IF(S$5&gt;=12,Inputs!$E$167,0)</f>
        <v>0</v>
      </c>
      <c r="T100" s="107" t="n">
        <f aca="false">IF(T$5&gt;=12,Inputs!$E$167,0)</f>
        <v>0</v>
      </c>
      <c r="U100" s="107" t="n">
        <f aca="false">IF(U$5&gt;=12,Inputs!$E$167,0)</f>
        <v>0</v>
      </c>
      <c r="V100" s="107" t="n">
        <f aca="false">IF(V$5&gt;=12,Inputs!$E$167,0)</f>
        <v>0</v>
      </c>
      <c r="W100" s="107" t="n">
        <f aca="false">IF(W$5&gt;=12,Inputs!$E$167,0)</f>
        <v>0</v>
      </c>
      <c r="X100" s="107" t="n">
        <f aca="false">IF(X$5&gt;=12,Inputs!$E$167,0)</f>
        <v>0</v>
      </c>
      <c r="Y100" s="107" t="n">
        <f aca="false">IF(Y$5&gt;=12,Inputs!$E$167,0)</f>
        <v>0</v>
      </c>
      <c r="Z100" s="107" t="n">
        <f aca="false">IF(Z$5&gt;=12,Inputs!$E$167,0)</f>
        <v>0</v>
      </c>
      <c r="AA100" s="107" t="n">
        <f aca="false">IF(AA$5&gt;=12,Inputs!$E$167,0)</f>
        <v>0</v>
      </c>
      <c r="AB100" s="107" t="n">
        <f aca="false">IF(AB$5&gt;=12,Inputs!$E$167,0)</f>
        <v>0</v>
      </c>
      <c r="AC100" s="107" t="n">
        <f aca="false">IF(AC$5&gt;=12,Inputs!$E$167,0)</f>
        <v>0</v>
      </c>
      <c r="AD100" s="107" t="n">
        <f aca="false">IF(AD$5&gt;=12,Inputs!$E$167,0)</f>
        <v>0</v>
      </c>
      <c r="AE100" s="107" t="n">
        <f aca="false">IF(AE$5&gt;=12,Inputs!$E$167,0)</f>
        <v>0</v>
      </c>
      <c r="AF100" s="107" t="n">
        <f aca="false">IF(AF$5&gt;=12,Inputs!$E$167,0)</f>
        <v>0</v>
      </c>
      <c r="AG100" s="107" t="n">
        <f aca="false">IF(AG$5&gt;=12,Inputs!$E$167,0)</f>
        <v>0</v>
      </c>
      <c r="AI100" s="106" t="n">
        <f aca="false">INDEX($F100:$AG100,1,MATCH(AI$7,$F$7:$AG$7,1))</f>
        <v>0</v>
      </c>
      <c r="AJ100" s="106" t="n">
        <f aca="false">INDEX($F100:$AG100,1,MATCH(AJ$7,$F$7:$AG$7,1))</f>
        <v>0</v>
      </c>
      <c r="AK100" s="106" t="n">
        <f aca="false">INDEX($F100:$AG100,1,MATCH(AK$7,$F$7:$AG$7,1))</f>
        <v>0</v>
      </c>
      <c r="AL100" s="106" t="n">
        <f aca="false">INDEX($F100:$AG100,1,MATCH(AL$7,$F$7:$AG$7,1))</f>
        <v>0</v>
      </c>
      <c r="AM100" s="106" t="n">
        <f aca="false">INDEX($F100:$AG100,1,MATCH(AM$7,$F$7:$AG$7,1))</f>
        <v>0</v>
      </c>
      <c r="AN100" s="106" t="n">
        <f aca="false">INDEX($F100:$AG100,1,MATCH(AN$7,$F$7:$AG$7,1))</f>
        <v>0</v>
      </c>
      <c r="AO100" s="106" t="n">
        <f aca="false">INDEX($F100:$AG100,1,MATCH(AO$7,$F$7:$AG$7,1))</f>
        <v>0</v>
      </c>
    </row>
    <row r="101" customFormat="false" ht="15" hidden="false" customHeight="false" outlineLevel="0" collapsed="false">
      <c r="A101" s="104" t="s">
        <v>1448</v>
      </c>
      <c r="B101" s="20" t="s">
        <v>575</v>
      </c>
      <c r="C101" s="20" t="s">
        <v>513</v>
      </c>
      <c r="D101" s="20" t="s">
        <v>1444</v>
      </c>
      <c r="F101" s="107" t="n">
        <f aca="false">IF(F$5&gt;=12,Inputs!$D$167,0)</f>
        <v>0</v>
      </c>
      <c r="G101" s="107" t="n">
        <f aca="false">IF(G$5&gt;=12,Inputs!$D$167,0)</f>
        <v>0</v>
      </c>
      <c r="H101" s="107" t="n">
        <f aca="false">IF(H$5&gt;=12,Inputs!$D$167,0)</f>
        <v>0</v>
      </c>
      <c r="I101" s="107" t="n">
        <f aca="false">IF(I$5&gt;=12,Inputs!$D$167,0)</f>
        <v>0</v>
      </c>
      <c r="J101" s="107" t="n">
        <f aca="false">IF(J$5&gt;=12,Inputs!$D$167,0)</f>
        <v>0</v>
      </c>
      <c r="K101" s="107" t="n">
        <f aca="false">IF(K$5&gt;=12,Inputs!$D$167,0)</f>
        <v>0</v>
      </c>
      <c r="L101" s="107" t="n">
        <f aca="false">IF(L$5&gt;=12,Inputs!$D$167,0)</f>
        <v>0</v>
      </c>
      <c r="M101" s="107" t="n">
        <f aca="false">IF(M$5&gt;=12,Inputs!$D$167,0)</f>
        <v>0</v>
      </c>
      <c r="N101" s="107" t="n">
        <f aca="false">IF(N$5&gt;=12,Inputs!$D$167,0)</f>
        <v>0</v>
      </c>
      <c r="O101" s="107" t="n">
        <f aca="false">IF(O$5&gt;=12,Inputs!$D$167,0)</f>
        <v>0</v>
      </c>
      <c r="P101" s="107" t="n">
        <f aca="false">IF(P$5&gt;=12,Inputs!$D$167,0)</f>
        <v>0</v>
      </c>
      <c r="Q101" s="107" t="n">
        <f aca="false">IF(Q$5&gt;=12,Inputs!$D$167,0)</f>
        <v>0</v>
      </c>
      <c r="R101" s="107" t="n">
        <f aca="false">IF(R$5&gt;=12,Inputs!$D$167,0)</f>
        <v>0</v>
      </c>
      <c r="S101" s="107" t="n">
        <f aca="false">IF(S$5&gt;=12,Inputs!$D$167,0)</f>
        <v>0</v>
      </c>
      <c r="T101" s="107" t="n">
        <f aca="false">IF(T$5&gt;=12,Inputs!$D$167,0)</f>
        <v>0</v>
      </c>
      <c r="U101" s="107" t="n">
        <f aca="false">IF(U$5&gt;=12,Inputs!$D$167,0)</f>
        <v>0</v>
      </c>
      <c r="V101" s="107" t="n">
        <f aca="false">IF(V$5&gt;=12,Inputs!$D$167,0)</f>
        <v>0</v>
      </c>
      <c r="W101" s="107" t="n">
        <f aca="false">IF(W$5&gt;=12,Inputs!$D$167,0)</f>
        <v>0</v>
      </c>
      <c r="X101" s="107" t="n">
        <f aca="false">IF(X$5&gt;=12,Inputs!$D$167,0)</f>
        <v>0</v>
      </c>
      <c r="Y101" s="107" t="n">
        <f aca="false">IF(Y$5&gt;=12,Inputs!$D$167,0)</f>
        <v>0</v>
      </c>
      <c r="Z101" s="107" t="n">
        <f aca="false">IF(Z$5&gt;=12,Inputs!$D$167,0)</f>
        <v>0</v>
      </c>
      <c r="AA101" s="107" t="n">
        <f aca="false">IF(AA$5&gt;=12,Inputs!$D$167,0)</f>
        <v>0</v>
      </c>
      <c r="AB101" s="107" t="n">
        <f aca="false">IF(AB$5&gt;=12,Inputs!$D$167,0)</f>
        <v>0</v>
      </c>
      <c r="AC101" s="107" t="n">
        <f aca="false">IF(AC$5&gt;=12,Inputs!$D$167,0)</f>
        <v>0</v>
      </c>
      <c r="AD101" s="107" t="n">
        <f aca="false">IF(AD$5&gt;=12,Inputs!$D$167,0)</f>
        <v>0</v>
      </c>
      <c r="AE101" s="107" t="n">
        <f aca="false">IF(AE$5&gt;=12,Inputs!$D$167,0)</f>
        <v>0</v>
      </c>
      <c r="AF101" s="107" t="n">
        <f aca="false">IF(AF$5&gt;=12,Inputs!$D$167,0)</f>
        <v>0</v>
      </c>
      <c r="AG101" s="107" t="n">
        <f aca="false">IF(AG$5&gt;=12,Inputs!$D$167,0)</f>
        <v>0</v>
      </c>
      <c r="AI101" s="106" t="n">
        <f aca="false">INDEX($F101:$AG101,1,MATCH(AI$7,$F$7:$AG$7,1))</f>
        <v>0</v>
      </c>
      <c r="AJ101" s="106" t="n">
        <f aca="false">INDEX($F101:$AG101,1,MATCH(AJ$7,$F$7:$AG$7,1))</f>
        <v>0</v>
      </c>
      <c r="AK101" s="106" t="n">
        <f aca="false">INDEX($F101:$AG101,1,MATCH(AK$7,$F$7:$AG$7,1))</f>
        <v>0</v>
      </c>
      <c r="AL101" s="106" t="n">
        <f aca="false">INDEX($F101:$AG101,1,MATCH(AL$7,$F$7:$AG$7,1))</f>
        <v>0</v>
      </c>
      <c r="AM101" s="106" t="n">
        <f aca="false">INDEX($F101:$AG101,1,MATCH(AM$7,$F$7:$AG$7,1))</f>
        <v>0</v>
      </c>
      <c r="AN101" s="106" t="n">
        <f aca="false">INDEX($F101:$AG101,1,MATCH(AN$7,$F$7:$AG$7,1))</f>
        <v>0</v>
      </c>
      <c r="AO101" s="106" t="n">
        <f aca="false">INDEX($F101:$AG101,1,MATCH(AO$7,$F$7:$AG$7,1))</f>
        <v>0</v>
      </c>
    </row>
    <row r="102" customFormat="false" ht="15" hidden="false" customHeight="false" outlineLevel="0" collapsed="false">
      <c r="A102" s="104" t="s">
        <v>1449</v>
      </c>
      <c r="B102" s="20" t="s">
        <v>575</v>
      </c>
      <c r="C102" s="20" t="s">
        <v>513</v>
      </c>
      <c r="D102" s="20" t="s">
        <v>1444</v>
      </c>
      <c r="F102" s="107" t="n">
        <f aca="false">IF(F$5&gt;=12,Inputs!$C$167,0)</f>
        <v>0</v>
      </c>
      <c r="G102" s="107" t="n">
        <f aca="false">IF(G$5&gt;=12,Inputs!$C$167,0)</f>
        <v>0</v>
      </c>
      <c r="H102" s="107" t="n">
        <f aca="false">IF(H$5&gt;=12,Inputs!$C$167,0)</f>
        <v>0</v>
      </c>
      <c r="I102" s="107" t="n">
        <f aca="false">IF(I$5&gt;=12,Inputs!$C$167,0)</f>
        <v>0</v>
      </c>
      <c r="J102" s="107" t="n">
        <f aca="false">IF(J$5&gt;=12,Inputs!$C$167,0)</f>
        <v>0</v>
      </c>
      <c r="K102" s="107" t="n">
        <f aca="false">IF(K$5&gt;=12,Inputs!$C$167,0)</f>
        <v>0</v>
      </c>
      <c r="L102" s="107" t="n">
        <f aca="false">IF(L$5&gt;=12,Inputs!$C$167,0)</f>
        <v>0</v>
      </c>
      <c r="M102" s="107" t="n">
        <f aca="false">IF(M$5&gt;=12,Inputs!$C$167,0)</f>
        <v>0</v>
      </c>
      <c r="N102" s="107" t="n">
        <f aca="false">IF(N$5&gt;=12,Inputs!$C$167,0)</f>
        <v>0</v>
      </c>
      <c r="O102" s="107" t="n">
        <f aca="false">IF(O$5&gt;=12,Inputs!$C$167,0)</f>
        <v>0</v>
      </c>
      <c r="P102" s="107" t="n">
        <f aca="false">IF(P$5&gt;=12,Inputs!$C$167,0)</f>
        <v>0</v>
      </c>
      <c r="Q102" s="107" t="n">
        <f aca="false">IF(Q$5&gt;=12,Inputs!$C$167,0)</f>
        <v>0</v>
      </c>
      <c r="R102" s="107" t="n">
        <f aca="false">IF(R$5&gt;=12,Inputs!$C$167,0)</f>
        <v>0</v>
      </c>
      <c r="S102" s="107" t="n">
        <f aca="false">IF(S$5&gt;=12,Inputs!$C$167,0)</f>
        <v>0</v>
      </c>
      <c r="T102" s="107" t="n">
        <f aca="false">IF(T$5&gt;=12,Inputs!$C$167,0)</f>
        <v>0</v>
      </c>
      <c r="U102" s="107" t="n">
        <f aca="false">IF(U$5&gt;=12,Inputs!$C$167,0)</f>
        <v>0</v>
      </c>
      <c r="V102" s="107" t="n">
        <f aca="false">IF(V$5&gt;=12,Inputs!$C$167,0)</f>
        <v>0</v>
      </c>
      <c r="W102" s="107" t="n">
        <f aca="false">IF(W$5&gt;=12,Inputs!$C$167,0)</f>
        <v>0</v>
      </c>
      <c r="X102" s="107" t="n">
        <f aca="false">IF(X$5&gt;=12,Inputs!$C$167,0)</f>
        <v>0</v>
      </c>
      <c r="Y102" s="107" t="n">
        <f aca="false">IF(Y$5&gt;=12,Inputs!$C$167,0)</f>
        <v>0</v>
      </c>
      <c r="Z102" s="107" t="n">
        <f aca="false">IF(Z$5&gt;=12,Inputs!$C$167,0)</f>
        <v>0</v>
      </c>
      <c r="AA102" s="107" t="n">
        <f aca="false">IF(AA$5&gt;=12,Inputs!$C$167,0)</f>
        <v>0</v>
      </c>
      <c r="AB102" s="107" t="n">
        <f aca="false">IF(AB$5&gt;=12,Inputs!$C$167,0)</f>
        <v>0</v>
      </c>
      <c r="AC102" s="107" t="n">
        <f aca="false">IF(AC$5&gt;=12,Inputs!$C$167,0)</f>
        <v>0</v>
      </c>
      <c r="AD102" s="107" t="n">
        <f aca="false">IF(AD$5&gt;=12,Inputs!$C$167,0)</f>
        <v>0</v>
      </c>
      <c r="AE102" s="107" t="n">
        <f aca="false">IF(AE$5&gt;=12,Inputs!$C$167,0)</f>
        <v>0</v>
      </c>
      <c r="AF102" s="107" t="n">
        <f aca="false">IF(AF$5&gt;=12,Inputs!$C$167,0)</f>
        <v>0</v>
      </c>
      <c r="AG102" s="107" t="n">
        <f aca="false">IF(AG$5&gt;=12,Inputs!$C$167,0)</f>
        <v>0</v>
      </c>
      <c r="AI102" s="106" t="n">
        <f aca="false">INDEX($F102:$AG102,1,MATCH(AI$7,$F$7:$AG$7,1))</f>
        <v>0</v>
      </c>
      <c r="AJ102" s="106" t="n">
        <f aca="false">INDEX($F102:$AG102,1,MATCH(AJ$7,$F$7:$AG$7,1))</f>
        <v>0</v>
      </c>
      <c r="AK102" s="106" t="n">
        <f aca="false">INDEX($F102:$AG102,1,MATCH(AK$7,$F$7:$AG$7,1))</f>
        <v>0</v>
      </c>
      <c r="AL102" s="106" t="n">
        <f aca="false">INDEX($F102:$AG102,1,MATCH(AL$7,$F$7:$AG$7,1))</f>
        <v>0</v>
      </c>
      <c r="AM102" s="106" t="n">
        <f aca="false">INDEX($F102:$AG102,1,MATCH(AM$7,$F$7:$AG$7,1))</f>
        <v>0</v>
      </c>
      <c r="AN102" s="106" t="n">
        <f aca="false">INDEX($F102:$AG102,1,MATCH(AN$7,$F$7:$AG$7,1))</f>
        <v>0</v>
      </c>
      <c r="AO102" s="106" t="n">
        <f aca="false">INDEX($F102:$AG102,1,MATCH(AO$7,$F$7:$AG$7,1))</f>
        <v>0</v>
      </c>
    </row>
    <row r="103" customFormat="false" ht="15" hidden="false" customHeight="false" outlineLevel="0" collapsed="false">
      <c r="A103" s="104" t="s">
        <v>1450</v>
      </c>
      <c r="B103" s="20" t="s">
        <v>575</v>
      </c>
      <c r="C103" s="20" t="s">
        <v>513</v>
      </c>
      <c r="D103" s="20" t="s">
        <v>1386</v>
      </c>
      <c r="AI103" s="106" t="n">
        <f aca="false">INDEX($F103:$AG103,1,MATCH(AI$7,$F$7:$AG$7,1))</f>
        <v>0</v>
      </c>
      <c r="AJ103" s="106" t="n">
        <f aca="false">INDEX($F103:$AG103,1,MATCH(AJ$7,$F$7:$AG$7,1))</f>
        <v>0</v>
      </c>
      <c r="AK103" s="106" t="n">
        <f aca="false">INDEX($F103:$AG103,1,MATCH(AK$7,$F$7:$AG$7,1))</f>
        <v>0</v>
      </c>
      <c r="AL103" s="106" t="n">
        <f aca="false">INDEX($F103:$AG103,1,MATCH(AL$7,$F$7:$AG$7,1))</f>
        <v>0</v>
      </c>
      <c r="AM103" s="106" t="n">
        <f aca="false">INDEX($F103:$AG103,1,MATCH(AM$7,$F$7:$AG$7,1))</f>
        <v>0</v>
      </c>
      <c r="AN103" s="106" t="n">
        <f aca="false">INDEX($F103:$AG103,1,MATCH(AN$7,$F$7:$AG$7,1))</f>
        <v>0</v>
      </c>
      <c r="AO103" s="106" t="n">
        <f aca="false">INDEX($F103:$AG103,1,MATCH(AO$7,$F$7:$AG$7,1))</f>
        <v>0</v>
      </c>
    </row>
    <row r="104" customFormat="false" ht="15" hidden="false" customHeight="false" outlineLevel="0" collapsed="false">
      <c r="A104" s="104" t="s">
        <v>1451</v>
      </c>
      <c r="B104" s="20" t="s">
        <v>575</v>
      </c>
      <c r="C104" s="20" t="s">
        <v>513</v>
      </c>
      <c r="D104" s="20" t="s">
        <v>1386</v>
      </c>
      <c r="AI104" s="106" t="n">
        <f aca="false">INDEX($F104:$AG104,1,MATCH(AI$7,$F$7:$AG$7,1))</f>
        <v>0</v>
      </c>
      <c r="AJ104" s="106" t="n">
        <f aca="false">INDEX($F104:$AG104,1,MATCH(AJ$7,$F$7:$AG$7,1))</f>
        <v>0</v>
      </c>
      <c r="AK104" s="106" t="n">
        <f aca="false">INDEX($F104:$AG104,1,MATCH(AK$7,$F$7:$AG$7,1))</f>
        <v>0</v>
      </c>
      <c r="AL104" s="106" t="n">
        <f aca="false">INDEX($F104:$AG104,1,MATCH(AL$7,$F$7:$AG$7,1))</f>
        <v>0</v>
      </c>
      <c r="AM104" s="106" t="n">
        <f aca="false">INDEX($F104:$AG104,1,MATCH(AM$7,$F$7:$AG$7,1))</f>
        <v>0</v>
      </c>
      <c r="AN104" s="106" t="n">
        <f aca="false">INDEX($F104:$AG104,1,MATCH(AN$7,$F$7:$AG$7,1))</f>
        <v>0</v>
      </c>
      <c r="AO104" s="106" t="n">
        <f aca="false">INDEX($F104:$AG104,1,MATCH(AO$7,$F$7:$AG$7,1))</f>
        <v>0</v>
      </c>
    </row>
    <row r="105" customFormat="false" ht="15" hidden="false" customHeight="false" outlineLevel="0" collapsed="false">
      <c r="A105" s="104" t="s">
        <v>1452</v>
      </c>
      <c r="B105" s="20" t="s">
        <v>575</v>
      </c>
      <c r="C105" s="20" t="s">
        <v>513</v>
      </c>
      <c r="D105" s="20" t="s">
        <v>1386</v>
      </c>
      <c r="AI105" s="106" t="n">
        <f aca="false">INDEX($F105:$AG105,1,MATCH(AI$7,$F$7:$AG$7,1))</f>
        <v>0</v>
      </c>
      <c r="AJ105" s="106" t="n">
        <f aca="false">INDEX($F105:$AG105,1,MATCH(AJ$7,$F$7:$AG$7,1))</f>
        <v>0</v>
      </c>
      <c r="AK105" s="106" t="n">
        <f aca="false">INDEX($F105:$AG105,1,MATCH(AK$7,$F$7:$AG$7,1))</f>
        <v>0</v>
      </c>
      <c r="AL105" s="106" t="n">
        <f aca="false">INDEX($F105:$AG105,1,MATCH(AL$7,$F$7:$AG$7,1))</f>
        <v>0</v>
      </c>
      <c r="AM105" s="106" t="n">
        <f aca="false">INDEX($F105:$AG105,1,MATCH(AM$7,$F$7:$AG$7,1))</f>
        <v>0</v>
      </c>
      <c r="AN105" s="106" t="n">
        <f aca="false">INDEX($F105:$AG105,1,MATCH(AN$7,$F$7:$AG$7,1))</f>
        <v>0</v>
      </c>
      <c r="AO105" s="106" t="n">
        <f aca="false">INDEX($F105:$AG105,1,MATCH(AO$7,$F$7:$AG$7,1))</f>
        <v>0</v>
      </c>
    </row>
    <row r="106" customFormat="false" ht="15" hidden="false" customHeight="false" outlineLevel="0" collapsed="false">
      <c r="A106" s="104" t="s">
        <v>1453</v>
      </c>
      <c r="B106" s="20" t="s">
        <v>575</v>
      </c>
      <c r="C106" s="20" t="s">
        <v>513</v>
      </c>
      <c r="D106" s="20" t="s">
        <v>1386</v>
      </c>
      <c r="F106" s="105" t="n">
        <v>0</v>
      </c>
      <c r="G106" s="105" t="n">
        <v>0</v>
      </c>
      <c r="H106" s="105" t="n">
        <v>0</v>
      </c>
      <c r="I106" s="105" t="n">
        <v>0</v>
      </c>
      <c r="J106" s="105" t="n">
        <v>0</v>
      </c>
      <c r="K106" s="105" t="n">
        <v>0</v>
      </c>
      <c r="L106" s="105" t="n">
        <v>0</v>
      </c>
      <c r="M106" s="105" t="n">
        <v>0</v>
      </c>
      <c r="N106" s="105" t="n">
        <v>0</v>
      </c>
      <c r="O106" s="105" t="n">
        <v>0</v>
      </c>
      <c r="P106" s="105" t="n">
        <v>0</v>
      </c>
      <c r="Q106" s="105" t="n">
        <v>0</v>
      </c>
      <c r="R106" s="105" t="n">
        <v>0</v>
      </c>
      <c r="S106" s="105" t="n">
        <v>0</v>
      </c>
      <c r="T106" s="105" t="n">
        <v>0</v>
      </c>
      <c r="U106" s="105" t="n">
        <v>0</v>
      </c>
      <c r="V106" s="105" t="n">
        <v>25</v>
      </c>
      <c r="W106" s="105" t="n">
        <v>25</v>
      </c>
      <c r="X106" s="105" t="n">
        <v>50</v>
      </c>
      <c r="Y106" s="105" t="n">
        <v>50</v>
      </c>
      <c r="Z106" s="105" t="n">
        <v>50</v>
      </c>
      <c r="AA106" s="105" t="n">
        <v>50</v>
      </c>
      <c r="AB106" s="105" t="n">
        <v>50</v>
      </c>
      <c r="AC106" s="105" t="n">
        <v>50</v>
      </c>
      <c r="AD106" s="105" t="n">
        <v>50</v>
      </c>
      <c r="AE106" s="105" t="n">
        <v>50</v>
      </c>
      <c r="AF106" s="105" t="n">
        <v>50</v>
      </c>
      <c r="AG106" s="105" t="n">
        <v>50</v>
      </c>
      <c r="AI106" s="106" t="n">
        <f aca="false">INDEX($F106:$AG106,1,MATCH(AI$7,$F$7:$AG$7,1))</f>
        <v>0</v>
      </c>
      <c r="AJ106" s="106" t="n">
        <f aca="false">INDEX($F106:$AG106,1,MATCH(AJ$7,$F$7:$AG$7,1))</f>
        <v>0</v>
      </c>
      <c r="AK106" s="106" t="n">
        <f aca="false">INDEX($F106:$AG106,1,MATCH(AK$7,$F$7:$AG$7,1))</f>
        <v>0</v>
      </c>
      <c r="AL106" s="106" t="n">
        <f aca="false">INDEX($F106:$AG106,1,MATCH(AL$7,$F$7:$AG$7,1))</f>
        <v>0</v>
      </c>
      <c r="AM106" s="106" t="n">
        <f aca="false">INDEX($F106:$AG106,1,MATCH(AM$7,$F$7:$AG$7,1))</f>
        <v>50</v>
      </c>
      <c r="AN106" s="106" t="n">
        <f aca="false">INDEX($F106:$AG106,1,MATCH(AN$7,$F$7:$AG$7,1))</f>
        <v>50</v>
      </c>
      <c r="AO106" s="106" t="n">
        <f aca="false">INDEX($F106:$AG106,1,MATCH(AO$7,$F$7:$AG$7,1))</f>
        <v>50</v>
      </c>
    </row>
    <row r="107" customFormat="false" ht="15" hidden="false" customHeight="false" outlineLevel="0" collapsed="false">
      <c r="A107" s="104" t="s">
        <v>1454</v>
      </c>
      <c r="B107" s="20" t="s">
        <v>575</v>
      </c>
      <c r="C107" s="20" t="s">
        <v>513</v>
      </c>
      <c r="D107" s="20" t="s">
        <v>1386</v>
      </c>
      <c r="F107" s="105" t="n">
        <v>0</v>
      </c>
      <c r="G107" s="105" t="n">
        <v>0</v>
      </c>
      <c r="H107" s="105" t="n">
        <v>0</v>
      </c>
      <c r="I107" s="105" t="n">
        <v>0</v>
      </c>
      <c r="J107" s="105" t="n">
        <v>0</v>
      </c>
      <c r="K107" s="105" t="n">
        <v>0</v>
      </c>
      <c r="L107" s="105" t="n">
        <v>0</v>
      </c>
      <c r="M107" s="105" t="n">
        <v>0</v>
      </c>
      <c r="N107" s="105" t="n">
        <v>0</v>
      </c>
      <c r="O107" s="105" t="n">
        <v>0</v>
      </c>
      <c r="P107" s="105" t="n">
        <v>0</v>
      </c>
      <c r="Q107" s="105" t="n">
        <v>0</v>
      </c>
      <c r="R107" s="105" t="n">
        <v>0</v>
      </c>
      <c r="S107" s="105" t="n">
        <v>0</v>
      </c>
      <c r="T107" s="105" t="n">
        <v>12.5</v>
      </c>
      <c r="U107" s="105" t="n">
        <v>25</v>
      </c>
      <c r="V107" s="105" t="n">
        <v>37.5</v>
      </c>
      <c r="W107" s="105" t="n">
        <v>37.5</v>
      </c>
      <c r="X107" s="105" t="n">
        <v>50</v>
      </c>
      <c r="Y107" s="105" t="n">
        <v>50</v>
      </c>
      <c r="Z107" s="105" t="n">
        <v>50</v>
      </c>
      <c r="AA107" s="105" t="n">
        <v>50</v>
      </c>
      <c r="AB107" s="105" t="n">
        <v>50</v>
      </c>
      <c r="AC107" s="105" t="n">
        <v>50</v>
      </c>
      <c r="AD107" s="105" t="n">
        <v>50</v>
      </c>
      <c r="AE107" s="105" t="n">
        <v>50</v>
      </c>
      <c r="AF107" s="105" t="n">
        <v>50</v>
      </c>
      <c r="AG107" s="105" t="n">
        <v>50</v>
      </c>
      <c r="AI107" s="106" t="n">
        <f aca="false">INDEX($F107:$AG107,1,MATCH(AI$7,$F$7:$AG$7,1))</f>
        <v>0</v>
      </c>
      <c r="AJ107" s="106" t="n">
        <f aca="false">INDEX($F107:$AG107,1,MATCH(AJ$7,$F$7:$AG$7,1))</f>
        <v>0</v>
      </c>
      <c r="AK107" s="106" t="n">
        <f aca="false">INDEX($F107:$AG107,1,MATCH(AK$7,$F$7:$AG$7,1))</f>
        <v>0</v>
      </c>
      <c r="AL107" s="106" t="n">
        <f aca="false">INDEX($F107:$AG107,1,MATCH(AL$7,$F$7:$AG$7,1))</f>
        <v>25</v>
      </c>
      <c r="AM107" s="106" t="n">
        <f aca="false">INDEX($F107:$AG107,1,MATCH(AM$7,$F$7:$AG$7,1))</f>
        <v>50</v>
      </c>
      <c r="AN107" s="106" t="n">
        <f aca="false">INDEX($F107:$AG107,1,MATCH(AN$7,$F$7:$AG$7,1))</f>
        <v>50</v>
      </c>
      <c r="AO107" s="106" t="n">
        <f aca="false">INDEX($F107:$AG107,1,MATCH(AO$7,$F$7:$AG$7,1))</f>
        <v>50</v>
      </c>
    </row>
    <row r="108" customFormat="false" ht="15" hidden="false" customHeight="false" outlineLevel="0" collapsed="false">
      <c r="A108" s="104" t="s">
        <v>1455</v>
      </c>
      <c r="B108" s="20" t="s">
        <v>575</v>
      </c>
      <c r="C108" s="20" t="s">
        <v>513</v>
      </c>
      <c r="D108" s="20" t="s">
        <v>1386</v>
      </c>
      <c r="F108" s="105" t="n">
        <v>0</v>
      </c>
      <c r="G108" s="105" t="n">
        <v>0</v>
      </c>
      <c r="H108" s="105" t="n">
        <v>0</v>
      </c>
      <c r="I108" s="105" t="n">
        <v>0</v>
      </c>
      <c r="J108" s="105" t="n">
        <v>0</v>
      </c>
      <c r="K108" s="105" t="n">
        <v>0</v>
      </c>
      <c r="L108" s="105" t="n">
        <v>0</v>
      </c>
      <c r="M108" s="105" t="n">
        <v>0</v>
      </c>
      <c r="N108" s="105" t="n">
        <v>0</v>
      </c>
      <c r="O108" s="105" t="n">
        <v>0</v>
      </c>
      <c r="P108" s="105" t="n">
        <v>0</v>
      </c>
      <c r="Q108" s="105" t="n">
        <v>0</v>
      </c>
      <c r="R108" s="105" t="n">
        <v>0</v>
      </c>
      <c r="S108" s="105" t="n">
        <v>0</v>
      </c>
      <c r="T108" s="105" t="n">
        <v>25</v>
      </c>
      <c r="U108" s="105" t="n">
        <v>50</v>
      </c>
      <c r="V108" s="105" t="n">
        <v>50</v>
      </c>
      <c r="W108" s="105" t="n">
        <v>50</v>
      </c>
      <c r="X108" s="105" t="n">
        <v>50</v>
      </c>
      <c r="Y108" s="105" t="n">
        <v>50</v>
      </c>
      <c r="Z108" s="105" t="n">
        <v>50</v>
      </c>
      <c r="AA108" s="105" t="n">
        <v>50</v>
      </c>
      <c r="AB108" s="105" t="n">
        <v>50</v>
      </c>
      <c r="AC108" s="105" t="n">
        <v>50</v>
      </c>
      <c r="AD108" s="105" t="n">
        <v>50</v>
      </c>
      <c r="AE108" s="105" t="n">
        <v>50</v>
      </c>
      <c r="AF108" s="105" t="n">
        <v>50</v>
      </c>
      <c r="AG108" s="105" t="n">
        <v>50</v>
      </c>
      <c r="AI108" s="106" t="n">
        <f aca="false">INDEX($F108:$AG108,1,MATCH(AI$7,$F$7:$AG$7,1))</f>
        <v>0</v>
      </c>
      <c r="AJ108" s="106" t="n">
        <f aca="false">INDEX($F108:$AG108,1,MATCH(AJ$7,$F$7:$AG$7,1))</f>
        <v>0</v>
      </c>
      <c r="AK108" s="106" t="n">
        <f aca="false">INDEX($F108:$AG108,1,MATCH(AK$7,$F$7:$AG$7,1))</f>
        <v>0</v>
      </c>
      <c r="AL108" s="106" t="n">
        <f aca="false">INDEX($F108:$AG108,1,MATCH(AL$7,$F$7:$AG$7,1))</f>
        <v>50</v>
      </c>
      <c r="AM108" s="106" t="n">
        <f aca="false">INDEX($F108:$AG108,1,MATCH(AM$7,$F$7:$AG$7,1))</f>
        <v>50</v>
      </c>
      <c r="AN108" s="106" t="n">
        <f aca="false">INDEX($F108:$AG108,1,MATCH(AN$7,$F$7:$AG$7,1))</f>
        <v>50</v>
      </c>
      <c r="AO108" s="106" t="n">
        <f aca="false">INDEX($F108:$AG108,1,MATCH(AO$7,$F$7:$AG$7,1))</f>
        <v>50</v>
      </c>
    </row>
    <row r="109" customFormat="false" ht="15" hidden="false" customHeight="false" outlineLevel="0" collapsed="false">
      <c r="A109" s="104" t="s">
        <v>1456</v>
      </c>
      <c r="B109" s="20" t="s">
        <v>575</v>
      </c>
      <c r="C109" s="20" t="s">
        <v>513</v>
      </c>
      <c r="D109" s="20" t="s">
        <v>1444</v>
      </c>
      <c r="F109" s="107" t="n">
        <f aca="false">IF(F$5&gt;=12,Inputs!$E$169,0)</f>
        <v>0</v>
      </c>
      <c r="G109" s="107" t="n">
        <f aca="false">IF(G$5&gt;=12,Inputs!$E$169,0)</f>
        <v>0</v>
      </c>
      <c r="H109" s="107" t="n">
        <f aca="false">IF(H$5&gt;=12,Inputs!$E$169,0)</f>
        <v>0</v>
      </c>
      <c r="I109" s="107" t="n">
        <f aca="false">IF(I$5&gt;=12,Inputs!$E$169,0)</f>
        <v>0</v>
      </c>
      <c r="J109" s="107" t="n">
        <f aca="false">IF(J$5&gt;=12,Inputs!$E$169,0)</f>
        <v>0</v>
      </c>
      <c r="K109" s="107" t="n">
        <f aca="false">IF(K$5&gt;=12,Inputs!$E$169,0)</f>
        <v>0</v>
      </c>
      <c r="L109" s="107" t="n">
        <f aca="false">IF(L$5&gt;=12,Inputs!$E$169,0)</f>
        <v>0</v>
      </c>
      <c r="M109" s="107" t="n">
        <f aca="false">IF(M$5&gt;=12,Inputs!$E$169,0)</f>
        <v>0</v>
      </c>
      <c r="N109" s="107" t="n">
        <f aca="false">IF(N$5&gt;=12,Inputs!$E$169,0)</f>
        <v>0</v>
      </c>
      <c r="O109" s="107" t="n">
        <f aca="false">IF(O$5&gt;=12,Inputs!$E$169,0)</f>
        <v>0</v>
      </c>
      <c r="P109" s="107" t="n">
        <f aca="false">IF(P$5&gt;=12,Inputs!$E$169,0)</f>
        <v>0</v>
      </c>
      <c r="Q109" s="107" t="n">
        <f aca="false">IF(Q$5&gt;=12,Inputs!$E$169,0)</f>
        <v>0</v>
      </c>
      <c r="R109" s="107" t="n">
        <f aca="false">IF(R$5&gt;=12,Inputs!$E$169,0)</f>
        <v>0</v>
      </c>
      <c r="S109" s="107" t="n">
        <f aca="false">IF(S$5&gt;=12,Inputs!$E$169,0)</f>
        <v>0</v>
      </c>
      <c r="T109" s="107" t="n">
        <f aca="false">IF(T$5&gt;=12,Inputs!$E$169,0)</f>
        <v>0</v>
      </c>
      <c r="U109" s="107" t="n">
        <f aca="false">IF(U$5&gt;=12,Inputs!$E$169,0)</f>
        <v>0</v>
      </c>
      <c r="V109" s="107" t="n">
        <f aca="false">IF(V$5&gt;=12,Inputs!$E$169,0)</f>
        <v>0</v>
      </c>
      <c r="W109" s="107" t="n">
        <f aca="false">IF(W$5&gt;=12,Inputs!$E$169,0)</f>
        <v>0</v>
      </c>
      <c r="X109" s="107" t="n">
        <f aca="false">IF(X$5&gt;=12,Inputs!$E$169,0)</f>
        <v>0</v>
      </c>
      <c r="Y109" s="107" t="n">
        <f aca="false">IF(Y$5&gt;=12,Inputs!$E$169,0)</f>
        <v>0</v>
      </c>
      <c r="Z109" s="107" t="n">
        <f aca="false">IF(Z$5&gt;=12,Inputs!$E$169,0)</f>
        <v>0</v>
      </c>
      <c r="AA109" s="107" t="n">
        <f aca="false">IF(AA$5&gt;=12,Inputs!$E$169,0)</f>
        <v>0</v>
      </c>
      <c r="AB109" s="107" t="n">
        <f aca="false">IF(AB$5&gt;=12,Inputs!$E$169,0)</f>
        <v>0</v>
      </c>
      <c r="AC109" s="107" t="n">
        <f aca="false">IF(AC$5&gt;=12,Inputs!$E$169,0)</f>
        <v>0</v>
      </c>
      <c r="AD109" s="107" t="n">
        <f aca="false">IF(AD$5&gt;=12,Inputs!$E$169,0)</f>
        <v>0</v>
      </c>
      <c r="AE109" s="107" t="n">
        <f aca="false">IF(AE$5&gt;=12,Inputs!$E$169,0)</f>
        <v>0</v>
      </c>
      <c r="AF109" s="107" t="n">
        <f aca="false">IF(AF$5&gt;=12,Inputs!$E$169,0)</f>
        <v>0</v>
      </c>
      <c r="AG109" s="107" t="n">
        <f aca="false">IF(AG$5&gt;=12,Inputs!$E$169,0)</f>
        <v>0</v>
      </c>
      <c r="AI109" s="106" t="n">
        <f aca="false">INDEX($F109:$AG109,1,MATCH(AI$7,$F$7:$AG$7,1))</f>
        <v>0</v>
      </c>
      <c r="AJ109" s="106" t="n">
        <f aca="false">INDEX($F109:$AG109,1,MATCH(AJ$7,$F$7:$AG$7,1))</f>
        <v>0</v>
      </c>
      <c r="AK109" s="106" t="n">
        <f aca="false">INDEX($F109:$AG109,1,MATCH(AK$7,$F$7:$AG$7,1))</f>
        <v>0</v>
      </c>
      <c r="AL109" s="106" t="n">
        <f aca="false">INDEX($F109:$AG109,1,MATCH(AL$7,$F$7:$AG$7,1))</f>
        <v>0</v>
      </c>
      <c r="AM109" s="106" t="n">
        <f aca="false">INDEX($F109:$AG109,1,MATCH(AM$7,$F$7:$AG$7,1))</f>
        <v>0</v>
      </c>
      <c r="AN109" s="106" t="n">
        <f aca="false">INDEX($F109:$AG109,1,MATCH(AN$7,$F$7:$AG$7,1))</f>
        <v>0</v>
      </c>
      <c r="AO109" s="106" t="n">
        <f aca="false">INDEX($F109:$AG109,1,MATCH(AO$7,$F$7:$AG$7,1))</f>
        <v>0</v>
      </c>
    </row>
    <row r="110" customFormat="false" ht="15" hidden="false" customHeight="false" outlineLevel="0" collapsed="false">
      <c r="A110" s="104" t="s">
        <v>1457</v>
      </c>
      <c r="B110" s="20" t="s">
        <v>575</v>
      </c>
      <c r="C110" s="20" t="s">
        <v>513</v>
      </c>
      <c r="D110" s="20" t="s">
        <v>1444</v>
      </c>
      <c r="F110" s="107" t="n">
        <f aca="false">IF(F$5&gt;=12,Inputs!$D$169,0)</f>
        <v>0</v>
      </c>
      <c r="G110" s="107" t="n">
        <f aca="false">IF(G$5&gt;=12,Inputs!$D$169,0)</f>
        <v>0</v>
      </c>
      <c r="H110" s="107" t="n">
        <f aca="false">IF(H$5&gt;=12,Inputs!$D$169,0)</f>
        <v>0</v>
      </c>
      <c r="I110" s="107" t="n">
        <f aca="false">IF(I$5&gt;=12,Inputs!$D$169,0)</f>
        <v>0</v>
      </c>
      <c r="J110" s="107" t="n">
        <f aca="false">IF(J$5&gt;=12,Inputs!$D$169,0)</f>
        <v>0</v>
      </c>
      <c r="K110" s="107" t="n">
        <f aca="false">IF(K$5&gt;=12,Inputs!$D$169,0)</f>
        <v>0</v>
      </c>
      <c r="L110" s="107" t="n">
        <f aca="false">IF(L$5&gt;=12,Inputs!$D$169,0)</f>
        <v>0</v>
      </c>
      <c r="M110" s="107" t="n">
        <f aca="false">IF(M$5&gt;=12,Inputs!$D$169,0)</f>
        <v>0</v>
      </c>
      <c r="N110" s="107" t="n">
        <f aca="false">IF(N$5&gt;=12,Inputs!$D$169,0)</f>
        <v>0</v>
      </c>
      <c r="O110" s="107" t="n">
        <f aca="false">IF(O$5&gt;=12,Inputs!$D$169,0)</f>
        <v>0</v>
      </c>
      <c r="P110" s="107" t="n">
        <f aca="false">IF(P$5&gt;=12,Inputs!$D$169,0)</f>
        <v>0</v>
      </c>
      <c r="Q110" s="107" t="n">
        <f aca="false">IF(Q$5&gt;=12,Inputs!$D$169,0)</f>
        <v>0</v>
      </c>
      <c r="R110" s="107" t="n">
        <f aca="false">IF(R$5&gt;=12,Inputs!$D$169,0)</f>
        <v>0</v>
      </c>
      <c r="S110" s="107" t="n">
        <f aca="false">IF(S$5&gt;=12,Inputs!$D$169,0)</f>
        <v>0</v>
      </c>
      <c r="T110" s="107" t="n">
        <f aca="false">IF(T$5&gt;=12,Inputs!$D$169,0)</f>
        <v>0</v>
      </c>
      <c r="U110" s="107" t="n">
        <f aca="false">IF(U$5&gt;=12,Inputs!$D$169,0)</f>
        <v>0</v>
      </c>
      <c r="V110" s="107" t="n">
        <f aca="false">IF(V$5&gt;=12,Inputs!$D$169,0)</f>
        <v>0</v>
      </c>
      <c r="W110" s="107" t="n">
        <f aca="false">IF(W$5&gt;=12,Inputs!$D$169,0)</f>
        <v>0</v>
      </c>
      <c r="X110" s="107" t="n">
        <f aca="false">IF(X$5&gt;=12,Inputs!$D$169,0)</f>
        <v>0</v>
      </c>
      <c r="Y110" s="107" t="n">
        <f aca="false">IF(Y$5&gt;=12,Inputs!$D$169,0)</f>
        <v>0</v>
      </c>
      <c r="Z110" s="107" t="n">
        <f aca="false">IF(Z$5&gt;=12,Inputs!$D$169,0)</f>
        <v>0</v>
      </c>
      <c r="AA110" s="107" t="n">
        <f aca="false">IF(AA$5&gt;=12,Inputs!$D$169,0)</f>
        <v>0</v>
      </c>
      <c r="AB110" s="107" t="n">
        <f aca="false">IF(AB$5&gt;=12,Inputs!$D$169,0)</f>
        <v>0</v>
      </c>
      <c r="AC110" s="107" t="n">
        <f aca="false">IF(AC$5&gt;=12,Inputs!$D$169,0)</f>
        <v>0</v>
      </c>
      <c r="AD110" s="107" t="n">
        <f aca="false">IF(AD$5&gt;=12,Inputs!$D$169,0)</f>
        <v>0</v>
      </c>
      <c r="AE110" s="107" t="n">
        <f aca="false">IF(AE$5&gt;=12,Inputs!$D$169,0)</f>
        <v>0</v>
      </c>
      <c r="AF110" s="107" t="n">
        <f aca="false">IF(AF$5&gt;=12,Inputs!$D$169,0)</f>
        <v>0</v>
      </c>
      <c r="AG110" s="107" t="n">
        <f aca="false">IF(AG$5&gt;=12,Inputs!$D$169,0)</f>
        <v>0</v>
      </c>
      <c r="AI110" s="106" t="n">
        <f aca="false">INDEX($F110:$AG110,1,MATCH(AI$7,$F$7:$AG$7,1))</f>
        <v>0</v>
      </c>
      <c r="AJ110" s="106" t="n">
        <f aca="false">INDEX($F110:$AG110,1,MATCH(AJ$7,$F$7:$AG$7,1))</f>
        <v>0</v>
      </c>
      <c r="AK110" s="106" t="n">
        <f aca="false">INDEX($F110:$AG110,1,MATCH(AK$7,$F$7:$AG$7,1))</f>
        <v>0</v>
      </c>
      <c r="AL110" s="106" t="n">
        <f aca="false">INDEX($F110:$AG110,1,MATCH(AL$7,$F$7:$AG$7,1))</f>
        <v>0</v>
      </c>
      <c r="AM110" s="106" t="n">
        <f aca="false">INDEX($F110:$AG110,1,MATCH(AM$7,$F$7:$AG$7,1))</f>
        <v>0</v>
      </c>
      <c r="AN110" s="106" t="n">
        <f aca="false">INDEX($F110:$AG110,1,MATCH(AN$7,$F$7:$AG$7,1))</f>
        <v>0</v>
      </c>
      <c r="AO110" s="106" t="n">
        <f aca="false">INDEX($F110:$AG110,1,MATCH(AO$7,$F$7:$AG$7,1))</f>
        <v>0</v>
      </c>
    </row>
    <row r="111" customFormat="false" ht="15" hidden="false" customHeight="false" outlineLevel="0" collapsed="false">
      <c r="A111" s="104" t="s">
        <v>1458</v>
      </c>
      <c r="B111" s="20" t="s">
        <v>575</v>
      </c>
      <c r="C111" s="20" t="s">
        <v>513</v>
      </c>
      <c r="D111" s="20" t="s">
        <v>1444</v>
      </c>
      <c r="F111" s="107" t="n">
        <f aca="false">IF(F$5&gt;=12,Inputs!$C$169,0)</f>
        <v>0</v>
      </c>
      <c r="G111" s="107" t="n">
        <f aca="false">IF(G$5&gt;=12,Inputs!$C$169,0)</f>
        <v>0</v>
      </c>
      <c r="H111" s="107" t="n">
        <f aca="false">IF(H$5&gt;=12,Inputs!$C$169,0)</f>
        <v>0</v>
      </c>
      <c r="I111" s="107" t="n">
        <f aca="false">IF(I$5&gt;=12,Inputs!$C$169,0)</f>
        <v>0</v>
      </c>
      <c r="J111" s="107" t="n">
        <f aca="false">IF(J$5&gt;=12,Inputs!$C$169,0)</f>
        <v>0</v>
      </c>
      <c r="K111" s="107" t="n">
        <f aca="false">IF(K$5&gt;=12,Inputs!$C$169,0)</f>
        <v>0</v>
      </c>
      <c r="L111" s="107" t="n">
        <f aca="false">IF(L$5&gt;=12,Inputs!$C$169,0)</f>
        <v>0</v>
      </c>
      <c r="M111" s="107" t="n">
        <f aca="false">IF(M$5&gt;=12,Inputs!$C$169,0)</f>
        <v>0</v>
      </c>
      <c r="N111" s="107" t="n">
        <f aca="false">IF(N$5&gt;=12,Inputs!$C$169,0)</f>
        <v>0</v>
      </c>
      <c r="O111" s="107" t="n">
        <f aca="false">IF(O$5&gt;=12,Inputs!$C$169,0)</f>
        <v>0</v>
      </c>
      <c r="P111" s="107" t="n">
        <f aca="false">IF(P$5&gt;=12,Inputs!$C$169,0)</f>
        <v>0</v>
      </c>
      <c r="Q111" s="107" t="n">
        <f aca="false">IF(Q$5&gt;=12,Inputs!$C$169,0)</f>
        <v>0</v>
      </c>
      <c r="R111" s="107" t="n">
        <f aca="false">IF(R$5&gt;=12,Inputs!$C$169,0)</f>
        <v>0</v>
      </c>
      <c r="S111" s="107" t="n">
        <f aca="false">IF(S$5&gt;=12,Inputs!$C$169,0)</f>
        <v>0</v>
      </c>
      <c r="T111" s="107" t="n">
        <f aca="false">IF(T$5&gt;=12,Inputs!$C$169,0)</f>
        <v>0</v>
      </c>
      <c r="U111" s="107" t="n">
        <f aca="false">IF(U$5&gt;=12,Inputs!$C$169,0)</f>
        <v>0</v>
      </c>
      <c r="V111" s="107" t="n">
        <f aca="false">IF(V$5&gt;=12,Inputs!$C$169,0)</f>
        <v>0</v>
      </c>
      <c r="W111" s="107" t="n">
        <f aca="false">IF(W$5&gt;=12,Inputs!$C$169,0)</f>
        <v>0</v>
      </c>
      <c r="X111" s="107" t="n">
        <f aca="false">IF(X$5&gt;=12,Inputs!$C$169,0)</f>
        <v>0</v>
      </c>
      <c r="Y111" s="107" t="n">
        <f aca="false">IF(Y$5&gt;=12,Inputs!$C$169,0)</f>
        <v>0</v>
      </c>
      <c r="Z111" s="107" t="n">
        <f aca="false">IF(Z$5&gt;=12,Inputs!$C$169,0)</f>
        <v>0</v>
      </c>
      <c r="AA111" s="107" t="n">
        <f aca="false">IF(AA$5&gt;=12,Inputs!$C$169,0)</f>
        <v>0</v>
      </c>
      <c r="AB111" s="107" t="n">
        <f aca="false">IF(AB$5&gt;=12,Inputs!$C$169,0)</f>
        <v>0</v>
      </c>
      <c r="AC111" s="107" t="n">
        <f aca="false">IF(AC$5&gt;=12,Inputs!$C$169,0)</f>
        <v>0</v>
      </c>
      <c r="AD111" s="107" t="n">
        <f aca="false">IF(AD$5&gt;=12,Inputs!$C$169,0)</f>
        <v>0</v>
      </c>
      <c r="AE111" s="107" t="n">
        <f aca="false">IF(AE$5&gt;=12,Inputs!$C$169,0)</f>
        <v>0</v>
      </c>
      <c r="AF111" s="107" t="n">
        <f aca="false">IF(AF$5&gt;=12,Inputs!$C$169,0)</f>
        <v>0</v>
      </c>
      <c r="AG111" s="107" t="n">
        <f aca="false">IF(AG$5&gt;=12,Inputs!$C$169,0)</f>
        <v>0</v>
      </c>
      <c r="AI111" s="106" t="n">
        <f aca="false">INDEX($F111:$AG111,1,MATCH(AI$7,$F$7:$AG$7,1))</f>
        <v>0</v>
      </c>
      <c r="AJ111" s="106" t="n">
        <f aca="false">INDEX($F111:$AG111,1,MATCH(AJ$7,$F$7:$AG$7,1))</f>
        <v>0</v>
      </c>
      <c r="AK111" s="106" t="n">
        <f aca="false">INDEX($F111:$AG111,1,MATCH(AK$7,$F$7:$AG$7,1))</f>
        <v>0</v>
      </c>
      <c r="AL111" s="106" t="n">
        <f aca="false">INDEX($F111:$AG111,1,MATCH(AL$7,$F$7:$AG$7,1))</f>
        <v>0</v>
      </c>
      <c r="AM111" s="106" t="n">
        <f aca="false">INDEX($F111:$AG111,1,MATCH(AM$7,$F$7:$AG$7,1))</f>
        <v>0</v>
      </c>
      <c r="AN111" s="106" t="n">
        <f aca="false">INDEX($F111:$AG111,1,MATCH(AN$7,$F$7:$AG$7,1))</f>
        <v>0</v>
      </c>
      <c r="AO111" s="106" t="n">
        <f aca="false">INDEX($F111:$AG111,1,MATCH(AO$7,$F$7:$AG$7,1))</f>
        <v>0</v>
      </c>
    </row>
    <row r="112" customFormat="false" ht="15" hidden="false" customHeight="false" outlineLevel="0" collapsed="false">
      <c r="A112" s="104" t="s">
        <v>1459</v>
      </c>
      <c r="B112" s="20" t="s">
        <v>575</v>
      </c>
      <c r="C112" s="20" t="s">
        <v>513</v>
      </c>
      <c r="D112" s="20" t="s">
        <v>1460</v>
      </c>
      <c r="F112" s="63" t="n">
        <v>25</v>
      </c>
      <c r="G112" s="63" t="n">
        <v>25</v>
      </c>
      <c r="H112" s="63" t="n">
        <v>25</v>
      </c>
      <c r="I112" s="63" t="n">
        <v>30</v>
      </c>
      <c r="J112" s="63" t="n">
        <v>40</v>
      </c>
      <c r="K112" s="63" t="n">
        <v>45</v>
      </c>
      <c r="L112" s="63" t="n">
        <v>62.5</v>
      </c>
      <c r="M112" s="63" t="n">
        <v>147.7</v>
      </c>
      <c r="N112" s="63" t="n">
        <v>171.5</v>
      </c>
      <c r="O112" s="63" t="n">
        <v>173</v>
      </c>
      <c r="P112" s="63" t="n">
        <v>207.5</v>
      </c>
      <c r="Q112" s="63" t="n">
        <v>304.5</v>
      </c>
      <c r="R112" s="63" t="n">
        <v>444.7</v>
      </c>
      <c r="S112" s="63" t="n">
        <v>591.7</v>
      </c>
      <c r="T112" s="63" t="n">
        <v>751.5</v>
      </c>
      <c r="U112" s="63" t="n">
        <v>1069</v>
      </c>
      <c r="V112" s="63" t="n">
        <v>1181.5</v>
      </c>
      <c r="W112" s="63" t="n">
        <v>1376.5</v>
      </c>
      <c r="X112" s="63" t="n">
        <v>1389</v>
      </c>
      <c r="Y112" s="63" t="n">
        <v>1799</v>
      </c>
      <c r="Z112" s="63" t="n">
        <v>1799</v>
      </c>
      <c r="AA112" s="63" t="n">
        <v>2219</v>
      </c>
      <c r="AB112" s="63" t="n">
        <v>2219</v>
      </c>
      <c r="AC112" s="63" t="n">
        <v>2804</v>
      </c>
      <c r="AD112" s="63" t="n">
        <v>2804</v>
      </c>
      <c r="AE112" s="63" t="n">
        <v>2804</v>
      </c>
      <c r="AF112" s="63" t="n">
        <v>2804</v>
      </c>
      <c r="AG112" s="63" t="n">
        <v>3379</v>
      </c>
      <c r="AI112" s="29" t="n">
        <f aca="false">INDEX($F112:$AG112,1,MATCH(AI$7,$F$7:$AG$7,1))</f>
        <v>30</v>
      </c>
      <c r="AJ112" s="29" t="n">
        <f aca="false">INDEX($F112:$AG112,1,MATCH(AJ$7,$F$7:$AG$7,1))</f>
        <v>147.7</v>
      </c>
      <c r="AK112" s="29" t="n">
        <f aca="false">INDEX($F112:$AG112,1,MATCH(AK$7,$F$7:$AG$7,1))</f>
        <v>304.5</v>
      </c>
      <c r="AL112" s="29" t="n">
        <f aca="false">INDEX($F112:$AG112,1,MATCH(AL$7,$F$7:$AG$7,1))</f>
        <v>1069</v>
      </c>
      <c r="AM112" s="29" t="n">
        <f aca="false">INDEX($F112:$AG112,1,MATCH(AM$7,$F$7:$AG$7,1))</f>
        <v>1799</v>
      </c>
      <c r="AN112" s="29" t="n">
        <f aca="false">INDEX($F112:$AG112,1,MATCH(AN$7,$F$7:$AG$7,1))</f>
        <v>2804</v>
      </c>
      <c r="AO112" s="29" t="n">
        <f aca="false">INDEX($F112:$AG112,1,MATCH(AO$7,$F$7:$AG$7,1))</f>
        <v>3379</v>
      </c>
    </row>
    <row r="113" customFormat="false" ht="15" hidden="false" customHeight="false" outlineLevel="0" collapsed="false">
      <c r="A113" s="104" t="s">
        <v>1461</v>
      </c>
      <c r="B113" s="20" t="s">
        <v>575</v>
      </c>
      <c r="C113" s="20" t="s">
        <v>495</v>
      </c>
      <c r="D113" s="20"/>
      <c r="F113" s="108" t="n">
        <f aca="false">N(F41)+N(F44)+N(F47)+N(F50)+N(F53)+N(F56)+N(F59)+N(F62)+N(F65)+N(F68)+N(F71)+N(F74)+N(F77)+N(F80)+N(F83)+N(F86)+N(F89)+N(F92)+N(F95)+N(F104)+N(F107)</f>
        <v>25</v>
      </c>
      <c r="G113" s="108" t="n">
        <f aca="false">N(G41)+N(G44)+N(G47)+N(G50)+N(G53)+N(G56)+N(G59)+N(G62)+N(G65)+N(G68)+N(G71)+N(G74)+N(G77)+N(G80)+N(G83)+N(G86)+N(G89)+N(G92)+N(G95)+N(G104)+N(G107)</f>
        <v>25</v>
      </c>
      <c r="H113" s="108" t="n">
        <f aca="false">N(H41)+N(H44)+N(H47)+N(H50)+N(H53)+N(H56)+N(H59)+N(H62)+N(H65)+N(H68)+N(H71)+N(H74)+N(H77)+N(H80)+N(H83)+N(H86)+N(H89)+N(H92)+N(H95)+N(H104)+N(H107)</f>
        <v>25</v>
      </c>
      <c r="I113" s="108" t="n">
        <f aca="false">N(I41)+N(I44)+N(I47)+N(I50)+N(I53)+N(I56)+N(I59)+N(I62)+N(I65)+N(I68)+N(I71)+N(I74)+N(I77)+N(I80)+N(I83)+N(I86)+N(I89)+N(I92)+N(I95)+N(I104)+N(I107)</f>
        <v>30</v>
      </c>
      <c r="J113" s="108" t="n">
        <f aca="false">N(J41)+N(J44)+N(J47)+N(J50)+N(J53)+N(J56)+N(J59)+N(J62)+N(J65)+N(J68)+N(J71)+N(J74)+N(J77)+N(J80)+N(J83)+N(J86)+N(J89)+N(J92)+N(J95)+N(J104)+N(J107)</f>
        <v>40</v>
      </c>
      <c r="K113" s="108" t="n">
        <f aca="false">N(K41)+N(K44)+N(K47)+N(K50)+N(K53)+N(K56)+N(K59)+N(K62)+N(K65)+N(K68)+N(K71)+N(K74)+N(K77)+N(K80)+N(K83)+N(K86)+N(K89)+N(K92)+N(K95)+N(K104)+N(K107)</f>
        <v>45</v>
      </c>
      <c r="L113" s="108" t="n">
        <f aca="false">N(L41)+N(L44)+N(L47)+N(L50)+N(L53)+N(L56)+N(L59)+N(L62)+N(L65)+N(L68)+N(L71)+N(L74)+N(L77)+N(L80)+N(L83)+N(L86)+N(L89)+N(L92)+N(L95)+N(L104)+N(L107)</f>
        <v>62.5</v>
      </c>
      <c r="M113" s="108" t="n">
        <f aca="false">N(M41)+N(M44)+N(M47)+N(M50)+N(M53)+N(M56)+N(M59)+N(M62)+N(M65)+N(M68)+N(M71)+N(M74)+N(M77)+N(M80)+N(M83)+N(M86)+N(M89)+N(M92)+N(M95)+N(M104)+N(M107)</f>
        <v>147.7</v>
      </c>
      <c r="N113" s="108" t="n">
        <f aca="false">N(N41)+N(N44)+N(N47)+N(N50)+N(N53)+N(N56)+N(N59)+N(N62)+N(N65)+N(N68)+N(N71)+N(N74)+N(N77)+N(N80)+N(N83)+N(N86)+N(N89)+N(N92)+N(N95)+N(N104)+N(N107)</f>
        <v>171.5</v>
      </c>
      <c r="O113" s="108" t="n">
        <f aca="false">N(O41)+N(O44)+N(O47)+N(O50)+N(O53)+N(O56)+N(O59)+N(O62)+N(O65)+N(O68)+N(O71)+N(O74)+N(O77)+N(O80)+N(O83)+N(O86)+N(O89)+N(O92)+N(O95)+N(O104)+N(O107)</f>
        <v>173</v>
      </c>
      <c r="P113" s="29" t="n">
        <f aca="false">N(P41)+N(P44)+N(P47)+N(P50)+N(P53)+N(P56)+N(P59)+N(P62)+N(P65)+N(P68)+N(P71)+N(P74)+N(P77)+N(P80)+N(P83)+N(P86)+N(P89)+N(P92)+N(P95)+N(P104)+N(P107)</f>
        <v>207.5</v>
      </c>
      <c r="Q113" s="29" t="n">
        <f aca="false">N(Q41)+N(Q44)+N(Q47)+N(Q50)+N(Q53)+N(Q56)+N(Q59)+N(Q62)+N(Q65)+N(Q68)+N(Q71)+N(Q74)+N(Q77)+N(Q80)+N(Q83)+N(Q86)+N(Q89)+N(Q92)+N(Q95)+N(Q104)+N(Q107)</f>
        <v>304.5</v>
      </c>
      <c r="R113" s="29" t="n">
        <f aca="false">N(R41)+N(R44)+N(R47)+N(R50)+N(R53)+N(R56)+N(R59)+N(R62)+N(R65)+N(R68)+N(R71)+N(R74)+N(R77)+N(R80)+N(R83)+N(R86)+N(R89)+N(R92)+N(R95)+N(R104)+N(R107)</f>
        <v>444.7</v>
      </c>
      <c r="S113" s="29" t="n">
        <f aca="false">N(S41)+N(S44)+N(S47)+N(S50)+N(S53)+N(S56)+N(S59)+N(S62)+N(S65)+N(S68)+N(S71)+N(S74)+N(S77)+N(S80)+N(S83)+N(S86)+N(S89)+N(S92)+N(S95)+N(S104)+N(S107)</f>
        <v>591.7</v>
      </c>
      <c r="T113" s="29" t="n">
        <f aca="false">N(T41)+N(T44)+N(T47)+N(T50)+N(T53)+N(T56)+N(T59)+N(T62)+N(T65)+N(T68)+N(T71)+N(T74)+N(T77)+N(T80)+N(T83)+N(T86)+N(T89)+N(T92)+N(T95)+N(T104)+N(T107)</f>
        <v>751.5</v>
      </c>
      <c r="U113" s="29" t="n">
        <f aca="false">N(U41)+N(U44)+N(U47)+N(U50)+N(U53)+N(U56)+N(U59)+N(U62)+N(U65)+N(U68)+N(U71)+N(U74)+N(U77)+N(U80)+N(U83)+N(U86)+N(U89)+N(U92)+N(U95)+N(U104)+N(U107)</f>
        <v>1069</v>
      </c>
      <c r="V113" s="29" t="n">
        <f aca="false">N(V41)+N(V44)+N(V47)+N(V50)+N(V53)+N(V56)+N(V59)+N(V62)+N(V65)+N(V68)+N(V71)+N(V74)+N(V77)+N(V80)+N(V83)+N(V86)+N(V89)+N(V92)+N(V95)+N(V104)+N(V107)</f>
        <v>1181.5</v>
      </c>
      <c r="W113" s="29" t="n">
        <f aca="false">N(W41)+N(W44)+N(W47)+N(W50)+N(W53)+N(W56)+N(W59)+N(W62)+N(W65)+N(W68)+N(W71)+N(W74)+N(W77)+N(W80)+N(W83)+N(W86)+N(W89)+N(W92)+N(W95)+N(W104)+N(W107)</f>
        <v>1376.5</v>
      </c>
      <c r="X113" s="29" t="n">
        <f aca="false">N(X41)+N(X44)+N(X47)+N(X50)+N(X53)+N(X56)+N(X59)+N(X62)+N(X65)+N(X68)+N(X71)+N(X74)+N(X77)+N(X80)+N(X83)+N(X86)+N(X89)+N(X92)+N(X95)+N(X104)+N(X107)</f>
        <v>1389</v>
      </c>
      <c r="Y113" s="29" t="n">
        <f aca="false">N(Y41)+N(Y44)+N(Y47)+N(Y50)+N(Y53)+N(Y56)+N(Y59)+N(Y62)+N(Y65)+N(Y68)+N(Y71)+N(Y74)+N(Y77)+N(Y80)+N(Y83)+N(Y86)+N(Y89)+N(Y92)+N(Y95)+N(Y104)+N(Y107)</f>
        <v>1799</v>
      </c>
      <c r="Z113" s="29" t="n">
        <f aca="false">N(Z41)+N(Z44)+N(Z47)+N(Z50)+N(Z53)+N(Z56)+N(Z59)+N(Z62)+N(Z65)+N(Z68)+N(Z71)+N(Z74)+N(Z77)+N(Z80)+N(Z83)+N(Z86)+N(Z89)+N(Z92)+N(Z95)+N(Z104)+N(Z107)</f>
        <v>1799</v>
      </c>
      <c r="AA113" s="29" t="n">
        <f aca="false">N(AA41)+N(AA44)+N(AA47)+N(AA50)+N(AA53)+N(AA56)+N(AA59)+N(AA62)+N(AA65)+N(AA68)+N(AA71)+N(AA74)+N(AA77)+N(AA80)+N(AA83)+N(AA86)+N(AA89)+N(AA92)+N(AA95)+N(AA104)+N(AA107)</f>
        <v>2219</v>
      </c>
      <c r="AB113" s="29" t="n">
        <f aca="false">N(AB41)+N(AB44)+N(AB47)+N(AB50)+N(AB53)+N(AB56)+N(AB59)+N(AB62)+N(AB65)+N(AB68)+N(AB71)+N(AB74)+N(AB77)+N(AB80)+N(AB83)+N(AB86)+N(AB89)+N(AB92)+N(AB95)+N(AB104)+N(AB107)</f>
        <v>2219</v>
      </c>
      <c r="AC113" s="29" t="n">
        <f aca="false">N(AC41)+N(AC44)+N(AC47)+N(AC50)+N(AC53)+N(AC56)+N(AC59)+N(AC62)+N(AC65)+N(AC68)+N(AC71)+N(AC74)+N(AC77)+N(AC80)+N(AC83)+N(AC86)+N(AC89)+N(AC92)+N(AC95)+N(AC104)+N(AC107)</f>
        <v>2804</v>
      </c>
      <c r="AD113" s="29" t="n">
        <f aca="false">N(AD41)+N(AD44)+N(AD47)+N(AD50)+N(AD53)+N(AD56)+N(AD59)+N(AD62)+N(AD65)+N(AD68)+N(AD71)+N(AD74)+N(AD77)+N(AD80)+N(AD83)+N(AD86)+N(AD89)+N(AD92)+N(AD95)+N(AD104)+N(AD107)</f>
        <v>2804</v>
      </c>
      <c r="AE113" s="29" t="n">
        <f aca="false">N(AE41)+N(AE44)+N(AE47)+N(AE50)+N(AE53)+N(AE56)+N(AE59)+N(AE62)+N(AE65)+N(AE68)+N(AE71)+N(AE74)+N(AE77)+N(AE80)+N(AE83)+N(AE86)+N(AE89)+N(AE92)+N(AE95)+N(AE104)+N(AE107)</f>
        <v>2804</v>
      </c>
      <c r="AF113" s="29" t="n">
        <f aca="false">N(AF41)+N(AF44)+N(AF47)+N(AF50)+N(AF53)+N(AF56)+N(AF59)+N(AF62)+N(AF65)+N(AF68)+N(AF71)+N(AF74)+N(AF77)+N(AF80)+N(AF83)+N(AF86)+N(AF89)+N(AF92)+N(AF95)+N(AF104)+N(AF107)</f>
        <v>2804</v>
      </c>
      <c r="AG113" s="29" t="n">
        <f aca="false">N(AG41)+N(AG44)+N(AG47)+N(AG50)+N(AG53)+N(AG56)+N(AG59)+N(AG62)+N(AG65)+N(AG68)+N(AG71)+N(AG74)+N(AG77)+N(AG80)+N(AG83)+N(AG86)+N(AG89)+N(AG92)+N(AG95)+N(AG104)+N(AG107)</f>
        <v>3379</v>
      </c>
      <c r="AI113" s="29" t="n">
        <f aca="false">INDEX($F113:$AG113,1,MATCH(AI$7,$F$7:$AG$7,1))</f>
        <v>30</v>
      </c>
      <c r="AJ113" s="29" t="n">
        <f aca="false">INDEX($F113:$AG113,1,MATCH(AJ$7,$F$7:$AG$7,1))</f>
        <v>147.7</v>
      </c>
      <c r="AK113" s="29" t="n">
        <f aca="false">INDEX($F113:$AG113,1,MATCH(AK$7,$F$7:$AG$7,1))</f>
        <v>304.5</v>
      </c>
      <c r="AL113" s="29" t="n">
        <f aca="false">INDEX($F113:$AG113,1,MATCH(AL$7,$F$7:$AG$7,1))</f>
        <v>1069</v>
      </c>
      <c r="AM113" s="29" t="n">
        <f aca="false">INDEX($F113:$AG113,1,MATCH(AM$7,$F$7:$AG$7,1))</f>
        <v>1799</v>
      </c>
      <c r="AN113" s="29" t="n">
        <f aca="false">INDEX($F113:$AG113,1,MATCH(AN$7,$F$7:$AG$7,1))</f>
        <v>2804</v>
      </c>
      <c r="AO113" s="29" t="n">
        <f aca="false">INDEX($F113:$AG113,1,MATCH(AO$7,$F$7:$AG$7,1))</f>
        <v>3379</v>
      </c>
    </row>
    <row r="114" customFormat="false" ht="15" hidden="false" customHeight="false" outlineLevel="0" collapsed="false">
      <c r="A114" s="104" t="s">
        <v>1462</v>
      </c>
      <c r="B114" s="20" t="s">
        <v>575</v>
      </c>
      <c r="C114" s="20" t="s">
        <v>495</v>
      </c>
      <c r="D114" s="20"/>
      <c r="F114" s="109" t="n">
        <f aca="false">F113-F112</f>
        <v>0</v>
      </c>
      <c r="G114" s="109" t="n">
        <f aca="false">G113-G112</f>
        <v>0</v>
      </c>
      <c r="H114" s="109" t="n">
        <f aca="false">H113-H112</f>
        <v>0</v>
      </c>
      <c r="I114" s="109" t="n">
        <f aca="false">I113-I112</f>
        <v>0</v>
      </c>
      <c r="J114" s="109" t="n">
        <f aca="false">J113-J112</f>
        <v>0</v>
      </c>
      <c r="K114" s="109" t="n">
        <f aca="false">K113-K112</f>
        <v>0</v>
      </c>
      <c r="L114" s="109" t="n">
        <f aca="false">L113-L112</f>
        <v>0</v>
      </c>
      <c r="M114" s="109" t="n">
        <f aca="false">M113-M112</f>
        <v>0</v>
      </c>
      <c r="N114" s="109" t="n">
        <f aca="false">N113-N112</f>
        <v>0</v>
      </c>
      <c r="O114" s="109" t="n">
        <f aca="false">O113-O112</f>
        <v>0</v>
      </c>
      <c r="P114" s="106" t="n">
        <f aca="false">P113-P112</f>
        <v>0</v>
      </c>
      <c r="Q114" s="106" t="n">
        <f aca="false">Q113-Q112</f>
        <v>0</v>
      </c>
      <c r="R114" s="106" t="n">
        <f aca="false">R113-R112</f>
        <v>0</v>
      </c>
      <c r="S114" s="106" t="n">
        <f aca="false">S113-S112</f>
        <v>0</v>
      </c>
      <c r="T114" s="106" t="n">
        <f aca="false">T113-T112</f>
        <v>0</v>
      </c>
      <c r="U114" s="106" t="n">
        <f aca="false">U113-U112</f>
        <v>0</v>
      </c>
      <c r="V114" s="106" t="n">
        <f aca="false">V113-V112</f>
        <v>0</v>
      </c>
      <c r="W114" s="106" t="n">
        <f aca="false">W113-W112</f>
        <v>0</v>
      </c>
      <c r="X114" s="106" t="n">
        <f aca="false">X113-X112</f>
        <v>0</v>
      </c>
      <c r="Y114" s="106" t="n">
        <f aca="false">Y113-Y112</f>
        <v>0</v>
      </c>
      <c r="Z114" s="106" t="n">
        <f aca="false">Z113-Z112</f>
        <v>0</v>
      </c>
      <c r="AA114" s="106" t="n">
        <f aca="false">AA113-AA112</f>
        <v>0</v>
      </c>
      <c r="AB114" s="106" t="n">
        <f aca="false">AB113-AB112</f>
        <v>0</v>
      </c>
      <c r="AC114" s="106" t="n">
        <f aca="false">AC113-AC112</f>
        <v>0</v>
      </c>
      <c r="AD114" s="106" t="n">
        <f aca="false">AD113-AD112</f>
        <v>0</v>
      </c>
      <c r="AE114" s="106" t="n">
        <f aca="false">AE113-AE112</f>
        <v>0</v>
      </c>
      <c r="AF114" s="106" t="n">
        <f aca="false">AF113-AF112</f>
        <v>0</v>
      </c>
      <c r="AG114" s="106" t="n">
        <f aca="false">AG113-AG112</f>
        <v>0</v>
      </c>
      <c r="AI114" s="106" t="n">
        <f aca="false">INDEX($F114:$AG114,1,MATCH(AI$7,$F$7:$AG$7,1))</f>
        <v>0</v>
      </c>
      <c r="AJ114" s="106" t="n">
        <f aca="false">INDEX($F114:$AG114,1,MATCH(AJ$7,$F$7:$AG$7,1))</f>
        <v>0</v>
      </c>
      <c r="AK114" s="106" t="n">
        <f aca="false">INDEX($F114:$AG114,1,MATCH(AK$7,$F$7:$AG$7,1))</f>
        <v>0</v>
      </c>
      <c r="AL114" s="106" t="n">
        <f aca="false">INDEX($F114:$AG114,1,MATCH(AL$7,$F$7:$AG$7,1))</f>
        <v>0</v>
      </c>
      <c r="AM114" s="106" t="n">
        <f aca="false">INDEX($F114:$AG114,1,MATCH(AM$7,$F$7:$AG$7,1))</f>
        <v>0</v>
      </c>
      <c r="AN114" s="106" t="n">
        <f aca="false">INDEX($F114:$AG114,1,MATCH(AN$7,$F$7:$AG$7,1))</f>
        <v>0</v>
      </c>
      <c r="AO114" s="106" t="n">
        <f aca="false">INDEX($F114:$AG114,1,MATCH(AO$7,$F$7:$AG$7,1))</f>
        <v>0</v>
      </c>
    </row>
    <row r="116" customFormat="false" ht="15" hidden="false" customHeight="false" outlineLevel="0" collapsed="false">
      <c r="A116" s="53" t="s">
        <v>1463</v>
      </c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</row>
    <row r="117" customFormat="false" ht="15" hidden="false" customHeight="false" outlineLevel="0" collapsed="false">
      <c r="A117" s="104" t="s">
        <v>1336</v>
      </c>
      <c r="B117" s="20" t="s">
        <v>575</v>
      </c>
      <c r="C117" s="20" t="s">
        <v>513</v>
      </c>
      <c r="D117" s="20"/>
      <c r="J117" s="105" t="n">
        <v>300</v>
      </c>
      <c r="K117" s="105" t="n">
        <v>300</v>
      </c>
      <c r="L117" s="105" t="n">
        <v>300</v>
      </c>
      <c r="M117" s="105" t="n">
        <v>300</v>
      </c>
      <c r="N117" s="105" t="n">
        <v>300</v>
      </c>
      <c r="O117" s="105" t="n">
        <v>300</v>
      </c>
      <c r="P117" s="105" t="n">
        <v>300</v>
      </c>
      <c r="Q117" s="105" t="n">
        <v>300</v>
      </c>
      <c r="R117" s="105" t="n">
        <v>300</v>
      </c>
      <c r="S117" s="105" t="n">
        <v>300</v>
      </c>
      <c r="T117" s="105" t="n">
        <v>300</v>
      </c>
      <c r="U117" s="105" t="n">
        <v>300</v>
      </c>
      <c r="V117" s="105" t="n">
        <v>300</v>
      </c>
      <c r="W117" s="105" t="n">
        <v>300</v>
      </c>
      <c r="X117" s="105" t="n">
        <v>300</v>
      </c>
      <c r="Y117" s="105" t="n">
        <v>300</v>
      </c>
      <c r="Z117" s="105" t="n">
        <v>300</v>
      </c>
      <c r="AA117" s="105" t="n">
        <v>300</v>
      </c>
      <c r="AB117" s="105" t="n">
        <v>300</v>
      </c>
      <c r="AC117" s="105" t="n">
        <v>300</v>
      </c>
      <c r="AD117" s="105" t="n">
        <v>300</v>
      </c>
      <c r="AE117" s="105" t="n">
        <v>300</v>
      </c>
      <c r="AF117" s="105" t="n">
        <v>300</v>
      </c>
      <c r="AG117" s="105" t="n">
        <v>300</v>
      </c>
      <c r="AI117" s="106" t="n">
        <f aca="false">INDEX($F117:$AG117,1,MATCH(AI$7,$F$7:$AG$7,1))</f>
        <v>0</v>
      </c>
      <c r="AJ117" s="106" t="n">
        <f aca="false">INDEX($F117:$AG117,1,MATCH(AJ$7,$F$7:$AG$7,1))</f>
        <v>300</v>
      </c>
      <c r="AK117" s="106" t="n">
        <f aca="false">INDEX($F117:$AG117,1,MATCH(AK$7,$F$7:$AG$7,1))</f>
        <v>300</v>
      </c>
      <c r="AL117" s="106" t="n">
        <f aca="false">INDEX($F117:$AG117,1,MATCH(AL$7,$F$7:$AG$7,1))</f>
        <v>300</v>
      </c>
      <c r="AM117" s="106" t="n">
        <f aca="false">INDEX($F117:$AG117,1,MATCH(AM$7,$F$7:$AG$7,1))</f>
        <v>300</v>
      </c>
      <c r="AN117" s="106" t="n">
        <f aca="false">INDEX($F117:$AG117,1,MATCH(AN$7,$F$7:$AG$7,1))</f>
        <v>300</v>
      </c>
      <c r="AO117" s="106" t="n">
        <f aca="false">INDEX($F117:$AG117,1,MATCH(AO$7,$F$7:$AG$7,1))</f>
        <v>300</v>
      </c>
    </row>
    <row r="118" customFormat="false" ht="15" hidden="false" customHeight="false" outlineLevel="0" collapsed="false">
      <c r="A118" s="104" t="s">
        <v>1343</v>
      </c>
      <c r="B118" s="20" t="s">
        <v>575</v>
      </c>
      <c r="C118" s="20" t="s">
        <v>513</v>
      </c>
      <c r="D118" s="20"/>
      <c r="M118" s="105" t="n">
        <v>1200</v>
      </c>
      <c r="N118" s="105" t="n">
        <v>1200</v>
      </c>
      <c r="O118" s="105" t="n">
        <v>1200</v>
      </c>
      <c r="P118" s="105" t="n">
        <v>1200</v>
      </c>
      <c r="Q118" s="105" t="n">
        <v>1200</v>
      </c>
      <c r="R118" s="105" t="n">
        <v>1200</v>
      </c>
      <c r="S118" s="105" t="n">
        <v>1200</v>
      </c>
      <c r="T118" s="105" t="n">
        <v>1200</v>
      </c>
      <c r="U118" s="105" t="n">
        <v>1200</v>
      </c>
      <c r="V118" s="105" t="n">
        <v>1200</v>
      </c>
      <c r="W118" s="105" t="n">
        <v>1200</v>
      </c>
      <c r="X118" s="105" t="n">
        <v>1200</v>
      </c>
      <c r="Y118" s="105" t="n">
        <v>1200</v>
      </c>
      <c r="Z118" s="105" t="n">
        <v>1200</v>
      </c>
      <c r="AA118" s="105" t="n">
        <v>1200</v>
      </c>
      <c r="AB118" s="105" t="n">
        <v>1200</v>
      </c>
      <c r="AC118" s="105" t="n">
        <v>1200</v>
      </c>
      <c r="AD118" s="105" t="n">
        <v>1200</v>
      </c>
      <c r="AE118" s="105" t="n">
        <v>1200</v>
      </c>
      <c r="AF118" s="105" t="n">
        <v>1200</v>
      </c>
      <c r="AG118" s="105" t="n">
        <v>1200</v>
      </c>
      <c r="AI118" s="106" t="n">
        <f aca="false">INDEX($F118:$AG118,1,MATCH(AI$7,$F$7:$AG$7,1))</f>
        <v>0</v>
      </c>
      <c r="AJ118" s="106" t="n">
        <f aca="false">INDEX($F118:$AG118,1,MATCH(AJ$7,$F$7:$AG$7,1))</f>
        <v>1200</v>
      </c>
      <c r="AK118" s="106" t="n">
        <f aca="false">INDEX($F118:$AG118,1,MATCH(AK$7,$F$7:$AG$7,1))</f>
        <v>1200</v>
      </c>
      <c r="AL118" s="106" t="n">
        <f aca="false">INDEX($F118:$AG118,1,MATCH(AL$7,$F$7:$AG$7,1))</f>
        <v>1200</v>
      </c>
      <c r="AM118" s="106" t="n">
        <f aca="false">INDEX($F118:$AG118,1,MATCH(AM$7,$F$7:$AG$7,1))</f>
        <v>1200</v>
      </c>
      <c r="AN118" s="106" t="n">
        <f aca="false">INDEX($F118:$AG118,1,MATCH(AN$7,$F$7:$AG$7,1))</f>
        <v>1200</v>
      </c>
      <c r="AO118" s="106" t="n">
        <f aca="false">INDEX($F118:$AG118,1,MATCH(AO$7,$F$7:$AG$7,1))</f>
        <v>1200</v>
      </c>
    </row>
    <row r="119" customFormat="false" ht="15" hidden="false" customHeight="false" outlineLevel="0" collapsed="false">
      <c r="A119" s="104" t="s">
        <v>1349</v>
      </c>
      <c r="B119" s="20" t="s">
        <v>575</v>
      </c>
      <c r="C119" s="20" t="s">
        <v>513</v>
      </c>
      <c r="D119" s="20"/>
      <c r="O119" s="105" t="n">
        <v>1200</v>
      </c>
      <c r="P119" s="105" t="n">
        <v>1200</v>
      </c>
      <c r="Q119" s="105" t="n">
        <v>1200</v>
      </c>
      <c r="R119" s="105" t="n">
        <v>1200</v>
      </c>
      <c r="S119" s="105" t="n">
        <v>1200</v>
      </c>
      <c r="T119" s="105" t="n">
        <v>1200</v>
      </c>
      <c r="U119" s="105" t="n">
        <v>1200</v>
      </c>
      <c r="V119" s="105" t="n">
        <v>1200</v>
      </c>
      <c r="W119" s="105" t="n">
        <v>1200</v>
      </c>
      <c r="X119" s="105" t="n">
        <v>1200</v>
      </c>
      <c r="Y119" s="105" t="n">
        <v>1200</v>
      </c>
      <c r="Z119" s="105" t="n">
        <v>1200</v>
      </c>
      <c r="AA119" s="105" t="n">
        <v>1200</v>
      </c>
      <c r="AB119" s="105" t="n">
        <v>1200</v>
      </c>
      <c r="AC119" s="105" t="n">
        <v>1200</v>
      </c>
      <c r="AD119" s="105" t="n">
        <v>1200</v>
      </c>
      <c r="AE119" s="105" t="n">
        <v>1200</v>
      </c>
      <c r="AF119" s="105" t="n">
        <v>1200</v>
      </c>
      <c r="AG119" s="105" t="n">
        <v>1200</v>
      </c>
      <c r="AI119" s="106" t="n">
        <f aca="false">INDEX($F119:$AG119,1,MATCH(AI$7,$F$7:$AG$7,1))</f>
        <v>0</v>
      </c>
      <c r="AJ119" s="106" t="n">
        <f aca="false">INDEX($F119:$AG119,1,MATCH(AJ$7,$F$7:$AG$7,1))</f>
        <v>0</v>
      </c>
      <c r="AK119" s="106" t="n">
        <f aca="false">INDEX($F119:$AG119,1,MATCH(AK$7,$F$7:$AG$7,1))</f>
        <v>1200</v>
      </c>
      <c r="AL119" s="106" t="n">
        <f aca="false">INDEX($F119:$AG119,1,MATCH(AL$7,$F$7:$AG$7,1))</f>
        <v>1200</v>
      </c>
      <c r="AM119" s="106" t="n">
        <f aca="false">INDEX($F119:$AG119,1,MATCH(AM$7,$F$7:$AG$7,1))</f>
        <v>1200</v>
      </c>
      <c r="AN119" s="106" t="n">
        <f aca="false">INDEX($F119:$AG119,1,MATCH(AN$7,$F$7:$AG$7,1))</f>
        <v>1200</v>
      </c>
      <c r="AO119" s="106" t="n">
        <f aca="false">INDEX($F119:$AG119,1,MATCH(AO$7,$F$7:$AG$7,1))</f>
        <v>1200</v>
      </c>
    </row>
    <row r="120" customFormat="false" ht="15" hidden="false" customHeight="false" outlineLevel="0" collapsed="false">
      <c r="A120" s="104" t="s">
        <v>1350</v>
      </c>
      <c r="B120" s="20" t="s">
        <v>575</v>
      </c>
      <c r="C120" s="20" t="s">
        <v>513</v>
      </c>
      <c r="D120" s="20"/>
      <c r="L120" s="105" t="n">
        <v>300</v>
      </c>
      <c r="M120" s="105" t="n">
        <v>300</v>
      </c>
      <c r="N120" s="105" t="n">
        <v>300</v>
      </c>
      <c r="O120" s="105" t="n">
        <v>300</v>
      </c>
      <c r="P120" s="105" t="n">
        <v>300</v>
      </c>
      <c r="Q120" s="105" t="n">
        <v>300</v>
      </c>
      <c r="R120" s="105" t="n">
        <v>300</v>
      </c>
      <c r="S120" s="105" t="n">
        <v>300</v>
      </c>
      <c r="T120" s="105" t="n">
        <v>300</v>
      </c>
      <c r="U120" s="105" t="n">
        <v>300</v>
      </c>
      <c r="V120" s="105" t="n">
        <v>300</v>
      </c>
      <c r="W120" s="105" t="n">
        <v>300</v>
      </c>
      <c r="X120" s="105" t="n">
        <v>300</v>
      </c>
      <c r="Y120" s="105" t="n">
        <v>300</v>
      </c>
      <c r="Z120" s="105" t="n">
        <v>300</v>
      </c>
      <c r="AA120" s="105" t="n">
        <v>300</v>
      </c>
      <c r="AB120" s="105" t="n">
        <v>300</v>
      </c>
      <c r="AC120" s="105" t="n">
        <v>300</v>
      </c>
      <c r="AD120" s="105" t="n">
        <v>300</v>
      </c>
      <c r="AE120" s="105" t="n">
        <v>300</v>
      </c>
      <c r="AF120" s="105" t="n">
        <v>300</v>
      </c>
      <c r="AG120" s="105" t="n">
        <v>300</v>
      </c>
      <c r="AI120" s="106" t="n">
        <f aca="false">INDEX($F120:$AG120,1,MATCH(AI$7,$F$7:$AG$7,1))</f>
        <v>0</v>
      </c>
      <c r="AJ120" s="106" t="n">
        <f aca="false">INDEX($F120:$AG120,1,MATCH(AJ$7,$F$7:$AG$7,1))</f>
        <v>300</v>
      </c>
      <c r="AK120" s="106" t="n">
        <f aca="false">INDEX($F120:$AG120,1,MATCH(AK$7,$F$7:$AG$7,1))</f>
        <v>300</v>
      </c>
      <c r="AL120" s="106" t="n">
        <f aca="false">INDEX($F120:$AG120,1,MATCH(AL$7,$F$7:$AG$7,1))</f>
        <v>300</v>
      </c>
      <c r="AM120" s="106" t="n">
        <f aca="false">INDEX($F120:$AG120,1,MATCH(AM$7,$F$7:$AG$7,1))</f>
        <v>300</v>
      </c>
      <c r="AN120" s="106" t="n">
        <f aca="false">INDEX($F120:$AG120,1,MATCH(AN$7,$F$7:$AG$7,1))</f>
        <v>300</v>
      </c>
      <c r="AO120" s="106" t="n">
        <f aca="false">INDEX($F120:$AG120,1,MATCH(AO$7,$F$7:$AG$7,1))</f>
        <v>300</v>
      </c>
    </row>
    <row r="121" customFormat="false" ht="15" hidden="false" customHeight="false" outlineLevel="0" collapsed="false">
      <c r="A121" s="104" t="s">
        <v>1352</v>
      </c>
      <c r="B121" s="20" t="s">
        <v>575</v>
      </c>
      <c r="C121" s="20" t="s">
        <v>513</v>
      </c>
      <c r="D121" s="20"/>
      <c r="N121" s="105" t="n">
        <v>240</v>
      </c>
      <c r="O121" s="105" t="n">
        <v>240</v>
      </c>
      <c r="P121" s="105" t="n">
        <v>240</v>
      </c>
      <c r="Q121" s="105" t="n">
        <v>240</v>
      </c>
      <c r="R121" s="105" t="n">
        <v>240</v>
      </c>
      <c r="S121" s="105" t="n">
        <v>240</v>
      </c>
      <c r="T121" s="105" t="n">
        <v>240</v>
      </c>
      <c r="U121" s="105" t="n">
        <v>240</v>
      </c>
      <c r="V121" s="105" t="n">
        <v>240</v>
      </c>
      <c r="W121" s="105" t="n">
        <v>240</v>
      </c>
      <c r="X121" s="105" t="n">
        <v>240</v>
      </c>
      <c r="Y121" s="105" t="n">
        <v>240</v>
      </c>
      <c r="Z121" s="105" t="n">
        <v>240</v>
      </c>
      <c r="AA121" s="105" t="n">
        <v>240</v>
      </c>
      <c r="AB121" s="105" t="n">
        <v>240</v>
      </c>
      <c r="AC121" s="105" t="n">
        <v>240</v>
      </c>
      <c r="AD121" s="105" t="n">
        <v>240</v>
      </c>
      <c r="AE121" s="105" t="n">
        <v>240</v>
      </c>
      <c r="AF121" s="105" t="n">
        <v>240</v>
      </c>
      <c r="AG121" s="105" t="n">
        <v>240</v>
      </c>
      <c r="AI121" s="106" t="n">
        <f aca="false">INDEX($F121:$AG121,1,MATCH(AI$7,$F$7:$AG$7,1))</f>
        <v>0</v>
      </c>
      <c r="AJ121" s="106" t="n">
        <f aca="false">INDEX($F121:$AG121,1,MATCH(AJ$7,$F$7:$AG$7,1))</f>
        <v>0</v>
      </c>
      <c r="AK121" s="106" t="n">
        <f aca="false">INDEX($F121:$AG121,1,MATCH(AK$7,$F$7:$AG$7,1))</f>
        <v>240</v>
      </c>
      <c r="AL121" s="106" t="n">
        <f aca="false">INDEX($F121:$AG121,1,MATCH(AL$7,$F$7:$AG$7,1))</f>
        <v>240</v>
      </c>
      <c r="AM121" s="106" t="n">
        <f aca="false">INDEX($F121:$AG121,1,MATCH(AM$7,$F$7:$AG$7,1))</f>
        <v>240</v>
      </c>
      <c r="AN121" s="106" t="n">
        <f aca="false">INDEX($F121:$AG121,1,MATCH(AN$7,$F$7:$AG$7,1))</f>
        <v>240</v>
      </c>
      <c r="AO121" s="106" t="n">
        <f aca="false">INDEX($F121:$AG121,1,MATCH(AO$7,$F$7:$AG$7,1))</f>
        <v>240</v>
      </c>
    </row>
    <row r="122" customFormat="false" ht="15" hidden="false" customHeight="false" outlineLevel="0" collapsed="false">
      <c r="A122" s="104" t="s">
        <v>1355</v>
      </c>
      <c r="B122" s="20" t="s">
        <v>575</v>
      </c>
      <c r="C122" s="20" t="s">
        <v>513</v>
      </c>
      <c r="D122" s="20"/>
      <c r="N122" s="105" t="n">
        <v>310</v>
      </c>
      <c r="O122" s="105" t="n">
        <v>310</v>
      </c>
      <c r="P122" s="105" t="n">
        <v>310</v>
      </c>
      <c r="Q122" s="105" t="n">
        <v>310</v>
      </c>
      <c r="R122" s="105" t="n">
        <v>310</v>
      </c>
      <c r="S122" s="105" t="n">
        <v>310</v>
      </c>
      <c r="T122" s="105" t="n">
        <v>310</v>
      </c>
      <c r="U122" s="105" t="n">
        <v>310</v>
      </c>
      <c r="V122" s="105" t="n">
        <v>310</v>
      </c>
      <c r="W122" s="105" t="n">
        <v>310</v>
      </c>
      <c r="X122" s="105" t="n">
        <v>310</v>
      </c>
      <c r="Y122" s="105" t="n">
        <v>310</v>
      </c>
      <c r="Z122" s="105" t="n">
        <v>310</v>
      </c>
      <c r="AA122" s="105" t="n">
        <v>310</v>
      </c>
      <c r="AB122" s="105" t="n">
        <v>310</v>
      </c>
      <c r="AC122" s="105" t="n">
        <v>310</v>
      </c>
      <c r="AD122" s="105" t="n">
        <v>310</v>
      </c>
      <c r="AE122" s="105" t="n">
        <v>310</v>
      </c>
      <c r="AF122" s="105" t="n">
        <v>310</v>
      </c>
      <c r="AG122" s="105" t="n">
        <v>310</v>
      </c>
      <c r="AI122" s="106" t="n">
        <f aca="false">INDEX($F122:$AG122,1,MATCH(AI$7,$F$7:$AG$7,1))</f>
        <v>0</v>
      </c>
      <c r="AJ122" s="106" t="n">
        <f aca="false">INDEX($F122:$AG122,1,MATCH(AJ$7,$F$7:$AG$7,1))</f>
        <v>0</v>
      </c>
      <c r="AK122" s="106" t="n">
        <f aca="false">INDEX($F122:$AG122,1,MATCH(AK$7,$F$7:$AG$7,1))</f>
        <v>310</v>
      </c>
      <c r="AL122" s="106" t="n">
        <f aca="false">INDEX($F122:$AG122,1,MATCH(AL$7,$F$7:$AG$7,1))</f>
        <v>310</v>
      </c>
      <c r="AM122" s="106" t="n">
        <f aca="false">INDEX($F122:$AG122,1,MATCH(AM$7,$F$7:$AG$7,1))</f>
        <v>310</v>
      </c>
      <c r="AN122" s="106" t="n">
        <f aca="false">INDEX($F122:$AG122,1,MATCH(AN$7,$F$7:$AG$7,1))</f>
        <v>310</v>
      </c>
      <c r="AO122" s="106" t="n">
        <f aca="false">INDEX($F122:$AG122,1,MATCH(AO$7,$F$7:$AG$7,1))</f>
        <v>310</v>
      </c>
    </row>
    <row r="123" customFormat="false" ht="15" hidden="false" customHeight="false" outlineLevel="0" collapsed="false">
      <c r="A123" s="104" t="s">
        <v>1356</v>
      </c>
      <c r="B123" s="20" t="s">
        <v>575</v>
      </c>
      <c r="C123" s="20" t="s">
        <v>513</v>
      </c>
      <c r="D123" s="20"/>
      <c r="I123" s="105" t="n">
        <v>75</v>
      </c>
      <c r="J123" s="105" t="n">
        <v>75</v>
      </c>
      <c r="K123" s="105" t="n">
        <v>75</v>
      </c>
      <c r="L123" s="105" t="n">
        <v>75</v>
      </c>
      <c r="M123" s="105" t="n">
        <v>75</v>
      </c>
      <c r="N123" s="105" t="n">
        <v>75</v>
      </c>
      <c r="O123" s="105" t="n">
        <v>75</v>
      </c>
      <c r="P123" s="105" t="n">
        <v>75</v>
      </c>
      <c r="Q123" s="105" t="n">
        <v>75</v>
      </c>
      <c r="R123" s="105" t="n">
        <v>75</v>
      </c>
      <c r="S123" s="105" t="n">
        <v>75</v>
      </c>
      <c r="T123" s="105" t="n">
        <v>75</v>
      </c>
      <c r="U123" s="105" t="n">
        <v>75</v>
      </c>
      <c r="V123" s="105" t="n">
        <v>75</v>
      </c>
      <c r="W123" s="105" t="n">
        <v>75</v>
      </c>
      <c r="X123" s="105" t="n">
        <v>75</v>
      </c>
      <c r="Y123" s="105" t="n">
        <v>75</v>
      </c>
      <c r="Z123" s="105" t="n">
        <v>75</v>
      </c>
      <c r="AA123" s="105" t="n">
        <v>75</v>
      </c>
      <c r="AB123" s="105" t="n">
        <v>75</v>
      </c>
      <c r="AC123" s="105" t="n">
        <v>75</v>
      </c>
      <c r="AD123" s="105" t="n">
        <v>75</v>
      </c>
      <c r="AE123" s="105" t="n">
        <v>75</v>
      </c>
      <c r="AF123" s="105" t="n">
        <v>75</v>
      </c>
      <c r="AG123" s="105" t="n">
        <v>75</v>
      </c>
      <c r="AI123" s="106" t="n">
        <f aca="false">INDEX($F123:$AG123,1,MATCH(AI$7,$F$7:$AG$7,1))</f>
        <v>75</v>
      </c>
      <c r="AJ123" s="106" t="n">
        <f aca="false">INDEX($F123:$AG123,1,MATCH(AJ$7,$F$7:$AG$7,1))</f>
        <v>75</v>
      </c>
      <c r="AK123" s="106" t="n">
        <f aca="false">INDEX($F123:$AG123,1,MATCH(AK$7,$F$7:$AG$7,1))</f>
        <v>75</v>
      </c>
      <c r="AL123" s="106" t="n">
        <f aca="false">INDEX($F123:$AG123,1,MATCH(AL$7,$F$7:$AG$7,1))</f>
        <v>75</v>
      </c>
      <c r="AM123" s="106" t="n">
        <f aca="false">INDEX($F123:$AG123,1,MATCH(AM$7,$F$7:$AG$7,1))</f>
        <v>75</v>
      </c>
      <c r="AN123" s="106" t="n">
        <f aca="false">INDEX($F123:$AG123,1,MATCH(AN$7,$F$7:$AG$7,1))</f>
        <v>75</v>
      </c>
      <c r="AO123" s="106" t="n">
        <f aca="false">INDEX($F123:$AG123,1,MATCH(AO$7,$F$7:$AG$7,1))</f>
        <v>75</v>
      </c>
    </row>
    <row r="124" customFormat="false" ht="15" hidden="false" customHeight="false" outlineLevel="0" collapsed="false">
      <c r="A124" s="104" t="s">
        <v>1357</v>
      </c>
      <c r="B124" s="20" t="s">
        <v>575</v>
      </c>
      <c r="C124" s="20" t="s">
        <v>513</v>
      </c>
      <c r="D124" s="20"/>
      <c r="O124" s="105" t="n">
        <v>70</v>
      </c>
      <c r="P124" s="105" t="n">
        <v>70</v>
      </c>
      <c r="Q124" s="105" t="n">
        <v>70</v>
      </c>
      <c r="R124" s="105" t="n">
        <v>70</v>
      </c>
      <c r="S124" s="105" t="n">
        <v>70</v>
      </c>
      <c r="T124" s="105" t="n">
        <v>70</v>
      </c>
      <c r="U124" s="105" t="n">
        <v>70</v>
      </c>
      <c r="V124" s="105" t="n">
        <v>70</v>
      </c>
      <c r="W124" s="105" t="n">
        <v>70</v>
      </c>
      <c r="X124" s="105" t="n">
        <v>70</v>
      </c>
      <c r="Y124" s="105" t="n">
        <v>70</v>
      </c>
      <c r="Z124" s="105" t="n">
        <v>70</v>
      </c>
      <c r="AA124" s="105" t="n">
        <v>70</v>
      </c>
      <c r="AB124" s="105" t="n">
        <v>70</v>
      </c>
      <c r="AC124" s="105" t="n">
        <v>70</v>
      </c>
      <c r="AD124" s="105" t="n">
        <v>70</v>
      </c>
      <c r="AE124" s="105" t="n">
        <v>70</v>
      </c>
      <c r="AF124" s="105" t="n">
        <v>70</v>
      </c>
      <c r="AG124" s="105" t="n">
        <v>70</v>
      </c>
      <c r="AI124" s="106" t="n">
        <f aca="false">INDEX($F124:$AG124,1,MATCH(AI$7,$F$7:$AG$7,1))</f>
        <v>0</v>
      </c>
      <c r="AJ124" s="106" t="n">
        <f aca="false">INDEX($F124:$AG124,1,MATCH(AJ$7,$F$7:$AG$7,1))</f>
        <v>0</v>
      </c>
      <c r="AK124" s="106" t="n">
        <f aca="false">INDEX($F124:$AG124,1,MATCH(AK$7,$F$7:$AG$7,1))</f>
        <v>70</v>
      </c>
      <c r="AL124" s="106" t="n">
        <f aca="false">INDEX($F124:$AG124,1,MATCH(AL$7,$F$7:$AG$7,1))</f>
        <v>70</v>
      </c>
      <c r="AM124" s="106" t="n">
        <f aca="false">INDEX($F124:$AG124,1,MATCH(AM$7,$F$7:$AG$7,1))</f>
        <v>70</v>
      </c>
      <c r="AN124" s="106" t="n">
        <f aca="false">INDEX($F124:$AG124,1,MATCH(AN$7,$F$7:$AG$7,1))</f>
        <v>70</v>
      </c>
      <c r="AO124" s="106" t="n">
        <f aca="false">INDEX($F124:$AG124,1,MATCH(AO$7,$F$7:$AG$7,1))</f>
        <v>70</v>
      </c>
    </row>
    <row r="125" customFormat="false" ht="15" hidden="false" customHeight="false" outlineLevel="0" collapsed="false">
      <c r="A125" s="104" t="s">
        <v>1358</v>
      </c>
      <c r="B125" s="20" t="s">
        <v>575</v>
      </c>
      <c r="C125" s="20" t="s">
        <v>513</v>
      </c>
      <c r="D125" s="20"/>
      <c r="I125" s="105" t="n">
        <v>40</v>
      </c>
      <c r="J125" s="105" t="n">
        <v>40</v>
      </c>
      <c r="K125" s="105" t="n">
        <v>40</v>
      </c>
      <c r="L125" s="105" t="n">
        <v>40</v>
      </c>
      <c r="M125" s="105" t="n">
        <v>40</v>
      </c>
      <c r="N125" s="105" t="n">
        <v>40</v>
      </c>
      <c r="O125" s="105" t="n">
        <v>40</v>
      </c>
      <c r="P125" s="105" t="n">
        <v>40</v>
      </c>
      <c r="Q125" s="105" t="n">
        <v>40</v>
      </c>
      <c r="R125" s="105" t="n">
        <v>40</v>
      </c>
      <c r="S125" s="105" t="n">
        <v>40</v>
      </c>
      <c r="T125" s="105" t="n">
        <v>40</v>
      </c>
      <c r="U125" s="105" t="n">
        <v>40</v>
      </c>
      <c r="V125" s="105" t="n">
        <v>40</v>
      </c>
      <c r="W125" s="105" t="n">
        <v>40</v>
      </c>
      <c r="X125" s="105" t="n">
        <v>40</v>
      </c>
      <c r="Y125" s="105" t="n">
        <v>40</v>
      </c>
      <c r="Z125" s="105" t="n">
        <v>40</v>
      </c>
      <c r="AA125" s="105" t="n">
        <v>40</v>
      </c>
      <c r="AB125" s="105" t="n">
        <v>40</v>
      </c>
      <c r="AC125" s="105" t="n">
        <v>40</v>
      </c>
      <c r="AD125" s="105" t="n">
        <v>40</v>
      </c>
      <c r="AE125" s="105" t="n">
        <v>40</v>
      </c>
      <c r="AF125" s="105" t="n">
        <v>40</v>
      </c>
      <c r="AG125" s="105" t="n">
        <v>40</v>
      </c>
      <c r="AI125" s="106" t="n">
        <f aca="false">INDEX($F125:$AG125,1,MATCH(AI$7,$F$7:$AG$7,1))</f>
        <v>40</v>
      </c>
      <c r="AJ125" s="106" t="n">
        <f aca="false">INDEX($F125:$AG125,1,MATCH(AJ$7,$F$7:$AG$7,1))</f>
        <v>40</v>
      </c>
      <c r="AK125" s="106" t="n">
        <f aca="false">INDEX($F125:$AG125,1,MATCH(AK$7,$F$7:$AG$7,1))</f>
        <v>40</v>
      </c>
      <c r="AL125" s="106" t="n">
        <f aca="false">INDEX($F125:$AG125,1,MATCH(AL$7,$F$7:$AG$7,1))</f>
        <v>40</v>
      </c>
      <c r="AM125" s="106" t="n">
        <f aca="false">INDEX($F125:$AG125,1,MATCH(AM$7,$F$7:$AG$7,1))</f>
        <v>40</v>
      </c>
      <c r="AN125" s="106" t="n">
        <f aca="false">INDEX($F125:$AG125,1,MATCH(AN$7,$F$7:$AG$7,1))</f>
        <v>40</v>
      </c>
      <c r="AO125" s="106" t="n">
        <f aca="false">INDEX($F125:$AG125,1,MATCH(AO$7,$F$7:$AG$7,1))</f>
        <v>40</v>
      </c>
    </row>
    <row r="126" customFormat="false" ht="15" hidden="false" customHeight="false" outlineLevel="0" collapsed="false">
      <c r="A126" s="104" t="s">
        <v>1360</v>
      </c>
      <c r="B126" s="20" t="s">
        <v>575</v>
      </c>
      <c r="C126" s="20" t="s">
        <v>513</v>
      </c>
      <c r="D126" s="20"/>
      <c r="H126" s="105" t="n">
        <v>5</v>
      </c>
      <c r="I126" s="105" t="n">
        <v>5</v>
      </c>
      <c r="J126" s="105" t="n">
        <v>5</v>
      </c>
      <c r="K126" s="105" t="n">
        <v>5</v>
      </c>
      <c r="L126" s="105" t="n">
        <v>5</v>
      </c>
      <c r="M126" s="105" t="n">
        <v>5</v>
      </c>
      <c r="N126" s="105" t="n">
        <v>5</v>
      </c>
      <c r="O126" s="105" t="n">
        <v>5</v>
      </c>
      <c r="P126" s="105" t="n">
        <v>5</v>
      </c>
      <c r="Q126" s="105" t="n">
        <v>5</v>
      </c>
      <c r="R126" s="105" t="n">
        <v>5</v>
      </c>
      <c r="S126" s="105" t="n">
        <v>5</v>
      </c>
      <c r="T126" s="105" t="n">
        <v>5</v>
      </c>
      <c r="U126" s="105" t="n">
        <v>5</v>
      </c>
      <c r="V126" s="105" t="n">
        <v>5</v>
      </c>
      <c r="W126" s="105" t="n">
        <v>5</v>
      </c>
      <c r="X126" s="105" t="n">
        <v>5</v>
      </c>
      <c r="Y126" s="105" t="n">
        <v>5</v>
      </c>
      <c r="Z126" s="105" t="n">
        <v>5</v>
      </c>
      <c r="AA126" s="105" t="n">
        <v>5</v>
      </c>
      <c r="AB126" s="105" t="n">
        <v>5</v>
      </c>
      <c r="AC126" s="105" t="n">
        <v>5</v>
      </c>
      <c r="AD126" s="105" t="n">
        <v>5</v>
      </c>
      <c r="AE126" s="105" t="n">
        <v>5</v>
      </c>
      <c r="AF126" s="105" t="n">
        <v>5</v>
      </c>
      <c r="AG126" s="105" t="n">
        <v>5</v>
      </c>
      <c r="AI126" s="106" t="n">
        <f aca="false">INDEX($F126:$AG126,1,MATCH(AI$7,$F$7:$AG$7,1))</f>
        <v>5</v>
      </c>
      <c r="AJ126" s="106" t="n">
        <f aca="false">INDEX($F126:$AG126,1,MATCH(AJ$7,$F$7:$AG$7,1))</f>
        <v>5</v>
      </c>
      <c r="AK126" s="106" t="n">
        <f aca="false">INDEX($F126:$AG126,1,MATCH(AK$7,$F$7:$AG$7,1))</f>
        <v>5</v>
      </c>
      <c r="AL126" s="106" t="n">
        <f aca="false">INDEX($F126:$AG126,1,MATCH(AL$7,$F$7:$AG$7,1))</f>
        <v>5</v>
      </c>
      <c r="AM126" s="106" t="n">
        <f aca="false">INDEX($F126:$AG126,1,MATCH(AM$7,$F$7:$AG$7,1))</f>
        <v>5</v>
      </c>
      <c r="AN126" s="106" t="n">
        <f aca="false">INDEX($F126:$AG126,1,MATCH(AN$7,$F$7:$AG$7,1))</f>
        <v>5</v>
      </c>
      <c r="AO126" s="106" t="n">
        <f aca="false">INDEX($F126:$AG126,1,MATCH(AO$7,$F$7:$AG$7,1))</f>
        <v>5</v>
      </c>
    </row>
    <row r="127" customFormat="false" ht="15" hidden="false" customHeight="false" outlineLevel="0" collapsed="false">
      <c r="A127" s="104" t="s">
        <v>1362</v>
      </c>
      <c r="B127" s="20" t="s">
        <v>575</v>
      </c>
      <c r="C127" s="20" t="s">
        <v>513</v>
      </c>
      <c r="D127" s="20"/>
      <c r="I127" s="105" t="n">
        <v>10</v>
      </c>
      <c r="J127" s="105" t="n">
        <v>10</v>
      </c>
      <c r="K127" s="105" t="n">
        <v>10</v>
      </c>
      <c r="L127" s="105" t="n">
        <v>10</v>
      </c>
      <c r="M127" s="105" t="n">
        <v>10</v>
      </c>
      <c r="N127" s="105" t="n">
        <v>10</v>
      </c>
      <c r="O127" s="105" t="n">
        <v>10</v>
      </c>
      <c r="P127" s="105" t="n">
        <v>10</v>
      </c>
      <c r="Q127" s="105" t="n">
        <v>10</v>
      </c>
      <c r="R127" s="105" t="n">
        <v>10</v>
      </c>
      <c r="S127" s="105" t="n">
        <v>10</v>
      </c>
      <c r="T127" s="105" t="n">
        <v>10</v>
      </c>
      <c r="U127" s="105" t="n">
        <v>10</v>
      </c>
      <c r="V127" s="105" t="n">
        <v>10</v>
      </c>
      <c r="W127" s="105" t="n">
        <v>10</v>
      </c>
      <c r="X127" s="105" t="n">
        <v>10</v>
      </c>
      <c r="Y127" s="105" t="n">
        <v>10</v>
      </c>
      <c r="Z127" s="105" t="n">
        <v>10</v>
      </c>
      <c r="AA127" s="105" t="n">
        <v>10</v>
      </c>
      <c r="AB127" s="105" t="n">
        <v>10</v>
      </c>
      <c r="AC127" s="105" t="n">
        <v>10</v>
      </c>
      <c r="AD127" s="105" t="n">
        <v>10</v>
      </c>
      <c r="AE127" s="105" t="n">
        <v>10</v>
      </c>
      <c r="AF127" s="105" t="n">
        <v>10</v>
      </c>
      <c r="AG127" s="105" t="n">
        <v>10</v>
      </c>
      <c r="AI127" s="106" t="n">
        <f aca="false">INDEX($F127:$AG127,1,MATCH(AI$7,$F$7:$AG$7,1))</f>
        <v>10</v>
      </c>
      <c r="AJ127" s="106" t="n">
        <f aca="false">INDEX($F127:$AG127,1,MATCH(AJ$7,$F$7:$AG$7,1))</f>
        <v>10</v>
      </c>
      <c r="AK127" s="106" t="n">
        <f aca="false">INDEX($F127:$AG127,1,MATCH(AK$7,$F$7:$AG$7,1))</f>
        <v>10</v>
      </c>
      <c r="AL127" s="106" t="n">
        <f aca="false">INDEX($F127:$AG127,1,MATCH(AL$7,$F$7:$AG$7,1))</f>
        <v>10</v>
      </c>
      <c r="AM127" s="106" t="n">
        <f aca="false">INDEX($F127:$AG127,1,MATCH(AM$7,$F$7:$AG$7,1))</f>
        <v>10</v>
      </c>
      <c r="AN127" s="106" t="n">
        <f aca="false">INDEX($F127:$AG127,1,MATCH(AN$7,$F$7:$AG$7,1))</f>
        <v>10</v>
      </c>
      <c r="AO127" s="106" t="n">
        <f aca="false">INDEX($F127:$AG127,1,MATCH(AO$7,$F$7:$AG$7,1))</f>
        <v>10</v>
      </c>
    </row>
    <row r="128" customFormat="false" ht="15" hidden="false" customHeight="false" outlineLevel="0" collapsed="false">
      <c r="A128" s="104" t="s">
        <v>1363</v>
      </c>
      <c r="B128" s="20" t="s">
        <v>575</v>
      </c>
      <c r="C128" s="20" t="s">
        <v>513</v>
      </c>
      <c r="D128" s="20"/>
      <c r="K128" s="105" t="n">
        <v>16</v>
      </c>
      <c r="L128" s="105" t="n">
        <v>16</v>
      </c>
      <c r="M128" s="105" t="n">
        <v>16</v>
      </c>
      <c r="N128" s="105" t="n">
        <v>16</v>
      </c>
      <c r="O128" s="105" t="n">
        <v>19</v>
      </c>
      <c r="P128" s="105" t="n">
        <v>19</v>
      </c>
      <c r="Q128" s="105" t="n">
        <v>19</v>
      </c>
      <c r="R128" s="105" t="n">
        <v>19</v>
      </c>
      <c r="S128" s="105" t="n">
        <v>19</v>
      </c>
      <c r="T128" s="105" t="n">
        <v>19</v>
      </c>
      <c r="U128" s="105" t="n">
        <v>19</v>
      </c>
      <c r="V128" s="105" t="n">
        <v>19</v>
      </c>
      <c r="W128" s="105" t="n">
        <v>19</v>
      </c>
      <c r="X128" s="105" t="n">
        <v>19</v>
      </c>
      <c r="Y128" s="105" t="n">
        <v>19</v>
      </c>
      <c r="Z128" s="105" t="n">
        <v>19</v>
      </c>
      <c r="AA128" s="105" t="n">
        <v>19</v>
      </c>
      <c r="AB128" s="105" t="n">
        <v>19</v>
      </c>
      <c r="AC128" s="105" t="n">
        <v>19</v>
      </c>
      <c r="AD128" s="105" t="n">
        <v>19</v>
      </c>
      <c r="AE128" s="105" t="n">
        <v>19</v>
      </c>
      <c r="AF128" s="105" t="n">
        <v>19</v>
      </c>
      <c r="AG128" s="105" t="n">
        <v>19</v>
      </c>
      <c r="AI128" s="106" t="n">
        <f aca="false">INDEX($F128:$AG128,1,MATCH(AI$7,$F$7:$AG$7,1))</f>
        <v>0</v>
      </c>
      <c r="AJ128" s="106" t="n">
        <f aca="false">INDEX($F128:$AG128,1,MATCH(AJ$7,$F$7:$AG$7,1))</f>
        <v>16</v>
      </c>
      <c r="AK128" s="106" t="n">
        <f aca="false">INDEX($F128:$AG128,1,MATCH(AK$7,$F$7:$AG$7,1))</f>
        <v>19</v>
      </c>
      <c r="AL128" s="106" t="n">
        <f aca="false">INDEX($F128:$AG128,1,MATCH(AL$7,$F$7:$AG$7,1))</f>
        <v>19</v>
      </c>
      <c r="AM128" s="106" t="n">
        <f aca="false">INDEX($F128:$AG128,1,MATCH(AM$7,$F$7:$AG$7,1))</f>
        <v>19</v>
      </c>
      <c r="AN128" s="106" t="n">
        <f aca="false">INDEX($F128:$AG128,1,MATCH(AN$7,$F$7:$AG$7,1))</f>
        <v>19</v>
      </c>
      <c r="AO128" s="106" t="n">
        <f aca="false">INDEX($F128:$AG128,1,MATCH(AO$7,$F$7:$AG$7,1))</f>
        <v>19</v>
      </c>
    </row>
    <row r="129" customFormat="false" ht="15" hidden="false" customHeight="false" outlineLevel="0" collapsed="false">
      <c r="A129" s="104" t="s">
        <v>1365</v>
      </c>
      <c r="B129" s="20" t="s">
        <v>575</v>
      </c>
      <c r="C129" s="20" t="s">
        <v>513</v>
      </c>
      <c r="D129" s="20"/>
      <c r="O129" s="105" t="n">
        <v>22</v>
      </c>
      <c r="P129" s="105" t="n">
        <v>22</v>
      </c>
      <c r="Q129" s="105" t="n">
        <v>22</v>
      </c>
      <c r="R129" s="105" t="n">
        <v>22</v>
      </c>
      <c r="S129" s="105" t="n">
        <v>22</v>
      </c>
      <c r="T129" s="105" t="n">
        <v>22</v>
      </c>
      <c r="U129" s="105" t="n">
        <v>22</v>
      </c>
      <c r="V129" s="105" t="n">
        <v>22</v>
      </c>
      <c r="W129" s="105" t="n">
        <v>22</v>
      </c>
      <c r="X129" s="105" t="n">
        <v>22</v>
      </c>
      <c r="Y129" s="105" t="n">
        <v>22</v>
      </c>
      <c r="Z129" s="105" t="n">
        <v>22</v>
      </c>
      <c r="AA129" s="105" t="n">
        <v>22</v>
      </c>
      <c r="AB129" s="105" t="n">
        <v>22</v>
      </c>
      <c r="AC129" s="105" t="n">
        <v>22</v>
      </c>
      <c r="AD129" s="105" t="n">
        <v>22</v>
      </c>
      <c r="AE129" s="105" t="n">
        <v>22</v>
      </c>
      <c r="AF129" s="105" t="n">
        <v>22</v>
      </c>
      <c r="AG129" s="105" t="n">
        <v>22</v>
      </c>
      <c r="AI129" s="106" t="n">
        <f aca="false">INDEX($F129:$AG129,1,MATCH(AI$7,$F$7:$AG$7,1))</f>
        <v>0</v>
      </c>
      <c r="AJ129" s="106" t="n">
        <f aca="false">INDEX($F129:$AG129,1,MATCH(AJ$7,$F$7:$AG$7,1))</f>
        <v>0</v>
      </c>
      <c r="AK129" s="106" t="n">
        <f aca="false">INDEX($F129:$AG129,1,MATCH(AK$7,$F$7:$AG$7,1))</f>
        <v>22</v>
      </c>
      <c r="AL129" s="106" t="n">
        <f aca="false">INDEX($F129:$AG129,1,MATCH(AL$7,$F$7:$AG$7,1))</f>
        <v>22</v>
      </c>
      <c r="AM129" s="106" t="n">
        <f aca="false">INDEX($F129:$AG129,1,MATCH(AM$7,$F$7:$AG$7,1))</f>
        <v>22</v>
      </c>
      <c r="AN129" s="106" t="n">
        <f aca="false">INDEX($F129:$AG129,1,MATCH(AN$7,$F$7:$AG$7,1))</f>
        <v>22</v>
      </c>
      <c r="AO129" s="106" t="n">
        <f aca="false">INDEX($F129:$AG129,1,MATCH(AO$7,$F$7:$AG$7,1))</f>
        <v>22</v>
      </c>
    </row>
    <row r="130" customFormat="false" ht="15" hidden="false" customHeight="false" outlineLevel="0" collapsed="false">
      <c r="A130" s="104" t="s">
        <v>1366</v>
      </c>
      <c r="B130" s="20" t="s">
        <v>575</v>
      </c>
      <c r="C130" s="20" t="s">
        <v>513</v>
      </c>
      <c r="D130" s="20"/>
      <c r="AI130" s="106" t="n">
        <f aca="false">INDEX($F130:$AG130,1,MATCH(AI$7,$F$7:$AG$7,1))</f>
        <v>0</v>
      </c>
      <c r="AJ130" s="106" t="n">
        <f aca="false">INDEX($F130:$AG130,1,MATCH(AJ$7,$F$7:$AG$7,1))</f>
        <v>0</v>
      </c>
      <c r="AK130" s="106" t="n">
        <f aca="false">INDEX($F130:$AG130,1,MATCH(AK$7,$F$7:$AG$7,1))</f>
        <v>0</v>
      </c>
      <c r="AL130" s="106" t="n">
        <f aca="false">INDEX($F130:$AG130,1,MATCH(AL$7,$F$7:$AG$7,1))</f>
        <v>0</v>
      </c>
      <c r="AM130" s="106" t="n">
        <f aca="false">INDEX($F130:$AG130,1,MATCH(AM$7,$F$7:$AG$7,1))</f>
        <v>0</v>
      </c>
      <c r="AN130" s="106" t="n">
        <f aca="false">INDEX($F130:$AG130,1,MATCH(AN$7,$F$7:$AG$7,1))</f>
        <v>0</v>
      </c>
      <c r="AO130" s="106" t="n">
        <f aca="false">INDEX($F130:$AG130,1,MATCH(AO$7,$F$7:$AG$7,1))</f>
        <v>0</v>
      </c>
    </row>
    <row r="131" customFormat="false" ht="15" hidden="false" customHeight="false" outlineLevel="0" collapsed="false">
      <c r="A131" s="104" t="s">
        <v>1368</v>
      </c>
      <c r="B131" s="20" t="s">
        <v>575</v>
      </c>
      <c r="C131" s="20" t="s">
        <v>513</v>
      </c>
      <c r="D131" s="20"/>
      <c r="K131" s="105" t="n">
        <v>8</v>
      </c>
      <c r="L131" s="105" t="n">
        <v>8</v>
      </c>
      <c r="M131" s="105" t="n">
        <v>8</v>
      </c>
      <c r="N131" s="105" t="n">
        <v>8</v>
      </c>
      <c r="O131" s="105" t="n">
        <v>8</v>
      </c>
      <c r="P131" s="105" t="n">
        <v>8</v>
      </c>
      <c r="Q131" s="105" t="n">
        <v>8</v>
      </c>
      <c r="R131" s="105" t="n">
        <v>8</v>
      </c>
      <c r="S131" s="105" t="n">
        <v>8</v>
      </c>
      <c r="T131" s="105" t="n">
        <v>8</v>
      </c>
      <c r="U131" s="105" t="n">
        <v>8</v>
      </c>
      <c r="V131" s="105" t="n">
        <v>8</v>
      </c>
      <c r="W131" s="105" t="n">
        <v>8</v>
      </c>
      <c r="X131" s="105" t="n">
        <v>8</v>
      </c>
      <c r="Y131" s="105" t="n">
        <v>8</v>
      </c>
      <c r="Z131" s="105" t="n">
        <v>8</v>
      </c>
      <c r="AA131" s="105" t="n">
        <v>8</v>
      </c>
      <c r="AB131" s="105" t="n">
        <v>8</v>
      </c>
      <c r="AC131" s="105" t="n">
        <v>8</v>
      </c>
      <c r="AD131" s="105" t="n">
        <v>8</v>
      </c>
      <c r="AE131" s="105" t="n">
        <v>8</v>
      </c>
      <c r="AF131" s="105" t="n">
        <v>8</v>
      </c>
      <c r="AG131" s="105" t="n">
        <v>8</v>
      </c>
      <c r="AI131" s="106" t="n">
        <f aca="false">INDEX($F131:$AG131,1,MATCH(AI$7,$F$7:$AG$7,1))</f>
        <v>0</v>
      </c>
      <c r="AJ131" s="106" t="n">
        <f aca="false">INDEX($F131:$AG131,1,MATCH(AJ$7,$F$7:$AG$7,1))</f>
        <v>8</v>
      </c>
      <c r="AK131" s="106" t="n">
        <f aca="false">INDEX($F131:$AG131,1,MATCH(AK$7,$F$7:$AG$7,1))</f>
        <v>8</v>
      </c>
      <c r="AL131" s="106" t="n">
        <f aca="false">INDEX($F131:$AG131,1,MATCH(AL$7,$F$7:$AG$7,1))</f>
        <v>8</v>
      </c>
      <c r="AM131" s="106" t="n">
        <f aca="false">INDEX($F131:$AG131,1,MATCH(AM$7,$F$7:$AG$7,1))</f>
        <v>8</v>
      </c>
      <c r="AN131" s="106" t="n">
        <f aca="false">INDEX($F131:$AG131,1,MATCH(AN$7,$F$7:$AG$7,1))</f>
        <v>8</v>
      </c>
      <c r="AO131" s="106" t="n">
        <f aca="false">INDEX($F131:$AG131,1,MATCH(AO$7,$F$7:$AG$7,1))</f>
        <v>8</v>
      </c>
    </row>
    <row r="132" customFormat="false" ht="15" hidden="false" customHeight="false" outlineLevel="0" collapsed="false">
      <c r="A132" s="104" t="s">
        <v>1370</v>
      </c>
      <c r="B132" s="20" t="s">
        <v>575</v>
      </c>
      <c r="C132" s="20" t="s">
        <v>513</v>
      </c>
      <c r="D132" s="20"/>
      <c r="N132" s="105" t="n">
        <v>22</v>
      </c>
      <c r="O132" s="105" t="n">
        <v>22</v>
      </c>
      <c r="P132" s="105" t="n">
        <v>22</v>
      </c>
      <c r="Q132" s="105" t="n">
        <v>22</v>
      </c>
      <c r="R132" s="105" t="n">
        <v>22</v>
      </c>
      <c r="S132" s="105" t="n">
        <v>22</v>
      </c>
      <c r="T132" s="105" t="n">
        <v>22</v>
      </c>
      <c r="U132" s="105" t="n">
        <v>22</v>
      </c>
      <c r="V132" s="105" t="n">
        <v>22</v>
      </c>
      <c r="W132" s="105" t="n">
        <v>22</v>
      </c>
      <c r="X132" s="105" t="n">
        <v>22</v>
      </c>
      <c r="Y132" s="105" t="n">
        <v>22</v>
      </c>
      <c r="Z132" s="105" t="n">
        <v>22</v>
      </c>
      <c r="AA132" s="105" t="n">
        <v>22</v>
      </c>
      <c r="AB132" s="105" t="n">
        <v>22</v>
      </c>
      <c r="AC132" s="105" t="n">
        <v>22</v>
      </c>
      <c r="AD132" s="105" t="n">
        <v>22</v>
      </c>
      <c r="AE132" s="105" t="n">
        <v>22</v>
      </c>
      <c r="AF132" s="105" t="n">
        <v>22</v>
      </c>
      <c r="AG132" s="105" t="n">
        <v>22</v>
      </c>
      <c r="AI132" s="106" t="n">
        <f aca="false">INDEX($F132:$AG132,1,MATCH(AI$7,$F$7:$AG$7,1))</f>
        <v>0</v>
      </c>
      <c r="AJ132" s="106" t="n">
        <f aca="false">INDEX($F132:$AG132,1,MATCH(AJ$7,$F$7:$AG$7,1))</f>
        <v>0</v>
      </c>
      <c r="AK132" s="106" t="n">
        <f aca="false">INDEX($F132:$AG132,1,MATCH(AK$7,$F$7:$AG$7,1))</f>
        <v>22</v>
      </c>
      <c r="AL132" s="106" t="n">
        <f aca="false">INDEX($F132:$AG132,1,MATCH(AL$7,$F$7:$AG$7,1))</f>
        <v>22</v>
      </c>
      <c r="AM132" s="106" t="n">
        <f aca="false">INDEX($F132:$AG132,1,MATCH(AM$7,$F$7:$AG$7,1))</f>
        <v>22</v>
      </c>
      <c r="AN132" s="106" t="n">
        <f aca="false">INDEX($F132:$AG132,1,MATCH(AN$7,$F$7:$AG$7,1))</f>
        <v>22</v>
      </c>
      <c r="AO132" s="106" t="n">
        <f aca="false">INDEX($F132:$AG132,1,MATCH(AO$7,$F$7:$AG$7,1))</f>
        <v>22</v>
      </c>
    </row>
    <row r="133" customFormat="false" ht="15" hidden="false" customHeight="false" outlineLevel="0" collapsed="false">
      <c r="A133" s="104" t="s">
        <v>1371</v>
      </c>
      <c r="B133" s="20" t="s">
        <v>575</v>
      </c>
      <c r="C133" s="20" t="s">
        <v>513</v>
      </c>
      <c r="D133" s="20"/>
      <c r="N133" s="105" t="n">
        <v>58</v>
      </c>
      <c r="O133" s="105" t="n">
        <v>58</v>
      </c>
      <c r="P133" s="105" t="n">
        <v>58</v>
      </c>
      <c r="Q133" s="105" t="n">
        <v>58</v>
      </c>
      <c r="R133" s="105" t="n">
        <v>58</v>
      </c>
      <c r="S133" s="105" t="n">
        <v>58</v>
      </c>
      <c r="T133" s="105" t="n">
        <v>58</v>
      </c>
      <c r="U133" s="105" t="n">
        <v>58</v>
      </c>
      <c r="V133" s="105" t="n">
        <v>58</v>
      </c>
      <c r="W133" s="105" t="n">
        <v>58</v>
      </c>
      <c r="X133" s="105" t="n">
        <v>58</v>
      </c>
      <c r="Y133" s="105" t="n">
        <v>58</v>
      </c>
      <c r="Z133" s="105" t="n">
        <v>58</v>
      </c>
      <c r="AA133" s="105" t="n">
        <v>58</v>
      </c>
      <c r="AB133" s="105" t="n">
        <v>58</v>
      </c>
      <c r="AC133" s="105" t="n">
        <v>58</v>
      </c>
      <c r="AD133" s="105" t="n">
        <v>58</v>
      </c>
      <c r="AE133" s="105" t="n">
        <v>58</v>
      </c>
      <c r="AF133" s="105" t="n">
        <v>58</v>
      </c>
      <c r="AG133" s="105" t="n">
        <v>58</v>
      </c>
      <c r="AI133" s="106" t="n">
        <f aca="false">INDEX($F133:$AG133,1,MATCH(AI$7,$F$7:$AG$7,1))</f>
        <v>0</v>
      </c>
      <c r="AJ133" s="106" t="n">
        <f aca="false">INDEX($F133:$AG133,1,MATCH(AJ$7,$F$7:$AG$7,1))</f>
        <v>0</v>
      </c>
      <c r="AK133" s="106" t="n">
        <f aca="false">INDEX($F133:$AG133,1,MATCH(AK$7,$F$7:$AG$7,1))</f>
        <v>58</v>
      </c>
      <c r="AL133" s="106" t="n">
        <f aca="false">INDEX($F133:$AG133,1,MATCH(AL$7,$F$7:$AG$7,1))</f>
        <v>58</v>
      </c>
      <c r="AM133" s="106" t="n">
        <f aca="false">INDEX($F133:$AG133,1,MATCH(AM$7,$F$7:$AG$7,1))</f>
        <v>58</v>
      </c>
      <c r="AN133" s="106" t="n">
        <f aca="false">INDEX($F133:$AG133,1,MATCH(AN$7,$F$7:$AG$7,1))</f>
        <v>58</v>
      </c>
      <c r="AO133" s="106" t="n">
        <f aca="false">INDEX($F133:$AG133,1,MATCH(AO$7,$F$7:$AG$7,1))</f>
        <v>58</v>
      </c>
    </row>
    <row r="134" customFormat="false" ht="15" hidden="false" customHeight="false" outlineLevel="0" collapsed="false">
      <c r="A134" s="104" t="s">
        <v>1372</v>
      </c>
      <c r="B134" s="20" t="s">
        <v>575</v>
      </c>
      <c r="C134" s="20" t="s">
        <v>513</v>
      </c>
      <c r="D134" s="20"/>
      <c r="O134" s="105" t="n">
        <v>18</v>
      </c>
      <c r="P134" s="105" t="n">
        <v>18</v>
      </c>
      <c r="Q134" s="105" t="n">
        <v>18</v>
      </c>
      <c r="R134" s="105" t="n">
        <v>18</v>
      </c>
      <c r="S134" s="105" t="n">
        <v>18</v>
      </c>
      <c r="T134" s="105" t="n">
        <v>18</v>
      </c>
      <c r="U134" s="105" t="n">
        <v>18</v>
      </c>
      <c r="V134" s="105" t="n">
        <v>18</v>
      </c>
      <c r="W134" s="105" t="n">
        <v>18</v>
      </c>
      <c r="X134" s="105" t="n">
        <v>18</v>
      </c>
      <c r="Y134" s="105" t="n">
        <v>18</v>
      </c>
      <c r="Z134" s="105" t="n">
        <v>18</v>
      </c>
      <c r="AA134" s="105" t="n">
        <v>18</v>
      </c>
      <c r="AB134" s="105" t="n">
        <v>18</v>
      </c>
      <c r="AC134" s="105" t="n">
        <v>18</v>
      </c>
      <c r="AD134" s="105" t="n">
        <v>18</v>
      </c>
      <c r="AE134" s="105" t="n">
        <v>18</v>
      </c>
      <c r="AF134" s="105" t="n">
        <v>18</v>
      </c>
      <c r="AG134" s="105" t="n">
        <v>18</v>
      </c>
      <c r="AI134" s="106" t="n">
        <f aca="false">INDEX($F134:$AG134,1,MATCH(AI$7,$F$7:$AG$7,1))</f>
        <v>0</v>
      </c>
      <c r="AJ134" s="106" t="n">
        <f aca="false">INDEX($F134:$AG134,1,MATCH(AJ$7,$F$7:$AG$7,1))</f>
        <v>0</v>
      </c>
      <c r="AK134" s="106" t="n">
        <f aca="false">INDEX($F134:$AG134,1,MATCH(AK$7,$F$7:$AG$7,1))</f>
        <v>18</v>
      </c>
      <c r="AL134" s="106" t="n">
        <f aca="false">INDEX($F134:$AG134,1,MATCH(AL$7,$F$7:$AG$7,1))</f>
        <v>18</v>
      </c>
      <c r="AM134" s="106" t="n">
        <f aca="false">INDEX($F134:$AG134,1,MATCH(AM$7,$F$7:$AG$7,1))</f>
        <v>18</v>
      </c>
      <c r="AN134" s="106" t="n">
        <f aca="false">INDEX($F134:$AG134,1,MATCH(AN$7,$F$7:$AG$7,1))</f>
        <v>18</v>
      </c>
      <c r="AO134" s="106" t="n">
        <f aca="false">INDEX($F134:$AG134,1,MATCH(AO$7,$F$7:$AG$7,1))</f>
        <v>18</v>
      </c>
    </row>
    <row r="135" customFormat="false" ht="15" hidden="false" customHeight="false" outlineLevel="0" collapsed="false">
      <c r="A135" s="104" t="s">
        <v>1373</v>
      </c>
      <c r="B135" s="20" t="s">
        <v>575</v>
      </c>
      <c r="C135" s="20" t="s">
        <v>513</v>
      </c>
      <c r="D135" s="20"/>
      <c r="O135" s="105" t="n">
        <v>22</v>
      </c>
      <c r="P135" s="105" t="n">
        <v>22</v>
      </c>
      <c r="Q135" s="105" t="n">
        <v>22</v>
      </c>
      <c r="R135" s="105" t="n">
        <v>22</v>
      </c>
      <c r="S135" s="105" t="n">
        <v>22</v>
      </c>
      <c r="T135" s="105" t="n">
        <v>22</v>
      </c>
      <c r="U135" s="105" t="n">
        <v>22</v>
      </c>
      <c r="V135" s="105" t="n">
        <v>22</v>
      </c>
      <c r="W135" s="105" t="n">
        <v>22</v>
      </c>
      <c r="X135" s="105" t="n">
        <v>22</v>
      </c>
      <c r="Y135" s="105" t="n">
        <v>22</v>
      </c>
      <c r="Z135" s="105" t="n">
        <v>22</v>
      </c>
      <c r="AA135" s="105" t="n">
        <v>22</v>
      </c>
      <c r="AB135" s="105" t="n">
        <v>22</v>
      </c>
      <c r="AC135" s="105" t="n">
        <v>22</v>
      </c>
      <c r="AD135" s="105" t="n">
        <v>22</v>
      </c>
      <c r="AE135" s="105" t="n">
        <v>22</v>
      </c>
      <c r="AF135" s="105" t="n">
        <v>22</v>
      </c>
      <c r="AG135" s="105" t="n">
        <v>22</v>
      </c>
      <c r="AI135" s="106" t="n">
        <f aca="false">INDEX($F135:$AG135,1,MATCH(AI$7,$F$7:$AG$7,1))</f>
        <v>0</v>
      </c>
      <c r="AJ135" s="106" t="n">
        <f aca="false">INDEX($F135:$AG135,1,MATCH(AJ$7,$F$7:$AG$7,1))</f>
        <v>0</v>
      </c>
      <c r="AK135" s="106" t="n">
        <f aca="false">INDEX($F135:$AG135,1,MATCH(AK$7,$F$7:$AG$7,1))</f>
        <v>22</v>
      </c>
      <c r="AL135" s="106" t="n">
        <f aca="false">INDEX($F135:$AG135,1,MATCH(AL$7,$F$7:$AG$7,1))</f>
        <v>22</v>
      </c>
      <c r="AM135" s="106" t="n">
        <f aca="false">INDEX($F135:$AG135,1,MATCH(AM$7,$F$7:$AG$7,1))</f>
        <v>22</v>
      </c>
      <c r="AN135" s="106" t="n">
        <f aca="false">INDEX($F135:$AG135,1,MATCH(AN$7,$F$7:$AG$7,1))</f>
        <v>22</v>
      </c>
      <c r="AO135" s="106" t="n">
        <f aca="false">INDEX($F135:$AG135,1,MATCH(AO$7,$F$7:$AG$7,1))</f>
        <v>22</v>
      </c>
    </row>
    <row r="136" customFormat="false" ht="15" hidden="false" customHeight="false" outlineLevel="0" collapsed="false">
      <c r="A136" s="104" t="s">
        <v>1374</v>
      </c>
      <c r="B136" s="20" t="s">
        <v>575</v>
      </c>
      <c r="C136" s="20" t="s">
        <v>513</v>
      </c>
      <c r="D136" s="20"/>
      <c r="AI136" s="106" t="n">
        <f aca="false">INDEX($F136:$AG136,1,MATCH(AI$7,$F$7:$AG$7,1))</f>
        <v>0</v>
      </c>
      <c r="AJ136" s="106" t="n">
        <f aca="false">INDEX($F136:$AG136,1,MATCH(AJ$7,$F$7:$AG$7,1))</f>
        <v>0</v>
      </c>
      <c r="AK136" s="106" t="n">
        <f aca="false">INDEX($F136:$AG136,1,MATCH(AK$7,$F$7:$AG$7,1))</f>
        <v>0</v>
      </c>
      <c r="AL136" s="106" t="n">
        <f aca="false">INDEX($F136:$AG136,1,MATCH(AL$7,$F$7:$AG$7,1))</f>
        <v>0</v>
      </c>
      <c r="AM136" s="106" t="n">
        <f aca="false">INDEX($F136:$AG136,1,MATCH(AM$7,$F$7:$AG$7,1))</f>
        <v>0</v>
      </c>
      <c r="AN136" s="106" t="n">
        <f aca="false">INDEX($F136:$AG136,1,MATCH(AN$7,$F$7:$AG$7,1))</f>
        <v>0</v>
      </c>
      <c r="AO136" s="106" t="n">
        <f aca="false">INDEX($F136:$AG136,1,MATCH(AO$7,$F$7:$AG$7,1))</f>
        <v>0</v>
      </c>
    </row>
    <row r="137" customFormat="false" ht="15" hidden="false" customHeight="false" outlineLevel="0" collapsed="false">
      <c r="A137" s="104" t="s">
        <v>1376</v>
      </c>
      <c r="B137" s="20" t="s">
        <v>575</v>
      </c>
      <c r="C137" s="20" t="s">
        <v>513</v>
      </c>
      <c r="D137" s="20"/>
      <c r="AI137" s="106" t="n">
        <f aca="false">INDEX($F137:$AG137,1,MATCH(AI$7,$F$7:$AG$7,1))</f>
        <v>0</v>
      </c>
      <c r="AJ137" s="106" t="n">
        <f aca="false">INDEX($F137:$AG137,1,MATCH(AJ$7,$F$7:$AG$7,1))</f>
        <v>0</v>
      </c>
      <c r="AK137" s="106" t="n">
        <f aca="false">INDEX($F137:$AG137,1,MATCH(AK$7,$F$7:$AG$7,1))</f>
        <v>0</v>
      </c>
      <c r="AL137" s="106" t="n">
        <f aca="false">INDEX($F137:$AG137,1,MATCH(AL$7,$F$7:$AG$7,1))</f>
        <v>0</v>
      </c>
      <c r="AM137" s="106" t="n">
        <f aca="false">INDEX($F137:$AG137,1,MATCH(AM$7,$F$7:$AG$7,1))</f>
        <v>0</v>
      </c>
      <c r="AN137" s="106" t="n">
        <f aca="false">INDEX($F137:$AG137,1,MATCH(AN$7,$F$7:$AG$7,1))</f>
        <v>0</v>
      </c>
      <c r="AO137" s="106" t="n">
        <f aca="false">INDEX($F137:$AG137,1,MATCH(AO$7,$F$7:$AG$7,1))</f>
        <v>0</v>
      </c>
    </row>
    <row r="138" customFormat="false" ht="15" hidden="false" customHeight="false" outlineLevel="0" collapsed="false">
      <c r="A138" s="104" t="s">
        <v>1377</v>
      </c>
      <c r="B138" s="20" t="s">
        <v>575</v>
      </c>
      <c r="C138" s="20" t="s">
        <v>513</v>
      </c>
      <c r="D138" s="20"/>
      <c r="AI138" s="106" t="n">
        <f aca="false">INDEX($F138:$AG138,1,MATCH(AI$7,$F$7:$AG$7,1))</f>
        <v>0</v>
      </c>
      <c r="AJ138" s="106" t="n">
        <f aca="false">INDEX($F138:$AG138,1,MATCH(AJ$7,$F$7:$AG$7,1))</f>
        <v>0</v>
      </c>
      <c r="AK138" s="106" t="n">
        <f aca="false">INDEX($F138:$AG138,1,MATCH(AK$7,$F$7:$AG$7,1))</f>
        <v>0</v>
      </c>
      <c r="AL138" s="106" t="n">
        <f aca="false">INDEX($F138:$AG138,1,MATCH(AL$7,$F$7:$AG$7,1))</f>
        <v>0</v>
      </c>
      <c r="AM138" s="106" t="n">
        <f aca="false">INDEX($F138:$AG138,1,MATCH(AM$7,$F$7:$AG$7,1))</f>
        <v>0</v>
      </c>
      <c r="AN138" s="106" t="n">
        <f aca="false">INDEX($F138:$AG138,1,MATCH(AN$7,$F$7:$AG$7,1))</f>
        <v>0</v>
      </c>
      <c r="AO138" s="106" t="n">
        <f aca="false">INDEX($F138:$AG138,1,MATCH(AO$7,$F$7:$AG$7,1))</f>
        <v>0</v>
      </c>
    </row>
    <row r="139" customFormat="false" ht="15" hidden="false" customHeight="false" outlineLevel="0" collapsed="false">
      <c r="A139" s="104" t="s">
        <v>1378</v>
      </c>
      <c r="B139" s="20" t="s">
        <v>575</v>
      </c>
      <c r="C139" s="20" t="s">
        <v>513</v>
      </c>
      <c r="D139" s="20"/>
      <c r="P139" s="105" t="n">
        <v>50</v>
      </c>
      <c r="Q139" s="105" t="n">
        <v>50</v>
      </c>
      <c r="R139" s="105" t="n">
        <v>50</v>
      </c>
      <c r="S139" s="105" t="n">
        <v>50</v>
      </c>
      <c r="T139" s="105" t="n">
        <v>50</v>
      </c>
      <c r="U139" s="105" t="n">
        <v>50</v>
      </c>
      <c r="V139" s="105" t="n">
        <v>50</v>
      </c>
      <c r="W139" s="105" t="n">
        <v>50</v>
      </c>
      <c r="X139" s="105" t="n">
        <v>50</v>
      </c>
      <c r="Y139" s="105" t="n">
        <v>50</v>
      </c>
      <c r="Z139" s="105" t="n">
        <v>50</v>
      </c>
      <c r="AA139" s="105" t="n">
        <v>50</v>
      </c>
      <c r="AB139" s="105" t="n">
        <v>50</v>
      </c>
      <c r="AC139" s="105" t="n">
        <v>50</v>
      </c>
      <c r="AD139" s="105" t="n">
        <v>50</v>
      </c>
      <c r="AE139" s="105" t="n">
        <v>50</v>
      </c>
      <c r="AF139" s="105" t="n">
        <v>50</v>
      </c>
      <c r="AG139" s="105" t="n">
        <v>50</v>
      </c>
      <c r="AI139" s="106" t="n">
        <f aca="false">INDEX($F139:$AG139,1,MATCH(AI$7,$F$7:$AG$7,1))</f>
        <v>0</v>
      </c>
      <c r="AJ139" s="106" t="n">
        <f aca="false">INDEX($F139:$AG139,1,MATCH(AJ$7,$F$7:$AG$7,1))</f>
        <v>0</v>
      </c>
      <c r="AK139" s="106" t="n">
        <f aca="false">INDEX($F139:$AG139,1,MATCH(AK$7,$F$7:$AG$7,1))</f>
        <v>50</v>
      </c>
      <c r="AL139" s="106" t="n">
        <f aca="false">INDEX($F139:$AG139,1,MATCH(AL$7,$F$7:$AG$7,1))</f>
        <v>50</v>
      </c>
      <c r="AM139" s="106" t="n">
        <f aca="false">INDEX($F139:$AG139,1,MATCH(AM$7,$F$7:$AG$7,1))</f>
        <v>50</v>
      </c>
      <c r="AN139" s="106" t="n">
        <f aca="false">INDEX($F139:$AG139,1,MATCH(AN$7,$F$7:$AG$7,1))</f>
        <v>50</v>
      </c>
      <c r="AO139" s="106" t="n">
        <f aca="false">INDEX($F139:$AG139,1,MATCH(AO$7,$F$7:$AG$7,1))</f>
        <v>50</v>
      </c>
    </row>
    <row r="140" customFormat="false" ht="15" hidden="false" customHeight="false" outlineLevel="0" collapsed="false">
      <c r="A140" s="104" t="s">
        <v>1379</v>
      </c>
      <c r="B140" s="20" t="s">
        <v>575</v>
      </c>
      <c r="C140" s="20" t="s">
        <v>513</v>
      </c>
      <c r="D140" s="20"/>
      <c r="AI140" s="106" t="n">
        <f aca="false">INDEX($F140:$AG140,1,MATCH(AI$7,$F$7:$AG$7,1))</f>
        <v>0</v>
      </c>
      <c r="AJ140" s="106" t="n">
        <f aca="false">INDEX($F140:$AG140,1,MATCH(AJ$7,$F$7:$AG$7,1))</f>
        <v>0</v>
      </c>
      <c r="AK140" s="106" t="n">
        <f aca="false">INDEX($F140:$AG140,1,MATCH(AK$7,$F$7:$AG$7,1))</f>
        <v>0</v>
      </c>
      <c r="AL140" s="106" t="n">
        <f aca="false">INDEX($F140:$AG140,1,MATCH(AL$7,$F$7:$AG$7,1))</f>
        <v>0</v>
      </c>
      <c r="AM140" s="106" t="n">
        <f aca="false">INDEX($F140:$AG140,1,MATCH(AM$7,$F$7:$AG$7,1))</f>
        <v>0</v>
      </c>
      <c r="AN140" s="106" t="n">
        <f aca="false">INDEX($F140:$AG140,1,MATCH(AN$7,$F$7:$AG$7,1))</f>
        <v>0</v>
      </c>
      <c r="AO140" s="106" t="n">
        <f aca="false">INDEX($F140:$AG140,1,MATCH(AO$7,$F$7:$AG$7,1))</f>
        <v>0</v>
      </c>
    </row>
    <row r="141" customFormat="false" ht="15" hidden="false" customHeight="false" outlineLevel="0" collapsed="false">
      <c r="A141" s="104" t="s">
        <v>1464</v>
      </c>
      <c r="B141" s="20" t="s">
        <v>575</v>
      </c>
      <c r="C141" s="20" t="s">
        <v>513</v>
      </c>
      <c r="D141" s="20" t="s">
        <v>1465</v>
      </c>
      <c r="E141" s="0" t="s">
        <v>1345</v>
      </c>
      <c r="M141" s="110" t="n">
        <v>2000</v>
      </c>
      <c r="N141" s="105" t="n">
        <v>2750</v>
      </c>
      <c r="O141" s="110" t="n">
        <v>3500</v>
      </c>
      <c r="P141" s="105" t="n">
        <v>4250</v>
      </c>
      <c r="Q141" s="110" t="n">
        <v>5000</v>
      </c>
      <c r="R141" s="105" t="n">
        <v>5000</v>
      </c>
      <c r="S141" s="105" t="n">
        <v>5000</v>
      </c>
      <c r="T141" s="105" t="n">
        <v>5000</v>
      </c>
      <c r="U141" s="105" t="n">
        <v>5000</v>
      </c>
      <c r="V141" s="105" t="n">
        <v>5000</v>
      </c>
      <c r="W141" s="105" t="n">
        <v>5000</v>
      </c>
      <c r="X141" s="105" t="n">
        <v>5000</v>
      </c>
      <c r="Y141" s="105" t="n">
        <v>5000</v>
      </c>
      <c r="Z141" s="105" t="n">
        <v>5000</v>
      </c>
      <c r="AA141" s="105" t="n">
        <v>5000</v>
      </c>
      <c r="AB141" s="105" t="n">
        <v>5000</v>
      </c>
      <c r="AC141" s="105" t="n">
        <v>5000</v>
      </c>
      <c r="AD141" s="105" t="n">
        <v>5000</v>
      </c>
      <c r="AE141" s="105" t="n">
        <v>5000</v>
      </c>
      <c r="AF141" s="105" t="n">
        <v>5000</v>
      </c>
      <c r="AG141" s="105" t="n">
        <v>5000</v>
      </c>
      <c r="AI141" s="106" t="n">
        <f aca="false">INDEX($F141:$AG141,1,MATCH(AI$7,$F$7:$AG$7,1))</f>
        <v>0</v>
      </c>
      <c r="AJ141" s="106" t="n">
        <f aca="false">INDEX($F141:$AG141,1,MATCH(AJ$7,$F$7:$AG$7,1))</f>
        <v>2000</v>
      </c>
      <c r="AK141" s="106" t="n">
        <f aca="false">INDEX($F141:$AG141,1,MATCH(AK$7,$F$7:$AG$7,1))</f>
        <v>5000</v>
      </c>
      <c r="AL141" s="106" t="n">
        <f aca="false">INDEX($F141:$AG141,1,MATCH(AL$7,$F$7:$AG$7,1))</f>
        <v>5000</v>
      </c>
      <c r="AM141" s="106" t="n">
        <f aca="false">INDEX($F141:$AG141,1,MATCH(AM$7,$F$7:$AG$7,1))</f>
        <v>5000</v>
      </c>
      <c r="AN141" s="106" t="n">
        <f aca="false">INDEX($F141:$AG141,1,MATCH(AN$7,$F$7:$AG$7,1))</f>
        <v>5000</v>
      </c>
      <c r="AO141" s="106" t="n">
        <f aca="false">INDEX($F141:$AG141,1,MATCH(AO$7,$F$7:$AG$7,1))</f>
        <v>5000</v>
      </c>
    </row>
    <row r="142" customFormat="false" ht="15" hidden="false" customHeight="false" outlineLevel="0" collapsed="false">
      <c r="A142" s="104" t="s">
        <v>1466</v>
      </c>
      <c r="B142" s="20" t="s">
        <v>575</v>
      </c>
      <c r="C142" s="20" t="s">
        <v>495</v>
      </c>
      <c r="D142" s="20" t="s">
        <v>1467</v>
      </c>
      <c r="F142" s="109" t="n">
        <f aca="false">MAX(0,N(F141)*(1/PUE)-SUMPRODUCT(F117:F140,$F$12:$F$35))</f>
        <v>0</v>
      </c>
      <c r="G142" s="109" t="n">
        <f aca="false">MAX(0,N(G141)*(1/PUE)-SUMPRODUCT(G117:G140,$F$12:$F$35))</f>
        <v>0</v>
      </c>
      <c r="H142" s="109" t="n">
        <f aca="false">MAX(0,N(H141)*(1/PUE)-SUMPRODUCT(H117:H140,$F$12:$F$35))</f>
        <v>0</v>
      </c>
      <c r="I142" s="109" t="n">
        <f aca="false">MAX(0,N(I141)*(1/PUE)-SUMPRODUCT(I117:I140,$F$12:$F$35))</f>
        <v>0</v>
      </c>
      <c r="J142" s="109" t="n">
        <f aca="false">MAX(0,N(J141)*(1/PUE)-SUMPRODUCT(J117:J140,$F$12:$F$35))</f>
        <v>0</v>
      </c>
      <c r="K142" s="109" t="n">
        <f aca="false">MAX(0,N(K141)*(1/PUE)-SUMPRODUCT(K117:K140,$F$12:$F$35))</f>
        <v>0</v>
      </c>
      <c r="L142" s="109" t="n">
        <f aca="false">MAX(0,N(L141)*(1/PUE)-SUMPRODUCT(L117:L140,$F$12:$F$35))</f>
        <v>0</v>
      </c>
      <c r="M142" s="109" t="n">
        <f aca="false">MAX(0,N(M141)*(1/PUE)-SUMPRODUCT(M117:M140,$F$12:$F$35))</f>
        <v>0</v>
      </c>
      <c r="N142" s="109" t="n">
        <f aca="false">MAX(0,N(N141)*(1/PUE)-SUMPRODUCT(N117:N140,$F$12:$F$35))</f>
        <v>42</v>
      </c>
      <c r="O142" s="109" t="n">
        <f aca="false">MAX(0,N(O141)*(1/PUE)-SUMPRODUCT(O117:O140,$F$12:$F$35))</f>
        <v>0</v>
      </c>
      <c r="P142" s="106" t="n">
        <f aca="false">MAX(0,N(P141)*(1/PUE)-SUMPRODUCT(P117:P140,$F$12:$F$35))</f>
        <v>111</v>
      </c>
      <c r="Q142" s="106" t="n">
        <f aca="false">MAX(0,N(Q141)*(1/PUE)-SUMPRODUCT(Q117:Q140,$F$12:$F$35))</f>
        <v>711</v>
      </c>
      <c r="R142" s="106" t="n">
        <f aca="false">MAX(0,N(R141)*(1/PUE)-SUMPRODUCT(R117:R140,$F$12:$F$35))</f>
        <v>711</v>
      </c>
      <c r="S142" s="106" t="n">
        <f aca="false">MAX(0,N(S141)*(1/PUE)-SUMPRODUCT(S117:S140,$F$12:$F$35))</f>
        <v>711</v>
      </c>
      <c r="T142" s="106" t="n">
        <f aca="false">MAX(0,N(T141)*(1/PUE)-SUMPRODUCT(T117:T140,$F$12:$F$35))</f>
        <v>711</v>
      </c>
      <c r="U142" s="106" t="n">
        <f aca="false">MAX(0,N(U141)*(1/PUE)-SUMPRODUCT(U117:U140,$F$12:$F$35))</f>
        <v>711</v>
      </c>
      <c r="V142" s="106" t="n">
        <f aca="false">MAX(0,N(V141)*(1/PUE)-SUMPRODUCT(V117:V140,$F$12:$F$35))</f>
        <v>711</v>
      </c>
      <c r="W142" s="106" t="n">
        <f aca="false">MAX(0,N(W141)*(1/PUE)-SUMPRODUCT(W117:W140,$F$12:$F$35))</f>
        <v>711</v>
      </c>
      <c r="X142" s="106" t="n">
        <f aca="false">MAX(0,N(X141)*(1/PUE)-SUMPRODUCT(X117:X140,$F$12:$F$35))</f>
        <v>711</v>
      </c>
      <c r="Y142" s="106" t="n">
        <f aca="false">MAX(0,N(Y141)*(1/PUE)-SUMPRODUCT(Y117:Y140,$F$12:$F$35))</f>
        <v>711</v>
      </c>
      <c r="Z142" s="106" t="n">
        <f aca="false">MAX(0,N(Z141)*(1/PUE)-SUMPRODUCT(Z117:Z140,$F$12:$F$35))</f>
        <v>711</v>
      </c>
      <c r="AA142" s="106" t="n">
        <f aca="false">MAX(0,N(AA141)*(1/PUE)-SUMPRODUCT(AA117:AA140,$F$12:$F$35))</f>
        <v>711</v>
      </c>
      <c r="AB142" s="106" t="n">
        <f aca="false">MAX(0,N(AB141)*(1/PUE)-SUMPRODUCT(AB117:AB140,$F$12:$F$35))</f>
        <v>711</v>
      </c>
      <c r="AC142" s="106" t="n">
        <f aca="false">MAX(0,N(AC141)*(1/PUE)-SUMPRODUCT(AC117:AC140,$F$12:$F$35))</f>
        <v>711</v>
      </c>
      <c r="AD142" s="106" t="n">
        <f aca="false">MAX(0,N(AD141)*(1/PUE)-SUMPRODUCT(AD117:AD140,$F$12:$F$35))</f>
        <v>711</v>
      </c>
      <c r="AE142" s="106" t="n">
        <f aca="false">MAX(0,N(AE141)*(1/PUE)-SUMPRODUCT(AE117:AE140,$F$12:$F$35))</f>
        <v>711</v>
      </c>
      <c r="AF142" s="106" t="n">
        <f aca="false">MAX(0,N(AF141)*(1/PUE)-SUMPRODUCT(AF117:AF140,$F$12:$F$35))</f>
        <v>711</v>
      </c>
      <c r="AG142" s="106" t="n">
        <f aca="false">MAX(0,N(AG141)*(1/PUE)-SUMPRODUCT(AG117:AG140,$F$12:$F$35))</f>
        <v>711</v>
      </c>
      <c r="AI142" s="106" t="n">
        <f aca="false">INDEX($F142:$AG142,1,MATCH(AI$7,$F$7:$AG$7,1))</f>
        <v>0</v>
      </c>
      <c r="AJ142" s="106" t="n">
        <f aca="false">INDEX($F142:$AG142,1,MATCH(AJ$7,$F$7:$AG$7,1))</f>
        <v>0</v>
      </c>
      <c r="AK142" s="106" t="n">
        <f aca="false">INDEX($F142:$AG142,1,MATCH(AK$7,$F$7:$AG$7,1))</f>
        <v>711</v>
      </c>
      <c r="AL142" s="106" t="n">
        <f aca="false">INDEX($F142:$AG142,1,MATCH(AL$7,$F$7:$AG$7,1))</f>
        <v>711</v>
      </c>
      <c r="AM142" s="106" t="n">
        <f aca="false">INDEX($F142:$AG142,1,MATCH(AM$7,$F$7:$AG$7,1))</f>
        <v>711</v>
      </c>
      <c r="AN142" s="106" t="n">
        <f aca="false">INDEX($F142:$AG142,1,MATCH(AN$7,$F$7:$AG$7,1))</f>
        <v>711</v>
      </c>
      <c r="AO142" s="106" t="n">
        <f aca="false">INDEX($F142:$AG142,1,MATCH(AO$7,$F$7:$AG$7,1))</f>
        <v>711</v>
      </c>
    </row>
    <row r="143" customFormat="false" ht="15" hidden="false" customHeight="false" outlineLevel="0" collapsed="false">
      <c r="A143" s="3" t="s">
        <v>1468</v>
      </c>
      <c r="B143" s="20" t="s">
        <v>575</v>
      </c>
      <c r="C143" s="20" t="s">
        <v>495</v>
      </c>
      <c r="D143" s="20" t="s">
        <v>1469</v>
      </c>
      <c r="F143" s="111" t="n">
        <f aca="false">SUMPRODUCT(F117:F140,$F$12:$F$35)+F142</f>
        <v>0</v>
      </c>
      <c r="G143" s="111" t="n">
        <f aca="false">SUMPRODUCT(G117:G140,$F$12:$F$35)+G142</f>
        <v>0</v>
      </c>
      <c r="H143" s="111" t="n">
        <f aca="false">SUMPRODUCT(H117:H140,$F$12:$F$35)+H142</f>
        <v>5</v>
      </c>
      <c r="I143" s="111" t="n">
        <f aca="false">SUMPRODUCT(I117:I140,$F$12:$F$35)+I142</f>
        <v>130</v>
      </c>
      <c r="J143" s="111" t="n">
        <f aca="false">SUMPRODUCT(J117:J140,$F$12:$F$35)+J142</f>
        <v>430</v>
      </c>
      <c r="K143" s="111" t="n">
        <f aca="false">SUMPRODUCT(K117:K140,$F$12:$F$35)+K142</f>
        <v>454</v>
      </c>
      <c r="L143" s="111" t="n">
        <f aca="false">SUMPRODUCT(L117:L140,$F$12:$F$35)+L142</f>
        <v>694</v>
      </c>
      <c r="M143" s="111" t="n">
        <f aca="false">SUMPRODUCT(M117:M140,$F$12:$F$35)+M142</f>
        <v>1654</v>
      </c>
      <c r="N143" s="111" t="n">
        <f aca="false">SUMPRODUCT(N117:N140,$F$12:$F$35)+N142</f>
        <v>2200</v>
      </c>
      <c r="O143" s="111" t="n">
        <f aca="false">SUMPRODUCT(O117:O140,$F$12:$F$35)+O142</f>
        <v>3239</v>
      </c>
      <c r="P143" s="112" t="n">
        <f aca="false">SUMPRODUCT(P117:P140,$F$12:$F$35)+P142</f>
        <v>3400</v>
      </c>
      <c r="Q143" s="112" t="n">
        <f aca="false">SUMPRODUCT(Q117:Q140,$F$12:$F$35)+Q142</f>
        <v>4000</v>
      </c>
      <c r="R143" s="112" t="n">
        <f aca="false">SUMPRODUCT(R117:R140,$F$12:$F$35)+R142</f>
        <v>4000</v>
      </c>
      <c r="S143" s="112" t="n">
        <f aca="false">SUMPRODUCT(S117:S140,$F$12:$F$35)+S142</f>
        <v>4000</v>
      </c>
      <c r="T143" s="112" t="n">
        <f aca="false">SUMPRODUCT(T117:T140,$F$12:$F$35)+T142</f>
        <v>4000</v>
      </c>
      <c r="U143" s="112" t="n">
        <f aca="false">SUMPRODUCT(U117:U140,$F$12:$F$35)+U142</f>
        <v>4000</v>
      </c>
      <c r="V143" s="112" t="n">
        <f aca="false">SUMPRODUCT(V117:V140,$F$12:$F$35)+V142</f>
        <v>4000</v>
      </c>
      <c r="W143" s="112" t="n">
        <f aca="false">SUMPRODUCT(W117:W140,$F$12:$F$35)+W142</f>
        <v>4000</v>
      </c>
      <c r="X143" s="112" t="n">
        <f aca="false">SUMPRODUCT(X117:X140,$F$12:$F$35)+X142</f>
        <v>4000</v>
      </c>
      <c r="Y143" s="112" t="n">
        <f aca="false">SUMPRODUCT(Y117:Y140,$F$12:$F$35)+Y142</f>
        <v>4000</v>
      </c>
      <c r="Z143" s="112" t="n">
        <f aca="false">SUMPRODUCT(Z117:Z140,$F$12:$F$35)+Z142</f>
        <v>4000</v>
      </c>
      <c r="AA143" s="112" t="n">
        <f aca="false">SUMPRODUCT(AA117:AA140,$F$12:$F$35)+AA142</f>
        <v>4000</v>
      </c>
      <c r="AB143" s="112" t="n">
        <f aca="false">SUMPRODUCT(AB117:AB140,$F$12:$F$35)+AB142</f>
        <v>4000</v>
      </c>
      <c r="AC143" s="112" t="n">
        <f aca="false">SUMPRODUCT(AC117:AC140,$F$12:$F$35)+AC142</f>
        <v>4000</v>
      </c>
      <c r="AD143" s="112" t="n">
        <f aca="false">SUMPRODUCT(AD117:AD140,$F$12:$F$35)+AD142</f>
        <v>4000</v>
      </c>
      <c r="AE143" s="112" t="n">
        <f aca="false">SUMPRODUCT(AE117:AE140,$F$12:$F$35)+AE142</f>
        <v>4000</v>
      </c>
      <c r="AF143" s="112" t="n">
        <f aca="false">SUMPRODUCT(AF117:AF140,$F$12:$F$35)+AF142</f>
        <v>4000</v>
      </c>
      <c r="AG143" s="112" t="n">
        <f aca="false">SUMPRODUCT(AG117:AG140,$F$12:$F$35)+AG142</f>
        <v>4000</v>
      </c>
      <c r="AI143" s="112" t="n">
        <f aca="false">INDEX($F143:$AG143,1,MATCH(AI$7,$F$7:$AG$7,1))</f>
        <v>130</v>
      </c>
      <c r="AJ143" s="112" t="n">
        <f aca="false">INDEX($F143:$AG143,1,MATCH(AJ$7,$F$7:$AG$7,1))</f>
        <v>1654</v>
      </c>
      <c r="AK143" s="112" t="n">
        <f aca="false">INDEX($F143:$AG143,1,MATCH(AK$7,$F$7:$AG$7,1))</f>
        <v>4000</v>
      </c>
      <c r="AL143" s="112" t="n">
        <f aca="false">INDEX($F143:$AG143,1,MATCH(AL$7,$F$7:$AG$7,1))</f>
        <v>4000</v>
      </c>
      <c r="AM143" s="112" t="n">
        <f aca="false">INDEX($F143:$AG143,1,MATCH(AM$7,$F$7:$AG$7,1))</f>
        <v>4000</v>
      </c>
      <c r="AN143" s="112" t="n">
        <f aca="false">INDEX($F143:$AG143,1,MATCH(AN$7,$F$7:$AG$7,1))</f>
        <v>4000</v>
      </c>
      <c r="AO143" s="112" t="n">
        <f aca="false">INDEX($F143:$AG143,1,MATCH(AO$7,$F$7:$AG$7,1))</f>
        <v>4000</v>
      </c>
    </row>
    <row r="144" customFormat="false" ht="15" hidden="false" customHeight="false" outlineLevel="0" collapsed="false">
      <c r="A144" s="104" t="s">
        <v>1470</v>
      </c>
      <c r="B144" s="20" t="s">
        <v>575</v>
      </c>
      <c r="C144" s="20" t="s">
        <v>495</v>
      </c>
      <c r="D144" s="20"/>
      <c r="F144" s="109" t="n">
        <f aca="false">SUMPRODUCT(F117:F140,$F$12:$F$35,$G$12:$G$35)+F142*INDEX(OwnedSh,1,F$7-FYBase)</f>
        <v>0</v>
      </c>
      <c r="G144" s="109" t="n">
        <f aca="false">SUMPRODUCT(G117:G140,$F$12:$F$35,$G$12:$G$35)+G142*INDEX(OwnedSh,1,G$7-FYBase)</f>
        <v>0</v>
      </c>
      <c r="H144" s="109" t="n">
        <f aca="false">SUMPRODUCT(H117:H140,$F$12:$F$35,$G$12:$G$35)+H142*INDEX(OwnedSh,1,H$7-FYBase)</f>
        <v>0</v>
      </c>
      <c r="I144" s="109" t="n">
        <f aca="false">SUMPRODUCT(I117:I140,$F$12:$F$35,$G$12:$G$35)+I142*INDEX(OwnedSh,1,I$7-FYBase)</f>
        <v>75</v>
      </c>
      <c r="J144" s="109" t="n">
        <f aca="false">SUMPRODUCT(J117:J140,$F$12:$F$35,$G$12:$G$35)+J142*INDEX(OwnedSh,1,J$7-FYBase)</f>
        <v>75</v>
      </c>
      <c r="K144" s="109" t="n">
        <f aca="false">SUMPRODUCT(K117:K140,$F$12:$F$35,$G$12:$G$35)+K142*INDEX(OwnedSh,1,K$7-FYBase)</f>
        <v>75</v>
      </c>
      <c r="L144" s="109" t="n">
        <f aca="false">SUMPRODUCT(L117:L140,$F$12:$F$35,$G$12:$G$35)+L142*INDEX(OwnedSh,1,L$7-FYBase)</f>
        <v>315</v>
      </c>
      <c r="M144" s="109" t="n">
        <f aca="false">SUMPRODUCT(M117:M140,$F$12:$F$35,$G$12:$G$35)+M142*INDEX(OwnedSh,1,M$7-FYBase)</f>
        <v>1275</v>
      </c>
      <c r="N144" s="109" t="n">
        <f aca="false">SUMPRODUCT(N117:N140,$F$12:$F$35,$G$12:$G$35)+N142*INDEX(OwnedSh,1,N$7-FYBase)</f>
        <v>1535.6</v>
      </c>
      <c r="O144" s="109" t="n">
        <f aca="false">SUMPRODUCT(O117:O140,$F$12:$F$35,$G$12:$G$35)+O142*INDEX(OwnedSh,1,O$7-FYBase)</f>
        <v>2539</v>
      </c>
      <c r="P144" s="106" t="n">
        <f aca="false">SUMPRODUCT(P117:P140,$F$12:$F$35,$G$12:$G$35)+P142*INDEX(OwnedSh,1,P$7-FYBase)</f>
        <v>2572.3</v>
      </c>
      <c r="Q144" s="106" t="n">
        <f aca="false">SUMPRODUCT(Q117:Q140,$F$12:$F$35,$G$12:$G$35)+Q142*INDEX(OwnedSh,1,Q$7-FYBase)</f>
        <v>2752.3</v>
      </c>
      <c r="R144" s="106" t="n">
        <f aca="false">SUMPRODUCT(R117:R140,$F$12:$F$35,$G$12:$G$35)+R142*INDEX(OwnedSh,1,R$7-FYBase)</f>
        <v>2894.5</v>
      </c>
      <c r="S144" s="106" t="n">
        <f aca="false">SUMPRODUCT(S117:S140,$F$12:$F$35,$G$12:$G$35)+S142*INDEX(OwnedSh,1,S$7-FYBase)</f>
        <v>2894.5</v>
      </c>
      <c r="T144" s="106" t="n">
        <f aca="false">SUMPRODUCT(T117:T140,$F$12:$F$35,$G$12:$G$35)+T142*INDEX(OwnedSh,1,T$7-FYBase)</f>
        <v>2894.5</v>
      </c>
      <c r="U144" s="106" t="n">
        <f aca="false">SUMPRODUCT(U117:U140,$F$12:$F$35,$G$12:$G$35)+U142*INDEX(OwnedSh,1,U$7-FYBase)</f>
        <v>2894.5</v>
      </c>
      <c r="V144" s="106" t="n">
        <f aca="false">SUMPRODUCT(V117:V140,$F$12:$F$35,$G$12:$G$35)+V142*INDEX(OwnedSh,1,V$7-FYBase)</f>
        <v>3001.15</v>
      </c>
      <c r="W144" s="106" t="n">
        <f aca="false">SUMPRODUCT(W117:W140,$F$12:$F$35,$G$12:$G$35)+W142*INDEX(OwnedSh,1,W$7-FYBase)</f>
        <v>3001.15</v>
      </c>
      <c r="X144" s="106" t="n">
        <f aca="false">SUMPRODUCT(X117:X140,$F$12:$F$35,$G$12:$G$35)+X142*INDEX(OwnedSh,1,X$7-FYBase)</f>
        <v>3001.15</v>
      </c>
      <c r="Y144" s="106" t="n">
        <f aca="false">SUMPRODUCT(Y117:Y140,$F$12:$F$35,$G$12:$G$35)+Y142*INDEX(OwnedSh,1,Y$7-FYBase)</f>
        <v>3001.15</v>
      </c>
      <c r="Z144" s="106" t="n">
        <f aca="false">SUMPRODUCT(Z117:Z140,$F$12:$F$35,$G$12:$G$35)+Z142*INDEX(OwnedSh,1,Z$7-FYBase)</f>
        <v>3036.7</v>
      </c>
      <c r="AA144" s="106" t="n">
        <f aca="false">SUMPRODUCT(AA117:AA140,$F$12:$F$35,$G$12:$G$35)+AA142*INDEX(OwnedSh,1,AA$7-FYBase)</f>
        <v>3036.7</v>
      </c>
      <c r="AB144" s="106" t="n">
        <f aca="false">SUMPRODUCT(AB117:AB140,$F$12:$F$35,$G$12:$G$35)+AB142*INDEX(OwnedSh,1,AB$7-FYBase)</f>
        <v>3036.7</v>
      </c>
      <c r="AC144" s="106" t="n">
        <f aca="false">SUMPRODUCT(AC117:AC140,$F$12:$F$35,$G$12:$G$35)+AC142*INDEX(OwnedSh,1,AC$7-FYBase)</f>
        <v>3036.7</v>
      </c>
      <c r="AD144" s="106" t="n">
        <f aca="false">SUMPRODUCT(AD117:AD140,$F$12:$F$35,$G$12:$G$35)+AD142*INDEX(OwnedSh,1,AD$7-FYBase)</f>
        <v>3072.25</v>
      </c>
      <c r="AE144" s="106" t="n">
        <f aca="false">SUMPRODUCT(AE117:AE140,$F$12:$F$35,$G$12:$G$35)+AE142*INDEX(OwnedSh,1,AE$7-FYBase)</f>
        <v>3072.25</v>
      </c>
      <c r="AF144" s="106" t="n">
        <f aca="false">SUMPRODUCT(AF117:AF140,$F$12:$F$35,$G$12:$G$35)+AF142*INDEX(OwnedSh,1,AF$7-FYBase)</f>
        <v>3072.25</v>
      </c>
      <c r="AG144" s="106" t="n">
        <f aca="false">SUMPRODUCT(AG117:AG140,$F$12:$F$35,$G$12:$G$35)+AG142*INDEX(OwnedSh,1,AG$7-FYBase)</f>
        <v>3072.25</v>
      </c>
      <c r="AI144" s="106" t="n">
        <f aca="false">INDEX($F144:$AG144,1,MATCH(AI$7,$F$7:$AG$7,1))</f>
        <v>75</v>
      </c>
      <c r="AJ144" s="106" t="n">
        <f aca="false">INDEX($F144:$AG144,1,MATCH(AJ$7,$F$7:$AG$7,1))</f>
        <v>1275</v>
      </c>
      <c r="AK144" s="106" t="n">
        <f aca="false">INDEX($F144:$AG144,1,MATCH(AK$7,$F$7:$AG$7,1))</f>
        <v>2752.3</v>
      </c>
      <c r="AL144" s="106" t="n">
        <f aca="false">INDEX($F144:$AG144,1,MATCH(AL$7,$F$7:$AG$7,1))</f>
        <v>2894.5</v>
      </c>
      <c r="AM144" s="106" t="n">
        <f aca="false">INDEX($F144:$AG144,1,MATCH(AM$7,$F$7:$AG$7,1))</f>
        <v>3001.15</v>
      </c>
      <c r="AN144" s="106" t="n">
        <f aca="false">INDEX($F144:$AG144,1,MATCH(AN$7,$F$7:$AG$7,1))</f>
        <v>3036.7</v>
      </c>
      <c r="AO144" s="106" t="n">
        <f aca="false">INDEX($F144:$AG144,1,MATCH(AO$7,$F$7:$AG$7,1))</f>
        <v>3072.25</v>
      </c>
    </row>
    <row r="146" customFormat="false" ht="15" hidden="false" customHeight="false" outlineLevel="0" collapsed="false">
      <c r="A146" s="53" t="s">
        <v>1471</v>
      </c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  <c r="AA146" s="54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</row>
    <row r="147" customFormat="false" ht="15" hidden="false" customHeight="false" outlineLevel="0" collapsed="false">
      <c r="A147" s="104" t="s">
        <v>1336</v>
      </c>
      <c r="B147" s="20" t="s">
        <v>575</v>
      </c>
      <c r="C147" s="20" t="s">
        <v>513</v>
      </c>
      <c r="D147" s="20"/>
      <c r="F147" s="106" t="n">
        <f aca="false">IF(F$5&lt;=LastHist,F41,CHOOSE(Scen,F42,F41,F40))</f>
        <v>0</v>
      </c>
      <c r="G147" s="106" t="n">
        <f aca="false">IF(G$5&lt;=LastHist,G41,CHOOSE(Scen,G42,G41,G40))</f>
        <v>0</v>
      </c>
      <c r="H147" s="106" t="n">
        <f aca="false">IF(H$5&lt;=LastHist,H41,CHOOSE(Scen,H42,H41,H40))</f>
        <v>0</v>
      </c>
      <c r="I147" s="106" t="n">
        <f aca="false">IF(I$5&lt;=LastHist,I41,CHOOSE(Scen,I42,I41,I40))</f>
        <v>0</v>
      </c>
      <c r="J147" s="106" t="n">
        <f aca="false">IF(J$5&lt;=LastHist,J41,CHOOSE(Scen,J42,J41,J40))</f>
        <v>0</v>
      </c>
      <c r="K147" s="106" t="n">
        <f aca="false">IF(K$5&lt;=LastHist,K41,CHOOSE(Scen,K42,K41,K40))</f>
        <v>0</v>
      </c>
      <c r="L147" s="106" t="n">
        <f aca="false">IF(L$5&lt;=LastHist,L41,CHOOSE(Scen,L42,L41,L40))</f>
        <v>0</v>
      </c>
      <c r="M147" s="106" t="n">
        <f aca="false">IF(M$5&lt;=LastHist,M41,CHOOSE(Scen,M42,M41,M40))</f>
        <v>26.2</v>
      </c>
      <c r="N147" s="106" t="n">
        <f aca="false">IF(N$5&lt;=LastHist,N41,CHOOSE(Scen,N42,N41,N40))</f>
        <v>37.5</v>
      </c>
      <c r="O147" s="106" t="n">
        <f aca="false">IF(O$5&lt;=LastHist,O41,CHOOSE(Scen,O42,O41,O40))</f>
        <v>39</v>
      </c>
      <c r="P147" s="106" t="n">
        <f aca="false">IF(P$5&lt;=LastHist,P41,CHOOSE(Scen,P42,P41,P40))</f>
        <v>66</v>
      </c>
      <c r="Q147" s="106" t="n">
        <f aca="false">IF(Q$5&lt;=LastHist,Q41,CHOOSE(Scen,Q42,Q41,Q40))</f>
        <v>81.8</v>
      </c>
      <c r="R147" s="106" t="n">
        <f aca="false">IF(R$5&lt;=LastHist,R41,CHOOSE(Scen,R42,R41,R40))</f>
        <v>118.5</v>
      </c>
      <c r="S147" s="106" t="n">
        <f aca="false">IF(S$5&lt;=LastHist,S41,CHOOSE(Scen,S42,S41,S40))</f>
        <v>168.5</v>
      </c>
      <c r="T147" s="106" t="n">
        <f aca="false">IF(T$5&lt;=LastHist,T41,CHOOSE(Scen,T42,T41,T40))</f>
        <v>205</v>
      </c>
      <c r="U147" s="106" t="n">
        <f aca="false">IF(U$5&lt;=LastHist,U41,CHOOSE(Scen,U42,U41,U40))</f>
        <v>240</v>
      </c>
      <c r="V147" s="106" t="n">
        <f aca="false">IF(V$5&lt;=LastHist,V41,CHOOSE(Scen,V42,V41,V40))</f>
        <v>240</v>
      </c>
      <c r="W147" s="106" t="n">
        <f aca="false">IF(W$5&lt;=LastHist,W41,CHOOSE(Scen,W42,W41,W40))</f>
        <v>240</v>
      </c>
      <c r="X147" s="106" t="n">
        <f aca="false">IF(X$5&lt;=LastHist,X41,CHOOSE(Scen,X42,X41,X40))</f>
        <v>240</v>
      </c>
      <c r="Y147" s="106" t="n">
        <f aca="false">IF(Y$5&lt;=LastHist,Y41,CHOOSE(Scen,Y42,Y41,Y40))</f>
        <v>240</v>
      </c>
      <c r="Z147" s="106" t="n">
        <f aca="false">IF(Z$5&lt;=LastHist,Z41,CHOOSE(Scen,Z42,Z41,Z40))</f>
        <v>240</v>
      </c>
      <c r="AA147" s="106" t="n">
        <f aca="false">IF(AA$5&lt;=LastHist,AA41,CHOOSE(Scen,AA42,AA41,AA40))</f>
        <v>240</v>
      </c>
      <c r="AB147" s="106" t="n">
        <f aca="false">IF(AB$5&lt;=LastHist,AB41,CHOOSE(Scen,AB42,AB41,AB40))</f>
        <v>240</v>
      </c>
      <c r="AC147" s="106" t="n">
        <f aca="false">IF(AC$5&lt;=LastHist,AC41,CHOOSE(Scen,AC42,AC41,AC40))</f>
        <v>240</v>
      </c>
      <c r="AD147" s="106" t="n">
        <f aca="false">IF(AD$5&lt;=LastHist,AD41,CHOOSE(Scen,AD42,AD41,AD40))</f>
        <v>240</v>
      </c>
      <c r="AE147" s="106" t="n">
        <f aca="false">IF(AE$5&lt;=LastHist,AE41,CHOOSE(Scen,AE42,AE41,AE40))</f>
        <v>240</v>
      </c>
      <c r="AF147" s="106" t="n">
        <f aca="false">IF(AF$5&lt;=LastHist,AF41,CHOOSE(Scen,AF42,AF41,AF40))</f>
        <v>240</v>
      </c>
      <c r="AG147" s="106" t="n">
        <f aca="false">IF(AG$5&lt;=LastHist,AG41,CHOOSE(Scen,AG42,AG41,AG40))</f>
        <v>240</v>
      </c>
      <c r="AI147" s="106" t="n">
        <f aca="false">INDEX($F147:$AG147,1,MATCH(AI$7,$F$7:$AG$7,1))</f>
        <v>0</v>
      </c>
      <c r="AJ147" s="106" t="n">
        <f aca="false">INDEX($F147:$AG147,1,MATCH(AJ$7,$F$7:$AG$7,1))</f>
        <v>26.2</v>
      </c>
      <c r="AK147" s="106" t="n">
        <f aca="false">INDEX($F147:$AG147,1,MATCH(AK$7,$F$7:$AG$7,1))</f>
        <v>81.8</v>
      </c>
      <c r="AL147" s="106" t="n">
        <f aca="false">INDEX($F147:$AG147,1,MATCH(AL$7,$F$7:$AG$7,1))</f>
        <v>240</v>
      </c>
      <c r="AM147" s="106" t="n">
        <f aca="false">INDEX($F147:$AG147,1,MATCH(AM$7,$F$7:$AG$7,1))</f>
        <v>240</v>
      </c>
      <c r="AN147" s="106" t="n">
        <f aca="false">INDEX($F147:$AG147,1,MATCH(AN$7,$F$7:$AG$7,1))</f>
        <v>240</v>
      </c>
      <c r="AO147" s="106" t="n">
        <f aca="false">INDEX($F147:$AG147,1,MATCH(AO$7,$F$7:$AG$7,1))</f>
        <v>240</v>
      </c>
    </row>
    <row r="148" customFormat="false" ht="15" hidden="false" customHeight="false" outlineLevel="0" collapsed="false">
      <c r="A148" s="104" t="s">
        <v>1343</v>
      </c>
      <c r="B148" s="20" t="s">
        <v>575</v>
      </c>
      <c r="C148" s="20" t="s">
        <v>513</v>
      </c>
      <c r="D148" s="20"/>
      <c r="F148" s="106" t="n">
        <f aca="false">IF(F$5&lt;=LastHist,F44,CHOOSE(Scen,F45,F44,F43))</f>
        <v>0</v>
      </c>
      <c r="G148" s="106" t="n">
        <f aca="false">IF(G$5&lt;=LastHist,G44,CHOOSE(Scen,G45,G44,G43))</f>
        <v>0</v>
      </c>
      <c r="H148" s="106" t="n">
        <f aca="false">IF(H$5&lt;=LastHist,H44,CHOOSE(Scen,H45,H44,H43))</f>
        <v>0</v>
      </c>
      <c r="I148" s="106" t="n">
        <f aca="false">IF(I$5&lt;=LastHist,I44,CHOOSE(Scen,I45,I44,I43))</f>
        <v>0</v>
      </c>
      <c r="J148" s="106" t="n">
        <f aca="false">IF(J$5&lt;=LastHist,J44,CHOOSE(Scen,J45,J44,J43))</f>
        <v>0</v>
      </c>
      <c r="K148" s="106" t="n">
        <f aca="false">IF(K$5&lt;=LastHist,K44,CHOOSE(Scen,K45,K44,K43))</f>
        <v>0</v>
      </c>
      <c r="L148" s="106" t="n">
        <f aca="false">IF(L$5&lt;=LastHist,L44,CHOOSE(Scen,L45,L44,L43))</f>
        <v>0</v>
      </c>
      <c r="M148" s="106" t="n">
        <f aca="false">IF(M$5&lt;=LastHist,M44,CHOOSE(Scen,M45,M44,M43))</f>
        <v>0</v>
      </c>
      <c r="N148" s="106" t="n">
        <f aca="false">IF(N$5&lt;=LastHist,N44,CHOOSE(Scen,N45,N44,N43))</f>
        <v>0</v>
      </c>
      <c r="O148" s="106" t="n">
        <f aca="false">IF(O$5&lt;=LastHist,O44,CHOOSE(Scen,O45,O44,O43))</f>
        <v>0</v>
      </c>
      <c r="P148" s="106" t="n">
        <f aca="false">IF(P$5&lt;=LastHist,P44,CHOOSE(Scen,P45,P44,P43))</f>
        <v>0</v>
      </c>
      <c r="Q148" s="106" t="n">
        <f aca="false">IF(Q$5&lt;=LastHist,Q44,CHOOSE(Scen,Q45,Q44,Q43))</f>
        <v>0</v>
      </c>
      <c r="R148" s="106" t="n">
        <f aca="false">IF(R$5&lt;=LastHist,R44,CHOOSE(Scen,R45,R44,R43))</f>
        <v>0</v>
      </c>
      <c r="S148" s="106" t="n">
        <f aca="false">IF(S$5&lt;=LastHist,S44,CHOOSE(Scen,S45,S44,S43))</f>
        <v>0</v>
      </c>
      <c r="T148" s="106" t="n">
        <f aca="false">IF(T$5&lt;=LastHist,T44,CHOOSE(Scen,T45,T44,T43))</f>
        <v>50</v>
      </c>
      <c r="U148" s="106" t="n">
        <f aca="false">IF(U$5&lt;=LastHist,U44,CHOOSE(Scen,U45,U44,U43))</f>
        <v>125</v>
      </c>
      <c r="V148" s="106" t="n">
        <f aca="false">IF(V$5&lt;=LastHist,V44,CHOOSE(Scen,V45,V44,V43))</f>
        <v>125</v>
      </c>
      <c r="W148" s="106" t="n">
        <f aca="false">IF(W$5&lt;=LastHist,W44,CHOOSE(Scen,W45,W44,W43))</f>
        <v>175</v>
      </c>
      <c r="X148" s="106" t="n">
        <f aca="false">IF(X$5&lt;=LastHist,X44,CHOOSE(Scen,X45,X44,X43))</f>
        <v>175</v>
      </c>
      <c r="Y148" s="106" t="n">
        <f aca="false">IF(Y$5&lt;=LastHist,Y44,CHOOSE(Scen,Y45,Y44,Y43))</f>
        <v>225</v>
      </c>
      <c r="Z148" s="106" t="n">
        <f aca="false">IF(Z$5&lt;=LastHist,Z44,CHOOSE(Scen,Z45,Z44,Z43))</f>
        <v>225</v>
      </c>
      <c r="AA148" s="106" t="n">
        <f aca="false">IF(AA$5&lt;=LastHist,AA44,CHOOSE(Scen,AA45,AA44,AA43))</f>
        <v>450</v>
      </c>
      <c r="AB148" s="106" t="n">
        <f aca="false">IF(AB$5&lt;=LastHist,AB44,CHOOSE(Scen,AB45,AB44,AB43))</f>
        <v>450</v>
      </c>
      <c r="AC148" s="106" t="n">
        <f aca="false">IF(AC$5&lt;=LastHist,AC44,CHOOSE(Scen,AC45,AC44,AC43))</f>
        <v>650</v>
      </c>
      <c r="AD148" s="106" t="n">
        <f aca="false">IF(AD$5&lt;=LastHist,AD44,CHOOSE(Scen,AD45,AD44,AD43))</f>
        <v>650</v>
      </c>
      <c r="AE148" s="106" t="n">
        <f aca="false">IF(AE$5&lt;=LastHist,AE44,CHOOSE(Scen,AE45,AE44,AE43))</f>
        <v>650</v>
      </c>
      <c r="AF148" s="106" t="n">
        <f aca="false">IF(AF$5&lt;=LastHist,AF44,CHOOSE(Scen,AF45,AF44,AF43))</f>
        <v>650</v>
      </c>
      <c r="AG148" s="106" t="n">
        <f aca="false">IF(AG$5&lt;=LastHist,AG44,CHOOSE(Scen,AG45,AG44,AG43))</f>
        <v>950</v>
      </c>
      <c r="AI148" s="106" t="n">
        <f aca="false">INDEX($F148:$AG148,1,MATCH(AI$7,$F$7:$AG$7,1))</f>
        <v>0</v>
      </c>
      <c r="AJ148" s="106" t="n">
        <f aca="false">INDEX($F148:$AG148,1,MATCH(AJ$7,$F$7:$AG$7,1))</f>
        <v>0</v>
      </c>
      <c r="AK148" s="106" t="n">
        <f aca="false">INDEX($F148:$AG148,1,MATCH(AK$7,$F$7:$AG$7,1))</f>
        <v>0</v>
      </c>
      <c r="AL148" s="106" t="n">
        <f aca="false">INDEX($F148:$AG148,1,MATCH(AL$7,$F$7:$AG$7,1))</f>
        <v>125</v>
      </c>
      <c r="AM148" s="106" t="n">
        <f aca="false">INDEX($F148:$AG148,1,MATCH(AM$7,$F$7:$AG$7,1))</f>
        <v>225</v>
      </c>
      <c r="AN148" s="106" t="n">
        <f aca="false">INDEX($F148:$AG148,1,MATCH(AN$7,$F$7:$AG$7,1))</f>
        <v>650</v>
      </c>
      <c r="AO148" s="106" t="n">
        <f aca="false">INDEX($F148:$AG148,1,MATCH(AO$7,$F$7:$AG$7,1))</f>
        <v>950</v>
      </c>
    </row>
    <row r="149" customFormat="false" ht="15" hidden="false" customHeight="false" outlineLevel="0" collapsed="false">
      <c r="A149" s="104" t="s">
        <v>1349</v>
      </c>
      <c r="B149" s="20" t="s">
        <v>575</v>
      </c>
      <c r="C149" s="20" t="s">
        <v>513</v>
      </c>
      <c r="D149" s="20"/>
      <c r="F149" s="106" t="n">
        <f aca="false">IF(F$5&lt;=LastHist,F47,CHOOSE(Scen,F48,F47,F46))</f>
        <v>0</v>
      </c>
      <c r="G149" s="106" t="n">
        <f aca="false">IF(G$5&lt;=LastHist,G47,CHOOSE(Scen,G48,G47,G46))</f>
        <v>0</v>
      </c>
      <c r="H149" s="106" t="n">
        <f aca="false">IF(H$5&lt;=LastHist,H47,CHOOSE(Scen,H48,H47,H46))</f>
        <v>0</v>
      </c>
      <c r="I149" s="106" t="n">
        <f aca="false">IF(I$5&lt;=LastHist,I47,CHOOSE(Scen,I48,I47,I46))</f>
        <v>0</v>
      </c>
      <c r="J149" s="106" t="n">
        <f aca="false">IF(J$5&lt;=LastHist,J47,CHOOSE(Scen,J48,J47,J46))</f>
        <v>0</v>
      </c>
      <c r="K149" s="106" t="n">
        <f aca="false">IF(K$5&lt;=LastHist,K47,CHOOSE(Scen,K48,K47,K46))</f>
        <v>0</v>
      </c>
      <c r="L149" s="106" t="n">
        <f aca="false">IF(L$5&lt;=LastHist,L47,CHOOSE(Scen,L48,L47,L46))</f>
        <v>0</v>
      </c>
      <c r="M149" s="106" t="n">
        <f aca="false">IF(M$5&lt;=LastHist,M47,CHOOSE(Scen,M48,M47,M46))</f>
        <v>0</v>
      </c>
      <c r="N149" s="106" t="n">
        <f aca="false">IF(N$5&lt;=LastHist,N47,CHOOSE(Scen,N48,N47,N46))</f>
        <v>0</v>
      </c>
      <c r="O149" s="106" t="n">
        <f aca="false">IF(O$5&lt;=LastHist,O47,CHOOSE(Scen,O48,O47,O46))</f>
        <v>0</v>
      </c>
      <c r="P149" s="106" t="n">
        <f aca="false">IF(P$5&lt;=LastHist,P47,CHOOSE(Scen,P48,P47,P46))</f>
        <v>0</v>
      </c>
      <c r="Q149" s="106" t="n">
        <f aca="false">IF(Q$5&lt;=LastHist,Q47,CHOOSE(Scen,Q48,Q47,Q46))</f>
        <v>0</v>
      </c>
      <c r="R149" s="106" t="n">
        <f aca="false">IF(R$5&lt;=LastHist,R47,CHOOSE(Scen,R48,R47,R46))</f>
        <v>0</v>
      </c>
      <c r="S149" s="106" t="n">
        <f aca="false">IF(S$5&lt;=LastHist,S47,CHOOSE(Scen,S48,S47,S46))</f>
        <v>0</v>
      </c>
      <c r="T149" s="106" t="n">
        <f aca="false">IF(T$5&lt;=LastHist,T47,CHOOSE(Scen,T48,T47,T46))</f>
        <v>0</v>
      </c>
      <c r="U149" s="106" t="n">
        <f aca="false">IF(U$5&lt;=LastHist,U47,CHOOSE(Scen,U48,U47,U46))</f>
        <v>65</v>
      </c>
      <c r="V149" s="106" t="n">
        <f aca="false">IF(V$5&lt;=LastHist,V47,CHOOSE(Scen,V48,V47,V46))</f>
        <v>130</v>
      </c>
      <c r="W149" s="106" t="n">
        <f aca="false">IF(W$5&lt;=LastHist,W47,CHOOSE(Scen,W48,W47,W46))</f>
        <v>130</v>
      </c>
      <c r="X149" s="106" t="n">
        <f aca="false">IF(X$5&lt;=LastHist,X47,CHOOSE(Scen,X48,X47,X46))</f>
        <v>130</v>
      </c>
      <c r="Y149" s="106" t="n">
        <f aca="false">IF(Y$5&lt;=LastHist,Y47,CHOOSE(Scen,Y48,Y47,Y46))</f>
        <v>265</v>
      </c>
      <c r="Z149" s="106" t="n">
        <f aca="false">IF(Z$5&lt;=LastHist,Z47,CHOOSE(Scen,Z48,Z47,Z46))</f>
        <v>265</v>
      </c>
      <c r="AA149" s="106" t="n">
        <f aca="false">IF(AA$5&lt;=LastHist,AA47,CHOOSE(Scen,AA48,AA47,AA46))</f>
        <v>460</v>
      </c>
      <c r="AB149" s="106" t="n">
        <f aca="false">IF(AB$5&lt;=LastHist,AB47,CHOOSE(Scen,AB48,AB47,AB46))</f>
        <v>460</v>
      </c>
      <c r="AC149" s="106" t="n">
        <f aca="false">IF(AC$5&lt;=LastHist,AC47,CHOOSE(Scen,AC48,AC47,AC46))</f>
        <v>700</v>
      </c>
      <c r="AD149" s="106" t="n">
        <f aca="false">IF(AD$5&lt;=LastHist,AD47,CHOOSE(Scen,AD48,AD47,AD46))</f>
        <v>700</v>
      </c>
      <c r="AE149" s="106" t="n">
        <f aca="false">IF(AE$5&lt;=LastHist,AE47,CHOOSE(Scen,AE48,AE47,AE46))</f>
        <v>700</v>
      </c>
      <c r="AF149" s="106" t="n">
        <f aca="false">IF(AF$5&lt;=LastHist,AF47,CHOOSE(Scen,AF48,AF47,AF46))</f>
        <v>700</v>
      </c>
      <c r="AG149" s="106" t="n">
        <f aca="false">IF(AG$5&lt;=LastHist,AG47,CHOOSE(Scen,AG48,AG47,AG46))</f>
        <v>930</v>
      </c>
      <c r="AI149" s="106" t="n">
        <f aca="false">INDEX($F149:$AG149,1,MATCH(AI$7,$F$7:$AG$7,1))</f>
        <v>0</v>
      </c>
      <c r="AJ149" s="106" t="n">
        <f aca="false">INDEX($F149:$AG149,1,MATCH(AJ$7,$F$7:$AG$7,1))</f>
        <v>0</v>
      </c>
      <c r="AK149" s="106" t="n">
        <f aca="false">INDEX($F149:$AG149,1,MATCH(AK$7,$F$7:$AG$7,1))</f>
        <v>0</v>
      </c>
      <c r="AL149" s="106" t="n">
        <f aca="false">INDEX($F149:$AG149,1,MATCH(AL$7,$F$7:$AG$7,1))</f>
        <v>65</v>
      </c>
      <c r="AM149" s="106" t="n">
        <f aca="false">INDEX($F149:$AG149,1,MATCH(AM$7,$F$7:$AG$7,1))</f>
        <v>265</v>
      </c>
      <c r="AN149" s="106" t="n">
        <f aca="false">INDEX($F149:$AG149,1,MATCH(AN$7,$F$7:$AG$7,1))</f>
        <v>700</v>
      </c>
      <c r="AO149" s="106" t="n">
        <f aca="false">INDEX($F149:$AG149,1,MATCH(AO$7,$F$7:$AG$7,1))</f>
        <v>930</v>
      </c>
    </row>
    <row r="150" customFormat="false" ht="15" hidden="false" customHeight="false" outlineLevel="0" collapsed="false">
      <c r="A150" s="104" t="s">
        <v>1350</v>
      </c>
      <c r="B150" s="20" t="s">
        <v>575</v>
      </c>
      <c r="C150" s="20" t="s">
        <v>513</v>
      </c>
      <c r="D150" s="20"/>
      <c r="F150" s="106" t="n">
        <f aca="false">IF(F$5&lt;=LastHist,F50,CHOOSE(Scen,F51,F50,F49))</f>
        <v>0</v>
      </c>
      <c r="G150" s="106" t="n">
        <f aca="false">IF(G$5&lt;=LastHist,G50,CHOOSE(Scen,G51,G50,G49))</f>
        <v>0</v>
      </c>
      <c r="H150" s="106" t="n">
        <f aca="false">IF(H$5&lt;=LastHist,H50,CHOOSE(Scen,H51,H50,H49))</f>
        <v>0</v>
      </c>
      <c r="I150" s="106" t="n">
        <f aca="false">IF(I$5&lt;=LastHist,I50,CHOOSE(Scen,I51,I50,I49))</f>
        <v>0</v>
      </c>
      <c r="J150" s="106" t="n">
        <f aca="false">IF(J$5&lt;=LastHist,J50,CHOOSE(Scen,J51,J50,J49))</f>
        <v>0</v>
      </c>
      <c r="K150" s="106" t="n">
        <f aca="false">IF(K$5&lt;=LastHist,K50,CHOOSE(Scen,K51,K50,K49))</f>
        <v>0</v>
      </c>
      <c r="L150" s="106" t="n">
        <f aca="false">IF(L$5&lt;=LastHist,L50,CHOOSE(Scen,L51,L50,L49))</f>
        <v>0</v>
      </c>
      <c r="M150" s="106" t="n">
        <f aca="false">IF(M$5&lt;=LastHist,M50,CHOOSE(Scen,M51,M50,M49))</f>
        <v>0</v>
      </c>
      <c r="N150" s="106" t="n">
        <f aca="false">IF(N$5&lt;=LastHist,N50,CHOOSE(Scen,N51,N50,N49))</f>
        <v>0</v>
      </c>
      <c r="O150" s="106" t="n">
        <f aca="false">IF(O$5&lt;=LastHist,O50,CHOOSE(Scen,O51,O50,O49))</f>
        <v>0</v>
      </c>
      <c r="P150" s="106" t="n">
        <f aca="false">IF(P$5&lt;=LastHist,P50,CHOOSE(Scen,P51,P50,P49))</f>
        <v>0</v>
      </c>
      <c r="Q150" s="106" t="n">
        <f aca="false">IF(Q$5&lt;=LastHist,Q50,CHOOSE(Scen,Q51,Q50,Q49))</f>
        <v>0</v>
      </c>
      <c r="R150" s="106" t="n">
        <f aca="false">IF(R$5&lt;=LastHist,R50,CHOOSE(Scen,R51,R50,R49))</f>
        <v>12.5</v>
      </c>
      <c r="S150" s="106" t="n">
        <f aca="false">IF(S$5&lt;=LastHist,S50,CHOOSE(Scen,S51,S50,S49))</f>
        <v>25</v>
      </c>
      <c r="T150" s="106" t="n">
        <f aca="false">IF(T$5&lt;=LastHist,T50,CHOOSE(Scen,T51,T50,T49))</f>
        <v>50</v>
      </c>
      <c r="U150" s="106" t="n">
        <f aca="false">IF(U$5&lt;=LastHist,U50,CHOOSE(Scen,U51,U50,U49))</f>
        <v>75</v>
      </c>
      <c r="V150" s="106" t="n">
        <f aca="false">IF(V$5&lt;=LastHist,V50,CHOOSE(Scen,V51,V50,V49))</f>
        <v>75</v>
      </c>
      <c r="W150" s="106" t="n">
        <f aca="false">IF(W$5&lt;=LastHist,W50,CHOOSE(Scen,W51,W50,W49))</f>
        <v>150</v>
      </c>
      <c r="X150" s="106" t="n">
        <f aca="false">IF(X$5&lt;=LastHist,X50,CHOOSE(Scen,X51,X50,X49))</f>
        <v>150</v>
      </c>
      <c r="Y150" s="106" t="n">
        <f aca="false">IF(Y$5&lt;=LastHist,Y50,CHOOSE(Scen,Y51,Y50,Y49))</f>
        <v>250</v>
      </c>
      <c r="Z150" s="106" t="n">
        <f aca="false">IF(Z$5&lt;=LastHist,Z50,CHOOSE(Scen,Z51,Z50,Z49))</f>
        <v>250</v>
      </c>
      <c r="AA150" s="106" t="n">
        <f aca="false">IF(AA$5&lt;=LastHist,AA50,CHOOSE(Scen,AA51,AA50,AA49))</f>
        <v>250</v>
      </c>
      <c r="AB150" s="106" t="n">
        <f aca="false">IF(AB$5&lt;=LastHist,AB50,CHOOSE(Scen,AB51,AB50,AB49))</f>
        <v>250</v>
      </c>
      <c r="AC150" s="106" t="n">
        <f aca="false">IF(AC$5&lt;=LastHist,AC50,CHOOSE(Scen,AC51,AC50,AC49))</f>
        <v>300</v>
      </c>
      <c r="AD150" s="106" t="n">
        <f aca="false">IF(AD$5&lt;=LastHist,AD50,CHOOSE(Scen,AD51,AD50,AD49))</f>
        <v>300</v>
      </c>
      <c r="AE150" s="106" t="n">
        <f aca="false">IF(AE$5&lt;=LastHist,AE50,CHOOSE(Scen,AE51,AE50,AE49))</f>
        <v>300</v>
      </c>
      <c r="AF150" s="106" t="n">
        <f aca="false">IF(AF$5&lt;=LastHist,AF50,CHOOSE(Scen,AF51,AF50,AF49))</f>
        <v>300</v>
      </c>
      <c r="AG150" s="106" t="n">
        <f aca="false">IF(AG$5&lt;=LastHist,AG50,CHOOSE(Scen,AG51,AG50,AG49))</f>
        <v>300</v>
      </c>
      <c r="AI150" s="106" t="n">
        <f aca="false">INDEX($F150:$AG150,1,MATCH(AI$7,$F$7:$AG$7,1))</f>
        <v>0</v>
      </c>
      <c r="AJ150" s="106" t="n">
        <f aca="false">INDEX($F150:$AG150,1,MATCH(AJ$7,$F$7:$AG$7,1))</f>
        <v>0</v>
      </c>
      <c r="AK150" s="106" t="n">
        <f aca="false">INDEX($F150:$AG150,1,MATCH(AK$7,$F$7:$AG$7,1))</f>
        <v>0</v>
      </c>
      <c r="AL150" s="106" t="n">
        <f aca="false">INDEX($F150:$AG150,1,MATCH(AL$7,$F$7:$AG$7,1))</f>
        <v>75</v>
      </c>
      <c r="AM150" s="106" t="n">
        <f aca="false">INDEX($F150:$AG150,1,MATCH(AM$7,$F$7:$AG$7,1))</f>
        <v>250</v>
      </c>
      <c r="AN150" s="106" t="n">
        <f aca="false">INDEX($F150:$AG150,1,MATCH(AN$7,$F$7:$AG$7,1))</f>
        <v>300</v>
      </c>
      <c r="AO150" s="106" t="n">
        <f aca="false">INDEX($F150:$AG150,1,MATCH(AO$7,$F$7:$AG$7,1))</f>
        <v>300</v>
      </c>
    </row>
    <row r="151" customFormat="false" ht="15" hidden="false" customHeight="false" outlineLevel="0" collapsed="false">
      <c r="A151" s="104" t="s">
        <v>1352</v>
      </c>
      <c r="B151" s="20" t="s">
        <v>575</v>
      </c>
      <c r="C151" s="20" t="s">
        <v>513</v>
      </c>
      <c r="D151" s="20"/>
      <c r="F151" s="106" t="n">
        <f aca="false">IF(F$5&lt;=LastHist,F53,CHOOSE(Scen,F54,F53,F52))</f>
        <v>0</v>
      </c>
      <c r="G151" s="106" t="n">
        <f aca="false">IF(G$5&lt;=LastHist,G53,CHOOSE(Scen,G54,G53,G52))</f>
        <v>0</v>
      </c>
      <c r="H151" s="106" t="n">
        <f aca="false">IF(H$5&lt;=LastHist,H53,CHOOSE(Scen,H54,H53,H52))</f>
        <v>0</v>
      </c>
      <c r="I151" s="106" t="n">
        <f aca="false">IF(I$5&lt;=LastHist,I53,CHOOSE(Scen,I54,I53,I52))</f>
        <v>0</v>
      </c>
      <c r="J151" s="106" t="n">
        <f aca="false">IF(J$5&lt;=LastHist,J53,CHOOSE(Scen,J54,J53,J52))</f>
        <v>0</v>
      </c>
      <c r="K151" s="106" t="n">
        <f aca="false">IF(K$5&lt;=LastHist,K53,CHOOSE(Scen,K54,K53,K52))</f>
        <v>0</v>
      </c>
      <c r="L151" s="106" t="n">
        <f aca="false">IF(L$5&lt;=LastHist,L53,CHOOSE(Scen,L54,L53,L52))</f>
        <v>0</v>
      </c>
      <c r="M151" s="106" t="n">
        <f aca="false">IF(M$5&lt;=LastHist,M53,CHOOSE(Scen,M54,M53,M52))</f>
        <v>0</v>
      </c>
      <c r="N151" s="106" t="n">
        <f aca="false">IF(N$5&lt;=LastHist,N53,CHOOSE(Scen,N54,N53,N52))</f>
        <v>0</v>
      </c>
      <c r="O151" s="106" t="n">
        <f aca="false">IF(O$5&lt;=LastHist,O53,CHOOSE(Scen,O54,O53,O52))</f>
        <v>0</v>
      </c>
      <c r="P151" s="106" t="n">
        <f aca="false">IF(P$5&lt;=LastHist,P53,CHOOSE(Scen,P54,P53,P52))</f>
        <v>0</v>
      </c>
      <c r="Q151" s="106" t="n">
        <f aca="false">IF(Q$5&lt;=LastHist,Q53,CHOOSE(Scen,Q54,Q53,Q52))</f>
        <v>30</v>
      </c>
      <c r="R151" s="106" t="n">
        <f aca="false">IF(R$5&lt;=LastHist,R53,CHOOSE(Scen,R54,R53,R52))</f>
        <v>73.5</v>
      </c>
      <c r="S151" s="106" t="n">
        <f aca="false">IF(S$5&lt;=LastHist,S53,CHOOSE(Scen,S54,S53,S52))</f>
        <v>120</v>
      </c>
      <c r="T151" s="106" t="n">
        <f aca="false">IF(T$5&lt;=LastHist,T53,CHOOSE(Scen,T54,T53,T52))</f>
        <v>120</v>
      </c>
      <c r="U151" s="106" t="n">
        <f aca="false">IF(U$5&lt;=LastHist,U53,CHOOSE(Scen,U54,U53,U52))</f>
        <v>180</v>
      </c>
      <c r="V151" s="106" t="n">
        <f aca="false">IF(V$5&lt;=LastHist,V53,CHOOSE(Scen,V54,V53,V52))</f>
        <v>180</v>
      </c>
      <c r="W151" s="106" t="n">
        <f aca="false">IF(W$5&lt;=LastHist,W53,CHOOSE(Scen,W54,W53,W52))</f>
        <v>180</v>
      </c>
      <c r="X151" s="106" t="n">
        <f aca="false">IF(X$5&lt;=LastHist,X53,CHOOSE(Scen,X54,X53,X52))</f>
        <v>180</v>
      </c>
      <c r="Y151" s="106" t="n">
        <f aca="false">IF(Y$5&lt;=LastHist,Y53,CHOOSE(Scen,Y54,Y53,Y52))</f>
        <v>240</v>
      </c>
      <c r="Z151" s="106" t="n">
        <f aca="false">IF(Z$5&lt;=LastHist,Z53,CHOOSE(Scen,Z54,Z53,Z52))</f>
        <v>240</v>
      </c>
      <c r="AA151" s="106" t="n">
        <f aca="false">IF(AA$5&lt;=LastHist,AA53,CHOOSE(Scen,AA54,AA53,AA52))</f>
        <v>240</v>
      </c>
      <c r="AB151" s="106" t="n">
        <f aca="false">IF(AB$5&lt;=LastHist,AB53,CHOOSE(Scen,AB54,AB53,AB52))</f>
        <v>240</v>
      </c>
      <c r="AC151" s="106" t="n">
        <f aca="false">IF(AC$5&lt;=LastHist,AC53,CHOOSE(Scen,AC54,AC53,AC52))</f>
        <v>240</v>
      </c>
      <c r="AD151" s="106" t="n">
        <f aca="false">IF(AD$5&lt;=LastHist,AD53,CHOOSE(Scen,AD54,AD53,AD52))</f>
        <v>240</v>
      </c>
      <c r="AE151" s="106" t="n">
        <f aca="false">IF(AE$5&lt;=LastHist,AE53,CHOOSE(Scen,AE54,AE53,AE52))</f>
        <v>240</v>
      </c>
      <c r="AF151" s="106" t="n">
        <f aca="false">IF(AF$5&lt;=LastHist,AF53,CHOOSE(Scen,AF54,AF53,AF52))</f>
        <v>240</v>
      </c>
      <c r="AG151" s="106" t="n">
        <f aca="false">IF(AG$5&lt;=LastHist,AG53,CHOOSE(Scen,AG54,AG53,AG52))</f>
        <v>240</v>
      </c>
      <c r="AI151" s="106" t="n">
        <f aca="false">INDEX($F151:$AG151,1,MATCH(AI$7,$F$7:$AG$7,1))</f>
        <v>0</v>
      </c>
      <c r="AJ151" s="106" t="n">
        <f aca="false">INDEX($F151:$AG151,1,MATCH(AJ$7,$F$7:$AG$7,1))</f>
        <v>0</v>
      </c>
      <c r="AK151" s="106" t="n">
        <f aca="false">INDEX($F151:$AG151,1,MATCH(AK$7,$F$7:$AG$7,1))</f>
        <v>30</v>
      </c>
      <c r="AL151" s="106" t="n">
        <f aca="false">INDEX($F151:$AG151,1,MATCH(AL$7,$F$7:$AG$7,1))</f>
        <v>180</v>
      </c>
      <c r="AM151" s="106" t="n">
        <f aca="false">INDEX($F151:$AG151,1,MATCH(AM$7,$F$7:$AG$7,1))</f>
        <v>240</v>
      </c>
      <c r="AN151" s="106" t="n">
        <f aca="false">INDEX($F151:$AG151,1,MATCH(AN$7,$F$7:$AG$7,1))</f>
        <v>240</v>
      </c>
      <c r="AO151" s="106" t="n">
        <f aca="false">INDEX($F151:$AG151,1,MATCH(AO$7,$F$7:$AG$7,1))</f>
        <v>240</v>
      </c>
    </row>
    <row r="152" customFormat="false" ht="15" hidden="false" customHeight="false" outlineLevel="0" collapsed="false">
      <c r="A152" s="104" t="s">
        <v>1355</v>
      </c>
      <c r="B152" s="20" t="s">
        <v>575</v>
      </c>
      <c r="C152" s="20" t="s">
        <v>513</v>
      </c>
      <c r="D152" s="20"/>
      <c r="F152" s="106" t="n">
        <f aca="false">IF(F$5&lt;=LastHist,F56,CHOOSE(Scen,F57,F56,F55))</f>
        <v>0</v>
      </c>
      <c r="G152" s="106" t="n">
        <f aca="false">IF(G$5&lt;=LastHist,G56,CHOOSE(Scen,G57,G56,G55))</f>
        <v>0</v>
      </c>
      <c r="H152" s="106" t="n">
        <f aca="false">IF(H$5&lt;=LastHist,H56,CHOOSE(Scen,H57,H56,H55))</f>
        <v>0</v>
      </c>
      <c r="I152" s="106" t="n">
        <f aca="false">IF(I$5&lt;=LastHist,I56,CHOOSE(Scen,I57,I56,I55))</f>
        <v>0</v>
      </c>
      <c r="J152" s="106" t="n">
        <f aca="false">IF(J$5&lt;=LastHist,J56,CHOOSE(Scen,J57,J56,J55))</f>
        <v>0</v>
      </c>
      <c r="K152" s="106" t="n">
        <f aca="false">IF(K$5&lt;=LastHist,K56,CHOOSE(Scen,K57,K56,K55))</f>
        <v>0</v>
      </c>
      <c r="L152" s="106" t="n">
        <f aca="false">IF(L$5&lt;=LastHist,L56,CHOOSE(Scen,L57,L56,L55))</f>
        <v>0</v>
      </c>
      <c r="M152" s="106" t="n">
        <f aca="false">IF(M$5&lt;=LastHist,M56,CHOOSE(Scen,M57,M56,M55))</f>
        <v>0</v>
      </c>
      <c r="N152" s="106" t="n">
        <f aca="false">IF(N$5&lt;=LastHist,N56,CHOOSE(Scen,N57,N56,N55))</f>
        <v>0</v>
      </c>
      <c r="O152" s="106" t="n">
        <f aca="false">IF(O$5&lt;=LastHist,O56,CHOOSE(Scen,O57,O56,O55))</f>
        <v>0</v>
      </c>
      <c r="P152" s="106" t="n">
        <f aca="false">IF(P$5&lt;=LastHist,P56,CHOOSE(Scen,P57,P56,P55))</f>
        <v>0</v>
      </c>
      <c r="Q152" s="106" t="n">
        <f aca="false">IF(Q$5&lt;=LastHist,Q56,CHOOSE(Scen,Q57,Q56,Q55))</f>
        <v>0</v>
      </c>
      <c r="R152" s="106" t="n">
        <f aca="false">IF(R$5&lt;=LastHist,R56,CHOOSE(Scen,R57,R56,R55))</f>
        <v>0</v>
      </c>
      <c r="S152" s="106" t="n">
        <f aca="false">IF(S$5&lt;=LastHist,S56,CHOOSE(Scen,S57,S56,S55))</f>
        <v>17.5</v>
      </c>
      <c r="T152" s="106" t="n">
        <f aca="false">IF(T$5&lt;=LastHist,T56,CHOOSE(Scen,T57,T56,T55))</f>
        <v>35</v>
      </c>
      <c r="U152" s="106" t="n">
        <f aca="false">IF(U$5&lt;=LastHist,U56,CHOOSE(Scen,U57,U56,U55))</f>
        <v>52.5</v>
      </c>
      <c r="V152" s="106" t="n">
        <f aca="false">IF(V$5&lt;=LastHist,V56,CHOOSE(Scen,V57,V56,V55))</f>
        <v>52.5</v>
      </c>
      <c r="W152" s="106" t="n">
        <f aca="false">IF(W$5&lt;=LastHist,W56,CHOOSE(Scen,W57,W56,W55))</f>
        <v>105</v>
      </c>
      <c r="X152" s="106" t="n">
        <f aca="false">IF(X$5&lt;=LastHist,X56,CHOOSE(Scen,X57,X56,X55))</f>
        <v>105</v>
      </c>
      <c r="Y152" s="106" t="n">
        <f aca="false">IF(Y$5&lt;=LastHist,Y56,CHOOSE(Scen,Y57,Y56,Y55))</f>
        <v>170</v>
      </c>
      <c r="Z152" s="106" t="n">
        <f aca="false">IF(Z$5&lt;=LastHist,Z56,CHOOSE(Scen,Z57,Z56,Z55))</f>
        <v>170</v>
      </c>
      <c r="AA152" s="106" t="n">
        <f aca="false">IF(AA$5&lt;=LastHist,AA56,CHOOSE(Scen,AA57,AA56,AA55))</f>
        <v>170</v>
      </c>
      <c r="AB152" s="106" t="n">
        <f aca="false">IF(AB$5&lt;=LastHist,AB56,CHOOSE(Scen,AB57,AB56,AB55))</f>
        <v>170</v>
      </c>
      <c r="AC152" s="106" t="n">
        <f aca="false">IF(AC$5&lt;=LastHist,AC56,CHOOSE(Scen,AC57,AC56,AC55))</f>
        <v>265</v>
      </c>
      <c r="AD152" s="106" t="n">
        <f aca="false">IF(AD$5&lt;=LastHist,AD56,CHOOSE(Scen,AD57,AD56,AD55))</f>
        <v>265</v>
      </c>
      <c r="AE152" s="106" t="n">
        <f aca="false">IF(AE$5&lt;=LastHist,AE56,CHOOSE(Scen,AE57,AE56,AE55))</f>
        <v>265</v>
      </c>
      <c r="AF152" s="106" t="n">
        <f aca="false">IF(AF$5&lt;=LastHist,AF56,CHOOSE(Scen,AF57,AF56,AF55))</f>
        <v>265</v>
      </c>
      <c r="AG152" s="106" t="n">
        <f aca="false">IF(AG$5&lt;=LastHist,AG56,CHOOSE(Scen,AG57,AG56,AG55))</f>
        <v>310</v>
      </c>
      <c r="AI152" s="106" t="n">
        <f aca="false">INDEX($F152:$AG152,1,MATCH(AI$7,$F$7:$AG$7,1))</f>
        <v>0</v>
      </c>
      <c r="AJ152" s="106" t="n">
        <f aca="false">INDEX($F152:$AG152,1,MATCH(AJ$7,$F$7:$AG$7,1))</f>
        <v>0</v>
      </c>
      <c r="AK152" s="106" t="n">
        <f aca="false">INDEX($F152:$AG152,1,MATCH(AK$7,$F$7:$AG$7,1))</f>
        <v>0</v>
      </c>
      <c r="AL152" s="106" t="n">
        <f aca="false">INDEX($F152:$AG152,1,MATCH(AL$7,$F$7:$AG$7,1))</f>
        <v>52.5</v>
      </c>
      <c r="AM152" s="106" t="n">
        <f aca="false">INDEX($F152:$AG152,1,MATCH(AM$7,$F$7:$AG$7,1))</f>
        <v>170</v>
      </c>
      <c r="AN152" s="106" t="n">
        <f aca="false">INDEX($F152:$AG152,1,MATCH(AN$7,$F$7:$AG$7,1))</f>
        <v>265</v>
      </c>
      <c r="AO152" s="106" t="n">
        <f aca="false">INDEX($F152:$AG152,1,MATCH(AO$7,$F$7:$AG$7,1))</f>
        <v>310</v>
      </c>
    </row>
    <row r="153" customFormat="false" ht="15" hidden="false" customHeight="false" outlineLevel="0" collapsed="false">
      <c r="A153" s="104" t="s">
        <v>1356</v>
      </c>
      <c r="B153" s="20" t="s">
        <v>575</v>
      </c>
      <c r="C153" s="20" t="s">
        <v>513</v>
      </c>
      <c r="D153" s="20"/>
      <c r="F153" s="106" t="n">
        <f aca="false">IF(F$5&lt;=LastHist,F59,CHOOSE(Scen,F60,F59,F58))</f>
        <v>25</v>
      </c>
      <c r="G153" s="106" t="n">
        <f aca="false">IF(G$5&lt;=LastHist,G59,CHOOSE(Scen,G60,G59,G58))</f>
        <v>25</v>
      </c>
      <c r="H153" s="106" t="n">
        <f aca="false">IF(H$5&lt;=LastHist,H59,CHOOSE(Scen,H60,H59,H58))</f>
        <v>25</v>
      </c>
      <c r="I153" s="106" t="n">
        <f aca="false">IF(I$5&lt;=LastHist,I59,CHOOSE(Scen,I60,I59,I58))</f>
        <v>25</v>
      </c>
      <c r="J153" s="106" t="n">
        <f aca="false">IF(J$5&lt;=LastHist,J59,CHOOSE(Scen,J60,J59,J58))</f>
        <v>25</v>
      </c>
      <c r="K153" s="106" t="n">
        <f aca="false">IF(K$5&lt;=LastHist,K59,CHOOSE(Scen,K60,K59,K58))</f>
        <v>25</v>
      </c>
      <c r="L153" s="106" t="n">
        <f aca="false">IF(L$5&lt;=LastHist,L59,CHOOSE(Scen,L60,L59,L58))</f>
        <v>37.5</v>
      </c>
      <c r="M153" s="106" t="n">
        <f aca="false">IF(M$5&lt;=LastHist,M59,CHOOSE(Scen,M60,M59,M58))</f>
        <v>62.5</v>
      </c>
      <c r="N153" s="106" t="n">
        <f aca="false">IF(N$5&lt;=LastHist,N59,CHOOSE(Scen,N60,N59,N58))</f>
        <v>75</v>
      </c>
      <c r="O153" s="106" t="n">
        <f aca="false">IF(O$5&lt;=LastHist,O59,CHOOSE(Scen,O60,O59,O58))</f>
        <v>75</v>
      </c>
      <c r="P153" s="106" t="n">
        <f aca="false">IF(P$5&lt;=LastHist,P59,CHOOSE(Scen,P60,P59,P58))</f>
        <v>75</v>
      </c>
      <c r="Q153" s="106" t="n">
        <f aca="false">IF(Q$5&lt;=LastHist,Q59,CHOOSE(Scen,Q60,Q59,Q58))</f>
        <v>75</v>
      </c>
      <c r="R153" s="106" t="n">
        <f aca="false">IF(R$5&lt;=LastHist,R59,CHOOSE(Scen,R60,R59,R58))</f>
        <v>75</v>
      </c>
      <c r="S153" s="106" t="n">
        <f aca="false">IF(S$5&lt;=LastHist,S59,CHOOSE(Scen,S60,S59,S58))</f>
        <v>75</v>
      </c>
      <c r="T153" s="106" t="n">
        <f aca="false">IF(T$5&lt;=LastHist,T59,CHOOSE(Scen,T60,T59,T58))</f>
        <v>75</v>
      </c>
      <c r="U153" s="106" t="n">
        <f aca="false">IF(U$5&lt;=LastHist,U59,CHOOSE(Scen,U60,U59,U58))</f>
        <v>75</v>
      </c>
      <c r="V153" s="106" t="n">
        <f aca="false">IF(V$5&lt;=LastHist,V59,CHOOSE(Scen,V60,V59,V58))</f>
        <v>75</v>
      </c>
      <c r="W153" s="106" t="n">
        <f aca="false">IF(W$5&lt;=LastHist,W59,CHOOSE(Scen,W60,W59,W58))</f>
        <v>75</v>
      </c>
      <c r="X153" s="106" t="n">
        <f aca="false">IF(X$5&lt;=LastHist,X59,CHOOSE(Scen,X60,X59,X58))</f>
        <v>75</v>
      </c>
      <c r="Y153" s="106" t="n">
        <f aca="false">IF(Y$5&lt;=LastHist,Y59,CHOOSE(Scen,Y60,Y59,Y58))</f>
        <v>75</v>
      </c>
      <c r="Z153" s="106" t="n">
        <f aca="false">IF(Z$5&lt;=LastHist,Z59,CHOOSE(Scen,Z60,Z59,Z58))</f>
        <v>75</v>
      </c>
      <c r="AA153" s="106" t="n">
        <f aca="false">IF(AA$5&lt;=LastHist,AA59,CHOOSE(Scen,AA60,AA59,AA58))</f>
        <v>75</v>
      </c>
      <c r="AB153" s="106" t="n">
        <f aca="false">IF(AB$5&lt;=LastHist,AB59,CHOOSE(Scen,AB60,AB59,AB58))</f>
        <v>75</v>
      </c>
      <c r="AC153" s="106" t="n">
        <f aca="false">IF(AC$5&lt;=LastHist,AC59,CHOOSE(Scen,AC60,AC59,AC58))</f>
        <v>75</v>
      </c>
      <c r="AD153" s="106" t="n">
        <f aca="false">IF(AD$5&lt;=LastHist,AD59,CHOOSE(Scen,AD60,AD59,AD58))</f>
        <v>75</v>
      </c>
      <c r="AE153" s="106" t="n">
        <f aca="false">IF(AE$5&lt;=LastHist,AE59,CHOOSE(Scen,AE60,AE59,AE58))</f>
        <v>75</v>
      </c>
      <c r="AF153" s="106" t="n">
        <f aca="false">IF(AF$5&lt;=LastHist,AF59,CHOOSE(Scen,AF60,AF59,AF58))</f>
        <v>75</v>
      </c>
      <c r="AG153" s="106" t="n">
        <f aca="false">IF(AG$5&lt;=LastHist,AG59,CHOOSE(Scen,AG60,AG59,AG58))</f>
        <v>75</v>
      </c>
      <c r="AI153" s="106" t="n">
        <f aca="false">INDEX($F153:$AG153,1,MATCH(AI$7,$F$7:$AG$7,1))</f>
        <v>25</v>
      </c>
      <c r="AJ153" s="106" t="n">
        <f aca="false">INDEX($F153:$AG153,1,MATCH(AJ$7,$F$7:$AG$7,1))</f>
        <v>62.5</v>
      </c>
      <c r="AK153" s="106" t="n">
        <f aca="false">INDEX($F153:$AG153,1,MATCH(AK$7,$F$7:$AG$7,1))</f>
        <v>75</v>
      </c>
      <c r="AL153" s="106" t="n">
        <f aca="false">INDEX($F153:$AG153,1,MATCH(AL$7,$F$7:$AG$7,1))</f>
        <v>75</v>
      </c>
      <c r="AM153" s="106" t="n">
        <f aca="false">INDEX($F153:$AG153,1,MATCH(AM$7,$F$7:$AG$7,1))</f>
        <v>75</v>
      </c>
      <c r="AN153" s="106" t="n">
        <f aca="false">INDEX($F153:$AG153,1,MATCH(AN$7,$F$7:$AG$7,1))</f>
        <v>75</v>
      </c>
      <c r="AO153" s="106" t="n">
        <f aca="false">INDEX($F153:$AG153,1,MATCH(AO$7,$F$7:$AG$7,1))</f>
        <v>75</v>
      </c>
    </row>
    <row r="154" customFormat="false" ht="15" hidden="false" customHeight="false" outlineLevel="0" collapsed="false">
      <c r="A154" s="104" t="s">
        <v>1357</v>
      </c>
      <c r="B154" s="20" t="s">
        <v>575</v>
      </c>
      <c r="C154" s="20" t="s">
        <v>513</v>
      </c>
      <c r="D154" s="20"/>
      <c r="F154" s="106" t="n">
        <f aca="false">IF(F$5&lt;=LastHist,F62,CHOOSE(Scen,F63,F62,F61))</f>
        <v>0</v>
      </c>
      <c r="G154" s="106" t="n">
        <f aca="false">IF(G$5&lt;=LastHist,G62,CHOOSE(Scen,G63,G62,G61))</f>
        <v>0</v>
      </c>
      <c r="H154" s="106" t="n">
        <f aca="false">IF(H$5&lt;=LastHist,H62,CHOOSE(Scen,H63,H62,H61))</f>
        <v>0</v>
      </c>
      <c r="I154" s="106" t="n">
        <f aca="false">IF(I$5&lt;=LastHist,I62,CHOOSE(Scen,I63,I62,I61))</f>
        <v>0</v>
      </c>
      <c r="J154" s="106" t="n">
        <f aca="false">IF(J$5&lt;=LastHist,J62,CHOOSE(Scen,J63,J62,J61))</f>
        <v>0</v>
      </c>
      <c r="K154" s="106" t="n">
        <f aca="false">IF(K$5&lt;=LastHist,K62,CHOOSE(Scen,K63,K62,K61))</f>
        <v>0</v>
      </c>
      <c r="L154" s="106" t="n">
        <f aca="false">IF(L$5&lt;=LastHist,L62,CHOOSE(Scen,L63,L62,L61))</f>
        <v>0</v>
      </c>
      <c r="M154" s="106" t="n">
        <f aca="false">IF(M$5&lt;=LastHist,M62,CHOOSE(Scen,M63,M62,M61))</f>
        <v>0</v>
      </c>
      <c r="N154" s="106" t="n">
        <f aca="false">IF(N$5&lt;=LastHist,N62,CHOOSE(Scen,N63,N62,N61))</f>
        <v>0</v>
      </c>
      <c r="O154" s="106" t="n">
        <f aca="false">IF(O$5&lt;=LastHist,O62,CHOOSE(Scen,O63,O62,O61))</f>
        <v>0</v>
      </c>
      <c r="P154" s="106" t="n">
        <f aca="false">IF(P$5&lt;=LastHist,P62,CHOOSE(Scen,P63,P62,P61))</f>
        <v>0</v>
      </c>
      <c r="Q154" s="106" t="n">
        <f aca="false">IF(Q$5&lt;=LastHist,Q62,CHOOSE(Scen,Q63,Q62,Q61))</f>
        <v>0</v>
      </c>
      <c r="R154" s="106" t="n">
        <f aca="false">IF(R$5&lt;=LastHist,R62,CHOOSE(Scen,R63,R62,R61))</f>
        <v>0</v>
      </c>
      <c r="S154" s="106" t="n">
        <f aca="false">IF(S$5&lt;=LastHist,S62,CHOOSE(Scen,S63,S62,S61))</f>
        <v>0</v>
      </c>
      <c r="T154" s="106" t="n">
        <f aca="false">IF(T$5&lt;=LastHist,T62,CHOOSE(Scen,T63,T62,T61))</f>
        <v>0</v>
      </c>
      <c r="U154" s="106" t="n">
        <f aca="false">IF(U$5&lt;=LastHist,U62,CHOOSE(Scen,U63,U62,U61))</f>
        <v>17.5</v>
      </c>
      <c r="V154" s="106" t="n">
        <f aca="false">IF(V$5&lt;=LastHist,V62,CHOOSE(Scen,V63,V62,V61))</f>
        <v>52.5</v>
      </c>
      <c r="W154" s="106" t="n">
        <f aca="false">IF(W$5&lt;=LastHist,W62,CHOOSE(Scen,W63,W62,W61))</f>
        <v>70</v>
      </c>
      <c r="X154" s="106" t="n">
        <f aca="false">IF(X$5&lt;=LastHist,X62,CHOOSE(Scen,X63,X62,X61))</f>
        <v>70</v>
      </c>
      <c r="Y154" s="106" t="n">
        <f aca="false">IF(Y$5&lt;=LastHist,Y62,CHOOSE(Scen,Y63,Y62,Y61))</f>
        <v>70</v>
      </c>
      <c r="Z154" s="106" t="n">
        <f aca="false">IF(Z$5&lt;=LastHist,Z62,CHOOSE(Scen,Z63,Z62,Z61))</f>
        <v>70</v>
      </c>
      <c r="AA154" s="106" t="n">
        <f aca="false">IF(AA$5&lt;=LastHist,AA62,CHOOSE(Scen,AA63,AA62,AA61))</f>
        <v>70</v>
      </c>
      <c r="AB154" s="106" t="n">
        <f aca="false">IF(AB$5&lt;=LastHist,AB62,CHOOSE(Scen,AB63,AB62,AB61))</f>
        <v>70</v>
      </c>
      <c r="AC154" s="106" t="n">
        <f aca="false">IF(AC$5&lt;=LastHist,AC62,CHOOSE(Scen,AC63,AC62,AC61))</f>
        <v>70</v>
      </c>
      <c r="AD154" s="106" t="n">
        <f aca="false">IF(AD$5&lt;=LastHist,AD62,CHOOSE(Scen,AD63,AD62,AD61))</f>
        <v>70</v>
      </c>
      <c r="AE154" s="106" t="n">
        <f aca="false">IF(AE$5&lt;=LastHist,AE62,CHOOSE(Scen,AE63,AE62,AE61))</f>
        <v>70</v>
      </c>
      <c r="AF154" s="106" t="n">
        <f aca="false">IF(AF$5&lt;=LastHist,AF62,CHOOSE(Scen,AF63,AF62,AF61))</f>
        <v>70</v>
      </c>
      <c r="AG154" s="106" t="n">
        <f aca="false">IF(AG$5&lt;=LastHist,AG62,CHOOSE(Scen,AG63,AG62,AG61))</f>
        <v>70</v>
      </c>
      <c r="AI154" s="106" t="n">
        <f aca="false">INDEX($F154:$AG154,1,MATCH(AI$7,$F$7:$AG$7,1))</f>
        <v>0</v>
      </c>
      <c r="AJ154" s="106" t="n">
        <f aca="false">INDEX($F154:$AG154,1,MATCH(AJ$7,$F$7:$AG$7,1))</f>
        <v>0</v>
      </c>
      <c r="AK154" s="106" t="n">
        <f aca="false">INDEX($F154:$AG154,1,MATCH(AK$7,$F$7:$AG$7,1))</f>
        <v>0</v>
      </c>
      <c r="AL154" s="106" t="n">
        <f aca="false">INDEX($F154:$AG154,1,MATCH(AL$7,$F$7:$AG$7,1))</f>
        <v>17.5</v>
      </c>
      <c r="AM154" s="106" t="n">
        <f aca="false">INDEX($F154:$AG154,1,MATCH(AM$7,$F$7:$AG$7,1))</f>
        <v>70</v>
      </c>
      <c r="AN154" s="106" t="n">
        <f aca="false">INDEX($F154:$AG154,1,MATCH(AN$7,$F$7:$AG$7,1))</f>
        <v>70</v>
      </c>
      <c r="AO154" s="106" t="n">
        <f aca="false">INDEX($F154:$AG154,1,MATCH(AO$7,$F$7:$AG$7,1))</f>
        <v>70</v>
      </c>
    </row>
    <row r="155" customFormat="false" ht="15" hidden="false" customHeight="false" outlineLevel="0" collapsed="false">
      <c r="A155" s="104" t="s">
        <v>1358</v>
      </c>
      <c r="B155" s="20" t="s">
        <v>575</v>
      </c>
      <c r="C155" s="20" t="s">
        <v>513</v>
      </c>
      <c r="D155" s="20"/>
      <c r="F155" s="106" t="n">
        <f aca="false">IF(F$5&lt;=LastHist,F65,CHOOSE(Scen,F66,F65,F64))</f>
        <v>0</v>
      </c>
      <c r="G155" s="106" t="n">
        <f aca="false">IF(G$5&lt;=LastHist,G65,CHOOSE(Scen,G66,G65,G64))</f>
        <v>0</v>
      </c>
      <c r="H155" s="106" t="n">
        <f aca="false">IF(H$5&lt;=LastHist,H65,CHOOSE(Scen,H66,H65,H64))</f>
        <v>0</v>
      </c>
      <c r="I155" s="106" t="n">
        <f aca="false">IF(I$5&lt;=LastHist,I65,CHOOSE(Scen,I66,I65,I64))</f>
        <v>0</v>
      </c>
      <c r="J155" s="106" t="n">
        <f aca="false">IF(J$5&lt;=LastHist,J65,CHOOSE(Scen,J66,J65,J64))</f>
        <v>0</v>
      </c>
      <c r="K155" s="106" t="n">
        <f aca="false">IF(K$5&lt;=LastHist,K65,CHOOSE(Scen,K66,K65,K64))</f>
        <v>5</v>
      </c>
      <c r="L155" s="106" t="n">
        <f aca="false">IF(L$5&lt;=LastHist,L65,CHOOSE(Scen,L66,L65,L64))</f>
        <v>10</v>
      </c>
      <c r="M155" s="106" t="n">
        <f aca="false">IF(M$5&lt;=LastHist,M65,CHOOSE(Scen,M66,M65,M64))</f>
        <v>20</v>
      </c>
      <c r="N155" s="106" t="n">
        <f aca="false">IF(N$5&lt;=LastHist,N65,CHOOSE(Scen,N66,N65,N64))</f>
        <v>20</v>
      </c>
      <c r="O155" s="106" t="n">
        <f aca="false">IF(O$5&lt;=LastHist,O65,CHOOSE(Scen,O66,O65,O64))</f>
        <v>20</v>
      </c>
      <c r="P155" s="106" t="n">
        <f aca="false">IF(P$5&lt;=LastHist,P65,CHOOSE(Scen,P66,P65,P64))</f>
        <v>20</v>
      </c>
      <c r="Q155" s="106" t="n">
        <f aca="false">IF(Q$5&lt;=LastHist,Q65,CHOOSE(Scen,Q66,Q65,Q64))</f>
        <v>20</v>
      </c>
      <c r="R155" s="106" t="n">
        <f aca="false">IF(R$5&lt;=LastHist,R65,CHOOSE(Scen,R66,R65,R64))</f>
        <v>20</v>
      </c>
      <c r="S155" s="106" t="n">
        <f aca="false">IF(S$5&lt;=LastHist,S65,CHOOSE(Scen,S66,S65,S64))</f>
        <v>20</v>
      </c>
      <c r="T155" s="106" t="n">
        <f aca="false">IF(T$5&lt;=LastHist,T65,CHOOSE(Scen,T66,T65,T64))</f>
        <v>20</v>
      </c>
      <c r="U155" s="106" t="n">
        <f aca="false">IF(U$5&lt;=LastHist,U65,CHOOSE(Scen,U66,U65,U64))</f>
        <v>30</v>
      </c>
      <c r="V155" s="106" t="n">
        <f aca="false">IF(V$5&lt;=LastHist,V65,CHOOSE(Scen,V66,V65,V64))</f>
        <v>30</v>
      </c>
      <c r="W155" s="106" t="n">
        <f aca="false">IF(W$5&lt;=LastHist,W65,CHOOSE(Scen,W66,W65,W64))</f>
        <v>30</v>
      </c>
      <c r="X155" s="106" t="n">
        <f aca="false">IF(X$5&lt;=LastHist,X65,CHOOSE(Scen,X66,X65,X64))</f>
        <v>30</v>
      </c>
      <c r="Y155" s="106" t="n">
        <f aca="false">IF(Y$5&lt;=LastHist,Y65,CHOOSE(Scen,Y66,Y65,Y64))</f>
        <v>30</v>
      </c>
      <c r="Z155" s="106" t="n">
        <f aca="false">IF(Z$5&lt;=LastHist,Z65,CHOOSE(Scen,Z66,Z65,Z64))</f>
        <v>30</v>
      </c>
      <c r="AA155" s="106" t="n">
        <f aca="false">IF(AA$5&lt;=LastHist,AA65,CHOOSE(Scen,AA66,AA65,AA64))</f>
        <v>30</v>
      </c>
      <c r="AB155" s="106" t="n">
        <f aca="false">IF(AB$5&lt;=LastHist,AB65,CHOOSE(Scen,AB66,AB65,AB64))</f>
        <v>30</v>
      </c>
      <c r="AC155" s="106" t="n">
        <f aca="false">IF(AC$5&lt;=LastHist,AC65,CHOOSE(Scen,AC66,AC65,AC64))</f>
        <v>30</v>
      </c>
      <c r="AD155" s="106" t="n">
        <f aca="false">IF(AD$5&lt;=LastHist,AD65,CHOOSE(Scen,AD66,AD65,AD64))</f>
        <v>30</v>
      </c>
      <c r="AE155" s="106" t="n">
        <f aca="false">IF(AE$5&lt;=LastHist,AE65,CHOOSE(Scen,AE66,AE65,AE64))</f>
        <v>30</v>
      </c>
      <c r="AF155" s="106" t="n">
        <f aca="false">IF(AF$5&lt;=LastHist,AF65,CHOOSE(Scen,AF66,AF65,AF64))</f>
        <v>30</v>
      </c>
      <c r="AG155" s="106" t="n">
        <f aca="false">IF(AG$5&lt;=LastHist,AG65,CHOOSE(Scen,AG66,AG65,AG64))</f>
        <v>30</v>
      </c>
      <c r="AI155" s="106" t="n">
        <f aca="false">INDEX($F155:$AG155,1,MATCH(AI$7,$F$7:$AG$7,1))</f>
        <v>0</v>
      </c>
      <c r="AJ155" s="106" t="n">
        <f aca="false">INDEX($F155:$AG155,1,MATCH(AJ$7,$F$7:$AG$7,1))</f>
        <v>20</v>
      </c>
      <c r="AK155" s="106" t="n">
        <f aca="false">INDEX($F155:$AG155,1,MATCH(AK$7,$F$7:$AG$7,1))</f>
        <v>20</v>
      </c>
      <c r="AL155" s="106" t="n">
        <f aca="false">INDEX($F155:$AG155,1,MATCH(AL$7,$F$7:$AG$7,1))</f>
        <v>30</v>
      </c>
      <c r="AM155" s="106" t="n">
        <f aca="false">INDEX($F155:$AG155,1,MATCH(AM$7,$F$7:$AG$7,1))</f>
        <v>30</v>
      </c>
      <c r="AN155" s="106" t="n">
        <f aca="false">INDEX($F155:$AG155,1,MATCH(AN$7,$F$7:$AG$7,1))</f>
        <v>30</v>
      </c>
      <c r="AO155" s="106" t="n">
        <f aca="false">INDEX($F155:$AG155,1,MATCH(AO$7,$F$7:$AG$7,1))</f>
        <v>30</v>
      </c>
    </row>
    <row r="156" customFormat="false" ht="15" hidden="false" customHeight="false" outlineLevel="0" collapsed="false">
      <c r="A156" s="104" t="s">
        <v>1360</v>
      </c>
      <c r="B156" s="20" t="s">
        <v>575</v>
      </c>
      <c r="C156" s="20" t="s">
        <v>513</v>
      </c>
      <c r="D156" s="20"/>
      <c r="F156" s="106" t="n">
        <f aca="false">IF(F$5&lt;=LastHist,F68,CHOOSE(Scen,F69,F68,F67))</f>
        <v>0</v>
      </c>
      <c r="G156" s="106" t="n">
        <f aca="false">IF(G$5&lt;=LastHist,G68,CHOOSE(Scen,G69,G68,G67))</f>
        <v>0</v>
      </c>
      <c r="H156" s="106" t="n">
        <f aca="false">IF(H$5&lt;=LastHist,H68,CHOOSE(Scen,H69,H68,H67))</f>
        <v>0</v>
      </c>
      <c r="I156" s="106" t="n">
        <f aca="false">IF(I$5&lt;=LastHist,I68,CHOOSE(Scen,I69,I68,I67))</f>
        <v>5</v>
      </c>
      <c r="J156" s="106" t="n">
        <f aca="false">IF(J$5&lt;=LastHist,J68,CHOOSE(Scen,J69,J68,J67))</f>
        <v>5</v>
      </c>
      <c r="K156" s="106" t="n">
        <f aca="false">IF(K$5&lt;=LastHist,K68,CHOOSE(Scen,K69,K68,K67))</f>
        <v>5</v>
      </c>
      <c r="L156" s="106" t="n">
        <f aca="false">IF(L$5&lt;=LastHist,L68,CHOOSE(Scen,L69,L68,L67))</f>
        <v>5</v>
      </c>
      <c r="M156" s="106" t="n">
        <f aca="false">IF(M$5&lt;=LastHist,M68,CHOOSE(Scen,M69,M68,M67))</f>
        <v>5</v>
      </c>
      <c r="N156" s="106" t="n">
        <f aca="false">IF(N$5&lt;=LastHist,N68,CHOOSE(Scen,N69,N68,N67))</f>
        <v>5</v>
      </c>
      <c r="O156" s="106" t="n">
        <f aca="false">IF(O$5&lt;=LastHist,O68,CHOOSE(Scen,O69,O68,O67))</f>
        <v>5</v>
      </c>
      <c r="P156" s="106" t="n">
        <f aca="false">IF(P$5&lt;=LastHist,P68,CHOOSE(Scen,P69,P68,P67))</f>
        <v>5</v>
      </c>
      <c r="Q156" s="106" t="n">
        <f aca="false">IF(Q$5&lt;=LastHist,Q68,CHOOSE(Scen,Q69,Q68,Q67))</f>
        <v>5</v>
      </c>
      <c r="R156" s="106" t="n">
        <f aca="false">IF(R$5&lt;=LastHist,R68,CHOOSE(Scen,R69,R68,R67))</f>
        <v>5</v>
      </c>
      <c r="S156" s="106" t="n">
        <f aca="false">IF(S$5&lt;=LastHist,S68,CHOOSE(Scen,S69,S68,S67))</f>
        <v>5</v>
      </c>
      <c r="T156" s="106" t="n">
        <f aca="false">IF(T$5&lt;=LastHist,T68,CHOOSE(Scen,T69,T68,T67))</f>
        <v>5</v>
      </c>
      <c r="U156" s="106" t="n">
        <f aca="false">IF(U$5&lt;=LastHist,U68,CHOOSE(Scen,U69,U68,U67))</f>
        <v>5</v>
      </c>
      <c r="V156" s="106" t="n">
        <f aca="false">IF(V$5&lt;=LastHist,V68,CHOOSE(Scen,V69,V68,V67))</f>
        <v>5</v>
      </c>
      <c r="W156" s="106" t="n">
        <f aca="false">IF(W$5&lt;=LastHist,W68,CHOOSE(Scen,W69,W68,W67))</f>
        <v>5</v>
      </c>
      <c r="X156" s="106" t="n">
        <f aca="false">IF(X$5&lt;=LastHist,X68,CHOOSE(Scen,X69,X68,X67))</f>
        <v>5</v>
      </c>
      <c r="Y156" s="106" t="n">
        <f aca="false">IF(Y$5&lt;=LastHist,Y68,CHOOSE(Scen,Y69,Y68,Y67))</f>
        <v>5</v>
      </c>
      <c r="Z156" s="106" t="n">
        <f aca="false">IF(Z$5&lt;=LastHist,Z68,CHOOSE(Scen,Z69,Z68,Z67))</f>
        <v>5</v>
      </c>
      <c r="AA156" s="106" t="n">
        <f aca="false">IF(AA$5&lt;=LastHist,AA68,CHOOSE(Scen,AA69,AA68,AA67))</f>
        <v>5</v>
      </c>
      <c r="AB156" s="106" t="n">
        <f aca="false">IF(AB$5&lt;=LastHist,AB68,CHOOSE(Scen,AB69,AB68,AB67))</f>
        <v>5</v>
      </c>
      <c r="AC156" s="106" t="n">
        <f aca="false">IF(AC$5&lt;=LastHist,AC68,CHOOSE(Scen,AC69,AC68,AC67))</f>
        <v>5</v>
      </c>
      <c r="AD156" s="106" t="n">
        <f aca="false">IF(AD$5&lt;=LastHist,AD68,CHOOSE(Scen,AD69,AD68,AD67))</f>
        <v>5</v>
      </c>
      <c r="AE156" s="106" t="n">
        <f aca="false">IF(AE$5&lt;=LastHist,AE68,CHOOSE(Scen,AE69,AE68,AE67))</f>
        <v>5</v>
      </c>
      <c r="AF156" s="106" t="n">
        <f aca="false">IF(AF$5&lt;=LastHist,AF68,CHOOSE(Scen,AF69,AF68,AF67))</f>
        <v>5</v>
      </c>
      <c r="AG156" s="106" t="n">
        <f aca="false">IF(AG$5&lt;=LastHist,AG68,CHOOSE(Scen,AG69,AG68,AG67))</f>
        <v>5</v>
      </c>
      <c r="AI156" s="106" t="n">
        <f aca="false">INDEX($F156:$AG156,1,MATCH(AI$7,$F$7:$AG$7,1))</f>
        <v>5</v>
      </c>
      <c r="AJ156" s="106" t="n">
        <f aca="false">INDEX($F156:$AG156,1,MATCH(AJ$7,$F$7:$AG$7,1))</f>
        <v>5</v>
      </c>
      <c r="AK156" s="106" t="n">
        <f aca="false">INDEX($F156:$AG156,1,MATCH(AK$7,$F$7:$AG$7,1))</f>
        <v>5</v>
      </c>
      <c r="AL156" s="106" t="n">
        <f aca="false">INDEX($F156:$AG156,1,MATCH(AL$7,$F$7:$AG$7,1))</f>
        <v>5</v>
      </c>
      <c r="AM156" s="106" t="n">
        <f aca="false">INDEX($F156:$AG156,1,MATCH(AM$7,$F$7:$AG$7,1))</f>
        <v>5</v>
      </c>
      <c r="AN156" s="106" t="n">
        <f aca="false">INDEX($F156:$AG156,1,MATCH(AN$7,$F$7:$AG$7,1))</f>
        <v>5</v>
      </c>
      <c r="AO156" s="106" t="n">
        <f aca="false">INDEX($F156:$AG156,1,MATCH(AO$7,$F$7:$AG$7,1))</f>
        <v>5</v>
      </c>
    </row>
    <row r="157" customFormat="false" ht="15" hidden="false" customHeight="false" outlineLevel="0" collapsed="false">
      <c r="A157" s="104" t="s">
        <v>1362</v>
      </c>
      <c r="B157" s="20" t="s">
        <v>575</v>
      </c>
      <c r="C157" s="20" t="s">
        <v>513</v>
      </c>
      <c r="D157" s="20"/>
      <c r="F157" s="106" t="n">
        <f aca="false">IF(F$5&lt;=LastHist,F71,CHOOSE(Scen,F72,F71,F70))</f>
        <v>0</v>
      </c>
      <c r="G157" s="106" t="n">
        <f aca="false">IF(G$5&lt;=LastHist,G71,CHOOSE(Scen,G72,G71,G70))</f>
        <v>0</v>
      </c>
      <c r="H157" s="106" t="n">
        <f aca="false">IF(H$5&lt;=LastHist,H71,CHOOSE(Scen,H72,H71,H70))</f>
        <v>0</v>
      </c>
      <c r="I157" s="106" t="n">
        <f aca="false">IF(I$5&lt;=LastHist,I71,CHOOSE(Scen,I72,I71,I70))</f>
        <v>0</v>
      </c>
      <c r="J157" s="106" t="n">
        <f aca="false">IF(J$5&lt;=LastHist,J71,CHOOSE(Scen,J72,J71,J70))</f>
        <v>10</v>
      </c>
      <c r="K157" s="106" t="n">
        <f aca="false">IF(K$5&lt;=LastHist,K71,CHOOSE(Scen,K72,K71,K70))</f>
        <v>10</v>
      </c>
      <c r="L157" s="106" t="n">
        <f aca="false">IF(L$5&lt;=LastHist,L71,CHOOSE(Scen,L72,L71,L70))</f>
        <v>10</v>
      </c>
      <c r="M157" s="106" t="n">
        <f aca="false">IF(M$5&lt;=LastHist,M71,CHOOSE(Scen,M72,M71,M70))</f>
        <v>10</v>
      </c>
      <c r="N157" s="106" t="n">
        <f aca="false">IF(N$5&lt;=LastHist,N71,CHOOSE(Scen,N72,N71,N70))</f>
        <v>10</v>
      </c>
      <c r="O157" s="106" t="n">
        <f aca="false">IF(O$5&lt;=LastHist,O71,CHOOSE(Scen,O72,O71,O70))</f>
        <v>10</v>
      </c>
      <c r="P157" s="106" t="n">
        <f aca="false">IF(P$5&lt;=LastHist,P71,CHOOSE(Scen,P72,P71,P70))</f>
        <v>10</v>
      </c>
      <c r="Q157" s="106" t="n">
        <f aca="false">IF(Q$5&lt;=LastHist,Q71,CHOOSE(Scen,Q72,Q71,Q70))</f>
        <v>10</v>
      </c>
      <c r="R157" s="106" t="n">
        <f aca="false">IF(R$5&lt;=LastHist,R71,CHOOSE(Scen,R72,R71,R70))</f>
        <v>10</v>
      </c>
      <c r="S157" s="106" t="n">
        <f aca="false">IF(S$5&lt;=LastHist,S71,CHOOSE(Scen,S72,S71,S70))</f>
        <v>10</v>
      </c>
      <c r="T157" s="106" t="n">
        <f aca="false">IF(T$5&lt;=LastHist,T71,CHOOSE(Scen,T72,T71,T70))</f>
        <v>10</v>
      </c>
      <c r="U157" s="106" t="n">
        <f aca="false">IF(U$5&lt;=LastHist,U71,CHOOSE(Scen,U72,U71,U70))</f>
        <v>10</v>
      </c>
      <c r="V157" s="106" t="n">
        <f aca="false">IF(V$5&lt;=LastHist,V71,CHOOSE(Scen,V72,V71,V70))</f>
        <v>10</v>
      </c>
      <c r="W157" s="106" t="n">
        <f aca="false">IF(W$5&lt;=LastHist,W71,CHOOSE(Scen,W72,W71,W70))</f>
        <v>10</v>
      </c>
      <c r="X157" s="106" t="n">
        <f aca="false">IF(X$5&lt;=LastHist,X71,CHOOSE(Scen,X72,X71,X70))</f>
        <v>10</v>
      </c>
      <c r="Y157" s="106" t="n">
        <f aca="false">IF(Y$5&lt;=LastHist,Y71,CHOOSE(Scen,Y72,Y71,Y70))</f>
        <v>10</v>
      </c>
      <c r="Z157" s="106" t="n">
        <f aca="false">IF(Z$5&lt;=LastHist,Z71,CHOOSE(Scen,Z72,Z71,Z70))</f>
        <v>10</v>
      </c>
      <c r="AA157" s="106" t="n">
        <f aca="false">IF(AA$5&lt;=LastHist,AA71,CHOOSE(Scen,AA72,AA71,AA70))</f>
        <v>10</v>
      </c>
      <c r="AB157" s="106" t="n">
        <f aca="false">IF(AB$5&lt;=LastHist,AB71,CHOOSE(Scen,AB72,AB71,AB70))</f>
        <v>10</v>
      </c>
      <c r="AC157" s="106" t="n">
        <f aca="false">IF(AC$5&lt;=LastHist,AC71,CHOOSE(Scen,AC72,AC71,AC70))</f>
        <v>10</v>
      </c>
      <c r="AD157" s="106" t="n">
        <f aca="false">IF(AD$5&lt;=LastHist,AD71,CHOOSE(Scen,AD72,AD71,AD70))</f>
        <v>10</v>
      </c>
      <c r="AE157" s="106" t="n">
        <f aca="false">IF(AE$5&lt;=LastHist,AE71,CHOOSE(Scen,AE72,AE71,AE70))</f>
        <v>10</v>
      </c>
      <c r="AF157" s="106" t="n">
        <f aca="false">IF(AF$5&lt;=LastHist,AF71,CHOOSE(Scen,AF72,AF71,AF70))</f>
        <v>10</v>
      </c>
      <c r="AG157" s="106" t="n">
        <f aca="false">IF(AG$5&lt;=LastHist,AG71,CHOOSE(Scen,AG72,AG71,AG70))</f>
        <v>10</v>
      </c>
      <c r="AI157" s="106" t="n">
        <f aca="false">INDEX($F157:$AG157,1,MATCH(AI$7,$F$7:$AG$7,1))</f>
        <v>0</v>
      </c>
      <c r="AJ157" s="106" t="n">
        <f aca="false">INDEX($F157:$AG157,1,MATCH(AJ$7,$F$7:$AG$7,1))</f>
        <v>10</v>
      </c>
      <c r="AK157" s="106" t="n">
        <f aca="false">INDEX($F157:$AG157,1,MATCH(AK$7,$F$7:$AG$7,1))</f>
        <v>10</v>
      </c>
      <c r="AL157" s="106" t="n">
        <f aca="false">INDEX($F157:$AG157,1,MATCH(AL$7,$F$7:$AG$7,1))</f>
        <v>10</v>
      </c>
      <c r="AM157" s="106" t="n">
        <f aca="false">INDEX($F157:$AG157,1,MATCH(AM$7,$F$7:$AG$7,1))</f>
        <v>10</v>
      </c>
      <c r="AN157" s="106" t="n">
        <f aca="false">INDEX($F157:$AG157,1,MATCH(AN$7,$F$7:$AG$7,1))</f>
        <v>10</v>
      </c>
      <c r="AO157" s="106" t="n">
        <f aca="false">INDEX($F157:$AG157,1,MATCH(AO$7,$F$7:$AG$7,1))</f>
        <v>10</v>
      </c>
    </row>
    <row r="158" customFormat="false" ht="15" hidden="false" customHeight="false" outlineLevel="0" collapsed="false">
      <c r="A158" s="104" t="s">
        <v>1363</v>
      </c>
      <c r="B158" s="20" t="s">
        <v>575</v>
      </c>
      <c r="C158" s="20" t="s">
        <v>513</v>
      </c>
      <c r="D158" s="20"/>
      <c r="F158" s="106" t="n">
        <f aca="false">IF(F$5&lt;=LastHist,F74,CHOOSE(Scen,F75,F74,F73))</f>
        <v>0</v>
      </c>
      <c r="G158" s="106" t="n">
        <f aca="false">IF(G$5&lt;=LastHist,G74,CHOOSE(Scen,G75,G74,G73))</f>
        <v>0</v>
      </c>
      <c r="H158" s="106" t="n">
        <f aca="false">IF(H$5&lt;=LastHist,H74,CHOOSE(Scen,H75,H74,H73))</f>
        <v>0</v>
      </c>
      <c r="I158" s="106" t="n">
        <f aca="false">IF(I$5&lt;=LastHist,I74,CHOOSE(Scen,I75,I74,I73))</f>
        <v>0</v>
      </c>
      <c r="J158" s="106" t="n">
        <f aca="false">IF(J$5&lt;=LastHist,J74,CHOOSE(Scen,J75,J74,J73))</f>
        <v>0</v>
      </c>
      <c r="K158" s="106" t="n">
        <f aca="false">IF(K$5&lt;=LastHist,K74,CHOOSE(Scen,K75,K74,K73))</f>
        <v>0</v>
      </c>
      <c r="L158" s="106" t="n">
        <f aca="false">IF(L$5&lt;=LastHist,L74,CHOOSE(Scen,L75,L74,L73))</f>
        <v>0</v>
      </c>
      <c r="M158" s="106" t="n">
        <f aca="false">IF(M$5&lt;=LastHist,M74,CHOOSE(Scen,M75,M74,M73))</f>
        <v>16</v>
      </c>
      <c r="N158" s="106" t="n">
        <f aca="false">IF(N$5&lt;=LastHist,N74,CHOOSE(Scen,N75,N74,N73))</f>
        <v>16</v>
      </c>
      <c r="O158" s="106" t="n">
        <f aca="false">IF(O$5&lt;=LastHist,O74,CHOOSE(Scen,O75,O74,O73))</f>
        <v>16</v>
      </c>
      <c r="P158" s="106" t="n">
        <f aca="false">IF(P$5&lt;=LastHist,P74,CHOOSE(Scen,P75,P74,P73))</f>
        <v>16</v>
      </c>
      <c r="Q158" s="106" t="n">
        <f aca="false">IF(Q$5&lt;=LastHist,Q74,CHOOSE(Scen,Q75,Q74,Q73))</f>
        <v>17.5</v>
      </c>
      <c r="R158" s="106" t="n">
        <f aca="false">IF(R$5&lt;=LastHist,R74,CHOOSE(Scen,R75,R74,R73))</f>
        <v>19</v>
      </c>
      <c r="S158" s="106" t="n">
        <f aca="false">IF(S$5&lt;=LastHist,S74,CHOOSE(Scen,S75,S74,S73))</f>
        <v>19</v>
      </c>
      <c r="T158" s="106" t="n">
        <f aca="false">IF(T$5&lt;=LastHist,T74,CHOOSE(Scen,T75,T74,T73))</f>
        <v>19</v>
      </c>
      <c r="U158" s="106" t="n">
        <f aca="false">IF(U$5&lt;=LastHist,U74,CHOOSE(Scen,U75,U74,U73))</f>
        <v>19</v>
      </c>
      <c r="V158" s="106" t="n">
        <f aca="false">IF(V$5&lt;=LastHist,V74,CHOOSE(Scen,V75,V74,V73))</f>
        <v>19</v>
      </c>
      <c r="W158" s="106" t="n">
        <f aca="false">IF(W$5&lt;=LastHist,W74,CHOOSE(Scen,W75,W74,W73))</f>
        <v>19</v>
      </c>
      <c r="X158" s="106" t="n">
        <f aca="false">IF(X$5&lt;=LastHist,X74,CHOOSE(Scen,X75,X74,X73))</f>
        <v>19</v>
      </c>
      <c r="Y158" s="106" t="n">
        <f aca="false">IF(Y$5&lt;=LastHist,Y74,CHOOSE(Scen,Y75,Y74,Y73))</f>
        <v>19</v>
      </c>
      <c r="Z158" s="106" t="n">
        <f aca="false">IF(Z$5&lt;=LastHist,Z74,CHOOSE(Scen,Z75,Z74,Z73))</f>
        <v>19</v>
      </c>
      <c r="AA158" s="106" t="n">
        <f aca="false">IF(AA$5&lt;=LastHist,AA74,CHOOSE(Scen,AA75,AA74,AA73))</f>
        <v>19</v>
      </c>
      <c r="AB158" s="106" t="n">
        <f aca="false">IF(AB$5&lt;=LastHist,AB74,CHOOSE(Scen,AB75,AB74,AB73))</f>
        <v>19</v>
      </c>
      <c r="AC158" s="106" t="n">
        <f aca="false">IF(AC$5&lt;=LastHist,AC74,CHOOSE(Scen,AC75,AC74,AC73))</f>
        <v>19</v>
      </c>
      <c r="AD158" s="106" t="n">
        <f aca="false">IF(AD$5&lt;=LastHist,AD74,CHOOSE(Scen,AD75,AD74,AD73))</f>
        <v>19</v>
      </c>
      <c r="AE158" s="106" t="n">
        <f aca="false">IF(AE$5&lt;=LastHist,AE74,CHOOSE(Scen,AE75,AE74,AE73))</f>
        <v>19</v>
      </c>
      <c r="AF158" s="106" t="n">
        <f aca="false">IF(AF$5&lt;=LastHist,AF74,CHOOSE(Scen,AF75,AF74,AF73))</f>
        <v>19</v>
      </c>
      <c r="AG158" s="106" t="n">
        <f aca="false">IF(AG$5&lt;=LastHist,AG74,CHOOSE(Scen,AG75,AG74,AG73))</f>
        <v>19</v>
      </c>
      <c r="AI158" s="106" t="n">
        <f aca="false">INDEX($F158:$AG158,1,MATCH(AI$7,$F$7:$AG$7,1))</f>
        <v>0</v>
      </c>
      <c r="AJ158" s="106" t="n">
        <f aca="false">INDEX($F158:$AG158,1,MATCH(AJ$7,$F$7:$AG$7,1))</f>
        <v>16</v>
      </c>
      <c r="AK158" s="106" t="n">
        <f aca="false">INDEX($F158:$AG158,1,MATCH(AK$7,$F$7:$AG$7,1))</f>
        <v>17.5</v>
      </c>
      <c r="AL158" s="106" t="n">
        <f aca="false">INDEX($F158:$AG158,1,MATCH(AL$7,$F$7:$AG$7,1))</f>
        <v>19</v>
      </c>
      <c r="AM158" s="106" t="n">
        <f aca="false">INDEX($F158:$AG158,1,MATCH(AM$7,$F$7:$AG$7,1))</f>
        <v>19</v>
      </c>
      <c r="AN158" s="106" t="n">
        <f aca="false">INDEX($F158:$AG158,1,MATCH(AN$7,$F$7:$AG$7,1))</f>
        <v>19</v>
      </c>
      <c r="AO158" s="106" t="n">
        <f aca="false">INDEX($F158:$AG158,1,MATCH(AO$7,$F$7:$AG$7,1))</f>
        <v>19</v>
      </c>
    </row>
    <row r="159" customFormat="false" ht="15" hidden="false" customHeight="false" outlineLevel="0" collapsed="false">
      <c r="A159" s="104" t="s">
        <v>1365</v>
      </c>
      <c r="B159" s="20" t="s">
        <v>575</v>
      </c>
      <c r="C159" s="20" t="s">
        <v>513</v>
      </c>
      <c r="D159" s="20"/>
      <c r="F159" s="106" t="n">
        <f aca="false">IF(F$5&lt;=LastHist,F77,CHOOSE(Scen,F78,F77,F76))</f>
        <v>0</v>
      </c>
      <c r="G159" s="106" t="n">
        <f aca="false">IF(G$5&lt;=LastHist,G77,CHOOSE(Scen,G78,G77,G76))</f>
        <v>0</v>
      </c>
      <c r="H159" s="106" t="n">
        <f aca="false">IF(H$5&lt;=LastHist,H77,CHOOSE(Scen,H78,H77,H76))</f>
        <v>0</v>
      </c>
      <c r="I159" s="106" t="n">
        <f aca="false">IF(I$5&lt;=LastHist,I77,CHOOSE(Scen,I78,I77,I76))</f>
        <v>0</v>
      </c>
      <c r="J159" s="106" t="n">
        <f aca="false">IF(J$5&lt;=LastHist,J77,CHOOSE(Scen,J78,J77,J76))</f>
        <v>0</v>
      </c>
      <c r="K159" s="106" t="n">
        <f aca="false">IF(K$5&lt;=LastHist,K77,CHOOSE(Scen,K78,K77,K76))</f>
        <v>0</v>
      </c>
      <c r="L159" s="106" t="n">
        <f aca="false">IF(L$5&lt;=LastHist,L77,CHOOSE(Scen,L78,L77,L76))</f>
        <v>0</v>
      </c>
      <c r="M159" s="106" t="n">
        <f aca="false">IF(M$5&lt;=LastHist,M77,CHOOSE(Scen,M78,M77,M76))</f>
        <v>0</v>
      </c>
      <c r="N159" s="106" t="n">
        <f aca="false">IF(N$5&lt;=LastHist,N77,CHOOSE(Scen,N78,N77,N76))</f>
        <v>0</v>
      </c>
      <c r="O159" s="106" t="n">
        <f aca="false">IF(O$5&lt;=LastHist,O77,CHOOSE(Scen,O78,O77,O76))</f>
        <v>0</v>
      </c>
      <c r="P159" s="106" t="n">
        <f aca="false">IF(P$5&lt;=LastHist,P77,CHOOSE(Scen,P78,P77,P76))</f>
        <v>0</v>
      </c>
      <c r="Q159" s="106" t="n">
        <f aca="false">IF(Q$5&lt;=LastHist,Q77,CHOOSE(Scen,Q78,Q77,Q76))</f>
        <v>2.2</v>
      </c>
      <c r="R159" s="106" t="n">
        <f aca="false">IF(R$5&lt;=LastHist,R77,CHOOSE(Scen,R78,R77,R76))</f>
        <v>13.2</v>
      </c>
      <c r="S159" s="106" t="n">
        <f aca="false">IF(S$5&lt;=LastHist,S77,CHOOSE(Scen,S78,S77,S76))</f>
        <v>13.2</v>
      </c>
      <c r="T159" s="106" t="n">
        <f aca="false">IF(T$5&lt;=LastHist,T77,CHOOSE(Scen,T78,T77,T76))</f>
        <v>22</v>
      </c>
      <c r="U159" s="106" t="n">
        <f aca="false">IF(U$5&lt;=LastHist,U77,CHOOSE(Scen,U78,U77,U76))</f>
        <v>22</v>
      </c>
      <c r="V159" s="106" t="n">
        <f aca="false">IF(V$5&lt;=LastHist,V77,CHOOSE(Scen,V78,V77,V76))</f>
        <v>22</v>
      </c>
      <c r="W159" s="106" t="n">
        <f aca="false">IF(W$5&lt;=LastHist,W77,CHOOSE(Scen,W78,W77,W76))</f>
        <v>22</v>
      </c>
      <c r="X159" s="106" t="n">
        <f aca="false">IF(X$5&lt;=LastHist,X77,CHOOSE(Scen,X78,X77,X76))</f>
        <v>22</v>
      </c>
      <c r="Y159" s="106" t="n">
        <f aca="false">IF(Y$5&lt;=LastHist,Y77,CHOOSE(Scen,Y78,Y77,Y76))</f>
        <v>22</v>
      </c>
      <c r="Z159" s="106" t="n">
        <f aca="false">IF(Z$5&lt;=LastHist,Z77,CHOOSE(Scen,Z78,Z77,Z76))</f>
        <v>22</v>
      </c>
      <c r="AA159" s="106" t="n">
        <f aca="false">IF(AA$5&lt;=LastHist,AA77,CHOOSE(Scen,AA78,AA77,AA76))</f>
        <v>22</v>
      </c>
      <c r="AB159" s="106" t="n">
        <f aca="false">IF(AB$5&lt;=LastHist,AB77,CHOOSE(Scen,AB78,AB77,AB76))</f>
        <v>22</v>
      </c>
      <c r="AC159" s="106" t="n">
        <f aca="false">IF(AC$5&lt;=LastHist,AC77,CHOOSE(Scen,AC78,AC77,AC76))</f>
        <v>22</v>
      </c>
      <c r="AD159" s="106" t="n">
        <f aca="false">IF(AD$5&lt;=LastHist,AD77,CHOOSE(Scen,AD78,AD77,AD76))</f>
        <v>22</v>
      </c>
      <c r="AE159" s="106" t="n">
        <f aca="false">IF(AE$5&lt;=LastHist,AE77,CHOOSE(Scen,AE78,AE77,AE76))</f>
        <v>22</v>
      </c>
      <c r="AF159" s="106" t="n">
        <f aca="false">IF(AF$5&lt;=LastHist,AF77,CHOOSE(Scen,AF78,AF77,AF76))</f>
        <v>22</v>
      </c>
      <c r="AG159" s="106" t="n">
        <f aca="false">IF(AG$5&lt;=LastHist,AG77,CHOOSE(Scen,AG78,AG77,AG76))</f>
        <v>22</v>
      </c>
      <c r="AI159" s="106" t="n">
        <f aca="false">INDEX($F159:$AG159,1,MATCH(AI$7,$F$7:$AG$7,1))</f>
        <v>0</v>
      </c>
      <c r="AJ159" s="106" t="n">
        <f aca="false">INDEX($F159:$AG159,1,MATCH(AJ$7,$F$7:$AG$7,1))</f>
        <v>0</v>
      </c>
      <c r="AK159" s="106" t="n">
        <f aca="false">INDEX($F159:$AG159,1,MATCH(AK$7,$F$7:$AG$7,1))</f>
        <v>2.2</v>
      </c>
      <c r="AL159" s="106" t="n">
        <f aca="false">INDEX($F159:$AG159,1,MATCH(AL$7,$F$7:$AG$7,1))</f>
        <v>22</v>
      </c>
      <c r="AM159" s="106" t="n">
        <f aca="false">INDEX($F159:$AG159,1,MATCH(AM$7,$F$7:$AG$7,1))</f>
        <v>22</v>
      </c>
      <c r="AN159" s="106" t="n">
        <f aca="false">INDEX($F159:$AG159,1,MATCH(AN$7,$F$7:$AG$7,1))</f>
        <v>22</v>
      </c>
      <c r="AO159" s="106" t="n">
        <f aca="false">INDEX($F159:$AG159,1,MATCH(AO$7,$F$7:$AG$7,1))</f>
        <v>22</v>
      </c>
    </row>
    <row r="160" customFormat="false" ht="15" hidden="false" customHeight="false" outlineLevel="0" collapsed="false">
      <c r="A160" s="104" t="s">
        <v>1366</v>
      </c>
      <c r="B160" s="20" t="s">
        <v>575</v>
      </c>
      <c r="C160" s="20" t="s">
        <v>513</v>
      </c>
      <c r="D160" s="20"/>
      <c r="F160" s="106" t="n">
        <f aca="false">IF(F$5&lt;=LastHist,F80,CHOOSE(Scen,F81,F80,F79))</f>
        <v>0</v>
      </c>
      <c r="G160" s="106" t="n">
        <f aca="false">IF(G$5&lt;=LastHist,G80,CHOOSE(Scen,G81,G80,G79))</f>
        <v>0</v>
      </c>
      <c r="H160" s="106" t="n">
        <f aca="false">IF(H$5&lt;=LastHist,H80,CHOOSE(Scen,H81,H80,H79))</f>
        <v>0</v>
      </c>
      <c r="I160" s="106" t="n">
        <f aca="false">IF(I$5&lt;=LastHist,I80,CHOOSE(Scen,I81,I80,I79))</f>
        <v>0</v>
      </c>
      <c r="J160" s="106" t="n">
        <f aca="false">IF(J$5&lt;=LastHist,J80,CHOOSE(Scen,J81,J80,J79))</f>
        <v>0</v>
      </c>
      <c r="K160" s="106" t="n">
        <f aca="false">IF(K$5&lt;=LastHist,K80,CHOOSE(Scen,K81,K80,K79))</f>
        <v>0</v>
      </c>
      <c r="L160" s="106" t="n">
        <f aca="false">IF(L$5&lt;=LastHist,L80,CHOOSE(Scen,L81,L80,L79))</f>
        <v>0</v>
      </c>
      <c r="M160" s="106" t="n">
        <f aca="false">IF(M$5&lt;=LastHist,M80,CHOOSE(Scen,M81,M80,M79))</f>
        <v>0</v>
      </c>
      <c r="N160" s="106" t="n">
        <f aca="false">IF(N$5&lt;=LastHist,N80,CHOOSE(Scen,N81,N80,N79))</f>
        <v>0</v>
      </c>
      <c r="O160" s="106" t="n">
        <f aca="false">IF(O$5&lt;=LastHist,O80,CHOOSE(Scen,O81,O80,O79))</f>
        <v>0</v>
      </c>
      <c r="P160" s="106" t="n">
        <f aca="false">IF(P$5&lt;=LastHist,P80,CHOOSE(Scen,P81,P80,P79))</f>
        <v>0</v>
      </c>
      <c r="Q160" s="106" t="n">
        <f aca="false">IF(Q$5&lt;=LastHist,Q80,CHOOSE(Scen,Q81,Q80,Q79))</f>
        <v>0</v>
      </c>
      <c r="R160" s="106" t="n">
        <f aca="false">IF(R$5&lt;=LastHist,R80,CHOOSE(Scen,R81,R80,R79))</f>
        <v>0</v>
      </c>
      <c r="S160" s="106" t="n">
        <f aca="false">IF(S$5&lt;=LastHist,S80,CHOOSE(Scen,S81,S80,S79))</f>
        <v>0</v>
      </c>
      <c r="T160" s="106" t="n">
        <f aca="false">IF(T$5&lt;=LastHist,T80,CHOOSE(Scen,T81,T80,T79))</f>
        <v>0</v>
      </c>
      <c r="U160" s="106" t="n">
        <f aca="false">IF(U$5&lt;=LastHist,U80,CHOOSE(Scen,U81,U80,U79))</f>
        <v>0</v>
      </c>
      <c r="V160" s="106" t="n">
        <f aca="false">IF(V$5&lt;=LastHist,V80,CHOOSE(Scen,V81,V80,V79))</f>
        <v>0</v>
      </c>
      <c r="W160" s="106" t="n">
        <f aca="false">IF(W$5&lt;=LastHist,W80,CHOOSE(Scen,W81,W80,W79))</f>
        <v>0</v>
      </c>
      <c r="X160" s="106" t="n">
        <f aca="false">IF(X$5&lt;=LastHist,X80,CHOOSE(Scen,X81,X80,X79))</f>
        <v>0</v>
      </c>
      <c r="Y160" s="106" t="n">
        <f aca="false">IF(Y$5&lt;=LastHist,Y80,CHOOSE(Scen,Y81,Y80,Y79))</f>
        <v>0</v>
      </c>
      <c r="Z160" s="106" t="n">
        <f aca="false">IF(Z$5&lt;=LastHist,Z80,CHOOSE(Scen,Z81,Z80,Z79))</f>
        <v>0</v>
      </c>
      <c r="AA160" s="106" t="n">
        <f aca="false">IF(AA$5&lt;=LastHist,AA80,CHOOSE(Scen,AA81,AA80,AA79))</f>
        <v>0</v>
      </c>
      <c r="AB160" s="106" t="n">
        <f aca="false">IF(AB$5&lt;=LastHist,AB80,CHOOSE(Scen,AB81,AB80,AB79))</f>
        <v>0</v>
      </c>
      <c r="AC160" s="106" t="n">
        <f aca="false">IF(AC$5&lt;=LastHist,AC80,CHOOSE(Scen,AC81,AC80,AC79))</f>
        <v>0</v>
      </c>
      <c r="AD160" s="106" t="n">
        <f aca="false">IF(AD$5&lt;=LastHist,AD80,CHOOSE(Scen,AD81,AD80,AD79))</f>
        <v>0</v>
      </c>
      <c r="AE160" s="106" t="n">
        <f aca="false">IF(AE$5&lt;=LastHist,AE80,CHOOSE(Scen,AE81,AE80,AE79))</f>
        <v>0</v>
      </c>
      <c r="AF160" s="106" t="n">
        <f aca="false">IF(AF$5&lt;=LastHist,AF80,CHOOSE(Scen,AF81,AF80,AF79))</f>
        <v>0</v>
      </c>
      <c r="AG160" s="106" t="n">
        <f aca="false">IF(AG$5&lt;=LastHist,AG80,CHOOSE(Scen,AG81,AG80,AG79))</f>
        <v>0</v>
      </c>
      <c r="AI160" s="106" t="n">
        <f aca="false">INDEX($F160:$AG160,1,MATCH(AI$7,$F$7:$AG$7,1))</f>
        <v>0</v>
      </c>
      <c r="AJ160" s="106" t="n">
        <f aca="false">INDEX($F160:$AG160,1,MATCH(AJ$7,$F$7:$AG$7,1))</f>
        <v>0</v>
      </c>
      <c r="AK160" s="106" t="n">
        <f aca="false">INDEX($F160:$AG160,1,MATCH(AK$7,$F$7:$AG$7,1))</f>
        <v>0</v>
      </c>
      <c r="AL160" s="106" t="n">
        <f aca="false">INDEX($F160:$AG160,1,MATCH(AL$7,$F$7:$AG$7,1))</f>
        <v>0</v>
      </c>
      <c r="AM160" s="106" t="n">
        <f aca="false">INDEX($F160:$AG160,1,MATCH(AM$7,$F$7:$AG$7,1))</f>
        <v>0</v>
      </c>
      <c r="AN160" s="106" t="n">
        <f aca="false">INDEX($F160:$AG160,1,MATCH(AN$7,$F$7:$AG$7,1))</f>
        <v>0</v>
      </c>
      <c r="AO160" s="106" t="n">
        <f aca="false">INDEX($F160:$AG160,1,MATCH(AO$7,$F$7:$AG$7,1))</f>
        <v>0</v>
      </c>
    </row>
    <row r="161" customFormat="false" ht="15" hidden="false" customHeight="false" outlineLevel="0" collapsed="false">
      <c r="A161" s="104" t="s">
        <v>1368</v>
      </c>
      <c r="B161" s="20" t="s">
        <v>575</v>
      </c>
      <c r="C161" s="20" t="s">
        <v>513</v>
      </c>
      <c r="D161" s="20"/>
      <c r="F161" s="106" t="n">
        <f aca="false">IF(F$5&lt;=LastHist,F83,CHOOSE(Scen,F84,F83,F82))</f>
        <v>0</v>
      </c>
      <c r="G161" s="106" t="n">
        <f aca="false">IF(G$5&lt;=LastHist,G83,CHOOSE(Scen,G84,G83,G82))</f>
        <v>0</v>
      </c>
      <c r="H161" s="106" t="n">
        <f aca="false">IF(H$5&lt;=LastHist,H83,CHOOSE(Scen,H84,H83,H82))</f>
        <v>0</v>
      </c>
      <c r="I161" s="106" t="n">
        <f aca="false">IF(I$5&lt;=LastHist,I83,CHOOSE(Scen,I84,I83,I82))</f>
        <v>0</v>
      </c>
      <c r="J161" s="106" t="n">
        <f aca="false">IF(J$5&lt;=LastHist,J83,CHOOSE(Scen,J84,J83,J82))</f>
        <v>0</v>
      </c>
      <c r="K161" s="106" t="n">
        <f aca="false">IF(K$5&lt;=LastHist,K83,CHOOSE(Scen,K84,K83,K82))</f>
        <v>0</v>
      </c>
      <c r="L161" s="106" t="n">
        <f aca="false">IF(L$5&lt;=LastHist,L83,CHOOSE(Scen,L84,L83,L82))</f>
        <v>0</v>
      </c>
      <c r="M161" s="106" t="n">
        <f aca="false">IF(M$5&lt;=LastHist,M83,CHOOSE(Scen,M84,M83,M82))</f>
        <v>8</v>
      </c>
      <c r="N161" s="106" t="n">
        <f aca="false">IF(N$5&lt;=LastHist,N83,CHOOSE(Scen,N84,N83,N82))</f>
        <v>8</v>
      </c>
      <c r="O161" s="106" t="n">
        <f aca="false">IF(O$5&lt;=LastHist,O83,CHOOSE(Scen,O84,O83,O82))</f>
        <v>8</v>
      </c>
      <c r="P161" s="106" t="n">
        <f aca="false">IF(P$5&lt;=LastHist,P83,CHOOSE(Scen,P84,P83,P82))</f>
        <v>8</v>
      </c>
      <c r="Q161" s="106" t="n">
        <f aca="false">IF(Q$5&lt;=LastHist,Q83,CHOOSE(Scen,Q84,Q83,Q82))</f>
        <v>8</v>
      </c>
      <c r="R161" s="106" t="n">
        <f aca="false">IF(R$5&lt;=LastHist,R83,CHOOSE(Scen,R84,R83,R82))</f>
        <v>8</v>
      </c>
      <c r="S161" s="106" t="n">
        <f aca="false">IF(S$5&lt;=LastHist,S83,CHOOSE(Scen,S84,S83,S82))</f>
        <v>8</v>
      </c>
      <c r="T161" s="106" t="n">
        <f aca="false">IF(T$5&lt;=LastHist,T83,CHOOSE(Scen,T84,T83,T82))</f>
        <v>8</v>
      </c>
      <c r="U161" s="106" t="n">
        <f aca="false">IF(U$5&lt;=LastHist,U83,CHOOSE(Scen,U84,U83,U82))</f>
        <v>8</v>
      </c>
      <c r="V161" s="106" t="n">
        <f aca="false">IF(V$5&lt;=LastHist,V83,CHOOSE(Scen,V84,V83,V82))</f>
        <v>8</v>
      </c>
      <c r="W161" s="106" t="n">
        <f aca="false">IF(W$5&lt;=LastHist,W83,CHOOSE(Scen,W84,W83,W82))</f>
        <v>8</v>
      </c>
      <c r="X161" s="106" t="n">
        <f aca="false">IF(X$5&lt;=LastHist,X83,CHOOSE(Scen,X84,X83,X82))</f>
        <v>8</v>
      </c>
      <c r="Y161" s="106" t="n">
        <f aca="false">IF(Y$5&lt;=LastHist,Y83,CHOOSE(Scen,Y84,Y83,Y82))</f>
        <v>8</v>
      </c>
      <c r="Z161" s="106" t="n">
        <f aca="false">IF(Z$5&lt;=LastHist,Z83,CHOOSE(Scen,Z84,Z83,Z82))</f>
        <v>8</v>
      </c>
      <c r="AA161" s="106" t="n">
        <f aca="false">IF(AA$5&lt;=LastHist,AA83,CHOOSE(Scen,AA84,AA83,AA82))</f>
        <v>8</v>
      </c>
      <c r="AB161" s="106" t="n">
        <f aca="false">IF(AB$5&lt;=LastHist,AB83,CHOOSE(Scen,AB84,AB83,AB82))</f>
        <v>8</v>
      </c>
      <c r="AC161" s="106" t="n">
        <f aca="false">IF(AC$5&lt;=LastHist,AC83,CHOOSE(Scen,AC84,AC83,AC82))</f>
        <v>8</v>
      </c>
      <c r="AD161" s="106" t="n">
        <f aca="false">IF(AD$5&lt;=LastHist,AD83,CHOOSE(Scen,AD84,AD83,AD82))</f>
        <v>8</v>
      </c>
      <c r="AE161" s="106" t="n">
        <f aca="false">IF(AE$5&lt;=LastHist,AE83,CHOOSE(Scen,AE84,AE83,AE82))</f>
        <v>8</v>
      </c>
      <c r="AF161" s="106" t="n">
        <f aca="false">IF(AF$5&lt;=LastHist,AF83,CHOOSE(Scen,AF84,AF83,AF82))</f>
        <v>8</v>
      </c>
      <c r="AG161" s="106" t="n">
        <f aca="false">IF(AG$5&lt;=LastHist,AG83,CHOOSE(Scen,AG84,AG83,AG82))</f>
        <v>8</v>
      </c>
      <c r="AI161" s="106" t="n">
        <f aca="false">INDEX($F161:$AG161,1,MATCH(AI$7,$F$7:$AG$7,1))</f>
        <v>0</v>
      </c>
      <c r="AJ161" s="106" t="n">
        <f aca="false">INDEX($F161:$AG161,1,MATCH(AJ$7,$F$7:$AG$7,1))</f>
        <v>8</v>
      </c>
      <c r="AK161" s="106" t="n">
        <f aca="false">INDEX($F161:$AG161,1,MATCH(AK$7,$F$7:$AG$7,1))</f>
        <v>8</v>
      </c>
      <c r="AL161" s="106" t="n">
        <f aca="false">INDEX($F161:$AG161,1,MATCH(AL$7,$F$7:$AG$7,1))</f>
        <v>8</v>
      </c>
      <c r="AM161" s="106" t="n">
        <f aca="false">INDEX($F161:$AG161,1,MATCH(AM$7,$F$7:$AG$7,1))</f>
        <v>8</v>
      </c>
      <c r="AN161" s="106" t="n">
        <f aca="false">INDEX($F161:$AG161,1,MATCH(AN$7,$F$7:$AG$7,1))</f>
        <v>8</v>
      </c>
      <c r="AO161" s="106" t="n">
        <f aca="false">INDEX($F161:$AG161,1,MATCH(AO$7,$F$7:$AG$7,1))</f>
        <v>8</v>
      </c>
    </row>
    <row r="162" customFormat="false" ht="15" hidden="false" customHeight="false" outlineLevel="0" collapsed="false">
      <c r="A162" s="104" t="s">
        <v>1370</v>
      </c>
      <c r="B162" s="20" t="s">
        <v>575</v>
      </c>
      <c r="C162" s="20" t="s">
        <v>513</v>
      </c>
      <c r="D162" s="20"/>
      <c r="F162" s="106" t="n">
        <f aca="false">IF(F$5&lt;=LastHist,F86,CHOOSE(Scen,F87,F86,F85))</f>
        <v>0</v>
      </c>
      <c r="G162" s="106" t="n">
        <f aca="false">IF(G$5&lt;=LastHist,G86,CHOOSE(Scen,G87,G86,G85))</f>
        <v>0</v>
      </c>
      <c r="H162" s="106" t="n">
        <f aca="false">IF(H$5&lt;=LastHist,H86,CHOOSE(Scen,H87,H86,H85))</f>
        <v>0</v>
      </c>
      <c r="I162" s="106" t="n">
        <f aca="false">IF(I$5&lt;=LastHist,I86,CHOOSE(Scen,I87,I86,I85))</f>
        <v>0</v>
      </c>
      <c r="J162" s="106" t="n">
        <f aca="false">IF(J$5&lt;=LastHist,J86,CHOOSE(Scen,J87,J86,J85))</f>
        <v>0</v>
      </c>
      <c r="K162" s="106" t="n">
        <f aca="false">IF(K$5&lt;=LastHist,K86,CHOOSE(Scen,K87,K86,K85))</f>
        <v>0</v>
      </c>
      <c r="L162" s="106" t="n">
        <f aca="false">IF(L$5&lt;=LastHist,L86,CHOOSE(Scen,L87,L86,L85))</f>
        <v>0</v>
      </c>
      <c r="M162" s="106" t="n">
        <f aca="false">IF(M$5&lt;=LastHist,M86,CHOOSE(Scen,M87,M86,M85))</f>
        <v>0</v>
      </c>
      <c r="N162" s="106" t="n">
        <f aca="false">IF(N$5&lt;=LastHist,N86,CHOOSE(Scen,N87,N86,N85))</f>
        <v>0</v>
      </c>
      <c r="O162" s="106" t="n">
        <f aca="false">IF(O$5&lt;=LastHist,O86,CHOOSE(Scen,O87,O86,O85))</f>
        <v>0</v>
      </c>
      <c r="P162" s="106" t="n">
        <f aca="false">IF(P$5&lt;=LastHist,P86,CHOOSE(Scen,P87,P86,P85))</f>
        <v>0</v>
      </c>
      <c r="Q162" s="106" t="n">
        <f aca="false">IF(Q$5&lt;=LastHist,Q86,CHOOSE(Scen,Q87,Q86,Q85))</f>
        <v>11</v>
      </c>
      <c r="R162" s="106" t="n">
        <f aca="false">IF(R$5&lt;=LastHist,R86,CHOOSE(Scen,R87,R86,R85))</f>
        <v>16.5</v>
      </c>
      <c r="S162" s="106" t="n">
        <f aca="false">IF(S$5&lt;=LastHist,S86,CHOOSE(Scen,S87,S86,S85))</f>
        <v>22</v>
      </c>
      <c r="T162" s="106" t="n">
        <f aca="false">IF(T$5&lt;=LastHist,T86,CHOOSE(Scen,T87,T86,T85))</f>
        <v>22</v>
      </c>
      <c r="U162" s="106" t="n">
        <f aca="false">IF(U$5&lt;=LastHist,U86,CHOOSE(Scen,U87,U86,U85))</f>
        <v>22</v>
      </c>
      <c r="V162" s="106" t="n">
        <f aca="false">IF(V$5&lt;=LastHist,V86,CHOOSE(Scen,V87,V86,V85))</f>
        <v>22</v>
      </c>
      <c r="W162" s="106" t="n">
        <f aca="false">IF(W$5&lt;=LastHist,W86,CHOOSE(Scen,W87,W86,W85))</f>
        <v>22</v>
      </c>
      <c r="X162" s="106" t="n">
        <f aca="false">IF(X$5&lt;=LastHist,X86,CHOOSE(Scen,X87,X86,X85))</f>
        <v>22</v>
      </c>
      <c r="Y162" s="106" t="n">
        <f aca="false">IF(Y$5&lt;=LastHist,Y86,CHOOSE(Scen,Y87,Y86,Y85))</f>
        <v>22</v>
      </c>
      <c r="Z162" s="106" t="n">
        <f aca="false">IF(Z$5&lt;=LastHist,Z86,CHOOSE(Scen,Z87,Z86,Z85))</f>
        <v>22</v>
      </c>
      <c r="AA162" s="106" t="n">
        <f aca="false">IF(AA$5&lt;=LastHist,AA86,CHOOSE(Scen,AA87,AA86,AA85))</f>
        <v>22</v>
      </c>
      <c r="AB162" s="106" t="n">
        <f aca="false">IF(AB$5&lt;=LastHist,AB86,CHOOSE(Scen,AB87,AB86,AB85))</f>
        <v>22</v>
      </c>
      <c r="AC162" s="106" t="n">
        <f aca="false">IF(AC$5&lt;=LastHist,AC86,CHOOSE(Scen,AC87,AC86,AC85))</f>
        <v>22</v>
      </c>
      <c r="AD162" s="106" t="n">
        <f aca="false">IF(AD$5&lt;=LastHist,AD86,CHOOSE(Scen,AD87,AD86,AD85))</f>
        <v>22</v>
      </c>
      <c r="AE162" s="106" t="n">
        <f aca="false">IF(AE$5&lt;=LastHist,AE86,CHOOSE(Scen,AE87,AE86,AE85))</f>
        <v>22</v>
      </c>
      <c r="AF162" s="106" t="n">
        <f aca="false">IF(AF$5&lt;=LastHist,AF86,CHOOSE(Scen,AF87,AF86,AF85))</f>
        <v>22</v>
      </c>
      <c r="AG162" s="106" t="n">
        <f aca="false">IF(AG$5&lt;=LastHist,AG86,CHOOSE(Scen,AG87,AG86,AG85))</f>
        <v>22</v>
      </c>
      <c r="AI162" s="106" t="n">
        <f aca="false">INDEX($F162:$AG162,1,MATCH(AI$7,$F$7:$AG$7,1))</f>
        <v>0</v>
      </c>
      <c r="AJ162" s="106" t="n">
        <f aca="false">INDEX($F162:$AG162,1,MATCH(AJ$7,$F$7:$AG$7,1))</f>
        <v>0</v>
      </c>
      <c r="AK162" s="106" t="n">
        <f aca="false">INDEX($F162:$AG162,1,MATCH(AK$7,$F$7:$AG$7,1))</f>
        <v>11</v>
      </c>
      <c r="AL162" s="106" t="n">
        <f aca="false">INDEX($F162:$AG162,1,MATCH(AL$7,$F$7:$AG$7,1))</f>
        <v>22</v>
      </c>
      <c r="AM162" s="106" t="n">
        <f aca="false">INDEX($F162:$AG162,1,MATCH(AM$7,$F$7:$AG$7,1))</f>
        <v>22</v>
      </c>
      <c r="AN162" s="106" t="n">
        <f aca="false">INDEX($F162:$AG162,1,MATCH(AN$7,$F$7:$AG$7,1))</f>
        <v>22</v>
      </c>
      <c r="AO162" s="106" t="n">
        <f aca="false">INDEX($F162:$AG162,1,MATCH(AO$7,$F$7:$AG$7,1))</f>
        <v>22</v>
      </c>
    </row>
    <row r="163" customFormat="false" ht="15" hidden="false" customHeight="false" outlineLevel="0" collapsed="false">
      <c r="A163" s="104" t="s">
        <v>1371</v>
      </c>
      <c r="B163" s="20" t="s">
        <v>575</v>
      </c>
      <c r="C163" s="20" t="s">
        <v>513</v>
      </c>
      <c r="D163" s="20"/>
      <c r="F163" s="106" t="n">
        <f aca="false">IF(F$5&lt;=LastHist,F89,CHOOSE(Scen,F90,F89,F88))</f>
        <v>0</v>
      </c>
      <c r="G163" s="106" t="n">
        <f aca="false">IF(G$5&lt;=LastHist,G89,CHOOSE(Scen,G90,G89,G88))</f>
        <v>0</v>
      </c>
      <c r="H163" s="106" t="n">
        <f aca="false">IF(H$5&lt;=LastHist,H89,CHOOSE(Scen,H90,H89,H88))</f>
        <v>0</v>
      </c>
      <c r="I163" s="106" t="n">
        <f aca="false">IF(I$5&lt;=LastHist,I89,CHOOSE(Scen,I90,I89,I88))</f>
        <v>0</v>
      </c>
      <c r="J163" s="106" t="n">
        <f aca="false">IF(J$5&lt;=LastHist,J89,CHOOSE(Scen,J90,J89,J88))</f>
        <v>0</v>
      </c>
      <c r="K163" s="106" t="n">
        <f aca="false">IF(K$5&lt;=LastHist,K89,CHOOSE(Scen,K90,K89,K88))</f>
        <v>0</v>
      </c>
      <c r="L163" s="106" t="n">
        <f aca="false">IF(L$5&lt;=LastHist,L89,CHOOSE(Scen,L90,L89,L88))</f>
        <v>0</v>
      </c>
      <c r="M163" s="106" t="n">
        <f aca="false">IF(M$5&lt;=LastHist,M89,CHOOSE(Scen,M90,M89,M88))</f>
        <v>0</v>
      </c>
      <c r="N163" s="106" t="n">
        <f aca="false">IF(N$5&lt;=LastHist,N89,CHOOSE(Scen,N90,N89,N88))</f>
        <v>0</v>
      </c>
      <c r="O163" s="106" t="n">
        <f aca="false">IF(O$5&lt;=LastHist,O89,CHOOSE(Scen,O90,O89,O88))</f>
        <v>0</v>
      </c>
      <c r="P163" s="106" t="n">
        <f aca="false">IF(P$5&lt;=LastHist,P89,CHOOSE(Scen,P90,P89,P88))</f>
        <v>0</v>
      </c>
      <c r="Q163" s="106" t="n">
        <f aca="false">IF(Q$5&lt;=LastHist,Q89,CHOOSE(Scen,Q90,Q89,Q88))</f>
        <v>19.5</v>
      </c>
      <c r="R163" s="106" t="n">
        <f aca="false">IF(R$5&lt;=LastHist,R89,CHOOSE(Scen,R90,R89,R88))</f>
        <v>39</v>
      </c>
      <c r="S163" s="106" t="n">
        <f aca="false">IF(S$5&lt;=LastHist,S89,CHOOSE(Scen,S90,S89,S88))</f>
        <v>48.5</v>
      </c>
      <c r="T163" s="106" t="n">
        <f aca="false">IF(T$5&lt;=LastHist,T89,CHOOSE(Scen,T90,T89,T88))</f>
        <v>58</v>
      </c>
      <c r="U163" s="106" t="n">
        <f aca="false">IF(U$5&lt;=LastHist,U89,CHOOSE(Scen,U90,U89,U88))</f>
        <v>58</v>
      </c>
      <c r="V163" s="106" t="n">
        <f aca="false">IF(V$5&lt;=LastHist,V89,CHOOSE(Scen,V90,V89,V88))</f>
        <v>58</v>
      </c>
      <c r="W163" s="106" t="n">
        <f aca="false">IF(W$5&lt;=LastHist,W89,CHOOSE(Scen,W90,W89,W88))</f>
        <v>58</v>
      </c>
      <c r="X163" s="106" t="n">
        <f aca="false">IF(X$5&lt;=LastHist,X89,CHOOSE(Scen,X90,X89,X88))</f>
        <v>58</v>
      </c>
      <c r="Y163" s="106" t="n">
        <f aca="false">IF(Y$5&lt;=LastHist,Y89,CHOOSE(Scen,Y90,Y89,Y88))</f>
        <v>58</v>
      </c>
      <c r="Z163" s="106" t="n">
        <f aca="false">IF(Z$5&lt;=LastHist,Z89,CHOOSE(Scen,Z90,Z89,Z88))</f>
        <v>58</v>
      </c>
      <c r="AA163" s="106" t="n">
        <f aca="false">IF(AA$5&lt;=LastHist,AA89,CHOOSE(Scen,AA90,AA89,AA88))</f>
        <v>58</v>
      </c>
      <c r="AB163" s="106" t="n">
        <f aca="false">IF(AB$5&lt;=LastHist,AB89,CHOOSE(Scen,AB90,AB89,AB88))</f>
        <v>58</v>
      </c>
      <c r="AC163" s="106" t="n">
        <f aca="false">IF(AC$5&lt;=LastHist,AC89,CHOOSE(Scen,AC90,AC89,AC88))</f>
        <v>58</v>
      </c>
      <c r="AD163" s="106" t="n">
        <f aca="false">IF(AD$5&lt;=LastHist,AD89,CHOOSE(Scen,AD90,AD89,AD88))</f>
        <v>58</v>
      </c>
      <c r="AE163" s="106" t="n">
        <f aca="false">IF(AE$5&lt;=LastHist,AE89,CHOOSE(Scen,AE90,AE89,AE88))</f>
        <v>58</v>
      </c>
      <c r="AF163" s="106" t="n">
        <f aca="false">IF(AF$5&lt;=LastHist,AF89,CHOOSE(Scen,AF90,AF89,AF88))</f>
        <v>58</v>
      </c>
      <c r="AG163" s="106" t="n">
        <f aca="false">IF(AG$5&lt;=LastHist,AG89,CHOOSE(Scen,AG90,AG89,AG88))</f>
        <v>58</v>
      </c>
      <c r="AI163" s="106" t="n">
        <f aca="false">INDEX($F163:$AG163,1,MATCH(AI$7,$F$7:$AG$7,1))</f>
        <v>0</v>
      </c>
      <c r="AJ163" s="106" t="n">
        <f aca="false">INDEX($F163:$AG163,1,MATCH(AJ$7,$F$7:$AG$7,1))</f>
        <v>0</v>
      </c>
      <c r="AK163" s="106" t="n">
        <f aca="false">INDEX($F163:$AG163,1,MATCH(AK$7,$F$7:$AG$7,1))</f>
        <v>19.5</v>
      </c>
      <c r="AL163" s="106" t="n">
        <f aca="false">INDEX($F163:$AG163,1,MATCH(AL$7,$F$7:$AG$7,1))</f>
        <v>58</v>
      </c>
      <c r="AM163" s="106" t="n">
        <f aca="false">INDEX($F163:$AG163,1,MATCH(AM$7,$F$7:$AG$7,1))</f>
        <v>58</v>
      </c>
      <c r="AN163" s="106" t="n">
        <f aca="false">INDEX($F163:$AG163,1,MATCH(AN$7,$F$7:$AG$7,1))</f>
        <v>58</v>
      </c>
      <c r="AO163" s="106" t="n">
        <f aca="false">INDEX($F163:$AG163,1,MATCH(AO$7,$F$7:$AG$7,1))</f>
        <v>58</v>
      </c>
    </row>
    <row r="164" customFormat="false" ht="15" hidden="false" customHeight="false" outlineLevel="0" collapsed="false">
      <c r="A164" s="104" t="s">
        <v>1372</v>
      </c>
      <c r="B164" s="20" t="s">
        <v>575</v>
      </c>
      <c r="C164" s="20" t="s">
        <v>513</v>
      </c>
      <c r="D164" s="20"/>
      <c r="F164" s="106" t="n">
        <f aca="false">IF(F$5&lt;=LastHist,F92,CHOOSE(Scen,F93,F92,F91))</f>
        <v>0</v>
      </c>
      <c r="G164" s="106" t="n">
        <f aca="false">IF(G$5&lt;=LastHist,G92,CHOOSE(Scen,G93,G92,G91))</f>
        <v>0</v>
      </c>
      <c r="H164" s="106" t="n">
        <f aca="false">IF(H$5&lt;=LastHist,H92,CHOOSE(Scen,H93,H92,H91))</f>
        <v>0</v>
      </c>
      <c r="I164" s="106" t="n">
        <f aca="false">IF(I$5&lt;=LastHist,I92,CHOOSE(Scen,I93,I92,I91))</f>
        <v>0</v>
      </c>
      <c r="J164" s="106" t="n">
        <f aca="false">IF(J$5&lt;=LastHist,J92,CHOOSE(Scen,J93,J92,J91))</f>
        <v>0</v>
      </c>
      <c r="K164" s="106" t="n">
        <f aca="false">IF(K$5&lt;=LastHist,K92,CHOOSE(Scen,K93,K92,K91))</f>
        <v>0</v>
      </c>
      <c r="L164" s="106" t="n">
        <f aca="false">IF(L$5&lt;=LastHist,L92,CHOOSE(Scen,L93,L92,L91))</f>
        <v>0</v>
      </c>
      <c r="M164" s="106" t="n">
        <f aca="false">IF(M$5&lt;=LastHist,M92,CHOOSE(Scen,M93,M92,M91))</f>
        <v>0</v>
      </c>
      <c r="N164" s="106" t="n">
        <f aca="false">IF(N$5&lt;=LastHist,N92,CHOOSE(Scen,N93,N92,N91))</f>
        <v>0</v>
      </c>
      <c r="O164" s="106" t="n">
        <f aca="false">IF(O$5&lt;=LastHist,O92,CHOOSE(Scen,O93,O92,O91))</f>
        <v>0</v>
      </c>
      <c r="P164" s="106" t="n">
        <f aca="false">IF(P$5&lt;=LastHist,P92,CHOOSE(Scen,P93,P92,P91))</f>
        <v>7.5</v>
      </c>
      <c r="Q164" s="106" t="n">
        <f aca="false">IF(Q$5&lt;=LastHist,Q92,CHOOSE(Scen,Q93,Q92,Q91))</f>
        <v>13.5</v>
      </c>
      <c r="R164" s="106" t="n">
        <f aca="false">IF(R$5&lt;=LastHist,R92,CHOOSE(Scen,R93,R92,R91))</f>
        <v>18</v>
      </c>
      <c r="S164" s="106" t="n">
        <f aca="false">IF(S$5&lt;=LastHist,S92,CHOOSE(Scen,S93,S92,S91))</f>
        <v>18</v>
      </c>
      <c r="T164" s="106" t="n">
        <f aca="false">IF(T$5&lt;=LastHist,T92,CHOOSE(Scen,T93,T92,T91))</f>
        <v>18</v>
      </c>
      <c r="U164" s="106" t="n">
        <f aca="false">IF(U$5&lt;=LastHist,U92,CHOOSE(Scen,U93,U92,U91))</f>
        <v>18</v>
      </c>
      <c r="V164" s="106" t="n">
        <f aca="false">IF(V$5&lt;=LastHist,V92,CHOOSE(Scen,V93,V92,V91))</f>
        <v>18</v>
      </c>
      <c r="W164" s="106" t="n">
        <f aca="false">IF(W$5&lt;=LastHist,W92,CHOOSE(Scen,W93,W92,W91))</f>
        <v>18</v>
      </c>
      <c r="X164" s="106" t="n">
        <f aca="false">IF(X$5&lt;=LastHist,X92,CHOOSE(Scen,X93,X92,X91))</f>
        <v>18</v>
      </c>
      <c r="Y164" s="106" t="n">
        <f aca="false">IF(Y$5&lt;=LastHist,Y92,CHOOSE(Scen,Y93,Y92,Y91))</f>
        <v>18</v>
      </c>
      <c r="Z164" s="106" t="n">
        <f aca="false">IF(Z$5&lt;=LastHist,Z92,CHOOSE(Scen,Z93,Z92,Z91))</f>
        <v>18</v>
      </c>
      <c r="AA164" s="106" t="n">
        <f aca="false">IF(AA$5&lt;=LastHist,AA92,CHOOSE(Scen,AA93,AA92,AA91))</f>
        <v>18</v>
      </c>
      <c r="AB164" s="106" t="n">
        <f aca="false">IF(AB$5&lt;=LastHist,AB92,CHOOSE(Scen,AB93,AB92,AB91))</f>
        <v>18</v>
      </c>
      <c r="AC164" s="106" t="n">
        <f aca="false">IF(AC$5&lt;=LastHist,AC92,CHOOSE(Scen,AC93,AC92,AC91))</f>
        <v>18</v>
      </c>
      <c r="AD164" s="106" t="n">
        <f aca="false">IF(AD$5&lt;=LastHist,AD92,CHOOSE(Scen,AD93,AD92,AD91))</f>
        <v>18</v>
      </c>
      <c r="AE164" s="106" t="n">
        <f aca="false">IF(AE$5&lt;=LastHist,AE92,CHOOSE(Scen,AE93,AE92,AE91))</f>
        <v>18</v>
      </c>
      <c r="AF164" s="106" t="n">
        <f aca="false">IF(AF$5&lt;=LastHist,AF92,CHOOSE(Scen,AF93,AF92,AF91))</f>
        <v>18</v>
      </c>
      <c r="AG164" s="106" t="n">
        <f aca="false">IF(AG$5&lt;=LastHist,AG92,CHOOSE(Scen,AG93,AG92,AG91))</f>
        <v>18</v>
      </c>
      <c r="AI164" s="106" t="n">
        <f aca="false">INDEX($F164:$AG164,1,MATCH(AI$7,$F$7:$AG$7,1))</f>
        <v>0</v>
      </c>
      <c r="AJ164" s="106" t="n">
        <f aca="false">INDEX($F164:$AG164,1,MATCH(AJ$7,$F$7:$AG$7,1))</f>
        <v>0</v>
      </c>
      <c r="AK164" s="106" t="n">
        <f aca="false">INDEX($F164:$AG164,1,MATCH(AK$7,$F$7:$AG$7,1))</f>
        <v>13.5</v>
      </c>
      <c r="AL164" s="106" t="n">
        <f aca="false">INDEX($F164:$AG164,1,MATCH(AL$7,$F$7:$AG$7,1))</f>
        <v>18</v>
      </c>
      <c r="AM164" s="106" t="n">
        <f aca="false">INDEX($F164:$AG164,1,MATCH(AM$7,$F$7:$AG$7,1))</f>
        <v>18</v>
      </c>
      <c r="AN164" s="106" t="n">
        <f aca="false">INDEX($F164:$AG164,1,MATCH(AN$7,$F$7:$AG$7,1))</f>
        <v>18</v>
      </c>
      <c r="AO164" s="106" t="n">
        <f aca="false">INDEX($F164:$AG164,1,MATCH(AO$7,$F$7:$AG$7,1))</f>
        <v>18</v>
      </c>
    </row>
    <row r="165" customFormat="false" ht="15" hidden="false" customHeight="false" outlineLevel="0" collapsed="false">
      <c r="A165" s="104" t="s">
        <v>1373</v>
      </c>
      <c r="B165" s="20" t="s">
        <v>575</v>
      </c>
      <c r="C165" s="20" t="s">
        <v>513</v>
      </c>
      <c r="D165" s="20"/>
      <c r="F165" s="106" t="n">
        <f aca="false">IF(F$5&lt;=LastHist,F95,CHOOSE(Scen,F96,F95,F94))</f>
        <v>0</v>
      </c>
      <c r="G165" s="106" t="n">
        <f aca="false">IF(G$5&lt;=LastHist,G95,CHOOSE(Scen,G96,G95,G94))</f>
        <v>0</v>
      </c>
      <c r="H165" s="106" t="n">
        <f aca="false">IF(H$5&lt;=LastHist,H95,CHOOSE(Scen,H96,H95,H94))</f>
        <v>0</v>
      </c>
      <c r="I165" s="106" t="n">
        <f aca="false">IF(I$5&lt;=LastHist,I95,CHOOSE(Scen,I96,I95,I94))</f>
        <v>0</v>
      </c>
      <c r="J165" s="106" t="n">
        <f aca="false">IF(J$5&lt;=LastHist,J95,CHOOSE(Scen,J96,J95,J94))</f>
        <v>0</v>
      </c>
      <c r="K165" s="106" t="n">
        <f aca="false">IF(K$5&lt;=LastHist,K95,CHOOSE(Scen,K96,K95,K94))</f>
        <v>0</v>
      </c>
      <c r="L165" s="106" t="n">
        <f aca="false">IF(L$5&lt;=LastHist,L95,CHOOSE(Scen,L96,L95,L94))</f>
        <v>0</v>
      </c>
      <c r="M165" s="106" t="n">
        <f aca="false">IF(M$5&lt;=LastHist,M95,CHOOSE(Scen,M96,M95,M94))</f>
        <v>0</v>
      </c>
      <c r="N165" s="106" t="n">
        <f aca="false">IF(N$5&lt;=LastHist,N95,CHOOSE(Scen,N96,N95,N94))</f>
        <v>0</v>
      </c>
      <c r="O165" s="106" t="n">
        <f aca="false">IF(O$5&lt;=LastHist,O95,CHOOSE(Scen,O96,O95,O94))</f>
        <v>0</v>
      </c>
      <c r="P165" s="106" t="n">
        <f aca="false">IF(P$5&lt;=LastHist,P95,CHOOSE(Scen,P96,P95,P94))</f>
        <v>0</v>
      </c>
      <c r="Q165" s="106" t="n">
        <f aca="false">IF(Q$5&lt;=LastHist,Q95,CHOOSE(Scen,Q96,Q95,Q94))</f>
        <v>11</v>
      </c>
      <c r="R165" s="106" t="n">
        <f aca="false">IF(R$5&lt;=LastHist,R95,CHOOSE(Scen,R96,R95,R94))</f>
        <v>16.5</v>
      </c>
      <c r="S165" s="106" t="n">
        <f aca="false">IF(S$5&lt;=LastHist,S95,CHOOSE(Scen,S96,S95,S94))</f>
        <v>22</v>
      </c>
      <c r="T165" s="106" t="n">
        <f aca="false">IF(T$5&lt;=LastHist,T95,CHOOSE(Scen,T96,T95,T94))</f>
        <v>22</v>
      </c>
      <c r="U165" s="106" t="n">
        <f aca="false">IF(U$5&lt;=LastHist,U95,CHOOSE(Scen,U96,U95,U94))</f>
        <v>22</v>
      </c>
      <c r="V165" s="106" t="n">
        <f aca="false">IF(V$5&lt;=LastHist,V95,CHOOSE(Scen,V96,V95,V94))</f>
        <v>22</v>
      </c>
      <c r="W165" s="106" t="n">
        <f aca="false">IF(W$5&lt;=LastHist,W95,CHOOSE(Scen,W96,W95,W94))</f>
        <v>22</v>
      </c>
      <c r="X165" s="106" t="n">
        <f aca="false">IF(X$5&lt;=LastHist,X95,CHOOSE(Scen,X96,X95,X94))</f>
        <v>22</v>
      </c>
      <c r="Y165" s="106" t="n">
        <f aca="false">IF(Y$5&lt;=LastHist,Y95,CHOOSE(Scen,Y96,Y95,Y94))</f>
        <v>22</v>
      </c>
      <c r="Z165" s="106" t="n">
        <f aca="false">IF(Z$5&lt;=LastHist,Z95,CHOOSE(Scen,Z96,Z95,Z94))</f>
        <v>22</v>
      </c>
      <c r="AA165" s="106" t="n">
        <f aca="false">IF(AA$5&lt;=LastHist,AA95,CHOOSE(Scen,AA96,AA95,AA94))</f>
        <v>22</v>
      </c>
      <c r="AB165" s="106" t="n">
        <f aca="false">IF(AB$5&lt;=LastHist,AB95,CHOOSE(Scen,AB96,AB95,AB94))</f>
        <v>22</v>
      </c>
      <c r="AC165" s="106" t="n">
        <f aca="false">IF(AC$5&lt;=LastHist,AC95,CHOOSE(Scen,AC96,AC95,AC94))</f>
        <v>22</v>
      </c>
      <c r="AD165" s="106" t="n">
        <f aca="false">IF(AD$5&lt;=LastHist,AD95,CHOOSE(Scen,AD96,AD95,AD94))</f>
        <v>22</v>
      </c>
      <c r="AE165" s="106" t="n">
        <f aca="false">IF(AE$5&lt;=LastHist,AE95,CHOOSE(Scen,AE96,AE95,AE94))</f>
        <v>22</v>
      </c>
      <c r="AF165" s="106" t="n">
        <f aca="false">IF(AF$5&lt;=LastHist,AF95,CHOOSE(Scen,AF96,AF95,AF94))</f>
        <v>22</v>
      </c>
      <c r="AG165" s="106" t="n">
        <f aca="false">IF(AG$5&lt;=LastHist,AG95,CHOOSE(Scen,AG96,AG95,AG94))</f>
        <v>22</v>
      </c>
      <c r="AI165" s="106" t="n">
        <f aca="false">INDEX($F165:$AG165,1,MATCH(AI$7,$F$7:$AG$7,1))</f>
        <v>0</v>
      </c>
      <c r="AJ165" s="106" t="n">
        <f aca="false">INDEX($F165:$AG165,1,MATCH(AJ$7,$F$7:$AG$7,1))</f>
        <v>0</v>
      </c>
      <c r="AK165" s="106" t="n">
        <f aca="false">INDEX($F165:$AG165,1,MATCH(AK$7,$F$7:$AG$7,1))</f>
        <v>11</v>
      </c>
      <c r="AL165" s="106" t="n">
        <f aca="false">INDEX($F165:$AG165,1,MATCH(AL$7,$F$7:$AG$7,1))</f>
        <v>22</v>
      </c>
      <c r="AM165" s="106" t="n">
        <f aca="false">INDEX($F165:$AG165,1,MATCH(AM$7,$F$7:$AG$7,1))</f>
        <v>22</v>
      </c>
      <c r="AN165" s="106" t="n">
        <f aca="false">INDEX($F165:$AG165,1,MATCH(AN$7,$F$7:$AG$7,1))</f>
        <v>22</v>
      </c>
      <c r="AO165" s="106" t="n">
        <f aca="false">INDEX($F165:$AG165,1,MATCH(AO$7,$F$7:$AG$7,1))</f>
        <v>22</v>
      </c>
    </row>
    <row r="166" customFormat="false" ht="15" hidden="false" customHeight="false" outlineLevel="0" collapsed="false">
      <c r="A166" s="104" t="s">
        <v>1374</v>
      </c>
      <c r="B166" s="20" t="s">
        <v>575</v>
      </c>
      <c r="C166" s="20" t="s">
        <v>513</v>
      </c>
      <c r="D166" s="20"/>
      <c r="F166" s="106" t="n">
        <f aca="false">IF(F$5&lt;=LastHist,F98,CHOOSE(Scen,F99,F98,F97))</f>
        <v>0</v>
      </c>
      <c r="G166" s="106" t="n">
        <f aca="false">IF(G$5&lt;=LastHist,G98,CHOOSE(Scen,G99,G98,G97))</f>
        <v>0</v>
      </c>
      <c r="H166" s="106" t="n">
        <f aca="false">IF(H$5&lt;=LastHist,H98,CHOOSE(Scen,H99,H98,H97))</f>
        <v>0</v>
      </c>
      <c r="I166" s="106" t="n">
        <f aca="false">IF(I$5&lt;=LastHist,I98,CHOOSE(Scen,I99,I98,I97))</f>
        <v>0</v>
      </c>
      <c r="J166" s="106" t="n">
        <f aca="false">IF(J$5&lt;=LastHist,J98,CHOOSE(Scen,J99,J98,J97))</f>
        <v>0</v>
      </c>
      <c r="K166" s="106" t="n">
        <f aca="false">IF(K$5&lt;=LastHist,K98,CHOOSE(Scen,K99,K98,K97))</f>
        <v>0</v>
      </c>
      <c r="L166" s="106" t="n">
        <f aca="false">IF(L$5&lt;=LastHist,L98,CHOOSE(Scen,L99,L98,L97))</f>
        <v>0</v>
      </c>
      <c r="M166" s="106" t="n">
        <f aca="false">IF(M$5&lt;=LastHist,M98,CHOOSE(Scen,M99,M98,M97))</f>
        <v>0</v>
      </c>
      <c r="N166" s="106" t="n">
        <f aca="false">IF(N$5&lt;=LastHist,N98,CHOOSE(Scen,N99,N98,N97))</f>
        <v>0</v>
      </c>
      <c r="O166" s="106" t="n">
        <f aca="false">IF(O$5&lt;=LastHist,O98,CHOOSE(Scen,O99,O98,O97))</f>
        <v>0</v>
      </c>
      <c r="P166" s="106" t="n">
        <f aca="false">IF(P$5&lt;=LastHist,P98,CHOOSE(Scen,P99,P98,P97))</f>
        <v>0</v>
      </c>
      <c r="Q166" s="106" t="n">
        <f aca="false">IF(Q$5&lt;=LastHist,Q98,CHOOSE(Scen,Q99,Q98,Q97))</f>
        <v>0</v>
      </c>
      <c r="R166" s="106" t="n">
        <f aca="false">IF(R$5&lt;=LastHist,R98,CHOOSE(Scen,R99,R98,R97))</f>
        <v>0</v>
      </c>
      <c r="S166" s="106" t="n">
        <f aca="false">IF(S$5&lt;=LastHist,S98,CHOOSE(Scen,S99,S98,S97))</f>
        <v>0</v>
      </c>
      <c r="T166" s="106" t="n">
        <f aca="false">IF(T$5&lt;=LastHist,T98,CHOOSE(Scen,T99,T98,T97))</f>
        <v>0</v>
      </c>
      <c r="U166" s="106" t="n">
        <f aca="false">IF(U$5&lt;=LastHist,U98,CHOOSE(Scen,U99,U98,U97))</f>
        <v>0</v>
      </c>
      <c r="V166" s="106" t="n">
        <f aca="false">IF(V$5&lt;=LastHist,V98,CHOOSE(Scen,V99,V98,V97))</f>
        <v>0</v>
      </c>
      <c r="W166" s="106" t="n">
        <f aca="false">IF(W$5&lt;=LastHist,W98,CHOOSE(Scen,W99,W98,W97))</f>
        <v>0</v>
      </c>
      <c r="X166" s="106" t="n">
        <f aca="false">IF(X$5&lt;=LastHist,X98,CHOOSE(Scen,X99,X98,X97))</f>
        <v>0</v>
      </c>
      <c r="Y166" s="106" t="n">
        <f aca="false">IF(Y$5&lt;=LastHist,Y98,CHOOSE(Scen,Y99,Y98,Y97))</f>
        <v>0</v>
      </c>
      <c r="Z166" s="106" t="n">
        <f aca="false">IF(Z$5&lt;=LastHist,Z98,CHOOSE(Scen,Z99,Z98,Z97))</f>
        <v>0</v>
      </c>
      <c r="AA166" s="106" t="n">
        <f aca="false">IF(AA$5&lt;=LastHist,AA98,CHOOSE(Scen,AA99,AA98,AA97))</f>
        <v>0</v>
      </c>
      <c r="AB166" s="106" t="n">
        <f aca="false">IF(AB$5&lt;=LastHist,AB98,CHOOSE(Scen,AB99,AB98,AB97))</f>
        <v>0</v>
      </c>
      <c r="AC166" s="106" t="n">
        <f aca="false">IF(AC$5&lt;=LastHist,AC98,CHOOSE(Scen,AC99,AC98,AC97))</f>
        <v>0</v>
      </c>
      <c r="AD166" s="106" t="n">
        <f aca="false">IF(AD$5&lt;=LastHist,AD98,CHOOSE(Scen,AD99,AD98,AD97))</f>
        <v>0</v>
      </c>
      <c r="AE166" s="106" t="n">
        <f aca="false">IF(AE$5&lt;=LastHist,AE98,CHOOSE(Scen,AE99,AE98,AE97))</f>
        <v>0</v>
      </c>
      <c r="AF166" s="106" t="n">
        <f aca="false">IF(AF$5&lt;=LastHist,AF98,CHOOSE(Scen,AF99,AF98,AF97))</f>
        <v>0</v>
      </c>
      <c r="AG166" s="106" t="n">
        <f aca="false">IF(AG$5&lt;=LastHist,AG98,CHOOSE(Scen,AG99,AG98,AG97))</f>
        <v>0</v>
      </c>
      <c r="AI166" s="106" t="n">
        <f aca="false">INDEX($F166:$AG166,1,MATCH(AI$7,$F$7:$AG$7,1))</f>
        <v>0</v>
      </c>
      <c r="AJ166" s="106" t="n">
        <f aca="false">INDEX($F166:$AG166,1,MATCH(AJ$7,$F$7:$AG$7,1))</f>
        <v>0</v>
      </c>
      <c r="AK166" s="106" t="n">
        <f aca="false">INDEX($F166:$AG166,1,MATCH(AK$7,$F$7:$AG$7,1))</f>
        <v>0</v>
      </c>
      <c r="AL166" s="106" t="n">
        <f aca="false">INDEX($F166:$AG166,1,MATCH(AL$7,$F$7:$AG$7,1))</f>
        <v>0</v>
      </c>
      <c r="AM166" s="106" t="n">
        <f aca="false">INDEX($F166:$AG166,1,MATCH(AM$7,$F$7:$AG$7,1))</f>
        <v>0</v>
      </c>
      <c r="AN166" s="106" t="n">
        <f aca="false">INDEX($F166:$AG166,1,MATCH(AN$7,$F$7:$AG$7,1))</f>
        <v>0</v>
      </c>
      <c r="AO166" s="106" t="n">
        <f aca="false">INDEX($F166:$AG166,1,MATCH(AO$7,$F$7:$AG$7,1))</f>
        <v>0</v>
      </c>
    </row>
    <row r="167" customFormat="false" ht="15" hidden="false" customHeight="false" outlineLevel="0" collapsed="false">
      <c r="A167" s="104" t="s">
        <v>1376</v>
      </c>
      <c r="B167" s="20" t="s">
        <v>575</v>
      </c>
      <c r="C167" s="20" t="s">
        <v>513</v>
      </c>
      <c r="D167" s="20"/>
      <c r="F167" s="106" t="n">
        <f aca="false">IF(F$5&lt;=LastHist,F101,CHOOSE(Scen,F102,F101,F100))</f>
        <v>0</v>
      </c>
      <c r="G167" s="106" t="n">
        <f aca="false">IF(G$5&lt;=LastHist,G101,CHOOSE(Scen,G102,G101,G100))</f>
        <v>0</v>
      </c>
      <c r="H167" s="106" t="n">
        <f aca="false">IF(H$5&lt;=LastHist,H101,CHOOSE(Scen,H102,H101,H100))</f>
        <v>0</v>
      </c>
      <c r="I167" s="106" t="n">
        <f aca="false">IF(I$5&lt;=LastHist,I101,CHOOSE(Scen,I102,I101,I100))</f>
        <v>0</v>
      </c>
      <c r="J167" s="106" t="n">
        <f aca="false">IF(J$5&lt;=LastHist,J101,CHOOSE(Scen,J102,J101,J100))</f>
        <v>0</v>
      </c>
      <c r="K167" s="106" t="n">
        <f aca="false">IF(K$5&lt;=LastHist,K101,CHOOSE(Scen,K102,K101,K100))</f>
        <v>0</v>
      </c>
      <c r="L167" s="106" t="n">
        <f aca="false">IF(L$5&lt;=LastHist,L101,CHOOSE(Scen,L102,L101,L100))</f>
        <v>0</v>
      </c>
      <c r="M167" s="106" t="n">
        <f aca="false">IF(M$5&lt;=LastHist,M101,CHOOSE(Scen,M102,M101,M100))</f>
        <v>0</v>
      </c>
      <c r="N167" s="106" t="n">
        <f aca="false">IF(N$5&lt;=LastHist,N101,CHOOSE(Scen,N102,N101,N100))</f>
        <v>0</v>
      </c>
      <c r="O167" s="106" t="n">
        <f aca="false">IF(O$5&lt;=LastHist,O101,CHOOSE(Scen,O102,O101,O100))</f>
        <v>0</v>
      </c>
      <c r="P167" s="106" t="n">
        <f aca="false">IF(P$5&lt;=LastHist,P101,CHOOSE(Scen,P102,P101,P100))</f>
        <v>0</v>
      </c>
      <c r="Q167" s="106" t="n">
        <f aca="false">IF(Q$5&lt;=LastHist,Q101,CHOOSE(Scen,Q102,Q101,Q100))</f>
        <v>0</v>
      </c>
      <c r="R167" s="106" t="n">
        <f aca="false">IF(R$5&lt;=LastHist,R101,CHOOSE(Scen,R102,R101,R100))</f>
        <v>0</v>
      </c>
      <c r="S167" s="106" t="n">
        <f aca="false">IF(S$5&lt;=LastHist,S101,CHOOSE(Scen,S102,S101,S100))</f>
        <v>0</v>
      </c>
      <c r="T167" s="106" t="n">
        <f aca="false">IF(T$5&lt;=LastHist,T101,CHOOSE(Scen,T102,T101,T100))</f>
        <v>0</v>
      </c>
      <c r="U167" s="106" t="n">
        <f aca="false">IF(U$5&lt;=LastHist,U101,CHOOSE(Scen,U102,U101,U100))</f>
        <v>0</v>
      </c>
      <c r="V167" s="106" t="n">
        <f aca="false">IF(V$5&lt;=LastHist,V101,CHOOSE(Scen,V102,V101,V100))</f>
        <v>0</v>
      </c>
      <c r="W167" s="106" t="n">
        <f aca="false">IF(W$5&lt;=LastHist,W101,CHOOSE(Scen,W102,W101,W100))</f>
        <v>0</v>
      </c>
      <c r="X167" s="106" t="n">
        <f aca="false">IF(X$5&lt;=LastHist,X101,CHOOSE(Scen,X102,X101,X100))</f>
        <v>0</v>
      </c>
      <c r="Y167" s="106" t="n">
        <f aca="false">IF(Y$5&lt;=LastHist,Y101,CHOOSE(Scen,Y102,Y101,Y100))</f>
        <v>0</v>
      </c>
      <c r="Z167" s="106" t="n">
        <f aca="false">IF(Z$5&lt;=LastHist,Z101,CHOOSE(Scen,Z102,Z101,Z100))</f>
        <v>0</v>
      </c>
      <c r="AA167" s="106" t="n">
        <f aca="false">IF(AA$5&lt;=LastHist,AA101,CHOOSE(Scen,AA102,AA101,AA100))</f>
        <v>0</v>
      </c>
      <c r="AB167" s="106" t="n">
        <f aca="false">IF(AB$5&lt;=LastHist,AB101,CHOOSE(Scen,AB102,AB101,AB100))</f>
        <v>0</v>
      </c>
      <c r="AC167" s="106" t="n">
        <f aca="false">IF(AC$5&lt;=LastHist,AC101,CHOOSE(Scen,AC102,AC101,AC100))</f>
        <v>0</v>
      </c>
      <c r="AD167" s="106" t="n">
        <f aca="false">IF(AD$5&lt;=LastHist,AD101,CHOOSE(Scen,AD102,AD101,AD100))</f>
        <v>0</v>
      </c>
      <c r="AE167" s="106" t="n">
        <f aca="false">IF(AE$5&lt;=LastHist,AE101,CHOOSE(Scen,AE102,AE101,AE100))</f>
        <v>0</v>
      </c>
      <c r="AF167" s="106" t="n">
        <f aca="false">IF(AF$5&lt;=LastHist,AF101,CHOOSE(Scen,AF102,AF101,AF100))</f>
        <v>0</v>
      </c>
      <c r="AG167" s="106" t="n">
        <f aca="false">IF(AG$5&lt;=LastHist,AG101,CHOOSE(Scen,AG102,AG101,AG100))</f>
        <v>0</v>
      </c>
      <c r="AI167" s="106" t="n">
        <f aca="false">INDEX($F167:$AG167,1,MATCH(AI$7,$F$7:$AG$7,1))</f>
        <v>0</v>
      </c>
      <c r="AJ167" s="106" t="n">
        <f aca="false">INDEX($F167:$AG167,1,MATCH(AJ$7,$F$7:$AG$7,1))</f>
        <v>0</v>
      </c>
      <c r="AK167" s="106" t="n">
        <f aca="false">INDEX($F167:$AG167,1,MATCH(AK$7,$F$7:$AG$7,1))</f>
        <v>0</v>
      </c>
      <c r="AL167" s="106" t="n">
        <f aca="false">INDEX($F167:$AG167,1,MATCH(AL$7,$F$7:$AG$7,1))</f>
        <v>0</v>
      </c>
      <c r="AM167" s="106" t="n">
        <f aca="false">INDEX($F167:$AG167,1,MATCH(AM$7,$F$7:$AG$7,1))</f>
        <v>0</v>
      </c>
      <c r="AN167" s="106" t="n">
        <f aca="false">INDEX($F167:$AG167,1,MATCH(AN$7,$F$7:$AG$7,1))</f>
        <v>0</v>
      </c>
      <c r="AO167" s="106" t="n">
        <f aca="false">INDEX($F167:$AG167,1,MATCH(AO$7,$F$7:$AG$7,1))</f>
        <v>0</v>
      </c>
    </row>
    <row r="168" customFormat="false" ht="15" hidden="false" customHeight="false" outlineLevel="0" collapsed="false">
      <c r="A168" s="104" t="s">
        <v>1377</v>
      </c>
      <c r="B168" s="20" t="s">
        <v>575</v>
      </c>
      <c r="C168" s="20" t="s">
        <v>513</v>
      </c>
      <c r="D168" s="20"/>
      <c r="F168" s="106" t="n">
        <f aca="false">IF(F$5&lt;=LastHist,F104,CHOOSE(Scen,F105,F104,F103))</f>
        <v>0</v>
      </c>
      <c r="G168" s="106" t="n">
        <f aca="false">IF(G$5&lt;=LastHist,G104,CHOOSE(Scen,G105,G104,G103))</f>
        <v>0</v>
      </c>
      <c r="H168" s="106" t="n">
        <f aca="false">IF(H$5&lt;=LastHist,H104,CHOOSE(Scen,H105,H104,H103))</f>
        <v>0</v>
      </c>
      <c r="I168" s="106" t="n">
        <f aca="false">IF(I$5&lt;=LastHist,I104,CHOOSE(Scen,I105,I104,I103))</f>
        <v>0</v>
      </c>
      <c r="J168" s="106" t="n">
        <f aca="false">IF(J$5&lt;=LastHist,J104,CHOOSE(Scen,J105,J104,J103))</f>
        <v>0</v>
      </c>
      <c r="K168" s="106" t="n">
        <f aca="false">IF(K$5&lt;=LastHist,K104,CHOOSE(Scen,K105,K104,K103))</f>
        <v>0</v>
      </c>
      <c r="L168" s="106" t="n">
        <f aca="false">IF(L$5&lt;=LastHist,L104,CHOOSE(Scen,L105,L104,L103))</f>
        <v>0</v>
      </c>
      <c r="M168" s="106" t="n">
        <f aca="false">IF(M$5&lt;=LastHist,M104,CHOOSE(Scen,M105,M104,M103))</f>
        <v>0</v>
      </c>
      <c r="N168" s="106" t="n">
        <f aca="false">IF(N$5&lt;=LastHist,N104,CHOOSE(Scen,N105,N104,N103))</f>
        <v>0</v>
      </c>
      <c r="O168" s="106" t="n">
        <f aca="false">IF(O$5&lt;=LastHist,O104,CHOOSE(Scen,O105,O104,O103))</f>
        <v>0</v>
      </c>
      <c r="P168" s="106" t="n">
        <f aca="false">IF(P$5&lt;=LastHist,P104,CHOOSE(Scen,P105,P104,P103))</f>
        <v>0</v>
      </c>
      <c r="Q168" s="106" t="n">
        <f aca="false">IF(Q$5&lt;=LastHist,Q104,CHOOSE(Scen,Q105,Q104,Q103))</f>
        <v>0</v>
      </c>
      <c r="R168" s="106" t="n">
        <f aca="false">IF(R$5&lt;=LastHist,R104,CHOOSE(Scen,R105,R104,R103))</f>
        <v>0</v>
      </c>
      <c r="S168" s="106" t="n">
        <f aca="false">IF(S$5&lt;=LastHist,S104,CHOOSE(Scen,S105,S104,S103))</f>
        <v>0</v>
      </c>
      <c r="T168" s="106" t="n">
        <f aca="false">IF(T$5&lt;=LastHist,T104,CHOOSE(Scen,T105,T104,T103))</f>
        <v>0</v>
      </c>
      <c r="U168" s="106" t="n">
        <f aca="false">IF(U$5&lt;=LastHist,U104,CHOOSE(Scen,U105,U104,U103))</f>
        <v>0</v>
      </c>
      <c r="V168" s="106" t="n">
        <f aca="false">IF(V$5&lt;=LastHist,V104,CHOOSE(Scen,V105,V104,V103))</f>
        <v>0</v>
      </c>
      <c r="W168" s="106" t="n">
        <f aca="false">IF(W$5&lt;=LastHist,W104,CHOOSE(Scen,W105,W104,W103))</f>
        <v>0</v>
      </c>
      <c r="X168" s="106" t="n">
        <f aca="false">IF(X$5&lt;=LastHist,X104,CHOOSE(Scen,X105,X104,X103))</f>
        <v>0</v>
      </c>
      <c r="Y168" s="106" t="n">
        <f aca="false">IF(Y$5&lt;=LastHist,Y104,CHOOSE(Scen,Y105,Y104,Y103))</f>
        <v>0</v>
      </c>
      <c r="Z168" s="106" t="n">
        <f aca="false">IF(Z$5&lt;=LastHist,Z104,CHOOSE(Scen,Z105,Z104,Z103))</f>
        <v>0</v>
      </c>
      <c r="AA168" s="106" t="n">
        <f aca="false">IF(AA$5&lt;=LastHist,AA104,CHOOSE(Scen,AA105,AA104,AA103))</f>
        <v>0</v>
      </c>
      <c r="AB168" s="106" t="n">
        <f aca="false">IF(AB$5&lt;=LastHist,AB104,CHOOSE(Scen,AB105,AB104,AB103))</f>
        <v>0</v>
      </c>
      <c r="AC168" s="106" t="n">
        <f aca="false">IF(AC$5&lt;=LastHist,AC104,CHOOSE(Scen,AC105,AC104,AC103))</f>
        <v>0</v>
      </c>
      <c r="AD168" s="106" t="n">
        <f aca="false">IF(AD$5&lt;=LastHist,AD104,CHOOSE(Scen,AD105,AD104,AD103))</f>
        <v>0</v>
      </c>
      <c r="AE168" s="106" t="n">
        <f aca="false">IF(AE$5&lt;=LastHist,AE104,CHOOSE(Scen,AE105,AE104,AE103))</f>
        <v>0</v>
      </c>
      <c r="AF168" s="106" t="n">
        <f aca="false">IF(AF$5&lt;=LastHist,AF104,CHOOSE(Scen,AF105,AF104,AF103))</f>
        <v>0</v>
      </c>
      <c r="AG168" s="106" t="n">
        <f aca="false">IF(AG$5&lt;=LastHist,AG104,CHOOSE(Scen,AG105,AG104,AG103))</f>
        <v>0</v>
      </c>
      <c r="AI168" s="106" t="n">
        <f aca="false">INDEX($F168:$AG168,1,MATCH(AI$7,$F$7:$AG$7,1))</f>
        <v>0</v>
      </c>
      <c r="AJ168" s="106" t="n">
        <f aca="false">INDEX($F168:$AG168,1,MATCH(AJ$7,$F$7:$AG$7,1))</f>
        <v>0</v>
      </c>
      <c r="AK168" s="106" t="n">
        <f aca="false">INDEX($F168:$AG168,1,MATCH(AK$7,$F$7:$AG$7,1))</f>
        <v>0</v>
      </c>
      <c r="AL168" s="106" t="n">
        <f aca="false">INDEX($F168:$AG168,1,MATCH(AL$7,$F$7:$AG$7,1))</f>
        <v>0</v>
      </c>
      <c r="AM168" s="106" t="n">
        <f aca="false">INDEX($F168:$AG168,1,MATCH(AM$7,$F$7:$AG$7,1))</f>
        <v>0</v>
      </c>
      <c r="AN168" s="106" t="n">
        <f aca="false">INDEX($F168:$AG168,1,MATCH(AN$7,$F$7:$AG$7,1))</f>
        <v>0</v>
      </c>
      <c r="AO168" s="106" t="n">
        <f aca="false">INDEX($F168:$AG168,1,MATCH(AO$7,$F$7:$AG$7,1))</f>
        <v>0</v>
      </c>
    </row>
    <row r="169" customFormat="false" ht="15" hidden="false" customHeight="false" outlineLevel="0" collapsed="false">
      <c r="A169" s="104" t="s">
        <v>1378</v>
      </c>
      <c r="B169" s="20" t="s">
        <v>575</v>
      </c>
      <c r="C169" s="20" t="s">
        <v>513</v>
      </c>
      <c r="D169" s="20"/>
      <c r="F169" s="106" t="n">
        <f aca="false">IF(F$5&lt;=LastHist,F107,CHOOSE(Scen,F108,F107,F106))</f>
        <v>0</v>
      </c>
      <c r="G169" s="106" t="n">
        <f aca="false">IF(G$5&lt;=LastHist,G107,CHOOSE(Scen,G108,G107,G106))</f>
        <v>0</v>
      </c>
      <c r="H169" s="106" t="n">
        <f aca="false">IF(H$5&lt;=LastHist,H107,CHOOSE(Scen,H108,H107,H106))</f>
        <v>0</v>
      </c>
      <c r="I169" s="106" t="n">
        <f aca="false">IF(I$5&lt;=LastHist,I107,CHOOSE(Scen,I108,I107,I106))</f>
        <v>0</v>
      </c>
      <c r="J169" s="106" t="n">
        <f aca="false">IF(J$5&lt;=LastHist,J107,CHOOSE(Scen,J108,J107,J106))</f>
        <v>0</v>
      </c>
      <c r="K169" s="106" t="n">
        <f aca="false">IF(K$5&lt;=LastHist,K107,CHOOSE(Scen,K108,K107,K106))</f>
        <v>0</v>
      </c>
      <c r="L169" s="106" t="n">
        <f aca="false">IF(L$5&lt;=LastHist,L107,CHOOSE(Scen,L108,L107,L106))</f>
        <v>0</v>
      </c>
      <c r="M169" s="106" t="n">
        <f aca="false">IF(M$5&lt;=LastHist,M107,CHOOSE(Scen,M108,M107,M106))</f>
        <v>0</v>
      </c>
      <c r="N169" s="106" t="n">
        <f aca="false">IF(N$5&lt;=LastHist,N107,CHOOSE(Scen,N108,N107,N106))</f>
        <v>0</v>
      </c>
      <c r="O169" s="106" t="n">
        <f aca="false">IF(O$5&lt;=LastHist,O107,CHOOSE(Scen,O108,O107,O106))</f>
        <v>0</v>
      </c>
      <c r="P169" s="106" t="n">
        <f aca="false">IF(P$5&lt;=LastHist,P107,CHOOSE(Scen,P108,P107,P106))</f>
        <v>0</v>
      </c>
      <c r="Q169" s="106" t="n">
        <f aca="false">IF(Q$5&lt;=LastHist,Q107,CHOOSE(Scen,Q108,Q107,Q106))</f>
        <v>0</v>
      </c>
      <c r="R169" s="106" t="n">
        <f aca="false">IF(R$5&lt;=LastHist,R107,CHOOSE(Scen,R108,R107,R106))</f>
        <v>0</v>
      </c>
      <c r="S169" s="106" t="n">
        <f aca="false">IF(S$5&lt;=LastHist,S107,CHOOSE(Scen,S108,S107,S106))</f>
        <v>0</v>
      </c>
      <c r="T169" s="106" t="n">
        <f aca="false">IF(T$5&lt;=LastHist,T107,CHOOSE(Scen,T108,T107,T106))</f>
        <v>12.5</v>
      </c>
      <c r="U169" s="106" t="n">
        <f aca="false">IF(U$5&lt;=LastHist,U107,CHOOSE(Scen,U108,U107,U106))</f>
        <v>25</v>
      </c>
      <c r="V169" s="106" t="n">
        <f aca="false">IF(V$5&lt;=LastHist,V107,CHOOSE(Scen,V108,V107,V106))</f>
        <v>37.5</v>
      </c>
      <c r="W169" s="106" t="n">
        <f aca="false">IF(W$5&lt;=LastHist,W107,CHOOSE(Scen,W108,W107,W106))</f>
        <v>37.5</v>
      </c>
      <c r="X169" s="106" t="n">
        <f aca="false">IF(X$5&lt;=LastHist,X107,CHOOSE(Scen,X108,X107,X106))</f>
        <v>50</v>
      </c>
      <c r="Y169" s="106" t="n">
        <f aca="false">IF(Y$5&lt;=LastHist,Y107,CHOOSE(Scen,Y108,Y107,Y106))</f>
        <v>50</v>
      </c>
      <c r="Z169" s="106" t="n">
        <f aca="false">IF(Z$5&lt;=LastHist,Z107,CHOOSE(Scen,Z108,Z107,Z106))</f>
        <v>50</v>
      </c>
      <c r="AA169" s="106" t="n">
        <f aca="false">IF(AA$5&lt;=LastHist,AA107,CHOOSE(Scen,AA108,AA107,AA106))</f>
        <v>50</v>
      </c>
      <c r="AB169" s="106" t="n">
        <f aca="false">IF(AB$5&lt;=LastHist,AB107,CHOOSE(Scen,AB108,AB107,AB106))</f>
        <v>50</v>
      </c>
      <c r="AC169" s="106" t="n">
        <f aca="false">IF(AC$5&lt;=LastHist,AC107,CHOOSE(Scen,AC108,AC107,AC106))</f>
        <v>50</v>
      </c>
      <c r="AD169" s="106" t="n">
        <f aca="false">IF(AD$5&lt;=LastHist,AD107,CHOOSE(Scen,AD108,AD107,AD106))</f>
        <v>50</v>
      </c>
      <c r="AE169" s="106" t="n">
        <f aca="false">IF(AE$5&lt;=LastHist,AE107,CHOOSE(Scen,AE108,AE107,AE106))</f>
        <v>50</v>
      </c>
      <c r="AF169" s="106" t="n">
        <f aca="false">IF(AF$5&lt;=LastHist,AF107,CHOOSE(Scen,AF108,AF107,AF106))</f>
        <v>50</v>
      </c>
      <c r="AG169" s="106" t="n">
        <f aca="false">IF(AG$5&lt;=LastHist,AG107,CHOOSE(Scen,AG108,AG107,AG106))</f>
        <v>50</v>
      </c>
      <c r="AI169" s="106" t="n">
        <f aca="false">INDEX($F169:$AG169,1,MATCH(AI$7,$F$7:$AG$7,1))</f>
        <v>0</v>
      </c>
      <c r="AJ169" s="106" t="n">
        <f aca="false">INDEX($F169:$AG169,1,MATCH(AJ$7,$F$7:$AG$7,1))</f>
        <v>0</v>
      </c>
      <c r="AK169" s="106" t="n">
        <f aca="false">INDEX($F169:$AG169,1,MATCH(AK$7,$F$7:$AG$7,1))</f>
        <v>0</v>
      </c>
      <c r="AL169" s="106" t="n">
        <f aca="false">INDEX($F169:$AG169,1,MATCH(AL$7,$F$7:$AG$7,1))</f>
        <v>25</v>
      </c>
      <c r="AM169" s="106" t="n">
        <f aca="false">INDEX($F169:$AG169,1,MATCH(AM$7,$F$7:$AG$7,1))</f>
        <v>50</v>
      </c>
      <c r="AN169" s="106" t="n">
        <f aca="false">INDEX($F169:$AG169,1,MATCH(AN$7,$F$7:$AG$7,1))</f>
        <v>50</v>
      </c>
      <c r="AO169" s="106" t="n">
        <f aca="false">INDEX($F169:$AG169,1,MATCH(AO$7,$F$7:$AG$7,1))</f>
        <v>50</v>
      </c>
    </row>
    <row r="170" customFormat="false" ht="15" hidden="false" customHeight="false" outlineLevel="0" collapsed="false">
      <c r="A170" s="104" t="s">
        <v>1379</v>
      </c>
      <c r="B170" s="20" t="s">
        <v>575</v>
      </c>
      <c r="C170" s="20" t="s">
        <v>513</v>
      </c>
      <c r="D170" s="20"/>
      <c r="F170" s="106" t="n">
        <f aca="false">IF(F$5&lt;=LastHist,F110,CHOOSE(Scen,F111,F110,F109))</f>
        <v>0</v>
      </c>
      <c r="G170" s="106" t="n">
        <f aca="false">IF(G$5&lt;=LastHist,G110,CHOOSE(Scen,G111,G110,G109))</f>
        <v>0</v>
      </c>
      <c r="H170" s="106" t="n">
        <f aca="false">IF(H$5&lt;=LastHist,H110,CHOOSE(Scen,H111,H110,H109))</f>
        <v>0</v>
      </c>
      <c r="I170" s="106" t="n">
        <f aca="false">IF(I$5&lt;=LastHist,I110,CHOOSE(Scen,I111,I110,I109))</f>
        <v>0</v>
      </c>
      <c r="J170" s="106" t="n">
        <f aca="false">IF(J$5&lt;=LastHist,J110,CHOOSE(Scen,J111,J110,J109))</f>
        <v>0</v>
      </c>
      <c r="K170" s="106" t="n">
        <f aca="false">IF(K$5&lt;=LastHist,K110,CHOOSE(Scen,K111,K110,K109))</f>
        <v>0</v>
      </c>
      <c r="L170" s="106" t="n">
        <f aca="false">IF(L$5&lt;=LastHist,L110,CHOOSE(Scen,L111,L110,L109))</f>
        <v>0</v>
      </c>
      <c r="M170" s="106" t="n">
        <f aca="false">IF(M$5&lt;=LastHist,M110,CHOOSE(Scen,M111,M110,M109))</f>
        <v>0</v>
      </c>
      <c r="N170" s="106" t="n">
        <f aca="false">IF(N$5&lt;=LastHist,N110,CHOOSE(Scen,N111,N110,N109))</f>
        <v>0</v>
      </c>
      <c r="O170" s="106" t="n">
        <f aca="false">IF(O$5&lt;=LastHist,O110,CHOOSE(Scen,O111,O110,O109))</f>
        <v>0</v>
      </c>
      <c r="P170" s="106" t="n">
        <f aca="false">IF(P$5&lt;=LastHist,P110,CHOOSE(Scen,P111,P110,P109))</f>
        <v>0</v>
      </c>
      <c r="Q170" s="106" t="n">
        <f aca="false">IF(Q$5&lt;=LastHist,Q110,CHOOSE(Scen,Q111,Q110,Q109))</f>
        <v>0</v>
      </c>
      <c r="R170" s="106" t="n">
        <f aca="false">IF(R$5&lt;=LastHist,R110,CHOOSE(Scen,R111,R110,R109))</f>
        <v>0</v>
      </c>
      <c r="S170" s="106" t="n">
        <f aca="false">IF(S$5&lt;=LastHist,S110,CHOOSE(Scen,S111,S110,S109))</f>
        <v>0</v>
      </c>
      <c r="T170" s="106" t="n">
        <f aca="false">IF(T$5&lt;=LastHist,T110,CHOOSE(Scen,T111,T110,T109))</f>
        <v>0</v>
      </c>
      <c r="U170" s="106" t="n">
        <f aca="false">IF(U$5&lt;=LastHist,U110,CHOOSE(Scen,U111,U110,U109))</f>
        <v>0</v>
      </c>
      <c r="V170" s="106" t="n">
        <f aca="false">IF(V$5&lt;=LastHist,V110,CHOOSE(Scen,V111,V110,V109))</f>
        <v>0</v>
      </c>
      <c r="W170" s="106" t="n">
        <f aca="false">IF(W$5&lt;=LastHist,W110,CHOOSE(Scen,W111,W110,W109))</f>
        <v>0</v>
      </c>
      <c r="X170" s="106" t="n">
        <f aca="false">IF(X$5&lt;=LastHist,X110,CHOOSE(Scen,X111,X110,X109))</f>
        <v>0</v>
      </c>
      <c r="Y170" s="106" t="n">
        <f aca="false">IF(Y$5&lt;=LastHist,Y110,CHOOSE(Scen,Y111,Y110,Y109))</f>
        <v>0</v>
      </c>
      <c r="Z170" s="106" t="n">
        <f aca="false">IF(Z$5&lt;=LastHist,Z110,CHOOSE(Scen,Z111,Z110,Z109))</f>
        <v>0</v>
      </c>
      <c r="AA170" s="106" t="n">
        <f aca="false">IF(AA$5&lt;=LastHist,AA110,CHOOSE(Scen,AA111,AA110,AA109))</f>
        <v>0</v>
      </c>
      <c r="AB170" s="106" t="n">
        <f aca="false">IF(AB$5&lt;=LastHist,AB110,CHOOSE(Scen,AB111,AB110,AB109))</f>
        <v>0</v>
      </c>
      <c r="AC170" s="106" t="n">
        <f aca="false">IF(AC$5&lt;=LastHist,AC110,CHOOSE(Scen,AC111,AC110,AC109))</f>
        <v>0</v>
      </c>
      <c r="AD170" s="106" t="n">
        <f aca="false">IF(AD$5&lt;=LastHist,AD110,CHOOSE(Scen,AD111,AD110,AD109))</f>
        <v>0</v>
      </c>
      <c r="AE170" s="106" t="n">
        <f aca="false">IF(AE$5&lt;=LastHist,AE110,CHOOSE(Scen,AE111,AE110,AE109))</f>
        <v>0</v>
      </c>
      <c r="AF170" s="106" t="n">
        <f aca="false">IF(AF$5&lt;=LastHist,AF110,CHOOSE(Scen,AF111,AF110,AF109))</f>
        <v>0</v>
      </c>
      <c r="AG170" s="106" t="n">
        <f aca="false">IF(AG$5&lt;=LastHist,AG110,CHOOSE(Scen,AG111,AG110,AG109))</f>
        <v>0</v>
      </c>
      <c r="AI170" s="106" t="n">
        <f aca="false">INDEX($F170:$AG170,1,MATCH(AI$7,$F$7:$AG$7,1))</f>
        <v>0</v>
      </c>
      <c r="AJ170" s="106" t="n">
        <f aca="false">INDEX($F170:$AG170,1,MATCH(AJ$7,$F$7:$AG$7,1))</f>
        <v>0</v>
      </c>
      <c r="AK170" s="106" t="n">
        <f aca="false">INDEX($F170:$AG170,1,MATCH(AK$7,$F$7:$AG$7,1))</f>
        <v>0</v>
      </c>
      <c r="AL170" s="106" t="n">
        <f aca="false">INDEX($F170:$AG170,1,MATCH(AL$7,$F$7:$AG$7,1))</f>
        <v>0</v>
      </c>
      <c r="AM170" s="106" t="n">
        <f aca="false">INDEX($F170:$AG170,1,MATCH(AM$7,$F$7:$AG$7,1))</f>
        <v>0</v>
      </c>
      <c r="AN170" s="106" t="n">
        <f aca="false">INDEX($F170:$AG170,1,MATCH(AN$7,$F$7:$AG$7,1))</f>
        <v>0</v>
      </c>
      <c r="AO170" s="106" t="n">
        <f aca="false">INDEX($F170:$AG170,1,MATCH(AO$7,$F$7:$AG$7,1))</f>
        <v>0</v>
      </c>
    </row>
    <row r="171" customFormat="false" ht="15" hidden="false" customHeight="false" outlineLevel="0" collapsed="false">
      <c r="A171" s="104" t="s">
        <v>1472</v>
      </c>
      <c r="B171" s="20" t="s">
        <v>575</v>
      </c>
      <c r="C171" s="20" t="s">
        <v>513</v>
      </c>
      <c r="D171" s="20" t="s">
        <v>1473</v>
      </c>
      <c r="E171" s="0" t="s">
        <v>1338</v>
      </c>
      <c r="AI171" s="106" t="n">
        <f aca="false">INDEX($F171:$AG171,1,MATCH(AI$7,$F$7:$AG$7,1))</f>
        <v>0</v>
      </c>
      <c r="AJ171" s="106" t="n">
        <f aca="false">INDEX($F171:$AG171,1,MATCH(AJ$7,$F$7:$AG$7,1))</f>
        <v>0</v>
      </c>
      <c r="AK171" s="106" t="n">
        <f aca="false">INDEX($F171:$AG171,1,MATCH(AK$7,$F$7:$AG$7,1))</f>
        <v>0</v>
      </c>
      <c r="AL171" s="106" t="n">
        <f aca="false">INDEX($F171:$AG171,1,MATCH(AL$7,$F$7:$AG$7,1))</f>
        <v>0</v>
      </c>
      <c r="AM171" s="106" t="n">
        <f aca="false">INDEX($F171:$AG171,1,MATCH(AM$7,$F$7:$AG$7,1))</f>
        <v>0</v>
      </c>
      <c r="AN171" s="106" t="n">
        <f aca="false">INDEX($F171:$AG171,1,MATCH(AN$7,$F$7:$AG$7,1))</f>
        <v>0</v>
      </c>
      <c r="AO171" s="106" t="n">
        <f aca="false">INDEX($F171:$AG171,1,MATCH(AO$7,$F$7:$AG$7,1))</f>
        <v>0</v>
      </c>
    </row>
    <row r="172" customFormat="false" ht="15" hidden="false" customHeight="false" outlineLevel="0" collapsed="false">
      <c r="A172" s="104" t="s">
        <v>1466</v>
      </c>
      <c r="B172" s="20" t="s">
        <v>575</v>
      </c>
      <c r="C172" s="20" t="s">
        <v>495</v>
      </c>
      <c r="D172" s="20" t="s">
        <v>1467</v>
      </c>
      <c r="F172" s="109" t="n">
        <f aca="false">MAX(0,N(F171)*1-SUMPRODUCT(F147:F170,$F$12:$F$35))</f>
        <v>0</v>
      </c>
      <c r="G172" s="109" t="n">
        <f aca="false">MAX(0,N(G171)*1-SUMPRODUCT(G147:G170,$F$12:$F$35))</f>
        <v>0</v>
      </c>
      <c r="H172" s="109" t="n">
        <f aca="false">MAX(0,N(H171)*1-SUMPRODUCT(H147:H170,$F$12:$F$35))</f>
        <v>0</v>
      </c>
      <c r="I172" s="109" t="n">
        <f aca="false">MAX(0,N(I171)*1-SUMPRODUCT(I147:I170,$F$12:$F$35))</f>
        <v>0</v>
      </c>
      <c r="J172" s="109" t="n">
        <f aca="false">MAX(0,N(J171)*1-SUMPRODUCT(J147:J170,$F$12:$F$35))</f>
        <v>0</v>
      </c>
      <c r="K172" s="109" t="n">
        <f aca="false">MAX(0,N(K171)*1-SUMPRODUCT(K147:K170,$F$12:$F$35))</f>
        <v>0</v>
      </c>
      <c r="L172" s="109" t="n">
        <f aca="false">MAX(0,N(L171)*1-SUMPRODUCT(L147:L170,$F$12:$F$35))</f>
        <v>0</v>
      </c>
      <c r="M172" s="109" t="n">
        <f aca="false">MAX(0,N(M171)*1-SUMPRODUCT(M147:M170,$F$12:$F$35))</f>
        <v>0</v>
      </c>
      <c r="N172" s="109" t="n">
        <f aca="false">MAX(0,N(N171)*1-SUMPRODUCT(N147:N170,$F$12:$F$35))</f>
        <v>0</v>
      </c>
      <c r="O172" s="109" t="n">
        <f aca="false">MAX(0,N(O171)*1-SUMPRODUCT(O147:O170,$F$12:$F$35))</f>
        <v>0</v>
      </c>
      <c r="P172" s="106" t="n">
        <f aca="false">MAX(0,N(P171)*1-SUMPRODUCT(P147:P170,$F$12:$F$35))</f>
        <v>0</v>
      </c>
      <c r="Q172" s="106" t="n">
        <f aca="false">MAX(0,N(Q171)*1-SUMPRODUCT(Q147:Q170,$F$12:$F$35))</f>
        <v>0</v>
      </c>
      <c r="R172" s="106" t="n">
        <f aca="false">MAX(0,N(R171)*1-SUMPRODUCT(R147:R170,$F$12:$F$35))</f>
        <v>0</v>
      </c>
      <c r="S172" s="106" t="n">
        <f aca="false">MAX(0,N(S171)*1-SUMPRODUCT(S147:S170,$F$12:$F$35))</f>
        <v>0</v>
      </c>
      <c r="T172" s="106" t="n">
        <f aca="false">MAX(0,N(T171)*1-SUMPRODUCT(T147:T170,$F$12:$F$35))</f>
        <v>0</v>
      </c>
      <c r="U172" s="106" t="n">
        <f aca="false">MAX(0,N(U171)*1-SUMPRODUCT(U147:U170,$F$12:$F$35))</f>
        <v>0</v>
      </c>
      <c r="V172" s="106" t="n">
        <f aca="false">MAX(0,N(V171)*1-SUMPRODUCT(V147:V170,$F$12:$F$35))</f>
        <v>0</v>
      </c>
      <c r="W172" s="106" t="n">
        <f aca="false">MAX(0,N(W171)*1-SUMPRODUCT(W147:W170,$F$12:$F$35))</f>
        <v>0</v>
      </c>
      <c r="X172" s="106" t="n">
        <f aca="false">MAX(0,N(X171)*1-SUMPRODUCT(X147:X170,$F$12:$F$35))</f>
        <v>0</v>
      </c>
      <c r="Y172" s="106" t="n">
        <f aca="false">MAX(0,N(Y171)*1-SUMPRODUCT(Y147:Y170,$F$12:$F$35))</f>
        <v>0</v>
      </c>
      <c r="Z172" s="106" t="n">
        <f aca="false">MAX(0,N(Z171)*1-SUMPRODUCT(Z147:Z170,$F$12:$F$35))</f>
        <v>0</v>
      </c>
      <c r="AA172" s="106" t="n">
        <f aca="false">MAX(0,N(AA171)*1-SUMPRODUCT(AA147:AA170,$F$12:$F$35))</f>
        <v>0</v>
      </c>
      <c r="AB172" s="106" t="n">
        <f aca="false">MAX(0,N(AB171)*1-SUMPRODUCT(AB147:AB170,$F$12:$F$35))</f>
        <v>0</v>
      </c>
      <c r="AC172" s="106" t="n">
        <f aca="false">MAX(0,N(AC171)*1-SUMPRODUCT(AC147:AC170,$F$12:$F$35))</f>
        <v>0</v>
      </c>
      <c r="AD172" s="106" t="n">
        <f aca="false">MAX(0,N(AD171)*1-SUMPRODUCT(AD147:AD170,$F$12:$F$35))</f>
        <v>0</v>
      </c>
      <c r="AE172" s="106" t="n">
        <f aca="false">MAX(0,N(AE171)*1-SUMPRODUCT(AE147:AE170,$F$12:$F$35))</f>
        <v>0</v>
      </c>
      <c r="AF172" s="106" t="n">
        <f aca="false">MAX(0,N(AF171)*1-SUMPRODUCT(AF147:AF170,$F$12:$F$35))</f>
        <v>0</v>
      </c>
      <c r="AG172" s="106" t="n">
        <f aca="false">MAX(0,N(AG171)*1-SUMPRODUCT(AG147:AG170,$F$12:$F$35))</f>
        <v>0</v>
      </c>
      <c r="AI172" s="106" t="n">
        <f aca="false">INDEX($F172:$AG172,1,MATCH(AI$7,$F$7:$AG$7,1))</f>
        <v>0</v>
      </c>
      <c r="AJ172" s="106" t="n">
        <f aca="false">INDEX($F172:$AG172,1,MATCH(AJ$7,$F$7:$AG$7,1))</f>
        <v>0</v>
      </c>
      <c r="AK172" s="106" t="n">
        <f aca="false">INDEX($F172:$AG172,1,MATCH(AK$7,$F$7:$AG$7,1))</f>
        <v>0</v>
      </c>
      <c r="AL172" s="106" t="n">
        <f aca="false">INDEX($F172:$AG172,1,MATCH(AL$7,$F$7:$AG$7,1))</f>
        <v>0</v>
      </c>
      <c r="AM172" s="106" t="n">
        <f aca="false">INDEX($F172:$AG172,1,MATCH(AM$7,$F$7:$AG$7,1))</f>
        <v>0</v>
      </c>
      <c r="AN172" s="106" t="n">
        <f aca="false">INDEX($F172:$AG172,1,MATCH(AN$7,$F$7:$AG$7,1))</f>
        <v>0</v>
      </c>
      <c r="AO172" s="106" t="n">
        <f aca="false">INDEX($F172:$AG172,1,MATCH(AO$7,$F$7:$AG$7,1))</f>
        <v>0</v>
      </c>
    </row>
    <row r="173" customFormat="false" ht="15" hidden="false" customHeight="false" outlineLevel="0" collapsed="false">
      <c r="A173" s="3" t="s">
        <v>1474</v>
      </c>
      <c r="B173" s="20" t="s">
        <v>575</v>
      </c>
      <c r="C173" s="20" t="s">
        <v>495</v>
      </c>
      <c r="D173" s="20" t="s">
        <v>1469</v>
      </c>
      <c r="F173" s="111" t="n">
        <f aca="false">SUMPRODUCT(F147:F170,$F$12:$F$35)+F172</f>
        <v>25</v>
      </c>
      <c r="G173" s="111" t="n">
        <f aca="false">SUMPRODUCT(G147:G170,$F$12:$F$35)+G172</f>
        <v>25</v>
      </c>
      <c r="H173" s="111" t="n">
        <f aca="false">SUMPRODUCT(H147:H170,$F$12:$F$35)+H172</f>
        <v>25</v>
      </c>
      <c r="I173" s="111" t="n">
        <f aca="false">SUMPRODUCT(I147:I170,$F$12:$F$35)+I172</f>
        <v>30</v>
      </c>
      <c r="J173" s="111" t="n">
        <f aca="false">SUMPRODUCT(J147:J170,$F$12:$F$35)+J172</f>
        <v>40</v>
      </c>
      <c r="K173" s="111" t="n">
        <f aca="false">SUMPRODUCT(K147:K170,$F$12:$F$35)+K172</f>
        <v>45</v>
      </c>
      <c r="L173" s="111" t="n">
        <f aca="false">SUMPRODUCT(L147:L170,$F$12:$F$35)+L172</f>
        <v>62.5</v>
      </c>
      <c r="M173" s="111" t="n">
        <f aca="false">SUMPRODUCT(M147:M170,$F$12:$F$35)+M172</f>
        <v>147.7</v>
      </c>
      <c r="N173" s="111" t="n">
        <f aca="false">SUMPRODUCT(N147:N170,$F$12:$F$35)+N172</f>
        <v>171.5</v>
      </c>
      <c r="O173" s="111" t="n">
        <f aca="false">SUMPRODUCT(O147:O170,$F$12:$F$35)+O172</f>
        <v>173</v>
      </c>
      <c r="P173" s="112" t="n">
        <f aca="false">SUMPRODUCT(P147:P170,$F$12:$F$35)+P172</f>
        <v>207.5</v>
      </c>
      <c r="Q173" s="112" t="n">
        <f aca="false">SUMPRODUCT(Q147:Q170,$F$12:$F$35)+Q172</f>
        <v>292.4</v>
      </c>
      <c r="R173" s="112" t="n">
        <f aca="false">SUMPRODUCT(R147:R170,$F$12:$F$35)+R172</f>
        <v>416.4</v>
      </c>
      <c r="S173" s="112" t="n">
        <f aca="false">SUMPRODUCT(S147:S170,$F$12:$F$35)+S172</f>
        <v>545.1</v>
      </c>
      <c r="T173" s="112" t="n">
        <f aca="false">SUMPRODUCT(T147:T170,$F$12:$F$35)+T172</f>
        <v>684.5</v>
      </c>
      <c r="U173" s="112" t="n">
        <f aca="false">SUMPRODUCT(U147:U170,$F$12:$F$35)+U172</f>
        <v>950</v>
      </c>
      <c r="V173" s="112" t="n">
        <f aca="false">SUMPRODUCT(V147:V170,$F$12:$F$35)+V172</f>
        <v>1042.5</v>
      </c>
      <c r="W173" s="112" t="n">
        <f aca="false">SUMPRODUCT(W147:W170,$F$12:$F$35)+W172</f>
        <v>1198.5</v>
      </c>
      <c r="X173" s="112" t="n">
        <f aca="false">SUMPRODUCT(X147:X170,$F$12:$F$35)+X172</f>
        <v>1211</v>
      </c>
      <c r="Y173" s="112" t="n">
        <f aca="false">SUMPRODUCT(Y147:Y170,$F$12:$F$35)+Y172</f>
        <v>1539</v>
      </c>
      <c r="Z173" s="112" t="n">
        <f aca="false">SUMPRODUCT(Z147:Z170,$F$12:$F$35)+Z172</f>
        <v>1539</v>
      </c>
      <c r="AA173" s="112" t="n">
        <f aca="false">SUMPRODUCT(AA147:AA170,$F$12:$F$35)+AA172</f>
        <v>1875</v>
      </c>
      <c r="AB173" s="112" t="n">
        <f aca="false">SUMPRODUCT(AB147:AB170,$F$12:$F$35)+AB172</f>
        <v>1875</v>
      </c>
      <c r="AC173" s="112" t="n">
        <f aca="false">SUMPRODUCT(AC147:AC170,$F$12:$F$35)+AC172</f>
        <v>2343</v>
      </c>
      <c r="AD173" s="112" t="n">
        <f aca="false">SUMPRODUCT(AD147:AD170,$F$12:$F$35)+AD172</f>
        <v>2343</v>
      </c>
      <c r="AE173" s="112" t="n">
        <f aca="false">SUMPRODUCT(AE147:AE170,$F$12:$F$35)+AE172</f>
        <v>2343</v>
      </c>
      <c r="AF173" s="112" t="n">
        <f aca="false">SUMPRODUCT(AF147:AF170,$F$12:$F$35)+AF172</f>
        <v>2343</v>
      </c>
      <c r="AG173" s="112" t="n">
        <f aca="false">SUMPRODUCT(AG147:AG170,$F$12:$F$35)+AG172</f>
        <v>2803</v>
      </c>
      <c r="AI173" s="112" t="n">
        <f aca="false">INDEX($F173:$AG173,1,MATCH(AI$7,$F$7:$AG$7,1))</f>
        <v>30</v>
      </c>
      <c r="AJ173" s="112" t="n">
        <f aca="false">INDEX($F173:$AG173,1,MATCH(AJ$7,$F$7:$AG$7,1))</f>
        <v>147.7</v>
      </c>
      <c r="AK173" s="112" t="n">
        <f aca="false">INDEX($F173:$AG173,1,MATCH(AK$7,$F$7:$AG$7,1))</f>
        <v>292.4</v>
      </c>
      <c r="AL173" s="112" t="n">
        <f aca="false">INDEX($F173:$AG173,1,MATCH(AL$7,$F$7:$AG$7,1))</f>
        <v>950</v>
      </c>
      <c r="AM173" s="112" t="n">
        <f aca="false">INDEX($F173:$AG173,1,MATCH(AM$7,$F$7:$AG$7,1))</f>
        <v>1539</v>
      </c>
      <c r="AN173" s="112" t="n">
        <f aca="false">INDEX($F173:$AG173,1,MATCH(AN$7,$F$7:$AG$7,1))</f>
        <v>2343</v>
      </c>
      <c r="AO173" s="112" t="n">
        <f aca="false">INDEX($F173:$AG173,1,MATCH(AO$7,$F$7:$AG$7,1))</f>
        <v>2803</v>
      </c>
    </row>
    <row r="174" customFormat="false" ht="15" hidden="false" customHeight="false" outlineLevel="0" collapsed="false">
      <c r="A174" s="104" t="s">
        <v>1475</v>
      </c>
      <c r="B174" s="20" t="s">
        <v>575</v>
      </c>
      <c r="C174" s="20" t="s">
        <v>495</v>
      </c>
      <c r="D174" s="20"/>
      <c r="F174" s="109" t="n">
        <f aca="false">SUMPRODUCT(F147:F170,$F$12:$F$35,$G$12:$G$35)+F172*INDEX(OwnedSh,1,F$7-FYBase)</f>
        <v>25</v>
      </c>
      <c r="G174" s="109" t="n">
        <f aca="false">SUMPRODUCT(G147:G170,$F$12:$F$35,$G$12:$G$35)+G172*INDEX(OwnedSh,1,G$7-FYBase)</f>
        <v>25</v>
      </c>
      <c r="H174" s="109" t="n">
        <f aca="false">SUMPRODUCT(H147:H170,$F$12:$F$35,$G$12:$G$35)+H172*INDEX(OwnedSh,1,H$7-FYBase)</f>
        <v>25</v>
      </c>
      <c r="I174" s="109" t="n">
        <f aca="false">SUMPRODUCT(I147:I170,$F$12:$F$35,$G$12:$G$35)+I172*INDEX(OwnedSh,1,I$7-FYBase)</f>
        <v>25</v>
      </c>
      <c r="J174" s="109" t="n">
        <f aca="false">SUMPRODUCT(J147:J170,$F$12:$F$35,$G$12:$G$35)+J172*INDEX(OwnedSh,1,J$7-FYBase)</f>
        <v>25</v>
      </c>
      <c r="K174" s="109" t="n">
        <f aca="false">SUMPRODUCT(K147:K170,$F$12:$F$35,$G$12:$G$35)+K172*INDEX(OwnedSh,1,K$7-FYBase)</f>
        <v>25</v>
      </c>
      <c r="L174" s="109" t="n">
        <f aca="false">SUMPRODUCT(L147:L170,$F$12:$F$35,$G$12:$G$35)+L172*INDEX(OwnedSh,1,L$7-FYBase)</f>
        <v>37.5</v>
      </c>
      <c r="M174" s="109" t="n">
        <f aca="false">SUMPRODUCT(M147:M170,$F$12:$F$35,$G$12:$G$35)+M172*INDEX(OwnedSh,1,M$7-FYBase)</f>
        <v>62.5</v>
      </c>
      <c r="N174" s="109" t="n">
        <f aca="false">SUMPRODUCT(N147:N170,$F$12:$F$35,$G$12:$G$35)+N172*INDEX(OwnedSh,1,N$7-FYBase)</f>
        <v>75</v>
      </c>
      <c r="O174" s="109" t="n">
        <f aca="false">SUMPRODUCT(O147:O170,$F$12:$F$35,$G$12:$G$35)+O172*INDEX(OwnedSh,1,O$7-FYBase)</f>
        <v>75</v>
      </c>
      <c r="P174" s="106" t="n">
        <f aca="false">SUMPRODUCT(P147:P170,$F$12:$F$35,$G$12:$G$35)+P172*INDEX(OwnedSh,1,P$7-FYBase)</f>
        <v>75</v>
      </c>
      <c r="Q174" s="106" t="n">
        <f aca="false">SUMPRODUCT(Q147:Q170,$F$12:$F$35,$G$12:$G$35)+Q172*INDEX(OwnedSh,1,Q$7-FYBase)</f>
        <v>75</v>
      </c>
      <c r="R174" s="106" t="n">
        <f aca="false">SUMPRODUCT(R147:R170,$F$12:$F$35,$G$12:$G$35)+R172*INDEX(OwnedSh,1,R$7-FYBase)</f>
        <v>85</v>
      </c>
      <c r="S174" s="106" t="n">
        <f aca="false">SUMPRODUCT(S147:S170,$F$12:$F$35,$G$12:$G$35)+S172*INDEX(OwnedSh,1,S$7-FYBase)</f>
        <v>109</v>
      </c>
      <c r="T174" s="106" t="n">
        <f aca="false">SUMPRODUCT(T147:T170,$F$12:$F$35,$G$12:$G$35)+T172*INDEX(OwnedSh,1,T$7-FYBase)</f>
        <v>183</v>
      </c>
      <c r="U174" s="106" t="n">
        <f aca="false">SUMPRODUCT(U147:U170,$F$12:$F$35,$G$12:$G$35)+U172*INDEX(OwnedSh,1,U$7-FYBase)</f>
        <v>343</v>
      </c>
      <c r="V174" s="106" t="n">
        <f aca="false">SUMPRODUCT(V147:V170,$F$12:$F$35,$G$12:$G$35)+V172*INDEX(OwnedSh,1,V$7-FYBase)</f>
        <v>423</v>
      </c>
      <c r="W174" s="106" t="n">
        <f aca="false">SUMPRODUCT(W147:W170,$F$12:$F$35,$G$12:$G$35)+W172*INDEX(OwnedSh,1,W$7-FYBase)</f>
        <v>579</v>
      </c>
      <c r="X174" s="106" t="n">
        <f aca="false">SUMPRODUCT(X147:X170,$F$12:$F$35,$G$12:$G$35)+X172*INDEX(OwnedSh,1,X$7-FYBase)</f>
        <v>579</v>
      </c>
      <c r="Y174" s="106" t="n">
        <f aca="false">SUMPRODUCT(Y147:Y170,$F$12:$F$35,$G$12:$G$35)+Y172*INDEX(OwnedSh,1,Y$7-FYBase)</f>
        <v>859</v>
      </c>
      <c r="Z174" s="106" t="n">
        <f aca="false">SUMPRODUCT(Z147:Z170,$F$12:$F$35,$G$12:$G$35)+Z172*INDEX(OwnedSh,1,Z$7-FYBase)</f>
        <v>859</v>
      </c>
      <c r="AA174" s="106" t="n">
        <f aca="false">SUMPRODUCT(AA147:AA170,$F$12:$F$35,$G$12:$G$35)+AA172*INDEX(OwnedSh,1,AA$7-FYBase)</f>
        <v>1195</v>
      </c>
      <c r="AB174" s="106" t="n">
        <f aca="false">SUMPRODUCT(AB147:AB170,$F$12:$F$35,$G$12:$G$35)+AB172*INDEX(OwnedSh,1,AB$7-FYBase)</f>
        <v>1195</v>
      </c>
      <c r="AC174" s="106" t="n">
        <f aca="false">SUMPRODUCT(AC147:AC170,$F$12:$F$35,$G$12:$G$35)+AC172*INDEX(OwnedSh,1,AC$7-FYBase)</f>
        <v>1663</v>
      </c>
      <c r="AD174" s="106" t="n">
        <f aca="false">SUMPRODUCT(AD147:AD170,$F$12:$F$35,$G$12:$G$35)+AD172*INDEX(OwnedSh,1,AD$7-FYBase)</f>
        <v>1663</v>
      </c>
      <c r="AE174" s="106" t="n">
        <f aca="false">SUMPRODUCT(AE147:AE170,$F$12:$F$35,$G$12:$G$35)+AE172*INDEX(OwnedSh,1,AE$7-FYBase)</f>
        <v>1663</v>
      </c>
      <c r="AF174" s="106" t="n">
        <f aca="false">SUMPRODUCT(AF147:AF170,$F$12:$F$35,$G$12:$G$35)+AF172*INDEX(OwnedSh,1,AF$7-FYBase)</f>
        <v>1663</v>
      </c>
      <c r="AG174" s="106" t="n">
        <f aca="false">SUMPRODUCT(AG147:AG170,$F$12:$F$35,$G$12:$G$35)+AG172*INDEX(OwnedSh,1,AG$7-FYBase)</f>
        <v>2123</v>
      </c>
      <c r="AI174" s="106" t="n">
        <f aca="false">INDEX($F174:$AG174,1,MATCH(AI$7,$F$7:$AG$7,1))</f>
        <v>25</v>
      </c>
      <c r="AJ174" s="106" t="n">
        <f aca="false">INDEX($F174:$AG174,1,MATCH(AJ$7,$F$7:$AG$7,1))</f>
        <v>62.5</v>
      </c>
      <c r="AK174" s="106" t="n">
        <f aca="false">INDEX($F174:$AG174,1,MATCH(AK$7,$F$7:$AG$7,1))</f>
        <v>75</v>
      </c>
      <c r="AL174" s="106" t="n">
        <f aca="false">INDEX($F174:$AG174,1,MATCH(AL$7,$F$7:$AG$7,1))</f>
        <v>343</v>
      </c>
      <c r="AM174" s="106" t="n">
        <f aca="false">INDEX($F174:$AG174,1,MATCH(AM$7,$F$7:$AG$7,1))</f>
        <v>859</v>
      </c>
      <c r="AN174" s="106" t="n">
        <f aca="false">INDEX($F174:$AG174,1,MATCH(AN$7,$F$7:$AG$7,1))</f>
        <v>1663</v>
      </c>
      <c r="AO174" s="106" t="n">
        <f aca="false">INDEX($F174:$AG174,1,MATCH(AO$7,$F$7:$AG$7,1))</f>
        <v>2123</v>
      </c>
    </row>
    <row r="176" customFormat="false" ht="15" hidden="false" customHeight="false" outlineLevel="0" collapsed="false">
      <c r="A176" s="53" t="s">
        <v>1476</v>
      </c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</row>
    <row r="177" customFormat="false" ht="15" hidden="false" customHeight="false" outlineLevel="0" collapsed="false">
      <c r="A177" s="104" t="s">
        <v>1477</v>
      </c>
      <c r="B177" s="20" t="s">
        <v>561</v>
      </c>
      <c r="C177" s="20" t="s">
        <v>513</v>
      </c>
      <c r="D177" s="20" t="s">
        <v>1478</v>
      </c>
      <c r="F177" s="108" t="n">
        <f aca="false">SUMPRODUCT(((F147:F170-E147:E170)&gt;0)*(F147:F170-E147:E170),$F$12:$F$35,$O$12:$O$35-$P$12:$P$35)</f>
        <v>1043.75</v>
      </c>
      <c r="G177" s="108" t="n">
        <f aca="false">SUMPRODUCT(((G147:G170-F147:F170)&gt;0)*(G147:G170-F147:F170),$F$12:$F$35,$O$12:$O$35-$P$12:$P$35)</f>
        <v>0</v>
      </c>
      <c r="H177" s="108" t="n">
        <f aca="false">SUMPRODUCT(((H147:H170-G147:G170)&gt;0)*(H147:H170-G147:G170),$F$12:$F$35,$O$12:$O$35-$P$12:$P$35)</f>
        <v>0</v>
      </c>
      <c r="I177" s="108" t="n">
        <f aca="false">SUMPRODUCT(((I147:I170-H147:H170)&gt;0)*(I147:I170-H147:H170),$F$12:$F$35,$O$12:$O$35-$P$12:$P$35)</f>
        <v>150</v>
      </c>
      <c r="J177" s="108" t="n">
        <f aca="false">SUMPRODUCT(((J147:J170-I147:I170)&gt;0)*(J147:J170-I147:I170),$F$12:$F$35,$O$12:$O$35-$P$12:$P$35)</f>
        <v>300</v>
      </c>
      <c r="K177" s="108" t="n">
        <f aca="false">SUMPRODUCT(((K147:K170-J147:J170)&gt;0)*(K147:K170-J147:J170),$F$12:$F$35,$O$12:$O$35-$P$12:$P$35)</f>
        <v>150</v>
      </c>
      <c r="L177" s="108" t="n">
        <f aca="false">SUMPRODUCT(((L147:L170-K147:K170)&gt;0)*(L147:L170-K147:K170),$F$12:$F$35,$O$12:$O$35-$P$12:$P$35)</f>
        <v>671.875</v>
      </c>
      <c r="M177" s="108" t="n">
        <f aca="false">SUMPRODUCT(((M147:M170-L147:L170)&gt;0)*(M147:M170-L147:L170),$F$12:$F$35,$O$12:$O$35-$P$12:$P$35)</f>
        <v>3137.95</v>
      </c>
      <c r="N177" s="108" t="n">
        <f aca="false">SUMPRODUCT(((N147:N170-M147:M170)&gt;0)*(N147:N170-M147:M170),$F$12:$F$35,$O$12:$O$35-$P$12:$P$35)</f>
        <v>985.175</v>
      </c>
      <c r="O177" s="108" t="n">
        <f aca="false">SUMPRODUCT(((O147:O170-N147:N170)&gt;0)*(O147:O170-N147:N170),$F$12:$F$35,$O$12:$O$35-$P$12:$P$35)</f>
        <v>61.5</v>
      </c>
      <c r="P177" s="29" t="n">
        <f aca="false">SUMPRODUCT(((P147:P170-O147:O170)&gt;0)*(P147:P170-O147:O170),$F$12:$F$35,$O$12:$O$35-$P$12:$P$35)</f>
        <v>1332</v>
      </c>
      <c r="Q177" s="29" t="n">
        <f aca="false">SUMPRODUCT(((Q147:Q170-P147:P170)&gt;0)*(Q147:Q170-P147:P170),$F$12:$F$35,$O$12:$O$35-$P$12:$P$35)</f>
        <v>3374.2</v>
      </c>
      <c r="R177" s="29" t="n">
        <f aca="false">SUMPRODUCT(((R147:R170-Q147:Q170)&gt;0)*(R147:R170-Q147:Q170),$F$12:$F$35,$O$12:$O$35-$P$12:$P$35)</f>
        <v>4934.5</v>
      </c>
      <c r="S177" s="29" t="n">
        <f aca="false">SUMPRODUCT(((S147:S170-R147:R170)&gt;0)*(S147:S170-R147:R170),$F$12:$F$35,$O$12:$O$35-$P$12:$P$35)</f>
        <v>5366.7</v>
      </c>
      <c r="T177" s="29" t="n">
        <f aca="false">SUMPRODUCT(((T147:T170-S147:S170)&gt;0)*(T147:T170-S147:S170),$F$12:$F$35,$O$12:$O$35-$P$12:$P$35)</f>
        <v>5896.1</v>
      </c>
      <c r="U177" s="29" t="n">
        <f aca="false">SUMPRODUCT(((U147:U170-T147:T170)&gt;0)*(U147:U170-T147:T170),$F$12:$F$35,$O$12:$O$35-$P$12:$P$35)</f>
        <v>11375.5</v>
      </c>
      <c r="V177" s="29" t="n">
        <f aca="false">SUMPRODUCT(((V147:V170-U147:U170)&gt;0)*(V147:V170-U147:U170),$F$12:$F$35,$O$12:$O$35-$P$12:$P$35)</f>
        <v>4092.5</v>
      </c>
      <c r="W177" s="29" t="n">
        <f aca="false">SUMPRODUCT(((W147:W170-V147:V170)&gt;0)*(W147:W170-V147:V170),$F$12:$F$35,$O$12:$O$35-$P$12:$P$35)</f>
        <v>6981</v>
      </c>
      <c r="X177" s="29" t="n">
        <f aca="false">SUMPRODUCT(((X147:X170-W147:W170)&gt;0)*(X147:X170-W147:W170),$F$12:$F$35,$O$12:$O$35-$P$12:$P$35)</f>
        <v>512.5</v>
      </c>
      <c r="Y177" s="29" t="n">
        <f aca="false">SUMPRODUCT(((Y147:Y170-X147:X170)&gt;0)*(Y147:Y170-X147:X170),$F$12:$F$35,$O$12:$O$35-$P$12:$P$35)</f>
        <v>14498</v>
      </c>
      <c r="Z177" s="29" t="n">
        <f aca="false">SUMPRODUCT(((Z147:Z170-Y147:Y170)&gt;0)*(Z147:Z170-Y147:Y170),$F$12:$F$35,$O$12:$O$35-$P$12:$P$35)</f>
        <v>0</v>
      </c>
      <c r="AA177" s="29" t="n">
        <f aca="false">SUMPRODUCT(((AA147:AA170-Z147:Z170)&gt;0)*(AA147:AA170-Z147:Z170),$F$12:$F$35,$O$12:$O$35-$P$12:$P$35)</f>
        <v>15036</v>
      </c>
      <c r="AB177" s="29" t="n">
        <f aca="false">SUMPRODUCT(((AB147:AB170-AA147:AA170)&gt;0)*(AB147:AB170-AA147:AA170),$F$12:$F$35,$O$12:$O$35-$P$12:$P$35)</f>
        <v>0</v>
      </c>
      <c r="AC177" s="29" t="n">
        <f aca="false">SUMPRODUCT(((AC147:AC170-AB147:AB170)&gt;0)*(AC147:AC170-AB147:AB170),$F$12:$F$35,$O$12:$O$35-$P$12:$P$35)</f>
        <v>20943</v>
      </c>
      <c r="AD177" s="29" t="n">
        <f aca="false">SUMPRODUCT(((AD147:AD170-AC147:AC170)&gt;0)*(AD147:AD170-AC147:AC170),$F$12:$F$35,$O$12:$O$35-$P$12:$P$35)</f>
        <v>0</v>
      </c>
      <c r="AE177" s="29" t="n">
        <f aca="false">SUMPRODUCT(((AE147:AE170-AD147:AD170)&gt;0)*(AE147:AE170-AD147:AD170),$F$12:$F$35,$O$12:$O$35-$P$12:$P$35)</f>
        <v>0</v>
      </c>
      <c r="AF177" s="29" t="n">
        <f aca="false">SUMPRODUCT(((AF147:AF170-AE147:AE170)&gt;0)*(AF147:AF170-AE147:AE170),$F$12:$F$35,$O$12:$O$35-$P$12:$P$35)</f>
        <v>0</v>
      </c>
      <c r="AG177" s="29" t="n">
        <f aca="false">SUMPRODUCT(((AG147:AG170-AF147:AF170)&gt;0)*(AG147:AG170-AF147:AF170),$F$12:$F$35,$O$12:$O$35-$P$12:$P$35)</f>
        <v>20585</v>
      </c>
      <c r="AI177" s="29" t="n">
        <f aca="false">SUMIF($F$7:$AG$7,AI$7,$F177:$AG177)</f>
        <v>1193.75</v>
      </c>
      <c r="AJ177" s="29" t="n">
        <f aca="false">SUMIF($F$7:$AG$7,AJ$7,$F177:$AG177)</f>
        <v>4259.825</v>
      </c>
      <c r="AK177" s="29" t="n">
        <f aca="false">SUMIF($F$7:$AG$7,AK$7,$F177:$AG177)</f>
        <v>5752.875</v>
      </c>
      <c r="AL177" s="29" t="n">
        <f aca="false">SUMIF($F$7:$AG$7,AL$7,$F177:$AG177)</f>
        <v>27572.8</v>
      </c>
      <c r="AM177" s="29" t="n">
        <f aca="false">SUMIF($F$7:$AG$7,AM$7,$F177:$AG177)</f>
        <v>26084</v>
      </c>
      <c r="AN177" s="29" t="n">
        <f aca="false">SUMIF($F$7:$AG$7,AN$7,$F177:$AG177)</f>
        <v>35979</v>
      </c>
      <c r="AO177" s="29" t="n">
        <f aca="false">SUMIF($F$7:$AG$7,AO$7,$F177:$AG177)</f>
        <v>20585</v>
      </c>
    </row>
    <row r="178" customFormat="false" ht="15" hidden="false" customHeight="false" outlineLevel="0" collapsed="false">
      <c r="A178" s="104" t="s">
        <v>1479</v>
      </c>
      <c r="B178" s="20" t="s">
        <v>561</v>
      </c>
      <c r="C178" s="20" t="s">
        <v>513</v>
      </c>
      <c r="D178" s="20"/>
      <c r="F178" s="108" t="n">
        <f aca="false">SUMPRODUCT(((F147:F170-E147:E170)&gt;0)*(F147:F170-E147:E170),$F$12:$F$35,$P$12:$P$35)</f>
        <v>281.25</v>
      </c>
      <c r="G178" s="108" t="n">
        <f aca="false">SUMPRODUCT(((G147:G170-F147:F170)&gt;0)*(G147:G170-F147:F170),$F$12:$F$35,$P$12:$P$35)</f>
        <v>0</v>
      </c>
      <c r="H178" s="108" t="n">
        <f aca="false">SUMPRODUCT(((H147:H170-G147:G170)&gt;0)*(H147:H170-G147:G170),$F$12:$F$35,$P$12:$P$35)</f>
        <v>0</v>
      </c>
      <c r="I178" s="108" t="n">
        <f aca="false">SUMPRODUCT(((I147:I170-H147:H170)&gt;0)*(I147:I170-H147:H170),$F$12:$F$35,$P$12:$P$35)</f>
        <v>0</v>
      </c>
      <c r="J178" s="108" t="n">
        <f aca="false">SUMPRODUCT(((J147:J170-I147:I170)&gt;0)*(J147:J170-I147:I170),$F$12:$F$35,$P$12:$P$35)</f>
        <v>0</v>
      </c>
      <c r="K178" s="108" t="n">
        <f aca="false">SUMPRODUCT(((K147:K170-J147:J170)&gt;0)*(K147:K170-J147:J170),$F$12:$F$35,$P$12:$P$35)</f>
        <v>0</v>
      </c>
      <c r="L178" s="108" t="n">
        <f aca="false">SUMPRODUCT(((L147:L170-K147:K170)&gt;0)*(L147:L170-K147:K170),$F$12:$F$35,$P$12:$P$35)</f>
        <v>140.625</v>
      </c>
      <c r="M178" s="108" t="n">
        <f aca="false">SUMPRODUCT(((M147:M170-L147:L170)&gt;0)*(M147:M170-L147:L170),$F$12:$F$35,$P$12:$P$35)</f>
        <v>281.25</v>
      </c>
      <c r="N178" s="108" t="n">
        <f aca="false">SUMPRODUCT(((N147:N170-M147:M170)&gt;0)*(N147:N170-M147:M170),$F$12:$F$35,$P$12:$P$35)</f>
        <v>140.625</v>
      </c>
      <c r="O178" s="108" t="n">
        <f aca="false">SUMPRODUCT(((O147:O170-N147:N170)&gt;0)*(O147:O170-N147:N170),$F$12:$F$35,$P$12:$P$35)</f>
        <v>0</v>
      </c>
      <c r="P178" s="29" t="n">
        <f aca="false">SUMPRODUCT(((P147:P170-O147:O170)&gt;0)*(P147:P170-O147:O170),$F$12:$F$35,$P$12:$P$35)</f>
        <v>0</v>
      </c>
      <c r="Q178" s="29" t="n">
        <f aca="false">SUMPRODUCT(((Q147:Q170-P147:P170)&gt;0)*(Q147:Q170-P147:P170),$F$12:$F$35,$P$12:$P$35)</f>
        <v>0</v>
      </c>
      <c r="R178" s="29" t="n">
        <f aca="false">SUMPRODUCT(((R147:R170-Q147:Q170)&gt;0)*(R147:R170-Q147:Q170),$F$12:$F$35,$P$12:$P$35)</f>
        <v>112.5</v>
      </c>
      <c r="S178" s="29" t="n">
        <f aca="false">SUMPRODUCT(((S147:S170-R147:R170)&gt;0)*(S147:S170-R147:R170),$F$12:$F$35,$P$12:$P$35)</f>
        <v>270</v>
      </c>
      <c r="T178" s="29" t="n">
        <f aca="false">SUMPRODUCT(((T147:T170-S147:S170)&gt;0)*(T147:T170-S147:S170),$F$12:$F$35,$P$12:$P$35)</f>
        <v>832.5</v>
      </c>
      <c r="U178" s="29" t="n">
        <f aca="false">SUMPRODUCT(((U147:U170-T147:T170)&gt;0)*(U147:U170-T147:T170),$F$12:$F$35,$P$12:$P$35)</f>
        <v>1800</v>
      </c>
      <c r="V178" s="29" t="n">
        <f aca="false">SUMPRODUCT(((V147:V170-U147:U170)&gt;0)*(V147:V170-U147:U170),$F$12:$F$35,$P$12:$P$35)</f>
        <v>900</v>
      </c>
      <c r="W178" s="29" t="n">
        <f aca="false">SUMPRODUCT(((W147:W170-V147:V170)&gt;0)*(W147:W170-V147:V170),$F$12:$F$35,$P$12:$P$35)</f>
        <v>1755</v>
      </c>
      <c r="X178" s="29" t="n">
        <f aca="false">SUMPRODUCT(((X147:X170-W147:W170)&gt;0)*(X147:X170-W147:W170),$F$12:$F$35,$P$12:$P$35)</f>
        <v>0</v>
      </c>
      <c r="Y178" s="29" t="n">
        <f aca="false">SUMPRODUCT(((Y147:Y170-X147:X170)&gt;0)*(Y147:Y170-X147:X170),$F$12:$F$35,$P$12:$P$35)</f>
        <v>3150</v>
      </c>
      <c r="Z178" s="29" t="n">
        <f aca="false">SUMPRODUCT(((Z147:Z170-Y147:Y170)&gt;0)*(Z147:Z170-Y147:Y170),$F$12:$F$35,$P$12:$P$35)</f>
        <v>0</v>
      </c>
      <c r="AA178" s="29" t="n">
        <f aca="false">SUMPRODUCT(((AA147:AA170-Z147:Z170)&gt;0)*(AA147:AA170-Z147:Z170),$F$12:$F$35,$P$12:$P$35)</f>
        <v>3780</v>
      </c>
      <c r="AB178" s="29" t="n">
        <f aca="false">SUMPRODUCT(((AB147:AB170-AA147:AA170)&gt;0)*(AB147:AB170-AA147:AA170),$F$12:$F$35,$P$12:$P$35)</f>
        <v>0</v>
      </c>
      <c r="AC178" s="29" t="n">
        <f aca="false">SUMPRODUCT(((AC147:AC170-AB147:AB170)&gt;0)*(AC147:AC170-AB147:AB170),$F$12:$F$35,$P$12:$P$35)</f>
        <v>5265</v>
      </c>
      <c r="AD178" s="29" t="n">
        <f aca="false">SUMPRODUCT(((AD147:AD170-AC147:AC170)&gt;0)*(AD147:AD170-AC147:AC170),$F$12:$F$35,$P$12:$P$35)</f>
        <v>0</v>
      </c>
      <c r="AE178" s="29" t="n">
        <f aca="false">SUMPRODUCT(((AE147:AE170-AD147:AD170)&gt;0)*(AE147:AE170-AD147:AD170),$F$12:$F$35,$P$12:$P$35)</f>
        <v>0</v>
      </c>
      <c r="AF178" s="29" t="n">
        <f aca="false">SUMPRODUCT(((AF147:AF170-AE147:AE170)&gt;0)*(AF147:AF170-AE147:AE170),$F$12:$F$35,$P$12:$P$35)</f>
        <v>0</v>
      </c>
      <c r="AG178" s="29" t="n">
        <f aca="false">SUMPRODUCT(((AG147:AG170-AF147:AF170)&gt;0)*(AG147:AG170-AF147:AF170),$F$12:$F$35,$P$12:$P$35)</f>
        <v>5175</v>
      </c>
      <c r="AI178" s="29" t="n">
        <f aca="false">SUMIF($F$7:$AG$7,AI$7,$F178:$AG178)</f>
        <v>281.25</v>
      </c>
      <c r="AJ178" s="29" t="n">
        <f aca="false">SUMIF($F$7:$AG$7,AJ$7,$F178:$AG178)</f>
        <v>421.875</v>
      </c>
      <c r="AK178" s="29" t="n">
        <f aca="false">SUMIF($F$7:$AG$7,AK$7,$F178:$AG178)</f>
        <v>140.625</v>
      </c>
      <c r="AL178" s="29" t="n">
        <f aca="false">SUMIF($F$7:$AG$7,AL$7,$F178:$AG178)</f>
        <v>3015</v>
      </c>
      <c r="AM178" s="29" t="n">
        <f aca="false">SUMIF($F$7:$AG$7,AM$7,$F178:$AG178)</f>
        <v>5805</v>
      </c>
      <c r="AN178" s="29" t="n">
        <f aca="false">SUMIF($F$7:$AG$7,AN$7,$F178:$AG178)</f>
        <v>9045</v>
      </c>
      <c r="AO178" s="29" t="n">
        <f aca="false">SUMIF($F$7:$AG$7,AO$7,$F178:$AG178)</f>
        <v>5175</v>
      </c>
    </row>
    <row r="179" customFormat="false" ht="15" hidden="false" customHeight="false" outlineLevel="0" collapsed="false">
      <c r="A179" s="104" t="s">
        <v>1480</v>
      </c>
      <c r="B179" s="20" t="s">
        <v>575</v>
      </c>
      <c r="C179" s="20" t="s">
        <v>513</v>
      </c>
      <c r="D179" s="20"/>
      <c r="F179" s="113" t="n">
        <f aca="false">SUMPRODUCT(((F147:F170-E147:E170)&gt;0)*(F147:F170-E147:E170),$F$12:$F$35)</f>
        <v>25</v>
      </c>
      <c r="G179" s="113" t="n">
        <f aca="false">SUMPRODUCT(((G147:G170-F147:F170)&gt;0)*(G147:G170-F147:F170),$F$12:$F$35)</f>
        <v>0</v>
      </c>
      <c r="H179" s="113" t="n">
        <f aca="false">SUMPRODUCT(((H147:H170-G147:G170)&gt;0)*(H147:H170-G147:G170),$F$12:$F$35)</f>
        <v>0</v>
      </c>
      <c r="I179" s="113" t="n">
        <f aca="false">SUMPRODUCT(((I147:I170-H147:H170)&gt;0)*(I147:I170-H147:H170),$F$12:$F$35)</f>
        <v>5</v>
      </c>
      <c r="J179" s="113" t="n">
        <f aca="false">SUMPRODUCT(((J147:J170-I147:I170)&gt;0)*(J147:J170-I147:I170),$F$12:$F$35)</f>
        <v>10</v>
      </c>
      <c r="K179" s="113" t="n">
        <f aca="false">SUMPRODUCT(((K147:K170-J147:J170)&gt;0)*(K147:K170-J147:J170),$F$12:$F$35)</f>
        <v>5</v>
      </c>
      <c r="L179" s="113" t="n">
        <f aca="false">SUMPRODUCT(((L147:L170-K147:K170)&gt;0)*(L147:L170-K147:K170),$F$12:$F$35)</f>
        <v>17.5</v>
      </c>
      <c r="M179" s="113" t="n">
        <f aca="false">SUMPRODUCT(((M147:M170-L147:L170)&gt;0)*(M147:M170-L147:L170),$F$12:$F$35)</f>
        <v>85.2</v>
      </c>
      <c r="N179" s="113" t="n">
        <f aca="false">SUMPRODUCT(((N147:N170-M147:M170)&gt;0)*(N147:N170-M147:M170),$F$12:$F$35)</f>
        <v>23.8</v>
      </c>
      <c r="O179" s="113" t="n">
        <f aca="false">SUMPRODUCT(((O147:O170-N147:N170)&gt;0)*(O147:O170-N147:N170),$F$12:$F$35)</f>
        <v>1.5</v>
      </c>
      <c r="P179" s="31" t="n">
        <f aca="false">SUMPRODUCT(((P147:P170-O147:O170)&gt;0)*(P147:P170-O147:O170),$F$12:$F$35)</f>
        <v>34.5</v>
      </c>
      <c r="Q179" s="31" t="n">
        <f aca="false">SUMPRODUCT(((Q147:Q170-P147:P170)&gt;0)*(Q147:Q170-P147:P170),$F$12:$F$35)</f>
        <v>84.9</v>
      </c>
      <c r="R179" s="31" t="n">
        <f aca="false">SUMPRODUCT(((R147:R170-Q147:Q170)&gt;0)*(R147:R170-Q147:Q170),$F$12:$F$35)</f>
        <v>124</v>
      </c>
      <c r="S179" s="31" t="n">
        <f aca="false">SUMPRODUCT(((S147:S170-R147:R170)&gt;0)*(S147:S170-R147:R170),$F$12:$F$35)</f>
        <v>128.7</v>
      </c>
      <c r="T179" s="31" t="n">
        <f aca="false">SUMPRODUCT(((T147:T170-S147:S170)&gt;0)*(T147:T170-S147:S170),$F$12:$F$35)</f>
        <v>139.4</v>
      </c>
      <c r="U179" s="31" t="n">
        <f aca="false">SUMPRODUCT(((U147:U170-T147:T170)&gt;0)*(U147:U170-T147:T170),$F$12:$F$35)</f>
        <v>265.5</v>
      </c>
      <c r="V179" s="31" t="n">
        <f aca="false">SUMPRODUCT(((V147:V170-U147:U170)&gt;0)*(V147:V170-U147:U170),$F$12:$F$35)</f>
        <v>92.5</v>
      </c>
      <c r="W179" s="31" t="n">
        <f aca="false">SUMPRODUCT(((W147:W170-V147:V170)&gt;0)*(W147:W170-V147:V170),$F$12:$F$35)</f>
        <v>156</v>
      </c>
      <c r="X179" s="31" t="n">
        <f aca="false">SUMPRODUCT(((X147:X170-W147:W170)&gt;0)*(X147:X170-W147:W170),$F$12:$F$35)</f>
        <v>12.5</v>
      </c>
      <c r="Y179" s="31" t="n">
        <f aca="false">SUMPRODUCT(((Y147:Y170-X147:X170)&gt;0)*(Y147:Y170-X147:X170),$F$12:$F$35)</f>
        <v>328</v>
      </c>
      <c r="Z179" s="31" t="n">
        <f aca="false">SUMPRODUCT(((Z147:Z170-Y147:Y170)&gt;0)*(Z147:Z170-Y147:Y170),$F$12:$F$35)</f>
        <v>0</v>
      </c>
      <c r="AA179" s="31" t="n">
        <f aca="false">SUMPRODUCT(((AA147:AA170-Z147:Z170)&gt;0)*(AA147:AA170-Z147:Z170),$F$12:$F$35)</f>
        <v>336</v>
      </c>
      <c r="AB179" s="31" t="n">
        <f aca="false">SUMPRODUCT(((AB147:AB170-AA147:AA170)&gt;0)*(AB147:AB170-AA147:AA170),$F$12:$F$35)</f>
        <v>0</v>
      </c>
      <c r="AC179" s="31" t="n">
        <f aca="false">SUMPRODUCT(((AC147:AC170-AB147:AB170)&gt;0)*(AC147:AC170-AB147:AB170),$F$12:$F$35)</f>
        <v>468</v>
      </c>
      <c r="AD179" s="31" t="n">
        <f aca="false">SUMPRODUCT(((AD147:AD170-AC147:AC170)&gt;0)*(AD147:AD170-AC147:AC170),$F$12:$F$35)</f>
        <v>0</v>
      </c>
      <c r="AE179" s="31" t="n">
        <f aca="false">SUMPRODUCT(((AE147:AE170-AD147:AD170)&gt;0)*(AE147:AE170-AD147:AD170),$F$12:$F$35)</f>
        <v>0</v>
      </c>
      <c r="AF179" s="31" t="n">
        <f aca="false">SUMPRODUCT(((AF147:AF170-AE147:AE170)&gt;0)*(AF147:AF170-AE147:AE170),$F$12:$F$35)</f>
        <v>0</v>
      </c>
      <c r="AG179" s="31" t="n">
        <f aca="false">SUMPRODUCT(((AG147:AG170-AF147:AF170)&gt;0)*(AG147:AG170-AF147:AF170),$F$12:$F$35)</f>
        <v>460</v>
      </c>
      <c r="AI179" s="31" t="n">
        <f aca="false">SUMIF($F$7:$AG$7,AI$7,$F179:$AG179)</f>
        <v>30</v>
      </c>
      <c r="AJ179" s="31" t="n">
        <f aca="false">SUMIF($F$7:$AG$7,AJ$7,$F179:$AG179)</f>
        <v>117.7</v>
      </c>
      <c r="AK179" s="31" t="n">
        <f aca="false">SUMIF($F$7:$AG$7,AK$7,$F179:$AG179)</f>
        <v>144.7</v>
      </c>
      <c r="AL179" s="31" t="n">
        <f aca="false">SUMIF($F$7:$AG$7,AL$7,$F179:$AG179)</f>
        <v>657.6</v>
      </c>
      <c r="AM179" s="31" t="n">
        <f aca="false">SUMIF($F$7:$AG$7,AM$7,$F179:$AG179)</f>
        <v>589</v>
      </c>
      <c r="AN179" s="31" t="n">
        <f aca="false">SUMIF($F$7:$AG$7,AN$7,$F179:$AG179)</f>
        <v>804</v>
      </c>
      <c r="AO179" s="31" t="n">
        <f aca="false">SUMIF($F$7:$AG$7,AO$7,$F179:$AG179)</f>
        <v>460</v>
      </c>
    </row>
    <row r="180" customFormat="false" ht="15" hidden="false" customHeight="false" outlineLevel="0" collapsed="false">
      <c r="A180" s="104" t="s">
        <v>1481</v>
      </c>
      <c r="B180" s="20" t="s">
        <v>519</v>
      </c>
      <c r="C180" s="20" t="s">
        <v>513</v>
      </c>
      <c r="D180" s="20" t="s">
        <v>1482</v>
      </c>
      <c r="F180" s="114" t="n">
        <f aca="false">IF(F179&gt;0.01,F177/F179,IFERROR(SUMPRODUCT((Q_Idx&gt;LastHist)*PathIT)/SUMPRODUCT((Q_Idx&gt;LastHist)*EnNewIT),CPM_Lease_GB300))</f>
        <v>41.75</v>
      </c>
      <c r="G180" s="114" t="n">
        <f aca="false">IF(G179&gt;0.01,G177/G179,IFERROR(SUMPRODUCT((Q_Idx&gt;LastHist)*PathIT)/SUMPRODUCT((Q_Idx&gt;LastHist)*EnNewIT),CPM_Lease_GB300))</f>
        <v>43.6984790874525</v>
      </c>
      <c r="H180" s="114" t="n">
        <f aca="false">IF(H179&gt;0.01,H177/H179,IFERROR(SUMPRODUCT((Q_Idx&gt;LastHist)*PathIT)/SUMPRODUCT((Q_Idx&gt;LastHist)*EnNewIT),CPM_Lease_GB300))</f>
        <v>43.6984790874525</v>
      </c>
      <c r="I180" s="114" t="n">
        <f aca="false">IF(I179&gt;0.01,I177/I179,IFERROR(SUMPRODUCT((Q_Idx&gt;LastHist)*PathIT)/SUMPRODUCT((Q_Idx&gt;LastHist)*EnNewIT),CPM_Lease_GB300))</f>
        <v>30</v>
      </c>
      <c r="J180" s="114" t="n">
        <f aca="false">IF(J179&gt;0.01,J177/J179,IFERROR(SUMPRODUCT((Q_Idx&gt;LastHist)*PathIT)/SUMPRODUCT((Q_Idx&gt;LastHist)*EnNewIT),CPM_Lease_GB300))</f>
        <v>30</v>
      </c>
      <c r="K180" s="114" t="n">
        <f aca="false">IF(K179&gt;0.01,K177/K179,IFERROR(SUMPRODUCT((Q_Idx&gt;LastHist)*PathIT)/SUMPRODUCT((Q_Idx&gt;LastHist)*EnNewIT),CPM_Lease_GB300))</f>
        <v>30</v>
      </c>
      <c r="L180" s="114" t="n">
        <f aca="false">IF(L179&gt;0.01,L177/L179,IFERROR(SUMPRODUCT((Q_Idx&gt;LastHist)*PathIT)/SUMPRODUCT((Q_Idx&gt;LastHist)*EnNewIT),CPM_Lease_GB300))</f>
        <v>38.3928571428571</v>
      </c>
      <c r="M180" s="114" t="n">
        <f aca="false">IF(M179&gt;0.01,M177/M179,IFERROR(SUMPRODUCT((Q_Idx&gt;LastHist)*PathIT)/SUMPRODUCT((Q_Idx&gt;LastHist)*EnNewIT),CPM_Lease_GB300))</f>
        <v>36.8303990610329</v>
      </c>
      <c r="N180" s="114" t="n">
        <f aca="false">IF(N179&gt;0.01,N177/N179,IFERROR(SUMPRODUCT((Q_Idx&gt;LastHist)*PathIT)/SUMPRODUCT((Q_Idx&gt;LastHist)*EnNewIT),CPM_Lease_GB300))</f>
        <v>41.3939075630252</v>
      </c>
      <c r="O180" s="114" t="n">
        <f aca="false">IF(O179&gt;0.01,O177/O179,IFERROR(SUMPRODUCT((Q_Idx&gt;LastHist)*PathIT)/SUMPRODUCT((Q_Idx&gt;LastHist)*EnNewIT),CPM_Lease_GB300))</f>
        <v>41</v>
      </c>
      <c r="P180" s="23" t="n">
        <f aca="false">IF(P179&gt;0.01,P177/P179,IFERROR(SUMPRODUCT((Q_Idx&gt;LastHist)*PathIT)/SUMPRODUCT((Q_Idx&gt;LastHist)*EnNewIT),CPM_Lease_GB300))</f>
        <v>38.6086956521739</v>
      </c>
      <c r="Q180" s="23" t="n">
        <f aca="false">IF(Q179&gt;0.01,Q177/Q179,IFERROR(SUMPRODUCT((Q_Idx&gt;LastHist)*PathIT)/SUMPRODUCT((Q_Idx&gt;LastHist)*EnNewIT),CPM_Lease_GB300))</f>
        <v>39.7432273262662</v>
      </c>
      <c r="R180" s="23" t="n">
        <f aca="false">IF(R179&gt;0.01,R177/R179,IFERROR(SUMPRODUCT((Q_Idx&gt;LastHist)*PathIT)/SUMPRODUCT((Q_Idx&gt;LastHist)*EnNewIT),CPM_Lease_GB300))</f>
        <v>39.7943548387097</v>
      </c>
      <c r="S180" s="23" t="n">
        <f aca="false">IF(S179&gt;0.01,S177/S179,IFERROR(SUMPRODUCT((Q_Idx&gt;LastHist)*PathIT)/SUMPRODUCT((Q_Idx&gt;LastHist)*EnNewIT),CPM_Lease_GB300))</f>
        <v>41.6993006993007</v>
      </c>
      <c r="T180" s="23" t="n">
        <f aca="false">IF(T179&gt;0.01,T177/T179,IFERROR(SUMPRODUCT((Q_Idx&gt;LastHist)*PathIT)/SUMPRODUCT((Q_Idx&gt;LastHist)*EnNewIT),CPM_Lease_GB300))</f>
        <v>42.2962697274032</v>
      </c>
      <c r="U180" s="23" t="n">
        <f aca="false">IF(U179&gt;0.01,U177/U179,IFERROR(SUMPRODUCT((Q_Idx&gt;LastHist)*PathIT)/SUMPRODUCT((Q_Idx&gt;LastHist)*EnNewIT),CPM_Lease_GB300))</f>
        <v>42.8455743879473</v>
      </c>
      <c r="V180" s="23" t="n">
        <f aca="false">IF(V179&gt;0.01,V177/V179,IFERROR(SUMPRODUCT((Q_Idx&gt;LastHist)*PathIT)/SUMPRODUCT((Q_Idx&gt;LastHist)*EnNewIT),CPM_Lease_GB300))</f>
        <v>44.2432432432433</v>
      </c>
      <c r="W180" s="23" t="n">
        <f aca="false">IF(W179&gt;0.01,W177/W179,IFERROR(SUMPRODUCT((Q_Idx&gt;LastHist)*PathIT)/SUMPRODUCT((Q_Idx&gt;LastHist)*EnNewIT),CPM_Lease_GB300))</f>
        <v>44.75</v>
      </c>
      <c r="X180" s="23" t="n">
        <f aca="false">IF(X179&gt;0.01,X177/X179,IFERROR(SUMPRODUCT((Q_Idx&gt;LastHist)*PathIT)/SUMPRODUCT((Q_Idx&gt;LastHist)*EnNewIT),CPM_Lease_GB300))</f>
        <v>41</v>
      </c>
      <c r="Y180" s="23" t="n">
        <f aca="false">IF(Y179&gt;0.01,Y177/Y179,IFERROR(SUMPRODUCT((Q_Idx&gt;LastHist)*PathIT)/SUMPRODUCT((Q_Idx&gt;LastHist)*EnNewIT),CPM_Lease_GB300))</f>
        <v>44.2012195121951</v>
      </c>
      <c r="Z180" s="23" t="n">
        <f aca="false">IF(Z179&gt;0.01,Z177/Z179,IFERROR(SUMPRODUCT((Q_Idx&gt;LastHist)*PathIT)/SUMPRODUCT((Q_Idx&gt;LastHist)*EnNewIT),CPM_Lease_GB300))</f>
        <v>43.6984790874525</v>
      </c>
      <c r="AA180" s="23" t="n">
        <f aca="false">IF(AA179&gt;0.01,AA177/AA179,IFERROR(SUMPRODUCT((Q_Idx&gt;LastHist)*PathIT)/SUMPRODUCT((Q_Idx&gt;LastHist)*EnNewIT),CPM_Lease_GB300))</f>
        <v>44.75</v>
      </c>
      <c r="AB180" s="23" t="n">
        <f aca="false">IF(AB179&gt;0.01,AB177/AB179,IFERROR(SUMPRODUCT((Q_Idx&gt;LastHist)*PathIT)/SUMPRODUCT((Q_Idx&gt;LastHist)*EnNewIT),CPM_Lease_GB300))</f>
        <v>43.6984790874525</v>
      </c>
      <c r="AC180" s="23" t="n">
        <f aca="false">IF(AC179&gt;0.01,AC177/AC179,IFERROR(SUMPRODUCT((Q_Idx&gt;LastHist)*PathIT)/SUMPRODUCT((Q_Idx&gt;LastHist)*EnNewIT),CPM_Lease_GB300))</f>
        <v>44.75</v>
      </c>
      <c r="AD180" s="23" t="n">
        <f aca="false">IF(AD179&gt;0.01,AD177/AD179,IFERROR(SUMPRODUCT((Q_Idx&gt;LastHist)*PathIT)/SUMPRODUCT((Q_Idx&gt;LastHist)*EnNewIT),CPM_Lease_GB300))</f>
        <v>43.6984790874525</v>
      </c>
      <c r="AE180" s="23" t="n">
        <f aca="false">IF(AE179&gt;0.01,AE177/AE179,IFERROR(SUMPRODUCT((Q_Idx&gt;LastHist)*PathIT)/SUMPRODUCT((Q_Idx&gt;LastHist)*EnNewIT),CPM_Lease_GB300))</f>
        <v>43.6984790874525</v>
      </c>
      <c r="AF180" s="23" t="n">
        <f aca="false">IF(AF179&gt;0.01,AF177/AF179,IFERROR(SUMPRODUCT((Q_Idx&gt;LastHist)*PathIT)/SUMPRODUCT((Q_Idx&gt;LastHist)*EnNewIT),CPM_Lease_GB300))</f>
        <v>43.6984790874525</v>
      </c>
      <c r="AG180" s="23" t="n">
        <f aca="false">IF(AG179&gt;0.01,AG177/AG179,IFERROR(SUMPRODUCT((Q_Idx&gt;LastHist)*PathIT)/SUMPRODUCT((Q_Idx&gt;LastHist)*EnNewIT),CPM_Lease_GB300))</f>
        <v>44.75</v>
      </c>
      <c r="AI180" s="23" t="n">
        <f aca="false">SUMIF($F$7:$AG$7,AI$7,$F180:$AG180)</f>
        <v>159.146958174905</v>
      </c>
      <c r="AJ180" s="23" t="n">
        <f aca="false">SUMIF($F$7:$AG$7,AJ$7,$F180:$AG180)</f>
        <v>135.22325620389</v>
      </c>
      <c r="AK180" s="23" t="n">
        <f aca="false">SUMIF($F$7:$AG$7,AK$7,$F180:$AG180)</f>
        <v>160.745830541465</v>
      </c>
      <c r="AL180" s="23" t="n">
        <f aca="false">SUMIF($F$7:$AG$7,AL$7,$F180:$AG180)</f>
        <v>166.635499653361</v>
      </c>
      <c r="AM180" s="23" t="n">
        <f aca="false">SUMIF($F$7:$AG$7,AM$7,$F180:$AG180)</f>
        <v>174.194462755438</v>
      </c>
      <c r="AN180" s="23" t="n">
        <f aca="false">SUMIF($F$7:$AG$7,AN$7,$F180:$AG180)</f>
        <v>176.896958174905</v>
      </c>
      <c r="AO180" s="23" t="n">
        <f aca="false">SUMIF($F$7:$AG$7,AO$7,$F180:$AG180)</f>
        <v>175.845437262357</v>
      </c>
    </row>
    <row r="181" customFormat="false" ht="15" hidden="false" customHeight="false" outlineLevel="0" collapsed="false">
      <c r="A181" s="104" t="s">
        <v>1483</v>
      </c>
      <c r="B181" s="20" t="s">
        <v>519</v>
      </c>
      <c r="C181" s="20" t="s">
        <v>513</v>
      </c>
      <c r="D181" s="20"/>
      <c r="F181" s="114" t="n">
        <f aca="false">IF(F179&gt;0.01,F178/F179,IFERROR(SUMPRODUCT((Q_Idx&gt;LastHist)*PathSP)/SUMPRODUCT((Q_Idx&gt;LastHist)*EnNewIT),0))</f>
        <v>11.25</v>
      </c>
      <c r="G181" s="114" t="n">
        <f aca="false">IF(G179&gt;0.01,G178/G179,IFERROR(SUMPRODUCT((Q_Idx&gt;LastHist)*PathSP)/SUMPRODUCT((Q_Idx&gt;LastHist)*EnNewIT),0))</f>
        <v>8.76045627376426</v>
      </c>
      <c r="H181" s="114" t="n">
        <f aca="false">IF(H179&gt;0.01,H178/H179,IFERROR(SUMPRODUCT((Q_Idx&gt;LastHist)*PathSP)/SUMPRODUCT((Q_Idx&gt;LastHist)*EnNewIT),0))</f>
        <v>8.76045627376426</v>
      </c>
      <c r="I181" s="114" t="n">
        <f aca="false">IF(I179&gt;0.01,I178/I179,IFERROR(SUMPRODUCT((Q_Idx&gt;LastHist)*PathSP)/SUMPRODUCT((Q_Idx&gt;LastHist)*EnNewIT),0))</f>
        <v>0</v>
      </c>
      <c r="J181" s="114" t="n">
        <f aca="false">IF(J179&gt;0.01,J178/J179,IFERROR(SUMPRODUCT((Q_Idx&gt;LastHist)*PathSP)/SUMPRODUCT((Q_Idx&gt;LastHist)*EnNewIT),0))</f>
        <v>0</v>
      </c>
      <c r="K181" s="114" t="n">
        <f aca="false">IF(K179&gt;0.01,K178/K179,IFERROR(SUMPRODUCT((Q_Idx&gt;LastHist)*PathSP)/SUMPRODUCT((Q_Idx&gt;LastHist)*EnNewIT),0))</f>
        <v>0</v>
      </c>
      <c r="L181" s="114" t="n">
        <f aca="false">IF(L179&gt;0.01,L178/L179,IFERROR(SUMPRODUCT((Q_Idx&gt;LastHist)*PathSP)/SUMPRODUCT((Q_Idx&gt;LastHist)*EnNewIT),0))</f>
        <v>8.03571428571429</v>
      </c>
      <c r="M181" s="114" t="n">
        <f aca="false">IF(M179&gt;0.01,M178/M179,IFERROR(SUMPRODUCT((Q_Idx&gt;LastHist)*PathSP)/SUMPRODUCT((Q_Idx&gt;LastHist)*EnNewIT),0))</f>
        <v>3.30105633802817</v>
      </c>
      <c r="N181" s="114" t="n">
        <f aca="false">IF(N179&gt;0.01,N178/N179,IFERROR(SUMPRODUCT((Q_Idx&gt;LastHist)*PathSP)/SUMPRODUCT((Q_Idx&gt;LastHist)*EnNewIT),0))</f>
        <v>5.90861344537815</v>
      </c>
      <c r="O181" s="114" t="n">
        <f aca="false">IF(O179&gt;0.01,O178/O179,IFERROR(SUMPRODUCT((Q_Idx&gt;LastHist)*PathSP)/SUMPRODUCT((Q_Idx&gt;LastHist)*EnNewIT),0))</f>
        <v>0</v>
      </c>
      <c r="P181" s="23" t="n">
        <f aca="false">IF(P179&gt;0.01,P178/P179,IFERROR(SUMPRODUCT((Q_Idx&gt;LastHist)*PathSP)/SUMPRODUCT((Q_Idx&gt;LastHist)*EnNewIT),0))</f>
        <v>0</v>
      </c>
      <c r="Q181" s="23" t="n">
        <f aca="false">IF(Q179&gt;0.01,Q178/Q179,IFERROR(SUMPRODUCT((Q_Idx&gt;LastHist)*PathSP)/SUMPRODUCT((Q_Idx&gt;LastHist)*EnNewIT),0))</f>
        <v>0</v>
      </c>
      <c r="R181" s="23" t="n">
        <f aca="false">IF(R179&gt;0.01,R178/R179,IFERROR(SUMPRODUCT((Q_Idx&gt;LastHist)*PathSP)/SUMPRODUCT((Q_Idx&gt;LastHist)*EnNewIT),0))</f>
        <v>0.907258064516129</v>
      </c>
      <c r="S181" s="23" t="n">
        <f aca="false">IF(S179&gt;0.01,S178/S179,IFERROR(SUMPRODUCT((Q_Idx&gt;LastHist)*PathSP)/SUMPRODUCT((Q_Idx&gt;LastHist)*EnNewIT),0))</f>
        <v>2.0979020979021</v>
      </c>
      <c r="T181" s="23" t="n">
        <f aca="false">IF(T179&gt;0.01,T178/T179,IFERROR(SUMPRODUCT((Q_Idx&gt;LastHist)*PathSP)/SUMPRODUCT((Q_Idx&gt;LastHist)*EnNewIT),0))</f>
        <v>5.97202295552367</v>
      </c>
      <c r="U181" s="23" t="n">
        <f aca="false">IF(U179&gt;0.01,U178/U179,IFERROR(SUMPRODUCT((Q_Idx&gt;LastHist)*PathSP)/SUMPRODUCT((Q_Idx&gt;LastHist)*EnNewIT),0))</f>
        <v>6.77966101694915</v>
      </c>
      <c r="V181" s="23" t="n">
        <f aca="false">IF(V179&gt;0.01,V178/V179,IFERROR(SUMPRODUCT((Q_Idx&gt;LastHist)*PathSP)/SUMPRODUCT((Q_Idx&gt;LastHist)*EnNewIT),0))</f>
        <v>9.72972972972973</v>
      </c>
      <c r="W181" s="23" t="n">
        <f aca="false">IF(W179&gt;0.01,W178/W179,IFERROR(SUMPRODUCT((Q_Idx&gt;LastHist)*PathSP)/SUMPRODUCT((Q_Idx&gt;LastHist)*EnNewIT),0))</f>
        <v>11.25</v>
      </c>
      <c r="X181" s="23" t="n">
        <f aca="false">IF(X179&gt;0.01,X178/X179,IFERROR(SUMPRODUCT((Q_Idx&gt;LastHist)*PathSP)/SUMPRODUCT((Q_Idx&gt;LastHist)*EnNewIT),0))</f>
        <v>0</v>
      </c>
      <c r="Y181" s="23" t="n">
        <f aca="false">IF(Y179&gt;0.01,Y178/Y179,IFERROR(SUMPRODUCT((Q_Idx&gt;LastHist)*PathSP)/SUMPRODUCT((Q_Idx&gt;LastHist)*EnNewIT),0))</f>
        <v>9.60365853658537</v>
      </c>
      <c r="Z181" s="23" t="n">
        <f aca="false">IF(Z179&gt;0.01,Z178/Z179,IFERROR(SUMPRODUCT((Q_Idx&gt;LastHist)*PathSP)/SUMPRODUCT((Q_Idx&gt;LastHist)*EnNewIT),0))</f>
        <v>8.76045627376426</v>
      </c>
      <c r="AA181" s="23" t="n">
        <f aca="false">IF(AA179&gt;0.01,AA178/AA179,IFERROR(SUMPRODUCT((Q_Idx&gt;LastHist)*PathSP)/SUMPRODUCT((Q_Idx&gt;LastHist)*EnNewIT),0))</f>
        <v>11.25</v>
      </c>
      <c r="AB181" s="23" t="n">
        <f aca="false">IF(AB179&gt;0.01,AB178/AB179,IFERROR(SUMPRODUCT((Q_Idx&gt;LastHist)*PathSP)/SUMPRODUCT((Q_Idx&gt;LastHist)*EnNewIT),0))</f>
        <v>8.76045627376426</v>
      </c>
      <c r="AC181" s="23" t="n">
        <f aca="false">IF(AC179&gt;0.01,AC178/AC179,IFERROR(SUMPRODUCT((Q_Idx&gt;LastHist)*PathSP)/SUMPRODUCT((Q_Idx&gt;LastHist)*EnNewIT),0))</f>
        <v>11.25</v>
      </c>
      <c r="AD181" s="23" t="n">
        <f aca="false">IF(AD179&gt;0.01,AD178/AD179,IFERROR(SUMPRODUCT((Q_Idx&gt;LastHist)*PathSP)/SUMPRODUCT((Q_Idx&gt;LastHist)*EnNewIT),0))</f>
        <v>8.76045627376426</v>
      </c>
      <c r="AE181" s="23" t="n">
        <f aca="false">IF(AE179&gt;0.01,AE178/AE179,IFERROR(SUMPRODUCT((Q_Idx&gt;LastHist)*PathSP)/SUMPRODUCT((Q_Idx&gt;LastHist)*EnNewIT),0))</f>
        <v>8.76045627376426</v>
      </c>
      <c r="AF181" s="23" t="n">
        <f aca="false">IF(AF179&gt;0.01,AF178/AF179,IFERROR(SUMPRODUCT((Q_Idx&gt;LastHist)*PathSP)/SUMPRODUCT((Q_Idx&gt;LastHist)*EnNewIT),0))</f>
        <v>8.76045627376426</v>
      </c>
      <c r="AG181" s="23" t="n">
        <f aca="false">IF(AG179&gt;0.01,AG178/AG179,IFERROR(SUMPRODUCT((Q_Idx&gt;LastHist)*PathSP)/SUMPRODUCT((Q_Idx&gt;LastHist)*EnNewIT),0))</f>
        <v>11.25</v>
      </c>
      <c r="AI181" s="23" t="n">
        <f aca="false">SUMIF($F$7:$AG$7,AI$7,$F181:$AG181)</f>
        <v>28.7709125475285</v>
      </c>
      <c r="AJ181" s="23" t="n">
        <f aca="false">SUMIF($F$7:$AG$7,AJ$7,$F181:$AG181)</f>
        <v>11.3367706237425</v>
      </c>
      <c r="AK181" s="23" t="n">
        <f aca="false">SUMIF($F$7:$AG$7,AK$7,$F181:$AG181)</f>
        <v>5.90861344537815</v>
      </c>
      <c r="AL181" s="23" t="n">
        <f aca="false">SUMIF($F$7:$AG$7,AL$7,$F181:$AG181)</f>
        <v>15.7568441348911</v>
      </c>
      <c r="AM181" s="23" t="n">
        <f aca="false">SUMIF($F$7:$AG$7,AM$7,$F181:$AG181)</f>
        <v>30.5833882663151</v>
      </c>
      <c r="AN181" s="23" t="n">
        <f aca="false">SUMIF($F$7:$AG$7,AN$7,$F181:$AG181)</f>
        <v>40.0209125475285</v>
      </c>
      <c r="AO181" s="23" t="n">
        <f aca="false">SUMIF($F$7:$AG$7,AO$7,$F181:$AG181)</f>
        <v>37.5313688212928</v>
      </c>
    </row>
    <row r="182" customFormat="false" ht="15" hidden="false" customHeight="false" outlineLevel="0" collapsed="false">
      <c r="A182" s="104" t="s">
        <v>1484</v>
      </c>
      <c r="B182" s="20" t="s">
        <v>575</v>
      </c>
      <c r="C182" s="20" t="s">
        <v>513</v>
      </c>
      <c r="D182" s="20" t="s">
        <v>1485</v>
      </c>
      <c r="F182" s="113" t="n">
        <f aca="false">F147*$F$12</f>
        <v>0</v>
      </c>
      <c r="G182" s="113" t="n">
        <f aca="false">G147*$F$12</f>
        <v>0</v>
      </c>
      <c r="H182" s="113" t="n">
        <f aca="false">H147*$F$12</f>
        <v>0</v>
      </c>
      <c r="I182" s="113" t="n">
        <f aca="false">I147*$F$12</f>
        <v>0</v>
      </c>
      <c r="J182" s="113" t="n">
        <f aca="false">J147*$F$12</f>
        <v>0</v>
      </c>
      <c r="K182" s="113" t="n">
        <f aca="false">K147*$F$12</f>
        <v>0</v>
      </c>
      <c r="L182" s="113" t="n">
        <f aca="false">L147*$F$12</f>
        <v>0</v>
      </c>
      <c r="M182" s="113" t="n">
        <f aca="false">M147*$F$12</f>
        <v>26.2</v>
      </c>
      <c r="N182" s="113" t="n">
        <f aca="false">N147*$F$12</f>
        <v>37.5</v>
      </c>
      <c r="O182" s="113" t="n">
        <f aca="false">O147*$F$12</f>
        <v>39</v>
      </c>
      <c r="P182" s="31" t="n">
        <f aca="false">P147*$F$12</f>
        <v>66</v>
      </c>
      <c r="Q182" s="31" t="n">
        <f aca="false">Q147*$F$12</f>
        <v>81.8</v>
      </c>
      <c r="R182" s="31" t="n">
        <f aca="false">R147*$F$12</f>
        <v>118.5</v>
      </c>
      <c r="S182" s="31" t="n">
        <f aca="false">S147*$F$12</f>
        <v>168.5</v>
      </c>
      <c r="T182" s="31" t="n">
        <f aca="false">T147*$F$12</f>
        <v>205</v>
      </c>
      <c r="U182" s="31" t="n">
        <f aca="false">U147*$F$12</f>
        <v>240</v>
      </c>
      <c r="V182" s="31" t="n">
        <f aca="false">V147*$F$12</f>
        <v>240</v>
      </c>
      <c r="W182" s="31" t="n">
        <f aca="false">W147*$F$12</f>
        <v>240</v>
      </c>
      <c r="X182" s="31" t="n">
        <f aca="false">X147*$F$12</f>
        <v>240</v>
      </c>
      <c r="Y182" s="31" t="n">
        <f aca="false">Y147*$F$12</f>
        <v>240</v>
      </c>
      <c r="Z182" s="31" t="n">
        <f aca="false">Z147*$F$12</f>
        <v>240</v>
      </c>
      <c r="AA182" s="31" t="n">
        <f aca="false">AA147*$F$12</f>
        <v>240</v>
      </c>
      <c r="AB182" s="31" t="n">
        <f aca="false">AB147*$F$12</f>
        <v>240</v>
      </c>
      <c r="AC182" s="31" t="n">
        <f aca="false">AC147*$F$12</f>
        <v>240</v>
      </c>
      <c r="AD182" s="31" t="n">
        <f aca="false">AD147*$F$12</f>
        <v>240</v>
      </c>
      <c r="AE182" s="31" t="n">
        <f aca="false">AE147*$F$12</f>
        <v>240</v>
      </c>
      <c r="AF182" s="31" t="n">
        <f aca="false">AF147*$F$12</f>
        <v>240</v>
      </c>
      <c r="AG182" s="31" t="n">
        <f aca="false">AG147*$F$12</f>
        <v>240</v>
      </c>
      <c r="AI182" s="31" t="n">
        <f aca="false">INDEX($F182:$AG182,1,MATCH(AI$7,$F$7:$AG$7,1))</f>
        <v>0</v>
      </c>
      <c r="AJ182" s="31" t="n">
        <f aca="false">INDEX($F182:$AG182,1,MATCH(AJ$7,$F$7:$AG$7,1))</f>
        <v>26.2</v>
      </c>
      <c r="AK182" s="31" t="n">
        <f aca="false">INDEX($F182:$AG182,1,MATCH(AK$7,$F$7:$AG$7,1))</f>
        <v>81.8</v>
      </c>
      <c r="AL182" s="31" t="n">
        <f aca="false">INDEX($F182:$AG182,1,MATCH(AL$7,$F$7:$AG$7,1))</f>
        <v>240</v>
      </c>
      <c r="AM182" s="31" t="n">
        <f aca="false">INDEX($F182:$AG182,1,MATCH(AM$7,$F$7:$AG$7,1))</f>
        <v>240</v>
      </c>
      <c r="AN182" s="31" t="n">
        <f aca="false">INDEX($F182:$AG182,1,MATCH(AN$7,$F$7:$AG$7,1))</f>
        <v>240</v>
      </c>
      <c r="AO182" s="31" t="n">
        <f aca="false">INDEX($F182:$AG182,1,MATCH(AO$7,$F$7:$AG$7,1))</f>
        <v>240</v>
      </c>
    </row>
    <row r="183" customFormat="false" ht="15" hidden="false" customHeight="false" outlineLevel="0" collapsed="false">
      <c r="A183" s="3" t="s">
        <v>1486</v>
      </c>
      <c r="E183" s="5" t="n">
        <f aca="false">MAX(0,IF(MWSel=2,INDEX(MW_En,1,MIN(28,29-EnLag))*MW_Haircut,INDEX(MW_Act,1,28)+INDEX(MW_New,1,28))-INDEX(MW_Act,1,28))</f>
        <v>460</v>
      </c>
    </row>
    <row r="185" customFormat="false" ht="15" hidden="false" customHeight="false" outlineLevel="0" collapsed="false">
      <c r="A185" s="53" t="s">
        <v>1487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  <c r="AA185" s="54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</row>
    <row r="186" customFormat="false" ht="15" hidden="false" customHeight="false" outlineLevel="0" collapsed="false">
      <c r="A186" s="104" t="s">
        <v>1336</v>
      </c>
      <c r="B186" s="20" t="s">
        <v>575</v>
      </c>
      <c r="C186" s="20" t="s">
        <v>894</v>
      </c>
      <c r="D186" s="20"/>
      <c r="AI186" s="106" t="n">
        <f aca="false">INDEX($F186:$AG186,1,MATCH(AI$7,$F$7:$AG$7,1))</f>
        <v>0</v>
      </c>
      <c r="AJ186" s="106" t="n">
        <f aca="false">INDEX($F186:$AG186,1,MATCH(AJ$7,$F$7:$AG$7,1))</f>
        <v>0</v>
      </c>
      <c r="AK186" s="106" t="n">
        <f aca="false">INDEX($F186:$AG186,1,MATCH(AK$7,$F$7:$AG$7,1))</f>
        <v>0</v>
      </c>
      <c r="AL186" s="106" t="n">
        <f aca="false">INDEX($F186:$AG186,1,MATCH(AL$7,$F$7:$AG$7,1))</f>
        <v>0</v>
      </c>
      <c r="AM186" s="106" t="n">
        <f aca="false">INDEX($F186:$AG186,1,MATCH(AM$7,$F$7:$AG$7,1))</f>
        <v>0</v>
      </c>
      <c r="AN186" s="106" t="n">
        <f aca="false">INDEX($F186:$AG186,1,MATCH(AN$7,$F$7:$AG$7,1))</f>
        <v>0</v>
      </c>
      <c r="AO186" s="106" t="n">
        <f aca="false">INDEX($F186:$AG186,1,MATCH(AO$7,$F$7:$AG$7,1))</f>
        <v>0</v>
      </c>
    </row>
    <row r="187" customFormat="false" ht="15" hidden="false" customHeight="false" outlineLevel="0" collapsed="false">
      <c r="A187" s="104" t="s">
        <v>1343</v>
      </c>
      <c r="B187" s="20" t="s">
        <v>575</v>
      </c>
      <c r="C187" s="20" t="s">
        <v>894</v>
      </c>
      <c r="D187" s="20"/>
      <c r="AI187" s="106" t="n">
        <f aca="false">INDEX($F187:$AG187,1,MATCH(AI$7,$F$7:$AG$7,1))</f>
        <v>0</v>
      </c>
      <c r="AJ187" s="106" t="n">
        <f aca="false">INDEX($F187:$AG187,1,MATCH(AJ$7,$F$7:$AG$7,1))</f>
        <v>0</v>
      </c>
      <c r="AK187" s="106" t="n">
        <f aca="false">INDEX($F187:$AG187,1,MATCH(AK$7,$F$7:$AG$7,1))</f>
        <v>0</v>
      </c>
      <c r="AL187" s="106" t="n">
        <f aca="false">INDEX($F187:$AG187,1,MATCH(AL$7,$F$7:$AG$7,1))</f>
        <v>0</v>
      </c>
      <c r="AM187" s="106" t="n">
        <f aca="false">INDEX($F187:$AG187,1,MATCH(AM$7,$F$7:$AG$7,1))</f>
        <v>0</v>
      </c>
      <c r="AN187" s="106" t="n">
        <f aca="false">INDEX($F187:$AG187,1,MATCH(AN$7,$F$7:$AG$7,1))</f>
        <v>0</v>
      </c>
      <c r="AO187" s="106" t="n">
        <f aca="false">INDEX($F187:$AG187,1,MATCH(AO$7,$F$7:$AG$7,1))</f>
        <v>0</v>
      </c>
    </row>
    <row r="188" customFormat="false" ht="15" hidden="false" customHeight="false" outlineLevel="0" collapsed="false">
      <c r="A188" s="104" t="s">
        <v>1349</v>
      </c>
      <c r="B188" s="20" t="s">
        <v>575</v>
      </c>
      <c r="C188" s="20" t="s">
        <v>894</v>
      </c>
      <c r="D188" s="20"/>
      <c r="AI188" s="106" t="n">
        <f aca="false">INDEX($F188:$AG188,1,MATCH(AI$7,$F$7:$AG$7,1))</f>
        <v>0</v>
      </c>
      <c r="AJ188" s="106" t="n">
        <f aca="false">INDEX($F188:$AG188,1,MATCH(AJ$7,$F$7:$AG$7,1))</f>
        <v>0</v>
      </c>
      <c r="AK188" s="106" t="n">
        <f aca="false">INDEX($F188:$AG188,1,MATCH(AK$7,$F$7:$AG$7,1))</f>
        <v>0</v>
      </c>
      <c r="AL188" s="106" t="n">
        <f aca="false">INDEX($F188:$AG188,1,MATCH(AL$7,$F$7:$AG$7,1))</f>
        <v>0</v>
      </c>
      <c r="AM188" s="106" t="n">
        <f aca="false">INDEX($F188:$AG188,1,MATCH(AM$7,$F$7:$AG$7,1))</f>
        <v>0</v>
      </c>
      <c r="AN188" s="106" t="n">
        <f aca="false">INDEX($F188:$AG188,1,MATCH(AN$7,$F$7:$AG$7,1))</f>
        <v>0</v>
      </c>
      <c r="AO188" s="106" t="n">
        <f aca="false">INDEX($F188:$AG188,1,MATCH(AO$7,$F$7:$AG$7,1))</f>
        <v>0</v>
      </c>
    </row>
    <row r="189" customFormat="false" ht="15" hidden="false" customHeight="false" outlineLevel="0" collapsed="false">
      <c r="A189" s="104" t="s">
        <v>1350</v>
      </c>
      <c r="B189" s="20" t="s">
        <v>575</v>
      </c>
      <c r="C189" s="20" t="s">
        <v>894</v>
      </c>
      <c r="D189" s="20"/>
      <c r="AI189" s="106" t="n">
        <f aca="false">INDEX($F189:$AG189,1,MATCH(AI$7,$F$7:$AG$7,1))</f>
        <v>0</v>
      </c>
      <c r="AJ189" s="106" t="n">
        <f aca="false">INDEX($F189:$AG189,1,MATCH(AJ$7,$F$7:$AG$7,1))</f>
        <v>0</v>
      </c>
      <c r="AK189" s="106" t="n">
        <f aca="false">INDEX($F189:$AG189,1,MATCH(AK$7,$F$7:$AG$7,1))</f>
        <v>0</v>
      </c>
      <c r="AL189" s="106" t="n">
        <f aca="false">INDEX($F189:$AG189,1,MATCH(AL$7,$F$7:$AG$7,1))</f>
        <v>0</v>
      </c>
      <c r="AM189" s="106" t="n">
        <f aca="false">INDEX($F189:$AG189,1,MATCH(AM$7,$F$7:$AG$7,1))</f>
        <v>0</v>
      </c>
      <c r="AN189" s="106" t="n">
        <f aca="false">INDEX($F189:$AG189,1,MATCH(AN$7,$F$7:$AG$7,1))</f>
        <v>0</v>
      </c>
      <c r="AO189" s="106" t="n">
        <f aca="false">INDEX($F189:$AG189,1,MATCH(AO$7,$F$7:$AG$7,1))</f>
        <v>0</v>
      </c>
    </row>
    <row r="190" customFormat="false" ht="15" hidden="false" customHeight="false" outlineLevel="0" collapsed="false">
      <c r="A190" s="104" t="s">
        <v>1352</v>
      </c>
      <c r="B190" s="20" t="s">
        <v>575</v>
      </c>
      <c r="C190" s="20" t="s">
        <v>894</v>
      </c>
      <c r="D190" s="20"/>
      <c r="AI190" s="106" t="n">
        <f aca="false">INDEX($F190:$AG190,1,MATCH(AI$7,$F$7:$AG$7,1))</f>
        <v>0</v>
      </c>
      <c r="AJ190" s="106" t="n">
        <f aca="false">INDEX($F190:$AG190,1,MATCH(AJ$7,$F$7:$AG$7,1))</f>
        <v>0</v>
      </c>
      <c r="AK190" s="106" t="n">
        <f aca="false">INDEX($F190:$AG190,1,MATCH(AK$7,$F$7:$AG$7,1))</f>
        <v>0</v>
      </c>
      <c r="AL190" s="106" t="n">
        <f aca="false">INDEX($F190:$AG190,1,MATCH(AL$7,$F$7:$AG$7,1))</f>
        <v>0</v>
      </c>
      <c r="AM190" s="106" t="n">
        <f aca="false">INDEX($F190:$AG190,1,MATCH(AM$7,$F$7:$AG$7,1))</f>
        <v>0</v>
      </c>
      <c r="AN190" s="106" t="n">
        <f aca="false">INDEX($F190:$AG190,1,MATCH(AN$7,$F$7:$AG$7,1))</f>
        <v>0</v>
      </c>
      <c r="AO190" s="106" t="n">
        <f aca="false">INDEX($F190:$AG190,1,MATCH(AO$7,$F$7:$AG$7,1))</f>
        <v>0</v>
      </c>
    </row>
    <row r="191" customFormat="false" ht="15" hidden="false" customHeight="false" outlineLevel="0" collapsed="false">
      <c r="A191" s="104" t="s">
        <v>1355</v>
      </c>
      <c r="B191" s="20" t="s">
        <v>575</v>
      </c>
      <c r="C191" s="20" t="s">
        <v>894</v>
      </c>
      <c r="D191" s="20"/>
      <c r="AI191" s="106" t="n">
        <f aca="false">INDEX($F191:$AG191,1,MATCH(AI$7,$F$7:$AG$7,1))</f>
        <v>0</v>
      </c>
      <c r="AJ191" s="106" t="n">
        <f aca="false">INDEX($F191:$AG191,1,MATCH(AJ$7,$F$7:$AG$7,1))</f>
        <v>0</v>
      </c>
      <c r="AK191" s="106" t="n">
        <f aca="false">INDEX($F191:$AG191,1,MATCH(AK$7,$F$7:$AG$7,1))</f>
        <v>0</v>
      </c>
      <c r="AL191" s="106" t="n">
        <f aca="false">INDEX($F191:$AG191,1,MATCH(AL$7,$F$7:$AG$7,1))</f>
        <v>0</v>
      </c>
      <c r="AM191" s="106" t="n">
        <f aca="false">INDEX($F191:$AG191,1,MATCH(AM$7,$F$7:$AG$7,1))</f>
        <v>0</v>
      </c>
      <c r="AN191" s="106" t="n">
        <f aca="false">INDEX($F191:$AG191,1,MATCH(AN$7,$F$7:$AG$7,1))</f>
        <v>0</v>
      </c>
      <c r="AO191" s="106" t="n">
        <f aca="false">INDEX($F191:$AG191,1,MATCH(AO$7,$F$7:$AG$7,1))</f>
        <v>0</v>
      </c>
    </row>
    <row r="192" customFormat="false" ht="15" hidden="false" customHeight="false" outlineLevel="0" collapsed="false">
      <c r="A192" s="104" t="s">
        <v>1356</v>
      </c>
      <c r="B192" s="20" t="s">
        <v>575</v>
      </c>
      <c r="C192" s="20" t="s">
        <v>894</v>
      </c>
      <c r="D192" s="20"/>
      <c r="AI192" s="106" t="n">
        <f aca="false">INDEX($F192:$AG192,1,MATCH(AI$7,$F$7:$AG$7,1))</f>
        <v>0</v>
      </c>
      <c r="AJ192" s="106" t="n">
        <f aca="false">INDEX($F192:$AG192,1,MATCH(AJ$7,$F$7:$AG$7,1))</f>
        <v>0</v>
      </c>
      <c r="AK192" s="106" t="n">
        <f aca="false">INDEX($F192:$AG192,1,MATCH(AK$7,$F$7:$AG$7,1))</f>
        <v>0</v>
      </c>
      <c r="AL192" s="106" t="n">
        <f aca="false">INDEX($F192:$AG192,1,MATCH(AL$7,$F$7:$AG$7,1))</f>
        <v>0</v>
      </c>
      <c r="AM192" s="106" t="n">
        <f aca="false">INDEX($F192:$AG192,1,MATCH(AM$7,$F$7:$AG$7,1))</f>
        <v>0</v>
      </c>
      <c r="AN192" s="106" t="n">
        <f aca="false">INDEX($F192:$AG192,1,MATCH(AN$7,$F$7:$AG$7,1))</f>
        <v>0</v>
      </c>
      <c r="AO192" s="106" t="n">
        <f aca="false">INDEX($F192:$AG192,1,MATCH(AO$7,$F$7:$AG$7,1))</f>
        <v>0</v>
      </c>
    </row>
    <row r="193" customFormat="false" ht="15" hidden="false" customHeight="false" outlineLevel="0" collapsed="false">
      <c r="A193" s="104" t="s">
        <v>1357</v>
      </c>
      <c r="B193" s="20" t="s">
        <v>575</v>
      </c>
      <c r="C193" s="20" t="s">
        <v>894</v>
      </c>
      <c r="D193" s="20"/>
      <c r="AI193" s="106" t="n">
        <f aca="false">INDEX($F193:$AG193,1,MATCH(AI$7,$F$7:$AG$7,1))</f>
        <v>0</v>
      </c>
      <c r="AJ193" s="106" t="n">
        <f aca="false">INDEX($F193:$AG193,1,MATCH(AJ$7,$F$7:$AG$7,1))</f>
        <v>0</v>
      </c>
      <c r="AK193" s="106" t="n">
        <f aca="false">INDEX($F193:$AG193,1,MATCH(AK$7,$F$7:$AG$7,1))</f>
        <v>0</v>
      </c>
      <c r="AL193" s="106" t="n">
        <f aca="false">INDEX($F193:$AG193,1,MATCH(AL$7,$F$7:$AG$7,1))</f>
        <v>0</v>
      </c>
      <c r="AM193" s="106" t="n">
        <f aca="false">INDEX($F193:$AG193,1,MATCH(AM$7,$F$7:$AG$7,1))</f>
        <v>0</v>
      </c>
      <c r="AN193" s="106" t="n">
        <f aca="false">INDEX($F193:$AG193,1,MATCH(AN$7,$F$7:$AG$7,1))</f>
        <v>0</v>
      </c>
      <c r="AO193" s="106" t="n">
        <f aca="false">INDEX($F193:$AG193,1,MATCH(AO$7,$F$7:$AG$7,1))</f>
        <v>0</v>
      </c>
    </row>
    <row r="194" customFormat="false" ht="15" hidden="false" customHeight="false" outlineLevel="0" collapsed="false">
      <c r="A194" s="104" t="s">
        <v>1358</v>
      </c>
      <c r="B194" s="20" t="s">
        <v>575</v>
      </c>
      <c r="C194" s="20" t="s">
        <v>894</v>
      </c>
      <c r="D194" s="20"/>
      <c r="AI194" s="106" t="n">
        <f aca="false">INDEX($F194:$AG194,1,MATCH(AI$7,$F$7:$AG$7,1))</f>
        <v>0</v>
      </c>
      <c r="AJ194" s="106" t="n">
        <f aca="false">INDEX($F194:$AG194,1,MATCH(AJ$7,$F$7:$AG$7,1))</f>
        <v>0</v>
      </c>
      <c r="AK194" s="106" t="n">
        <f aca="false">INDEX($F194:$AG194,1,MATCH(AK$7,$F$7:$AG$7,1))</f>
        <v>0</v>
      </c>
      <c r="AL194" s="106" t="n">
        <f aca="false">INDEX($F194:$AG194,1,MATCH(AL$7,$F$7:$AG$7,1))</f>
        <v>0</v>
      </c>
      <c r="AM194" s="106" t="n">
        <f aca="false">INDEX($F194:$AG194,1,MATCH(AM$7,$F$7:$AG$7,1))</f>
        <v>0</v>
      </c>
      <c r="AN194" s="106" t="n">
        <f aca="false">INDEX($F194:$AG194,1,MATCH(AN$7,$F$7:$AG$7,1))</f>
        <v>0</v>
      </c>
      <c r="AO194" s="106" t="n">
        <f aca="false">INDEX($F194:$AG194,1,MATCH(AO$7,$F$7:$AG$7,1))</f>
        <v>0</v>
      </c>
    </row>
    <row r="195" customFormat="false" ht="15" hidden="false" customHeight="false" outlineLevel="0" collapsed="false">
      <c r="A195" s="104" t="s">
        <v>1360</v>
      </c>
      <c r="B195" s="20" t="s">
        <v>575</v>
      </c>
      <c r="C195" s="20" t="s">
        <v>894</v>
      </c>
      <c r="D195" s="20"/>
      <c r="AI195" s="106" t="n">
        <f aca="false">INDEX($F195:$AG195,1,MATCH(AI$7,$F$7:$AG$7,1))</f>
        <v>0</v>
      </c>
      <c r="AJ195" s="106" t="n">
        <f aca="false">INDEX($F195:$AG195,1,MATCH(AJ$7,$F$7:$AG$7,1))</f>
        <v>0</v>
      </c>
      <c r="AK195" s="106" t="n">
        <f aca="false">INDEX($F195:$AG195,1,MATCH(AK$7,$F$7:$AG$7,1))</f>
        <v>0</v>
      </c>
      <c r="AL195" s="106" t="n">
        <f aca="false">INDEX($F195:$AG195,1,MATCH(AL$7,$F$7:$AG$7,1))</f>
        <v>0</v>
      </c>
      <c r="AM195" s="106" t="n">
        <f aca="false">INDEX($F195:$AG195,1,MATCH(AM$7,$F$7:$AG$7,1))</f>
        <v>0</v>
      </c>
      <c r="AN195" s="106" t="n">
        <f aca="false">INDEX($F195:$AG195,1,MATCH(AN$7,$F$7:$AG$7,1))</f>
        <v>0</v>
      </c>
      <c r="AO195" s="106" t="n">
        <f aca="false">INDEX($F195:$AG195,1,MATCH(AO$7,$F$7:$AG$7,1))</f>
        <v>0</v>
      </c>
    </row>
    <row r="196" customFormat="false" ht="15" hidden="false" customHeight="false" outlineLevel="0" collapsed="false">
      <c r="A196" s="104" t="s">
        <v>1362</v>
      </c>
      <c r="B196" s="20" t="s">
        <v>575</v>
      </c>
      <c r="C196" s="20" t="s">
        <v>894</v>
      </c>
      <c r="D196" s="20"/>
      <c r="AI196" s="106" t="n">
        <f aca="false">INDEX($F196:$AG196,1,MATCH(AI$7,$F$7:$AG$7,1))</f>
        <v>0</v>
      </c>
      <c r="AJ196" s="106" t="n">
        <f aca="false">INDEX($F196:$AG196,1,MATCH(AJ$7,$F$7:$AG$7,1))</f>
        <v>0</v>
      </c>
      <c r="AK196" s="106" t="n">
        <f aca="false">INDEX($F196:$AG196,1,MATCH(AK$7,$F$7:$AG$7,1))</f>
        <v>0</v>
      </c>
      <c r="AL196" s="106" t="n">
        <f aca="false">INDEX($F196:$AG196,1,MATCH(AL$7,$F$7:$AG$7,1))</f>
        <v>0</v>
      </c>
      <c r="AM196" s="106" t="n">
        <f aca="false">INDEX($F196:$AG196,1,MATCH(AM$7,$F$7:$AG$7,1))</f>
        <v>0</v>
      </c>
      <c r="AN196" s="106" t="n">
        <f aca="false">INDEX($F196:$AG196,1,MATCH(AN$7,$F$7:$AG$7,1))</f>
        <v>0</v>
      </c>
      <c r="AO196" s="106" t="n">
        <f aca="false">INDEX($F196:$AG196,1,MATCH(AO$7,$F$7:$AG$7,1))</f>
        <v>0</v>
      </c>
    </row>
    <row r="197" customFormat="false" ht="15" hidden="false" customHeight="false" outlineLevel="0" collapsed="false">
      <c r="A197" s="104" t="s">
        <v>1363</v>
      </c>
      <c r="B197" s="20" t="s">
        <v>575</v>
      </c>
      <c r="C197" s="20" t="s">
        <v>894</v>
      </c>
      <c r="D197" s="20"/>
      <c r="AI197" s="106" t="n">
        <f aca="false">INDEX($F197:$AG197,1,MATCH(AI$7,$F$7:$AG$7,1))</f>
        <v>0</v>
      </c>
      <c r="AJ197" s="106" t="n">
        <f aca="false">INDEX($F197:$AG197,1,MATCH(AJ$7,$F$7:$AG$7,1))</f>
        <v>0</v>
      </c>
      <c r="AK197" s="106" t="n">
        <f aca="false">INDEX($F197:$AG197,1,MATCH(AK$7,$F$7:$AG$7,1))</f>
        <v>0</v>
      </c>
      <c r="AL197" s="106" t="n">
        <f aca="false">INDEX($F197:$AG197,1,MATCH(AL$7,$F$7:$AG$7,1))</f>
        <v>0</v>
      </c>
      <c r="AM197" s="106" t="n">
        <f aca="false">INDEX($F197:$AG197,1,MATCH(AM$7,$F$7:$AG$7,1))</f>
        <v>0</v>
      </c>
      <c r="AN197" s="106" t="n">
        <f aca="false">INDEX($F197:$AG197,1,MATCH(AN$7,$F$7:$AG$7,1))</f>
        <v>0</v>
      </c>
      <c r="AO197" s="106" t="n">
        <f aca="false">INDEX($F197:$AG197,1,MATCH(AO$7,$F$7:$AG$7,1))</f>
        <v>0</v>
      </c>
    </row>
    <row r="198" customFormat="false" ht="15" hidden="false" customHeight="false" outlineLevel="0" collapsed="false">
      <c r="A198" s="104" t="s">
        <v>1365</v>
      </c>
      <c r="B198" s="20" t="s">
        <v>575</v>
      </c>
      <c r="C198" s="20" t="s">
        <v>894</v>
      </c>
      <c r="D198" s="20"/>
      <c r="AI198" s="106" t="n">
        <f aca="false">INDEX($F198:$AG198,1,MATCH(AI$7,$F$7:$AG$7,1))</f>
        <v>0</v>
      </c>
      <c r="AJ198" s="106" t="n">
        <f aca="false">INDEX($F198:$AG198,1,MATCH(AJ$7,$F$7:$AG$7,1))</f>
        <v>0</v>
      </c>
      <c r="AK198" s="106" t="n">
        <f aca="false">INDEX($F198:$AG198,1,MATCH(AK$7,$F$7:$AG$7,1))</f>
        <v>0</v>
      </c>
      <c r="AL198" s="106" t="n">
        <f aca="false">INDEX($F198:$AG198,1,MATCH(AL$7,$F$7:$AG$7,1))</f>
        <v>0</v>
      </c>
      <c r="AM198" s="106" t="n">
        <f aca="false">INDEX($F198:$AG198,1,MATCH(AM$7,$F$7:$AG$7,1))</f>
        <v>0</v>
      </c>
      <c r="AN198" s="106" t="n">
        <f aca="false">INDEX($F198:$AG198,1,MATCH(AN$7,$F$7:$AG$7,1))</f>
        <v>0</v>
      </c>
      <c r="AO198" s="106" t="n">
        <f aca="false">INDEX($F198:$AG198,1,MATCH(AO$7,$F$7:$AG$7,1))</f>
        <v>0</v>
      </c>
    </row>
    <row r="199" customFormat="false" ht="15" hidden="false" customHeight="false" outlineLevel="0" collapsed="false">
      <c r="A199" s="104" t="s">
        <v>1366</v>
      </c>
      <c r="B199" s="20" t="s">
        <v>575</v>
      </c>
      <c r="C199" s="20" t="s">
        <v>894</v>
      </c>
      <c r="D199" s="20"/>
      <c r="AI199" s="106" t="n">
        <f aca="false">INDEX($F199:$AG199,1,MATCH(AI$7,$F$7:$AG$7,1))</f>
        <v>0</v>
      </c>
      <c r="AJ199" s="106" t="n">
        <f aca="false">INDEX($F199:$AG199,1,MATCH(AJ$7,$F$7:$AG$7,1))</f>
        <v>0</v>
      </c>
      <c r="AK199" s="106" t="n">
        <f aca="false">INDEX($F199:$AG199,1,MATCH(AK$7,$F$7:$AG$7,1))</f>
        <v>0</v>
      </c>
      <c r="AL199" s="106" t="n">
        <f aca="false">INDEX($F199:$AG199,1,MATCH(AL$7,$F$7:$AG$7,1))</f>
        <v>0</v>
      </c>
      <c r="AM199" s="106" t="n">
        <f aca="false">INDEX($F199:$AG199,1,MATCH(AM$7,$F$7:$AG$7,1))</f>
        <v>0</v>
      </c>
      <c r="AN199" s="106" t="n">
        <f aca="false">INDEX($F199:$AG199,1,MATCH(AN$7,$F$7:$AG$7,1))</f>
        <v>0</v>
      </c>
      <c r="AO199" s="106" t="n">
        <f aca="false">INDEX($F199:$AG199,1,MATCH(AO$7,$F$7:$AG$7,1))</f>
        <v>0</v>
      </c>
    </row>
    <row r="200" customFormat="false" ht="15" hidden="false" customHeight="false" outlineLevel="0" collapsed="false">
      <c r="A200" s="104" t="s">
        <v>1368</v>
      </c>
      <c r="B200" s="20" t="s">
        <v>575</v>
      </c>
      <c r="C200" s="20" t="s">
        <v>894</v>
      </c>
      <c r="D200" s="20"/>
      <c r="AI200" s="106" t="n">
        <f aca="false">INDEX($F200:$AG200,1,MATCH(AI$7,$F$7:$AG$7,1))</f>
        <v>0</v>
      </c>
      <c r="AJ200" s="106" t="n">
        <f aca="false">INDEX($F200:$AG200,1,MATCH(AJ$7,$F$7:$AG$7,1))</f>
        <v>0</v>
      </c>
      <c r="AK200" s="106" t="n">
        <f aca="false">INDEX($F200:$AG200,1,MATCH(AK$7,$F$7:$AG$7,1))</f>
        <v>0</v>
      </c>
      <c r="AL200" s="106" t="n">
        <f aca="false">INDEX($F200:$AG200,1,MATCH(AL$7,$F$7:$AG$7,1))</f>
        <v>0</v>
      </c>
      <c r="AM200" s="106" t="n">
        <f aca="false">INDEX($F200:$AG200,1,MATCH(AM$7,$F$7:$AG$7,1))</f>
        <v>0</v>
      </c>
      <c r="AN200" s="106" t="n">
        <f aca="false">INDEX($F200:$AG200,1,MATCH(AN$7,$F$7:$AG$7,1))</f>
        <v>0</v>
      </c>
      <c r="AO200" s="106" t="n">
        <f aca="false">INDEX($F200:$AG200,1,MATCH(AO$7,$F$7:$AG$7,1))</f>
        <v>0</v>
      </c>
    </row>
    <row r="201" customFormat="false" ht="15" hidden="false" customHeight="false" outlineLevel="0" collapsed="false">
      <c r="A201" s="104" t="s">
        <v>1370</v>
      </c>
      <c r="B201" s="20" t="s">
        <v>575</v>
      </c>
      <c r="C201" s="20" t="s">
        <v>894</v>
      </c>
      <c r="D201" s="20"/>
      <c r="AI201" s="106" t="n">
        <f aca="false">INDEX($F201:$AG201,1,MATCH(AI$7,$F$7:$AG$7,1))</f>
        <v>0</v>
      </c>
      <c r="AJ201" s="106" t="n">
        <f aca="false">INDEX($F201:$AG201,1,MATCH(AJ$7,$F$7:$AG$7,1))</f>
        <v>0</v>
      </c>
      <c r="AK201" s="106" t="n">
        <f aca="false">INDEX($F201:$AG201,1,MATCH(AK$7,$F$7:$AG$7,1))</f>
        <v>0</v>
      </c>
      <c r="AL201" s="106" t="n">
        <f aca="false">INDEX($F201:$AG201,1,MATCH(AL$7,$F$7:$AG$7,1))</f>
        <v>0</v>
      </c>
      <c r="AM201" s="106" t="n">
        <f aca="false">INDEX($F201:$AG201,1,MATCH(AM$7,$F$7:$AG$7,1))</f>
        <v>0</v>
      </c>
      <c r="AN201" s="106" t="n">
        <f aca="false">INDEX($F201:$AG201,1,MATCH(AN$7,$F$7:$AG$7,1))</f>
        <v>0</v>
      </c>
      <c r="AO201" s="106" t="n">
        <f aca="false">INDEX($F201:$AG201,1,MATCH(AO$7,$F$7:$AG$7,1))</f>
        <v>0</v>
      </c>
    </row>
    <row r="202" customFormat="false" ht="15" hidden="false" customHeight="false" outlineLevel="0" collapsed="false">
      <c r="A202" s="104" t="s">
        <v>1371</v>
      </c>
      <c r="B202" s="20" t="s">
        <v>575</v>
      </c>
      <c r="C202" s="20" t="s">
        <v>894</v>
      </c>
      <c r="D202" s="20"/>
      <c r="AI202" s="106" t="n">
        <f aca="false">INDEX($F202:$AG202,1,MATCH(AI$7,$F$7:$AG$7,1))</f>
        <v>0</v>
      </c>
      <c r="AJ202" s="106" t="n">
        <f aca="false">INDEX($F202:$AG202,1,MATCH(AJ$7,$F$7:$AG$7,1))</f>
        <v>0</v>
      </c>
      <c r="AK202" s="106" t="n">
        <f aca="false">INDEX($F202:$AG202,1,MATCH(AK$7,$F$7:$AG$7,1))</f>
        <v>0</v>
      </c>
      <c r="AL202" s="106" t="n">
        <f aca="false">INDEX($F202:$AG202,1,MATCH(AL$7,$F$7:$AG$7,1))</f>
        <v>0</v>
      </c>
      <c r="AM202" s="106" t="n">
        <f aca="false">INDEX($F202:$AG202,1,MATCH(AM$7,$F$7:$AG$7,1))</f>
        <v>0</v>
      </c>
      <c r="AN202" s="106" t="n">
        <f aca="false">INDEX($F202:$AG202,1,MATCH(AN$7,$F$7:$AG$7,1))</f>
        <v>0</v>
      </c>
      <c r="AO202" s="106" t="n">
        <f aca="false">INDEX($F202:$AG202,1,MATCH(AO$7,$F$7:$AG$7,1))</f>
        <v>0</v>
      </c>
    </row>
    <row r="203" customFormat="false" ht="15" hidden="false" customHeight="false" outlineLevel="0" collapsed="false">
      <c r="A203" s="104" t="s">
        <v>1372</v>
      </c>
      <c r="B203" s="20" t="s">
        <v>575</v>
      </c>
      <c r="C203" s="20" t="s">
        <v>894</v>
      </c>
      <c r="D203" s="20"/>
      <c r="AI203" s="106" t="n">
        <f aca="false">INDEX($F203:$AG203,1,MATCH(AI$7,$F$7:$AG$7,1))</f>
        <v>0</v>
      </c>
      <c r="AJ203" s="106" t="n">
        <f aca="false">INDEX($F203:$AG203,1,MATCH(AJ$7,$F$7:$AG$7,1))</f>
        <v>0</v>
      </c>
      <c r="AK203" s="106" t="n">
        <f aca="false">INDEX($F203:$AG203,1,MATCH(AK$7,$F$7:$AG$7,1))</f>
        <v>0</v>
      </c>
      <c r="AL203" s="106" t="n">
        <f aca="false">INDEX($F203:$AG203,1,MATCH(AL$7,$F$7:$AG$7,1))</f>
        <v>0</v>
      </c>
      <c r="AM203" s="106" t="n">
        <f aca="false">INDEX($F203:$AG203,1,MATCH(AM$7,$F$7:$AG$7,1))</f>
        <v>0</v>
      </c>
      <c r="AN203" s="106" t="n">
        <f aca="false">INDEX($F203:$AG203,1,MATCH(AN$7,$F$7:$AG$7,1))</f>
        <v>0</v>
      </c>
      <c r="AO203" s="106" t="n">
        <f aca="false">INDEX($F203:$AG203,1,MATCH(AO$7,$F$7:$AG$7,1))</f>
        <v>0</v>
      </c>
    </row>
    <row r="204" customFormat="false" ht="15" hidden="false" customHeight="false" outlineLevel="0" collapsed="false">
      <c r="A204" s="104" t="s">
        <v>1373</v>
      </c>
      <c r="B204" s="20" t="s">
        <v>575</v>
      </c>
      <c r="C204" s="20" t="s">
        <v>894</v>
      </c>
      <c r="D204" s="20"/>
      <c r="AI204" s="106" t="n">
        <f aca="false">INDEX($F204:$AG204,1,MATCH(AI$7,$F$7:$AG$7,1))</f>
        <v>0</v>
      </c>
      <c r="AJ204" s="106" t="n">
        <f aca="false">INDEX($F204:$AG204,1,MATCH(AJ$7,$F$7:$AG$7,1))</f>
        <v>0</v>
      </c>
      <c r="AK204" s="106" t="n">
        <f aca="false">INDEX($F204:$AG204,1,MATCH(AK$7,$F$7:$AG$7,1))</f>
        <v>0</v>
      </c>
      <c r="AL204" s="106" t="n">
        <f aca="false">INDEX($F204:$AG204,1,MATCH(AL$7,$F$7:$AG$7,1))</f>
        <v>0</v>
      </c>
      <c r="AM204" s="106" t="n">
        <f aca="false">INDEX($F204:$AG204,1,MATCH(AM$7,$F$7:$AG$7,1))</f>
        <v>0</v>
      </c>
      <c r="AN204" s="106" t="n">
        <f aca="false">INDEX($F204:$AG204,1,MATCH(AN$7,$F$7:$AG$7,1))</f>
        <v>0</v>
      </c>
      <c r="AO204" s="106" t="n">
        <f aca="false">INDEX($F204:$AG204,1,MATCH(AO$7,$F$7:$AG$7,1))</f>
        <v>0</v>
      </c>
    </row>
    <row r="205" customFormat="false" ht="15" hidden="false" customHeight="false" outlineLevel="0" collapsed="false">
      <c r="A205" s="104" t="s">
        <v>1374</v>
      </c>
      <c r="B205" s="20" t="s">
        <v>575</v>
      </c>
      <c r="C205" s="20" t="s">
        <v>894</v>
      </c>
      <c r="D205" s="20"/>
      <c r="AI205" s="106" t="n">
        <f aca="false">INDEX($F205:$AG205,1,MATCH(AI$7,$F$7:$AG$7,1))</f>
        <v>0</v>
      </c>
      <c r="AJ205" s="106" t="n">
        <f aca="false">INDEX($F205:$AG205,1,MATCH(AJ$7,$F$7:$AG$7,1))</f>
        <v>0</v>
      </c>
      <c r="AK205" s="106" t="n">
        <f aca="false">INDEX($F205:$AG205,1,MATCH(AK$7,$F$7:$AG$7,1))</f>
        <v>0</v>
      </c>
      <c r="AL205" s="106" t="n">
        <f aca="false">INDEX($F205:$AG205,1,MATCH(AL$7,$F$7:$AG$7,1))</f>
        <v>0</v>
      </c>
      <c r="AM205" s="106" t="n">
        <f aca="false">INDEX($F205:$AG205,1,MATCH(AM$7,$F$7:$AG$7,1))</f>
        <v>0</v>
      </c>
      <c r="AN205" s="106" t="n">
        <f aca="false">INDEX($F205:$AG205,1,MATCH(AN$7,$F$7:$AG$7,1))</f>
        <v>0</v>
      </c>
      <c r="AO205" s="106" t="n">
        <f aca="false">INDEX($F205:$AG205,1,MATCH(AO$7,$F$7:$AG$7,1))</f>
        <v>0</v>
      </c>
    </row>
    <row r="206" customFormat="false" ht="15" hidden="false" customHeight="false" outlineLevel="0" collapsed="false">
      <c r="A206" s="104" t="s">
        <v>1376</v>
      </c>
      <c r="B206" s="20" t="s">
        <v>575</v>
      </c>
      <c r="C206" s="20" t="s">
        <v>894</v>
      </c>
      <c r="D206" s="20"/>
      <c r="AI206" s="106" t="n">
        <f aca="false">INDEX($F206:$AG206,1,MATCH(AI$7,$F$7:$AG$7,1))</f>
        <v>0</v>
      </c>
      <c r="AJ206" s="106" t="n">
        <f aca="false">INDEX($F206:$AG206,1,MATCH(AJ$7,$F$7:$AG$7,1))</f>
        <v>0</v>
      </c>
      <c r="AK206" s="106" t="n">
        <f aca="false">INDEX($F206:$AG206,1,MATCH(AK$7,$F$7:$AG$7,1))</f>
        <v>0</v>
      </c>
      <c r="AL206" s="106" t="n">
        <f aca="false">INDEX($F206:$AG206,1,MATCH(AL$7,$F$7:$AG$7,1))</f>
        <v>0</v>
      </c>
      <c r="AM206" s="106" t="n">
        <f aca="false">INDEX($F206:$AG206,1,MATCH(AM$7,$F$7:$AG$7,1))</f>
        <v>0</v>
      </c>
      <c r="AN206" s="106" t="n">
        <f aca="false">INDEX($F206:$AG206,1,MATCH(AN$7,$F$7:$AG$7,1))</f>
        <v>0</v>
      </c>
      <c r="AO206" s="106" t="n">
        <f aca="false">INDEX($F206:$AG206,1,MATCH(AO$7,$F$7:$AG$7,1))</f>
        <v>0</v>
      </c>
    </row>
    <row r="207" customFormat="false" ht="15" hidden="false" customHeight="false" outlineLevel="0" collapsed="false">
      <c r="A207" s="104" t="s">
        <v>1377</v>
      </c>
      <c r="B207" s="20" t="s">
        <v>575</v>
      </c>
      <c r="C207" s="20" t="s">
        <v>894</v>
      </c>
      <c r="D207" s="20"/>
      <c r="AI207" s="106" t="n">
        <f aca="false">INDEX($F207:$AG207,1,MATCH(AI$7,$F$7:$AG$7,1))</f>
        <v>0</v>
      </c>
      <c r="AJ207" s="106" t="n">
        <f aca="false">INDEX($F207:$AG207,1,MATCH(AJ$7,$F$7:$AG$7,1))</f>
        <v>0</v>
      </c>
      <c r="AK207" s="106" t="n">
        <f aca="false">INDEX($F207:$AG207,1,MATCH(AK$7,$F$7:$AG$7,1))</f>
        <v>0</v>
      </c>
      <c r="AL207" s="106" t="n">
        <f aca="false">INDEX($F207:$AG207,1,MATCH(AL$7,$F$7:$AG$7,1))</f>
        <v>0</v>
      </c>
      <c r="AM207" s="106" t="n">
        <f aca="false">INDEX($F207:$AG207,1,MATCH(AM$7,$F$7:$AG$7,1))</f>
        <v>0</v>
      </c>
      <c r="AN207" s="106" t="n">
        <f aca="false">INDEX($F207:$AG207,1,MATCH(AN$7,$F$7:$AG$7,1))</f>
        <v>0</v>
      </c>
      <c r="AO207" s="106" t="n">
        <f aca="false">INDEX($F207:$AG207,1,MATCH(AO$7,$F$7:$AG$7,1))</f>
        <v>0</v>
      </c>
    </row>
    <row r="208" customFormat="false" ht="15" hidden="false" customHeight="false" outlineLevel="0" collapsed="false">
      <c r="A208" s="104" t="s">
        <v>1378</v>
      </c>
      <c r="B208" s="20" t="s">
        <v>575</v>
      </c>
      <c r="C208" s="20" t="s">
        <v>894</v>
      </c>
      <c r="D208" s="20"/>
      <c r="AI208" s="106" t="n">
        <f aca="false">INDEX($F208:$AG208,1,MATCH(AI$7,$F$7:$AG$7,1))</f>
        <v>0</v>
      </c>
      <c r="AJ208" s="106" t="n">
        <f aca="false">INDEX($F208:$AG208,1,MATCH(AJ$7,$F$7:$AG$7,1))</f>
        <v>0</v>
      </c>
      <c r="AK208" s="106" t="n">
        <f aca="false">INDEX($F208:$AG208,1,MATCH(AK$7,$F$7:$AG$7,1))</f>
        <v>0</v>
      </c>
      <c r="AL208" s="106" t="n">
        <f aca="false">INDEX($F208:$AG208,1,MATCH(AL$7,$F$7:$AG$7,1))</f>
        <v>0</v>
      </c>
      <c r="AM208" s="106" t="n">
        <f aca="false">INDEX($F208:$AG208,1,MATCH(AM$7,$F$7:$AG$7,1))</f>
        <v>0</v>
      </c>
      <c r="AN208" s="106" t="n">
        <f aca="false">INDEX($F208:$AG208,1,MATCH(AN$7,$F$7:$AG$7,1))</f>
        <v>0</v>
      </c>
      <c r="AO208" s="106" t="n">
        <f aca="false">INDEX($F208:$AG208,1,MATCH(AO$7,$F$7:$AG$7,1))</f>
        <v>0</v>
      </c>
    </row>
    <row r="209" customFormat="false" ht="15" hidden="false" customHeight="false" outlineLevel="0" collapsed="false">
      <c r="A209" s="104" t="s">
        <v>1379</v>
      </c>
      <c r="B209" s="20" t="s">
        <v>575</v>
      </c>
      <c r="C209" s="20" t="s">
        <v>894</v>
      </c>
      <c r="D209" s="20"/>
      <c r="AI209" s="106" t="n">
        <f aca="false">INDEX($F209:$AG209,1,MATCH(AI$7,$F$7:$AG$7,1))</f>
        <v>0</v>
      </c>
      <c r="AJ209" s="106" t="n">
        <f aca="false">INDEX($F209:$AG209,1,MATCH(AJ$7,$F$7:$AG$7,1))</f>
        <v>0</v>
      </c>
      <c r="AK209" s="106" t="n">
        <f aca="false">INDEX($F209:$AG209,1,MATCH(AK$7,$F$7:$AG$7,1))</f>
        <v>0</v>
      </c>
      <c r="AL209" s="106" t="n">
        <f aca="false">INDEX($F209:$AG209,1,MATCH(AL$7,$F$7:$AG$7,1))</f>
        <v>0</v>
      </c>
      <c r="AM209" s="106" t="n">
        <f aca="false">INDEX($F209:$AG209,1,MATCH(AM$7,$F$7:$AG$7,1))</f>
        <v>0</v>
      </c>
      <c r="AN209" s="106" t="n">
        <f aca="false">INDEX($F209:$AG209,1,MATCH(AN$7,$F$7:$AG$7,1))</f>
        <v>0</v>
      </c>
      <c r="AO209" s="106" t="n">
        <f aca="false">INDEX($F209:$AG209,1,MATCH(AO$7,$F$7:$AG$7,1))</f>
        <v>0</v>
      </c>
    </row>
    <row r="210" customFormat="false" ht="15" hidden="false" customHeight="false" outlineLevel="0" collapsed="false">
      <c r="A210" s="104" t="s">
        <v>1472</v>
      </c>
      <c r="B210" s="20" t="s">
        <v>575</v>
      </c>
      <c r="C210" s="20" t="s">
        <v>894</v>
      </c>
      <c r="D210" s="20" t="s">
        <v>1488</v>
      </c>
      <c r="E210" s="0" t="s">
        <v>1338</v>
      </c>
      <c r="F210" s="105" t="n">
        <v>8.5</v>
      </c>
      <c r="G210" s="105" t="n">
        <v>10.8</v>
      </c>
      <c r="H210" s="105" t="n">
        <v>24</v>
      </c>
      <c r="I210" s="105" t="n">
        <v>26.3</v>
      </c>
      <c r="J210" s="105" t="n">
        <v>38</v>
      </c>
      <c r="K210" s="105" t="n">
        <v>78.5</v>
      </c>
      <c r="L210" s="105" t="n">
        <v>109.1</v>
      </c>
      <c r="M210" s="110" t="n">
        <v>170</v>
      </c>
      <c r="N210" s="105" t="n">
        <v>291.7</v>
      </c>
      <c r="O210" s="105" t="n">
        <v>413.3</v>
      </c>
      <c r="P210" s="105" t="n">
        <v>650</v>
      </c>
      <c r="Q210" s="105" t="n">
        <v>900</v>
      </c>
      <c r="R210" s="105" t="n">
        <v>1125</v>
      </c>
      <c r="S210" s="105" t="n">
        <v>1350</v>
      </c>
      <c r="T210" s="105" t="n">
        <v>1575</v>
      </c>
      <c r="U210" s="105" t="n">
        <v>1800</v>
      </c>
      <c r="V210" s="105" t="n">
        <v>2050</v>
      </c>
      <c r="W210" s="105" t="n">
        <v>2300</v>
      </c>
      <c r="X210" s="105" t="n">
        <v>2550</v>
      </c>
      <c r="Y210" s="105" t="n">
        <v>2800</v>
      </c>
      <c r="Z210" s="105" t="n">
        <v>3050</v>
      </c>
      <c r="AA210" s="105" t="n">
        <v>3300</v>
      </c>
      <c r="AB210" s="105" t="n">
        <v>3550</v>
      </c>
      <c r="AC210" s="105" t="n">
        <v>3800</v>
      </c>
      <c r="AD210" s="105" t="n">
        <v>4050</v>
      </c>
      <c r="AE210" s="105" t="n">
        <v>4300</v>
      </c>
      <c r="AF210" s="105" t="n">
        <v>4550</v>
      </c>
      <c r="AG210" s="105" t="n">
        <v>4800</v>
      </c>
      <c r="AI210" s="106" t="n">
        <f aca="false">INDEX($F210:$AG210,1,MATCH(AI$7,$F$7:$AG$7,1))</f>
        <v>26.3</v>
      </c>
      <c r="AJ210" s="106" t="n">
        <f aca="false">INDEX($F210:$AG210,1,MATCH(AJ$7,$F$7:$AG$7,1))</f>
        <v>170</v>
      </c>
      <c r="AK210" s="106" t="n">
        <f aca="false">INDEX($F210:$AG210,1,MATCH(AK$7,$F$7:$AG$7,1))</f>
        <v>900</v>
      </c>
      <c r="AL210" s="106" t="n">
        <f aca="false">INDEX($F210:$AG210,1,MATCH(AL$7,$F$7:$AG$7,1))</f>
        <v>1800</v>
      </c>
      <c r="AM210" s="106" t="n">
        <f aca="false">INDEX($F210:$AG210,1,MATCH(AM$7,$F$7:$AG$7,1))</f>
        <v>2800</v>
      </c>
      <c r="AN210" s="106" t="n">
        <f aca="false">INDEX($F210:$AG210,1,MATCH(AN$7,$F$7:$AG$7,1))</f>
        <v>3800</v>
      </c>
      <c r="AO210" s="106" t="n">
        <f aca="false">INDEX($F210:$AG210,1,MATCH(AO$7,$F$7:$AG$7,1))</f>
        <v>4800</v>
      </c>
    </row>
    <row r="211" customFormat="false" ht="15" hidden="false" customHeight="false" outlineLevel="0" collapsed="false">
      <c r="A211" s="104" t="s">
        <v>1466</v>
      </c>
      <c r="B211" s="20" t="s">
        <v>575</v>
      </c>
      <c r="C211" s="20" t="s">
        <v>495</v>
      </c>
      <c r="D211" s="20" t="s">
        <v>1467</v>
      </c>
      <c r="F211" s="109" t="n">
        <f aca="false">MAX(0,N(F210)*1-SUMPRODUCT(F186:F209,$F$12:$F$35))</f>
        <v>8.5</v>
      </c>
      <c r="G211" s="109" t="n">
        <f aca="false">MAX(0,N(G210)*1-SUMPRODUCT(G186:G209,$F$12:$F$35))</f>
        <v>10.8</v>
      </c>
      <c r="H211" s="109" t="n">
        <f aca="false">MAX(0,N(H210)*1-SUMPRODUCT(H186:H209,$F$12:$F$35))</f>
        <v>24</v>
      </c>
      <c r="I211" s="109" t="n">
        <f aca="false">MAX(0,N(I210)*1-SUMPRODUCT(I186:I209,$F$12:$F$35))</f>
        <v>26.3</v>
      </c>
      <c r="J211" s="109" t="n">
        <f aca="false">MAX(0,N(J210)*1-SUMPRODUCT(J186:J209,$F$12:$F$35))</f>
        <v>38</v>
      </c>
      <c r="K211" s="109" t="n">
        <f aca="false">MAX(0,N(K210)*1-SUMPRODUCT(K186:K209,$F$12:$F$35))</f>
        <v>78.5</v>
      </c>
      <c r="L211" s="109" t="n">
        <f aca="false">MAX(0,N(L210)*1-SUMPRODUCT(L186:L209,$F$12:$F$35))</f>
        <v>109.1</v>
      </c>
      <c r="M211" s="109" t="n">
        <f aca="false">MAX(0,N(M210)*1-SUMPRODUCT(M186:M209,$F$12:$F$35))</f>
        <v>170</v>
      </c>
      <c r="N211" s="109" t="n">
        <f aca="false">MAX(0,N(N210)*1-SUMPRODUCT(N186:N209,$F$12:$F$35))</f>
        <v>291.7</v>
      </c>
      <c r="O211" s="109" t="n">
        <f aca="false">MAX(0,N(O210)*1-SUMPRODUCT(O186:O209,$F$12:$F$35))</f>
        <v>413.3</v>
      </c>
      <c r="P211" s="106" t="n">
        <f aca="false">MAX(0,N(P210)*1-SUMPRODUCT(P186:P209,$F$12:$F$35))</f>
        <v>650</v>
      </c>
      <c r="Q211" s="106" t="n">
        <f aca="false">MAX(0,N(Q210)*1-SUMPRODUCT(Q186:Q209,$F$12:$F$35))</f>
        <v>900</v>
      </c>
      <c r="R211" s="106" t="n">
        <f aca="false">MAX(0,N(R210)*1-SUMPRODUCT(R186:R209,$F$12:$F$35))</f>
        <v>1125</v>
      </c>
      <c r="S211" s="106" t="n">
        <f aca="false">MAX(0,N(S210)*1-SUMPRODUCT(S186:S209,$F$12:$F$35))</f>
        <v>1350</v>
      </c>
      <c r="T211" s="106" t="n">
        <f aca="false">MAX(0,N(T210)*1-SUMPRODUCT(T186:T209,$F$12:$F$35))</f>
        <v>1575</v>
      </c>
      <c r="U211" s="106" t="n">
        <f aca="false">MAX(0,N(U210)*1-SUMPRODUCT(U186:U209,$F$12:$F$35))</f>
        <v>1800</v>
      </c>
      <c r="V211" s="106" t="n">
        <f aca="false">MAX(0,N(V210)*1-SUMPRODUCT(V186:V209,$F$12:$F$35))</f>
        <v>2050</v>
      </c>
      <c r="W211" s="106" t="n">
        <f aca="false">MAX(0,N(W210)*1-SUMPRODUCT(W186:W209,$F$12:$F$35))</f>
        <v>2300</v>
      </c>
      <c r="X211" s="106" t="n">
        <f aca="false">MAX(0,N(X210)*1-SUMPRODUCT(X186:X209,$F$12:$F$35))</f>
        <v>2550</v>
      </c>
      <c r="Y211" s="106" t="n">
        <f aca="false">MAX(0,N(Y210)*1-SUMPRODUCT(Y186:Y209,$F$12:$F$35))</f>
        <v>2800</v>
      </c>
      <c r="Z211" s="106" t="n">
        <f aca="false">MAX(0,N(Z210)*1-SUMPRODUCT(Z186:Z209,$F$12:$F$35))</f>
        <v>3050</v>
      </c>
      <c r="AA211" s="106" t="n">
        <f aca="false">MAX(0,N(AA210)*1-SUMPRODUCT(AA186:AA209,$F$12:$F$35))</f>
        <v>3300</v>
      </c>
      <c r="AB211" s="106" t="n">
        <f aca="false">MAX(0,N(AB210)*1-SUMPRODUCT(AB186:AB209,$F$12:$F$35))</f>
        <v>3550</v>
      </c>
      <c r="AC211" s="106" t="n">
        <f aca="false">MAX(0,N(AC210)*1-SUMPRODUCT(AC186:AC209,$F$12:$F$35))</f>
        <v>3800</v>
      </c>
      <c r="AD211" s="106" t="n">
        <f aca="false">MAX(0,N(AD210)*1-SUMPRODUCT(AD186:AD209,$F$12:$F$35))</f>
        <v>4050</v>
      </c>
      <c r="AE211" s="106" t="n">
        <f aca="false">MAX(0,N(AE210)*1-SUMPRODUCT(AE186:AE209,$F$12:$F$35))</f>
        <v>4300</v>
      </c>
      <c r="AF211" s="106" t="n">
        <f aca="false">MAX(0,N(AF210)*1-SUMPRODUCT(AF186:AF209,$F$12:$F$35))</f>
        <v>4550</v>
      </c>
      <c r="AG211" s="106" t="n">
        <f aca="false">MAX(0,N(AG210)*1-SUMPRODUCT(AG186:AG209,$F$12:$F$35))</f>
        <v>4800</v>
      </c>
      <c r="AI211" s="106" t="n">
        <f aca="false">INDEX($F211:$AG211,1,MATCH(AI$7,$F$7:$AG$7,1))</f>
        <v>26.3</v>
      </c>
      <c r="AJ211" s="106" t="n">
        <f aca="false">INDEX($F211:$AG211,1,MATCH(AJ$7,$F$7:$AG$7,1))</f>
        <v>170</v>
      </c>
      <c r="AK211" s="106" t="n">
        <f aca="false">INDEX($F211:$AG211,1,MATCH(AK$7,$F$7:$AG$7,1))</f>
        <v>900</v>
      </c>
      <c r="AL211" s="106" t="n">
        <f aca="false">INDEX($F211:$AG211,1,MATCH(AL$7,$F$7:$AG$7,1))</f>
        <v>1800</v>
      </c>
      <c r="AM211" s="106" t="n">
        <f aca="false">INDEX($F211:$AG211,1,MATCH(AM$7,$F$7:$AG$7,1))</f>
        <v>2800</v>
      </c>
      <c r="AN211" s="106" t="n">
        <f aca="false">INDEX($F211:$AG211,1,MATCH(AN$7,$F$7:$AG$7,1))</f>
        <v>3800</v>
      </c>
      <c r="AO211" s="106" t="n">
        <f aca="false">INDEX($F211:$AG211,1,MATCH(AO$7,$F$7:$AG$7,1))</f>
        <v>4800</v>
      </c>
    </row>
    <row r="212" customFormat="false" ht="15" hidden="false" customHeight="false" outlineLevel="0" collapsed="false">
      <c r="A212" s="3" t="s">
        <v>1489</v>
      </c>
      <c r="B212" s="20" t="s">
        <v>575</v>
      </c>
      <c r="C212" s="20" t="s">
        <v>495</v>
      </c>
      <c r="D212" s="20" t="s">
        <v>1469</v>
      </c>
      <c r="F212" s="111" t="n">
        <f aca="false">SUMPRODUCT(F186:F209,$F$12:$F$35)+F211</f>
        <v>8.5</v>
      </c>
      <c r="G212" s="111" t="n">
        <f aca="false">SUMPRODUCT(G186:G209,$F$12:$F$35)+G211</f>
        <v>10.8</v>
      </c>
      <c r="H212" s="111" t="n">
        <f aca="false">SUMPRODUCT(H186:H209,$F$12:$F$35)+H211</f>
        <v>24</v>
      </c>
      <c r="I212" s="111" t="n">
        <f aca="false">SUMPRODUCT(I186:I209,$F$12:$F$35)+I211</f>
        <v>26.3</v>
      </c>
      <c r="J212" s="111" t="n">
        <f aca="false">SUMPRODUCT(J186:J209,$F$12:$F$35)+J211</f>
        <v>38</v>
      </c>
      <c r="K212" s="111" t="n">
        <f aca="false">SUMPRODUCT(K186:K209,$F$12:$F$35)+K211</f>
        <v>78.5</v>
      </c>
      <c r="L212" s="111" t="n">
        <f aca="false">SUMPRODUCT(L186:L209,$F$12:$F$35)+L211</f>
        <v>109.1</v>
      </c>
      <c r="M212" s="111" t="n">
        <f aca="false">SUMPRODUCT(M186:M209,$F$12:$F$35)+M211</f>
        <v>170</v>
      </c>
      <c r="N212" s="111" t="n">
        <f aca="false">SUMPRODUCT(N186:N209,$F$12:$F$35)+N211</f>
        <v>291.7</v>
      </c>
      <c r="O212" s="111" t="n">
        <f aca="false">SUMPRODUCT(O186:O209,$F$12:$F$35)+O211</f>
        <v>413.3</v>
      </c>
      <c r="P212" s="112" t="n">
        <f aca="false">SUMPRODUCT(P186:P209,$F$12:$F$35)+P211</f>
        <v>650</v>
      </c>
      <c r="Q212" s="112" t="n">
        <f aca="false">SUMPRODUCT(Q186:Q209,$F$12:$F$35)+Q211</f>
        <v>900</v>
      </c>
      <c r="R212" s="112" t="n">
        <f aca="false">SUMPRODUCT(R186:R209,$F$12:$F$35)+R211</f>
        <v>1125</v>
      </c>
      <c r="S212" s="112" t="n">
        <f aca="false">SUMPRODUCT(S186:S209,$F$12:$F$35)+S211</f>
        <v>1350</v>
      </c>
      <c r="T212" s="112" t="n">
        <f aca="false">SUMPRODUCT(T186:T209,$F$12:$F$35)+T211</f>
        <v>1575</v>
      </c>
      <c r="U212" s="112" t="n">
        <f aca="false">SUMPRODUCT(U186:U209,$F$12:$F$35)+U211</f>
        <v>1800</v>
      </c>
      <c r="V212" s="112" t="n">
        <f aca="false">SUMPRODUCT(V186:V209,$F$12:$F$35)+V211</f>
        <v>2050</v>
      </c>
      <c r="W212" s="112" t="n">
        <f aca="false">SUMPRODUCT(W186:W209,$F$12:$F$35)+W211</f>
        <v>2300</v>
      </c>
      <c r="X212" s="112" t="n">
        <f aca="false">SUMPRODUCT(X186:X209,$F$12:$F$35)+X211</f>
        <v>2550</v>
      </c>
      <c r="Y212" s="112" t="n">
        <f aca="false">SUMPRODUCT(Y186:Y209,$F$12:$F$35)+Y211</f>
        <v>2800</v>
      </c>
      <c r="Z212" s="112" t="n">
        <f aca="false">SUMPRODUCT(Z186:Z209,$F$12:$F$35)+Z211</f>
        <v>3050</v>
      </c>
      <c r="AA212" s="112" t="n">
        <f aca="false">SUMPRODUCT(AA186:AA209,$F$12:$F$35)+AA211</f>
        <v>3300</v>
      </c>
      <c r="AB212" s="112" t="n">
        <f aca="false">SUMPRODUCT(AB186:AB209,$F$12:$F$35)+AB211</f>
        <v>3550</v>
      </c>
      <c r="AC212" s="112" t="n">
        <f aca="false">SUMPRODUCT(AC186:AC209,$F$12:$F$35)+AC211</f>
        <v>3800</v>
      </c>
      <c r="AD212" s="112" t="n">
        <f aca="false">SUMPRODUCT(AD186:AD209,$F$12:$F$35)+AD211</f>
        <v>4050</v>
      </c>
      <c r="AE212" s="112" t="n">
        <f aca="false">SUMPRODUCT(AE186:AE209,$F$12:$F$35)+AE211</f>
        <v>4300</v>
      </c>
      <c r="AF212" s="112" t="n">
        <f aca="false">SUMPRODUCT(AF186:AF209,$F$12:$F$35)+AF211</f>
        <v>4550</v>
      </c>
      <c r="AG212" s="112" t="n">
        <f aca="false">SUMPRODUCT(AG186:AG209,$F$12:$F$35)+AG211</f>
        <v>4800</v>
      </c>
      <c r="AI212" s="112" t="n">
        <f aca="false">INDEX($F212:$AG212,1,MATCH(AI$7,$F$7:$AG$7,1))</f>
        <v>26.3</v>
      </c>
      <c r="AJ212" s="112" t="n">
        <f aca="false">INDEX($F212:$AG212,1,MATCH(AJ$7,$F$7:$AG$7,1))</f>
        <v>170</v>
      </c>
      <c r="AK212" s="112" t="n">
        <f aca="false">INDEX($F212:$AG212,1,MATCH(AK$7,$F$7:$AG$7,1))</f>
        <v>900</v>
      </c>
      <c r="AL212" s="112" t="n">
        <f aca="false">INDEX($F212:$AG212,1,MATCH(AL$7,$F$7:$AG$7,1))</f>
        <v>1800</v>
      </c>
      <c r="AM212" s="112" t="n">
        <f aca="false">INDEX($F212:$AG212,1,MATCH(AM$7,$F$7:$AG$7,1))</f>
        <v>2800</v>
      </c>
      <c r="AN212" s="112" t="n">
        <f aca="false">INDEX($F212:$AG212,1,MATCH(AN$7,$F$7:$AG$7,1))</f>
        <v>3800</v>
      </c>
      <c r="AO212" s="112" t="n">
        <f aca="false">INDEX($F212:$AG212,1,MATCH(AO$7,$F$7:$AG$7,1))</f>
        <v>4800</v>
      </c>
    </row>
    <row r="213" customFormat="false" ht="15" hidden="false" customHeight="false" outlineLevel="0" collapsed="false">
      <c r="A213" s="104" t="s">
        <v>1490</v>
      </c>
      <c r="B213" s="20" t="s">
        <v>575</v>
      </c>
      <c r="C213" s="20" t="s">
        <v>495</v>
      </c>
      <c r="D213" s="20"/>
      <c r="F213" s="109" t="n">
        <f aca="false">SUMPRODUCT(F186:F209,$F$12:$F$35,$G$12:$G$35)+F211*INDEX(OwnedSh,1,F$7-FYBase)</f>
        <v>2.55</v>
      </c>
      <c r="G213" s="109" t="n">
        <f aca="false">SUMPRODUCT(G186:G209,$F$12:$F$35,$G$12:$G$35)+G211*INDEX(OwnedSh,1,G$7-FYBase)</f>
        <v>3.24</v>
      </c>
      <c r="H213" s="109" t="n">
        <f aca="false">SUMPRODUCT(H186:H209,$F$12:$F$35,$G$12:$G$35)+H211*INDEX(OwnedSh,1,H$7-FYBase)</f>
        <v>7.2</v>
      </c>
      <c r="I213" s="109" t="n">
        <f aca="false">SUMPRODUCT(I186:I209,$F$12:$F$35,$G$12:$G$35)+I211*INDEX(OwnedSh,1,I$7-FYBase)</f>
        <v>7.89</v>
      </c>
      <c r="J213" s="109" t="n">
        <f aca="false">SUMPRODUCT(J186:J209,$F$12:$F$35,$G$12:$G$35)+J211*INDEX(OwnedSh,1,J$7-FYBase)</f>
        <v>11.4</v>
      </c>
      <c r="K213" s="109" t="n">
        <f aca="false">SUMPRODUCT(K186:K209,$F$12:$F$35,$G$12:$G$35)+K211*INDEX(OwnedSh,1,K$7-FYBase)</f>
        <v>23.55</v>
      </c>
      <c r="L213" s="109" t="n">
        <f aca="false">SUMPRODUCT(L186:L209,$F$12:$F$35,$G$12:$G$35)+L211*INDEX(OwnedSh,1,L$7-FYBase)</f>
        <v>32.73</v>
      </c>
      <c r="M213" s="109" t="n">
        <f aca="false">SUMPRODUCT(M186:M209,$F$12:$F$35,$G$12:$G$35)+M211*INDEX(OwnedSh,1,M$7-FYBase)</f>
        <v>51</v>
      </c>
      <c r="N213" s="109" t="n">
        <f aca="false">SUMPRODUCT(N186:N209,$F$12:$F$35,$G$12:$G$35)+N211*INDEX(OwnedSh,1,N$7-FYBase)</f>
        <v>87.51</v>
      </c>
      <c r="O213" s="109" t="n">
        <f aca="false">SUMPRODUCT(O186:O209,$F$12:$F$35,$G$12:$G$35)+O211*INDEX(OwnedSh,1,O$7-FYBase)</f>
        <v>123.99</v>
      </c>
      <c r="P213" s="106" t="n">
        <f aca="false">SUMPRODUCT(P186:P209,$F$12:$F$35,$G$12:$G$35)+P211*INDEX(OwnedSh,1,P$7-FYBase)</f>
        <v>195</v>
      </c>
      <c r="Q213" s="106" t="n">
        <f aca="false">SUMPRODUCT(Q186:Q209,$F$12:$F$35,$G$12:$G$35)+Q211*INDEX(OwnedSh,1,Q$7-FYBase)</f>
        <v>270</v>
      </c>
      <c r="R213" s="106" t="n">
        <f aca="false">SUMPRODUCT(R186:R209,$F$12:$F$35,$G$12:$G$35)+R211*INDEX(OwnedSh,1,R$7-FYBase)</f>
        <v>562.5</v>
      </c>
      <c r="S213" s="106" t="n">
        <f aca="false">SUMPRODUCT(S186:S209,$F$12:$F$35,$G$12:$G$35)+S211*INDEX(OwnedSh,1,S$7-FYBase)</f>
        <v>675</v>
      </c>
      <c r="T213" s="106" t="n">
        <f aca="false">SUMPRODUCT(T186:T209,$F$12:$F$35,$G$12:$G$35)+T211*INDEX(OwnedSh,1,T$7-FYBase)</f>
        <v>787.5</v>
      </c>
      <c r="U213" s="106" t="n">
        <f aca="false">SUMPRODUCT(U186:U209,$F$12:$F$35,$G$12:$G$35)+U211*INDEX(OwnedSh,1,U$7-FYBase)</f>
        <v>900</v>
      </c>
      <c r="V213" s="106" t="n">
        <f aca="false">SUMPRODUCT(V186:V209,$F$12:$F$35,$G$12:$G$35)+V211*INDEX(OwnedSh,1,V$7-FYBase)</f>
        <v>1332.5</v>
      </c>
      <c r="W213" s="106" t="n">
        <f aca="false">SUMPRODUCT(W186:W209,$F$12:$F$35,$G$12:$G$35)+W211*INDEX(OwnedSh,1,W$7-FYBase)</f>
        <v>1495</v>
      </c>
      <c r="X213" s="106" t="n">
        <f aca="false">SUMPRODUCT(X186:X209,$F$12:$F$35,$G$12:$G$35)+X211*INDEX(OwnedSh,1,X$7-FYBase)</f>
        <v>1657.5</v>
      </c>
      <c r="Y213" s="106" t="n">
        <f aca="false">SUMPRODUCT(Y186:Y209,$F$12:$F$35,$G$12:$G$35)+Y211*INDEX(OwnedSh,1,Y$7-FYBase)</f>
        <v>1820</v>
      </c>
      <c r="Z213" s="106" t="n">
        <f aca="false">SUMPRODUCT(Z186:Z209,$F$12:$F$35,$G$12:$G$35)+Z211*INDEX(OwnedSh,1,Z$7-FYBase)</f>
        <v>2135</v>
      </c>
      <c r="AA213" s="106" t="n">
        <f aca="false">SUMPRODUCT(AA186:AA209,$F$12:$F$35,$G$12:$G$35)+AA211*INDEX(OwnedSh,1,AA$7-FYBase)</f>
        <v>2310</v>
      </c>
      <c r="AB213" s="106" t="n">
        <f aca="false">SUMPRODUCT(AB186:AB209,$F$12:$F$35,$G$12:$G$35)+AB211*INDEX(OwnedSh,1,AB$7-FYBase)</f>
        <v>2485</v>
      </c>
      <c r="AC213" s="106" t="n">
        <f aca="false">SUMPRODUCT(AC186:AC209,$F$12:$F$35,$G$12:$G$35)+AC211*INDEX(OwnedSh,1,AC$7-FYBase)</f>
        <v>2660</v>
      </c>
      <c r="AD213" s="106" t="n">
        <f aca="false">SUMPRODUCT(AD186:AD209,$F$12:$F$35,$G$12:$G$35)+AD211*INDEX(OwnedSh,1,AD$7-FYBase)</f>
        <v>3037.5</v>
      </c>
      <c r="AE213" s="106" t="n">
        <f aca="false">SUMPRODUCT(AE186:AE209,$F$12:$F$35,$G$12:$G$35)+AE211*INDEX(OwnedSh,1,AE$7-FYBase)</f>
        <v>3225</v>
      </c>
      <c r="AF213" s="106" t="n">
        <f aca="false">SUMPRODUCT(AF186:AF209,$F$12:$F$35,$G$12:$G$35)+AF211*INDEX(OwnedSh,1,AF$7-FYBase)</f>
        <v>3412.5</v>
      </c>
      <c r="AG213" s="106" t="n">
        <f aca="false">SUMPRODUCT(AG186:AG209,$F$12:$F$35,$G$12:$G$35)+AG211*INDEX(OwnedSh,1,AG$7-FYBase)</f>
        <v>3600</v>
      </c>
      <c r="AI213" s="106" t="n">
        <f aca="false">INDEX($F213:$AG213,1,MATCH(AI$7,$F$7:$AG$7,1))</f>
        <v>7.89</v>
      </c>
      <c r="AJ213" s="106" t="n">
        <f aca="false">INDEX($F213:$AG213,1,MATCH(AJ$7,$F$7:$AG$7,1))</f>
        <v>51</v>
      </c>
      <c r="AK213" s="106" t="n">
        <f aca="false">INDEX($F213:$AG213,1,MATCH(AK$7,$F$7:$AG$7,1))</f>
        <v>270</v>
      </c>
      <c r="AL213" s="106" t="n">
        <f aca="false">INDEX($F213:$AG213,1,MATCH(AL$7,$F$7:$AG$7,1))</f>
        <v>900</v>
      </c>
      <c r="AM213" s="106" t="n">
        <f aca="false">INDEX($F213:$AG213,1,MATCH(AM$7,$F$7:$AG$7,1))</f>
        <v>1820</v>
      </c>
      <c r="AN213" s="106" t="n">
        <f aca="false">INDEX($F213:$AG213,1,MATCH(AN$7,$F$7:$AG$7,1))</f>
        <v>2660</v>
      </c>
      <c r="AO213" s="106" t="n">
        <f aca="false">INDEX($F213:$AG213,1,MATCH(AO$7,$F$7:$AG$7,1))</f>
        <v>3600</v>
      </c>
    </row>
    <row r="215" customFormat="false" ht="15" hidden="false" customHeight="false" outlineLevel="0" collapsed="false">
      <c r="A215" s="53" t="s">
        <v>1491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  <c r="AA215" s="54"/>
      <c r="AB215" s="54"/>
      <c r="AC215" s="54"/>
      <c r="AD215" s="54"/>
      <c r="AE215" s="54"/>
      <c r="AF215" s="54"/>
      <c r="AG215" s="54"/>
      <c r="AH215" s="54"/>
      <c r="AI215" s="54"/>
      <c r="AJ215" s="54"/>
      <c r="AK215" s="54"/>
      <c r="AL215" s="54"/>
      <c r="AM215" s="54"/>
      <c r="AN215" s="54"/>
      <c r="AO215" s="54"/>
    </row>
    <row r="216" customFormat="false" ht="15" hidden="false" customHeight="false" outlineLevel="0" collapsed="false">
      <c r="A216" s="104" t="s">
        <v>1492</v>
      </c>
      <c r="B216" s="20" t="s">
        <v>674</v>
      </c>
      <c r="C216" s="20" t="s">
        <v>513</v>
      </c>
      <c r="D216" s="20" t="s">
        <v>1493</v>
      </c>
      <c r="F216" s="63" t="n">
        <v>13713</v>
      </c>
      <c r="G216" s="63" t="n">
        <v>13713</v>
      </c>
      <c r="H216" s="63" t="n">
        <v>13713</v>
      </c>
      <c r="I216" s="63" t="n">
        <v>16456</v>
      </c>
      <c r="J216" s="63" t="n">
        <v>21941</v>
      </c>
      <c r="K216" s="63" t="n">
        <v>24684</v>
      </c>
      <c r="L216" s="63" t="n">
        <v>24684</v>
      </c>
      <c r="M216" s="63" t="n">
        <v>24684</v>
      </c>
      <c r="N216" s="63" t="n">
        <v>24684</v>
      </c>
      <c r="O216" s="63" t="n">
        <v>24684</v>
      </c>
      <c r="P216" s="63" t="n">
        <v>24684</v>
      </c>
      <c r="Q216" s="63" t="n">
        <v>24684</v>
      </c>
      <c r="R216" s="63" t="n">
        <v>24684</v>
      </c>
      <c r="S216" s="63" t="n">
        <v>24684</v>
      </c>
      <c r="T216" s="63" t="n">
        <v>24684</v>
      </c>
      <c r="U216" s="63" t="n">
        <v>24684</v>
      </c>
      <c r="V216" s="63" t="n">
        <v>24684</v>
      </c>
      <c r="W216" s="63" t="n">
        <v>24684</v>
      </c>
      <c r="X216" s="63" t="n">
        <v>24684</v>
      </c>
      <c r="Y216" s="63" t="n">
        <v>24684</v>
      </c>
      <c r="Z216" s="63" t="n">
        <v>24684</v>
      </c>
      <c r="AA216" s="63" t="n">
        <v>24684</v>
      </c>
      <c r="AB216" s="63" t="n">
        <v>24684</v>
      </c>
      <c r="AC216" s="63" t="n">
        <v>24684</v>
      </c>
      <c r="AD216" s="63" t="n">
        <v>24684</v>
      </c>
      <c r="AE216" s="63" t="n">
        <v>24684</v>
      </c>
      <c r="AF216" s="63" t="n">
        <v>24684</v>
      </c>
      <c r="AG216" s="63" t="n">
        <v>24684</v>
      </c>
      <c r="AI216" s="29" t="n">
        <f aca="false">INDEX($F216:$AG216,1,MATCH(AI$7,$F$7:$AG$7,1))</f>
        <v>16456</v>
      </c>
      <c r="AJ216" s="29" t="n">
        <f aca="false">INDEX($F216:$AG216,1,MATCH(AJ$7,$F$7:$AG$7,1))</f>
        <v>24684</v>
      </c>
      <c r="AK216" s="29" t="n">
        <f aca="false">INDEX($F216:$AG216,1,MATCH(AK$7,$F$7:$AG$7,1))</f>
        <v>24684</v>
      </c>
      <c r="AL216" s="29" t="n">
        <f aca="false">INDEX($F216:$AG216,1,MATCH(AL$7,$F$7:$AG$7,1))</f>
        <v>24684</v>
      </c>
      <c r="AM216" s="29" t="n">
        <f aca="false">INDEX($F216:$AG216,1,MATCH(AM$7,$F$7:$AG$7,1))</f>
        <v>24684</v>
      </c>
      <c r="AN216" s="29" t="n">
        <f aca="false">INDEX($F216:$AG216,1,MATCH(AN$7,$F$7:$AG$7,1))</f>
        <v>24684</v>
      </c>
      <c r="AO216" s="29" t="n">
        <f aca="false">INDEX($F216:$AG216,1,MATCH(AO$7,$F$7:$AG$7,1))</f>
        <v>24684</v>
      </c>
    </row>
    <row r="217" customFormat="false" ht="15" hidden="false" customHeight="false" outlineLevel="0" collapsed="false">
      <c r="A217" s="104" t="s">
        <v>1494</v>
      </c>
      <c r="B217" s="20" t="s">
        <v>674</v>
      </c>
      <c r="C217" s="20" t="s">
        <v>513</v>
      </c>
      <c r="D217" s="20" t="s">
        <v>1493</v>
      </c>
      <c r="F217" s="63" t="n">
        <v>0</v>
      </c>
      <c r="G217" s="63" t="n">
        <v>0</v>
      </c>
      <c r="H217" s="63" t="n">
        <v>0</v>
      </c>
      <c r="I217" s="63" t="n">
        <v>0</v>
      </c>
      <c r="J217" s="63" t="n">
        <v>0</v>
      </c>
      <c r="K217" s="63" t="n">
        <v>0</v>
      </c>
      <c r="L217" s="63" t="n">
        <v>7072</v>
      </c>
      <c r="M217" s="63" t="n">
        <v>44327</v>
      </c>
      <c r="N217" s="63" t="n">
        <v>54995</v>
      </c>
      <c r="O217" s="63" t="n">
        <v>55732</v>
      </c>
      <c r="P217" s="63" t="n">
        <v>71888</v>
      </c>
      <c r="Q217" s="63" t="n">
        <v>112655</v>
      </c>
      <c r="R217" s="63" t="n">
        <v>167529</v>
      </c>
      <c r="S217" s="63" t="n">
        <v>219513</v>
      </c>
      <c r="T217" s="63" t="n">
        <v>244725</v>
      </c>
      <c r="U217" s="63" t="n">
        <v>290387</v>
      </c>
      <c r="V217" s="63" t="n">
        <v>290387</v>
      </c>
      <c r="W217" s="63" t="n">
        <v>290387</v>
      </c>
      <c r="X217" s="63" t="n">
        <v>290387</v>
      </c>
      <c r="Y217" s="63" t="n">
        <v>314945</v>
      </c>
      <c r="Z217" s="63" t="n">
        <v>314945</v>
      </c>
      <c r="AA217" s="63" t="n">
        <v>314945</v>
      </c>
      <c r="AB217" s="63" t="n">
        <v>314945</v>
      </c>
      <c r="AC217" s="63" t="n">
        <v>314945</v>
      </c>
      <c r="AD217" s="63" t="n">
        <v>314945</v>
      </c>
      <c r="AE217" s="63" t="n">
        <v>314945</v>
      </c>
      <c r="AF217" s="63" t="n">
        <v>314945</v>
      </c>
      <c r="AG217" s="63" t="n">
        <v>314945</v>
      </c>
      <c r="AI217" s="29" t="n">
        <f aca="false">INDEX($F217:$AG217,1,MATCH(AI$7,$F$7:$AG$7,1))</f>
        <v>0</v>
      </c>
      <c r="AJ217" s="29" t="n">
        <f aca="false">INDEX($F217:$AG217,1,MATCH(AJ$7,$F$7:$AG$7,1))</f>
        <v>44327</v>
      </c>
      <c r="AK217" s="29" t="n">
        <f aca="false">INDEX($F217:$AG217,1,MATCH(AK$7,$F$7:$AG$7,1))</f>
        <v>112655</v>
      </c>
      <c r="AL217" s="29" t="n">
        <f aca="false">INDEX($F217:$AG217,1,MATCH(AL$7,$F$7:$AG$7,1))</f>
        <v>290387</v>
      </c>
      <c r="AM217" s="29" t="n">
        <f aca="false">INDEX($F217:$AG217,1,MATCH(AM$7,$F$7:$AG$7,1))</f>
        <v>314945</v>
      </c>
      <c r="AN217" s="29" t="n">
        <f aca="false">INDEX($F217:$AG217,1,MATCH(AN$7,$F$7:$AG$7,1))</f>
        <v>314945</v>
      </c>
      <c r="AO217" s="29" t="n">
        <f aca="false">INDEX($F217:$AG217,1,MATCH(AO$7,$F$7:$AG$7,1))</f>
        <v>314945</v>
      </c>
    </row>
    <row r="218" customFormat="false" ht="15" hidden="false" customHeight="false" outlineLevel="0" collapsed="false">
      <c r="A218" s="104" t="s">
        <v>1495</v>
      </c>
      <c r="B218" s="20" t="s">
        <v>674</v>
      </c>
      <c r="C218" s="20" t="s">
        <v>513</v>
      </c>
      <c r="D218" s="20" t="s">
        <v>1493</v>
      </c>
      <c r="F218" s="63" t="n">
        <v>0</v>
      </c>
      <c r="G218" s="63" t="n">
        <v>0</v>
      </c>
      <c r="H218" s="63" t="n">
        <v>0</v>
      </c>
      <c r="I218" s="63" t="n">
        <v>0</v>
      </c>
      <c r="J218" s="63" t="n">
        <v>0</v>
      </c>
      <c r="K218" s="63" t="n">
        <v>0</v>
      </c>
      <c r="L218" s="63" t="n">
        <v>0</v>
      </c>
      <c r="M218" s="63" t="n">
        <v>0</v>
      </c>
      <c r="N218" s="63" t="n">
        <v>0</v>
      </c>
      <c r="O218" s="63" t="n">
        <v>0</v>
      </c>
      <c r="P218" s="63" t="n">
        <v>0</v>
      </c>
      <c r="Q218" s="63" t="n">
        <v>0</v>
      </c>
      <c r="R218" s="63" t="n">
        <v>3338</v>
      </c>
      <c r="S218" s="63" t="n">
        <v>11348</v>
      </c>
      <c r="T218" s="63" t="n">
        <v>40045</v>
      </c>
      <c r="U218" s="63" t="n">
        <v>97446</v>
      </c>
      <c r="V218" s="63" t="n">
        <v>128146</v>
      </c>
      <c r="W218" s="63" t="n">
        <v>180210</v>
      </c>
      <c r="X218" s="63" t="n">
        <v>184210</v>
      </c>
      <c r="Y218" s="63" t="n">
        <v>277660</v>
      </c>
      <c r="Z218" s="63" t="n">
        <v>277660</v>
      </c>
      <c r="AA218" s="63" t="n">
        <v>389800</v>
      </c>
      <c r="AB218" s="63" t="n">
        <v>389800</v>
      </c>
      <c r="AC218" s="63" t="n">
        <v>545995</v>
      </c>
      <c r="AD218" s="63" t="n">
        <v>545995</v>
      </c>
      <c r="AE218" s="63" t="n">
        <v>545995</v>
      </c>
      <c r="AF218" s="63" t="n">
        <v>545995</v>
      </c>
      <c r="AG218" s="63" t="n">
        <v>699520</v>
      </c>
      <c r="AI218" s="29" t="n">
        <f aca="false">INDEX($F218:$AG218,1,MATCH(AI$7,$F$7:$AG$7,1))</f>
        <v>0</v>
      </c>
      <c r="AJ218" s="29" t="n">
        <f aca="false">INDEX($F218:$AG218,1,MATCH(AJ$7,$F$7:$AG$7,1))</f>
        <v>0</v>
      </c>
      <c r="AK218" s="29" t="n">
        <f aca="false">INDEX($F218:$AG218,1,MATCH(AK$7,$F$7:$AG$7,1))</f>
        <v>0</v>
      </c>
      <c r="AL218" s="29" t="n">
        <f aca="false">INDEX($F218:$AG218,1,MATCH(AL$7,$F$7:$AG$7,1))</f>
        <v>97446</v>
      </c>
      <c r="AM218" s="29" t="n">
        <f aca="false">INDEX($F218:$AG218,1,MATCH(AM$7,$F$7:$AG$7,1))</f>
        <v>277660</v>
      </c>
      <c r="AN218" s="29" t="n">
        <f aca="false">INDEX($F218:$AG218,1,MATCH(AN$7,$F$7:$AG$7,1))</f>
        <v>545995</v>
      </c>
      <c r="AO218" s="29" t="n">
        <f aca="false">INDEX($F218:$AG218,1,MATCH(AO$7,$F$7:$AG$7,1))</f>
        <v>699520</v>
      </c>
    </row>
    <row r="219" customFormat="false" ht="15" hidden="false" customHeight="false" outlineLevel="0" collapsed="false">
      <c r="A219" s="104" t="s">
        <v>1496</v>
      </c>
      <c r="B219" s="20" t="s">
        <v>674</v>
      </c>
      <c r="C219" s="20" t="s">
        <v>1497</v>
      </c>
      <c r="D219" s="20" t="s">
        <v>1498</v>
      </c>
      <c r="F219" s="108" t="n">
        <f aca="false">GPUAnchorOn*(GPU_Q125-(INDEX(FileGPU_H,1,5)+INDEX(FileGPU_B,1,5)+INDEX(FileGPU_N,1,5)))</f>
        <v>8059</v>
      </c>
    </row>
    <row r="220" customFormat="false" ht="15" hidden="false" customHeight="false" outlineLevel="0" collapsed="false">
      <c r="A220" s="104" t="s">
        <v>1499</v>
      </c>
      <c r="B220" s="20" t="s">
        <v>575</v>
      </c>
      <c r="C220" s="20" t="s">
        <v>513</v>
      </c>
      <c r="D220" s="20" t="s">
        <v>1500</v>
      </c>
      <c r="F220" s="108" t="n">
        <f aca="false">N(F41)*$F$12+N(F44)*$F$13+N(F47)*$F$14+N(F50)*$F$15+N(F53)*$F$16+N(F56)*$F$17+N(F59)*$F$18+N(F62)*$F$19+N(F65)*$F$20+N(F68)*$F$21+N(F71)*$F$22+N(F74)*$F$23+N(F77)*$F$24+N(F80)*$F$25+N(F83)*$F$26+N(F86)*$F$27+N(F89)*$F$28+N(F92)*$F$29+N(F95)*$F$30+N(F104)*$F$33+N(F107)*$F$34</f>
        <v>25</v>
      </c>
      <c r="G220" s="108" t="n">
        <f aca="false">N(G41)*$F$12+N(G44)*$F$13+N(G47)*$F$14+N(G50)*$F$15+N(G53)*$F$16+N(G56)*$F$17+N(G59)*$F$18+N(G62)*$F$19+N(G65)*$F$20+N(G68)*$F$21+N(G71)*$F$22+N(G74)*$F$23+N(G77)*$F$24+N(G80)*$F$25+N(G83)*$F$26+N(G86)*$F$27+N(G89)*$F$28+N(G92)*$F$29+N(G95)*$F$30+N(G104)*$F$33+N(G107)*$F$34</f>
        <v>25</v>
      </c>
      <c r="H220" s="108" t="n">
        <f aca="false">N(H41)*$F$12+N(H44)*$F$13+N(H47)*$F$14+N(H50)*$F$15+N(H53)*$F$16+N(H56)*$F$17+N(H59)*$F$18+N(H62)*$F$19+N(H65)*$F$20+N(H68)*$F$21+N(H71)*$F$22+N(H74)*$F$23+N(H77)*$F$24+N(H80)*$F$25+N(H83)*$F$26+N(H86)*$F$27+N(H89)*$F$28+N(H92)*$F$29+N(H95)*$F$30+N(H104)*$F$33+N(H107)*$F$34</f>
        <v>25</v>
      </c>
      <c r="I220" s="108" t="n">
        <f aca="false">N(I41)*$F$12+N(I44)*$F$13+N(I47)*$F$14+N(I50)*$F$15+N(I53)*$F$16+N(I56)*$F$17+N(I59)*$F$18+N(I62)*$F$19+N(I65)*$F$20+N(I68)*$F$21+N(I71)*$F$22+N(I74)*$F$23+N(I77)*$F$24+N(I80)*$F$25+N(I83)*$F$26+N(I86)*$F$27+N(I89)*$F$28+N(I92)*$F$29+N(I95)*$F$30+N(I104)*$F$33+N(I107)*$F$34</f>
        <v>30</v>
      </c>
      <c r="J220" s="108" t="n">
        <f aca="false">N(J41)*$F$12+N(J44)*$F$13+N(J47)*$F$14+N(J50)*$F$15+N(J53)*$F$16+N(J56)*$F$17+N(J59)*$F$18+N(J62)*$F$19+N(J65)*$F$20+N(J68)*$F$21+N(J71)*$F$22+N(J74)*$F$23+N(J77)*$F$24+N(J80)*$F$25+N(J83)*$F$26+N(J86)*$F$27+N(J89)*$F$28+N(J92)*$F$29+N(J95)*$F$30+N(J104)*$F$33+N(J107)*$F$34</f>
        <v>40</v>
      </c>
      <c r="K220" s="108" t="n">
        <f aca="false">N(K41)*$F$12+N(K44)*$F$13+N(K47)*$F$14+N(K50)*$F$15+N(K53)*$F$16+N(K56)*$F$17+N(K59)*$F$18+N(K62)*$F$19+N(K65)*$F$20+N(K68)*$F$21+N(K71)*$F$22+N(K74)*$F$23+N(K77)*$F$24+N(K80)*$F$25+N(K83)*$F$26+N(K86)*$F$27+N(K89)*$F$28+N(K92)*$F$29+N(K95)*$F$30+N(K104)*$F$33+N(K107)*$F$34</f>
        <v>45</v>
      </c>
      <c r="L220" s="108" t="n">
        <f aca="false">N(L41)*$F$12+N(L44)*$F$13+N(L47)*$F$14+N(L50)*$F$15+N(L53)*$F$16+N(L56)*$F$17+N(L59)*$F$18+N(L62)*$F$19+N(L65)*$F$20+N(L68)*$F$21+N(L71)*$F$22+N(L74)*$F$23+N(L77)*$F$24+N(L80)*$F$25+N(L83)*$F$26+N(L86)*$F$27+N(L89)*$F$28+N(L92)*$F$29+N(L95)*$F$30+N(L104)*$F$33+N(L107)*$F$34</f>
        <v>62.5</v>
      </c>
      <c r="M220" s="108" t="n">
        <f aca="false">N(M41)*$F$12+N(M44)*$F$13+N(M47)*$F$14+N(M50)*$F$15+N(M53)*$F$16+N(M56)*$F$17+N(M59)*$F$18+N(M62)*$F$19+N(M65)*$F$20+N(M68)*$F$21+N(M71)*$F$22+N(M74)*$F$23+N(M77)*$F$24+N(M80)*$F$25+N(M83)*$F$26+N(M86)*$F$27+N(M89)*$F$28+N(M92)*$F$29+N(M95)*$F$30+N(M104)*$F$33+N(M107)*$F$34</f>
        <v>147.7</v>
      </c>
      <c r="N220" s="108" t="n">
        <f aca="false">N(N41)*$F$12+N(N44)*$F$13+N(N47)*$F$14+N(N50)*$F$15+N(N53)*$F$16+N(N56)*$F$17+N(N59)*$F$18+N(N62)*$F$19+N(N65)*$F$20+N(N68)*$F$21+N(N71)*$F$22+N(N74)*$F$23+N(N77)*$F$24+N(N80)*$F$25+N(N83)*$F$26+N(N86)*$F$27+N(N89)*$F$28+N(N92)*$F$29+N(N95)*$F$30+N(N104)*$F$33+N(N107)*$F$34</f>
        <v>171.5</v>
      </c>
      <c r="O220" s="108" t="n">
        <f aca="false">N(O41)*$F$12+N(O44)*$F$13+N(O47)*$F$14+N(O50)*$F$15+N(O53)*$F$16+N(O56)*$F$17+N(O59)*$F$18+N(O62)*$F$19+N(O65)*$F$20+N(O68)*$F$21+N(O71)*$F$22+N(O74)*$F$23+N(O77)*$F$24+N(O80)*$F$25+N(O83)*$F$26+N(O86)*$F$27+N(O89)*$F$28+N(O92)*$F$29+N(O95)*$F$30+N(O104)*$F$33+N(O107)*$F$34</f>
        <v>173</v>
      </c>
      <c r="P220" s="29" t="n">
        <f aca="false">N(P41)*$F$12+N(P44)*$F$13+N(P47)*$F$14+N(P50)*$F$15+N(P53)*$F$16+N(P56)*$F$17+N(P59)*$F$18+N(P62)*$F$19+N(P65)*$F$20+N(P68)*$F$21+N(P71)*$F$22+N(P74)*$F$23+N(P77)*$F$24+N(P80)*$F$25+N(P83)*$F$26+N(P86)*$F$27+N(P89)*$F$28+N(P92)*$F$29+N(P95)*$F$30+N(P104)*$F$33+N(P107)*$F$34</f>
        <v>207.5</v>
      </c>
      <c r="Q220" s="29" t="n">
        <f aca="false">N(Q41)*$F$12+N(Q44)*$F$13+N(Q47)*$F$14+N(Q50)*$F$15+N(Q53)*$F$16+N(Q56)*$F$17+N(Q59)*$F$18+N(Q62)*$F$19+N(Q65)*$F$20+N(Q68)*$F$21+N(Q71)*$F$22+N(Q74)*$F$23+N(Q77)*$F$24+N(Q80)*$F$25+N(Q83)*$F$26+N(Q86)*$F$27+N(Q89)*$F$28+N(Q92)*$F$29+N(Q95)*$F$30+N(Q104)*$F$33+N(Q107)*$F$34</f>
        <v>292.4</v>
      </c>
      <c r="R220" s="29" t="n">
        <f aca="false">N(R41)*$F$12+N(R44)*$F$13+N(R47)*$F$14+N(R50)*$F$15+N(R53)*$F$16+N(R56)*$F$17+N(R59)*$F$18+N(R62)*$F$19+N(R65)*$F$20+N(R68)*$F$21+N(R71)*$F$22+N(R74)*$F$23+N(R77)*$F$24+N(R80)*$F$25+N(R83)*$F$26+N(R86)*$F$27+N(R89)*$F$28+N(R92)*$F$29+N(R95)*$F$30+N(R104)*$F$33+N(R107)*$F$34</f>
        <v>416.4</v>
      </c>
      <c r="S220" s="29" t="n">
        <f aca="false">N(S41)*$F$12+N(S44)*$F$13+N(S47)*$F$14+N(S50)*$F$15+N(S53)*$F$16+N(S56)*$F$17+N(S59)*$F$18+N(S62)*$F$19+N(S65)*$F$20+N(S68)*$F$21+N(S71)*$F$22+N(S74)*$F$23+N(S77)*$F$24+N(S80)*$F$25+N(S83)*$F$26+N(S86)*$F$27+N(S89)*$F$28+N(S92)*$F$29+N(S95)*$F$30+N(S104)*$F$33+N(S107)*$F$34</f>
        <v>545.1</v>
      </c>
      <c r="T220" s="29" t="n">
        <f aca="false">N(T41)*$F$12+N(T44)*$F$13+N(T47)*$F$14+N(T50)*$F$15+N(T53)*$F$16+N(T56)*$F$17+N(T59)*$F$18+N(T62)*$F$19+N(T65)*$F$20+N(T68)*$F$21+N(T71)*$F$22+N(T74)*$F$23+N(T77)*$F$24+N(T80)*$F$25+N(T83)*$F$26+N(T86)*$F$27+N(T89)*$F$28+N(T92)*$F$29+N(T95)*$F$30+N(T104)*$F$33+N(T107)*$F$34</f>
        <v>684.5</v>
      </c>
      <c r="U220" s="29" t="n">
        <f aca="false">N(U41)*$F$12+N(U44)*$F$13+N(U47)*$F$14+N(U50)*$F$15+N(U53)*$F$16+N(U56)*$F$17+N(U59)*$F$18+N(U62)*$F$19+N(U65)*$F$20+N(U68)*$F$21+N(U71)*$F$22+N(U74)*$F$23+N(U77)*$F$24+N(U80)*$F$25+N(U83)*$F$26+N(U86)*$F$27+N(U89)*$F$28+N(U92)*$F$29+N(U95)*$F$30+N(U104)*$F$33+N(U107)*$F$34</f>
        <v>950</v>
      </c>
      <c r="V220" s="29" t="n">
        <f aca="false">N(V41)*$F$12+N(V44)*$F$13+N(V47)*$F$14+N(V50)*$F$15+N(V53)*$F$16+N(V56)*$F$17+N(V59)*$F$18+N(V62)*$F$19+N(V65)*$F$20+N(V68)*$F$21+N(V71)*$F$22+N(V74)*$F$23+N(V77)*$F$24+N(V80)*$F$25+N(V83)*$F$26+N(V86)*$F$27+N(V89)*$F$28+N(V92)*$F$29+N(V95)*$F$30+N(V104)*$F$33+N(V107)*$F$34</f>
        <v>1042.5</v>
      </c>
      <c r="W220" s="29" t="n">
        <f aca="false">N(W41)*$F$12+N(W44)*$F$13+N(W47)*$F$14+N(W50)*$F$15+N(W53)*$F$16+N(W56)*$F$17+N(W59)*$F$18+N(W62)*$F$19+N(W65)*$F$20+N(W68)*$F$21+N(W71)*$F$22+N(W74)*$F$23+N(W77)*$F$24+N(W80)*$F$25+N(W83)*$F$26+N(W86)*$F$27+N(W89)*$F$28+N(W92)*$F$29+N(W95)*$F$30+N(W104)*$F$33+N(W107)*$F$34</f>
        <v>1198.5</v>
      </c>
      <c r="X220" s="29" t="n">
        <f aca="false">N(X41)*$F$12+N(X44)*$F$13+N(X47)*$F$14+N(X50)*$F$15+N(X53)*$F$16+N(X56)*$F$17+N(X59)*$F$18+N(X62)*$F$19+N(X65)*$F$20+N(X68)*$F$21+N(X71)*$F$22+N(X74)*$F$23+N(X77)*$F$24+N(X80)*$F$25+N(X83)*$F$26+N(X86)*$F$27+N(X89)*$F$28+N(X92)*$F$29+N(X95)*$F$30+N(X104)*$F$33+N(X107)*$F$34</f>
        <v>1211</v>
      </c>
      <c r="Y220" s="29" t="n">
        <f aca="false">N(Y41)*$F$12+N(Y44)*$F$13+N(Y47)*$F$14+N(Y50)*$F$15+N(Y53)*$F$16+N(Y56)*$F$17+N(Y59)*$F$18+N(Y62)*$F$19+N(Y65)*$F$20+N(Y68)*$F$21+N(Y71)*$F$22+N(Y74)*$F$23+N(Y77)*$F$24+N(Y80)*$F$25+N(Y83)*$F$26+N(Y86)*$F$27+N(Y89)*$F$28+N(Y92)*$F$29+N(Y95)*$F$30+N(Y104)*$F$33+N(Y107)*$F$34</f>
        <v>1539</v>
      </c>
      <c r="Z220" s="29" t="n">
        <f aca="false">N(Z41)*$F$12+N(Z44)*$F$13+N(Z47)*$F$14+N(Z50)*$F$15+N(Z53)*$F$16+N(Z56)*$F$17+N(Z59)*$F$18+N(Z62)*$F$19+N(Z65)*$F$20+N(Z68)*$F$21+N(Z71)*$F$22+N(Z74)*$F$23+N(Z77)*$F$24+N(Z80)*$F$25+N(Z83)*$F$26+N(Z86)*$F$27+N(Z89)*$F$28+N(Z92)*$F$29+N(Z95)*$F$30+N(Z104)*$F$33+N(Z107)*$F$34</f>
        <v>1539</v>
      </c>
      <c r="AA220" s="29" t="n">
        <f aca="false">N(AA41)*$F$12+N(AA44)*$F$13+N(AA47)*$F$14+N(AA50)*$F$15+N(AA53)*$F$16+N(AA56)*$F$17+N(AA59)*$F$18+N(AA62)*$F$19+N(AA65)*$F$20+N(AA68)*$F$21+N(AA71)*$F$22+N(AA74)*$F$23+N(AA77)*$F$24+N(AA80)*$F$25+N(AA83)*$F$26+N(AA86)*$F$27+N(AA89)*$F$28+N(AA92)*$F$29+N(AA95)*$F$30+N(AA104)*$F$33+N(AA107)*$F$34</f>
        <v>1875</v>
      </c>
      <c r="AB220" s="29" t="n">
        <f aca="false">N(AB41)*$F$12+N(AB44)*$F$13+N(AB47)*$F$14+N(AB50)*$F$15+N(AB53)*$F$16+N(AB56)*$F$17+N(AB59)*$F$18+N(AB62)*$F$19+N(AB65)*$F$20+N(AB68)*$F$21+N(AB71)*$F$22+N(AB74)*$F$23+N(AB77)*$F$24+N(AB80)*$F$25+N(AB83)*$F$26+N(AB86)*$F$27+N(AB89)*$F$28+N(AB92)*$F$29+N(AB95)*$F$30+N(AB104)*$F$33+N(AB107)*$F$34</f>
        <v>1875</v>
      </c>
      <c r="AC220" s="29" t="n">
        <f aca="false">N(AC41)*$F$12+N(AC44)*$F$13+N(AC47)*$F$14+N(AC50)*$F$15+N(AC53)*$F$16+N(AC56)*$F$17+N(AC59)*$F$18+N(AC62)*$F$19+N(AC65)*$F$20+N(AC68)*$F$21+N(AC71)*$F$22+N(AC74)*$F$23+N(AC77)*$F$24+N(AC80)*$F$25+N(AC83)*$F$26+N(AC86)*$F$27+N(AC89)*$F$28+N(AC92)*$F$29+N(AC95)*$F$30+N(AC104)*$F$33+N(AC107)*$F$34</f>
        <v>2343</v>
      </c>
      <c r="AD220" s="29" t="n">
        <f aca="false">N(AD41)*$F$12+N(AD44)*$F$13+N(AD47)*$F$14+N(AD50)*$F$15+N(AD53)*$F$16+N(AD56)*$F$17+N(AD59)*$F$18+N(AD62)*$F$19+N(AD65)*$F$20+N(AD68)*$F$21+N(AD71)*$F$22+N(AD74)*$F$23+N(AD77)*$F$24+N(AD80)*$F$25+N(AD83)*$F$26+N(AD86)*$F$27+N(AD89)*$F$28+N(AD92)*$F$29+N(AD95)*$F$30+N(AD104)*$F$33+N(AD107)*$F$34</f>
        <v>2343</v>
      </c>
      <c r="AE220" s="29" t="n">
        <f aca="false">N(AE41)*$F$12+N(AE44)*$F$13+N(AE47)*$F$14+N(AE50)*$F$15+N(AE53)*$F$16+N(AE56)*$F$17+N(AE59)*$F$18+N(AE62)*$F$19+N(AE65)*$F$20+N(AE68)*$F$21+N(AE71)*$F$22+N(AE74)*$F$23+N(AE77)*$F$24+N(AE80)*$F$25+N(AE83)*$F$26+N(AE86)*$F$27+N(AE89)*$F$28+N(AE92)*$F$29+N(AE95)*$F$30+N(AE104)*$F$33+N(AE107)*$F$34</f>
        <v>2343</v>
      </c>
      <c r="AF220" s="29" t="n">
        <f aca="false">N(AF41)*$F$12+N(AF44)*$F$13+N(AF47)*$F$14+N(AF50)*$F$15+N(AF53)*$F$16+N(AF56)*$F$17+N(AF59)*$F$18+N(AF62)*$F$19+N(AF65)*$F$20+N(AF68)*$F$21+N(AF71)*$F$22+N(AF74)*$F$23+N(AF77)*$F$24+N(AF80)*$F$25+N(AF83)*$F$26+N(AF86)*$F$27+N(AF89)*$F$28+N(AF92)*$F$29+N(AF95)*$F$30+N(AF104)*$F$33+N(AF107)*$F$34</f>
        <v>2343</v>
      </c>
      <c r="AG220" s="29" t="n">
        <f aca="false">N(AG41)*$F$12+N(AG44)*$F$13+N(AG47)*$F$14+N(AG50)*$F$15+N(AG53)*$F$16+N(AG56)*$F$17+N(AG59)*$F$18+N(AG62)*$F$19+N(AG65)*$F$20+N(AG68)*$F$21+N(AG71)*$F$22+N(AG74)*$F$23+N(AG77)*$F$24+N(AG80)*$F$25+N(AG83)*$F$26+N(AG86)*$F$27+N(AG89)*$F$28+N(AG92)*$F$29+N(AG95)*$F$30+N(AG104)*$F$33+N(AG107)*$F$34</f>
        <v>2803</v>
      </c>
      <c r="AI220" s="29" t="n">
        <f aca="false">INDEX($F220:$AG220,1,MATCH(AI$7,$F$7:$AG$7,1))</f>
        <v>30</v>
      </c>
      <c r="AJ220" s="29" t="n">
        <f aca="false">INDEX($F220:$AG220,1,MATCH(AJ$7,$F$7:$AG$7,1))</f>
        <v>147.7</v>
      </c>
      <c r="AK220" s="29" t="n">
        <f aca="false">INDEX($F220:$AG220,1,MATCH(AK$7,$F$7:$AG$7,1))</f>
        <v>292.4</v>
      </c>
      <c r="AL220" s="29" t="n">
        <f aca="false">INDEX($F220:$AG220,1,MATCH(AL$7,$F$7:$AG$7,1))</f>
        <v>950</v>
      </c>
      <c r="AM220" s="29" t="n">
        <f aca="false">INDEX($F220:$AG220,1,MATCH(AM$7,$F$7:$AG$7,1))</f>
        <v>1539</v>
      </c>
      <c r="AN220" s="29" t="n">
        <f aca="false">INDEX($F220:$AG220,1,MATCH(AN$7,$F$7:$AG$7,1))</f>
        <v>2343</v>
      </c>
      <c r="AO220" s="29" t="n">
        <f aca="false">INDEX($F220:$AG220,1,MATCH(AO$7,$F$7:$AG$7,1))</f>
        <v>2803</v>
      </c>
    </row>
    <row r="222" customFormat="false" ht="15" hidden="false" customHeight="false" outlineLevel="0" collapsed="false">
      <c r="A222" s="53" t="s">
        <v>1501</v>
      </c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  <c r="AA222" s="54"/>
      <c r="AB222" s="54"/>
      <c r="AC222" s="54"/>
      <c r="AD222" s="54"/>
      <c r="AE222" s="54"/>
      <c r="AF222" s="54"/>
      <c r="AG222" s="54"/>
      <c r="AH222" s="54"/>
      <c r="AI222" s="54"/>
      <c r="AJ222" s="54"/>
      <c r="AK222" s="54"/>
      <c r="AL222" s="54"/>
      <c r="AM222" s="54"/>
      <c r="AN222" s="54"/>
      <c r="AO222" s="54"/>
    </row>
    <row r="224" customFormat="false" ht="15" hidden="false" customHeight="false" outlineLevel="0" collapsed="false">
      <c r="A224" s="53" t="s">
        <v>1502</v>
      </c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  <c r="AA224" s="54"/>
      <c r="AB224" s="54"/>
      <c r="AC224" s="54"/>
      <c r="AD224" s="54"/>
      <c r="AE224" s="54"/>
      <c r="AF224" s="54"/>
      <c r="AG224" s="54"/>
      <c r="AH224" s="54"/>
      <c r="AI224" s="54"/>
      <c r="AJ224" s="54"/>
      <c r="AK224" s="54"/>
      <c r="AL224" s="54"/>
      <c r="AM224" s="54"/>
      <c r="AN224" s="54"/>
      <c r="AO224" s="54"/>
    </row>
    <row r="225" customFormat="false" ht="15" hidden="false" customHeight="false" outlineLevel="0" collapsed="false">
      <c r="A225" s="104" t="s">
        <v>1503</v>
      </c>
      <c r="B225" s="20" t="s">
        <v>575</v>
      </c>
      <c r="C225" s="20" t="s">
        <v>513</v>
      </c>
      <c r="D225" s="20" t="s">
        <v>1504</v>
      </c>
      <c r="F225" s="83" t="n">
        <v>0</v>
      </c>
      <c r="G225" s="83" t="n">
        <v>0</v>
      </c>
      <c r="H225" s="83" t="n">
        <v>0</v>
      </c>
      <c r="I225" s="83" t="n">
        <v>0</v>
      </c>
      <c r="J225" s="83" t="n">
        <v>0</v>
      </c>
      <c r="K225" s="83" t="n">
        <v>0</v>
      </c>
      <c r="L225" s="83" t="n">
        <v>0</v>
      </c>
      <c r="M225" s="83" t="n">
        <v>0</v>
      </c>
      <c r="N225" s="83" t="n">
        <v>0</v>
      </c>
      <c r="O225" s="83" t="n">
        <v>0</v>
      </c>
      <c r="P225" s="83" t="n">
        <v>10</v>
      </c>
      <c r="Q225" s="83" t="n">
        <v>-37.8</v>
      </c>
      <c r="R225" s="83" t="n">
        <v>4</v>
      </c>
      <c r="S225" s="83" t="n">
        <v>35</v>
      </c>
      <c r="T225" s="83" t="n">
        <v>81</v>
      </c>
      <c r="U225" s="83" t="n">
        <v>135</v>
      </c>
      <c r="V225" s="83" t="n">
        <v>135</v>
      </c>
      <c r="W225" s="83" t="n">
        <v>135</v>
      </c>
      <c r="X225" s="83" t="n">
        <v>135</v>
      </c>
      <c r="Y225" s="83" t="n">
        <v>135</v>
      </c>
      <c r="Z225" s="83" t="n">
        <v>135</v>
      </c>
      <c r="AA225" s="83" t="n">
        <v>135</v>
      </c>
      <c r="AB225" s="83" t="n">
        <v>135</v>
      </c>
      <c r="AC225" s="83" t="n">
        <v>135</v>
      </c>
      <c r="AD225" s="83" t="n">
        <v>135</v>
      </c>
      <c r="AE225" s="83" t="n">
        <v>135</v>
      </c>
      <c r="AF225" s="83" t="n">
        <v>135</v>
      </c>
      <c r="AG225" s="83" t="n">
        <v>135</v>
      </c>
      <c r="AI225" s="31" t="n">
        <f aca="false">INDEX($F225:$AG225,1,MATCH(AI$7,$F$7:$AG$7,1))</f>
        <v>0</v>
      </c>
      <c r="AJ225" s="31" t="n">
        <f aca="false">INDEX($F225:$AG225,1,MATCH(AJ$7,$F$7:$AG$7,1))</f>
        <v>0</v>
      </c>
      <c r="AK225" s="31" t="n">
        <f aca="false">INDEX($F225:$AG225,1,MATCH(AK$7,$F$7:$AG$7,1))</f>
        <v>-37.8</v>
      </c>
      <c r="AL225" s="31" t="n">
        <f aca="false">INDEX($F225:$AG225,1,MATCH(AL$7,$F$7:$AG$7,1))</f>
        <v>135</v>
      </c>
      <c r="AM225" s="31" t="n">
        <f aca="false">INDEX($F225:$AG225,1,MATCH(AM$7,$F$7:$AG$7,1))</f>
        <v>135</v>
      </c>
      <c r="AN225" s="31" t="n">
        <f aca="false">INDEX($F225:$AG225,1,MATCH(AN$7,$F$7:$AG$7,1))</f>
        <v>135</v>
      </c>
      <c r="AO225" s="31" t="n">
        <f aca="false">INDEX($F225:$AG225,1,MATCH(AO$7,$F$7:$AG$7,1))</f>
        <v>135</v>
      </c>
    </row>
    <row r="226" customFormat="false" ht="15" hidden="false" customHeight="false" outlineLevel="0" collapsed="false">
      <c r="A226" s="104" t="s">
        <v>1505</v>
      </c>
      <c r="B226" s="20" t="s">
        <v>575</v>
      </c>
      <c r="C226" s="20" t="s">
        <v>513</v>
      </c>
      <c r="D226" s="20" t="s">
        <v>1506</v>
      </c>
      <c r="F226" s="83" t="n">
        <v>0</v>
      </c>
      <c r="G226" s="83" t="n">
        <v>0</v>
      </c>
      <c r="H226" s="83" t="n">
        <v>0</v>
      </c>
      <c r="I226" s="83" t="n">
        <v>0</v>
      </c>
      <c r="J226" s="83" t="n">
        <v>0</v>
      </c>
      <c r="K226" s="83" t="n">
        <v>0</v>
      </c>
      <c r="L226" s="83" t="n">
        <v>0</v>
      </c>
      <c r="M226" s="83" t="n">
        <v>0</v>
      </c>
      <c r="N226" s="83" t="n">
        <v>0</v>
      </c>
      <c r="O226" s="83" t="n">
        <v>0</v>
      </c>
      <c r="P226" s="83" t="n">
        <v>20</v>
      </c>
      <c r="Q226" s="83" t="n">
        <v>15</v>
      </c>
      <c r="R226" s="83" t="n">
        <v>40.5</v>
      </c>
      <c r="S226" s="83" t="n">
        <v>90.5</v>
      </c>
      <c r="T226" s="83" t="n">
        <v>148</v>
      </c>
      <c r="U226" s="83" t="n">
        <v>153</v>
      </c>
      <c r="V226" s="83" t="n">
        <v>153</v>
      </c>
      <c r="W226" s="83" t="n">
        <v>153</v>
      </c>
      <c r="X226" s="83" t="n">
        <v>153</v>
      </c>
      <c r="Y226" s="83" t="n">
        <v>153</v>
      </c>
      <c r="Z226" s="83" t="n">
        <v>153</v>
      </c>
      <c r="AA226" s="83" t="n">
        <v>153</v>
      </c>
      <c r="AB226" s="83" t="n">
        <v>153</v>
      </c>
      <c r="AC226" s="83" t="n">
        <v>153</v>
      </c>
      <c r="AD226" s="83" t="n">
        <v>153</v>
      </c>
      <c r="AE226" s="83" t="n">
        <v>153</v>
      </c>
      <c r="AF226" s="83" t="n">
        <v>153</v>
      </c>
      <c r="AG226" s="83" t="n">
        <v>153</v>
      </c>
      <c r="AI226" s="31" t="n">
        <f aca="false">INDEX($F226:$AG226,1,MATCH(AI$7,$F$7:$AG$7,1))</f>
        <v>0</v>
      </c>
      <c r="AJ226" s="31" t="n">
        <f aca="false">INDEX($F226:$AG226,1,MATCH(AJ$7,$F$7:$AG$7,1))</f>
        <v>0</v>
      </c>
      <c r="AK226" s="31" t="n">
        <f aca="false">INDEX($F226:$AG226,1,MATCH(AK$7,$F$7:$AG$7,1))</f>
        <v>15</v>
      </c>
      <c r="AL226" s="31" t="n">
        <f aca="false">INDEX($F226:$AG226,1,MATCH(AL$7,$F$7:$AG$7,1))</f>
        <v>153</v>
      </c>
      <c r="AM226" s="31" t="n">
        <f aca="false">INDEX($F226:$AG226,1,MATCH(AM$7,$F$7:$AG$7,1))</f>
        <v>153</v>
      </c>
      <c r="AN226" s="31" t="n">
        <f aca="false">INDEX($F226:$AG226,1,MATCH(AN$7,$F$7:$AG$7,1))</f>
        <v>153</v>
      </c>
      <c r="AO226" s="31" t="n">
        <f aca="false">INDEX($F226:$AG226,1,MATCH(AO$7,$F$7:$AG$7,1))</f>
        <v>153</v>
      </c>
    </row>
    <row r="227" customFormat="false" ht="15" hidden="false" customHeight="false" outlineLevel="0" collapsed="false">
      <c r="A227" s="104" t="s">
        <v>1507</v>
      </c>
      <c r="B227" s="20" t="s">
        <v>575</v>
      </c>
      <c r="C227" s="20" t="s">
        <v>513</v>
      </c>
      <c r="D227" s="20" t="s">
        <v>1508</v>
      </c>
      <c r="F227" s="83" t="n">
        <v>0</v>
      </c>
      <c r="G227" s="83" t="n">
        <v>0</v>
      </c>
      <c r="H227" s="83" t="n">
        <v>0</v>
      </c>
      <c r="I227" s="83" t="n">
        <v>0</v>
      </c>
      <c r="J227" s="83" t="n">
        <v>0</v>
      </c>
      <c r="K227" s="83" t="n">
        <v>0</v>
      </c>
      <c r="L227" s="83" t="n">
        <v>0</v>
      </c>
      <c r="M227" s="83" t="n">
        <v>0</v>
      </c>
      <c r="N227" s="83" t="n">
        <v>0</v>
      </c>
      <c r="O227" s="83" t="n">
        <v>0</v>
      </c>
      <c r="P227" s="83" t="n">
        <v>45</v>
      </c>
      <c r="Q227" s="83" t="n">
        <v>80</v>
      </c>
      <c r="R227" s="83" t="n">
        <v>145</v>
      </c>
      <c r="S227" s="83" t="n">
        <v>178</v>
      </c>
      <c r="T227" s="83" t="n">
        <v>208</v>
      </c>
      <c r="U227" s="83" t="n">
        <v>208</v>
      </c>
      <c r="V227" s="83" t="n">
        <v>208</v>
      </c>
      <c r="W227" s="83" t="n">
        <v>208</v>
      </c>
      <c r="X227" s="83" t="n">
        <v>208</v>
      </c>
      <c r="Y227" s="83" t="n">
        <v>208</v>
      </c>
      <c r="Z227" s="83" t="n">
        <v>208</v>
      </c>
      <c r="AA227" s="83" t="n">
        <v>208</v>
      </c>
      <c r="AB227" s="83" t="n">
        <v>208</v>
      </c>
      <c r="AC227" s="83" t="n">
        <v>208</v>
      </c>
      <c r="AD227" s="83" t="n">
        <v>208</v>
      </c>
      <c r="AE227" s="83" t="n">
        <v>208</v>
      </c>
      <c r="AF227" s="83" t="n">
        <v>208</v>
      </c>
      <c r="AG227" s="83" t="n">
        <v>208</v>
      </c>
      <c r="AI227" s="31" t="n">
        <f aca="false">INDEX($F227:$AG227,1,MATCH(AI$7,$F$7:$AG$7,1))</f>
        <v>0</v>
      </c>
      <c r="AJ227" s="31" t="n">
        <f aca="false">INDEX($F227:$AG227,1,MATCH(AJ$7,$F$7:$AG$7,1))</f>
        <v>0</v>
      </c>
      <c r="AK227" s="31" t="n">
        <f aca="false">INDEX($F227:$AG227,1,MATCH(AK$7,$F$7:$AG$7,1))</f>
        <v>80</v>
      </c>
      <c r="AL227" s="31" t="n">
        <f aca="false">INDEX($F227:$AG227,1,MATCH(AL$7,$F$7:$AG$7,1))</f>
        <v>208</v>
      </c>
      <c r="AM227" s="31" t="n">
        <f aca="false">INDEX($F227:$AG227,1,MATCH(AM$7,$F$7:$AG$7,1))</f>
        <v>208</v>
      </c>
      <c r="AN227" s="31" t="n">
        <f aca="false">INDEX($F227:$AG227,1,MATCH(AN$7,$F$7:$AG$7,1))</f>
        <v>208</v>
      </c>
      <c r="AO227" s="31" t="n">
        <f aca="false">INDEX($F227:$AG227,1,MATCH(AO$7,$F$7:$AG$7,1))</f>
        <v>208</v>
      </c>
    </row>
    <row r="228" customFormat="false" ht="15" hidden="false" customHeight="false" outlineLevel="0" collapsed="false">
      <c r="A228" s="104" t="s">
        <v>1509</v>
      </c>
      <c r="B228" s="20" t="s">
        <v>575</v>
      </c>
      <c r="C228" s="20" t="s">
        <v>495</v>
      </c>
      <c r="D228" s="20" t="s">
        <v>1510</v>
      </c>
      <c r="F228" s="113" t="n">
        <f aca="false">CHOOSE(Scen,F227,F226,F225)</f>
        <v>0</v>
      </c>
      <c r="G228" s="113" t="n">
        <f aca="false">CHOOSE(Scen,G227,G226,G225)</f>
        <v>0</v>
      </c>
      <c r="H228" s="113" t="n">
        <f aca="false">CHOOSE(Scen,H227,H226,H225)</f>
        <v>0</v>
      </c>
      <c r="I228" s="113" t="n">
        <f aca="false">CHOOSE(Scen,I227,I226,I225)</f>
        <v>0</v>
      </c>
      <c r="J228" s="113" t="n">
        <f aca="false">CHOOSE(Scen,J227,J226,J225)</f>
        <v>0</v>
      </c>
      <c r="K228" s="113" t="n">
        <f aca="false">CHOOSE(Scen,K227,K226,K225)</f>
        <v>0</v>
      </c>
      <c r="L228" s="113" t="n">
        <f aca="false">CHOOSE(Scen,L227,L226,L225)</f>
        <v>0</v>
      </c>
      <c r="M228" s="113" t="n">
        <f aca="false">CHOOSE(Scen,M227,M226,M225)</f>
        <v>0</v>
      </c>
      <c r="N228" s="113" t="n">
        <f aca="false">CHOOSE(Scen,N227,N226,N225)</f>
        <v>0</v>
      </c>
      <c r="O228" s="113" t="n">
        <f aca="false">CHOOSE(Scen,O227,O226,O225)</f>
        <v>0</v>
      </c>
      <c r="P228" s="31" t="n">
        <f aca="false">CHOOSE(Scen,P227,P226,P225)</f>
        <v>20</v>
      </c>
      <c r="Q228" s="31" t="n">
        <f aca="false">CHOOSE(Scen,Q227,Q226,Q225)</f>
        <v>15</v>
      </c>
      <c r="R228" s="31" t="n">
        <f aca="false">CHOOSE(Scen,R227,R226,R225)</f>
        <v>40.5</v>
      </c>
      <c r="S228" s="31" t="n">
        <f aca="false">CHOOSE(Scen,S227,S226,S225)</f>
        <v>90.5</v>
      </c>
      <c r="T228" s="31" t="n">
        <f aca="false">CHOOSE(Scen,T227,T226,T225)</f>
        <v>148</v>
      </c>
      <c r="U228" s="31" t="n">
        <f aca="false">CHOOSE(Scen,U227,U226,U225)</f>
        <v>153</v>
      </c>
      <c r="V228" s="31" t="n">
        <f aca="false">CHOOSE(Scen,V227,V226,V225)</f>
        <v>153</v>
      </c>
      <c r="W228" s="31" t="n">
        <f aca="false">CHOOSE(Scen,W227,W226,W225)</f>
        <v>153</v>
      </c>
      <c r="X228" s="31" t="n">
        <f aca="false">CHOOSE(Scen,X227,X226,X225)</f>
        <v>153</v>
      </c>
      <c r="Y228" s="31" t="n">
        <f aca="false">CHOOSE(Scen,Y227,Y226,Y225)</f>
        <v>153</v>
      </c>
      <c r="Z228" s="31" t="n">
        <f aca="false">CHOOSE(Scen,Z227,Z226,Z225)</f>
        <v>153</v>
      </c>
      <c r="AA228" s="31" t="n">
        <f aca="false">CHOOSE(Scen,AA227,AA226,AA225)</f>
        <v>153</v>
      </c>
      <c r="AB228" s="31" t="n">
        <f aca="false">CHOOSE(Scen,AB227,AB226,AB225)</f>
        <v>153</v>
      </c>
      <c r="AC228" s="31" t="n">
        <f aca="false">CHOOSE(Scen,AC227,AC226,AC225)</f>
        <v>153</v>
      </c>
      <c r="AD228" s="31" t="n">
        <f aca="false">CHOOSE(Scen,AD227,AD226,AD225)</f>
        <v>153</v>
      </c>
      <c r="AE228" s="31" t="n">
        <f aca="false">CHOOSE(Scen,AE227,AE226,AE225)</f>
        <v>153</v>
      </c>
      <c r="AF228" s="31" t="n">
        <f aca="false">CHOOSE(Scen,AF227,AF226,AF225)</f>
        <v>153</v>
      </c>
      <c r="AG228" s="31" t="n">
        <f aca="false">CHOOSE(Scen,AG227,AG226,AG225)</f>
        <v>153</v>
      </c>
      <c r="AI228" s="31" t="n">
        <f aca="false">INDEX($F228:$AG228,1,MATCH(AI$7,$F$7:$AG$7,1))</f>
        <v>0</v>
      </c>
      <c r="AJ228" s="31" t="n">
        <f aca="false">INDEX($F228:$AG228,1,MATCH(AJ$7,$F$7:$AG$7,1))</f>
        <v>0</v>
      </c>
      <c r="AK228" s="31" t="n">
        <f aca="false">INDEX($F228:$AG228,1,MATCH(AK$7,$F$7:$AG$7,1))</f>
        <v>15</v>
      </c>
      <c r="AL228" s="31" t="n">
        <f aca="false">INDEX($F228:$AG228,1,MATCH(AL$7,$F$7:$AG$7,1))</f>
        <v>153</v>
      </c>
      <c r="AM228" s="31" t="n">
        <f aca="false">INDEX($F228:$AG228,1,MATCH(AM$7,$F$7:$AG$7,1))</f>
        <v>153</v>
      </c>
      <c r="AN228" s="31" t="n">
        <f aca="false">INDEX($F228:$AG228,1,MATCH(AN$7,$F$7:$AG$7,1))</f>
        <v>153</v>
      </c>
      <c r="AO228" s="31" t="n">
        <f aca="false">INDEX($F228:$AG228,1,MATCH(AO$7,$F$7:$AG$7,1))</f>
        <v>153</v>
      </c>
    </row>
    <row r="229" customFormat="false" ht="15" hidden="false" customHeight="false" outlineLevel="0" collapsed="false">
      <c r="A229" s="104" t="s">
        <v>1511</v>
      </c>
      <c r="B229" s="20" t="s">
        <v>575</v>
      </c>
      <c r="C229" s="20" t="s">
        <v>495</v>
      </c>
      <c r="D229" s="20" t="s">
        <v>1512</v>
      </c>
      <c r="F229" s="108" t="n">
        <f aca="false">CHOOSE(MWSel,F143,F173,F212,F173+F228)</f>
        <v>25</v>
      </c>
      <c r="G229" s="108" t="n">
        <f aca="false">CHOOSE(MWSel,G143,G173,G212,G173+G228)</f>
        <v>25</v>
      </c>
      <c r="H229" s="108" t="n">
        <f aca="false">CHOOSE(MWSel,H143,H173,H212,H173+H228)</f>
        <v>25</v>
      </c>
      <c r="I229" s="108" t="n">
        <f aca="false">CHOOSE(MWSel,I143,I173,I212,I173+I228)</f>
        <v>30</v>
      </c>
      <c r="J229" s="108" t="n">
        <f aca="false">CHOOSE(MWSel,J143,J173,J212,J173+J228)</f>
        <v>40</v>
      </c>
      <c r="K229" s="108" t="n">
        <f aca="false">CHOOSE(MWSel,K143,K173,K212,K173+K228)</f>
        <v>45</v>
      </c>
      <c r="L229" s="108" t="n">
        <f aca="false">CHOOSE(MWSel,L143,L173,L212,L173+L228)</f>
        <v>62.5</v>
      </c>
      <c r="M229" s="108" t="n">
        <f aca="false">CHOOSE(MWSel,M143,M173,M212,M173+M228)</f>
        <v>147.7</v>
      </c>
      <c r="N229" s="108" t="n">
        <f aca="false">CHOOSE(MWSel,N143,N173,N212,N173+N228)</f>
        <v>171.5</v>
      </c>
      <c r="O229" s="108" t="n">
        <f aca="false">CHOOSE(MWSel,O143,O173,O212,O173+O228)</f>
        <v>173</v>
      </c>
      <c r="P229" s="29" t="n">
        <f aca="false">CHOOSE(MWSel,P143,P173,P212,P173+P228)</f>
        <v>207.5</v>
      </c>
      <c r="Q229" s="29" t="n">
        <f aca="false">CHOOSE(MWSel,Q143,Q173,Q212,Q173+Q228)</f>
        <v>292.4</v>
      </c>
      <c r="R229" s="29" t="n">
        <f aca="false">CHOOSE(MWSel,R143,R173,R212,R173+R228)</f>
        <v>416.4</v>
      </c>
      <c r="S229" s="29" t="n">
        <f aca="false">CHOOSE(MWSel,S143,S173,S212,S173+S228)</f>
        <v>545.1</v>
      </c>
      <c r="T229" s="29" t="n">
        <f aca="false">CHOOSE(MWSel,T143,T173,T212,T173+T228)</f>
        <v>684.5</v>
      </c>
      <c r="U229" s="29" t="n">
        <f aca="false">CHOOSE(MWSel,U143,U173,U212,U173+U228)</f>
        <v>950</v>
      </c>
      <c r="V229" s="29" t="n">
        <f aca="false">CHOOSE(MWSel,V143,V173,V212,V173+V228)</f>
        <v>1042.5</v>
      </c>
      <c r="W229" s="29" t="n">
        <f aca="false">CHOOSE(MWSel,W143,W173,W212,W173+W228)</f>
        <v>1198.5</v>
      </c>
      <c r="X229" s="29" t="n">
        <f aca="false">CHOOSE(MWSel,X143,X173,X212,X173+X228)</f>
        <v>1211</v>
      </c>
      <c r="Y229" s="29" t="n">
        <f aca="false">CHOOSE(MWSel,Y143,Y173,Y212,Y173+Y228)</f>
        <v>1539</v>
      </c>
      <c r="Z229" s="29" t="n">
        <f aca="false">CHOOSE(MWSel,Z143,Z173,Z212,Z173+Z228)</f>
        <v>1539</v>
      </c>
      <c r="AA229" s="29" t="n">
        <f aca="false">CHOOSE(MWSel,AA143,AA173,AA212,AA173+AA228)</f>
        <v>1875</v>
      </c>
      <c r="AB229" s="29" t="n">
        <f aca="false">CHOOSE(MWSel,AB143,AB173,AB212,AB173+AB228)</f>
        <v>1875</v>
      </c>
      <c r="AC229" s="29" t="n">
        <f aca="false">CHOOSE(MWSel,AC143,AC173,AC212,AC173+AC228)</f>
        <v>2343</v>
      </c>
      <c r="AD229" s="29" t="n">
        <f aca="false">CHOOSE(MWSel,AD143,AD173,AD212,AD173+AD228)</f>
        <v>2343</v>
      </c>
      <c r="AE229" s="29" t="n">
        <f aca="false">CHOOSE(MWSel,AE143,AE173,AE212,AE173+AE228)</f>
        <v>2343</v>
      </c>
      <c r="AF229" s="29" t="n">
        <f aca="false">CHOOSE(MWSel,AF143,AF173,AF212,AF173+AF228)</f>
        <v>2343</v>
      </c>
      <c r="AG229" s="29" t="n">
        <f aca="false">CHOOSE(MWSel,AG143,AG173,AG212,AG173+AG228)</f>
        <v>2803</v>
      </c>
      <c r="AI229" s="29" t="n">
        <f aca="false">INDEX($F229:$AG229,1,MATCH(AI$7,$F$7:$AG$7,1))</f>
        <v>30</v>
      </c>
      <c r="AJ229" s="29" t="n">
        <f aca="false">INDEX($F229:$AG229,1,MATCH(AJ$7,$F$7:$AG$7,1))</f>
        <v>147.7</v>
      </c>
      <c r="AK229" s="29" t="n">
        <f aca="false">INDEX($F229:$AG229,1,MATCH(AK$7,$F$7:$AG$7,1))</f>
        <v>292.4</v>
      </c>
      <c r="AL229" s="29" t="n">
        <f aca="false">INDEX($F229:$AG229,1,MATCH(AL$7,$F$7:$AG$7,1))</f>
        <v>950</v>
      </c>
      <c r="AM229" s="29" t="n">
        <f aca="false">INDEX($F229:$AG229,1,MATCH(AM$7,$F$7:$AG$7,1))</f>
        <v>1539</v>
      </c>
      <c r="AN229" s="29" t="n">
        <f aca="false">INDEX($F229:$AG229,1,MATCH(AN$7,$F$7:$AG$7,1))</f>
        <v>2343</v>
      </c>
      <c r="AO229" s="29" t="n">
        <f aca="false">INDEX($F229:$AG229,1,MATCH(AO$7,$F$7:$AG$7,1))</f>
        <v>2803</v>
      </c>
    </row>
    <row r="230" customFormat="false" ht="15" hidden="false" customHeight="false" outlineLevel="0" collapsed="false">
      <c r="A230" s="104" t="s">
        <v>1513</v>
      </c>
      <c r="B230" s="20" t="s">
        <v>575</v>
      </c>
      <c r="C230" s="20" t="s">
        <v>495</v>
      </c>
      <c r="D230" s="20"/>
      <c r="F230" s="108" t="n">
        <f aca="false">CHOOSE(MWSel,F144,F174,F213,F174)</f>
        <v>25</v>
      </c>
      <c r="G230" s="108" t="n">
        <f aca="false">CHOOSE(MWSel,G144,G174,G213,G174)</f>
        <v>25</v>
      </c>
      <c r="H230" s="108" t="n">
        <f aca="false">CHOOSE(MWSel,H144,H174,H213,H174)</f>
        <v>25</v>
      </c>
      <c r="I230" s="108" t="n">
        <f aca="false">CHOOSE(MWSel,I144,I174,I213,I174)</f>
        <v>25</v>
      </c>
      <c r="J230" s="108" t="n">
        <f aca="false">CHOOSE(MWSel,J144,J174,J213,J174)</f>
        <v>25</v>
      </c>
      <c r="K230" s="108" t="n">
        <f aca="false">CHOOSE(MWSel,K144,K174,K213,K174)</f>
        <v>25</v>
      </c>
      <c r="L230" s="108" t="n">
        <f aca="false">CHOOSE(MWSel,L144,L174,L213,L174)</f>
        <v>37.5</v>
      </c>
      <c r="M230" s="108" t="n">
        <f aca="false">CHOOSE(MWSel,M144,M174,M213,M174)</f>
        <v>62.5</v>
      </c>
      <c r="N230" s="108" t="n">
        <f aca="false">CHOOSE(MWSel,N144,N174,N213,N174)</f>
        <v>75</v>
      </c>
      <c r="O230" s="108" t="n">
        <f aca="false">CHOOSE(MWSel,O144,O174,O213,O174)</f>
        <v>75</v>
      </c>
      <c r="P230" s="29" t="n">
        <f aca="false">CHOOSE(MWSel,P144,P174,P213,P174)</f>
        <v>75</v>
      </c>
      <c r="Q230" s="29" t="n">
        <f aca="false">CHOOSE(MWSel,Q144,Q174,Q213,Q174)</f>
        <v>75</v>
      </c>
      <c r="R230" s="29" t="n">
        <f aca="false">CHOOSE(MWSel,R144,R174,R213,R174)</f>
        <v>85</v>
      </c>
      <c r="S230" s="29" t="n">
        <f aca="false">CHOOSE(MWSel,S144,S174,S213,S174)</f>
        <v>109</v>
      </c>
      <c r="T230" s="29" t="n">
        <f aca="false">CHOOSE(MWSel,T144,T174,T213,T174)</f>
        <v>183</v>
      </c>
      <c r="U230" s="29" t="n">
        <f aca="false">CHOOSE(MWSel,U144,U174,U213,U174)</f>
        <v>343</v>
      </c>
      <c r="V230" s="29" t="n">
        <f aca="false">CHOOSE(MWSel,V144,V174,V213,V174)</f>
        <v>423</v>
      </c>
      <c r="W230" s="29" t="n">
        <f aca="false">CHOOSE(MWSel,W144,W174,W213,W174)</f>
        <v>579</v>
      </c>
      <c r="X230" s="29" t="n">
        <f aca="false">CHOOSE(MWSel,X144,X174,X213,X174)</f>
        <v>579</v>
      </c>
      <c r="Y230" s="29" t="n">
        <f aca="false">CHOOSE(MWSel,Y144,Y174,Y213,Y174)</f>
        <v>859</v>
      </c>
      <c r="Z230" s="29" t="n">
        <f aca="false">CHOOSE(MWSel,Z144,Z174,Z213,Z174)</f>
        <v>859</v>
      </c>
      <c r="AA230" s="29" t="n">
        <f aca="false">CHOOSE(MWSel,AA144,AA174,AA213,AA174)</f>
        <v>1195</v>
      </c>
      <c r="AB230" s="29" t="n">
        <f aca="false">CHOOSE(MWSel,AB144,AB174,AB213,AB174)</f>
        <v>1195</v>
      </c>
      <c r="AC230" s="29" t="n">
        <f aca="false">CHOOSE(MWSel,AC144,AC174,AC213,AC174)</f>
        <v>1663</v>
      </c>
      <c r="AD230" s="29" t="n">
        <f aca="false">CHOOSE(MWSel,AD144,AD174,AD213,AD174)</f>
        <v>1663</v>
      </c>
      <c r="AE230" s="29" t="n">
        <f aca="false">CHOOSE(MWSel,AE144,AE174,AE213,AE174)</f>
        <v>1663</v>
      </c>
      <c r="AF230" s="29" t="n">
        <f aca="false">CHOOSE(MWSel,AF144,AF174,AF213,AF174)</f>
        <v>1663</v>
      </c>
      <c r="AG230" s="29" t="n">
        <f aca="false">CHOOSE(MWSel,AG144,AG174,AG213,AG174)</f>
        <v>2123</v>
      </c>
      <c r="AI230" s="29" t="n">
        <f aca="false">INDEX($F230:$AG230,1,MATCH(AI$7,$F$7:$AG$7,1))</f>
        <v>25</v>
      </c>
      <c r="AJ230" s="29" t="n">
        <f aca="false">INDEX($F230:$AG230,1,MATCH(AJ$7,$F$7:$AG$7,1))</f>
        <v>62.5</v>
      </c>
      <c r="AK230" s="29" t="n">
        <f aca="false">INDEX($F230:$AG230,1,MATCH(AK$7,$F$7:$AG$7,1))</f>
        <v>75</v>
      </c>
      <c r="AL230" s="29" t="n">
        <f aca="false">INDEX($F230:$AG230,1,MATCH(AL$7,$F$7:$AG$7,1))</f>
        <v>343</v>
      </c>
      <c r="AM230" s="29" t="n">
        <f aca="false">INDEX($F230:$AG230,1,MATCH(AM$7,$F$7:$AG$7,1))</f>
        <v>859</v>
      </c>
      <c r="AN230" s="29" t="n">
        <f aca="false">INDEX($F230:$AG230,1,MATCH(AN$7,$F$7:$AG$7,1))</f>
        <v>1663</v>
      </c>
      <c r="AO230" s="29" t="n">
        <f aca="false">INDEX($F230:$AG230,1,MATCH(AO$7,$F$7:$AG$7,1))</f>
        <v>2123</v>
      </c>
    </row>
    <row r="231" customFormat="false" ht="15" hidden="false" customHeight="false" outlineLevel="0" collapsed="false">
      <c r="A231" s="104" t="s">
        <v>1514</v>
      </c>
      <c r="B231" s="20" t="s">
        <v>575</v>
      </c>
      <c r="C231" s="20" t="s">
        <v>513</v>
      </c>
      <c r="D231" s="20" t="s">
        <v>1515</v>
      </c>
      <c r="F231" s="113" t="n">
        <f aca="false">N(IF(F$5&lt;=LastHist,F107,CHOOSE(Scen,F108,F107,F106)))*$F$34</f>
        <v>0</v>
      </c>
      <c r="G231" s="113" t="n">
        <f aca="false">N(IF(G$5&lt;=LastHist,G107,CHOOSE(Scen,G108,G107,G106)))*$F$34</f>
        <v>0</v>
      </c>
      <c r="H231" s="113" t="n">
        <f aca="false">N(IF(H$5&lt;=LastHist,H107,CHOOSE(Scen,H108,H107,H106)))*$F$34</f>
        <v>0</v>
      </c>
      <c r="I231" s="113" t="n">
        <f aca="false">N(IF(I$5&lt;=LastHist,I107,CHOOSE(Scen,I108,I107,I106)))*$F$34</f>
        <v>0</v>
      </c>
      <c r="J231" s="113" t="n">
        <f aca="false">N(IF(J$5&lt;=LastHist,J107,CHOOSE(Scen,J108,J107,J106)))*$F$34</f>
        <v>0</v>
      </c>
      <c r="K231" s="113" t="n">
        <f aca="false">N(IF(K$5&lt;=LastHist,K107,CHOOSE(Scen,K108,K107,K106)))*$F$34</f>
        <v>0</v>
      </c>
      <c r="L231" s="113" t="n">
        <f aca="false">N(IF(L$5&lt;=LastHist,L107,CHOOSE(Scen,L108,L107,L106)))*$F$34</f>
        <v>0</v>
      </c>
      <c r="M231" s="113" t="n">
        <f aca="false">N(IF(M$5&lt;=LastHist,M107,CHOOSE(Scen,M108,M107,M106)))*$F$34</f>
        <v>0</v>
      </c>
      <c r="N231" s="113" t="n">
        <f aca="false">N(IF(N$5&lt;=LastHist,N107,CHOOSE(Scen,N108,N107,N106)))*$F$34</f>
        <v>0</v>
      </c>
      <c r="O231" s="113" t="n">
        <f aca="false">N(IF(O$5&lt;=LastHist,O107,CHOOSE(Scen,O108,O107,O106)))*$F$34</f>
        <v>0</v>
      </c>
      <c r="P231" s="31" t="n">
        <f aca="false">N(IF(P$5&lt;=LastHist,P107,CHOOSE(Scen,P108,P107,P106)))*$F$34</f>
        <v>0</v>
      </c>
      <c r="Q231" s="31" t="n">
        <f aca="false">N(IF(Q$5&lt;=LastHist,Q107,CHOOSE(Scen,Q108,Q107,Q106)))*$F$34</f>
        <v>0</v>
      </c>
      <c r="R231" s="31" t="n">
        <f aca="false">N(IF(R$5&lt;=LastHist,R107,CHOOSE(Scen,R108,R107,R106)))*$F$34</f>
        <v>0</v>
      </c>
      <c r="S231" s="31" t="n">
        <f aca="false">N(IF(S$5&lt;=LastHist,S107,CHOOSE(Scen,S108,S107,S106)))*$F$34</f>
        <v>0</v>
      </c>
      <c r="T231" s="31" t="n">
        <f aca="false">N(IF(T$5&lt;=LastHist,T107,CHOOSE(Scen,T108,T107,T106)))*$F$34</f>
        <v>12.5</v>
      </c>
      <c r="U231" s="31" t="n">
        <f aca="false">N(IF(U$5&lt;=LastHist,U107,CHOOSE(Scen,U108,U107,U106)))*$F$34</f>
        <v>25</v>
      </c>
      <c r="V231" s="31" t="n">
        <f aca="false">N(IF(V$5&lt;=LastHist,V107,CHOOSE(Scen,V108,V107,V106)))*$F$34</f>
        <v>37.5</v>
      </c>
      <c r="W231" s="31" t="n">
        <f aca="false">N(IF(W$5&lt;=LastHist,W107,CHOOSE(Scen,W108,W107,W106)))*$F$34</f>
        <v>37.5</v>
      </c>
      <c r="X231" s="31" t="n">
        <f aca="false">N(IF(X$5&lt;=LastHist,X107,CHOOSE(Scen,X108,X107,X106)))*$F$34</f>
        <v>50</v>
      </c>
      <c r="Y231" s="31" t="n">
        <f aca="false">N(IF(Y$5&lt;=LastHist,Y107,CHOOSE(Scen,Y108,Y107,Y106)))*$F$34</f>
        <v>50</v>
      </c>
      <c r="Z231" s="31" t="n">
        <f aca="false">N(IF(Z$5&lt;=LastHist,Z107,CHOOSE(Scen,Z108,Z107,Z106)))*$F$34</f>
        <v>50</v>
      </c>
      <c r="AA231" s="31" t="n">
        <f aca="false">N(IF(AA$5&lt;=LastHist,AA107,CHOOSE(Scen,AA108,AA107,AA106)))*$F$34</f>
        <v>50</v>
      </c>
      <c r="AB231" s="31" t="n">
        <f aca="false">N(IF(AB$5&lt;=LastHist,AB107,CHOOSE(Scen,AB108,AB107,AB106)))*$F$34</f>
        <v>50</v>
      </c>
      <c r="AC231" s="31" t="n">
        <f aca="false">N(IF(AC$5&lt;=LastHist,AC107,CHOOSE(Scen,AC108,AC107,AC106)))*$F$34</f>
        <v>50</v>
      </c>
      <c r="AD231" s="31" t="n">
        <f aca="false">N(IF(AD$5&lt;=LastHist,AD107,CHOOSE(Scen,AD108,AD107,AD106)))*$F$34</f>
        <v>50</v>
      </c>
      <c r="AE231" s="31" t="n">
        <f aca="false">N(IF(AE$5&lt;=LastHist,AE107,CHOOSE(Scen,AE108,AE107,AE106)))*$F$34</f>
        <v>50</v>
      </c>
      <c r="AF231" s="31" t="n">
        <f aca="false">N(IF(AF$5&lt;=LastHist,AF107,CHOOSE(Scen,AF108,AF107,AF106)))*$F$34</f>
        <v>50</v>
      </c>
      <c r="AG231" s="31" t="n">
        <f aca="false">N(IF(AG$5&lt;=LastHist,AG107,CHOOSE(Scen,AG108,AG107,AG106)))*$F$34</f>
        <v>50</v>
      </c>
      <c r="AI231" s="31" t="n">
        <f aca="false">INDEX($F231:$AG231,1,MATCH(AI$7,$F$7:$AG$7,1))</f>
        <v>0</v>
      </c>
      <c r="AJ231" s="31" t="n">
        <f aca="false">INDEX($F231:$AG231,1,MATCH(AJ$7,$F$7:$AG$7,1))</f>
        <v>0</v>
      </c>
      <c r="AK231" s="31" t="n">
        <f aca="false">INDEX($F231:$AG231,1,MATCH(AK$7,$F$7:$AG$7,1))</f>
        <v>0</v>
      </c>
      <c r="AL231" s="31" t="n">
        <f aca="false">INDEX($F231:$AG231,1,MATCH(AL$7,$F$7:$AG$7,1))</f>
        <v>25</v>
      </c>
      <c r="AM231" s="31" t="n">
        <f aca="false">INDEX($F231:$AG231,1,MATCH(AM$7,$F$7:$AG$7,1))</f>
        <v>50</v>
      </c>
      <c r="AN231" s="31" t="n">
        <f aca="false">INDEX($F231:$AG231,1,MATCH(AN$7,$F$7:$AG$7,1))</f>
        <v>50</v>
      </c>
      <c r="AO231" s="31" t="n">
        <f aca="false">INDEX($F231:$AG231,1,MATCH(AO$7,$F$7:$AG$7,1))</f>
        <v>50</v>
      </c>
    </row>
    <row r="232" customFormat="false" ht="15" hidden="false" customHeight="false" outlineLevel="0" collapsed="false">
      <c r="A232" s="104" t="s">
        <v>1516</v>
      </c>
      <c r="B232" s="20" t="s">
        <v>575</v>
      </c>
      <c r="C232" s="20" t="s">
        <v>1497</v>
      </c>
      <c r="D232" s="20"/>
      <c r="F232" s="113" t="n">
        <f aca="false">CoMWQ2-INDEX(EnBaseIT,1,LastHist)</f>
        <v>17</v>
      </c>
    </row>
    <row r="233" customFormat="false" ht="15" hidden="false" customHeight="false" outlineLevel="0" collapsed="false">
      <c r="A233" s="3" t="s">
        <v>1517</v>
      </c>
      <c r="B233" s="20" t="s">
        <v>575</v>
      </c>
      <c r="C233" s="20" t="s">
        <v>495</v>
      </c>
      <c r="D233" s="20" t="s">
        <v>1518</v>
      </c>
      <c r="F233" s="115" t="n">
        <f aca="false">IF(F$5&lt;=LastHist,F229+IF(AND(HistMWBasis&gt;=2,F$5&gt;=LastHist-1),MWUp,0),INDEX($F229:$AG229,1,MAX(LastHist,F$5-MW_Delay-CHOOSE(MWSel,0,EnLag,BillLag,EnLag)))*MW_Haircut+IF(HistMWBasis=2,MWUp,0))</f>
        <v>25</v>
      </c>
      <c r="G233" s="115" t="n">
        <f aca="false">IF(G$5&lt;=LastHist,G229+IF(AND(HistMWBasis&gt;=2,G$5&gt;=LastHist-1),MWUp,0),INDEX($F229:$AG229,1,MAX(LastHist,G$5-MW_Delay-CHOOSE(MWSel,0,EnLag,BillLag,EnLag)))*MW_Haircut+IF(HistMWBasis=2,MWUp,0))</f>
        <v>25</v>
      </c>
      <c r="H233" s="115" t="n">
        <f aca="false">IF(H$5&lt;=LastHist,H229+IF(AND(HistMWBasis&gt;=2,H$5&gt;=LastHist-1),MWUp,0),INDEX($F229:$AG229,1,MAX(LastHist,H$5-MW_Delay-CHOOSE(MWSel,0,EnLag,BillLag,EnLag)))*MW_Haircut+IF(HistMWBasis=2,MWUp,0))</f>
        <v>25</v>
      </c>
      <c r="I233" s="115" t="n">
        <f aca="false">IF(I$5&lt;=LastHist,I229+IF(AND(HistMWBasis&gt;=2,I$5&gt;=LastHist-1),MWUp,0),INDEX($F229:$AG229,1,MAX(LastHist,I$5-MW_Delay-CHOOSE(MWSel,0,EnLag,BillLag,EnLag)))*MW_Haircut+IF(HistMWBasis=2,MWUp,0))</f>
        <v>30</v>
      </c>
      <c r="J233" s="115" t="n">
        <f aca="false">IF(J$5&lt;=LastHist,J229+IF(AND(HistMWBasis&gt;=2,J$5&gt;=LastHist-1),MWUp,0),INDEX($F229:$AG229,1,MAX(LastHist,J$5-MW_Delay-CHOOSE(MWSel,0,EnLag,BillLag,EnLag)))*MW_Haircut+IF(HistMWBasis=2,MWUp,0))</f>
        <v>40</v>
      </c>
      <c r="K233" s="115" t="n">
        <f aca="false">IF(K$5&lt;=LastHist,K229+IF(AND(HistMWBasis&gt;=2,K$5&gt;=LastHist-1),MWUp,0),INDEX($F229:$AG229,1,MAX(LastHist,K$5-MW_Delay-CHOOSE(MWSel,0,EnLag,BillLag,EnLag)))*MW_Haircut+IF(HistMWBasis=2,MWUp,0))</f>
        <v>45</v>
      </c>
      <c r="L233" s="115" t="n">
        <f aca="false">IF(L$5&lt;=LastHist,L229+IF(AND(HistMWBasis&gt;=2,L$5&gt;=LastHist-1),MWUp,0),INDEX($F229:$AG229,1,MAX(LastHist,L$5-MW_Delay-CHOOSE(MWSel,0,EnLag,BillLag,EnLag)))*MW_Haircut+IF(HistMWBasis=2,MWUp,0))</f>
        <v>62.5</v>
      </c>
      <c r="M233" s="115" t="n">
        <f aca="false">IF(M$5&lt;=LastHist,M229+IF(AND(HistMWBasis&gt;=2,M$5&gt;=LastHist-1),MWUp,0),INDEX($F229:$AG229,1,MAX(LastHist,M$5-MW_Delay-CHOOSE(MWSel,0,EnLag,BillLag,EnLag)))*MW_Haircut+IF(HistMWBasis=2,MWUp,0))</f>
        <v>147.7</v>
      </c>
      <c r="N233" s="115" t="n">
        <f aca="false">IF(N$5&lt;=LastHist,N229+IF(AND(HistMWBasis&gt;=2,N$5&gt;=LastHist-1),MWUp,0),INDEX($F229:$AG229,1,MAX(LastHist,N$5-MW_Delay-CHOOSE(MWSel,0,EnLag,BillLag,EnLag)))*MW_Haircut+IF(HistMWBasis=2,MWUp,0))</f>
        <v>171.5</v>
      </c>
      <c r="O233" s="115" t="n">
        <f aca="false">IF(O$5&lt;=LastHist,O229+IF(AND(HistMWBasis&gt;=2,O$5&gt;=LastHist-1),MWUp,0),INDEX($F229:$AG229,1,MAX(LastHist,O$5-MW_Delay-CHOOSE(MWSel,0,EnLag,BillLag,EnLag)))*MW_Haircut+IF(HistMWBasis=2,MWUp,0))</f>
        <v>173</v>
      </c>
      <c r="P233" s="5" t="n">
        <f aca="false">IF(P$5&lt;=LastHist,P229+IF(AND(HistMWBasis&gt;=2,P$5&gt;=LastHist-1),MWUp,0),INDEX($F229:$AG229,1,MAX(LastHist,P$5-MW_Delay-CHOOSE(MWSel,0,EnLag,BillLag,EnLag)))*MW_Haircut+IF(HistMWBasis=2,MWUp,0))</f>
        <v>173</v>
      </c>
      <c r="Q233" s="5" t="n">
        <f aca="false">IF(Q$5&lt;=LastHist,Q229+IF(AND(HistMWBasis&gt;=2,Q$5&gt;=LastHist-1),MWUp,0),INDEX($F229:$AG229,1,MAX(LastHist,Q$5-MW_Delay-CHOOSE(MWSel,0,EnLag,BillLag,EnLag)))*MW_Haircut+IF(HistMWBasis=2,MWUp,0))</f>
        <v>207.5</v>
      </c>
      <c r="R233" s="5" t="n">
        <f aca="false">IF(R$5&lt;=LastHist,R229+IF(AND(HistMWBasis&gt;=2,R$5&gt;=LastHist-1),MWUp,0),INDEX($F229:$AG229,1,MAX(LastHist,R$5-MW_Delay-CHOOSE(MWSel,0,EnLag,BillLag,EnLag)))*MW_Haircut+IF(HistMWBasis=2,MWUp,0))</f>
        <v>292.4</v>
      </c>
      <c r="S233" s="5" t="n">
        <f aca="false">IF(S$5&lt;=LastHist,S229+IF(AND(HistMWBasis&gt;=2,S$5&gt;=LastHist-1),MWUp,0),INDEX($F229:$AG229,1,MAX(LastHist,S$5-MW_Delay-CHOOSE(MWSel,0,EnLag,BillLag,EnLag)))*MW_Haircut+IF(HistMWBasis=2,MWUp,0))</f>
        <v>416.4</v>
      </c>
      <c r="T233" s="5" t="n">
        <f aca="false">IF(T$5&lt;=LastHist,T229+IF(AND(HistMWBasis&gt;=2,T$5&gt;=LastHist-1),MWUp,0),INDEX($F229:$AG229,1,MAX(LastHist,T$5-MW_Delay-CHOOSE(MWSel,0,EnLag,BillLag,EnLag)))*MW_Haircut+IF(HistMWBasis=2,MWUp,0))</f>
        <v>545.1</v>
      </c>
      <c r="U233" s="5" t="n">
        <f aca="false">IF(U$5&lt;=LastHist,U229+IF(AND(HistMWBasis&gt;=2,U$5&gt;=LastHist-1),MWUp,0),INDEX($F229:$AG229,1,MAX(LastHist,U$5-MW_Delay-CHOOSE(MWSel,0,EnLag,BillLag,EnLag)))*MW_Haircut+IF(HistMWBasis=2,MWUp,0))</f>
        <v>684.5</v>
      </c>
      <c r="V233" s="5" t="n">
        <f aca="false">IF(V$5&lt;=LastHist,V229+IF(AND(HistMWBasis&gt;=2,V$5&gt;=LastHist-1),MWUp,0),INDEX($F229:$AG229,1,MAX(LastHist,V$5-MW_Delay-CHOOSE(MWSel,0,EnLag,BillLag,EnLag)))*MW_Haircut+IF(HistMWBasis=2,MWUp,0))</f>
        <v>950</v>
      </c>
      <c r="W233" s="5" t="n">
        <f aca="false">IF(W$5&lt;=LastHist,W229+IF(AND(HistMWBasis&gt;=2,W$5&gt;=LastHist-1),MWUp,0),INDEX($F229:$AG229,1,MAX(LastHist,W$5-MW_Delay-CHOOSE(MWSel,0,EnLag,BillLag,EnLag)))*MW_Haircut+IF(HistMWBasis=2,MWUp,0))</f>
        <v>1042.5</v>
      </c>
      <c r="X233" s="5" t="n">
        <f aca="false">IF(X$5&lt;=LastHist,X229+IF(AND(HistMWBasis&gt;=2,X$5&gt;=LastHist-1),MWUp,0),INDEX($F229:$AG229,1,MAX(LastHist,X$5-MW_Delay-CHOOSE(MWSel,0,EnLag,BillLag,EnLag)))*MW_Haircut+IF(HistMWBasis=2,MWUp,0))</f>
        <v>1198.5</v>
      </c>
      <c r="Y233" s="5" t="n">
        <f aca="false">IF(Y$5&lt;=LastHist,Y229+IF(AND(HistMWBasis&gt;=2,Y$5&gt;=LastHist-1),MWUp,0),INDEX($F229:$AG229,1,MAX(LastHist,Y$5-MW_Delay-CHOOSE(MWSel,0,EnLag,BillLag,EnLag)))*MW_Haircut+IF(HistMWBasis=2,MWUp,0))</f>
        <v>1211</v>
      </c>
      <c r="Z233" s="5" t="n">
        <f aca="false">IF(Z$5&lt;=LastHist,Z229+IF(AND(HistMWBasis&gt;=2,Z$5&gt;=LastHist-1),MWUp,0),INDEX($F229:$AG229,1,MAX(LastHist,Z$5-MW_Delay-CHOOSE(MWSel,0,EnLag,BillLag,EnLag)))*MW_Haircut+IF(HistMWBasis=2,MWUp,0))</f>
        <v>1539</v>
      </c>
      <c r="AA233" s="5" t="n">
        <f aca="false">IF(AA$5&lt;=LastHist,AA229+IF(AND(HistMWBasis&gt;=2,AA$5&gt;=LastHist-1),MWUp,0),INDEX($F229:$AG229,1,MAX(LastHist,AA$5-MW_Delay-CHOOSE(MWSel,0,EnLag,BillLag,EnLag)))*MW_Haircut+IF(HistMWBasis=2,MWUp,0))</f>
        <v>1539</v>
      </c>
      <c r="AB233" s="5" t="n">
        <f aca="false">IF(AB$5&lt;=LastHist,AB229+IF(AND(HistMWBasis&gt;=2,AB$5&gt;=LastHist-1),MWUp,0),INDEX($F229:$AG229,1,MAX(LastHist,AB$5-MW_Delay-CHOOSE(MWSel,0,EnLag,BillLag,EnLag)))*MW_Haircut+IF(HistMWBasis=2,MWUp,0))</f>
        <v>1875</v>
      </c>
      <c r="AC233" s="5" t="n">
        <f aca="false">IF(AC$5&lt;=LastHist,AC229+IF(AND(HistMWBasis&gt;=2,AC$5&gt;=LastHist-1),MWUp,0),INDEX($F229:$AG229,1,MAX(LastHist,AC$5-MW_Delay-CHOOSE(MWSel,0,EnLag,BillLag,EnLag)))*MW_Haircut+IF(HistMWBasis=2,MWUp,0))</f>
        <v>1875</v>
      </c>
      <c r="AD233" s="5" t="n">
        <f aca="false">IF(AD$5&lt;=LastHist,AD229+IF(AND(HistMWBasis&gt;=2,AD$5&gt;=LastHist-1),MWUp,0),INDEX($F229:$AG229,1,MAX(LastHist,AD$5-MW_Delay-CHOOSE(MWSel,0,EnLag,BillLag,EnLag)))*MW_Haircut+IF(HistMWBasis=2,MWUp,0))</f>
        <v>2343</v>
      </c>
      <c r="AE233" s="5" t="n">
        <f aca="false">IF(AE$5&lt;=LastHist,AE229+IF(AND(HistMWBasis&gt;=2,AE$5&gt;=LastHist-1),MWUp,0),INDEX($F229:$AG229,1,MAX(LastHist,AE$5-MW_Delay-CHOOSE(MWSel,0,EnLag,BillLag,EnLag)))*MW_Haircut+IF(HistMWBasis=2,MWUp,0))</f>
        <v>2343</v>
      </c>
      <c r="AF233" s="5" t="n">
        <f aca="false">IF(AF$5&lt;=LastHist,AF229+IF(AND(HistMWBasis&gt;=2,AF$5&gt;=LastHist-1),MWUp,0),INDEX($F229:$AG229,1,MAX(LastHist,AF$5-MW_Delay-CHOOSE(MWSel,0,EnLag,BillLag,EnLag)))*MW_Haircut+IF(HistMWBasis=2,MWUp,0))</f>
        <v>2343</v>
      </c>
      <c r="AG233" s="5" t="n">
        <f aca="false">IF(AG$5&lt;=LastHist,AG229+IF(AND(HistMWBasis&gt;=2,AG$5&gt;=LastHist-1),MWUp,0),INDEX($F229:$AG229,1,MAX(LastHist,AG$5-MW_Delay-CHOOSE(MWSel,0,EnLag,BillLag,EnLag)))*MW_Haircut+IF(HistMWBasis=2,MWUp,0))</f>
        <v>2343</v>
      </c>
      <c r="AI233" s="5" t="n">
        <f aca="false">INDEX($F233:$AG233,1,MATCH(AI$7,$F$7:$AG$7,1))</f>
        <v>30</v>
      </c>
      <c r="AJ233" s="5" t="n">
        <f aca="false">INDEX($F233:$AG233,1,MATCH(AJ$7,$F$7:$AG$7,1))</f>
        <v>147.7</v>
      </c>
      <c r="AK233" s="5" t="n">
        <f aca="false">INDEX($F233:$AG233,1,MATCH(AK$7,$F$7:$AG$7,1))</f>
        <v>207.5</v>
      </c>
      <c r="AL233" s="5" t="n">
        <f aca="false">INDEX($F233:$AG233,1,MATCH(AL$7,$F$7:$AG$7,1))</f>
        <v>684.5</v>
      </c>
      <c r="AM233" s="5" t="n">
        <f aca="false">INDEX($F233:$AG233,1,MATCH(AM$7,$F$7:$AG$7,1))</f>
        <v>1211</v>
      </c>
      <c r="AN233" s="5" t="n">
        <f aca="false">INDEX($F233:$AG233,1,MATCH(AN$7,$F$7:$AG$7,1))</f>
        <v>1875</v>
      </c>
      <c r="AO233" s="5" t="n">
        <f aca="false">INDEX($F233:$AG233,1,MATCH(AO$7,$F$7:$AG$7,1))</f>
        <v>2343</v>
      </c>
    </row>
    <row r="234" customFormat="false" ht="15" hidden="false" customHeight="false" outlineLevel="0" collapsed="false">
      <c r="A234" s="104" t="s">
        <v>1519</v>
      </c>
      <c r="B234" s="20" t="s">
        <v>549</v>
      </c>
      <c r="C234" s="20" t="s">
        <v>495</v>
      </c>
      <c r="D234" s="20"/>
      <c r="F234" s="116" t="n">
        <f aca="false">IF(F229&gt;0,F230/F229,0)</f>
        <v>1</v>
      </c>
      <c r="G234" s="116" t="n">
        <f aca="false">IF(G229&gt;0,G230/G229,0)</f>
        <v>1</v>
      </c>
      <c r="H234" s="116" t="n">
        <f aca="false">IF(H229&gt;0,H230/H229,0)</f>
        <v>1</v>
      </c>
      <c r="I234" s="116" t="n">
        <f aca="false">IF(I229&gt;0,I230/I229,0)</f>
        <v>0.833333333333333</v>
      </c>
      <c r="J234" s="116" t="n">
        <f aca="false">IF(J229&gt;0,J230/J229,0)</f>
        <v>0.625</v>
      </c>
      <c r="K234" s="116" t="n">
        <f aca="false">IF(K229&gt;0,K230/K229,0)</f>
        <v>0.555555555555556</v>
      </c>
      <c r="L234" s="116" t="n">
        <f aca="false">IF(L229&gt;0,L230/L229,0)</f>
        <v>0.6</v>
      </c>
      <c r="M234" s="116" t="n">
        <f aca="false">IF(M229&gt;0,M230/M229,0)</f>
        <v>0.423155044008125</v>
      </c>
      <c r="N234" s="116" t="n">
        <f aca="false">IF(N229&gt;0,N230/N229,0)</f>
        <v>0.43731778425656</v>
      </c>
      <c r="O234" s="116" t="n">
        <f aca="false">IF(O229&gt;0,O230/O229,0)</f>
        <v>0.433526011560694</v>
      </c>
      <c r="P234" s="25" t="n">
        <f aca="false">IF(P229&gt;0,P230/P229,0)</f>
        <v>0.36144578313253</v>
      </c>
      <c r="Q234" s="25" t="n">
        <f aca="false">IF(Q229&gt;0,Q230/Q229,0)</f>
        <v>0.256497948016416</v>
      </c>
      <c r="R234" s="25" t="n">
        <f aca="false">IF(R229&gt;0,R230/R229,0)</f>
        <v>0.204130643611912</v>
      </c>
      <c r="S234" s="25" t="n">
        <f aca="false">IF(S229&gt;0,S230/S229,0)</f>
        <v>0.199963309484498</v>
      </c>
      <c r="T234" s="25" t="n">
        <f aca="false">IF(T229&gt;0,T230/T229,0)</f>
        <v>0.267348429510592</v>
      </c>
      <c r="U234" s="25" t="n">
        <f aca="false">IF(U229&gt;0,U230/U229,0)</f>
        <v>0.361052631578947</v>
      </c>
      <c r="V234" s="25" t="n">
        <f aca="false">IF(V229&gt;0,V230/V229,0)</f>
        <v>0.405755395683453</v>
      </c>
      <c r="W234" s="25" t="n">
        <f aca="false">IF(W229&gt;0,W230/W229,0)</f>
        <v>0.483103879849812</v>
      </c>
      <c r="X234" s="25" t="n">
        <f aca="false">IF(X229&gt;0,X230/X229,0)</f>
        <v>0.478117258464079</v>
      </c>
      <c r="Y234" s="25" t="n">
        <f aca="false">IF(Y229&gt;0,Y230/Y229,0)</f>
        <v>0.558154645873944</v>
      </c>
      <c r="Z234" s="25" t="n">
        <f aca="false">IF(Z229&gt;0,Z230/Z229,0)</f>
        <v>0.558154645873944</v>
      </c>
      <c r="AA234" s="25" t="n">
        <f aca="false">IF(AA229&gt;0,AA230/AA229,0)</f>
        <v>0.637333333333333</v>
      </c>
      <c r="AB234" s="25" t="n">
        <f aca="false">IF(AB229&gt;0,AB230/AB229,0)</f>
        <v>0.637333333333333</v>
      </c>
      <c r="AC234" s="25" t="n">
        <f aca="false">IF(AC229&gt;0,AC230/AC229,0)</f>
        <v>0.709773794280837</v>
      </c>
      <c r="AD234" s="25" t="n">
        <f aca="false">IF(AD229&gt;0,AD230/AD229,0)</f>
        <v>0.709773794280837</v>
      </c>
      <c r="AE234" s="25" t="n">
        <f aca="false">IF(AE229&gt;0,AE230/AE229,0)</f>
        <v>0.709773794280837</v>
      </c>
      <c r="AF234" s="25" t="n">
        <f aca="false">IF(AF229&gt;0,AF230/AF229,0)</f>
        <v>0.709773794280837</v>
      </c>
      <c r="AG234" s="25" t="n">
        <f aca="false">IF(AG229&gt;0,AG230/AG229,0)</f>
        <v>0.757402782732786</v>
      </c>
      <c r="AI234" s="25" t="n">
        <f aca="false">AVERAGEIF($F$7:$AG$7,AI$7,$F234:$AG234)</f>
        <v>0.958333333333333</v>
      </c>
      <c r="AJ234" s="25" t="n">
        <f aca="false">AVERAGEIF($F$7:$AG$7,AJ$7,$F234:$AG234)</f>
        <v>0.55092764989092</v>
      </c>
      <c r="AK234" s="25" t="n">
        <f aca="false">AVERAGEIF($F$7:$AG$7,AK$7,$F234:$AG234)</f>
        <v>0.37219688174155</v>
      </c>
      <c r="AL234" s="25" t="n">
        <f aca="false">AVERAGEIF($F$7:$AG$7,AL$7,$F234:$AG234)</f>
        <v>0.258123753546487</v>
      </c>
      <c r="AM234" s="25" t="n">
        <f aca="false">AVERAGEIF($F$7:$AG$7,AM$7,$F234:$AG234)</f>
        <v>0.481282794967822</v>
      </c>
      <c r="AN234" s="25" t="n">
        <f aca="false">AVERAGEIF($F$7:$AG$7,AN$7,$F234:$AG234)</f>
        <v>0.635648776705362</v>
      </c>
      <c r="AO234" s="25" t="n">
        <f aca="false">AVERAGEIF($F$7:$AG$7,AO$7,$F234:$AG234)</f>
        <v>0.721681041393824</v>
      </c>
    </row>
    <row r="235" customFormat="false" ht="15" hidden="false" customHeight="false" outlineLevel="0" collapsed="false">
      <c r="A235" s="104" t="s">
        <v>1520</v>
      </c>
      <c r="B235" s="20" t="s">
        <v>575</v>
      </c>
      <c r="C235" s="20" t="s">
        <v>495</v>
      </c>
      <c r="D235" s="20"/>
      <c r="F235" s="108" t="n">
        <f aca="false">F233*PUE</f>
        <v>31.25</v>
      </c>
      <c r="G235" s="108" t="n">
        <f aca="false">G233*PUE</f>
        <v>31.25</v>
      </c>
      <c r="H235" s="108" t="n">
        <f aca="false">H233*PUE</f>
        <v>31.25</v>
      </c>
      <c r="I235" s="108" t="n">
        <f aca="false">I233*PUE</f>
        <v>37.5</v>
      </c>
      <c r="J235" s="108" t="n">
        <f aca="false">J233*PUE</f>
        <v>50</v>
      </c>
      <c r="K235" s="108" t="n">
        <f aca="false">K233*PUE</f>
        <v>56.25</v>
      </c>
      <c r="L235" s="108" t="n">
        <f aca="false">L233*PUE</f>
        <v>78.125</v>
      </c>
      <c r="M235" s="108" t="n">
        <f aca="false">M233*PUE</f>
        <v>184.625</v>
      </c>
      <c r="N235" s="108" t="n">
        <f aca="false">N233*PUE</f>
        <v>214.375</v>
      </c>
      <c r="O235" s="108" t="n">
        <f aca="false">O233*PUE</f>
        <v>216.25</v>
      </c>
      <c r="P235" s="29" t="n">
        <f aca="false">P233*PUE</f>
        <v>216.25</v>
      </c>
      <c r="Q235" s="29" t="n">
        <f aca="false">Q233*PUE</f>
        <v>259.375</v>
      </c>
      <c r="R235" s="29" t="n">
        <f aca="false">R233*PUE</f>
        <v>365.5</v>
      </c>
      <c r="S235" s="29" t="n">
        <f aca="false">S233*PUE</f>
        <v>520.5</v>
      </c>
      <c r="T235" s="29" t="n">
        <f aca="false">T233*PUE</f>
        <v>681.375</v>
      </c>
      <c r="U235" s="29" t="n">
        <f aca="false">U233*PUE</f>
        <v>855.625</v>
      </c>
      <c r="V235" s="29" t="n">
        <f aca="false">V233*PUE</f>
        <v>1187.5</v>
      </c>
      <c r="W235" s="29" t="n">
        <f aca="false">W233*PUE</f>
        <v>1303.125</v>
      </c>
      <c r="X235" s="29" t="n">
        <f aca="false">X233*PUE</f>
        <v>1498.125</v>
      </c>
      <c r="Y235" s="29" t="n">
        <f aca="false">Y233*PUE</f>
        <v>1513.75</v>
      </c>
      <c r="Z235" s="29" t="n">
        <f aca="false">Z233*PUE</f>
        <v>1923.75</v>
      </c>
      <c r="AA235" s="29" t="n">
        <f aca="false">AA233*PUE</f>
        <v>1923.75</v>
      </c>
      <c r="AB235" s="29" t="n">
        <f aca="false">AB233*PUE</f>
        <v>2343.75</v>
      </c>
      <c r="AC235" s="29" t="n">
        <f aca="false">AC233*PUE</f>
        <v>2343.75</v>
      </c>
      <c r="AD235" s="29" t="n">
        <f aca="false">AD233*PUE</f>
        <v>2928.75</v>
      </c>
      <c r="AE235" s="29" t="n">
        <f aca="false">AE233*PUE</f>
        <v>2928.75</v>
      </c>
      <c r="AF235" s="29" t="n">
        <f aca="false">AF233*PUE</f>
        <v>2928.75</v>
      </c>
      <c r="AG235" s="29" t="n">
        <f aca="false">AG233*PUE</f>
        <v>2928.75</v>
      </c>
      <c r="AI235" s="29" t="n">
        <f aca="false">INDEX($F235:$AG235,1,MATCH(AI$7,$F$7:$AG$7,1))</f>
        <v>37.5</v>
      </c>
      <c r="AJ235" s="29" t="n">
        <f aca="false">INDEX($F235:$AG235,1,MATCH(AJ$7,$F$7:$AG$7,1))</f>
        <v>184.625</v>
      </c>
      <c r="AK235" s="29" t="n">
        <f aca="false">INDEX($F235:$AG235,1,MATCH(AK$7,$F$7:$AG$7,1))</f>
        <v>259.375</v>
      </c>
      <c r="AL235" s="29" t="n">
        <f aca="false">INDEX($F235:$AG235,1,MATCH(AL$7,$F$7:$AG$7,1))</f>
        <v>855.625</v>
      </c>
      <c r="AM235" s="29" t="n">
        <f aca="false">INDEX($F235:$AG235,1,MATCH(AM$7,$F$7:$AG$7,1))</f>
        <v>1513.75</v>
      </c>
      <c r="AN235" s="29" t="n">
        <f aca="false">INDEX($F235:$AG235,1,MATCH(AN$7,$F$7:$AG$7,1))</f>
        <v>2343.75</v>
      </c>
      <c r="AO235" s="29" t="n">
        <f aca="false">INDEX($F235:$AG235,1,MATCH(AO$7,$F$7:$AG$7,1))</f>
        <v>2928.75</v>
      </c>
    </row>
    <row r="236" customFormat="false" ht="15" hidden="false" customHeight="false" outlineLevel="0" collapsed="false">
      <c r="A236" s="104" t="s">
        <v>1521</v>
      </c>
      <c r="B236" s="20" t="s">
        <v>575</v>
      </c>
      <c r="C236" s="20" t="s">
        <v>495</v>
      </c>
      <c r="D236" s="20"/>
      <c r="F236" s="108" t="n">
        <f aca="false">F143</f>
        <v>0</v>
      </c>
      <c r="G236" s="108" t="n">
        <f aca="false">G143</f>
        <v>0</v>
      </c>
      <c r="H236" s="108" t="n">
        <f aca="false">H143</f>
        <v>5</v>
      </c>
      <c r="I236" s="108" t="n">
        <f aca="false">I143</f>
        <v>130</v>
      </c>
      <c r="J236" s="108" t="n">
        <f aca="false">J143</f>
        <v>430</v>
      </c>
      <c r="K236" s="108" t="n">
        <f aca="false">K143</f>
        <v>454</v>
      </c>
      <c r="L236" s="108" t="n">
        <f aca="false">L143</f>
        <v>694</v>
      </c>
      <c r="M236" s="108" t="n">
        <f aca="false">M143</f>
        <v>1654</v>
      </c>
      <c r="N236" s="108" t="n">
        <f aca="false">N143</f>
        <v>2200</v>
      </c>
      <c r="O236" s="108" t="n">
        <f aca="false">O143</f>
        <v>3239</v>
      </c>
      <c r="P236" s="29" t="n">
        <f aca="false">P143</f>
        <v>3400</v>
      </c>
      <c r="Q236" s="29" t="n">
        <f aca="false">Q143</f>
        <v>4000</v>
      </c>
      <c r="R236" s="29" t="n">
        <f aca="false">R143</f>
        <v>4000</v>
      </c>
      <c r="S236" s="29" t="n">
        <f aca="false">S143</f>
        <v>4000</v>
      </c>
      <c r="T236" s="29" t="n">
        <f aca="false">T143</f>
        <v>4000</v>
      </c>
      <c r="U236" s="29" t="n">
        <f aca="false">U143</f>
        <v>4000</v>
      </c>
      <c r="V236" s="29" t="n">
        <f aca="false">V143</f>
        <v>4000</v>
      </c>
      <c r="W236" s="29" t="n">
        <f aca="false">W143</f>
        <v>4000</v>
      </c>
      <c r="X236" s="29" t="n">
        <f aca="false">X143</f>
        <v>4000</v>
      </c>
      <c r="Y236" s="29" t="n">
        <f aca="false">Y143</f>
        <v>4000</v>
      </c>
      <c r="Z236" s="29" t="n">
        <f aca="false">Z143</f>
        <v>4000</v>
      </c>
      <c r="AA236" s="29" t="n">
        <f aca="false">AA143</f>
        <v>4000</v>
      </c>
      <c r="AB236" s="29" t="n">
        <f aca="false">AB143</f>
        <v>4000</v>
      </c>
      <c r="AC236" s="29" t="n">
        <f aca="false">AC143</f>
        <v>4000</v>
      </c>
      <c r="AD236" s="29" t="n">
        <f aca="false">AD143</f>
        <v>4000</v>
      </c>
      <c r="AE236" s="29" t="n">
        <f aca="false">AE143</f>
        <v>4000</v>
      </c>
      <c r="AF236" s="29" t="n">
        <f aca="false">AF143</f>
        <v>4000</v>
      </c>
      <c r="AG236" s="29" t="n">
        <f aca="false">AG143</f>
        <v>4000</v>
      </c>
      <c r="AI236" s="29" t="n">
        <f aca="false">INDEX($F236:$AG236,1,MATCH(AI$7,$F$7:$AG$7,1))</f>
        <v>130</v>
      </c>
      <c r="AJ236" s="29" t="n">
        <f aca="false">INDEX($F236:$AG236,1,MATCH(AJ$7,$F$7:$AG$7,1))</f>
        <v>1654</v>
      </c>
      <c r="AK236" s="29" t="n">
        <f aca="false">INDEX($F236:$AG236,1,MATCH(AK$7,$F$7:$AG$7,1))</f>
        <v>4000</v>
      </c>
      <c r="AL236" s="29" t="n">
        <f aca="false">INDEX($F236:$AG236,1,MATCH(AL$7,$F$7:$AG$7,1))</f>
        <v>4000</v>
      </c>
      <c r="AM236" s="29" t="n">
        <f aca="false">INDEX($F236:$AG236,1,MATCH(AM$7,$F$7:$AG$7,1))</f>
        <v>4000</v>
      </c>
      <c r="AN236" s="29" t="n">
        <f aca="false">INDEX($F236:$AG236,1,MATCH(AN$7,$F$7:$AG$7,1))</f>
        <v>4000</v>
      </c>
      <c r="AO236" s="29" t="n">
        <f aca="false">INDEX($F236:$AG236,1,MATCH(AO$7,$F$7:$AG$7,1))</f>
        <v>4000</v>
      </c>
    </row>
    <row r="237" customFormat="false" ht="15" hidden="false" customHeight="false" outlineLevel="0" collapsed="false">
      <c r="A237" s="104" t="s">
        <v>1522</v>
      </c>
      <c r="B237" s="20" t="s">
        <v>499</v>
      </c>
      <c r="C237" s="20" t="s">
        <v>495</v>
      </c>
      <c r="D237" s="20"/>
      <c r="F237" s="117" t="n">
        <f aca="false">COUNTIF($E$12:$E$36,"Red")</f>
        <v>5</v>
      </c>
    </row>
  </sheetData>
  <dataValidations count="5">
    <dataValidation allowBlank="false" errorStyle="stop" operator="between" showDropDown="false" showErrorMessage="false" showInputMessage="false" sqref="B12:B35" type="list">
      <formula1>"Owned,Leased-colo,Build-to-suit lease"</formula1>
      <formula2>0</formula2>
    </dataValidation>
    <dataValidation allowBlank="false" errorStyle="stop" operator="between" showDropDown="false" showErrorMessage="false" showInputMessage="false" sqref="C12:C36" type="list">
      <formula1>"IT,Facility"</formula1>
      <formula2>0</formula2>
    </dataValidation>
    <dataValidation allowBlank="false" errorStyle="stop" operator="between" showDropDown="false" showErrorMessage="false" showInputMessage="false" sqref="E12:E36" type="list">
      <formula1>"Green,Yellow,Red"</formula1>
      <formula2>0</formula2>
    </dataValidation>
    <dataValidation allowBlank="false" errorStyle="stop" operator="between" showDropDown="false" showErrorMessage="false" showInputMessage="false" sqref="N12:N35" type="list">
      <formula1>"Hopper H100/H200,B200 (HGX),B300 (HGX),GB200 NVL72,GB300 NVL72,Vera Rubin NVL72,n/d"</formula1>
      <formula2>0</formula2>
    </dataValidation>
    <dataValidation allowBlank="false" errorStyle="stop" operator="between" showDropDown="false" showErrorMessage="false" showInputMessage="false" sqref="L12:L35" type="list">
      <formula1>"Interconnect,Permits,Job postings,Shipments,Company disclosure,None yet"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1523</v>
      </c>
    </row>
    <row r="2" customFormat="false" ht="15" hidden="false" customHeight="false" outlineLevel="0" collapsed="false">
      <c r="A2" s="20" t="s">
        <v>1524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1525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1526</v>
      </c>
      <c r="B11" s="3" t="s">
        <v>1527</v>
      </c>
      <c r="C11" s="3" t="s">
        <v>1528</v>
      </c>
      <c r="D11" s="3" t="s">
        <v>1529</v>
      </c>
      <c r="E11" s="3" t="s">
        <v>1530</v>
      </c>
      <c r="F11" s="3" t="s">
        <v>1531</v>
      </c>
      <c r="G11" s="3" t="s">
        <v>1532</v>
      </c>
      <c r="H11" s="3" t="s">
        <v>1533</v>
      </c>
      <c r="I11" s="3" t="s">
        <v>490</v>
      </c>
      <c r="J11" s="3" t="s">
        <v>1534</v>
      </c>
    </row>
    <row r="12" customFormat="false" ht="15" hidden="false" customHeight="false" outlineLevel="0" collapsed="false">
      <c r="A12" s="0" t="s">
        <v>1535</v>
      </c>
      <c r="B12" s="0" t="s">
        <v>1536</v>
      </c>
      <c r="C12" s="86" t="n">
        <v>3.85</v>
      </c>
      <c r="D12" s="86" t="n">
        <v>4.5</v>
      </c>
      <c r="E12" s="86" t="n">
        <v>0.79</v>
      </c>
      <c r="F12" s="24" t="n">
        <f aca="false">D12*(1-ResDisc)</f>
        <v>2.925</v>
      </c>
      <c r="G12" s="66" t="n">
        <v>0.5</v>
      </c>
      <c r="H12" s="0" t="s">
        <v>507</v>
      </c>
      <c r="I12" s="20" t="s">
        <v>1537</v>
      </c>
      <c r="J12" s="24" t="n">
        <f aca="false">ODq_H100</f>
        <v>3.25</v>
      </c>
    </row>
    <row r="13" customFormat="false" ht="15" hidden="false" customHeight="false" outlineLevel="0" collapsed="false">
      <c r="A13" s="0" t="s">
        <v>1538</v>
      </c>
      <c r="B13" s="0" t="s">
        <v>1536</v>
      </c>
      <c r="C13" s="86" t="n">
        <v>4.5</v>
      </c>
      <c r="D13" s="86" t="n">
        <v>5.4</v>
      </c>
      <c r="E13" s="86" t="n">
        <v>0.79</v>
      </c>
      <c r="F13" s="24" t="n">
        <f aca="false">D13*(1-ResDisc)</f>
        <v>3.51</v>
      </c>
      <c r="G13" s="66" t="n">
        <v>0.5</v>
      </c>
      <c r="H13" s="0" t="s">
        <v>507</v>
      </c>
      <c r="I13" s="20" t="s">
        <v>1539</v>
      </c>
      <c r="J13" s="24" t="n">
        <f aca="false">C13</f>
        <v>4.5</v>
      </c>
    </row>
    <row r="14" customFormat="false" ht="15" hidden="false" customHeight="false" outlineLevel="0" collapsed="false">
      <c r="A14" s="0" t="s">
        <v>1540</v>
      </c>
      <c r="B14" s="0" t="s">
        <v>1541</v>
      </c>
      <c r="C14" s="86" t="n">
        <v>7.15</v>
      </c>
      <c r="D14" s="86" t="n">
        <v>8.5</v>
      </c>
      <c r="E14" s="86" t="n">
        <v>0.99</v>
      </c>
      <c r="F14" s="24" t="n">
        <f aca="false">D14*(1-ResDisc)</f>
        <v>5.525</v>
      </c>
      <c r="G14" s="66" t="n">
        <v>0.25</v>
      </c>
      <c r="H14" s="0" t="s">
        <v>507</v>
      </c>
      <c r="I14" s="20" t="s">
        <v>1539</v>
      </c>
      <c r="J14" s="24" t="n">
        <f aca="false">C14</f>
        <v>7.15</v>
      </c>
    </row>
    <row r="15" customFormat="false" ht="15" hidden="false" customHeight="false" outlineLevel="0" collapsed="false">
      <c r="A15" s="0" t="s">
        <v>1542</v>
      </c>
      <c r="B15" s="0" t="s">
        <v>1541</v>
      </c>
      <c r="C15" s="86" t="n">
        <v>7.85</v>
      </c>
      <c r="D15" s="86" t="n">
        <v>9.5</v>
      </c>
      <c r="E15" s="86" t="n">
        <v>0.99</v>
      </c>
      <c r="F15" s="24" t="n">
        <f aca="false">D15*(1-ResDisc)</f>
        <v>6.175</v>
      </c>
      <c r="G15" s="66" t="n">
        <v>0.25</v>
      </c>
      <c r="H15" s="0" t="s">
        <v>507</v>
      </c>
      <c r="I15" s="20" t="s">
        <v>1539</v>
      </c>
      <c r="J15" s="24" t="n">
        <f aca="false">C15</f>
        <v>7.85</v>
      </c>
    </row>
    <row r="16" customFormat="false" ht="15" hidden="false" customHeight="false" outlineLevel="0" collapsed="false">
      <c r="A16" s="0" t="s">
        <v>1543</v>
      </c>
      <c r="B16" s="0" t="s">
        <v>1541</v>
      </c>
      <c r="C16" s="89" t="n">
        <f aca="false">C15*GB_Prem</f>
        <v>9.577</v>
      </c>
      <c r="D16" s="89" t="n">
        <f aca="false">D15*GB_Prem</f>
        <v>11.59</v>
      </c>
      <c r="E16" s="89" t="n">
        <f aca="false">E15</f>
        <v>0.99</v>
      </c>
      <c r="F16" s="24" t="n">
        <f aca="false">D16*(1-ResDisc)</f>
        <v>7.5335</v>
      </c>
      <c r="G16" s="66" t="n">
        <v>0.25</v>
      </c>
      <c r="H16" s="0" t="s">
        <v>1000</v>
      </c>
      <c r="I16" s="20" t="s">
        <v>1544</v>
      </c>
      <c r="J16" s="24" t="n">
        <f aca="false">C16</f>
        <v>9.577</v>
      </c>
    </row>
    <row r="17" customFormat="false" ht="15" hidden="false" customHeight="false" outlineLevel="0" collapsed="false">
      <c r="A17" s="0" t="s">
        <v>1342</v>
      </c>
      <c r="B17" s="0" t="s">
        <v>1541</v>
      </c>
      <c r="C17" s="89" t="n">
        <f aca="false">C15*GB_Prem</f>
        <v>9.577</v>
      </c>
      <c r="D17" s="89" t="n">
        <f aca="false">D15*GB_Prem</f>
        <v>11.59</v>
      </c>
      <c r="E17" s="89" t="n">
        <f aca="false">E15</f>
        <v>0.99</v>
      </c>
      <c r="F17" s="24" t="n">
        <f aca="false">D17*(1-ResDisc)</f>
        <v>7.5335</v>
      </c>
      <c r="G17" s="66" t="n">
        <v>0.25</v>
      </c>
      <c r="H17" s="0" t="s">
        <v>1000</v>
      </c>
      <c r="I17" s="20" t="s">
        <v>1545</v>
      </c>
      <c r="J17" s="24" t="n">
        <f aca="false">C17</f>
        <v>9.577</v>
      </c>
    </row>
    <row r="18" customFormat="false" ht="15" hidden="false" customHeight="false" outlineLevel="0" collapsed="false">
      <c r="A18" s="0" t="s">
        <v>1546</v>
      </c>
      <c r="B18" s="0" t="s">
        <v>1547</v>
      </c>
      <c r="C18" s="89" t="n">
        <f aca="false">C15*Rubin_Prem*GB_Prem</f>
        <v>11.4924</v>
      </c>
      <c r="D18" s="89" t="n">
        <f aca="false">D15*Rubin_Prem*GB_Prem</f>
        <v>13.908</v>
      </c>
      <c r="E18" s="89" t="n">
        <f aca="false">E15</f>
        <v>0.99</v>
      </c>
      <c r="F18" s="24" t="n">
        <f aca="false">D18*(1-ResDisc)</f>
        <v>9.0402</v>
      </c>
      <c r="G18" s="66" t="n">
        <v>1</v>
      </c>
      <c r="H18" s="0" t="s">
        <v>1000</v>
      </c>
      <c r="I18" s="20" t="s">
        <v>1548</v>
      </c>
      <c r="J18" s="24" t="n">
        <f aca="false">C18</f>
        <v>11.4924</v>
      </c>
    </row>
    <row r="20" customFormat="false" ht="15" hidden="false" customHeight="false" outlineLevel="0" collapsed="false">
      <c r="A20" s="3" t="s">
        <v>1549</v>
      </c>
      <c r="B20" s="3" t="s">
        <v>1527</v>
      </c>
      <c r="C20" s="3" t="s">
        <v>1550</v>
      </c>
      <c r="D20" s="3" t="s">
        <v>1551</v>
      </c>
      <c r="E20" s="3" t="s">
        <v>1552</v>
      </c>
      <c r="F20" s="3" t="s">
        <v>1553</v>
      </c>
    </row>
    <row r="21" customFormat="false" ht="15" hidden="false" customHeight="false" outlineLevel="0" collapsed="false">
      <c r="A21" s="0" t="s">
        <v>1554</v>
      </c>
      <c r="B21" s="0" t="s">
        <v>1536</v>
      </c>
      <c r="C21" s="24" t="n">
        <f aca="false">SUMPRODUCT(($B$12:$B$18=$B21)*C$12:C$18*$G$12:$G$18)/SUMIF($B$12:$B$18,$B21,$G$12:$G$18)</f>
        <v>4.175</v>
      </c>
      <c r="D21" s="24" t="n">
        <f aca="false">SUMPRODUCT(($B$12:$B$18=$B21)*D$12:D$18*$G$12:$G$18)/SUMIF($B$12:$B$18,$B21,$G$12:$G$18)</f>
        <v>4.95</v>
      </c>
      <c r="E21" s="24" t="n">
        <f aca="false">SUMPRODUCT(($B$12:$B$18=$B21)*E$12:E$18*$G$12:$G$18)/SUMIF($B$12:$B$18,$B21,$G$12:$G$18)</f>
        <v>0.79</v>
      </c>
      <c r="F21" s="24" t="n">
        <f aca="false">SUMPRODUCT(($B$12:$B$18=$B21)*F$12:F$18*$G$12:$G$18)/SUMIF($B$12:$B$18,$B21,$G$12:$G$18)</f>
        <v>3.2175</v>
      </c>
      <c r="J21" s="24" t="n">
        <f aca="false">SUMPRODUCT(($B$12:$B$18=$B21)*J$12:J$18*$G$12:$G$18)/SUMIF($B$12:$B$18,$B21,$G$12:$G$18)</f>
        <v>3.875</v>
      </c>
    </row>
    <row r="22" customFormat="false" ht="15" hidden="false" customHeight="false" outlineLevel="0" collapsed="false">
      <c r="A22" s="0" t="s">
        <v>1555</v>
      </c>
      <c r="B22" s="0" t="s">
        <v>1541</v>
      </c>
      <c r="C22" s="24" t="n">
        <f aca="false">SUMPRODUCT(($B$12:$B$18=$B22)*C$12:C$18*$G$12:$G$18)/SUMIF($B$12:$B$18,$B22,$G$12:$G$18)</f>
        <v>8.5385</v>
      </c>
      <c r="D22" s="24" t="n">
        <f aca="false">SUMPRODUCT(($B$12:$B$18=$B22)*D$12:D$18*$G$12:$G$18)/SUMIF($B$12:$B$18,$B22,$G$12:$G$18)</f>
        <v>10.295</v>
      </c>
      <c r="E22" s="24" t="n">
        <f aca="false">SUMPRODUCT(($B$12:$B$18=$B22)*E$12:E$18*$G$12:$G$18)/SUMIF($B$12:$B$18,$B22,$G$12:$G$18)</f>
        <v>0.99</v>
      </c>
      <c r="F22" s="24" t="n">
        <f aca="false">SUMPRODUCT(($B$12:$B$18=$B22)*F$12:F$18*$G$12:$G$18)/SUMIF($B$12:$B$18,$B22,$G$12:$G$18)</f>
        <v>6.69175</v>
      </c>
      <c r="J22" s="24" t="n">
        <f aca="false">SUMPRODUCT(($B$12:$B$18=$B22)*J$12:J$18*$G$12:$G$18)/SUMIF($B$12:$B$18,$B22,$G$12:$G$18)</f>
        <v>8.5385</v>
      </c>
    </row>
    <row r="23" customFormat="false" ht="15" hidden="false" customHeight="false" outlineLevel="0" collapsed="false">
      <c r="A23" s="0" t="s">
        <v>1556</v>
      </c>
      <c r="B23" s="0" t="s">
        <v>1547</v>
      </c>
      <c r="C23" s="24" t="n">
        <f aca="false">SUMPRODUCT(($B$12:$B$18=$B23)*C$12:C$18*$G$12:$G$18)/SUMIF($B$12:$B$18,$B23,$G$12:$G$18)</f>
        <v>11.4924</v>
      </c>
      <c r="D23" s="24" t="n">
        <f aca="false">SUMPRODUCT(($B$12:$B$18=$B23)*D$12:D$18*$G$12:$G$18)/SUMIF($B$12:$B$18,$B23,$G$12:$G$18)</f>
        <v>13.908</v>
      </c>
      <c r="E23" s="24" t="n">
        <f aca="false">SUMPRODUCT(($B$12:$B$18=$B23)*E$12:E$18*$G$12:$G$18)/SUMIF($B$12:$B$18,$B23,$G$12:$G$18)</f>
        <v>0.99</v>
      </c>
      <c r="F23" s="24" t="n">
        <f aca="false">SUMPRODUCT(($B$12:$B$18=$B23)*F$12:F$18*$G$12:$G$18)/SUMIF($B$12:$B$18,$B23,$G$12:$G$18)</f>
        <v>9.0402</v>
      </c>
      <c r="J23" s="24" t="n">
        <f aca="false">SUMPRODUCT(($B$12:$B$18=$B23)*J$12:J$18*$G$12:$G$18)/SUMIF($B$12:$B$18,$B23,$G$12:$G$18)</f>
        <v>11.4924</v>
      </c>
    </row>
    <row r="25" customFormat="false" ht="15" hidden="false" customHeight="false" outlineLevel="0" collapsed="false">
      <c r="A25" s="53" t="s">
        <v>1557</v>
      </c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</row>
    <row r="26" customFormat="false" ht="15" hidden="false" customHeight="false" outlineLevel="0" collapsed="false">
      <c r="A26" s="104" t="s">
        <v>1558</v>
      </c>
      <c r="B26" s="20" t="s">
        <v>553</v>
      </c>
      <c r="C26" s="20" t="s">
        <v>546</v>
      </c>
      <c r="D26" s="20"/>
      <c r="F26" s="118" t="n">
        <f aca="false">IF(AND(RepriceOn=1,F$5&lt;=LastHist),ODq_H,IF(F$5&lt;PxBaseIdx,ODp_H,ODc_H))*IF(F$5&gt;LastHist,PxMult,1)*(1+PxChg_H)^(MAX(0,F$5-PxBaseIdx)/4)</f>
        <v>3.875</v>
      </c>
      <c r="G26" s="118" t="n">
        <f aca="false">IF(AND(RepriceOn=1,G$5&lt;=LastHist),ODq_H,IF(G$5&lt;PxBaseIdx,ODp_H,ODc_H))*IF(G$5&gt;LastHist,PxMult,1)*(1+PxChg_H)^(MAX(0,G$5-PxBaseIdx)/4)</f>
        <v>3.875</v>
      </c>
      <c r="H26" s="118" t="n">
        <f aca="false">IF(AND(RepriceOn=1,H$5&lt;=LastHist),ODq_H,IF(H$5&lt;PxBaseIdx,ODp_H,ODc_H))*IF(H$5&gt;LastHist,PxMult,1)*(1+PxChg_H)^(MAX(0,H$5-PxBaseIdx)/4)</f>
        <v>3.875</v>
      </c>
      <c r="I26" s="118" t="n">
        <f aca="false">IF(AND(RepriceOn=1,I$5&lt;=LastHist),ODq_H,IF(I$5&lt;PxBaseIdx,ODp_H,ODc_H))*IF(I$5&gt;LastHist,PxMult,1)*(1+PxChg_H)^(MAX(0,I$5-PxBaseIdx)/4)</f>
        <v>3.875</v>
      </c>
      <c r="J26" s="118" t="n">
        <f aca="false">IF(AND(RepriceOn=1,J$5&lt;=LastHist),ODq_H,IF(J$5&lt;PxBaseIdx,ODp_H,ODc_H))*IF(J$5&gt;LastHist,PxMult,1)*(1+PxChg_H)^(MAX(0,J$5-PxBaseIdx)/4)</f>
        <v>3.875</v>
      </c>
      <c r="K26" s="118" t="n">
        <f aca="false">IF(AND(RepriceOn=1,K$5&lt;=LastHist),ODq_H,IF(K$5&lt;PxBaseIdx,ODp_H,ODc_H))*IF(K$5&gt;LastHist,PxMult,1)*(1+PxChg_H)^(MAX(0,K$5-PxBaseIdx)/4)</f>
        <v>3.875</v>
      </c>
      <c r="L26" s="118" t="n">
        <f aca="false">IF(AND(RepriceOn=1,L$5&lt;=LastHist),ODq_H,IF(L$5&lt;PxBaseIdx,ODp_H,ODc_H))*IF(L$5&gt;LastHist,PxMult,1)*(1+PxChg_H)^(MAX(0,L$5-PxBaseIdx)/4)</f>
        <v>3.875</v>
      </c>
      <c r="M26" s="118" t="n">
        <f aca="false">IF(AND(RepriceOn=1,M$5&lt;=LastHist),ODq_H,IF(M$5&lt;PxBaseIdx,ODp_H,ODc_H))*IF(M$5&gt;LastHist,PxMult,1)*(1+PxChg_H)^(MAX(0,M$5-PxBaseIdx)/4)</f>
        <v>3.875</v>
      </c>
      <c r="N26" s="118" t="n">
        <f aca="false">IF(AND(RepriceOn=1,N$5&lt;=LastHist),ODq_H,IF(N$5&lt;PxBaseIdx,ODp_H,ODc_H))*IF(N$5&gt;LastHist,PxMult,1)*(1+PxChg_H)^(MAX(0,N$5-PxBaseIdx)/4)</f>
        <v>3.875</v>
      </c>
      <c r="O26" s="118" t="n">
        <f aca="false">IF(AND(RepriceOn=1,O$5&lt;=LastHist),ODq_H,IF(O$5&lt;PxBaseIdx,ODp_H,ODc_H))*IF(O$5&gt;LastHist,PxMult,1)*(1+PxChg_H)^(MAX(0,O$5-PxBaseIdx)/4)</f>
        <v>3.875</v>
      </c>
      <c r="P26" s="24" t="n">
        <f aca="false">IF(AND(RepriceOn=1,P$5&lt;=LastHist),ODq_H,IF(P$5&lt;PxBaseIdx,ODp_H,ODc_H))*IF(P$5&gt;LastHist,PxMult,1)*(1+PxChg_H)^(MAX(0,P$5-PxBaseIdx)/4)</f>
        <v>4.175</v>
      </c>
      <c r="Q26" s="24" t="n">
        <f aca="false">IF(AND(RepriceOn=1,Q$5&lt;=LastHist),ODq_H,IF(Q$5&lt;PxBaseIdx,ODp_H,ODc_H))*IF(Q$5&gt;LastHist,PxMult,1)*(1+PxChg_H)^(MAX(0,Q$5-PxBaseIdx)/4)</f>
        <v>4.95</v>
      </c>
      <c r="R26" s="24" t="n">
        <f aca="false">IF(AND(RepriceOn=1,R$5&lt;=LastHist),ODq_H,IF(R$5&lt;PxBaseIdx,ODp_H,ODc_H))*IF(R$5&gt;LastHist,PxMult,1)*(1+PxChg_H)^(MAX(0,R$5-PxBaseIdx)/4)</f>
        <v>4.75291371755073</v>
      </c>
      <c r="S26" s="24" t="n">
        <f aca="false">IF(AND(RepriceOn=1,S$5&lt;=LastHist),ODq_H,IF(S$5&lt;PxBaseIdx,ODp_H,ODc_H))*IF(S$5&gt;LastHist,PxMult,1)*(1+PxChg_H)^(MAX(0,S$5-PxBaseIdx)/4)</f>
        <v>4.56367450635998</v>
      </c>
      <c r="T26" s="24" t="n">
        <f aca="false">IF(AND(RepriceOn=1,T$5&lt;=LastHist),ODq_H,IF(T$5&lt;PxBaseIdx,ODp_H,ODc_H))*IF(T$5&gt;LastHist,PxMult,1)*(1+PxChg_H)^(MAX(0,T$5-PxBaseIdx)/4)</f>
        <v>4.38196993206362</v>
      </c>
      <c r="U26" s="24" t="n">
        <f aca="false">IF(AND(RepriceOn=1,U$5&lt;=LastHist),ODq_H,IF(U$5&lt;PxBaseIdx,ODp_H,ODc_H))*IF(U$5&gt;LastHist,PxMult,1)*(1+PxChg_H)^(MAX(0,U$5-PxBaseIdx)/4)</f>
        <v>4.2075</v>
      </c>
      <c r="V26" s="24" t="n">
        <f aca="false">IF(AND(RepriceOn=1,V$5&lt;=LastHist),ODq_H,IF(V$5&lt;PxBaseIdx,ODp_H,ODc_H))*IF(V$5&gt;LastHist,PxMult,1)*(1+PxChg_H)^(MAX(0,V$5-PxBaseIdx)/4)</f>
        <v>4.03997665991812</v>
      </c>
      <c r="W26" s="24" t="n">
        <f aca="false">IF(AND(RepriceOn=1,W$5&lt;=LastHist),ODq_H,IF(W$5&lt;PxBaseIdx,ODp_H,ODc_H))*IF(W$5&gt;LastHist,PxMult,1)*(1+PxChg_H)^(MAX(0,W$5-PxBaseIdx)/4)</f>
        <v>3.87912333040598</v>
      </c>
      <c r="X26" s="24" t="n">
        <f aca="false">IF(AND(RepriceOn=1,X$5&lt;=LastHist),ODq_H,IF(X$5&lt;PxBaseIdx,ODp_H,ODc_H))*IF(X$5&gt;LastHist,PxMult,1)*(1+PxChg_H)^(MAX(0,X$5-PxBaseIdx)/4)</f>
        <v>3.72467444225407</v>
      </c>
      <c r="Y26" s="24" t="n">
        <f aca="false">IF(AND(RepriceOn=1,Y$5&lt;=LastHist),ODq_H,IF(Y$5&lt;PxBaseIdx,ODp_H,ODc_H))*IF(Y$5&gt;LastHist,PxMult,1)*(1+PxChg_H)^(MAX(0,Y$5-PxBaseIdx)/4)</f>
        <v>3.576375</v>
      </c>
      <c r="Z26" s="24" t="n">
        <f aca="false">IF(AND(RepriceOn=1,Z$5&lt;=LastHist),ODq_H,IF(Z$5&lt;PxBaseIdx,ODp_H,ODc_H))*IF(Z$5&gt;LastHist,PxMult,1)*(1+PxChg_H)^(MAX(0,Z$5-PxBaseIdx)/4)</f>
        <v>3.4339801609304</v>
      </c>
      <c r="AA26" s="24" t="n">
        <f aca="false">IF(AND(RepriceOn=1,AA$5&lt;=LastHist),ODq_H,IF(AA$5&lt;PxBaseIdx,ODp_H,ODc_H))*IF(AA$5&gt;LastHist,PxMult,1)*(1+PxChg_H)^(MAX(0,AA$5-PxBaseIdx)/4)</f>
        <v>3.29725483084509</v>
      </c>
      <c r="AB26" s="24" t="n">
        <f aca="false">IF(AND(RepriceOn=1,AB$5&lt;=LastHist),ODq_H,IF(AB$5&lt;PxBaseIdx,ODp_H,ODc_H))*IF(AB$5&gt;LastHist,PxMult,1)*(1+PxChg_H)^(MAX(0,AB$5-PxBaseIdx)/4)</f>
        <v>3.16597327591596</v>
      </c>
      <c r="AC26" s="24" t="n">
        <f aca="false">IF(AND(RepriceOn=1,AC$5&lt;=LastHist),ODq_H,IF(AC$5&lt;PxBaseIdx,ODp_H,ODc_H))*IF(AC$5&gt;LastHist,PxMult,1)*(1+PxChg_H)^(MAX(0,AC$5-PxBaseIdx)/4)</f>
        <v>3.03991875</v>
      </c>
      <c r="AD26" s="24" t="n">
        <f aca="false">IF(AND(RepriceOn=1,AD$5&lt;=LastHist),ODq_H,IF(AD$5&lt;PxBaseIdx,ODp_H,ODc_H))*IF(AD$5&gt;LastHist,PxMult,1)*(1+PxChg_H)^(MAX(0,AD$5-PxBaseIdx)/4)</f>
        <v>2.91888313679084</v>
      </c>
      <c r="AE26" s="24" t="n">
        <f aca="false">IF(AND(RepriceOn=1,AE$5&lt;=LastHist),ODq_H,IF(AE$5&lt;PxBaseIdx,ODp_H,ODc_H))*IF(AE$5&gt;LastHist,PxMult,1)*(1+PxChg_H)^(MAX(0,AE$5-PxBaseIdx)/4)</f>
        <v>2.80266660621832</v>
      </c>
      <c r="AF26" s="24" t="n">
        <f aca="false">IF(AND(RepriceOn=1,AF$5&lt;=LastHist),ODq_H,IF(AF$5&lt;PxBaseIdx,ODp_H,ODc_H))*IF(AF$5&gt;LastHist,PxMult,1)*(1+PxChg_H)^(MAX(0,AF$5-PxBaseIdx)/4)</f>
        <v>2.69107728452857</v>
      </c>
      <c r="AG26" s="24" t="n">
        <f aca="false">IF(AND(RepriceOn=1,AG$5&lt;=LastHist),ODq_H,IF(AG$5&lt;PxBaseIdx,ODp_H,ODc_H))*IF(AG$5&gt;LastHist,PxMult,1)*(1+PxChg_H)^(MAX(0,AG$5-PxBaseIdx)/4)</f>
        <v>2.5839309375</v>
      </c>
      <c r="AI26" s="24" t="n">
        <f aca="false">AVERAGEIF($F$7:$AG$7,AI$7,$F26:$AG26)</f>
        <v>3.875</v>
      </c>
      <c r="AJ26" s="24" t="n">
        <f aca="false">AVERAGEIF($F$7:$AG$7,AJ$7,$F26:$AG26)</f>
        <v>3.875</v>
      </c>
      <c r="AK26" s="24" t="n">
        <f aca="false">AVERAGEIF($F$7:$AG$7,AK$7,$F26:$AG26)</f>
        <v>4.21875</v>
      </c>
      <c r="AL26" s="24" t="n">
        <f aca="false">AVERAGEIF($F$7:$AG$7,AL$7,$F26:$AG26)</f>
        <v>4.47651453899358</v>
      </c>
      <c r="AM26" s="24" t="n">
        <f aca="false">AVERAGEIF($F$7:$AG$7,AM$7,$F26:$AG26)</f>
        <v>3.80503735814454</v>
      </c>
      <c r="AN26" s="24" t="n">
        <f aca="false">AVERAGEIF($F$7:$AG$7,AN$7,$F26:$AG26)</f>
        <v>3.23428175442286</v>
      </c>
      <c r="AO26" s="24" t="n">
        <f aca="false">AVERAGEIF($F$7:$AG$7,AO$7,$F26:$AG26)</f>
        <v>2.74913949125943</v>
      </c>
    </row>
    <row r="27" customFormat="false" ht="15" hidden="false" customHeight="false" outlineLevel="0" collapsed="false">
      <c r="A27" s="104" t="s">
        <v>1559</v>
      </c>
      <c r="B27" s="20" t="s">
        <v>553</v>
      </c>
      <c r="C27" s="20" t="s">
        <v>546</v>
      </c>
      <c r="D27" s="20" t="s">
        <v>1560</v>
      </c>
      <c r="F27" s="118" t="n">
        <f aca="false">IF(RepriceOn=1,IF(F$5&lt;=LastHist,RealRes_B*F26,IF(INDEX(NCA_H,1,1)&gt;0,(MIN(INDEX(NCE_H,1,LastHist),INDEX(NCA_H,1,1))*(RealRes_B*ODq_H*(1-MIN(1,MAX(0,(F$5-RenewIdx+1)*RenewRate)))+MIN(1,MAX(0,(F$5-RenewIdx+1)*RenewRate))*MIN(RealRes_B*ODq_H*(1+RenewUp),RealRes*F26))+MAX(0,INDEX(NCA_H,1,1)-INDEX(NCE_H,1,LastHist))*RealRes*F26)/INDEX(NCA_H,1,1),RealRes*F26)),(IF(F$5&gt;LastHist,MIN(1,MAX(0,(F$5-RenewIdx+1)*RenewRate)),0)*F26+(1-IF(F$5&gt;LastHist,MIN(1,MAX(0,(F$5-RenewIdx+1)*RenewRate)),0))*INDEX($F$26:$AG$26,1,MAX(1,F$5-IF(F$5&gt;LastHist,ResLag,0))))*IF(F$5&lt;=LastHist,RealRes_B,RealRes))</f>
        <v>2.79</v>
      </c>
      <c r="G27" s="118" t="n">
        <f aca="false">IF(RepriceOn=1,IF(G$5&lt;=LastHist,RealRes_B*G26,IF(INDEX(NCA_H,1,2)&gt;0,(MIN(INDEX(NCE_H,1,LastHist),INDEX(NCA_H,1,2))*(RealRes_B*ODq_H*(1-MIN(1,MAX(0,(G$5-RenewIdx+1)*RenewRate)))+MIN(1,MAX(0,(G$5-RenewIdx+1)*RenewRate))*MIN(RealRes_B*ODq_H*(1+RenewUp),RealRes*G26))+MAX(0,INDEX(NCA_H,1,2)-INDEX(NCE_H,1,LastHist))*RealRes*G26)/INDEX(NCA_H,1,2),RealRes*G26)),(IF(G$5&gt;LastHist,MIN(1,MAX(0,(G$5-RenewIdx+1)*RenewRate)),0)*G26+(1-IF(G$5&gt;LastHist,MIN(1,MAX(0,(G$5-RenewIdx+1)*RenewRate)),0))*INDEX($F$26:$AG$26,1,MAX(1,G$5-IF(G$5&gt;LastHist,ResLag,0))))*IF(G$5&lt;=LastHist,RealRes_B,RealRes))</f>
        <v>2.79</v>
      </c>
      <c r="H27" s="118" t="n">
        <f aca="false">IF(RepriceOn=1,IF(H$5&lt;=LastHist,RealRes_B*H26,IF(INDEX(NCA_H,1,3)&gt;0,(MIN(INDEX(NCE_H,1,LastHist),INDEX(NCA_H,1,3))*(RealRes_B*ODq_H*(1-MIN(1,MAX(0,(H$5-RenewIdx+1)*RenewRate)))+MIN(1,MAX(0,(H$5-RenewIdx+1)*RenewRate))*MIN(RealRes_B*ODq_H*(1+RenewUp),RealRes*H26))+MAX(0,INDEX(NCA_H,1,3)-INDEX(NCE_H,1,LastHist))*RealRes*H26)/INDEX(NCA_H,1,3),RealRes*H26)),(IF(H$5&gt;LastHist,MIN(1,MAX(0,(H$5-RenewIdx+1)*RenewRate)),0)*H26+(1-IF(H$5&gt;LastHist,MIN(1,MAX(0,(H$5-RenewIdx+1)*RenewRate)),0))*INDEX($F$26:$AG$26,1,MAX(1,H$5-IF(H$5&gt;LastHist,ResLag,0))))*IF(H$5&lt;=LastHist,RealRes_B,RealRes))</f>
        <v>2.79</v>
      </c>
      <c r="I27" s="118" t="n">
        <f aca="false">IF(RepriceOn=1,IF(I$5&lt;=LastHist,RealRes_B*I26,IF(INDEX(NCA_H,1,4)&gt;0,(MIN(INDEX(NCE_H,1,LastHist),INDEX(NCA_H,1,4))*(RealRes_B*ODq_H*(1-MIN(1,MAX(0,(I$5-RenewIdx+1)*RenewRate)))+MIN(1,MAX(0,(I$5-RenewIdx+1)*RenewRate))*MIN(RealRes_B*ODq_H*(1+RenewUp),RealRes*I26))+MAX(0,INDEX(NCA_H,1,4)-INDEX(NCE_H,1,LastHist))*RealRes*I26)/INDEX(NCA_H,1,4),RealRes*I26)),(IF(I$5&gt;LastHist,MIN(1,MAX(0,(I$5-RenewIdx+1)*RenewRate)),0)*I26+(1-IF(I$5&gt;LastHist,MIN(1,MAX(0,(I$5-RenewIdx+1)*RenewRate)),0))*INDEX($F$26:$AG$26,1,MAX(1,I$5-IF(I$5&gt;LastHist,ResLag,0))))*IF(I$5&lt;=LastHist,RealRes_B,RealRes))</f>
        <v>2.79</v>
      </c>
      <c r="J27" s="118" t="n">
        <f aca="false">IF(RepriceOn=1,IF(J$5&lt;=LastHist,RealRes_B*J26,IF(INDEX(NCA_H,1,5)&gt;0,(MIN(INDEX(NCE_H,1,LastHist),INDEX(NCA_H,1,5))*(RealRes_B*ODq_H*(1-MIN(1,MAX(0,(J$5-RenewIdx+1)*RenewRate)))+MIN(1,MAX(0,(J$5-RenewIdx+1)*RenewRate))*MIN(RealRes_B*ODq_H*(1+RenewUp),RealRes*J26))+MAX(0,INDEX(NCA_H,1,5)-INDEX(NCE_H,1,LastHist))*RealRes*J26)/INDEX(NCA_H,1,5),RealRes*J26)),(IF(J$5&gt;LastHist,MIN(1,MAX(0,(J$5-RenewIdx+1)*RenewRate)),0)*J26+(1-IF(J$5&gt;LastHist,MIN(1,MAX(0,(J$5-RenewIdx+1)*RenewRate)),0))*INDEX($F$26:$AG$26,1,MAX(1,J$5-IF(J$5&gt;LastHist,ResLag,0))))*IF(J$5&lt;=LastHist,RealRes_B,RealRes))</f>
        <v>2.79</v>
      </c>
      <c r="K27" s="118" t="n">
        <f aca="false">IF(RepriceOn=1,IF(K$5&lt;=LastHist,RealRes_B*K26,IF(INDEX(NCA_H,1,6)&gt;0,(MIN(INDEX(NCE_H,1,LastHist),INDEX(NCA_H,1,6))*(RealRes_B*ODq_H*(1-MIN(1,MAX(0,(K$5-RenewIdx+1)*RenewRate)))+MIN(1,MAX(0,(K$5-RenewIdx+1)*RenewRate))*MIN(RealRes_B*ODq_H*(1+RenewUp),RealRes*K26))+MAX(0,INDEX(NCA_H,1,6)-INDEX(NCE_H,1,LastHist))*RealRes*K26)/INDEX(NCA_H,1,6),RealRes*K26)),(IF(K$5&gt;LastHist,MIN(1,MAX(0,(K$5-RenewIdx+1)*RenewRate)),0)*K26+(1-IF(K$5&gt;LastHist,MIN(1,MAX(0,(K$5-RenewIdx+1)*RenewRate)),0))*INDEX($F$26:$AG$26,1,MAX(1,K$5-IF(K$5&gt;LastHist,ResLag,0))))*IF(K$5&lt;=LastHist,RealRes_B,RealRes))</f>
        <v>2.79</v>
      </c>
      <c r="L27" s="118" t="n">
        <f aca="false">IF(RepriceOn=1,IF(L$5&lt;=LastHist,RealRes_B*L26,IF(INDEX(NCA_H,1,7)&gt;0,(MIN(INDEX(NCE_H,1,LastHist),INDEX(NCA_H,1,7))*(RealRes_B*ODq_H*(1-MIN(1,MAX(0,(L$5-RenewIdx+1)*RenewRate)))+MIN(1,MAX(0,(L$5-RenewIdx+1)*RenewRate))*MIN(RealRes_B*ODq_H*(1+RenewUp),RealRes*L26))+MAX(0,INDEX(NCA_H,1,7)-INDEX(NCE_H,1,LastHist))*RealRes*L26)/INDEX(NCA_H,1,7),RealRes*L26)),(IF(L$5&gt;LastHist,MIN(1,MAX(0,(L$5-RenewIdx+1)*RenewRate)),0)*L26+(1-IF(L$5&gt;LastHist,MIN(1,MAX(0,(L$5-RenewIdx+1)*RenewRate)),0))*INDEX($F$26:$AG$26,1,MAX(1,L$5-IF(L$5&gt;LastHist,ResLag,0))))*IF(L$5&lt;=LastHist,RealRes_B,RealRes))</f>
        <v>2.79</v>
      </c>
      <c r="M27" s="118" t="n">
        <f aca="false">IF(RepriceOn=1,IF(M$5&lt;=LastHist,RealRes_B*M26,IF(INDEX(NCA_H,1,8)&gt;0,(MIN(INDEX(NCE_H,1,LastHist),INDEX(NCA_H,1,8))*(RealRes_B*ODq_H*(1-MIN(1,MAX(0,(M$5-RenewIdx+1)*RenewRate)))+MIN(1,MAX(0,(M$5-RenewIdx+1)*RenewRate))*MIN(RealRes_B*ODq_H*(1+RenewUp),RealRes*M26))+MAX(0,INDEX(NCA_H,1,8)-INDEX(NCE_H,1,LastHist))*RealRes*M26)/INDEX(NCA_H,1,8),RealRes*M26)),(IF(M$5&gt;LastHist,MIN(1,MAX(0,(M$5-RenewIdx+1)*RenewRate)),0)*M26+(1-IF(M$5&gt;LastHist,MIN(1,MAX(0,(M$5-RenewIdx+1)*RenewRate)),0))*INDEX($F$26:$AG$26,1,MAX(1,M$5-IF(M$5&gt;LastHist,ResLag,0))))*IF(M$5&lt;=LastHist,RealRes_B,RealRes))</f>
        <v>2.79</v>
      </c>
      <c r="N27" s="118" t="n">
        <f aca="false">IF(RepriceOn=1,IF(N$5&lt;=LastHist,RealRes_B*N26,IF(INDEX(NCA_H,1,9)&gt;0,(MIN(INDEX(NCE_H,1,LastHist),INDEX(NCA_H,1,9))*(RealRes_B*ODq_H*(1-MIN(1,MAX(0,(N$5-RenewIdx+1)*RenewRate)))+MIN(1,MAX(0,(N$5-RenewIdx+1)*RenewRate))*MIN(RealRes_B*ODq_H*(1+RenewUp),RealRes*N26))+MAX(0,INDEX(NCA_H,1,9)-INDEX(NCE_H,1,LastHist))*RealRes*N26)/INDEX(NCA_H,1,9),RealRes*N26)),(IF(N$5&gt;LastHist,MIN(1,MAX(0,(N$5-RenewIdx+1)*RenewRate)),0)*N26+(1-IF(N$5&gt;LastHist,MIN(1,MAX(0,(N$5-RenewIdx+1)*RenewRate)),0))*INDEX($F$26:$AG$26,1,MAX(1,N$5-IF(N$5&gt;LastHist,ResLag,0))))*IF(N$5&lt;=LastHist,RealRes_B,RealRes))</f>
        <v>2.79</v>
      </c>
      <c r="O27" s="118" t="n">
        <f aca="false">IF(RepriceOn=1,IF(O$5&lt;=LastHist,RealRes_B*O26,IF(INDEX(NCA_H,1,10)&gt;0,(MIN(INDEX(NCE_H,1,LastHist),INDEX(NCA_H,1,10))*(RealRes_B*ODq_H*(1-MIN(1,MAX(0,(O$5-RenewIdx+1)*RenewRate)))+MIN(1,MAX(0,(O$5-RenewIdx+1)*RenewRate))*MIN(RealRes_B*ODq_H*(1+RenewUp),RealRes*O26))+MAX(0,INDEX(NCA_H,1,10)-INDEX(NCE_H,1,LastHist))*RealRes*O26)/INDEX(NCA_H,1,10),RealRes*O26)),(IF(O$5&gt;LastHist,MIN(1,MAX(0,(O$5-RenewIdx+1)*RenewRate)),0)*O26+(1-IF(O$5&gt;LastHist,MIN(1,MAX(0,(O$5-RenewIdx+1)*RenewRate)),0))*INDEX($F$26:$AG$26,1,MAX(1,O$5-IF(O$5&gt;LastHist,ResLag,0))))*IF(O$5&lt;=LastHist,RealRes_B,RealRes))</f>
        <v>2.79</v>
      </c>
      <c r="P27" s="24" t="n">
        <f aca="false">IF(RepriceOn=1,IF(P$5&lt;=LastHist,RealRes_B*P26,IF(INDEX(NCA_H,1,11)&gt;0,(MIN(INDEX(NCE_H,1,LastHist),INDEX(NCA_H,1,11))*(RealRes_B*ODq_H*(1-MIN(1,MAX(0,(P$5-RenewIdx+1)*RenewRate)))+MIN(1,MAX(0,(P$5-RenewIdx+1)*RenewRate))*MIN(RealRes_B*ODq_H*(1+RenewUp),RealRes*P26))+MAX(0,INDEX(NCA_H,1,11)-INDEX(NCE_H,1,LastHist))*RealRes*P26)/INDEX(NCA_H,1,11),RealRes*P26)),(IF(P$5&gt;LastHist,MIN(1,MAX(0,(P$5-RenewIdx+1)*RenewRate)),0)*P26+(1-IF(P$5&gt;LastHist,MIN(1,MAX(0,(P$5-RenewIdx+1)*RenewRate)),0))*INDEX($F$26:$AG$26,1,MAX(1,P$5-IF(P$5&gt;LastHist,ResLag,0))))*IF(P$5&lt;=LastHist,RealRes_B,RealRes))</f>
        <v>2.817</v>
      </c>
      <c r="Q27" s="24" t="n">
        <f aca="false">IF(RepriceOn=1,IF(Q$5&lt;=LastHist,RealRes_B*Q26,IF(INDEX(NCA_H,1,12)&gt;0,(MIN(INDEX(NCE_H,1,LastHist),INDEX(NCA_H,1,12))*(RealRes_B*ODq_H*(1-MIN(1,MAX(0,(Q$5-RenewIdx+1)*RenewRate)))+MIN(1,MAX(0,(Q$5-RenewIdx+1)*RenewRate))*MIN(RealRes_B*ODq_H*(1+RenewUp),RealRes*Q26))+MAX(0,INDEX(NCA_H,1,12)-INDEX(NCE_H,1,LastHist))*RealRes*Q26)/INDEX(NCA_H,1,12),RealRes*Q26)),(IF(Q$5&gt;LastHist,MIN(1,MAX(0,(Q$5-RenewIdx+1)*RenewRate)),0)*Q26+(1-IF(Q$5&gt;LastHist,MIN(1,MAX(0,(Q$5-RenewIdx+1)*RenewRate)),0))*INDEX($F$26:$AG$26,1,MAX(1,Q$5-IF(Q$5&gt;LastHist,ResLag,0))))*IF(Q$5&lt;=LastHist,RealRes_B,RealRes))</f>
        <v>2.9835</v>
      </c>
      <c r="R27" s="24" t="n">
        <f aca="false">IF(RepriceOn=1,IF(R$5&lt;=LastHist,RealRes_B*R26,IF(INDEX(NCA_H,1,13)&gt;0,(MIN(INDEX(NCE_H,1,LastHist),INDEX(NCA_H,1,13))*(RealRes_B*ODq_H*(1-MIN(1,MAX(0,(R$5-RenewIdx+1)*RenewRate)))+MIN(1,MAX(0,(R$5-RenewIdx+1)*RenewRate))*MIN(RealRes_B*ODq_H*(1+RenewUp),RealRes*R26))+MAX(0,INDEX(NCA_H,1,13)-INDEX(NCE_H,1,LastHist))*RealRes*R26)/INDEX(NCA_H,1,13),RealRes*R26)),(IF(R$5&gt;LastHist,MIN(1,MAX(0,(R$5-RenewIdx+1)*RenewRate)),0)*R26+(1-IF(R$5&gt;LastHist,MIN(1,MAX(0,(R$5-RenewIdx+1)*RenewRate)),0))*INDEX($F$26:$AG$26,1,MAX(1,R$5-IF(R$5&gt;LastHist,ResLag,0))))*IF(R$5&lt;=LastHist,RealRes_B,RealRes))</f>
        <v>3.0270367037387</v>
      </c>
      <c r="S27" s="24" t="n">
        <f aca="false">IF(RepriceOn=1,IF(S$5&lt;=LastHist,RealRes_B*S26,IF(INDEX(NCA_H,1,14)&gt;0,(MIN(INDEX(NCE_H,1,LastHist),INDEX(NCA_H,1,14))*(RealRes_B*ODq_H*(1-MIN(1,MAX(0,(S$5-RenewIdx+1)*RenewRate)))+MIN(1,MAX(0,(S$5-RenewIdx+1)*RenewRate))*MIN(RealRes_B*ODq_H*(1+RenewUp),RealRes*S26))+MAX(0,INDEX(NCA_H,1,14)-INDEX(NCE_H,1,LastHist))*RealRes*S26)/INDEX(NCA_H,1,14),RealRes*S26)),(IF(S$5&gt;LastHist,MIN(1,MAX(0,(S$5-RenewIdx+1)*RenewRate)),0)*S26+(1-IF(S$5&gt;LastHist,MIN(1,MAX(0,(S$5-RenewIdx+1)*RenewRate)),0))*INDEX($F$26:$AG$26,1,MAX(1,S$5-IF(S$5&gt;LastHist,ResLag,0))))*IF(S$5&lt;=LastHist,RealRes_B,RealRes))</f>
        <v>3.03792282228959</v>
      </c>
      <c r="T27" s="24" t="n">
        <f aca="false">IF(RepriceOn=1,IF(T$5&lt;=LastHist,RealRes_B*T26,IF(INDEX(NCA_H,1,15)&gt;0,(MIN(INDEX(NCE_H,1,LastHist),INDEX(NCA_H,1,15))*(RealRes_B*ODq_H*(1-MIN(1,MAX(0,(T$5-RenewIdx+1)*RenewRate)))+MIN(1,MAX(0,(T$5-RenewIdx+1)*RenewRate))*MIN(RealRes_B*ODq_H*(1+RenewUp),RealRes*T26))+MAX(0,INDEX(NCA_H,1,15)-INDEX(NCE_H,1,LastHist))*RealRes*T26)/INDEX(NCA_H,1,15),RealRes*T26)),(IF(T$5&gt;LastHist,MIN(1,MAX(0,(T$5-RenewIdx+1)*RenewRate)),0)*T26+(1-IF(T$5&gt;LastHist,MIN(1,MAX(0,(T$5-RenewIdx+1)*RenewRate)),0))*INDEX($F$26:$AG$26,1,MAX(1,T$5-IF(T$5&gt;LastHist,ResLag,0))))*IF(T$5&lt;=LastHist,RealRes_B,RealRes))</f>
        <v>3.01813646942863</v>
      </c>
      <c r="U27" s="24" t="n">
        <f aca="false">IF(RepriceOn=1,IF(U$5&lt;=LastHist,RealRes_B*U26,IF(INDEX(NCA_H,1,16)&gt;0,(MIN(INDEX(NCE_H,1,LastHist),INDEX(NCA_H,1,16))*(RealRes_B*ODq_H*(1-MIN(1,MAX(0,(U$5-RenewIdx+1)*RenewRate)))+MIN(1,MAX(0,(U$5-RenewIdx+1)*RenewRate))*MIN(RealRes_B*ODq_H*(1+RenewUp),RealRes*U26))+MAX(0,INDEX(NCA_H,1,16)-INDEX(NCE_H,1,LastHist))*RealRes*U26)/INDEX(NCA_H,1,16),RealRes*U26)),(IF(U$5&gt;LastHist,MIN(1,MAX(0,(U$5-RenewIdx+1)*RenewRate)),0)*U26+(1-IF(U$5&gt;LastHist,MIN(1,MAX(0,(U$5-RenewIdx+1)*RenewRate)),0))*INDEX($F$26:$AG$26,1,MAX(1,U$5-IF(U$5&gt;LastHist,ResLag,0))))*IF(U$5&lt;=LastHist,RealRes_B,RealRes))</f>
        <v>2.96955</v>
      </c>
      <c r="V27" s="24" t="n">
        <f aca="false">IF(RepriceOn=1,IF(V$5&lt;=LastHist,RealRes_B*V26,IF(INDEX(NCA_H,1,17)&gt;0,(MIN(INDEX(NCE_H,1,LastHist),INDEX(NCA_H,1,17))*(RealRes_B*ODq_H*(1-MIN(1,MAX(0,(V$5-RenewIdx+1)*RenewRate)))+MIN(1,MAX(0,(V$5-RenewIdx+1)*RenewRate))*MIN(RealRes_B*ODq_H*(1+RenewUp),RealRes*V26))+MAX(0,INDEX(NCA_H,1,17)-INDEX(NCE_H,1,LastHist))*RealRes*V26)/INDEX(NCA_H,1,17),RealRes*V26)),(IF(V$5&gt;LastHist,MIN(1,MAX(0,(V$5-RenewIdx+1)*RenewRate)),0)*V26+(1-IF(V$5&gt;LastHist,MIN(1,MAX(0,(V$5-RenewIdx+1)*RenewRate)),0))*INDEX($F$26:$AG$26,1,MAX(1,V$5-IF(V$5&gt;LastHist,ResLag,0))))*IF(V$5&lt;=LastHist,RealRes_B,RealRes))</f>
        <v>2.89393529574842</v>
      </c>
      <c r="W27" s="24" t="n">
        <f aca="false">IF(RepriceOn=1,IF(W$5&lt;=LastHist,RealRes_B*W26,IF(INDEX(NCA_H,1,18)&gt;0,(MIN(INDEX(NCE_H,1,LastHist),INDEX(NCA_H,1,18))*(RealRes_B*ODq_H*(1-MIN(1,MAX(0,(W$5-RenewIdx+1)*RenewRate)))+MIN(1,MAX(0,(W$5-RenewIdx+1)*RenewRate))*MIN(RealRes_B*ODq_H*(1+RenewUp),RealRes*W26))+MAX(0,INDEX(NCA_H,1,18)-INDEX(NCE_H,1,LastHist))*RealRes*W26)/INDEX(NCA_H,1,18),RealRes*W26)),(IF(W$5&gt;LastHist,MIN(1,MAX(0,(W$5-RenewIdx+1)*RenewRate)),0)*W26+(1-IF(W$5&gt;LastHist,MIN(1,MAX(0,(W$5-RenewIdx+1)*RenewRate)),0))*INDEX($F$26:$AG$26,1,MAX(1,W$5-IF(W$5&gt;LastHist,ResLag,0))))*IF(W$5&lt;=LastHist,RealRes_B,RealRes))</f>
        <v>2.79296879789231</v>
      </c>
      <c r="X27" s="24" t="n">
        <f aca="false">IF(RepriceOn=1,IF(X$5&lt;=LastHist,RealRes_B*X26,IF(INDEX(NCA_H,1,19)&gt;0,(MIN(INDEX(NCE_H,1,LastHist),INDEX(NCA_H,1,19))*(RealRes_B*ODq_H*(1-MIN(1,MAX(0,(X$5-RenewIdx+1)*RenewRate)))+MIN(1,MAX(0,(X$5-RenewIdx+1)*RenewRate))*MIN(RealRes_B*ODq_H*(1+RenewUp),RealRes*X26))+MAX(0,INDEX(NCA_H,1,19)-INDEX(NCE_H,1,LastHist))*RealRes*X26)/INDEX(NCA_H,1,19),RealRes*X26)),(IF(X$5&gt;LastHist,MIN(1,MAX(0,(X$5-RenewIdx+1)*RenewRate)),0)*X26+(1-IF(X$5&gt;LastHist,MIN(1,MAX(0,(X$5-RenewIdx+1)*RenewRate)),0))*INDEX($F$26:$AG$26,1,MAX(1,X$5-IF(X$5&gt;LastHist,ResLag,0))))*IF(X$5&lt;=LastHist,RealRes_B,RealRes))</f>
        <v>2.68176559842293</v>
      </c>
      <c r="Y27" s="24" t="n">
        <f aca="false">IF(RepriceOn=1,IF(Y$5&lt;=LastHist,RealRes_B*Y26,IF(INDEX(NCA_H,1,20)&gt;0,(MIN(INDEX(NCE_H,1,LastHist),INDEX(NCA_H,1,20))*(RealRes_B*ODq_H*(1-MIN(1,MAX(0,(Y$5-RenewIdx+1)*RenewRate)))+MIN(1,MAX(0,(Y$5-RenewIdx+1)*RenewRate))*MIN(RealRes_B*ODq_H*(1+RenewUp),RealRes*Y26))+MAX(0,INDEX(NCA_H,1,20)-INDEX(NCE_H,1,LastHist))*RealRes*Y26)/INDEX(NCA_H,1,20),RealRes*Y26)),(IF(Y$5&gt;LastHist,MIN(1,MAX(0,(Y$5-RenewIdx+1)*RenewRate)),0)*Y26+(1-IF(Y$5&gt;LastHist,MIN(1,MAX(0,(Y$5-RenewIdx+1)*RenewRate)),0))*INDEX($F$26:$AG$26,1,MAX(1,Y$5-IF(Y$5&gt;LastHist,ResLag,0))))*IF(Y$5&lt;=LastHist,RealRes_B,RealRes))</f>
        <v>2.57499</v>
      </c>
      <c r="Z27" s="24" t="n">
        <f aca="false">IF(RepriceOn=1,IF(Z$5&lt;=LastHist,RealRes_B*Z26,IF(INDEX(NCA_H,1,21)&gt;0,(MIN(INDEX(NCE_H,1,LastHist),INDEX(NCA_H,1,21))*(RealRes_B*ODq_H*(1-MIN(1,MAX(0,(Z$5-RenewIdx+1)*RenewRate)))+MIN(1,MAX(0,(Z$5-RenewIdx+1)*RenewRate))*MIN(RealRes_B*ODq_H*(1+RenewUp),RealRes*Z26))+MAX(0,INDEX(NCA_H,1,21)-INDEX(NCE_H,1,LastHist))*RealRes*Z26)/INDEX(NCA_H,1,21),RealRes*Z26)),(IF(Z$5&gt;LastHist,MIN(1,MAX(0,(Z$5-RenewIdx+1)*RenewRate)),0)*Z26+(1-IF(Z$5&gt;LastHist,MIN(1,MAX(0,(Z$5-RenewIdx+1)*RenewRate)),0))*INDEX($F$26:$AG$26,1,MAX(1,Z$5-IF(Z$5&gt;LastHist,ResLag,0))))*IF(Z$5&lt;=LastHist,RealRes_B,RealRes))</f>
        <v>2.47246571586989</v>
      </c>
      <c r="AA27" s="24" t="n">
        <f aca="false">IF(RepriceOn=1,IF(AA$5&lt;=LastHist,RealRes_B*AA26,IF(INDEX(NCA_H,1,22)&gt;0,(MIN(INDEX(NCE_H,1,LastHist),INDEX(NCA_H,1,22))*(RealRes_B*ODq_H*(1-MIN(1,MAX(0,(AA$5-RenewIdx+1)*RenewRate)))+MIN(1,MAX(0,(AA$5-RenewIdx+1)*RenewRate))*MIN(RealRes_B*ODq_H*(1+RenewUp),RealRes*AA26))+MAX(0,INDEX(NCA_H,1,22)-INDEX(NCE_H,1,LastHist))*RealRes*AA26)/INDEX(NCA_H,1,22),RealRes*AA26)),(IF(AA$5&gt;LastHist,MIN(1,MAX(0,(AA$5-RenewIdx+1)*RenewRate)),0)*AA26+(1-IF(AA$5&gt;LastHist,MIN(1,MAX(0,(AA$5-RenewIdx+1)*RenewRate)),0))*INDEX($F$26:$AG$26,1,MAX(1,AA$5-IF(AA$5&gt;LastHist,ResLag,0))))*IF(AA$5&lt;=LastHist,RealRes_B,RealRes))</f>
        <v>2.37402347820846</v>
      </c>
      <c r="AB27" s="24" t="n">
        <f aca="false">IF(RepriceOn=1,IF(AB$5&lt;=LastHist,RealRes_B*AB26,IF(INDEX(NCA_H,1,23)&gt;0,(MIN(INDEX(NCE_H,1,LastHist),INDEX(NCA_H,1,23))*(RealRes_B*ODq_H*(1-MIN(1,MAX(0,(AB$5-RenewIdx+1)*RenewRate)))+MIN(1,MAX(0,(AB$5-RenewIdx+1)*RenewRate))*MIN(RealRes_B*ODq_H*(1+RenewUp),RealRes*AB26))+MAX(0,INDEX(NCA_H,1,23)-INDEX(NCE_H,1,LastHist))*RealRes*AB26)/INDEX(NCA_H,1,23),RealRes*AB26)),(IF(AB$5&gt;LastHist,MIN(1,MAX(0,(AB$5-RenewIdx+1)*RenewRate)),0)*AB26+(1-IF(AB$5&gt;LastHist,MIN(1,MAX(0,(AB$5-RenewIdx+1)*RenewRate)),0))*INDEX($F$26:$AG$26,1,MAX(1,AB$5-IF(AB$5&gt;LastHist,ResLag,0))))*IF(AB$5&lt;=LastHist,RealRes_B,RealRes))</f>
        <v>2.27950075865949</v>
      </c>
      <c r="AC27" s="24" t="n">
        <f aca="false">IF(RepriceOn=1,IF(AC$5&lt;=LastHist,RealRes_B*AC26,IF(INDEX(NCA_H,1,24)&gt;0,(MIN(INDEX(NCE_H,1,LastHist),INDEX(NCA_H,1,24))*(RealRes_B*ODq_H*(1-MIN(1,MAX(0,(AC$5-RenewIdx+1)*RenewRate)))+MIN(1,MAX(0,(AC$5-RenewIdx+1)*RenewRate))*MIN(RealRes_B*ODq_H*(1+RenewUp),RealRes*AC26))+MAX(0,INDEX(NCA_H,1,24)-INDEX(NCE_H,1,LastHist))*RealRes*AC26)/INDEX(NCA_H,1,24),RealRes*AC26)),(IF(AC$5&gt;LastHist,MIN(1,MAX(0,(AC$5-RenewIdx+1)*RenewRate)),0)*AC26+(1-IF(AC$5&gt;LastHist,MIN(1,MAX(0,(AC$5-RenewIdx+1)*RenewRate)),0))*INDEX($F$26:$AG$26,1,MAX(1,AC$5-IF(AC$5&gt;LastHist,ResLag,0))))*IF(AC$5&lt;=LastHist,RealRes_B,RealRes))</f>
        <v>2.1887415</v>
      </c>
      <c r="AD27" s="24" t="n">
        <f aca="false">IF(RepriceOn=1,IF(AD$5&lt;=LastHist,RealRes_B*AD26,IF(INDEX(NCA_H,1,25)&gt;0,(MIN(INDEX(NCE_H,1,LastHist),INDEX(NCA_H,1,25))*(RealRes_B*ODq_H*(1-MIN(1,MAX(0,(AD$5-RenewIdx+1)*RenewRate)))+MIN(1,MAX(0,(AD$5-RenewIdx+1)*RenewRate))*MIN(RealRes_B*ODq_H*(1+RenewUp),RealRes*AD26))+MAX(0,INDEX(NCA_H,1,25)-INDEX(NCE_H,1,LastHist))*RealRes*AD26)/INDEX(NCA_H,1,25),RealRes*AD26)),(IF(AD$5&gt;LastHist,MIN(1,MAX(0,(AD$5-RenewIdx+1)*RenewRate)),0)*AD26+(1-IF(AD$5&gt;LastHist,MIN(1,MAX(0,(AD$5-RenewIdx+1)*RenewRate)),0))*INDEX($F$26:$AG$26,1,MAX(1,AD$5-IF(AD$5&gt;LastHist,ResLag,0))))*IF(AD$5&lt;=LastHist,RealRes_B,RealRes))</f>
        <v>2.10159585848941</v>
      </c>
      <c r="AE27" s="24" t="n">
        <f aca="false">IF(RepriceOn=1,IF(AE$5&lt;=LastHist,RealRes_B*AE26,IF(INDEX(NCA_H,1,26)&gt;0,(MIN(INDEX(NCE_H,1,LastHist),INDEX(NCA_H,1,26))*(RealRes_B*ODq_H*(1-MIN(1,MAX(0,(AE$5-RenewIdx+1)*RenewRate)))+MIN(1,MAX(0,(AE$5-RenewIdx+1)*RenewRate))*MIN(RealRes_B*ODq_H*(1+RenewUp),RealRes*AE26))+MAX(0,INDEX(NCA_H,1,26)-INDEX(NCE_H,1,LastHist))*RealRes*AE26)/INDEX(NCA_H,1,26),RealRes*AE26)),(IF(AE$5&gt;LastHist,MIN(1,MAX(0,(AE$5-RenewIdx+1)*RenewRate)),0)*AE26+(1-IF(AE$5&gt;LastHist,MIN(1,MAX(0,(AE$5-RenewIdx+1)*RenewRate)),0))*INDEX($F$26:$AG$26,1,MAX(1,AE$5-IF(AE$5&gt;LastHist,ResLag,0))))*IF(AE$5&lt;=LastHist,RealRes_B,RealRes))</f>
        <v>2.01791995647719</v>
      </c>
      <c r="AF27" s="24" t="n">
        <f aca="false">IF(RepriceOn=1,IF(AF$5&lt;=LastHist,RealRes_B*AF26,IF(INDEX(NCA_H,1,27)&gt;0,(MIN(INDEX(NCE_H,1,LastHist),INDEX(NCA_H,1,27))*(RealRes_B*ODq_H*(1-MIN(1,MAX(0,(AF$5-RenewIdx+1)*RenewRate)))+MIN(1,MAX(0,(AF$5-RenewIdx+1)*RenewRate))*MIN(RealRes_B*ODq_H*(1+RenewUp),RealRes*AF26))+MAX(0,INDEX(NCA_H,1,27)-INDEX(NCE_H,1,LastHist))*RealRes*AF26)/INDEX(NCA_H,1,27),RealRes*AF26)),(IF(AF$5&gt;LastHist,MIN(1,MAX(0,(AF$5-RenewIdx+1)*RenewRate)),0)*AF26+(1-IF(AF$5&gt;LastHist,MIN(1,MAX(0,(AF$5-RenewIdx+1)*RenewRate)),0))*INDEX($F$26:$AG$26,1,MAX(1,AF$5-IF(AF$5&gt;LastHist,ResLag,0))))*IF(AF$5&lt;=LastHist,RealRes_B,RealRes))</f>
        <v>1.93757564486057</v>
      </c>
      <c r="AG27" s="24" t="n">
        <f aca="false">IF(RepriceOn=1,IF(AG$5&lt;=LastHist,RealRes_B*AG26,IF(INDEX(NCA_H,1,28)&gt;0,(MIN(INDEX(NCE_H,1,LastHist),INDEX(NCA_H,1,28))*(RealRes_B*ODq_H*(1-MIN(1,MAX(0,(AG$5-RenewIdx+1)*RenewRate)))+MIN(1,MAX(0,(AG$5-RenewIdx+1)*RenewRate))*MIN(RealRes_B*ODq_H*(1+RenewUp),RealRes*AG26))+MAX(0,INDEX(NCA_H,1,28)-INDEX(NCE_H,1,LastHist))*RealRes*AG26)/INDEX(NCA_H,1,28),RealRes*AG26)),(IF(AG$5&gt;LastHist,MIN(1,MAX(0,(AG$5-RenewIdx+1)*RenewRate)),0)*AG26+(1-IF(AG$5&gt;LastHist,MIN(1,MAX(0,(AG$5-RenewIdx+1)*RenewRate)),0))*INDEX($F$26:$AG$26,1,MAX(1,AG$5-IF(AG$5&gt;LastHist,ResLag,0))))*IF(AG$5&lt;=LastHist,RealRes_B,RealRes))</f>
        <v>1.860430275</v>
      </c>
      <c r="AI27" s="24" t="n">
        <f aca="false">AVERAGEIF($F$7:$AG$7,AI$7,$F27:$AG27)</f>
        <v>2.79</v>
      </c>
      <c r="AJ27" s="24" t="n">
        <f aca="false">AVERAGEIF($F$7:$AG$7,AJ$7,$F27:$AG27)</f>
        <v>2.79</v>
      </c>
      <c r="AK27" s="24" t="n">
        <f aca="false">AVERAGEIF($F$7:$AG$7,AK$7,$F27:$AG27)</f>
        <v>2.845125</v>
      </c>
      <c r="AL27" s="24" t="n">
        <f aca="false">AVERAGEIF($F$7:$AG$7,AL$7,$F27:$AG27)</f>
        <v>3.01316149886423</v>
      </c>
      <c r="AM27" s="24" t="n">
        <f aca="false">AVERAGEIF($F$7:$AG$7,AM$7,$F27:$AG27)</f>
        <v>2.73591492301591</v>
      </c>
      <c r="AN27" s="24" t="n">
        <f aca="false">AVERAGEIF($F$7:$AG$7,AN$7,$F27:$AG27)</f>
        <v>2.32868286318446</v>
      </c>
      <c r="AO27" s="24" t="n">
        <f aca="false">AVERAGEIF($F$7:$AG$7,AO$7,$F27:$AG27)</f>
        <v>1.97938043370679</v>
      </c>
    </row>
    <row r="28" customFormat="false" ht="15" hidden="false" customHeight="false" outlineLevel="0" collapsed="false">
      <c r="A28" s="104" t="s">
        <v>1561</v>
      </c>
      <c r="B28" s="20" t="s">
        <v>553</v>
      </c>
      <c r="C28" s="20" t="s">
        <v>546</v>
      </c>
      <c r="D28" s="20" t="s">
        <v>1562</v>
      </c>
      <c r="F28" s="118" t="n">
        <f aca="false">Spot_H*IF(F$5&gt;LastHist,PxMult,1)*(1+PxChg_H)^(MAX(0,F$5-PxBaseIdx)/4)</f>
        <v>0.79</v>
      </c>
      <c r="G28" s="118" t="n">
        <f aca="false">Spot_H*IF(G$5&gt;LastHist,PxMult,1)*(1+PxChg_H)^(MAX(0,G$5-PxBaseIdx)/4)</f>
        <v>0.79</v>
      </c>
      <c r="H28" s="118" t="n">
        <f aca="false">Spot_H*IF(H$5&gt;LastHist,PxMult,1)*(1+PxChg_H)^(MAX(0,H$5-PxBaseIdx)/4)</f>
        <v>0.79</v>
      </c>
      <c r="I28" s="118" t="n">
        <f aca="false">Spot_H*IF(I$5&gt;LastHist,PxMult,1)*(1+PxChg_H)^(MAX(0,I$5-PxBaseIdx)/4)</f>
        <v>0.79</v>
      </c>
      <c r="J28" s="118" t="n">
        <f aca="false">Spot_H*IF(J$5&gt;LastHist,PxMult,1)*(1+PxChg_H)^(MAX(0,J$5-PxBaseIdx)/4)</f>
        <v>0.79</v>
      </c>
      <c r="K28" s="118" t="n">
        <f aca="false">Spot_H*IF(K$5&gt;LastHist,PxMult,1)*(1+PxChg_H)^(MAX(0,K$5-PxBaseIdx)/4)</f>
        <v>0.79</v>
      </c>
      <c r="L28" s="118" t="n">
        <f aca="false">Spot_H*IF(L$5&gt;LastHist,PxMult,1)*(1+PxChg_H)^(MAX(0,L$5-PxBaseIdx)/4)</f>
        <v>0.79</v>
      </c>
      <c r="M28" s="118" t="n">
        <f aca="false">Spot_H*IF(M$5&gt;LastHist,PxMult,1)*(1+PxChg_H)^(MAX(0,M$5-PxBaseIdx)/4)</f>
        <v>0.79</v>
      </c>
      <c r="N28" s="118" t="n">
        <f aca="false">Spot_H*IF(N$5&gt;LastHist,PxMult,1)*(1+PxChg_H)^(MAX(0,N$5-PxBaseIdx)/4)</f>
        <v>0.79</v>
      </c>
      <c r="O28" s="118" t="n">
        <f aca="false">Spot_H*IF(O$5&gt;LastHist,PxMult,1)*(1+PxChg_H)^(MAX(0,O$5-PxBaseIdx)/4)</f>
        <v>0.79</v>
      </c>
      <c r="P28" s="24" t="n">
        <f aca="false">Spot_H*IF(P$5&gt;LastHist,PxMult,1)*(1+PxChg_H)^(MAX(0,P$5-PxBaseIdx)/4)</f>
        <v>0.79</v>
      </c>
      <c r="Q28" s="24" t="n">
        <f aca="false">Spot_H*IF(Q$5&gt;LastHist,PxMult,1)*(1+PxChg_H)^(MAX(0,Q$5-PxBaseIdx)/4)</f>
        <v>0.79</v>
      </c>
      <c r="R28" s="24" t="n">
        <f aca="false">Spot_H*IF(R$5&gt;LastHist,PxMult,1)*(1+PxChg_H)^(MAX(0,R$5-PxBaseIdx)/4)</f>
        <v>0.758545825629308</v>
      </c>
      <c r="S28" s="24" t="n">
        <f aca="false">Spot_H*IF(S$5&gt;LastHist,PxMult,1)*(1+PxChg_H)^(MAX(0,S$5-PxBaseIdx)/4)</f>
        <v>0.728344012126138</v>
      </c>
      <c r="T28" s="24" t="n">
        <f aca="false">Spot_H*IF(T$5&gt;LastHist,PxMult,1)*(1+PxChg_H)^(MAX(0,T$5-PxBaseIdx)/4)</f>
        <v>0.699344696228335</v>
      </c>
      <c r="U28" s="24" t="n">
        <f aca="false">Spot_H*IF(U$5&gt;LastHist,PxMult,1)*(1+PxChg_H)^(MAX(0,U$5-PxBaseIdx)/4)</f>
        <v>0.6715</v>
      </c>
      <c r="V28" s="24" t="n">
        <f aca="false">Spot_H*IF(V$5&gt;LastHist,PxMult,1)*(1+PxChg_H)^(MAX(0,V$5-PxBaseIdx)/4)</f>
        <v>0.644763951784912</v>
      </c>
      <c r="W28" s="24" t="n">
        <f aca="false">Spot_H*IF(W$5&gt;LastHist,PxMult,1)*(1+PxChg_H)^(MAX(0,W$5-PxBaseIdx)/4)</f>
        <v>0.619092410307217</v>
      </c>
      <c r="X28" s="24" t="n">
        <f aca="false">Spot_H*IF(X$5&gt;LastHist,PxMult,1)*(1+PxChg_H)^(MAX(0,X$5-PxBaseIdx)/4)</f>
        <v>0.594442991794084</v>
      </c>
      <c r="Y28" s="24" t="n">
        <f aca="false">Spot_H*IF(Y$5&gt;LastHist,PxMult,1)*(1+PxChg_H)^(MAX(0,Y$5-PxBaseIdx)/4)</f>
        <v>0.570775</v>
      </c>
      <c r="Z28" s="24" t="n">
        <f aca="false">Spot_H*IF(Z$5&gt;LastHist,PxMult,1)*(1+PxChg_H)^(MAX(0,Z$5-PxBaseIdx)/4)</f>
        <v>0.548049359017175</v>
      </c>
      <c r="AA28" s="24" t="n">
        <f aca="false">Spot_H*IF(AA$5&gt;LastHist,PxMult,1)*(1+PxChg_H)^(MAX(0,AA$5-PxBaseIdx)/4)</f>
        <v>0.526228548761135</v>
      </c>
      <c r="AB28" s="24" t="n">
        <f aca="false">Spot_H*IF(AB$5&gt;LastHist,PxMult,1)*(1+PxChg_H)^(MAX(0,AB$5-PxBaseIdx)/4)</f>
        <v>0.505276543024972</v>
      </c>
      <c r="AC28" s="24" t="n">
        <f aca="false">Spot_H*IF(AC$5&gt;LastHist,PxMult,1)*(1+PxChg_H)^(MAX(0,AC$5-PxBaseIdx)/4)</f>
        <v>0.48515875</v>
      </c>
      <c r="AD28" s="24" t="n">
        <f aca="false">Spot_H*IF(AD$5&gt;LastHist,PxMult,1)*(1+PxChg_H)^(MAX(0,AD$5-PxBaseIdx)/4)</f>
        <v>0.465841955164599</v>
      </c>
      <c r="AE28" s="24" t="n">
        <f aca="false">Spot_H*IF(AE$5&gt;LastHist,PxMult,1)*(1+PxChg_H)^(MAX(0,AE$5-PxBaseIdx)/4)</f>
        <v>0.447294266446965</v>
      </c>
      <c r="AF28" s="24" t="n">
        <f aca="false">Spot_H*IF(AF$5&gt;LastHist,PxMult,1)*(1+PxChg_H)^(MAX(0,AF$5-PxBaseIdx)/4)</f>
        <v>0.429485061571226</v>
      </c>
      <c r="AG28" s="24" t="n">
        <f aca="false">Spot_H*IF(AG$5&gt;LastHist,PxMult,1)*(1+PxChg_H)^(MAX(0,AG$5-PxBaseIdx)/4)</f>
        <v>0.4123849375</v>
      </c>
      <c r="AI28" s="24" t="n">
        <f aca="false">AVERAGEIF($F$7:$AG$7,AI$7,$F28:$AG28)</f>
        <v>0.79</v>
      </c>
      <c r="AJ28" s="24" t="n">
        <f aca="false">AVERAGEIF($F$7:$AG$7,AJ$7,$F28:$AG28)</f>
        <v>0.79</v>
      </c>
      <c r="AK28" s="24" t="n">
        <f aca="false">AVERAGEIF($F$7:$AG$7,AK$7,$F28:$AG28)</f>
        <v>0.79</v>
      </c>
      <c r="AL28" s="24" t="n">
        <f aca="false">AVERAGEIF($F$7:$AG$7,AL$7,$F28:$AG28)</f>
        <v>0.714433633495945</v>
      </c>
      <c r="AM28" s="24" t="n">
        <f aca="false">AVERAGEIF($F$7:$AG$7,AM$7,$F28:$AG28)</f>
        <v>0.607268588471554</v>
      </c>
      <c r="AN28" s="24" t="n">
        <f aca="false">AVERAGEIF($F$7:$AG$7,AN$7,$F28:$AG28)</f>
        <v>0.516178300200821</v>
      </c>
      <c r="AO28" s="24" t="n">
        <f aca="false">AVERAGEIF($F$7:$AG$7,AO$7,$F28:$AG28)</f>
        <v>0.438751555170697</v>
      </c>
    </row>
    <row r="29" customFormat="false" ht="15" hidden="false" customHeight="false" outlineLevel="0" collapsed="false">
      <c r="A29" s="104" t="s">
        <v>1563</v>
      </c>
      <c r="B29" s="20" t="s">
        <v>553</v>
      </c>
      <c r="C29" s="20" t="s">
        <v>546</v>
      </c>
      <c r="D29" s="20"/>
      <c r="F29" s="118" t="n">
        <f aca="false">IF(AND(RepriceOn=1,F$5&lt;=LastHist),ODq_B,IF(F$5&lt;PxBaseIdx,ODp_B,ODc_B))*IF(F$5&gt;LastHist,PxMult,1)*IF(PxPathMode=1,(1+PxChg_B)^(MAX(0,IF(PwrLooseOn=1,MIN(F$5,PwrLooseIdx),F$5)-(PxCycIdx+4))/4)*IF(PwrLooseOn=1,(1+PwrLooseDecl)^(MAX(0,F$5-MAX((PxCycIdx+4),PwrLooseIdx))/4),1),(1+PxChg_B)^(MAX(0,F$5-PxBaseIdx)/4))*(1-PxCycleOn*PxCyc*MIN(1,MAX(0,(F$5-PxCycIdx+1)/4)))</f>
        <v>8.5385</v>
      </c>
      <c r="G29" s="118" t="n">
        <f aca="false">IF(AND(RepriceOn=1,G$5&lt;=LastHist),ODq_B,IF(G$5&lt;PxBaseIdx,ODp_B,ODc_B))*IF(G$5&gt;LastHist,PxMult,1)*IF(PxPathMode=1,(1+PxChg_B)^(MAX(0,IF(PwrLooseOn=1,MIN(G$5,PwrLooseIdx),G$5)-(PxCycIdx+4))/4)*IF(PwrLooseOn=1,(1+PwrLooseDecl)^(MAX(0,G$5-MAX((PxCycIdx+4),PwrLooseIdx))/4),1),(1+PxChg_B)^(MAX(0,G$5-PxBaseIdx)/4))*(1-PxCycleOn*PxCyc*MIN(1,MAX(0,(G$5-PxCycIdx+1)/4)))</f>
        <v>8.5385</v>
      </c>
      <c r="H29" s="118" t="n">
        <f aca="false">IF(AND(RepriceOn=1,H$5&lt;=LastHist),ODq_B,IF(H$5&lt;PxBaseIdx,ODp_B,ODc_B))*IF(H$5&gt;LastHist,PxMult,1)*IF(PxPathMode=1,(1+PxChg_B)^(MAX(0,IF(PwrLooseOn=1,MIN(H$5,PwrLooseIdx),H$5)-(PxCycIdx+4))/4)*IF(PwrLooseOn=1,(1+PwrLooseDecl)^(MAX(0,H$5-MAX((PxCycIdx+4),PwrLooseIdx))/4),1),(1+PxChg_B)^(MAX(0,H$5-PxBaseIdx)/4))*(1-PxCycleOn*PxCyc*MIN(1,MAX(0,(H$5-PxCycIdx+1)/4)))</f>
        <v>8.5385</v>
      </c>
      <c r="I29" s="118" t="n">
        <f aca="false">IF(AND(RepriceOn=1,I$5&lt;=LastHist),ODq_B,IF(I$5&lt;PxBaseIdx,ODp_B,ODc_B))*IF(I$5&gt;LastHist,PxMult,1)*IF(PxPathMode=1,(1+PxChg_B)^(MAX(0,IF(PwrLooseOn=1,MIN(I$5,PwrLooseIdx),I$5)-(PxCycIdx+4))/4)*IF(PwrLooseOn=1,(1+PwrLooseDecl)^(MAX(0,I$5-MAX((PxCycIdx+4),PwrLooseIdx))/4),1),(1+PxChg_B)^(MAX(0,I$5-PxBaseIdx)/4))*(1-PxCycleOn*PxCyc*MIN(1,MAX(0,(I$5-PxCycIdx+1)/4)))</f>
        <v>8.5385</v>
      </c>
      <c r="J29" s="118" t="n">
        <f aca="false">IF(AND(RepriceOn=1,J$5&lt;=LastHist),ODq_B,IF(J$5&lt;PxBaseIdx,ODp_B,ODc_B))*IF(J$5&gt;LastHist,PxMult,1)*IF(PxPathMode=1,(1+PxChg_B)^(MAX(0,IF(PwrLooseOn=1,MIN(J$5,PwrLooseIdx),J$5)-(PxCycIdx+4))/4)*IF(PwrLooseOn=1,(1+PwrLooseDecl)^(MAX(0,J$5-MAX((PxCycIdx+4),PwrLooseIdx))/4),1),(1+PxChg_B)^(MAX(0,J$5-PxBaseIdx)/4))*(1-PxCycleOn*PxCyc*MIN(1,MAX(0,(J$5-PxCycIdx+1)/4)))</f>
        <v>8.5385</v>
      </c>
      <c r="K29" s="118" t="n">
        <f aca="false">IF(AND(RepriceOn=1,K$5&lt;=LastHist),ODq_B,IF(K$5&lt;PxBaseIdx,ODp_B,ODc_B))*IF(K$5&gt;LastHist,PxMult,1)*IF(PxPathMode=1,(1+PxChg_B)^(MAX(0,IF(PwrLooseOn=1,MIN(K$5,PwrLooseIdx),K$5)-(PxCycIdx+4))/4)*IF(PwrLooseOn=1,(1+PwrLooseDecl)^(MAX(0,K$5-MAX((PxCycIdx+4),PwrLooseIdx))/4),1),(1+PxChg_B)^(MAX(0,K$5-PxBaseIdx)/4))*(1-PxCycleOn*PxCyc*MIN(1,MAX(0,(K$5-PxCycIdx+1)/4)))</f>
        <v>8.5385</v>
      </c>
      <c r="L29" s="118" t="n">
        <f aca="false">IF(AND(RepriceOn=1,L$5&lt;=LastHist),ODq_B,IF(L$5&lt;PxBaseIdx,ODp_B,ODc_B))*IF(L$5&gt;LastHist,PxMult,1)*IF(PxPathMode=1,(1+PxChg_B)^(MAX(0,IF(PwrLooseOn=1,MIN(L$5,PwrLooseIdx),L$5)-(PxCycIdx+4))/4)*IF(PwrLooseOn=1,(1+PwrLooseDecl)^(MAX(0,L$5-MAX((PxCycIdx+4),PwrLooseIdx))/4),1),(1+PxChg_B)^(MAX(0,L$5-PxBaseIdx)/4))*(1-PxCycleOn*PxCyc*MIN(1,MAX(0,(L$5-PxCycIdx+1)/4)))</f>
        <v>8.5385</v>
      </c>
      <c r="M29" s="118" t="n">
        <f aca="false">IF(AND(RepriceOn=1,M$5&lt;=LastHist),ODq_B,IF(M$5&lt;PxBaseIdx,ODp_B,ODc_B))*IF(M$5&gt;LastHist,PxMult,1)*IF(PxPathMode=1,(1+PxChg_B)^(MAX(0,IF(PwrLooseOn=1,MIN(M$5,PwrLooseIdx),M$5)-(PxCycIdx+4))/4)*IF(PwrLooseOn=1,(1+PwrLooseDecl)^(MAX(0,M$5-MAX((PxCycIdx+4),PwrLooseIdx))/4),1),(1+PxChg_B)^(MAX(0,M$5-PxBaseIdx)/4))*(1-PxCycleOn*PxCyc*MIN(1,MAX(0,(M$5-PxCycIdx+1)/4)))</f>
        <v>8.5385</v>
      </c>
      <c r="N29" s="118" t="n">
        <f aca="false">IF(AND(RepriceOn=1,N$5&lt;=LastHist),ODq_B,IF(N$5&lt;PxBaseIdx,ODp_B,ODc_B))*IF(N$5&gt;LastHist,PxMult,1)*IF(PxPathMode=1,(1+PxChg_B)^(MAX(0,IF(PwrLooseOn=1,MIN(N$5,PwrLooseIdx),N$5)-(PxCycIdx+4))/4)*IF(PwrLooseOn=1,(1+PwrLooseDecl)^(MAX(0,N$5-MAX((PxCycIdx+4),PwrLooseIdx))/4),1),(1+PxChg_B)^(MAX(0,N$5-PxBaseIdx)/4))*(1-PxCycleOn*PxCyc*MIN(1,MAX(0,(N$5-PxCycIdx+1)/4)))</f>
        <v>8.5385</v>
      </c>
      <c r="O29" s="118" t="n">
        <f aca="false">IF(AND(RepriceOn=1,O$5&lt;=LastHist),ODq_B,IF(O$5&lt;PxBaseIdx,ODp_B,ODc_B))*IF(O$5&gt;LastHist,PxMult,1)*IF(PxPathMode=1,(1+PxChg_B)^(MAX(0,IF(PwrLooseOn=1,MIN(O$5,PwrLooseIdx),O$5)-(PxCycIdx+4))/4)*IF(PwrLooseOn=1,(1+PwrLooseDecl)^(MAX(0,O$5-MAX((PxCycIdx+4),PwrLooseIdx))/4),1),(1+PxChg_B)^(MAX(0,O$5-PxBaseIdx)/4))*(1-PxCycleOn*PxCyc*MIN(1,MAX(0,(O$5-PxCycIdx+1)/4)))</f>
        <v>8.5385</v>
      </c>
      <c r="P29" s="24" t="n">
        <f aca="false">IF(AND(RepriceOn=1,P$5&lt;=LastHist),ODq_B,IF(P$5&lt;PxBaseIdx,ODp_B,ODc_B))*IF(P$5&gt;LastHist,PxMult,1)*IF(PxPathMode=1,(1+PxChg_B)^(MAX(0,IF(PwrLooseOn=1,MIN(P$5,PwrLooseIdx),P$5)-(PxCycIdx+4))/4)*IF(PwrLooseOn=1,(1+PwrLooseDecl)^(MAX(0,P$5-MAX((PxCycIdx+4),PwrLooseIdx))/4),1),(1+PxChg_B)^(MAX(0,P$5-PxBaseIdx)/4))*(1-PxCycleOn*PxCyc*MIN(1,MAX(0,(P$5-PxCycIdx+1)/4)))</f>
        <v>8.5385</v>
      </c>
      <c r="Q29" s="24" t="n">
        <f aca="false">IF(AND(RepriceOn=1,Q$5&lt;=LastHist),ODq_B,IF(Q$5&lt;PxBaseIdx,ODp_B,ODc_B))*IF(Q$5&gt;LastHist,PxMult,1)*IF(PxPathMode=1,(1+PxChg_B)^(MAX(0,IF(PwrLooseOn=1,MIN(Q$5,PwrLooseIdx),Q$5)-(PxCycIdx+4))/4)*IF(PwrLooseOn=1,(1+PwrLooseDecl)^(MAX(0,Q$5-MAX((PxCycIdx+4),PwrLooseIdx))/4),1),(1+PxChg_B)^(MAX(0,Q$5-PxBaseIdx)/4))*(1-PxCycleOn*PxCyc*MIN(1,MAX(0,(Q$5-PxCycIdx+1)/4)))</f>
        <v>10.295</v>
      </c>
      <c r="R29" s="24" t="n">
        <f aca="false">IF(AND(RepriceOn=1,R$5&lt;=LastHist),ODq_B,IF(R$5&lt;PxBaseIdx,ODp_B,ODc_B))*IF(R$5&gt;LastHist,PxMult,1)*IF(PxPathMode=1,(1+PxChg_B)^(MAX(0,IF(PwrLooseOn=1,MIN(R$5,PwrLooseIdx),R$5)-(PxCycIdx+4))/4)*IF(PwrLooseOn=1,(1+PwrLooseDecl)^(MAX(0,R$5-MAX((PxCycIdx+4),PwrLooseIdx))/4),1),(1+PxChg_B)^(MAX(0,R$5-PxBaseIdx)/4))*(1-PxCycleOn*PxCyc*MIN(1,MAX(0,(R$5-PxCycIdx+1)/4)))</f>
        <v>9.728775</v>
      </c>
      <c r="S29" s="24" t="n">
        <f aca="false">IF(AND(RepriceOn=1,S$5&lt;=LastHist),ODq_B,IF(S$5&lt;PxBaseIdx,ODp_B,ODc_B))*IF(S$5&gt;LastHist,PxMult,1)*IF(PxPathMode=1,(1+PxChg_B)^(MAX(0,IF(PwrLooseOn=1,MIN(S$5,PwrLooseIdx),S$5)-(PxCycIdx+4))/4)*IF(PwrLooseOn=1,(1+PwrLooseDecl)^(MAX(0,S$5-MAX((PxCycIdx+4),PwrLooseIdx))/4),1),(1+PxChg_B)^(MAX(0,S$5-PxBaseIdx)/4))*(1-PxCycleOn*PxCyc*MIN(1,MAX(0,(S$5-PxCycIdx+1)/4)))</f>
        <v>9.16255</v>
      </c>
      <c r="T29" s="24" t="n">
        <f aca="false">IF(AND(RepriceOn=1,T$5&lt;=LastHist),ODq_B,IF(T$5&lt;PxBaseIdx,ODp_B,ODc_B))*IF(T$5&gt;LastHist,PxMult,1)*IF(PxPathMode=1,(1+PxChg_B)^(MAX(0,IF(PwrLooseOn=1,MIN(T$5,PwrLooseIdx),T$5)-(PxCycIdx+4))/4)*IF(PwrLooseOn=1,(1+PwrLooseDecl)^(MAX(0,T$5-MAX((PxCycIdx+4),PwrLooseIdx))/4),1),(1+PxChg_B)^(MAX(0,T$5-PxBaseIdx)/4))*(1-PxCycleOn*PxCyc*MIN(1,MAX(0,(T$5-PxCycIdx+1)/4)))</f>
        <v>8.596325</v>
      </c>
      <c r="U29" s="24" t="n">
        <f aca="false">IF(AND(RepriceOn=1,U$5&lt;=LastHist),ODq_B,IF(U$5&lt;PxBaseIdx,ODp_B,ODc_B))*IF(U$5&gt;LastHist,PxMult,1)*IF(PxPathMode=1,(1+PxChg_B)^(MAX(0,IF(PwrLooseOn=1,MIN(U$5,PwrLooseIdx),U$5)-(PxCycIdx+4))/4)*IF(PwrLooseOn=1,(1+PwrLooseDecl)^(MAX(0,U$5-MAX((PxCycIdx+4),PwrLooseIdx))/4),1),(1+PxChg_B)^(MAX(0,U$5-PxBaseIdx)/4))*(1-PxCycleOn*PxCyc*MIN(1,MAX(0,(U$5-PxCycIdx+1)/4)))</f>
        <v>8.0301</v>
      </c>
      <c r="V29" s="24" t="n">
        <f aca="false">IF(AND(RepriceOn=1,V$5&lt;=LastHist),ODq_B,IF(V$5&lt;PxBaseIdx,ODp_B,ODc_B))*IF(V$5&gt;LastHist,PxMult,1)*IF(PxPathMode=1,(1+PxChg_B)^(MAX(0,IF(PwrLooseOn=1,MIN(V$5,PwrLooseIdx),V$5)-(PxCycIdx+4))/4)*IF(PwrLooseOn=1,(1+PwrLooseDecl)^(MAX(0,V$5-MAX((PxCycIdx+4),PwrLooseIdx))/4),1),(1+PxChg_B)^(MAX(0,V$5-PxBaseIdx)/4))*(1-PxCycleOn*PxCyc*MIN(1,MAX(0,(V$5-PxCycIdx+1)/4)))</f>
        <v>8.0301</v>
      </c>
      <c r="W29" s="24" t="n">
        <f aca="false">IF(AND(RepriceOn=1,W$5&lt;=LastHist),ODq_B,IF(W$5&lt;PxBaseIdx,ODp_B,ODc_B))*IF(W$5&gt;LastHist,PxMult,1)*IF(PxPathMode=1,(1+PxChg_B)^(MAX(0,IF(PwrLooseOn=1,MIN(W$5,PwrLooseIdx),W$5)-(PxCycIdx+4))/4)*IF(PwrLooseOn=1,(1+PwrLooseDecl)^(MAX(0,W$5-MAX((PxCycIdx+4),PwrLooseIdx))/4),1),(1+PxChg_B)^(MAX(0,W$5-PxBaseIdx)/4))*(1-PxCycleOn*PxCyc*MIN(1,MAX(0,(W$5-PxCycIdx+1)/4)))</f>
        <v>7.90683938802862</v>
      </c>
      <c r="X29" s="24" t="n">
        <f aca="false">IF(AND(RepriceOn=1,X$5&lt;=LastHist),ODq_B,IF(X$5&lt;PxBaseIdx,ODp_B,ODc_B))*IF(X$5&gt;LastHist,PxMult,1)*IF(PxPathMode=1,(1+PxChg_B)^(MAX(0,IF(PwrLooseOn=1,MIN(X$5,PwrLooseIdx),X$5)-(PxCycIdx+4))/4)*IF(PwrLooseOn=1,(1+PwrLooseDecl)^(MAX(0,X$5-MAX((PxCycIdx+4),PwrLooseIdx))/4),1),(1+PxChg_B)^(MAX(0,X$5-PxBaseIdx)/4))*(1-PxCycleOn*PxCyc*MIN(1,MAX(0,(X$5-PxCycIdx+1)/4)))</f>
        <v>7.78547080460777</v>
      </c>
      <c r="Y29" s="24" t="n">
        <f aca="false">IF(AND(RepriceOn=1,Y$5&lt;=LastHist),ODq_B,IF(Y$5&lt;PxBaseIdx,ODp_B,ODc_B))*IF(Y$5&gt;LastHist,PxMult,1)*IF(PxPathMode=1,(1+PxChg_B)^(MAX(0,IF(PwrLooseOn=1,MIN(Y$5,PwrLooseIdx),Y$5)-(PxCycIdx+4))/4)*IF(PwrLooseOn=1,(1+PwrLooseDecl)^(MAX(0,Y$5-MAX((PxCycIdx+4),PwrLooseIdx))/4),1),(1+PxChg_B)^(MAX(0,Y$5-PxBaseIdx)/4))*(1-PxCycleOn*PxCyc*MIN(1,MAX(0,(Y$5-PxCycIdx+1)/4)))</f>
        <v>7.66596520743448</v>
      </c>
      <c r="Z29" s="24" t="n">
        <f aca="false">IF(AND(RepriceOn=1,Z$5&lt;=LastHist),ODq_B,IF(Z$5&lt;PxBaseIdx,ODp_B,ODc_B))*IF(Z$5&gt;LastHist,PxMult,1)*IF(PxPathMode=1,(1+PxChg_B)^(MAX(0,IF(PwrLooseOn=1,MIN(Z$5,PwrLooseIdx),Z$5)-(PxCycIdx+4))/4)*IF(PwrLooseOn=1,(1+PwrLooseDecl)^(MAX(0,Z$5-MAX((PxCycIdx+4),PwrLooseIdx))/4),1),(1+PxChg_B)^(MAX(0,Z$5-PxBaseIdx)/4))*(1-PxCycleOn*PxCyc*MIN(1,MAX(0,(Z$5-PxCycIdx+1)/4)))</f>
        <v>7.548294</v>
      </c>
      <c r="AA29" s="24" t="n">
        <f aca="false">IF(AND(RepriceOn=1,AA$5&lt;=LastHist),ODq_B,IF(AA$5&lt;PxBaseIdx,ODp_B,ODc_B))*IF(AA$5&gt;LastHist,PxMult,1)*IF(PxPathMode=1,(1+PxChg_B)^(MAX(0,IF(PwrLooseOn=1,MIN(AA$5,PwrLooseIdx),AA$5)-(PxCycIdx+4))/4)*IF(PwrLooseOn=1,(1+PwrLooseDecl)^(MAX(0,AA$5-MAX((PxCycIdx+4),PwrLooseIdx))/4),1),(1+PxChg_B)^(MAX(0,AA$5-PxBaseIdx)/4))*(1-PxCycleOn*PxCyc*MIN(1,MAX(0,(AA$5-PxCycIdx+1)/4)))</f>
        <v>7.43242902474691</v>
      </c>
      <c r="AB29" s="24" t="n">
        <f aca="false">IF(AND(RepriceOn=1,AB$5&lt;=LastHist),ODq_B,IF(AB$5&lt;PxBaseIdx,ODp_B,ODc_B))*IF(AB$5&gt;LastHist,PxMult,1)*IF(PxPathMode=1,(1+PxChg_B)^(MAX(0,IF(PwrLooseOn=1,MIN(AB$5,PwrLooseIdx),AB$5)-(PxCycIdx+4))/4)*IF(PwrLooseOn=1,(1+PwrLooseDecl)^(MAX(0,AB$5-MAX((PxCycIdx+4),PwrLooseIdx))/4),1),(1+PxChg_B)^(MAX(0,AB$5-PxBaseIdx)/4))*(1-PxCycleOn*PxCyc*MIN(1,MAX(0,(AB$5-PxCycIdx+1)/4)))</f>
        <v>7.31834255633131</v>
      </c>
      <c r="AC29" s="24" t="n">
        <f aca="false">IF(AND(RepriceOn=1,AC$5&lt;=LastHist),ODq_B,IF(AC$5&lt;PxBaseIdx,ODp_B,ODc_B))*IF(AC$5&gt;LastHist,PxMult,1)*IF(PxPathMode=1,(1+PxChg_B)^(MAX(0,IF(PwrLooseOn=1,MIN(AC$5,PwrLooseIdx),AC$5)-(PxCycIdx+4))/4)*IF(PwrLooseOn=1,(1+PwrLooseDecl)^(MAX(0,AC$5-MAX((PxCycIdx+4),PwrLooseIdx))/4),1),(1+PxChg_B)^(MAX(0,AC$5-PxBaseIdx)/4))*(1-PxCycleOn*PxCyc*MIN(1,MAX(0,(AC$5-PxCycIdx+1)/4)))</f>
        <v>7.20600729498841</v>
      </c>
      <c r="AD29" s="24" t="n">
        <f aca="false">IF(AND(RepriceOn=1,AD$5&lt;=LastHist),ODq_B,IF(AD$5&lt;PxBaseIdx,ODp_B,ODc_B))*IF(AD$5&gt;LastHist,PxMult,1)*IF(PxPathMode=1,(1+PxChg_B)^(MAX(0,IF(PwrLooseOn=1,MIN(AD$5,PwrLooseIdx),AD$5)-(PxCycIdx+4))/4)*IF(PwrLooseOn=1,(1+PwrLooseDecl)^(MAX(0,AD$5-MAX((PxCycIdx+4),PwrLooseIdx))/4),1),(1+PxChg_B)^(MAX(0,AD$5-PxBaseIdx)/4))*(1-PxCycleOn*PxCyc*MIN(1,MAX(0,(AD$5-PxCycIdx+1)/4)))</f>
        <v>7.09539636</v>
      </c>
      <c r="AE29" s="24" t="n">
        <f aca="false">IF(AND(RepriceOn=1,AE$5&lt;=LastHist),ODq_B,IF(AE$5&lt;PxBaseIdx,ODp_B,ODc_B))*IF(AE$5&gt;LastHist,PxMult,1)*IF(PxPathMode=1,(1+PxChg_B)^(MAX(0,IF(PwrLooseOn=1,MIN(AE$5,PwrLooseIdx),AE$5)-(PxCycIdx+4))/4)*IF(PwrLooseOn=1,(1+PwrLooseDecl)^(MAX(0,AE$5-MAX((PxCycIdx+4),PwrLooseIdx))/4),1),(1+PxChg_B)^(MAX(0,AE$5-PxBaseIdx)/4))*(1-PxCycleOn*PxCyc*MIN(1,MAX(0,(AE$5-PxCycIdx+1)/4)))</f>
        <v>6.98648328326209</v>
      </c>
      <c r="AF29" s="24" t="n">
        <f aca="false">IF(AND(RepriceOn=1,AF$5&lt;=LastHist),ODq_B,IF(AF$5&lt;PxBaseIdx,ODp_B,ODc_B))*IF(AF$5&gt;LastHist,PxMult,1)*IF(PxPathMode=1,(1+PxChg_B)^(MAX(0,IF(PwrLooseOn=1,MIN(AF$5,PwrLooseIdx),AF$5)-(PxCycIdx+4))/4)*IF(PwrLooseOn=1,(1+PwrLooseDecl)^(MAX(0,AF$5-MAX((PxCycIdx+4),PwrLooseIdx))/4),1),(1+PxChg_B)^(MAX(0,AF$5-PxBaseIdx)/4))*(1-PxCycleOn*PxCyc*MIN(1,MAX(0,(AF$5-PxCycIdx+1)/4)))</f>
        <v>6.87924200295143</v>
      </c>
      <c r="AG29" s="24" t="n">
        <f aca="false">IF(AND(RepriceOn=1,AG$5&lt;=LastHist),ODq_B,IF(AG$5&lt;PxBaseIdx,ODp_B,ODc_B))*IF(AG$5&gt;LastHist,PxMult,1)*IF(PxPathMode=1,(1+PxChg_B)^(MAX(0,IF(PwrLooseOn=1,MIN(AG$5,PwrLooseIdx),AG$5)-(PxCycIdx+4))/4)*IF(PwrLooseOn=1,(1+PwrLooseDecl)^(MAX(0,AG$5-MAX((PxCycIdx+4),PwrLooseIdx))/4),1),(1+PxChg_B)^(MAX(0,AG$5-PxBaseIdx)/4))*(1-PxCycleOn*PxCyc*MIN(1,MAX(0,(AG$5-PxCycIdx+1)/4)))</f>
        <v>6.77364685728911</v>
      </c>
      <c r="AI29" s="24" t="n">
        <f aca="false">AVERAGEIF($F$7:$AG$7,AI$7,$F29:$AG29)</f>
        <v>8.5385</v>
      </c>
      <c r="AJ29" s="24" t="n">
        <f aca="false">AVERAGEIF($F$7:$AG$7,AJ$7,$F29:$AG29)</f>
        <v>8.5385</v>
      </c>
      <c r="AK29" s="24" t="n">
        <f aca="false">AVERAGEIF($F$7:$AG$7,AK$7,$F29:$AG29)</f>
        <v>8.977625</v>
      </c>
      <c r="AL29" s="24" t="n">
        <f aca="false">AVERAGEIF($F$7:$AG$7,AL$7,$F29:$AG29)</f>
        <v>8.8794375</v>
      </c>
      <c r="AM29" s="24" t="n">
        <f aca="false">AVERAGEIF($F$7:$AG$7,AM$7,$F29:$AG29)</f>
        <v>7.84709385001772</v>
      </c>
      <c r="AN29" s="24" t="n">
        <f aca="false">AVERAGEIF($F$7:$AG$7,AN$7,$F29:$AG29)</f>
        <v>7.37626821901666</v>
      </c>
      <c r="AO29" s="24" t="n">
        <f aca="false">AVERAGEIF($F$7:$AG$7,AO$7,$F29:$AG29)</f>
        <v>6.93369212587566</v>
      </c>
    </row>
    <row r="30" customFormat="false" ht="15" hidden="false" customHeight="false" outlineLevel="0" collapsed="false">
      <c r="A30" s="104" t="s">
        <v>1564</v>
      </c>
      <c r="B30" s="20" t="s">
        <v>553</v>
      </c>
      <c r="C30" s="20" t="s">
        <v>546</v>
      </c>
      <c r="D30" s="20" t="s">
        <v>1560</v>
      </c>
      <c r="F30" s="118" t="n">
        <f aca="false">IF(RepriceOn=1,IF(F$5&lt;=LastHist,RealRes_B*F29,IF(INDEX(NCA_B,1,1)&gt;0,(MIN(INDEX(NCE_B,1,LastHist),INDEX(NCA_B,1,1))*(RealRes_B*ODq_B*(1-MIN(1,MAX(0,(F$5-RenewIdx+1)*RenewRate)))+MIN(1,MAX(0,(F$5-RenewIdx+1)*RenewRate))*MIN(RealRes_B*ODq_B*(1+RenewUp),RealRes*F29))+MAX(0,INDEX(NCA_B,1,1)-INDEX(NCE_B,1,LastHist))*RealRes*F29)/INDEX(NCA_B,1,1),RealRes*F29)),(IF(F$5&gt;LastHist,MIN(1,MAX(0,(F$5-RenewIdx+1)*RenewRate)),0)*F29+(1-IF(F$5&gt;LastHist,MIN(1,MAX(0,(F$5-RenewIdx+1)*RenewRate)),0))*INDEX($F$29:$AG$29,1,MAX(1,F$5-IF(F$5&gt;LastHist,ResLag,0))))*IF(F$5&lt;=LastHist,RealRes_B,RealRes))</f>
        <v>6.14772</v>
      </c>
      <c r="G30" s="118" t="n">
        <f aca="false">IF(RepriceOn=1,IF(G$5&lt;=LastHist,RealRes_B*G29,IF(INDEX(NCA_B,1,2)&gt;0,(MIN(INDEX(NCE_B,1,LastHist),INDEX(NCA_B,1,2))*(RealRes_B*ODq_B*(1-MIN(1,MAX(0,(G$5-RenewIdx+1)*RenewRate)))+MIN(1,MAX(0,(G$5-RenewIdx+1)*RenewRate))*MIN(RealRes_B*ODq_B*(1+RenewUp),RealRes*G29))+MAX(0,INDEX(NCA_B,1,2)-INDEX(NCE_B,1,LastHist))*RealRes*G29)/INDEX(NCA_B,1,2),RealRes*G29)),(IF(G$5&gt;LastHist,MIN(1,MAX(0,(G$5-RenewIdx+1)*RenewRate)),0)*G29+(1-IF(G$5&gt;LastHist,MIN(1,MAX(0,(G$5-RenewIdx+1)*RenewRate)),0))*INDEX($F$29:$AG$29,1,MAX(1,G$5-IF(G$5&gt;LastHist,ResLag,0))))*IF(G$5&lt;=LastHist,RealRes_B,RealRes))</f>
        <v>6.14772</v>
      </c>
      <c r="H30" s="118" t="n">
        <f aca="false">IF(RepriceOn=1,IF(H$5&lt;=LastHist,RealRes_B*H29,IF(INDEX(NCA_B,1,3)&gt;0,(MIN(INDEX(NCE_B,1,LastHist),INDEX(NCA_B,1,3))*(RealRes_B*ODq_B*(1-MIN(1,MAX(0,(H$5-RenewIdx+1)*RenewRate)))+MIN(1,MAX(0,(H$5-RenewIdx+1)*RenewRate))*MIN(RealRes_B*ODq_B*(1+RenewUp),RealRes*H29))+MAX(0,INDEX(NCA_B,1,3)-INDEX(NCE_B,1,LastHist))*RealRes*H29)/INDEX(NCA_B,1,3),RealRes*H29)),(IF(H$5&gt;LastHist,MIN(1,MAX(0,(H$5-RenewIdx+1)*RenewRate)),0)*H29+(1-IF(H$5&gt;LastHist,MIN(1,MAX(0,(H$5-RenewIdx+1)*RenewRate)),0))*INDEX($F$29:$AG$29,1,MAX(1,H$5-IF(H$5&gt;LastHist,ResLag,0))))*IF(H$5&lt;=LastHist,RealRes_B,RealRes))</f>
        <v>6.14772</v>
      </c>
      <c r="I30" s="118" t="n">
        <f aca="false">IF(RepriceOn=1,IF(I$5&lt;=LastHist,RealRes_B*I29,IF(INDEX(NCA_B,1,4)&gt;0,(MIN(INDEX(NCE_B,1,LastHist),INDEX(NCA_B,1,4))*(RealRes_B*ODq_B*(1-MIN(1,MAX(0,(I$5-RenewIdx+1)*RenewRate)))+MIN(1,MAX(0,(I$5-RenewIdx+1)*RenewRate))*MIN(RealRes_B*ODq_B*(1+RenewUp),RealRes*I29))+MAX(0,INDEX(NCA_B,1,4)-INDEX(NCE_B,1,LastHist))*RealRes*I29)/INDEX(NCA_B,1,4),RealRes*I29)),(IF(I$5&gt;LastHist,MIN(1,MAX(0,(I$5-RenewIdx+1)*RenewRate)),0)*I29+(1-IF(I$5&gt;LastHist,MIN(1,MAX(0,(I$5-RenewIdx+1)*RenewRate)),0))*INDEX($F$29:$AG$29,1,MAX(1,I$5-IF(I$5&gt;LastHist,ResLag,0))))*IF(I$5&lt;=LastHist,RealRes_B,RealRes))</f>
        <v>6.14772</v>
      </c>
      <c r="J30" s="118" t="n">
        <f aca="false">IF(RepriceOn=1,IF(J$5&lt;=LastHist,RealRes_B*J29,IF(INDEX(NCA_B,1,5)&gt;0,(MIN(INDEX(NCE_B,1,LastHist),INDEX(NCA_B,1,5))*(RealRes_B*ODq_B*(1-MIN(1,MAX(0,(J$5-RenewIdx+1)*RenewRate)))+MIN(1,MAX(0,(J$5-RenewIdx+1)*RenewRate))*MIN(RealRes_B*ODq_B*(1+RenewUp),RealRes*J29))+MAX(0,INDEX(NCA_B,1,5)-INDEX(NCE_B,1,LastHist))*RealRes*J29)/INDEX(NCA_B,1,5),RealRes*J29)),(IF(J$5&gt;LastHist,MIN(1,MAX(0,(J$5-RenewIdx+1)*RenewRate)),0)*J29+(1-IF(J$5&gt;LastHist,MIN(1,MAX(0,(J$5-RenewIdx+1)*RenewRate)),0))*INDEX($F$29:$AG$29,1,MAX(1,J$5-IF(J$5&gt;LastHist,ResLag,0))))*IF(J$5&lt;=LastHist,RealRes_B,RealRes))</f>
        <v>6.14772</v>
      </c>
      <c r="K30" s="118" t="n">
        <f aca="false">IF(RepriceOn=1,IF(K$5&lt;=LastHist,RealRes_B*K29,IF(INDEX(NCA_B,1,6)&gt;0,(MIN(INDEX(NCE_B,1,LastHist),INDEX(NCA_B,1,6))*(RealRes_B*ODq_B*(1-MIN(1,MAX(0,(K$5-RenewIdx+1)*RenewRate)))+MIN(1,MAX(0,(K$5-RenewIdx+1)*RenewRate))*MIN(RealRes_B*ODq_B*(1+RenewUp),RealRes*K29))+MAX(0,INDEX(NCA_B,1,6)-INDEX(NCE_B,1,LastHist))*RealRes*K29)/INDEX(NCA_B,1,6),RealRes*K29)),(IF(K$5&gt;LastHist,MIN(1,MAX(0,(K$5-RenewIdx+1)*RenewRate)),0)*K29+(1-IF(K$5&gt;LastHist,MIN(1,MAX(0,(K$5-RenewIdx+1)*RenewRate)),0))*INDEX($F$29:$AG$29,1,MAX(1,K$5-IF(K$5&gt;LastHist,ResLag,0))))*IF(K$5&lt;=LastHist,RealRes_B,RealRes))</f>
        <v>6.14772</v>
      </c>
      <c r="L30" s="118" t="n">
        <f aca="false">IF(RepriceOn=1,IF(L$5&lt;=LastHist,RealRes_B*L29,IF(INDEX(NCA_B,1,7)&gt;0,(MIN(INDEX(NCE_B,1,LastHist),INDEX(NCA_B,1,7))*(RealRes_B*ODq_B*(1-MIN(1,MAX(0,(L$5-RenewIdx+1)*RenewRate)))+MIN(1,MAX(0,(L$5-RenewIdx+1)*RenewRate))*MIN(RealRes_B*ODq_B*(1+RenewUp),RealRes*L29))+MAX(0,INDEX(NCA_B,1,7)-INDEX(NCE_B,1,LastHist))*RealRes*L29)/INDEX(NCA_B,1,7),RealRes*L29)),(IF(L$5&gt;LastHist,MIN(1,MAX(0,(L$5-RenewIdx+1)*RenewRate)),0)*L29+(1-IF(L$5&gt;LastHist,MIN(1,MAX(0,(L$5-RenewIdx+1)*RenewRate)),0))*INDEX($F$29:$AG$29,1,MAX(1,L$5-IF(L$5&gt;LastHist,ResLag,0))))*IF(L$5&lt;=LastHist,RealRes_B,RealRes))</f>
        <v>6.14772</v>
      </c>
      <c r="M30" s="118" t="n">
        <f aca="false">IF(RepriceOn=1,IF(M$5&lt;=LastHist,RealRes_B*M29,IF(INDEX(NCA_B,1,8)&gt;0,(MIN(INDEX(NCE_B,1,LastHist),INDEX(NCA_B,1,8))*(RealRes_B*ODq_B*(1-MIN(1,MAX(0,(M$5-RenewIdx+1)*RenewRate)))+MIN(1,MAX(0,(M$5-RenewIdx+1)*RenewRate))*MIN(RealRes_B*ODq_B*(1+RenewUp),RealRes*M29))+MAX(0,INDEX(NCA_B,1,8)-INDEX(NCE_B,1,LastHist))*RealRes*M29)/INDEX(NCA_B,1,8),RealRes*M29)),(IF(M$5&gt;LastHist,MIN(1,MAX(0,(M$5-RenewIdx+1)*RenewRate)),0)*M29+(1-IF(M$5&gt;LastHist,MIN(1,MAX(0,(M$5-RenewIdx+1)*RenewRate)),0))*INDEX($F$29:$AG$29,1,MAX(1,M$5-IF(M$5&gt;LastHist,ResLag,0))))*IF(M$5&lt;=LastHist,RealRes_B,RealRes))</f>
        <v>6.14772</v>
      </c>
      <c r="N30" s="118" t="n">
        <f aca="false">IF(RepriceOn=1,IF(N$5&lt;=LastHist,RealRes_B*N29,IF(INDEX(NCA_B,1,9)&gt;0,(MIN(INDEX(NCE_B,1,LastHist),INDEX(NCA_B,1,9))*(RealRes_B*ODq_B*(1-MIN(1,MAX(0,(N$5-RenewIdx+1)*RenewRate)))+MIN(1,MAX(0,(N$5-RenewIdx+1)*RenewRate))*MIN(RealRes_B*ODq_B*(1+RenewUp),RealRes*N29))+MAX(0,INDEX(NCA_B,1,9)-INDEX(NCE_B,1,LastHist))*RealRes*N29)/INDEX(NCA_B,1,9),RealRes*N29)),(IF(N$5&gt;LastHist,MIN(1,MAX(0,(N$5-RenewIdx+1)*RenewRate)),0)*N29+(1-IF(N$5&gt;LastHist,MIN(1,MAX(0,(N$5-RenewIdx+1)*RenewRate)),0))*INDEX($F$29:$AG$29,1,MAX(1,N$5-IF(N$5&gt;LastHist,ResLag,0))))*IF(N$5&lt;=LastHist,RealRes_B,RealRes))</f>
        <v>6.14772</v>
      </c>
      <c r="O30" s="118" t="n">
        <f aca="false">IF(RepriceOn=1,IF(O$5&lt;=LastHist,RealRes_B*O29,IF(INDEX(NCA_B,1,10)&gt;0,(MIN(INDEX(NCE_B,1,LastHist),INDEX(NCA_B,1,10))*(RealRes_B*ODq_B*(1-MIN(1,MAX(0,(O$5-RenewIdx+1)*RenewRate)))+MIN(1,MAX(0,(O$5-RenewIdx+1)*RenewRate))*MIN(RealRes_B*ODq_B*(1+RenewUp),RealRes*O29))+MAX(0,INDEX(NCA_B,1,10)-INDEX(NCE_B,1,LastHist))*RealRes*O29)/INDEX(NCA_B,1,10),RealRes*O29)),(IF(O$5&gt;LastHist,MIN(1,MAX(0,(O$5-RenewIdx+1)*RenewRate)),0)*O29+(1-IF(O$5&gt;LastHist,MIN(1,MAX(0,(O$5-RenewIdx+1)*RenewRate)),0))*INDEX($F$29:$AG$29,1,MAX(1,O$5-IF(O$5&gt;LastHist,ResLag,0))))*IF(O$5&lt;=LastHist,RealRes_B,RealRes))</f>
        <v>6.14772</v>
      </c>
      <c r="P30" s="24" t="n">
        <f aca="false">IF(RepriceOn=1,IF(P$5&lt;=LastHist,RealRes_B*P29,IF(INDEX(NCA_B,1,11)&gt;0,(MIN(INDEX(NCE_B,1,LastHist),INDEX(NCA_B,1,11))*(RealRes_B*ODq_B*(1-MIN(1,MAX(0,(P$5-RenewIdx+1)*RenewRate)))+MIN(1,MAX(0,(P$5-RenewIdx+1)*RenewRate))*MIN(RealRes_B*ODq_B*(1+RenewUp),RealRes*P29))+MAX(0,INDEX(NCA_B,1,11)-INDEX(NCE_B,1,LastHist))*RealRes*P29)/INDEX(NCA_B,1,11),RealRes*P29)),(IF(P$5&gt;LastHist,MIN(1,MAX(0,(P$5-RenewIdx+1)*RenewRate)),0)*P29+(1-IF(P$5&gt;LastHist,MIN(1,MAX(0,(P$5-RenewIdx+1)*RenewRate)),0))*INDEX($F$29:$AG$29,1,MAX(1,P$5-IF(P$5&gt;LastHist,ResLag,0))))*IF(P$5&lt;=LastHist,RealRes_B,RealRes))</f>
        <v>6.14772</v>
      </c>
      <c r="Q30" s="24" t="n">
        <f aca="false">IF(RepriceOn=1,IF(Q$5&lt;=LastHist,RealRes_B*Q29,IF(INDEX(NCA_B,1,12)&gt;0,(MIN(INDEX(NCE_B,1,LastHist),INDEX(NCA_B,1,12))*(RealRes_B*ODq_B*(1-MIN(1,MAX(0,(Q$5-RenewIdx+1)*RenewRate)))+MIN(1,MAX(0,(Q$5-RenewIdx+1)*RenewRate))*MIN(RealRes_B*ODq_B*(1+RenewUp),RealRes*Q29))+MAX(0,INDEX(NCA_B,1,12)-INDEX(NCE_B,1,LastHist))*RealRes*Q29)/INDEX(NCA_B,1,12),RealRes*Q29)),(IF(Q$5&gt;LastHist,MIN(1,MAX(0,(Q$5-RenewIdx+1)*RenewRate)),0)*Q29+(1-IF(Q$5&gt;LastHist,MIN(1,MAX(0,(Q$5-RenewIdx+1)*RenewRate)),0))*INDEX($F$29:$AG$29,1,MAX(1,Q$5-IF(Q$5&gt;LastHist,ResLag,0))))*IF(Q$5&lt;=LastHist,RealRes_B,RealRes))</f>
        <v>6.55682240307409</v>
      </c>
      <c r="R30" s="24" t="n">
        <f aca="false">IF(RepriceOn=1,IF(R$5&lt;=LastHist,RealRes_B*R29,IF(INDEX(NCA_B,1,13)&gt;0,(MIN(INDEX(NCE_B,1,LastHist),INDEX(NCA_B,1,13))*(RealRes_B*ODq_B*(1-MIN(1,MAX(0,(R$5-RenewIdx+1)*RenewRate)))+MIN(1,MAX(0,(R$5-RenewIdx+1)*RenewRate))*MIN(RealRes_B*ODq_B*(1+RenewUp),RealRes*R29))+MAX(0,INDEX(NCA_B,1,13)-INDEX(NCE_B,1,LastHist))*RealRes*R29)/INDEX(NCA_B,1,13),RealRes*R29)),(IF(R$5&gt;LastHist,MIN(1,MAX(0,(R$5-RenewIdx+1)*RenewRate)),0)*R29+(1-IF(R$5&gt;LastHist,MIN(1,MAX(0,(R$5-RenewIdx+1)*RenewRate)),0))*INDEX($F$29:$AG$29,1,MAX(1,R$5-IF(R$5&gt;LastHist,ResLag,0))))*IF(R$5&lt;=LastHist,RealRes_B,RealRes))</f>
        <v>6.79560141602845</v>
      </c>
      <c r="S30" s="24" t="n">
        <f aca="false">IF(RepriceOn=1,IF(S$5&lt;=LastHist,RealRes_B*S29,IF(INDEX(NCA_B,1,14)&gt;0,(MIN(INDEX(NCE_B,1,LastHist),INDEX(NCA_B,1,14))*(RealRes_B*ODq_B*(1-MIN(1,MAX(0,(S$5-RenewIdx+1)*RenewRate)))+MIN(1,MAX(0,(S$5-RenewIdx+1)*RenewRate))*MIN(RealRes_B*ODq_B*(1+RenewUp),RealRes*S29))+MAX(0,INDEX(NCA_B,1,14)-INDEX(NCE_B,1,LastHist))*RealRes*S29)/INDEX(NCA_B,1,14),RealRes*S29)),(IF(S$5&gt;LastHist,MIN(1,MAX(0,(S$5-RenewIdx+1)*RenewRate)),0)*S29+(1-IF(S$5&gt;LastHist,MIN(1,MAX(0,(S$5-RenewIdx+1)*RenewRate)),0))*INDEX($F$29:$AG$29,1,MAX(1,S$5-IF(S$5&gt;LastHist,ResLag,0))))*IF(S$5&lt;=LastHist,RealRes_B,RealRes))</f>
        <v>6.55542628016472</v>
      </c>
      <c r="T30" s="24" t="n">
        <f aca="false">IF(RepriceOn=1,IF(T$5&lt;=LastHist,RealRes_B*T29,IF(INDEX(NCA_B,1,15)&gt;0,(MIN(INDEX(NCE_B,1,LastHist),INDEX(NCA_B,1,15))*(RealRes_B*ODq_B*(1-MIN(1,MAX(0,(T$5-RenewIdx+1)*RenewRate)))+MIN(1,MAX(0,(T$5-RenewIdx+1)*RenewRate))*MIN(RealRes_B*ODq_B*(1+RenewUp),RealRes*T29))+MAX(0,INDEX(NCA_B,1,15)-INDEX(NCE_B,1,LastHist))*RealRes*T29)/INDEX(NCA_B,1,15),RealRes*T29)),(IF(T$5&gt;LastHist,MIN(1,MAX(0,(T$5-RenewIdx+1)*RenewRate)),0)*T29+(1-IF(T$5&gt;LastHist,MIN(1,MAX(0,(T$5-RenewIdx+1)*RenewRate)),0))*INDEX($F$29:$AG$29,1,MAX(1,T$5-IF(T$5&gt;LastHist,ResLag,0))))*IF(T$5&lt;=LastHist,RealRes_B,RealRes))</f>
        <v>6.18740152459252</v>
      </c>
      <c r="U30" s="24" t="n">
        <f aca="false">IF(RepriceOn=1,IF(U$5&lt;=LastHist,RealRes_B*U29,IF(INDEX(NCA_B,1,16)&gt;0,(MIN(INDEX(NCE_B,1,LastHist),INDEX(NCA_B,1,16))*(RealRes_B*ODq_B*(1-MIN(1,MAX(0,(U$5-RenewIdx+1)*RenewRate)))+MIN(1,MAX(0,(U$5-RenewIdx+1)*RenewRate))*MIN(RealRes_B*ODq_B*(1+RenewUp),RealRes*U29))+MAX(0,INDEX(NCA_B,1,16)-INDEX(NCE_B,1,LastHist))*RealRes*U29)/INDEX(NCA_B,1,16),RealRes*U29)),(IF(U$5&gt;LastHist,MIN(1,MAX(0,(U$5-RenewIdx+1)*RenewRate)),0)*U29+(1-IF(U$5&gt;LastHist,MIN(1,MAX(0,(U$5-RenewIdx+1)*RenewRate)),0))*INDEX($F$29:$AG$29,1,MAX(1,U$5-IF(U$5&gt;LastHist,ResLag,0))))*IF(U$5&lt;=LastHist,RealRes_B,RealRes))</f>
        <v>5.79142325362819</v>
      </c>
      <c r="V30" s="24" t="n">
        <f aca="false">IF(RepriceOn=1,IF(V$5&lt;=LastHist,RealRes_B*V29,IF(INDEX(NCA_B,1,17)&gt;0,(MIN(INDEX(NCE_B,1,LastHist),INDEX(NCA_B,1,17))*(RealRes_B*ODq_B*(1-MIN(1,MAX(0,(V$5-RenewIdx+1)*RenewRate)))+MIN(1,MAX(0,(V$5-RenewIdx+1)*RenewRate))*MIN(RealRes_B*ODq_B*(1+RenewUp),RealRes*V29))+MAX(0,INDEX(NCA_B,1,17)-INDEX(NCE_B,1,LastHist))*RealRes*V29)/INDEX(NCA_B,1,17),RealRes*V29)),(IF(V$5&gt;LastHist,MIN(1,MAX(0,(V$5-RenewIdx+1)*RenewRate)),0)*V29+(1-IF(V$5&gt;LastHist,MIN(1,MAX(0,(V$5-RenewIdx+1)*RenewRate)),0))*INDEX($F$29:$AG$29,1,MAX(1,V$5-IF(V$5&gt;LastHist,ResLag,0))))*IF(V$5&lt;=LastHist,RealRes_B,RealRes))</f>
        <v>5.78590041857342</v>
      </c>
      <c r="W30" s="24" t="n">
        <f aca="false">IF(RepriceOn=1,IF(W$5&lt;=LastHist,RealRes_B*W29,IF(INDEX(NCA_B,1,18)&gt;0,(MIN(INDEX(NCE_B,1,LastHist),INDEX(NCA_B,1,18))*(RealRes_B*ODq_B*(1-MIN(1,MAX(0,(W$5-RenewIdx+1)*RenewRate)))+MIN(1,MAX(0,(W$5-RenewIdx+1)*RenewRate))*MIN(RealRes_B*ODq_B*(1+RenewUp),RealRes*W29))+MAX(0,INDEX(NCA_B,1,18)-INDEX(NCE_B,1,LastHist))*RealRes*W29)/INDEX(NCA_B,1,18),RealRes*W29)),(IF(W$5&gt;LastHist,MIN(1,MAX(0,(W$5-RenewIdx+1)*RenewRate)),0)*W29+(1-IF(W$5&gt;LastHist,MIN(1,MAX(0,(W$5-RenewIdx+1)*RenewRate)),0))*INDEX($F$29:$AG$29,1,MAX(1,W$5-IF(W$5&gt;LastHist,ResLag,0))))*IF(W$5&lt;=LastHist,RealRes_B,RealRes))</f>
        <v>5.69292435938061</v>
      </c>
      <c r="X30" s="24" t="n">
        <f aca="false">IF(RepriceOn=1,IF(X$5&lt;=LastHist,RealRes_B*X29,IF(INDEX(NCA_B,1,19)&gt;0,(MIN(INDEX(NCE_B,1,LastHist),INDEX(NCA_B,1,19))*(RealRes_B*ODq_B*(1-MIN(1,MAX(0,(X$5-RenewIdx+1)*RenewRate)))+MIN(1,MAX(0,(X$5-RenewIdx+1)*RenewRate))*MIN(RealRes_B*ODq_B*(1+RenewUp),RealRes*X29))+MAX(0,INDEX(NCA_B,1,19)-INDEX(NCE_B,1,LastHist))*RealRes*X29)/INDEX(NCA_B,1,19),RealRes*X29)),(IF(X$5&gt;LastHist,MIN(1,MAX(0,(X$5-RenewIdx+1)*RenewRate)),0)*X29+(1-IF(X$5&gt;LastHist,MIN(1,MAX(0,(X$5-RenewIdx+1)*RenewRate)),0))*INDEX($F$29:$AG$29,1,MAX(1,X$5-IF(X$5&gt;LastHist,ResLag,0))))*IF(X$5&lt;=LastHist,RealRes_B,RealRes))</f>
        <v>5.6055389793176</v>
      </c>
      <c r="Y30" s="24" t="n">
        <f aca="false">IF(RepriceOn=1,IF(Y$5&lt;=LastHist,RealRes_B*Y29,IF(INDEX(NCA_B,1,20)&gt;0,(MIN(INDEX(NCE_B,1,LastHist),INDEX(NCA_B,1,20))*(RealRes_B*ODq_B*(1-MIN(1,MAX(0,(Y$5-RenewIdx+1)*RenewRate)))+MIN(1,MAX(0,(Y$5-RenewIdx+1)*RenewRate))*MIN(RealRes_B*ODq_B*(1+RenewUp),RealRes*Y29))+MAX(0,INDEX(NCA_B,1,20)-INDEX(NCE_B,1,LastHist))*RealRes*Y29)/INDEX(NCA_B,1,20),RealRes*Y29)),(IF(Y$5&gt;LastHist,MIN(1,MAX(0,(Y$5-RenewIdx+1)*RenewRate)),0)*Y29+(1-IF(Y$5&gt;LastHist,MIN(1,MAX(0,(Y$5-RenewIdx+1)*RenewRate)),0))*INDEX($F$29:$AG$29,1,MAX(1,Y$5-IF(Y$5&gt;LastHist,ResLag,0))))*IF(Y$5&lt;=LastHist,RealRes_B,RealRes))</f>
        <v>5.51949494935283</v>
      </c>
      <c r="Z30" s="24" t="n">
        <f aca="false">IF(RepriceOn=1,IF(Z$5&lt;=LastHist,RealRes_B*Z29,IF(INDEX(NCA_B,1,21)&gt;0,(MIN(INDEX(NCE_B,1,LastHist),INDEX(NCA_B,1,21))*(RealRes_B*ODq_B*(1-MIN(1,MAX(0,(Z$5-RenewIdx+1)*RenewRate)))+MIN(1,MAX(0,(Z$5-RenewIdx+1)*RenewRate))*MIN(RealRes_B*ODq_B*(1+RenewUp),RealRes*Z29))+MAX(0,INDEX(NCA_B,1,21)-INDEX(NCE_B,1,LastHist))*RealRes*Z29)/INDEX(NCA_B,1,21),RealRes*Z29)),(IF(Z$5&gt;LastHist,MIN(1,MAX(0,(Z$5-RenewIdx+1)*RenewRate)),0)*Z29+(1-IF(Z$5&gt;LastHist,MIN(1,MAX(0,(Z$5-RenewIdx+1)*RenewRate)),0))*INDEX($F$29:$AG$29,1,MAX(1,Z$5-IF(Z$5&gt;LastHist,ResLag,0))))*IF(Z$5&lt;=LastHist,RealRes_B,RealRes))</f>
        <v>5.43477168</v>
      </c>
      <c r="AA30" s="24" t="n">
        <f aca="false">IF(RepriceOn=1,IF(AA$5&lt;=LastHist,RealRes_B*AA29,IF(INDEX(NCA_B,1,22)&gt;0,(MIN(INDEX(NCE_B,1,LastHist),INDEX(NCA_B,1,22))*(RealRes_B*ODq_B*(1-MIN(1,MAX(0,(AA$5-RenewIdx+1)*RenewRate)))+MIN(1,MAX(0,(AA$5-RenewIdx+1)*RenewRate))*MIN(RealRes_B*ODq_B*(1+RenewUp),RealRes*AA29))+MAX(0,INDEX(NCA_B,1,22)-INDEX(NCE_B,1,LastHist))*RealRes*AA29)/INDEX(NCA_B,1,22),RealRes*AA29)),(IF(AA$5&gt;LastHist,MIN(1,MAX(0,(AA$5-RenewIdx+1)*RenewRate)),0)*AA29+(1-IF(AA$5&gt;LastHist,MIN(1,MAX(0,(AA$5-RenewIdx+1)*RenewRate)),0))*INDEX($F$29:$AG$29,1,MAX(1,AA$5-IF(AA$5&gt;LastHist,ResLag,0))))*IF(AA$5&lt;=LastHist,RealRes_B,RealRes))</f>
        <v>5.35134889781777</v>
      </c>
      <c r="AB30" s="24" t="n">
        <f aca="false">IF(RepriceOn=1,IF(AB$5&lt;=LastHist,RealRes_B*AB29,IF(INDEX(NCA_B,1,23)&gt;0,(MIN(INDEX(NCE_B,1,LastHist),INDEX(NCA_B,1,23))*(RealRes_B*ODq_B*(1-MIN(1,MAX(0,(AB$5-RenewIdx+1)*RenewRate)))+MIN(1,MAX(0,(AB$5-RenewIdx+1)*RenewRate))*MIN(RealRes_B*ODq_B*(1+RenewUp),RealRes*AB29))+MAX(0,INDEX(NCA_B,1,23)-INDEX(NCE_B,1,LastHist))*RealRes*AB29)/INDEX(NCA_B,1,23),RealRes*AB29)),(IF(AB$5&gt;LastHist,MIN(1,MAX(0,(AB$5-RenewIdx+1)*RenewRate)),0)*AB29+(1-IF(AB$5&gt;LastHist,MIN(1,MAX(0,(AB$5-RenewIdx+1)*RenewRate)),0))*INDEX($F$29:$AG$29,1,MAX(1,AB$5-IF(AB$5&gt;LastHist,ResLag,0))))*IF(AB$5&lt;=LastHist,RealRes_B,RealRes))</f>
        <v>5.26920664055854</v>
      </c>
      <c r="AC30" s="24" t="n">
        <f aca="false">IF(RepriceOn=1,IF(AC$5&lt;=LastHist,RealRes_B*AC29,IF(INDEX(NCA_B,1,24)&gt;0,(MIN(INDEX(NCE_B,1,LastHist),INDEX(NCA_B,1,24))*(RealRes_B*ODq_B*(1-MIN(1,MAX(0,(AC$5-RenewIdx+1)*RenewRate)))+MIN(1,MAX(0,(AC$5-RenewIdx+1)*RenewRate))*MIN(RealRes_B*ODq_B*(1+RenewUp),RealRes*AC29))+MAX(0,INDEX(NCA_B,1,24)-INDEX(NCE_B,1,LastHist))*RealRes*AC29)/INDEX(NCA_B,1,24),RealRes*AC29)),(IF(AC$5&gt;LastHist,MIN(1,MAX(0,(AC$5-RenewIdx+1)*RenewRate)),0)*AC29+(1-IF(AC$5&gt;LastHist,MIN(1,MAX(0,(AC$5-RenewIdx+1)*RenewRate)),0))*INDEX($F$29:$AG$29,1,MAX(1,AC$5-IF(AC$5&gt;LastHist,ResLag,0))))*IF(AC$5&lt;=LastHist,RealRes_B,RealRes))</f>
        <v>5.18832525239166</v>
      </c>
      <c r="AD30" s="24" t="n">
        <f aca="false">IF(RepriceOn=1,IF(AD$5&lt;=LastHist,RealRes_B*AD29,IF(INDEX(NCA_B,1,25)&gt;0,(MIN(INDEX(NCE_B,1,LastHist),INDEX(NCA_B,1,25))*(RealRes_B*ODq_B*(1-MIN(1,MAX(0,(AD$5-RenewIdx+1)*RenewRate)))+MIN(1,MAX(0,(AD$5-RenewIdx+1)*RenewRate))*MIN(RealRes_B*ODq_B*(1+RenewUp),RealRes*AD29))+MAX(0,INDEX(NCA_B,1,25)-INDEX(NCE_B,1,LastHist))*RealRes*AD29)/INDEX(NCA_B,1,25),RealRes*AD29)),(IF(AD$5&gt;LastHist,MIN(1,MAX(0,(AD$5-RenewIdx+1)*RenewRate)),0)*AD29+(1-IF(AD$5&gt;LastHist,MIN(1,MAX(0,(AD$5-RenewIdx+1)*RenewRate)),0))*INDEX($F$29:$AG$29,1,MAX(1,AD$5-IF(AD$5&gt;LastHist,ResLag,0))))*IF(AD$5&lt;=LastHist,RealRes_B,RealRes))</f>
        <v>5.1086853792</v>
      </c>
      <c r="AE30" s="24" t="n">
        <f aca="false">IF(RepriceOn=1,IF(AE$5&lt;=LastHist,RealRes_B*AE29,IF(INDEX(NCA_B,1,26)&gt;0,(MIN(INDEX(NCE_B,1,LastHist),INDEX(NCA_B,1,26))*(RealRes_B*ODq_B*(1-MIN(1,MAX(0,(AE$5-RenewIdx+1)*RenewRate)))+MIN(1,MAX(0,(AE$5-RenewIdx+1)*RenewRate))*MIN(RealRes_B*ODq_B*(1+RenewUp),RealRes*AE29))+MAX(0,INDEX(NCA_B,1,26)-INDEX(NCE_B,1,LastHist))*RealRes*AE29)/INDEX(NCA_B,1,26),RealRes*AE29)),(IF(AE$5&gt;LastHist,MIN(1,MAX(0,(AE$5-RenewIdx+1)*RenewRate)),0)*AE29+(1-IF(AE$5&gt;LastHist,MIN(1,MAX(0,(AE$5-RenewIdx+1)*RenewRate)),0))*INDEX($F$29:$AG$29,1,MAX(1,AE$5-IF(AE$5&gt;LastHist,ResLag,0))))*IF(AE$5&lt;=LastHist,RealRes_B,RealRes))</f>
        <v>5.03026796394871</v>
      </c>
      <c r="AF30" s="24" t="n">
        <f aca="false">IF(RepriceOn=1,IF(AF$5&lt;=LastHist,RealRes_B*AF29,IF(INDEX(NCA_B,1,27)&gt;0,(MIN(INDEX(NCE_B,1,LastHist),INDEX(NCA_B,1,27))*(RealRes_B*ODq_B*(1-MIN(1,MAX(0,(AF$5-RenewIdx+1)*RenewRate)))+MIN(1,MAX(0,(AF$5-RenewIdx+1)*RenewRate))*MIN(RealRes_B*ODq_B*(1+RenewUp),RealRes*AF29))+MAX(0,INDEX(NCA_B,1,27)-INDEX(NCE_B,1,LastHist))*RealRes*AF29)/INDEX(NCA_B,1,27),RealRes*AF29)),(IF(AF$5&gt;LastHist,MIN(1,MAX(0,(AF$5-RenewIdx+1)*RenewRate)),0)*AF29+(1-IF(AF$5&gt;LastHist,MIN(1,MAX(0,(AF$5-RenewIdx+1)*RenewRate)),0))*INDEX($F$29:$AG$29,1,MAX(1,AF$5-IF(AF$5&gt;LastHist,ResLag,0))))*IF(AF$5&lt;=LastHist,RealRes_B,RealRes))</f>
        <v>4.95305424212503</v>
      </c>
      <c r="AG30" s="24" t="n">
        <f aca="false">IF(RepriceOn=1,IF(AG$5&lt;=LastHist,RealRes_B*AG29,IF(INDEX(NCA_B,1,28)&gt;0,(MIN(INDEX(NCE_B,1,LastHist),INDEX(NCA_B,1,28))*(RealRes_B*ODq_B*(1-MIN(1,MAX(0,(AG$5-RenewIdx+1)*RenewRate)))+MIN(1,MAX(0,(AG$5-RenewIdx+1)*RenewRate))*MIN(RealRes_B*ODq_B*(1+RenewUp),RealRes*AG29))+MAX(0,INDEX(NCA_B,1,28)-INDEX(NCE_B,1,LastHist))*RealRes*AG29)/INDEX(NCA_B,1,28),RealRes*AG29)),(IF(AG$5&gt;LastHist,MIN(1,MAX(0,(AG$5-RenewIdx+1)*RenewRate)),0)*AG29+(1-IF(AG$5&gt;LastHist,MIN(1,MAX(0,(AG$5-RenewIdx+1)*RenewRate)),0))*INDEX($F$29:$AG$29,1,MAX(1,AG$5-IF(AG$5&gt;LastHist,ResLag,0))))*IF(AG$5&lt;=LastHist,RealRes_B,RealRes))</f>
        <v>4.87702573724816</v>
      </c>
      <c r="AI30" s="24" t="n">
        <f aca="false">AVERAGEIF($F$7:$AG$7,AI$7,$F30:$AG30)</f>
        <v>6.14772</v>
      </c>
      <c r="AJ30" s="24" t="n">
        <f aca="false">AVERAGEIF($F$7:$AG$7,AJ$7,$F30:$AG30)</f>
        <v>6.14772</v>
      </c>
      <c r="AK30" s="24" t="n">
        <f aca="false">AVERAGEIF($F$7:$AG$7,AK$7,$F30:$AG30)</f>
        <v>6.24999560076852</v>
      </c>
      <c r="AL30" s="24" t="n">
        <f aca="false">AVERAGEIF($F$7:$AG$7,AL$7,$F30:$AG30)</f>
        <v>6.33246311860347</v>
      </c>
      <c r="AM30" s="24" t="n">
        <f aca="false">AVERAGEIF($F$7:$AG$7,AM$7,$F30:$AG30)</f>
        <v>5.65096467665611</v>
      </c>
      <c r="AN30" s="24" t="n">
        <f aca="false">AVERAGEIF($F$7:$AG$7,AN$7,$F30:$AG30)</f>
        <v>5.31091311769199</v>
      </c>
      <c r="AO30" s="24" t="n">
        <f aca="false">AVERAGEIF($F$7:$AG$7,AO$7,$F30:$AG30)</f>
        <v>4.99225833063047</v>
      </c>
    </row>
    <row r="31" customFormat="false" ht="15" hidden="false" customHeight="false" outlineLevel="0" collapsed="false">
      <c r="A31" s="104" t="s">
        <v>1565</v>
      </c>
      <c r="B31" s="20" t="s">
        <v>553</v>
      </c>
      <c r="C31" s="20" t="s">
        <v>546</v>
      </c>
      <c r="D31" s="20" t="s">
        <v>1562</v>
      </c>
      <c r="F31" s="118" t="n">
        <f aca="false">Spot_B*IF(F$5&gt;LastHist,PxMult,1)*IF(PxPathMode=1,(1+PxChg_B)^(MAX(0,IF(PwrLooseOn=1,MIN(F$5,PwrLooseIdx),F$5)-(PxCycIdx+4))/4)*IF(PwrLooseOn=1,(1+PwrLooseDecl)^(MAX(0,F$5-MAX((PxCycIdx+4),PwrLooseIdx))/4),1),(1+PxChg_B)^(MAX(0,F$5-PxBaseIdx)/4))</f>
        <v>0.99</v>
      </c>
      <c r="G31" s="118" t="n">
        <f aca="false">Spot_B*IF(G$5&gt;LastHist,PxMult,1)*IF(PxPathMode=1,(1+PxChg_B)^(MAX(0,IF(PwrLooseOn=1,MIN(G$5,PwrLooseIdx),G$5)-(PxCycIdx+4))/4)*IF(PwrLooseOn=1,(1+PwrLooseDecl)^(MAX(0,G$5-MAX((PxCycIdx+4),PwrLooseIdx))/4),1),(1+PxChg_B)^(MAX(0,G$5-PxBaseIdx)/4))</f>
        <v>0.99</v>
      </c>
      <c r="H31" s="118" t="n">
        <f aca="false">Spot_B*IF(H$5&gt;LastHist,PxMult,1)*IF(PxPathMode=1,(1+PxChg_B)^(MAX(0,IF(PwrLooseOn=1,MIN(H$5,PwrLooseIdx),H$5)-(PxCycIdx+4))/4)*IF(PwrLooseOn=1,(1+PwrLooseDecl)^(MAX(0,H$5-MAX((PxCycIdx+4),PwrLooseIdx))/4),1),(1+PxChg_B)^(MAX(0,H$5-PxBaseIdx)/4))</f>
        <v>0.99</v>
      </c>
      <c r="I31" s="118" t="n">
        <f aca="false">Spot_B*IF(I$5&gt;LastHist,PxMult,1)*IF(PxPathMode=1,(1+PxChg_B)^(MAX(0,IF(PwrLooseOn=1,MIN(I$5,PwrLooseIdx),I$5)-(PxCycIdx+4))/4)*IF(PwrLooseOn=1,(1+PwrLooseDecl)^(MAX(0,I$5-MAX((PxCycIdx+4),PwrLooseIdx))/4),1),(1+PxChg_B)^(MAX(0,I$5-PxBaseIdx)/4))</f>
        <v>0.99</v>
      </c>
      <c r="J31" s="118" t="n">
        <f aca="false">Spot_B*IF(J$5&gt;LastHist,PxMult,1)*IF(PxPathMode=1,(1+PxChg_B)^(MAX(0,IF(PwrLooseOn=1,MIN(J$5,PwrLooseIdx),J$5)-(PxCycIdx+4))/4)*IF(PwrLooseOn=1,(1+PwrLooseDecl)^(MAX(0,J$5-MAX((PxCycIdx+4),PwrLooseIdx))/4),1),(1+PxChg_B)^(MAX(0,J$5-PxBaseIdx)/4))</f>
        <v>0.99</v>
      </c>
      <c r="K31" s="118" t="n">
        <f aca="false">Spot_B*IF(K$5&gt;LastHist,PxMult,1)*IF(PxPathMode=1,(1+PxChg_B)^(MAX(0,IF(PwrLooseOn=1,MIN(K$5,PwrLooseIdx),K$5)-(PxCycIdx+4))/4)*IF(PwrLooseOn=1,(1+PwrLooseDecl)^(MAX(0,K$5-MAX((PxCycIdx+4),PwrLooseIdx))/4),1),(1+PxChg_B)^(MAX(0,K$5-PxBaseIdx)/4))</f>
        <v>0.99</v>
      </c>
      <c r="L31" s="118" t="n">
        <f aca="false">Spot_B*IF(L$5&gt;LastHist,PxMult,1)*IF(PxPathMode=1,(1+PxChg_B)^(MAX(0,IF(PwrLooseOn=1,MIN(L$5,PwrLooseIdx),L$5)-(PxCycIdx+4))/4)*IF(PwrLooseOn=1,(1+PwrLooseDecl)^(MAX(0,L$5-MAX((PxCycIdx+4),PwrLooseIdx))/4),1),(1+PxChg_B)^(MAX(0,L$5-PxBaseIdx)/4))</f>
        <v>0.99</v>
      </c>
      <c r="M31" s="118" t="n">
        <f aca="false">Spot_B*IF(M$5&gt;LastHist,PxMult,1)*IF(PxPathMode=1,(1+PxChg_B)^(MAX(0,IF(PwrLooseOn=1,MIN(M$5,PwrLooseIdx),M$5)-(PxCycIdx+4))/4)*IF(PwrLooseOn=1,(1+PwrLooseDecl)^(MAX(0,M$5-MAX((PxCycIdx+4),PwrLooseIdx))/4),1),(1+PxChg_B)^(MAX(0,M$5-PxBaseIdx)/4))</f>
        <v>0.99</v>
      </c>
      <c r="N31" s="118" t="n">
        <f aca="false">Spot_B*IF(N$5&gt;LastHist,PxMult,1)*IF(PxPathMode=1,(1+PxChg_B)^(MAX(0,IF(PwrLooseOn=1,MIN(N$5,PwrLooseIdx),N$5)-(PxCycIdx+4))/4)*IF(PwrLooseOn=1,(1+PwrLooseDecl)^(MAX(0,N$5-MAX((PxCycIdx+4),PwrLooseIdx))/4),1),(1+PxChg_B)^(MAX(0,N$5-PxBaseIdx)/4))</f>
        <v>0.99</v>
      </c>
      <c r="O31" s="118" t="n">
        <f aca="false">Spot_B*IF(O$5&gt;LastHist,PxMult,1)*IF(PxPathMode=1,(1+PxChg_B)^(MAX(0,IF(PwrLooseOn=1,MIN(O$5,PwrLooseIdx),O$5)-(PxCycIdx+4))/4)*IF(PwrLooseOn=1,(1+PwrLooseDecl)^(MAX(0,O$5-MAX((PxCycIdx+4),PwrLooseIdx))/4),1),(1+PxChg_B)^(MAX(0,O$5-PxBaseIdx)/4))</f>
        <v>0.99</v>
      </c>
      <c r="P31" s="24" t="n">
        <f aca="false">Spot_B*IF(P$5&gt;LastHist,PxMult,1)*IF(PxPathMode=1,(1+PxChg_B)^(MAX(0,IF(PwrLooseOn=1,MIN(P$5,PwrLooseIdx),P$5)-(PxCycIdx+4))/4)*IF(PwrLooseOn=1,(1+PwrLooseDecl)^(MAX(0,P$5-MAX((PxCycIdx+4),PwrLooseIdx))/4),1),(1+PxChg_B)^(MAX(0,P$5-PxBaseIdx)/4))</f>
        <v>0.99</v>
      </c>
      <c r="Q31" s="24" t="n">
        <f aca="false">Spot_B*IF(Q$5&gt;LastHist,PxMult,1)*IF(PxPathMode=1,(1+PxChg_B)^(MAX(0,IF(PwrLooseOn=1,MIN(Q$5,PwrLooseIdx),Q$5)-(PxCycIdx+4))/4)*IF(PwrLooseOn=1,(1+PwrLooseDecl)^(MAX(0,Q$5-MAX((PxCycIdx+4),PwrLooseIdx))/4),1),(1+PxChg_B)^(MAX(0,Q$5-PxBaseIdx)/4))</f>
        <v>0.99</v>
      </c>
      <c r="R31" s="24" t="n">
        <f aca="false">Spot_B*IF(R$5&gt;LastHist,PxMult,1)*IF(PxPathMode=1,(1+PxChg_B)^(MAX(0,IF(PwrLooseOn=1,MIN(R$5,PwrLooseIdx),R$5)-(PxCycIdx+4))/4)*IF(PwrLooseOn=1,(1+PwrLooseDecl)^(MAX(0,R$5-MAX((PxCycIdx+4),PwrLooseIdx))/4),1),(1+PxChg_B)^(MAX(0,R$5-PxBaseIdx)/4))</f>
        <v>0.99</v>
      </c>
      <c r="S31" s="24" t="n">
        <f aca="false">Spot_B*IF(S$5&gt;LastHist,PxMult,1)*IF(PxPathMode=1,(1+PxChg_B)^(MAX(0,IF(PwrLooseOn=1,MIN(S$5,PwrLooseIdx),S$5)-(PxCycIdx+4))/4)*IF(PwrLooseOn=1,(1+PwrLooseDecl)^(MAX(0,S$5-MAX((PxCycIdx+4),PwrLooseIdx))/4),1),(1+PxChg_B)^(MAX(0,S$5-PxBaseIdx)/4))</f>
        <v>0.99</v>
      </c>
      <c r="T31" s="24" t="n">
        <f aca="false">Spot_B*IF(T$5&gt;LastHist,PxMult,1)*IF(PxPathMode=1,(1+PxChg_B)^(MAX(0,IF(PwrLooseOn=1,MIN(T$5,PwrLooseIdx),T$5)-(PxCycIdx+4))/4)*IF(PwrLooseOn=1,(1+PwrLooseDecl)^(MAX(0,T$5-MAX((PxCycIdx+4),PwrLooseIdx))/4),1),(1+PxChg_B)^(MAX(0,T$5-PxBaseIdx)/4))</f>
        <v>0.99</v>
      </c>
      <c r="U31" s="24" t="n">
        <f aca="false">Spot_B*IF(U$5&gt;LastHist,PxMult,1)*IF(PxPathMode=1,(1+PxChg_B)^(MAX(0,IF(PwrLooseOn=1,MIN(U$5,PwrLooseIdx),U$5)-(PxCycIdx+4))/4)*IF(PwrLooseOn=1,(1+PwrLooseDecl)^(MAX(0,U$5-MAX((PxCycIdx+4),PwrLooseIdx))/4),1),(1+PxChg_B)^(MAX(0,U$5-PxBaseIdx)/4))</f>
        <v>0.99</v>
      </c>
      <c r="V31" s="24" t="n">
        <f aca="false">Spot_B*IF(V$5&gt;LastHist,PxMult,1)*IF(PxPathMode=1,(1+PxChg_B)^(MAX(0,IF(PwrLooseOn=1,MIN(V$5,PwrLooseIdx),V$5)-(PxCycIdx+4))/4)*IF(PwrLooseOn=1,(1+PwrLooseDecl)^(MAX(0,V$5-MAX((PxCycIdx+4),PwrLooseIdx))/4),1),(1+PxChg_B)^(MAX(0,V$5-PxBaseIdx)/4))</f>
        <v>0.99</v>
      </c>
      <c r="W31" s="24" t="n">
        <f aca="false">Spot_B*IF(W$5&gt;LastHist,PxMult,1)*IF(PxPathMode=1,(1+PxChg_B)^(MAX(0,IF(PwrLooseOn=1,MIN(W$5,PwrLooseIdx),W$5)-(PxCycIdx+4))/4)*IF(PwrLooseOn=1,(1+PwrLooseDecl)^(MAX(0,W$5-MAX((PxCycIdx+4),PwrLooseIdx))/4),1),(1+PxChg_B)^(MAX(0,W$5-PxBaseIdx)/4))</f>
        <v>0.9748036754397</v>
      </c>
      <c r="X31" s="24" t="n">
        <f aca="false">Spot_B*IF(X$5&gt;LastHist,PxMult,1)*IF(PxPathMode=1,(1+PxChg_B)^(MAX(0,IF(PwrLooseOn=1,MIN(X$5,PwrLooseIdx),X$5)-(PxCycIdx+4))/4)*IF(PwrLooseOn=1,(1+PwrLooseDecl)^(MAX(0,X$5-MAX((PxCycIdx+4),PwrLooseIdx))/4),1),(1+PxChg_B)^(MAX(0,X$5-PxBaseIdx)/4))</f>
        <v>0.959840611768433</v>
      </c>
      <c r="Y31" s="24" t="n">
        <f aca="false">Spot_B*IF(Y$5&gt;LastHist,PxMult,1)*IF(PxPathMode=1,(1+PxChg_B)^(MAX(0,IF(PwrLooseOn=1,MIN(Y$5,PwrLooseIdx),Y$5)-(PxCycIdx+4))/4)*IF(PwrLooseOn=1,(1+PwrLooseDecl)^(MAX(0,Y$5-MAX((PxCycIdx+4),PwrLooseIdx))/4),1),(1+PxChg_B)^(MAX(0,Y$5-PxBaseIdx)/4))</f>
        <v>0.945107228472888</v>
      </c>
      <c r="Z31" s="24" t="n">
        <f aca="false">Spot_B*IF(Z$5&gt;LastHist,PxMult,1)*IF(PxPathMode=1,(1+PxChg_B)^(MAX(0,IF(PwrLooseOn=1,MIN(Z$5,PwrLooseIdx),Z$5)-(PxCycIdx+4))/4)*IF(PwrLooseOn=1,(1+PwrLooseDecl)^(MAX(0,Z$5-MAX((PxCycIdx+4),PwrLooseIdx))/4),1),(1+PxChg_B)^(MAX(0,Z$5-PxBaseIdx)/4))</f>
        <v>0.9306</v>
      </c>
      <c r="AA31" s="24" t="n">
        <f aca="false">Spot_B*IF(AA$5&gt;LastHist,PxMult,1)*IF(PxPathMode=1,(1+PxChg_B)^(MAX(0,IF(PwrLooseOn=1,MIN(AA$5,PwrLooseIdx),AA$5)-(PxCycIdx+4))/4)*IF(PwrLooseOn=1,(1+PwrLooseDecl)^(MAX(0,AA$5-MAX((PxCycIdx+4),PwrLooseIdx))/4),1),(1+PxChg_B)^(MAX(0,AA$5-PxBaseIdx)/4))</f>
        <v>0.916315454913318</v>
      </c>
      <c r="AB31" s="24" t="n">
        <f aca="false">Spot_B*IF(AB$5&gt;LastHist,PxMult,1)*IF(PxPathMode=1,(1+PxChg_B)^(MAX(0,IF(PwrLooseOn=1,MIN(AB$5,PwrLooseIdx),AB$5)-(PxCycIdx+4))/4)*IF(PwrLooseOn=1,(1+PwrLooseDecl)^(MAX(0,AB$5-MAX((PxCycIdx+4),PwrLooseIdx))/4),1),(1+PxChg_B)^(MAX(0,AB$5-PxBaseIdx)/4))</f>
        <v>0.902250175062327</v>
      </c>
      <c r="AC31" s="24" t="n">
        <f aca="false">Spot_B*IF(AC$5&gt;LastHist,PxMult,1)*IF(PxPathMode=1,(1+PxChg_B)^(MAX(0,IF(PwrLooseOn=1,MIN(AC$5,PwrLooseIdx),AC$5)-(PxCycIdx+4))/4)*IF(PwrLooseOn=1,(1+PwrLooseDecl)^(MAX(0,AC$5-MAX((PxCycIdx+4),PwrLooseIdx))/4),1),(1+PxChg_B)^(MAX(0,AC$5-PxBaseIdx)/4))</f>
        <v>0.888400794764515</v>
      </c>
      <c r="AD31" s="24" t="n">
        <f aca="false">Spot_B*IF(AD$5&gt;LastHist,PxMult,1)*IF(PxPathMode=1,(1+PxChg_B)^(MAX(0,IF(PwrLooseOn=1,MIN(AD$5,PwrLooseIdx),AD$5)-(PxCycIdx+4))/4)*IF(PwrLooseOn=1,(1+PwrLooseDecl)^(MAX(0,AD$5-MAX((PxCycIdx+4),PwrLooseIdx))/4),1),(1+PxChg_B)^(MAX(0,AD$5-PxBaseIdx)/4))</f>
        <v>0.874764</v>
      </c>
      <c r="AE31" s="24" t="n">
        <f aca="false">Spot_B*IF(AE$5&gt;LastHist,PxMult,1)*IF(PxPathMode=1,(1+PxChg_B)^(MAX(0,IF(PwrLooseOn=1,MIN(AE$5,PwrLooseIdx),AE$5)-(PxCycIdx+4))/4)*IF(PwrLooseOn=1,(1+PwrLooseDecl)^(MAX(0,AE$5-MAX((PxCycIdx+4),PwrLooseIdx))/4),1),(1+PxChg_B)^(MAX(0,AE$5-PxBaseIdx)/4))</f>
        <v>0.861336527618519</v>
      </c>
      <c r="AF31" s="24" t="n">
        <f aca="false">Spot_B*IF(AF$5&gt;LastHist,PxMult,1)*IF(PxPathMode=1,(1+PxChg_B)^(MAX(0,IF(PwrLooseOn=1,MIN(AF$5,PwrLooseIdx),AF$5)-(PxCycIdx+4))/4)*IF(PwrLooseOn=1,(1+PwrLooseDecl)^(MAX(0,AF$5-MAX((PxCycIdx+4),PwrLooseIdx))/4),1),(1+PxChg_B)^(MAX(0,AF$5-PxBaseIdx)/4))</f>
        <v>0.848115164558587</v>
      </c>
      <c r="AG31" s="24" t="n">
        <f aca="false">Spot_B*IF(AG$5&gt;LastHist,PxMult,1)*IF(PxPathMode=1,(1+PxChg_B)^(MAX(0,IF(PwrLooseOn=1,MIN(AG$5,PwrLooseIdx),AG$5)-(PxCycIdx+4))/4)*IF(PwrLooseOn=1,(1+PwrLooseDecl)^(MAX(0,AG$5-MAX((PxCycIdx+4),PwrLooseIdx))/4),1),(1+PxChg_B)^(MAX(0,AG$5-PxBaseIdx)/4))</f>
        <v>0.835096747078644</v>
      </c>
      <c r="AI31" s="24" t="n">
        <f aca="false">AVERAGEIF($F$7:$AG$7,AI$7,$F31:$AG31)</f>
        <v>0.99</v>
      </c>
      <c r="AJ31" s="24" t="n">
        <f aca="false">AVERAGEIF($F$7:$AG$7,AJ$7,$F31:$AG31)</f>
        <v>0.99</v>
      </c>
      <c r="AK31" s="24" t="n">
        <f aca="false">AVERAGEIF($F$7:$AG$7,AK$7,$F31:$AG31)</f>
        <v>0.99</v>
      </c>
      <c r="AL31" s="24" t="n">
        <f aca="false">AVERAGEIF($F$7:$AG$7,AL$7,$F31:$AG31)</f>
        <v>0.99</v>
      </c>
      <c r="AM31" s="24" t="n">
        <f aca="false">AVERAGEIF($F$7:$AG$7,AM$7,$F31:$AG31)</f>
        <v>0.967437878920255</v>
      </c>
      <c r="AN31" s="24" t="n">
        <f aca="false">AVERAGEIF($F$7:$AG$7,AN$7,$F31:$AG31)</f>
        <v>0.90939160618504</v>
      </c>
      <c r="AO31" s="24" t="n">
        <f aca="false">AVERAGEIF($F$7:$AG$7,AO$7,$F31:$AG31)</f>
        <v>0.854828109813938</v>
      </c>
    </row>
    <row r="32" customFormat="false" ht="15" hidden="false" customHeight="false" outlineLevel="0" collapsed="false">
      <c r="A32" s="104" t="s">
        <v>1566</v>
      </c>
      <c r="B32" s="20" t="s">
        <v>553</v>
      </c>
      <c r="C32" s="20" t="s">
        <v>546</v>
      </c>
      <c r="D32" s="20"/>
      <c r="F32" s="118" t="n">
        <f aca="false">IF(AND(RepriceOn=1,F$5&lt;=LastHist),ODq_N,IF(F$5&lt;PxBaseIdx,ODp_N,ODc_N))*IF(F$5&gt;LastHist,PxMult,1)*IF(PxPathMode=1,(1+PxChg_N)^(MAX(0,IF(PwrLooseOn=1,MIN(F$5,PwrLooseIdx),F$5)-(NextLaunchIdx+4))/4)*IF(PwrLooseOn=1,(1+PwrLooseDecl)^(MAX(0,F$5-MAX((NextLaunchIdx+4),PwrLooseIdx))/4),1),(1+PxChg_N)^(MAX(0,F$5-PxBaseIdx)/4))*IF(AND(LaunchOn=1,F$5&gt;=NextLaunchIdx,F$5&lt;NextLaunchIdx+HeadStart/3),1+LaunchPrem,1)</f>
        <v>11.4924</v>
      </c>
      <c r="G32" s="118" t="n">
        <f aca="false">IF(AND(RepriceOn=1,G$5&lt;=LastHist),ODq_N,IF(G$5&lt;PxBaseIdx,ODp_N,ODc_N))*IF(G$5&gt;LastHist,PxMult,1)*IF(PxPathMode=1,(1+PxChg_N)^(MAX(0,IF(PwrLooseOn=1,MIN(G$5,PwrLooseIdx),G$5)-(NextLaunchIdx+4))/4)*IF(PwrLooseOn=1,(1+PwrLooseDecl)^(MAX(0,G$5-MAX((NextLaunchIdx+4),PwrLooseIdx))/4),1),(1+PxChg_N)^(MAX(0,G$5-PxBaseIdx)/4))*IF(AND(LaunchOn=1,G$5&gt;=NextLaunchIdx,G$5&lt;NextLaunchIdx+HeadStart/3),1+LaunchPrem,1)</f>
        <v>11.4924</v>
      </c>
      <c r="H32" s="118" t="n">
        <f aca="false">IF(AND(RepriceOn=1,H$5&lt;=LastHist),ODq_N,IF(H$5&lt;PxBaseIdx,ODp_N,ODc_N))*IF(H$5&gt;LastHist,PxMult,1)*IF(PxPathMode=1,(1+PxChg_N)^(MAX(0,IF(PwrLooseOn=1,MIN(H$5,PwrLooseIdx),H$5)-(NextLaunchIdx+4))/4)*IF(PwrLooseOn=1,(1+PwrLooseDecl)^(MAX(0,H$5-MAX((NextLaunchIdx+4),PwrLooseIdx))/4),1),(1+PxChg_N)^(MAX(0,H$5-PxBaseIdx)/4))*IF(AND(LaunchOn=1,H$5&gt;=NextLaunchIdx,H$5&lt;NextLaunchIdx+HeadStart/3),1+LaunchPrem,1)</f>
        <v>11.4924</v>
      </c>
      <c r="I32" s="118" t="n">
        <f aca="false">IF(AND(RepriceOn=1,I$5&lt;=LastHist),ODq_N,IF(I$5&lt;PxBaseIdx,ODp_N,ODc_N))*IF(I$5&gt;LastHist,PxMult,1)*IF(PxPathMode=1,(1+PxChg_N)^(MAX(0,IF(PwrLooseOn=1,MIN(I$5,PwrLooseIdx),I$5)-(NextLaunchIdx+4))/4)*IF(PwrLooseOn=1,(1+PwrLooseDecl)^(MAX(0,I$5-MAX((NextLaunchIdx+4),PwrLooseIdx))/4),1),(1+PxChg_N)^(MAX(0,I$5-PxBaseIdx)/4))*IF(AND(LaunchOn=1,I$5&gt;=NextLaunchIdx,I$5&lt;NextLaunchIdx+HeadStart/3),1+LaunchPrem,1)</f>
        <v>11.4924</v>
      </c>
      <c r="J32" s="118" t="n">
        <f aca="false">IF(AND(RepriceOn=1,J$5&lt;=LastHist),ODq_N,IF(J$5&lt;PxBaseIdx,ODp_N,ODc_N))*IF(J$5&gt;LastHist,PxMult,1)*IF(PxPathMode=1,(1+PxChg_N)^(MAX(0,IF(PwrLooseOn=1,MIN(J$5,PwrLooseIdx),J$5)-(NextLaunchIdx+4))/4)*IF(PwrLooseOn=1,(1+PwrLooseDecl)^(MAX(0,J$5-MAX((NextLaunchIdx+4),PwrLooseIdx))/4),1),(1+PxChg_N)^(MAX(0,J$5-PxBaseIdx)/4))*IF(AND(LaunchOn=1,J$5&gt;=NextLaunchIdx,J$5&lt;NextLaunchIdx+HeadStart/3),1+LaunchPrem,1)</f>
        <v>11.4924</v>
      </c>
      <c r="K32" s="118" t="n">
        <f aca="false">IF(AND(RepriceOn=1,K$5&lt;=LastHist),ODq_N,IF(K$5&lt;PxBaseIdx,ODp_N,ODc_N))*IF(K$5&gt;LastHist,PxMult,1)*IF(PxPathMode=1,(1+PxChg_N)^(MAX(0,IF(PwrLooseOn=1,MIN(K$5,PwrLooseIdx),K$5)-(NextLaunchIdx+4))/4)*IF(PwrLooseOn=1,(1+PwrLooseDecl)^(MAX(0,K$5-MAX((NextLaunchIdx+4),PwrLooseIdx))/4),1),(1+PxChg_N)^(MAX(0,K$5-PxBaseIdx)/4))*IF(AND(LaunchOn=1,K$5&gt;=NextLaunchIdx,K$5&lt;NextLaunchIdx+HeadStart/3),1+LaunchPrem,1)</f>
        <v>11.4924</v>
      </c>
      <c r="L32" s="118" t="n">
        <f aca="false">IF(AND(RepriceOn=1,L$5&lt;=LastHist),ODq_N,IF(L$5&lt;PxBaseIdx,ODp_N,ODc_N))*IF(L$5&gt;LastHist,PxMult,1)*IF(PxPathMode=1,(1+PxChg_N)^(MAX(0,IF(PwrLooseOn=1,MIN(L$5,PwrLooseIdx),L$5)-(NextLaunchIdx+4))/4)*IF(PwrLooseOn=1,(1+PwrLooseDecl)^(MAX(0,L$5-MAX((NextLaunchIdx+4),PwrLooseIdx))/4),1),(1+PxChg_N)^(MAX(0,L$5-PxBaseIdx)/4))*IF(AND(LaunchOn=1,L$5&gt;=NextLaunchIdx,L$5&lt;NextLaunchIdx+HeadStart/3),1+LaunchPrem,1)</f>
        <v>11.4924</v>
      </c>
      <c r="M32" s="118" t="n">
        <f aca="false">IF(AND(RepriceOn=1,M$5&lt;=LastHist),ODq_N,IF(M$5&lt;PxBaseIdx,ODp_N,ODc_N))*IF(M$5&gt;LastHist,PxMult,1)*IF(PxPathMode=1,(1+PxChg_N)^(MAX(0,IF(PwrLooseOn=1,MIN(M$5,PwrLooseIdx),M$5)-(NextLaunchIdx+4))/4)*IF(PwrLooseOn=1,(1+PwrLooseDecl)^(MAX(0,M$5-MAX((NextLaunchIdx+4),PwrLooseIdx))/4),1),(1+PxChg_N)^(MAX(0,M$5-PxBaseIdx)/4))*IF(AND(LaunchOn=1,M$5&gt;=NextLaunchIdx,M$5&lt;NextLaunchIdx+HeadStart/3),1+LaunchPrem,1)</f>
        <v>11.4924</v>
      </c>
      <c r="N32" s="118" t="n">
        <f aca="false">IF(AND(RepriceOn=1,N$5&lt;=LastHist),ODq_N,IF(N$5&lt;PxBaseIdx,ODp_N,ODc_N))*IF(N$5&gt;LastHist,PxMult,1)*IF(PxPathMode=1,(1+PxChg_N)^(MAX(0,IF(PwrLooseOn=1,MIN(N$5,PwrLooseIdx),N$5)-(NextLaunchIdx+4))/4)*IF(PwrLooseOn=1,(1+PwrLooseDecl)^(MAX(0,N$5-MAX((NextLaunchIdx+4),PwrLooseIdx))/4),1),(1+PxChg_N)^(MAX(0,N$5-PxBaseIdx)/4))*IF(AND(LaunchOn=1,N$5&gt;=NextLaunchIdx,N$5&lt;NextLaunchIdx+HeadStart/3),1+LaunchPrem,1)</f>
        <v>11.4924</v>
      </c>
      <c r="O32" s="118" t="n">
        <f aca="false">IF(AND(RepriceOn=1,O$5&lt;=LastHist),ODq_N,IF(O$5&lt;PxBaseIdx,ODp_N,ODc_N))*IF(O$5&gt;LastHist,PxMult,1)*IF(PxPathMode=1,(1+PxChg_N)^(MAX(0,IF(PwrLooseOn=1,MIN(O$5,PwrLooseIdx),O$5)-(NextLaunchIdx+4))/4)*IF(PwrLooseOn=1,(1+PwrLooseDecl)^(MAX(0,O$5-MAX((NextLaunchIdx+4),PwrLooseIdx))/4),1),(1+PxChg_N)^(MAX(0,O$5-PxBaseIdx)/4))*IF(AND(LaunchOn=1,O$5&gt;=NextLaunchIdx,O$5&lt;NextLaunchIdx+HeadStart/3),1+LaunchPrem,1)</f>
        <v>11.4924</v>
      </c>
      <c r="P32" s="24" t="n">
        <f aca="false">IF(AND(RepriceOn=1,P$5&lt;=LastHist),ODq_N,IF(P$5&lt;PxBaseIdx,ODp_N,ODc_N))*IF(P$5&gt;LastHist,PxMult,1)*IF(PxPathMode=1,(1+PxChg_N)^(MAX(0,IF(PwrLooseOn=1,MIN(P$5,PwrLooseIdx),P$5)-(NextLaunchIdx+4))/4)*IF(PwrLooseOn=1,(1+PwrLooseDecl)^(MAX(0,P$5-MAX((NextLaunchIdx+4),PwrLooseIdx))/4),1),(1+PxChg_N)^(MAX(0,P$5-PxBaseIdx)/4))*IF(AND(LaunchOn=1,P$5&gt;=NextLaunchIdx,P$5&lt;NextLaunchIdx+HeadStart/3),1+LaunchPrem,1)</f>
        <v>11.4924</v>
      </c>
      <c r="Q32" s="24" t="n">
        <f aca="false">IF(AND(RepriceOn=1,Q$5&lt;=LastHist),ODq_N,IF(Q$5&lt;PxBaseIdx,ODp_N,ODc_N))*IF(Q$5&gt;LastHist,PxMult,1)*IF(PxPathMode=1,(1+PxChg_N)^(MAX(0,IF(PwrLooseOn=1,MIN(Q$5,PwrLooseIdx),Q$5)-(NextLaunchIdx+4))/4)*IF(PwrLooseOn=1,(1+PwrLooseDecl)^(MAX(0,Q$5-MAX((NextLaunchIdx+4),PwrLooseIdx))/4),1),(1+PxChg_N)^(MAX(0,Q$5-PxBaseIdx)/4))*IF(AND(LaunchOn=1,Q$5&gt;=NextLaunchIdx,Q$5&lt;NextLaunchIdx+HeadStart/3),1+LaunchPrem,1)</f>
        <v>13.908</v>
      </c>
      <c r="R32" s="24" t="n">
        <f aca="false">IF(AND(RepriceOn=1,R$5&lt;=LastHist),ODq_N,IF(R$5&lt;PxBaseIdx,ODp_N,ODc_N))*IF(R$5&gt;LastHist,PxMult,1)*IF(PxPathMode=1,(1+PxChg_N)^(MAX(0,IF(PwrLooseOn=1,MIN(R$5,PwrLooseIdx),R$5)-(NextLaunchIdx+4))/4)*IF(PwrLooseOn=1,(1+PwrLooseDecl)^(MAX(0,R$5-MAX((NextLaunchIdx+4),PwrLooseIdx))/4),1),(1+PxChg_N)^(MAX(0,R$5-PxBaseIdx)/4))*IF(AND(LaunchOn=1,R$5&gt;=NextLaunchIdx,R$5&lt;NextLaunchIdx+HeadStart/3),1+LaunchPrem,1)</f>
        <v>13.908</v>
      </c>
      <c r="S32" s="24" t="n">
        <f aca="false">IF(AND(RepriceOn=1,S$5&lt;=LastHist),ODq_N,IF(S$5&lt;PxBaseIdx,ODp_N,ODc_N))*IF(S$5&gt;LastHist,PxMult,1)*IF(PxPathMode=1,(1+PxChg_N)^(MAX(0,IF(PwrLooseOn=1,MIN(S$5,PwrLooseIdx),S$5)-(NextLaunchIdx+4))/4)*IF(PwrLooseOn=1,(1+PwrLooseDecl)^(MAX(0,S$5-MAX((NextLaunchIdx+4),PwrLooseIdx))/4),1),(1+PxChg_N)^(MAX(0,S$5-PxBaseIdx)/4))*IF(AND(LaunchOn=1,S$5&gt;=NextLaunchIdx,S$5&lt;NextLaunchIdx+HeadStart/3),1+LaunchPrem,1)</f>
        <v>13.908</v>
      </c>
      <c r="T32" s="24" t="n">
        <f aca="false">IF(AND(RepriceOn=1,T$5&lt;=LastHist),ODq_N,IF(T$5&lt;PxBaseIdx,ODp_N,ODc_N))*IF(T$5&gt;LastHist,PxMult,1)*IF(PxPathMode=1,(1+PxChg_N)^(MAX(0,IF(PwrLooseOn=1,MIN(T$5,PwrLooseIdx),T$5)-(NextLaunchIdx+4))/4)*IF(PwrLooseOn=1,(1+PwrLooseDecl)^(MAX(0,T$5-MAX((NextLaunchIdx+4),PwrLooseIdx))/4),1),(1+PxChg_N)^(MAX(0,T$5-PxBaseIdx)/4))*IF(AND(LaunchOn=1,T$5&gt;=NextLaunchIdx,T$5&lt;NextLaunchIdx+HeadStart/3),1+LaunchPrem,1)</f>
        <v>13.908</v>
      </c>
      <c r="U32" s="24" t="n">
        <f aca="false">IF(AND(RepriceOn=1,U$5&lt;=LastHist),ODq_N,IF(U$5&lt;PxBaseIdx,ODp_N,ODc_N))*IF(U$5&gt;LastHist,PxMult,1)*IF(PxPathMode=1,(1+PxChg_N)^(MAX(0,IF(PwrLooseOn=1,MIN(U$5,PwrLooseIdx),U$5)-(NextLaunchIdx+4))/4)*IF(PwrLooseOn=1,(1+PwrLooseDecl)^(MAX(0,U$5-MAX((NextLaunchIdx+4),PwrLooseIdx))/4),1),(1+PxChg_N)^(MAX(0,U$5-PxBaseIdx)/4))*IF(AND(LaunchOn=1,U$5&gt;=NextLaunchIdx,U$5&lt;NextLaunchIdx+HeadStart/3),1+LaunchPrem,1)</f>
        <v>13.908</v>
      </c>
      <c r="V32" s="24" t="n">
        <f aca="false">IF(AND(RepriceOn=1,V$5&lt;=LastHist),ODq_N,IF(V$5&lt;PxBaseIdx,ODp_N,ODc_N))*IF(V$5&gt;LastHist,PxMult,1)*IF(PxPathMode=1,(1+PxChg_N)^(MAX(0,IF(PwrLooseOn=1,MIN(V$5,PwrLooseIdx),V$5)-(NextLaunchIdx+4))/4)*IF(PwrLooseOn=1,(1+PwrLooseDecl)^(MAX(0,V$5-MAX((NextLaunchIdx+4),PwrLooseIdx))/4),1),(1+PxChg_N)^(MAX(0,V$5-PxBaseIdx)/4))*IF(AND(LaunchOn=1,V$5&gt;=NextLaunchIdx,V$5&lt;NextLaunchIdx+HeadStart/3),1+LaunchPrem,1)</f>
        <v>13.908</v>
      </c>
      <c r="W32" s="24" t="n">
        <f aca="false">IF(AND(RepriceOn=1,W$5&lt;=LastHist),ODq_N,IF(W$5&lt;PxBaseIdx,ODp_N,ODc_N))*IF(W$5&gt;LastHist,PxMult,1)*IF(PxPathMode=1,(1+PxChg_N)^(MAX(0,IF(PwrLooseOn=1,MIN(W$5,PwrLooseIdx),W$5)-(NextLaunchIdx+4))/4)*IF(PwrLooseOn=1,(1+PwrLooseDecl)^(MAX(0,W$5-MAX((NextLaunchIdx+4),PwrLooseIdx))/4),1),(1+PxChg_N)^(MAX(0,W$5-PxBaseIdx)/4))*IF(AND(LaunchOn=1,W$5&gt;=NextLaunchIdx,W$5&lt;NextLaunchIdx+HeadStart/3),1+LaunchPrem,1)</f>
        <v>13.694514664662</v>
      </c>
      <c r="X32" s="24" t="n">
        <f aca="false">IF(AND(RepriceOn=1,X$5&lt;=LastHist),ODq_N,IF(X$5&lt;PxBaseIdx,ODp_N,ODc_N))*IF(X$5&gt;LastHist,PxMult,1)*IF(PxPathMode=1,(1+PxChg_N)^(MAX(0,IF(PwrLooseOn=1,MIN(X$5,PwrLooseIdx),X$5)-(NextLaunchIdx+4))/4)*IF(PwrLooseOn=1,(1+PwrLooseDecl)^(MAX(0,X$5-MAX((NextLaunchIdx+4),PwrLooseIdx))/4),1),(1+PxChg_N)^(MAX(0,X$5-PxBaseIdx)/4))*IF(AND(LaunchOn=1,X$5&gt;=NextLaunchIdx,X$5&lt;NextLaunchIdx+HeadStart/3),1+LaunchPrem,1)</f>
        <v>13.4843062913893</v>
      </c>
      <c r="Y32" s="24" t="n">
        <f aca="false">IF(AND(RepriceOn=1,Y$5&lt;=LastHist),ODq_N,IF(Y$5&lt;PxBaseIdx,ODp_N,ODc_N))*IF(Y$5&gt;LastHist,PxMult,1)*IF(PxPathMode=1,(1+PxChg_N)^(MAX(0,IF(PwrLooseOn=1,MIN(Y$5,PwrLooseIdx),Y$5)-(NextLaunchIdx+4))/4)*IF(PwrLooseOn=1,(1+PwrLooseDecl)^(MAX(0,Y$5-MAX((NextLaunchIdx+4),PwrLooseIdx))/4),1),(1+PxChg_N)^(MAX(0,Y$5-PxBaseIdx)/4))*IF(AND(LaunchOn=1,Y$5&gt;=NextLaunchIdx,Y$5&lt;NextLaunchIdx+HeadStart/3),1+LaunchPrem,1)</f>
        <v>13.2773245793949</v>
      </c>
      <c r="Z32" s="24" t="n">
        <f aca="false">IF(AND(RepriceOn=1,Z$5&lt;=LastHist),ODq_N,IF(Z$5&lt;PxBaseIdx,ODp_N,ODc_N))*IF(Z$5&gt;LastHist,PxMult,1)*IF(PxPathMode=1,(1+PxChg_N)^(MAX(0,IF(PwrLooseOn=1,MIN(Z$5,PwrLooseIdx),Z$5)-(NextLaunchIdx+4))/4)*IF(PwrLooseOn=1,(1+PwrLooseDecl)^(MAX(0,Z$5-MAX((NextLaunchIdx+4),PwrLooseIdx))/4),1),(1+PxChg_N)^(MAX(0,Z$5-PxBaseIdx)/4))*IF(AND(LaunchOn=1,Z$5&gt;=NextLaunchIdx,Z$5&lt;NextLaunchIdx+HeadStart/3),1+LaunchPrem,1)</f>
        <v>13.07352</v>
      </c>
      <c r="AA32" s="24" t="n">
        <f aca="false">IF(AND(RepriceOn=1,AA$5&lt;=LastHist),ODq_N,IF(AA$5&lt;PxBaseIdx,ODp_N,ODc_N))*IF(AA$5&gt;LastHist,PxMult,1)*IF(PxPathMode=1,(1+PxChg_N)^(MAX(0,IF(PwrLooseOn=1,MIN(AA$5,PwrLooseIdx),AA$5)-(NextLaunchIdx+4))/4)*IF(PwrLooseOn=1,(1+PwrLooseDecl)^(MAX(0,AA$5-MAX((NextLaunchIdx+4),PwrLooseIdx))/4),1),(1+PxChg_N)^(MAX(0,AA$5-PxBaseIdx)/4))*IF(AND(LaunchOn=1,AA$5&gt;=NextLaunchIdx,AA$5&lt;NextLaunchIdx+HeadStart/3),1+LaunchPrem,1)</f>
        <v>12.8728437847823</v>
      </c>
      <c r="AB32" s="24" t="n">
        <f aca="false">IF(AND(RepriceOn=1,AB$5&lt;=LastHist),ODq_N,IF(AB$5&lt;PxBaseIdx,ODp_N,ODc_N))*IF(AB$5&gt;LastHist,PxMult,1)*IF(PxPathMode=1,(1+PxChg_N)^(MAX(0,IF(PwrLooseOn=1,MIN(AB$5,PwrLooseIdx),AB$5)-(NextLaunchIdx+4))/4)*IF(PwrLooseOn=1,(1+PwrLooseDecl)^(MAX(0,AB$5-MAX((NextLaunchIdx+4),PwrLooseIdx))/4),1),(1+PxChg_N)^(MAX(0,AB$5-PxBaseIdx)/4))*IF(AND(LaunchOn=1,AB$5&gt;=NextLaunchIdx,AB$5&lt;NextLaunchIdx+HeadStart/3),1+LaunchPrem,1)</f>
        <v>12.6752479139059</v>
      </c>
      <c r="AC32" s="24" t="n">
        <f aca="false">IF(AND(RepriceOn=1,AC$5&lt;=LastHist),ODq_N,IF(AC$5&lt;PxBaseIdx,ODp_N,ODc_N))*IF(AC$5&gt;LastHist,PxMult,1)*IF(PxPathMode=1,(1+PxChg_N)^(MAX(0,IF(PwrLooseOn=1,MIN(AC$5,PwrLooseIdx),AC$5)-(NextLaunchIdx+4))/4)*IF(PwrLooseOn=1,(1+PwrLooseDecl)^(MAX(0,AC$5-MAX((NextLaunchIdx+4),PwrLooseIdx))/4),1),(1+PxChg_N)^(MAX(0,AC$5-PxBaseIdx)/4))*IF(AND(LaunchOn=1,AC$5&gt;=NextLaunchIdx,AC$5&lt;NextLaunchIdx+HeadStart/3),1+LaunchPrem,1)</f>
        <v>12.4806851046312</v>
      </c>
      <c r="AD32" s="24" t="n">
        <f aca="false">IF(AND(RepriceOn=1,AD$5&lt;=LastHist),ODq_N,IF(AD$5&lt;PxBaseIdx,ODp_N,ODc_N))*IF(AD$5&gt;LastHist,PxMult,1)*IF(PxPathMode=1,(1+PxChg_N)^(MAX(0,IF(PwrLooseOn=1,MIN(AD$5,PwrLooseIdx),AD$5)-(NextLaunchIdx+4))/4)*IF(PwrLooseOn=1,(1+PwrLooseDecl)^(MAX(0,AD$5-MAX((NextLaunchIdx+4),PwrLooseIdx))/4),1),(1+PxChg_N)^(MAX(0,AD$5-PxBaseIdx)/4))*IF(AND(LaunchOn=1,AD$5&gt;=NextLaunchIdx,AD$5&lt;NextLaunchIdx+HeadStart/3),1+LaunchPrem,1)</f>
        <v>12.2891088</v>
      </c>
      <c r="AE32" s="24" t="n">
        <f aca="false">IF(AND(RepriceOn=1,AE$5&lt;=LastHist),ODq_N,IF(AE$5&lt;PxBaseIdx,ODp_N,ODc_N))*IF(AE$5&gt;LastHist,PxMult,1)*IF(PxPathMode=1,(1+PxChg_N)^(MAX(0,IF(PwrLooseOn=1,MIN(AE$5,PwrLooseIdx),AE$5)-(NextLaunchIdx+4))/4)*IF(PwrLooseOn=1,(1+PwrLooseDecl)^(MAX(0,AE$5-MAX((NextLaunchIdx+4),PwrLooseIdx))/4),1),(1+PxChg_N)^(MAX(0,AE$5-PxBaseIdx)/4))*IF(AND(LaunchOn=1,AE$5&gt;=NextLaunchIdx,AE$5&lt;NextLaunchIdx+HeadStart/3),1+LaunchPrem,1)</f>
        <v>12.1004731576953</v>
      </c>
      <c r="AF32" s="24" t="n">
        <f aca="false">IF(AND(RepriceOn=1,AF$5&lt;=LastHist),ODq_N,IF(AF$5&lt;PxBaseIdx,ODp_N,ODc_N))*IF(AF$5&gt;LastHist,PxMult,1)*IF(PxPathMode=1,(1+PxChg_N)^(MAX(0,IF(PwrLooseOn=1,MIN(AF$5,PwrLooseIdx),AF$5)-(NextLaunchIdx+4))/4)*IF(PwrLooseOn=1,(1+PwrLooseDecl)^(MAX(0,AF$5-MAX((NextLaunchIdx+4),PwrLooseIdx))/4),1),(1+PxChg_N)^(MAX(0,AF$5-PxBaseIdx)/4))*IF(AND(LaunchOn=1,AF$5&gt;=NextLaunchIdx,AF$5&lt;NextLaunchIdx+HeadStart/3),1+LaunchPrem,1)</f>
        <v>11.9147330390716</v>
      </c>
      <c r="AG32" s="24" t="n">
        <f aca="false">IF(AND(RepriceOn=1,AG$5&lt;=LastHist),ODq_N,IF(AG$5&lt;PxBaseIdx,ODp_N,ODc_N))*IF(AG$5&gt;LastHist,PxMult,1)*IF(PxPathMode=1,(1+PxChg_N)^(MAX(0,IF(PwrLooseOn=1,MIN(AG$5,PwrLooseIdx),AG$5)-(NextLaunchIdx+4))/4)*IF(PwrLooseOn=1,(1+PwrLooseDecl)^(MAX(0,AG$5-MAX((NextLaunchIdx+4),PwrLooseIdx))/4),1),(1+PxChg_N)^(MAX(0,AG$5-PxBaseIdx)/4))*IF(AND(LaunchOn=1,AG$5&gt;=NextLaunchIdx,AG$5&lt;NextLaunchIdx+HeadStart/3),1+LaunchPrem,1)</f>
        <v>11.7318439983533</v>
      </c>
      <c r="AI32" s="24" t="n">
        <f aca="false">AVERAGEIF($F$7:$AG$7,AI$7,$F32:$AG32)</f>
        <v>11.4924</v>
      </c>
      <c r="AJ32" s="24" t="n">
        <f aca="false">AVERAGEIF($F$7:$AG$7,AJ$7,$F32:$AG32)</f>
        <v>11.4924</v>
      </c>
      <c r="AK32" s="24" t="n">
        <f aca="false">AVERAGEIF($F$7:$AG$7,AK$7,$F32:$AG32)</f>
        <v>12.0963</v>
      </c>
      <c r="AL32" s="24" t="n">
        <f aca="false">AVERAGEIF($F$7:$AG$7,AL$7,$F32:$AG32)</f>
        <v>13.908</v>
      </c>
      <c r="AM32" s="24" t="n">
        <f aca="false">AVERAGEIF($F$7:$AG$7,AM$7,$F32:$AG32)</f>
        <v>13.5910363838615</v>
      </c>
      <c r="AN32" s="24" t="n">
        <f aca="false">AVERAGEIF($F$7:$AG$7,AN$7,$F32:$AG32)</f>
        <v>12.7755742008298</v>
      </c>
      <c r="AO32" s="24" t="n">
        <f aca="false">AVERAGEIF($F$7:$AG$7,AO$7,$F32:$AG32)</f>
        <v>12.00903974878</v>
      </c>
    </row>
    <row r="33" customFormat="false" ht="15" hidden="false" customHeight="false" outlineLevel="0" collapsed="false">
      <c r="A33" s="104" t="s">
        <v>1567</v>
      </c>
      <c r="B33" s="20" t="s">
        <v>553</v>
      </c>
      <c r="C33" s="20" t="s">
        <v>546</v>
      </c>
      <c r="D33" s="20" t="s">
        <v>1560</v>
      </c>
      <c r="F33" s="118" t="n">
        <f aca="false">IF(RepriceOn=1,IF(F$5&lt;=LastHist,RealRes_B*F32,IF(INDEX(NCA_N,1,1)&gt;0,(MIN(INDEX(NCE_N,1,LastHist),INDEX(NCA_N,1,1))*(RealRes_B*ODq_N*(1-MIN(1,MAX(0,(F$5-RenewIdx+1)*RenewRate)))+MIN(1,MAX(0,(F$5-RenewIdx+1)*RenewRate))*MIN(RealRes_B*ODq_N*(1+RenewUp),RealRes*F32))+MAX(0,INDEX(NCA_N,1,1)-INDEX(NCE_N,1,LastHist))*RealRes*F32)/INDEX(NCA_N,1,1),RealRes*F32)),(IF(F$5&gt;LastHist,MIN(1,MAX(0,(F$5-RenewIdx+1)*RenewRate)),0)*F32+(1-IF(F$5&gt;LastHist,MIN(1,MAX(0,(F$5-RenewIdx+1)*RenewRate)),0))*INDEX($F$32:$AG$32,1,MAX(1,F$5-IF(F$5&gt;LastHist,ResLag,0))))*IF(F$5&lt;=LastHist,RealRes_B,RealRes))</f>
        <v>8.274528</v>
      </c>
      <c r="G33" s="118" t="n">
        <f aca="false">IF(RepriceOn=1,IF(G$5&lt;=LastHist,RealRes_B*G32,IF(INDEX(NCA_N,1,2)&gt;0,(MIN(INDEX(NCE_N,1,LastHist),INDEX(NCA_N,1,2))*(RealRes_B*ODq_N*(1-MIN(1,MAX(0,(G$5-RenewIdx+1)*RenewRate)))+MIN(1,MAX(0,(G$5-RenewIdx+1)*RenewRate))*MIN(RealRes_B*ODq_N*(1+RenewUp),RealRes*G32))+MAX(0,INDEX(NCA_N,1,2)-INDEX(NCE_N,1,LastHist))*RealRes*G32)/INDEX(NCA_N,1,2),RealRes*G32)),(IF(G$5&gt;LastHist,MIN(1,MAX(0,(G$5-RenewIdx+1)*RenewRate)),0)*G32+(1-IF(G$5&gt;LastHist,MIN(1,MAX(0,(G$5-RenewIdx+1)*RenewRate)),0))*INDEX($F$32:$AG$32,1,MAX(1,G$5-IF(G$5&gt;LastHist,ResLag,0))))*IF(G$5&lt;=LastHist,RealRes_B,RealRes))</f>
        <v>8.274528</v>
      </c>
      <c r="H33" s="118" t="n">
        <f aca="false">IF(RepriceOn=1,IF(H$5&lt;=LastHist,RealRes_B*H32,IF(INDEX(NCA_N,1,3)&gt;0,(MIN(INDEX(NCE_N,1,LastHist),INDEX(NCA_N,1,3))*(RealRes_B*ODq_N*(1-MIN(1,MAX(0,(H$5-RenewIdx+1)*RenewRate)))+MIN(1,MAX(0,(H$5-RenewIdx+1)*RenewRate))*MIN(RealRes_B*ODq_N*(1+RenewUp),RealRes*H32))+MAX(0,INDEX(NCA_N,1,3)-INDEX(NCE_N,1,LastHist))*RealRes*H32)/INDEX(NCA_N,1,3),RealRes*H32)),(IF(H$5&gt;LastHist,MIN(1,MAX(0,(H$5-RenewIdx+1)*RenewRate)),0)*H32+(1-IF(H$5&gt;LastHist,MIN(1,MAX(0,(H$5-RenewIdx+1)*RenewRate)),0))*INDEX($F$32:$AG$32,1,MAX(1,H$5-IF(H$5&gt;LastHist,ResLag,0))))*IF(H$5&lt;=LastHist,RealRes_B,RealRes))</f>
        <v>8.274528</v>
      </c>
      <c r="I33" s="118" t="n">
        <f aca="false">IF(RepriceOn=1,IF(I$5&lt;=LastHist,RealRes_B*I32,IF(INDEX(NCA_N,1,4)&gt;0,(MIN(INDEX(NCE_N,1,LastHist),INDEX(NCA_N,1,4))*(RealRes_B*ODq_N*(1-MIN(1,MAX(0,(I$5-RenewIdx+1)*RenewRate)))+MIN(1,MAX(0,(I$5-RenewIdx+1)*RenewRate))*MIN(RealRes_B*ODq_N*(1+RenewUp),RealRes*I32))+MAX(0,INDEX(NCA_N,1,4)-INDEX(NCE_N,1,LastHist))*RealRes*I32)/INDEX(NCA_N,1,4),RealRes*I32)),(IF(I$5&gt;LastHist,MIN(1,MAX(0,(I$5-RenewIdx+1)*RenewRate)),0)*I32+(1-IF(I$5&gt;LastHist,MIN(1,MAX(0,(I$5-RenewIdx+1)*RenewRate)),0))*INDEX($F$32:$AG$32,1,MAX(1,I$5-IF(I$5&gt;LastHist,ResLag,0))))*IF(I$5&lt;=LastHist,RealRes_B,RealRes))</f>
        <v>8.274528</v>
      </c>
      <c r="J33" s="118" t="n">
        <f aca="false">IF(RepriceOn=1,IF(J$5&lt;=LastHist,RealRes_B*J32,IF(INDEX(NCA_N,1,5)&gt;0,(MIN(INDEX(NCE_N,1,LastHist),INDEX(NCA_N,1,5))*(RealRes_B*ODq_N*(1-MIN(1,MAX(0,(J$5-RenewIdx+1)*RenewRate)))+MIN(1,MAX(0,(J$5-RenewIdx+1)*RenewRate))*MIN(RealRes_B*ODq_N*(1+RenewUp),RealRes*J32))+MAX(0,INDEX(NCA_N,1,5)-INDEX(NCE_N,1,LastHist))*RealRes*J32)/INDEX(NCA_N,1,5),RealRes*J32)),(IF(J$5&gt;LastHist,MIN(1,MAX(0,(J$5-RenewIdx+1)*RenewRate)),0)*J32+(1-IF(J$5&gt;LastHist,MIN(1,MAX(0,(J$5-RenewIdx+1)*RenewRate)),0))*INDEX($F$32:$AG$32,1,MAX(1,J$5-IF(J$5&gt;LastHist,ResLag,0))))*IF(J$5&lt;=LastHist,RealRes_B,RealRes))</f>
        <v>8.274528</v>
      </c>
      <c r="K33" s="118" t="n">
        <f aca="false">IF(RepriceOn=1,IF(K$5&lt;=LastHist,RealRes_B*K32,IF(INDEX(NCA_N,1,6)&gt;0,(MIN(INDEX(NCE_N,1,LastHist),INDEX(NCA_N,1,6))*(RealRes_B*ODq_N*(1-MIN(1,MAX(0,(K$5-RenewIdx+1)*RenewRate)))+MIN(1,MAX(0,(K$5-RenewIdx+1)*RenewRate))*MIN(RealRes_B*ODq_N*(1+RenewUp),RealRes*K32))+MAX(0,INDEX(NCA_N,1,6)-INDEX(NCE_N,1,LastHist))*RealRes*K32)/INDEX(NCA_N,1,6),RealRes*K32)),(IF(K$5&gt;LastHist,MIN(1,MAX(0,(K$5-RenewIdx+1)*RenewRate)),0)*K32+(1-IF(K$5&gt;LastHist,MIN(1,MAX(0,(K$5-RenewIdx+1)*RenewRate)),0))*INDEX($F$32:$AG$32,1,MAX(1,K$5-IF(K$5&gt;LastHist,ResLag,0))))*IF(K$5&lt;=LastHist,RealRes_B,RealRes))</f>
        <v>8.274528</v>
      </c>
      <c r="L33" s="118" t="n">
        <f aca="false">IF(RepriceOn=1,IF(L$5&lt;=LastHist,RealRes_B*L32,IF(INDEX(NCA_N,1,7)&gt;0,(MIN(INDEX(NCE_N,1,LastHist),INDEX(NCA_N,1,7))*(RealRes_B*ODq_N*(1-MIN(1,MAX(0,(L$5-RenewIdx+1)*RenewRate)))+MIN(1,MAX(0,(L$5-RenewIdx+1)*RenewRate))*MIN(RealRes_B*ODq_N*(1+RenewUp),RealRes*L32))+MAX(0,INDEX(NCA_N,1,7)-INDEX(NCE_N,1,LastHist))*RealRes*L32)/INDEX(NCA_N,1,7),RealRes*L32)),(IF(L$5&gt;LastHist,MIN(1,MAX(0,(L$5-RenewIdx+1)*RenewRate)),0)*L32+(1-IF(L$5&gt;LastHist,MIN(1,MAX(0,(L$5-RenewIdx+1)*RenewRate)),0))*INDEX($F$32:$AG$32,1,MAX(1,L$5-IF(L$5&gt;LastHist,ResLag,0))))*IF(L$5&lt;=LastHist,RealRes_B,RealRes))</f>
        <v>8.274528</v>
      </c>
      <c r="M33" s="118" t="n">
        <f aca="false">IF(RepriceOn=1,IF(M$5&lt;=LastHist,RealRes_B*M32,IF(INDEX(NCA_N,1,8)&gt;0,(MIN(INDEX(NCE_N,1,LastHist),INDEX(NCA_N,1,8))*(RealRes_B*ODq_N*(1-MIN(1,MAX(0,(M$5-RenewIdx+1)*RenewRate)))+MIN(1,MAX(0,(M$5-RenewIdx+1)*RenewRate))*MIN(RealRes_B*ODq_N*(1+RenewUp),RealRes*M32))+MAX(0,INDEX(NCA_N,1,8)-INDEX(NCE_N,1,LastHist))*RealRes*M32)/INDEX(NCA_N,1,8),RealRes*M32)),(IF(M$5&gt;LastHist,MIN(1,MAX(0,(M$5-RenewIdx+1)*RenewRate)),0)*M32+(1-IF(M$5&gt;LastHist,MIN(1,MAX(0,(M$5-RenewIdx+1)*RenewRate)),0))*INDEX($F$32:$AG$32,1,MAX(1,M$5-IF(M$5&gt;LastHist,ResLag,0))))*IF(M$5&lt;=LastHist,RealRes_B,RealRes))</f>
        <v>8.274528</v>
      </c>
      <c r="N33" s="118" t="n">
        <f aca="false">IF(RepriceOn=1,IF(N$5&lt;=LastHist,RealRes_B*N32,IF(INDEX(NCA_N,1,9)&gt;0,(MIN(INDEX(NCE_N,1,LastHist),INDEX(NCA_N,1,9))*(RealRes_B*ODq_N*(1-MIN(1,MAX(0,(N$5-RenewIdx+1)*RenewRate)))+MIN(1,MAX(0,(N$5-RenewIdx+1)*RenewRate))*MIN(RealRes_B*ODq_N*(1+RenewUp),RealRes*N32))+MAX(0,INDEX(NCA_N,1,9)-INDEX(NCE_N,1,LastHist))*RealRes*N32)/INDEX(NCA_N,1,9),RealRes*N32)),(IF(N$5&gt;LastHist,MIN(1,MAX(0,(N$5-RenewIdx+1)*RenewRate)),0)*N32+(1-IF(N$5&gt;LastHist,MIN(1,MAX(0,(N$5-RenewIdx+1)*RenewRate)),0))*INDEX($F$32:$AG$32,1,MAX(1,N$5-IF(N$5&gt;LastHist,ResLag,0))))*IF(N$5&lt;=LastHist,RealRes_B,RealRes))</f>
        <v>8.274528</v>
      </c>
      <c r="O33" s="118" t="n">
        <f aca="false">IF(RepriceOn=1,IF(O$5&lt;=LastHist,RealRes_B*O32,IF(INDEX(NCA_N,1,10)&gt;0,(MIN(INDEX(NCE_N,1,LastHist),INDEX(NCA_N,1,10))*(RealRes_B*ODq_N*(1-MIN(1,MAX(0,(O$5-RenewIdx+1)*RenewRate)))+MIN(1,MAX(0,(O$5-RenewIdx+1)*RenewRate))*MIN(RealRes_B*ODq_N*(1+RenewUp),RealRes*O32))+MAX(0,INDEX(NCA_N,1,10)-INDEX(NCE_N,1,LastHist))*RealRes*O32)/INDEX(NCA_N,1,10),RealRes*O32)),(IF(O$5&gt;LastHist,MIN(1,MAX(0,(O$5-RenewIdx+1)*RenewRate)),0)*O32+(1-IF(O$5&gt;LastHist,MIN(1,MAX(0,(O$5-RenewIdx+1)*RenewRate)),0))*INDEX($F$32:$AG$32,1,MAX(1,O$5-IF(O$5&gt;LastHist,ResLag,0))))*IF(O$5&lt;=LastHist,RealRes_B,RealRes))</f>
        <v>8.274528</v>
      </c>
      <c r="P33" s="24" t="n">
        <f aca="false">IF(RepriceOn=1,IF(P$5&lt;=LastHist,RealRes_B*P32,IF(INDEX(NCA_N,1,11)&gt;0,(MIN(INDEX(NCE_N,1,LastHist),INDEX(NCA_N,1,11))*(RealRes_B*ODq_N*(1-MIN(1,MAX(0,(P$5-RenewIdx+1)*RenewRate)))+MIN(1,MAX(0,(P$5-RenewIdx+1)*RenewRate))*MIN(RealRes_B*ODq_N*(1+RenewUp),RealRes*P32))+MAX(0,INDEX(NCA_N,1,11)-INDEX(NCE_N,1,LastHist))*RealRes*P32)/INDEX(NCA_N,1,11),RealRes*P32)),(IF(P$5&gt;LastHist,MIN(1,MAX(0,(P$5-RenewIdx+1)*RenewRate)),0)*P32+(1-IF(P$5&gt;LastHist,MIN(1,MAX(0,(P$5-RenewIdx+1)*RenewRate)),0))*INDEX($F$32:$AG$32,1,MAX(1,P$5-IF(P$5&gt;LastHist,ResLag,0))))*IF(P$5&lt;=LastHist,RealRes_B,RealRes))</f>
        <v>8.274528</v>
      </c>
      <c r="Q33" s="24" t="n">
        <f aca="false">IF(RepriceOn=1,IF(Q$5&lt;=LastHist,RealRes_B*Q32,IF(INDEX(NCA_N,1,12)&gt;0,(MIN(INDEX(NCE_N,1,LastHist),INDEX(NCA_N,1,12))*(RealRes_B*ODq_N*(1-MIN(1,MAX(0,(Q$5-RenewIdx+1)*RenewRate)))+MIN(1,MAX(0,(Q$5-RenewIdx+1)*RenewRate))*MIN(RealRes_B*ODq_N*(1+RenewUp),RealRes*Q32))+MAX(0,INDEX(NCA_N,1,12)-INDEX(NCE_N,1,LastHist))*RealRes*Q32)/INDEX(NCA_N,1,12),RealRes*Q32)),(IF(Q$5&gt;LastHist,MIN(1,MAX(0,(Q$5-RenewIdx+1)*RenewRate)),0)*Q32+(1-IF(Q$5&gt;LastHist,MIN(1,MAX(0,(Q$5-RenewIdx+1)*RenewRate)),0))*INDEX($F$32:$AG$32,1,MAX(1,Q$5-IF(Q$5&gt;LastHist,ResLag,0))))*IF(Q$5&lt;=LastHist,RealRes_B,RealRes))</f>
        <v>10.01376</v>
      </c>
      <c r="R33" s="24" t="n">
        <f aca="false">IF(RepriceOn=1,IF(R$5&lt;=LastHist,RealRes_B*R32,IF(INDEX(NCA_N,1,13)&gt;0,(MIN(INDEX(NCE_N,1,LastHist),INDEX(NCA_N,1,13))*(RealRes_B*ODq_N*(1-MIN(1,MAX(0,(R$5-RenewIdx+1)*RenewRate)))+MIN(1,MAX(0,(R$5-RenewIdx+1)*RenewRate))*MIN(RealRes_B*ODq_N*(1+RenewUp),RealRes*R32))+MAX(0,INDEX(NCA_N,1,13)-INDEX(NCE_N,1,LastHist))*RealRes*R32)/INDEX(NCA_N,1,13),RealRes*R32)),(IF(R$5&gt;LastHist,MIN(1,MAX(0,(R$5-RenewIdx+1)*RenewRate)),0)*R32+(1-IF(R$5&gt;LastHist,MIN(1,MAX(0,(R$5-RenewIdx+1)*RenewRate)),0))*INDEX($F$32:$AG$32,1,MAX(1,R$5-IF(R$5&gt;LastHist,ResLag,0))))*IF(R$5&lt;=LastHist,RealRes_B,RealRes))</f>
        <v>10.01376</v>
      </c>
      <c r="S33" s="24" t="n">
        <f aca="false">IF(RepriceOn=1,IF(S$5&lt;=LastHist,RealRes_B*S32,IF(INDEX(NCA_N,1,14)&gt;0,(MIN(INDEX(NCE_N,1,LastHist),INDEX(NCA_N,1,14))*(RealRes_B*ODq_N*(1-MIN(1,MAX(0,(S$5-RenewIdx+1)*RenewRate)))+MIN(1,MAX(0,(S$5-RenewIdx+1)*RenewRate))*MIN(RealRes_B*ODq_N*(1+RenewUp),RealRes*S32))+MAX(0,INDEX(NCA_N,1,14)-INDEX(NCE_N,1,LastHist))*RealRes*S32)/INDEX(NCA_N,1,14),RealRes*S32)),(IF(S$5&gt;LastHist,MIN(1,MAX(0,(S$5-RenewIdx+1)*RenewRate)),0)*S32+(1-IF(S$5&gt;LastHist,MIN(1,MAX(0,(S$5-RenewIdx+1)*RenewRate)),0))*INDEX($F$32:$AG$32,1,MAX(1,S$5-IF(S$5&gt;LastHist,ResLag,0))))*IF(S$5&lt;=LastHist,RealRes_B,RealRes))</f>
        <v>10.01376</v>
      </c>
      <c r="T33" s="24" t="n">
        <f aca="false">IF(RepriceOn=1,IF(T$5&lt;=LastHist,RealRes_B*T32,IF(INDEX(NCA_N,1,15)&gt;0,(MIN(INDEX(NCE_N,1,LastHist),INDEX(NCA_N,1,15))*(RealRes_B*ODq_N*(1-MIN(1,MAX(0,(T$5-RenewIdx+1)*RenewRate)))+MIN(1,MAX(0,(T$5-RenewIdx+1)*RenewRate))*MIN(RealRes_B*ODq_N*(1+RenewUp),RealRes*T32))+MAX(0,INDEX(NCA_N,1,15)-INDEX(NCE_N,1,LastHist))*RealRes*T32)/INDEX(NCA_N,1,15),RealRes*T32)),(IF(T$5&gt;LastHist,MIN(1,MAX(0,(T$5-RenewIdx+1)*RenewRate)),0)*T32+(1-IF(T$5&gt;LastHist,MIN(1,MAX(0,(T$5-RenewIdx+1)*RenewRate)),0))*INDEX($F$32:$AG$32,1,MAX(1,T$5-IF(T$5&gt;LastHist,ResLag,0))))*IF(T$5&lt;=LastHist,RealRes_B,RealRes))</f>
        <v>10.01376</v>
      </c>
      <c r="U33" s="24" t="n">
        <f aca="false">IF(RepriceOn=1,IF(U$5&lt;=LastHist,RealRes_B*U32,IF(INDEX(NCA_N,1,16)&gt;0,(MIN(INDEX(NCE_N,1,LastHist),INDEX(NCA_N,1,16))*(RealRes_B*ODq_N*(1-MIN(1,MAX(0,(U$5-RenewIdx+1)*RenewRate)))+MIN(1,MAX(0,(U$5-RenewIdx+1)*RenewRate))*MIN(RealRes_B*ODq_N*(1+RenewUp),RealRes*U32))+MAX(0,INDEX(NCA_N,1,16)-INDEX(NCE_N,1,LastHist))*RealRes*U32)/INDEX(NCA_N,1,16),RealRes*U32)),(IF(U$5&gt;LastHist,MIN(1,MAX(0,(U$5-RenewIdx+1)*RenewRate)),0)*U32+(1-IF(U$5&gt;LastHist,MIN(1,MAX(0,(U$5-RenewIdx+1)*RenewRate)),0))*INDEX($F$32:$AG$32,1,MAX(1,U$5-IF(U$5&gt;LastHist,ResLag,0))))*IF(U$5&lt;=LastHist,RealRes_B,RealRes))</f>
        <v>10.01376</v>
      </c>
      <c r="V33" s="24" t="n">
        <f aca="false">IF(RepriceOn=1,IF(V$5&lt;=LastHist,RealRes_B*V32,IF(INDEX(NCA_N,1,17)&gt;0,(MIN(INDEX(NCE_N,1,LastHist),INDEX(NCA_N,1,17))*(RealRes_B*ODq_N*(1-MIN(1,MAX(0,(V$5-RenewIdx+1)*RenewRate)))+MIN(1,MAX(0,(V$5-RenewIdx+1)*RenewRate))*MIN(RealRes_B*ODq_N*(1+RenewUp),RealRes*V32))+MAX(0,INDEX(NCA_N,1,17)-INDEX(NCE_N,1,LastHist))*RealRes*V32)/INDEX(NCA_N,1,17),RealRes*V32)),(IF(V$5&gt;LastHist,MIN(1,MAX(0,(V$5-RenewIdx+1)*RenewRate)),0)*V32+(1-IF(V$5&gt;LastHist,MIN(1,MAX(0,(V$5-RenewIdx+1)*RenewRate)),0))*INDEX($F$32:$AG$32,1,MAX(1,V$5-IF(V$5&gt;LastHist,ResLag,0))))*IF(V$5&lt;=LastHist,RealRes_B,RealRes))</f>
        <v>10.01376</v>
      </c>
      <c r="W33" s="24" t="n">
        <f aca="false">IF(RepriceOn=1,IF(W$5&lt;=LastHist,RealRes_B*W32,IF(INDEX(NCA_N,1,18)&gt;0,(MIN(INDEX(NCE_N,1,LastHist),INDEX(NCA_N,1,18))*(RealRes_B*ODq_N*(1-MIN(1,MAX(0,(W$5-RenewIdx+1)*RenewRate)))+MIN(1,MAX(0,(W$5-RenewIdx+1)*RenewRate))*MIN(RealRes_B*ODq_N*(1+RenewUp),RealRes*W32))+MAX(0,INDEX(NCA_N,1,18)-INDEX(NCE_N,1,LastHist))*RealRes*W32)/INDEX(NCA_N,1,18),RealRes*W32)),(IF(W$5&gt;LastHist,MIN(1,MAX(0,(W$5-RenewIdx+1)*RenewRate)),0)*W32+(1-IF(W$5&gt;LastHist,MIN(1,MAX(0,(W$5-RenewIdx+1)*RenewRate)),0))*INDEX($F$32:$AG$32,1,MAX(1,W$5-IF(W$5&gt;LastHist,ResLag,0))))*IF(W$5&lt;=LastHist,RealRes_B,RealRes))</f>
        <v>9.86005055855662</v>
      </c>
      <c r="X33" s="24" t="n">
        <f aca="false">IF(RepriceOn=1,IF(X$5&lt;=LastHist,RealRes_B*X32,IF(INDEX(NCA_N,1,19)&gt;0,(MIN(INDEX(NCE_N,1,LastHist),INDEX(NCA_N,1,19))*(RealRes_B*ODq_N*(1-MIN(1,MAX(0,(X$5-RenewIdx+1)*RenewRate)))+MIN(1,MAX(0,(X$5-RenewIdx+1)*RenewRate))*MIN(RealRes_B*ODq_N*(1+RenewUp),RealRes*X32))+MAX(0,INDEX(NCA_N,1,19)-INDEX(NCE_N,1,LastHist))*RealRes*X32)/INDEX(NCA_N,1,19),RealRes*X32)),(IF(X$5&gt;LastHist,MIN(1,MAX(0,(X$5-RenewIdx+1)*RenewRate)),0)*X32+(1-IF(X$5&gt;LastHist,MIN(1,MAX(0,(X$5-RenewIdx+1)*RenewRate)),0))*INDEX($F$32:$AG$32,1,MAX(1,X$5-IF(X$5&gt;LastHist,ResLag,0))))*IF(X$5&lt;=LastHist,RealRes_B,RealRes))</f>
        <v>9.70870052980027</v>
      </c>
      <c r="Y33" s="24" t="n">
        <f aca="false">IF(RepriceOn=1,IF(Y$5&lt;=LastHist,RealRes_B*Y32,IF(INDEX(NCA_N,1,20)&gt;0,(MIN(INDEX(NCE_N,1,LastHist),INDEX(NCA_N,1,20))*(RealRes_B*ODq_N*(1-MIN(1,MAX(0,(Y$5-RenewIdx+1)*RenewRate)))+MIN(1,MAX(0,(Y$5-RenewIdx+1)*RenewRate))*MIN(RealRes_B*ODq_N*(1+RenewUp),RealRes*Y32))+MAX(0,INDEX(NCA_N,1,20)-INDEX(NCE_N,1,LastHist))*RealRes*Y32)/INDEX(NCA_N,1,20),RealRes*Y32)),(IF(Y$5&gt;LastHist,MIN(1,MAX(0,(Y$5-RenewIdx+1)*RenewRate)),0)*Y32+(1-IF(Y$5&gt;LastHist,MIN(1,MAX(0,(Y$5-RenewIdx+1)*RenewRate)),0))*INDEX($F$32:$AG$32,1,MAX(1,Y$5-IF(Y$5&gt;LastHist,ResLag,0))))*IF(Y$5&lt;=LastHist,RealRes_B,RealRes))</f>
        <v>9.55967369716431</v>
      </c>
      <c r="Z33" s="24" t="n">
        <f aca="false">IF(RepriceOn=1,IF(Z$5&lt;=LastHist,RealRes_B*Z32,IF(INDEX(NCA_N,1,21)&gt;0,(MIN(INDEX(NCE_N,1,LastHist),INDEX(NCA_N,1,21))*(RealRes_B*ODq_N*(1-MIN(1,MAX(0,(Z$5-RenewIdx+1)*RenewRate)))+MIN(1,MAX(0,(Z$5-RenewIdx+1)*RenewRate))*MIN(RealRes_B*ODq_N*(1+RenewUp),RealRes*Z32))+MAX(0,INDEX(NCA_N,1,21)-INDEX(NCE_N,1,LastHist))*RealRes*Z32)/INDEX(NCA_N,1,21),RealRes*Z32)),(IF(Z$5&gt;LastHist,MIN(1,MAX(0,(Z$5-RenewIdx+1)*RenewRate)),0)*Z32+(1-IF(Z$5&gt;LastHist,MIN(1,MAX(0,(Z$5-RenewIdx+1)*RenewRate)),0))*INDEX($F$32:$AG$32,1,MAX(1,Z$5-IF(Z$5&gt;LastHist,ResLag,0))))*IF(Z$5&lt;=LastHist,RealRes_B,RealRes))</f>
        <v>9.4129344</v>
      </c>
      <c r="AA33" s="24" t="n">
        <f aca="false">IF(RepriceOn=1,IF(AA$5&lt;=LastHist,RealRes_B*AA32,IF(INDEX(NCA_N,1,22)&gt;0,(MIN(INDEX(NCE_N,1,LastHist),INDEX(NCA_N,1,22))*(RealRes_B*ODq_N*(1-MIN(1,MAX(0,(AA$5-RenewIdx+1)*RenewRate)))+MIN(1,MAX(0,(AA$5-RenewIdx+1)*RenewRate))*MIN(RealRes_B*ODq_N*(1+RenewUp),RealRes*AA32))+MAX(0,INDEX(NCA_N,1,22)-INDEX(NCE_N,1,LastHist))*RealRes*AA32)/INDEX(NCA_N,1,22),RealRes*AA32)),(IF(AA$5&gt;LastHist,MIN(1,MAX(0,(AA$5-RenewIdx+1)*RenewRate)),0)*AA32+(1-IF(AA$5&gt;LastHist,MIN(1,MAX(0,(AA$5-RenewIdx+1)*RenewRate)),0))*INDEX($F$32:$AG$32,1,MAX(1,AA$5-IF(AA$5&gt;LastHist,ResLag,0))))*IF(AA$5&lt;=LastHist,RealRes_B,RealRes))</f>
        <v>9.26844752504322</v>
      </c>
      <c r="AB33" s="24" t="n">
        <f aca="false">IF(RepriceOn=1,IF(AB$5&lt;=LastHist,RealRes_B*AB32,IF(INDEX(NCA_N,1,23)&gt;0,(MIN(INDEX(NCE_N,1,LastHist),INDEX(NCA_N,1,23))*(RealRes_B*ODq_N*(1-MIN(1,MAX(0,(AB$5-RenewIdx+1)*RenewRate)))+MIN(1,MAX(0,(AB$5-RenewIdx+1)*RenewRate))*MIN(RealRes_B*ODq_N*(1+RenewUp),RealRes*AB32))+MAX(0,INDEX(NCA_N,1,23)-INDEX(NCE_N,1,LastHist))*RealRes*AB32)/INDEX(NCA_N,1,23),RealRes*AB32)),(IF(AB$5&gt;LastHist,MIN(1,MAX(0,(AB$5-RenewIdx+1)*RenewRate)),0)*AB32+(1-IF(AB$5&gt;LastHist,MIN(1,MAX(0,(AB$5-RenewIdx+1)*RenewRate)),0))*INDEX($F$32:$AG$32,1,MAX(1,AB$5-IF(AB$5&gt;LastHist,ResLag,0))))*IF(AB$5&lt;=LastHist,RealRes_B,RealRes))</f>
        <v>9.12617849801225</v>
      </c>
      <c r="AC33" s="24" t="n">
        <f aca="false">IF(RepriceOn=1,IF(AC$5&lt;=LastHist,RealRes_B*AC32,IF(INDEX(NCA_N,1,24)&gt;0,(MIN(INDEX(NCE_N,1,LastHist),INDEX(NCA_N,1,24))*(RealRes_B*ODq_N*(1-MIN(1,MAX(0,(AC$5-RenewIdx+1)*RenewRate)))+MIN(1,MAX(0,(AC$5-RenewIdx+1)*RenewRate))*MIN(RealRes_B*ODq_N*(1+RenewUp),RealRes*AC32))+MAX(0,INDEX(NCA_N,1,24)-INDEX(NCE_N,1,LastHist))*RealRes*AC32)/INDEX(NCA_N,1,24),RealRes*AC32)),(IF(AC$5&gt;LastHist,MIN(1,MAX(0,(AC$5-RenewIdx+1)*RenewRate)),0)*AC32+(1-IF(AC$5&gt;LastHist,MIN(1,MAX(0,(AC$5-RenewIdx+1)*RenewRate)),0))*INDEX($F$32:$AG$32,1,MAX(1,AC$5-IF(AC$5&gt;LastHist,ResLag,0))))*IF(AC$5&lt;=LastHist,RealRes_B,RealRes))</f>
        <v>8.98609327533445</v>
      </c>
      <c r="AD33" s="24" t="n">
        <f aca="false">IF(RepriceOn=1,IF(AD$5&lt;=LastHist,RealRes_B*AD32,IF(INDEX(NCA_N,1,25)&gt;0,(MIN(INDEX(NCE_N,1,LastHist),INDEX(NCA_N,1,25))*(RealRes_B*ODq_N*(1-MIN(1,MAX(0,(AD$5-RenewIdx+1)*RenewRate)))+MIN(1,MAX(0,(AD$5-RenewIdx+1)*RenewRate))*MIN(RealRes_B*ODq_N*(1+RenewUp),RealRes*AD32))+MAX(0,INDEX(NCA_N,1,25)-INDEX(NCE_N,1,LastHist))*RealRes*AD32)/INDEX(NCA_N,1,25),RealRes*AD32)),(IF(AD$5&gt;LastHist,MIN(1,MAX(0,(AD$5-RenewIdx+1)*RenewRate)),0)*AD32+(1-IF(AD$5&gt;LastHist,MIN(1,MAX(0,(AD$5-RenewIdx+1)*RenewRate)),0))*INDEX($F$32:$AG$32,1,MAX(1,AD$5-IF(AD$5&gt;LastHist,ResLag,0))))*IF(AD$5&lt;=LastHist,RealRes_B,RealRes))</f>
        <v>8.848158336</v>
      </c>
      <c r="AE33" s="24" t="n">
        <f aca="false">IF(RepriceOn=1,IF(AE$5&lt;=LastHist,RealRes_B*AE32,IF(INDEX(NCA_N,1,26)&gt;0,(MIN(INDEX(NCE_N,1,LastHist),INDEX(NCA_N,1,26))*(RealRes_B*ODq_N*(1-MIN(1,MAX(0,(AE$5-RenewIdx+1)*RenewRate)))+MIN(1,MAX(0,(AE$5-RenewIdx+1)*RenewRate))*MIN(RealRes_B*ODq_N*(1+RenewUp),RealRes*AE32))+MAX(0,INDEX(NCA_N,1,26)-INDEX(NCE_N,1,LastHist))*RealRes*AE32)/INDEX(NCA_N,1,26),RealRes*AE32)),(IF(AE$5&gt;LastHist,MIN(1,MAX(0,(AE$5-RenewIdx+1)*RenewRate)),0)*AE32+(1-IF(AE$5&gt;LastHist,MIN(1,MAX(0,(AE$5-RenewIdx+1)*RenewRate)),0))*INDEX($F$32:$AG$32,1,MAX(1,AE$5-IF(AE$5&gt;LastHist,ResLag,0))))*IF(AE$5&lt;=LastHist,RealRes_B,RealRes))</f>
        <v>8.71234067354063</v>
      </c>
      <c r="AF33" s="24" t="n">
        <f aca="false">IF(RepriceOn=1,IF(AF$5&lt;=LastHist,RealRes_B*AF32,IF(INDEX(NCA_N,1,27)&gt;0,(MIN(INDEX(NCE_N,1,LastHist),INDEX(NCA_N,1,27))*(RealRes_B*ODq_N*(1-MIN(1,MAX(0,(AF$5-RenewIdx+1)*RenewRate)))+MIN(1,MAX(0,(AF$5-RenewIdx+1)*RenewRate))*MIN(RealRes_B*ODq_N*(1+RenewUp),RealRes*AF32))+MAX(0,INDEX(NCA_N,1,27)-INDEX(NCE_N,1,LastHist))*RealRes*AF32)/INDEX(NCA_N,1,27),RealRes*AF32)),(IF(AF$5&gt;LastHist,MIN(1,MAX(0,(AF$5-RenewIdx+1)*RenewRate)),0)*AF32+(1-IF(AF$5&gt;LastHist,MIN(1,MAX(0,(AF$5-RenewIdx+1)*RenewRate)),0))*INDEX($F$32:$AG$32,1,MAX(1,AF$5-IF(AF$5&gt;LastHist,ResLag,0))))*IF(AF$5&lt;=LastHist,RealRes_B,RealRes))</f>
        <v>8.57860778813152</v>
      </c>
      <c r="AG33" s="24" t="n">
        <f aca="false">IF(RepriceOn=1,IF(AG$5&lt;=LastHist,RealRes_B*AG32,IF(INDEX(NCA_N,1,28)&gt;0,(MIN(INDEX(NCE_N,1,LastHist),INDEX(NCA_N,1,28))*(RealRes_B*ODq_N*(1-MIN(1,MAX(0,(AG$5-RenewIdx+1)*RenewRate)))+MIN(1,MAX(0,(AG$5-RenewIdx+1)*RenewRate))*MIN(RealRes_B*ODq_N*(1+RenewUp),RealRes*AG32))+MAX(0,INDEX(NCA_N,1,28)-INDEX(NCE_N,1,LastHist))*RealRes*AG32)/INDEX(NCA_N,1,28),RealRes*AG32)),(IF(AG$5&gt;LastHist,MIN(1,MAX(0,(AG$5-RenewIdx+1)*RenewRate)),0)*AG32+(1-IF(AG$5&gt;LastHist,MIN(1,MAX(0,(AG$5-RenewIdx+1)*RenewRate)),0))*INDEX($F$32:$AG$32,1,MAX(1,AG$5-IF(AG$5&gt;LastHist,ResLag,0))))*IF(AG$5&lt;=LastHist,RealRes_B,RealRes))</f>
        <v>8.44692767881438</v>
      </c>
      <c r="AI33" s="24" t="n">
        <f aca="false">AVERAGEIF($F$7:$AG$7,AI$7,$F33:$AG33)</f>
        <v>8.274528</v>
      </c>
      <c r="AJ33" s="24" t="n">
        <f aca="false">AVERAGEIF($F$7:$AG$7,AJ$7,$F33:$AG33)</f>
        <v>8.274528</v>
      </c>
      <c r="AK33" s="24" t="n">
        <f aca="false">AVERAGEIF($F$7:$AG$7,AK$7,$F33:$AG33)</f>
        <v>8.709336</v>
      </c>
      <c r="AL33" s="24" t="n">
        <f aca="false">AVERAGEIF($F$7:$AG$7,AL$7,$F33:$AG33)</f>
        <v>10.01376</v>
      </c>
      <c r="AM33" s="24" t="n">
        <f aca="false">AVERAGEIF($F$7:$AG$7,AM$7,$F33:$AG33)</f>
        <v>9.7855461963803</v>
      </c>
      <c r="AN33" s="24" t="n">
        <f aca="false">AVERAGEIF($F$7:$AG$7,AN$7,$F33:$AG33)</f>
        <v>9.19841342459748</v>
      </c>
      <c r="AO33" s="24" t="n">
        <f aca="false">AVERAGEIF($F$7:$AG$7,AO$7,$F33:$AG33)</f>
        <v>8.64650861912163</v>
      </c>
    </row>
    <row r="34" customFormat="false" ht="15" hidden="false" customHeight="false" outlineLevel="0" collapsed="false">
      <c r="A34" s="104" t="s">
        <v>1568</v>
      </c>
      <c r="B34" s="20" t="s">
        <v>553</v>
      </c>
      <c r="C34" s="20" t="s">
        <v>546</v>
      </c>
      <c r="D34" s="20" t="s">
        <v>1562</v>
      </c>
      <c r="F34" s="118" t="n">
        <f aca="false">Spot_N*IF(F$5&gt;LastHist,PxMult,1)*IF(PxPathMode=1,(1+PxChg_N)^(MAX(0,IF(PwrLooseOn=1,MIN(F$5,PwrLooseIdx),F$5)-(NextLaunchIdx+4))/4)*IF(PwrLooseOn=1,(1+PwrLooseDecl)^(MAX(0,F$5-MAX((NextLaunchIdx+4),PwrLooseIdx))/4),1),(1+PxChg_N)^(MAX(0,F$5-PxBaseIdx)/4))</f>
        <v>0.99</v>
      </c>
      <c r="G34" s="118" t="n">
        <f aca="false">Spot_N*IF(G$5&gt;LastHist,PxMult,1)*IF(PxPathMode=1,(1+PxChg_N)^(MAX(0,IF(PwrLooseOn=1,MIN(G$5,PwrLooseIdx),G$5)-(NextLaunchIdx+4))/4)*IF(PwrLooseOn=1,(1+PwrLooseDecl)^(MAX(0,G$5-MAX((NextLaunchIdx+4),PwrLooseIdx))/4),1),(1+PxChg_N)^(MAX(0,G$5-PxBaseIdx)/4))</f>
        <v>0.99</v>
      </c>
      <c r="H34" s="118" t="n">
        <f aca="false">Spot_N*IF(H$5&gt;LastHist,PxMult,1)*IF(PxPathMode=1,(1+PxChg_N)^(MAX(0,IF(PwrLooseOn=1,MIN(H$5,PwrLooseIdx),H$5)-(NextLaunchIdx+4))/4)*IF(PwrLooseOn=1,(1+PwrLooseDecl)^(MAX(0,H$5-MAX((NextLaunchIdx+4),PwrLooseIdx))/4),1),(1+PxChg_N)^(MAX(0,H$5-PxBaseIdx)/4))</f>
        <v>0.99</v>
      </c>
      <c r="I34" s="118" t="n">
        <f aca="false">Spot_N*IF(I$5&gt;LastHist,PxMult,1)*IF(PxPathMode=1,(1+PxChg_N)^(MAX(0,IF(PwrLooseOn=1,MIN(I$5,PwrLooseIdx),I$5)-(NextLaunchIdx+4))/4)*IF(PwrLooseOn=1,(1+PwrLooseDecl)^(MAX(0,I$5-MAX((NextLaunchIdx+4),PwrLooseIdx))/4),1),(1+PxChg_N)^(MAX(0,I$5-PxBaseIdx)/4))</f>
        <v>0.99</v>
      </c>
      <c r="J34" s="118" t="n">
        <f aca="false">Spot_N*IF(J$5&gt;LastHist,PxMult,1)*IF(PxPathMode=1,(1+PxChg_N)^(MAX(0,IF(PwrLooseOn=1,MIN(J$5,PwrLooseIdx),J$5)-(NextLaunchIdx+4))/4)*IF(PwrLooseOn=1,(1+PwrLooseDecl)^(MAX(0,J$5-MAX((NextLaunchIdx+4),PwrLooseIdx))/4),1),(1+PxChg_N)^(MAX(0,J$5-PxBaseIdx)/4))</f>
        <v>0.99</v>
      </c>
      <c r="K34" s="118" t="n">
        <f aca="false">Spot_N*IF(K$5&gt;LastHist,PxMult,1)*IF(PxPathMode=1,(1+PxChg_N)^(MAX(0,IF(PwrLooseOn=1,MIN(K$5,PwrLooseIdx),K$5)-(NextLaunchIdx+4))/4)*IF(PwrLooseOn=1,(1+PwrLooseDecl)^(MAX(0,K$5-MAX((NextLaunchIdx+4),PwrLooseIdx))/4),1),(1+PxChg_N)^(MAX(0,K$5-PxBaseIdx)/4))</f>
        <v>0.99</v>
      </c>
      <c r="L34" s="118" t="n">
        <f aca="false">Spot_N*IF(L$5&gt;LastHist,PxMult,1)*IF(PxPathMode=1,(1+PxChg_N)^(MAX(0,IF(PwrLooseOn=1,MIN(L$5,PwrLooseIdx),L$5)-(NextLaunchIdx+4))/4)*IF(PwrLooseOn=1,(1+PwrLooseDecl)^(MAX(0,L$5-MAX((NextLaunchIdx+4),PwrLooseIdx))/4),1),(1+PxChg_N)^(MAX(0,L$5-PxBaseIdx)/4))</f>
        <v>0.99</v>
      </c>
      <c r="M34" s="118" t="n">
        <f aca="false">Spot_N*IF(M$5&gt;LastHist,PxMult,1)*IF(PxPathMode=1,(1+PxChg_N)^(MAX(0,IF(PwrLooseOn=1,MIN(M$5,PwrLooseIdx),M$5)-(NextLaunchIdx+4))/4)*IF(PwrLooseOn=1,(1+PwrLooseDecl)^(MAX(0,M$5-MAX((NextLaunchIdx+4),PwrLooseIdx))/4),1),(1+PxChg_N)^(MAX(0,M$5-PxBaseIdx)/4))</f>
        <v>0.99</v>
      </c>
      <c r="N34" s="118" t="n">
        <f aca="false">Spot_N*IF(N$5&gt;LastHist,PxMult,1)*IF(PxPathMode=1,(1+PxChg_N)^(MAX(0,IF(PwrLooseOn=1,MIN(N$5,PwrLooseIdx),N$5)-(NextLaunchIdx+4))/4)*IF(PwrLooseOn=1,(1+PwrLooseDecl)^(MAX(0,N$5-MAX((NextLaunchIdx+4),PwrLooseIdx))/4),1),(1+PxChg_N)^(MAX(0,N$5-PxBaseIdx)/4))</f>
        <v>0.99</v>
      </c>
      <c r="O34" s="118" t="n">
        <f aca="false">Spot_N*IF(O$5&gt;LastHist,PxMult,1)*IF(PxPathMode=1,(1+PxChg_N)^(MAX(0,IF(PwrLooseOn=1,MIN(O$5,PwrLooseIdx),O$5)-(NextLaunchIdx+4))/4)*IF(PwrLooseOn=1,(1+PwrLooseDecl)^(MAX(0,O$5-MAX((NextLaunchIdx+4),PwrLooseIdx))/4),1),(1+PxChg_N)^(MAX(0,O$5-PxBaseIdx)/4))</f>
        <v>0.99</v>
      </c>
      <c r="P34" s="24" t="n">
        <f aca="false">Spot_N*IF(P$5&gt;LastHist,PxMult,1)*IF(PxPathMode=1,(1+PxChg_N)^(MAX(0,IF(PwrLooseOn=1,MIN(P$5,PwrLooseIdx),P$5)-(NextLaunchIdx+4))/4)*IF(PwrLooseOn=1,(1+PwrLooseDecl)^(MAX(0,P$5-MAX((NextLaunchIdx+4),PwrLooseIdx))/4),1),(1+PxChg_N)^(MAX(0,P$5-PxBaseIdx)/4))</f>
        <v>0.99</v>
      </c>
      <c r="Q34" s="24" t="n">
        <f aca="false">Spot_N*IF(Q$5&gt;LastHist,PxMult,1)*IF(PxPathMode=1,(1+PxChg_N)^(MAX(0,IF(PwrLooseOn=1,MIN(Q$5,PwrLooseIdx),Q$5)-(NextLaunchIdx+4))/4)*IF(PwrLooseOn=1,(1+PwrLooseDecl)^(MAX(0,Q$5-MAX((NextLaunchIdx+4),PwrLooseIdx))/4),1),(1+PxChg_N)^(MAX(0,Q$5-PxBaseIdx)/4))</f>
        <v>0.99</v>
      </c>
      <c r="R34" s="24" t="n">
        <f aca="false">Spot_N*IF(R$5&gt;LastHist,PxMult,1)*IF(PxPathMode=1,(1+PxChg_N)^(MAX(0,IF(PwrLooseOn=1,MIN(R$5,PwrLooseIdx),R$5)-(NextLaunchIdx+4))/4)*IF(PwrLooseOn=1,(1+PwrLooseDecl)^(MAX(0,R$5-MAX((NextLaunchIdx+4),PwrLooseIdx))/4),1),(1+PxChg_N)^(MAX(0,R$5-PxBaseIdx)/4))</f>
        <v>0.99</v>
      </c>
      <c r="S34" s="24" t="n">
        <f aca="false">Spot_N*IF(S$5&gt;LastHist,PxMult,1)*IF(PxPathMode=1,(1+PxChg_N)^(MAX(0,IF(PwrLooseOn=1,MIN(S$5,PwrLooseIdx),S$5)-(NextLaunchIdx+4))/4)*IF(PwrLooseOn=1,(1+PwrLooseDecl)^(MAX(0,S$5-MAX((NextLaunchIdx+4),PwrLooseIdx))/4),1),(1+PxChg_N)^(MAX(0,S$5-PxBaseIdx)/4))</f>
        <v>0.99</v>
      </c>
      <c r="T34" s="24" t="n">
        <f aca="false">Spot_N*IF(T$5&gt;LastHist,PxMult,1)*IF(PxPathMode=1,(1+PxChg_N)^(MAX(0,IF(PwrLooseOn=1,MIN(T$5,PwrLooseIdx),T$5)-(NextLaunchIdx+4))/4)*IF(PwrLooseOn=1,(1+PwrLooseDecl)^(MAX(0,T$5-MAX((NextLaunchIdx+4),PwrLooseIdx))/4),1),(1+PxChg_N)^(MAX(0,T$5-PxBaseIdx)/4))</f>
        <v>0.99</v>
      </c>
      <c r="U34" s="24" t="n">
        <f aca="false">Spot_N*IF(U$5&gt;LastHist,PxMult,1)*IF(PxPathMode=1,(1+PxChg_N)^(MAX(0,IF(PwrLooseOn=1,MIN(U$5,PwrLooseIdx),U$5)-(NextLaunchIdx+4))/4)*IF(PwrLooseOn=1,(1+PwrLooseDecl)^(MAX(0,U$5-MAX((NextLaunchIdx+4),PwrLooseIdx))/4),1),(1+PxChg_N)^(MAX(0,U$5-PxBaseIdx)/4))</f>
        <v>0.99</v>
      </c>
      <c r="V34" s="24" t="n">
        <f aca="false">Spot_N*IF(V$5&gt;LastHist,PxMult,1)*IF(PxPathMode=1,(1+PxChg_N)^(MAX(0,IF(PwrLooseOn=1,MIN(V$5,PwrLooseIdx),V$5)-(NextLaunchIdx+4))/4)*IF(PwrLooseOn=1,(1+PwrLooseDecl)^(MAX(0,V$5-MAX((NextLaunchIdx+4),PwrLooseIdx))/4),1),(1+PxChg_N)^(MAX(0,V$5-PxBaseIdx)/4))</f>
        <v>0.99</v>
      </c>
      <c r="W34" s="24" t="n">
        <f aca="false">Spot_N*IF(W$5&gt;LastHist,PxMult,1)*IF(PxPathMode=1,(1+PxChg_N)^(MAX(0,IF(PwrLooseOn=1,MIN(W$5,PwrLooseIdx),W$5)-(NextLaunchIdx+4))/4)*IF(PwrLooseOn=1,(1+PwrLooseDecl)^(MAX(0,W$5-MAX((NextLaunchIdx+4),PwrLooseIdx))/4),1),(1+PxChg_N)^(MAX(0,W$5-PxBaseIdx)/4))</f>
        <v>0.9748036754397</v>
      </c>
      <c r="X34" s="24" t="n">
        <f aca="false">Spot_N*IF(X$5&gt;LastHist,PxMult,1)*IF(PxPathMode=1,(1+PxChg_N)^(MAX(0,IF(PwrLooseOn=1,MIN(X$5,PwrLooseIdx),X$5)-(NextLaunchIdx+4))/4)*IF(PwrLooseOn=1,(1+PwrLooseDecl)^(MAX(0,X$5-MAX((NextLaunchIdx+4),PwrLooseIdx))/4),1),(1+PxChg_N)^(MAX(0,X$5-PxBaseIdx)/4))</f>
        <v>0.959840611768433</v>
      </c>
      <c r="Y34" s="24" t="n">
        <f aca="false">Spot_N*IF(Y$5&gt;LastHist,PxMult,1)*IF(PxPathMode=1,(1+PxChg_N)^(MAX(0,IF(PwrLooseOn=1,MIN(Y$5,PwrLooseIdx),Y$5)-(NextLaunchIdx+4))/4)*IF(PwrLooseOn=1,(1+PwrLooseDecl)^(MAX(0,Y$5-MAX((NextLaunchIdx+4),PwrLooseIdx))/4),1),(1+PxChg_N)^(MAX(0,Y$5-PxBaseIdx)/4))</f>
        <v>0.945107228472888</v>
      </c>
      <c r="Z34" s="24" t="n">
        <f aca="false">Spot_N*IF(Z$5&gt;LastHist,PxMult,1)*IF(PxPathMode=1,(1+PxChg_N)^(MAX(0,IF(PwrLooseOn=1,MIN(Z$5,PwrLooseIdx),Z$5)-(NextLaunchIdx+4))/4)*IF(PwrLooseOn=1,(1+PwrLooseDecl)^(MAX(0,Z$5-MAX((NextLaunchIdx+4),PwrLooseIdx))/4),1),(1+PxChg_N)^(MAX(0,Z$5-PxBaseIdx)/4))</f>
        <v>0.9306</v>
      </c>
      <c r="AA34" s="24" t="n">
        <f aca="false">Spot_N*IF(AA$5&gt;LastHist,PxMult,1)*IF(PxPathMode=1,(1+PxChg_N)^(MAX(0,IF(PwrLooseOn=1,MIN(AA$5,PwrLooseIdx),AA$5)-(NextLaunchIdx+4))/4)*IF(PwrLooseOn=1,(1+PwrLooseDecl)^(MAX(0,AA$5-MAX((NextLaunchIdx+4),PwrLooseIdx))/4),1),(1+PxChg_N)^(MAX(0,AA$5-PxBaseIdx)/4))</f>
        <v>0.916315454913318</v>
      </c>
      <c r="AB34" s="24" t="n">
        <f aca="false">Spot_N*IF(AB$5&gt;LastHist,PxMult,1)*IF(PxPathMode=1,(1+PxChg_N)^(MAX(0,IF(PwrLooseOn=1,MIN(AB$5,PwrLooseIdx),AB$5)-(NextLaunchIdx+4))/4)*IF(PwrLooseOn=1,(1+PwrLooseDecl)^(MAX(0,AB$5-MAX((NextLaunchIdx+4),PwrLooseIdx))/4),1),(1+PxChg_N)^(MAX(0,AB$5-PxBaseIdx)/4))</f>
        <v>0.902250175062327</v>
      </c>
      <c r="AC34" s="24" t="n">
        <f aca="false">Spot_N*IF(AC$5&gt;LastHist,PxMult,1)*IF(PxPathMode=1,(1+PxChg_N)^(MAX(0,IF(PwrLooseOn=1,MIN(AC$5,PwrLooseIdx),AC$5)-(NextLaunchIdx+4))/4)*IF(PwrLooseOn=1,(1+PwrLooseDecl)^(MAX(0,AC$5-MAX((NextLaunchIdx+4),PwrLooseIdx))/4),1),(1+PxChg_N)^(MAX(0,AC$5-PxBaseIdx)/4))</f>
        <v>0.888400794764515</v>
      </c>
      <c r="AD34" s="24" t="n">
        <f aca="false">Spot_N*IF(AD$5&gt;LastHist,PxMult,1)*IF(PxPathMode=1,(1+PxChg_N)^(MAX(0,IF(PwrLooseOn=1,MIN(AD$5,PwrLooseIdx),AD$5)-(NextLaunchIdx+4))/4)*IF(PwrLooseOn=1,(1+PwrLooseDecl)^(MAX(0,AD$5-MAX((NextLaunchIdx+4),PwrLooseIdx))/4),1),(1+PxChg_N)^(MAX(0,AD$5-PxBaseIdx)/4))</f>
        <v>0.874764</v>
      </c>
      <c r="AE34" s="24" t="n">
        <f aca="false">Spot_N*IF(AE$5&gt;LastHist,PxMult,1)*IF(PxPathMode=1,(1+PxChg_N)^(MAX(0,IF(PwrLooseOn=1,MIN(AE$5,PwrLooseIdx),AE$5)-(NextLaunchIdx+4))/4)*IF(PwrLooseOn=1,(1+PwrLooseDecl)^(MAX(0,AE$5-MAX((NextLaunchIdx+4),PwrLooseIdx))/4),1),(1+PxChg_N)^(MAX(0,AE$5-PxBaseIdx)/4))</f>
        <v>0.861336527618519</v>
      </c>
      <c r="AF34" s="24" t="n">
        <f aca="false">Spot_N*IF(AF$5&gt;LastHist,PxMult,1)*IF(PxPathMode=1,(1+PxChg_N)^(MAX(0,IF(PwrLooseOn=1,MIN(AF$5,PwrLooseIdx),AF$5)-(NextLaunchIdx+4))/4)*IF(PwrLooseOn=1,(1+PwrLooseDecl)^(MAX(0,AF$5-MAX((NextLaunchIdx+4),PwrLooseIdx))/4),1),(1+PxChg_N)^(MAX(0,AF$5-PxBaseIdx)/4))</f>
        <v>0.848115164558587</v>
      </c>
      <c r="AG34" s="24" t="n">
        <f aca="false">Spot_N*IF(AG$5&gt;LastHist,PxMult,1)*IF(PxPathMode=1,(1+PxChg_N)^(MAX(0,IF(PwrLooseOn=1,MIN(AG$5,PwrLooseIdx),AG$5)-(NextLaunchIdx+4))/4)*IF(PwrLooseOn=1,(1+PwrLooseDecl)^(MAX(0,AG$5-MAX((NextLaunchIdx+4),PwrLooseIdx))/4),1),(1+PxChg_N)^(MAX(0,AG$5-PxBaseIdx)/4))</f>
        <v>0.835096747078644</v>
      </c>
      <c r="AI34" s="24" t="n">
        <f aca="false">AVERAGEIF($F$7:$AG$7,AI$7,$F34:$AG34)</f>
        <v>0.99</v>
      </c>
      <c r="AJ34" s="24" t="n">
        <f aca="false">AVERAGEIF($F$7:$AG$7,AJ$7,$F34:$AG34)</f>
        <v>0.99</v>
      </c>
      <c r="AK34" s="24" t="n">
        <f aca="false">AVERAGEIF($F$7:$AG$7,AK$7,$F34:$AG34)</f>
        <v>0.99</v>
      </c>
      <c r="AL34" s="24" t="n">
        <f aca="false">AVERAGEIF($F$7:$AG$7,AL$7,$F34:$AG34)</f>
        <v>0.99</v>
      </c>
      <c r="AM34" s="24" t="n">
        <f aca="false">AVERAGEIF($F$7:$AG$7,AM$7,$F34:$AG34)</f>
        <v>0.967437878920255</v>
      </c>
      <c r="AN34" s="24" t="n">
        <f aca="false">AVERAGEIF($F$7:$AG$7,AN$7,$F34:$AG34)</f>
        <v>0.90939160618504</v>
      </c>
      <c r="AO34" s="24" t="n">
        <f aca="false">AVERAGEIF($F$7:$AG$7,AO$7,$F34:$AG34)</f>
        <v>0.854828109813938</v>
      </c>
    </row>
    <row r="36" customFormat="false" ht="15" hidden="false" customHeight="false" outlineLevel="0" collapsed="false">
      <c r="A36" s="3" t="s">
        <v>1569</v>
      </c>
    </row>
    <row r="37" customFormat="false" ht="15" hidden="false" customHeight="false" outlineLevel="0" collapsed="false">
      <c r="B37" s="3" t="s">
        <v>1543</v>
      </c>
      <c r="C37" s="3" t="s">
        <v>1342</v>
      </c>
      <c r="D37" s="3" t="s">
        <v>1546</v>
      </c>
      <c r="E37" s="3" t="s">
        <v>1570</v>
      </c>
    </row>
    <row r="38" customFormat="false" ht="15" hidden="false" customHeight="false" outlineLevel="0" collapsed="false">
      <c r="A38" s="0" t="s">
        <v>1571</v>
      </c>
      <c r="B38" s="29" t="n">
        <f aca="false">GPUMW_B</f>
        <v>500</v>
      </c>
      <c r="C38" s="29" t="n">
        <f aca="false">GPUMW_B</f>
        <v>500</v>
      </c>
      <c r="D38" s="29" t="n">
        <f aca="false">GPUMW_N</f>
        <v>320</v>
      </c>
      <c r="E38" s="119" t="n">
        <f aca="false">IFERROR(D38/C38,0)</f>
        <v>0.64</v>
      </c>
    </row>
    <row r="39" customFormat="false" ht="15" hidden="false" customHeight="false" outlineLevel="0" collapsed="false">
      <c r="A39" s="0" t="s">
        <v>1572</v>
      </c>
      <c r="B39" s="24" t="n">
        <f aca="false">D16*PxMult</f>
        <v>11.59</v>
      </c>
      <c r="C39" s="24" t="n">
        <f aca="false">D17*PxMult</f>
        <v>11.59</v>
      </c>
      <c r="D39" s="24" t="n">
        <f aca="false">D18*PxMult</f>
        <v>13.908</v>
      </c>
      <c r="E39" s="119" t="n">
        <f aca="false">IFERROR(D39/C39,0)</f>
        <v>1.2</v>
      </c>
    </row>
    <row r="40" customFormat="false" ht="15" hidden="false" customHeight="false" outlineLevel="0" collapsed="false">
      <c r="A40" s="0" t="s">
        <v>1573</v>
      </c>
      <c r="B40" s="24" t="n">
        <f aca="false">D16*PxMult*RealRes</f>
        <v>8.3448</v>
      </c>
      <c r="C40" s="24" t="n">
        <f aca="false">D17*PxMult*RealRes</f>
        <v>8.3448</v>
      </c>
      <c r="D40" s="24" t="n">
        <f aca="false">D18*PxMult*RealRes</f>
        <v>10.01376</v>
      </c>
      <c r="E40" s="119" t="n">
        <f aca="false">IFERROR(D40/C40,0)</f>
        <v>1.2</v>
      </c>
    </row>
    <row r="41" customFormat="false" ht="15" hidden="false" customHeight="false" outlineLevel="0" collapsed="false">
      <c r="A41" s="0" t="s">
        <v>1574</v>
      </c>
      <c r="B41" s="23" t="n">
        <f aca="false">B38*B40*8760*Util_Res/1000000</f>
        <v>30.1575455502983</v>
      </c>
      <c r="C41" s="23" t="n">
        <f aca="false">C38*C40*8760*Util_Res/1000000</f>
        <v>30.1575455502983</v>
      </c>
      <c r="D41" s="23" t="n">
        <f aca="false">D38*D40*8760*Util_Res/1000000</f>
        <v>23.1609949826291</v>
      </c>
      <c r="E41" s="119" t="n">
        <f aca="false">IFERROR(D41/C41,0)</f>
        <v>0.768</v>
      </c>
    </row>
    <row r="42" customFormat="false" ht="15" hidden="false" customHeight="false" outlineLevel="0" collapsed="false">
      <c r="A42" s="0" t="s">
        <v>1575</v>
      </c>
      <c r="B42" s="23" t="n">
        <f aca="false">B41-CLT1Rent</f>
        <v>27.9575455502983</v>
      </c>
      <c r="C42" s="23" t="n">
        <f aca="false">C41-CLT1Rent</f>
        <v>27.9575455502983</v>
      </c>
      <c r="D42" s="23" t="n">
        <f aca="false">D41-CLT1Rent</f>
        <v>20.9609949826291</v>
      </c>
      <c r="E42" s="119" t="n">
        <f aca="false">IFERROR(D42/C42,0)</f>
        <v>0.749743747887963</v>
      </c>
    </row>
    <row r="43" customFormat="false" ht="15" hidden="false" customHeight="false" outlineLevel="0" collapsed="false">
      <c r="A43" s="0" t="s">
        <v>1576</v>
      </c>
      <c r="B43" s="23" t="n">
        <f aca="false">B41-OM_MW</f>
        <v>29.4075455502983</v>
      </c>
      <c r="C43" s="23" t="n">
        <f aca="false">C41-OM_MW</f>
        <v>29.4075455502983</v>
      </c>
      <c r="D43" s="23" t="n">
        <f aca="false">D41-OM_MW</f>
        <v>22.4109949826291</v>
      </c>
      <c r="E43" s="119" t="n">
        <f aca="false">IFERROR(D43/C43,0)</f>
        <v>0.762083151220411</v>
      </c>
    </row>
    <row r="44" customFormat="false" ht="15" hidden="false" customHeight="false" outlineLevel="0" collapsed="false">
      <c r="A44" s="0" t="s">
        <v>1577</v>
      </c>
      <c r="B44" s="23" t="n">
        <f aca="false">20</f>
        <v>20</v>
      </c>
      <c r="C44" s="23" t="n">
        <f aca="false">20-CLT1Rent</f>
        <v>17.8</v>
      </c>
      <c r="D44" s="23" t="n">
        <f aca="false">20-OM_MW</f>
        <v>19.25</v>
      </c>
    </row>
    <row r="45" customFormat="false" ht="15" hidden="false" customHeight="false" outlineLevel="0" collapsed="false">
      <c r="A45" s="0" t="s">
        <v>1578</v>
      </c>
      <c r="B45" s="119" t="n">
        <f aca="false">GPUMW_B/GPUMW_N</f>
        <v>1.5625</v>
      </c>
      <c r="C45" s="119" t="n">
        <f aca="false">Rubin_Prem</f>
        <v>1.2</v>
      </c>
    </row>
    <row r="46" customFormat="false" ht="15" hidden="false" customHeight="false" outlineLevel="0" collapsed="false">
      <c r="A46" s="0" t="s">
        <v>1579</v>
      </c>
      <c r="B46" s="23" t="n">
        <f aca="false">INDEX(ND_MYRate,1,NewDealIdx)</f>
        <v>22</v>
      </c>
      <c r="C46" s="23" t="n">
        <f aca="false">INDEX(ND_STRate,1,NewDealIdx)*IF(STMode=1,STOcc,1)</f>
        <v>29.835</v>
      </c>
      <c r="D46" s="23" t="n">
        <f aca="false">(1-STShare)*B46+STShare*C46</f>
        <v>22.39175</v>
      </c>
      <c r="E46" s="23" t="n">
        <f aca="false">D46-CLT1Rent</f>
        <v>20.19175</v>
      </c>
      <c r="F46" s="23" t="n">
        <f aca="false">D46-OM_MW</f>
        <v>21.64175</v>
      </c>
    </row>
    <row r="47" customFormat="false" ht="15" hidden="false" customHeight="false" outlineLevel="0" collapsed="false">
      <c r="A47" s="0" t="s">
        <v>1580</v>
      </c>
      <c r="B47" s="23" t="n">
        <f aca="false">B46</f>
        <v>22</v>
      </c>
      <c r="C47" s="23" t="n">
        <f aca="false">B46-CLT1Rent</f>
        <v>19.8</v>
      </c>
      <c r="D47" s="23" t="n">
        <f aca="false">B46-OM_MW</f>
        <v>21.25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1581</v>
      </c>
    </row>
    <row r="2" customFormat="false" ht="15" hidden="false" customHeight="false" outlineLevel="0" collapsed="false">
      <c r="A2" s="20" t="s">
        <v>1582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1583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1584</v>
      </c>
      <c r="B11" s="3" t="s">
        <v>1585</v>
      </c>
      <c r="C11" s="3" t="s">
        <v>1527</v>
      </c>
      <c r="D11" s="3" t="s">
        <v>1586</v>
      </c>
      <c r="E11" s="3" t="s">
        <v>1587</v>
      </c>
      <c r="F11" s="3" t="s">
        <v>1588</v>
      </c>
      <c r="G11" s="3" t="s">
        <v>1589</v>
      </c>
      <c r="H11" s="3" t="s">
        <v>1590</v>
      </c>
      <c r="I11" s="3" t="s">
        <v>1591</v>
      </c>
      <c r="J11" s="3" t="s">
        <v>1592</v>
      </c>
      <c r="K11" s="3" t="s">
        <v>1593</v>
      </c>
      <c r="L11" s="3" t="s">
        <v>1594</v>
      </c>
      <c r="M11" s="3" t="s">
        <v>1595</v>
      </c>
      <c r="N11" s="3" t="s">
        <v>1533</v>
      </c>
      <c r="O11" s="3" t="s">
        <v>489</v>
      </c>
      <c r="P11" s="3" t="s">
        <v>490</v>
      </c>
      <c r="Q11" s="3" t="s">
        <v>1596</v>
      </c>
      <c r="R11" s="3" t="s">
        <v>1597</v>
      </c>
      <c r="S11" s="3" t="s">
        <v>1598</v>
      </c>
      <c r="T11" s="3" t="s">
        <v>1599</v>
      </c>
    </row>
    <row r="12" customFormat="false" ht="15" hidden="false" customHeight="false" outlineLevel="0" collapsed="false">
      <c r="A12" s="0" t="s">
        <v>1600</v>
      </c>
      <c r="B12" s="0" t="s">
        <v>1601</v>
      </c>
      <c r="C12" s="103" t="s">
        <v>1541</v>
      </c>
      <c r="D12" s="120" t="n">
        <f aca="false">MSFT_MW/MSFT_N</f>
        <v>26.6666666666667</v>
      </c>
      <c r="E12" s="24" t="n">
        <f aca="false">MSFT_TCV/(5*MSFT_MW)</f>
        <v>14.4940833333333</v>
      </c>
      <c r="F12" s="21" t="n">
        <v>20</v>
      </c>
      <c r="G12" s="21" t="n">
        <v>8</v>
      </c>
      <c r="H12" s="57" t="n">
        <f aca="false">IF(R12&lt;=LastHist,R12,CHOOSE(Scen,Q12,R12,S12)+IF(R12&gt;=13,2*BloomSlipOn,0))</f>
        <v>8</v>
      </c>
      <c r="I12" s="70" t="n">
        <v>0</v>
      </c>
      <c r="J12" s="66" t="n">
        <v>0</v>
      </c>
      <c r="K12" s="29" t="n">
        <f aca="false">D12*E12*F12/4</f>
        <v>1932.54444444444</v>
      </c>
      <c r="L12" s="24" t="n">
        <f aca="false">E12*1000000/(CHOOSE(MATCH(C12,{"H";"B";"N"},0),GPUMW_H,GPUMW_B,GPUMW_N)*8760)</f>
        <v>3.30915144596652</v>
      </c>
      <c r="N12" s="20" t="s">
        <v>507</v>
      </c>
      <c r="O12" s="20" t="s">
        <v>1602</v>
      </c>
      <c r="P12" s="20" t="s">
        <v>1603</v>
      </c>
      <c r="Q12" s="22" t="n">
        <v>8</v>
      </c>
      <c r="R12" s="22" t="n">
        <v>8</v>
      </c>
      <c r="S12" s="22" t="n">
        <v>8</v>
      </c>
      <c r="T12" s="57" t="n">
        <f aca="false">IF(R12&lt;=LastHist,RampMS_B,RampMS)</f>
        <v>4</v>
      </c>
    </row>
    <row r="13" customFormat="false" ht="15" hidden="false" customHeight="false" outlineLevel="0" collapsed="false">
      <c r="A13" s="0" t="s">
        <v>1604</v>
      </c>
      <c r="B13" s="0" t="s">
        <v>1601</v>
      </c>
      <c r="C13" s="103" t="s">
        <v>1541</v>
      </c>
      <c r="D13" s="120" t="n">
        <f aca="false">MSFT_MW/MSFT_N</f>
        <v>26.6666666666667</v>
      </c>
      <c r="E13" s="24" t="n">
        <f aca="false">MSFT_TCV/(5*MSFT_MW)</f>
        <v>14.4940833333333</v>
      </c>
      <c r="F13" s="21" t="n">
        <v>20</v>
      </c>
      <c r="G13" s="21" t="n">
        <v>9</v>
      </c>
      <c r="H13" s="57" t="n">
        <f aca="false">IF(R13&lt;=LastHist,R13,CHOOSE(Scen,Q13,R13,S13)+IF(R13&gt;=13,2*BloomSlipOn,0))</f>
        <v>9</v>
      </c>
      <c r="I13" s="70" t="n">
        <v>0</v>
      </c>
      <c r="J13" s="66" t="n">
        <v>0</v>
      </c>
      <c r="K13" s="29" t="n">
        <f aca="false">D13*E13*F13/4</f>
        <v>1932.54444444444</v>
      </c>
      <c r="L13" s="24" t="n">
        <f aca="false">E13*1000000/(CHOOSE(MATCH(C13,{"H";"B";"N"},0),GPUMW_H,GPUMW_B,GPUMW_N)*8760)</f>
        <v>3.30915144596652</v>
      </c>
      <c r="N13" s="20" t="s">
        <v>507</v>
      </c>
      <c r="O13" s="20" t="s">
        <v>1602</v>
      </c>
      <c r="P13" s="20" t="s">
        <v>1603</v>
      </c>
      <c r="Q13" s="22" t="n">
        <v>9</v>
      </c>
      <c r="R13" s="22" t="n">
        <v>9</v>
      </c>
      <c r="S13" s="22" t="n">
        <v>9</v>
      </c>
      <c r="T13" s="57" t="n">
        <f aca="false">IF(R13&lt;=LastHist,RampMS_B,RampMS)</f>
        <v>4</v>
      </c>
    </row>
    <row r="14" customFormat="false" ht="15" hidden="false" customHeight="false" outlineLevel="0" collapsed="false">
      <c r="A14" s="0" t="s">
        <v>1605</v>
      </c>
      <c r="B14" s="0" t="s">
        <v>1601</v>
      </c>
      <c r="C14" s="103" t="s">
        <v>1541</v>
      </c>
      <c r="D14" s="120" t="n">
        <f aca="false">MSFT_MW/MSFT_N</f>
        <v>26.6666666666667</v>
      </c>
      <c r="E14" s="24" t="n">
        <f aca="false">MSFT_TCV/(5*MSFT_MW)</f>
        <v>14.4940833333333</v>
      </c>
      <c r="F14" s="21" t="n">
        <v>20</v>
      </c>
      <c r="G14" s="21" t="n">
        <v>11</v>
      </c>
      <c r="H14" s="57" t="n">
        <f aca="false">IF(R14&lt;=LastHist,R14,CHOOSE(Scen,Q14,R14,S14)+IF(R14&gt;=13,2*BloomSlipOn,0))</f>
        <v>11</v>
      </c>
      <c r="I14" s="70" t="n">
        <v>0</v>
      </c>
      <c r="J14" s="66" t="n">
        <v>0</v>
      </c>
      <c r="K14" s="29" t="n">
        <f aca="false">D14*E14*F14/4</f>
        <v>1932.54444444444</v>
      </c>
      <c r="L14" s="24" t="n">
        <f aca="false">E14*1000000/(CHOOSE(MATCH(C14,{"H";"B";"N"},0),GPUMW_H,GPUMW_B,GPUMW_N)*8760)</f>
        <v>3.30915144596652</v>
      </c>
      <c r="N14" s="20" t="s">
        <v>507</v>
      </c>
      <c r="O14" s="20" t="s">
        <v>1602</v>
      </c>
      <c r="P14" s="20" t="s">
        <v>1603</v>
      </c>
      <c r="Q14" s="22" t="n">
        <v>11</v>
      </c>
      <c r="R14" s="22" t="n">
        <v>11</v>
      </c>
      <c r="S14" s="22" t="n">
        <v>11</v>
      </c>
      <c r="T14" s="57" t="n">
        <f aca="false">IF(R14&lt;=LastHist,RampMS_B,RampMS)</f>
        <v>4</v>
      </c>
    </row>
    <row r="15" customFormat="false" ht="15" hidden="false" customHeight="false" outlineLevel="0" collapsed="false">
      <c r="A15" s="0" t="s">
        <v>1606</v>
      </c>
      <c r="B15" s="0" t="s">
        <v>1601</v>
      </c>
      <c r="C15" s="103" t="s">
        <v>1541</v>
      </c>
      <c r="D15" s="120" t="n">
        <f aca="false">MSFT_MW/MSFT_N</f>
        <v>26.6666666666667</v>
      </c>
      <c r="E15" s="24" t="n">
        <f aca="false">MSFT_TCV/(5*MSFT_MW)</f>
        <v>14.4940833333333</v>
      </c>
      <c r="F15" s="21" t="n">
        <v>20</v>
      </c>
      <c r="G15" s="21" t="n">
        <v>11</v>
      </c>
      <c r="H15" s="57" t="n">
        <f aca="false">IF(R15&lt;=LastHist,R15,CHOOSE(Scen,Q15,R15,S15)+IF(R15&gt;=13,2*BloomSlipOn,0))</f>
        <v>11</v>
      </c>
      <c r="I15" s="70" t="n">
        <v>0</v>
      </c>
      <c r="J15" s="66" t="n">
        <v>0</v>
      </c>
      <c r="K15" s="29" t="n">
        <f aca="false">D15*E15*F15/4</f>
        <v>1932.54444444444</v>
      </c>
      <c r="L15" s="24" t="n">
        <f aca="false">E15*1000000/(CHOOSE(MATCH(C15,{"H";"B";"N"},0),GPUMW_H,GPUMW_B,GPUMW_N)*8760)</f>
        <v>3.30915144596652</v>
      </c>
      <c r="N15" s="20" t="s">
        <v>507</v>
      </c>
      <c r="O15" s="20" t="s">
        <v>1602</v>
      </c>
      <c r="P15" s="20" t="s">
        <v>1603</v>
      </c>
      <c r="Q15" s="22" t="n">
        <v>11</v>
      </c>
      <c r="R15" s="22" t="n">
        <v>11</v>
      </c>
      <c r="S15" s="22" t="n">
        <v>11</v>
      </c>
      <c r="T15" s="57" t="n">
        <f aca="false">IF(R15&lt;=LastHist,RampMS_B,RampMS)</f>
        <v>4</v>
      </c>
    </row>
    <row r="16" customFormat="false" ht="15" hidden="false" customHeight="false" outlineLevel="0" collapsed="false">
      <c r="A16" s="0" t="s">
        <v>1607</v>
      </c>
      <c r="B16" s="0" t="s">
        <v>1601</v>
      </c>
      <c r="C16" s="103" t="s">
        <v>1541</v>
      </c>
      <c r="D16" s="120" t="n">
        <f aca="false">MSFT_MW/MSFT_N</f>
        <v>26.6666666666667</v>
      </c>
      <c r="E16" s="24" t="n">
        <f aca="false">MSFT_TCV/(5*MSFT_MW)</f>
        <v>14.4940833333333</v>
      </c>
      <c r="F16" s="21" t="n">
        <v>20</v>
      </c>
      <c r="G16" s="22" t="n">
        <v>14</v>
      </c>
      <c r="H16" s="57" t="n">
        <f aca="false">IF(R16&lt;=LastHist,R16,CHOOSE(Scen,Q16,R16,S16)+IF(R16&gt;=13,2*BloomSlipOn,0))</f>
        <v>14</v>
      </c>
      <c r="I16" s="70" t="n">
        <v>0</v>
      </c>
      <c r="J16" s="66" t="n">
        <v>0</v>
      </c>
      <c r="K16" s="29" t="n">
        <f aca="false">D16*E16*F16/4</f>
        <v>1932.54444444444</v>
      </c>
      <c r="L16" s="24" t="n">
        <f aca="false">E16*1000000/(CHOOSE(MATCH(C16,{"H";"B";"N"},0),GPUMW_H,GPUMW_B,GPUMW_N)*8760)</f>
        <v>3.30915144596652</v>
      </c>
      <c r="N16" s="20" t="s">
        <v>514</v>
      </c>
      <c r="O16" s="20" t="s">
        <v>1602</v>
      </c>
      <c r="P16" s="20" t="s">
        <v>1608</v>
      </c>
      <c r="Q16" s="22" t="n">
        <v>13</v>
      </c>
      <c r="R16" s="22" t="n">
        <v>14</v>
      </c>
      <c r="S16" s="22" t="n">
        <v>15</v>
      </c>
      <c r="T16" s="57" t="n">
        <f aca="false">IF(R16&lt;=LastHist,RampMS_B,RampMS)</f>
        <v>4</v>
      </c>
    </row>
    <row r="17" customFormat="false" ht="15" hidden="false" customHeight="false" outlineLevel="0" collapsed="false">
      <c r="A17" s="0" t="s">
        <v>1609</v>
      </c>
      <c r="B17" s="0" t="s">
        <v>1601</v>
      </c>
      <c r="C17" s="103" t="s">
        <v>1541</v>
      </c>
      <c r="D17" s="120" t="n">
        <f aca="false">MSFT_MW/MSFT_N</f>
        <v>26.6666666666667</v>
      </c>
      <c r="E17" s="24" t="n">
        <f aca="false">MSFT_TCV/(5*MSFT_MW)</f>
        <v>14.4940833333333</v>
      </c>
      <c r="F17" s="21" t="n">
        <v>20</v>
      </c>
      <c r="G17" s="22" t="n">
        <v>14</v>
      </c>
      <c r="H17" s="57" t="n">
        <f aca="false">IF(R17&lt;=LastHist,R17,CHOOSE(Scen,Q17,R17,S17)+IF(R17&gt;=13,2*BloomSlipOn,0))</f>
        <v>14</v>
      </c>
      <c r="I17" s="70" t="n">
        <v>0</v>
      </c>
      <c r="J17" s="66" t="n">
        <v>0</v>
      </c>
      <c r="K17" s="29" t="n">
        <f aca="false">D17*E17*F17/4</f>
        <v>1932.54444444444</v>
      </c>
      <c r="L17" s="24" t="n">
        <f aca="false">E17*1000000/(CHOOSE(MATCH(C17,{"H";"B";"N"},0),GPUMW_H,GPUMW_B,GPUMW_N)*8760)</f>
        <v>3.30915144596652</v>
      </c>
      <c r="N17" s="20" t="s">
        <v>514</v>
      </c>
      <c r="O17" s="20" t="s">
        <v>1602</v>
      </c>
      <c r="P17" s="20" t="s">
        <v>1608</v>
      </c>
      <c r="Q17" s="22" t="n">
        <v>13</v>
      </c>
      <c r="R17" s="22" t="n">
        <v>14</v>
      </c>
      <c r="S17" s="22" t="n">
        <v>15</v>
      </c>
      <c r="T17" s="57" t="n">
        <f aca="false">IF(R17&lt;=LastHist,RampMS_B,RampMS)</f>
        <v>4</v>
      </c>
    </row>
    <row r="18" customFormat="false" ht="15" hidden="false" customHeight="false" outlineLevel="0" collapsed="false">
      <c r="A18" s="0" t="s">
        <v>1610</v>
      </c>
      <c r="B18" s="0" t="s">
        <v>1601</v>
      </c>
      <c r="C18" s="103" t="s">
        <v>1541</v>
      </c>
      <c r="D18" s="120" t="n">
        <f aca="false">MSFT_MW/MSFT_N</f>
        <v>26.6666666666667</v>
      </c>
      <c r="E18" s="24" t="n">
        <f aca="false">MSFT_TCV/(5*MSFT_MW)</f>
        <v>14.4940833333333</v>
      </c>
      <c r="F18" s="21" t="n">
        <v>20</v>
      </c>
      <c r="G18" s="22" t="n">
        <v>15</v>
      </c>
      <c r="H18" s="57" t="n">
        <f aca="false">IF(R18&lt;=LastHist,R18,CHOOSE(Scen,Q18,R18,S18)+IF(R18&gt;=13,2*BloomSlipOn,0))</f>
        <v>15</v>
      </c>
      <c r="I18" s="70" t="n">
        <v>0</v>
      </c>
      <c r="J18" s="66" t="n">
        <v>0</v>
      </c>
      <c r="K18" s="29" t="n">
        <f aca="false">D18*E18*F18/4</f>
        <v>1932.54444444444</v>
      </c>
      <c r="L18" s="24" t="n">
        <f aca="false">E18*1000000/(CHOOSE(MATCH(C18,{"H";"B";"N"},0),GPUMW_H,GPUMW_B,GPUMW_N)*8760)</f>
        <v>3.30915144596652</v>
      </c>
      <c r="N18" s="20" t="s">
        <v>514</v>
      </c>
      <c r="O18" s="20" t="s">
        <v>1602</v>
      </c>
      <c r="P18" s="20" t="s">
        <v>1608</v>
      </c>
      <c r="Q18" s="22" t="n">
        <v>14</v>
      </c>
      <c r="R18" s="22" t="n">
        <v>15</v>
      </c>
      <c r="S18" s="22" t="n">
        <v>16</v>
      </c>
      <c r="T18" s="57" t="n">
        <f aca="false">IF(R18&lt;=LastHist,RampMS_B,RampMS)</f>
        <v>4</v>
      </c>
    </row>
    <row r="19" customFormat="false" ht="15" hidden="false" customHeight="false" outlineLevel="0" collapsed="false">
      <c r="A19" s="0" t="s">
        <v>1611</v>
      </c>
      <c r="B19" s="0" t="s">
        <v>1601</v>
      </c>
      <c r="C19" s="103" t="s">
        <v>1541</v>
      </c>
      <c r="D19" s="120" t="n">
        <f aca="false">MSFT_MW/MSFT_N</f>
        <v>26.6666666666667</v>
      </c>
      <c r="E19" s="24" t="n">
        <f aca="false">MSFT_TCV/(5*MSFT_MW)</f>
        <v>14.4940833333333</v>
      </c>
      <c r="F19" s="21" t="n">
        <v>20</v>
      </c>
      <c r="G19" s="22" t="n">
        <v>15</v>
      </c>
      <c r="H19" s="57" t="n">
        <f aca="false">IF(R19&lt;=LastHist,R19,CHOOSE(Scen,Q19,R19,S19)+IF(R19&gt;=13,2*BloomSlipOn,0))</f>
        <v>15</v>
      </c>
      <c r="I19" s="70" t="n">
        <v>0</v>
      </c>
      <c r="J19" s="66" t="n">
        <v>0</v>
      </c>
      <c r="K19" s="29" t="n">
        <f aca="false">D19*E19*F19/4</f>
        <v>1932.54444444444</v>
      </c>
      <c r="L19" s="24" t="n">
        <f aca="false">E19*1000000/(CHOOSE(MATCH(C19,{"H";"B";"N"},0),GPUMW_H,GPUMW_B,GPUMW_N)*8760)</f>
        <v>3.30915144596652</v>
      </c>
      <c r="N19" s="20" t="s">
        <v>514</v>
      </c>
      <c r="O19" s="20" t="s">
        <v>1602</v>
      </c>
      <c r="P19" s="20" t="s">
        <v>1608</v>
      </c>
      <c r="Q19" s="22" t="n">
        <v>14</v>
      </c>
      <c r="R19" s="22" t="n">
        <v>15</v>
      </c>
      <c r="S19" s="22" t="n">
        <v>16</v>
      </c>
      <c r="T19" s="57" t="n">
        <f aca="false">IF(R19&lt;=LastHist,RampMS_B,RampMS)</f>
        <v>4</v>
      </c>
    </row>
    <row r="20" customFormat="false" ht="15" hidden="false" customHeight="false" outlineLevel="0" collapsed="false">
      <c r="A20" s="0" t="s">
        <v>1612</v>
      </c>
      <c r="B20" s="0" t="s">
        <v>1601</v>
      </c>
      <c r="C20" s="103" t="s">
        <v>1541</v>
      </c>
      <c r="D20" s="120" t="n">
        <f aca="false">MSFT_MW/MSFT_N</f>
        <v>26.6666666666667</v>
      </c>
      <c r="E20" s="24" t="n">
        <f aca="false">MSFT_TCV/(5*MSFT_MW)</f>
        <v>14.4940833333333</v>
      </c>
      <c r="F20" s="21" t="n">
        <v>20</v>
      </c>
      <c r="G20" s="22" t="n">
        <v>15</v>
      </c>
      <c r="H20" s="57" t="n">
        <f aca="false">IF(R20&lt;=LastHist,R20,CHOOSE(Scen,Q20,R20,S20)+IF(R20&gt;=13,2*BloomSlipOn,0))</f>
        <v>15</v>
      </c>
      <c r="I20" s="70" t="n">
        <v>0</v>
      </c>
      <c r="J20" s="66" t="n">
        <v>0</v>
      </c>
      <c r="K20" s="29" t="n">
        <f aca="false">D20*E20*F20/4</f>
        <v>1932.54444444444</v>
      </c>
      <c r="L20" s="24" t="n">
        <f aca="false">E20*1000000/(CHOOSE(MATCH(C20,{"H";"B";"N"},0),GPUMW_H,GPUMW_B,GPUMW_N)*8760)</f>
        <v>3.30915144596652</v>
      </c>
      <c r="N20" s="20" t="s">
        <v>514</v>
      </c>
      <c r="O20" s="20" t="s">
        <v>1602</v>
      </c>
      <c r="P20" s="20" t="s">
        <v>1608</v>
      </c>
      <c r="Q20" s="22" t="n">
        <v>14</v>
      </c>
      <c r="R20" s="22" t="n">
        <v>15</v>
      </c>
      <c r="S20" s="22" t="n">
        <v>17</v>
      </c>
      <c r="T20" s="57" t="n">
        <f aca="false">IF(R20&lt;=LastHist,RampMS_B,RampMS)</f>
        <v>4</v>
      </c>
    </row>
    <row r="21" customFormat="false" ht="15" hidden="false" customHeight="false" outlineLevel="0" collapsed="false">
      <c r="A21" s="0" t="s">
        <v>1613</v>
      </c>
      <c r="B21" s="0" t="s">
        <v>1601</v>
      </c>
      <c r="C21" s="103" t="s">
        <v>1541</v>
      </c>
      <c r="D21" s="121" t="n">
        <v>0</v>
      </c>
      <c r="E21" s="24" t="n">
        <f aca="false">MSFT_TCV/(5*MSFT_MW)</f>
        <v>14.4940833333333</v>
      </c>
      <c r="F21" s="21" t="n">
        <v>20</v>
      </c>
      <c r="G21" s="70" t="n">
        <v>12</v>
      </c>
      <c r="H21" s="57" t="n">
        <f aca="false">IF(R21&lt;=LastHist,R21,CHOOSE(Scen,Q21,R21,S21)+IF(R21&gt;=13,2*BloomSlipOn,0))</f>
        <v>12</v>
      </c>
      <c r="I21" s="70" t="n">
        <v>0</v>
      </c>
      <c r="J21" s="66" t="n">
        <v>0</v>
      </c>
      <c r="K21" s="29" t="n">
        <f aca="false">D21*E21*F21/4</f>
        <v>0</v>
      </c>
      <c r="L21" s="24" t="n">
        <f aca="false">E21*1000000/(CHOOSE(MATCH(C21,{"H";"B";"N"},0),GPUMW_H,GPUMW_B,GPUMW_N)*8760)</f>
        <v>3.30915144596652</v>
      </c>
      <c r="N21" s="20" t="s">
        <v>543</v>
      </c>
      <c r="O21" s="20" t="s">
        <v>1602</v>
      </c>
      <c r="P21" s="20" t="s">
        <v>1614</v>
      </c>
      <c r="Q21" s="70" t="n">
        <v>12</v>
      </c>
      <c r="R21" s="70" t="n">
        <v>12</v>
      </c>
      <c r="S21" s="70" t="n">
        <v>12</v>
      </c>
      <c r="T21" s="57" t="n">
        <f aca="false">IF(R21&lt;=LastHist,RampMS_B,RampMS)</f>
        <v>4</v>
      </c>
    </row>
    <row r="22" customFormat="false" ht="15" hidden="false" customHeight="false" outlineLevel="0" collapsed="false">
      <c r="A22" s="0" t="s">
        <v>1615</v>
      </c>
      <c r="B22" s="0" t="s">
        <v>1601</v>
      </c>
      <c r="C22" s="103" t="s">
        <v>1541</v>
      </c>
      <c r="D22" s="121" t="n">
        <v>0</v>
      </c>
      <c r="E22" s="24" t="n">
        <f aca="false">MSFT_TCV/(5*MSFT_MW)</f>
        <v>14.4940833333333</v>
      </c>
      <c r="F22" s="21" t="n">
        <v>20</v>
      </c>
      <c r="G22" s="70" t="n">
        <v>12</v>
      </c>
      <c r="H22" s="57" t="n">
        <f aca="false">IF(R22&lt;=LastHist,R22,CHOOSE(Scen,Q22,R22,S22)+IF(R22&gt;=13,2*BloomSlipOn,0))</f>
        <v>12</v>
      </c>
      <c r="I22" s="70" t="n">
        <v>0</v>
      </c>
      <c r="J22" s="66" t="n">
        <v>0</v>
      </c>
      <c r="K22" s="29" t="n">
        <f aca="false">D22*E22*F22/4</f>
        <v>0</v>
      </c>
      <c r="L22" s="24" t="n">
        <f aca="false">E22*1000000/(CHOOSE(MATCH(C22,{"H";"B";"N"},0),GPUMW_H,GPUMW_B,GPUMW_N)*8760)</f>
        <v>3.30915144596652</v>
      </c>
      <c r="N22" s="20" t="s">
        <v>543</v>
      </c>
      <c r="O22" s="20" t="s">
        <v>1602</v>
      </c>
      <c r="P22" s="20" t="s">
        <v>1616</v>
      </c>
      <c r="Q22" s="70" t="n">
        <v>12</v>
      </c>
      <c r="R22" s="70" t="n">
        <v>12</v>
      </c>
      <c r="S22" s="70" t="n">
        <v>12</v>
      </c>
      <c r="T22" s="57" t="n">
        <f aca="false">IF(R22&lt;=LastHist,RampMS_B,RampMS)</f>
        <v>4</v>
      </c>
    </row>
    <row r="23" customFormat="false" ht="15" hidden="false" customHeight="false" outlineLevel="0" collapsed="false">
      <c r="A23" s="0" t="s">
        <v>1617</v>
      </c>
      <c r="B23" s="0" t="s">
        <v>1618</v>
      </c>
      <c r="C23" s="103" t="s">
        <v>1541</v>
      </c>
      <c r="D23" s="31" t="n">
        <f aca="false">M23/(E23*F23/4)</f>
        <v>24.0058333333333</v>
      </c>
      <c r="E23" s="24" t="n">
        <f aca="false">ACV_2026</f>
        <v>12</v>
      </c>
      <c r="F23" s="21" t="n">
        <v>20</v>
      </c>
      <c r="G23" s="21" t="n">
        <v>8</v>
      </c>
      <c r="H23" s="57" t="n">
        <f aca="false">IF(R23&lt;=LastHist,R23,CHOOSE(Scen,Q23,R23,S23))</f>
        <v>8</v>
      </c>
      <c r="I23" s="70" t="n">
        <v>0</v>
      </c>
      <c r="J23" s="66" t="n">
        <v>0</v>
      </c>
      <c r="K23" s="29" t="n">
        <f aca="false">D23*E23*F23/4</f>
        <v>1440.35</v>
      </c>
      <c r="L23" s="24" t="n">
        <f aca="false">E23*1000000/(CHOOSE(MATCH(C23,{"H";"B";"N"},0),GPUMW_H,GPUMW_B,GPUMW_N)*8760)</f>
        <v>2.73972602739726</v>
      </c>
      <c r="M23" s="77" t="n">
        <v>1440.35</v>
      </c>
      <c r="N23" s="20" t="s">
        <v>554</v>
      </c>
      <c r="O23" s="20" t="s">
        <v>1602</v>
      </c>
      <c r="P23" s="20" t="s">
        <v>1619</v>
      </c>
      <c r="Q23" s="70" t="n">
        <v>8</v>
      </c>
      <c r="R23" s="70" t="n">
        <v>8</v>
      </c>
      <c r="S23" s="70" t="n">
        <v>8</v>
      </c>
      <c r="T23" s="57" t="n">
        <f aca="false">1</f>
        <v>1</v>
      </c>
    </row>
    <row r="24" customFormat="false" ht="15" hidden="false" customHeight="false" outlineLevel="0" collapsed="false">
      <c r="A24" s="0" t="s">
        <v>1620</v>
      </c>
      <c r="B24" s="0" t="s">
        <v>1618</v>
      </c>
      <c r="C24" s="103" t="s">
        <v>1541</v>
      </c>
      <c r="D24" s="31" t="n">
        <f aca="false">M24/(E24*F24/4)</f>
        <v>24.0058333333333</v>
      </c>
      <c r="E24" s="24" t="n">
        <f aca="false">ACV_2026</f>
        <v>12</v>
      </c>
      <c r="F24" s="21" t="n">
        <v>20</v>
      </c>
      <c r="G24" s="21" t="n">
        <v>9</v>
      </c>
      <c r="H24" s="57" t="n">
        <f aca="false">IF(R24&lt;=LastHist,R24,CHOOSE(Scen,Q24,R24,S24))</f>
        <v>9</v>
      </c>
      <c r="I24" s="70" t="n">
        <v>0</v>
      </c>
      <c r="J24" s="66" t="n">
        <v>0</v>
      </c>
      <c r="K24" s="29" t="n">
        <f aca="false">D24*E24*F24/4</f>
        <v>1440.35</v>
      </c>
      <c r="L24" s="24" t="n">
        <f aca="false">E24*1000000/(CHOOSE(MATCH(C24,{"H";"B";"N"},0),GPUMW_H,GPUMW_B,GPUMW_N)*8760)</f>
        <v>2.73972602739726</v>
      </c>
      <c r="M24" s="77" t="n">
        <v>1440.35</v>
      </c>
      <c r="N24" s="20" t="s">
        <v>554</v>
      </c>
      <c r="O24" s="20" t="s">
        <v>1602</v>
      </c>
      <c r="P24" s="20" t="s">
        <v>1616</v>
      </c>
      <c r="Q24" s="70" t="n">
        <v>9</v>
      </c>
      <c r="R24" s="70" t="n">
        <v>9</v>
      </c>
      <c r="S24" s="70" t="n">
        <v>9</v>
      </c>
      <c r="T24" s="57" t="n">
        <f aca="false">1</f>
        <v>1</v>
      </c>
    </row>
    <row r="25" customFormat="false" ht="15" hidden="false" customHeight="false" outlineLevel="0" collapsed="false">
      <c r="A25" s="0" t="s">
        <v>1621</v>
      </c>
      <c r="B25" s="0" t="s">
        <v>1618</v>
      </c>
      <c r="C25" s="103" t="s">
        <v>1547</v>
      </c>
      <c r="D25" s="31" t="n">
        <f aca="false">M25/(E25*F25/4)</f>
        <v>53.3333333333333</v>
      </c>
      <c r="E25" s="24" t="n">
        <f aca="false">ACV_Q2</f>
        <v>22.5</v>
      </c>
      <c r="F25" s="21" t="n">
        <v>20</v>
      </c>
      <c r="G25" s="22" t="n">
        <v>15</v>
      </c>
      <c r="H25" s="57" t="n">
        <f aca="false">IF(R25&lt;=LastHist,R25,CHOOSE(Scen,Q25,R25,S25))</f>
        <v>15</v>
      </c>
      <c r="I25" s="70" t="n">
        <v>0</v>
      </c>
      <c r="J25" s="66" t="n">
        <v>0</v>
      </c>
      <c r="K25" s="29" t="n">
        <f aca="false">D25*E25*F25/4</f>
        <v>6000</v>
      </c>
      <c r="L25" s="24" t="n">
        <f aca="false">E25*1000000/(CHOOSE(MATCH(C25,{"H";"B";"N"},0),GPUMW_H,GPUMW_B,GPUMW_N)*8760)</f>
        <v>8.02654109589041</v>
      </c>
      <c r="M25" s="83" t="n">
        <v>6000</v>
      </c>
      <c r="N25" s="20" t="s">
        <v>514</v>
      </c>
      <c r="O25" s="20" t="s">
        <v>1602</v>
      </c>
      <c r="P25" s="20" t="s">
        <v>1622</v>
      </c>
      <c r="Q25" s="22" t="n">
        <v>13</v>
      </c>
      <c r="R25" s="22" t="n">
        <v>15</v>
      </c>
      <c r="S25" s="22" t="n">
        <v>16</v>
      </c>
      <c r="T25" s="57" t="n">
        <f aca="false">1</f>
        <v>1</v>
      </c>
    </row>
    <row r="26" customFormat="false" ht="15" hidden="false" customHeight="false" outlineLevel="0" collapsed="false">
      <c r="A26" s="0" t="s">
        <v>1623</v>
      </c>
      <c r="B26" s="0" t="s">
        <v>1618</v>
      </c>
      <c r="C26" s="103" t="s">
        <v>1547</v>
      </c>
      <c r="D26" s="31" t="n">
        <f aca="false">M26/(E26*F26/4)</f>
        <v>53.3333333333333</v>
      </c>
      <c r="E26" s="24" t="n">
        <f aca="false">ACV_Q2</f>
        <v>22.5</v>
      </c>
      <c r="F26" s="21" t="n">
        <v>20</v>
      </c>
      <c r="G26" s="22" t="n">
        <v>16</v>
      </c>
      <c r="H26" s="57" t="n">
        <f aca="false">IF(R26&lt;=LastHist,R26,CHOOSE(Scen,Q26,R26,S26))</f>
        <v>16</v>
      </c>
      <c r="I26" s="70" t="n">
        <v>0</v>
      </c>
      <c r="J26" s="66" t="n">
        <v>0</v>
      </c>
      <c r="K26" s="29" t="n">
        <f aca="false">D26*E26*F26/4</f>
        <v>6000</v>
      </c>
      <c r="L26" s="24" t="n">
        <f aca="false">E26*1000000/(CHOOSE(MATCH(C26,{"H";"B";"N"},0),GPUMW_H,GPUMW_B,GPUMW_N)*8760)</f>
        <v>8.02654109589041</v>
      </c>
      <c r="M26" s="83" t="n">
        <v>6000</v>
      </c>
      <c r="N26" s="20" t="s">
        <v>514</v>
      </c>
      <c r="O26" s="20" t="s">
        <v>1602</v>
      </c>
      <c r="P26" s="20" t="s">
        <v>1616</v>
      </c>
      <c r="Q26" s="22" t="n">
        <v>14</v>
      </c>
      <c r="R26" s="22" t="n">
        <v>16</v>
      </c>
      <c r="S26" s="22" t="n">
        <v>18</v>
      </c>
      <c r="T26" s="57" t="n">
        <f aca="false">1</f>
        <v>1</v>
      </c>
    </row>
    <row r="27" customFormat="false" ht="15" hidden="false" customHeight="false" outlineLevel="0" collapsed="false">
      <c r="A27" s="0" t="s">
        <v>1624</v>
      </c>
      <c r="B27" s="0" t="s">
        <v>1618</v>
      </c>
      <c r="C27" s="103" t="s">
        <v>1547</v>
      </c>
      <c r="D27" s="31" t="n">
        <f aca="false">M27/(E27*F27/4)</f>
        <v>133.333333333333</v>
      </c>
      <c r="E27" s="24" t="n">
        <f aca="false">ACV_Q2</f>
        <v>22.5</v>
      </c>
      <c r="F27" s="21" t="n">
        <v>20</v>
      </c>
      <c r="G27" s="70" t="n">
        <v>14</v>
      </c>
      <c r="H27" s="57" t="n">
        <f aca="false">IF(R27&lt;=LastHist,R27,CHOOSE(Scen,Q27,R27,S27))</f>
        <v>14</v>
      </c>
      <c r="I27" s="70" t="n">
        <v>1</v>
      </c>
      <c r="J27" s="66" t="n">
        <v>0</v>
      </c>
      <c r="K27" s="29" t="n">
        <f aca="false">D27*E27*F27/4</f>
        <v>15000</v>
      </c>
      <c r="L27" s="24" t="n">
        <f aca="false">E27*1000000/(CHOOSE(MATCH(C27,{"H";"B";"N"},0),GPUMW_H,GPUMW_B,GPUMW_N)*8760)</f>
        <v>8.02654109589041</v>
      </c>
      <c r="M27" s="77" t="n">
        <v>15000</v>
      </c>
      <c r="N27" s="20" t="s">
        <v>543</v>
      </c>
      <c r="O27" s="20" t="s">
        <v>1602</v>
      </c>
      <c r="P27" s="20" t="s">
        <v>1625</v>
      </c>
      <c r="Q27" s="70" t="n">
        <v>14</v>
      </c>
      <c r="R27" s="70" t="n">
        <v>14</v>
      </c>
      <c r="S27" s="70" t="n">
        <v>14</v>
      </c>
      <c r="T27" s="57" t="n">
        <f aca="false">1</f>
        <v>1</v>
      </c>
    </row>
    <row r="28" customFormat="false" ht="15" hidden="false" customHeight="false" outlineLevel="0" collapsed="false">
      <c r="A28" s="0" t="s">
        <v>1626</v>
      </c>
      <c r="B28" s="0" t="s">
        <v>1627</v>
      </c>
      <c r="C28" s="103" t="s">
        <v>1547</v>
      </c>
      <c r="D28" s="121" t="n">
        <v>0</v>
      </c>
      <c r="E28" s="24" t="n">
        <f aca="false">ACV_Q2</f>
        <v>22.5</v>
      </c>
      <c r="F28" s="70" t="n">
        <v>20</v>
      </c>
      <c r="G28" s="70" t="n">
        <v>16</v>
      </c>
      <c r="H28" s="57" t="n">
        <f aca="false">IF(R28&lt;=LastHist,R28,CHOOSE(Scen,Q28,R28,S28))</f>
        <v>16</v>
      </c>
      <c r="I28" s="70" t="n">
        <v>0</v>
      </c>
      <c r="J28" s="66" t="n">
        <v>0</v>
      </c>
      <c r="K28" s="29" t="n">
        <f aca="false">D28*E28*F28/4</f>
        <v>0</v>
      </c>
      <c r="L28" s="24" t="n">
        <f aca="false">E28*1000000/(CHOOSE(MATCH(C28,{"H";"B";"N"},0),GPUMW_H,GPUMW_B,GPUMW_N)*8760)</f>
        <v>8.02654109589041</v>
      </c>
      <c r="N28" s="20" t="s">
        <v>543</v>
      </c>
      <c r="O28" s="20" t="s">
        <v>1602</v>
      </c>
      <c r="P28" s="20" t="s">
        <v>1628</v>
      </c>
      <c r="Q28" s="70" t="n">
        <v>16</v>
      </c>
      <c r="R28" s="70" t="n">
        <v>16</v>
      </c>
      <c r="S28" s="70" t="n">
        <v>16</v>
      </c>
      <c r="T28" s="57" t="n">
        <f aca="false">1</f>
        <v>1</v>
      </c>
    </row>
    <row r="29" customFormat="false" ht="15" hidden="false" customHeight="false" outlineLevel="0" collapsed="false">
      <c r="A29" s="0" t="s">
        <v>1629</v>
      </c>
      <c r="B29" s="0" t="s">
        <v>1627</v>
      </c>
      <c r="C29" s="103" t="s">
        <v>1547</v>
      </c>
      <c r="D29" s="121" t="n">
        <v>0</v>
      </c>
      <c r="E29" s="24" t="n">
        <f aca="false">ACV_Q2</f>
        <v>22.5</v>
      </c>
      <c r="F29" s="70" t="n">
        <v>20</v>
      </c>
      <c r="G29" s="70" t="n">
        <v>20</v>
      </c>
      <c r="H29" s="57" t="n">
        <f aca="false">IF(R29&lt;=LastHist,R29,CHOOSE(Scen,Q29,R29,S29))</f>
        <v>20</v>
      </c>
      <c r="I29" s="70" t="n">
        <v>0</v>
      </c>
      <c r="J29" s="66" t="n">
        <v>0</v>
      </c>
      <c r="K29" s="29" t="n">
        <f aca="false">D29*E29*F29/4</f>
        <v>0</v>
      </c>
      <c r="L29" s="24" t="n">
        <f aca="false">E29*1000000/(CHOOSE(MATCH(C29,{"H";"B";"N"},0),GPUMW_H,GPUMW_B,GPUMW_N)*8760)</f>
        <v>8.02654109589041</v>
      </c>
      <c r="N29" s="20" t="s">
        <v>543</v>
      </c>
      <c r="O29" s="20" t="s">
        <v>1602</v>
      </c>
      <c r="P29" s="20"/>
      <c r="Q29" s="70" t="n">
        <v>20</v>
      </c>
      <c r="R29" s="70" t="n">
        <v>20</v>
      </c>
      <c r="S29" s="70" t="n">
        <v>20</v>
      </c>
      <c r="T29" s="57" t="n">
        <f aca="false">1</f>
        <v>1</v>
      </c>
    </row>
    <row r="30" customFormat="false" ht="15" hidden="false" customHeight="false" outlineLevel="0" collapsed="false">
      <c r="A30" s="3" t="s">
        <v>1630</v>
      </c>
      <c r="K30" s="5" t="n">
        <f aca="false">SUMPRODUCT(K12:K29,1-I12:I29)</f>
        <v>32273.6</v>
      </c>
    </row>
    <row r="31" customFormat="false" ht="15" hidden="false" customHeight="false" outlineLevel="0" collapsed="false">
      <c r="A31" s="0" t="s">
        <v>1631</v>
      </c>
      <c r="K31" s="5" t="n">
        <f aca="false">SUM(K12:K20)-MSFT_TCV</f>
        <v>0</v>
      </c>
    </row>
    <row r="34" customFormat="false" ht="15" hidden="false" customHeight="false" outlineLevel="0" collapsed="false">
      <c r="A34" s="53" t="s">
        <v>1632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</row>
    <row r="35" customFormat="false" ht="15" hidden="false" customHeight="false" outlineLevel="0" collapsed="false">
      <c r="A35" s="104" t="s">
        <v>1633</v>
      </c>
      <c r="B35" s="20" t="s">
        <v>561</v>
      </c>
      <c r="C35" s="20"/>
      <c r="D35" s="20"/>
      <c r="F35" s="122" t="n">
        <f aca="false">(1-$I$12)*(1-$J$12)*$D$12*$E$12/4*MIN(1,MAX(0,(F$5-$H$12+1)/$T$12))*IF(F$5=$H$12,DelivFactor,IF(AND(F$5&gt;$H$12,F$5&lt;$H$12+$F$12),1,IF(F$5=$H$12+$F$12,1-DelivFactor,0)))</f>
        <v>0</v>
      </c>
      <c r="G35" s="122" t="n">
        <f aca="false">(1-$I$12)*(1-$J$12)*$D$12*$E$12/4*MIN(1,MAX(0,(G$5-$H$12+1)/$T$12))*IF(G$5=$H$12,DelivFactor,IF(AND(G$5&gt;$H$12,G$5&lt;$H$12+$F$12),1,IF(G$5=$H$12+$F$12,1-DelivFactor,0)))</f>
        <v>0</v>
      </c>
      <c r="H35" s="122" t="n">
        <f aca="false">(1-$I$12)*(1-$J$12)*$D$12*$E$12/4*MIN(1,MAX(0,(H$5-$H$12+1)/$T$12))*IF(H$5=$H$12,DelivFactor,IF(AND(H$5&gt;$H$12,H$5&lt;$H$12+$F$12),1,IF(H$5=$H$12+$F$12,1-DelivFactor,0)))</f>
        <v>0</v>
      </c>
      <c r="I35" s="122" t="n">
        <f aca="false">(1-$I$12)*(1-$J$12)*$D$12*$E$12/4*MIN(1,MAX(0,(I$5-$H$12+1)/$T$12))*IF(I$5=$H$12,DelivFactor,IF(AND(I$5&gt;$H$12,I$5&lt;$H$12+$F$12),1,IF(I$5=$H$12+$F$12,1-DelivFactor,0)))</f>
        <v>0</v>
      </c>
      <c r="J35" s="122" t="n">
        <f aca="false">(1-$I$12)*(1-$J$12)*$D$12*$E$12/4*MIN(1,MAX(0,(J$5-$H$12+1)/$T$12))*IF(J$5=$H$12,DelivFactor,IF(AND(J$5&gt;$H$12,J$5&lt;$H$12+$F$12),1,IF(J$5=$H$12+$F$12,1-DelivFactor,0)))</f>
        <v>0</v>
      </c>
      <c r="K35" s="122" t="n">
        <f aca="false">(1-$I$12)*(1-$J$12)*$D$12*$E$12/4*MIN(1,MAX(0,(K$5-$H$12+1)/$T$12))*IF(K$5=$H$12,DelivFactor,IF(AND(K$5&gt;$H$12,K$5&lt;$H$12+$F$12),1,IF(K$5=$H$12+$F$12,1-DelivFactor,0)))</f>
        <v>0</v>
      </c>
      <c r="L35" s="122" t="n">
        <f aca="false">(1-$I$12)*(1-$J$12)*$D$12*$E$12/4*MIN(1,MAX(0,(L$5-$H$12+1)/$T$12))*IF(L$5=$H$12,DelivFactor,IF(AND(L$5&gt;$H$12,L$5&lt;$H$12+$F$12),1,IF(L$5=$H$12+$F$12,1-DelivFactor,0)))</f>
        <v>0</v>
      </c>
      <c r="M35" s="122" t="n">
        <f aca="false">(1-$I$12)*(1-$J$12)*$D$12*$E$12/4*MIN(1,MAX(0,(M$5-$H$12+1)/$T$12))*IF(M$5=$H$12,DelivFactor,IF(AND(M$5&gt;$H$12,M$5&lt;$H$12+$F$12),1,IF(M$5=$H$12+$F$12,1-DelivFactor,0)))</f>
        <v>12.0784027777778</v>
      </c>
      <c r="N35" s="122" t="n">
        <f aca="false">(1-$I$12)*(1-$J$12)*$D$12*$E$12/4*MIN(1,MAX(0,(N$5-$H$12+1)/$T$12))*IF(N$5=$H$12,DelivFactor,IF(AND(N$5&gt;$H$12,N$5&lt;$H$12+$F$12),1,IF(N$5=$H$12+$F$12,1-DelivFactor,0)))</f>
        <v>48.3136111111111</v>
      </c>
      <c r="O35" s="122" t="n">
        <f aca="false">(1-$I$12)*(1-$J$12)*$D$12*$E$12/4*MIN(1,MAX(0,(O$5-$H$12+1)/$T$12))*IF(O$5=$H$12,DelivFactor,IF(AND(O$5&gt;$H$12,O$5&lt;$H$12+$F$12),1,IF(O$5=$H$12+$F$12,1-DelivFactor,0)))</f>
        <v>72.4704166666667</v>
      </c>
      <c r="P35" s="123" t="n">
        <f aca="false">(1-$I$12)*(1-$J$12)*$D$12*$E$12/4*MIN(1,MAX(0,(P$5-$H$12+1)/$T$12))*IF(P$5=$H$12,DelivFactor,IF(AND(P$5&gt;$H$12,P$5&lt;$H$12+$F$12),1,IF(P$5=$H$12+$F$12,1-DelivFactor,0)))</f>
        <v>96.6272222222222</v>
      </c>
      <c r="Q35" s="123" t="n">
        <f aca="false">(1-$I$12)*(1-$J$12)*$D$12*$E$12/4*MIN(1,MAX(0,(Q$5-$H$12+1)/$T$12))*IF(Q$5=$H$12,DelivFactor,IF(AND(Q$5&gt;$H$12,Q$5&lt;$H$12+$F$12),1,IF(Q$5=$H$12+$F$12,1-DelivFactor,0)))</f>
        <v>96.6272222222222</v>
      </c>
      <c r="R35" s="123" t="n">
        <f aca="false">(1-$I$12)*(1-$J$12)*$D$12*$E$12/4*MIN(1,MAX(0,(R$5-$H$12+1)/$T$12))*IF(R$5=$H$12,DelivFactor,IF(AND(R$5&gt;$H$12,R$5&lt;$H$12+$F$12),1,IF(R$5=$H$12+$F$12,1-DelivFactor,0)))</f>
        <v>96.6272222222222</v>
      </c>
      <c r="S35" s="123" t="n">
        <f aca="false">(1-$I$12)*(1-$J$12)*$D$12*$E$12/4*MIN(1,MAX(0,(S$5-$H$12+1)/$T$12))*IF(S$5=$H$12,DelivFactor,IF(AND(S$5&gt;$H$12,S$5&lt;$H$12+$F$12),1,IF(S$5=$H$12+$F$12,1-DelivFactor,0)))</f>
        <v>96.6272222222222</v>
      </c>
      <c r="T35" s="123" t="n">
        <f aca="false">(1-$I$12)*(1-$J$12)*$D$12*$E$12/4*MIN(1,MAX(0,(T$5-$H$12+1)/$T$12))*IF(T$5=$H$12,DelivFactor,IF(AND(T$5&gt;$H$12,T$5&lt;$H$12+$F$12),1,IF(T$5=$H$12+$F$12,1-DelivFactor,0)))</f>
        <v>96.6272222222222</v>
      </c>
      <c r="U35" s="123" t="n">
        <f aca="false">(1-$I$12)*(1-$J$12)*$D$12*$E$12/4*MIN(1,MAX(0,(U$5-$H$12+1)/$T$12))*IF(U$5=$H$12,DelivFactor,IF(AND(U$5&gt;$H$12,U$5&lt;$H$12+$F$12),1,IF(U$5=$H$12+$F$12,1-DelivFactor,0)))</f>
        <v>96.6272222222222</v>
      </c>
      <c r="V35" s="123" t="n">
        <f aca="false">(1-$I$12)*(1-$J$12)*$D$12*$E$12/4*MIN(1,MAX(0,(V$5-$H$12+1)/$T$12))*IF(V$5=$H$12,DelivFactor,IF(AND(V$5&gt;$H$12,V$5&lt;$H$12+$F$12),1,IF(V$5=$H$12+$F$12,1-DelivFactor,0)))</f>
        <v>96.6272222222222</v>
      </c>
      <c r="W35" s="123" t="n">
        <f aca="false">(1-$I$12)*(1-$J$12)*$D$12*$E$12/4*MIN(1,MAX(0,(W$5-$H$12+1)/$T$12))*IF(W$5=$H$12,DelivFactor,IF(AND(W$5&gt;$H$12,W$5&lt;$H$12+$F$12),1,IF(W$5=$H$12+$F$12,1-DelivFactor,0)))</f>
        <v>96.6272222222222</v>
      </c>
      <c r="X35" s="123" t="n">
        <f aca="false">(1-$I$12)*(1-$J$12)*$D$12*$E$12/4*MIN(1,MAX(0,(X$5-$H$12+1)/$T$12))*IF(X$5=$H$12,DelivFactor,IF(AND(X$5&gt;$H$12,X$5&lt;$H$12+$F$12),1,IF(X$5=$H$12+$F$12,1-DelivFactor,0)))</f>
        <v>96.6272222222222</v>
      </c>
      <c r="Y35" s="123" t="n">
        <f aca="false">(1-$I$12)*(1-$J$12)*$D$12*$E$12/4*MIN(1,MAX(0,(Y$5-$H$12+1)/$T$12))*IF(Y$5=$H$12,DelivFactor,IF(AND(Y$5&gt;$H$12,Y$5&lt;$H$12+$F$12),1,IF(Y$5=$H$12+$F$12,1-DelivFactor,0)))</f>
        <v>96.6272222222222</v>
      </c>
      <c r="Z35" s="123" t="n">
        <f aca="false">(1-$I$12)*(1-$J$12)*$D$12*$E$12/4*MIN(1,MAX(0,(Z$5-$H$12+1)/$T$12))*IF(Z$5=$H$12,DelivFactor,IF(AND(Z$5&gt;$H$12,Z$5&lt;$H$12+$F$12),1,IF(Z$5=$H$12+$F$12,1-DelivFactor,0)))</f>
        <v>96.6272222222222</v>
      </c>
      <c r="AA35" s="123" t="n">
        <f aca="false">(1-$I$12)*(1-$J$12)*$D$12*$E$12/4*MIN(1,MAX(0,(AA$5-$H$12+1)/$T$12))*IF(AA$5=$H$12,DelivFactor,IF(AND(AA$5&gt;$H$12,AA$5&lt;$H$12+$F$12),1,IF(AA$5=$H$12+$F$12,1-DelivFactor,0)))</f>
        <v>96.6272222222222</v>
      </c>
      <c r="AB35" s="123" t="n">
        <f aca="false">(1-$I$12)*(1-$J$12)*$D$12*$E$12/4*MIN(1,MAX(0,(AB$5-$H$12+1)/$T$12))*IF(AB$5=$H$12,DelivFactor,IF(AND(AB$5&gt;$H$12,AB$5&lt;$H$12+$F$12),1,IF(AB$5=$H$12+$F$12,1-DelivFactor,0)))</f>
        <v>96.6272222222222</v>
      </c>
      <c r="AC35" s="123" t="n">
        <f aca="false">(1-$I$12)*(1-$J$12)*$D$12*$E$12/4*MIN(1,MAX(0,(AC$5-$H$12+1)/$T$12))*IF(AC$5=$H$12,DelivFactor,IF(AND(AC$5&gt;$H$12,AC$5&lt;$H$12+$F$12),1,IF(AC$5=$H$12+$F$12,1-DelivFactor,0)))</f>
        <v>96.6272222222222</v>
      </c>
      <c r="AD35" s="123" t="n">
        <f aca="false">(1-$I$12)*(1-$J$12)*$D$12*$E$12/4*MIN(1,MAX(0,(AD$5-$H$12+1)/$T$12))*IF(AD$5=$H$12,DelivFactor,IF(AND(AD$5&gt;$H$12,AD$5&lt;$H$12+$F$12),1,IF(AD$5=$H$12+$F$12,1-DelivFactor,0)))</f>
        <v>96.6272222222222</v>
      </c>
      <c r="AE35" s="123" t="n">
        <f aca="false">(1-$I$12)*(1-$J$12)*$D$12*$E$12/4*MIN(1,MAX(0,(AE$5-$H$12+1)/$T$12))*IF(AE$5=$H$12,DelivFactor,IF(AND(AE$5&gt;$H$12,AE$5&lt;$H$12+$F$12),1,IF(AE$5=$H$12+$F$12,1-DelivFactor,0)))</f>
        <v>96.6272222222222</v>
      </c>
      <c r="AF35" s="123" t="n">
        <f aca="false">(1-$I$12)*(1-$J$12)*$D$12*$E$12/4*MIN(1,MAX(0,(AF$5-$H$12+1)/$T$12))*IF(AF$5=$H$12,DelivFactor,IF(AND(AF$5&gt;$H$12,AF$5&lt;$H$12+$F$12),1,IF(AF$5=$H$12+$F$12,1-DelivFactor,0)))</f>
        <v>96.6272222222222</v>
      </c>
      <c r="AG35" s="123" t="n">
        <f aca="false">(1-$I$12)*(1-$J$12)*$D$12*$E$12/4*MIN(1,MAX(0,(AG$5-$H$12+1)/$T$12))*IF(AG$5=$H$12,DelivFactor,IF(AND(AG$5&gt;$H$12,AG$5&lt;$H$12+$F$12),1,IF(AG$5=$H$12+$F$12,1-DelivFactor,0)))</f>
        <v>48.3136111111111</v>
      </c>
      <c r="AI35" s="123" t="n">
        <f aca="false">SUMIF($F$7:$AG$7,AI$7,$F35:$AG35)</f>
        <v>0</v>
      </c>
      <c r="AJ35" s="123" t="n">
        <f aca="false">SUMIF($F$7:$AG$7,AJ$7,$F35:$AG35)</f>
        <v>12.0784027777778</v>
      </c>
      <c r="AK35" s="123" t="n">
        <f aca="false">SUMIF($F$7:$AG$7,AK$7,$F35:$AG35)</f>
        <v>314.038472222222</v>
      </c>
      <c r="AL35" s="123" t="n">
        <f aca="false">SUMIF($F$7:$AG$7,AL$7,$F35:$AG35)</f>
        <v>386.508888888889</v>
      </c>
      <c r="AM35" s="123" t="n">
        <f aca="false">SUMIF($F$7:$AG$7,AM$7,$F35:$AG35)</f>
        <v>386.508888888889</v>
      </c>
      <c r="AN35" s="123" t="n">
        <f aca="false">SUMIF($F$7:$AG$7,AN$7,$F35:$AG35)</f>
        <v>386.508888888889</v>
      </c>
      <c r="AO35" s="123" t="n">
        <f aca="false">SUMIF($F$7:$AG$7,AO$7,$F35:$AG35)</f>
        <v>338.195277777778</v>
      </c>
    </row>
    <row r="36" customFormat="false" ht="15" hidden="false" customHeight="false" outlineLevel="0" collapsed="false">
      <c r="A36" s="104" t="s">
        <v>1634</v>
      </c>
      <c r="B36" s="20" t="s">
        <v>575</v>
      </c>
      <c r="C36" s="20"/>
      <c r="D36" s="20"/>
      <c r="F36" s="113" t="n">
        <f aca="false">(1-$I$12)*(1-$J$12)*$D$12*AND(F$5&gt;=$H$12,F$5&lt;$H$12+$F$12)</f>
        <v>0</v>
      </c>
      <c r="G36" s="113" t="n">
        <f aca="false">(1-$I$12)*(1-$J$12)*$D$12*AND(G$5&gt;=$H$12,G$5&lt;$H$12+$F$12)</f>
        <v>0</v>
      </c>
      <c r="H36" s="113" t="n">
        <f aca="false">(1-$I$12)*(1-$J$12)*$D$12*AND(H$5&gt;=$H$12,H$5&lt;$H$12+$F$12)</f>
        <v>0</v>
      </c>
      <c r="I36" s="113" t="n">
        <f aca="false">(1-$I$12)*(1-$J$12)*$D$12*AND(I$5&gt;=$H$12,I$5&lt;$H$12+$F$12)</f>
        <v>0</v>
      </c>
      <c r="J36" s="113" t="n">
        <f aca="false">(1-$I$12)*(1-$J$12)*$D$12*AND(J$5&gt;=$H$12,J$5&lt;$H$12+$F$12)</f>
        <v>0</v>
      </c>
      <c r="K36" s="113" t="n">
        <f aca="false">(1-$I$12)*(1-$J$12)*$D$12*AND(K$5&gt;=$H$12,K$5&lt;$H$12+$F$12)</f>
        <v>0</v>
      </c>
      <c r="L36" s="113" t="n">
        <f aca="false">(1-$I$12)*(1-$J$12)*$D$12*AND(L$5&gt;=$H$12,L$5&lt;$H$12+$F$12)</f>
        <v>0</v>
      </c>
      <c r="M36" s="113" t="n">
        <f aca="false">(1-$I$12)*(1-$J$12)*$D$12*AND(M$5&gt;=$H$12,M$5&lt;$H$12+$F$12)</f>
        <v>26.6666666666667</v>
      </c>
      <c r="N36" s="113" t="n">
        <f aca="false">(1-$I$12)*(1-$J$12)*$D$12*AND(N$5&gt;=$H$12,N$5&lt;$H$12+$F$12)</f>
        <v>26.6666666666667</v>
      </c>
      <c r="O36" s="113" t="n">
        <f aca="false">(1-$I$12)*(1-$J$12)*$D$12*AND(O$5&gt;=$H$12,O$5&lt;$H$12+$F$12)</f>
        <v>26.6666666666667</v>
      </c>
      <c r="P36" s="31" t="n">
        <f aca="false">(1-$I$12)*(1-$J$12)*$D$12*AND(P$5&gt;=$H$12,P$5&lt;$H$12+$F$12)</f>
        <v>26.6666666666667</v>
      </c>
      <c r="Q36" s="31" t="n">
        <f aca="false">(1-$I$12)*(1-$J$12)*$D$12*AND(Q$5&gt;=$H$12,Q$5&lt;$H$12+$F$12)</f>
        <v>26.6666666666667</v>
      </c>
      <c r="R36" s="31" t="n">
        <f aca="false">(1-$I$12)*(1-$J$12)*$D$12*AND(R$5&gt;=$H$12,R$5&lt;$H$12+$F$12)</f>
        <v>26.6666666666667</v>
      </c>
      <c r="S36" s="31" t="n">
        <f aca="false">(1-$I$12)*(1-$J$12)*$D$12*AND(S$5&gt;=$H$12,S$5&lt;$H$12+$F$12)</f>
        <v>26.6666666666667</v>
      </c>
      <c r="T36" s="31" t="n">
        <f aca="false">(1-$I$12)*(1-$J$12)*$D$12*AND(T$5&gt;=$H$12,T$5&lt;$H$12+$F$12)</f>
        <v>26.6666666666667</v>
      </c>
      <c r="U36" s="31" t="n">
        <f aca="false">(1-$I$12)*(1-$J$12)*$D$12*AND(U$5&gt;=$H$12,U$5&lt;$H$12+$F$12)</f>
        <v>26.6666666666667</v>
      </c>
      <c r="V36" s="31" t="n">
        <f aca="false">(1-$I$12)*(1-$J$12)*$D$12*AND(V$5&gt;=$H$12,V$5&lt;$H$12+$F$12)</f>
        <v>26.6666666666667</v>
      </c>
      <c r="W36" s="31" t="n">
        <f aca="false">(1-$I$12)*(1-$J$12)*$D$12*AND(W$5&gt;=$H$12,W$5&lt;$H$12+$F$12)</f>
        <v>26.6666666666667</v>
      </c>
      <c r="X36" s="31" t="n">
        <f aca="false">(1-$I$12)*(1-$J$12)*$D$12*AND(X$5&gt;=$H$12,X$5&lt;$H$12+$F$12)</f>
        <v>26.6666666666667</v>
      </c>
      <c r="Y36" s="31" t="n">
        <f aca="false">(1-$I$12)*(1-$J$12)*$D$12*AND(Y$5&gt;=$H$12,Y$5&lt;$H$12+$F$12)</f>
        <v>26.6666666666667</v>
      </c>
      <c r="Z36" s="31" t="n">
        <f aca="false">(1-$I$12)*(1-$J$12)*$D$12*AND(Z$5&gt;=$H$12,Z$5&lt;$H$12+$F$12)</f>
        <v>26.6666666666667</v>
      </c>
      <c r="AA36" s="31" t="n">
        <f aca="false">(1-$I$12)*(1-$J$12)*$D$12*AND(AA$5&gt;=$H$12,AA$5&lt;$H$12+$F$12)</f>
        <v>26.6666666666667</v>
      </c>
      <c r="AB36" s="31" t="n">
        <f aca="false">(1-$I$12)*(1-$J$12)*$D$12*AND(AB$5&gt;=$H$12,AB$5&lt;$H$12+$F$12)</f>
        <v>26.6666666666667</v>
      </c>
      <c r="AC36" s="31" t="n">
        <f aca="false">(1-$I$12)*(1-$J$12)*$D$12*AND(AC$5&gt;=$H$12,AC$5&lt;$H$12+$F$12)</f>
        <v>26.6666666666667</v>
      </c>
      <c r="AD36" s="31" t="n">
        <f aca="false">(1-$I$12)*(1-$J$12)*$D$12*AND(AD$5&gt;=$H$12,AD$5&lt;$H$12+$F$12)</f>
        <v>26.6666666666667</v>
      </c>
      <c r="AE36" s="31" t="n">
        <f aca="false">(1-$I$12)*(1-$J$12)*$D$12*AND(AE$5&gt;=$H$12,AE$5&lt;$H$12+$F$12)</f>
        <v>26.6666666666667</v>
      </c>
      <c r="AF36" s="31" t="n">
        <f aca="false">(1-$I$12)*(1-$J$12)*$D$12*AND(AF$5&gt;=$H$12,AF$5&lt;$H$12+$F$12)</f>
        <v>26.6666666666667</v>
      </c>
      <c r="AG36" s="31" t="n">
        <f aca="false">(1-$I$12)*(1-$J$12)*$D$12*AND(AG$5&gt;=$H$12,AG$5&lt;$H$12+$F$12)</f>
        <v>0</v>
      </c>
      <c r="AI36" s="31" t="n">
        <f aca="false">INDEX($F36:$AG36,1,MATCH(AI$7,$F$7:$AG$7,1))</f>
        <v>0</v>
      </c>
      <c r="AJ36" s="31" t="n">
        <f aca="false">INDEX($F36:$AG36,1,MATCH(AJ$7,$F$7:$AG$7,1))</f>
        <v>26.6666666666667</v>
      </c>
      <c r="AK36" s="31" t="n">
        <f aca="false">INDEX($F36:$AG36,1,MATCH(AK$7,$F$7:$AG$7,1))</f>
        <v>26.6666666666667</v>
      </c>
      <c r="AL36" s="31" t="n">
        <f aca="false">INDEX($F36:$AG36,1,MATCH(AL$7,$F$7:$AG$7,1))</f>
        <v>26.6666666666667</v>
      </c>
      <c r="AM36" s="31" t="n">
        <f aca="false">INDEX($F36:$AG36,1,MATCH(AM$7,$F$7:$AG$7,1))</f>
        <v>26.6666666666667</v>
      </c>
      <c r="AN36" s="31" t="n">
        <f aca="false">INDEX($F36:$AG36,1,MATCH(AN$7,$F$7:$AG$7,1))</f>
        <v>26.6666666666667</v>
      </c>
      <c r="AO36" s="31" t="n">
        <f aca="false">INDEX($F36:$AG36,1,MATCH(AO$7,$F$7:$AG$7,1))</f>
        <v>0</v>
      </c>
    </row>
    <row r="37" customFormat="false" ht="15" hidden="false" customHeight="false" outlineLevel="0" collapsed="false">
      <c r="A37" s="104" t="s">
        <v>1635</v>
      </c>
      <c r="B37" s="20" t="s">
        <v>561</v>
      </c>
      <c r="C37" s="20"/>
      <c r="D37" s="20"/>
      <c r="F37" s="122" t="n">
        <f aca="false">-(1-$I$12)*LD_Pct*$D$12*$E$12/4*AND(F$5&gt;=$G$12,F$5&lt;$H$12)</f>
        <v>-0</v>
      </c>
      <c r="G37" s="122" t="n">
        <f aca="false">-(1-$I$12)*LD_Pct*$D$12*$E$12/4*AND(G$5&gt;=$G$12,G$5&lt;$H$12)</f>
        <v>-0</v>
      </c>
      <c r="H37" s="122" t="n">
        <f aca="false">-(1-$I$12)*LD_Pct*$D$12*$E$12/4*AND(H$5&gt;=$G$12,H$5&lt;$H$12)</f>
        <v>-0</v>
      </c>
      <c r="I37" s="122" t="n">
        <f aca="false">-(1-$I$12)*LD_Pct*$D$12*$E$12/4*AND(I$5&gt;=$G$12,I$5&lt;$H$12)</f>
        <v>-0</v>
      </c>
      <c r="J37" s="122" t="n">
        <f aca="false">-(1-$I$12)*LD_Pct*$D$12*$E$12/4*AND(J$5&gt;=$G$12,J$5&lt;$H$12)</f>
        <v>-0</v>
      </c>
      <c r="K37" s="122" t="n">
        <f aca="false">-(1-$I$12)*LD_Pct*$D$12*$E$12/4*AND(K$5&gt;=$G$12,K$5&lt;$H$12)</f>
        <v>-0</v>
      </c>
      <c r="L37" s="122" t="n">
        <f aca="false">-(1-$I$12)*LD_Pct*$D$12*$E$12/4*AND(L$5&gt;=$G$12,L$5&lt;$H$12)</f>
        <v>-0</v>
      </c>
      <c r="M37" s="122" t="n">
        <f aca="false">-(1-$I$12)*LD_Pct*$D$12*$E$12/4*AND(M$5&gt;=$G$12,M$5&lt;$H$12)</f>
        <v>-0</v>
      </c>
      <c r="N37" s="122" t="n">
        <f aca="false">-(1-$I$12)*LD_Pct*$D$12*$E$12/4*AND(N$5&gt;=$G$12,N$5&lt;$H$12)</f>
        <v>-0</v>
      </c>
      <c r="O37" s="122" t="n">
        <f aca="false">-(1-$I$12)*LD_Pct*$D$12*$E$12/4*AND(O$5&gt;=$G$12,O$5&lt;$H$12)</f>
        <v>-0</v>
      </c>
      <c r="P37" s="123" t="n">
        <f aca="false">-(1-$I$12)*LD_Pct*$D$12*$E$12/4*AND(P$5&gt;=$G$12,P$5&lt;$H$12)</f>
        <v>-0</v>
      </c>
      <c r="Q37" s="123" t="n">
        <f aca="false">-(1-$I$12)*LD_Pct*$D$12*$E$12/4*AND(Q$5&gt;=$G$12,Q$5&lt;$H$12)</f>
        <v>-0</v>
      </c>
      <c r="R37" s="123" t="n">
        <f aca="false">-(1-$I$12)*LD_Pct*$D$12*$E$12/4*AND(R$5&gt;=$G$12,R$5&lt;$H$12)</f>
        <v>-0</v>
      </c>
      <c r="S37" s="123" t="n">
        <f aca="false">-(1-$I$12)*LD_Pct*$D$12*$E$12/4*AND(S$5&gt;=$G$12,S$5&lt;$H$12)</f>
        <v>-0</v>
      </c>
      <c r="T37" s="123" t="n">
        <f aca="false">-(1-$I$12)*LD_Pct*$D$12*$E$12/4*AND(T$5&gt;=$G$12,T$5&lt;$H$12)</f>
        <v>-0</v>
      </c>
      <c r="U37" s="123" t="n">
        <f aca="false">-(1-$I$12)*LD_Pct*$D$12*$E$12/4*AND(U$5&gt;=$G$12,U$5&lt;$H$12)</f>
        <v>-0</v>
      </c>
      <c r="V37" s="123" t="n">
        <f aca="false">-(1-$I$12)*LD_Pct*$D$12*$E$12/4*AND(V$5&gt;=$G$12,V$5&lt;$H$12)</f>
        <v>-0</v>
      </c>
      <c r="W37" s="123" t="n">
        <f aca="false">-(1-$I$12)*LD_Pct*$D$12*$E$12/4*AND(W$5&gt;=$G$12,W$5&lt;$H$12)</f>
        <v>-0</v>
      </c>
      <c r="X37" s="123" t="n">
        <f aca="false">-(1-$I$12)*LD_Pct*$D$12*$E$12/4*AND(X$5&gt;=$G$12,X$5&lt;$H$12)</f>
        <v>-0</v>
      </c>
      <c r="Y37" s="123" t="n">
        <f aca="false">-(1-$I$12)*LD_Pct*$D$12*$E$12/4*AND(Y$5&gt;=$G$12,Y$5&lt;$H$12)</f>
        <v>-0</v>
      </c>
      <c r="Z37" s="123" t="n">
        <f aca="false">-(1-$I$12)*LD_Pct*$D$12*$E$12/4*AND(Z$5&gt;=$G$12,Z$5&lt;$H$12)</f>
        <v>-0</v>
      </c>
      <c r="AA37" s="123" t="n">
        <f aca="false">-(1-$I$12)*LD_Pct*$D$12*$E$12/4*AND(AA$5&gt;=$G$12,AA$5&lt;$H$12)</f>
        <v>-0</v>
      </c>
      <c r="AB37" s="123" t="n">
        <f aca="false">-(1-$I$12)*LD_Pct*$D$12*$E$12/4*AND(AB$5&gt;=$G$12,AB$5&lt;$H$12)</f>
        <v>-0</v>
      </c>
      <c r="AC37" s="123" t="n">
        <f aca="false">-(1-$I$12)*LD_Pct*$D$12*$E$12/4*AND(AC$5&gt;=$G$12,AC$5&lt;$H$12)</f>
        <v>-0</v>
      </c>
      <c r="AD37" s="123" t="n">
        <f aca="false">-(1-$I$12)*LD_Pct*$D$12*$E$12/4*AND(AD$5&gt;=$G$12,AD$5&lt;$H$12)</f>
        <v>-0</v>
      </c>
      <c r="AE37" s="123" t="n">
        <f aca="false">-(1-$I$12)*LD_Pct*$D$12*$E$12/4*AND(AE$5&gt;=$G$12,AE$5&lt;$H$12)</f>
        <v>-0</v>
      </c>
      <c r="AF37" s="123" t="n">
        <f aca="false">-(1-$I$12)*LD_Pct*$D$12*$E$12/4*AND(AF$5&gt;=$G$12,AF$5&lt;$H$12)</f>
        <v>-0</v>
      </c>
      <c r="AG37" s="123" t="n">
        <f aca="false">-(1-$I$12)*LD_Pct*$D$12*$E$12/4*AND(AG$5&gt;=$G$12,AG$5&lt;$H$12)</f>
        <v>-0</v>
      </c>
      <c r="AI37" s="123" t="n">
        <f aca="false">SUMIF($F$7:$AG$7,AI$7,$F37:$AG37)</f>
        <v>0</v>
      </c>
      <c r="AJ37" s="123" t="n">
        <f aca="false">SUMIF($F$7:$AG$7,AJ$7,$F37:$AG37)</f>
        <v>0</v>
      </c>
      <c r="AK37" s="123" t="n">
        <f aca="false">SUMIF($F$7:$AG$7,AK$7,$F37:$AG37)</f>
        <v>0</v>
      </c>
      <c r="AL37" s="123" t="n">
        <f aca="false">SUMIF($F$7:$AG$7,AL$7,$F37:$AG37)</f>
        <v>0</v>
      </c>
      <c r="AM37" s="123" t="n">
        <f aca="false">SUMIF($F$7:$AG$7,AM$7,$F37:$AG37)</f>
        <v>0</v>
      </c>
      <c r="AN37" s="123" t="n">
        <f aca="false">SUMIF($F$7:$AG$7,AN$7,$F37:$AG37)</f>
        <v>0</v>
      </c>
      <c r="AO37" s="123" t="n">
        <f aca="false">SUMIF($F$7:$AG$7,AO$7,$F37:$AG37)</f>
        <v>0</v>
      </c>
    </row>
    <row r="38" customFormat="false" ht="15" hidden="false" customHeight="false" outlineLevel="0" collapsed="false">
      <c r="A38" s="104" t="s">
        <v>1636</v>
      </c>
      <c r="B38" s="20" t="s">
        <v>575</v>
      </c>
      <c r="C38" s="20"/>
      <c r="D38" s="20"/>
      <c r="F38" s="113" t="n">
        <f aca="false">(1-$I$12)*(1-$J$12)*$D$12*(F$5&gt;=$H$12+$F$12)</f>
        <v>0</v>
      </c>
      <c r="G38" s="113" t="n">
        <f aca="false">(1-$I$12)*(1-$J$12)*$D$12*(G$5&gt;=$H$12+$F$12)</f>
        <v>0</v>
      </c>
      <c r="H38" s="113" t="n">
        <f aca="false">(1-$I$12)*(1-$J$12)*$D$12*(H$5&gt;=$H$12+$F$12)</f>
        <v>0</v>
      </c>
      <c r="I38" s="113" t="n">
        <f aca="false">(1-$I$12)*(1-$J$12)*$D$12*(I$5&gt;=$H$12+$F$12)</f>
        <v>0</v>
      </c>
      <c r="J38" s="113" t="n">
        <f aca="false">(1-$I$12)*(1-$J$12)*$D$12*(J$5&gt;=$H$12+$F$12)</f>
        <v>0</v>
      </c>
      <c r="K38" s="113" t="n">
        <f aca="false">(1-$I$12)*(1-$J$12)*$D$12*(K$5&gt;=$H$12+$F$12)</f>
        <v>0</v>
      </c>
      <c r="L38" s="113" t="n">
        <f aca="false">(1-$I$12)*(1-$J$12)*$D$12*(L$5&gt;=$H$12+$F$12)</f>
        <v>0</v>
      </c>
      <c r="M38" s="113" t="n">
        <f aca="false">(1-$I$12)*(1-$J$12)*$D$12*(M$5&gt;=$H$12+$F$12)</f>
        <v>0</v>
      </c>
      <c r="N38" s="113" t="n">
        <f aca="false">(1-$I$12)*(1-$J$12)*$D$12*(N$5&gt;=$H$12+$F$12)</f>
        <v>0</v>
      </c>
      <c r="O38" s="113" t="n">
        <f aca="false">(1-$I$12)*(1-$J$12)*$D$12*(O$5&gt;=$H$12+$F$12)</f>
        <v>0</v>
      </c>
      <c r="P38" s="31" t="n">
        <f aca="false">(1-$I$12)*(1-$J$12)*$D$12*(P$5&gt;=$H$12+$F$12)</f>
        <v>0</v>
      </c>
      <c r="Q38" s="31" t="n">
        <f aca="false">(1-$I$12)*(1-$J$12)*$D$12*(Q$5&gt;=$H$12+$F$12)</f>
        <v>0</v>
      </c>
      <c r="R38" s="31" t="n">
        <f aca="false">(1-$I$12)*(1-$J$12)*$D$12*(R$5&gt;=$H$12+$F$12)</f>
        <v>0</v>
      </c>
      <c r="S38" s="31" t="n">
        <f aca="false">(1-$I$12)*(1-$J$12)*$D$12*(S$5&gt;=$H$12+$F$12)</f>
        <v>0</v>
      </c>
      <c r="T38" s="31" t="n">
        <f aca="false">(1-$I$12)*(1-$J$12)*$D$12*(T$5&gt;=$H$12+$F$12)</f>
        <v>0</v>
      </c>
      <c r="U38" s="31" t="n">
        <f aca="false">(1-$I$12)*(1-$J$12)*$D$12*(U$5&gt;=$H$12+$F$12)</f>
        <v>0</v>
      </c>
      <c r="V38" s="31" t="n">
        <f aca="false">(1-$I$12)*(1-$J$12)*$D$12*(V$5&gt;=$H$12+$F$12)</f>
        <v>0</v>
      </c>
      <c r="W38" s="31" t="n">
        <f aca="false">(1-$I$12)*(1-$J$12)*$D$12*(W$5&gt;=$H$12+$F$12)</f>
        <v>0</v>
      </c>
      <c r="X38" s="31" t="n">
        <f aca="false">(1-$I$12)*(1-$J$12)*$D$12*(X$5&gt;=$H$12+$F$12)</f>
        <v>0</v>
      </c>
      <c r="Y38" s="31" t="n">
        <f aca="false">(1-$I$12)*(1-$J$12)*$D$12*(Y$5&gt;=$H$12+$F$12)</f>
        <v>0</v>
      </c>
      <c r="Z38" s="31" t="n">
        <f aca="false">(1-$I$12)*(1-$J$12)*$D$12*(Z$5&gt;=$H$12+$F$12)</f>
        <v>0</v>
      </c>
      <c r="AA38" s="31" t="n">
        <f aca="false">(1-$I$12)*(1-$J$12)*$D$12*(AA$5&gt;=$H$12+$F$12)</f>
        <v>0</v>
      </c>
      <c r="AB38" s="31" t="n">
        <f aca="false">(1-$I$12)*(1-$J$12)*$D$12*(AB$5&gt;=$H$12+$F$12)</f>
        <v>0</v>
      </c>
      <c r="AC38" s="31" t="n">
        <f aca="false">(1-$I$12)*(1-$J$12)*$D$12*(AC$5&gt;=$H$12+$F$12)</f>
        <v>0</v>
      </c>
      <c r="AD38" s="31" t="n">
        <f aca="false">(1-$I$12)*(1-$J$12)*$D$12*(AD$5&gt;=$H$12+$F$12)</f>
        <v>0</v>
      </c>
      <c r="AE38" s="31" t="n">
        <f aca="false">(1-$I$12)*(1-$J$12)*$D$12*(AE$5&gt;=$H$12+$F$12)</f>
        <v>0</v>
      </c>
      <c r="AF38" s="31" t="n">
        <f aca="false">(1-$I$12)*(1-$J$12)*$D$12*(AF$5&gt;=$H$12+$F$12)</f>
        <v>0</v>
      </c>
      <c r="AG38" s="31" t="n">
        <f aca="false">(1-$I$12)*(1-$J$12)*$D$12*(AG$5&gt;=$H$12+$F$12)</f>
        <v>26.6666666666667</v>
      </c>
      <c r="AI38" s="31" t="n">
        <f aca="false">INDEX($F38:$AG38,1,MATCH(AI$7,$F$7:$AG$7,1))</f>
        <v>0</v>
      </c>
      <c r="AJ38" s="31" t="n">
        <f aca="false">INDEX($F38:$AG38,1,MATCH(AJ$7,$F$7:$AG$7,1))</f>
        <v>0</v>
      </c>
      <c r="AK38" s="31" t="n">
        <f aca="false">INDEX($F38:$AG38,1,MATCH(AK$7,$F$7:$AG$7,1))</f>
        <v>0</v>
      </c>
      <c r="AL38" s="31" t="n">
        <f aca="false">INDEX($F38:$AG38,1,MATCH(AL$7,$F$7:$AG$7,1))</f>
        <v>0</v>
      </c>
      <c r="AM38" s="31" t="n">
        <f aca="false">INDEX($F38:$AG38,1,MATCH(AM$7,$F$7:$AG$7,1))</f>
        <v>0</v>
      </c>
      <c r="AN38" s="31" t="n">
        <f aca="false">INDEX($F38:$AG38,1,MATCH(AN$7,$F$7:$AG$7,1))</f>
        <v>0</v>
      </c>
      <c r="AO38" s="31" t="n">
        <f aca="false">INDEX($F38:$AG38,1,MATCH(AO$7,$F$7:$AG$7,1))</f>
        <v>26.6666666666667</v>
      </c>
    </row>
    <row r="39" customFormat="false" ht="15" hidden="false" customHeight="false" outlineLevel="0" collapsed="false">
      <c r="A39" s="104" t="s">
        <v>1637</v>
      </c>
      <c r="B39" s="20" t="s">
        <v>561</v>
      </c>
      <c r="C39" s="20"/>
      <c r="D39" s="20" t="s">
        <v>1638</v>
      </c>
      <c r="F39" s="122" t="n">
        <f aca="false">F38*CHOOSE(MATCH($C$12,{"H";"B";"N"},0),GPUMW_H*ODc_H,GPUMW_B*ODc_B,GPUMW_N*ODc_N)*ResidUtil*Timeline!F$9*INDEX(Curve,1,MAX(1,MIN(8,INT((F$5-$H$12)/4)+1)))/1000000</f>
        <v>0</v>
      </c>
      <c r="G39" s="122" t="n">
        <f aca="false">G38*CHOOSE(MATCH($C$12,{"H";"B";"N"},0),GPUMW_H*ODc_H,GPUMW_B*ODc_B,GPUMW_N*ODc_N)*ResidUtil*Timeline!G$9*INDEX(Curve,1,MAX(1,MIN(8,INT((G$5-$H$12)/4)+1)))/1000000</f>
        <v>0</v>
      </c>
      <c r="H39" s="122" t="n">
        <f aca="false">H38*CHOOSE(MATCH($C$12,{"H";"B";"N"},0),GPUMW_H*ODc_H,GPUMW_B*ODc_B,GPUMW_N*ODc_N)*ResidUtil*Timeline!H$9*INDEX(Curve,1,MAX(1,MIN(8,INT((H$5-$H$12)/4)+1)))/1000000</f>
        <v>0</v>
      </c>
      <c r="I39" s="122" t="n">
        <f aca="false">I38*CHOOSE(MATCH($C$12,{"H";"B";"N"},0),GPUMW_H*ODc_H,GPUMW_B*ODc_B,GPUMW_N*ODc_N)*ResidUtil*Timeline!I$9*INDEX(Curve,1,MAX(1,MIN(8,INT((I$5-$H$12)/4)+1)))/1000000</f>
        <v>0</v>
      </c>
      <c r="J39" s="122" t="n">
        <f aca="false">J38*CHOOSE(MATCH($C$12,{"H";"B";"N"},0),GPUMW_H*ODc_H,GPUMW_B*ODc_B,GPUMW_N*ODc_N)*ResidUtil*Timeline!J$9*INDEX(Curve,1,MAX(1,MIN(8,INT((J$5-$H$12)/4)+1)))/1000000</f>
        <v>0</v>
      </c>
      <c r="K39" s="122" t="n">
        <f aca="false">K38*CHOOSE(MATCH($C$12,{"H";"B";"N"},0),GPUMW_H*ODc_H,GPUMW_B*ODc_B,GPUMW_N*ODc_N)*ResidUtil*Timeline!K$9*INDEX(Curve,1,MAX(1,MIN(8,INT((K$5-$H$12)/4)+1)))/1000000</f>
        <v>0</v>
      </c>
      <c r="L39" s="122" t="n">
        <f aca="false">L38*CHOOSE(MATCH($C$12,{"H";"B";"N"},0),GPUMW_H*ODc_H,GPUMW_B*ODc_B,GPUMW_N*ODc_N)*ResidUtil*Timeline!L$9*INDEX(Curve,1,MAX(1,MIN(8,INT((L$5-$H$12)/4)+1)))/1000000</f>
        <v>0</v>
      </c>
      <c r="M39" s="122" t="n">
        <f aca="false">M38*CHOOSE(MATCH($C$12,{"H";"B";"N"},0),GPUMW_H*ODc_H,GPUMW_B*ODc_B,GPUMW_N*ODc_N)*ResidUtil*Timeline!M$9*INDEX(Curve,1,MAX(1,MIN(8,INT((M$5-$H$12)/4)+1)))/1000000</f>
        <v>0</v>
      </c>
      <c r="N39" s="122" t="n">
        <f aca="false">N38*CHOOSE(MATCH($C$12,{"H";"B";"N"},0),GPUMW_H*ODc_H,GPUMW_B*ODc_B,GPUMW_N*ODc_N)*ResidUtil*Timeline!N$9*INDEX(Curve,1,MAX(1,MIN(8,INT((N$5-$H$12)/4)+1)))/1000000</f>
        <v>0</v>
      </c>
      <c r="O39" s="122" t="n">
        <f aca="false">O38*CHOOSE(MATCH($C$12,{"H";"B";"N"},0),GPUMW_H*ODc_H,GPUMW_B*ODc_B,GPUMW_N*ODc_N)*ResidUtil*Timeline!O$9*INDEX(Curve,1,MAX(1,MIN(8,INT((O$5-$H$12)/4)+1)))/1000000</f>
        <v>0</v>
      </c>
      <c r="P39" s="123" t="n">
        <f aca="false">P38*CHOOSE(MATCH($C$12,{"H";"B";"N"},0),GPUMW_H*ODc_H,GPUMW_B*ODc_B,GPUMW_N*ODc_N)*ResidUtil*Timeline!P$9*INDEX(Curve,1,MAX(1,MIN(8,INT((P$5-$H$12)/4)+1)))/1000000</f>
        <v>0</v>
      </c>
      <c r="Q39" s="123" t="n">
        <f aca="false">Q38*CHOOSE(MATCH($C$12,{"H";"B";"N"},0),GPUMW_H*ODc_H,GPUMW_B*ODc_B,GPUMW_N*ODc_N)*ResidUtil*Timeline!Q$9*INDEX(Curve,1,MAX(1,MIN(8,INT((Q$5-$H$12)/4)+1)))/1000000</f>
        <v>0</v>
      </c>
      <c r="R39" s="123" t="n">
        <f aca="false">R38*CHOOSE(MATCH($C$12,{"H";"B";"N"},0),GPUMW_H*ODc_H,GPUMW_B*ODc_B,GPUMW_N*ODc_N)*ResidUtil*Timeline!R$9*INDEX(Curve,1,MAX(1,MIN(8,INT((R$5-$H$12)/4)+1)))/1000000</f>
        <v>0</v>
      </c>
      <c r="S39" s="123" t="n">
        <f aca="false">S38*CHOOSE(MATCH($C$12,{"H";"B";"N"},0),GPUMW_H*ODc_H,GPUMW_B*ODc_B,GPUMW_N*ODc_N)*ResidUtil*Timeline!S$9*INDEX(Curve,1,MAX(1,MIN(8,INT((S$5-$H$12)/4)+1)))/1000000</f>
        <v>0</v>
      </c>
      <c r="T39" s="123" t="n">
        <f aca="false">T38*CHOOSE(MATCH($C$12,{"H";"B";"N"},0),GPUMW_H*ODc_H,GPUMW_B*ODc_B,GPUMW_N*ODc_N)*ResidUtil*Timeline!T$9*INDEX(Curve,1,MAX(1,MIN(8,INT((T$5-$H$12)/4)+1)))/1000000</f>
        <v>0</v>
      </c>
      <c r="U39" s="123" t="n">
        <f aca="false">U38*CHOOSE(MATCH($C$12,{"H";"B";"N"},0),GPUMW_H*ODc_H,GPUMW_B*ODc_B,GPUMW_N*ODc_N)*ResidUtil*Timeline!U$9*INDEX(Curve,1,MAX(1,MIN(8,INT((U$5-$H$12)/4)+1)))/1000000</f>
        <v>0</v>
      </c>
      <c r="V39" s="123" t="n">
        <f aca="false">V38*CHOOSE(MATCH($C$12,{"H";"B";"N"},0),GPUMW_H*ODc_H,GPUMW_B*ODc_B,GPUMW_N*ODc_N)*ResidUtil*Timeline!V$9*INDEX(Curve,1,MAX(1,MIN(8,INT((V$5-$H$12)/4)+1)))/1000000</f>
        <v>0</v>
      </c>
      <c r="W39" s="123" t="n">
        <f aca="false">W38*CHOOSE(MATCH($C$12,{"H";"B";"N"},0),GPUMW_H*ODc_H,GPUMW_B*ODc_B,GPUMW_N*ODc_N)*ResidUtil*Timeline!W$9*INDEX(Curve,1,MAX(1,MIN(8,INT((W$5-$H$12)/4)+1)))/1000000</f>
        <v>0</v>
      </c>
      <c r="X39" s="123" t="n">
        <f aca="false">X38*CHOOSE(MATCH($C$12,{"H";"B";"N"},0),GPUMW_H*ODc_H,GPUMW_B*ODc_B,GPUMW_N*ODc_N)*ResidUtil*Timeline!X$9*INDEX(Curve,1,MAX(1,MIN(8,INT((X$5-$H$12)/4)+1)))/1000000</f>
        <v>0</v>
      </c>
      <c r="Y39" s="123" t="n">
        <f aca="false">Y38*CHOOSE(MATCH($C$12,{"H";"B";"N"},0),GPUMW_H*ODc_H,GPUMW_B*ODc_B,GPUMW_N*ODc_N)*ResidUtil*Timeline!Y$9*INDEX(Curve,1,MAX(1,MIN(8,INT((Y$5-$H$12)/4)+1)))/1000000</f>
        <v>0</v>
      </c>
      <c r="Z39" s="123" t="n">
        <f aca="false">Z38*CHOOSE(MATCH($C$12,{"H";"B";"N"},0),GPUMW_H*ODc_H,GPUMW_B*ODc_B,GPUMW_N*ODc_N)*ResidUtil*Timeline!Z$9*INDEX(Curve,1,MAX(1,MIN(8,INT((Z$5-$H$12)/4)+1)))/1000000</f>
        <v>0</v>
      </c>
      <c r="AA39" s="123" t="n">
        <f aca="false">AA38*CHOOSE(MATCH($C$12,{"H";"B";"N"},0),GPUMW_H*ODc_H,GPUMW_B*ODc_B,GPUMW_N*ODc_N)*ResidUtil*Timeline!AA$9*INDEX(Curve,1,MAX(1,MIN(8,INT((AA$5-$H$12)/4)+1)))/1000000</f>
        <v>0</v>
      </c>
      <c r="AB39" s="123" t="n">
        <f aca="false">AB38*CHOOSE(MATCH($C$12,{"H";"B";"N"},0),GPUMW_H*ODc_H,GPUMW_B*ODc_B,GPUMW_N*ODc_N)*ResidUtil*Timeline!AB$9*INDEX(Curve,1,MAX(1,MIN(8,INT((AB$5-$H$12)/4)+1)))/1000000</f>
        <v>0</v>
      </c>
      <c r="AC39" s="123" t="n">
        <f aca="false">AC38*CHOOSE(MATCH($C$12,{"H";"B";"N"},0),GPUMW_H*ODc_H,GPUMW_B*ODc_B,GPUMW_N*ODc_N)*ResidUtil*Timeline!AC$9*INDEX(Curve,1,MAX(1,MIN(8,INT((AC$5-$H$12)/4)+1)))/1000000</f>
        <v>0</v>
      </c>
      <c r="AD39" s="123" t="n">
        <f aca="false">AD38*CHOOSE(MATCH($C$12,{"H";"B";"N"},0),GPUMW_H*ODc_H,GPUMW_B*ODc_B,GPUMW_N*ODc_N)*ResidUtil*Timeline!AD$9*INDEX(Curve,1,MAX(1,MIN(8,INT((AD$5-$H$12)/4)+1)))/1000000</f>
        <v>0</v>
      </c>
      <c r="AE39" s="123" t="n">
        <f aca="false">AE38*CHOOSE(MATCH($C$12,{"H";"B";"N"},0),GPUMW_H*ODc_H,GPUMW_B*ODc_B,GPUMW_N*ODc_N)*ResidUtil*Timeline!AE$9*INDEX(Curve,1,MAX(1,MIN(8,INT((AE$5-$H$12)/4)+1)))/1000000</f>
        <v>0</v>
      </c>
      <c r="AF39" s="123" t="n">
        <f aca="false">AF38*CHOOSE(MATCH($C$12,{"H";"B";"N"},0),GPUMW_H*ODc_H,GPUMW_B*ODc_B,GPUMW_N*ODc_N)*ResidUtil*Timeline!AF$9*INDEX(Curve,1,MAX(1,MIN(8,INT((AF$5-$H$12)/4)+1)))/1000000</f>
        <v>0</v>
      </c>
      <c r="AG39" s="123" t="n">
        <f aca="false">AG38*CHOOSE(MATCH($C$12,{"H";"B";"N"},0),GPUMW_H*ODc_H,GPUMW_B*ODc_B,GPUMW_N*ODc_N)*ResidUtil*Timeline!AG$9*INDEX(Curve,1,MAX(1,MIN(8,INT((AG$5-$H$12)/4)+1)))/1000000</f>
        <v>108.352816</v>
      </c>
      <c r="AI39" s="123" t="n">
        <f aca="false">SUMIF($F$7:$AG$7,AI$7,$F39:$AG39)</f>
        <v>0</v>
      </c>
      <c r="AJ39" s="123" t="n">
        <f aca="false">SUMIF($F$7:$AG$7,AJ$7,$F39:$AG39)</f>
        <v>0</v>
      </c>
      <c r="AK39" s="123" t="n">
        <f aca="false">SUMIF($F$7:$AG$7,AK$7,$F39:$AG39)</f>
        <v>0</v>
      </c>
      <c r="AL39" s="123" t="n">
        <f aca="false">SUMIF($F$7:$AG$7,AL$7,$F39:$AG39)</f>
        <v>0</v>
      </c>
      <c r="AM39" s="123" t="n">
        <f aca="false">SUMIF($F$7:$AG$7,AM$7,$F39:$AG39)</f>
        <v>0</v>
      </c>
      <c r="AN39" s="123" t="n">
        <f aca="false">SUMIF($F$7:$AG$7,AN$7,$F39:$AG39)</f>
        <v>0</v>
      </c>
      <c r="AO39" s="123" t="n">
        <f aca="false">SUMIF($F$7:$AG$7,AO$7,$F39:$AG39)</f>
        <v>108.352816</v>
      </c>
    </row>
    <row r="40" customFormat="false" ht="15" hidden="false" customHeight="false" outlineLevel="0" collapsed="false">
      <c r="A40" s="104" t="s">
        <v>1639</v>
      </c>
      <c r="B40" s="20" t="s">
        <v>561</v>
      </c>
      <c r="C40" s="20"/>
      <c r="D40" s="20"/>
      <c r="F40" s="122" t="n">
        <f aca="false">(1-$I$13)*(1-$J$13)*$D$13*$E$13/4*MIN(1,MAX(0,(F$5-$H$13+1)/$T$13))*IF(F$5=$H$13,DelivFactor,IF(AND(F$5&gt;$H$13,F$5&lt;$H$13+$F$13),1,IF(F$5=$H$13+$F$13,1-DelivFactor,0)))</f>
        <v>0</v>
      </c>
      <c r="G40" s="122" t="n">
        <f aca="false">(1-$I$13)*(1-$J$13)*$D$13*$E$13/4*MIN(1,MAX(0,(G$5-$H$13+1)/$T$13))*IF(G$5=$H$13,DelivFactor,IF(AND(G$5&gt;$H$13,G$5&lt;$H$13+$F$13),1,IF(G$5=$H$13+$F$13,1-DelivFactor,0)))</f>
        <v>0</v>
      </c>
      <c r="H40" s="122" t="n">
        <f aca="false">(1-$I$13)*(1-$J$13)*$D$13*$E$13/4*MIN(1,MAX(0,(H$5-$H$13+1)/$T$13))*IF(H$5=$H$13,DelivFactor,IF(AND(H$5&gt;$H$13,H$5&lt;$H$13+$F$13),1,IF(H$5=$H$13+$F$13,1-DelivFactor,0)))</f>
        <v>0</v>
      </c>
      <c r="I40" s="122" t="n">
        <f aca="false">(1-$I$13)*(1-$J$13)*$D$13*$E$13/4*MIN(1,MAX(0,(I$5-$H$13+1)/$T$13))*IF(I$5=$H$13,DelivFactor,IF(AND(I$5&gt;$H$13,I$5&lt;$H$13+$F$13),1,IF(I$5=$H$13+$F$13,1-DelivFactor,0)))</f>
        <v>0</v>
      </c>
      <c r="J40" s="122" t="n">
        <f aca="false">(1-$I$13)*(1-$J$13)*$D$13*$E$13/4*MIN(1,MAX(0,(J$5-$H$13+1)/$T$13))*IF(J$5=$H$13,DelivFactor,IF(AND(J$5&gt;$H$13,J$5&lt;$H$13+$F$13),1,IF(J$5=$H$13+$F$13,1-DelivFactor,0)))</f>
        <v>0</v>
      </c>
      <c r="K40" s="122" t="n">
        <f aca="false">(1-$I$13)*(1-$J$13)*$D$13*$E$13/4*MIN(1,MAX(0,(K$5-$H$13+1)/$T$13))*IF(K$5=$H$13,DelivFactor,IF(AND(K$5&gt;$H$13,K$5&lt;$H$13+$F$13),1,IF(K$5=$H$13+$F$13,1-DelivFactor,0)))</f>
        <v>0</v>
      </c>
      <c r="L40" s="122" t="n">
        <f aca="false">(1-$I$13)*(1-$J$13)*$D$13*$E$13/4*MIN(1,MAX(0,(L$5-$H$13+1)/$T$13))*IF(L$5=$H$13,DelivFactor,IF(AND(L$5&gt;$H$13,L$5&lt;$H$13+$F$13),1,IF(L$5=$H$13+$F$13,1-DelivFactor,0)))</f>
        <v>0</v>
      </c>
      <c r="M40" s="122" t="n">
        <f aca="false">(1-$I$13)*(1-$J$13)*$D$13*$E$13/4*MIN(1,MAX(0,(M$5-$H$13+1)/$T$13))*IF(M$5=$H$13,DelivFactor,IF(AND(M$5&gt;$H$13,M$5&lt;$H$13+$F$13),1,IF(M$5=$H$13+$F$13,1-DelivFactor,0)))</f>
        <v>0</v>
      </c>
      <c r="N40" s="122" t="n">
        <f aca="false">(1-$I$13)*(1-$J$13)*$D$13*$E$13/4*MIN(1,MAX(0,(N$5-$H$13+1)/$T$13))*IF(N$5=$H$13,DelivFactor,IF(AND(N$5&gt;$H$13,N$5&lt;$H$13+$F$13),1,IF(N$5=$H$13+$F$13,1-DelivFactor,0)))</f>
        <v>12.0784027777778</v>
      </c>
      <c r="O40" s="122" t="n">
        <f aca="false">(1-$I$13)*(1-$J$13)*$D$13*$E$13/4*MIN(1,MAX(0,(O$5-$H$13+1)/$T$13))*IF(O$5=$H$13,DelivFactor,IF(AND(O$5&gt;$H$13,O$5&lt;$H$13+$F$13),1,IF(O$5=$H$13+$F$13,1-DelivFactor,0)))</f>
        <v>48.3136111111111</v>
      </c>
      <c r="P40" s="123" t="n">
        <f aca="false">(1-$I$13)*(1-$J$13)*$D$13*$E$13/4*MIN(1,MAX(0,(P$5-$H$13+1)/$T$13))*IF(P$5=$H$13,DelivFactor,IF(AND(P$5&gt;$H$13,P$5&lt;$H$13+$F$13),1,IF(P$5=$H$13+$F$13,1-DelivFactor,0)))</f>
        <v>72.4704166666667</v>
      </c>
      <c r="Q40" s="123" t="n">
        <f aca="false">(1-$I$13)*(1-$J$13)*$D$13*$E$13/4*MIN(1,MAX(0,(Q$5-$H$13+1)/$T$13))*IF(Q$5=$H$13,DelivFactor,IF(AND(Q$5&gt;$H$13,Q$5&lt;$H$13+$F$13),1,IF(Q$5=$H$13+$F$13,1-DelivFactor,0)))</f>
        <v>96.6272222222222</v>
      </c>
      <c r="R40" s="123" t="n">
        <f aca="false">(1-$I$13)*(1-$J$13)*$D$13*$E$13/4*MIN(1,MAX(0,(R$5-$H$13+1)/$T$13))*IF(R$5=$H$13,DelivFactor,IF(AND(R$5&gt;$H$13,R$5&lt;$H$13+$F$13),1,IF(R$5=$H$13+$F$13,1-DelivFactor,0)))</f>
        <v>96.6272222222222</v>
      </c>
      <c r="S40" s="123" t="n">
        <f aca="false">(1-$I$13)*(1-$J$13)*$D$13*$E$13/4*MIN(1,MAX(0,(S$5-$H$13+1)/$T$13))*IF(S$5=$H$13,DelivFactor,IF(AND(S$5&gt;$H$13,S$5&lt;$H$13+$F$13),1,IF(S$5=$H$13+$F$13,1-DelivFactor,0)))</f>
        <v>96.6272222222222</v>
      </c>
      <c r="T40" s="123" t="n">
        <f aca="false">(1-$I$13)*(1-$J$13)*$D$13*$E$13/4*MIN(1,MAX(0,(T$5-$H$13+1)/$T$13))*IF(T$5=$H$13,DelivFactor,IF(AND(T$5&gt;$H$13,T$5&lt;$H$13+$F$13),1,IF(T$5=$H$13+$F$13,1-DelivFactor,0)))</f>
        <v>96.6272222222222</v>
      </c>
      <c r="U40" s="123" t="n">
        <f aca="false">(1-$I$13)*(1-$J$13)*$D$13*$E$13/4*MIN(1,MAX(0,(U$5-$H$13+1)/$T$13))*IF(U$5=$H$13,DelivFactor,IF(AND(U$5&gt;$H$13,U$5&lt;$H$13+$F$13),1,IF(U$5=$H$13+$F$13,1-DelivFactor,0)))</f>
        <v>96.6272222222222</v>
      </c>
      <c r="V40" s="123" t="n">
        <f aca="false">(1-$I$13)*(1-$J$13)*$D$13*$E$13/4*MIN(1,MAX(0,(V$5-$H$13+1)/$T$13))*IF(V$5=$H$13,DelivFactor,IF(AND(V$5&gt;$H$13,V$5&lt;$H$13+$F$13),1,IF(V$5=$H$13+$F$13,1-DelivFactor,0)))</f>
        <v>96.6272222222222</v>
      </c>
      <c r="W40" s="123" t="n">
        <f aca="false">(1-$I$13)*(1-$J$13)*$D$13*$E$13/4*MIN(1,MAX(0,(W$5-$H$13+1)/$T$13))*IF(W$5=$H$13,DelivFactor,IF(AND(W$5&gt;$H$13,W$5&lt;$H$13+$F$13),1,IF(W$5=$H$13+$F$13,1-DelivFactor,0)))</f>
        <v>96.6272222222222</v>
      </c>
      <c r="X40" s="123" t="n">
        <f aca="false">(1-$I$13)*(1-$J$13)*$D$13*$E$13/4*MIN(1,MAX(0,(X$5-$H$13+1)/$T$13))*IF(X$5=$H$13,DelivFactor,IF(AND(X$5&gt;$H$13,X$5&lt;$H$13+$F$13),1,IF(X$5=$H$13+$F$13,1-DelivFactor,0)))</f>
        <v>96.6272222222222</v>
      </c>
      <c r="Y40" s="123" t="n">
        <f aca="false">(1-$I$13)*(1-$J$13)*$D$13*$E$13/4*MIN(1,MAX(0,(Y$5-$H$13+1)/$T$13))*IF(Y$5=$H$13,DelivFactor,IF(AND(Y$5&gt;$H$13,Y$5&lt;$H$13+$F$13),1,IF(Y$5=$H$13+$F$13,1-DelivFactor,0)))</f>
        <v>96.6272222222222</v>
      </c>
      <c r="Z40" s="123" t="n">
        <f aca="false">(1-$I$13)*(1-$J$13)*$D$13*$E$13/4*MIN(1,MAX(0,(Z$5-$H$13+1)/$T$13))*IF(Z$5=$H$13,DelivFactor,IF(AND(Z$5&gt;$H$13,Z$5&lt;$H$13+$F$13),1,IF(Z$5=$H$13+$F$13,1-DelivFactor,0)))</f>
        <v>96.6272222222222</v>
      </c>
      <c r="AA40" s="123" t="n">
        <f aca="false">(1-$I$13)*(1-$J$13)*$D$13*$E$13/4*MIN(1,MAX(0,(AA$5-$H$13+1)/$T$13))*IF(AA$5=$H$13,DelivFactor,IF(AND(AA$5&gt;$H$13,AA$5&lt;$H$13+$F$13),1,IF(AA$5=$H$13+$F$13,1-DelivFactor,0)))</f>
        <v>96.6272222222222</v>
      </c>
      <c r="AB40" s="123" t="n">
        <f aca="false">(1-$I$13)*(1-$J$13)*$D$13*$E$13/4*MIN(1,MAX(0,(AB$5-$H$13+1)/$T$13))*IF(AB$5=$H$13,DelivFactor,IF(AND(AB$5&gt;$H$13,AB$5&lt;$H$13+$F$13),1,IF(AB$5=$H$13+$F$13,1-DelivFactor,0)))</f>
        <v>96.6272222222222</v>
      </c>
      <c r="AC40" s="123" t="n">
        <f aca="false">(1-$I$13)*(1-$J$13)*$D$13*$E$13/4*MIN(1,MAX(0,(AC$5-$H$13+1)/$T$13))*IF(AC$5=$H$13,DelivFactor,IF(AND(AC$5&gt;$H$13,AC$5&lt;$H$13+$F$13),1,IF(AC$5=$H$13+$F$13,1-DelivFactor,0)))</f>
        <v>96.6272222222222</v>
      </c>
      <c r="AD40" s="123" t="n">
        <f aca="false">(1-$I$13)*(1-$J$13)*$D$13*$E$13/4*MIN(1,MAX(0,(AD$5-$H$13+1)/$T$13))*IF(AD$5=$H$13,DelivFactor,IF(AND(AD$5&gt;$H$13,AD$5&lt;$H$13+$F$13),1,IF(AD$5=$H$13+$F$13,1-DelivFactor,0)))</f>
        <v>96.6272222222222</v>
      </c>
      <c r="AE40" s="123" t="n">
        <f aca="false">(1-$I$13)*(1-$J$13)*$D$13*$E$13/4*MIN(1,MAX(0,(AE$5-$H$13+1)/$T$13))*IF(AE$5=$H$13,DelivFactor,IF(AND(AE$5&gt;$H$13,AE$5&lt;$H$13+$F$13),1,IF(AE$5=$H$13+$F$13,1-DelivFactor,0)))</f>
        <v>96.6272222222222</v>
      </c>
      <c r="AF40" s="123" t="n">
        <f aca="false">(1-$I$13)*(1-$J$13)*$D$13*$E$13/4*MIN(1,MAX(0,(AF$5-$H$13+1)/$T$13))*IF(AF$5=$H$13,DelivFactor,IF(AND(AF$5&gt;$H$13,AF$5&lt;$H$13+$F$13),1,IF(AF$5=$H$13+$F$13,1-DelivFactor,0)))</f>
        <v>96.6272222222222</v>
      </c>
      <c r="AG40" s="123" t="n">
        <f aca="false">(1-$I$13)*(1-$J$13)*$D$13*$E$13/4*MIN(1,MAX(0,(AG$5-$H$13+1)/$T$13))*IF(AG$5=$H$13,DelivFactor,IF(AND(AG$5&gt;$H$13,AG$5&lt;$H$13+$F$13),1,IF(AG$5=$H$13+$F$13,1-DelivFactor,0)))</f>
        <v>96.6272222222222</v>
      </c>
      <c r="AI40" s="123" t="n">
        <f aca="false">SUMIF($F$7:$AG$7,AI$7,$F40:$AG40)</f>
        <v>0</v>
      </c>
      <c r="AJ40" s="123" t="n">
        <f aca="false">SUMIF($F$7:$AG$7,AJ$7,$F40:$AG40)</f>
        <v>0</v>
      </c>
      <c r="AK40" s="123" t="n">
        <f aca="false">SUMIF($F$7:$AG$7,AK$7,$F40:$AG40)</f>
        <v>229.489652777778</v>
      </c>
      <c r="AL40" s="123" t="n">
        <f aca="false">SUMIF($F$7:$AG$7,AL$7,$F40:$AG40)</f>
        <v>386.508888888889</v>
      </c>
      <c r="AM40" s="123" t="n">
        <f aca="false">SUMIF($F$7:$AG$7,AM$7,$F40:$AG40)</f>
        <v>386.508888888889</v>
      </c>
      <c r="AN40" s="123" t="n">
        <f aca="false">SUMIF($F$7:$AG$7,AN$7,$F40:$AG40)</f>
        <v>386.508888888889</v>
      </c>
      <c r="AO40" s="123" t="n">
        <f aca="false">SUMIF($F$7:$AG$7,AO$7,$F40:$AG40)</f>
        <v>386.508888888889</v>
      </c>
    </row>
    <row r="41" customFormat="false" ht="15" hidden="false" customHeight="false" outlineLevel="0" collapsed="false">
      <c r="A41" s="104" t="s">
        <v>1640</v>
      </c>
      <c r="B41" s="20" t="s">
        <v>575</v>
      </c>
      <c r="C41" s="20"/>
      <c r="D41" s="20"/>
      <c r="F41" s="113" t="n">
        <f aca="false">(1-$I$13)*(1-$J$13)*$D$13*AND(F$5&gt;=$H$13,F$5&lt;$H$13+$F$13)</f>
        <v>0</v>
      </c>
      <c r="G41" s="113" t="n">
        <f aca="false">(1-$I$13)*(1-$J$13)*$D$13*AND(G$5&gt;=$H$13,G$5&lt;$H$13+$F$13)</f>
        <v>0</v>
      </c>
      <c r="H41" s="113" t="n">
        <f aca="false">(1-$I$13)*(1-$J$13)*$D$13*AND(H$5&gt;=$H$13,H$5&lt;$H$13+$F$13)</f>
        <v>0</v>
      </c>
      <c r="I41" s="113" t="n">
        <f aca="false">(1-$I$13)*(1-$J$13)*$D$13*AND(I$5&gt;=$H$13,I$5&lt;$H$13+$F$13)</f>
        <v>0</v>
      </c>
      <c r="J41" s="113" t="n">
        <f aca="false">(1-$I$13)*(1-$J$13)*$D$13*AND(J$5&gt;=$H$13,J$5&lt;$H$13+$F$13)</f>
        <v>0</v>
      </c>
      <c r="K41" s="113" t="n">
        <f aca="false">(1-$I$13)*(1-$J$13)*$D$13*AND(K$5&gt;=$H$13,K$5&lt;$H$13+$F$13)</f>
        <v>0</v>
      </c>
      <c r="L41" s="113" t="n">
        <f aca="false">(1-$I$13)*(1-$J$13)*$D$13*AND(L$5&gt;=$H$13,L$5&lt;$H$13+$F$13)</f>
        <v>0</v>
      </c>
      <c r="M41" s="113" t="n">
        <f aca="false">(1-$I$13)*(1-$J$13)*$D$13*AND(M$5&gt;=$H$13,M$5&lt;$H$13+$F$13)</f>
        <v>0</v>
      </c>
      <c r="N41" s="113" t="n">
        <f aca="false">(1-$I$13)*(1-$J$13)*$D$13*AND(N$5&gt;=$H$13,N$5&lt;$H$13+$F$13)</f>
        <v>26.6666666666667</v>
      </c>
      <c r="O41" s="113" t="n">
        <f aca="false">(1-$I$13)*(1-$J$13)*$D$13*AND(O$5&gt;=$H$13,O$5&lt;$H$13+$F$13)</f>
        <v>26.6666666666667</v>
      </c>
      <c r="P41" s="31" t="n">
        <f aca="false">(1-$I$13)*(1-$J$13)*$D$13*AND(P$5&gt;=$H$13,P$5&lt;$H$13+$F$13)</f>
        <v>26.6666666666667</v>
      </c>
      <c r="Q41" s="31" t="n">
        <f aca="false">(1-$I$13)*(1-$J$13)*$D$13*AND(Q$5&gt;=$H$13,Q$5&lt;$H$13+$F$13)</f>
        <v>26.6666666666667</v>
      </c>
      <c r="R41" s="31" t="n">
        <f aca="false">(1-$I$13)*(1-$J$13)*$D$13*AND(R$5&gt;=$H$13,R$5&lt;$H$13+$F$13)</f>
        <v>26.6666666666667</v>
      </c>
      <c r="S41" s="31" t="n">
        <f aca="false">(1-$I$13)*(1-$J$13)*$D$13*AND(S$5&gt;=$H$13,S$5&lt;$H$13+$F$13)</f>
        <v>26.6666666666667</v>
      </c>
      <c r="T41" s="31" t="n">
        <f aca="false">(1-$I$13)*(1-$J$13)*$D$13*AND(T$5&gt;=$H$13,T$5&lt;$H$13+$F$13)</f>
        <v>26.6666666666667</v>
      </c>
      <c r="U41" s="31" t="n">
        <f aca="false">(1-$I$13)*(1-$J$13)*$D$13*AND(U$5&gt;=$H$13,U$5&lt;$H$13+$F$13)</f>
        <v>26.6666666666667</v>
      </c>
      <c r="V41" s="31" t="n">
        <f aca="false">(1-$I$13)*(1-$J$13)*$D$13*AND(V$5&gt;=$H$13,V$5&lt;$H$13+$F$13)</f>
        <v>26.6666666666667</v>
      </c>
      <c r="W41" s="31" t="n">
        <f aca="false">(1-$I$13)*(1-$J$13)*$D$13*AND(W$5&gt;=$H$13,W$5&lt;$H$13+$F$13)</f>
        <v>26.6666666666667</v>
      </c>
      <c r="X41" s="31" t="n">
        <f aca="false">(1-$I$13)*(1-$J$13)*$D$13*AND(X$5&gt;=$H$13,X$5&lt;$H$13+$F$13)</f>
        <v>26.6666666666667</v>
      </c>
      <c r="Y41" s="31" t="n">
        <f aca="false">(1-$I$13)*(1-$J$13)*$D$13*AND(Y$5&gt;=$H$13,Y$5&lt;$H$13+$F$13)</f>
        <v>26.6666666666667</v>
      </c>
      <c r="Z41" s="31" t="n">
        <f aca="false">(1-$I$13)*(1-$J$13)*$D$13*AND(Z$5&gt;=$H$13,Z$5&lt;$H$13+$F$13)</f>
        <v>26.6666666666667</v>
      </c>
      <c r="AA41" s="31" t="n">
        <f aca="false">(1-$I$13)*(1-$J$13)*$D$13*AND(AA$5&gt;=$H$13,AA$5&lt;$H$13+$F$13)</f>
        <v>26.6666666666667</v>
      </c>
      <c r="AB41" s="31" t="n">
        <f aca="false">(1-$I$13)*(1-$J$13)*$D$13*AND(AB$5&gt;=$H$13,AB$5&lt;$H$13+$F$13)</f>
        <v>26.6666666666667</v>
      </c>
      <c r="AC41" s="31" t="n">
        <f aca="false">(1-$I$13)*(1-$J$13)*$D$13*AND(AC$5&gt;=$H$13,AC$5&lt;$H$13+$F$13)</f>
        <v>26.6666666666667</v>
      </c>
      <c r="AD41" s="31" t="n">
        <f aca="false">(1-$I$13)*(1-$J$13)*$D$13*AND(AD$5&gt;=$H$13,AD$5&lt;$H$13+$F$13)</f>
        <v>26.6666666666667</v>
      </c>
      <c r="AE41" s="31" t="n">
        <f aca="false">(1-$I$13)*(1-$J$13)*$D$13*AND(AE$5&gt;=$H$13,AE$5&lt;$H$13+$F$13)</f>
        <v>26.6666666666667</v>
      </c>
      <c r="AF41" s="31" t="n">
        <f aca="false">(1-$I$13)*(1-$J$13)*$D$13*AND(AF$5&gt;=$H$13,AF$5&lt;$H$13+$F$13)</f>
        <v>26.6666666666667</v>
      </c>
      <c r="AG41" s="31" t="n">
        <f aca="false">(1-$I$13)*(1-$J$13)*$D$13*AND(AG$5&gt;=$H$13,AG$5&lt;$H$13+$F$13)</f>
        <v>26.6666666666667</v>
      </c>
      <c r="AI41" s="31" t="n">
        <f aca="false">INDEX($F41:$AG41,1,MATCH(AI$7,$F$7:$AG$7,1))</f>
        <v>0</v>
      </c>
      <c r="AJ41" s="31" t="n">
        <f aca="false">INDEX($F41:$AG41,1,MATCH(AJ$7,$F$7:$AG$7,1))</f>
        <v>0</v>
      </c>
      <c r="AK41" s="31" t="n">
        <f aca="false">INDEX($F41:$AG41,1,MATCH(AK$7,$F$7:$AG$7,1))</f>
        <v>26.6666666666667</v>
      </c>
      <c r="AL41" s="31" t="n">
        <f aca="false">INDEX($F41:$AG41,1,MATCH(AL$7,$F$7:$AG$7,1))</f>
        <v>26.6666666666667</v>
      </c>
      <c r="AM41" s="31" t="n">
        <f aca="false">INDEX($F41:$AG41,1,MATCH(AM$7,$F$7:$AG$7,1))</f>
        <v>26.6666666666667</v>
      </c>
      <c r="AN41" s="31" t="n">
        <f aca="false">INDEX($F41:$AG41,1,MATCH(AN$7,$F$7:$AG$7,1))</f>
        <v>26.6666666666667</v>
      </c>
      <c r="AO41" s="31" t="n">
        <f aca="false">INDEX($F41:$AG41,1,MATCH(AO$7,$F$7:$AG$7,1))</f>
        <v>26.6666666666667</v>
      </c>
    </row>
    <row r="42" customFormat="false" ht="15" hidden="false" customHeight="false" outlineLevel="0" collapsed="false">
      <c r="A42" s="104" t="s">
        <v>1641</v>
      </c>
      <c r="B42" s="20" t="s">
        <v>561</v>
      </c>
      <c r="C42" s="20"/>
      <c r="D42" s="20"/>
      <c r="F42" s="122" t="n">
        <f aca="false">-(1-$I$13)*LD_Pct*$D$13*$E$13/4*AND(F$5&gt;=$G$13,F$5&lt;$H$13)</f>
        <v>-0</v>
      </c>
      <c r="G42" s="122" t="n">
        <f aca="false">-(1-$I$13)*LD_Pct*$D$13*$E$13/4*AND(G$5&gt;=$G$13,G$5&lt;$H$13)</f>
        <v>-0</v>
      </c>
      <c r="H42" s="122" t="n">
        <f aca="false">-(1-$I$13)*LD_Pct*$D$13*$E$13/4*AND(H$5&gt;=$G$13,H$5&lt;$H$13)</f>
        <v>-0</v>
      </c>
      <c r="I42" s="122" t="n">
        <f aca="false">-(1-$I$13)*LD_Pct*$D$13*$E$13/4*AND(I$5&gt;=$G$13,I$5&lt;$H$13)</f>
        <v>-0</v>
      </c>
      <c r="J42" s="122" t="n">
        <f aca="false">-(1-$I$13)*LD_Pct*$D$13*$E$13/4*AND(J$5&gt;=$G$13,J$5&lt;$H$13)</f>
        <v>-0</v>
      </c>
      <c r="K42" s="122" t="n">
        <f aca="false">-(1-$I$13)*LD_Pct*$D$13*$E$13/4*AND(K$5&gt;=$G$13,K$5&lt;$H$13)</f>
        <v>-0</v>
      </c>
      <c r="L42" s="122" t="n">
        <f aca="false">-(1-$I$13)*LD_Pct*$D$13*$E$13/4*AND(L$5&gt;=$G$13,L$5&lt;$H$13)</f>
        <v>-0</v>
      </c>
      <c r="M42" s="122" t="n">
        <f aca="false">-(1-$I$13)*LD_Pct*$D$13*$E$13/4*AND(M$5&gt;=$G$13,M$5&lt;$H$13)</f>
        <v>-0</v>
      </c>
      <c r="N42" s="122" t="n">
        <f aca="false">-(1-$I$13)*LD_Pct*$D$13*$E$13/4*AND(N$5&gt;=$G$13,N$5&lt;$H$13)</f>
        <v>-0</v>
      </c>
      <c r="O42" s="122" t="n">
        <f aca="false">-(1-$I$13)*LD_Pct*$D$13*$E$13/4*AND(O$5&gt;=$G$13,O$5&lt;$H$13)</f>
        <v>-0</v>
      </c>
      <c r="P42" s="123" t="n">
        <f aca="false">-(1-$I$13)*LD_Pct*$D$13*$E$13/4*AND(P$5&gt;=$G$13,P$5&lt;$H$13)</f>
        <v>-0</v>
      </c>
      <c r="Q42" s="123" t="n">
        <f aca="false">-(1-$I$13)*LD_Pct*$D$13*$E$13/4*AND(Q$5&gt;=$G$13,Q$5&lt;$H$13)</f>
        <v>-0</v>
      </c>
      <c r="R42" s="123" t="n">
        <f aca="false">-(1-$I$13)*LD_Pct*$D$13*$E$13/4*AND(R$5&gt;=$G$13,R$5&lt;$H$13)</f>
        <v>-0</v>
      </c>
      <c r="S42" s="123" t="n">
        <f aca="false">-(1-$I$13)*LD_Pct*$D$13*$E$13/4*AND(S$5&gt;=$G$13,S$5&lt;$H$13)</f>
        <v>-0</v>
      </c>
      <c r="T42" s="123" t="n">
        <f aca="false">-(1-$I$13)*LD_Pct*$D$13*$E$13/4*AND(T$5&gt;=$G$13,T$5&lt;$H$13)</f>
        <v>-0</v>
      </c>
      <c r="U42" s="123" t="n">
        <f aca="false">-(1-$I$13)*LD_Pct*$D$13*$E$13/4*AND(U$5&gt;=$G$13,U$5&lt;$H$13)</f>
        <v>-0</v>
      </c>
      <c r="V42" s="123" t="n">
        <f aca="false">-(1-$I$13)*LD_Pct*$D$13*$E$13/4*AND(V$5&gt;=$G$13,V$5&lt;$H$13)</f>
        <v>-0</v>
      </c>
      <c r="W42" s="123" t="n">
        <f aca="false">-(1-$I$13)*LD_Pct*$D$13*$E$13/4*AND(W$5&gt;=$G$13,W$5&lt;$H$13)</f>
        <v>-0</v>
      </c>
      <c r="X42" s="123" t="n">
        <f aca="false">-(1-$I$13)*LD_Pct*$D$13*$E$13/4*AND(X$5&gt;=$G$13,X$5&lt;$H$13)</f>
        <v>-0</v>
      </c>
      <c r="Y42" s="123" t="n">
        <f aca="false">-(1-$I$13)*LD_Pct*$D$13*$E$13/4*AND(Y$5&gt;=$G$13,Y$5&lt;$H$13)</f>
        <v>-0</v>
      </c>
      <c r="Z42" s="123" t="n">
        <f aca="false">-(1-$I$13)*LD_Pct*$D$13*$E$13/4*AND(Z$5&gt;=$G$13,Z$5&lt;$H$13)</f>
        <v>-0</v>
      </c>
      <c r="AA42" s="123" t="n">
        <f aca="false">-(1-$I$13)*LD_Pct*$D$13*$E$13/4*AND(AA$5&gt;=$G$13,AA$5&lt;$H$13)</f>
        <v>-0</v>
      </c>
      <c r="AB42" s="123" t="n">
        <f aca="false">-(1-$I$13)*LD_Pct*$D$13*$E$13/4*AND(AB$5&gt;=$G$13,AB$5&lt;$H$13)</f>
        <v>-0</v>
      </c>
      <c r="AC42" s="123" t="n">
        <f aca="false">-(1-$I$13)*LD_Pct*$D$13*$E$13/4*AND(AC$5&gt;=$G$13,AC$5&lt;$H$13)</f>
        <v>-0</v>
      </c>
      <c r="AD42" s="123" t="n">
        <f aca="false">-(1-$I$13)*LD_Pct*$D$13*$E$13/4*AND(AD$5&gt;=$G$13,AD$5&lt;$H$13)</f>
        <v>-0</v>
      </c>
      <c r="AE42" s="123" t="n">
        <f aca="false">-(1-$I$13)*LD_Pct*$D$13*$E$13/4*AND(AE$5&gt;=$G$13,AE$5&lt;$H$13)</f>
        <v>-0</v>
      </c>
      <c r="AF42" s="123" t="n">
        <f aca="false">-(1-$I$13)*LD_Pct*$D$13*$E$13/4*AND(AF$5&gt;=$G$13,AF$5&lt;$H$13)</f>
        <v>-0</v>
      </c>
      <c r="AG42" s="123" t="n">
        <f aca="false">-(1-$I$13)*LD_Pct*$D$13*$E$13/4*AND(AG$5&gt;=$G$13,AG$5&lt;$H$13)</f>
        <v>-0</v>
      </c>
      <c r="AI42" s="123" t="n">
        <f aca="false">SUMIF($F$7:$AG$7,AI$7,$F42:$AG42)</f>
        <v>0</v>
      </c>
      <c r="AJ42" s="123" t="n">
        <f aca="false">SUMIF($F$7:$AG$7,AJ$7,$F42:$AG42)</f>
        <v>0</v>
      </c>
      <c r="AK42" s="123" t="n">
        <f aca="false">SUMIF($F$7:$AG$7,AK$7,$F42:$AG42)</f>
        <v>0</v>
      </c>
      <c r="AL42" s="123" t="n">
        <f aca="false">SUMIF($F$7:$AG$7,AL$7,$F42:$AG42)</f>
        <v>0</v>
      </c>
      <c r="AM42" s="123" t="n">
        <f aca="false">SUMIF($F$7:$AG$7,AM$7,$F42:$AG42)</f>
        <v>0</v>
      </c>
      <c r="AN42" s="123" t="n">
        <f aca="false">SUMIF($F$7:$AG$7,AN$7,$F42:$AG42)</f>
        <v>0</v>
      </c>
      <c r="AO42" s="123" t="n">
        <f aca="false">SUMIF($F$7:$AG$7,AO$7,$F42:$AG42)</f>
        <v>0</v>
      </c>
    </row>
    <row r="43" customFormat="false" ht="15" hidden="false" customHeight="false" outlineLevel="0" collapsed="false">
      <c r="A43" s="104" t="s">
        <v>1642</v>
      </c>
      <c r="B43" s="20" t="s">
        <v>575</v>
      </c>
      <c r="C43" s="20"/>
      <c r="D43" s="20"/>
      <c r="F43" s="113" t="n">
        <f aca="false">(1-$I$13)*(1-$J$13)*$D$13*(F$5&gt;=$H$13+$F$13)</f>
        <v>0</v>
      </c>
      <c r="G43" s="113" t="n">
        <f aca="false">(1-$I$13)*(1-$J$13)*$D$13*(G$5&gt;=$H$13+$F$13)</f>
        <v>0</v>
      </c>
      <c r="H43" s="113" t="n">
        <f aca="false">(1-$I$13)*(1-$J$13)*$D$13*(H$5&gt;=$H$13+$F$13)</f>
        <v>0</v>
      </c>
      <c r="I43" s="113" t="n">
        <f aca="false">(1-$I$13)*(1-$J$13)*$D$13*(I$5&gt;=$H$13+$F$13)</f>
        <v>0</v>
      </c>
      <c r="J43" s="113" t="n">
        <f aca="false">(1-$I$13)*(1-$J$13)*$D$13*(J$5&gt;=$H$13+$F$13)</f>
        <v>0</v>
      </c>
      <c r="K43" s="113" t="n">
        <f aca="false">(1-$I$13)*(1-$J$13)*$D$13*(K$5&gt;=$H$13+$F$13)</f>
        <v>0</v>
      </c>
      <c r="L43" s="113" t="n">
        <f aca="false">(1-$I$13)*(1-$J$13)*$D$13*(L$5&gt;=$H$13+$F$13)</f>
        <v>0</v>
      </c>
      <c r="M43" s="113" t="n">
        <f aca="false">(1-$I$13)*(1-$J$13)*$D$13*(M$5&gt;=$H$13+$F$13)</f>
        <v>0</v>
      </c>
      <c r="N43" s="113" t="n">
        <f aca="false">(1-$I$13)*(1-$J$13)*$D$13*(N$5&gt;=$H$13+$F$13)</f>
        <v>0</v>
      </c>
      <c r="O43" s="113" t="n">
        <f aca="false">(1-$I$13)*(1-$J$13)*$D$13*(O$5&gt;=$H$13+$F$13)</f>
        <v>0</v>
      </c>
      <c r="P43" s="31" t="n">
        <f aca="false">(1-$I$13)*(1-$J$13)*$D$13*(P$5&gt;=$H$13+$F$13)</f>
        <v>0</v>
      </c>
      <c r="Q43" s="31" t="n">
        <f aca="false">(1-$I$13)*(1-$J$13)*$D$13*(Q$5&gt;=$H$13+$F$13)</f>
        <v>0</v>
      </c>
      <c r="R43" s="31" t="n">
        <f aca="false">(1-$I$13)*(1-$J$13)*$D$13*(R$5&gt;=$H$13+$F$13)</f>
        <v>0</v>
      </c>
      <c r="S43" s="31" t="n">
        <f aca="false">(1-$I$13)*(1-$J$13)*$D$13*(S$5&gt;=$H$13+$F$13)</f>
        <v>0</v>
      </c>
      <c r="T43" s="31" t="n">
        <f aca="false">(1-$I$13)*(1-$J$13)*$D$13*(T$5&gt;=$H$13+$F$13)</f>
        <v>0</v>
      </c>
      <c r="U43" s="31" t="n">
        <f aca="false">(1-$I$13)*(1-$J$13)*$D$13*(U$5&gt;=$H$13+$F$13)</f>
        <v>0</v>
      </c>
      <c r="V43" s="31" t="n">
        <f aca="false">(1-$I$13)*(1-$J$13)*$D$13*(V$5&gt;=$H$13+$F$13)</f>
        <v>0</v>
      </c>
      <c r="W43" s="31" t="n">
        <f aca="false">(1-$I$13)*(1-$J$13)*$D$13*(W$5&gt;=$H$13+$F$13)</f>
        <v>0</v>
      </c>
      <c r="X43" s="31" t="n">
        <f aca="false">(1-$I$13)*(1-$J$13)*$D$13*(X$5&gt;=$H$13+$F$13)</f>
        <v>0</v>
      </c>
      <c r="Y43" s="31" t="n">
        <f aca="false">(1-$I$13)*(1-$J$13)*$D$13*(Y$5&gt;=$H$13+$F$13)</f>
        <v>0</v>
      </c>
      <c r="Z43" s="31" t="n">
        <f aca="false">(1-$I$13)*(1-$J$13)*$D$13*(Z$5&gt;=$H$13+$F$13)</f>
        <v>0</v>
      </c>
      <c r="AA43" s="31" t="n">
        <f aca="false">(1-$I$13)*(1-$J$13)*$D$13*(AA$5&gt;=$H$13+$F$13)</f>
        <v>0</v>
      </c>
      <c r="AB43" s="31" t="n">
        <f aca="false">(1-$I$13)*(1-$J$13)*$D$13*(AB$5&gt;=$H$13+$F$13)</f>
        <v>0</v>
      </c>
      <c r="AC43" s="31" t="n">
        <f aca="false">(1-$I$13)*(1-$J$13)*$D$13*(AC$5&gt;=$H$13+$F$13)</f>
        <v>0</v>
      </c>
      <c r="AD43" s="31" t="n">
        <f aca="false">(1-$I$13)*(1-$J$13)*$D$13*(AD$5&gt;=$H$13+$F$13)</f>
        <v>0</v>
      </c>
      <c r="AE43" s="31" t="n">
        <f aca="false">(1-$I$13)*(1-$J$13)*$D$13*(AE$5&gt;=$H$13+$F$13)</f>
        <v>0</v>
      </c>
      <c r="AF43" s="31" t="n">
        <f aca="false">(1-$I$13)*(1-$J$13)*$D$13*(AF$5&gt;=$H$13+$F$13)</f>
        <v>0</v>
      </c>
      <c r="AG43" s="31" t="n">
        <f aca="false">(1-$I$13)*(1-$J$13)*$D$13*(AG$5&gt;=$H$13+$F$13)</f>
        <v>0</v>
      </c>
      <c r="AI43" s="31" t="n">
        <f aca="false">INDEX($F43:$AG43,1,MATCH(AI$7,$F$7:$AG$7,1))</f>
        <v>0</v>
      </c>
      <c r="AJ43" s="31" t="n">
        <f aca="false">INDEX($F43:$AG43,1,MATCH(AJ$7,$F$7:$AG$7,1))</f>
        <v>0</v>
      </c>
      <c r="AK43" s="31" t="n">
        <f aca="false">INDEX($F43:$AG43,1,MATCH(AK$7,$F$7:$AG$7,1))</f>
        <v>0</v>
      </c>
      <c r="AL43" s="31" t="n">
        <f aca="false">INDEX($F43:$AG43,1,MATCH(AL$7,$F$7:$AG$7,1))</f>
        <v>0</v>
      </c>
      <c r="AM43" s="31" t="n">
        <f aca="false">INDEX($F43:$AG43,1,MATCH(AM$7,$F$7:$AG$7,1))</f>
        <v>0</v>
      </c>
      <c r="AN43" s="31" t="n">
        <f aca="false">INDEX($F43:$AG43,1,MATCH(AN$7,$F$7:$AG$7,1))</f>
        <v>0</v>
      </c>
      <c r="AO43" s="31" t="n">
        <f aca="false">INDEX($F43:$AG43,1,MATCH(AO$7,$F$7:$AG$7,1))</f>
        <v>0</v>
      </c>
    </row>
    <row r="44" customFormat="false" ht="15" hidden="false" customHeight="false" outlineLevel="0" collapsed="false">
      <c r="A44" s="104" t="s">
        <v>1643</v>
      </c>
      <c r="B44" s="20" t="s">
        <v>561</v>
      </c>
      <c r="C44" s="20"/>
      <c r="D44" s="20" t="s">
        <v>1638</v>
      </c>
      <c r="F44" s="122" t="n">
        <f aca="false">F43*CHOOSE(MATCH($C$13,{"H";"B";"N"},0),GPUMW_H*ODc_H,GPUMW_B*ODc_B,GPUMW_N*ODc_N)*ResidUtil*Timeline!F$9*INDEX(Curve,1,MAX(1,MIN(8,INT((F$5-$H$13)/4)+1)))/1000000</f>
        <v>0</v>
      </c>
      <c r="G44" s="122" t="n">
        <f aca="false">G43*CHOOSE(MATCH($C$13,{"H";"B";"N"},0),GPUMW_H*ODc_H,GPUMW_B*ODc_B,GPUMW_N*ODc_N)*ResidUtil*Timeline!G$9*INDEX(Curve,1,MAX(1,MIN(8,INT((G$5-$H$13)/4)+1)))/1000000</f>
        <v>0</v>
      </c>
      <c r="H44" s="122" t="n">
        <f aca="false">H43*CHOOSE(MATCH($C$13,{"H";"B";"N"},0),GPUMW_H*ODc_H,GPUMW_B*ODc_B,GPUMW_N*ODc_N)*ResidUtil*Timeline!H$9*INDEX(Curve,1,MAX(1,MIN(8,INT((H$5-$H$13)/4)+1)))/1000000</f>
        <v>0</v>
      </c>
      <c r="I44" s="122" t="n">
        <f aca="false">I43*CHOOSE(MATCH($C$13,{"H";"B";"N"},0),GPUMW_H*ODc_H,GPUMW_B*ODc_B,GPUMW_N*ODc_N)*ResidUtil*Timeline!I$9*INDEX(Curve,1,MAX(1,MIN(8,INT((I$5-$H$13)/4)+1)))/1000000</f>
        <v>0</v>
      </c>
      <c r="J44" s="122" t="n">
        <f aca="false">J43*CHOOSE(MATCH($C$13,{"H";"B";"N"},0),GPUMW_H*ODc_H,GPUMW_B*ODc_B,GPUMW_N*ODc_N)*ResidUtil*Timeline!J$9*INDEX(Curve,1,MAX(1,MIN(8,INT((J$5-$H$13)/4)+1)))/1000000</f>
        <v>0</v>
      </c>
      <c r="K44" s="122" t="n">
        <f aca="false">K43*CHOOSE(MATCH($C$13,{"H";"B";"N"},0),GPUMW_H*ODc_H,GPUMW_B*ODc_B,GPUMW_N*ODc_N)*ResidUtil*Timeline!K$9*INDEX(Curve,1,MAX(1,MIN(8,INT((K$5-$H$13)/4)+1)))/1000000</f>
        <v>0</v>
      </c>
      <c r="L44" s="122" t="n">
        <f aca="false">L43*CHOOSE(MATCH($C$13,{"H";"B";"N"},0),GPUMW_H*ODc_H,GPUMW_B*ODc_B,GPUMW_N*ODc_N)*ResidUtil*Timeline!L$9*INDEX(Curve,1,MAX(1,MIN(8,INT((L$5-$H$13)/4)+1)))/1000000</f>
        <v>0</v>
      </c>
      <c r="M44" s="122" t="n">
        <f aca="false">M43*CHOOSE(MATCH($C$13,{"H";"B";"N"},0),GPUMW_H*ODc_H,GPUMW_B*ODc_B,GPUMW_N*ODc_N)*ResidUtil*Timeline!M$9*INDEX(Curve,1,MAX(1,MIN(8,INT((M$5-$H$13)/4)+1)))/1000000</f>
        <v>0</v>
      </c>
      <c r="N44" s="122" t="n">
        <f aca="false">N43*CHOOSE(MATCH($C$13,{"H";"B";"N"},0),GPUMW_H*ODc_H,GPUMW_B*ODc_B,GPUMW_N*ODc_N)*ResidUtil*Timeline!N$9*INDEX(Curve,1,MAX(1,MIN(8,INT((N$5-$H$13)/4)+1)))/1000000</f>
        <v>0</v>
      </c>
      <c r="O44" s="122" t="n">
        <f aca="false">O43*CHOOSE(MATCH($C$13,{"H";"B";"N"},0),GPUMW_H*ODc_H,GPUMW_B*ODc_B,GPUMW_N*ODc_N)*ResidUtil*Timeline!O$9*INDEX(Curve,1,MAX(1,MIN(8,INT((O$5-$H$13)/4)+1)))/1000000</f>
        <v>0</v>
      </c>
      <c r="P44" s="123" t="n">
        <f aca="false">P43*CHOOSE(MATCH($C$13,{"H";"B";"N"},0),GPUMW_H*ODc_H,GPUMW_B*ODc_B,GPUMW_N*ODc_N)*ResidUtil*Timeline!P$9*INDEX(Curve,1,MAX(1,MIN(8,INT((P$5-$H$13)/4)+1)))/1000000</f>
        <v>0</v>
      </c>
      <c r="Q44" s="123" t="n">
        <f aca="false">Q43*CHOOSE(MATCH($C$13,{"H";"B";"N"},0),GPUMW_H*ODc_H,GPUMW_B*ODc_B,GPUMW_N*ODc_N)*ResidUtil*Timeline!Q$9*INDEX(Curve,1,MAX(1,MIN(8,INT((Q$5-$H$13)/4)+1)))/1000000</f>
        <v>0</v>
      </c>
      <c r="R44" s="123" t="n">
        <f aca="false">R43*CHOOSE(MATCH($C$13,{"H";"B";"N"},0),GPUMW_H*ODc_H,GPUMW_B*ODc_B,GPUMW_N*ODc_N)*ResidUtil*Timeline!R$9*INDEX(Curve,1,MAX(1,MIN(8,INT((R$5-$H$13)/4)+1)))/1000000</f>
        <v>0</v>
      </c>
      <c r="S44" s="123" t="n">
        <f aca="false">S43*CHOOSE(MATCH($C$13,{"H";"B";"N"},0),GPUMW_H*ODc_H,GPUMW_B*ODc_B,GPUMW_N*ODc_N)*ResidUtil*Timeline!S$9*INDEX(Curve,1,MAX(1,MIN(8,INT((S$5-$H$13)/4)+1)))/1000000</f>
        <v>0</v>
      </c>
      <c r="T44" s="123" t="n">
        <f aca="false">T43*CHOOSE(MATCH($C$13,{"H";"B";"N"},0),GPUMW_H*ODc_H,GPUMW_B*ODc_B,GPUMW_N*ODc_N)*ResidUtil*Timeline!T$9*INDEX(Curve,1,MAX(1,MIN(8,INT((T$5-$H$13)/4)+1)))/1000000</f>
        <v>0</v>
      </c>
      <c r="U44" s="123" t="n">
        <f aca="false">U43*CHOOSE(MATCH($C$13,{"H";"B";"N"},0),GPUMW_H*ODc_H,GPUMW_B*ODc_B,GPUMW_N*ODc_N)*ResidUtil*Timeline!U$9*INDEX(Curve,1,MAX(1,MIN(8,INT((U$5-$H$13)/4)+1)))/1000000</f>
        <v>0</v>
      </c>
      <c r="V44" s="123" t="n">
        <f aca="false">V43*CHOOSE(MATCH($C$13,{"H";"B";"N"},0),GPUMW_H*ODc_H,GPUMW_B*ODc_B,GPUMW_N*ODc_N)*ResidUtil*Timeline!V$9*INDEX(Curve,1,MAX(1,MIN(8,INT((V$5-$H$13)/4)+1)))/1000000</f>
        <v>0</v>
      </c>
      <c r="W44" s="123" t="n">
        <f aca="false">W43*CHOOSE(MATCH($C$13,{"H";"B";"N"},0),GPUMW_H*ODc_H,GPUMW_B*ODc_B,GPUMW_N*ODc_N)*ResidUtil*Timeline!W$9*INDEX(Curve,1,MAX(1,MIN(8,INT((W$5-$H$13)/4)+1)))/1000000</f>
        <v>0</v>
      </c>
      <c r="X44" s="123" t="n">
        <f aca="false">X43*CHOOSE(MATCH($C$13,{"H";"B";"N"},0),GPUMW_H*ODc_H,GPUMW_B*ODc_B,GPUMW_N*ODc_N)*ResidUtil*Timeline!X$9*INDEX(Curve,1,MAX(1,MIN(8,INT((X$5-$H$13)/4)+1)))/1000000</f>
        <v>0</v>
      </c>
      <c r="Y44" s="123" t="n">
        <f aca="false">Y43*CHOOSE(MATCH($C$13,{"H";"B";"N"},0),GPUMW_H*ODc_H,GPUMW_B*ODc_B,GPUMW_N*ODc_N)*ResidUtil*Timeline!Y$9*INDEX(Curve,1,MAX(1,MIN(8,INT((Y$5-$H$13)/4)+1)))/1000000</f>
        <v>0</v>
      </c>
      <c r="Z44" s="123" t="n">
        <f aca="false">Z43*CHOOSE(MATCH($C$13,{"H";"B";"N"},0),GPUMW_H*ODc_H,GPUMW_B*ODc_B,GPUMW_N*ODc_N)*ResidUtil*Timeline!Z$9*INDEX(Curve,1,MAX(1,MIN(8,INT((Z$5-$H$13)/4)+1)))/1000000</f>
        <v>0</v>
      </c>
      <c r="AA44" s="123" t="n">
        <f aca="false">AA43*CHOOSE(MATCH($C$13,{"H";"B";"N"},0),GPUMW_H*ODc_H,GPUMW_B*ODc_B,GPUMW_N*ODc_N)*ResidUtil*Timeline!AA$9*INDEX(Curve,1,MAX(1,MIN(8,INT((AA$5-$H$13)/4)+1)))/1000000</f>
        <v>0</v>
      </c>
      <c r="AB44" s="123" t="n">
        <f aca="false">AB43*CHOOSE(MATCH($C$13,{"H";"B";"N"},0),GPUMW_H*ODc_H,GPUMW_B*ODc_B,GPUMW_N*ODc_N)*ResidUtil*Timeline!AB$9*INDEX(Curve,1,MAX(1,MIN(8,INT((AB$5-$H$13)/4)+1)))/1000000</f>
        <v>0</v>
      </c>
      <c r="AC44" s="123" t="n">
        <f aca="false">AC43*CHOOSE(MATCH($C$13,{"H";"B";"N"},0),GPUMW_H*ODc_H,GPUMW_B*ODc_B,GPUMW_N*ODc_N)*ResidUtil*Timeline!AC$9*INDEX(Curve,1,MAX(1,MIN(8,INT((AC$5-$H$13)/4)+1)))/1000000</f>
        <v>0</v>
      </c>
      <c r="AD44" s="123" t="n">
        <f aca="false">AD43*CHOOSE(MATCH($C$13,{"H";"B";"N"},0),GPUMW_H*ODc_H,GPUMW_B*ODc_B,GPUMW_N*ODc_N)*ResidUtil*Timeline!AD$9*INDEX(Curve,1,MAX(1,MIN(8,INT((AD$5-$H$13)/4)+1)))/1000000</f>
        <v>0</v>
      </c>
      <c r="AE44" s="123" t="n">
        <f aca="false">AE43*CHOOSE(MATCH($C$13,{"H";"B";"N"},0),GPUMW_H*ODc_H,GPUMW_B*ODc_B,GPUMW_N*ODc_N)*ResidUtil*Timeline!AE$9*INDEX(Curve,1,MAX(1,MIN(8,INT((AE$5-$H$13)/4)+1)))/1000000</f>
        <v>0</v>
      </c>
      <c r="AF44" s="123" t="n">
        <f aca="false">AF43*CHOOSE(MATCH($C$13,{"H";"B";"N"},0),GPUMW_H*ODc_H,GPUMW_B*ODc_B,GPUMW_N*ODc_N)*ResidUtil*Timeline!AF$9*INDEX(Curve,1,MAX(1,MIN(8,INT((AF$5-$H$13)/4)+1)))/1000000</f>
        <v>0</v>
      </c>
      <c r="AG44" s="123" t="n">
        <f aca="false">AG43*CHOOSE(MATCH($C$13,{"H";"B";"N"},0),GPUMW_H*ODc_H,GPUMW_B*ODc_B,GPUMW_N*ODc_N)*ResidUtil*Timeline!AG$9*INDEX(Curve,1,MAX(1,MIN(8,INT((AG$5-$H$13)/4)+1)))/1000000</f>
        <v>0</v>
      </c>
      <c r="AI44" s="123" t="n">
        <f aca="false">SUMIF($F$7:$AG$7,AI$7,$F44:$AG44)</f>
        <v>0</v>
      </c>
      <c r="AJ44" s="123" t="n">
        <f aca="false">SUMIF($F$7:$AG$7,AJ$7,$F44:$AG44)</f>
        <v>0</v>
      </c>
      <c r="AK44" s="123" t="n">
        <f aca="false">SUMIF($F$7:$AG$7,AK$7,$F44:$AG44)</f>
        <v>0</v>
      </c>
      <c r="AL44" s="123" t="n">
        <f aca="false">SUMIF($F$7:$AG$7,AL$7,$F44:$AG44)</f>
        <v>0</v>
      </c>
      <c r="AM44" s="123" t="n">
        <f aca="false">SUMIF($F$7:$AG$7,AM$7,$F44:$AG44)</f>
        <v>0</v>
      </c>
      <c r="AN44" s="123" t="n">
        <f aca="false">SUMIF($F$7:$AG$7,AN$7,$F44:$AG44)</f>
        <v>0</v>
      </c>
      <c r="AO44" s="123" t="n">
        <f aca="false">SUMIF($F$7:$AG$7,AO$7,$F44:$AG44)</f>
        <v>0</v>
      </c>
    </row>
    <row r="45" customFormat="false" ht="15" hidden="false" customHeight="false" outlineLevel="0" collapsed="false">
      <c r="A45" s="104" t="s">
        <v>1644</v>
      </c>
      <c r="B45" s="20" t="s">
        <v>561</v>
      </c>
      <c r="C45" s="20"/>
      <c r="D45" s="20"/>
      <c r="F45" s="122" t="n">
        <f aca="false">(1-$I$14)*(1-$J$14)*$D$14*$E$14/4*MIN(1,MAX(0,(F$5-$H$14+1)/$T$14))*IF(F$5=$H$14,DelivFactor,IF(AND(F$5&gt;$H$14,F$5&lt;$H$14+$F$14),1,IF(F$5=$H$14+$F$14,1-DelivFactor,0)))</f>
        <v>0</v>
      </c>
      <c r="G45" s="122" t="n">
        <f aca="false">(1-$I$14)*(1-$J$14)*$D$14*$E$14/4*MIN(1,MAX(0,(G$5-$H$14+1)/$T$14))*IF(G$5=$H$14,DelivFactor,IF(AND(G$5&gt;$H$14,G$5&lt;$H$14+$F$14),1,IF(G$5=$H$14+$F$14,1-DelivFactor,0)))</f>
        <v>0</v>
      </c>
      <c r="H45" s="122" t="n">
        <f aca="false">(1-$I$14)*(1-$J$14)*$D$14*$E$14/4*MIN(1,MAX(0,(H$5-$H$14+1)/$T$14))*IF(H$5=$H$14,DelivFactor,IF(AND(H$5&gt;$H$14,H$5&lt;$H$14+$F$14),1,IF(H$5=$H$14+$F$14,1-DelivFactor,0)))</f>
        <v>0</v>
      </c>
      <c r="I45" s="122" t="n">
        <f aca="false">(1-$I$14)*(1-$J$14)*$D$14*$E$14/4*MIN(1,MAX(0,(I$5-$H$14+1)/$T$14))*IF(I$5=$H$14,DelivFactor,IF(AND(I$5&gt;$H$14,I$5&lt;$H$14+$F$14),1,IF(I$5=$H$14+$F$14,1-DelivFactor,0)))</f>
        <v>0</v>
      </c>
      <c r="J45" s="122" t="n">
        <f aca="false">(1-$I$14)*(1-$J$14)*$D$14*$E$14/4*MIN(1,MAX(0,(J$5-$H$14+1)/$T$14))*IF(J$5=$H$14,DelivFactor,IF(AND(J$5&gt;$H$14,J$5&lt;$H$14+$F$14),1,IF(J$5=$H$14+$F$14,1-DelivFactor,0)))</f>
        <v>0</v>
      </c>
      <c r="K45" s="122" t="n">
        <f aca="false">(1-$I$14)*(1-$J$14)*$D$14*$E$14/4*MIN(1,MAX(0,(K$5-$H$14+1)/$T$14))*IF(K$5=$H$14,DelivFactor,IF(AND(K$5&gt;$H$14,K$5&lt;$H$14+$F$14),1,IF(K$5=$H$14+$F$14,1-DelivFactor,0)))</f>
        <v>0</v>
      </c>
      <c r="L45" s="122" t="n">
        <f aca="false">(1-$I$14)*(1-$J$14)*$D$14*$E$14/4*MIN(1,MAX(0,(L$5-$H$14+1)/$T$14))*IF(L$5=$H$14,DelivFactor,IF(AND(L$5&gt;$H$14,L$5&lt;$H$14+$F$14),1,IF(L$5=$H$14+$F$14,1-DelivFactor,0)))</f>
        <v>0</v>
      </c>
      <c r="M45" s="122" t="n">
        <f aca="false">(1-$I$14)*(1-$J$14)*$D$14*$E$14/4*MIN(1,MAX(0,(M$5-$H$14+1)/$T$14))*IF(M$5=$H$14,DelivFactor,IF(AND(M$5&gt;$H$14,M$5&lt;$H$14+$F$14),1,IF(M$5=$H$14+$F$14,1-DelivFactor,0)))</f>
        <v>0</v>
      </c>
      <c r="N45" s="122" t="n">
        <f aca="false">(1-$I$14)*(1-$J$14)*$D$14*$E$14/4*MIN(1,MAX(0,(N$5-$H$14+1)/$T$14))*IF(N$5=$H$14,DelivFactor,IF(AND(N$5&gt;$H$14,N$5&lt;$H$14+$F$14),1,IF(N$5=$H$14+$F$14,1-DelivFactor,0)))</f>
        <v>0</v>
      </c>
      <c r="O45" s="122" t="n">
        <f aca="false">(1-$I$14)*(1-$J$14)*$D$14*$E$14/4*MIN(1,MAX(0,(O$5-$H$14+1)/$T$14))*IF(O$5=$H$14,DelivFactor,IF(AND(O$5&gt;$H$14,O$5&lt;$H$14+$F$14),1,IF(O$5=$H$14+$F$14,1-DelivFactor,0)))</f>
        <v>0</v>
      </c>
      <c r="P45" s="123" t="n">
        <f aca="false">(1-$I$14)*(1-$J$14)*$D$14*$E$14/4*MIN(1,MAX(0,(P$5-$H$14+1)/$T$14))*IF(P$5=$H$14,DelivFactor,IF(AND(P$5&gt;$H$14,P$5&lt;$H$14+$F$14),1,IF(P$5=$H$14+$F$14,1-DelivFactor,0)))</f>
        <v>12.0784027777778</v>
      </c>
      <c r="Q45" s="123" t="n">
        <f aca="false">(1-$I$14)*(1-$J$14)*$D$14*$E$14/4*MIN(1,MAX(0,(Q$5-$H$14+1)/$T$14))*IF(Q$5=$H$14,DelivFactor,IF(AND(Q$5&gt;$H$14,Q$5&lt;$H$14+$F$14),1,IF(Q$5=$H$14+$F$14,1-DelivFactor,0)))</f>
        <v>48.3136111111111</v>
      </c>
      <c r="R45" s="123" t="n">
        <f aca="false">(1-$I$14)*(1-$J$14)*$D$14*$E$14/4*MIN(1,MAX(0,(R$5-$H$14+1)/$T$14))*IF(R$5=$H$14,DelivFactor,IF(AND(R$5&gt;$H$14,R$5&lt;$H$14+$F$14),1,IF(R$5=$H$14+$F$14,1-DelivFactor,0)))</f>
        <v>72.4704166666667</v>
      </c>
      <c r="S45" s="123" t="n">
        <f aca="false">(1-$I$14)*(1-$J$14)*$D$14*$E$14/4*MIN(1,MAX(0,(S$5-$H$14+1)/$T$14))*IF(S$5=$H$14,DelivFactor,IF(AND(S$5&gt;$H$14,S$5&lt;$H$14+$F$14),1,IF(S$5=$H$14+$F$14,1-DelivFactor,0)))</f>
        <v>96.6272222222222</v>
      </c>
      <c r="T45" s="123" t="n">
        <f aca="false">(1-$I$14)*(1-$J$14)*$D$14*$E$14/4*MIN(1,MAX(0,(T$5-$H$14+1)/$T$14))*IF(T$5=$H$14,DelivFactor,IF(AND(T$5&gt;$H$14,T$5&lt;$H$14+$F$14),1,IF(T$5=$H$14+$F$14,1-DelivFactor,0)))</f>
        <v>96.6272222222222</v>
      </c>
      <c r="U45" s="123" t="n">
        <f aca="false">(1-$I$14)*(1-$J$14)*$D$14*$E$14/4*MIN(1,MAX(0,(U$5-$H$14+1)/$T$14))*IF(U$5=$H$14,DelivFactor,IF(AND(U$5&gt;$H$14,U$5&lt;$H$14+$F$14),1,IF(U$5=$H$14+$F$14,1-DelivFactor,0)))</f>
        <v>96.6272222222222</v>
      </c>
      <c r="V45" s="123" t="n">
        <f aca="false">(1-$I$14)*(1-$J$14)*$D$14*$E$14/4*MIN(1,MAX(0,(V$5-$H$14+1)/$T$14))*IF(V$5=$H$14,DelivFactor,IF(AND(V$5&gt;$H$14,V$5&lt;$H$14+$F$14),1,IF(V$5=$H$14+$F$14,1-DelivFactor,0)))</f>
        <v>96.6272222222222</v>
      </c>
      <c r="W45" s="123" t="n">
        <f aca="false">(1-$I$14)*(1-$J$14)*$D$14*$E$14/4*MIN(1,MAX(0,(W$5-$H$14+1)/$T$14))*IF(W$5=$H$14,DelivFactor,IF(AND(W$5&gt;$H$14,W$5&lt;$H$14+$F$14),1,IF(W$5=$H$14+$F$14,1-DelivFactor,0)))</f>
        <v>96.6272222222222</v>
      </c>
      <c r="X45" s="123" t="n">
        <f aca="false">(1-$I$14)*(1-$J$14)*$D$14*$E$14/4*MIN(1,MAX(0,(X$5-$H$14+1)/$T$14))*IF(X$5=$H$14,DelivFactor,IF(AND(X$5&gt;$H$14,X$5&lt;$H$14+$F$14),1,IF(X$5=$H$14+$F$14,1-DelivFactor,0)))</f>
        <v>96.6272222222222</v>
      </c>
      <c r="Y45" s="123" t="n">
        <f aca="false">(1-$I$14)*(1-$J$14)*$D$14*$E$14/4*MIN(1,MAX(0,(Y$5-$H$14+1)/$T$14))*IF(Y$5=$H$14,DelivFactor,IF(AND(Y$5&gt;$H$14,Y$5&lt;$H$14+$F$14),1,IF(Y$5=$H$14+$F$14,1-DelivFactor,0)))</f>
        <v>96.6272222222222</v>
      </c>
      <c r="Z45" s="123" t="n">
        <f aca="false">(1-$I$14)*(1-$J$14)*$D$14*$E$14/4*MIN(1,MAX(0,(Z$5-$H$14+1)/$T$14))*IF(Z$5=$H$14,DelivFactor,IF(AND(Z$5&gt;$H$14,Z$5&lt;$H$14+$F$14),1,IF(Z$5=$H$14+$F$14,1-DelivFactor,0)))</f>
        <v>96.6272222222222</v>
      </c>
      <c r="AA45" s="123" t="n">
        <f aca="false">(1-$I$14)*(1-$J$14)*$D$14*$E$14/4*MIN(1,MAX(0,(AA$5-$H$14+1)/$T$14))*IF(AA$5=$H$14,DelivFactor,IF(AND(AA$5&gt;$H$14,AA$5&lt;$H$14+$F$14),1,IF(AA$5=$H$14+$F$14,1-DelivFactor,0)))</f>
        <v>96.6272222222222</v>
      </c>
      <c r="AB45" s="123" t="n">
        <f aca="false">(1-$I$14)*(1-$J$14)*$D$14*$E$14/4*MIN(1,MAX(0,(AB$5-$H$14+1)/$T$14))*IF(AB$5=$H$14,DelivFactor,IF(AND(AB$5&gt;$H$14,AB$5&lt;$H$14+$F$14),1,IF(AB$5=$H$14+$F$14,1-DelivFactor,0)))</f>
        <v>96.6272222222222</v>
      </c>
      <c r="AC45" s="123" t="n">
        <f aca="false">(1-$I$14)*(1-$J$14)*$D$14*$E$14/4*MIN(1,MAX(0,(AC$5-$H$14+1)/$T$14))*IF(AC$5=$H$14,DelivFactor,IF(AND(AC$5&gt;$H$14,AC$5&lt;$H$14+$F$14),1,IF(AC$5=$H$14+$F$14,1-DelivFactor,0)))</f>
        <v>96.6272222222222</v>
      </c>
      <c r="AD45" s="123" t="n">
        <f aca="false">(1-$I$14)*(1-$J$14)*$D$14*$E$14/4*MIN(1,MAX(0,(AD$5-$H$14+1)/$T$14))*IF(AD$5=$H$14,DelivFactor,IF(AND(AD$5&gt;$H$14,AD$5&lt;$H$14+$F$14),1,IF(AD$5=$H$14+$F$14,1-DelivFactor,0)))</f>
        <v>96.6272222222222</v>
      </c>
      <c r="AE45" s="123" t="n">
        <f aca="false">(1-$I$14)*(1-$J$14)*$D$14*$E$14/4*MIN(1,MAX(0,(AE$5-$H$14+1)/$T$14))*IF(AE$5=$H$14,DelivFactor,IF(AND(AE$5&gt;$H$14,AE$5&lt;$H$14+$F$14),1,IF(AE$5=$H$14+$F$14,1-DelivFactor,0)))</f>
        <v>96.6272222222222</v>
      </c>
      <c r="AF45" s="123" t="n">
        <f aca="false">(1-$I$14)*(1-$J$14)*$D$14*$E$14/4*MIN(1,MAX(0,(AF$5-$H$14+1)/$T$14))*IF(AF$5=$H$14,DelivFactor,IF(AND(AF$5&gt;$H$14,AF$5&lt;$H$14+$F$14),1,IF(AF$5=$H$14+$F$14,1-DelivFactor,0)))</f>
        <v>96.6272222222222</v>
      </c>
      <c r="AG45" s="123" t="n">
        <f aca="false">(1-$I$14)*(1-$J$14)*$D$14*$E$14/4*MIN(1,MAX(0,(AG$5-$H$14+1)/$T$14))*IF(AG$5=$H$14,DelivFactor,IF(AND(AG$5&gt;$H$14,AG$5&lt;$H$14+$F$14),1,IF(AG$5=$H$14+$F$14,1-DelivFactor,0)))</f>
        <v>96.6272222222222</v>
      </c>
      <c r="AI45" s="123" t="n">
        <f aca="false">SUMIF($F$7:$AG$7,AI$7,$F45:$AG45)</f>
        <v>0</v>
      </c>
      <c r="AJ45" s="123" t="n">
        <f aca="false">SUMIF($F$7:$AG$7,AJ$7,$F45:$AG45)</f>
        <v>0</v>
      </c>
      <c r="AK45" s="123" t="n">
        <f aca="false">SUMIF($F$7:$AG$7,AK$7,$F45:$AG45)</f>
        <v>60.3920138888889</v>
      </c>
      <c r="AL45" s="123" t="n">
        <f aca="false">SUMIF($F$7:$AG$7,AL$7,$F45:$AG45)</f>
        <v>362.352083333333</v>
      </c>
      <c r="AM45" s="123" t="n">
        <f aca="false">SUMIF($F$7:$AG$7,AM$7,$F45:$AG45)</f>
        <v>386.508888888889</v>
      </c>
      <c r="AN45" s="123" t="n">
        <f aca="false">SUMIF($F$7:$AG$7,AN$7,$F45:$AG45)</f>
        <v>386.508888888889</v>
      </c>
      <c r="AO45" s="123" t="n">
        <f aca="false">SUMIF($F$7:$AG$7,AO$7,$F45:$AG45)</f>
        <v>386.508888888889</v>
      </c>
    </row>
    <row r="46" customFormat="false" ht="15" hidden="false" customHeight="false" outlineLevel="0" collapsed="false">
      <c r="A46" s="104" t="s">
        <v>1645</v>
      </c>
      <c r="B46" s="20" t="s">
        <v>575</v>
      </c>
      <c r="C46" s="20"/>
      <c r="D46" s="20"/>
      <c r="F46" s="113" t="n">
        <f aca="false">(1-$I$14)*(1-$J$14)*$D$14*AND(F$5&gt;=$H$14,F$5&lt;$H$14+$F$14)</f>
        <v>0</v>
      </c>
      <c r="G46" s="113" t="n">
        <f aca="false">(1-$I$14)*(1-$J$14)*$D$14*AND(G$5&gt;=$H$14,G$5&lt;$H$14+$F$14)</f>
        <v>0</v>
      </c>
      <c r="H46" s="113" t="n">
        <f aca="false">(1-$I$14)*(1-$J$14)*$D$14*AND(H$5&gt;=$H$14,H$5&lt;$H$14+$F$14)</f>
        <v>0</v>
      </c>
      <c r="I46" s="113" t="n">
        <f aca="false">(1-$I$14)*(1-$J$14)*$D$14*AND(I$5&gt;=$H$14,I$5&lt;$H$14+$F$14)</f>
        <v>0</v>
      </c>
      <c r="J46" s="113" t="n">
        <f aca="false">(1-$I$14)*(1-$J$14)*$D$14*AND(J$5&gt;=$H$14,J$5&lt;$H$14+$F$14)</f>
        <v>0</v>
      </c>
      <c r="K46" s="113" t="n">
        <f aca="false">(1-$I$14)*(1-$J$14)*$D$14*AND(K$5&gt;=$H$14,K$5&lt;$H$14+$F$14)</f>
        <v>0</v>
      </c>
      <c r="L46" s="113" t="n">
        <f aca="false">(1-$I$14)*(1-$J$14)*$D$14*AND(L$5&gt;=$H$14,L$5&lt;$H$14+$F$14)</f>
        <v>0</v>
      </c>
      <c r="M46" s="113" t="n">
        <f aca="false">(1-$I$14)*(1-$J$14)*$D$14*AND(M$5&gt;=$H$14,M$5&lt;$H$14+$F$14)</f>
        <v>0</v>
      </c>
      <c r="N46" s="113" t="n">
        <f aca="false">(1-$I$14)*(1-$J$14)*$D$14*AND(N$5&gt;=$H$14,N$5&lt;$H$14+$F$14)</f>
        <v>0</v>
      </c>
      <c r="O46" s="113" t="n">
        <f aca="false">(1-$I$14)*(1-$J$14)*$D$14*AND(O$5&gt;=$H$14,O$5&lt;$H$14+$F$14)</f>
        <v>0</v>
      </c>
      <c r="P46" s="31" t="n">
        <f aca="false">(1-$I$14)*(1-$J$14)*$D$14*AND(P$5&gt;=$H$14,P$5&lt;$H$14+$F$14)</f>
        <v>26.6666666666667</v>
      </c>
      <c r="Q46" s="31" t="n">
        <f aca="false">(1-$I$14)*(1-$J$14)*$D$14*AND(Q$5&gt;=$H$14,Q$5&lt;$H$14+$F$14)</f>
        <v>26.6666666666667</v>
      </c>
      <c r="R46" s="31" t="n">
        <f aca="false">(1-$I$14)*(1-$J$14)*$D$14*AND(R$5&gt;=$H$14,R$5&lt;$H$14+$F$14)</f>
        <v>26.6666666666667</v>
      </c>
      <c r="S46" s="31" t="n">
        <f aca="false">(1-$I$14)*(1-$J$14)*$D$14*AND(S$5&gt;=$H$14,S$5&lt;$H$14+$F$14)</f>
        <v>26.6666666666667</v>
      </c>
      <c r="T46" s="31" t="n">
        <f aca="false">(1-$I$14)*(1-$J$14)*$D$14*AND(T$5&gt;=$H$14,T$5&lt;$H$14+$F$14)</f>
        <v>26.6666666666667</v>
      </c>
      <c r="U46" s="31" t="n">
        <f aca="false">(1-$I$14)*(1-$J$14)*$D$14*AND(U$5&gt;=$H$14,U$5&lt;$H$14+$F$14)</f>
        <v>26.6666666666667</v>
      </c>
      <c r="V46" s="31" t="n">
        <f aca="false">(1-$I$14)*(1-$J$14)*$D$14*AND(V$5&gt;=$H$14,V$5&lt;$H$14+$F$14)</f>
        <v>26.6666666666667</v>
      </c>
      <c r="W46" s="31" t="n">
        <f aca="false">(1-$I$14)*(1-$J$14)*$D$14*AND(W$5&gt;=$H$14,W$5&lt;$H$14+$F$14)</f>
        <v>26.6666666666667</v>
      </c>
      <c r="X46" s="31" t="n">
        <f aca="false">(1-$I$14)*(1-$J$14)*$D$14*AND(X$5&gt;=$H$14,X$5&lt;$H$14+$F$14)</f>
        <v>26.6666666666667</v>
      </c>
      <c r="Y46" s="31" t="n">
        <f aca="false">(1-$I$14)*(1-$J$14)*$D$14*AND(Y$5&gt;=$H$14,Y$5&lt;$H$14+$F$14)</f>
        <v>26.6666666666667</v>
      </c>
      <c r="Z46" s="31" t="n">
        <f aca="false">(1-$I$14)*(1-$J$14)*$D$14*AND(Z$5&gt;=$H$14,Z$5&lt;$H$14+$F$14)</f>
        <v>26.6666666666667</v>
      </c>
      <c r="AA46" s="31" t="n">
        <f aca="false">(1-$I$14)*(1-$J$14)*$D$14*AND(AA$5&gt;=$H$14,AA$5&lt;$H$14+$F$14)</f>
        <v>26.6666666666667</v>
      </c>
      <c r="AB46" s="31" t="n">
        <f aca="false">(1-$I$14)*(1-$J$14)*$D$14*AND(AB$5&gt;=$H$14,AB$5&lt;$H$14+$F$14)</f>
        <v>26.6666666666667</v>
      </c>
      <c r="AC46" s="31" t="n">
        <f aca="false">(1-$I$14)*(1-$J$14)*$D$14*AND(AC$5&gt;=$H$14,AC$5&lt;$H$14+$F$14)</f>
        <v>26.6666666666667</v>
      </c>
      <c r="AD46" s="31" t="n">
        <f aca="false">(1-$I$14)*(1-$J$14)*$D$14*AND(AD$5&gt;=$H$14,AD$5&lt;$H$14+$F$14)</f>
        <v>26.6666666666667</v>
      </c>
      <c r="AE46" s="31" t="n">
        <f aca="false">(1-$I$14)*(1-$J$14)*$D$14*AND(AE$5&gt;=$H$14,AE$5&lt;$H$14+$F$14)</f>
        <v>26.6666666666667</v>
      </c>
      <c r="AF46" s="31" t="n">
        <f aca="false">(1-$I$14)*(1-$J$14)*$D$14*AND(AF$5&gt;=$H$14,AF$5&lt;$H$14+$F$14)</f>
        <v>26.6666666666667</v>
      </c>
      <c r="AG46" s="31" t="n">
        <f aca="false">(1-$I$14)*(1-$J$14)*$D$14*AND(AG$5&gt;=$H$14,AG$5&lt;$H$14+$F$14)</f>
        <v>26.6666666666667</v>
      </c>
      <c r="AI46" s="31" t="n">
        <f aca="false">INDEX($F46:$AG46,1,MATCH(AI$7,$F$7:$AG$7,1))</f>
        <v>0</v>
      </c>
      <c r="AJ46" s="31" t="n">
        <f aca="false">INDEX($F46:$AG46,1,MATCH(AJ$7,$F$7:$AG$7,1))</f>
        <v>0</v>
      </c>
      <c r="AK46" s="31" t="n">
        <f aca="false">INDEX($F46:$AG46,1,MATCH(AK$7,$F$7:$AG$7,1))</f>
        <v>26.6666666666667</v>
      </c>
      <c r="AL46" s="31" t="n">
        <f aca="false">INDEX($F46:$AG46,1,MATCH(AL$7,$F$7:$AG$7,1))</f>
        <v>26.6666666666667</v>
      </c>
      <c r="AM46" s="31" t="n">
        <f aca="false">INDEX($F46:$AG46,1,MATCH(AM$7,$F$7:$AG$7,1))</f>
        <v>26.6666666666667</v>
      </c>
      <c r="AN46" s="31" t="n">
        <f aca="false">INDEX($F46:$AG46,1,MATCH(AN$7,$F$7:$AG$7,1))</f>
        <v>26.6666666666667</v>
      </c>
      <c r="AO46" s="31" t="n">
        <f aca="false">INDEX($F46:$AG46,1,MATCH(AO$7,$F$7:$AG$7,1))</f>
        <v>26.6666666666667</v>
      </c>
    </row>
    <row r="47" customFormat="false" ht="15" hidden="false" customHeight="false" outlineLevel="0" collapsed="false">
      <c r="A47" s="104" t="s">
        <v>1646</v>
      </c>
      <c r="B47" s="20" t="s">
        <v>561</v>
      </c>
      <c r="C47" s="20"/>
      <c r="D47" s="20"/>
      <c r="F47" s="122" t="n">
        <f aca="false">-(1-$I$14)*LD_Pct*$D$14*$E$14/4*AND(F$5&gt;=$G$14,F$5&lt;$H$14)</f>
        <v>-0</v>
      </c>
      <c r="G47" s="122" t="n">
        <f aca="false">-(1-$I$14)*LD_Pct*$D$14*$E$14/4*AND(G$5&gt;=$G$14,G$5&lt;$H$14)</f>
        <v>-0</v>
      </c>
      <c r="H47" s="122" t="n">
        <f aca="false">-(1-$I$14)*LD_Pct*$D$14*$E$14/4*AND(H$5&gt;=$G$14,H$5&lt;$H$14)</f>
        <v>-0</v>
      </c>
      <c r="I47" s="122" t="n">
        <f aca="false">-(1-$I$14)*LD_Pct*$D$14*$E$14/4*AND(I$5&gt;=$G$14,I$5&lt;$H$14)</f>
        <v>-0</v>
      </c>
      <c r="J47" s="122" t="n">
        <f aca="false">-(1-$I$14)*LD_Pct*$D$14*$E$14/4*AND(J$5&gt;=$G$14,J$5&lt;$H$14)</f>
        <v>-0</v>
      </c>
      <c r="K47" s="122" t="n">
        <f aca="false">-(1-$I$14)*LD_Pct*$D$14*$E$14/4*AND(K$5&gt;=$G$14,K$5&lt;$H$14)</f>
        <v>-0</v>
      </c>
      <c r="L47" s="122" t="n">
        <f aca="false">-(1-$I$14)*LD_Pct*$D$14*$E$14/4*AND(L$5&gt;=$G$14,L$5&lt;$H$14)</f>
        <v>-0</v>
      </c>
      <c r="M47" s="122" t="n">
        <f aca="false">-(1-$I$14)*LD_Pct*$D$14*$E$14/4*AND(M$5&gt;=$G$14,M$5&lt;$H$14)</f>
        <v>-0</v>
      </c>
      <c r="N47" s="122" t="n">
        <f aca="false">-(1-$I$14)*LD_Pct*$D$14*$E$14/4*AND(N$5&gt;=$G$14,N$5&lt;$H$14)</f>
        <v>-0</v>
      </c>
      <c r="O47" s="122" t="n">
        <f aca="false">-(1-$I$14)*LD_Pct*$D$14*$E$14/4*AND(O$5&gt;=$G$14,O$5&lt;$H$14)</f>
        <v>-0</v>
      </c>
      <c r="P47" s="123" t="n">
        <f aca="false">-(1-$I$14)*LD_Pct*$D$14*$E$14/4*AND(P$5&gt;=$G$14,P$5&lt;$H$14)</f>
        <v>-0</v>
      </c>
      <c r="Q47" s="123" t="n">
        <f aca="false">-(1-$I$14)*LD_Pct*$D$14*$E$14/4*AND(Q$5&gt;=$G$14,Q$5&lt;$H$14)</f>
        <v>-0</v>
      </c>
      <c r="R47" s="123" t="n">
        <f aca="false">-(1-$I$14)*LD_Pct*$D$14*$E$14/4*AND(R$5&gt;=$G$14,R$5&lt;$H$14)</f>
        <v>-0</v>
      </c>
      <c r="S47" s="123" t="n">
        <f aca="false">-(1-$I$14)*LD_Pct*$D$14*$E$14/4*AND(S$5&gt;=$G$14,S$5&lt;$H$14)</f>
        <v>-0</v>
      </c>
      <c r="T47" s="123" t="n">
        <f aca="false">-(1-$I$14)*LD_Pct*$D$14*$E$14/4*AND(T$5&gt;=$G$14,T$5&lt;$H$14)</f>
        <v>-0</v>
      </c>
      <c r="U47" s="123" t="n">
        <f aca="false">-(1-$I$14)*LD_Pct*$D$14*$E$14/4*AND(U$5&gt;=$G$14,U$5&lt;$H$14)</f>
        <v>-0</v>
      </c>
      <c r="V47" s="123" t="n">
        <f aca="false">-(1-$I$14)*LD_Pct*$D$14*$E$14/4*AND(V$5&gt;=$G$14,V$5&lt;$H$14)</f>
        <v>-0</v>
      </c>
      <c r="W47" s="123" t="n">
        <f aca="false">-(1-$I$14)*LD_Pct*$D$14*$E$14/4*AND(W$5&gt;=$G$14,W$5&lt;$H$14)</f>
        <v>-0</v>
      </c>
      <c r="X47" s="123" t="n">
        <f aca="false">-(1-$I$14)*LD_Pct*$D$14*$E$14/4*AND(X$5&gt;=$G$14,X$5&lt;$H$14)</f>
        <v>-0</v>
      </c>
      <c r="Y47" s="123" t="n">
        <f aca="false">-(1-$I$14)*LD_Pct*$D$14*$E$14/4*AND(Y$5&gt;=$G$14,Y$5&lt;$H$14)</f>
        <v>-0</v>
      </c>
      <c r="Z47" s="123" t="n">
        <f aca="false">-(1-$I$14)*LD_Pct*$D$14*$E$14/4*AND(Z$5&gt;=$G$14,Z$5&lt;$H$14)</f>
        <v>-0</v>
      </c>
      <c r="AA47" s="123" t="n">
        <f aca="false">-(1-$I$14)*LD_Pct*$D$14*$E$14/4*AND(AA$5&gt;=$G$14,AA$5&lt;$H$14)</f>
        <v>-0</v>
      </c>
      <c r="AB47" s="123" t="n">
        <f aca="false">-(1-$I$14)*LD_Pct*$D$14*$E$14/4*AND(AB$5&gt;=$G$14,AB$5&lt;$H$14)</f>
        <v>-0</v>
      </c>
      <c r="AC47" s="123" t="n">
        <f aca="false">-(1-$I$14)*LD_Pct*$D$14*$E$14/4*AND(AC$5&gt;=$G$14,AC$5&lt;$H$14)</f>
        <v>-0</v>
      </c>
      <c r="AD47" s="123" t="n">
        <f aca="false">-(1-$I$14)*LD_Pct*$D$14*$E$14/4*AND(AD$5&gt;=$G$14,AD$5&lt;$H$14)</f>
        <v>-0</v>
      </c>
      <c r="AE47" s="123" t="n">
        <f aca="false">-(1-$I$14)*LD_Pct*$D$14*$E$14/4*AND(AE$5&gt;=$G$14,AE$5&lt;$H$14)</f>
        <v>-0</v>
      </c>
      <c r="AF47" s="123" t="n">
        <f aca="false">-(1-$I$14)*LD_Pct*$D$14*$E$14/4*AND(AF$5&gt;=$G$14,AF$5&lt;$H$14)</f>
        <v>-0</v>
      </c>
      <c r="AG47" s="123" t="n">
        <f aca="false">-(1-$I$14)*LD_Pct*$D$14*$E$14/4*AND(AG$5&gt;=$G$14,AG$5&lt;$H$14)</f>
        <v>-0</v>
      </c>
      <c r="AI47" s="123" t="n">
        <f aca="false">SUMIF($F$7:$AG$7,AI$7,$F47:$AG47)</f>
        <v>0</v>
      </c>
      <c r="AJ47" s="123" t="n">
        <f aca="false">SUMIF($F$7:$AG$7,AJ$7,$F47:$AG47)</f>
        <v>0</v>
      </c>
      <c r="AK47" s="123" t="n">
        <f aca="false">SUMIF($F$7:$AG$7,AK$7,$F47:$AG47)</f>
        <v>0</v>
      </c>
      <c r="AL47" s="123" t="n">
        <f aca="false">SUMIF($F$7:$AG$7,AL$7,$F47:$AG47)</f>
        <v>0</v>
      </c>
      <c r="AM47" s="123" t="n">
        <f aca="false">SUMIF($F$7:$AG$7,AM$7,$F47:$AG47)</f>
        <v>0</v>
      </c>
      <c r="AN47" s="123" t="n">
        <f aca="false">SUMIF($F$7:$AG$7,AN$7,$F47:$AG47)</f>
        <v>0</v>
      </c>
      <c r="AO47" s="123" t="n">
        <f aca="false">SUMIF($F$7:$AG$7,AO$7,$F47:$AG47)</f>
        <v>0</v>
      </c>
    </row>
    <row r="48" customFormat="false" ht="15" hidden="false" customHeight="false" outlineLevel="0" collapsed="false">
      <c r="A48" s="104" t="s">
        <v>1647</v>
      </c>
      <c r="B48" s="20" t="s">
        <v>575</v>
      </c>
      <c r="C48" s="20"/>
      <c r="D48" s="20"/>
      <c r="F48" s="113" t="n">
        <f aca="false">(1-$I$14)*(1-$J$14)*$D$14*(F$5&gt;=$H$14+$F$14)</f>
        <v>0</v>
      </c>
      <c r="G48" s="113" t="n">
        <f aca="false">(1-$I$14)*(1-$J$14)*$D$14*(G$5&gt;=$H$14+$F$14)</f>
        <v>0</v>
      </c>
      <c r="H48" s="113" t="n">
        <f aca="false">(1-$I$14)*(1-$J$14)*$D$14*(H$5&gt;=$H$14+$F$14)</f>
        <v>0</v>
      </c>
      <c r="I48" s="113" t="n">
        <f aca="false">(1-$I$14)*(1-$J$14)*$D$14*(I$5&gt;=$H$14+$F$14)</f>
        <v>0</v>
      </c>
      <c r="J48" s="113" t="n">
        <f aca="false">(1-$I$14)*(1-$J$14)*$D$14*(J$5&gt;=$H$14+$F$14)</f>
        <v>0</v>
      </c>
      <c r="K48" s="113" t="n">
        <f aca="false">(1-$I$14)*(1-$J$14)*$D$14*(K$5&gt;=$H$14+$F$14)</f>
        <v>0</v>
      </c>
      <c r="L48" s="113" t="n">
        <f aca="false">(1-$I$14)*(1-$J$14)*$D$14*(L$5&gt;=$H$14+$F$14)</f>
        <v>0</v>
      </c>
      <c r="M48" s="113" t="n">
        <f aca="false">(1-$I$14)*(1-$J$14)*$D$14*(M$5&gt;=$H$14+$F$14)</f>
        <v>0</v>
      </c>
      <c r="N48" s="113" t="n">
        <f aca="false">(1-$I$14)*(1-$J$14)*$D$14*(N$5&gt;=$H$14+$F$14)</f>
        <v>0</v>
      </c>
      <c r="O48" s="113" t="n">
        <f aca="false">(1-$I$14)*(1-$J$14)*$D$14*(O$5&gt;=$H$14+$F$14)</f>
        <v>0</v>
      </c>
      <c r="P48" s="31" t="n">
        <f aca="false">(1-$I$14)*(1-$J$14)*$D$14*(P$5&gt;=$H$14+$F$14)</f>
        <v>0</v>
      </c>
      <c r="Q48" s="31" t="n">
        <f aca="false">(1-$I$14)*(1-$J$14)*$D$14*(Q$5&gt;=$H$14+$F$14)</f>
        <v>0</v>
      </c>
      <c r="R48" s="31" t="n">
        <f aca="false">(1-$I$14)*(1-$J$14)*$D$14*(R$5&gt;=$H$14+$F$14)</f>
        <v>0</v>
      </c>
      <c r="S48" s="31" t="n">
        <f aca="false">(1-$I$14)*(1-$J$14)*$D$14*(S$5&gt;=$H$14+$F$14)</f>
        <v>0</v>
      </c>
      <c r="T48" s="31" t="n">
        <f aca="false">(1-$I$14)*(1-$J$14)*$D$14*(T$5&gt;=$H$14+$F$14)</f>
        <v>0</v>
      </c>
      <c r="U48" s="31" t="n">
        <f aca="false">(1-$I$14)*(1-$J$14)*$D$14*(U$5&gt;=$H$14+$F$14)</f>
        <v>0</v>
      </c>
      <c r="V48" s="31" t="n">
        <f aca="false">(1-$I$14)*(1-$J$14)*$D$14*(V$5&gt;=$H$14+$F$14)</f>
        <v>0</v>
      </c>
      <c r="W48" s="31" t="n">
        <f aca="false">(1-$I$14)*(1-$J$14)*$D$14*(W$5&gt;=$H$14+$F$14)</f>
        <v>0</v>
      </c>
      <c r="X48" s="31" t="n">
        <f aca="false">(1-$I$14)*(1-$J$14)*$D$14*(X$5&gt;=$H$14+$F$14)</f>
        <v>0</v>
      </c>
      <c r="Y48" s="31" t="n">
        <f aca="false">(1-$I$14)*(1-$J$14)*$D$14*(Y$5&gt;=$H$14+$F$14)</f>
        <v>0</v>
      </c>
      <c r="Z48" s="31" t="n">
        <f aca="false">(1-$I$14)*(1-$J$14)*$D$14*(Z$5&gt;=$H$14+$F$14)</f>
        <v>0</v>
      </c>
      <c r="AA48" s="31" t="n">
        <f aca="false">(1-$I$14)*(1-$J$14)*$D$14*(AA$5&gt;=$H$14+$F$14)</f>
        <v>0</v>
      </c>
      <c r="AB48" s="31" t="n">
        <f aca="false">(1-$I$14)*(1-$J$14)*$D$14*(AB$5&gt;=$H$14+$F$14)</f>
        <v>0</v>
      </c>
      <c r="AC48" s="31" t="n">
        <f aca="false">(1-$I$14)*(1-$J$14)*$D$14*(AC$5&gt;=$H$14+$F$14)</f>
        <v>0</v>
      </c>
      <c r="AD48" s="31" t="n">
        <f aca="false">(1-$I$14)*(1-$J$14)*$D$14*(AD$5&gt;=$H$14+$F$14)</f>
        <v>0</v>
      </c>
      <c r="AE48" s="31" t="n">
        <f aca="false">(1-$I$14)*(1-$J$14)*$D$14*(AE$5&gt;=$H$14+$F$14)</f>
        <v>0</v>
      </c>
      <c r="AF48" s="31" t="n">
        <f aca="false">(1-$I$14)*(1-$J$14)*$D$14*(AF$5&gt;=$H$14+$F$14)</f>
        <v>0</v>
      </c>
      <c r="AG48" s="31" t="n">
        <f aca="false">(1-$I$14)*(1-$J$14)*$D$14*(AG$5&gt;=$H$14+$F$14)</f>
        <v>0</v>
      </c>
      <c r="AI48" s="31" t="n">
        <f aca="false">INDEX($F48:$AG48,1,MATCH(AI$7,$F$7:$AG$7,1))</f>
        <v>0</v>
      </c>
      <c r="AJ48" s="31" t="n">
        <f aca="false">INDEX($F48:$AG48,1,MATCH(AJ$7,$F$7:$AG$7,1))</f>
        <v>0</v>
      </c>
      <c r="AK48" s="31" t="n">
        <f aca="false">INDEX($F48:$AG48,1,MATCH(AK$7,$F$7:$AG$7,1))</f>
        <v>0</v>
      </c>
      <c r="AL48" s="31" t="n">
        <f aca="false">INDEX($F48:$AG48,1,MATCH(AL$7,$F$7:$AG$7,1))</f>
        <v>0</v>
      </c>
      <c r="AM48" s="31" t="n">
        <f aca="false">INDEX($F48:$AG48,1,MATCH(AM$7,$F$7:$AG$7,1))</f>
        <v>0</v>
      </c>
      <c r="AN48" s="31" t="n">
        <f aca="false">INDEX($F48:$AG48,1,MATCH(AN$7,$F$7:$AG$7,1))</f>
        <v>0</v>
      </c>
      <c r="AO48" s="31" t="n">
        <f aca="false">INDEX($F48:$AG48,1,MATCH(AO$7,$F$7:$AG$7,1))</f>
        <v>0</v>
      </c>
    </row>
    <row r="49" customFormat="false" ht="15" hidden="false" customHeight="false" outlineLevel="0" collapsed="false">
      <c r="A49" s="104" t="s">
        <v>1648</v>
      </c>
      <c r="B49" s="20" t="s">
        <v>561</v>
      </c>
      <c r="C49" s="20"/>
      <c r="D49" s="20" t="s">
        <v>1638</v>
      </c>
      <c r="F49" s="122" t="n">
        <f aca="false">F48*CHOOSE(MATCH($C$14,{"H";"B";"N"},0),GPUMW_H*ODc_H,GPUMW_B*ODc_B,GPUMW_N*ODc_N)*ResidUtil*Timeline!F$9*INDEX(Curve,1,MAX(1,MIN(8,INT((F$5-$H$14)/4)+1)))/1000000</f>
        <v>0</v>
      </c>
      <c r="G49" s="122" t="n">
        <f aca="false">G48*CHOOSE(MATCH($C$14,{"H";"B";"N"},0),GPUMW_H*ODc_H,GPUMW_B*ODc_B,GPUMW_N*ODc_N)*ResidUtil*Timeline!G$9*INDEX(Curve,1,MAX(1,MIN(8,INT((G$5-$H$14)/4)+1)))/1000000</f>
        <v>0</v>
      </c>
      <c r="H49" s="122" t="n">
        <f aca="false">H48*CHOOSE(MATCH($C$14,{"H";"B";"N"},0),GPUMW_H*ODc_H,GPUMW_B*ODc_B,GPUMW_N*ODc_N)*ResidUtil*Timeline!H$9*INDEX(Curve,1,MAX(1,MIN(8,INT((H$5-$H$14)/4)+1)))/1000000</f>
        <v>0</v>
      </c>
      <c r="I49" s="122" t="n">
        <f aca="false">I48*CHOOSE(MATCH($C$14,{"H";"B";"N"},0),GPUMW_H*ODc_H,GPUMW_B*ODc_B,GPUMW_N*ODc_N)*ResidUtil*Timeline!I$9*INDEX(Curve,1,MAX(1,MIN(8,INT((I$5-$H$14)/4)+1)))/1000000</f>
        <v>0</v>
      </c>
      <c r="J49" s="122" t="n">
        <f aca="false">J48*CHOOSE(MATCH($C$14,{"H";"B";"N"},0),GPUMW_H*ODc_H,GPUMW_B*ODc_B,GPUMW_N*ODc_N)*ResidUtil*Timeline!J$9*INDEX(Curve,1,MAX(1,MIN(8,INT((J$5-$H$14)/4)+1)))/1000000</f>
        <v>0</v>
      </c>
      <c r="K49" s="122" t="n">
        <f aca="false">K48*CHOOSE(MATCH($C$14,{"H";"B";"N"},0),GPUMW_H*ODc_H,GPUMW_B*ODc_B,GPUMW_N*ODc_N)*ResidUtil*Timeline!K$9*INDEX(Curve,1,MAX(1,MIN(8,INT((K$5-$H$14)/4)+1)))/1000000</f>
        <v>0</v>
      </c>
      <c r="L49" s="122" t="n">
        <f aca="false">L48*CHOOSE(MATCH($C$14,{"H";"B";"N"},0),GPUMW_H*ODc_H,GPUMW_B*ODc_B,GPUMW_N*ODc_N)*ResidUtil*Timeline!L$9*INDEX(Curve,1,MAX(1,MIN(8,INT((L$5-$H$14)/4)+1)))/1000000</f>
        <v>0</v>
      </c>
      <c r="M49" s="122" t="n">
        <f aca="false">M48*CHOOSE(MATCH($C$14,{"H";"B";"N"},0),GPUMW_H*ODc_H,GPUMW_B*ODc_B,GPUMW_N*ODc_N)*ResidUtil*Timeline!M$9*INDEX(Curve,1,MAX(1,MIN(8,INT((M$5-$H$14)/4)+1)))/1000000</f>
        <v>0</v>
      </c>
      <c r="N49" s="122" t="n">
        <f aca="false">N48*CHOOSE(MATCH($C$14,{"H";"B";"N"},0),GPUMW_H*ODc_H,GPUMW_B*ODc_B,GPUMW_N*ODc_N)*ResidUtil*Timeline!N$9*INDEX(Curve,1,MAX(1,MIN(8,INT((N$5-$H$14)/4)+1)))/1000000</f>
        <v>0</v>
      </c>
      <c r="O49" s="122" t="n">
        <f aca="false">O48*CHOOSE(MATCH($C$14,{"H";"B";"N"},0),GPUMW_H*ODc_H,GPUMW_B*ODc_B,GPUMW_N*ODc_N)*ResidUtil*Timeline!O$9*INDEX(Curve,1,MAX(1,MIN(8,INT((O$5-$H$14)/4)+1)))/1000000</f>
        <v>0</v>
      </c>
      <c r="P49" s="123" t="n">
        <f aca="false">P48*CHOOSE(MATCH($C$14,{"H";"B";"N"},0),GPUMW_H*ODc_H,GPUMW_B*ODc_B,GPUMW_N*ODc_N)*ResidUtil*Timeline!P$9*INDEX(Curve,1,MAX(1,MIN(8,INT((P$5-$H$14)/4)+1)))/1000000</f>
        <v>0</v>
      </c>
      <c r="Q49" s="123" t="n">
        <f aca="false">Q48*CHOOSE(MATCH($C$14,{"H";"B";"N"},0),GPUMW_H*ODc_H,GPUMW_B*ODc_B,GPUMW_N*ODc_N)*ResidUtil*Timeline!Q$9*INDEX(Curve,1,MAX(1,MIN(8,INT((Q$5-$H$14)/4)+1)))/1000000</f>
        <v>0</v>
      </c>
      <c r="R49" s="123" t="n">
        <f aca="false">R48*CHOOSE(MATCH($C$14,{"H";"B";"N"},0),GPUMW_H*ODc_H,GPUMW_B*ODc_B,GPUMW_N*ODc_N)*ResidUtil*Timeline!R$9*INDEX(Curve,1,MAX(1,MIN(8,INT((R$5-$H$14)/4)+1)))/1000000</f>
        <v>0</v>
      </c>
      <c r="S49" s="123" t="n">
        <f aca="false">S48*CHOOSE(MATCH($C$14,{"H";"B";"N"},0),GPUMW_H*ODc_H,GPUMW_B*ODc_B,GPUMW_N*ODc_N)*ResidUtil*Timeline!S$9*INDEX(Curve,1,MAX(1,MIN(8,INT((S$5-$H$14)/4)+1)))/1000000</f>
        <v>0</v>
      </c>
      <c r="T49" s="123" t="n">
        <f aca="false">T48*CHOOSE(MATCH($C$14,{"H";"B";"N"},0),GPUMW_H*ODc_H,GPUMW_B*ODc_B,GPUMW_N*ODc_N)*ResidUtil*Timeline!T$9*INDEX(Curve,1,MAX(1,MIN(8,INT((T$5-$H$14)/4)+1)))/1000000</f>
        <v>0</v>
      </c>
      <c r="U49" s="123" t="n">
        <f aca="false">U48*CHOOSE(MATCH($C$14,{"H";"B";"N"},0),GPUMW_H*ODc_H,GPUMW_B*ODc_B,GPUMW_N*ODc_N)*ResidUtil*Timeline!U$9*INDEX(Curve,1,MAX(1,MIN(8,INT((U$5-$H$14)/4)+1)))/1000000</f>
        <v>0</v>
      </c>
      <c r="V49" s="123" t="n">
        <f aca="false">V48*CHOOSE(MATCH($C$14,{"H";"B";"N"},0),GPUMW_H*ODc_H,GPUMW_B*ODc_B,GPUMW_N*ODc_N)*ResidUtil*Timeline!V$9*INDEX(Curve,1,MAX(1,MIN(8,INT((V$5-$H$14)/4)+1)))/1000000</f>
        <v>0</v>
      </c>
      <c r="W49" s="123" t="n">
        <f aca="false">W48*CHOOSE(MATCH($C$14,{"H";"B";"N"},0),GPUMW_H*ODc_H,GPUMW_B*ODc_B,GPUMW_N*ODc_N)*ResidUtil*Timeline!W$9*INDEX(Curve,1,MAX(1,MIN(8,INT((W$5-$H$14)/4)+1)))/1000000</f>
        <v>0</v>
      </c>
      <c r="X49" s="123" t="n">
        <f aca="false">X48*CHOOSE(MATCH($C$14,{"H";"B";"N"},0),GPUMW_H*ODc_H,GPUMW_B*ODc_B,GPUMW_N*ODc_N)*ResidUtil*Timeline!X$9*INDEX(Curve,1,MAX(1,MIN(8,INT((X$5-$H$14)/4)+1)))/1000000</f>
        <v>0</v>
      </c>
      <c r="Y49" s="123" t="n">
        <f aca="false">Y48*CHOOSE(MATCH($C$14,{"H";"B";"N"},0),GPUMW_H*ODc_H,GPUMW_B*ODc_B,GPUMW_N*ODc_N)*ResidUtil*Timeline!Y$9*INDEX(Curve,1,MAX(1,MIN(8,INT((Y$5-$H$14)/4)+1)))/1000000</f>
        <v>0</v>
      </c>
      <c r="Z49" s="123" t="n">
        <f aca="false">Z48*CHOOSE(MATCH($C$14,{"H";"B";"N"},0),GPUMW_H*ODc_H,GPUMW_B*ODc_B,GPUMW_N*ODc_N)*ResidUtil*Timeline!Z$9*INDEX(Curve,1,MAX(1,MIN(8,INT((Z$5-$H$14)/4)+1)))/1000000</f>
        <v>0</v>
      </c>
      <c r="AA49" s="123" t="n">
        <f aca="false">AA48*CHOOSE(MATCH($C$14,{"H";"B";"N"},0),GPUMW_H*ODc_H,GPUMW_B*ODc_B,GPUMW_N*ODc_N)*ResidUtil*Timeline!AA$9*INDEX(Curve,1,MAX(1,MIN(8,INT((AA$5-$H$14)/4)+1)))/1000000</f>
        <v>0</v>
      </c>
      <c r="AB49" s="123" t="n">
        <f aca="false">AB48*CHOOSE(MATCH($C$14,{"H";"B";"N"},0),GPUMW_H*ODc_H,GPUMW_B*ODc_B,GPUMW_N*ODc_N)*ResidUtil*Timeline!AB$9*INDEX(Curve,1,MAX(1,MIN(8,INT((AB$5-$H$14)/4)+1)))/1000000</f>
        <v>0</v>
      </c>
      <c r="AC49" s="123" t="n">
        <f aca="false">AC48*CHOOSE(MATCH($C$14,{"H";"B";"N"},0),GPUMW_H*ODc_H,GPUMW_B*ODc_B,GPUMW_N*ODc_N)*ResidUtil*Timeline!AC$9*INDEX(Curve,1,MAX(1,MIN(8,INT((AC$5-$H$14)/4)+1)))/1000000</f>
        <v>0</v>
      </c>
      <c r="AD49" s="123" t="n">
        <f aca="false">AD48*CHOOSE(MATCH($C$14,{"H";"B";"N"},0),GPUMW_H*ODc_H,GPUMW_B*ODc_B,GPUMW_N*ODc_N)*ResidUtil*Timeline!AD$9*INDEX(Curve,1,MAX(1,MIN(8,INT((AD$5-$H$14)/4)+1)))/1000000</f>
        <v>0</v>
      </c>
      <c r="AE49" s="123" t="n">
        <f aca="false">AE48*CHOOSE(MATCH($C$14,{"H";"B";"N"},0),GPUMW_H*ODc_H,GPUMW_B*ODc_B,GPUMW_N*ODc_N)*ResidUtil*Timeline!AE$9*INDEX(Curve,1,MAX(1,MIN(8,INT((AE$5-$H$14)/4)+1)))/1000000</f>
        <v>0</v>
      </c>
      <c r="AF49" s="123" t="n">
        <f aca="false">AF48*CHOOSE(MATCH($C$14,{"H";"B";"N"},0),GPUMW_H*ODc_H,GPUMW_B*ODc_B,GPUMW_N*ODc_N)*ResidUtil*Timeline!AF$9*INDEX(Curve,1,MAX(1,MIN(8,INT((AF$5-$H$14)/4)+1)))/1000000</f>
        <v>0</v>
      </c>
      <c r="AG49" s="123" t="n">
        <f aca="false">AG48*CHOOSE(MATCH($C$14,{"H";"B";"N"},0),GPUMW_H*ODc_H,GPUMW_B*ODc_B,GPUMW_N*ODc_N)*ResidUtil*Timeline!AG$9*INDEX(Curve,1,MAX(1,MIN(8,INT((AG$5-$H$14)/4)+1)))/1000000</f>
        <v>0</v>
      </c>
      <c r="AI49" s="123" t="n">
        <f aca="false">SUMIF($F$7:$AG$7,AI$7,$F49:$AG49)</f>
        <v>0</v>
      </c>
      <c r="AJ49" s="123" t="n">
        <f aca="false">SUMIF($F$7:$AG$7,AJ$7,$F49:$AG49)</f>
        <v>0</v>
      </c>
      <c r="AK49" s="123" t="n">
        <f aca="false">SUMIF($F$7:$AG$7,AK$7,$F49:$AG49)</f>
        <v>0</v>
      </c>
      <c r="AL49" s="123" t="n">
        <f aca="false">SUMIF($F$7:$AG$7,AL$7,$F49:$AG49)</f>
        <v>0</v>
      </c>
      <c r="AM49" s="123" t="n">
        <f aca="false">SUMIF($F$7:$AG$7,AM$7,$F49:$AG49)</f>
        <v>0</v>
      </c>
      <c r="AN49" s="123" t="n">
        <f aca="false">SUMIF($F$7:$AG$7,AN$7,$F49:$AG49)</f>
        <v>0</v>
      </c>
      <c r="AO49" s="123" t="n">
        <f aca="false">SUMIF($F$7:$AG$7,AO$7,$F49:$AG49)</f>
        <v>0</v>
      </c>
    </row>
    <row r="50" customFormat="false" ht="15" hidden="false" customHeight="false" outlineLevel="0" collapsed="false">
      <c r="A50" s="104" t="s">
        <v>1649</v>
      </c>
      <c r="B50" s="20" t="s">
        <v>561</v>
      </c>
      <c r="C50" s="20"/>
      <c r="D50" s="20"/>
      <c r="F50" s="122" t="n">
        <f aca="false">(1-$I$15)*(1-$J$15)*$D$15*$E$15/4*MIN(1,MAX(0,(F$5-$H$15+1)/$T$15))*IF(F$5=$H$15,DelivFactor,IF(AND(F$5&gt;$H$15,F$5&lt;$H$15+$F$15),1,IF(F$5=$H$15+$F$15,1-DelivFactor,0)))</f>
        <v>0</v>
      </c>
      <c r="G50" s="122" t="n">
        <f aca="false">(1-$I$15)*(1-$J$15)*$D$15*$E$15/4*MIN(1,MAX(0,(G$5-$H$15+1)/$T$15))*IF(G$5=$H$15,DelivFactor,IF(AND(G$5&gt;$H$15,G$5&lt;$H$15+$F$15),1,IF(G$5=$H$15+$F$15,1-DelivFactor,0)))</f>
        <v>0</v>
      </c>
      <c r="H50" s="122" t="n">
        <f aca="false">(1-$I$15)*(1-$J$15)*$D$15*$E$15/4*MIN(1,MAX(0,(H$5-$H$15+1)/$T$15))*IF(H$5=$H$15,DelivFactor,IF(AND(H$5&gt;$H$15,H$5&lt;$H$15+$F$15),1,IF(H$5=$H$15+$F$15,1-DelivFactor,0)))</f>
        <v>0</v>
      </c>
      <c r="I50" s="122" t="n">
        <f aca="false">(1-$I$15)*(1-$J$15)*$D$15*$E$15/4*MIN(1,MAX(0,(I$5-$H$15+1)/$T$15))*IF(I$5=$H$15,DelivFactor,IF(AND(I$5&gt;$H$15,I$5&lt;$H$15+$F$15),1,IF(I$5=$H$15+$F$15,1-DelivFactor,0)))</f>
        <v>0</v>
      </c>
      <c r="J50" s="122" t="n">
        <f aca="false">(1-$I$15)*(1-$J$15)*$D$15*$E$15/4*MIN(1,MAX(0,(J$5-$H$15+1)/$T$15))*IF(J$5=$H$15,DelivFactor,IF(AND(J$5&gt;$H$15,J$5&lt;$H$15+$F$15),1,IF(J$5=$H$15+$F$15,1-DelivFactor,0)))</f>
        <v>0</v>
      </c>
      <c r="K50" s="122" t="n">
        <f aca="false">(1-$I$15)*(1-$J$15)*$D$15*$E$15/4*MIN(1,MAX(0,(K$5-$H$15+1)/$T$15))*IF(K$5=$H$15,DelivFactor,IF(AND(K$5&gt;$H$15,K$5&lt;$H$15+$F$15),1,IF(K$5=$H$15+$F$15,1-DelivFactor,0)))</f>
        <v>0</v>
      </c>
      <c r="L50" s="122" t="n">
        <f aca="false">(1-$I$15)*(1-$J$15)*$D$15*$E$15/4*MIN(1,MAX(0,(L$5-$H$15+1)/$T$15))*IF(L$5=$H$15,DelivFactor,IF(AND(L$5&gt;$H$15,L$5&lt;$H$15+$F$15),1,IF(L$5=$H$15+$F$15,1-DelivFactor,0)))</f>
        <v>0</v>
      </c>
      <c r="M50" s="122" t="n">
        <f aca="false">(1-$I$15)*(1-$J$15)*$D$15*$E$15/4*MIN(1,MAX(0,(M$5-$H$15+1)/$T$15))*IF(M$5=$H$15,DelivFactor,IF(AND(M$5&gt;$H$15,M$5&lt;$H$15+$F$15),1,IF(M$5=$H$15+$F$15,1-DelivFactor,0)))</f>
        <v>0</v>
      </c>
      <c r="N50" s="122" t="n">
        <f aca="false">(1-$I$15)*(1-$J$15)*$D$15*$E$15/4*MIN(1,MAX(0,(N$5-$H$15+1)/$T$15))*IF(N$5=$H$15,DelivFactor,IF(AND(N$5&gt;$H$15,N$5&lt;$H$15+$F$15),1,IF(N$5=$H$15+$F$15,1-DelivFactor,0)))</f>
        <v>0</v>
      </c>
      <c r="O50" s="122" t="n">
        <f aca="false">(1-$I$15)*(1-$J$15)*$D$15*$E$15/4*MIN(1,MAX(0,(O$5-$H$15+1)/$T$15))*IF(O$5=$H$15,DelivFactor,IF(AND(O$5&gt;$H$15,O$5&lt;$H$15+$F$15),1,IF(O$5=$H$15+$F$15,1-DelivFactor,0)))</f>
        <v>0</v>
      </c>
      <c r="P50" s="123" t="n">
        <f aca="false">(1-$I$15)*(1-$J$15)*$D$15*$E$15/4*MIN(1,MAX(0,(P$5-$H$15+1)/$T$15))*IF(P$5=$H$15,DelivFactor,IF(AND(P$5&gt;$H$15,P$5&lt;$H$15+$F$15),1,IF(P$5=$H$15+$F$15,1-DelivFactor,0)))</f>
        <v>12.0784027777778</v>
      </c>
      <c r="Q50" s="123" t="n">
        <f aca="false">(1-$I$15)*(1-$J$15)*$D$15*$E$15/4*MIN(1,MAX(0,(Q$5-$H$15+1)/$T$15))*IF(Q$5=$H$15,DelivFactor,IF(AND(Q$5&gt;$H$15,Q$5&lt;$H$15+$F$15),1,IF(Q$5=$H$15+$F$15,1-DelivFactor,0)))</f>
        <v>48.3136111111111</v>
      </c>
      <c r="R50" s="123" t="n">
        <f aca="false">(1-$I$15)*(1-$J$15)*$D$15*$E$15/4*MIN(1,MAX(0,(R$5-$H$15+1)/$T$15))*IF(R$5=$H$15,DelivFactor,IF(AND(R$5&gt;$H$15,R$5&lt;$H$15+$F$15),1,IF(R$5=$H$15+$F$15,1-DelivFactor,0)))</f>
        <v>72.4704166666667</v>
      </c>
      <c r="S50" s="123" t="n">
        <f aca="false">(1-$I$15)*(1-$J$15)*$D$15*$E$15/4*MIN(1,MAX(0,(S$5-$H$15+1)/$T$15))*IF(S$5=$H$15,DelivFactor,IF(AND(S$5&gt;$H$15,S$5&lt;$H$15+$F$15),1,IF(S$5=$H$15+$F$15,1-DelivFactor,0)))</f>
        <v>96.6272222222222</v>
      </c>
      <c r="T50" s="123" t="n">
        <f aca="false">(1-$I$15)*(1-$J$15)*$D$15*$E$15/4*MIN(1,MAX(0,(T$5-$H$15+1)/$T$15))*IF(T$5=$H$15,DelivFactor,IF(AND(T$5&gt;$H$15,T$5&lt;$H$15+$F$15),1,IF(T$5=$H$15+$F$15,1-DelivFactor,0)))</f>
        <v>96.6272222222222</v>
      </c>
      <c r="U50" s="123" t="n">
        <f aca="false">(1-$I$15)*(1-$J$15)*$D$15*$E$15/4*MIN(1,MAX(0,(U$5-$H$15+1)/$T$15))*IF(U$5=$H$15,DelivFactor,IF(AND(U$5&gt;$H$15,U$5&lt;$H$15+$F$15),1,IF(U$5=$H$15+$F$15,1-DelivFactor,0)))</f>
        <v>96.6272222222222</v>
      </c>
      <c r="V50" s="123" t="n">
        <f aca="false">(1-$I$15)*(1-$J$15)*$D$15*$E$15/4*MIN(1,MAX(0,(V$5-$H$15+1)/$T$15))*IF(V$5=$H$15,DelivFactor,IF(AND(V$5&gt;$H$15,V$5&lt;$H$15+$F$15),1,IF(V$5=$H$15+$F$15,1-DelivFactor,0)))</f>
        <v>96.6272222222222</v>
      </c>
      <c r="W50" s="123" t="n">
        <f aca="false">(1-$I$15)*(1-$J$15)*$D$15*$E$15/4*MIN(1,MAX(0,(W$5-$H$15+1)/$T$15))*IF(W$5=$H$15,DelivFactor,IF(AND(W$5&gt;$H$15,W$5&lt;$H$15+$F$15),1,IF(W$5=$H$15+$F$15,1-DelivFactor,0)))</f>
        <v>96.6272222222222</v>
      </c>
      <c r="X50" s="123" t="n">
        <f aca="false">(1-$I$15)*(1-$J$15)*$D$15*$E$15/4*MIN(1,MAX(0,(X$5-$H$15+1)/$T$15))*IF(X$5=$H$15,DelivFactor,IF(AND(X$5&gt;$H$15,X$5&lt;$H$15+$F$15),1,IF(X$5=$H$15+$F$15,1-DelivFactor,0)))</f>
        <v>96.6272222222222</v>
      </c>
      <c r="Y50" s="123" t="n">
        <f aca="false">(1-$I$15)*(1-$J$15)*$D$15*$E$15/4*MIN(1,MAX(0,(Y$5-$H$15+1)/$T$15))*IF(Y$5=$H$15,DelivFactor,IF(AND(Y$5&gt;$H$15,Y$5&lt;$H$15+$F$15),1,IF(Y$5=$H$15+$F$15,1-DelivFactor,0)))</f>
        <v>96.6272222222222</v>
      </c>
      <c r="Z50" s="123" t="n">
        <f aca="false">(1-$I$15)*(1-$J$15)*$D$15*$E$15/4*MIN(1,MAX(0,(Z$5-$H$15+1)/$T$15))*IF(Z$5=$H$15,DelivFactor,IF(AND(Z$5&gt;$H$15,Z$5&lt;$H$15+$F$15),1,IF(Z$5=$H$15+$F$15,1-DelivFactor,0)))</f>
        <v>96.6272222222222</v>
      </c>
      <c r="AA50" s="123" t="n">
        <f aca="false">(1-$I$15)*(1-$J$15)*$D$15*$E$15/4*MIN(1,MAX(0,(AA$5-$H$15+1)/$T$15))*IF(AA$5=$H$15,DelivFactor,IF(AND(AA$5&gt;$H$15,AA$5&lt;$H$15+$F$15),1,IF(AA$5=$H$15+$F$15,1-DelivFactor,0)))</f>
        <v>96.6272222222222</v>
      </c>
      <c r="AB50" s="123" t="n">
        <f aca="false">(1-$I$15)*(1-$J$15)*$D$15*$E$15/4*MIN(1,MAX(0,(AB$5-$H$15+1)/$T$15))*IF(AB$5=$H$15,DelivFactor,IF(AND(AB$5&gt;$H$15,AB$5&lt;$H$15+$F$15),1,IF(AB$5=$H$15+$F$15,1-DelivFactor,0)))</f>
        <v>96.6272222222222</v>
      </c>
      <c r="AC50" s="123" t="n">
        <f aca="false">(1-$I$15)*(1-$J$15)*$D$15*$E$15/4*MIN(1,MAX(0,(AC$5-$H$15+1)/$T$15))*IF(AC$5=$H$15,DelivFactor,IF(AND(AC$5&gt;$H$15,AC$5&lt;$H$15+$F$15),1,IF(AC$5=$H$15+$F$15,1-DelivFactor,0)))</f>
        <v>96.6272222222222</v>
      </c>
      <c r="AD50" s="123" t="n">
        <f aca="false">(1-$I$15)*(1-$J$15)*$D$15*$E$15/4*MIN(1,MAX(0,(AD$5-$H$15+1)/$T$15))*IF(AD$5=$H$15,DelivFactor,IF(AND(AD$5&gt;$H$15,AD$5&lt;$H$15+$F$15),1,IF(AD$5=$H$15+$F$15,1-DelivFactor,0)))</f>
        <v>96.6272222222222</v>
      </c>
      <c r="AE50" s="123" t="n">
        <f aca="false">(1-$I$15)*(1-$J$15)*$D$15*$E$15/4*MIN(1,MAX(0,(AE$5-$H$15+1)/$T$15))*IF(AE$5=$H$15,DelivFactor,IF(AND(AE$5&gt;$H$15,AE$5&lt;$H$15+$F$15),1,IF(AE$5=$H$15+$F$15,1-DelivFactor,0)))</f>
        <v>96.6272222222222</v>
      </c>
      <c r="AF50" s="123" t="n">
        <f aca="false">(1-$I$15)*(1-$J$15)*$D$15*$E$15/4*MIN(1,MAX(0,(AF$5-$H$15+1)/$T$15))*IF(AF$5=$H$15,DelivFactor,IF(AND(AF$5&gt;$H$15,AF$5&lt;$H$15+$F$15),1,IF(AF$5=$H$15+$F$15,1-DelivFactor,0)))</f>
        <v>96.6272222222222</v>
      </c>
      <c r="AG50" s="123" t="n">
        <f aca="false">(1-$I$15)*(1-$J$15)*$D$15*$E$15/4*MIN(1,MAX(0,(AG$5-$H$15+1)/$T$15))*IF(AG$5=$H$15,DelivFactor,IF(AND(AG$5&gt;$H$15,AG$5&lt;$H$15+$F$15),1,IF(AG$5=$H$15+$F$15,1-DelivFactor,0)))</f>
        <v>96.6272222222222</v>
      </c>
      <c r="AI50" s="123" t="n">
        <f aca="false">SUMIF($F$7:$AG$7,AI$7,$F50:$AG50)</f>
        <v>0</v>
      </c>
      <c r="AJ50" s="123" t="n">
        <f aca="false">SUMIF($F$7:$AG$7,AJ$7,$F50:$AG50)</f>
        <v>0</v>
      </c>
      <c r="AK50" s="123" t="n">
        <f aca="false">SUMIF($F$7:$AG$7,AK$7,$F50:$AG50)</f>
        <v>60.3920138888889</v>
      </c>
      <c r="AL50" s="123" t="n">
        <f aca="false">SUMIF($F$7:$AG$7,AL$7,$F50:$AG50)</f>
        <v>362.352083333333</v>
      </c>
      <c r="AM50" s="123" t="n">
        <f aca="false">SUMIF($F$7:$AG$7,AM$7,$F50:$AG50)</f>
        <v>386.508888888889</v>
      </c>
      <c r="AN50" s="123" t="n">
        <f aca="false">SUMIF($F$7:$AG$7,AN$7,$F50:$AG50)</f>
        <v>386.508888888889</v>
      </c>
      <c r="AO50" s="123" t="n">
        <f aca="false">SUMIF($F$7:$AG$7,AO$7,$F50:$AG50)</f>
        <v>386.508888888889</v>
      </c>
    </row>
    <row r="51" customFormat="false" ht="15" hidden="false" customHeight="false" outlineLevel="0" collapsed="false">
      <c r="A51" s="104" t="s">
        <v>1650</v>
      </c>
      <c r="B51" s="20" t="s">
        <v>575</v>
      </c>
      <c r="C51" s="20"/>
      <c r="D51" s="20"/>
      <c r="F51" s="113" t="n">
        <f aca="false">(1-$I$15)*(1-$J$15)*$D$15*AND(F$5&gt;=$H$15,F$5&lt;$H$15+$F$15)</f>
        <v>0</v>
      </c>
      <c r="G51" s="113" t="n">
        <f aca="false">(1-$I$15)*(1-$J$15)*$D$15*AND(G$5&gt;=$H$15,G$5&lt;$H$15+$F$15)</f>
        <v>0</v>
      </c>
      <c r="H51" s="113" t="n">
        <f aca="false">(1-$I$15)*(1-$J$15)*$D$15*AND(H$5&gt;=$H$15,H$5&lt;$H$15+$F$15)</f>
        <v>0</v>
      </c>
      <c r="I51" s="113" t="n">
        <f aca="false">(1-$I$15)*(1-$J$15)*$D$15*AND(I$5&gt;=$H$15,I$5&lt;$H$15+$F$15)</f>
        <v>0</v>
      </c>
      <c r="J51" s="113" t="n">
        <f aca="false">(1-$I$15)*(1-$J$15)*$D$15*AND(J$5&gt;=$H$15,J$5&lt;$H$15+$F$15)</f>
        <v>0</v>
      </c>
      <c r="K51" s="113" t="n">
        <f aca="false">(1-$I$15)*(1-$J$15)*$D$15*AND(K$5&gt;=$H$15,K$5&lt;$H$15+$F$15)</f>
        <v>0</v>
      </c>
      <c r="L51" s="113" t="n">
        <f aca="false">(1-$I$15)*(1-$J$15)*$D$15*AND(L$5&gt;=$H$15,L$5&lt;$H$15+$F$15)</f>
        <v>0</v>
      </c>
      <c r="M51" s="113" t="n">
        <f aca="false">(1-$I$15)*(1-$J$15)*$D$15*AND(M$5&gt;=$H$15,M$5&lt;$H$15+$F$15)</f>
        <v>0</v>
      </c>
      <c r="N51" s="113" t="n">
        <f aca="false">(1-$I$15)*(1-$J$15)*$D$15*AND(N$5&gt;=$H$15,N$5&lt;$H$15+$F$15)</f>
        <v>0</v>
      </c>
      <c r="O51" s="113" t="n">
        <f aca="false">(1-$I$15)*(1-$J$15)*$D$15*AND(O$5&gt;=$H$15,O$5&lt;$H$15+$F$15)</f>
        <v>0</v>
      </c>
      <c r="P51" s="31" t="n">
        <f aca="false">(1-$I$15)*(1-$J$15)*$D$15*AND(P$5&gt;=$H$15,P$5&lt;$H$15+$F$15)</f>
        <v>26.6666666666667</v>
      </c>
      <c r="Q51" s="31" t="n">
        <f aca="false">(1-$I$15)*(1-$J$15)*$D$15*AND(Q$5&gt;=$H$15,Q$5&lt;$H$15+$F$15)</f>
        <v>26.6666666666667</v>
      </c>
      <c r="R51" s="31" t="n">
        <f aca="false">(1-$I$15)*(1-$J$15)*$D$15*AND(R$5&gt;=$H$15,R$5&lt;$H$15+$F$15)</f>
        <v>26.6666666666667</v>
      </c>
      <c r="S51" s="31" t="n">
        <f aca="false">(1-$I$15)*(1-$J$15)*$D$15*AND(S$5&gt;=$H$15,S$5&lt;$H$15+$F$15)</f>
        <v>26.6666666666667</v>
      </c>
      <c r="T51" s="31" t="n">
        <f aca="false">(1-$I$15)*(1-$J$15)*$D$15*AND(T$5&gt;=$H$15,T$5&lt;$H$15+$F$15)</f>
        <v>26.6666666666667</v>
      </c>
      <c r="U51" s="31" t="n">
        <f aca="false">(1-$I$15)*(1-$J$15)*$D$15*AND(U$5&gt;=$H$15,U$5&lt;$H$15+$F$15)</f>
        <v>26.6666666666667</v>
      </c>
      <c r="V51" s="31" t="n">
        <f aca="false">(1-$I$15)*(1-$J$15)*$D$15*AND(V$5&gt;=$H$15,V$5&lt;$H$15+$F$15)</f>
        <v>26.6666666666667</v>
      </c>
      <c r="W51" s="31" t="n">
        <f aca="false">(1-$I$15)*(1-$J$15)*$D$15*AND(W$5&gt;=$H$15,W$5&lt;$H$15+$F$15)</f>
        <v>26.6666666666667</v>
      </c>
      <c r="X51" s="31" t="n">
        <f aca="false">(1-$I$15)*(1-$J$15)*$D$15*AND(X$5&gt;=$H$15,X$5&lt;$H$15+$F$15)</f>
        <v>26.6666666666667</v>
      </c>
      <c r="Y51" s="31" t="n">
        <f aca="false">(1-$I$15)*(1-$J$15)*$D$15*AND(Y$5&gt;=$H$15,Y$5&lt;$H$15+$F$15)</f>
        <v>26.6666666666667</v>
      </c>
      <c r="Z51" s="31" t="n">
        <f aca="false">(1-$I$15)*(1-$J$15)*$D$15*AND(Z$5&gt;=$H$15,Z$5&lt;$H$15+$F$15)</f>
        <v>26.6666666666667</v>
      </c>
      <c r="AA51" s="31" t="n">
        <f aca="false">(1-$I$15)*(1-$J$15)*$D$15*AND(AA$5&gt;=$H$15,AA$5&lt;$H$15+$F$15)</f>
        <v>26.6666666666667</v>
      </c>
      <c r="AB51" s="31" t="n">
        <f aca="false">(1-$I$15)*(1-$J$15)*$D$15*AND(AB$5&gt;=$H$15,AB$5&lt;$H$15+$F$15)</f>
        <v>26.6666666666667</v>
      </c>
      <c r="AC51" s="31" t="n">
        <f aca="false">(1-$I$15)*(1-$J$15)*$D$15*AND(AC$5&gt;=$H$15,AC$5&lt;$H$15+$F$15)</f>
        <v>26.6666666666667</v>
      </c>
      <c r="AD51" s="31" t="n">
        <f aca="false">(1-$I$15)*(1-$J$15)*$D$15*AND(AD$5&gt;=$H$15,AD$5&lt;$H$15+$F$15)</f>
        <v>26.6666666666667</v>
      </c>
      <c r="AE51" s="31" t="n">
        <f aca="false">(1-$I$15)*(1-$J$15)*$D$15*AND(AE$5&gt;=$H$15,AE$5&lt;$H$15+$F$15)</f>
        <v>26.6666666666667</v>
      </c>
      <c r="AF51" s="31" t="n">
        <f aca="false">(1-$I$15)*(1-$J$15)*$D$15*AND(AF$5&gt;=$H$15,AF$5&lt;$H$15+$F$15)</f>
        <v>26.6666666666667</v>
      </c>
      <c r="AG51" s="31" t="n">
        <f aca="false">(1-$I$15)*(1-$J$15)*$D$15*AND(AG$5&gt;=$H$15,AG$5&lt;$H$15+$F$15)</f>
        <v>26.6666666666667</v>
      </c>
      <c r="AI51" s="31" t="n">
        <f aca="false">INDEX($F51:$AG51,1,MATCH(AI$7,$F$7:$AG$7,1))</f>
        <v>0</v>
      </c>
      <c r="AJ51" s="31" t="n">
        <f aca="false">INDEX($F51:$AG51,1,MATCH(AJ$7,$F$7:$AG$7,1))</f>
        <v>0</v>
      </c>
      <c r="AK51" s="31" t="n">
        <f aca="false">INDEX($F51:$AG51,1,MATCH(AK$7,$F$7:$AG$7,1))</f>
        <v>26.6666666666667</v>
      </c>
      <c r="AL51" s="31" t="n">
        <f aca="false">INDEX($F51:$AG51,1,MATCH(AL$7,$F$7:$AG$7,1))</f>
        <v>26.6666666666667</v>
      </c>
      <c r="AM51" s="31" t="n">
        <f aca="false">INDEX($F51:$AG51,1,MATCH(AM$7,$F$7:$AG$7,1))</f>
        <v>26.6666666666667</v>
      </c>
      <c r="AN51" s="31" t="n">
        <f aca="false">INDEX($F51:$AG51,1,MATCH(AN$7,$F$7:$AG$7,1))</f>
        <v>26.6666666666667</v>
      </c>
      <c r="AO51" s="31" t="n">
        <f aca="false">INDEX($F51:$AG51,1,MATCH(AO$7,$F$7:$AG$7,1))</f>
        <v>26.6666666666667</v>
      </c>
    </row>
    <row r="52" customFormat="false" ht="15" hidden="false" customHeight="false" outlineLevel="0" collapsed="false">
      <c r="A52" s="104" t="s">
        <v>1651</v>
      </c>
      <c r="B52" s="20" t="s">
        <v>561</v>
      </c>
      <c r="C52" s="20"/>
      <c r="D52" s="20"/>
      <c r="F52" s="122" t="n">
        <f aca="false">-(1-$I$15)*LD_Pct*$D$15*$E$15/4*AND(F$5&gt;=$G$15,F$5&lt;$H$15)</f>
        <v>-0</v>
      </c>
      <c r="G52" s="122" t="n">
        <f aca="false">-(1-$I$15)*LD_Pct*$D$15*$E$15/4*AND(G$5&gt;=$G$15,G$5&lt;$H$15)</f>
        <v>-0</v>
      </c>
      <c r="H52" s="122" t="n">
        <f aca="false">-(1-$I$15)*LD_Pct*$D$15*$E$15/4*AND(H$5&gt;=$G$15,H$5&lt;$H$15)</f>
        <v>-0</v>
      </c>
      <c r="I52" s="122" t="n">
        <f aca="false">-(1-$I$15)*LD_Pct*$D$15*$E$15/4*AND(I$5&gt;=$G$15,I$5&lt;$H$15)</f>
        <v>-0</v>
      </c>
      <c r="J52" s="122" t="n">
        <f aca="false">-(1-$I$15)*LD_Pct*$D$15*$E$15/4*AND(J$5&gt;=$G$15,J$5&lt;$H$15)</f>
        <v>-0</v>
      </c>
      <c r="K52" s="122" t="n">
        <f aca="false">-(1-$I$15)*LD_Pct*$D$15*$E$15/4*AND(K$5&gt;=$G$15,K$5&lt;$H$15)</f>
        <v>-0</v>
      </c>
      <c r="L52" s="122" t="n">
        <f aca="false">-(1-$I$15)*LD_Pct*$D$15*$E$15/4*AND(L$5&gt;=$G$15,L$5&lt;$H$15)</f>
        <v>-0</v>
      </c>
      <c r="M52" s="122" t="n">
        <f aca="false">-(1-$I$15)*LD_Pct*$D$15*$E$15/4*AND(M$5&gt;=$G$15,M$5&lt;$H$15)</f>
        <v>-0</v>
      </c>
      <c r="N52" s="122" t="n">
        <f aca="false">-(1-$I$15)*LD_Pct*$D$15*$E$15/4*AND(N$5&gt;=$G$15,N$5&lt;$H$15)</f>
        <v>-0</v>
      </c>
      <c r="O52" s="122" t="n">
        <f aca="false">-(1-$I$15)*LD_Pct*$D$15*$E$15/4*AND(O$5&gt;=$G$15,O$5&lt;$H$15)</f>
        <v>-0</v>
      </c>
      <c r="P52" s="123" t="n">
        <f aca="false">-(1-$I$15)*LD_Pct*$D$15*$E$15/4*AND(P$5&gt;=$G$15,P$5&lt;$H$15)</f>
        <v>-0</v>
      </c>
      <c r="Q52" s="123" t="n">
        <f aca="false">-(1-$I$15)*LD_Pct*$D$15*$E$15/4*AND(Q$5&gt;=$G$15,Q$5&lt;$H$15)</f>
        <v>-0</v>
      </c>
      <c r="R52" s="123" t="n">
        <f aca="false">-(1-$I$15)*LD_Pct*$D$15*$E$15/4*AND(R$5&gt;=$G$15,R$5&lt;$H$15)</f>
        <v>-0</v>
      </c>
      <c r="S52" s="123" t="n">
        <f aca="false">-(1-$I$15)*LD_Pct*$D$15*$E$15/4*AND(S$5&gt;=$G$15,S$5&lt;$H$15)</f>
        <v>-0</v>
      </c>
      <c r="T52" s="123" t="n">
        <f aca="false">-(1-$I$15)*LD_Pct*$D$15*$E$15/4*AND(T$5&gt;=$G$15,T$5&lt;$H$15)</f>
        <v>-0</v>
      </c>
      <c r="U52" s="123" t="n">
        <f aca="false">-(1-$I$15)*LD_Pct*$D$15*$E$15/4*AND(U$5&gt;=$G$15,U$5&lt;$H$15)</f>
        <v>-0</v>
      </c>
      <c r="V52" s="123" t="n">
        <f aca="false">-(1-$I$15)*LD_Pct*$D$15*$E$15/4*AND(V$5&gt;=$G$15,V$5&lt;$H$15)</f>
        <v>-0</v>
      </c>
      <c r="W52" s="123" t="n">
        <f aca="false">-(1-$I$15)*LD_Pct*$D$15*$E$15/4*AND(W$5&gt;=$G$15,W$5&lt;$H$15)</f>
        <v>-0</v>
      </c>
      <c r="X52" s="123" t="n">
        <f aca="false">-(1-$I$15)*LD_Pct*$D$15*$E$15/4*AND(X$5&gt;=$G$15,X$5&lt;$H$15)</f>
        <v>-0</v>
      </c>
      <c r="Y52" s="123" t="n">
        <f aca="false">-(1-$I$15)*LD_Pct*$D$15*$E$15/4*AND(Y$5&gt;=$G$15,Y$5&lt;$H$15)</f>
        <v>-0</v>
      </c>
      <c r="Z52" s="123" t="n">
        <f aca="false">-(1-$I$15)*LD_Pct*$D$15*$E$15/4*AND(Z$5&gt;=$G$15,Z$5&lt;$H$15)</f>
        <v>-0</v>
      </c>
      <c r="AA52" s="123" t="n">
        <f aca="false">-(1-$I$15)*LD_Pct*$D$15*$E$15/4*AND(AA$5&gt;=$G$15,AA$5&lt;$H$15)</f>
        <v>-0</v>
      </c>
      <c r="AB52" s="123" t="n">
        <f aca="false">-(1-$I$15)*LD_Pct*$D$15*$E$15/4*AND(AB$5&gt;=$G$15,AB$5&lt;$H$15)</f>
        <v>-0</v>
      </c>
      <c r="AC52" s="123" t="n">
        <f aca="false">-(1-$I$15)*LD_Pct*$D$15*$E$15/4*AND(AC$5&gt;=$G$15,AC$5&lt;$H$15)</f>
        <v>-0</v>
      </c>
      <c r="AD52" s="123" t="n">
        <f aca="false">-(1-$I$15)*LD_Pct*$D$15*$E$15/4*AND(AD$5&gt;=$G$15,AD$5&lt;$H$15)</f>
        <v>-0</v>
      </c>
      <c r="AE52" s="123" t="n">
        <f aca="false">-(1-$I$15)*LD_Pct*$D$15*$E$15/4*AND(AE$5&gt;=$G$15,AE$5&lt;$H$15)</f>
        <v>-0</v>
      </c>
      <c r="AF52" s="123" t="n">
        <f aca="false">-(1-$I$15)*LD_Pct*$D$15*$E$15/4*AND(AF$5&gt;=$G$15,AF$5&lt;$H$15)</f>
        <v>-0</v>
      </c>
      <c r="AG52" s="123" t="n">
        <f aca="false">-(1-$I$15)*LD_Pct*$D$15*$E$15/4*AND(AG$5&gt;=$G$15,AG$5&lt;$H$15)</f>
        <v>-0</v>
      </c>
      <c r="AI52" s="123" t="n">
        <f aca="false">SUMIF($F$7:$AG$7,AI$7,$F52:$AG52)</f>
        <v>0</v>
      </c>
      <c r="AJ52" s="123" t="n">
        <f aca="false">SUMIF($F$7:$AG$7,AJ$7,$F52:$AG52)</f>
        <v>0</v>
      </c>
      <c r="AK52" s="123" t="n">
        <f aca="false">SUMIF($F$7:$AG$7,AK$7,$F52:$AG52)</f>
        <v>0</v>
      </c>
      <c r="AL52" s="123" t="n">
        <f aca="false">SUMIF($F$7:$AG$7,AL$7,$F52:$AG52)</f>
        <v>0</v>
      </c>
      <c r="AM52" s="123" t="n">
        <f aca="false">SUMIF($F$7:$AG$7,AM$7,$F52:$AG52)</f>
        <v>0</v>
      </c>
      <c r="AN52" s="123" t="n">
        <f aca="false">SUMIF($F$7:$AG$7,AN$7,$F52:$AG52)</f>
        <v>0</v>
      </c>
      <c r="AO52" s="123" t="n">
        <f aca="false">SUMIF($F$7:$AG$7,AO$7,$F52:$AG52)</f>
        <v>0</v>
      </c>
    </row>
    <row r="53" customFormat="false" ht="15" hidden="false" customHeight="false" outlineLevel="0" collapsed="false">
      <c r="A53" s="104" t="s">
        <v>1652</v>
      </c>
      <c r="B53" s="20" t="s">
        <v>575</v>
      </c>
      <c r="C53" s="20"/>
      <c r="D53" s="20"/>
      <c r="F53" s="113" t="n">
        <f aca="false">(1-$I$15)*(1-$J$15)*$D$15*(F$5&gt;=$H$15+$F$15)</f>
        <v>0</v>
      </c>
      <c r="G53" s="113" t="n">
        <f aca="false">(1-$I$15)*(1-$J$15)*$D$15*(G$5&gt;=$H$15+$F$15)</f>
        <v>0</v>
      </c>
      <c r="H53" s="113" t="n">
        <f aca="false">(1-$I$15)*(1-$J$15)*$D$15*(H$5&gt;=$H$15+$F$15)</f>
        <v>0</v>
      </c>
      <c r="I53" s="113" t="n">
        <f aca="false">(1-$I$15)*(1-$J$15)*$D$15*(I$5&gt;=$H$15+$F$15)</f>
        <v>0</v>
      </c>
      <c r="J53" s="113" t="n">
        <f aca="false">(1-$I$15)*(1-$J$15)*$D$15*(J$5&gt;=$H$15+$F$15)</f>
        <v>0</v>
      </c>
      <c r="K53" s="113" t="n">
        <f aca="false">(1-$I$15)*(1-$J$15)*$D$15*(K$5&gt;=$H$15+$F$15)</f>
        <v>0</v>
      </c>
      <c r="L53" s="113" t="n">
        <f aca="false">(1-$I$15)*(1-$J$15)*$D$15*(L$5&gt;=$H$15+$F$15)</f>
        <v>0</v>
      </c>
      <c r="M53" s="113" t="n">
        <f aca="false">(1-$I$15)*(1-$J$15)*$D$15*(M$5&gt;=$H$15+$F$15)</f>
        <v>0</v>
      </c>
      <c r="N53" s="113" t="n">
        <f aca="false">(1-$I$15)*(1-$J$15)*$D$15*(N$5&gt;=$H$15+$F$15)</f>
        <v>0</v>
      </c>
      <c r="O53" s="113" t="n">
        <f aca="false">(1-$I$15)*(1-$J$15)*$D$15*(O$5&gt;=$H$15+$F$15)</f>
        <v>0</v>
      </c>
      <c r="P53" s="31" t="n">
        <f aca="false">(1-$I$15)*(1-$J$15)*$D$15*(P$5&gt;=$H$15+$F$15)</f>
        <v>0</v>
      </c>
      <c r="Q53" s="31" t="n">
        <f aca="false">(1-$I$15)*(1-$J$15)*$D$15*(Q$5&gt;=$H$15+$F$15)</f>
        <v>0</v>
      </c>
      <c r="R53" s="31" t="n">
        <f aca="false">(1-$I$15)*(1-$J$15)*$D$15*(R$5&gt;=$H$15+$F$15)</f>
        <v>0</v>
      </c>
      <c r="S53" s="31" t="n">
        <f aca="false">(1-$I$15)*(1-$J$15)*$D$15*(S$5&gt;=$H$15+$F$15)</f>
        <v>0</v>
      </c>
      <c r="T53" s="31" t="n">
        <f aca="false">(1-$I$15)*(1-$J$15)*$D$15*(T$5&gt;=$H$15+$F$15)</f>
        <v>0</v>
      </c>
      <c r="U53" s="31" t="n">
        <f aca="false">(1-$I$15)*(1-$J$15)*$D$15*(U$5&gt;=$H$15+$F$15)</f>
        <v>0</v>
      </c>
      <c r="V53" s="31" t="n">
        <f aca="false">(1-$I$15)*(1-$J$15)*$D$15*(V$5&gt;=$H$15+$F$15)</f>
        <v>0</v>
      </c>
      <c r="W53" s="31" t="n">
        <f aca="false">(1-$I$15)*(1-$J$15)*$D$15*(W$5&gt;=$H$15+$F$15)</f>
        <v>0</v>
      </c>
      <c r="X53" s="31" t="n">
        <f aca="false">(1-$I$15)*(1-$J$15)*$D$15*(X$5&gt;=$H$15+$F$15)</f>
        <v>0</v>
      </c>
      <c r="Y53" s="31" t="n">
        <f aca="false">(1-$I$15)*(1-$J$15)*$D$15*(Y$5&gt;=$H$15+$F$15)</f>
        <v>0</v>
      </c>
      <c r="Z53" s="31" t="n">
        <f aca="false">(1-$I$15)*(1-$J$15)*$D$15*(Z$5&gt;=$H$15+$F$15)</f>
        <v>0</v>
      </c>
      <c r="AA53" s="31" t="n">
        <f aca="false">(1-$I$15)*(1-$J$15)*$D$15*(AA$5&gt;=$H$15+$F$15)</f>
        <v>0</v>
      </c>
      <c r="AB53" s="31" t="n">
        <f aca="false">(1-$I$15)*(1-$J$15)*$D$15*(AB$5&gt;=$H$15+$F$15)</f>
        <v>0</v>
      </c>
      <c r="AC53" s="31" t="n">
        <f aca="false">(1-$I$15)*(1-$J$15)*$D$15*(AC$5&gt;=$H$15+$F$15)</f>
        <v>0</v>
      </c>
      <c r="AD53" s="31" t="n">
        <f aca="false">(1-$I$15)*(1-$J$15)*$D$15*(AD$5&gt;=$H$15+$F$15)</f>
        <v>0</v>
      </c>
      <c r="AE53" s="31" t="n">
        <f aca="false">(1-$I$15)*(1-$J$15)*$D$15*(AE$5&gt;=$H$15+$F$15)</f>
        <v>0</v>
      </c>
      <c r="AF53" s="31" t="n">
        <f aca="false">(1-$I$15)*(1-$J$15)*$D$15*(AF$5&gt;=$H$15+$F$15)</f>
        <v>0</v>
      </c>
      <c r="AG53" s="31" t="n">
        <f aca="false">(1-$I$15)*(1-$J$15)*$D$15*(AG$5&gt;=$H$15+$F$15)</f>
        <v>0</v>
      </c>
      <c r="AI53" s="31" t="n">
        <f aca="false">INDEX($F53:$AG53,1,MATCH(AI$7,$F$7:$AG$7,1))</f>
        <v>0</v>
      </c>
      <c r="AJ53" s="31" t="n">
        <f aca="false">INDEX($F53:$AG53,1,MATCH(AJ$7,$F$7:$AG$7,1))</f>
        <v>0</v>
      </c>
      <c r="AK53" s="31" t="n">
        <f aca="false">INDEX($F53:$AG53,1,MATCH(AK$7,$F$7:$AG$7,1))</f>
        <v>0</v>
      </c>
      <c r="AL53" s="31" t="n">
        <f aca="false">INDEX($F53:$AG53,1,MATCH(AL$7,$F$7:$AG$7,1))</f>
        <v>0</v>
      </c>
      <c r="AM53" s="31" t="n">
        <f aca="false">INDEX($F53:$AG53,1,MATCH(AM$7,$F$7:$AG$7,1))</f>
        <v>0</v>
      </c>
      <c r="AN53" s="31" t="n">
        <f aca="false">INDEX($F53:$AG53,1,MATCH(AN$7,$F$7:$AG$7,1))</f>
        <v>0</v>
      </c>
      <c r="AO53" s="31" t="n">
        <f aca="false">INDEX($F53:$AG53,1,MATCH(AO$7,$F$7:$AG$7,1))</f>
        <v>0</v>
      </c>
    </row>
    <row r="54" customFormat="false" ht="15" hidden="false" customHeight="false" outlineLevel="0" collapsed="false">
      <c r="A54" s="104" t="s">
        <v>1653</v>
      </c>
      <c r="B54" s="20" t="s">
        <v>561</v>
      </c>
      <c r="C54" s="20"/>
      <c r="D54" s="20" t="s">
        <v>1638</v>
      </c>
      <c r="F54" s="122" t="n">
        <f aca="false">F53*CHOOSE(MATCH($C$15,{"H";"B";"N"},0),GPUMW_H*ODc_H,GPUMW_B*ODc_B,GPUMW_N*ODc_N)*ResidUtil*Timeline!F$9*INDEX(Curve,1,MAX(1,MIN(8,INT((F$5-$H$15)/4)+1)))/1000000</f>
        <v>0</v>
      </c>
      <c r="G54" s="122" t="n">
        <f aca="false">G53*CHOOSE(MATCH($C$15,{"H";"B";"N"},0),GPUMW_H*ODc_H,GPUMW_B*ODc_B,GPUMW_N*ODc_N)*ResidUtil*Timeline!G$9*INDEX(Curve,1,MAX(1,MIN(8,INT((G$5-$H$15)/4)+1)))/1000000</f>
        <v>0</v>
      </c>
      <c r="H54" s="122" t="n">
        <f aca="false">H53*CHOOSE(MATCH($C$15,{"H";"B";"N"},0),GPUMW_H*ODc_H,GPUMW_B*ODc_B,GPUMW_N*ODc_N)*ResidUtil*Timeline!H$9*INDEX(Curve,1,MAX(1,MIN(8,INT((H$5-$H$15)/4)+1)))/1000000</f>
        <v>0</v>
      </c>
      <c r="I54" s="122" t="n">
        <f aca="false">I53*CHOOSE(MATCH($C$15,{"H";"B";"N"},0),GPUMW_H*ODc_H,GPUMW_B*ODc_B,GPUMW_N*ODc_N)*ResidUtil*Timeline!I$9*INDEX(Curve,1,MAX(1,MIN(8,INT((I$5-$H$15)/4)+1)))/1000000</f>
        <v>0</v>
      </c>
      <c r="J54" s="122" t="n">
        <f aca="false">J53*CHOOSE(MATCH($C$15,{"H";"B";"N"},0),GPUMW_H*ODc_H,GPUMW_B*ODc_B,GPUMW_N*ODc_N)*ResidUtil*Timeline!J$9*INDEX(Curve,1,MAX(1,MIN(8,INT((J$5-$H$15)/4)+1)))/1000000</f>
        <v>0</v>
      </c>
      <c r="K54" s="122" t="n">
        <f aca="false">K53*CHOOSE(MATCH($C$15,{"H";"B";"N"},0),GPUMW_H*ODc_H,GPUMW_B*ODc_B,GPUMW_N*ODc_N)*ResidUtil*Timeline!K$9*INDEX(Curve,1,MAX(1,MIN(8,INT((K$5-$H$15)/4)+1)))/1000000</f>
        <v>0</v>
      </c>
      <c r="L54" s="122" t="n">
        <f aca="false">L53*CHOOSE(MATCH($C$15,{"H";"B";"N"},0),GPUMW_H*ODc_H,GPUMW_B*ODc_B,GPUMW_N*ODc_N)*ResidUtil*Timeline!L$9*INDEX(Curve,1,MAX(1,MIN(8,INT((L$5-$H$15)/4)+1)))/1000000</f>
        <v>0</v>
      </c>
      <c r="M54" s="122" t="n">
        <f aca="false">M53*CHOOSE(MATCH($C$15,{"H";"B";"N"},0),GPUMW_H*ODc_H,GPUMW_B*ODc_B,GPUMW_N*ODc_N)*ResidUtil*Timeline!M$9*INDEX(Curve,1,MAX(1,MIN(8,INT((M$5-$H$15)/4)+1)))/1000000</f>
        <v>0</v>
      </c>
      <c r="N54" s="122" t="n">
        <f aca="false">N53*CHOOSE(MATCH($C$15,{"H";"B";"N"},0),GPUMW_H*ODc_H,GPUMW_B*ODc_B,GPUMW_N*ODc_N)*ResidUtil*Timeline!N$9*INDEX(Curve,1,MAX(1,MIN(8,INT((N$5-$H$15)/4)+1)))/1000000</f>
        <v>0</v>
      </c>
      <c r="O54" s="122" t="n">
        <f aca="false">O53*CHOOSE(MATCH($C$15,{"H";"B";"N"},0),GPUMW_H*ODc_H,GPUMW_B*ODc_B,GPUMW_N*ODc_N)*ResidUtil*Timeline!O$9*INDEX(Curve,1,MAX(1,MIN(8,INT((O$5-$H$15)/4)+1)))/1000000</f>
        <v>0</v>
      </c>
      <c r="P54" s="123" t="n">
        <f aca="false">P53*CHOOSE(MATCH($C$15,{"H";"B";"N"},0),GPUMW_H*ODc_H,GPUMW_B*ODc_B,GPUMW_N*ODc_N)*ResidUtil*Timeline!P$9*INDEX(Curve,1,MAX(1,MIN(8,INT((P$5-$H$15)/4)+1)))/1000000</f>
        <v>0</v>
      </c>
      <c r="Q54" s="123" t="n">
        <f aca="false">Q53*CHOOSE(MATCH($C$15,{"H";"B";"N"},0),GPUMW_H*ODc_H,GPUMW_B*ODc_B,GPUMW_N*ODc_N)*ResidUtil*Timeline!Q$9*INDEX(Curve,1,MAX(1,MIN(8,INT((Q$5-$H$15)/4)+1)))/1000000</f>
        <v>0</v>
      </c>
      <c r="R54" s="123" t="n">
        <f aca="false">R53*CHOOSE(MATCH($C$15,{"H";"B";"N"},0),GPUMW_H*ODc_H,GPUMW_B*ODc_B,GPUMW_N*ODc_N)*ResidUtil*Timeline!R$9*INDEX(Curve,1,MAX(1,MIN(8,INT((R$5-$H$15)/4)+1)))/1000000</f>
        <v>0</v>
      </c>
      <c r="S54" s="123" t="n">
        <f aca="false">S53*CHOOSE(MATCH($C$15,{"H";"B";"N"},0),GPUMW_H*ODc_H,GPUMW_B*ODc_B,GPUMW_N*ODc_N)*ResidUtil*Timeline!S$9*INDEX(Curve,1,MAX(1,MIN(8,INT((S$5-$H$15)/4)+1)))/1000000</f>
        <v>0</v>
      </c>
      <c r="T54" s="123" t="n">
        <f aca="false">T53*CHOOSE(MATCH($C$15,{"H";"B";"N"},0),GPUMW_H*ODc_H,GPUMW_B*ODc_B,GPUMW_N*ODc_N)*ResidUtil*Timeline!T$9*INDEX(Curve,1,MAX(1,MIN(8,INT((T$5-$H$15)/4)+1)))/1000000</f>
        <v>0</v>
      </c>
      <c r="U54" s="123" t="n">
        <f aca="false">U53*CHOOSE(MATCH($C$15,{"H";"B";"N"},0),GPUMW_H*ODc_H,GPUMW_B*ODc_B,GPUMW_N*ODc_N)*ResidUtil*Timeline!U$9*INDEX(Curve,1,MAX(1,MIN(8,INT((U$5-$H$15)/4)+1)))/1000000</f>
        <v>0</v>
      </c>
      <c r="V54" s="123" t="n">
        <f aca="false">V53*CHOOSE(MATCH($C$15,{"H";"B";"N"},0),GPUMW_H*ODc_H,GPUMW_B*ODc_B,GPUMW_N*ODc_N)*ResidUtil*Timeline!V$9*INDEX(Curve,1,MAX(1,MIN(8,INT((V$5-$H$15)/4)+1)))/1000000</f>
        <v>0</v>
      </c>
      <c r="W54" s="123" t="n">
        <f aca="false">W53*CHOOSE(MATCH($C$15,{"H";"B";"N"},0),GPUMW_H*ODc_H,GPUMW_B*ODc_B,GPUMW_N*ODc_N)*ResidUtil*Timeline!W$9*INDEX(Curve,1,MAX(1,MIN(8,INT((W$5-$H$15)/4)+1)))/1000000</f>
        <v>0</v>
      </c>
      <c r="X54" s="123" t="n">
        <f aca="false">X53*CHOOSE(MATCH($C$15,{"H";"B";"N"},0),GPUMW_H*ODc_H,GPUMW_B*ODc_B,GPUMW_N*ODc_N)*ResidUtil*Timeline!X$9*INDEX(Curve,1,MAX(1,MIN(8,INT((X$5-$H$15)/4)+1)))/1000000</f>
        <v>0</v>
      </c>
      <c r="Y54" s="123" t="n">
        <f aca="false">Y53*CHOOSE(MATCH($C$15,{"H";"B";"N"},0),GPUMW_H*ODc_H,GPUMW_B*ODc_B,GPUMW_N*ODc_N)*ResidUtil*Timeline!Y$9*INDEX(Curve,1,MAX(1,MIN(8,INT((Y$5-$H$15)/4)+1)))/1000000</f>
        <v>0</v>
      </c>
      <c r="Z54" s="123" t="n">
        <f aca="false">Z53*CHOOSE(MATCH($C$15,{"H";"B";"N"},0),GPUMW_H*ODc_H,GPUMW_B*ODc_B,GPUMW_N*ODc_N)*ResidUtil*Timeline!Z$9*INDEX(Curve,1,MAX(1,MIN(8,INT((Z$5-$H$15)/4)+1)))/1000000</f>
        <v>0</v>
      </c>
      <c r="AA54" s="123" t="n">
        <f aca="false">AA53*CHOOSE(MATCH($C$15,{"H";"B";"N"},0),GPUMW_H*ODc_H,GPUMW_B*ODc_B,GPUMW_N*ODc_N)*ResidUtil*Timeline!AA$9*INDEX(Curve,1,MAX(1,MIN(8,INT((AA$5-$H$15)/4)+1)))/1000000</f>
        <v>0</v>
      </c>
      <c r="AB54" s="123" t="n">
        <f aca="false">AB53*CHOOSE(MATCH($C$15,{"H";"B";"N"},0),GPUMW_H*ODc_H,GPUMW_B*ODc_B,GPUMW_N*ODc_N)*ResidUtil*Timeline!AB$9*INDEX(Curve,1,MAX(1,MIN(8,INT((AB$5-$H$15)/4)+1)))/1000000</f>
        <v>0</v>
      </c>
      <c r="AC54" s="123" t="n">
        <f aca="false">AC53*CHOOSE(MATCH($C$15,{"H";"B";"N"},0),GPUMW_H*ODc_H,GPUMW_B*ODc_B,GPUMW_N*ODc_N)*ResidUtil*Timeline!AC$9*INDEX(Curve,1,MAX(1,MIN(8,INT((AC$5-$H$15)/4)+1)))/1000000</f>
        <v>0</v>
      </c>
      <c r="AD54" s="123" t="n">
        <f aca="false">AD53*CHOOSE(MATCH($C$15,{"H";"B";"N"},0),GPUMW_H*ODc_H,GPUMW_B*ODc_B,GPUMW_N*ODc_N)*ResidUtil*Timeline!AD$9*INDEX(Curve,1,MAX(1,MIN(8,INT((AD$5-$H$15)/4)+1)))/1000000</f>
        <v>0</v>
      </c>
      <c r="AE54" s="123" t="n">
        <f aca="false">AE53*CHOOSE(MATCH($C$15,{"H";"B";"N"},0),GPUMW_H*ODc_H,GPUMW_B*ODc_B,GPUMW_N*ODc_N)*ResidUtil*Timeline!AE$9*INDEX(Curve,1,MAX(1,MIN(8,INT((AE$5-$H$15)/4)+1)))/1000000</f>
        <v>0</v>
      </c>
      <c r="AF54" s="123" t="n">
        <f aca="false">AF53*CHOOSE(MATCH($C$15,{"H";"B";"N"},0),GPUMW_H*ODc_H,GPUMW_B*ODc_B,GPUMW_N*ODc_N)*ResidUtil*Timeline!AF$9*INDEX(Curve,1,MAX(1,MIN(8,INT((AF$5-$H$15)/4)+1)))/1000000</f>
        <v>0</v>
      </c>
      <c r="AG54" s="123" t="n">
        <f aca="false">AG53*CHOOSE(MATCH($C$15,{"H";"B";"N"},0),GPUMW_H*ODc_H,GPUMW_B*ODc_B,GPUMW_N*ODc_N)*ResidUtil*Timeline!AG$9*INDEX(Curve,1,MAX(1,MIN(8,INT((AG$5-$H$15)/4)+1)))/1000000</f>
        <v>0</v>
      </c>
      <c r="AI54" s="123" t="n">
        <f aca="false">SUMIF($F$7:$AG$7,AI$7,$F54:$AG54)</f>
        <v>0</v>
      </c>
      <c r="AJ54" s="123" t="n">
        <f aca="false">SUMIF($F$7:$AG$7,AJ$7,$F54:$AG54)</f>
        <v>0</v>
      </c>
      <c r="AK54" s="123" t="n">
        <f aca="false">SUMIF($F$7:$AG$7,AK$7,$F54:$AG54)</f>
        <v>0</v>
      </c>
      <c r="AL54" s="123" t="n">
        <f aca="false">SUMIF($F$7:$AG$7,AL$7,$F54:$AG54)</f>
        <v>0</v>
      </c>
      <c r="AM54" s="123" t="n">
        <f aca="false">SUMIF($F$7:$AG$7,AM$7,$F54:$AG54)</f>
        <v>0</v>
      </c>
      <c r="AN54" s="123" t="n">
        <f aca="false">SUMIF($F$7:$AG$7,AN$7,$F54:$AG54)</f>
        <v>0</v>
      </c>
      <c r="AO54" s="123" t="n">
        <f aca="false">SUMIF($F$7:$AG$7,AO$7,$F54:$AG54)</f>
        <v>0</v>
      </c>
    </row>
    <row r="55" customFormat="false" ht="15" hidden="false" customHeight="false" outlineLevel="0" collapsed="false">
      <c r="A55" s="104" t="s">
        <v>1654</v>
      </c>
      <c r="B55" s="20" t="s">
        <v>561</v>
      </c>
      <c r="C55" s="20"/>
      <c r="D55" s="20"/>
      <c r="F55" s="122" t="n">
        <f aca="false">(1-$I$16)*(1-$J$16)*$D$16*$E$16/4*MIN(1,MAX(0,(F$5-$H$16+1)/$T$16))*IF(F$5=$H$16,DelivFactor,IF(AND(F$5&gt;$H$16,F$5&lt;$H$16+$F$16),1,IF(F$5=$H$16+$F$16,1-DelivFactor,0)))</f>
        <v>0</v>
      </c>
      <c r="G55" s="122" t="n">
        <f aca="false">(1-$I$16)*(1-$J$16)*$D$16*$E$16/4*MIN(1,MAX(0,(G$5-$H$16+1)/$T$16))*IF(G$5=$H$16,DelivFactor,IF(AND(G$5&gt;$H$16,G$5&lt;$H$16+$F$16),1,IF(G$5=$H$16+$F$16,1-DelivFactor,0)))</f>
        <v>0</v>
      </c>
      <c r="H55" s="122" t="n">
        <f aca="false">(1-$I$16)*(1-$J$16)*$D$16*$E$16/4*MIN(1,MAX(0,(H$5-$H$16+1)/$T$16))*IF(H$5=$H$16,DelivFactor,IF(AND(H$5&gt;$H$16,H$5&lt;$H$16+$F$16),1,IF(H$5=$H$16+$F$16,1-DelivFactor,0)))</f>
        <v>0</v>
      </c>
      <c r="I55" s="122" t="n">
        <f aca="false">(1-$I$16)*(1-$J$16)*$D$16*$E$16/4*MIN(1,MAX(0,(I$5-$H$16+1)/$T$16))*IF(I$5=$H$16,DelivFactor,IF(AND(I$5&gt;$H$16,I$5&lt;$H$16+$F$16),1,IF(I$5=$H$16+$F$16,1-DelivFactor,0)))</f>
        <v>0</v>
      </c>
      <c r="J55" s="122" t="n">
        <f aca="false">(1-$I$16)*(1-$J$16)*$D$16*$E$16/4*MIN(1,MAX(0,(J$5-$H$16+1)/$T$16))*IF(J$5=$H$16,DelivFactor,IF(AND(J$5&gt;$H$16,J$5&lt;$H$16+$F$16),1,IF(J$5=$H$16+$F$16,1-DelivFactor,0)))</f>
        <v>0</v>
      </c>
      <c r="K55" s="122" t="n">
        <f aca="false">(1-$I$16)*(1-$J$16)*$D$16*$E$16/4*MIN(1,MAX(0,(K$5-$H$16+1)/$T$16))*IF(K$5=$H$16,DelivFactor,IF(AND(K$5&gt;$H$16,K$5&lt;$H$16+$F$16),1,IF(K$5=$H$16+$F$16,1-DelivFactor,0)))</f>
        <v>0</v>
      </c>
      <c r="L55" s="122" t="n">
        <f aca="false">(1-$I$16)*(1-$J$16)*$D$16*$E$16/4*MIN(1,MAX(0,(L$5-$H$16+1)/$T$16))*IF(L$5=$H$16,DelivFactor,IF(AND(L$5&gt;$H$16,L$5&lt;$H$16+$F$16),1,IF(L$5=$H$16+$F$16,1-DelivFactor,0)))</f>
        <v>0</v>
      </c>
      <c r="M55" s="122" t="n">
        <f aca="false">(1-$I$16)*(1-$J$16)*$D$16*$E$16/4*MIN(1,MAX(0,(M$5-$H$16+1)/$T$16))*IF(M$5=$H$16,DelivFactor,IF(AND(M$5&gt;$H$16,M$5&lt;$H$16+$F$16),1,IF(M$5=$H$16+$F$16,1-DelivFactor,0)))</f>
        <v>0</v>
      </c>
      <c r="N55" s="122" t="n">
        <f aca="false">(1-$I$16)*(1-$J$16)*$D$16*$E$16/4*MIN(1,MAX(0,(N$5-$H$16+1)/$T$16))*IF(N$5=$H$16,DelivFactor,IF(AND(N$5&gt;$H$16,N$5&lt;$H$16+$F$16),1,IF(N$5=$H$16+$F$16,1-DelivFactor,0)))</f>
        <v>0</v>
      </c>
      <c r="O55" s="122" t="n">
        <f aca="false">(1-$I$16)*(1-$J$16)*$D$16*$E$16/4*MIN(1,MAX(0,(O$5-$H$16+1)/$T$16))*IF(O$5=$H$16,DelivFactor,IF(AND(O$5&gt;$H$16,O$5&lt;$H$16+$F$16),1,IF(O$5=$H$16+$F$16,1-DelivFactor,0)))</f>
        <v>0</v>
      </c>
      <c r="P55" s="123" t="n">
        <f aca="false">(1-$I$16)*(1-$J$16)*$D$16*$E$16/4*MIN(1,MAX(0,(P$5-$H$16+1)/$T$16))*IF(P$5=$H$16,DelivFactor,IF(AND(P$5&gt;$H$16,P$5&lt;$H$16+$F$16),1,IF(P$5=$H$16+$F$16,1-DelivFactor,0)))</f>
        <v>0</v>
      </c>
      <c r="Q55" s="123" t="n">
        <f aca="false">(1-$I$16)*(1-$J$16)*$D$16*$E$16/4*MIN(1,MAX(0,(Q$5-$H$16+1)/$T$16))*IF(Q$5=$H$16,DelivFactor,IF(AND(Q$5&gt;$H$16,Q$5&lt;$H$16+$F$16),1,IF(Q$5=$H$16+$F$16,1-DelivFactor,0)))</f>
        <v>0</v>
      </c>
      <c r="R55" s="123" t="n">
        <f aca="false">(1-$I$16)*(1-$J$16)*$D$16*$E$16/4*MIN(1,MAX(0,(R$5-$H$16+1)/$T$16))*IF(R$5=$H$16,DelivFactor,IF(AND(R$5&gt;$H$16,R$5&lt;$H$16+$F$16),1,IF(R$5=$H$16+$F$16,1-DelivFactor,0)))</f>
        <v>0</v>
      </c>
      <c r="S55" s="123" t="n">
        <f aca="false">(1-$I$16)*(1-$J$16)*$D$16*$E$16/4*MIN(1,MAX(0,(S$5-$H$16+1)/$T$16))*IF(S$5=$H$16,DelivFactor,IF(AND(S$5&gt;$H$16,S$5&lt;$H$16+$F$16),1,IF(S$5=$H$16+$F$16,1-DelivFactor,0)))</f>
        <v>12.0784027777778</v>
      </c>
      <c r="T55" s="123" t="n">
        <f aca="false">(1-$I$16)*(1-$J$16)*$D$16*$E$16/4*MIN(1,MAX(0,(T$5-$H$16+1)/$T$16))*IF(T$5=$H$16,DelivFactor,IF(AND(T$5&gt;$H$16,T$5&lt;$H$16+$F$16),1,IF(T$5=$H$16+$F$16,1-DelivFactor,0)))</f>
        <v>48.3136111111111</v>
      </c>
      <c r="U55" s="123" t="n">
        <f aca="false">(1-$I$16)*(1-$J$16)*$D$16*$E$16/4*MIN(1,MAX(0,(U$5-$H$16+1)/$T$16))*IF(U$5=$H$16,DelivFactor,IF(AND(U$5&gt;$H$16,U$5&lt;$H$16+$F$16),1,IF(U$5=$H$16+$F$16,1-DelivFactor,0)))</f>
        <v>72.4704166666667</v>
      </c>
      <c r="V55" s="123" t="n">
        <f aca="false">(1-$I$16)*(1-$J$16)*$D$16*$E$16/4*MIN(1,MAX(0,(V$5-$H$16+1)/$T$16))*IF(V$5=$H$16,DelivFactor,IF(AND(V$5&gt;$H$16,V$5&lt;$H$16+$F$16),1,IF(V$5=$H$16+$F$16,1-DelivFactor,0)))</f>
        <v>96.6272222222222</v>
      </c>
      <c r="W55" s="123" t="n">
        <f aca="false">(1-$I$16)*(1-$J$16)*$D$16*$E$16/4*MIN(1,MAX(0,(W$5-$H$16+1)/$T$16))*IF(W$5=$H$16,DelivFactor,IF(AND(W$5&gt;$H$16,W$5&lt;$H$16+$F$16),1,IF(W$5=$H$16+$F$16,1-DelivFactor,0)))</f>
        <v>96.6272222222222</v>
      </c>
      <c r="X55" s="123" t="n">
        <f aca="false">(1-$I$16)*(1-$J$16)*$D$16*$E$16/4*MIN(1,MAX(0,(X$5-$H$16+1)/$T$16))*IF(X$5=$H$16,DelivFactor,IF(AND(X$5&gt;$H$16,X$5&lt;$H$16+$F$16),1,IF(X$5=$H$16+$F$16,1-DelivFactor,0)))</f>
        <v>96.6272222222222</v>
      </c>
      <c r="Y55" s="123" t="n">
        <f aca="false">(1-$I$16)*(1-$J$16)*$D$16*$E$16/4*MIN(1,MAX(0,(Y$5-$H$16+1)/$T$16))*IF(Y$5=$H$16,DelivFactor,IF(AND(Y$5&gt;$H$16,Y$5&lt;$H$16+$F$16),1,IF(Y$5=$H$16+$F$16,1-DelivFactor,0)))</f>
        <v>96.6272222222222</v>
      </c>
      <c r="Z55" s="123" t="n">
        <f aca="false">(1-$I$16)*(1-$J$16)*$D$16*$E$16/4*MIN(1,MAX(0,(Z$5-$H$16+1)/$T$16))*IF(Z$5=$H$16,DelivFactor,IF(AND(Z$5&gt;$H$16,Z$5&lt;$H$16+$F$16),1,IF(Z$5=$H$16+$F$16,1-DelivFactor,0)))</f>
        <v>96.6272222222222</v>
      </c>
      <c r="AA55" s="123" t="n">
        <f aca="false">(1-$I$16)*(1-$J$16)*$D$16*$E$16/4*MIN(1,MAX(0,(AA$5-$H$16+1)/$T$16))*IF(AA$5=$H$16,DelivFactor,IF(AND(AA$5&gt;$H$16,AA$5&lt;$H$16+$F$16),1,IF(AA$5=$H$16+$F$16,1-DelivFactor,0)))</f>
        <v>96.6272222222222</v>
      </c>
      <c r="AB55" s="123" t="n">
        <f aca="false">(1-$I$16)*(1-$J$16)*$D$16*$E$16/4*MIN(1,MAX(0,(AB$5-$H$16+1)/$T$16))*IF(AB$5=$H$16,DelivFactor,IF(AND(AB$5&gt;$H$16,AB$5&lt;$H$16+$F$16),1,IF(AB$5=$H$16+$F$16,1-DelivFactor,0)))</f>
        <v>96.6272222222222</v>
      </c>
      <c r="AC55" s="123" t="n">
        <f aca="false">(1-$I$16)*(1-$J$16)*$D$16*$E$16/4*MIN(1,MAX(0,(AC$5-$H$16+1)/$T$16))*IF(AC$5=$H$16,DelivFactor,IF(AND(AC$5&gt;$H$16,AC$5&lt;$H$16+$F$16),1,IF(AC$5=$H$16+$F$16,1-DelivFactor,0)))</f>
        <v>96.6272222222222</v>
      </c>
      <c r="AD55" s="123" t="n">
        <f aca="false">(1-$I$16)*(1-$J$16)*$D$16*$E$16/4*MIN(1,MAX(0,(AD$5-$H$16+1)/$T$16))*IF(AD$5=$H$16,DelivFactor,IF(AND(AD$5&gt;$H$16,AD$5&lt;$H$16+$F$16),1,IF(AD$5=$H$16+$F$16,1-DelivFactor,0)))</f>
        <v>96.6272222222222</v>
      </c>
      <c r="AE55" s="123" t="n">
        <f aca="false">(1-$I$16)*(1-$J$16)*$D$16*$E$16/4*MIN(1,MAX(0,(AE$5-$H$16+1)/$T$16))*IF(AE$5=$H$16,DelivFactor,IF(AND(AE$5&gt;$H$16,AE$5&lt;$H$16+$F$16),1,IF(AE$5=$H$16+$F$16,1-DelivFactor,0)))</f>
        <v>96.6272222222222</v>
      </c>
      <c r="AF55" s="123" t="n">
        <f aca="false">(1-$I$16)*(1-$J$16)*$D$16*$E$16/4*MIN(1,MAX(0,(AF$5-$H$16+1)/$T$16))*IF(AF$5=$H$16,DelivFactor,IF(AND(AF$5&gt;$H$16,AF$5&lt;$H$16+$F$16),1,IF(AF$5=$H$16+$F$16,1-DelivFactor,0)))</f>
        <v>96.6272222222222</v>
      </c>
      <c r="AG55" s="123" t="n">
        <f aca="false">(1-$I$16)*(1-$J$16)*$D$16*$E$16/4*MIN(1,MAX(0,(AG$5-$H$16+1)/$T$16))*IF(AG$5=$H$16,DelivFactor,IF(AND(AG$5&gt;$H$16,AG$5&lt;$H$16+$F$16),1,IF(AG$5=$H$16+$F$16,1-DelivFactor,0)))</f>
        <v>96.6272222222222</v>
      </c>
      <c r="AI55" s="123" t="n">
        <f aca="false">SUMIF($F$7:$AG$7,AI$7,$F55:$AG55)</f>
        <v>0</v>
      </c>
      <c r="AJ55" s="123" t="n">
        <f aca="false">SUMIF($F$7:$AG$7,AJ$7,$F55:$AG55)</f>
        <v>0</v>
      </c>
      <c r="AK55" s="123" t="n">
        <f aca="false">SUMIF($F$7:$AG$7,AK$7,$F55:$AG55)</f>
        <v>0</v>
      </c>
      <c r="AL55" s="123" t="n">
        <f aca="false">SUMIF($F$7:$AG$7,AL$7,$F55:$AG55)</f>
        <v>132.862430555556</v>
      </c>
      <c r="AM55" s="123" t="n">
        <f aca="false">SUMIF($F$7:$AG$7,AM$7,$F55:$AG55)</f>
        <v>386.508888888889</v>
      </c>
      <c r="AN55" s="123" t="n">
        <f aca="false">SUMIF($F$7:$AG$7,AN$7,$F55:$AG55)</f>
        <v>386.508888888889</v>
      </c>
      <c r="AO55" s="123" t="n">
        <f aca="false">SUMIF($F$7:$AG$7,AO$7,$F55:$AG55)</f>
        <v>386.508888888889</v>
      </c>
    </row>
    <row r="56" customFormat="false" ht="15" hidden="false" customHeight="false" outlineLevel="0" collapsed="false">
      <c r="A56" s="104" t="s">
        <v>1655</v>
      </c>
      <c r="B56" s="20" t="s">
        <v>575</v>
      </c>
      <c r="C56" s="20"/>
      <c r="D56" s="20"/>
      <c r="F56" s="113" t="n">
        <f aca="false">(1-$I$16)*(1-$J$16)*$D$16*AND(F$5&gt;=$H$16,F$5&lt;$H$16+$F$16)</f>
        <v>0</v>
      </c>
      <c r="G56" s="113" t="n">
        <f aca="false">(1-$I$16)*(1-$J$16)*$D$16*AND(G$5&gt;=$H$16,G$5&lt;$H$16+$F$16)</f>
        <v>0</v>
      </c>
      <c r="H56" s="113" t="n">
        <f aca="false">(1-$I$16)*(1-$J$16)*$D$16*AND(H$5&gt;=$H$16,H$5&lt;$H$16+$F$16)</f>
        <v>0</v>
      </c>
      <c r="I56" s="113" t="n">
        <f aca="false">(1-$I$16)*(1-$J$16)*$D$16*AND(I$5&gt;=$H$16,I$5&lt;$H$16+$F$16)</f>
        <v>0</v>
      </c>
      <c r="J56" s="113" t="n">
        <f aca="false">(1-$I$16)*(1-$J$16)*$D$16*AND(J$5&gt;=$H$16,J$5&lt;$H$16+$F$16)</f>
        <v>0</v>
      </c>
      <c r="K56" s="113" t="n">
        <f aca="false">(1-$I$16)*(1-$J$16)*$D$16*AND(K$5&gt;=$H$16,K$5&lt;$H$16+$F$16)</f>
        <v>0</v>
      </c>
      <c r="L56" s="113" t="n">
        <f aca="false">(1-$I$16)*(1-$J$16)*$D$16*AND(L$5&gt;=$H$16,L$5&lt;$H$16+$F$16)</f>
        <v>0</v>
      </c>
      <c r="M56" s="113" t="n">
        <f aca="false">(1-$I$16)*(1-$J$16)*$D$16*AND(M$5&gt;=$H$16,M$5&lt;$H$16+$F$16)</f>
        <v>0</v>
      </c>
      <c r="N56" s="113" t="n">
        <f aca="false">(1-$I$16)*(1-$J$16)*$D$16*AND(N$5&gt;=$H$16,N$5&lt;$H$16+$F$16)</f>
        <v>0</v>
      </c>
      <c r="O56" s="113" t="n">
        <f aca="false">(1-$I$16)*(1-$J$16)*$D$16*AND(O$5&gt;=$H$16,O$5&lt;$H$16+$F$16)</f>
        <v>0</v>
      </c>
      <c r="P56" s="31" t="n">
        <f aca="false">(1-$I$16)*(1-$J$16)*$D$16*AND(P$5&gt;=$H$16,P$5&lt;$H$16+$F$16)</f>
        <v>0</v>
      </c>
      <c r="Q56" s="31" t="n">
        <f aca="false">(1-$I$16)*(1-$J$16)*$D$16*AND(Q$5&gt;=$H$16,Q$5&lt;$H$16+$F$16)</f>
        <v>0</v>
      </c>
      <c r="R56" s="31" t="n">
        <f aca="false">(1-$I$16)*(1-$J$16)*$D$16*AND(R$5&gt;=$H$16,R$5&lt;$H$16+$F$16)</f>
        <v>0</v>
      </c>
      <c r="S56" s="31" t="n">
        <f aca="false">(1-$I$16)*(1-$J$16)*$D$16*AND(S$5&gt;=$H$16,S$5&lt;$H$16+$F$16)</f>
        <v>26.6666666666667</v>
      </c>
      <c r="T56" s="31" t="n">
        <f aca="false">(1-$I$16)*(1-$J$16)*$D$16*AND(T$5&gt;=$H$16,T$5&lt;$H$16+$F$16)</f>
        <v>26.6666666666667</v>
      </c>
      <c r="U56" s="31" t="n">
        <f aca="false">(1-$I$16)*(1-$J$16)*$D$16*AND(U$5&gt;=$H$16,U$5&lt;$H$16+$F$16)</f>
        <v>26.6666666666667</v>
      </c>
      <c r="V56" s="31" t="n">
        <f aca="false">(1-$I$16)*(1-$J$16)*$D$16*AND(V$5&gt;=$H$16,V$5&lt;$H$16+$F$16)</f>
        <v>26.6666666666667</v>
      </c>
      <c r="W56" s="31" t="n">
        <f aca="false">(1-$I$16)*(1-$J$16)*$D$16*AND(W$5&gt;=$H$16,W$5&lt;$H$16+$F$16)</f>
        <v>26.6666666666667</v>
      </c>
      <c r="X56" s="31" t="n">
        <f aca="false">(1-$I$16)*(1-$J$16)*$D$16*AND(X$5&gt;=$H$16,X$5&lt;$H$16+$F$16)</f>
        <v>26.6666666666667</v>
      </c>
      <c r="Y56" s="31" t="n">
        <f aca="false">(1-$I$16)*(1-$J$16)*$D$16*AND(Y$5&gt;=$H$16,Y$5&lt;$H$16+$F$16)</f>
        <v>26.6666666666667</v>
      </c>
      <c r="Z56" s="31" t="n">
        <f aca="false">(1-$I$16)*(1-$J$16)*$D$16*AND(Z$5&gt;=$H$16,Z$5&lt;$H$16+$F$16)</f>
        <v>26.6666666666667</v>
      </c>
      <c r="AA56" s="31" t="n">
        <f aca="false">(1-$I$16)*(1-$J$16)*$D$16*AND(AA$5&gt;=$H$16,AA$5&lt;$H$16+$F$16)</f>
        <v>26.6666666666667</v>
      </c>
      <c r="AB56" s="31" t="n">
        <f aca="false">(1-$I$16)*(1-$J$16)*$D$16*AND(AB$5&gt;=$H$16,AB$5&lt;$H$16+$F$16)</f>
        <v>26.6666666666667</v>
      </c>
      <c r="AC56" s="31" t="n">
        <f aca="false">(1-$I$16)*(1-$J$16)*$D$16*AND(AC$5&gt;=$H$16,AC$5&lt;$H$16+$F$16)</f>
        <v>26.6666666666667</v>
      </c>
      <c r="AD56" s="31" t="n">
        <f aca="false">(1-$I$16)*(1-$J$16)*$D$16*AND(AD$5&gt;=$H$16,AD$5&lt;$H$16+$F$16)</f>
        <v>26.6666666666667</v>
      </c>
      <c r="AE56" s="31" t="n">
        <f aca="false">(1-$I$16)*(1-$J$16)*$D$16*AND(AE$5&gt;=$H$16,AE$5&lt;$H$16+$F$16)</f>
        <v>26.6666666666667</v>
      </c>
      <c r="AF56" s="31" t="n">
        <f aca="false">(1-$I$16)*(1-$J$16)*$D$16*AND(AF$5&gt;=$H$16,AF$5&lt;$H$16+$F$16)</f>
        <v>26.6666666666667</v>
      </c>
      <c r="AG56" s="31" t="n">
        <f aca="false">(1-$I$16)*(1-$J$16)*$D$16*AND(AG$5&gt;=$H$16,AG$5&lt;$H$16+$F$16)</f>
        <v>26.6666666666667</v>
      </c>
      <c r="AI56" s="31" t="n">
        <f aca="false">INDEX($F56:$AG56,1,MATCH(AI$7,$F$7:$AG$7,1))</f>
        <v>0</v>
      </c>
      <c r="AJ56" s="31" t="n">
        <f aca="false">INDEX($F56:$AG56,1,MATCH(AJ$7,$F$7:$AG$7,1))</f>
        <v>0</v>
      </c>
      <c r="AK56" s="31" t="n">
        <f aca="false">INDEX($F56:$AG56,1,MATCH(AK$7,$F$7:$AG$7,1))</f>
        <v>0</v>
      </c>
      <c r="AL56" s="31" t="n">
        <f aca="false">INDEX($F56:$AG56,1,MATCH(AL$7,$F$7:$AG$7,1))</f>
        <v>26.6666666666667</v>
      </c>
      <c r="AM56" s="31" t="n">
        <f aca="false">INDEX($F56:$AG56,1,MATCH(AM$7,$F$7:$AG$7,1))</f>
        <v>26.6666666666667</v>
      </c>
      <c r="AN56" s="31" t="n">
        <f aca="false">INDEX($F56:$AG56,1,MATCH(AN$7,$F$7:$AG$7,1))</f>
        <v>26.6666666666667</v>
      </c>
      <c r="AO56" s="31" t="n">
        <f aca="false">INDEX($F56:$AG56,1,MATCH(AO$7,$F$7:$AG$7,1))</f>
        <v>26.6666666666667</v>
      </c>
    </row>
    <row r="57" customFormat="false" ht="15" hidden="false" customHeight="false" outlineLevel="0" collapsed="false">
      <c r="A57" s="104" t="s">
        <v>1656</v>
      </c>
      <c r="B57" s="20" t="s">
        <v>561</v>
      </c>
      <c r="C57" s="20"/>
      <c r="D57" s="20"/>
      <c r="F57" s="122" t="n">
        <f aca="false">-(1-$I$16)*LD_Pct*$D$16*$E$16/4*AND(F$5&gt;=$G$16,F$5&lt;$H$16)</f>
        <v>-0</v>
      </c>
      <c r="G57" s="122" t="n">
        <f aca="false">-(1-$I$16)*LD_Pct*$D$16*$E$16/4*AND(G$5&gt;=$G$16,G$5&lt;$H$16)</f>
        <v>-0</v>
      </c>
      <c r="H57" s="122" t="n">
        <f aca="false">-(1-$I$16)*LD_Pct*$D$16*$E$16/4*AND(H$5&gt;=$G$16,H$5&lt;$H$16)</f>
        <v>-0</v>
      </c>
      <c r="I57" s="122" t="n">
        <f aca="false">-(1-$I$16)*LD_Pct*$D$16*$E$16/4*AND(I$5&gt;=$G$16,I$5&lt;$H$16)</f>
        <v>-0</v>
      </c>
      <c r="J57" s="122" t="n">
        <f aca="false">-(1-$I$16)*LD_Pct*$D$16*$E$16/4*AND(J$5&gt;=$G$16,J$5&lt;$H$16)</f>
        <v>-0</v>
      </c>
      <c r="K57" s="122" t="n">
        <f aca="false">-(1-$I$16)*LD_Pct*$D$16*$E$16/4*AND(K$5&gt;=$G$16,K$5&lt;$H$16)</f>
        <v>-0</v>
      </c>
      <c r="L57" s="122" t="n">
        <f aca="false">-(1-$I$16)*LD_Pct*$D$16*$E$16/4*AND(L$5&gt;=$G$16,L$5&lt;$H$16)</f>
        <v>-0</v>
      </c>
      <c r="M57" s="122" t="n">
        <f aca="false">-(1-$I$16)*LD_Pct*$D$16*$E$16/4*AND(M$5&gt;=$G$16,M$5&lt;$H$16)</f>
        <v>-0</v>
      </c>
      <c r="N57" s="122" t="n">
        <f aca="false">-(1-$I$16)*LD_Pct*$D$16*$E$16/4*AND(N$5&gt;=$G$16,N$5&lt;$H$16)</f>
        <v>-0</v>
      </c>
      <c r="O57" s="122" t="n">
        <f aca="false">-(1-$I$16)*LD_Pct*$D$16*$E$16/4*AND(O$5&gt;=$G$16,O$5&lt;$H$16)</f>
        <v>-0</v>
      </c>
      <c r="P57" s="123" t="n">
        <f aca="false">-(1-$I$16)*LD_Pct*$D$16*$E$16/4*AND(P$5&gt;=$G$16,P$5&lt;$H$16)</f>
        <v>-0</v>
      </c>
      <c r="Q57" s="123" t="n">
        <f aca="false">-(1-$I$16)*LD_Pct*$D$16*$E$16/4*AND(Q$5&gt;=$G$16,Q$5&lt;$H$16)</f>
        <v>-0</v>
      </c>
      <c r="R57" s="123" t="n">
        <f aca="false">-(1-$I$16)*LD_Pct*$D$16*$E$16/4*AND(R$5&gt;=$G$16,R$5&lt;$H$16)</f>
        <v>-0</v>
      </c>
      <c r="S57" s="123" t="n">
        <f aca="false">-(1-$I$16)*LD_Pct*$D$16*$E$16/4*AND(S$5&gt;=$G$16,S$5&lt;$H$16)</f>
        <v>-0</v>
      </c>
      <c r="T57" s="123" t="n">
        <f aca="false">-(1-$I$16)*LD_Pct*$D$16*$E$16/4*AND(T$5&gt;=$G$16,T$5&lt;$H$16)</f>
        <v>-0</v>
      </c>
      <c r="U57" s="123" t="n">
        <f aca="false">-(1-$I$16)*LD_Pct*$D$16*$E$16/4*AND(U$5&gt;=$G$16,U$5&lt;$H$16)</f>
        <v>-0</v>
      </c>
      <c r="V57" s="123" t="n">
        <f aca="false">-(1-$I$16)*LD_Pct*$D$16*$E$16/4*AND(V$5&gt;=$G$16,V$5&lt;$H$16)</f>
        <v>-0</v>
      </c>
      <c r="W57" s="123" t="n">
        <f aca="false">-(1-$I$16)*LD_Pct*$D$16*$E$16/4*AND(W$5&gt;=$G$16,W$5&lt;$H$16)</f>
        <v>-0</v>
      </c>
      <c r="X57" s="123" t="n">
        <f aca="false">-(1-$I$16)*LD_Pct*$D$16*$E$16/4*AND(X$5&gt;=$G$16,X$5&lt;$H$16)</f>
        <v>-0</v>
      </c>
      <c r="Y57" s="123" t="n">
        <f aca="false">-(1-$I$16)*LD_Pct*$D$16*$E$16/4*AND(Y$5&gt;=$G$16,Y$5&lt;$H$16)</f>
        <v>-0</v>
      </c>
      <c r="Z57" s="123" t="n">
        <f aca="false">-(1-$I$16)*LD_Pct*$D$16*$E$16/4*AND(Z$5&gt;=$G$16,Z$5&lt;$H$16)</f>
        <v>-0</v>
      </c>
      <c r="AA57" s="123" t="n">
        <f aca="false">-(1-$I$16)*LD_Pct*$D$16*$E$16/4*AND(AA$5&gt;=$G$16,AA$5&lt;$H$16)</f>
        <v>-0</v>
      </c>
      <c r="AB57" s="123" t="n">
        <f aca="false">-(1-$I$16)*LD_Pct*$D$16*$E$16/4*AND(AB$5&gt;=$G$16,AB$5&lt;$H$16)</f>
        <v>-0</v>
      </c>
      <c r="AC57" s="123" t="n">
        <f aca="false">-(1-$I$16)*LD_Pct*$D$16*$E$16/4*AND(AC$5&gt;=$G$16,AC$5&lt;$H$16)</f>
        <v>-0</v>
      </c>
      <c r="AD57" s="123" t="n">
        <f aca="false">-(1-$I$16)*LD_Pct*$D$16*$E$16/4*AND(AD$5&gt;=$G$16,AD$5&lt;$H$16)</f>
        <v>-0</v>
      </c>
      <c r="AE57" s="123" t="n">
        <f aca="false">-(1-$I$16)*LD_Pct*$D$16*$E$16/4*AND(AE$5&gt;=$G$16,AE$5&lt;$H$16)</f>
        <v>-0</v>
      </c>
      <c r="AF57" s="123" t="n">
        <f aca="false">-(1-$I$16)*LD_Pct*$D$16*$E$16/4*AND(AF$5&gt;=$G$16,AF$5&lt;$H$16)</f>
        <v>-0</v>
      </c>
      <c r="AG57" s="123" t="n">
        <f aca="false">-(1-$I$16)*LD_Pct*$D$16*$E$16/4*AND(AG$5&gt;=$G$16,AG$5&lt;$H$16)</f>
        <v>-0</v>
      </c>
      <c r="AI57" s="123" t="n">
        <f aca="false">SUMIF($F$7:$AG$7,AI$7,$F57:$AG57)</f>
        <v>0</v>
      </c>
      <c r="AJ57" s="123" t="n">
        <f aca="false">SUMIF($F$7:$AG$7,AJ$7,$F57:$AG57)</f>
        <v>0</v>
      </c>
      <c r="AK57" s="123" t="n">
        <f aca="false">SUMIF($F$7:$AG$7,AK$7,$F57:$AG57)</f>
        <v>0</v>
      </c>
      <c r="AL57" s="123" t="n">
        <f aca="false">SUMIF($F$7:$AG$7,AL$7,$F57:$AG57)</f>
        <v>0</v>
      </c>
      <c r="AM57" s="123" t="n">
        <f aca="false">SUMIF($F$7:$AG$7,AM$7,$F57:$AG57)</f>
        <v>0</v>
      </c>
      <c r="AN57" s="123" t="n">
        <f aca="false">SUMIF($F$7:$AG$7,AN$7,$F57:$AG57)</f>
        <v>0</v>
      </c>
      <c r="AO57" s="123" t="n">
        <f aca="false">SUMIF($F$7:$AG$7,AO$7,$F57:$AG57)</f>
        <v>0</v>
      </c>
    </row>
    <row r="58" customFormat="false" ht="15" hidden="false" customHeight="false" outlineLevel="0" collapsed="false">
      <c r="A58" s="104" t="s">
        <v>1657</v>
      </c>
      <c r="B58" s="20" t="s">
        <v>575</v>
      </c>
      <c r="C58" s="20"/>
      <c r="D58" s="20"/>
      <c r="F58" s="113" t="n">
        <f aca="false">(1-$I$16)*(1-$J$16)*$D$16*(F$5&gt;=$H$16+$F$16)</f>
        <v>0</v>
      </c>
      <c r="G58" s="113" t="n">
        <f aca="false">(1-$I$16)*(1-$J$16)*$D$16*(G$5&gt;=$H$16+$F$16)</f>
        <v>0</v>
      </c>
      <c r="H58" s="113" t="n">
        <f aca="false">(1-$I$16)*(1-$J$16)*$D$16*(H$5&gt;=$H$16+$F$16)</f>
        <v>0</v>
      </c>
      <c r="I58" s="113" t="n">
        <f aca="false">(1-$I$16)*(1-$J$16)*$D$16*(I$5&gt;=$H$16+$F$16)</f>
        <v>0</v>
      </c>
      <c r="J58" s="113" t="n">
        <f aca="false">(1-$I$16)*(1-$J$16)*$D$16*(J$5&gt;=$H$16+$F$16)</f>
        <v>0</v>
      </c>
      <c r="K58" s="113" t="n">
        <f aca="false">(1-$I$16)*(1-$J$16)*$D$16*(K$5&gt;=$H$16+$F$16)</f>
        <v>0</v>
      </c>
      <c r="L58" s="113" t="n">
        <f aca="false">(1-$I$16)*(1-$J$16)*$D$16*(L$5&gt;=$H$16+$F$16)</f>
        <v>0</v>
      </c>
      <c r="M58" s="113" t="n">
        <f aca="false">(1-$I$16)*(1-$J$16)*$D$16*(M$5&gt;=$H$16+$F$16)</f>
        <v>0</v>
      </c>
      <c r="N58" s="113" t="n">
        <f aca="false">(1-$I$16)*(1-$J$16)*$D$16*(N$5&gt;=$H$16+$F$16)</f>
        <v>0</v>
      </c>
      <c r="O58" s="113" t="n">
        <f aca="false">(1-$I$16)*(1-$J$16)*$D$16*(O$5&gt;=$H$16+$F$16)</f>
        <v>0</v>
      </c>
      <c r="P58" s="31" t="n">
        <f aca="false">(1-$I$16)*(1-$J$16)*$D$16*(P$5&gt;=$H$16+$F$16)</f>
        <v>0</v>
      </c>
      <c r="Q58" s="31" t="n">
        <f aca="false">(1-$I$16)*(1-$J$16)*$D$16*(Q$5&gt;=$H$16+$F$16)</f>
        <v>0</v>
      </c>
      <c r="R58" s="31" t="n">
        <f aca="false">(1-$I$16)*(1-$J$16)*$D$16*(R$5&gt;=$H$16+$F$16)</f>
        <v>0</v>
      </c>
      <c r="S58" s="31" t="n">
        <f aca="false">(1-$I$16)*(1-$J$16)*$D$16*(S$5&gt;=$H$16+$F$16)</f>
        <v>0</v>
      </c>
      <c r="T58" s="31" t="n">
        <f aca="false">(1-$I$16)*(1-$J$16)*$D$16*(T$5&gt;=$H$16+$F$16)</f>
        <v>0</v>
      </c>
      <c r="U58" s="31" t="n">
        <f aca="false">(1-$I$16)*(1-$J$16)*$D$16*(U$5&gt;=$H$16+$F$16)</f>
        <v>0</v>
      </c>
      <c r="V58" s="31" t="n">
        <f aca="false">(1-$I$16)*(1-$J$16)*$D$16*(V$5&gt;=$H$16+$F$16)</f>
        <v>0</v>
      </c>
      <c r="W58" s="31" t="n">
        <f aca="false">(1-$I$16)*(1-$J$16)*$D$16*(W$5&gt;=$H$16+$F$16)</f>
        <v>0</v>
      </c>
      <c r="X58" s="31" t="n">
        <f aca="false">(1-$I$16)*(1-$J$16)*$D$16*(X$5&gt;=$H$16+$F$16)</f>
        <v>0</v>
      </c>
      <c r="Y58" s="31" t="n">
        <f aca="false">(1-$I$16)*(1-$J$16)*$D$16*(Y$5&gt;=$H$16+$F$16)</f>
        <v>0</v>
      </c>
      <c r="Z58" s="31" t="n">
        <f aca="false">(1-$I$16)*(1-$J$16)*$D$16*(Z$5&gt;=$H$16+$F$16)</f>
        <v>0</v>
      </c>
      <c r="AA58" s="31" t="n">
        <f aca="false">(1-$I$16)*(1-$J$16)*$D$16*(AA$5&gt;=$H$16+$F$16)</f>
        <v>0</v>
      </c>
      <c r="AB58" s="31" t="n">
        <f aca="false">(1-$I$16)*(1-$J$16)*$D$16*(AB$5&gt;=$H$16+$F$16)</f>
        <v>0</v>
      </c>
      <c r="AC58" s="31" t="n">
        <f aca="false">(1-$I$16)*(1-$J$16)*$D$16*(AC$5&gt;=$H$16+$F$16)</f>
        <v>0</v>
      </c>
      <c r="AD58" s="31" t="n">
        <f aca="false">(1-$I$16)*(1-$J$16)*$D$16*(AD$5&gt;=$H$16+$F$16)</f>
        <v>0</v>
      </c>
      <c r="AE58" s="31" t="n">
        <f aca="false">(1-$I$16)*(1-$J$16)*$D$16*(AE$5&gt;=$H$16+$F$16)</f>
        <v>0</v>
      </c>
      <c r="AF58" s="31" t="n">
        <f aca="false">(1-$I$16)*(1-$J$16)*$D$16*(AF$5&gt;=$H$16+$F$16)</f>
        <v>0</v>
      </c>
      <c r="AG58" s="31" t="n">
        <f aca="false">(1-$I$16)*(1-$J$16)*$D$16*(AG$5&gt;=$H$16+$F$16)</f>
        <v>0</v>
      </c>
      <c r="AI58" s="31" t="n">
        <f aca="false">INDEX($F58:$AG58,1,MATCH(AI$7,$F$7:$AG$7,1))</f>
        <v>0</v>
      </c>
      <c r="AJ58" s="31" t="n">
        <f aca="false">INDEX($F58:$AG58,1,MATCH(AJ$7,$F$7:$AG$7,1))</f>
        <v>0</v>
      </c>
      <c r="AK58" s="31" t="n">
        <f aca="false">INDEX($F58:$AG58,1,MATCH(AK$7,$F$7:$AG$7,1))</f>
        <v>0</v>
      </c>
      <c r="AL58" s="31" t="n">
        <f aca="false">INDEX($F58:$AG58,1,MATCH(AL$7,$F$7:$AG$7,1))</f>
        <v>0</v>
      </c>
      <c r="AM58" s="31" t="n">
        <f aca="false">INDEX($F58:$AG58,1,MATCH(AM$7,$F$7:$AG$7,1))</f>
        <v>0</v>
      </c>
      <c r="AN58" s="31" t="n">
        <f aca="false">INDEX($F58:$AG58,1,MATCH(AN$7,$F$7:$AG$7,1))</f>
        <v>0</v>
      </c>
      <c r="AO58" s="31" t="n">
        <f aca="false">INDEX($F58:$AG58,1,MATCH(AO$7,$F$7:$AG$7,1))</f>
        <v>0</v>
      </c>
    </row>
    <row r="59" customFormat="false" ht="15" hidden="false" customHeight="false" outlineLevel="0" collapsed="false">
      <c r="A59" s="104" t="s">
        <v>1658</v>
      </c>
      <c r="B59" s="20" t="s">
        <v>561</v>
      </c>
      <c r="C59" s="20"/>
      <c r="D59" s="20" t="s">
        <v>1638</v>
      </c>
      <c r="F59" s="122" t="n">
        <f aca="false">F58*CHOOSE(MATCH($C$16,{"H";"B";"N"},0),GPUMW_H*ODc_H,GPUMW_B*ODc_B,GPUMW_N*ODc_N)*ResidUtil*Timeline!F$9*INDEX(Curve,1,MAX(1,MIN(8,INT((F$5-$H$16)/4)+1)))/1000000</f>
        <v>0</v>
      </c>
      <c r="G59" s="122" t="n">
        <f aca="false">G58*CHOOSE(MATCH($C$16,{"H";"B";"N"},0),GPUMW_H*ODc_H,GPUMW_B*ODc_B,GPUMW_N*ODc_N)*ResidUtil*Timeline!G$9*INDEX(Curve,1,MAX(1,MIN(8,INT((G$5-$H$16)/4)+1)))/1000000</f>
        <v>0</v>
      </c>
      <c r="H59" s="122" t="n">
        <f aca="false">H58*CHOOSE(MATCH($C$16,{"H";"B";"N"},0),GPUMW_H*ODc_H,GPUMW_B*ODc_B,GPUMW_N*ODc_N)*ResidUtil*Timeline!H$9*INDEX(Curve,1,MAX(1,MIN(8,INT((H$5-$H$16)/4)+1)))/1000000</f>
        <v>0</v>
      </c>
      <c r="I59" s="122" t="n">
        <f aca="false">I58*CHOOSE(MATCH($C$16,{"H";"B";"N"},0),GPUMW_H*ODc_H,GPUMW_B*ODc_B,GPUMW_N*ODc_N)*ResidUtil*Timeline!I$9*INDEX(Curve,1,MAX(1,MIN(8,INT((I$5-$H$16)/4)+1)))/1000000</f>
        <v>0</v>
      </c>
      <c r="J59" s="122" t="n">
        <f aca="false">J58*CHOOSE(MATCH($C$16,{"H";"B";"N"},0),GPUMW_H*ODc_H,GPUMW_B*ODc_B,GPUMW_N*ODc_N)*ResidUtil*Timeline!J$9*INDEX(Curve,1,MAX(1,MIN(8,INT((J$5-$H$16)/4)+1)))/1000000</f>
        <v>0</v>
      </c>
      <c r="K59" s="122" t="n">
        <f aca="false">K58*CHOOSE(MATCH($C$16,{"H";"B";"N"},0),GPUMW_H*ODc_H,GPUMW_B*ODc_B,GPUMW_N*ODc_N)*ResidUtil*Timeline!K$9*INDEX(Curve,1,MAX(1,MIN(8,INT((K$5-$H$16)/4)+1)))/1000000</f>
        <v>0</v>
      </c>
      <c r="L59" s="122" t="n">
        <f aca="false">L58*CHOOSE(MATCH($C$16,{"H";"B";"N"},0),GPUMW_H*ODc_H,GPUMW_B*ODc_B,GPUMW_N*ODc_N)*ResidUtil*Timeline!L$9*INDEX(Curve,1,MAX(1,MIN(8,INT((L$5-$H$16)/4)+1)))/1000000</f>
        <v>0</v>
      </c>
      <c r="M59" s="122" t="n">
        <f aca="false">M58*CHOOSE(MATCH($C$16,{"H";"B";"N"},0),GPUMW_H*ODc_H,GPUMW_B*ODc_B,GPUMW_N*ODc_N)*ResidUtil*Timeline!M$9*INDEX(Curve,1,MAX(1,MIN(8,INT((M$5-$H$16)/4)+1)))/1000000</f>
        <v>0</v>
      </c>
      <c r="N59" s="122" t="n">
        <f aca="false">N58*CHOOSE(MATCH($C$16,{"H";"B";"N"},0),GPUMW_H*ODc_H,GPUMW_B*ODc_B,GPUMW_N*ODc_N)*ResidUtil*Timeline!N$9*INDEX(Curve,1,MAX(1,MIN(8,INT((N$5-$H$16)/4)+1)))/1000000</f>
        <v>0</v>
      </c>
      <c r="O59" s="122" t="n">
        <f aca="false">O58*CHOOSE(MATCH($C$16,{"H";"B";"N"},0),GPUMW_H*ODc_H,GPUMW_B*ODc_B,GPUMW_N*ODc_N)*ResidUtil*Timeline!O$9*INDEX(Curve,1,MAX(1,MIN(8,INT((O$5-$H$16)/4)+1)))/1000000</f>
        <v>0</v>
      </c>
      <c r="P59" s="123" t="n">
        <f aca="false">P58*CHOOSE(MATCH($C$16,{"H";"B";"N"},0),GPUMW_H*ODc_H,GPUMW_B*ODc_B,GPUMW_N*ODc_N)*ResidUtil*Timeline!P$9*INDEX(Curve,1,MAX(1,MIN(8,INT((P$5-$H$16)/4)+1)))/1000000</f>
        <v>0</v>
      </c>
      <c r="Q59" s="123" t="n">
        <f aca="false">Q58*CHOOSE(MATCH($C$16,{"H";"B";"N"},0),GPUMW_H*ODc_H,GPUMW_B*ODc_B,GPUMW_N*ODc_N)*ResidUtil*Timeline!Q$9*INDEX(Curve,1,MAX(1,MIN(8,INT((Q$5-$H$16)/4)+1)))/1000000</f>
        <v>0</v>
      </c>
      <c r="R59" s="123" t="n">
        <f aca="false">R58*CHOOSE(MATCH($C$16,{"H";"B";"N"},0),GPUMW_H*ODc_H,GPUMW_B*ODc_B,GPUMW_N*ODc_N)*ResidUtil*Timeline!R$9*INDEX(Curve,1,MAX(1,MIN(8,INT((R$5-$H$16)/4)+1)))/1000000</f>
        <v>0</v>
      </c>
      <c r="S59" s="123" t="n">
        <f aca="false">S58*CHOOSE(MATCH($C$16,{"H";"B";"N"},0),GPUMW_H*ODc_H,GPUMW_B*ODc_B,GPUMW_N*ODc_N)*ResidUtil*Timeline!S$9*INDEX(Curve,1,MAX(1,MIN(8,INT((S$5-$H$16)/4)+1)))/1000000</f>
        <v>0</v>
      </c>
      <c r="T59" s="123" t="n">
        <f aca="false">T58*CHOOSE(MATCH($C$16,{"H";"B";"N"},0),GPUMW_H*ODc_H,GPUMW_B*ODc_B,GPUMW_N*ODc_N)*ResidUtil*Timeline!T$9*INDEX(Curve,1,MAX(1,MIN(8,INT((T$5-$H$16)/4)+1)))/1000000</f>
        <v>0</v>
      </c>
      <c r="U59" s="123" t="n">
        <f aca="false">U58*CHOOSE(MATCH($C$16,{"H";"B";"N"},0),GPUMW_H*ODc_H,GPUMW_B*ODc_B,GPUMW_N*ODc_N)*ResidUtil*Timeline!U$9*INDEX(Curve,1,MAX(1,MIN(8,INT((U$5-$H$16)/4)+1)))/1000000</f>
        <v>0</v>
      </c>
      <c r="V59" s="123" t="n">
        <f aca="false">V58*CHOOSE(MATCH($C$16,{"H";"B";"N"},0),GPUMW_H*ODc_H,GPUMW_B*ODc_B,GPUMW_N*ODc_N)*ResidUtil*Timeline!V$9*INDEX(Curve,1,MAX(1,MIN(8,INT((V$5-$H$16)/4)+1)))/1000000</f>
        <v>0</v>
      </c>
      <c r="W59" s="123" t="n">
        <f aca="false">W58*CHOOSE(MATCH($C$16,{"H";"B";"N"},0),GPUMW_H*ODc_H,GPUMW_B*ODc_B,GPUMW_N*ODc_N)*ResidUtil*Timeline!W$9*INDEX(Curve,1,MAX(1,MIN(8,INT((W$5-$H$16)/4)+1)))/1000000</f>
        <v>0</v>
      </c>
      <c r="X59" s="123" t="n">
        <f aca="false">X58*CHOOSE(MATCH($C$16,{"H";"B";"N"},0),GPUMW_H*ODc_H,GPUMW_B*ODc_B,GPUMW_N*ODc_N)*ResidUtil*Timeline!X$9*INDEX(Curve,1,MAX(1,MIN(8,INT((X$5-$H$16)/4)+1)))/1000000</f>
        <v>0</v>
      </c>
      <c r="Y59" s="123" t="n">
        <f aca="false">Y58*CHOOSE(MATCH($C$16,{"H";"B";"N"},0),GPUMW_H*ODc_H,GPUMW_B*ODc_B,GPUMW_N*ODc_N)*ResidUtil*Timeline!Y$9*INDEX(Curve,1,MAX(1,MIN(8,INT((Y$5-$H$16)/4)+1)))/1000000</f>
        <v>0</v>
      </c>
      <c r="Z59" s="123" t="n">
        <f aca="false">Z58*CHOOSE(MATCH($C$16,{"H";"B";"N"},0),GPUMW_H*ODc_H,GPUMW_B*ODc_B,GPUMW_N*ODc_N)*ResidUtil*Timeline!Z$9*INDEX(Curve,1,MAX(1,MIN(8,INT((Z$5-$H$16)/4)+1)))/1000000</f>
        <v>0</v>
      </c>
      <c r="AA59" s="123" t="n">
        <f aca="false">AA58*CHOOSE(MATCH($C$16,{"H";"B";"N"},0),GPUMW_H*ODc_H,GPUMW_B*ODc_B,GPUMW_N*ODc_N)*ResidUtil*Timeline!AA$9*INDEX(Curve,1,MAX(1,MIN(8,INT((AA$5-$H$16)/4)+1)))/1000000</f>
        <v>0</v>
      </c>
      <c r="AB59" s="123" t="n">
        <f aca="false">AB58*CHOOSE(MATCH($C$16,{"H";"B";"N"},0),GPUMW_H*ODc_H,GPUMW_B*ODc_B,GPUMW_N*ODc_N)*ResidUtil*Timeline!AB$9*INDEX(Curve,1,MAX(1,MIN(8,INT((AB$5-$H$16)/4)+1)))/1000000</f>
        <v>0</v>
      </c>
      <c r="AC59" s="123" t="n">
        <f aca="false">AC58*CHOOSE(MATCH($C$16,{"H";"B";"N"},0),GPUMW_H*ODc_H,GPUMW_B*ODc_B,GPUMW_N*ODc_N)*ResidUtil*Timeline!AC$9*INDEX(Curve,1,MAX(1,MIN(8,INT((AC$5-$H$16)/4)+1)))/1000000</f>
        <v>0</v>
      </c>
      <c r="AD59" s="123" t="n">
        <f aca="false">AD58*CHOOSE(MATCH($C$16,{"H";"B";"N"},0),GPUMW_H*ODc_H,GPUMW_B*ODc_B,GPUMW_N*ODc_N)*ResidUtil*Timeline!AD$9*INDEX(Curve,1,MAX(1,MIN(8,INT((AD$5-$H$16)/4)+1)))/1000000</f>
        <v>0</v>
      </c>
      <c r="AE59" s="123" t="n">
        <f aca="false">AE58*CHOOSE(MATCH($C$16,{"H";"B";"N"},0),GPUMW_H*ODc_H,GPUMW_B*ODc_B,GPUMW_N*ODc_N)*ResidUtil*Timeline!AE$9*INDEX(Curve,1,MAX(1,MIN(8,INT((AE$5-$H$16)/4)+1)))/1000000</f>
        <v>0</v>
      </c>
      <c r="AF59" s="123" t="n">
        <f aca="false">AF58*CHOOSE(MATCH($C$16,{"H";"B";"N"},0),GPUMW_H*ODc_H,GPUMW_B*ODc_B,GPUMW_N*ODc_N)*ResidUtil*Timeline!AF$9*INDEX(Curve,1,MAX(1,MIN(8,INT((AF$5-$H$16)/4)+1)))/1000000</f>
        <v>0</v>
      </c>
      <c r="AG59" s="123" t="n">
        <f aca="false">AG58*CHOOSE(MATCH($C$16,{"H";"B";"N"},0),GPUMW_H*ODc_H,GPUMW_B*ODc_B,GPUMW_N*ODc_N)*ResidUtil*Timeline!AG$9*INDEX(Curve,1,MAX(1,MIN(8,INT((AG$5-$H$16)/4)+1)))/1000000</f>
        <v>0</v>
      </c>
      <c r="AI59" s="123" t="n">
        <f aca="false">SUMIF($F$7:$AG$7,AI$7,$F59:$AG59)</f>
        <v>0</v>
      </c>
      <c r="AJ59" s="123" t="n">
        <f aca="false">SUMIF($F$7:$AG$7,AJ$7,$F59:$AG59)</f>
        <v>0</v>
      </c>
      <c r="AK59" s="123" t="n">
        <f aca="false">SUMIF($F$7:$AG$7,AK$7,$F59:$AG59)</f>
        <v>0</v>
      </c>
      <c r="AL59" s="123" t="n">
        <f aca="false">SUMIF($F$7:$AG$7,AL$7,$F59:$AG59)</f>
        <v>0</v>
      </c>
      <c r="AM59" s="123" t="n">
        <f aca="false">SUMIF($F$7:$AG$7,AM$7,$F59:$AG59)</f>
        <v>0</v>
      </c>
      <c r="AN59" s="123" t="n">
        <f aca="false">SUMIF($F$7:$AG$7,AN$7,$F59:$AG59)</f>
        <v>0</v>
      </c>
      <c r="AO59" s="123" t="n">
        <f aca="false">SUMIF($F$7:$AG$7,AO$7,$F59:$AG59)</f>
        <v>0</v>
      </c>
    </row>
    <row r="60" customFormat="false" ht="15" hidden="false" customHeight="false" outlineLevel="0" collapsed="false">
      <c r="A60" s="104" t="s">
        <v>1659</v>
      </c>
      <c r="B60" s="20" t="s">
        <v>561</v>
      </c>
      <c r="C60" s="20"/>
      <c r="D60" s="20"/>
      <c r="F60" s="122" t="n">
        <f aca="false">(1-$I$17)*(1-$J$17)*$D$17*$E$17/4*MIN(1,MAX(0,(F$5-$H$17+1)/$T$17))*IF(F$5=$H$17,DelivFactor,IF(AND(F$5&gt;$H$17,F$5&lt;$H$17+$F$17),1,IF(F$5=$H$17+$F$17,1-DelivFactor,0)))</f>
        <v>0</v>
      </c>
      <c r="G60" s="122" t="n">
        <f aca="false">(1-$I$17)*(1-$J$17)*$D$17*$E$17/4*MIN(1,MAX(0,(G$5-$H$17+1)/$T$17))*IF(G$5=$H$17,DelivFactor,IF(AND(G$5&gt;$H$17,G$5&lt;$H$17+$F$17),1,IF(G$5=$H$17+$F$17,1-DelivFactor,0)))</f>
        <v>0</v>
      </c>
      <c r="H60" s="122" t="n">
        <f aca="false">(1-$I$17)*(1-$J$17)*$D$17*$E$17/4*MIN(1,MAX(0,(H$5-$H$17+1)/$T$17))*IF(H$5=$H$17,DelivFactor,IF(AND(H$5&gt;$H$17,H$5&lt;$H$17+$F$17),1,IF(H$5=$H$17+$F$17,1-DelivFactor,0)))</f>
        <v>0</v>
      </c>
      <c r="I60" s="122" t="n">
        <f aca="false">(1-$I$17)*(1-$J$17)*$D$17*$E$17/4*MIN(1,MAX(0,(I$5-$H$17+1)/$T$17))*IF(I$5=$H$17,DelivFactor,IF(AND(I$5&gt;$H$17,I$5&lt;$H$17+$F$17),1,IF(I$5=$H$17+$F$17,1-DelivFactor,0)))</f>
        <v>0</v>
      </c>
      <c r="J60" s="122" t="n">
        <f aca="false">(1-$I$17)*(1-$J$17)*$D$17*$E$17/4*MIN(1,MAX(0,(J$5-$H$17+1)/$T$17))*IF(J$5=$H$17,DelivFactor,IF(AND(J$5&gt;$H$17,J$5&lt;$H$17+$F$17),1,IF(J$5=$H$17+$F$17,1-DelivFactor,0)))</f>
        <v>0</v>
      </c>
      <c r="K60" s="122" t="n">
        <f aca="false">(1-$I$17)*(1-$J$17)*$D$17*$E$17/4*MIN(1,MAX(0,(K$5-$H$17+1)/$T$17))*IF(K$5=$H$17,DelivFactor,IF(AND(K$5&gt;$H$17,K$5&lt;$H$17+$F$17),1,IF(K$5=$H$17+$F$17,1-DelivFactor,0)))</f>
        <v>0</v>
      </c>
      <c r="L60" s="122" t="n">
        <f aca="false">(1-$I$17)*(1-$J$17)*$D$17*$E$17/4*MIN(1,MAX(0,(L$5-$H$17+1)/$T$17))*IF(L$5=$H$17,DelivFactor,IF(AND(L$5&gt;$H$17,L$5&lt;$H$17+$F$17),1,IF(L$5=$H$17+$F$17,1-DelivFactor,0)))</f>
        <v>0</v>
      </c>
      <c r="M60" s="122" t="n">
        <f aca="false">(1-$I$17)*(1-$J$17)*$D$17*$E$17/4*MIN(1,MAX(0,(M$5-$H$17+1)/$T$17))*IF(M$5=$H$17,DelivFactor,IF(AND(M$5&gt;$H$17,M$5&lt;$H$17+$F$17),1,IF(M$5=$H$17+$F$17,1-DelivFactor,0)))</f>
        <v>0</v>
      </c>
      <c r="N60" s="122" t="n">
        <f aca="false">(1-$I$17)*(1-$J$17)*$D$17*$E$17/4*MIN(1,MAX(0,(N$5-$H$17+1)/$T$17))*IF(N$5=$H$17,DelivFactor,IF(AND(N$5&gt;$H$17,N$5&lt;$H$17+$F$17),1,IF(N$5=$H$17+$F$17,1-DelivFactor,0)))</f>
        <v>0</v>
      </c>
      <c r="O60" s="122" t="n">
        <f aca="false">(1-$I$17)*(1-$J$17)*$D$17*$E$17/4*MIN(1,MAX(0,(O$5-$H$17+1)/$T$17))*IF(O$5=$H$17,DelivFactor,IF(AND(O$5&gt;$H$17,O$5&lt;$H$17+$F$17),1,IF(O$5=$H$17+$F$17,1-DelivFactor,0)))</f>
        <v>0</v>
      </c>
      <c r="P60" s="123" t="n">
        <f aca="false">(1-$I$17)*(1-$J$17)*$D$17*$E$17/4*MIN(1,MAX(0,(P$5-$H$17+1)/$T$17))*IF(P$5=$H$17,DelivFactor,IF(AND(P$5&gt;$H$17,P$5&lt;$H$17+$F$17),1,IF(P$5=$H$17+$F$17,1-DelivFactor,0)))</f>
        <v>0</v>
      </c>
      <c r="Q60" s="123" t="n">
        <f aca="false">(1-$I$17)*(1-$J$17)*$D$17*$E$17/4*MIN(1,MAX(0,(Q$5-$H$17+1)/$T$17))*IF(Q$5=$H$17,DelivFactor,IF(AND(Q$5&gt;$H$17,Q$5&lt;$H$17+$F$17),1,IF(Q$5=$H$17+$F$17,1-DelivFactor,0)))</f>
        <v>0</v>
      </c>
      <c r="R60" s="123" t="n">
        <f aca="false">(1-$I$17)*(1-$J$17)*$D$17*$E$17/4*MIN(1,MAX(0,(R$5-$H$17+1)/$T$17))*IF(R$5=$H$17,DelivFactor,IF(AND(R$5&gt;$H$17,R$5&lt;$H$17+$F$17),1,IF(R$5=$H$17+$F$17,1-DelivFactor,0)))</f>
        <v>0</v>
      </c>
      <c r="S60" s="123" t="n">
        <f aca="false">(1-$I$17)*(1-$J$17)*$D$17*$E$17/4*MIN(1,MAX(0,(S$5-$H$17+1)/$T$17))*IF(S$5=$H$17,DelivFactor,IF(AND(S$5&gt;$H$17,S$5&lt;$H$17+$F$17),1,IF(S$5=$H$17+$F$17,1-DelivFactor,0)))</f>
        <v>12.0784027777778</v>
      </c>
      <c r="T60" s="123" t="n">
        <f aca="false">(1-$I$17)*(1-$J$17)*$D$17*$E$17/4*MIN(1,MAX(0,(T$5-$H$17+1)/$T$17))*IF(T$5=$H$17,DelivFactor,IF(AND(T$5&gt;$H$17,T$5&lt;$H$17+$F$17),1,IF(T$5=$H$17+$F$17,1-DelivFactor,0)))</f>
        <v>48.3136111111111</v>
      </c>
      <c r="U60" s="123" t="n">
        <f aca="false">(1-$I$17)*(1-$J$17)*$D$17*$E$17/4*MIN(1,MAX(0,(U$5-$H$17+1)/$T$17))*IF(U$5=$H$17,DelivFactor,IF(AND(U$5&gt;$H$17,U$5&lt;$H$17+$F$17),1,IF(U$5=$H$17+$F$17,1-DelivFactor,0)))</f>
        <v>72.4704166666667</v>
      </c>
      <c r="V60" s="123" t="n">
        <f aca="false">(1-$I$17)*(1-$J$17)*$D$17*$E$17/4*MIN(1,MAX(0,(V$5-$H$17+1)/$T$17))*IF(V$5=$H$17,DelivFactor,IF(AND(V$5&gt;$H$17,V$5&lt;$H$17+$F$17),1,IF(V$5=$H$17+$F$17,1-DelivFactor,0)))</f>
        <v>96.6272222222222</v>
      </c>
      <c r="W60" s="123" t="n">
        <f aca="false">(1-$I$17)*(1-$J$17)*$D$17*$E$17/4*MIN(1,MAX(0,(W$5-$H$17+1)/$T$17))*IF(W$5=$H$17,DelivFactor,IF(AND(W$5&gt;$H$17,W$5&lt;$H$17+$F$17),1,IF(W$5=$H$17+$F$17,1-DelivFactor,0)))</f>
        <v>96.6272222222222</v>
      </c>
      <c r="X60" s="123" t="n">
        <f aca="false">(1-$I$17)*(1-$J$17)*$D$17*$E$17/4*MIN(1,MAX(0,(X$5-$H$17+1)/$T$17))*IF(X$5=$H$17,DelivFactor,IF(AND(X$5&gt;$H$17,X$5&lt;$H$17+$F$17),1,IF(X$5=$H$17+$F$17,1-DelivFactor,0)))</f>
        <v>96.6272222222222</v>
      </c>
      <c r="Y60" s="123" t="n">
        <f aca="false">(1-$I$17)*(1-$J$17)*$D$17*$E$17/4*MIN(1,MAX(0,(Y$5-$H$17+1)/$T$17))*IF(Y$5=$H$17,DelivFactor,IF(AND(Y$5&gt;$H$17,Y$5&lt;$H$17+$F$17),1,IF(Y$5=$H$17+$F$17,1-DelivFactor,0)))</f>
        <v>96.6272222222222</v>
      </c>
      <c r="Z60" s="123" t="n">
        <f aca="false">(1-$I$17)*(1-$J$17)*$D$17*$E$17/4*MIN(1,MAX(0,(Z$5-$H$17+1)/$T$17))*IF(Z$5=$H$17,DelivFactor,IF(AND(Z$5&gt;$H$17,Z$5&lt;$H$17+$F$17),1,IF(Z$5=$H$17+$F$17,1-DelivFactor,0)))</f>
        <v>96.6272222222222</v>
      </c>
      <c r="AA60" s="123" t="n">
        <f aca="false">(1-$I$17)*(1-$J$17)*$D$17*$E$17/4*MIN(1,MAX(0,(AA$5-$H$17+1)/$T$17))*IF(AA$5=$H$17,DelivFactor,IF(AND(AA$5&gt;$H$17,AA$5&lt;$H$17+$F$17),1,IF(AA$5=$H$17+$F$17,1-DelivFactor,0)))</f>
        <v>96.6272222222222</v>
      </c>
      <c r="AB60" s="123" t="n">
        <f aca="false">(1-$I$17)*(1-$J$17)*$D$17*$E$17/4*MIN(1,MAX(0,(AB$5-$H$17+1)/$T$17))*IF(AB$5=$H$17,DelivFactor,IF(AND(AB$5&gt;$H$17,AB$5&lt;$H$17+$F$17),1,IF(AB$5=$H$17+$F$17,1-DelivFactor,0)))</f>
        <v>96.6272222222222</v>
      </c>
      <c r="AC60" s="123" t="n">
        <f aca="false">(1-$I$17)*(1-$J$17)*$D$17*$E$17/4*MIN(1,MAX(0,(AC$5-$H$17+1)/$T$17))*IF(AC$5=$H$17,DelivFactor,IF(AND(AC$5&gt;$H$17,AC$5&lt;$H$17+$F$17),1,IF(AC$5=$H$17+$F$17,1-DelivFactor,0)))</f>
        <v>96.6272222222222</v>
      </c>
      <c r="AD60" s="123" t="n">
        <f aca="false">(1-$I$17)*(1-$J$17)*$D$17*$E$17/4*MIN(1,MAX(0,(AD$5-$H$17+1)/$T$17))*IF(AD$5=$H$17,DelivFactor,IF(AND(AD$5&gt;$H$17,AD$5&lt;$H$17+$F$17),1,IF(AD$5=$H$17+$F$17,1-DelivFactor,0)))</f>
        <v>96.6272222222222</v>
      </c>
      <c r="AE60" s="123" t="n">
        <f aca="false">(1-$I$17)*(1-$J$17)*$D$17*$E$17/4*MIN(1,MAX(0,(AE$5-$H$17+1)/$T$17))*IF(AE$5=$H$17,DelivFactor,IF(AND(AE$5&gt;$H$17,AE$5&lt;$H$17+$F$17),1,IF(AE$5=$H$17+$F$17,1-DelivFactor,0)))</f>
        <v>96.6272222222222</v>
      </c>
      <c r="AF60" s="123" t="n">
        <f aca="false">(1-$I$17)*(1-$J$17)*$D$17*$E$17/4*MIN(1,MAX(0,(AF$5-$H$17+1)/$T$17))*IF(AF$5=$H$17,DelivFactor,IF(AND(AF$5&gt;$H$17,AF$5&lt;$H$17+$F$17),1,IF(AF$5=$H$17+$F$17,1-DelivFactor,0)))</f>
        <v>96.6272222222222</v>
      </c>
      <c r="AG60" s="123" t="n">
        <f aca="false">(1-$I$17)*(1-$J$17)*$D$17*$E$17/4*MIN(1,MAX(0,(AG$5-$H$17+1)/$T$17))*IF(AG$5=$H$17,DelivFactor,IF(AND(AG$5&gt;$H$17,AG$5&lt;$H$17+$F$17),1,IF(AG$5=$H$17+$F$17,1-DelivFactor,0)))</f>
        <v>96.6272222222222</v>
      </c>
      <c r="AI60" s="123" t="n">
        <f aca="false">SUMIF($F$7:$AG$7,AI$7,$F60:$AG60)</f>
        <v>0</v>
      </c>
      <c r="AJ60" s="123" t="n">
        <f aca="false">SUMIF($F$7:$AG$7,AJ$7,$F60:$AG60)</f>
        <v>0</v>
      </c>
      <c r="AK60" s="123" t="n">
        <f aca="false">SUMIF($F$7:$AG$7,AK$7,$F60:$AG60)</f>
        <v>0</v>
      </c>
      <c r="AL60" s="123" t="n">
        <f aca="false">SUMIF($F$7:$AG$7,AL$7,$F60:$AG60)</f>
        <v>132.862430555556</v>
      </c>
      <c r="AM60" s="123" t="n">
        <f aca="false">SUMIF($F$7:$AG$7,AM$7,$F60:$AG60)</f>
        <v>386.508888888889</v>
      </c>
      <c r="AN60" s="123" t="n">
        <f aca="false">SUMIF($F$7:$AG$7,AN$7,$F60:$AG60)</f>
        <v>386.508888888889</v>
      </c>
      <c r="AO60" s="123" t="n">
        <f aca="false">SUMIF($F$7:$AG$7,AO$7,$F60:$AG60)</f>
        <v>386.508888888889</v>
      </c>
    </row>
    <row r="61" customFormat="false" ht="15" hidden="false" customHeight="false" outlineLevel="0" collapsed="false">
      <c r="A61" s="104" t="s">
        <v>1660</v>
      </c>
      <c r="B61" s="20" t="s">
        <v>575</v>
      </c>
      <c r="C61" s="20"/>
      <c r="D61" s="20"/>
      <c r="F61" s="113" t="n">
        <f aca="false">(1-$I$17)*(1-$J$17)*$D$17*AND(F$5&gt;=$H$17,F$5&lt;$H$17+$F$17)</f>
        <v>0</v>
      </c>
      <c r="G61" s="113" t="n">
        <f aca="false">(1-$I$17)*(1-$J$17)*$D$17*AND(G$5&gt;=$H$17,G$5&lt;$H$17+$F$17)</f>
        <v>0</v>
      </c>
      <c r="H61" s="113" t="n">
        <f aca="false">(1-$I$17)*(1-$J$17)*$D$17*AND(H$5&gt;=$H$17,H$5&lt;$H$17+$F$17)</f>
        <v>0</v>
      </c>
      <c r="I61" s="113" t="n">
        <f aca="false">(1-$I$17)*(1-$J$17)*$D$17*AND(I$5&gt;=$H$17,I$5&lt;$H$17+$F$17)</f>
        <v>0</v>
      </c>
      <c r="J61" s="113" t="n">
        <f aca="false">(1-$I$17)*(1-$J$17)*$D$17*AND(J$5&gt;=$H$17,J$5&lt;$H$17+$F$17)</f>
        <v>0</v>
      </c>
      <c r="K61" s="113" t="n">
        <f aca="false">(1-$I$17)*(1-$J$17)*$D$17*AND(K$5&gt;=$H$17,K$5&lt;$H$17+$F$17)</f>
        <v>0</v>
      </c>
      <c r="L61" s="113" t="n">
        <f aca="false">(1-$I$17)*(1-$J$17)*$D$17*AND(L$5&gt;=$H$17,L$5&lt;$H$17+$F$17)</f>
        <v>0</v>
      </c>
      <c r="M61" s="113" t="n">
        <f aca="false">(1-$I$17)*(1-$J$17)*$D$17*AND(M$5&gt;=$H$17,M$5&lt;$H$17+$F$17)</f>
        <v>0</v>
      </c>
      <c r="N61" s="113" t="n">
        <f aca="false">(1-$I$17)*(1-$J$17)*$D$17*AND(N$5&gt;=$H$17,N$5&lt;$H$17+$F$17)</f>
        <v>0</v>
      </c>
      <c r="O61" s="113" t="n">
        <f aca="false">(1-$I$17)*(1-$J$17)*$D$17*AND(O$5&gt;=$H$17,O$5&lt;$H$17+$F$17)</f>
        <v>0</v>
      </c>
      <c r="P61" s="31" t="n">
        <f aca="false">(1-$I$17)*(1-$J$17)*$D$17*AND(P$5&gt;=$H$17,P$5&lt;$H$17+$F$17)</f>
        <v>0</v>
      </c>
      <c r="Q61" s="31" t="n">
        <f aca="false">(1-$I$17)*(1-$J$17)*$D$17*AND(Q$5&gt;=$H$17,Q$5&lt;$H$17+$F$17)</f>
        <v>0</v>
      </c>
      <c r="R61" s="31" t="n">
        <f aca="false">(1-$I$17)*(1-$J$17)*$D$17*AND(R$5&gt;=$H$17,R$5&lt;$H$17+$F$17)</f>
        <v>0</v>
      </c>
      <c r="S61" s="31" t="n">
        <f aca="false">(1-$I$17)*(1-$J$17)*$D$17*AND(S$5&gt;=$H$17,S$5&lt;$H$17+$F$17)</f>
        <v>26.6666666666667</v>
      </c>
      <c r="T61" s="31" t="n">
        <f aca="false">(1-$I$17)*(1-$J$17)*$D$17*AND(T$5&gt;=$H$17,T$5&lt;$H$17+$F$17)</f>
        <v>26.6666666666667</v>
      </c>
      <c r="U61" s="31" t="n">
        <f aca="false">(1-$I$17)*(1-$J$17)*$D$17*AND(U$5&gt;=$H$17,U$5&lt;$H$17+$F$17)</f>
        <v>26.6666666666667</v>
      </c>
      <c r="V61" s="31" t="n">
        <f aca="false">(1-$I$17)*(1-$J$17)*$D$17*AND(V$5&gt;=$H$17,V$5&lt;$H$17+$F$17)</f>
        <v>26.6666666666667</v>
      </c>
      <c r="W61" s="31" t="n">
        <f aca="false">(1-$I$17)*(1-$J$17)*$D$17*AND(W$5&gt;=$H$17,W$5&lt;$H$17+$F$17)</f>
        <v>26.6666666666667</v>
      </c>
      <c r="X61" s="31" t="n">
        <f aca="false">(1-$I$17)*(1-$J$17)*$D$17*AND(X$5&gt;=$H$17,X$5&lt;$H$17+$F$17)</f>
        <v>26.6666666666667</v>
      </c>
      <c r="Y61" s="31" t="n">
        <f aca="false">(1-$I$17)*(1-$J$17)*$D$17*AND(Y$5&gt;=$H$17,Y$5&lt;$H$17+$F$17)</f>
        <v>26.6666666666667</v>
      </c>
      <c r="Z61" s="31" t="n">
        <f aca="false">(1-$I$17)*(1-$J$17)*$D$17*AND(Z$5&gt;=$H$17,Z$5&lt;$H$17+$F$17)</f>
        <v>26.6666666666667</v>
      </c>
      <c r="AA61" s="31" t="n">
        <f aca="false">(1-$I$17)*(1-$J$17)*$D$17*AND(AA$5&gt;=$H$17,AA$5&lt;$H$17+$F$17)</f>
        <v>26.6666666666667</v>
      </c>
      <c r="AB61" s="31" t="n">
        <f aca="false">(1-$I$17)*(1-$J$17)*$D$17*AND(AB$5&gt;=$H$17,AB$5&lt;$H$17+$F$17)</f>
        <v>26.6666666666667</v>
      </c>
      <c r="AC61" s="31" t="n">
        <f aca="false">(1-$I$17)*(1-$J$17)*$D$17*AND(AC$5&gt;=$H$17,AC$5&lt;$H$17+$F$17)</f>
        <v>26.6666666666667</v>
      </c>
      <c r="AD61" s="31" t="n">
        <f aca="false">(1-$I$17)*(1-$J$17)*$D$17*AND(AD$5&gt;=$H$17,AD$5&lt;$H$17+$F$17)</f>
        <v>26.6666666666667</v>
      </c>
      <c r="AE61" s="31" t="n">
        <f aca="false">(1-$I$17)*(1-$J$17)*$D$17*AND(AE$5&gt;=$H$17,AE$5&lt;$H$17+$F$17)</f>
        <v>26.6666666666667</v>
      </c>
      <c r="AF61" s="31" t="n">
        <f aca="false">(1-$I$17)*(1-$J$17)*$D$17*AND(AF$5&gt;=$H$17,AF$5&lt;$H$17+$F$17)</f>
        <v>26.6666666666667</v>
      </c>
      <c r="AG61" s="31" t="n">
        <f aca="false">(1-$I$17)*(1-$J$17)*$D$17*AND(AG$5&gt;=$H$17,AG$5&lt;$H$17+$F$17)</f>
        <v>26.6666666666667</v>
      </c>
      <c r="AI61" s="31" t="n">
        <f aca="false">INDEX($F61:$AG61,1,MATCH(AI$7,$F$7:$AG$7,1))</f>
        <v>0</v>
      </c>
      <c r="AJ61" s="31" t="n">
        <f aca="false">INDEX($F61:$AG61,1,MATCH(AJ$7,$F$7:$AG$7,1))</f>
        <v>0</v>
      </c>
      <c r="AK61" s="31" t="n">
        <f aca="false">INDEX($F61:$AG61,1,MATCH(AK$7,$F$7:$AG$7,1))</f>
        <v>0</v>
      </c>
      <c r="AL61" s="31" t="n">
        <f aca="false">INDEX($F61:$AG61,1,MATCH(AL$7,$F$7:$AG$7,1))</f>
        <v>26.6666666666667</v>
      </c>
      <c r="AM61" s="31" t="n">
        <f aca="false">INDEX($F61:$AG61,1,MATCH(AM$7,$F$7:$AG$7,1))</f>
        <v>26.6666666666667</v>
      </c>
      <c r="AN61" s="31" t="n">
        <f aca="false">INDEX($F61:$AG61,1,MATCH(AN$7,$F$7:$AG$7,1))</f>
        <v>26.6666666666667</v>
      </c>
      <c r="AO61" s="31" t="n">
        <f aca="false">INDEX($F61:$AG61,1,MATCH(AO$7,$F$7:$AG$7,1))</f>
        <v>26.6666666666667</v>
      </c>
    </row>
    <row r="62" customFormat="false" ht="15" hidden="false" customHeight="false" outlineLevel="0" collapsed="false">
      <c r="A62" s="104" t="s">
        <v>1661</v>
      </c>
      <c r="B62" s="20" t="s">
        <v>561</v>
      </c>
      <c r="C62" s="20"/>
      <c r="D62" s="20"/>
      <c r="F62" s="122" t="n">
        <f aca="false">-(1-$I$17)*LD_Pct*$D$17*$E$17/4*AND(F$5&gt;=$G$17,F$5&lt;$H$17)</f>
        <v>-0</v>
      </c>
      <c r="G62" s="122" t="n">
        <f aca="false">-(1-$I$17)*LD_Pct*$D$17*$E$17/4*AND(G$5&gt;=$G$17,G$5&lt;$H$17)</f>
        <v>-0</v>
      </c>
      <c r="H62" s="122" t="n">
        <f aca="false">-(1-$I$17)*LD_Pct*$D$17*$E$17/4*AND(H$5&gt;=$G$17,H$5&lt;$H$17)</f>
        <v>-0</v>
      </c>
      <c r="I62" s="122" t="n">
        <f aca="false">-(1-$I$17)*LD_Pct*$D$17*$E$17/4*AND(I$5&gt;=$G$17,I$5&lt;$H$17)</f>
        <v>-0</v>
      </c>
      <c r="J62" s="122" t="n">
        <f aca="false">-(1-$I$17)*LD_Pct*$D$17*$E$17/4*AND(J$5&gt;=$G$17,J$5&lt;$H$17)</f>
        <v>-0</v>
      </c>
      <c r="K62" s="122" t="n">
        <f aca="false">-(1-$I$17)*LD_Pct*$D$17*$E$17/4*AND(K$5&gt;=$G$17,K$5&lt;$H$17)</f>
        <v>-0</v>
      </c>
      <c r="L62" s="122" t="n">
        <f aca="false">-(1-$I$17)*LD_Pct*$D$17*$E$17/4*AND(L$5&gt;=$G$17,L$5&lt;$H$17)</f>
        <v>-0</v>
      </c>
      <c r="M62" s="122" t="n">
        <f aca="false">-(1-$I$17)*LD_Pct*$D$17*$E$17/4*AND(M$5&gt;=$G$17,M$5&lt;$H$17)</f>
        <v>-0</v>
      </c>
      <c r="N62" s="122" t="n">
        <f aca="false">-(1-$I$17)*LD_Pct*$D$17*$E$17/4*AND(N$5&gt;=$G$17,N$5&lt;$H$17)</f>
        <v>-0</v>
      </c>
      <c r="O62" s="122" t="n">
        <f aca="false">-(1-$I$17)*LD_Pct*$D$17*$E$17/4*AND(O$5&gt;=$G$17,O$5&lt;$H$17)</f>
        <v>-0</v>
      </c>
      <c r="P62" s="123" t="n">
        <f aca="false">-(1-$I$17)*LD_Pct*$D$17*$E$17/4*AND(P$5&gt;=$G$17,P$5&lt;$H$17)</f>
        <v>-0</v>
      </c>
      <c r="Q62" s="123" t="n">
        <f aca="false">-(1-$I$17)*LD_Pct*$D$17*$E$17/4*AND(Q$5&gt;=$G$17,Q$5&lt;$H$17)</f>
        <v>-0</v>
      </c>
      <c r="R62" s="123" t="n">
        <f aca="false">-(1-$I$17)*LD_Pct*$D$17*$E$17/4*AND(R$5&gt;=$G$17,R$5&lt;$H$17)</f>
        <v>-0</v>
      </c>
      <c r="S62" s="123" t="n">
        <f aca="false">-(1-$I$17)*LD_Pct*$D$17*$E$17/4*AND(S$5&gt;=$G$17,S$5&lt;$H$17)</f>
        <v>-0</v>
      </c>
      <c r="T62" s="123" t="n">
        <f aca="false">-(1-$I$17)*LD_Pct*$D$17*$E$17/4*AND(T$5&gt;=$G$17,T$5&lt;$H$17)</f>
        <v>-0</v>
      </c>
      <c r="U62" s="123" t="n">
        <f aca="false">-(1-$I$17)*LD_Pct*$D$17*$E$17/4*AND(U$5&gt;=$G$17,U$5&lt;$H$17)</f>
        <v>-0</v>
      </c>
      <c r="V62" s="123" t="n">
        <f aca="false">-(1-$I$17)*LD_Pct*$D$17*$E$17/4*AND(V$5&gt;=$G$17,V$5&lt;$H$17)</f>
        <v>-0</v>
      </c>
      <c r="W62" s="123" t="n">
        <f aca="false">-(1-$I$17)*LD_Pct*$D$17*$E$17/4*AND(W$5&gt;=$G$17,W$5&lt;$H$17)</f>
        <v>-0</v>
      </c>
      <c r="X62" s="123" t="n">
        <f aca="false">-(1-$I$17)*LD_Pct*$D$17*$E$17/4*AND(X$5&gt;=$G$17,X$5&lt;$H$17)</f>
        <v>-0</v>
      </c>
      <c r="Y62" s="123" t="n">
        <f aca="false">-(1-$I$17)*LD_Pct*$D$17*$E$17/4*AND(Y$5&gt;=$G$17,Y$5&lt;$H$17)</f>
        <v>-0</v>
      </c>
      <c r="Z62" s="123" t="n">
        <f aca="false">-(1-$I$17)*LD_Pct*$D$17*$E$17/4*AND(Z$5&gt;=$G$17,Z$5&lt;$H$17)</f>
        <v>-0</v>
      </c>
      <c r="AA62" s="123" t="n">
        <f aca="false">-(1-$I$17)*LD_Pct*$D$17*$E$17/4*AND(AA$5&gt;=$G$17,AA$5&lt;$H$17)</f>
        <v>-0</v>
      </c>
      <c r="AB62" s="123" t="n">
        <f aca="false">-(1-$I$17)*LD_Pct*$D$17*$E$17/4*AND(AB$5&gt;=$G$17,AB$5&lt;$H$17)</f>
        <v>-0</v>
      </c>
      <c r="AC62" s="123" t="n">
        <f aca="false">-(1-$I$17)*LD_Pct*$D$17*$E$17/4*AND(AC$5&gt;=$G$17,AC$5&lt;$H$17)</f>
        <v>-0</v>
      </c>
      <c r="AD62" s="123" t="n">
        <f aca="false">-(1-$I$17)*LD_Pct*$D$17*$E$17/4*AND(AD$5&gt;=$G$17,AD$5&lt;$H$17)</f>
        <v>-0</v>
      </c>
      <c r="AE62" s="123" t="n">
        <f aca="false">-(1-$I$17)*LD_Pct*$D$17*$E$17/4*AND(AE$5&gt;=$G$17,AE$5&lt;$H$17)</f>
        <v>-0</v>
      </c>
      <c r="AF62" s="123" t="n">
        <f aca="false">-(1-$I$17)*LD_Pct*$D$17*$E$17/4*AND(AF$5&gt;=$G$17,AF$5&lt;$H$17)</f>
        <v>-0</v>
      </c>
      <c r="AG62" s="123" t="n">
        <f aca="false">-(1-$I$17)*LD_Pct*$D$17*$E$17/4*AND(AG$5&gt;=$G$17,AG$5&lt;$H$17)</f>
        <v>-0</v>
      </c>
      <c r="AI62" s="123" t="n">
        <f aca="false">SUMIF($F$7:$AG$7,AI$7,$F62:$AG62)</f>
        <v>0</v>
      </c>
      <c r="AJ62" s="123" t="n">
        <f aca="false">SUMIF($F$7:$AG$7,AJ$7,$F62:$AG62)</f>
        <v>0</v>
      </c>
      <c r="AK62" s="123" t="n">
        <f aca="false">SUMIF($F$7:$AG$7,AK$7,$F62:$AG62)</f>
        <v>0</v>
      </c>
      <c r="AL62" s="123" t="n">
        <f aca="false">SUMIF($F$7:$AG$7,AL$7,$F62:$AG62)</f>
        <v>0</v>
      </c>
      <c r="AM62" s="123" t="n">
        <f aca="false">SUMIF($F$7:$AG$7,AM$7,$F62:$AG62)</f>
        <v>0</v>
      </c>
      <c r="AN62" s="123" t="n">
        <f aca="false">SUMIF($F$7:$AG$7,AN$7,$F62:$AG62)</f>
        <v>0</v>
      </c>
      <c r="AO62" s="123" t="n">
        <f aca="false">SUMIF($F$7:$AG$7,AO$7,$F62:$AG62)</f>
        <v>0</v>
      </c>
    </row>
    <row r="63" customFormat="false" ht="15" hidden="false" customHeight="false" outlineLevel="0" collapsed="false">
      <c r="A63" s="104" t="s">
        <v>1662</v>
      </c>
      <c r="B63" s="20" t="s">
        <v>575</v>
      </c>
      <c r="C63" s="20"/>
      <c r="D63" s="20"/>
      <c r="F63" s="113" t="n">
        <f aca="false">(1-$I$17)*(1-$J$17)*$D$17*(F$5&gt;=$H$17+$F$17)</f>
        <v>0</v>
      </c>
      <c r="G63" s="113" t="n">
        <f aca="false">(1-$I$17)*(1-$J$17)*$D$17*(G$5&gt;=$H$17+$F$17)</f>
        <v>0</v>
      </c>
      <c r="H63" s="113" t="n">
        <f aca="false">(1-$I$17)*(1-$J$17)*$D$17*(H$5&gt;=$H$17+$F$17)</f>
        <v>0</v>
      </c>
      <c r="I63" s="113" t="n">
        <f aca="false">(1-$I$17)*(1-$J$17)*$D$17*(I$5&gt;=$H$17+$F$17)</f>
        <v>0</v>
      </c>
      <c r="J63" s="113" t="n">
        <f aca="false">(1-$I$17)*(1-$J$17)*$D$17*(J$5&gt;=$H$17+$F$17)</f>
        <v>0</v>
      </c>
      <c r="K63" s="113" t="n">
        <f aca="false">(1-$I$17)*(1-$J$17)*$D$17*(K$5&gt;=$H$17+$F$17)</f>
        <v>0</v>
      </c>
      <c r="L63" s="113" t="n">
        <f aca="false">(1-$I$17)*(1-$J$17)*$D$17*(L$5&gt;=$H$17+$F$17)</f>
        <v>0</v>
      </c>
      <c r="M63" s="113" t="n">
        <f aca="false">(1-$I$17)*(1-$J$17)*$D$17*(M$5&gt;=$H$17+$F$17)</f>
        <v>0</v>
      </c>
      <c r="N63" s="113" t="n">
        <f aca="false">(1-$I$17)*(1-$J$17)*$D$17*(N$5&gt;=$H$17+$F$17)</f>
        <v>0</v>
      </c>
      <c r="O63" s="113" t="n">
        <f aca="false">(1-$I$17)*(1-$J$17)*$D$17*(O$5&gt;=$H$17+$F$17)</f>
        <v>0</v>
      </c>
      <c r="P63" s="31" t="n">
        <f aca="false">(1-$I$17)*(1-$J$17)*$D$17*(P$5&gt;=$H$17+$F$17)</f>
        <v>0</v>
      </c>
      <c r="Q63" s="31" t="n">
        <f aca="false">(1-$I$17)*(1-$J$17)*$D$17*(Q$5&gt;=$H$17+$F$17)</f>
        <v>0</v>
      </c>
      <c r="R63" s="31" t="n">
        <f aca="false">(1-$I$17)*(1-$J$17)*$D$17*(R$5&gt;=$H$17+$F$17)</f>
        <v>0</v>
      </c>
      <c r="S63" s="31" t="n">
        <f aca="false">(1-$I$17)*(1-$J$17)*$D$17*(S$5&gt;=$H$17+$F$17)</f>
        <v>0</v>
      </c>
      <c r="T63" s="31" t="n">
        <f aca="false">(1-$I$17)*(1-$J$17)*$D$17*(T$5&gt;=$H$17+$F$17)</f>
        <v>0</v>
      </c>
      <c r="U63" s="31" t="n">
        <f aca="false">(1-$I$17)*(1-$J$17)*$D$17*(U$5&gt;=$H$17+$F$17)</f>
        <v>0</v>
      </c>
      <c r="V63" s="31" t="n">
        <f aca="false">(1-$I$17)*(1-$J$17)*$D$17*(V$5&gt;=$H$17+$F$17)</f>
        <v>0</v>
      </c>
      <c r="W63" s="31" t="n">
        <f aca="false">(1-$I$17)*(1-$J$17)*$D$17*(W$5&gt;=$H$17+$F$17)</f>
        <v>0</v>
      </c>
      <c r="X63" s="31" t="n">
        <f aca="false">(1-$I$17)*(1-$J$17)*$D$17*(X$5&gt;=$H$17+$F$17)</f>
        <v>0</v>
      </c>
      <c r="Y63" s="31" t="n">
        <f aca="false">(1-$I$17)*(1-$J$17)*$D$17*(Y$5&gt;=$H$17+$F$17)</f>
        <v>0</v>
      </c>
      <c r="Z63" s="31" t="n">
        <f aca="false">(1-$I$17)*(1-$J$17)*$D$17*(Z$5&gt;=$H$17+$F$17)</f>
        <v>0</v>
      </c>
      <c r="AA63" s="31" t="n">
        <f aca="false">(1-$I$17)*(1-$J$17)*$D$17*(AA$5&gt;=$H$17+$F$17)</f>
        <v>0</v>
      </c>
      <c r="AB63" s="31" t="n">
        <f aca="false">(1-$I$17)*(1-$J$17)*$D$17*(AB$5&gt;=$H$17+$F$17)</f>
        <v>0</v>
      </c>
      <c r="AC63" s="31" t="n">
        <f aca="false">(1-$I$17)*(1-$J$17)*$D$17*(AC$5&gt;=$H$17+$F$17)</f>
        <v>0</v>
      </c>
      <c r="AD63" s="31" t="n">
        <f aca="false">(1-$I$17)*(1-$J$17)*$D$17*(AD$5&gt;=$H$17+$F$17)</f>
        <v>0</v>
      </c>
      <c r="AE63" s="31" t="n">
        <f aca="false">(1-$I$17)*(1-$J$17)*$D$17*(AE$5&gt;=$H$17+$F$17)</f>
        <v>0</v>
      </c>
      <c r="AF63" s="31" t="n">
        <f aca="false">(1-$I$17)*(1-$J$17)*$D$17*(AF$5&gt;=$H$17+$F$17)</f>
        <v>0</v>
      </c>
      <c r="AG63" s="31" t="n">
        <f aca="false">(1-$I$17)*(1-$J$17)*$D$17*(AG$5&gt;=$H$17+$F$17)</f>
        <v>0</v>
      </c>
      <c r="AI63" s="31" t="n">
        <f aca="false">INDEX($F63:$AG63,1,MATCH(AI$7,$F$7:$AG$7,1))</f>
        <v>0</v>
      </c>
      <c r="AJ63" s="31" t="n">
        <f aca="false">INDEX($F63:$AG63,1,MATCH(AJ$7,$F$7:$AG$7,1))</f>
        <v>0</v>
      </c>
      <c r="AK63" s="31" t="n">
        <f aca="false">INDEX($F63:$AG63,1,MATCH(AK$7,$F$7:$AG$7,1))</f>
        <v>0</v>
      </c>
      <c r="AL63" s="31" t="n">
        <f aca="false">INDEX($F63:$AG63,1,MATCH(AL$7,$F$7:$AG$7,1))</f>
        <v>0</v>
      </c>
      <c r="AM63" s="31" t="n">
        <f aca="false">INDEX($F63:$AG63,1,MATCH(AM$7,$F$7:$AG$7,1))</f>
        <v>0</v>
      </c>
      <c r="AN63" s="31" t="n">
        <f aca="false">INDEX($F63:$AG63,1,MATCH(AN$7,$F$7:$AG$7,1))</f>
        <v>0</v>
      </c>
      <c r="AO63" s="31" t="n">
        <f aca="false">INDEX($F63:$AG63,1,MATCH(AO$7,$F$7:$AG$7,1))</f>
        <v>0</v>
      </c>
    </row>
    <row r="64" customFormat="false" ht="15" hidden="false" customHeight="false" outlineLevel="0" collapsed="false">
      <c r="A64" s="104" t="s">
        <v>1663</v>
      </c>
      <c r="B64" s="20" t="s">
        <v>561</v>
      </c>
      <c r="C64" s="20"/>
      <c r="D64" s="20" t="s">
        <v>1638</v>
      </c>
      <c r="F64" s="122" t="n">
        <f aca="false">F63*CHOOSE(MATCH($C$17,{"H";"B";"N"},0),GPUMW_H*ODc_H,GPUMW_B*ODc_B,GPUMW_N*ODc_N)*ResidUtil*Timeline!F$9*INDEX(Curve,1,MAX(1,MIN(8,INT((F$5-$H$17)/4)+1)))/1000000</f>
        <v>0</v>
      </c>
      <c r="G64" s="122" t="n">
        <f aca="false">G63*CHOOSE(MATCH($C$17,{"H";"B";"N"},0),GPUMW_H*ODc_H,GPUMW_B*ODc_B,GPUMW_N*ODc_N)*ResidUtil*Timeline!G$9*INDEX(Curve,1,MAX(1,MIN(8,INT((G$5-$H$17)/4)+1)))/1000000</f>
        <v>0</v>
      </c>
      <c r="H64" s="122" t="n">
        <f aca="false">H63*CHOOSE(MATCH($C$17,{"H";"B";"N"},0),GPUMW_H*ODc_H,GPUMW_B*ODc_B,GPUMW_N*ODc_N)*ResidUtil*Timeline!H$9*INDEX(Curve,1,MAX(1,MIN(8,INT((H$5-$H$17)/4)+1)))/1000000</f>
        <v>0</v>
      </c>
      <c r="I64" s="122" t="n">
        <f aca="false">I63*CHOOSE(MATCH($C$17,{"H";"B";"N"},0),GPUMW_H*ODc_H,GPUMW_B*ODc_B,GPUMW_N*ODc_N)*ResidUtil*Timeline!I$9*INDEX(Curve,1,MAX(1,MIN(8,INT((I$5-$H$17)/4)+1)))/1000000</f>
        <v>0</v>
      </c>
      <c r="J64" s="122" t="n">
        <f aca="false">J63*CHOOSE(MATCH($C$17,{"H";"B";"N"},0),GPUMW_H*ODc_H,GPUMW_B*ODc_B,GPUMW_N*ODc_N)*ResidUtil*Timeline!J$9*INDEX(Curve,1,MAX(1,MIN(8,INT((J$5-$H$17)/4)+1)))/1000000</f>
        <v>0</v>
      </c>
      <c r="K64" s="122" t="n">
        <f aca="false">K63*CHOOSE(MATCH($C$17,{"H";"B";"N"},0),GPUMW_H*ODc_H,GPUMW_B*ODc_B,GPUMW_N*ODc_N)*ResidUtil*Timeline!K$9*INDEX(Curve,1,MAX(1,MIN(8,INT((K$5-$H$17)/4)+1)))/1000000</f>
        <v>0</v>
      </c>
      <c r="L64" s="122" t="n">
        <f aca="false">L63*CHOOSE(MATCH($C$17,{"H";"B";"N"},0),GPUMW_H*ODc_H,GPUMW_B*ODc_B,GPUMW_N*ODc_N)*ResidUtil*Timeline!L$9*INDEX(Curve,1,MAX(1,MIN(8,INT((L$5-$H$17)/4)+1)))/1000000</f>
        <v>0</v>
      </c>
      <c r="M64" s="122" t="n">
        <f aca="false">M63*CHOOSE(MATCH($C$17,{"H";"B";"N"},0),GPUMW_H*ODc_H,GPUMW_B*ODc_B,GPUMW_N*ODc_N)*ResidUtil*Timeline!M$9*INDEX(Curve,1,MAX(1,MIN(8,INT((M$5-$H$17)/4)+1)))/1000000</f>
        <v>0</v>
      </c>
      <c r="N64" s="122" t="n">
        <f aca="false">N63*CHOOSE(MATCH($C$17,{"H";"B";"N"},0),GPUMW_H*ODc_H,GPUMW_B*ODc_B,GPUMW_N*ODc_N)*ResidUtil*Timeline!N$9*INDEX(Curve,1,MAX(1,MIN(8,INT((N$5-$H$17)/4)+1)))/1000000</f>
        <v>0</v>
      </c>
      <c r="O64" s="122" t="n">
        <f aca="false">O63*CHOOSE(MATCH($C$17,{"H";"B";"N"},0),GPUMW_H*ODc_H,GPUMW_B*ODc_B,GPUMW_N*ODc_N)*ResidUtil*Timeline!O$9*INDEX(Curve,1,MAX(1,MIN(8,INT((O$5-$H$17)/4)+1)))/1000000</f>
        <v>0</v>
      </c>
      <c r="P64" s="123" t="n">
        <f aca="false">P63*CHOOSE(MATCH($C$17,{"H";"B";"N"},0),GPUMW_H*ODc_H,GPUMW_B*ODc_B,GPUMW_N*ODc_N)*ResidUtil*Timeline!P$9*INDEX(Curve,1,MAX(1,MIN(8,INT((P$5-$H$17)/4)+1)))/1000000</f>
        <v>0</v>
      </c>
      <c r="Q64" s="123" t="n">
        <f aca="false">Q63*CHOOSE(MATCH($C$17,{"H";"B";"N"},0),GPUMW_H*ODc_H,GPUMW_B*ODc_B,GPUMW_N*ODc_N)*ResidUtil*Timeline!Q$9*INDEX(Curve,1,MAX(1,MIN(8,INT((Q$5-$H$17)/4)+1)))/1000000</f>
        <v>0</v>
      </c>
      <c r="R64" s="123" t="n">
        <f aca="false">R63*CHOOSE(MATCH($C$17,{"H";"B";"N"},0),GPUMW_H*ODc_H,GPUMW_B*ODc_B,GPUMW_N*ODc_N)*ResidUtil*Timeline!R$9*INDEX(Curve,1,MAX(1,MIN(8,INT((R$5-$H$17)/4)+1)))/1000000</f>
        <v>0</v>
      </c>
      <c r="S64" s="123" t="n">
        <f aca="false">S63*CHOOSE(MATCH($C$17,{"H";"B";"N"},0),GPUMW_H*ODc_H,GPUMW_B*ODc_B,GPUMW_N*ODc_N)*ResidUtil*Timeline!S$9*INDEX(Curve,1,MAX(1,MIN(8,INT((S$5-$H$17)/4)+1)))/1000000</f>
        <v>0</v>
      </c>
      <c r="T64" s="123" t="n">
        <f aca="false">T63*CHOOSE(MATCH($C$17,{"H";"B";"N"},0),GPUMW_H*ODc_H,GPUMW_B*ODc_B,GPUMW_N*ODc_N)*ResidUtil*Timeline!T$9*INDEX(Curve,1,MAX(1,MIN(8,INT((T$5-$H$17)/4)+1)))/1000000</f>
        <v>0</v>
      </c>
      <c r="U64" s="123" t="n">
        <f aca="false">U63*CHOOSE(MATCH($C$17,{"H";"B";"N"},0),GPUMW_H*ODc_H,GPUMW_B*ODc_B,GPUMW_N*ODc_N)*ResidUtil*Timeline!U$9*INDEX(Curve,1,MAX(1,MIN(8,INT((U$5-$H$17)/4)+1)))/1000000</f>
        <v>0</v>
      </c>
      <c r="V64" s="123" t="n">
        <f aca="false">V63*CHOOSE(MATCH($C$17,{"H";"B";"N"},0),GPUMW_H*ODc_H,GPUMW_B*ODc_B,GPUMW_N*ODc_N)*ResidUtil*Timeline!V$9*INDEX(Curve,1,MAX(1,MIN(8,INT((V$5-$H$17)/4)+1)))/1000000</f>
        <v>0</v>
      </c>
      <c r="W64" s="123" t="n">
        <f aca="false">W63*CHOOSE(MATCH($C$17,{"H";"B";"N"},0),GPUMW_H*ODc_H,GPUMW_B*ODc_B,GPUMW_N*ODc_N)*ResidUtil*Timeline!W$9*INDEX(Curve,1,MAX(1,MIN(8,INT((W$5-$H$17)/4)+1)))/1000000</f>
        <v>0</v>
      </c>
      <c r="X64" s="123" t="n">
        <f aca="false">X63*CHOOSE(MATCH($C$17,{"H";"B";"N"},0),GPUMW_H*ODc_H,GPUMW_B*ODc_B,GPUMW_N*ODc_N)*ResidUtil*Timeline!X$9*INDEX(Curve,1,MAX(1,MIN(8,INT((X$5-$H$17)/4)+1)))/1000000</f>
        <v>0</v>
      </c>
      <c r="Y64" s="123" t="n">
        <f aca="false">Y63*CHOOSE(MATCH($C$17,{"H";"B";"N"},0),GPUMW_H*ODc_H,GPUMW_B*ODc_B,GPUMW_N*ODc_N)*ResidUtil*Timeline!Y$9*INDEX(Curve,1,MAX(1,MIN(8,INT((Y$5-$H$17)/4)+1)))/1000000</f>
        <v>0</v>
      </c>
      <c r="Z64" s="123" t="n">
        <f aca="false">Z63*CHOOSE(MATCH($C$17,{"H";"B";"N"},0),GPUMW_H*ODc_H,GPUMW_B*ODc_B,GPUMW_N*ODc_N)*ResidUtil*Timeline!Z$9*INDEX(Curve,1,MAX(1,MIN(8,INT((Z$5-$H$17)/4)+1)))/1000000</f>
        <v>0</v>
      </c>
      <c r="AA64" s="123" t="n">
        <f aca="false">AA63*CHOOSE(MATCH($C$17,{"H";"B";"N"},0),GPUMW_H*ODc_H,GPUMW_B*ODc_B,GPUMW_N*ODc_N)*ResidUtil*Timeline!AA$9*INDEX(Curve,1,MAX(1,MIN(8,INT((AA$5-$H$17)/4)+1)))/1000000</f>
        <v>0</v>
      </c>
      <c r="AB64" s="123" t="n">
        <f aca="false">AB63*CHOOSE(MATCH($C$17,{"H";"B";"N"},0),GPUMW_H*ODc_H,GPUMW_B*ODc_B,GPUMW_N*ODc_N)*ResidUtil*Timeline!AB$9*INDEX(Curve,1,MAX(1,MIN(8,INT((AB$5-$H$17)/4)+1)))/1000000</f>
        <v>0</v>
      </c>
      <c r="AC64" s="123" t="n">
        <f aca="false">AC63*CHOOSE(MATCH($C$17,{"H";"B";"N"},0),GPUMW_H*ODc_H,GPUMW_B*ODc_B,GPUMW_N*ODc_N)*ResidUtil*Timeline!AC$9*INDEX(Curve,1,MAX(1,MIN(8,INT((AC$5-$H$17)/4)+1)))/1000000</f>
        <v>0</v>
      </c>
      <c r="AD64" s="123" t="n">
        <f aca="false">AD63*CHOOSE(MATCH($C$17,{"H";"B";"N"},0),GPUMW_H*ODc_H,GPUMW_B*ODc_B,GPUMW_N*ODc_N)*ResidUtil*Timeline!AD$9*INDEX(Curve,1,MAX(1,MIN(8,INT((AD$5-$H$17)/4)+1)))/1000000</f>
        <v>0</v>
      </c>
      <c r="AE64" s="123" t="n">
        <f aca="false">AE63*CHOOSE(MATCH($C$17,{"H";"B";"N"},0),GPUMW_H*ODc_H,GPUMW_B*ODc_B,GPUMW_N*ODc_N)*ResidUtil*Timeline!AE$9*INDEX(Curve,1,MAX(1,MIN(8,INT((AE$5-$H$17)/4)+1)))/1000000</f>
        <v>0</v>
      </c>
      <c r="AF64" s="123" t="n">
        <f aca="false">AF63*CHOOSE(MATCH($C$17,{"H";"B";"N"},0),GPUMW_H*ODc_H,GPUMW_B*ODc_B,GPUMW_N*ODc_N)*ResidUtil*Timeline!AF$9*INDEX(Curve,1,MAX(1,MIN(8,INT((AF$5-$H$17)/4)+1)))/1000000</f>
        <v>0</v>
      </c>
      <c r="AG64" s="123" t="n">
        <f aca="false">AG63*CHOOSE(MATCH($C$17,{"H";"B";"N"},0),GPUMW_H*ODc_H,GPUMW_B*ODc_B,GPUMW_N*ODc_N)*ResidUtil*Timeline!AG$9*INDEX(Curve,1,MAX(1,MIN(8,INT((AG$5-$H$17)/4)+1)))/1000000</f>
        <v>0</v>
      </c>
      <c r="AI64" s="123" t="n">
        <f aca="false">SUMIF($F$7:$AG$7,AI$7,$F64:$AG64)</f>
        <v>0</v>
      </c>
      <c r="AJ64" s="123" t="n">
        <f aca="false">SUMIF($F$7:$AG$7,AJ$7,$F64:$AG64)</f>
        <v>0</v>
      </c>
      <c r="AK64" s="123" t="n">
        <f aca="false">SUMIF($F$7:$AG$7,AK$7,$F64:$AG64)</f>
        <v>0</v>
      </c>
      <c r="AL64" s="123" t="n">
        <f aca="false">SUMIF($F$7:$AG$7,AL$7,$F64:$AG64)</f>
        <v>0</v>
      </c>
      <c r="AM64" s="123" t="n">
        <f aca="false">SUMIF($F$7:$AG$7,AM$7,$F64:$AG64)</f>
        <v>0</v>
      </c>
      <c r="AN64" s="123" t="n">
        <f aca="false">SUMIF($F$7:$AG$7,AN$7,$F64:$AG64)</f>
        <v>0</v>
      </c>
      <c r="AO64" s="123" t="n">
        <f aca="false">SUMIF($F$7:$AG$7,AO$7,$F64:$AG64)</f>
        <v>0</v>
      </c>
    </row>
    <row r="65" customFormat="false" ht="15" hidden="false" customHeight="false" outlineLevel="0" collapsed="false">
      <c r="A65" s="104" t="s">
        <v>1664</v>
      </c>
      <c r="B65" s="20" t="s">
        <v>561</v>
      </c>
      <c r="C65" s="20"/>
      <c r="D65" s="20"/>
      <c r="F65" s="122" t="n">
        <f aca="false">(1-$I$18)*(1-$J$18)*$D$18*$E$18/4*MIN(1,MAX(0,(F$5-$H$18+1)/$T$18))*IF(F$5=$H$18,DelivFactor,IF(AND(F$5&gt;$H$18,F$5&lt;$H$18+$F$18),1,IF(F$5=$H$18+$F$18,1-DelivFactor,0)))</f>
        <v>0</v>
      </c>
      <c r="G65" s="122" t="n">
        <f aca="false">(1-$I$18)*(1-$J$18)*$D$18*$E$18/4*MIN(1,MAX(0,(G$5-$H$18+1)/$T$18))*IF(G$5=$H$18,DelivFactor,IF(AND(G$5&gt;$H$18,G$5&lt;$H$18+$F$18),1,IF(G$5=$H$18+$F$18,1-DelivFactor,0)))</f>
        <v>0</v>
      </c>
      <c r="H65" s="122" t="n">
        <f aca="false">(1-$I$18)*(1-$J$18)*$D$18*$E$18/4*MIN(1,MAX(0,(H$5-$H$18+1)/$T$18))*IF(H$5=$H$18,DelivFactor,IF(AND(H$5&gt;$H$18,H$5&lt;$H$18+$F$18),1,IF(H$5=$H$18+$F$18,1-DelivFactor,0)))</f>
        <v>0</v>
      </c>
      <c r="I65" s="122" t="n">
        <f aca="false">(1-$I$18)*(1-$J$18)*$D$18*$E$18/4*MIN(1,MAX(0,(I$5-$H$18+1)/$T$18))*IF(I$5=$H$18,DelivFactor,IF(AND(I$5&gt;$H$18,I$5&lt;$H$18+$F$18),1,IF(I$5=$H$18+$F$18,1-DelivFactor,0)))</f>
        <v>0</v>
      </c>
      <c r="J65" s="122" t="n">
        <f aca="false">(1-$I$18)*(1-$J$18)*$D$18*$E$18/4*MIN(1,MAX(0,(J$5-$H$18+1)/$T$18))*IF(J$5=$H$18,DelivFactor,IF(AND(J$5&gt;$H$18,J$5&lt;$H$18+$F$18),1,IF(J$5=$H$18+$F$18,1-DelivFactor,0)))</f>
        <v>0</v>
      </c>
      <c r="K65" s="122" t="n">
        <f aca="false">(1-$I$18)*(1-$J$18)*$D$18*$E$18/4*MIN(1,MAX(0,(K$5-$H$18+1)/$T$18))*IF(K$5=$H$18,DelivFactor,IF(AND(K$5&gt;$H$18,K$5&lt;$H$18+$F$18),1,IF(K$5=$H$18+$F$18,1-DelivFactor,0)))</f>
        <v>0</v>
      </c>
      <c r="L65" s="122" t="n">
        <f aca="false">(1-$I$18)*(1-$J$18)*$D$18*$E$18/4*MIN(1,MAX(0,(L$5-$H$18+1)/$T$18))*IF(L$5=$H$18,DelivFactor,IF(AND(L$5&gt;$H$18,L$5&lt;$H$18+$F$18),1,IF(L$5=$H$18+$F$18,1-DelivFactor,0)))</f>
        <v>0</v>
      </c>
      <c r="M65" s="122" t="n">
        <f aca="false">(1-$I$18)*(1-$J$18)*$D$18*$E$18/4*MIN(1,MAX(0,(M$5-$H$18+1)/$T$18))*IF(M$5=$H$18,DelivFactor,IF(AND(M$5&gt;$H$18,M$5&lt;$H$18+$F$18),1,IF(M$5=$H$18+$F$18,1-DelivFactor,0)))</f>
        <v>0</v>
      </c>
      <c r="N65" s="122" t="n">
        <f aca="false">(1-$I$18)*(1-$J$18)*$D$18*$E$18/4*MIN(1,MAX(0,(N$5-$H$18+1)/$T$18))*IF(N$5=$H$18,DelivFactor,IF(AND(N$5&gt;$H$18,N$5&lt;$H$18+$F$18),1,IF(N$5=$H$18+$F$18,1-DelivFactor,0)))</f>
        <v>0</v>
      </c>
      <c r="O65" s="122" t="n">
        <f aca="false">(1-$I$18)*(1-$J$18)*$D$18*$E$18/4*MIN(1,MAX(0,(O$5-$H$18+1)/$T$18))*IF(O$5=$H$18,DelivFactor,IF(AND(O$5&gt;$H$18,O$5&lt;$H$18+$F$18),1,IF(O$5=$H$18+$F$18,1-DelivFactor,0)))</f>
        <v>0</v>
      </c>
      <c r="P65" s="123" t="n">
        <f aca="false">(1-$I$18)*(1-$J$18)*$D$18*$E$18/4*MIN(1,MAX(0,(P$5-$H$18+1)/$T$18))*IF(P$5=$H$18,DelivFactor,IF(AND(P$5&gt;$H$18,P$5&lt;$H$18+$F$18),1,IF(P$5=$H$18+$F$18,1-DelivFactor,0)))</f>
        <v>0</v>
      </c>
      <c r="Q65" s="123" t="n">
        <f aca="false">(1-$I$18)*(1-$J$18)*$D$18*$E$18/4*MIN(1,MAX(0,(Q$5-$H$18+1)/$T$18))*IF(Q$5=$H$18,DelivFactor,IF(AND(Q$5&gt;$H$18,Q$5&lt;$H$18+$F$18),1,IF(Q$5=$H$18+$F$18,1-DelivFactor,0)))</f>
        <v>0</v>
      </c>
      <c r="R65" s="123" t="n">
        <f aca="false">(1-$I$18)*(1-$J$18)*$D$18*$E$18/4*MIN(1,MAX(0,(R$5-$H$18+1)/$T$18))*IF(R$5=$H$18,DelivFactor,IF(AND(R$5&gt;$H$18,R$5&lt;$H$18+$F$18),1,IF(R$5=$H$18+$F$18,1-DelivFactor,0)))</f>
        <v>0</v>
      </c>
      <c r="S65" s="123" t="n">
        <f aca="false">(1-$I$18)*(1-$J$18)*$D$18*$E$18/4*MIN(1,MAX(0,(S$5-$H$18+1)/$T$18))*IF(S$5=$H$18,DelivFactor,IF(AND(S$5&gt;$H$18,S$5&lt;$H$18+$F$18),1,IF(S$5=$H$18+$F$18,1-DelivFactor,0)))</f>
        <v>0</v>
      </c>
      <c r="T65" s="123" t="n">
        <f aca="false">(1-$I$18)*(1-$J$18)*$D$18*$E$18/4*MIN(1,MAX(0,(T$5-$H$18+1)/$T$18))*IF(T$5=$H$18,DelivFactor,IF(AND(T$5&gt;$H$18,T$5&lt;$H$18+$F$18),1,IF(T$5=$H$18+$F$18,1-DelivFactor,0)))</f>
        <v>12.0784027777778</v>
      </c>
      <c r="U65" s="123" t="n">
        <f aca="false">(1-$I$18)*(1-$J$18)*$D$18*$E$18/4*MIN(1,MAX(0,(U$5-$H$18+1)/$T$18))*IF(U$5=$H$18,DelivFactor,IF(AND(U$5&gt;$H$18,U$5&lt;$H$18+$F$18),1,IF(U$5=$H$18+$F$18,1-DelivFactor,0)))</f>
        <v>48.3136111111111</v>
      </c>
      <c r="V65" s="123" t="n">
        <f aca="false">(1-$I$18)*(1-$J$18)*$D$18*$E$18/4*MIN(1,MAX(0,(V$5-$H$18+1)/$T$18))*IF(V$5=$H$18,DelivFactor,IF(AND(V$5&gt;$H$18,V$5&lt;$H$18+$F$18),1,IF(V$5=$H$18+$F$18,1-DelivFactor,0)))</f>
        <v>72.4704166666667</v>
      </c>
      <c r="W65" s="123" t="n">
        <f aca="false">(1-$I$18)*(1-$J$18)*$D$18*$E$18/4*MIN(1,MAX(0,(W$5-$H$18+1)/$T$18))*IF(W$5=$H$18,DelivFactor,IF(AND(W$5&gt;$H$18,W$5&lt;$H$18+$F$18),1,IF(W$5=$H$18+$F$18,1-DelivFactor,0)))</f>
        <v>96.6272222222222</v>
      </c>
      <c r="X65" s="123" t="n">
        <f aca="false">(1-$I$18)*(1-$J$18)*$D$18*$E$18/4*MIN(1,MAX(0,(X$5-$H$18+1)/$T$18))*IF(X$5=$H$18,DelivFactor,IF(AND(X$5&gt;$H$18,X$5&lt;$H$18+$F$18),1,IF(X$5=$H$18+$F$18,1-DelivFactor,0)))</f>
        <v>96.6272222222222</v>
      </c>
      <c r="Y65" s="123" t="n">
        <f aca="false">(1-$I$18)*(1-$J$18)*$D$18*$E$18/4*MIN(1,MAX(0,(Y$5-$H$18+1)/$T$18))*IF(Y$5=$H$18,DelivFactor,IF(AND(Y$5&gt;$H$18,Y$5&lt;$H$18+$F$18),1,IF(Y$5=$H$18+$F$18,1-DelivFactor,0)))</f>
        <v>96.6272222222222</v>
      </c>
      <c r="Z65" s="123" t="n">
        <f aca="false">(1-$I$18)*(1-$J$18)*$D$18*$E$18/4*MIN(1,MAX(0,(Z$5-$H$18+1)/$T$18))*IF(Z$5=$H$18,DelivFactor,IF(AND(Z$5&gt;$H$18,Z$5&lt;$H$18+$F$18),1,IF(Z$5=$H$18+$F$18,1-DelivFactor,0)))</f>
        <v>96.6272222222222</v>
      </c>
      <c r="AA65" s="123" t="n">
        <f aca="false">(1-$I$18)*(1-$J$18)*$D$18*$E$18/4*MIN(1,MAX(0,(AA$5-$H$18+1)/$T$18))*IF(AA$5=$H$18,DelivFactor,IF(AND(AA$5&gt;$H$18,AA$5&lt;$H$18+$F$18),1,IF(AA$5=$H$18+$F$18,1-DelivFactor,0)))</f>
        <v>96.6272222222222</v>
      </c>
      <c r="AB65" s="123" t="n">
        <f aca="false">(1-$I$18)*(1-$J$18)*$D$18*$E$18/4*MIN(1,MAX(0,(AB$5-$H$18+1)/$T$18))*IF(AB$5=$H$18,DelivFactor,IF(AND(AB$5&gt;$H$18,AB$5&lt;$H$18+$F$18),1,IF(AB$5=$H$18+$F$18,1-DelivFactor,0)))</f>
        <v>96.6272222222222</v>
      </c>
      <c r="AC65" s="123" t="n">
        <f aca="false">(1-$I$18)*(1-$J$18)*$D$18*$E$18/4*MIN(1,MAX(0,(AC$5-$H$18+1)/$T$18))*IF(AC$5=$H$18,DelivFactor,IF(AND(AC$5&gt;$H$18,AC$5&lt;$H$18+$F$18),1,IF(AC$5=$H$18+$F$18,1-DelivFactor,0)))</f>
        <v>96.6272222222222</v>
      </c>
      <c r="AD65" s="123" t="n">
        <f aca="false">(1-$I$18)*(1-$J$18)*$D$18*$E$18/4*MIN(1,MAX(0,(AD$5-$H$18+1)/$T$18))*IF(AD$5=$H$18,DelivFactor,IF(AND(AD$5&gt;$H$18,AD$5&lt;$H$18+$F$18),1,IF(AD$5=$H$18+$F$18,1-DelivFactor,0)))</f>
        <v>96.6272222222222</v>
      </c>
      <c r="AE65" s="123" t="n">
        <f aca="false">(1-$I$18)*(1-$J$18)*$D$18*$E$18/4*MIN(1,MAX(0,(AE$5-$H$18+1)/$T$18))*IF(AE$5=$H$18,DelivFactor,IF(AND(AE$5&gt;$H$18,AE$5&lt;$H$18+$F$18),1,IF(AE$5=$H$18+$F$18,1-DelivFactor,0)))</f>
        <v>96.6272222222222</v>
      </c>
      <c r="AF65" s="123" t="n">
        <f aca="false">(1-$I$18)*(1-$J$18)*$D$18*$E$18/4*MIN(1,MAX(0,(AF$5-$H$18+1)/$T$18))*IF(AF$5=$H$18,DelivFactor,IF(AND(AF$5&gt;$H$18,AF$5&lt;$H$18+$F$18),1,IF(AF$5=$H$18+$F$18,1-DelivFactor,0)))</f>
        <v>96.6272222222222</v>
      </c>
      <c r="AG65" s="123" t="n">
        <f aca="false">(1-$I$18)*(1-$J$18)*$D$18*$E$18/4*MIN(1,MAX(0,(AG$5-$H$18+1)/$T$18))*IF(AG$5=$H$18,DelivFactor,IF(AND(AG$5&gt;$H$18,AG$5&lt;$H$18+$F$18),1,IF(AG$5=$H$18+$F$18,1-DelivFactor,0)))</f>
        <v>96.6272222222222</v>
      </c>
      <c r="AI65" s="123" t="n">
        <f aca="false">SUMIF($F$7:$AG$7,AI$7,$F65:$AG65)</f>
        <v>0</v>
      </c>
      <c r="AJ65" s="123" t="n">
        <f aca="false">SUMIF($F$7:$AG$7,AJ$7,$F65:$AG65)</f>
        <v>0</v>
      </c>
      <c r="AK65" s="123" t="n">
        <f aca="false">SUMIF($F$7:$AG$7,AK$7,$F65:$AG65)</f>
        <v>0</v>
      </c>
      <c r="AL65" s="123" t="n">
        <f aca="false">SUMIF($F$7:$AG$7,AL$7,$F65:$AG65)</f>
        <v>60.3920138888889</v>
      </c>
      <c r="AM65" s="123" t="n">
        <f aca="false">SUMIF($F$7:$AG$7,AM$7,$F65:$AG65)</f>
        <v>362.352083333333</v>
      </c>
      <c r="AN65" s="123" t="n">
        <f aca="false">SUMIF($F$7:$AG$7,AN$7,$F65:$AG65)</f>
        <v>386.508888888889</v>
      </c>
      <c r="AO65" s="123" t="n">
        <f aca="false">SUMIF($F$7:$AG$7,AO$7,$F65:$AG65)</f>
        <v>386.508888888889</v>
      </c>
    </row>
    <row r="66" customFormat="false" ht="15" hidden="false" customHeight="false" outlineLevel="0" collapsed="false">
      <c r="A66" s="104" t="s">
        <v>1665</v>
      </c>
      <c r="B66" s="20" t="s">
        <v>575</v>
      </c>
      <c r="C66" s="20"/>
      <c r="D66" s="20"/>
      <c r="F66" s="113" t="n">
        <f aca="false">(1-$I$18)*(1-$J$18)*$D$18*AND(F$5&gt;=$H$18,F$5&lt;$H$18+$F$18)</f>
        <v>0</v>
      </c>
      <c r="G66" s="113" t="n">
        <f aca="false">(1-$I$18)*(1-$J$18)*$D$18*AND(G$5&gt;=$H$18,G$5&lt;$H$18+$F$18)</f>
        <v>0</v>
      </c>
      <c r="H66" s="113" t="n">
        <f aca="false">(1-$I$18)*(1-$J$18)*$D$18*AND(H$5&gt;=$H$18,H$5&lt;$H$18+$F$18)</f>
        <v>0</v>
      </c>
      <c r="I66" s="113" t="n">
        <f aca="false">(1-$I$18)*(1-$J$18)*$D$18*AND(I$5&gt;=$H$18,I$5&lt;$H$18+$F$18)</f>
        <v>0</v>
      </c>
      <c r="J66" s="113" t="n">
        <f aca="false">(1-$I$18)*(1-$J$18)*$D$18*AND(J$5&gt;=$H$18,J$5&lt;$H$18+$F$18)</f>
        <v>0</v>
      </c>
      <c r="K66" s="113" t="n">
        <f aca="false">(1-$I$18)*(1-$J$18)*$D$18*AND(K$5&gt;=$H$18,K$5&lt;$H$18+$F$18)</f>
        <v>0</v>
      </c>
      <c r="L66" s="113" t="n">
        <f aca="false">(1-$I$18)*(1-$J$18)*$D$18*AND(L$5&gt;=$H$18,L$5&lt;$H$18+$F$18)</f>
        <v>0</v>
      </c>
      <c r="M66" s="113" t="n">
        <f aca="false">(1-$I$18)*(1-$J$18)*$D$18*AND(M$5&gt;=$H$18,M$5&lt;$H$18+$F$18)</f>
        <v>0</v>
      </c>
      <c r="N66" s="113" t="n">
        <f aca="false">(1-$I$18)*(1-$J$18)*$D$18*AND(N$5&gt;=$H$18,N$5&lt;$H$18+$F$18)</f>
        <v>0</v>
      </c>
      <c r="O66" s="113" t="n">
        <f aca="false">(1-$I$18)*(1-$J$18)*$D$18*AND(O$5&gt;=$H$18,O$5&lt;$H$18+$F$18)</f>
        <v>0</v>
      </c>
      <c r="P66" s="31" t="n">
        <f aca="false">(1-$I$18)*(1-$J$18)*$D$18*AND(P$5&gt;=$H$18,P$5&lt;$H$18+$F$18)</f>
        <v>0</v>
      </c>
      <c r="Q66" s="31" t="n">
        <f aca="false">(1-$I$18)*(1-$J$18)*$D$18*AND(Q$5&gt;=$H$18,Q$5&lt;$H$18+$F$18)</f>
        <v>0</v>
      </c>
      <c r="R66" s="31" t="n">
        <f aca="false">(1-$I$18)*(1-$J$18)*$D$18*AND(R$5&gt;=$H$18,R$5&lt;$H$18+$F$18)</f>
        <v>0</v>
      </c>
      <c r="S66" s="31" t="n">
        <f aca="false">(1-$I$18)*(1-$J$18)*$D$18*AND(S$5&gt;=$H$18,S$5&lt;$H$18+$F$18)</f>
        <v>0</v>
      </c>
      <c r="T66" s="31" t="n">
        <f aca="false">(1-$I$18)*(1-$J$18)*$D$18*AND(T$5&gt;=$H$18,T$5&lt;$H$18+$F$18)</f>
        <v>26.6666666666667</v>
      </c>
      <c r="U66" s="31" t="n">
        <f aca="false">(1-$I$18)*(1-$J$18)*$D$18*AND(U$5&gt;=$H$18,U$5&lt;$H$18+$F$18)</f>
        <v>26.6666666666667</v>
      </c>
      <c r="V66" s="31" t="n">
        <f aca="false">(1-$I$18)*(1-$J$18)*$D$18*AND(V$5&gt;=$H$18,V$5&lt;$H$18+$F$18)</f>
        <v>26.6666666666667</v>
      </c>
      <c r="W66" s="31" t="n">
        <f aca="false">(1-$I$18)*(1-$J$18)*$D$18*AND(W$5&gt;=$H$18,W$5&lt;$H$18+$F$18)</f>
        <v>26.6666666666667</v>
      </c>
      <c r="X66" s="31" t="n">
        <f aca="false">(1-$I$18)*(1-$J$18)*$D$18*AND(X$5&gt;=$H$18,X$5&lt;$H$18+$F$18)</f>
        <v>26.6666666666667</v>
      </c>
      <c r="Y66" s="31" t="n">
        <f aca="false">(1-$I$18)*(1-$J$18)*$D$18*AND(Y$5&gt;=$H$18,Y$5&lt;$H$18+$F$18)</f>
        <v>26.6666666666667</v>
      </c>
      <c r="Z66" s="31" t="n">
        <f aca="false">(1-$I$18)*(1-$J$18)*$D$18*AND(Z$5&gt;=$H$18,Z$5&lt;$H$18+$F$18)</f>
        <v>26.6666666666667</v>
      </c>
      <c r="AA66" s="31" t="n">
        <f aca="false">(1-$I$18)*(1-$J$18)*$D$18*AND(AA$5&gt;=$H$18,AA$5&lt;$H$18+$F$18)</f>
        <v>26.6666666666667</v>
      </c>
      <c r="AB66" s="31" t="n">
        <f aca="false">(1-$I$18)*(1-$J$18)*$D$18*AND(AB$5&gt;=$H$18,AB$5&lt;$H$18+$F$18)</f>
        <v>26.6666666666667</v>
      </c>
      <c r="AC66" s="31" t="n">
        <f aca="false">(1-$I$18)*(1-$J$18)*$D$18*AND(AC$5&gt;=$H$18,AC$5&lt;$H$18+$F$18)</f>
        <v>26.6666666666667</v>
      </c>
      <c r="AD66" s="31" t="n">
        <f aca="false">(1-$I$18)*(1-$J$18)*$D$18*AND(AD$5&gt;=$H$18,AD$5&lt;$H$18+$F$18)</f>
        <v>26.6666666666667</v>
      </c>
      <c r="AE66" s="31" t="n">
        <f aca="false">(1-$I$18)*(1-$J$18)*$D$18*AND(AE$5&gt;=$H$18,AE$5&lt;$H$18+$F$18)</f>
        <v>26.6666666666667</v>
      </c>
      <c r="AF66" s="31" t="n">
        <f aca="false">(1-$I$18)*(1-$J$18)*$D$18*AND(AF$5&gt;=$H$18,AF$5&lt;$H$18+$F$18)</f>
        <v>26.6666666666667</v>
      </c>
      <c r="AG66" s="31" t="n">
        <f aca="false">(1-$I$18)*(1-$J$18)*$D$18*AND(AG$5&gt;=$H$18,AG$5&lt;$H$18+$F$18)</f>
        <v>26.6666666666667</v>
      </c>
      <c r="AI66" s="31" t="n">
        <f aca="false">INDEX($F66:$AG66,1,MATCH(AI$7,$F$7:$AG$7,1))</f>
        <v>0</v>
      </c>
      <c r="AJ66" s="31" t="n">
        <f aca="false">INDEX($F66:$AG66,1,MATCH(AJ$7,$F$7:$AG$7,1))</f>
        <v>0</v>
      </c>
      <c r="AK66" s="31" t="n">
        <f aca="false">INDEX($F66:$AG66,1,MATCH(AK$7,$F$7:$AG$7,1))</f>
        <v>0</v>
      </c>
      <c r="AL66" s="31" t="n">
        <f aca="false">INDEX($F66:$AG66,1,MATCH(AL$7,$F$7:$AG$7,1))</f>
        <v>26.6666666666667</v>
      </c>
      <c r="AM66" s="31" t="n">
        <f aca="false">INDEX($F66:$AG66,1,MATCH(AM$7,$F$7:$AG$7,1))</f>
        <v>26.6666666666667</v>
      </c>
      <c r="AN66" s="31" t="n">
        <f aca="false">INDEX($F66:$AG66,1,MATCH(AN$7,$F$7:$AG$7,1))</f>
        <v>26.6666666666667</v>
      </c>
      <c r="AO66" s="31" t="n">
        <f aca="false">INDEX($F66:$AG66,1,MATCH(AO$7,$F$7:$AG$7,1))</f>
        <v>26.6666666666667</v>
      </c>
    </row>
    <row r="67" customFormat="false" ht="15" hidden="false" customHeight="false" outlineLevel="0" collapsed="false">
      <c r="A67" s="104" t="s">
        <v>1666</v>
      </c>
      <c r="B67" s="20" t="s">
        <v>561</v>
      </c>
      <c r="C67" s="20"/>
      <c r="D67" s="20"/>
      <c r="F67" s="122" t="n">
        <f aca="false">-(1-$I$18)*LD_Pct*$D$18*$E$18/4*AND(F$5&gt;=$G$18,F$5&lt;$H$18)</f>
        <v>-0</v>
      </c>
      <c r="G67" s="122" t="n">
        <f aca="false">-(1-$I$18)*LD_Pct*$D$18*$E$18/4*AND(G$5&gt;=$G$18,G$5&lt;$H$18)</f>
        <v>-0</v>
      </c>
      <c r="H67" s="122" t="n">
        <f aca="false">-(1-$I$18)*LD_Pct*$D$18*$E$18/4*AND(H$5&gt;=$G$18,H$5&lt;$H$18)</f>
        <v>-0</v>
      </c>
      <c r="I67" s="122" t="n">
        <f aca="false">-(1-$I$18)*LD_Pct*$D$18*$E$18/4*AND(I$5&gt;=$G$18,I$5&lt;$H$18)</f>
        <v>-0</v>
      </c>
      <c r="J67" s="122" t="n">
        <f aca="false">-(1-$I$18)*LD_Pct*$D$18*$E$18/4*AND(J$5&gt;=$G$18,J$5&lt;$H$18)</f>
        <v>-0</v>
      </c>
      <c r="K67" s="122" t="n">
        <f aca="false">-(1-$I$18)*LD_Pct*$D$18*$E$18/4*AND(K$5&gt;=$G$18,K$5&lt;$H$18)</f>
        <v>-0</v>
      </c>
      <c r="L67" s="122" t="n">
        <f aca="false">-(1-$I$18)*LD_Pct*$D$18*$E$18/4*AND(L$5&gt;=$G$18,L$5&lt;$H$18)</f>
        <v>-0</v>
      </c>
      <c r="M67" s="122" t="n">
        <f aca="false">-(1-$I$18)*LD_Pct*$D$18*$E$18/4*AND(M$5&gt;=$G$18,M$5&lt;$H$18)</f>
        <v>-0</v>
      </c>
      <c r="N67" s="122" t="n">
        <f aca="false">-(1-$I$18)*LD_Pct*$D$18*$E$18/4*AND(N$5&gt;=$G$18,N$5&lt;$H$18)</f>
        <v>-0</v>
      </c>
      <c r="O67" s="122" t="n">
        <f aca="false">-(1-$I$18)*LD_Pct*$D$18*$E$18/4*AND(O$5&gt;=$G$18,O$5&lt;$H$18)</f>
        <v>-0</v>
      </c>
      <c r="P67" s="123" t="n">
        <f aca="false">-(1-$I$18)*LD_Pct*$D$18*$E$18/4*AND(P$5&gt;=$G$18,P$5&lt;$H$18)</f>
        <v>-0</v>
      </c>
      <c r="Q67" s="123" t="n">
        <f aca="false">-(1-$I$18)*LD_Pct*$D$18*$E$18/4*AND(Q$5&gt;=$G$18,Q$5&lt;$H$18)</f>
        <v>-0</v>
      </c>
      <c r="R67" s="123" t="n">
        <f aca="false">-(1-$I$18)*LD_Pct*$D$18*$E$18/4*AND(R$5&gt;=$G$18,R$5&lt;$H$18)</f>
        <v>-0</v>
      </c>
      <c r="S67" s="123" t="n">
        <f aca="false">-(1-$I$18)*LD_Pct*$D$18*$E$18/4*AND(S$5&gt;=$G$18,S$5&lt;$H$18)</f>
        <v>-0</v>
      </c>
      <c r="T67" s="123" t="n">
        <f aca="false">-(1-$I$18)*LD_Pct*$D$18*$E$18/4*AND(T$5&gt;=$G$18,T$5&lt;$H$18)</f>
        <v>-0</v>
      </c>
      <c r="U67" s="123" t="n">
        <f aca="false">-(1-$I$18)*LD_Pct*$D$18*$E$18/4*AND(U$5&gt;=$G$18,U$5&lt;$H$18)</f>
        <v>-0</v>
      </c>
      <c r="V67" s="123" t="n">
        <f aca="false">-(1-$I$18)*LD_Pct*$D$18*$E$18/4*AND(V$5&gt;=$G$18,V$5&lt;$H$18)</f>
        <v>-0</v>
      </c>
      <c r="W67" s="123" t="n">
        <f aca="false">-(1-$I$18)*LD_Pct*$D$18*$E$18/4*AND(W$5&gt;=$G$18,W$5&lt;$H$18)</f>
        <v>-0</v>
      </c>
      <c r="X67" s="123" t="n">
        <f aca="false">-(1-$I$18)*LD_Pct*$D$18*$E$18/4*AND(X$5&gt;=$G$18,X$5&lt;$H$18)</f>
        <v>-0</v>
      </c>
      <c r="Y67" s="123" t="n">
        <f aca="false">-(1-$I$18)*LD_Pct*$D$18*$E$18/4*AND(Y$5&gt;=$G$18,Y$5&lt;$H$18)</f>
        <v>-0</v>
      </c>
      <c r="Z67" s="123" t="n">
        <f aca="false">-(1-$I$18)*LD_Pct*$D$18*$E$18/4*AND(Z$5&gt;=$G$18,Z$5&lt;$H$18)</f>
        <v>-0</v>
      </c>
      <c r="AA67" s="123" t="n">
        <f aca="false">-(1-$I$18)*LD_Pct*$D$18*$E$18/4*AND(AA$5&gt;=$G$18,AA$5&lt;$H$18)</f>
        <v>-0</v>
      </c>
      <c r="AB67" s="123" t="n">
        <f aca="false">-(1-$I$18)*LD_Pct*$D$18*$E$18/4*AND(AB$5&gt;=$G$18,AB$5&lt;$H$18)</f>
        <v>-0</v>
      </c>
      <c r="AC67" s="123" t="n">
        <f aca="false">-(1-$I$18)*LD_Pct*$D$18*$E$18/4*AND(AC$5&gt;=$G$18,AC$5&lt;$H$18)</f>
        <v>-0</v>
      </c>
      <c r="AD67" s="123" t="n">
        <f aca="false">-(1-$I$18)*LD_Pct*$D$18*$E$18/4*AND(AD$5&gt;=$G$18,AD$5&lt;$H$18)</f>
        <v>-0</v>
      </c>
      <c r="AE67" s="123" t="n">
        <f aca="false">-(1-$I$18)*LD_Pct*$D$18*$E$18/4*AND(AE$5&gt;=$G$18,AE$5&lt;$H$18)</f>
        <v>-0</v>
      </c>
      <c r="AF67" s="123" t="n">
        <f aca="false">-(1-$I$18)*LD_Pct*$D$18*$E$18/4*AND(AF$5&gt;=$G$18,AF$5&lt;$H$18)</f>
        <v>-0</v>
      </c>
      <c r="AG67" s="123" t="n">
        <f aca="false">-(1-$I$18)*LD_Pct*$D$18*$E$18/4*AND(AG$5&gt;=$G$18,AG$5&lt;$H$18)</f>
        <v>-0</v>
      </c>
      <c r="AI67" s="123" t="n">
        <f aca="false">SUMIF($F$7:$AG$7,AI$7,$F67:$AG67)</f>
        <v>0</v>
      </c>
      <c r="AJ67" s="123" t="n">
        <f aca="false">SUMIF($F$7:$AG$7,AJ$7,$F67:$AG67)</f>
        <v>0</v>
      </c>
      <c r="AK67" s="123" t="n">
        <f aca="false">SUMIF($F$7:$AG$7,AK$7,$F67:$AG67)</f>
        <v>0</v>
      </c>
      <c r="AL67" s="123" t="n">
        <f aca="false">SUMIF($F$7:$AG$7,AL$7,$F67:$AG67)</f>
        <v>0</v>
      </c>
      <c r="AM67" s="123" t="n">
        <f aca="false">SUMIF($F$7:$AG$7,AM$7,$F67:$AG67)</f>
        <v>0</v>
      </c>
      <c r="AN67" s="123" t="n">
        <f aca="false">SUMIF($F$7:$AG$7,AN$7,$F67:$AG67)</f>
        <v>0</v>
      </c>
      <c r="AO67" s="123" t="n">
        <f aca="false">SUMIF($F$7:$AG$7,AO$7,$F67:$AG67)</f>
        <v>0</v>
      </c>
    </row>
    <row r="68" customFormat="false" ht="15" hidden="false" customHeight="false" outlineLevel="0" collapsed="false">
      <c r="A68" s="104" t="s">
        <v>1667</v>
      </c>
      <c r="B68" s="20" t="s">
        <v>575</v>
      </c>
      <c r="C68" s="20"/>
      <c r="D68" s="20"/>
      <c r="F68" s="113" t="n">
        <f aca="false">(1-$I$18)*(1-$J$18)*$D$18*(F$5&gt;=$H$18+$F$18)</f>
        <v>0</v>
      </c>
      <c r="G68" s="113" t="n">
        <f aca="false">(1-$I$18)*(1-$J$18)*$D$18*(G$5&gt;=$H$18+$F$18)</f>
        <v>0</v>
      </c>
      <c r="H68" s="113" t="n">
        <f aca="false">(1-$I$18)*(1-$J$18)*$D$18*(H$5&gt;=$H$18+$F$18)</f>
        <v>0</v>
      </c>
      <c r="I68" s="113" t="n">
        <f aca="false">(1-$I$18)*(1-$J$18)*$D$18*(I$5&gt;=$H$18+$F$18)</f>
        <v>0</v>
      </c>
      <c r="J68" s="113" t="n">
        <f aca="false">(1-$I$18)*(1-$J$18)*$D$18*(J$5&gt;=$H$18+$F$18)</f>
        <v>0</v>
      </c>
      <c r="K68" s="113" t="n">
        <f aca="false">(1-$I$18)*(1-$J$18)*$D$18*(K$5&gt;=$H$18+$F$18)</f>
        <v>0</v>
      </c>
      <c r="L68" s="113" t="n">
        <f aca="false">(1-$I$18)*(1-$J$18)*$D$18*(L$5&gt;=$H$18+$F$18)</f>
        <v>0</v>
      </c>
      <c r="M68" s="113" t="n">
        <f aca="false">(1-$I$18)*(1-$J$18)*$D$18*(M$5&gt;=$H$18+$F$18)</f>
        <v>0</v>
      </c>
      <c r="N68" s="113" t="n">
        <f aca="false">(1-$I$18)*(1-$J$18)*$D$18*(N$5&gt;=$H$18+$F$18)</f>
        <v>0</v>
      </c>
      <c r="O68" s="113" t="n">
        <f aca="false">(1-$I$18)*(1-$J$18)*$D$18*(O$5&gt;=$H$18+$F$18)</f>
        <v>0</v>
      </c>
      <c r="P68" s="31" t="n">
        <f aca="false">(1-$I$18)*(1-$J$18)*$D$18*(P$5&gt;=$H$18+$F$18)</f>
        <v>0</v>
      </c>
      <c r="Q68" s="31" t="n">
        <f aca="false">(1-$I$18)*(1-$J$18)*$D$18*(Q$5&gt;=$H$18+$F$18)</f>
        <v>0</v>
      </c>
      <c r="R68" s="31" t="n">
        <f aca="false">(1-$I$18)*(1-$J$18)*$D$18*(R$5&gt;=$H$18+$F$18)</f>
        <v>0</v>
      </c>
      <c r="S68" s="31" t="n">
        <f aca="false">(1-$I$18)*(1-$J$18)*$D$18*(S$5&gt;=$H$18+$F$18)</f>
        <v>0</v>
      </c>
      <c r="T68" s="31" t="n">
        <f aca="false">(1-$I$18)*(1-$J$18)*$D$18*(T$5&gt;=$H$18+$F$18)</f>
        <v>0</v>
      </c>
      <c r="U68" s="31" t="n">
        <f aca="false">(1-$I$18)*(1-$J$18)*$D$18*(U$5&gt;=$H$18+$F$18)</f>
        <v>0</v>
      </c>
      <c r="V68" s="31" t="n">
        <f aca="false">(1-$I$18)*(1-$J$18)*$D$18*(V$5&gt;=$H$18+$F$18)</f>
        <v>0</v>
      </c>
      <c r="W68" s="31" t="n">
        <f aca="false">(1-$I$18)*(1-$J$18)*$D$18*(W$5&gt;=$H$18+$F$18)</f>
        <v>0</v>
      </c>
      <c r="X68" s="31" t="n">
        <f aca="false">(1-$I$18)*(1-$J$18)*$D$18*(X$5&gt;=$H$18+$F$18)</f>
        <v>0</v>
      </c>
      <c r="Y68" s="31" t="n">
        <f aca="false">(1-$I$18)*(1-$J$18)*$D$18*(Y$5&gt;=$H$18+$F$18)</f>
        <v>0</v>
      </c>
      <c r="Z68" s="31" t="n">
        <f aca="false">(1-$I$18)*(1-$J$18)*$D$18*(Z$5&gt;=$H$18+$F$18)</f>
        <v>0</v>
      </c>
      <c r="AA68" s="31" t="n">
        <f aca="false">(1-$I$18)*(1-$J$18)*$D$18*(AA$5&gt;=$H$18+$F$18)</f>
        <v>0</v>
      </c>
      <c r="AB68" s="31" t="n">
        <f aca="false">(1-$I$18)*(1-$J$18)*$D$18*(AB$5&gt;=$H$18+$F$18)</f>
        <v>0</v>
      </c>
      <c r="AC68" s="31" t="n">
        <f aca="false">(1-$I$18)*(1-$J$18)*$D$18*(AC$5&gt;=$H$18+$F$18)</f>
        <v>0</v>
      </c>
      <c r="AD68" s="31" t="n">
        <f aca="false">(1-$I$18)*(1-$J$18)*$D$18*(AD$5&gt;=$H$18+$F$18)</f>
        <v>0</v>
      </c>
      <c r="AE68" s="31" t="n">
        <f aca="false">(1-$I$18)*(1-$J$18)*$D$18*(AE$5&gt;=$H$18+$F$18)</f>
        <v>0</v>
      </c>
      <c r="AF68" s="31" t="n">
        <f aca="false">(1-$I$18)*(1-$J$18)*$D$18*(AF$5&gt;=$H$18+$F$18)</f>
        <v>0</v>
      </c>
      <c r="AG68" s="31" t="n">
        <f aca="false">(1-$I$18)*(1-$J$18)*$D$18*(AG$5&gt;=$H$18+$F$18)</f>
        <v>0</v>
      </c>
      <c r="AI68" s="31" t="n">
        <f aca="false">INDEX($F68:$AG68,1,MATCH(AI$7,$F$7:$AG$7,1))</f>
        <v>0</v>
      </c>
      <c r="AJ68" s="31" t="n">
        <f aca="false">INDEX($F68:$AG68,1,MATCH(AJ$7,$F$7:$AG$7,1))</f>
        <v>0</v>
      </c>
      <c r="AK68" s="31" t="n">
        <f aca="false">INDEX($F68:$AG68,1,MATCH(AK$7,$F$7:$AG$7,1))</f>
        <v>0</v>
      </c>
      <c r="AL68" s="31" t="n">
        <f aca="false">INDEX($F68:$AG68,1,MATCH(AL$7,$F$7:$AG$7,1))</f>
        <v>0</v>
      </c>
      <c r="AM68" s="31" t="n">
        <f aca="false">INDEX($F68:$AG68,1,MATCH(AM$7,$F$7:$AG$7,1))</f>
        <v>0</v>
      </c>
      <c r="AN68" s="31" t="n">
        <f aca="false">INDEX($F68:$AG68,1,MATCH(AN$7,$F$7:$AG$7,1))</f>
        <v>0</v>
      </c>
      <c r="AO68" s="31" t="n">
        <f aca="false">INDEX($F68:$AG68,1,MATCH(AO$7,$F$7:$AG$7,1))</f>
        <v>0</v>
      </c>
    </row>
    <row r="69" customFormat="false" ht="15" hidden="false" customHeight="false" outlineLevel="0" collapsed="false">
      <c r="A69" s="104" t="s">
        <v>1668</v>
      </c>
      <c r="B69" s="20" t="s">
        <v>561</v>
      </c>
      <c r="C69" s="20"/>
      <c r="D69" s="20" t="s">
        <v>1638</v>
      </c>
      <c r="F69" s="122" t="n">
        <f aca="false">F68*CHOOSE(MATCH($C$18,{"H";"B";"N"},0),GPUMW_H*ODc_H,GPUMW_B*ODc_B,GPUMW_N*ODc_N)*ResidUtil*Timeline!F$9*INDEX(Curve,1,MAX(1,MIN(8,INT((F$5-$H$18)/4)+1)))/1000000</f>
        <v>0</v>
      </c>
      <c r="G69" s="122" t="n">
        <f aca="false">G68*CHOOSE(MATCH($C$18,{"H";"B";"N"},0),GPUMW_H*ODc_H,GPUMW_B*ODc_B,GPUMW_N*ODc_N)*ResidUtil*Timeline!G$9*INDEX(Curve,1,MAX(1,MIN(8,INT((G$5-$H$18)/4)+1)))/1000000</f>
        <v>0</v>
      </c>
      <c r="H69" s="122" t="n">
        <f aca="false">H68*CHOOSE(MATCH($C$18,{"H";"B";"N"},0),GPUMW_H*ODc_H,GPUMW_B*ODc_B,GPUMW_N*ODc_N)*ResidUtil*Timeline!H$9*INDEX(Curve,1,MAX(1,MIN(8,INT((H$5-$H$18)/4)+1)))/1000000</f>
        <v>0</v>
      </c>
      <c r="I69" s="122" t="n">
        <f aca="false">I68*CHOOSE(MATCH($C$18,{"H";"B";"N"},0),GPUMW_H*ODc_H,GPUMW_B*ODc_B,GPUMW_N*ODc_N)*ResidUtil*Timeline!I$9*INDEX(Curve,1,MAX(1,MIN(8,INT((I$5-$H$18)/4)+1)))/1000000</f>
        <v>0</v>
      </c>
      <c r="J69" s="122" t="n">
        <f aca="false">J68*CHOOSE(MATCH($C$18,{"H";"B";"N"},0),GPUMW_H*ODc_H,GPUMW_B*ODc_B,GPUMW_N*ODc_N)*ResidUtil*Timeline!J$9*INDEX(Curve,1,MAX(1,MIN(8,INT((J$5-$H$18)/4)+1)))/1000000</f>
        <v>0</v>
      </c>
      <c r="K69" s="122" t="n">
        <f aca="false">K68*CHOOSE(MATCH($C$18,{"H";"B";"N"},0),GPUMW_H*ODc_H,GPUMW_B*ODc_B,GPUMW_N*ODc_N)*ResidUtil*Timeline!K$9*INDEX(Curve,1,MAX(1,MIN(8,INT((K$5-$H$18)/4)+1)))/1000000</f>
        <v>0</v>
      </c>
      <c r="L69" s="122" t="n">
        <f aca="false">L68*CHOOSE(MATCH($C$18,{"H";"B";"N"},0),GPUMW_H*ODc_H,GPUMW_B*ODc_B,GPUMW_N*ODc_N)*ResidUtil*Timeline!L$9*INDEX(Curve,1,MAX(1,MIN(8,INT((L$5-$H$18)/4)+1)))/1000000</f>
        <v>0</v>
      </c>
      <c r="M69" s="122" t="n">
        <f aca="false">M68*CHOOSE(MATCH($C$18,{"H";"B";"N"},0),GPUMW_H*ODc_H,GPUMW_B*ODc_B,GPUMW_N*ODc_N)*ResidUtil*Timeline!M$9*INDEX(Curve,1,MAX(1,MIN(8,INT((M$5-$H$18)/4)+1)))/1000000</f>
        <v>0</v>
      </c>
      <c r="N69" s="122" t="n">
        <f aca="false">N68*CHOOSE(MATCH($C$18,{"H";"B";"N"},0),GPUMW_H*ODc_H,GPUMW_B*ODc_B,GPUMW_N*ODc_N)*ResidUtil*Timeline!N$9*INDEX(Curve,1,MAX(1,MIN(8,INT((N$5-$H$18)/4)+1)))/1000000</f>
        <v>0</v>
      </c>
      <c r="O69" s="122" t="n">
        <f aca="false">O68*CHOOSE(MATCH($C$18,{"H";"B";"N"},0),GPUMW_H*ODc_H,GPUMW_B*ODc_B,GPUMW_N*ODc_N)*ResidUtil*Timeline!O$9*INDEX(Curve,1,MAX(1,MIN(8,INT((O$5-$H$18)/4)+1)))/1000000</f>
        <v>0</v>
      </c>
      <c r="P69" s="123" t="n">
        <f aca="false">P68*CHOOSE(MATCH($C$18,{"H";"B";"N"},0),GPUMW_H*ODc_H,GPUMW_B*ODc_B,GPUMW_N*ODc_N)*ResidUtil*Timeline!P$9*INDEX(Curve,1,MAX(1,MIN(8,INT((P$5-$H$18)/4)+1)))/1000000</f>
        <v>0</v>
      </c>
      <c r="Q69" s="123" t="n">
        <f aca="false">Q68*CHOOSE(MATCH($C$18,{"H";"B";"N"},0),GPUMW_H*ODc_H,GPUMW_B*ODc_B,GPUMW_N*ODc_N)*ResidUtil*Timeline!Q$9*INDEX(Curve,1,MAX(1,MIN(8,INT((Q$5-$H$18)/4)+1)))/1000000</f>
        <v>0</v>
      </c>
      <c r="R69" s="123" t="n">
        <f aca="false">R68*CHOOSE(MATCH($C$18,{"H";"B";"N"},0),GPUMW_H*ODc_H,GPUMW_B*ODc_B,GPUMW_N*ODc_N)*ResidUtil*Timeline!R$9*INDEX(Curve,1,MAX(1,MIN(8,INT((R$5-$H$18)/4)+1)))/1000000</f>
        <v>0</v>
      </c>
      <c r="S69" s="123" t="n">
        <f aca="false">S68*CHOOSE(MATCH($C$18,{"H";"B";"N"},0),GPUMW_H*ODc_H,GPUMW_B*ODc_B,GPUMW_N*ODc_N)*ResidUtil*Timeline!S$9*INDEX(Curve,1,MAX(1,MIN(8,INT((S$5-$H$18)/4)+1)))/1000000</f>
        <v>0</v>
      </c>
      <c r="T69" s="123" t="n">
        <f aca="false">T68*CHOOSE(MATCH($C$18,{"H";"B";"N"},0),GPUMW_H*ODc_H,GPUMW_B*ODc_B,GPUMW_N*ODc_N)*ResidUtil*Timeline!T$9*INDEX(Curve,1,MAX(1,MIN(8,INT((T$5-$H$18)/4)+1)))/1000000</f>
        <v>0</v>
      </c>
      <c r="U69" s="123" t="n">
        <f aca="false">U68*CHOOSE(MATCH($C$18,{"H";"B";"N"},0),GPUMW_H*ODc_H,GPUMW_B*ODc_B,GPUMW_N*ODc_N)*ResidUtil*Timeline!U$9*INDEX(Curve,1,MAX(1,MIN(8,INT((U$5-$H$18)/4)+1)))/1000000</f>
        <v>0</v>
      </c>
      <c r="V69" s="123" t="n">
        <f aca="false">V68*CHOOSE(MATCH($C$18,{"H";"B";"N"},0),GPUMW_H*ODc_H,GPUMW_B*ODc_B,GPUMW_N*ODc_N)*ResidUtil*Timeline!V$9*INDEX(Curve,1,MAX(1,MIN(8,INT((V$5-$H$18)/4)+1)))/1000000</f>
        <v>0</v>
      </c>
      <c r="W69" s="123" t="n">
        <f aca="false">W68*CHOOSE(MATCH($C$18,{"H";"B";"N"},0),GPUMW_H*ODc_H,GPUMW_B*ODc_B,GPUMW_N*ODc_N)*ResidUtil*Timeline!W$9*INDEX(Curve,1,MAX(1,MIN(8,INT((W$5-$H$18)/4)+1)))/1000000</f>
        <v>0</v>
      </c>
      <c r="X69" s="123" t="n">
        <f aca="false">X68*CHOOSE(MATCH($C$18,{"H";"B";"N"},0),GPUMW_H*ODc_H,GPUMW_B*ODc_B,GPUMW_N*ODc_N)*ResidUtil*Timeline!X$9*INDEX(Curve,1,MAX(1,MIN(8,INT((X$5-$H$18)/4)+1)))/1000000</f>
        <v>0</v>
      </c>
      <c r="Y69" s="123" t="n">
        <f aca="false">Y68*CHOOSE(MATCH($C$18,{"H";"B";"N"},0),GPUMW_H*ODc_H,GPUMW_B*ODc_B,GPUMW_N*ODc_N)*ResidUtil*Timeline!Y$9*INDEX(Curve,1,MAX(1,MIN(8,INT((Y$5-$H$18)/4)+1)))/1000000</f>
        <v>0</v>
      </c>
      <c r="Z69" s="123" t="n">
        <f aca="false">Z68*CHOOSE(MATCH($C$18,{"H";"B";"N"},0),GPUMW_H*ODc_H,GPUMW_B*ODc_B,GPUMW_N*ODc_N)*ResidUtil*Timeline!Z$9*INDEX(Curve,1,MAX(1,MIN(8,INT((Z$5-$H$18)/4)+1)))/1000000</f>
        <v>0</v>
      </c>
      <c r="AA69" s="123" t="n">
        <f aca="false">AA68*CHOOSE(MATCH($C$18,{"H";"B";"N"},0),GPUMW_H*ODc_H,GPUMW_B*ODc_B,GPUMW_N*ODc_N)*ResidUtil*Timeline!AA$9*INDEX(Curve,1,MAX(1,MIN(8,INT((AA$5-$H$18)/4)+1)))/1000000</f>
        <v>0</v>
      </c>
      <c r="AB69" s="123" t="n">
        <f aca="false">AB68*CHOOSE(MATCH($C$18,{"H";"B";"N"},0),GPUMW_H*ODc_H,GPUMW_B*ODc_B,GPUMW_N*ODc_N)*ResidUtil*Timeline!AB$9*INDEX(Curve,1,MAX(1,MIN(8,INT((AB$5-$H$18)/4)+1)))/1000000</f>
        <v>0</v>
      </c>
      <c r="AC69" s="123" t="n">
        <f aca="false">AC68*CHOOSE(MATCH($C$18,{"H";"B";"N"},0),GPUMW_H*ODc_H,GPUMW_B*ODc_B,GPUMW_N*ODc_N)*ResidUtil*Timeline!AC$9*INDEX(Curve,1,MAX(1,MIN(8,INT((AC$5-$H$18)/4)+1)))/1000000</f>
        <v>0</v>
      </c>
      <c r="AD69" s="123" t="n">
        <f aca="false">AD68*CHOOSE(MATCH($C$18,{"H";"B";"N"},0),GPUMW_H*ODc_H,GPUMW_B*ODc_B,GPUMW_N*ODc_N)*ResidUtil*Timeline!AD$9*INDEX(Curve,1,MAX(1,MIN(8,INT((AD$5-$H$18)/4)+1)))/1000000</f>
        <v>0</v>
      </c>
      <c r="AE69" s="123" t="n">
        <f aca="false">AE68*CHOOSE(MATCH($C$18,{"H";"B";"N"},0),GPUMW_H*ODc_H,GPUMW_B*ODc_B,GPUMW_N*ODc_N)*ResidUtil*Timeline!AE$9*INDEX(Curve,1,MAX(1,MIN(8,INT((AE$5-$H$18)/4)+1)))/1000000</f>
        <v>0</v>
      </c>
      <c r="AF69" s="123" t="n">
        <f aca="false">AF68*CHOOSE(MATCH($C$18,{"H";"B";"N"},0),GPUMW_H*ODc_H,GPUMW_B*ODc_B,GPUMW_N*ODc_N)*ResidUtil*Timeline!AF$9*INDEX(Curve,1,MAX(1,MIN(8,INT((AF$5-$H$18)/4)+1)))/1000000</f>
        <v>0</v>
      </c>
      <c r="AG69" s="123" t="n">
        <f aca="false">AG68*CHOOSE(MATCH($C$18,{"H";"B";"N"},0),GPUMW_H*ODc_H,GPUMW_B*ODc_B,GPUMW_N*ODc_N)*ResidUtil*Timeline!AG$9*INDEX(Curve,1,MAX(1,MIN(8,INT((AG$5-$H$18)/4)+1)))/1000000</f>
        <v>0</v>
      </c>
      <c r="AI69" s="123" t="n">
        <f aca="false">SUMIF($F$7:$AG$7,AI$7,$F69:$AG69)</f>
        <v>0</v>
      </c>
      <c r="AJ69" s="123" t="n">
        <f aca="false">SUMIF($F$7:$AG$7,AJ$7,$F69:$AG69)</f>
        <v>0</v>
      </c>
      <c r="AK69" s="123" t="n">
        <f aca="false">SUMIF($F$7:$AG$7,AK$7,$F69:$AG69)</f>
        <v>0</v>
      </c>
      <c r="AL69" s="123" t="n">
        <f aca="false">SUMIF($F$7:$AG$7,AL$7,$F69:$AG69)</f>
        <v>0</v>
      </c>
      <c r="AM69" s="123" t="n">
        <f aca="false">SUMIF($F$7:$AG$7,AM$7,$F69:$AG69)</f>
        <v>0</v>
      </c>
      <c r="AN69" s="123" t="n">
        <f aca="false">SUMIF($F$7:$AG$7,AN$7,$F69:$AG69)</f>
        <v>0</v>
      </c>
      <c r="AO69" s="123" t="n">
        <f aca="false">SUMIF($F$7:$AG$7,AO$7,$F69:$AG69)</f>
        <v>0</v>
      </c>
    </row>
    <row r="70" customFormat="false" ht="15" hidden="false" customHeight="false" outlineLevel="0" collapsed="false">
      <c r="A70" s="104" t="s">
        <v>1669</v>
      </c>
      <c r="B70" s="20" t="s">
        <v>561</v>
      </c>
      <c r="C70" s="20"/>
      <c r="D70" s="20"/>
      <c r="F70" s="122" t="n">
        <f aca="false">(1-$I$19)*(1-$J$19)*$D$19*$E$19/4*MIN(1,MAX(0,(F$5-$H$19+1)/$T$19))*IF(F$5=$H$19,DelivFactor,IF(AND(F$5&gt;$H$19,F$5&lt;$H$19+$F$19),1,IF(F$5=$H$19+$F$19,1-DelivFactor,0)))</f>
        <v>0</v>
      </c>
      <c r="G70" s="122" t="n">
        <f aca="false">(1-$I$19)*(1-$J$19)*$D$19*$E$19/4*MIN(1,MAX(0,(G$5-$H$19+1)/$T$19))*IF(G$5=$H$19,DelivFactor,IF(AND(G$5&gt;$H$19,G$5&lt;$H$19+$F$19),1,IF(G$5=$H$19+$F$19,1-DelivFactor,0)))</f>
        <v>0</v>
      </c>
      <c r="H70" s="122" t="n">
        <f aca="false">(1-$I$19)*(1-$J$19)*$D$19*$E$19/4*MIN(1,MAX(0,(H$5-$H$19+1)/$T$19))*IF(H$5=$H$19,DelivFactor,IF(AND(H$5&gt;$H$19,H$5&lt;$H$19+$F$19),1,IF(H$5=$H$19+$F$19,1-DelivFactor,0)))</f>
        <v>0</v>
      </c>
      <c r="I70" s="122" t="n">
        <f aca="false">(1-$I$19)*(1-$J$19)*$D$19*$E$19/4*MIN(1,MAX(0,(I$5-$H$19+1)/$T$19))*IF(I$5=$H$19,DelivFactor,IF(AND(I$5&gt;$H$19,I$5&lt;$H$19+$F$19),1,IF(I$5=$H$19+$F$19,1-DelivFactor,0)))</f>
        <v>0</v>
      </c>
      <c r="J70" s="122" t="n">
        <f aca="false">(1-$I$19)*(1-$J$19)*$D$19*$E$19/4*MIN(1,MAX(0,(J$5-$H$19+1)/$T$19))*IF(J$5=$H$19,DelivFactor,IF(AND(J$5&gt;$H$19,J$5&lt;$H$19+$F$19),1,IF(J$5=$H$19+$F$19,1-DelivFactor,0)))</f>
        <v>0</v>
      </c>
      <c r="K70" s="122" t="n">
        <f aca="false">(1-$I$19)*(1-$J$19)*$D$19*$E$19/4*MIN(1,MAX(0,(K$5-$H$19+1)/$T$19))*IF(K$5=$H$19,DelivFactor,IF(AND(K$5&gt;$H$19,K$5&lt;$H$19+$F$19),1,IF(K$5=$H$19+$F$19,1-DelivFactor,0)))</f>
        <v>0</v>
      </c>
      <c r="L70" s="122" t="n">
        <f aca="false">(1-$I$19)*(1-$J$19)*$D$19*$E$19/4*MIN(1,MAX(0,(L$5-$H$19+1)/$T$19))*IF(L$5=$H$19,DelivFactor,IF(AND(L$5&gt;$H$19,L$5&lt;$H$19+$F$19),1,IF(L$5=$H$19+$F$19,1-DelivFactor,0)))</f>
        <v>0</v>
      </c>
      <c r="M70" s="122" t="n">
        <f aca="false">(1-$I$19)*(1-$J$19)*$D$19*$E$19/4*MIN(1,MAX(0,(M$5-$H$19+1)/$T$19))*IF(M$5=$H$19,DelivFactor,IF(AND(M$5&gt;$H$19,M$5&lt;$H$19+$F$19),1,IF(M$5=$H$19+$F$19,1-DelivFactor,0)))</f>
        <v>0</v>
      </c>
      <c r="N70" s="122" t="n">
        <f aca="false">(1-$I$19)*(1-$J$19)*$D$19*$E$19/4*MIN(1,MAX(0,(N$5-$H$19+1)/$T$19))*IF(N$5=$H$19,DelivFactor,IF(AND(N$5&gt;$H$19,N$5&lt;$H$19+$F$19),1,IF(N$5=$H$19+$F$19,1-DelivFactor,0)))</f>
        <v>0</v>
      </c>
      <c r="O70" s="122" t="n">
        <f aca="false">(1-$I$19)*(1-$J$19)*$D$19*$E$19/4*MIN(1,MAX(0,(O$5-$H$19+1)/$T$19))*IF(O$5=$H$19,DelivFactor,IF(AND(O$5&gt;$H$19,O$5&lt;$H$19+$F$19),1,IF(O$5=$H$19+$F$19,1-DelivFactor,0)))</f>
        <v>0</v>
      </c>
      <c r="P70" s="123" t="n">
        <f aca="false">(1-$I$19)*(1-$J$19)*$D$19*$E$19/4*MIN(1,MAX(0,(P$5-$H$19+1)/$T$19))*IF(P$5=$H$19,DelivFactor,IF(AND(P$5&gt;$H$19,P$5&lt;$H$19+$F$19),1,IF(P$5=$H$19+$F$19,1-DelivFactor,0)))</f>
        <v>0</v>
      </c>
      <c r="Q70" s="123" t="n">
        <f aca="false">(1-$I$19)*(1-$J$19)*$D$19*$E$19/4*MIN(1,MAX(0,(Q$5-$H$19+1)/$T$19))*IF(Q$5=$H$19,DelivFactor,IF(AND(Q$5&gt;$H$19,Q$5&lt;$H$19+$F$19),1,IF(Q$5=$H$19+$F$19,1-DelivFactor,0)))</f>
        <v>0</v>
      </c>
      <c r="R70" s="123" t="n">
        <f aca="false">(1-$I$19)*(1-$J$19)*$D$19*$E$19/4*MIN(1,MAX(0,(R$5-$H$19+1)/$T$19))*IF(R$5=$H$19,DelivFactor,IF(AND(R$5&gt;$H$19,R$5&lt;$H$19+$F$19),1,IF(R$5=$H$19+$F$19,1-DelivFactor,0)))</f>
        <v>0</v>
      </c>
      <c r="S70" s="123" t="n">
        <f aca="false">(1-$I$19)*(1-$J$19)*$D$19*$E$19/4*MIN(1,MAX(0,(S$5-$H$19+1)/$T$19))*IF(S$5=$H$19,DelivFactor,IF(AND(S$5&gt;$H$19,S$5&lt;$H$19+$F$19),1,IF(S$5=$H$19+$F$19,1-DelivFactor,0)))</f>
        <v>0</v>
      </c>
      <c r="T70" s="123" t="n">
        <f aca="false">(1-$I$19)*(1-$J$19)*$D$19*$E$19/4*MIN(1,MAX(0,(T$5-$H$19+1)/$T$19))*IF(T$5=$H$19,DelivFactor,IF(AND(T$5&gt;$H$19,T$5&lt;$H$19+$F$19),1,IF(T$5=$H$19+$F$19,1-DelivFactor,0)))</f>
        <v>12.0784027777778</v>
      </c>
      <c r="U70" s="123" t="n">
        <f aca="false">(1-$I$19)*(1-$J$19)*$D$19*$E$19/4*MIN(1,MAX(0,(U$5-$H$19+1)/$T$19))*IF(U$5=$H$19,DelivFactor,IF(AND(U$5&gt;$H$19,U$5&lt;$H$19+$F$19),1,IF(U$5=$H$19+$F$19,1-DelivFactor,0)))</f>
        <v>48.3136111111111</v>
      </c>
      <c r="V70" s="123" t="n">
        <f aca="false">(1-$I$19)*(1-$J$19)*$D$19*$E$19/4*MIN(1,MAX(0,(V$5-$H$19+1)/$T$19))*IF(V$5=$H$19,DelivFactor,IF(AND(V$5&gt;$H$19,V$5&lt;$H$19+$F$19),1,IF(V$5=$H$19+$F$19,1-DelivFactor,0)))</f>
        <v>72.4704166666667</v>
      </c>
      <c r="W70" s="123" t="n">
        <f aca="false">(1-$I$19)*(1-$J$19)*$D$19*$E$19/4*MIN(1,MAX(0,(W$5-$H$19+1)/$T$19))*IF(W$5=$H$19,DelivFactor,IF(AND(W$5&gt;$H$19,W$5&lt;$H$19+$F$19),1,IF(W$5=$H$19+$F$19,1-DelivFactor,0)))</f>
        <v>96.6272222222222</v>
      </c>
      <c r="X70" s="123" t="n">
        <f aca="false">(1-$I$19)*(1-$J$19)*$D$19*$E$19/4*MIN(1,MAX(0,(X$5-$H$19+1)/$T$19))*IF(X$5=$H$19,DelivFactor,IF(AND(X$5&gt;$H$19,X$5&lt;$H$19+$F$19),1,IF(X$5=$H$19+$F$19,1-DelivFactor,0)))</f>
        <v>96.6272222222222</v>
      </c>
      <c r="Y70" s="123" t="n">
        <f aca="false">(1-$I$19)*(1-$J$19)*$D$19*$E$19/4*MIN(1,MAX(0,(Y$5-$H$19+1)/$T$19))*IF(Y$5=$H$19,DelivFactor,IF(AND(Y$5&gt;$H$19,Y$5&lt;$H$19+$F$19),1,IF(Y$5=$H$19+$F$19,1-DelivFactor,0)))</f>
        <v>96.6272222222222</v>
      </c>
      <c r="Z70" s="123" t="n">
        <f aca="false">(1-$I$19)*(1-$J$19)*$D$19*$E$19/4*MIN(1,MAX(0,(Z$5-$H$19+1)/$T$19))*IF(Z$5=$H$19,DelivFactor,IF(AND(Z$5&gt;$H$19,Z$5&lt;$H$19+$F$19),1,IF(Z$5=$H$19+$F$19,1-DelivFactor,0)))</f>
        <v>96.6272222222222</v>
      </c>
      <c r="AA70" s="123" t="n">
        <f aca="false">(1-$I$19)*(1-$J$19)*$D$19*$E$19/4*MIN(1,MAX(0,(AA$5-$H$19+1)/$T$19))*IF(AA$5=$H$19,DelivFactor,IF(AND(AA$5&gt;$H$19,AA$5&lt;$H$19+$F$19),1,IF(AA$5=$H$19+$F$19,1-DelivFactor,0)))</f>
        <v>96.6272222222222</v>
      </c>
      <c r="AB70" s="123" t="n">
        <f aca="false">(1-$I$19)*(1-$J$19)*$D$19*$E$19/4*MIN(1,MAX(0,(AB$5-$H$19+1)/$T$19))*IF(AB$5=$H$19,DelivFactor,IF(AND(AB$5&gt;$H$19,AB$5&lt;$H$19+$F$19),1,IF(AB$5=$H$19+$F$19,1-DelivFactor,0)))</f>
        <v>96.6272222222222</v>
      </c>
      <c r="AC70" s="123" t="n">
        <f aca="false">(1-$I$19)*(1-$J$19)*$D$19*$E$19/4*MIN(1,MAX(0,(AC$5-$H$19+1)/$T$19))*IF(AC$5=$H$19,DelivFactor,IF(AND(AC$5&gt;$H$19,AC$5&lt;$H$19+$F$19),1,IF(AC$5=$H$19+$F$19,1-DelivFactor,0)))</f>
        <v>96.6272222222222</v>
      </c>
      <c r="AD70" s="123" t="n">
        <f aca="false">(1-$I$19)*(1-$J$19)*$D$19*$E$19/4*MIN(1,MAX(0,(AD$5-$H$19+1)/$T$19))*IF(AD$5=$H$19,DelivFactor,IF(AND(AD$5&gt;$H$19,AD$5&lt;$H$19+$F$19),1,IF(AD$5=$H$19+$F$19,1-DelivFactor,0)))</f>
        <v>96.6272222222222</v>
      </c>
      <c r="AE70" s="123" t="n">
        <f aca="false">(1-$I$19)*(1-$J$19)*$D$19*$E$19/4*MIN(1,MAX(0,(AE$5-$H$19+1)/$T$19))*IF(AE$5=$H$19,DelivFactor,IF(AND(AE$5&gt;$H$19,AE$5&lt;$H$19+$F$19),1,IF(AE$5=$H$19+$F$19,1-DelivFactor,0)))</f>
        <v>96.6272222222222</v>
      </c>
      <c r="AF70" s="123" t="n">
        <f aca="false">(1-$I$19)*(1-$J$19)*$D$19*$E$19/4*MIN(1,MAX(0,(AF$5-$H$19+1)/$T$19))*IF(AF$5=$H$19,DelivFactor,IF(AND(AF$5&gt;$H$19,AF$5&lt;$H$19+$F$19),1,IF(AF$5=$H$19+$F$19,1-DelivFactor,0)))</f>
        <v>96.6272222222222</v>
      </c>
      <c r="AG70" s="123" t="n">
        <f aca="false">(1-$I$19)*(1-$J$19)*$D$19*$E$19/4*MIN(1,MAX(0,(AG$5-$H$19+1)/$T$19))*IF(AG$5=$H$19,DelivFactor,IF(AND(AG$5&gt;$H$19,AG$5&lt;$H$19+$F$19),1,IF(AG$5=$H$19+$F$19,1-DelivFactor,0)))</f>
        <v>96.6272222222222</v>
      </c>
      <c r="AI70" s="123" t="n">
        <f aca="false">SUMIF($F$7:$AG$7,AI$7,$F70:$AG70)</f>
        <v>0</v>
      </c>
      <c r="AJ70" s="123" t="n">
        <f aca="false">SUMIF($F$7:$AG$7,AJ$7,$F70:$AG70)</f>
        <v>0</v>
      </c>
      <c r="AK70" s="123" t="n">
        <f aca="false">SUMIF($F$7:$AG$7,AK$7,$F70:$AG70)</f>
        <v>0</v>
      </c>
      <c r="AL70" s="123" t="n">
        <f aca="false">SUMIF($F$7:$AG$7,AL$7,$F70:$AG70)</f>
        <v>60.3920138888889</v>
      </c>
      <c r="AM70" s="123" t="n">
        <f aca="false">SUMIF($F$7:$AG$7,AM$7,$F70:$AG70)</f>
        <v>362.352083333333</v>
      </c>
      <c r="AN70" s="123" t="n">
        <f aca="false">SUMIF($F$7:$AG$7,AN$7,$F70:$AG70)</f>
        <v>386.508888888889</v>
      </c>
      <c r="AO70" s="123" t="n">
        <f aca="false">SUMIF($F$7:$AG$7,AO$7,$F70:$AG70)</f>
        <v>386.508888888889</v>
      </c>
    </row>
    <row r="71" customFormat="false" ht="15" hidden="false" customHeight="false" outlineLevel="0" collapsed="false">
      <c r="A71" s="104" t="s">
        <v>1670</v>
      </c>
      <c r="B71" s="20" t="s">
        <v>575</v>
      </c>
      <c r="C71" s="20"/>
      <c r="D71" s="20"/>
      <c r="F71" s="113" t="n">
        <f aca="false">(1-$I$19)*(1-$J$19)*$D$19*AND(F$5&gt;=$H$19,F$5&lt;$H$19+$F$19)</f>
        <v>0</v>
      </c>
      <c r="G71" s="113" t="n">
        <f aca="false">(1-$I$19)*(1-$J$19)*$D$19*AND(G$5&gt;=$H$19,G$5&lt;$H$19+$F$19)</f>
        <v>0</v>
      </c>
      <c r="H71" s="113" t="n">
        <f aca="false">(1-$I$19)*(1-$J$19)*$D$19*AND(H$5&gt;=$H$19,H$5&lt;$H$19+$F$19)</f>
        <v>0</v>
      </c>
      <c r="I71" s="113" t="n">
        <f aca="false">(1-$I$19)*(1-$J$19)*$D$19*AND(I$5&gt;=$H$19,I$5&lt;$H$19+$F$19)</f>
        <v>0</v>
      </c>
      <c r="J71" s="113" t="n">
        <f aca="false">(1-$I$19)*(1-$J$19)*$D$19*AND(J$5&gt;=$H$19,J$5&lt;$H$19+$F$19)</f>
        <v>0</v>
      </c>
      <c r="K71" s="113" t="n">
        <f aca="false">(1-$I$19)*(1-$J$19)*$D$19*AND(K$5&gt;=$H$19,K$5&lt;$H$19+$F$19)</f>
        <v>0</v>
      </c>
      <c r="L71" s="113" t="n">
        <f aca="false">(1-$I$19)*(1-$J$19)*$D$19*AND(L$5&gt;=$H$19,L$5&lt;$H$19+$F$19)</f>
        <v>0</v>
      </c>
      <c r="M71" s="113" t="n">
        <f aca="false">(1-$I$19)*(1-$J$19)*$D$19*AND(M$5&gt;=$H$19,M$5&lt;$H$19+$F$19)</f>
        <v>0</v>
      </c>
      <c r="N71" s="113" t="n">
        <f aca="false">(1-$I$19)*(1-$J$19)*$D$19*AND(N$5&gt;=$H$19,N$5&lt;$H$19+$F$19)</f>
        <v>0</v>
      </c>
      <c r="O71" s="113" t="n">
        <f aca="false">(1-$I$19)*(1-$J$19)*$D$19*AND(O$5&gt;=$H$19,O$5&lt;$H$19+$F$19)</f>
        <v>0</v>
      </c>
      <c r="P71" s="31" t="n">
        <f aca="false">(1-$I$19)*(1-$J$19)*$D$19*AND(P$5&gt;=$H$19,P$5&lt;$H$19+$F$19)</f>
        <v>0</v>
      </c>
      <c r="Q71" s="31" t="n">
        <f aca="false">(1-$I$19)*(1-$J$19)*$D$19*AND(Q$5&gt;=$H$19,Q$5&lt;$H$19+$F$19)</f>
        <v>0</v>
      </c>
      <c r="R71" s="31" t="n">
        <f aca="false">(1-$I$19)*(1-$J$19)*$D$19*AND(R$5&gt;=$H$19,R$5&lt;$H$19+$F$19)</f>
        <v>0</v>
      </c>
      <c r="S71" s="31" t="n">
        <f aca="false">(1-$I$19)*(1-$J$19)*$D$19*AND(S$5&gt;=$H$19,S$5&lt;$H$19+$F$19)</f>
        <v>0</v>
      </c>
      <c r="T71" s="31" t="n">
        <f aca="false">(1-$I$19)*(1-$J$19)*$D$19*AND(T$5&gt;=$H$19,T$5&lt;$H$19+$F$19)</f>
        <v>26.6666666666667</v>
      </c>
      <c r="U71" s="31" t="n">
        <f aca="false">(1-$I$19)*(1-$J$19)*$D$19*AND(U$5&gt;=$H$19,U$5&lt;$H$19+$F$19)</f>
        <v>26.6666666666667</v>
      </c>
      <c r="V71" s="31" t="n">
        <f aca="false">(1-$I$19)*(1-$J$19)*$D$19*AND(V$5&gt;=$H$19,V$5&lt;$H$19+$F$19)</f>
        <v>26.6666666666667</v>
      </c>
      <c r="W71" s="31" t="n">
        <f aca="false">(1-$I$19)*(1-$J$19)*$D$19*AND(W$5&gt;=$H$19,W$5&lt;$H$19+$F$19)</f>
        <v>26.6666666666667</v>
      </c>
      <c r="X71" s="31" t="n">
        <f aca="false">(1-$I$19)*(1-$J$19)*$D$19*AND(X$5&gt;=$H$19,X$5&lt;$H$19+$F$19)</f>
        <v>26.6666666666667</v>
      </c>
      <c r="Y71" s="31" t="n">
        <f aca="false">(1-$I$19)*(1-$J$19)*$D$19*AND(Y$5&gt;=$H$19,Y$5&lt;$H$19+$F$19)</f>
        <v>26.6666666666667</v>
      </c>
      <c r="Z71" s="31" t="n">
        <f aca="false">(1-$I$19)*(1-$J$19)*$D$19*AND(Z$5&gt;=$H$19,Z$5&lt;$H$19+$F$19)</f>
        <v>26.6666666666667</v>
      </c>
      <c r="AA71" s="31" t="n">
        <f aca="false">(1-$I$19)*(1-$J$19)*$D$19*AND(AA$5&gt;=$H$19,AA$5&lt;$H$19+$F$19)</f>
        <v>26.6666666666667</v>
      </c>
      <c r="AB71" s="31" t="n">
        <f aca="false">(1-$I$19)*(1-$J$19)*$D$19*AND(AB$5&gt;=$H$19,AB$5&lt;$H$19+$F$19)</f>
        <v>26.6666666666667</v>
      </c>
      <c r="AC71" s="31" t="n">
        <f aca="false">(1-$I$19)*(1-$J$19)*$D$19*AND(AC$5&gt;=$H$19,AC$5&lt;$H$19+$F$19)</f>
        <v>26.6666666666667</v>
      </c>
      <c r="AD71" s="31" t="n">
        <f aca="false">(1-$I$19)*(1-$J$19)*$D$19*AND(AD$5&gt;=$H$19,AD$5&lt;$H$19+$F$19)</f>
        <v>26.6666666666667</v>
      </c>
      <c r="AE71" s="31" t="n">
        <f aca="false">(1-$I$19)*(1-$J$19)*$D$19*AND(AE$5&gt;=$H$19,AE$5&lt;$H$19+$F$19)</f>
        <v>26.6666666666667</v>
      </c>
      <c r="AF71" s="31" t="n">
        <f aca="false">(1-$I$19)*(1-$J$19)*$D$19*AND(AF$5&gt;=$H$19,AF$5&lt;$H$19+$F$19)</f>
        <v>26.6666666666667</v>
      </c>
      <c r="AG71" s="31" t="n">
        <f aca="false">(1-$I$19)*(1-$J$19)*$D$19*AND(AG$5&gt;=$H$19,AG$5&lt;$H$19+$F$19)</f>
        <v>26.6666666666667</v>
      </c>
      <c r="AI71" s="31" t="n">
        <f aca="false">INDEX($F71:$AG71,1,MATCH(AI$7,$F$7:$AG$7,1))</f>
        <v>0</v>
      </c>
      <c r="AJ71" s="31" t="n">
        <f aca="false">INDEX($F71:$AG71,1,MATCH(AJ$7,$F$7:$AG$7,1))</f>
        <v>0</v>
      </c>
      <c r="AK71" s="31" t="n">
        <f aca="false">INDEX($F71:$AG71,1,MATCH(AK$7,$F$7:$AG$7,1))</f>
        <v>0</v>
      </c>
      <c r="AL71" s="31" t="n">
        <f aca="false">INDEX($F71:$AG71,1,MATCH(AL$7,$F$7:$AG$7,1))</f>
        <v>26.6666666666667</v>
      </c>
      <c r="AM71" s="31" t="n">
        <f aca="false">INDEX($F71:$AG71,1,MATCH(AM$7,$F$7:$AG$7,1))</f>
        <v>26.6666666666667</v>
      </c>
      <c r="AN71" s="31" t="n">
        <f aca="false">INDEX($F71:$AG71,1,MATCH(AN$7,$F$7:$AG$7,1))</f>
        <v>26.6666666666667</v>
      </c>
      <c r="AO71" s="31" t="n">
        <f aca="false">INDEX($F71:$AG71,1,MATCH(AO$7,$F$7:$AG$7,1))</f>
        <v>26.6666666666667</v>
      </c>
    </row>
    <row r="72" customFormat="false" ht="15" hidden="false" customHeight="false" outlineLevel="0" collapsed="false">
      <c r="A72" s="104" t="s">
        <v>1671</v>
      </c>
      <c r="B72" s="20" t="s">
        <v>561</v>
      </c>
      <c r="C72" s="20"/>
      <c r="D72" s="20"/>
      <c r="F72" s="122" t="n">
        <f aca="false">-(1-$I$19)*LD_Pct*$D$19*$E$19/4*AND(F$5&gt;=$G$19,F$5&lt;$H$19)</f>
        <v>-0</v>
      </c>
      <c r="G72" s="122" t="n">
        <f aca="false">-(1-$I$19)*LD_Pct*$D$19*$E$19/4*AND(G$5&gt;=$G$19,G$5&lt;$H$19)</f>
        <v>-0</v>
      </c>
      <c r="H72" s="122" t="n">
        <f aca="false">-(1-$I$19)*LD_Pct*$D$19*$E$19/4*AND(H$5&gt;=$G$19,H$5&lt;$H$19)</f>
        <v>-0</v>
      </c>
      <c r="I72" s="122" t="n">
        <f aca="false">-(1-$I$19)*LD_Pct*$D$19*$E$19/4*AND(I$5&gt;=$G$19,I$5&lt;$H$19)</f>
        <v>-0</v>
      </c>
      <c r="J72" s="122" t="n">
        <f aca="false">-(1-$I$19)*LD_Pct*$D$19*$E$19/4*AND(J$5&gt;=$G$19,J$5&lt;$H$19)</f>
        <v>-0</v>
      </c>
      <c r="K72" s="122" t="n">
        <f aca="false">-(1-$I$19)*LD_Pct*$D$19*$E$19/4*AND(K$5&gt;=$G$19,K$5&lt;$H$19)</f>
        <v>-0</v>
      </c>
      <c r="L72" s="122" t="n">
        <f aca="false">-(1-$I$19)*LD_Pct*$D$19*$E$19/4*AND(L$5&gt;=$G$19,L$5&lt;$H$19)</f>
        <v>-0</v>
      </c>
      <c r="M72" s="122" t="n">
        <f aca="false">-(1-$I$19)*LD_Pct*$D$19*$E$19/4*AND(M$5&gt;=$G$19,M$5&lt;$H$19)</f>
        <v>-0</v>
      </c>
      <c r="N72" s="122" t="n">
        <f aca="false">-(1-$I$19)*LD_Pct*$D$19*$E$19/4*AND(N$5&gt;=$G$19,N$5&lt;$H$19)</f>
        <v>-0</v>
      </c>
      <c r="O72" s="122" t="n">
        <f aca="false">-(1-$I$19)*LD_Pct*$D$19*$E$19/4*AND(O$5&gt;=$G$19,O$5&lt;$H$19)</f>
        <v>-0</v>
      </c>
      <c r="P72" s="123" t="n">
        <f aca="false">-(1-$I$19)*LD_Pct*$D$19*$E$19/4*AND(P$5&gt;=$G$19,P$5&lt;$H$19)</f>
        <v>-0</v>
      </c>
      <c r="Q72" s="123" t="n">
        <f aca="false">-(1-$I$19)*LD_Pct*$D$19*$E$19/4*AND(Q$5&gt;=$G$19,Q$5&lt;$H$19)</f>
        <v>-0</v>
      </c>
      <c r="R72" s="123" t="n">
        <f aca="false">-(1-$I$19)*LD_Pct*$D$19*$E$19/4*AND(R$5&gt;=$G$19,R$5&lt;$H$19)</f>
        <v>-0</v>
      </c>
      <c r="S72" s="123" t="n">
        <f aca="false">-(1-$I$19)*LD_Pct*$D$19*$E$19/4*AND(S$5&gt;=$G$19,S$5&lt;$H$19)</f>
        <v>-0</v>
      </c>
      <c r="T72" s="123" t="n">
        <f aca="false">-(1-$I$19)*LD_Pct*$D$19*$E$19/4*AND(T$5&gt;=$G$19,T$5&lt;$H$19)</f>
        <v>-0</v>
      </c>
      <c r="U72" s="123" t="n">
        <f aca="false">-(1-$I$19)*LD_Pct*$D$19*$E$19/4*AND(U$5&gt;=$G$19,U$5&lt;$H$19)</f>
        <v>-0</v>
      </c>
      <c r="V72" s="123" t="n">
        <f aca="false">-(1-$I$19)*LD_Pct*$D$19*$E$19/4*AND(V$5&gt;=$G$19,V$5&lt;$H$19)</f>
        <v>-0</v>
      </c>
      <c r="W72" s="123" t="n">
        <f aca="false">-(1-$I$19)*LD_Pct*$D$19*$E$19/4*AND(W$5&gt;=$G$19,W$5&lt;$H$19)</f>
        <v>-0</v>
      </c>
      <c r="X72" s="123" t="n">
        <f aca="false">-(1-$I$19)*LD_Pct*$D$19*$E$19/4*AND(X$5&gt;=$G$19,X$5&lt;$H$19)</f>
        <v>-0</v>
      </c>
      <c r="Y72" s="123" t="n">
        <f aca="false">-(1-$I$19)*LD_Pct*$D$19*$E$19/4*AND(Y$5&gt;=$G$19,Y$5&lt;$H$19)</f>
        <v>-0</v>
      </c>
      <c r="Z72" s="123" t="n">
        <f aca="false">-(1-$I$19)*LD_Pct*$D$19*$E$19/4*AND(Z$5&gt;=$G$19,Z$5&lt;$H$19)</f>
        <v>-0</v>
      </c>
      <c r="AA72" s="123" t="n">
        <f aca="false">-(1-$I$19)*LD_Pct*$D$19*$E$19/4*AND(AA$5&gt;=$G$19,AA$5&lt;$H$19)</f>
        <v>-0</v>
      </c>
      <c r="AB72" s="123" t="n">
        <f aca="false">-(1-$I$19)*LD_Pct*$D$19*$E$19/4*AND(AB$5&gt;=$G$19,AB$5&lt;$H$19)</f>
        <v>-0</v>
      </c>
      <c r="AC72" s="123" t="n">
        <f aca="false">-(1-$I$19)*LD_Pct*$D$19*$E$19/4*AND(AC$5&gt;=$G$19,AC$5&lt;$H$19)</f>
        <v>-0</v>
      </c>
      <c r="AD72" s="123" t="n">
        <f aca="false">-(1-$I$19)*LD_Pct*$D$19*$E$19/4*AND(AD$5&gt;=$G$19,AD$5&lt;$H$19)</f>
        <v>-0</v>
      </c>
      <c r="AE72" s="123" t="n">
        <f aca="false">-(1-$I$19)*LD_Pct*$D$19*$E$19/4*AND(AE$5&gt;=$G$19,AE$5&lt;$H$19)</f>
        <v>-0</v>
      </c>
      <c r="AF72" s="123" t="n">
        <f aca="false">-(1-$I$19)*LD_Pct*$D$19*$E$19/4*AND(AF$5&gt;=$G$19,AF$5&lt;$H$19)</f>
        <v>-0</v>
      </c>
      <c r="AG72" s="123" t="n">
        <f aca="false">-(1-$I$19)*LD_Pct*$D$19*$E$19/4*AND(AG$5&gt;=$G$19,AG$5&lt;$H$19)</f>
        <v>-0</v>
      </c>
      <c r="AI72" s="123" t="n">
        <f aca="false">SUMIF($F$7:$AG$7,AI$7,$F72:$AG72)</f>
        <v>0</v>
      </c>
      <c r="AJ72" s="123" t="n">
        <f aca="false">SUMIF($F$7:$AG$7,AJ$7,$F72:$AG72)</f>
        <v>0</v>
      </c>
      <c r="AK72" s="123" t="n">
        <f aca="false">SUMIF($F$7:$AG$7,AK$7,$F72:$AG72)</f>
        <v>0</v>
      </c>
      <c r="AL72" s="123" t="n">
        <f aca="false">SUMIF($F$7:$AG$7,AL$7,$F72:$AG72)</f>
        <v>0</v>
      </c>
      <c r="AM72" s="123" t="n">
        <f aca="false">SUMIF($F$7:$AG$7,AM$7,$F72:$AG72)</f>
        <v>0</v>
      </c>
      <c r="AN72" s="123" t="n">
        <f aca="false">SUMIF($F$7:$AG$7,AN$7,$F72:$AG72)</f>
        <v>0</v>
      </c>
      <c r="AO72" s="123" t="n">
        <f aca="false">SUMIF($F$7:$AG$7,AO$7,$F72:$AG72)</f>
        <v>0</v>
      </c>
    </row>
    <row r="73" customFormat="false" ht="15" hidden="false" customHeight="false" outlineLevel="0" collapsed="false">
      <c r="A73" s="104" t="s">
        <v>1672</v>
      </c>
      <c r="B73" s="20" t="s">
        <v>575</v>
      </c>
      <c r="C73" s="20"/>
      <c r="D73" s="20"/>
      <c r="F73" s="113" t="n">
        <f aca="false">(1-$I$19)*(1-$J$19)*$D$19*(F$5&gt;=$H$19+$F$19)</f>
        <v>0</v>
      </c>
      <c r="G73" s="113" t="n">
        <f aca="false">(1-$I$19)*(1-$J$19)*$D$19*(G$5&gt;=$H$19+$F$19)</f>
        <v>0</v>
      </c>
      <c r="H73" s="113" t="n">
        <f aca="false">(1-$I$19)*(1-$J$19)*$D$19*(H$5&gt;=$H$19+$F$19)</f>
        <v>0</v>
      </c>
      <c r="I73" s="113" t="n">
        <f aca="false">(1-$I$19)*(1-$J$19)*$D$19*(I$5&gt;=$H$19+$F$19)</f>
        <v>0</v>
      </c>
      <c r="J73" s="113" t="n">
        <f aca="false">(1-$I$19)*(1-$J$19)*$D$19*(J$5&gt;=$H$19+$F$19)</f>
        <v>0</v>
      </c>
      <c r="K73" s="113" t="n">
        <f aca="false">(1-$I$19)*(1-$J$19)*$D$19*(K$5&gt;=$H$19+$F$19)</f>
        <v>0</v>
      </c>
      <c r="L73" s="113" t="n">
        <f aca="false">(1-$I$19)*(1-$J$19)*$D$19*(L$5&gt;=$H$19+$F$19)</f>
        <v>0</v>
      </c>
      <c r="M73" s="113" t="n">
        <f aca="false">(1-$I$19)*(1-$J$19)*$D$19*(M$5&gt;=$H$19+$F$19)</f>
        <v>0</v>
      </c>
      <c r="N73" s="113" t="n">
        <f aca="false">(1-$I$19)*(1-$J$19)*$D$19*(N$5&gt;=$H$19+$F$19)</f>
        <v>0</v>
      </c>
      <c r="O73" s="113" t="n">
        <f aca="false">(1-$I$19)*(1-$J$19)*$D$19*(O$5&gt;=$H$19+$F$19)</f>
        <v>0</v>
      </c>
      <c r="P73" s="31" t="n">
        <f aca="false">(1-$I$19)*(1-$J$19)*$D$19*(P$5&gt;=$H$19+$F$19)</f>
        <v>0</v>
      </c>
      <c r="Q73" s="31" t="n">
        <f aca="false">(1-$I$19)*(1-$J$19)*$D$19*(Q$5&gt;=$H$19+$F$19)</f>
        <v>0</v>
      </c>
      <c r="R73" s="31" t="n">
        <f aca="false">(1-$I$19)*(1-$J$19)*$D$19*(R$5&gt;=$H$19+$F$19)</f>
        <v>0</v>
      </c>
      <c r="S73" s="31" t="n">
        <f aca="false">(1-$I$19)*(1-$J$19)*$D$19*(S$5&gt;=$H$19+$F$19)</f>
        <v>0</v>
      </c>
      <c r="T73" s="31" t="n">
        <f aca="false">(1-$I$19)*(1-$J$19)*$D$19*(T$5&gt;=$H$19+$F$19)</f>
        <v>0</v>
      </c>
      <c r="U73" s="31" t="n">
        <f aca="false">(1-$I$19)*(1-$J$19)*$D$19*(U$5&gt;=$H$19+$F$19)</f>
        <v>0</v>
      </c>
      <c r="V73" s="31" t="n">
        <f aca="false">(1-$I$19)*(1-$J$19)*$D$19*(V$5&gt;=$H$19+$F$19)</f>
        <v>0</v>
      </c>
      <c r="W73" s="31" t="n">
        <f aca="false">(1-$I$19)*(1-$J$19)*$D$19*(W$5&gt;=$H$19+$F$19)</f>
        <v>0</v>
      </c>
      <c r="X73" s="31" t="n">
        <f aca="false">(1-$I$19)*(1-$J$19)*$D$19*(X$5&gt;=$H$19+$F$19)</f>
        <v>0</v>
      </c>
      <c r="Y73" s="31" t="n">
        <f aca="false">(1-$I$19)*(1-$J$19)*$D$19*(Y$5&gt;=$H$19+$F$19)</f>
        <v>0</v>
      </c>
      <c r="Z73" s="31" t="n">
        <f aca="false">(1-$I$19)*(1-$J$19)*$D$19*(Z$5&gt;=$H$19+$F$19)</f>
        <v>0</v>
      </c>
      <c r="AA73" s="31" t="n">
        <f aca="false">(1-$I$19)*(1-$J$19)*$D$19*(AA$5&gt;=$H$19+$F$19)</f>
        <v>0</v>
      </c>
      <c r="AB73" s="31" t="n">
        <f aca="false">(1-$I$19)*(1-$J$19)*$D$19*(AB$5&gt;=$H$19+$F$19)</f>
        <v>0</v>
      </c>
      <c r="AC73" s="31" t="n">
        <f aca="false">(1-$I$19)*(1-$J$19)*$D$19*(AC$5&gt;=$H$19+$F$19)</f>
        <v>0</v>
      </c>
      <c r="AD73" s="31" t="n">
        <f aca="false">(1-$I$19)*(1-$J$19)*$D$19*(AD$5&gt;=$H$19+$F$19)</f>
        <v>0</v>
      </c>
      <c r="AE73" s="31" t="n">
        <f aca="false">(1-$I$19)*(1-$J$19)*$D$19*(AE$5&gt;=$H$19+$F$19)</f>
        <v>0</v>
      </c>
      <c r="AF73" s="31" t="n">
        <f aca="false">(1-$I$19)*(1-$J$19)*$D$19*(AF$5&gt;=$H$19+$F$19)</f>
        <v>0</v>
      </c>
      <c r="AG73" s="31" t="n">
        <f aca="false">(1-$I$19)*(1-$J$19)*$D$19*(AG$5&gt;=$H$19+$F$19)</f>
        <v>0</v>
      </c>
      <c r="AI73" s="31" t="n">
        <f aca="false">INDEX($F73:$AG73,1,MATCH(AI$7,$F$7:$AG$7,1))</f>
        <v>0</v>
      </c>
      <c r="AJ73" s="31" t="n">
        <f aca="false">INDEX($F73:$AG73,1,MATCH(AJ$7,$F$7:$AG$7,1))</f>
        <v>0</v>
      </c>
      <c r="AK73" s="31" t="n">
        <f aca="false">INDEX($F73:$AG73,1,MATCH(AK$7,$F$7:$AG$7,1))</f>
        <v>0</v>
      </c>
      <c r="AL73" s="31" t="n">
        <f aca="false">INDEX($F73:$AG73,1,MATCH(AL$7,$F$7:$AG$7,1))</f>
        <v>0</v>
      </c>
      <c r="AM73" s="31" t="n">
        <f aca="false">INDEX($F73:$AG73,1,MATCH(AM$7,$F$7:$AG$7,1))</f>
        <v>0</v>
      </c>
      <c r="AN73" s="31" t="n">
        <f aca="false">INDEX($F73:$AG73,1,MATCH(AN$7,$F$7:$AG$7,1))</f>
        <v>0</v>
      </c>
      <c r="AO73" s="31" t="n">
        <f aca="false">INDEX($F73:$AG73,1,MATCH(AO$7,$F$7:$AG$7,1))</f>
        <v>0</v>
      </c>
    </row>
    <row r="74" customFormat="false" ht="15" hidden="false" customHeight="false" outlineLevel="0" collapsed="false">
      <c r="A74" s="104" t="s">
        <v>1673</v>
      </c>
      <c r="B74" s="20" t="s">
        <v>561</v>
      </c>
      <c r="C74" s="20"/>
      <c r="D74" s="20" t="s">
        <v>1638</v>
      </c>
      <c r="F74" s="122" t="n">
        <f aca="false">F73*CHOOSE(MATCH($C$19,{"H";"B";"N"},0),GPUMW_H*ODc_H,GPUMW_B*ODc_B,GPUMW_N*ODc_N)*ResidUtil*Timeline!F$9*INDEX(Curve,1,MAX(1,MIN(8,INT((F$5-$H$19)/4)+1)))/1000000</f>
        <v>0</v>
      </c>
      <c r="G74" s="122" t="n">
        <f aca="false">G73*CHOOSE(MATCH($C$19,{"H";"B";"N"},0),GPUMW_H*ODc_H,GPUMW_B*ODc_B,GPUMW_N*ODc_N)*ResidUtil*Timeline!G$9*INDEX(Curve,1,MAX(1,MIN(8,INT((G$5-$H$19)/4)+1)))/1000000</f>
        <v>0</v>
      </c>
      <c r="H74" s="122" t="n">
        <f aca="false">H73*CHOOSE(MATCH($C$19,{"H";"B";"N"},0),GPUMW_H*ODc_H,GPUMW_B*ODc_B,GPUMW_N*ODc_N)*ResidUtil*Timeline!H$9*INDEX(Curve,1,MAX(1,MIN(8,INT((H$5-$H$19)/4)+1)))/1000000</f>
        <v>0</v>
      </c>
      <c r="I74" s="122" t="n">
        <f aca="false">I73*CHOOSE(MATCH($C$19,{"H";"B";"N"},0),GPUMW_H*ODc_H,GPUMW_B*ODc_B,GPUMW_N*ODc_N)*ResidUtil*Timeline!I$9*INDEX(Curve,1,MAX(1,MIN(8,INT((I$5-$H$19)/4)+1)))/1000000</f>
        <v>0</v>
      </c>
      <c r="J74" s="122" t="n">
        <f aca="false">J73*CHOOSE(MATCH($C$19,{"H";"B";"N"},0),GPUMW_H*ODc_H,GPUMW_B*ODc_B,GPUMW_N*ODc_N)*ResidUtil*Timeline!J$9*INDEX(Curve,1,MAX(1,MIN(8,INT((J$5-$H$19)/4)+1)))/1000000</f>
        <v>0</v>
      </c>
      <c r="K74" s="122" t="n">
        <f aca="false">K73*CHOOSE(MATCH($C$19,{"H";"B";"N"},0),GPUMW_H*ODc_H,GPUMW_B*ODc_B,GPUMW_N*ODc_N)*ResidUtil*Timeline!K$9*INDEX(Curve,1,MAX(1,MIN(8,INT((K$5-$H$19)/4)+1)))/1000000</f>
        <v>0</v>
      </c>
      <c r="L74" s="122" t="n">
        <f aca="false">L73*CHOOSE(MATCH($C$19,{"H";"B";"N"},0),GPUMW_H*ODc_H,GPUMW_B*ODc_B,GPUMW_N*ODc_N)*ResidUtil*Timeline!L$9*INDEX(Curve,1,MAX(1,MIN(8,INT((L$5-$H$19)/4)+1)))/1000000</f>
        <v>0</v>
      </c>
      <c r="M74" s="122" t="n">
        <f aca="false">M73*CHOOSE(MATCH($C$19,{"H";"B";"N"},0),GPUMW_H*ODc_H,GPUMW_B*ODc_B,GPUMW_N*ODc_N)*ResidUtil*Timeline!M$9*INDEX(Curve,1,MAX(1,MIN(8,INT((M$5-$H$19)/4)+1)))/1000000</f>
        <v>0</v>
      </c>
      <c r="N74" s="122" t="n">
        <f aca="false">N73*CHOOSE(MATCH($C$19,{"H";"B";"N"},0),GPUMW_H*ODc_H,GPUMW_B*ODc_B,GPUMW_N*ODc_N)*ResidUtil*Timeline!N$9*INDEX(Curve,1,MAX(1,MIN(8,INT((N$5-$H$19)/4)+1)))/1000000</f>
        <v>0</v>
      </c>
      <c r="O74" s="122" t="n">
        <f aca="false">O73*CHOOSE(MATCH($C$19,{"H";"B";"N"},0),GPUMW_H*ODc_H,GPUMW_B*ODc_B,GPUMW_N*ODc_N)*ResidUtil*Timeline!O$9*INDEX(Curve,1,MAX(1,MIN(8,INT((O$5-$H$19)/4)+1)))/1000000</f>
        <v>0</v>
      </c>
      <c r="P74" s="123" t="n">
        <f aca="false">P73*CHOOSE(MATCH($C$19,{"H";"B";"N"},0),GPUMW_H*ODc_H,GPUMW_B*ODc_B,GPUMW_N*ODc_N)*ResidUtil*Timeline!P$9*INDEX(Curve,1,MAX(1,MIN(8,INT((P$5-$H$19)/4)+1)))/1000000</f>
        <v>0</v>
      </c>
      <c r="Q74" s="123" t="n">
        <f aca="false">Q73*CHOOSE(MATCH($C$19,{"H";"B";"N"},0),GPUMW_H*ODc_H,GPUMW_B*ODc_B,GPUMW_N*ODc_N)*ResidUtil*Timeline!Q$9*INDEX(Curve,1,MAX(1,MIN(8,INT((Q$5-$H$19)/4)+1)))/1000000</f>
        <v>0</v>
      </c>
      <c r="R74" s="123" t="n">
        <f aca="false">R73*CHOOSE(MATCH($C$19,{"H";"B";"N"},0),GPUMW_H*ODc_H,GPUMW_B*ODc_B,GPUMW_N*ODc_N)*ResidUtil*Timeline!R$9*INDEX(Curve,1,MAX(1,MIN(8,INT((R$5-$H$19)/4)+1)))/1000000</f>
        <v>0</v>
      </c>
      <c r="S74" s="123" t="n">
        <f aca="false">S73*CHOOSE(MATCH($C$19,{"H";"B";"N"},0),GPUMW_H*ODc_H,GPUMW_B*ODc_B,GPUMW_N*ODc_N)*ResidUtil*Timeline!S$9*INDEX(Curve,1,MAX(1,MIN(8,INT((S$5-$H$19)/4)+1)))/1000000</f>
        <v>0</v>
      </c>
      <c r="T74" s="123" t="n">
        <f aca="false">T73*CHOOSE(MATCH($C$19,{"H";"B";"N"},0),GPUMW_H*ODc_H,GPUMW_B*ODc_B,GPUMW_N*ODc_N)*ResidUtil*Timeline!T$9*INDEX(Curve,1,MAX(1,MIN(8,INT((T$5-$H$19)/4)+1)))/1000000</f>
        <v>0</v>
      </c>
      <c r="U74" s="123" t="n">
        <f aca="false">U73*CHOOSE(MATCH($C$19,{"H";"B";"N"},0),GPUMW_H*ODc_H,GPUMW_B*ODc_B,GPUMW_N*ODc_N)*ResidUtil*Timeline!U$9*INDEX(Curve,1,MAX(1,MIN(8,INT((U$5-$H$19)/4)+1)))/1000000</f>
        <v>0</v>
      </c>
      <c r="V74" s="123" t="n">
        <f aca="false">V73*CHOOSE(MATCH($C$19,{"H";"B";"N"},0),GPUMW_H*ODc_H,GPUMW_B*ODc_B,GPUMW_N*ODc_N)*ResidUtil*Timeline!V$9*INDEX(Curve,1,MAX(1,MIN(8,INT((V$5-$H$19)/4)+1)))/1000000</f>
        <v>0</v>
      </c>
      <c r="W74" s="123" t="n">
        <f aca="false">W73*CHOOSE(MATCH($C$19,{"H";"B";"N"},0),GPUMW_H*ODc_H,GPUMW_B*ODc_B,GPUMW_N*ODc_N)*ResidUtil*Timeline!W$9*INDEX(Curve,1,MAX(1,MIN(8,INT((W$5-$H$19)/4)+1)))/1000000</f>
        <v>0</v>
      </c>
      <c r="X74" s="123" t="n">
        <f aca="false">X73*CHOOSE(MATCH($C$19,{"H";"B";"N"},0),GPUMW_H*ODc_H,GPUMW_B*ODc_B,GPUMW_N*ODc_N)*ResidUtil*Timeline!X$9*INDEX(Curve,1,MAX(1,MIN(8,INT((X$5-$H$19)/4)+1)))/1000000</f>
        <v>0</v>
      </c>
      <c r="Y74" s="123" t="n">
        <f aca="false">Y73*CHOOSE(MATCH($C$19,{"H";"B";"N"},0),GPUMW_H*ODc_H,GPUMW_B*ODc_B,GPUMW_N*ODc_N)*ResidUtil*Timeline!Y$9*INDEX(Curve,1,MAX(1,MIN(8,INT((Y$5-$H$19)/4)+1)))/1000000</f>
        <v>0</v>
      </c>
      <c r="Z74" s="123" t="n">
        <f aca="false">Z73*CHOOSE(MATCH($C$19,{"H";"B";"N"},0),GPUMW_H*ODc_H,GPUMW_B*ODc_B,GPUMW_N*ODc_N)*ResidUtil*Timeline!Z$9*INDEX(Curve,1,MAX(1,MIN(8,INT((Z$5-$H$19)/4)+1)))/1000000</f>
        <v>0</v>
      </c>
      <c r="AA74" s="123" t="n">
        <f aca="false">AA73*CHOOSE(MATCH($C$19,{"H";"B";"N"},0),GPUMW_H*ODc_H,GPUMW_B*ODc_B,GPUMW_N*ODc_N)*ResidUtil*Timeline!AA$9*INDEX(Curve,1,MAX(1,MIN(8,INT((AA$5-$H$19)/4)+1)))/1000000</f>
        <v>0</v>
      </c>
      <c r="AB74" s="123" t="n">
        <f aca="false">AB73*CHOOSE(MATCH($C$19,{"H";"B";"N"},0),GPUMW_H*ODc_H,GPUMW_B*ODc_B,GPUMW_N*ODc_N)*ResidUtil*Timeline!AB$9*INDEX(Curve,1,MAX(1,MIN(8,INT((AB$5-$H$19)/4)+1)))/1000000</f>
        <v>0</v>
      </c>
      <c r="AC74" s="123" t="n">
        <f aca="false">AC73*CHOOSE(MATCH($C$19,{"H";"B";"N"},0),GPUMW_H*ODc_H,GPUMW_B*ODc_B,GPUMW_N*ODc_N)*ResidUtil*Timeline!AC$9*INDEX(Curve,1,MAX(1,MIN(8,INT((AC$5-$H$19)/4)+1)))/1000000</f>
        <v>0</v>
      </c>
      <c r="AD74" s="123" t="n">
        <f aca="false">AD73*CHOOSE(MATCH($C$19,{"H";"B";"N"},0),GPUMW_H*ODc_H,GPUMW_B*ODc_B,GPUMW_N*ODc_N)*ResidUtil*Timeline!AD$9*INDEX(Curve,1,MAX(1,MIN(8,INT((AD$5-$H$19)/4)+1)))/1000000</f>
        <v>0</v>
      </c>
      <c r="AE74" s="123" t="n">
        <f aca="false">AE73*CHOOSE(MATCH($C$19,{"H";"B";"N"},0),GPUMW_H*ODc_H,GPUMW_B*ODc_B,GPUMW_N*ODc_N)*ResidUtil*Timeline!AE$9*INDEX(Curve,1,MAX(1,MIN(8,INT((AE$5-$H$19)/4)+1)))/1000000</f>
        <v>0</v>
      </c>
      <c r="AF74" s="123" t="n">
        <f aca="false">AF73*CHOOSE(MATCH($C$19,{"H";"B";"N"},0),GPUMW_H*ODc_H,GPUMW_B*ODc_B,GPUMW_N*ODc_N)*ResidUtil*Timeline!AF$9*INDEX(Curve,1,MAX(1,MIN(8,INT((AF$5-$H$19)/4)+1)))/1000000</f>
        <v>0</v>
      </c>
      <c r="AG74" s="123" t="n">
        <f aca="false">AG73*CHOOSE(MATCH($C$19,{"H";"B";"N"},0),GPUMW_H*ODc_H,GPUMW_B*ODc_B,GPUMW_N*ODc_N)*ResidUtil*Timeline!AG$9*INDEX(Curve,1,MAX(1,MIN(8,INT((AG$5-$H$19)/4)+1)))/1000000</f>
        <v>0</v>
      </c>
      <c r="AI74" s="123" t="n">
        <f aca="false">SUMIF($F$7:$AG$7,AI$7,$F74:$AG74)</f>
        <v>0</v>
      </c>
      <c r="AJ74" s="123" t="n">
        <f aca="false">SUMIF($F$7:$AG$7,AJ$7,$F74:$AG74)</f>
        <v>0</v>
      </c>
      <c r="AK74" s="123" t="n">
        <f aca="false">SUMIF($F$7:$AG$7,AK$7,$F74:$AG74)</f>
        <v>0</v>
      </c>
      <c r="AL74" s="123" t="n">
        <f aca="false">SUMIF($F$7:$AG$7,AL$7,$F74:$AG74)</f>
        <v>0</v>
      </c>
      <c r="AM74" s="123" t="n">
        <f aca="false">SUMIF($F$7:$AG$7,AM$7,$F74:$AG74)</f>
        <v>0</v>
      </c>
      <c r="AN74" s="123" t="n">
        <f aca="false">SUMIF($F$7:$AG$7,AN$7,$F74:$AG74)</f>
        <v>0</v>
      </c>
      <c r="AO74" s="123" t="n">
        <f aca="false">SUMIF($F$7:$AG$7,AO$7,$F74:$AG74)</f>
        <v>0</v>
      </c>
    </row>
    <row r="75" customFormat="false" ht="15" hidden="false" customHeight="false" outlineLevel="0" collapsed="false">
      <c r="A75" s="104" t="s">
        <v>1674</v>
      </c>
      <c r="B75" s="20" t="s">
        <v>561</v>
      </c>
      <c r="C75" s="20"/>
      <c r="D75" s="20"/>
      <c r="F75" s="122" t="n">
        <f aca="false">(1-$I$20)*(1-$J$20)*$D$20*$E$20/4*MIN(1,MAX(0,(F$5-$H$20+1)/$T$20))*IF(F$5=$H$20,DelivFactor,IF(AND(F$5&gt;$H$20,F$5&lt;$H$20+$F$20),1,IF(F$5=$H$20+$F$20,1-DelivFactor,0)))</f>
        <v>0</v>
      </c>
      <c r="G75" s="122" t="n">
        <f aca="false">(1-$I$20)*(1-$J$20)*$D$20*$E$20/4*MIN(1,MAX(0,(G$5-$H$20+1)/$T$20))*IF(G$5=$H$20,DelivFactor,IF(AND(G$5&gt;$H$20,G$5&lt;$H$20+$F$20),1,IF(G$5=$H$20+$F$20,1-DelivFactor,0)))</f>
        <v>0</v>
      </c>
      <c r="H75" s="122" t="n">
        <f aca="false">(1-$I$20)*(1-$J$20)*$D$20*$E$20/4*MIN(1,MAX(0,(H$5-$H$20+1)/$T$20))*IF(H$5=$H$20,DelivFactor,IF(AND(H$5&gt;$H$20,H$5&lt;$H$20+$F$20),1,IF(H$5=$H$20+$F$20,1-DelivFactor,0)))</f>
        <v>0</v>
      </c>
      <c r="I75" s="122" t="n">
        <f aca="false">(1-$I$20)*(1-$J$20)*$D$20*$E$20/4*MIN(1,MAX(0,(I$5-$H$20+1)/$T$20))*IF(I$5=$H$20,DelivFactor,IF(AND(I$5&gt;$H$20,I$5&lt;$H$20+$F$20),1,IF(I$5=$H$20+$F$20,1-DelivFactor,0)))</f>
        <v>0</v>
      </c>
      <c r="J75" s="122" t="n">
        <f aca="false">(1-$I$20)*(1-$J$20)*$D$20*$E$20/4*MIN(1,MAX(0,(J$5-$H$20+1)/$T$20))*IF(J$5=$H$20,DelivFactor,IF(AND(J$5&gt;$H$20,J$5&lt;$H$20+$F$20),1,IF(J$5=$H$20+$F$20,1-DelivFactor,0)))</f>
        <v>0</v>
      </c>
      <c r="K75" s="122" t="n">
        <f aca="false">(1-$I$20)*(1-$J$20)*$D$20*$E$20/4*MIN(1,MAX(0,(K$5-$H$20+1)/$T$20))*IF(K$5=$H$20,DelivFactor,IF(AND(K$5&gt;$H$20,K$5&lt;$H$20+$F$20),1,IF(K$5=$H$20+$F$20,1-DelivFactor,0)))</f>
        <v>0</v>
      </c>
      <c r="L75" s="122" t="n">
        <f aca="false">(1-$I$20)*(1-$J$20)*$D$20*$E$20/4*MIN(1,MAX(0,(L$5-$H$20+1)/$T$20))*IF(L$5=$H$20,DelivFactor,IF(AND(L$5&gt;$H$20,L$5&lt;$H$20+$F$20),1,IF(L$5=$H$20+$F$20,1-DelivFactor,0)))</f>
        <v>0</v>
      </c>
      <c r="M75" s="122" t="n">
        <f aca="false">(1-$I$20)*(1-$J$20)*$D$20*$E$20/4*MIN(1,MAX(0,(M$5-$H$20+1)/$T$20))*IF(M$5=$H$20,DelivFactor,IF(AND(M$5&gt;$H$20,M$5&lt;$H$20+$F$20),1,IF(M$5=$H$20+$F$20,1-DelivFactor,0)))</f>
        <v>0</v>
      </c>
      <c r="N75" s="122" t="n">
        <f aca="false">(1-$I$20)*(1-$J$20)*$D$20*$E$20/4*MIN(1,MAX(0,(N$5-$H$20+1)/$T$20))*IF(N$5=$H$20,DelivFactor,IF(AND(N$5&gt;$H$20,N$5&lt;$H$20+$F$20),1,IF(N$5=$H$20+$F$20,1-DelivFactor,0)))</f>
        <v>0</v>
      </c>
      <c r="O75" s="122" t="n">
        <f aca="false">(1-$I$20)*(1-$J$20)*$D$20*$E$20/4*MIN(1,MAX(0,(O$5-$H$20+1)/$T$20))*IF(O$5=$H$20,DelivFactor,IF(AND(O$5&gt;$H$20,O$5&lt;$H$20+$F$20),1,IF(O$5=$H$20+$F$20,1-DelivFactor,0)))</f>
        <v>0</v>
      </c>
      <c r="P75" s="123" t="n">
        <f aca="false">(1-$I$20)*(1-$J$20)*$D$20*$E$20/4*MIN(1,MAX(0,(P$5-$H$20+1)/$T$20))*IF(P$5=$H$20,DelivFactor,IF(AND(P$5&gt;$H$20,P$5&lt;$H$20+$F$20),1,IF(P$5=$H$20+$F$20,1-DelivFactor,0)))</f>
        <v>0</v>
      </c>
      <c r="Q75" s="123" t="n">
        <f aca="false">(1-$I$20)*(1-$J$20)*$D$20*$E$20/4*MIN(1,MAX(0,(Q$5-$H$20+1)/$T$20))*IF(Q$5=$H$20,DelivFactor,IF(AND(Q$5&gt;$H$20,Q$5&lt;$H$20+$F$20),1,IF(Q$5=$H$20+$F$20,1-DelivFactor,0)))</f>
        <v>0</v>
      </c>
      <c r="R75" s="123" t="n">
        <f aca="false">(1-$I$20)*(1-$J$20)*$D$20*$E$20/4*MIN(1,MAX(0,(R$5-$H$20+1)/$T$20))*IF(R$5=$H$20,DelivFactor,IF(AND(R$5&gt;$H$20,R$5&lt;$H$20+$F$20),1,IF(R$5=$H$20+$F$20,1-DelivFactor,0)))</f>
        <v>0</v>
      </c>
      <c r="S75" s="123" t="n">
        <f aca="false">(1-$I$20)*(1-$J$20)*$D$20*$E$20/4*MIN(1,MAX(0,(S$5-$H$20+1)/$T$20))*IF(S$5=$H$20,DelivFactor,IF(AND(S$5&gt;$H$20,S$5&lt;$H$20+$F$20),1,IF(S$5=$H$20+$F$20,1-DelivFactor,0)))</f>
        <v>0</v>
      </c>
      <c r="T75" s="123" t="n">
        <f aca="false">(1-$I$20)*(1-$J$20)*$D$20*$E$20/4*MIN(1,MAX(0,(T$5-$H$20+1)/$T$20))*IF(T$5=$H$20,DelivFactor,IF(AND(T$5&gt;$H$20,T$5&lt;$H$20+$F$20),1,IF(T$5=$H$20+$F$20,1-DelivFactor,0)))</f>
        <v>12.0784027777778</v>
      </c>
      <c r="U75" s="123" t="n">
        <f aca="false">(1-$I$20)*(1-$J$20)*$D$20*$E$20/4*MIN(1,MAX(0,(U$5-$H$20+1)/$T$20))*IF(U$5=$H$20,DelivFactor,IF(AND(U$5&gt;$H$20,U$5&lt;$H$20+$F$20),1,IF(U$5=$H$20+$F$20,1-DelivFactor,0)))</f>
        <v>48.3136111111111</v>
      </c>
      <c r="V75" s="123" t="n">
        <f aca="false">(1-$I$20)*(1-$J$20)*$D$20*$E$20/4*MIN(1,MAX(0,(V$5-$H$20+1)/$T$20))*IF(V$5=$H$20,DelivFactor,IF(AND(V$5&gt;$H$20,V$5&lt;$H$20+$F$20),1,IF(V$5=$H$20+$F$20,1-DelivFactor,0)))</f>
        <v>72.4704166666667</v>
      </c>
      <c r="W75" s="123" t="n">
        <f aca="false">(1-$I$20)*(1-$J$20)*$D$20*$E$20/4*MIN(1,MAX(0,(W$5-$H$20+1)/$T$20))*IF(W$5=$H$20,DelivFactor,IF(AND(W$5&gt;$H$20,W$5&lt;$H$20+$F$20),1,IF(W$5=$H$20+$F$20,1-DelivFactor,0)))</f>
        <v>96.6272222222222</v>
      </c>
      <c r="X75" s="123" t="n">
        <f aca="false">(1-$I$20)*(1-$J$20)*$D$20*$E$20/4*MIN(1,MAX(0,(X$5-$H$20+1)/$T$20))*IF(X$5=$H$20,DelivFactor,IF(AND(X$5&gt;$H$20,X$5&lt;$H$20+$F$20),1,IF(X$5=$H$20+$F$20,1-DelivFactor,0)))</f>
        <v>96.6272222222222</v>
      </c>
      <c r="Y75" s="123" t="n">
        <f aca="false">(1-$I$20)*(1-$J$20)*$D$20*$E$20/4*MIN(1,MAX(0,(Y$5-$H$20+1)/$T$20))*IF(Y$5=$H$20,DelivFactor,IF(AND(Y$5&gt;$H$20,Y$5&lt;$H$20+$F$20),1,IF(Y$5=$H$20+$F$20,1-DelivFactor,0)))</f>
        <v>96.6272222222222</v>
      </c>
      <c r="Z75" s="123" t="n">
        <f aca="false">(1-$I$20)*(1-$J$20)*$D$20*$E$20/4*MIN(1,MAX(0,(Z$5-$H$20+1)/$T$20))*IF(Z$5=$H$20,DelivFactor,IF(AND(Z$5&gt;$H$20,Z$5&lt;$H$20+$F$20),1,IF(Z$5=$H$20+$F$20,1-DelivFactor,0)))</f>
        <v>96.6272222222222</v>
      </c>
      <c r="AA75" s="123" t="n">
        <f aca="false">(1-$I$20)*(1-$J$20)*$D$20*$E$20/4*MIN(1,MAX(0,(AA$5-$H$20+1)/$T$20))*IF(AA$5=$H$20,DelivFactor,IF(AND(AA$5&gt;$H$20,AA$5&lt;$H$20+$F$20),1,IF(AA$5=$H$20+$F$20,1-DelivFactor,0)))</f>
        <v>96.6272222222222</v>
      </c>
      <c r="AB75" s="123" t="n">
        <f aca="false">(1-$I$20)*(1-$J$20)*$D$20*$E$20/4*MIN(1,MAX(0,(AB$5-$H$20+1)/$T$20))*IF(AB$5=$H$20,DelivFactor,IF(AND(AB$5&gt;$H$20,AB$5&lt;$H$20+$F$20),1,IF(AB$5=$H$20+$F$20,1-DelivFactor,0)))</f>
        <v>96.6272222222222</v>
      </c>
      <c r="AC75" s="123" t="n">
        <f aca="false">(1-$I$20)*(1-$J$20)*$D$20*$E$20/4*MIN(1,MAX(0,(AC$5-$H$20+1)/$T$20))*IF(AC$5=$H$20,DelivFactor,IF(AND(AC$5&gt;$H$20,AC$5&lt;$H$20+$F$20),1,IF(AC$5=$H$20+$F$20,1-DelivFactor,0)))</f>
        <v>96.6272222222222</v>
      </c>
      <c r="AD75" s="123" t="n">
        <f aca="false">(1-$I$20)*(1-$J$20)*$D$20*$E$20/4*MIN(1,MAX(0,(AD$5-$H$20+1)/$T$20))*IF(AD$5=$H$20,DelivFactor,IF(AND(AD$5&gt;$H$20,AD$5&lt;$H$20+$F$20),1,IF(AD$5=$H$20+$F$20,1-DelivFactor,0)))</f>
        <v>96.6272222222222</v>
      </c>
      <c r="AE75" s="123" t="n">
        <f aca="false">(1-$I$20)*(1-$J$20)*$D$20*$E$20/4*MIN(1,MAX(0,(AE$5-$H$20+1)/$T$20))*IF(AE$5=$H$20,DelivFactor,IF(AND(AE$5&gt;$H$20,AE$5&lt;$H$20+$F$20),1,IF(AE$5=$H$20+$F$20,1-DelivFactor,0)))</f>
        <v>96.6272222222222</v>
      </c>
      <c r="AF75" s="123" t="n">
        <f aca="false">(1-$I$20)*(1-$J$20)*$D$20*$E$20/4*MIN(1,MAX(0,(AF$5-$H$20+1)/$T$20))*IF(AF$5=$H$20,DelivFactor,IF(AND(AF$5&gt;$H$20,AF$5&lt;$H$20+$F$20),1,IF(AF$5=$H$20+$F$20,1-DelivFactor,0)))</f>
        <v>96.6272222222222</v>
      </c>
      <c r="AG75" s="123" t="n">
        <f aca="false">(1-$I$20)*(1-$J$20)*$D$20*$E$20/4*MIN(1,MAX(0,(AG$5-$H$20+1)/$T$20))*IF(AG$5=$H$20,DelivFactor,IF(AND(AG$5&gt;$H$20,AG$5&lt;$H$20+$F$20),1,IF(AG$5=$H$20+$F$20,1-DelivFactor,0)))</f>
        <v>96.6272222222222</v>
      </c>
      <c r="AI75" s="123" t="n">
        <f aca="false">SUMIF($F$7:$AG$7,AI$7,$F75:$AG75)</f>
        <v>0</v>
      </c>
      <c r="AJ75" s="123" t="n">
        <f aca="false">SUMIF($F$7:$AG$7,AJ$7,$F75:$AG75)</f>
        <v>0</v>
      </c>
      <c r="AK75" s="123" t="n">
        <f aca="false">SUMIF($F$7:$AG$7,AK$7,$F75:$AG75)</f>
        <v>0</v>
      </c>
      <c r="AL75" s="123" t="n">
        <f aca="false">SUMIF($F$7:$AG$7,AL$7,$F75:$AG75)</f>
        <v>60.3920138888889</v>
      </c>
      <c r="AM75" s="123" t="n">
        <f aca="false">SUMIF($F$7:$AG$7,AM$7,$F75:$AG75)</f>
        <v>362.352083333333</v>
      </c>
      <c r="AN75" s="123" t="n">
        <f aca="false">SUMIF($F$7:$AG$7,AN$7,$F75:$AG75)</f>
        <v>386.508888888889</v>
      </c>
      <c r="AO75" s="123" t="n">
        <f aca="false">SUMIF($F$7:$AG$7,AO$7,$F75:$AG75)</f>
        <v>386.508888888889</v>
      </c>
    </row>
    <row r="76" customFormat="false" ht="15" hidden="false" customHeight="false" outlineLevel="0" collapsed="false">
      <c r="A76" s="104" t="s">
        <v>1675</v>
      </c>
      <c r="B76" s="20" t="s">
        <v>575</v>
      </c>
      <c r="C76" s="20"/>
      <c r="D76" s="20"/>
      <c r="F76" s="113" t="n">
        <f aca="false">(1-$I$20)*(1-$J$20)*$D$20*AND(F$5&gt;=$H$20,F$5&lt;$H$20+$F$20)</f>
        <v>0</v>
      </c>
      <c r="G76" s="113" t="n">
        <f aca="false">(1-$I$20)*(1-$J$20)*$D$20*AND(G$5&gt;=$H$20,G$5&lt;$H$20+$F$20)</f>
        <v>0</v>
      </c>
      <c r="H76" s="113" t="n">
        <f aca="false">(1-$I$20)*(1-$J$20)*$D$20*AND(H$5&gt;=$H$20,H$5&lt;$H$20+$F$20)</f>
        <v>0</v>
      </c>
      <c r="I76" s="113" t="n">
        <f aca="false">(1-$I$20)*(1-$J$20)*$D$20*AND(I$5&gt;=$H$20,I$5&lt;$H$20+$F$20)</f>
        <v>0</v>
      </c>
      <c r="J76" s="113" t="n">
        <f aca="false">(1-$I$20)*(1-$J$20)*$D$20*AND(J$5&gt;=$H$20,J$5&lt;$H$20+$F$20)</f>
        <v>0</v>
      </c>
      <c r="K76" s="113" t="n">
        <f aca="false">(1-$I$20)*(1-$J$20)*$D$20*AND(K$5&gt;=$H$20,K$5&lt;$H$20+$F$20)</f>
        <v>0</v>
      </c>
      <c r="L76" s="113" t="n">
        <f aca="false">(1-$I$20)*(1-$J$20)*$D$20*AND(L$5&gt;=$H$20,L$5&lt;$H$20+$F$20)</f>
        <v>0</v>
      </c>
      <c r="M76" s="113" t="n">
        <f aca="false">(1-$I$20)*(1-$J$20)*$D$20*AND(M$5&gt;=$H$20,M$5&lt;$H$20+$F$20)</f>
        <v>0</v>
      </c>
      <c r="N76" s="113" t="n">
        <f aca="false">(1-$I$20)*(1-$J$20)*$D$20*AND(N$5&gt;=$H$20,N$5&lt;$H$20+$F$20)</f>
        <v>0</v>
      </c>
      <c r="O76" s="113" t="n">
        <f aca="false">(1-$I$20)*(1-$J$20)*$D$20*AND(O$5&gt;=$H$20,O$5&lt;$H$20+$F$20)</f>
        <v>0</v>
      </c>
      <c r="P76" s="31" t="n">
        <f aca="false">(1-$I$20)*(1-$J$20)*$D$20*AND(P$5&gt;=$H$20,P$5&lt;$H$20+$F$20)</f>
        <v>0</v>
      </c>
      <c r="Q76" s="31" t="n">
        <f aca="false">(1-$I$20)*(1-$J$20)*$D$20*AND(Q$5&gt;=$H$20,Q$5&lt;$H$20+$F$20)</f>
        <v>0</v>
      </c>
      <c r="R76" s="31" t="n">
        <f aca="false">(1-$I$20)*(1-$J$20)*$D$20*AND(R$5&gt;=$H$20,R$5&lt;$H$20+$F$20)</f>
        <v>0</v>
      </c>
      <c r="S76" s="31" t="n">
        <f aca="false">(1-$I$20)*(1-$J$20)*$D$20*AND(S$5&gt;=$H$20,S$5&lt;$H$20+$F$20)</f>
        <v>0</v>
      </c>
      <c r="T76" s="31" t="n">
        <f aca="false">(1-$I$20)*(1-$J$20)*$D$20*AND(T$5&gt;=$H$20,T$5&lt;$H$20+$F$20)</f>
        <v>26.6666666666667</v>
      </c>
      <c r="U76" s="31" t="n">
        <f aca="false">(1-$I$20)*(1-$J$20)*$D$20*AND(U$5&gt;=$H$20,U$5&lt;$H$20+$F$20)</f>
        <v>26.6666666666667</v>
      </c>
      <c r="V76" s="31" t="n">
        <f aca="false">(1-$I$20)*(1-$J$20)*$D$20*AND(V$5&gt;=$H$20,V$5&lt;$H$20+$F$20)</f>
        <v>26.6666666666667</v>
      </c>
      <c r="W76" s="31" t="n">
        <f aca="false">(1-$I$20)*(1-$J$20)*$D$20*AND(W$5&gt;=$H$20,W$5&lt;$H$20+$F$20)</f>
        <v>26.6666666666667</v>
      </c>
      <c r="X76" s="31" t="n">
        <f aca="false">(1-$I$20)*(1-$J$20)*$D$20*AND(X$5&gt;=$H$20,X$5&lt;$H$20+$F$20)</f>
        <v>26.6666666666667</v>
      </c>
      <c r="Y76" s="31" t="n">
        <f aca="false">(1-$I$20)*(1-$J$20)*$D$20*AND(Y$5&gt;=$H$20,Y$5&lt;$H$20+$F$20)</f>
        <v>26.6666666666667</v>
      </c>
      <c r="Z76" s="31" t="n">
        <f aca="false">(1-$I$20)*(1-$J$20)*$D$20*AND(Z$5&gt;=$H$20,Z$5&lt;$H$20+$F$20)</f>
        <v>26.6666666666667</v>
      </c>
      <c r="AA76" s="31" t="n">
        <f aca="false">(1-$I$20)*(1-$J$20)*$D$20*AND(AA$5&gt;=$H$20,AA$5&lt;$H$20+$F$20)</f>
        <v>26.6666666666667</v>
      </c>
      <c r="AB76" s="31" t="n">
        <f aca="false">(1-$I$20)*(1-$J$20)*$D$20*AND(AB$5&gt;=$H$20,AB$5&lt;$H$20+$F$20)</f>
        <v>26.6666666666667</v>
      </c>
      <c r="AC76" s="31" t="n">
        <f aca="false">(1-$I$20)*(1-$J$20)*$D$20*AND(AC$5&gt;=$H$20,AC$5&lt;$H$20+$F$20)</f>
        <v>26.6666666666667</v>
      </c>
      <c r="AD76" s="31" t="n">
        <f aca="false">(1-$I$20)*(1-$J$20)*$D$20*AND(AD$5&gt;=$H$20,AD$5&lt;$H$20+$F$20)</f>
        <v>26.6666666666667</v>
      </c>
      <c r="AE76" s="31" t="n">
        <f aca="false">(1-$I$20)*(1-$J$20)*$D$20*AND(AE$5&gt;=$H$20,AE$5&lt;$H$20+$F$20)</f>
        <v>26.6666666666667</v>
      </c>
      <c r="AF76" s="31" t="n">
        <f aca="false">(1-$I$20)*(1-$J$20)*$D$20*AND(AF$5&gt;=$H$20,AF$5&lt;$H$20+$F$20)</f>
        <v>26.6666666666667</v>
      </c>
      <c r="AG76" s="31" t="n">
        <f aca="false">(1-$I$20)*(1-$J$20)*$D$20*AND(AG$5&gt;=$H$20,AG$5&lt;$H$20+$F$20)</f>
        <v>26.6666666666667</v>
      </c>
      <c r="AI76" s="31" t="n">
        <f aca="false">INDEX($F76:$AG76,1,MATCH(AI$7,$F$7:$AG$7,1))</f>
        <v>0</v>
      </c>
      <c r="AJ76" s="31" t="n">
        <f aca="false">INDEX($F76:$AG76,1,MATCH(AJ$7,$F$7:$AG$7,1))</f>
        <v>0</v>
      </c>
      <c r="AK76" s="31" t="n">
        <f aca="false">INDEX($F76:$AG76,1,MATCH(AK$7,$F$7:$AG$7,1))</f>
        <v>0</v>
      </c>
      <c r="AL76" s="31" t="n">
        <f aca="false">INDEX($F76:$AG76,1,MATCH(AL$7,$F$7:$AG$7,1))</f>
        <v>26.6666666666667</v>
      </c>
      <c r="AM76" s="31" t="n">
        <f aca="false">INDEX($F76:$AG76,1,MATCH(AM$7,$F$7:$AG$7,1))</f>
        <v>26.6666666666667</v>
      </c>
      <c r="AN76" s="31" t="n">
        <f aca="false">INDEX($F76:$AG76,1,MATCH(AN$7,$F$7:$AG$7,1))</f>
        <v>26.6666666666667</v>
      </c>
      <c r="AO76" s="31" t="n">
        <f aca="false">INDEX($F76:$AG76,1,MATCH(AO$7,$F$7:$AG$7,1))</f>
        <v>26.6666666666667</v>
      </c>
    </row>
    <row r="77" customFormat="false" ht="15" hidden="false" customHeight="false" outlineLevel="0" collapsed="false">
      <c r="A77" s="104" t="s">
        <v>1676</v>
      </c>
      <c r="B77" s="20" t="s">
        <v>561</v>
      </c>
      <c r="C77" s="20"/>
      <c r="D77" s="20"/>
      <c r="F77" s="122" t="n">
        <f aca="false">-(1-$I$20)*LD_Pct*$D$20*$E$20/4*AND(F$5&gt;=$G$20,F$5&lt;$H$20)</f>
        <v>-0</v>
      </c>
      <c r="G77" s="122" t="n">
        <f aca="false">-(1-$I$20)*LD_Pct*$D$20*$E$20/4*AND(G$5&gt;=$G$20,G$5&lt;$H$20)</f>
        <v>-0</v>
      </c>
      <c r="H77" s="122" t="n">
        <f aca="false">-(1-$I$20)*LD_Pct*$D$20*$E$20/4*AND(H$5&gt;=$G$20,H$5&lt;$H$20)</f>
        <v>-0</v>
      </c>
      <c r="I77" s="122" t="n">
        <f aca="false">-(1-$I$20)*LD_Pct*$D$20*$E$20/4*AND(I$5&gt;=$G$20,I$5&lt;$H$20)</f>
        <v>-0</v>
      </c>
      <c r="J77" s="122" t="n">
        <f aca="false">-(1-$I$20)*LD_Pct*$D$20*$E$20/4*AND(J$5&gt;=$G$20,J$5&lt;$H$20)</f>
        <v>-0</v>
      </c>
      <c r="K77" s="122" t="n">
        <f aca="false">-(1-$I$20)*LD_Pct*$D$20*$E$20/4*AND(K$5&gt;=$G$20,K$5&lt;$H$20)</f>
        <v>-0</v>
      </c>
      <c r="L77" s="122" t="n">
        <f aca="false">-(1-$I$20)*LD_Pct*$D$20*$E$20/4*AND(L$5&gt;=$G$20,L$5&lt;$H$20)</f>
        <v>-0</v>
      </c>
      <c r="M77" s="122" t="n">
        <f aca="false">-(1-$I$20)*LD_Pct*$D$20*$E$20/4*AND(M$5&gt;=$G$20,M$5&lt;$H$20)</f>
        <v>-0</v>
      </c>
      <c r="N77" s="122" t="n">
        <f aca="false">-(1-$I$20)*LD_Pct*$D$20*$E$20/4*AND(N$5&gt;=$G$20,N$5&lt;$H$20)</f>
        <v>-0</v>
      </c>
      <c r="O77" s="122" t="n">
        <f aca="false">-(1-$I$20)*LD_Pct*$D$20*$E$20/4*AND(O$5&gt;=$G$20,O$5&lt;$H$20)</f>
        <v>-0</v>
      </c>
      <c r="P77" s="123" t="n">
        <f aca="false">-(1-$I$20)*LD_Pct*$D$20*$E$20/4*AND(P$5&gt;=$G$20,P$5&lt;$H$20)</f>
        <v>-0</v>
      </c>
      <c r="Q77" s="123" t="n">
        <f aca="false">-(1-$I$20)*LD_Pct*$D$20*$E$20/4*AND(Q$5&gt;=$G$20,Q$5&lt;$H$20)</f>
        <v>-0</v>
      </c>
      <c r="R77" s="123" t="n">
        <f aca="false">-(1-$I$20)*LD_Pct*$D$20*$E$20/4*AND(R$5&gt;=$G$20,R$5&lt;$H$20)</f>
        <v>-0</v>
      </c>
      <c r="S77" s="123" t="n">
        <f aca="false">-(1-$I$20)*LD_Pct*$D$20*$E$20/4*AND(S$5&gt;=$G$20,S$5&lt;$H$20)</f>
        <v>-0</v>
      </c>
      <c r="T77" s="123" t="n">
        <f aca="false">-(1-$I$20)*LD_Pct*$D$20*$E$20/4*AND(T$5&gt;=$G$20,T$5&lt;$H$20)</f>
        <v>-0</v>
      </c>
      <c r="U77" s="123" t="n">
        <f aca="false">-(1-$I$20)*LD_Pct*$D$20*$E$20/4*AND(U$5&gt;=$G$20,U$5&lt;$H$20)</f>
        <v>-0</v>
      </c>
      <c r="V77" s="123" t="n">
        <f aca="false">-(1-$I$20)*LD_Pct*$D$20*$E$20/4*AND(V$5&gt;=$G$20,V$5&lt;$H$20)</f>
        <v>-0</v>
      </c>
      <c r="W77" s="123" t="n">
        <f aca="false">-(1-$I$20)*LD_Pct*$D$20*$E$20/4*AND(W$5&gt;=$G$20,W$5&lt;$H$20)</f>
        <v>-0</v>
      </c>
      <c r="X77" s="123" t="n">
        <f aca="false">-(1-$I$20)*LD_Pct*$D$20*$E$20/4*AND(X$5&gt;=$G$20,X$5&lt;$H$20)</f>
        <v>-0</v>
      </c>
      <c r="Y77" s="123" t="n">
        <f aca="false">-(1-$I$20)*LD_Pct*$D$20*$E$20/4*AND(Y$5&gt;=$G$20,Y$5&lt;$H$20)</f>
        <v>-0</v>
      </c>
      <c r="Z77" s="123" t="n">
        <f aca="false">-(1-$I$20)*LD_Pct*$D$20*$E$20/4*AND(Z$5&gt;=$G$20,Z$5&lt;$H$20)</f>
        <v>-0</v>
      </c>
      <c r="AA77" s="123" t="n">
        <f aca="false">-(1-$I$20)*LD_Pct*$D$20*$E$20/4*AND(AA$5&gt;=$G$20,AA$5&lt;$H$20)</f>
        <v>-0</v>
      </c>
      <c r="AB77" s="123" t="n">
        <f aca="false">-(1-$I$20)*LD_Pct*$D$20*$E$20/4*AND(AB$5&gt;=$G$20,AB$5&lt;$H$20)</f>
        <v>-0</v>
      </c>
      <c r="AC77" s="123" t="n">
        <f aca="false">-(1-$I$20)*LD_Pct*$D$20*$E$20/4*AND(AC$5&gt;=$G$20,AC$5&lt;$H$20)</f>
        <v>-0</v>
      </c>
      <c r="AD77" s="123" t="n">
        <f aca="false">-(1-$I$20)*LD_Pct*$D$20*$E$20/4*AND(AD$5&gt;=$G$20,AD$5&lt;$H$20)</f>
        <v>-0</v>
      </c>
      <c r="AE77" s="123" t="n">
        <f aca="false">-(1-$I$20)*LD_Pct*$D$20*$E$20/4*AND(AE$5&gt;=$G$20,AE$5&lt;$H$20)</f>
        <v>-0</v>
      </c>
      <c r="AF77" s="123" t="n">
        <f aca="false">-(1-$I$20)*LD_Pct*$D$20*$E$20/4*AND(AF$5&gt;=$G$20,AF$5&lt;$H$20)</f>
        <v>-0</v>
      </c>
      <c r="AG77" s="123" t="n">
        <f aca="false">-(1-$I$20)*LD_Pct*$D$20*$E$20/4*AND(AG$5&gt;=$G$20,AG$5&lt;$H$20)</f>
        <v>-0</v>
      </c>
      <c r="AI77" s="123" t="n">
        <f aca="false">SUMIF($F$7:$AG$7,AI$7,$F77:$AG77)</f>
        <v>0</v>
      </c>
      <c r="AJ77" s="123" t="n">
        <f aca="false">SUMIF($F$7:$AG$7,AJ$7,$F77:$AG77)</f>
        <v>0</v>
      </c>
      <c r="AK77" s="123" t="n">
        <f aca="false">SUMIF($F$7:$AG$7,AK$7,$F77:$AG77)</f>
        <v>0</v>
      </c>
      <c r="AL77" s="123" t="n">
        <f aca="false">SUMIF($F$7:$AG$7,AL$7,$F77:$AG77)</f>
        <v>0</v>
      </c>
      <c r="AM77" s="123" t="n">
        <f aca="false">SUMIF($F$7:$AG$7,AM$7,$F77:$AG77)</f>
        <v>0</v>
      </c>
      <c r="AN77" s="123" t="n">
        <f aca="false">SUMIF($F$7:$AG$7,AN$7,$F77:$AG77)</f>
        <v>0</v>
      </c>
      <c r="AO77" s="123" t="n">
        <f aca="false">SUMIF($F$7:$AG$7,AO$7,$F77:$AG77)</f>
        <v>0</v>
      </c>
    </row>
    <row r="78" customFormat="false" ht="15" hidden="false" customHeight="false" outlineLevel="0" collapsed="false">
      <c r="A78" s="104" t="s">
        <v>1677</v>
      </c>
      <c r="B78" s="20" t="s">
        <v>575</v>
      </c>
      <c r="C78" s="20"/>
      <c r="D78" s="20"/>
      <c r="F78" s="113" t="n">
        <f aca="false">(1-$I$20)*(1-$J$20)*$D$20*(F$5&gt;=$H$20+$F$20)</f>
        <v>0</v>
      </c>
      <c r="G78" s="113" t="n">
        <f aca="false">(1-$I$20)*(1-$J$20)*$D$20*(G$5&gt;=$H$20+$F$20)</f>
        <v>0</v>
      </c>
      <c r="H78" s="113" t="n">
        <f aca="false">(1-$I$20)*(1-$J$20)*$D$20*(H$5&gt;=$H$20+$F$20)</f>
        <v>0</v>
      </c>
      <c r="I78" s="113" t="n">
        <f aca="false">(1-$I$20)*(1-$J$20)*$D$20*(I$5&gt;=$H$20+$F$20)</f>
        <v>0</v>
      </c>
      <c r="J78" s="113" t="n">
        <f aca="false">(1-$I$20)*(1-$J$20)*$D$20*(J$5&gt;=$H$20+$F$20)</f>
        <v>0</v>
      </c>
      <c r="K78" s="113" t="n">
        <f aca="false">(1-$I$20)*(1-$J$20)*$D$20*(K$5&gt;=$H$20+$F$20)</f>
        <v>0</v>
      </c>
      <c r="L78" s="113" t="n">
        <f aca="false">(1-$I$20)*(1-$J$20)*$D$20*(L$5&gt;=$H$20+$F$20)</f>
        <v>0</v>
      </c>
      <c r="M78" s="113" t="n">
        <f aca="false">(1-$I$20)*(1-$J$20)*$D$20*(M$5&gt;=$H$20+$F$20)</f>
        <v>0</v>
      </c>
      <c r="N78" s="113" t="n">
        <f aca="false">(1-$I$20)*(1-$J$20)*$D$20*(N$5&gt;=$H$20+$F$20)</f>
        <v>0</v>
      </c>
      <c r="O78" s="113" t="n">
        <f aca="false">(1-$I$20)*(1-$J$20)*$D$20*(O$5&gt;=$H$20+$F$20)</f>
        <v>0</v>
      </c>
      <c r="P78" s="31" t="n">
        <f aca="false">(1-$I$20)*(1-$J$20)*$D$20*(P$5&gt;=$H$20+$F$20)</f>
        <v>0</v>
      </c>
      <c r="Q78" s="31" t="n">
        <f aca="false">(1-$I$20)*(1-$J$20)*$D$20*(Q$5&gt;=$H$20+$F$20)</f>
        <v>0</v>
      </c>
      <c r="R78" s="31" t="n">
        <f aca="false">(1-$I$20)*(1-$J$20)*$D$20*(R$5&gt;=$H$20+$F$20)</f>
        <v>0</v>
      </c>
      <c r="S78" s="31" t="n">
        <f aca="false">(1-$I$20)*(1-$J$20)*$D$20*(S$5&gt;=$H$20+$F$20)</f>
        <v>0</v>
      </c>
      <c r="T78" s="31" t="n">
        <f aca="false">(1-$I$20)*(1-$J$20)*$D$20*(T$5&gt;=$H$20+$F$20)</f>
        <v>0</v>
      </c>
      <c r="U78" s="31" t="n">
        <f aca="false">(1-$I$20)*(1-$J$20)*$D$20*(U$5&gt;=$H$20+$F$20)</f>
        <v>0</v>
      </c>
      <c r="V78" s="31" t="n">
        <f aca="false">(1-$I$20)*(1-$J$20)*$D$20*(V$5&gt;=$H$20+$F$20)</f>
        <v>0</v>
      </c>
      <c r="W78" s="31" t="n">
        <f aca="false">(1-$I$20)*(1-$J$20)*$D$20*(W$5&gt;=$H$20+$F$20)</f>
        <v>0</v>
      </c>
      <c r="X78" s="31" t="n">
        <f aca="false">(1-$I$20)*(1-$J$20)*$D$20*(X$5&gt;=$H$20+$F$20)</f>
        <v>0</v>
      </c>
      <c r="Y78" s="31" t="n">
        <f aca="false">(1-$I$20)*(1-$J$20)*$D$20*(Y$5&gt;=$H$20+$F$20)</f>
        <v>0</v>
      </c>
      <c r="Z78" s="31" t="n">
        <f aca="false">(1-$I$20)*(1-$J$20)*$D$20*(Z$5&gt;=$H$20+$F$20)</f>
        <v>0</v>
      </c>
      <c r="AA78" s="31" t="n">
        <f aca="false">(1-$I$20)*(1-$J$20)*$D$20*(AA$5&gt;=$H$20+$F$20)</f>
        <v>0</v>
      </c>
      <c r="AB78" s="31" t="n">
        <f aca="false">(1-$I$20)*(1-$J$20)*$D$20*(AB$5&gt;=$H$20+$F$20)</f>
        <v>0</v>
      </c>
      <c r="AC78" s="31" t="n">
        <f aca="false">(1-$I$20)*(1-$J$20)*$D$20*(AC$5&gt;=$H$20+$F$20)</f>
        <v>0</v>
      </c>
      <c r="AD78" s="31" t="n">
        <f aca="false">(1-$I$20)*(1-$J$20)*$D$20*(AD$5&gt;=$H$20+$F$20)</f>
        <v>0</v>
      </c>
      <c r="AE78" s="31" t="n">
        <f aca="false">(1-$I$20)*(1-$J$20)*$D$20*(AE$5&gt;=$H$20+$F$20)</f>
        <v>0</v>
      </c>
      <c r="AF78" s="31" t="n">
        <f aca="false">(1-$I$20)*(1-$J$20)*$D$20*(AF$5&gt;=$H$20+$F$20)</f>
        <v>0</v>
      </c>
      <c r="AG78" s="31" t="n">
        <f aca="false">(1-$I$20)*(1-$J$20)*$D$20*(AG$5&gt;=$H$20+$F$20)</f>
        <v>0</v>
      </c>
      <c r="AI78" s="31" t="n">
        <f aca="false">INDEX($F78:$AG78,1,MATCH(AI$7,$F$7:$AG$7,1))</f>
        <v>0</v>
      </c>
      <c r="AJ78" s="31" t="n">
        <f aca="false">INDEX($F78:$AG78,1,MATCH(AJ$7,$F$7:$AG$7,1))</f>
        <v>0</v>
      </c>
      <c r="AK78" s="31" t="n">
        <f aca="false">INDEX($F78:$AG78,1,MATCH(AK$7,$F$7:$AG$7,1))</f>
        <v>0</v>
      </c>
      <c r="AL78" s="31" t="n">
        <f aca="false">INDEX($F78:$AG78,1,MATCH(AL$7,$F$7:$AG$7,1))</f>
        <v>0</v>
      </c>
      <c r="AM78" s="31" t="n">
        <f aca="false">INDEX($F78:$AG78,1,MATCH(AM$7,$F$7:$AG$7,1))</f>
        <v>0</v>
      </c>
      <c r="AN78" s="31" t="n">
        <f aca="false">INDEX($F78:$AG78,1,MATCH(AN$7,$F$7:$AG$7,1))</f>
        <v>0</v>
      </c>
      <c r="AO78" s="31" t="n">
        <f aca="false">INDEX($F78:$AG78,1,MATCH(AO$7,$F$7:$AG$7,1))</f>
        <v>0</v>
      </c>
    </row>
    <row r="79" customFormat="false" ht="15" hidden="false" customHeight="false" outlineLevel="0" collapsed="false">
      <c r="A79" s="104" t="s">
        <v>1678</v>
      </c>
      <c r="B79" s="20" t="s">
        <v>561</v>
      </c>
      <c r="C79" s="20"/>
      <c r="D79" s="20" t="s">
        <v>1638</v>
      </c>
      <c r="F79" s="122" t="n">
        <f aca="false">F78*CHOOSE(MATCH($C$20,{"H";"B";"N"},0),GPUMW_H*ODc_H,GPUMW_B*ODc_B,GPUMW_N*ODc_N)*ResidUtil*Timeline!F$9*INDEX(Curve,1,MAX(1,MIN(8,INT((F$5-$H$20)/4)+1)))/1000000</f>
        <v>0</v>
      </c>
      <c r="G79" s="122" t="n">
        <f aca="false">G78*CHOOSE(MATCH($C$20,{"H";"B";"N"},0),GPUMW_H*ODc_H,GPUMW_B*ODc_B,GPUMW_N*ODc_N)*ResidUtil*Timeline!G$9*INDEX(Curve,1,MAX(1,MIN(8,INT((G$5-$H$20)/4)+1)))/1000000</f>
        <v>0</v>
      </c>
      <c r="H79" s="122" t="n">
        <f aca="false">H78*CHOOSE(MATCH($C$20,{"H";"B";"N"},0),GPUMW_H*ODc_H,GPUMW_B*ODc_B,GPUMW_N*ODc_N)*ResidUtil*Timeline!H$9*INDEX(Curve,1,MAX(1,MIN(8,INT((H$5-$H$20)/4)+1)))/1000000</f>
        <v>0</v>
      </c>
      <c r="I79" s="122" t="n">
        <f aca="false">I78*CHOOSE(MATCH($C$20,{"H";"B";"N"},0),GPUMW_H*ODc_H,GPUMW_B*ODc_B,GPUMW_N*ODc_N)*ResidUtil*Timeline!I$9*INDEX(Curve,1,MAX(1,MIN(8,INT((I$5-$H$20)/4)+1)))/1000000</f>
        <v>0</v>
      </c>
      <c r="J79" s="122" t="n">
        <f aca="false">J78*CHOOSE(MATCH($C$20,{"H";"B";"N"},0),GPUMW_H*ODc_H,GPUMW_B*ODc_B,GPUMW_N*ODc_N)*ResidUtil*Timeline!J$9*INDEX(Curve,1,MAX(1,MIN(8,INT((J$5-$H$20)/4)+1)))/1000000</f>
        <v>0</v>
      </c>
      <c r="K79" s="122" t="n">
        <f aca="false">K78*CHOOSE(MATCH($C$20,{"H";"B";"N"},0),GPUMW_H*ODc_H,GPUMW_B*ODc_B,GPUMW_N*ODc_N)*ResidUtil*Timeline!K$9*INDEX(Curve,1,MAX(1,MIN(8,INT((K$5-$H$20)/4)+1)))/1000000</f>
        <v>0</v>
      </c>
      <c r="L79" s="122" t="n">
        <f aca="false">L78*CHOOSE(MATCH($C$20,{"H";"B";"N"},0),GPUMW_H*ODc_H,GPUMW_B*ODc_B,GPUMW_N*ODc_N)*ResidUtil*Timeline!L$9*INDEX(Curve,1,MAX(1,MIN(8,INT((L$5-$H$20)/4)+1)))/1000000</f>
        <v>0</v>
      </c>
      <c r="M79" s="122" t="n">
        <f aca="false">M78*CHOOSE(MATCH($C$20,{"H";"B";"N"},0),GPUMW_H*ODc_H,GPUMW_B*ODc_B,GPUMW_N*ODc_N)*ResidUtil*Timeline!M$9*INDEX(Curve,1,MAX(1,MIN(8,INT((M$5-$H$20)/4)+1)))/1000000</f>
        <v>0</v>
      </c>
      <c r="N79" s="122" t="n">
        <f aca="false">N78*CHOOSE(MATCH($C$20,{"H";"B";"N"},0),GPUMW_H*ODc_H,GPUMW_B*ODc_B,GPUMW_N*ODc_N)*ResidUtil*Timeline!N$9*INDEX(Curve,1,MAX(1,MIN(8,INT((N$5-$H$20)/4)+1)))/1000000</f>
        <v>0</v>
      </c>
      <c r="O79" s="122" t="n">
        <f aca="false">O78*CHOOSE(MATCH($C$20,{"H";"B";"N"},0),GPUMW_H*ODc_H,GPUMW_B*ODc_B,GPUMW_N*ODc_N)*ResidUtil*Timeline!O$9*INDEX(Curve,1,MAX(1,MIN(8,INT((O$5-$H$20)/4)+1)))/1000000</f>
        <v>0</v>
      </c>
      <c r="P79" s="123" t="n">
        <f aca="false">P78*CHOOSE(MATCH($C$20,{"H";"B";"N"},0),GPUMW_H*ODc_H,GPUMW_B*ODc_B,GPUMW_N*ODc_N)*ResidUtil*Timeline!P$9*INDEX(Curve,1,MAX(1,MIN(8,INT((P$5-$H$20)/4)+1)))/1000000</f>
        <v>0</v>
      </c>
      <c r="Q79" s="123" t="n">
        <f aca="false">Q78*CHOOSE(MATCH($C$20,{"H";"B";"N"},0),GPUMW_H*ODc_H,GPUMW_B*ODc_B,GPUMW_N*ODc_N)*ResidUtil*Timeline!Q$9*INDEX(Curve,1,MAX(1,MIN(8,INT((Q$5-$H$20)/4)+1)))/1000000</f>
        <v>0</v>
      </c>
      <c r="R79" s="123" t="n">
        <f aca="false">R78*CHOOSE(MATCH($C$20,{"H";"B";"N"},0),GPUMW_H*ODc_H,GPUMW_B*ODc_B,GPUMW_N*ODc_N)*ResidUtil*Timeline!R$9*INDEX(Curve,1,MAX(1,MIN(8,INT((R$5-$H$20)/4)+1)))/1000000</f>
        <v>0</v>
      </c>
      <c r="S79" s="123" t="n">
        <f aca="false">S78*CHOOSE(MATCH($C$20,{"H";"B";"N"},0),GPUMW_H*ODc_H,GPUMW_B*ODc_B,GPUMW_N*ODc_N)*ResidUtil*Timeline!S$9*INDEX(Curve,1,MAX(1,MIN(8,INT((S$5-$H$20)/4)+1)))/1000000</f>
        <v>0</v>
      </c>
      <c r="T79" s="123" t="n">
        <f aca="false">T78*CHOOSE(MATCH($C$20,{"H";"B";"N"},0),GPUMW_H*ODc_H,GPUMW_B*ODc_B,GPUMW_N*ODc_N)*ResidUtil*Timeline!T$9*INDEX(Curve,1,MAX(1,MIN(8,INT((T$5-$H$20)/4)+1)))/1000000</f>
        <v>0</v>
      </c>
      <c r="U79" s="123" t="n">
        <f aca="false">U78*CHOOSE(MATCH($C$20,{"H";"B";"N"},0),GPUMW_H*ODc_H,GPUMW_B*ODc_B,GPUMW_N*ODc_N)*ResidUtil*Timeline!U$9*INDEX(Curve,1,MAX(1,MIN(8,INT((U$5-$H$20)/4)+1)))/1000000</f>
        <v>0</v>
      </c>
      <c r="V79" s="123" t="n">
        <f aca="false">V78*CHOOSE(MATCH($C$20,{"H";"B";"N"},0),GPUMW_H*ODc_H,GPUMW_B*ODc_B,GPUMW_N*ODc_N)*ResidUtil*Timeline!V$9*INDEX(Curve,1,MAX(1,MIN(8,INT((V$5-$H$20)/4)+1)))/1000000</f>
        <v>0</v>
      </c>
      <c r="W79" s="123" t="n">
        <f aca="false">W78*CHOOSE(MATCH($C$20,{"H";"B";"N"},0),GPUMW_H*ODc_H,GPUMW_B*ODc_B,GPUMW_N*ODc_N)*ResidUtil*Timeline!W$9*INDEX(Curve,1,MAX(1,MIN(8,INT((W$5-$H$20)/4)+1)))/1000000</f>
        <v>0</v>
      </c>
      <c r="X79" s="123" t="n">
        <f aca="false">X78*CHOOSE(MATCH($C$20,{"H";"B";"N"},0),GPUMW_H*ODc_H,GPUMW_B*ODc_B,GPUMW_N*ODc_N)*ResidUtil*Timeline!X$9*INDEX(Curve,1,MAX(1,MIN(8,INT((X$5-$H$20)/4)+1)))/1000000</f>
        <v>0</v>
      </c>
      <c r="Y79" s="123" t="n">
        <f aca="false">Y78*CHOOSE(MATCH($C$20,{"H";"B";"N"},0),GPUMW_H*ODc_H,GPUMW_B*ODc_B,GPUMW_N*ODc_N)*ResidUtil*Timeline!Y$9*INDEX(Curve,1,MAX(1,MIN(8,INT((Y$5-$H$20)/4)+1)))/1000000</f>
        <v>0</v>
      </c>
      <c r="Z79" s="123" t="n">
        <f aca="false">Z78*CHOOSE(MATCH($C$20,{"H";"B";"N"},0),GPUMW_H*ODc_H,GPUMW_B*ODc_B,GPUMW_N*ODc_N)*ResidUtil*Timeline!Z$9*INDEX(Curve,1,MAX(1,MIN(8,INT((Z$5-$H$20)/4)+1)))/1000000</f>
        <v>0</v>
      </c>
      <c r="AA79" s="123" t="n">
        <f aca="false">AA78*CHOOSE(MATCH($C$20,{"H";"B";"N"},0),GPUMW_H*ODc_H,GPUMW_B*ODc_B,GPUMW_N*ODc_N)*ResidUtil*Timeline!AA$9*INDEX(Curve,1,MAX(1,MIN(8,INT((AA$5-$H$20)/4)+1)))/1000000</f>
        <v>0</v>
      </c>
      <c r="AB79" s="123" t="n">
        <f aca="false">AB78*CHOOSE(MATCH($C$20,{"H";"B";"N"},0),GPUMW_H*ODc_H,GPUMW_B*ODc_B,GPUMW_N*ODc_N)*ResidUtil*Timeline!AB$9*INDEX(Curve,1,MAX(1,MIN(8,INT((AB$5-$H$20)/4)+1)))/1000000</f>
        <v>0</v>
      </c>
      <c r="AC79" s="123" t="n">
        <f aca="false">AC78*CHOOSE(MATCH($C$20,{"H";"B";"N"},0),GPUMW_H*ODc_H,GPUMW_B*ODc_B,GPUMW_N*ODc_N)*ResidUtil*Timeline!AC$9*INDEX(Curve,1,MAX(1,MIN(8,INT((AC$5-$H$20)/4)+1)))/1000000</f>
        <v>0</v>
      </c>
      <c r="AD79" s="123" t="n">
        <f aca="false">AD78*CHOOSE(MATCH($C$20,{"H";"B";"N"},0),GPUMW_H*ODc_H,GPUMW_B*ODc_B,GPUMW_N*ODc_N)*ResidUtil*Timeline!AD$9*INDEX(Curve,1,MAX(1,MIN(8,INT((AD$5-$H$20)/4)+1)))/1000000</f>
        <v>0</v>
      </c>
      <c r="AE79" s="123" t="n">
        <f aca="false">AE78*CHOOSE(MATCH($C$20,{"H";"B";"N"},0),GPUMW_H*ODc_H,GPUMW_B*ODc_B,GPUMW_N*ODc_N)*ResidUtil*Timeline!AE$9*INDEX(Curve,1,MAX(1,MIN(8,INT((AE$5-$H$20)/4)+1)))/1000000</f>
        <v>0</v>
      </c>
      <c r="AF79" s="123" t="n">
        <f aca="false">AF78*CHOOSE(MATCH($C$20,{"H";"B";"N"},0),GPUMW_H*ODc_H,GPUMW_B*ODc_B,GPUMW_N*ODc_N)*ResidUtil*Timeline!AF$9*INDEX(Curve,1,MAX(1,MIN(8,INT((AF$5-$H$20)/4)+1)))/1000000</f>
        <v>0</v>
      </c>
      <c r="AG79" s="123" t="n">
        <f aca="false">AG78*CHOOSE(MATCH($C$20,{"H";"B";"N"},0),GPUMW_H*ODc_H,GPUMW_B*ODc_B,GPUMW_N*ODc_N)*ResidUtil*Timeline!AG$9*INDEX(Curve,1,MAX(1,MIN(8,INT((AG$5-$H$20)/4)+1)))/1000000</f>
        <v>0</v>
      </c>
      <c r="AI79" s="123" t="n">
        <f aca="false">SUMIF($F$7:$AG$7,AI$7,$F79:$AG79)</f>
        <v>0</v>
      </c>
      <c r="AJ79" s="123" t="n">
        <f aca="false">SUMIF($F$7:$AG$7,AJ$7,$F79:$AG79)</f>
        <v>0</v>
      </c>
      <c r="AK79" s="123" t="n">
        <f aca="false">SUMIF($F$7:$AG$7,AK$7,$F79:$AG79)</f>
        <v>0</v>
      </c>
      <c r="AL79" s="123" t="n">
        <f aca="false">SUMIF($F$7:$AG$7,AL$7,$F79:$AG79)</f>
        <v>0</v>
      </c>
      <c r="AM79" s="123" t="n">
        <f aca="false">SUMIF($F$7:$AG$7,AM$7,$F79:$AG79)</f>
        <v>0</v>
      </c>
      <c r="AN79" s="123" t="n">
        <f aca="false">SUMIF($F$7:$AG$7,AN$7,$F79:$AG79)</f>
        <v>0</v>
      </c>
      <c r="AO79" s="123" t="n">
        <f aca="false">SUMIF($F$7:$AG$7,AO$7,$F79:$AG79)</f>
        <v>0</v>
      </c>
    </row>
    <row r="80" customFormat="false" ht="15" hidden="false" customHeight="false" outlineLevel="0" collapsed="false">
      <c r="A80" s="104" t="s">
        <v>1679</v>
      </c>
      <c r="B80" s="20" t="s">
        <v>561</v>
      </c>
      <c r="C80" s="20"/>
      <c r="D80" s="20"/>
      <c r="F80" s="122" t="n">
        <f aca="false">(1-$I$21)*(1-$J$21)*$D$21*$E$21/4*MIN(1,MAX(0,(F$5-$H$21+1)/$T$21))*IF(F$5=$H$21,DelivFactor,IF(AND(F$5&gt;$H$21,F$5&lt;$H$21+$F$21),1,IF(F$5=$H$21+$F$21,1-DelivFactor,0)))</f>
        <v>0</v>
      </c>
      <c r="G80" s="122" t="n">
        <f aca="false">(1-$I$21)*(1-$J$21)*$D$21*$E$21/4*MIN(1,MAX(0,(G$5-$H$21+1)/$T$21))*IF(G$5=$H$21,DelivFactor,IF(AND(G$5&gt;$H$21,G$5&lt;$H$21+$F$21),1,IF(G$5=$H$21+$F$21,1-DelivFactor,0)))</f>
        <v>0</v>
      </c>
      <c r="H80" s="122" t="n">
        <f aca="false">(1-$I$21)*(1-$J$21)*$D$21*$E$21/4*MIN(1,MAX(0,(H$5-$H$21+1)/$T$21))*IF(H$5=$H$21,DelivFactor,IF(AND(H$5&gt;$H$21,H$5&lt;$H$21+$F$21),1,IF(H$5=$H$21+$F$21,1-DelivFactor,0)))</f>
        <v>0</v>
      </c>
      <c r="I80" s="122" t="n">
        <f aca="false">(1-$I$21)*(1-$J$21)*$D$21*$E$21/4*MIN(1,MAX(0,(I$5-$H$21+1)/$T$21))*IF(I$5=$H$21,DelivFactor,IF(AND(I$5&gt;$H$21,I$5&lt;$H$21+$F$21),1,IF(I$5=$H$21+$F$21,1-DelivFactor,0)))</f>
        <v>0</v>
      </c>
      <c r="J80" s="122" t="n">
        <f aca="false">(1-$I$21)*(1-$J$21)*$D$21*$E$21/4*MIN(1,MAX(0,(J$5-$H$21+1)/$T$21))*IF(J$5=$H$21,DelivFactor,IF(AND(J$5&gt;$H$21,J$5&lt;$H$21+$F$21),1,IF(J$5=$H$21+$F$21,1-DelivFactor,0)))</f>
        <v>0</v>
      </c>
      <c r="K80" s="122" t="n">
        <f aca="false">(1-$I$21)*(1-$J$21)*$D$21*$E$21/4*MIN(1,MAX(0,(K$5-$H$21+1)/$T$21))*IF(K$5=$H$21,DelivFactor,IF(AND(K$5&gt;$H$21,K$5&lt;$H$21+$F$21),1,IF(K$5=$H$21+$F$21,1-DelivFactor,0)))</f>
        <v>0</v>
      </c>
      <c r="L80" s="122" t="n">
        <f aca="false">(1-$I$21)*(1-$J$21)*$D$21*$E$21/4*MIN(1,MAX(0,(L$5-$H$21+1)/$T$21))*IF(L$5=$H$21,DelivFactor,IF(AND(L$5&gt;$H$21,L$5&lt;$H$21+$F$21),1,IF(L$5=$H$21+$F$21,1-DelivFactor,0)))</f>
        <v>0</v>
      </c>
      <c r="M80" s="122" t="n">
        <f aca="false">(1-$I$21)*(1-$J$21)*$D$21*$E$21/4*MIN(1,MAX(0,(M$5-$H$21+1)/$T$21))*IF(M$5=$H$21,DelivFactor,IF(AND(M$5&gt;$H$21,M$5&lt;$H$21+$F$21),1,IF(M$5=$H$21+$F$21,1-DelivFactor,0)))</f>
        <v>0</v>
      </c>
      <c r="N80" s="122" t="n">
        <f aca="false">(1-$I$21)*(1-$J$21)*$D$21*$E$21/4*MIN(1,MAX(0,(N$5-$H$21+1)/$T$21))*IF(N$5=$H$21,DelivFactor,IF(AND(N$5&gt;$H$21,N$5&lt;$H$21+$F$21),1,IF(N$5=$H$21+$F$21,1-DelivFactor,0)))</f>
        <v>0</v>
      </c>
      <c r="O80" s="122" t="n">
        <f aca="false">(1-$I$21)*(1-$J$21)*$D$21*$E$21/4*MIN(1,MAX(0,(O$5-$H$21+1)/$T$21))*IF(O$5=$H$21,DelivFactor,IF(AND(O$5&gt;$H$21,O$5&lt;$H$21+$F$21),1,IF(O$5=$H$21+$F$21,1-DelivFactor,0)))</f>
        <v>0</v>
      </c>
      <c r="P80" s="123" t="n">
        <f aca="false">(1-$I$21)*(1-$J$21)*$D$21*$E$21/4*MIN(1,MAX(0,(P$5-$H$21+1)/$T$21))*IF(P$5=$H$21,DelivFactor,IF(AND(P$5&gt;$H$21,P$5&lt;$H$21+$F$21),1,IF(P$5=$H$21+$F$21,1-DelivFactor,0)))</f>
        <v>0</v>
      </c>
      <c r="Q80" s="123" t="n">
        <f aca="false">(1-$I$21)*(1-$J$21)*$D$21*$E$21/4*MIN(1,MAX(0,(Q$5-$H$21+1)/$T$21))*IF(Q$5=$H$21,DelivFactor,IF(AND(Q$5&gt;$H$21,Q$5&lt;$H$21+$F$21),1,IF(Q$5=$H$21+$F$21,1-DelivFactor,0)))</f>
        <v>0</v>
      </c>
      <c r="R80" s="123" t="n">
        <f aca="false">(1-$I$21)*(1-$J$21)*$D$21*$E$21/4*MIN(1,MAX(0,(R$5-$H$21+1)/$T$21))*IF(R$5=$H$21,DelivFactor,IF(AND(R$5&gt;$H$21,R$5&lt;$H$21+$F$21),1,IF(R$5=$H$21+$F$21,1-DelivFactor,0)))</f>
        <v>0</v>
      </c>
      <c r="S80" s="123" t="n">
        <f aca="false">(1-$I$21)*(1-$J$21)*$D$21*$E$21/4*MIN(1,MAX(0,(S$5-$H$21+1)/$T$21))*IF(S$5=$H$21,DelivFactor,IF(AND(S$5&gt;$H$21,S$5&lt;$H$21+$F$21),1,IF(S$5=$H$21+$F$21,1-DelivFactor,0)))</f>
        <v>0</v>
      </c>
      <c r="T80" s="123" t="n">
        <f aca="false">(1-$I$21)*(1-$J$21)*$D$21*$E$21/4*MIN(1,MAX(0,(T$5-$H$21+1)/$T$21))*IF(T$5=$H$21,DelivFactor,IF(AND(T$5&gt;$H$21,T$5&lt;$H$21+$F$21),1,IF(T$5=$H$21+$F$21,1-DelivFactor,0)))</f>
        <v>0</v>
      </c>
      <c r="U80" s="123" t="n">
        <f aca="false">(1-$I$21)*(1-$J$21)*$D$21*$E$21/4*MIN(1,MAX(0,(U$5-$H$21+1)/$T$21))*IF(U$5=$H$21,DelivFactor,IF(AND(U$5&gt;$H$21,U$5&lt;$H$21+$F$21),1,IF(U$5=$H$21+$F$21,1-DelivFactor,0)))</f>
        <v>0</v>
      </c>
      <c r="V80" s="123" t="n">
        <f aca="false">(1-$I$21)*(1-$J$21)*$D$21*$E$21/4*MIN(1,MAX(0,(V$5-$H$21+1)/$T$21))*IF(V$5=$H$21,DelivFactor,IF(AND(V$5&gt;$H$21,V$5&lt;$H$21+$F$21),1,IF(V$5=$H$21+$F$21,1-DelivFactor,0)))</f>
        <v>0</v>
      </c>
      <c r="W80" s="123" t="n">
        <f aca="false">(1-$I$21)*(1-$J$21)*$D$21*$E$21/4*MIN(1,MAX(0,(W$5-$H$21+1)/$T$21))*IF(W$5=$H$21,DelivFactor,IF(AND(W$5&gt;$H$21,W$5&lt;$H$21+$F$21),1,IF(W$5=$H$21+$F$21,1-DelivFactor,0)))</f>
        <v>0</v>
      </c>
      <c r="X80" s="123" t="n">
        <f aca="false">(1-$I$21)*(1-$J$21)*$D$21*$E$21/4*MIN(1,MAX(0,(X$5-$H$21+1)/$T$21))*IF(X$5=$H$21,DelivFactor,IF(AND(X$5&gt;$H$21,X$5&lt;$H$21+$F$21),1,IF(X$5=$H$21+$F$21,1-DelivFactor,0)))</f>
        <v>0</v>
      </c>
      <c r="Y80" s="123" t="n">
        <f aca="false">(1-$I$21)*(1-$J$21)*$D$21*$E$21/4*MIN(1,MAX(0,(Y$5-$H$21+1)/$T$21))*IF(Y$5=$H$21,DelivFactor,IF(AND(Y$5&gt;$H$21,Y$5&lt;$H$21+$F$21),1,IF(Y$5=$H$21+$F$21,1-DelivFactor,0)))</f>
        <v>0</v>
      </c>
      <c r="Z80" s="123" t="n">
        <f aca="false">(1-$I$21)*(1-$J$21)*$D$21*$E$21/4*MIN(1,MAX(0,(Z$5-$H$21+1)/$T$21))*IF(Z$5=$H$21,DelivFactor,IF(AND(Z$5&gt;$H$21,Z$5&lt;$H$21+$F$21),1,IF(Z$5=$H$21+$F$21,1-DelivFactor,0)))</f>
        <v>0</v>
      </c>
      <c r="AA80" s="123" t="n">
        <f aca="false">(1-$I$21)*(1-$J$21)*$D$21*$E$21/4*MIN(1,MAX(0,(AA$5-$H$21+1)/$T$21))*IF(AA$5=$H$21,DelivFactor,IF(AND(AA$5&gt;$H$21,AA$5&lt;$H$21+$F$21),1,IF(AA$5=$H$21+$F$21,1-DelivFactor,0)))</f>
        <v>0</v>
      </c>
      <c r="AB80" s="123" t="n">
        <f aca="false">(1-$I$21)*(1-$J$21)*$D$21*$E$21/4*MIN(1,MAX(0,(AB$5-$H$21+1)/$T$21))*IF(AB$5=$H$21,DelivFactor,IF(AND(AB$5&gt;$H$21,AB$5&lt;$H$21+$F$21),1,IF(AB$5=$H$21+$F$21,1-DelivFactor,0)))</f>
        <v>0</v>
      </c>
      <c r="AC80" s="123" t="n">
        <f aca="false">(1-$I$21)*(1-$J$21)*$D$21*$E$21/4*MIN(1,MAX(0,(AC$5-$H$21+1)/$T$21))*IF(AC$5=$H$21,DelivFactor,IF(AND(AC$5&gt;$H$21,AC$5&lt;$H$21+$F$21),1,IF(AC$5=$H$21+$F$21,1-DelivFactor,0)))</f>
        <v>0</v>
      </c>
      <c r="AD80" s="123" t="n">
        <f aca="false">(1-$I$21)*(1-$J$21)*$D$21*$E$21/4*MIN(1,MAX(0,(AD$5-$H$21+1)/$T$21))*IF(AD$5=$H$21,DelivFactor,IF(AND(AD$5&gt;$H$21,AD$5&lt;$H$21+$F$21),1,IF(AD$5=$H$21+$F$21,1-DelivFactor,0)))</f>
        <v>0</v>
      </c>
      <c r="AE80" s="123" t="n">
        <f aca="false">(1-$I$21)*(1-$J$21)*$D$21*$E$21/4*MIN(1,MAX(0,(AE$5-$H$21+1)/$T$21))*IF(AE$5=$H$21,DelivFactor,IF(AND(AE$5&gt;$H$21,AE$5&lt;$H$21+$F$21),1,IF(AE$5=$H$21+$F$21,1-DelivFactor,0)))</f>
        <v>0</v>
      </c>
      <c r="AF80" s="123" t="n">
        <f aca="false">(1-$I$21)*(1-$J$21)*$D$21*$E$21/4*MIN(1,MAX(0,(AF$5-$H$21+1)/$T$21))*IF(AF$5=$H$21,DelivFactor,IF(AND(AF$5&gt;$H$21,AF$5&lt;$H$21+$F$21),1,IF(AF$5=$H$21+$F$21,1-DelivFactor,0)))</f>
        <v>0</v>
      </c>
      <c r="AG80" s="123" t="n">
        <f aca="false">(1-$I$21)*(1-$J$21)*$D$21*$E$21/4*MIN(1,MAX(0,(AG$5-$H$21+1)/$T$21))*IF(AG$5=$H$21,DelivFactor,IF(AND(AG$5&gt;$H$21,AG$5&lt;$H$21+$F$21),1,IF(AG$5=$H$21+$F$21,1-DelivFactor,0)))</f>
        <v>0</v>
      </c>
      <c r="AI80" s="123" t="n">
        <f aca="false">SUMIF($F$7:$AG$7,AI$7,$F80:$AG80)</f>
        <v>0</v>
      </c>
      <c r="AJ80" s="123" t="n">
        <f aca="false">SUMIF($F$7:$AG$7,AJ$7,$F80:$AG80)</f>
        <v>0</v>
      </c>
      <c r="AK80" s="123" t="n">
        <f aca="false">SUMIF($F$7:$AG$7,AK$7,$F80:$AG80)</f>
        <v>0</v>
      </c>
      <c r="AL80" s="123" t="n">
        <f aca="false">SUMIF($F$7:$AG$7,AL$7,$F80:$AG80)</f>
        <v>0</v>
      </c>
      <c r="AM80" s="123" t="n">
        <f aca="false">SUMIF($F$7:$AG$7,AM$7,$F80:$AG80)</f>
        <v>0</v>
      </c>
      <c r="AN80" s="123" t="n">
        <f aca="false">SUMIF($F$7:$AG$7,AN$7,$F80:$AG80)</f>
        <v>0</v>
      </c>
      <c r="AO80" s="123" t="n">
        <f aca="false">SUMIF($F$7:$AG$7,AO$7,$F80:$AG80)</f>
        <v>0</v>
      </c>
    </row>
    <row r="81" customFormat="false" ht="15" hidden="false" customHeight="false" outlineLevel="0" collapsed="false">
      <c r="A81" s="104" t="s">
        <v>1680</v>
      </c>
      <c r="B81" s="20" t="s">
        <v>575</v>
      </c>
      <c r="C81" s="20"/>
      <c r="D81" s="20"/>
      <c r="F81" s="113" t="n">
        <f aca="false">(1-$I$21)*(1-$J$21)*$D$21*AND(F$5&gt;=$H$21,F$5&lt;$H$21+$F$21)</f>
        <v>0</v>
      </c>
      <c r="G81" s="113" t="n">
        <f aca="false">(1-$I$21)*(1-$J$21)*$D$21*AND(G$5&gt;=$H$21,G$5&lt;$H$21+$F$21)</f>
        <v>0</v>
      </c>
      <c r="H81" s="113" t="n">
        <f aca="false">(1-$I$21)*(1-$J$21)*$D$21*AND(H$5&gt;=$H$21,H$5&lt;$H$21+$F$21)</f>
        <v>0</v>
      </c>
      <c r="I81" s="113" t="n">
        <f aca="false">(1-$I$21)*(1-$J$21)*$D$21*AND(I$5&gt;=$H$21,I$5&lt;$H$21+$F$21)</f>
        <v>0</v>
      </c>
      <c r="J81" s="113" t="n">
        <f aca="false">(1-$I$21)*(1-$J$21)*$D$21*AND(J$5&gt;=$H$21,J$5&lt;$H$21+$F$21)</f>
        <v>0</v>
      </c>
      <c r="K81" s="113" t="n">
        <f aca="false">(1-$I$21)*(1-$J$21)*$D$21*AND(K$5&gt;=$H$21,K$5&lt;$H$21+$F$21)</f>
        <v>0</v>
      </c>
      <c r="L81" s="113" t="n">
        <f aca="false">(1-$I$21)*(1-$J$21)*$D$21*AND(L$5&gt;=$H$21,L$5&lt;$H$21+$F$21)</f>
        <v>0</v>
      </c>
      <c r="M81" s="113" t="n">
        <f aca="false">(1-$I$21)*(1-$J$21)*$D$21*AND(M$5&gt;=$H$21,M$5&lt;$H$21+$F$21)</f>
        <v>0</v>
      </c>
      <c r="N81" s="113" t="n">
        <f aca="false">(1-$I$21)*(1-$J$21)*$D$21*AND(N$5&gt;=$H$21,N$5&lt;$H$21+$F$21)</f>
        <v>0</v>
      </c>
      <c r="O81" s="113" t="n">
        <f aca="false">(1-$I$21)*(1-$J$21)*$D$21*AND(O$5&gt;=$H$21,O$5&lt;$H$21+$F$21)</f>
        <v>0</v>
      </c>
      <c r="P81" s="31" t="n">
        <f aca="false">(1-$I$21)*(1-$J$21)*$D$21*AND(P$5&gt;=$H$21,P$5&lt;$H$21+$F$21)</f>
        <v>0</v>
      </c>
      <c r="Q81" s="31" t="n">
        <f aca="false">(1-$I$21)*(1-$J$21)*$D$21*AND(Q$5&gt;=$H$21,Q$5&lt;$H$21+$F$21)</f>
        <v>0</v>
      </c>
      <c r="R81" s="31" t="n">
        <f aca="false">(1-$I$21)*(1-$J$21)*$D$21*AND(R$5&gt;=$H$21,R$5&lt;$H$21+$F$21)</f>
        <v>0</v>
      </c>
      <c r="S81" s="31" t="n">
        <f aca="false">(1-$I$21)*(1-$J$21)*$D$21*AND(S$5&gt;=$H$21,S$5&lt;$H$21+$F$21)</f>
        <v>0</v>
      </c>
      <c r="T81" s="31" t="n">
        <f aca="false">(1-$I$21)*(1-$J$21)*$D$21*AND(T$5&gt;=$H$21,T$5&lt;$H$21+$F$21)</f>
        <v>0</v>
      </c>
      <c r="U81" s="31" t="n">
        <f aca="false">(1-$I$21)*(1-$J$21)*$D$21*AND(U$5&gt;=$H$21,U$5&lt;$H$21+$F$21)</f>
        <v>0</v>
      </c>
      <c r="V81" s="31" t="n">
        <f aca="false">(1-$I$21)*(1-$J$21)*$D$21*AND(V$5&gt;=$H$21,V$5&lt;$H$21+$F$21)</f>
        <v>0</v>
      </c>
      <c r="W81" s="31" t="n">
        <f aca="false">(1-$I$21)*(1-$J$21)*$D$21*AND(W$5&gt;=$H$21,W$5&lt;$H$21+$F$21)</f>
        <v>0</v>
      </c>
      <c r="X81" s="31" t="n">
        <f aca="false">(1-$I$21)*(1-$J$21)*$D$21*AND(X$5&gt;=$H$21,X$5&lt;$H$21+$F$21)</f>
        <v>0</v>
      </c>
      <c r="Y81" s="31" t="n">
        <f aca="false">(1-$I$21)*(1-$J$21)*$D$21*AND(Y$5&gt;=$H$21,Y$5&lt;$H$21+$F$21)</f>
        <v>0</v>
      </c>
      <c r="Z81" s="31" t="n">
        <f aca="false">(1-$I$21)*(1-$J$21)*$D$21*AND(Z$5&gt;=$H$21,Z$5&lt;$H$21+$F$21)</f>
        <v>0</v>
      </c>
      <c r="AA81" s="31" t="n">
        <f aca="false">(1-$I$21)*(1-$J$21)*$D$21*AND(AA$5&gt;=$H$21,AA$5&lt;$H$21+$F$21)</f>
        <v>0</v>
      </c>
      <c r="AB81" s="31" t="n">
        <f aca="false">(1-$I$21)*(1-$J$21)*$D$21*AND(AB$5&gt;=$H$21,AB$5&lt;$H$21+$F$21)</f>
        <v>0</v>
      </c>
      <c r="AC81" s="31" t="n">
        <f aca="false">(1-$I$21)*(1-$J$21)*$D$21*AND(AC$5&gt;=$H$21,AC$5&lt;$H$21+$F$21)</f>
        <v>0</v>
      </c>
      <c r="AD81" s="31" t="n">
        <f aca="false">(1-$I$21)*(1-$J$21)*$D$21*AND(AD$5&gt;=$H$21,AD$5&lt;$H$21+$F$21)</f>
        <v>0</v>
      </c>
      <c r="AE81" s="31" t="n">
        <f aca="false">(1-$I$21)*(1-$J$21)*$D$21*AND(AE$5&gt;=$H$21,AE$5&lt;$H$21+$F$21)</f>
        <v>0</v>
      </c>
      <c r="AF81" s="31" t="n">
        <f aca="false">(1-$I$21)*(1-$J$21)*$D$21*AND(AF$5&gt;=$H$21,AF$5&lt;$H$21+$F$21)</f>
        <v>0</v>
      </c>
      <c r="AG81" s="31" t="n">
        <f aca="false">(1-$I$21)*(1-$J$21)*$D$21*AND(AG$5&gt;=$H$21,AG$5&lt;$H$21+$F$21)</f>
        <v>0</v>
      </c>
      <c r="AI81" s="31" t="n">
        <f aca="false">INDEX($F81:$AG81,1,MATCH(AI$7,$F$7:$AG$7,1))</f>
        <v>0</v>
      </c>
      <c r="AJ81" s="31" t="n">
        <f aca="false">INDEX($F81:$AG81,1,MATCH(AJ$7,$F$7:$AG$7,1))</f>
        <v>0</v>
      </c>
      <c r="AK81" s="31" t="n">
        <f aca="false">INDEX($F81:$AG81,1,MATCH(AK$7,$F$7:$AG$7,1))</f>
        <v>0</v>
      </c>
      <c r="AL81" s="31" t="n">
        <f aca="false">INDEX($F81:$AG81,1,MATCH(AL$7,$F$7:$AG$7,1))</f>
        <v>0</v>
      </c>
      <c r="AM81" s="31" t="n">
        <f aca="false">INDEX($F81:$AG81,1,MATCH(AM$7,$F$7:$AG$7,1))</f>
        <v>0</v>
      </c>
      <c r="AN81" s="31" t="n">
        <f aca="false">INDEX($F81:$AG81,1,MATCH(AN$7,$F$7:$AG$7,1))</f>
        <v>0</v>
      </c>
      <c r="AO81" s="31" t="n">
        <f aca="false">INDEX($F81:$AG81,1,MATCH(AO$7,$F$7:$AG$7,1))</f>
        <v>0</v>
      </c>
    </row>
    <row r="82" customFormat="false" ht="15" hidden="false" customHeight="false" outlineLevel="0" collapsed="false">
      <c r="A82" s="104" t="s">
        <v>1681</v>
      </c>
      <c r="B82" s="20" t="s">
        <v>561</v>
      </c>
      <c r="C82" s="20"/>
      <c r="D82" s="20"/>
      <c r="F82" s="122" t="n">
        <f aca="false">-(1-$I$21)*LD_Pct*$D$21*$E$21/4*AND(F$5&gt;=$G$21,F$5&lt;$H$21)</f>
        <v>-0</v>
      </c>
      <c r="G82" s="122" t="n">
        <f aca="false">-(1-$I$21)*LD_Pct*$D$21*$E$21/4*AND(G$5&gt;=$G$21,G$5&lt;$H$21)</f>
        <v>-0</v>
      </c>
      <c r="H82" s="122" t="n">
        <f aca="false">-(1-$I$21)*LD_Pct*$D$21*$E$21/4*AND(H$5&gt;=$G$21,H$5&lt;$H$21)</f>
        <v>-0</v>
      </c>
      <c r="I82" s="122" t="n">
        <f aca="false">-(1-$I$21)*LD_Pct*$D$21*$E$21/4*AND(I$5&gt;=$G$21,I$5&lt;$H$21)</f>
        <v>-0</v>
      </c>
      <c r="J82" s="122" t="n">
        <f aca="false">-(1-$I$21)*LD_Pct*$D$21*$E$21/4*AND(J$5&gt;=$G$21,J$5&lt;$H$21)</f>
        <v>-0</v>
      </c>
      <c r="K82" s="122" t="n">
        <f aca="false">-(1-$I$21)*LD_Pct*$D$21*$E$21/4*AND(K$5&gt;=$G$21,K$5&lt;$H$21)</f>
        <v>-0</v>
      </c>
      <c r="L82" s="122" t="n">
        <f aca="false">-(1-$I$21)*LD_Pct*$D$21*$E$21/4*AND(L$5&gt;=$G$21,L$5&lt;$H$21)</f>
        <v>-0</v>
      </c>
      <c r="M82" s="122" t="n">
        <f aca="false">-(1-$I$21)*LD_Pct*$D$21*$E$21/4*AND(M$5&gt;=$G$21,M$5&lt;$H$21)</f>
        <v>-0</v>
      </c>
      <c r="N82" s="122" t="n">
        <f aca="false">-(1-$I$21)*LD_Pct*$D$21*$E$21/4*AND(N$5&gt;=$G$21,N$5&lt;$H$21)</f>
        <v>-0</v>
      </c>
      <c r="O82" s="122" t="n">
        <f aca="false">-(1-$I$21)*LD_Pct*$D$21*$E$21/4*AND(O$5&gt;=$G$21,O$5&lt;$H$21)</f>
        <v>-0</v>
      </c>
      <c r="P82" s="123" t="n">
        <f aca="false">-(1-$I$21)*LD_Pct*$D$21*$E$21/4*AND(P$5&gt;=$G$21,P$5&lt;$H$21)</f>
        <v>-0</v>
      </c>
      <c r="Q82" s="123" t="n">
        <f aca="false">-(1-$I$21)*LD_Pct*$D$21*$E$21/4*AND(Q$5&gt;=$G$21,Q$5&lt;$H$21)</f>
        <v>-0</v>
      </c>
      <c r="R82" s="123" t="n">
        <f aca="false">-(1-$I$21)*LD_Pct*$D$21*$E$21/4*AND(R$5&gt;=$G$21,R$5&lt;$H$21)</f>
        <v>-0</v>
      </c>
      <c r="S82" s="123" t="n">
        <f aca="false">-(1-$I$21)*LD_Pct*$D$21*$E$21/4*AND(S$5&gt;=$G$21,S$5&lt;$H$21)</f>
        <v>-0</v>
      </c>
      <c r="T82" s="123" t="n">
        <f aca="false">-(1-$I$21)*LD_Pct*$D$21*$E$21/4*AND(T$5&gt;=$G$21,T$5&lt;$H$21)</f>
        <v>-0</v>
      </c>
      <c r="U82" s="123" t="n">
        <f aca="false">-(1-$I$21)*LD_Pct*$D$21*$E$21/4*AND(U$5&gt;=$G$21,U$5&lt;$H$21)</f>
        <v>-0</v>
      </c>
      <c r="V82" s="123" t="n">
        <f aca="false">-(1-$I$21)*LD_Pct*$D$21*$E$21/4*AND(V$5&gt;=$G$21,V$5&lt;$H$21)</f>
        <v>-0</v>
      </c>
      <c r="W82" s="123" t="n">
        <f aca="false">-(1-$I$21)*LD_Pct*$D$21*$E$21/4*AND(W$5&gt;=$G$21,W$5&lt;$H$21)</f>
        <v>-0</v>
      </c>
      <c r="X82" s="123" t="n">
        <f aca="false">-(1-$I$21)*LD_Pct*$D$21*$E$21/4*AND(X$5&gt;=$G$21,X$5&lt;$H$21)</f>
        <v>-0</v>
      </c>
      <c r="Y82" s="123" t="n">
        <f aca="false">-(1-$I$21)*LD_Pct*$D$21*$E$21/4*AND(Y$5&gt;=$G$21,Y$5&lt;$H$21)</f>
        <v>-0</v>
      </c>
      <c r="Z82" s="123" t="n">
        <f aca="false">-(1-$I$21)*LD_Pct*$D$21*$E$21/4*AND(Z$5&gt;=$G$21,Z$5&lt;$H$21)</f>
        <v>-0</v>
      </c>
      <c r="AA82" s="123" t="n">
        <f aca="false">-(1-$I$21)*LD_Pct*$D$21*$E$21/4*AND(AA$5&gt;=$G$21,AA$5&lt;$H$21)</f>
        <v>-0</v>
      </c>
      <c r="AB82" s="123" t="n">
        <f aca="false">-(1-$I$21)*LD_Pct*$D$21*$E$21/4*AND(AB$5&gt;=$G$21,AB$5&lt;$H$21)</f>
        <v>-0</v>
      </c>
      <c r="AC82" s="123" t="n">
        <f aca="false">-(1-$I$21)*LD_Pct*$D$21*$E$21/4*AND(AC$5&gt;=$G$21,AC$5&lt;$H$21)</f>
        <v>-0</v>
      </c>
      <c r="AD82" s="123" t="n">
        <f aca="false">-(1-$I$21)*LD_Pct*$D$21*$E$21/4*AND(AD$5&gt;=$G$21,AD$5&lt;$H$21)</f>
        <v>-0</v>
      </c>
      <c r="AE82" s="123" t="n">
        <f aca="false">-(1-$I$21)*LD_Pct*$D$21*$E$21/4*AND(AE$5&gt;=$G$21,AE$5&lt;$H$21)</f>
        <v>-0</v>
      </c>
      <c r="AF82" s="123" t="n">
        <f aca="false">-(1-$I$21)*LD_Pct*$D$21*$E$21/4*AND(AF$5&gt;=$G$21,AF$5&lt;$H$21)</f>
        <v>-0</v>
      </c>
      <c r="AG82" s="123" t="n">
        <f aca="false">-(1-$I$21)*LD_Pct*$D$21*$E$21/4*AND(AG$5&gt;=$G$21,AG$5&lt;$H$21)</f>
        <v>-0</v>
      </c>
      <c r="AI82" s="123" t="n">
        <f aca="false">SUMIF($F$7:$AG$7,AI$7,$F82:$AG82)</f>
        <v>0</v>
      </c>
      <c r="AJ82" s="123" t="n">
        <f aca="false">SUMIF($F$7:$AG$7,AJ$7,$F82:$AG82)</f>
        <v>0</v>
      </c>
      <c r="AK82" s="123" t="n">
        <f aca="false">SUMIF($F$7:$AG$7,AK$7,$F82:$AG82)</f>
        <v>0</v>
      </c>
      <c r="AL82" s="123" t="n">
        <f aca="false">SUMIF($F$7:$AG$7,AL$7,$F82:$AG82)</f>
        <v>0</v>
      </c>
      <c r="AM82" s="123" t="n">
        <f aca="false">SUMIF($F$7:$AG$7,AM$7,$F82:$AG82)</f>
        <v>0</v>
      </c>
      <c r="AN82" s="123" t="n">
        <f aca="false">SUMIF($F$7:$AG$7,AN$7,$F82:$AG82)</f>
        <v>0</v>
      </c>
      <c r="AO82" s="123" t="n">
        <f aca="false">SUMIF($F$7:$AG$7,AO$7,$F82:$AG82)</f>
        <v>0</v>
      </c>
    </row>
    <row r="83" customFormat="false" ht="15" hidden="false" customHeight="false" outlineLevel="0" collapsed="false">
      <c r="A83" s="104" t="s">
        <v>1682</v>
      </c>
      <c r="B83" s="20" t="s">
        <v>575</v>
      </c>
      <c r="C83" s="20"/>
      <c r="D83" s="20"/>
      <c r="F83" s="113" t="n">
        <f aca="false">(1-$I$21)*(1-$J$21)*$D$21*(F$5&gt;=$H$21+$F$21)</f>
        <v>0</v>
      </c>
      <c r="G83" s="113" t="n">
        <f aca="false">(1-$I$21)*(1-$J$21)*$D$21*(G$5&gt;=$H$21+$F$21)</f>
        <v>0</v>
      </c>
      <c r="H83" s="113" t="n">
        <f aca="false">(1-$I$21)*(1-$J$21)*$D$21*(H$5&gt;=$H$21+$F$21)</f>
        <v>0</v>
      </c>
      <c r="I83" s="113" t="n">
        <f aca="false">(1-$I$21)*(1-$J$21)*$D$21*(I$5&gt;=$H$21+$F$21)</f>
        <v>0</v>
      </c>
      <c r="J83" s="113" t="n">
        <f aca="false">(1-$I$21)*(1-$J$21)*$D$21*(J$5&gt;=$H$21+$F$21)</f>
        <v>0</v>
      </c>
      <c r="K83" s="113" t="n">
        <f aca="false">(1-$I$21)*(1-$J$21)*$D$21*(K$5&gt;=$H$21+$F$21)</f>
        <v>0</v>
      </c>
      <c r="L83" s="113" t="n">
        <f aca="false">(1-$I$21)*(1-$J$21)*$D$21*(L$5&gt;=$H$21+$F$21)</f>
        <v>0</v>
      </c>
      <c r="M83" s="113" t="n">
        <f aca="false">(1-$I$21)*(1-$J$21)*$D$21*(M$5&gt;=$H$21+$F$21)</f>
        <v>0</v>
      </c>
      <c r="N83" s="113" t="n">
        <f aca="false">(1-$I$21)*(1-$J$21)*$D$21*(N$5&gt;=$H$21+$F$21)</f>
        <v>0</v>
      </c>
      <c r="O83" s="113" t="n">
        <f aca="false">(1-$I$21)*(1-$J$21)*$D$21*(O$5&gt;=$H$21+$F$21)</f>
        <v>0</v>
      </c>
      <c r="P83" s="31" t="n">
        <f aca="false">(1-$I$21)*(1-$J$21)*$D$21*(P$5&gt;=$H$21+$F$21)</f>
        <v>0</v>
      </c>
      <c r="Q83" s="31" t="n">
        <f aca="false">(1-$I$21)*(1-$J$21)*$D$21*(Q$5&gt;=$H$21+$F$21)</f>
        <v>0</v>
      </c>
      <c r="R83" s="31" t="n">
        <f aca="false">(1-$I$21)*(1-$J$21)*$D$21*(R$5&gt;=$H$21+$F$21)</f>
        <v>0</v>
      </c>
      <c r="S83" s="31" t="n">
        <f aca="false">(1-$I$21)*(1-$J$21)*$D$21*(S$5&gt;=$H$21+$F$21)</f>
        <v>0</v>
      </c>
      <c r="T83" s="31" t="n">
        <f aca="false">(1-$I$21)*(1-$J$21)*$D$21*(T$5&gt;=$H$21+$F$21)</f>
        <v>0</v>
      </c>
      <c r="U83" s="31" t="n">
        <f aca="false">(1-$I$21)*(1-$J$21)*$D$21*(U$5&gt;=$H$21+$F$21)</f>
        <v>0</v>
      </c>
      <c r="V83" s="31" t="n">
        <f aca="false">(1-$I$21)*(1-$J$21)*$D$21*(V$5&gt;=$H$21+$F$21)</f>
        <v>0</v>
      </c>
      <c r="W83" s="31" t="n">
        <f aca="false">(1-$I$21)*(1-$J$21)*$D$21*(W$5&gt;=$H$21+$F$21)</f>
        <v>0</v>
      </c>
      <c r="X83" s="31" t="n">
        <f aca="false">(1-$I$21)*(1-$J$21)*$D$21*(X$5&gt;=$H$21+$F$21)</f>
        <v>0</v>
      </c>
      <c r="Y83" s="31" t="n">
        <f aca="false">(1-$I$21)*(1-$J$21)*$D$21*(Y$5&gt;=$H$21+$F$21)</f>
        <v>0</v>
      </c>
      <c r="Z83" s="31" t="n">
        <f aca="false">(1-$I$21)*(1-$J$21)*$D$21*(Z$5&gt;=$H$21+$F$21)</f>
        <v>0</v>
      </c>
      <c r="AA83" s="31" t="n">
        <f aca="false">(1-$I$21)*(1-$J$21)*$D$21*(AA$5&gt;=$H$21+$F$21)</f>
        <v>0</v>
      </c>
      <c r="AB83" s="31" t="n">
        <f aca="false">(1-$I$21)*(1-$J$21)*$D$21*(AB$5&gt;=$H$21+$F$21)</f>
        <v>0</v>
      </c>
      <c r="AC83" s="31" t="n">
        <f aca="false">(1-$I$21)*(1-$J$21)*$D$21*(AC$5&gt;=$H$21+$F$21)</f>
        <v>0</v>
      </c>
      <c r="AD83" s="31" t="n">
        <f aca="false">(1-$I$21)*(1-$J$21)*$D$21*(AD$5&gt;=$H$21+$F$21)</f>
        <v>0</v>
      </c>
      <c r="AE83" s="31" t="n">
        <f aca="false">(1-$I$21)*(1-$J$21)*$D$21*(AE$5&gt;=$H$21+$F$21)</f>
        <v>0</v>
      </c>
      <c r="AF83" s="31" t="n">
        <f aca="false">(1-$I$21)*(1-$J$21)*$D$21*(AF$5&gt;=$H$21+$F$21)</f>
        <v>0</v>
      </c>
      <c r="AG83" s="31" t="n">
        <f aca="false">(1-$I$21)*(1-$J$21)*$D$21*(AG$5&gt;=$H$21+$F$21)</f>
        <v>0</v>
      </c>
      <c r="AI83" s="31" t="n">
        <f aca="false">INDEX($F83:$AG83,1,MATCH(AI$7,$F$7:$AG$7,1))</f>
        <v>0</v>
      </c>
      <c r="AJ83" s="31" t="n">
        <f aca="false">INDEX($F83:$AG83,1,MATCH(AJ$7,$F$7:$AG$7,1))</f>
        <v>0</v>
      </c>
      <c r="AK83" s="31" t="n">
        <f aca="false">INDEX($F83:$AG83,1,MATCH(AK$7,$F$7:$AG$7,1))</f>
        <v>0</v>
      </c>
      <c r="AL83" s="31" t="n">
        <f aca="false">INDEX($F83:$AG83,1,MATCH(AL$7,$F$7:$AG$7,1))</f>
        <v>0</v>
      </c>
      <c r="AM83" s="31" t="n">
        <f aca="false">INDEX($F83:$AG83,1,MATCH(AM$7,$F$7:$AG$7,1))</f>
        <v>0</v>
      </c>
      <c r="AN83" s="31" t="n">
        <f aca="false">INDEX($F83:$AG83,1,MATCH(AN$7,$F$7:$AG$7,1))</f>
        <v>0</v>
      </c>
      <c r="AO83" s="31" t="n">
        <f aca="false">INDEX($F83:$AG83,1,MATCH(AO$7,$F$7:$AG$7,1))</f>
        <v>0</v>
      </c>
    </row>
    <row r="84" customFormat="false" ht="15" hidden="false" customHeight="false" outlineLevel="0" collapsed="false">
      <c r="A84" s="104" t="s">
        <v>1683</v>
      </c>
      <c r="B84" s="20" t="s">
        <v>561</v>
      </c>
      <c r="C84" s="20"/>
      <c r="D84" s="20" t="s">
        <v>1638</v>
      </c>
      <c r="F84" s="122" t="n">
        <f aca="false">F83*CHOOSE(MATCH($C$21,{"H";"B";"N"},0),GPUMW_H*ODc_H,GPUMW_B*ODc_B,GPUMW_N*ODc_N)*ResidUtil*Timeline!F$9*INDEX(Curve,1,MAX(1,MIN(8,INT((F$5-$H$21)/4)+1)))/1000000</f>
        <v>0</v>
      </c>
      <c r="G84" s="122" t="n">
        <f aca="false">G83*CHOOSE(MATCH($C$21,{"H";"B";"N"},0),GPUMW_H*ODc_H,GPUMW_B*ODc_B,GPUMW_N*ODc_N)*ResidUtil*Timeline!G$9*INDEX(Curve,1,MAX(1,MIN(8,INT((G$5-$H$21)/4)+1)))/1000000</f>
        <v>0</v>
      </c>
      <c r="H84" s="122" t="n">
        <f aca="false">H83*CHOOSE(MATCH($C$21,{"H";"B";"N"},0),GPUMW_H*ODc_H,GPUMW_B*ODc_B,GPUMW_N*ODc_N)*ResidUtil*Timeline!H$9*INDEX(Curve,1,MAX(1,MIN(8,INT((H$5-$H$21)/4)+1)))/1000000</f>
        <v>0</v>
      </c>
      <c r="I84" s="122" t="n">
        <f aca="false">I83*CHOOSE(MATCH($C$21,{"H";"B";"N"},0),GPUMW_H*ODc_H,GPUMW_B*ODc_B,GPUMW_N*ODc_N)*ResidUtil*Timeline!I$9*INDEX(Curve,1,MAX(1,MIN(8,INT((I$5-$H$21)/4)+1)))/1000000</f>
        <v>0</v>
      </c>
      <c r="J84" s="122" t="n">
        <f aca="false">J83*CHOOSE(MATCH($C$21,{"H";"B";"N"},0),GPUMW_H*ODc_H,GPUMW_B*ODc_B,GPUMW_N*ODc_N)*ResidUtil*Timeline!J$9*INDEX(Curve,1,MAX(1,MIN(8,INT((J$5-$H$21)/4)+1)))/1000000</f>
        <v>0</v>
      </c>
      <c r="K84" s="122" t="n">
        <f aca="false">K83*CHOOSE(MATCH($C$21,{"H";"B";"N"},0),GPUMW_H*ODc_H,GPUMW_B*ODc_B,GPUMW_N*ODc_N)*ResidUtil*Timeline!K$9*INDEX(Curve,1,MAX(1,MIN(8,INT((K$5-$H$21)/4)+1)))/1000000</f>
        <v>0</v>
      </c>
      <c r="L84" s="122" t="n">
        <f aca="false">L83*CHOOSE(MATCH($C$21,{"H";"B";"N"},0),GPUMW_H*ODc_H,GPUMW_B*ODc_B,GPUMW_N*ODc_N)*ResidUtil*Timeline!L$9*INDEX(Curve,1,MAX(1,MIN(8,INT((L$5-$H$21)/4)+1)))/1000000</f>
        <v>0</v>
      </c>
      <c r="M84" s="122" t="n">
        <f aca="false">M83*CHOOSE(MATCH($C$21,{"H";"B";"N"},0),GPUMW_H*ODc_H,GPUMW_B*ODc_B,GPUMW_N*ODc_N)*ResidUtil*Timeline!M$9*INDEX(Curve,1,MAX(1,MIN(8,INT((M$5-$H$21)/4)+1)))/1000000</f>
        <v>0</v>
      </c>
      <c r="N84" s="122" t="n">
        <f aca="false">N83*CHOOSE(MATCH($C$21,{"H";"B";"N"},0),GPUMW_H*ODc_H,GPUMW_B*ODc_B,GPUMW_N*ODc_N)*ResidUtil*Timeline!N$9*INDEX(Curve,1,MAX(1,MIN(8,INT((N$5-$H$21)/4)+1)))/1000000</f>
        <v>0</v>
      </c>
      <c r="O84" s="122" t="n">
        <f aca="false">O83*CHOOSE(MATCH($C$21,{"H";"B";"N"},0),GPUMW_H*ODc_H,GPUMW_B*ODc_B,GPUMW_N*ODc_N)*ResidUtil*Timeline!O$9*INDEX(Curve,1,MAX(1,MIN(8,INT((O$5-$H$21)/4)+1)))/1000000</f>
        <v>0</v>
      </c>
      <c r="P84" s="123" t="n">
        <f aca="false">P83*CHOOSE(MATCH($C$21,{"H";"B";"N"},0),GPUMW_H*ODc_H,GPUMW_B*ODc_B,GPUMW_N*ODc_N)*ResidUtil*Timeline!P$9*INDEX(Curve,1,MAX(1,MIN(8,INT((P$5-$H$21)/4)+1)))/1000000</f>
        <v>0</v>
      </c>
      <c r="Q84" s="123" t="n">
        <f aca="false">Q83*CHOOSE(MATCH($C$21,{"H";"B";"N"},0),GPUMW_H*ODc_H,GPUMW_B*ODc_B,GPUMW_N*ODc_N)*ResidUtil*Timeline!Q$9*INDEX(Curve,1,MAX(1,MIN(8,INT((Q$5-$H$21)/4)+1)))/1000000</f>
        <v>0</v>
      </c>
      <c r="R84" s="123" t="n">
        <f aca="false">R83*CHOOSE(MATCH($C$21,{"H";"B";"N"},0),GPUMW_H*ODc_H,GPUMW_B*ODc_B,GPUMW_N*ODc_N)*ResidUtil*Timeline!R$9*INDEX(Curve,1,MAX(1,MIN(8,INT((R$5-$H$21)/4)+1)))/1000000</f>
        <v>0</v>
      </c>
      <c r="S84" s="123" t="n">
        <f aca="false">S83*CHOOSE(MATCH($C$21,{"H";"B";"N"},0),GPUMW_H*ODc_H,GPUMW_B*ODc_B,GPUMW_N*ODc_N)*ResidUtil*Timeline!S$9*INDEX(Curve,1,MAX(1,MIN(8,INT((S$5-$H$21)/4)+1)))/1000000</f>
        <v>0</v>
      </c>
      <c r="T84" s="123" t="n">
        <f aca="false">T83*CHOOSE(MATCH($C$21,{"H";"B";"N"},0),GPUMW_H*ODc_H,GPUMW_B*ODc_B,GPUMW_N*ODc_N)*ResidUtil*Timeline!T$9*INDEX(Curve,1,MAX(1,MIN(8,INT((T$5-$H$21)/4)+1)))/1000000</f>
        <v>0</v>
      </c>
      <c r="U84" s="123" t="n">
        <f aca="false">U83*CHOOSE(MATCH($C$21,{"H";"B";"N"},0),GPUMW_H*ODc_H,GPUMW_B*ODc_B,GPUMW_N*ODc_N)*ResidUtil*Timeline!U$9*INDEX(Curve,1,MAX(1,MIN(8,INT((U$5-$H$21)/4)+1)))/1000000</f>
        <v>0</v>
      </c>
      <c r="V84" s="123" t="n">
        <f aca="false">V83*CHOOSE(MATCH($C$21,{"H";"B";"N"},0),GPUMW_H*ODc_H,GPUMW_B*ODc_B,GPUMW_N*ODc_N)*ResidUtil*Timeline!V$9*INDEX(Curve,1,MAX(1,MIN(8,INT((V$5-$H$21)/4)+1)))/1000000</f>
        <v>0</v>
      </c>
      <c r="W84" s="123" t="n">
        <f aca="false">W83*CHOOSE(MATCH($C$21,{"H";"B";"N"},0),GPUMW_H*ODc_H,GPUMW_B*ODc_B,GPUMW_N*ODc_N)*ResidUtil*Timeline!W$9*INDEX(Curve,1,MAX(1,MIN(8,INT((W$5-$H$21)/4)+1)))/1000000</f>
        <v>0</v>
      </c>
      <c r="X84" s="123" t="n">
        <f aca="false">X83*CHOOSE(MATCH($C$21,{"H";"B";"N"},0),GPUMW_H*ODc_H,GPUMW_B*ODc_B,GPUMW_N*ODc_N)*ResidUtil*Timeline!X$9*INDEX(Curve,1,MAX(1,MIN(8,INT((X$5-$H$21)/4)+1)))/1000000</f>
        <v>0</v>
      </c>
      <c r="Y84" s="123" t="n">
        <f aca="false">Y83*CHOOSE(MATCH($C$21,{"H";"B";"N"},0),GPUMW_H*ODc_H,GPUMW_B*ODc_B,GPUMW_N*ODc_N)*ResidUtil*Timeline!Y$9*INDEX(Curve,1,MAX(1,MIN(8,INT((Y$5-$H$21)/4)+1)))/1000000</f>
        <v>0</v>
      </c>
      <c r="Z84" s="123" t="n">
        <f aca="false">Z83*CHOOSE(MATCH($C$21,{"H";"B";"N"},0),GPUMW_H*ODc_H,GPUMW_B*ODc_B,GPUMW_N*ODc_N)*ResidUtil*Timeline!Z$9*INDEX(Curve,1,MAX(1,MIN(8,INT((Z$5-$H$21)/4)+1)))/1000000</f>
        <v>0</v>
      </c>
      <c r="AA84" s="123" t="n">
        <f aca="false">AA83*CHOOSE(MATCH($C$21,{"H";"B";"N"},0),GPUMW_H*ODc_H,GPUMW_B*ODc_B,GPUMW_N*ODc_N)*ResidUtil*Timeline!AA$9*INDEX(Curve,1,MAX(1,MIN(8,INT((AA$5-$H$21)/4)+1)))/1000000</f>
        <v>0</v>
      </c>
      <c r="AB84" s="123" t="n">
        <f aca="false">AB83*CHOOSE(MATCH($C$21,{"H";"B";"N"},0),GPUMW_H*ODc_H,GPUMW_B*ODc_B,GPUMW_N*ODc_N)*ResidUtil*Timeline!AB$9*INDEX(Curve,1,MAX(1,MIN(8,INT((AB$5-$H$21)/4)+1)))/1000000</f>
        <v>0</v>
      </c>
      <c r="AC84" s="123" t="n">
        <f aca="false">AC83*CHOOSE(MATCH($C$21,{"H";"B";"N"},0),GPUMW_H*ODc_H,GPUMW_B*ODc_B,GPUMW_N*ODc_N)*ResidUtil*Timeline!AC$9*INDEX(Curve,1,MAX(1,MIN(8,INT((AC$5-$H$21)/4)+1)))/1000000</f>
        <v>0</v>
      </c>
      <c r="AD84" s="123" t="n">
        <f aca="false">AD83*CHOOSE(MATCH($C$21,{"H";"B";"N"},0),GPUMW_H*ODc_H,GPUMW_B*ODc_B,GPUMW_N*ODc_N)*ResidUtil*Timeline!AD$9*INDEX(Curve,1,MAX(1,MIN(8,INT((AD$5-$H$21)/4)+1)))/1000000</f>
        <v>0</v>
      </c>
      <c r="AE84" s="123" t="n">
        <f aca="false">AE83*CHOOSE(MATCH($C$21,{"H";"B";"N"},0),GPUMW_H*ODc_H,GPUMW_B*ODc_B,GPUMW_N*ODc_N)*ResidUtil*Timeline!AE$9*INDEX(Curve,1,MAX(1,MIN(8,INT((AE$5-$H$21)/4)+1)))/1000000</f>
        <v>0</v>
      </c>
      <c r="AF84" s="123" t="n">
        <f aca="false">AF83*CHOOSE(MATCH($C$21,{"H";"B";"N"},0),GPUMW_H*ODc_H,GPUMW_B*ODc_B,GPUMW_N*ODc_N)*ResidUtil*Timeline!AF$9*INDEX(Curve,1,MAX(1,MIN(8,INT((AF$5-$H$21)/4)+1)))/1000000</f>
        <v>0</v>
      </c>
      <c r="AG84" s="123" t="n">
        <f aca="false">AG83*CHOOSE(MATCH($C$21,{"H";"B";"N"},0),GPUMW_H*ODc_H,GPUMW_B*ODc_B,GPUMW_N*ODc_N)*ResidUtil*Timeline!AG$9*INDEX(Curve,1,MAX(1,MIN(8,INT((AG$5-$H$21)/4)+1)))/1000000</f>
        <v>0</v>
      </c>
      <c r="AI84" s="123" t="n">
        <f aca="false">SUMIF($F$7:$AG$7,AI$7,$F84:$AG84)</f>
        <v>0</v>
      </c>
      <c r="AJ84" s="123" t="n">
        <f aca="false">SUMIF($F$7:$AG$7,AJ$7,$F84:$AG84)</f>
        <v>0</v>
      </c>
      <c r="AK84" s="123" t="n">
        <f aca="false">SUMIF($F$7:$AG$7,AK$7,$F84:$AG84)</f>
        <v>0</v>
      </c>
      <c r="AL84" s="123" t="n">
        <f aca="false">SUMIF($F$7:$AG$7,AL$7,$F84:$AG84)</f>
        <v>0</v>
      </c>
      <c r="AM84" s="123" t="n">
        <f aca="false">SUMIF($F$7:$AG$7,AM$7,$F84:$AG84)</f>
        <v>0</v>
      </c>
      <c r="AN84" s="123" t="n">
        <f aca="false">SUMIF($F$7:$AG$7,AN$7,$F84:$AG84)</f>
        <v>0</v>
      </c>
      <c r="AO84" s="123" t="n">
        <f aca="false">SUMIF($F$7:$AG$7,AO$7,$F84:$AG84)</f>
        <v>0</v>
      </c>
    </row>
    <row r="85" customFormat="false" ht="15" hidden="false" customHeight="false" outlineLevel="0" collapsed="false">
      <c r="A85" s="104" t="s">
        <v>1684</v>
      </c>
      <c r="B85" s="20" t="s">
        <v>561</v>
      </c>
      <c r="C85" s="20"/>
      <c r="D85" s="20"/>
      <c r="F85" s="122" t="n">
        <f aca="false">(1-$I$22)*(1-$J$22)*$D$22*$E$22/4*MIN(1,MAX(0,(F$5-$H$22+1)/$T$22))*IF(F$5=$H$22,DelivFactor,IF(AND(F$5&gt;$H$22,F$5&lt;$H$22+$F$22),1,IF(F$5=$H$22+$F$22,1-DelivFactor,0)))</f>
        <v>0</v>
      </c>
      <c r="G85" s="122" t="n">
        <f aca="false">(1-$I$22)*(1-$J$22)*$D$22*$E$22/4*MIN(1,MAX(0,(G$5-$H$22+1)/$T$22))*IF(G$5=$H$22,DelivFactor,IF(AND(G$5&gt;$H$22,G$5&lt;$H$22+$F$22),1,IF(G$5=$H$22+$F$22,1-DelivFactor,0)))</f>
        <v>0</v>
      </c>
      <c r="H85" s="122" t="n">
        <f aca="false">(1-$I$22)*(1-$J$22)*$D$22*$E$22/4*MIN(1,MAX(0,(H$5-$H$22+1)/$T$22))*IF(H$5=$H$22,DelivFactor,IF(AND(H$5&gt;$H$22,H$5&lt;$H$22+$F$22),1,IF(H$5=$H$22+$F$22,1-DelivFactor,0)))</f>
        <v>0</v>
      </c>
      <c r="I85" s="122" t="n">
        <f aca="false">(1-$I$22)*(1-$J$22)*$D$22*$E$22/4*MIN(1,MAX(0,(I$5-$H$22+1)/$T$22))*IF(I$5=$H$22,DelivFactor,IF(AND(I$5&gt;$H$22,I$5&lt;$H$22+$F$22),1,IF(I$5=$H$22+$F$22,1-DelivFactor,0)))</f>
        <v>0</v>
      </c>
      <c r="J85" s="122" t="n">
        <f aca="false">(1-$I$22)*(1-$J$22)*$D$22*$E$22/4*MIN(1,MAX(0,(J$5-$H$22+1)/$T$22))*IF(J$5=$H$22,DelivFactor,IF(AND(J$5&gt;$H$22,J$5&lt;$H$22+$F$22),1,IF(J$5=$H$22+$F$22,1-DelivFactor,0)))</f>
        <v>0</v>
      </c>
      <c r="K85" s="122" t="n">
        <f aca="false">(1-$I$22)*(1-$J$22)*$D$22*$E$22/4*MIN(1,MAX(0,(K$5-$H$22+1)/$T$22))*IF(K$5=$H$22,DelivFactor,IF(AND(K$5&gt;$H$22,K$5&lt;$H$22+$F$22),1,IF(K$5=$H$22+$F$22,1-DelivFactor,0)))</f>
        <v>0</v>
      </c>
      <c r="L85" s="122" t="n">
        <f aca="false">(1-$I$22)*(1-$J$22)*$D$22*$E$22/4*MIN(1,MAX(0,(L$5-$H$22+1)/$T$22))*IF(L$5=$H$22,DelivFactor,IF(AND(L$5&gt;$H$22,L$5&lt;$H$22+$F$22),1,IF(L$5=$H$22+$F$22,1-DelivFactor,0)))</f>
        <v>0</v>
      </c>
      <c r="M85" s="122" t="n">
        <f aca="false">(1-$I$22)*(1-$J$22)*$D$22*$E$22/4*MIN(1,MAX(0,(M$5-$H$22+1)/$T$22))*IF(M$5=$H$22,DelivFactor,IF(AND(M$5&gt;$H$22,M$5&lt;$H$22+$F$22),1,IF(M$5=$H$22+$F$22,1-DelivFactor,0)))</f>
        <v>0</v>
      </c>
      <c r="N85" s="122" t="n">
        <f aca="false">(1-$I$22)*(1-$J$22)*$D$22*$E$22/4*MIN(1,MAX(0,(N$5-$H$22+1)/$T$22))*IF(N$5=$H$22,DelivFactor,IF(AND(N$5&gt;$H$22,N$5&lt;$H$22+$F$22),1,IF(N$5=$H$22+$F$22,1-DelivFactor,0)))</f>
        <v>0</v>
      </c>
      <c r="O85" s="122" t="n">
        <f aca="false">(1-$I$22)*(1-$J$22)*$D$22*$E$22/4*MIN(1,MAX(0,(O$5-$H$22+1)/$T$22))*IF(O$5=$H$22,DelivFactor,IF(AND(O$5&gt;$H$22,O$5&lt;$H$22+$F$22),1,IF(O$5=$H$22+$F$22,1-DelivFactor,0)))</f>
        <v>0</v>
      </c>
      <c r="P85" s="123" t="n">
        <f aca="false">(1-$I$22)*(1-$J$22)*$D$22*$E$22/4*MIN(1,MAX(0,(P$5-$H$22+1)/$T$22))*IF(P$5=$H$22,DelivFactor,IF(AND(P$5&gt;$H$22,P$5&lt;$H$22+$F$22),1,IF(P$5=$H$22+$F$22,1-DelivFactor,0)))</f>
        <v>0</v>
      </c>
      <c r="Q85" s="123" t="n">
        <f aca="false">(1-$I$22)*(1-$J$22)*$D$22*$E$22/4*MIN(1,MAX(0,(Q$5-$H$22+1)/$T$22))*IF(Q$5=$H$22,DelivFactor,IF(AND(Q$5&gt;$H$22,Q$5&lt;$H$22+$F$22),1,IF(Q$5=$H$22+$F$22,1-DelivFactor,0)))</f>
        <v>0</v>
      </c>
      <c r="R85" s="123" t="n">
        <f aca="false">(1-$I$22)*(1-$J$22)*$D$22*$E$22/4*MIN(1,MAX(0,(R$5-$H$22+1)/$T$22))*IF(R$5=$H$22,DelivFactor,IF(AND(R$5&gt;$H$22,R$5&lt;$H$22+$F$22),1,IF(R$5=$H$22+$F$22,1-DelivFactor,0)))</f>
        <v>0</v>
      </c>
      <c r="S85" s="123" t="n">
        <f aca="false">(1-$I$22)*(1-$J$22)*$D$22*$E$22/4*MIN(1,MAX(0,(S$5-$H$22+1)/$T$22))*IF(S$5=$H$22,DelivFactor,IF(AND(S$5&gt;$H$22,S$5&lt;$H$22+$F$22),1,IF(S$5=$H$22+$F$22,1-DelivFactor,0)))</f>
        <v>0</v>
      </c>
      <c r="T85" s="123" t="n">
        <f aca="false">(1-$I$22)*(1-$J$22)*$D$22*$E$22/4*MIN(1,MAX(0,(T$5-$H$22+1)/$T$22))*IF(T$5=$H$22,DelivFactor,IF(AND(T$5&gt;$H$22,T$5&lt;$H$22+$F$22),1,IF(T$5=$H$22+$F$22,1-DelivFactor,0)))</f>
        <v>0</v>
      </c>
      <c r="U85" s="123" t="n">
        <f aca="false">(1-$I$22)*(1-$J$22)*$D$22*$E$22/4*MIN(1,MAX(0,(U$5-$H$22+1)/$T$22))*IF(U$5=$H$22,DelivFactor,IF(AND(U$5&gt;$H$22,U$5&lt;$H$22+$F$22),1,IF(U$5=$H$22+$F$22,1-DelivFactor,0)))</f>
        <v>0</v>
      </c>
      <c r="V85" s="123" t="n">
        <f aca="false">(1-$I$22)*(1-$J$22)*$D$22*$E$22/4*MIN(1,MAX(0,(V$5-$H$22+1)/$T$22))*IF(V$5=$H$22,DelivFactor,IF(AND(V$5&gt;$H$22,V$5&lt;$H$22+$F$22),1,IF(V$5=$H$22+$F$22,1-DelivFactor,0)))</f>
        <v>0</v>
      </c>
      <c r="W85" s="123" t="n">
        <f aca="false">(1-$I$22)*(1-$J$22)*$D$22*$E$22/4*MIN(1,MAX(0,(W$5-$H$22+1)/$T$22))*IF(W$5=$H$22,DelivFactor,IF(AND(W$5&gt;$H$22,W$5&lt;$H$22+$F$22),1,IF(W$5=$H$22+$F$22,1-DelivFactor,0)))</f>
        <v>0</v>
      </c>
      <c r="X85" s="123" t="n">
        <f aca="false">(1-$I$22)*(1-$J$22)*$D$22*$E$22/4*MIN(1,MAX(0,(X$5-$H$22+1)/$T$22))*IF(X$5=$H$22,DelivFactor,IF(AND(X$5&gt;$H$22,X$5&lt;$H$22+$F$22),1,IF(X$5=$H$22+$F$22,1-DelivFactor,0)))</f>
        <v>0</v>
      </c>
      <c r="Y85" s="123" t="n">
        <f aca="false">(1-$I$22)*(1-$J$22)*$D$22*$E$22/4*MIN(1,MAX(0,(Y$5-$H$22+1)/$T$22))*IF(Y$5=$H$22,DelivFactor,IF(AND(Y$5&gt;$H$22,Y$5&lt;$H$22+$F$22),1,IF(Y$5=$H$22+$F$22,1-DelivFactor,0)))</f>
        <v>0</v>
      </c>
      <c r="Z85" s="123" t="n">
        <f aca="false">(1-$I$22)*(1-$J$22)*$D$22*$E$22/4*MIN(1,MAX(0,(Z$5-$H$22+1)/$T$22))*IF(Z$5=$H$22,DelivFactor,IF(AND(Z$5&gt;$H$22,Z$5&lt;$H$22+$F$22),1,IF(Z$5=$H$22+$F$22,1-DelivFactor,0)))</f>
        <v>0</v>
      </c>
      <c r="AA85" s="123" t="n">
        <f aca="false">(1-$I$22)*(1-$J$22)*$D$22*$E$22/4*MIN(1,MAX(0,(AA$5-$H$22+1)/$T$22))*IF(AA$5=$H$22,DelivFactor,IF(AND(AA$5&gt;$H$22,AA$5&lt;$H$22+$F$22),1,IF(AA$5=$H$22+$F$22,1-DelivFactor,0)))</f>
        <v>0</v>
      </c>
      <c r="AB85" s="123" t="n">
        <f aca="false">(1-$I$22)*(1-$J$22)*$D$22*$E$22/4*MIN(1,MAX(0,(AB$5-$H$22+1)/$T$22))*IF(AB$5=$H$22,DelivFactor,IF(AND(AB$5&gt;$H$22,AB$5&lt;$H$22+$F$22),1,IF(AB$5=$H$22+$F$22,1-DelivFactor,0)))</f>
        <v>0</v>
      </c>
      <c r="AC85" s="123" t="n">
        <f aca="false">(1-$I$22)*(1-$J$22)*$D$22*$E$22/4*MIN(1,MAX(0,(AC$5-$H$22+1)/$T$22))*IF(AC$5=$H$22,DelivFactor,IF(AND(AC$5&gt;$H$22,AC$5&lt;$H$22+$F$22),1,IF(AC$5=$H$22+$F$22,1-DelivFactor,0)))</f>
        <v>0</v>
      </c>
      <c r="AD85" s="123" t="n">
        <f aca="false">(1-$I$22)*(1-$J$22)*$D$22*$E$22/4*MIN(1,MAX(0,(AD$5-$H$22+1)/$T$22))*IF(AD$5=$H$22,DelivFactor,IF(AND(AD$5&gt;$H$22,AD$5&lt;$H$22+$F$22),1,IF(AD$5=$H$22+$F$22,1-DelivFactor,0)))</f>
        <v>0</v>
      </c>
      <c r="AE85" s="123" t="n">
        <f aca="false">(1-$I$22)*(1-$J$22)*$D$22*$E$22/4*MIN(1,MAX(0,(AE$5-$H$22+1)/$T$22))*IF(AE$5=$H$22,DelivFactor,IF(AND(AE$5&gt;$H$22,AE$5&lt;$H$22+$F$22),1,IF(AE$5=$H$22+$F$22,1-DelivFactor,0)))</f>
        <v>0</v>
      </c>
      <c r="AF85" s="123" t="n">
        <f aca="false">(1-$I$22)*(1-$J$22)*$D$22*$E$22/4*MIN(1,MAX(0,(AF$5-$H$22+1)/$T$22))*IF(AF$5=$H$22,DelivFactor,IF(AND(AF$5&gt;$H$22,AF$5&lt;$H$22+$F$22),1,IF(AF$5=$H$22+$F$22,1-DelivFactor,0)))</f>
        <v>0</v>
      </c>
      <c r="AG85" s="123" t="n">
        <f aca="false">(1-$I$22)*(1-$J$22)*$D$22*$E$22/4*MIN(1,MAX(0,(AG$5-$H$22+1)/$T$22))*IF(AG$5=$H$22,DelivFactor,IF(AND(AG$5&gt;$H$22,AG$5&lt;$H$22+$F$22),1,IF(AG$5=$H$22+$F$22,1-DelivFactor,0)))</f>
        <v>0</v>
      </c>
      <c r="AI85" s="123" t="n">
        <f aca="false">SUMIF($F$7:$AG$7,AI$7,$F85:$AG85)</f>
        <v>0</v>
      </c>
      <c r="AJ85" s="123" t="n">
        <f aca="false">SUMIF($F$7:$AG$7,AJ$7,$F85:$AG85)</f>
        <v>0</v>
      </c>
      <c r="AK85" s="123" t="n">
        <f aca="false">SUMIF($F$7:$AG$7,AK$7,$F85:$AG85)</f>
        <v>0</v>
      </c>
      <c r="AL85" s="123" t="n">
        <f aca="false">SUMIF($F$7:$AG$7,AL$7,$F85:$AG85)</f>
        <v>0</v>
      </c>
      <c r="AM85" s="123" t="n">
        <f aca="false">SUMIF($F$7:$AG$7,AM$7,$F85:$AG85)</f>
        <v>0</v>
      </c>
      <c r="AN85" s="123" t="n">
        <f aca="false">SUMIF($F$7:$AG$7,AN$7,$F85:$AG85)</f>
        <v>0</v>
      </c>
      <c r="AO85" s="123" t="n">
        <f aca="false">SUMIF($F$7:$AG$7,AO$7,$F85:$AG85)</f>
        <v>0</v>
      </c>
    </row>
    <row r="86" customFormat="false" ht="15" hidden="false" customHeight="false" outlineLevel="0" collapsed="false">
      <c r="A86" s="104" t="s">
        <v>1685</v>
      </c>
      <c r="B86" s="20" t="s">
        <v>575</v>
      </c>
      <c r="C86" s="20"/>
      <c r="D86" s="20"/>
      <c r="F86" s="113" t="n">
        <f aca="false">(1-$I$22)*(1-$J$22)*$D$22*AND(F$5&gt;=$H$22,F$5&lt;$H$22+$F$22)</f>
        <v>0</v>
      </c>
      <c r="G86" s="113" t="n">
        <f aca="false">(1-$I$22)*(1-$J$22)*$D$22*AND(G$5&gt;=$H$22,G$5&lt;$H$22+$F$22)</f>
        <v>0</v>
      </c>
      <c r="H86" s="113" t="n">
        <f aca="false">(1-$I$22)*(1-$J$22)*$D$22*AND(H$5&gt;=$H$22,H$5&lt;$H$22+$F$22)</f>
        <v>0</v>
      </c>
      <c r="I86" s="113" t="n">
        <f aca="false">(1-$I$22)*(1-$J$22)*$D$22*AND(I$5&gt;=$H$22,I$5&lt;$H$22+$F$22)</f>
        <v>0</v>
      </c>
      <c r="J86" s="113" t="n">
        <f aca="false">(1-$I$22)*(1-$J$22)*$D$22*AND(J$5&gt;=$H$22,J$5&lt;$H$22+$F$22)</f>
        <v>0</v>
      </c>
      <c r="K86" s="113" t="n">
        <f aca="false">(1-$I$22)*(1-$J$22)*$D$22*AND(K$5&gt;=$H$22,K$5&lt;$H$22+$F$22)</f>
        <v>0</v>
      </c>
      <c r="L86" s="113" t="n">
        <f aca="false">(1-$I$22)*(1-$J$22)*$D$22*AND(L$5&gt;=$H$22,L$5&lt;$H$22+$F$22)</f>
        <v>0</v>
      </c>
      <c r="M86" s="113" t="n">
        <f aca="false">(1-$I$22)*(1-$J$22)*$D$22*AND(M$5&gt;=$H$22,M$5&lt;$H$22+$F$22)</f>
        <v>0</v>
      </c>
      <c r="N86" s="113" t="n">
        <f aca="false">(1-$I$22)*(1-$J$22)*$D$22*AND(N$5&gt;=$H$22,N$5&lt;$H$22+$F$22)</f>
        <v>0</v>
      </c>
      <c r="O86" s="113" t="n">
        <f aca="false">(1-$I$22)*(1-$J$22)*$D$22*AND(O$5&gt;=$H$22,O$5&lt;$H$22+$F$22)</f>
        <v>0</v>
      </c>
      <c r="P86" s="31" t="n">
        <f aca="false">(1-$I$22)*(1-$J$22)*$D$22*AND(P$5&gt;=$H$22,P$5&lt;$H$22+$F$22)</f>
        <v>0</v>
      </c>
      <c r="Q86" s="31" t="n">
        <f aca="false">(1-$I$22)*(1-$J$22)*$D$22*AND(Q$5&gt;=$H$22,Q$5&lt;$H$22+$F$22)</f>
        <v>0</v>
      </c>
      <c r="R86" s="31" t="n">
        <f aca="false">(1-$I$22)*(1-$J$22)*$D$22*AND(R$5&gt;=$H$22,R$5&lt;$H$22+$F$22)</f>
        <v>0</v>
      </c>
      <c r="S86" s="31" t="n">
        <f aca="false">(1-$I$22)*(1-$J$22)*$D$22*AND(S$5&gt;=$H$22,S$5&lt;$H$22+$F$22)</f>
        <v>0</v>
      </c>
      <c r="T86" s="31" t="n">
        <f aca="false">(1-$I$22)*(1-$J$22)*$D$22*AND(T$5&gt;=$H$22,T$5&lt;$H$22+$F$22)</f>
        <v>0</v>
      </c>
      <c r="U86" s="31" t="n">
        <f aca="false">(1-$I$22)*(1-$J$22)*$D$22*AND(U$5&gt;=$H$22,U$5&lt;$H$22+$F$22)</f>
        <v>0</v>
      </c>
      <c r="V86" s="31" t="n">
        <f aca="false">(1-$I$22)*(1-$J$22)*$D$22*AND(V$5&gt;=$H$22,V$5&lt;$H$22+$F$22)</f>
        <v>0</v>
      </c>
      <c r="W86" s="31" t="n">
        <f aca="false">(1-$I$22)*(1-$J$22)*$D$22*AND(W$5&gt;=$H$22,W$5&lt;$H$22+$F$22)</f>
        <v>0</v>
      </c>
      <c r="X86" s="31" t="n">
        <f aca="false">(1-$I$22)*(1-$J$22)*$D$22*AND(X$5&gt;=$H$22,X$5&lt;$H$22+$F$22)</f>
        <v>0</v>
      </c>
      <c r="Y86" s="31" t="n">
        <f aca="false">(1-$I$22)*(1-$J$22)*$D$22*AND(Y$5&gt;=$H$22,Y$5&lt;$H$22+$F$22)</f>
        <v>0</v>
      </c>
      <c r="Z86" s="31" t="n">
        <f aca="false">(1-$I$22)*(1-$J$22)*$D$22*AND(Z$5&gt;=$H$22,Z$5&lt;$H$22+$F$22)</f>
        <v>0</v>
      </c>
      <c r="AA86" s="31" t="n">
        <f aca="false">(1-$I$22)*(1-$J$22)*$D$22*AND(AA$5&gt;=$H$22,AA$5&lt;$H$22+$F$22)</f>
        <v>0</v>
      </c>
      <c r="AB86" s="31" t="n">
        <f aca="false">(1-$I$22)*(1-$J$22)*$D$22*AND(AB$5&gt;=$H$22,AB$5&lt;$H$22+$F$22)</f>
        <v>0</v>
      </c>
      <c r="AC86" s="31" t="n">
        <f aca="false">(1-$I$22)*(1-$J$22)*$D$22*AND(AC$5&gt;=$H$22,AC$5&lt;$H$22+$F$22)</f>
        <v>0</v>
      </c>
      <c r="AD86" s="31" t="n">
        <f aca="false">(1-$I$22)*(1-$J$22)*$D$22*AND(AD$5&gt;=$H$22,AD$5&lt;$H$22+$F$22)</f>
        <v>0</v>
      </c>
      <c r="AE86" s="31" t="n">
        <f aca="false">(1-$I$22)*(1-$J$22)*$D$22*AND(AE$5&gt;=$H$22,AE$5&lt;$H$22+$F$22)</f>
        <v>0</v>
      </c>
      <c r="AF86" s="31" t="n">
        <f aca="false">(1-$I$22)*(1-$J$22)*$D$22*AND(AF$5&gt;=$H$22,AF$5&lt;$H$22+$F$22)</f>
        <v>0</v>
      </c>
      <c r="AG86" s="31" t="n">
        <f aca="false">(1-$I$22)*(1-$J$22)*$D$22*AND(AG$5&gt;=$H$22,AG$5&lt;$H$22+$F$22)</f>
        <v>0</v>
      </c>
      <c r="AI86" s="31" t="n">
        <f aca="false">INDEX($F86:$AG86,1,MATCH(AI$7,$F$7:$AG$7,1))</f>
        <v>0</v>
      </c>
      <c r="AJ86" s="31" t="n">
        <f aca="false">INDEX($F86:$AG86,1,MATCH(AJ$7,$F$7:$AG$7,1))</f>
        <v>0</v>
      </c>
      <c r="AK86" s="31" t="n">
        <f aca="false">INDEX($F86:$AG86,1,MATCH(AK$7,$F$7:$AG$7,1))</f>
        <v>0</v>
      </c>
      <c r="AL86" s="31" t="n">
        <f aca="false">INDEX($F86:$AG86,1,MATCH(AL$7,$F$7:$AG$7,1))</f>
        <v>0</v>
      </c>
      <c r="AM86" s="31" t="n">
        <f aca="false">INDEX($F86:$AG86,1,MATCH(AM$7,$F$7:$AG$7,1))</f>
        <v>0</v>
      </c>
      <c r="AN86" s="31" t="n">
        <f aca="false">INDEX($F86:$AG86,1,MATCH(AN$7,$F$7:$AG$7,1))</f>
        <v>0</v>
      </c>
      <c r="AO86" s="31" t="n">
        <f aca="false">INDEX($F86:$AG86,1,MATCH(AO$7,$F$7:$AG$7,1))</f>
        <v>0</v>
      </c>
    </row>
    <row r="87" customFormat="false" ht="15" hidden="false" customHeight="false" outlineLevel="0" collapsed="false">
      <c r="A87" s="104" t="s">
        <v>1686</v>
      </c>
      <c r="B87" s="20" t="s">
        <v>561</v>
      </c>
      <c r="C87" s="20"/>
      <c r="D87" s="20"/>
      <c r="F87" s="122" t="n">
        <f aca="false">-(1-$I$22)*LD_Pct*$D$22*$E$22/4*AND(F$5&gt;=$G$22,F$5&lt;$H$22)</f>
        <v>-0</v>
      </c>
      <c r="G87" s="122" t="n">
        <f aca="false">-(1-$I$22)*LD_Pct*$D$22*$E$22/4*AND(G$5&gt;=$G$22,G$5&lt;$H$22)</f>
        <v>-0</v>
      </c>
      <c r="H87" s="122" t="n">
        <f aca="false">-(1-$I$22)*LD_Pct*$D$22*$E$22/4*AND(H$5&gt;=$G$22,H$5&lt;$H$22)</f>
        <v>-0</v>
      </c>
      <c r="I87" s="122" t="n">
        <f aca="false">-(1-$I$22)*LD_Pct*$D$22*$E$22/4*AND(I$5&gt;=$G$22,I$5&lt;$H$22)</f>
        <v>-0</v>
      </c>
      <c r="J87" s="122" t="n">
        <f aca="false">-(1-$I$22)*LD_Pct*$D$22*$E$22/4*AND(J$5&gt;=$G$22,J$5&lt;$H$22)</f>
        <v>-0</v>
      </c>
      <c r="K87" s="122" t="n">
        <f aca="false">-(1-$I$22)*LD_Pct*$D$22*$E$22/4*AND(K$5&gt;=$G$22,K$5&lt;$H$22)</f>
        <v>-0</v>
      </c>
      <c r="L87" s="122" t="n">
        <f aca="false">-(1-$I$22)*LD_Pct*$D$22*$E$22/4*AND(L$5&gt;=$G$22,L$5&lt;$H$22)</f>
        <v>-0</v>
      </c>
      <c r="M87" s="122" t="n">
        <f aca="false">-(1-$I$22)*LD_Pct*$D$22*$E$22/4*AND(M$5&gt;=$G$22,M$5&lt;$H$22)</f>
        <v>-0</v>
      </c>
      <c r="N87" s="122" t="n">
        <f aca="false">-(1-$I$22)*LD_Pct*$D$22*$E$22/4*AND(N$5&gt;=$G$22,N$5&lt;$H$22)</f>
        <v>-0</v>
      </c>
      <c r="O87" s="122" t="n">
        <f aca="false">-(1-$I$22)*LD_Pct*$D$22*$E$22/4*AND(O$5&gt;=$G$22,O$5&lt;$H$22)</f>
        <v>-0</v>
      </c>
      <c r="P87" s="123" t="n">
        <f aca="false">-(1-$I$22)*LD_Pct*$D$22*$E$22/4*AND(P$5&gt;=$G$22,P$5&lt;$H$22)</f>
        <v>-0</v>
      </c>
      <c r="Q87" s="123" t="n">
        <f aca="false">-(1-$I$22)*LD_Pct*$D$22*$E$22/4*AND(Q$5&gt;=$G$22,Q$5&lt;$H$22)</f>
        <v>-0</v>
      </c>
      <c r="R87" s="123" t="n">
        <f aca="false">-(1-$I$22)*LD_Pct*$D$22*$E$22/4*AND(R$5&gt;=$G$22,R$5&lt;$H$22)</f>
        <v>-0</v>
      </c>
      <c r="S87" s="123" t="n">
        <f aca="false">-(1-$I$22)*LD_Pct*$D$22*$E$22/4*AND(S$5&gt;=$G$22,S$5&lt;$H$22)</f>
        <v>-0</v>
      </c>
      <c r="T87" s="123" t="n">
        <f aca="false">-(1-$I$22)*LD_Pct*$D$22*$E$22/4*AND(T$5&gt;=$G$22,T$5&lt;$H$22)</f>
        <v>-0</v>
      </c>
      <c r="U87" s="123" t="n">
        <f aca="false">-(1-$I$22)*LD_Pct*$D$22*$E$22/4*AND(U$5&gt;=$G$22,U$5&lt;$H$22)</f>
        <v>-0</v>
      </c>
      <c r="V87" s="123" t="n">
        <f aca="false">-(1-$I$22)*LD_Pct*$D$22*$E$22/4*AND(V$5&gt;=$G$22,V$5&lt;$H$22)</f>
        <v>-0</v>
      </c>
      <c r="W87" s="123" t="n">
        <f aca="false">-(1-$I$22)*LD_Pct*$D$22*$E$22/4*AND(W$5&gt;=$G$22,W$5&lt;$H$22)</f>
        <v>-0</v>
      </c>
      <c r="X87" s="123" t="n">
        <f aca="false">-(1-$I$22)*LD_Pct*$D$22*$E$22/4*AND(X$5&gt;=$G$22,X$5&lt;$H$22)</f>
        <v>-0</v>
      </c>
      <c r="Y87" s="123" t="n">
        <f aca="false">-(1-$I$22)*LD_Pct*$D$22*$E$22/4*AND(Y$5&gt;=$G$22,Y$5&lt;$H$22)</f>
        <v>-0</v>
      </c>
      <c r="Z87" s="123" t="n">
        <f aca="false">-(1-$I$22)*LD_Pct*$D$22*$E$22/4*AND(Z$5&gt;=$G$22,Z$5&lt;$H$22)</f>
        <v>-0</v>
      </c>
      <c r="AA87" s="123" t="n">
        <f aca="false">-(1-$I$22)*LD_Pct*$D$22*$E$22/4*AND(AA$5&gt;=$G$22,AA$5&lt;$H$22)</f>
        <v>-0</v>
      </c>
      <c r="AB87" s="123" t="n">
        <f aca="false">-(1-$I$22)*LD_Pct*$D$22*$E$22/4*AND(AB$5&gt;=$G$22,AB$5&lt;$H$22)</f>
        <v>-0</v>
      </c>
      <c r="AC87" s="123" t="n">
        <f aca="false">-(1-$I$22)*LD_Pct*$D$22*$E$22/4*AND(AC$5&gt;=$G$22,AC$5&lt;$H$22)</f>
        <v>-0</v>
      </c>
      <c r="AD87" s="123" t="n">
        <f aca="false">-(1-$I$22)*LD_Pct*$D$22*$E$22/4*AND(AD$5&gt;=$G$22,AD$5&lt;$H$22)</f>
        <v>-0</v>
      </c>
      <c r="AE87" s="123" t="n">
        <f aca="false">-(1-$I$22)*LD_Pct*$D$22*$E$22/4*AND(AE$5&gt;=$G$22,AE$5&lt;$H$22)</f>
        <v>-0</v>
      </c>
      <c r="AF87" s="123" t="n">
        <f aca="false">-(1-$I$22)*LD_Pct*$D$22*$E$22/4*AND(AF$5&gt;=$G$22,AF$5&lt;$H$22)</f>
        <v>-0</v>
      </c>
      <c r="AG87" s="123" t="n">
        <f aca="false">-(1-$I$22)*LD_Pct*$D$22*$E$22/4*AND(AG$5&gt;=$G$22,AG$5&lt;$H$22)</f>
        <v>-0</v>
      </c>
      <c r="AI87" s="123" t="n">
        <f aca="false">SUMIF($F$7:$AG$7,AI$7,$F87:$AG87)</f>
        <v>0</v>
      </c>
      <c r="AJ87" s="123" t="n">
        <f aca="false">SUMIF($F$7:$AG$7,AJ$7,$F87:$AG87)</f>
        <v>0</v>
      </c>
      <c r="AK87" s="123" t="n">
        <f aca="false">SUMIF($F$7:$AG$7,AK$7,$F87:$AG87)</f>
        <v>0</v>
      </c>
      <c r="AL87" s="123" t="n">
        <f aca="false">SUMIF($F$7:$AG$7,AL$7,$F87:$AG87)</f>
        <v>0</v>
      </c>
      <c r="AM87" s="123" t="n">
        <f aca="false">SUMIF($F$7:$AG$7,AM$7,$F87:$AG87)</f>
        <v>0</v>
      </c>
      <c r="AN87" s="123" t="n">
        <f aca="false">SUMIF($F$7:$AG$7,AN$7,$F87:$AG87)</f>
        <v>0</v>
      </c>
      <c r="AO87" s="123" t="n">
        <f aca="false">SUMIF($F$7:$AG$7,AO$7,$F87:$AG87)</f>
        <v>0</v>
      </c>
    </row>
    <row r="88" customFormat="false" ht="15" hidden="false" customHeight="false" outlineLevel="0" collapsed="false">
      <c r="A88" s="104" t="s">
        <v>1687</v>
      </c>
      <c r="B88" s="20" t="s">
        <v>575</v>
      </c>
      <c r="C88" s="20"/>
      <c r="D88" s="20"/>
      <c r="F88" s="113" t="n">
        <f aca="false">(1-$I$22)*(1-$J$22)*$D$22*(F$5&gt;=$H$22+$F$22)</f>
        <v>0</v>
      </c>
      <c r="G88" s="113" t="n">
        <f aca="false">(1-$I$22)*(1-$J$22)*$D$22*(G$5&gt;=$H$22+$F$22)</f>
        <v>0</v>
      </c>
      <c r="H88" s="113" t="n">
        <f aca="false">(1-$I$22)*(1-$J$22)*$D$22*(H$5&gt;=$H$22+$F$22)</f>
        <v>0</v>
      </c>
      <c r="I88" s="113" t="n">
        <f aca="false">(1-$I$22)*(1-$J$22)*$D$22*(I$5&gt;=$H$22+$F$22)</f>
        <v>0</v>
      </c>
      <c r="J88" s="113" t="n">
        <f aca="false">(1-$I$22)*(1-$J$22)*$D$22*(J$5&gt;=$H$22+$F$22)</f>
        <v>0</v>
      </c>
      <c r="K88" s="113" t="n">
        <f aca="false">(1-$I$22)*(1-$J$22)*$D$22*(K$5&gt;=$H$22+$F$22)</f>
        <v>0</v>
      </c>
      <c r="L88" s="113" t="n">
        <f aca="false">(1-$I$22)*(1-$J$22)*$D$22*(L$5&gt;=$H$22+$F$22)</f>
        <v>0</v>
      </c>
      <c r="M88" s="113" t="n">
        <f aca="false">(1-$I$22)*(1-$J$22)*$D$22*(M$5&gt;=$H$22+$F$22)</f>
        <v>0</v>
      </c>
      <c r="N88" s="113" t="n">
        <f aca="false">(1-$I$22)*(1-$J$22)*$D$22*(N$5&gt;=$H$22+$F$22)</f>
        <v>0</v>
      </c>
      <c r="O88" s="113" t="n">
        <f aca="false">(1-$I$22)*(1-$J$22)*$D$22*(O$5&gt;=$H$22+$F$22)</f>
        <v>0</v>
      </c>
      <c r="P88" s="31" t="n">
        <f aca="false">(1-$I$22)*(1-$J$22)*$D$22*(P$5&gt;=$H$22+$F$22)</f>
        <v>0</v>
      </c>
      <c r="Q88" s="31" t="n">
        <f aca="false">(1-$I$22)*(1-$J$22)*$D$22*(Q$5&gt;=$H$22+$F$22)</f>
        <v>0</v>
      </c>
      <c r="R88" s="31" t="n">
        <f aca="false">(1-$I$22)*(1-$J$22)*$D$22*(R$5&gt;=$H$22+$F$22)</f>
        <v>0</v>
      </c>
      <c r="S88" s="31" t="n">
        <f aca="false">(1-$I$22)*(1-$J$22)*$D$22*(S$5&gt;=$H$22+$F$22)</f>
        <v>0</v>
      </c>
      <c r="T88" s="31" t="n">
        <f aca="false">(1-$I$22)*(1-$J$22)*$D$22*(T$5&gt;=$H$22+$F$22)</f>
        <v>0</v>
      </c>
      <c r="U88" s="31" t="n">
        <f aca="false">(1-$I$22)*(1-$J$22)*$D$22*(U$5&gt;=$H$22+$F$22)</f>
        <v>0</v>
      </c>
      <c r="V88" s="31" t="n">
        <f aca="false">(1-$I$22)*(1-$J$22)*$D$22*(V$5&gt;=$H$22+$F$22)</f>
        <v>0</v>
      </c>
      <c r="W88" s="31" t="n">
        <f aca="false">(1-$I$22)*(1-$J$22)*$D$22*(W$5&gt;=$H$22+$F$22)</f>
        <v>0</v>
      </c>
      <c r="X88" s="31" t="n">
        <f aca="false">(1-$I$22)*(1-$J$22)*$D$22*(X$5&gt;=$H$22+$F$22)</f>
        <v>0</v>
      </c>
      <c r="Y88" s="31" t="n">
        <f aca="false">(1-$I$22)*(1-$J$22)*$D$22*(Y$5&gt;=$H$22+$F$22)</f>
        <v>0</v>
      </c>
      <c r="Z88" s="31" t="n">
        <f aca="false">(1-$I$22)*(1-$J$22)*$D$22*(Z$5&gt;=$H$22+$F$22)</f>
        <v>0</v>
      </c>
      <c r="AA88" s="31" t="n">
        <f aca="false">(1-$I$22)*(1-$J$22)*$D$22*(AA$5&gt;=$H$22+$F$22)</f>
        <v>0</v>
      </c>
      <c r="AB88" s="31" t="n">
        <f aca="false">(1-$I$22)*(1-$J$22)*$D$22*(AB$5&gt;=$H$22+$F$22)</f>
        <v>0</v>
      </c>
      <c r="AC88" s="31" t="n">
        <f aca="false">(1-$I$22)*(1-$J$22)*$D$22*(AC$5&gt;=$H$22+$F$22)</f>
        <v>0</v>
      </c>
      <c r="AD88" s="31" t="n">
        <f aca="false">(1-$I$22)*(1-$J$22)*$D$22*(AD$5&gt;=$H$22+$F$22)</f>
        <v>0</v>
      </c>
      <c r="AE88" s="31" t="n">
        <f aca="false">(1-$I$22)*(1-$J$22)*$D$22*(AE$5&gt;=$H$22+$F$22)</f>
        <v>0</v>
      </c>
      <c r="AF88" s="31" t="n">
        <f aca="false">(1-$I$22)*(1-$J$22)*$D$22*(AF$5&gt;=$H$22+$F$22)</f>
        <v>0</v>
      </c>
      <c r="AG88" s="31" t="n">
        <f aca="false">(1-$I$22)*(1-$J$22)*$D$22*(AG$5&gt;=$H$22+$F$22)</f>
        <v>0</v>
      </c>
      <c r="AI88" s="31" t="n">
        <f aca="false">INDEX($F88:$AG88,1,MATCH(AI$7,$F$7:$AG$7,1))</f>
        <v>0</v>
      </c>
      <c r="AJ88" s="31" t="n">
        <f aca="false">INDEX($F88:$AG88,1,MATCH(AJ$7,$F$7:$AG$7,1))</f>
        <v>0</v>
      </c>
      <c r="AK88" s="31" t="n">
        <f aca="false">INDEX($F88:$AG88,1,MATCH(AK$7,$F$7:$AG$7,1))</f>
        <v>0</v>
      </c>
      <c r="AL88" s="31" t="n">
        <f aca="false">INDEX($F88:$AG88,1,MATCH(AL$7,$F$7:$AG$7,1))</f>
        <v>0</v>
      </c>
      <c r="AM88" s="31" t="n">
        <f aca="false">INDEX($F88:$AG88,1,MATCH(AM$7,$F$7:$AG$7,1))</f>
        <v>0</v>
      </c>
      <c r="AN88" s="31" t="n">
        <f aca="false">INDEX($F88:$AG88,1,MATCH(AN$7,$F$7:$AG$7,1))</f>
        <v>0</v>
      </c>
      <c r="AO88" s="31" t="n">
        <f aca="false">INDEX($F88:$AG88,1,MATCH(AO$7,$F$7:$AG$7,1))</f>
        <v>0</v>
      </c>
    </row>
    <row r="89" customFormat="false" ht="15" hidden="false" customHeight="false" outlineLevel="0" collapsed="false">
      <c r="A89" s="104" t="s">
        <v>1688</v>
      </c>
      <c r="B89" s="20" t="s">
        <v>561</v>
      </c>
      <c r="C89" s="20"/>
      <c r="D89" s="20" t="s">
        <v>1638</v>
      </c>
      <c r="F89" s="122" t="n">
        <f aca="false">F88*CHOOSE(MATCH($C$22,{"H";"B";"N"},0),GPUMW_H*ODc_H,GPUMW_B*ODc_B,GPUMW_N*ODc_N)*ResidUtil*Timeline!F$9*INDEX(Curve,1,MAX(1,MIN(8,INT((F$5-$H$22)/4)+1)))/1000000</f>
        <v>0</v>
      </c>
      <c r="G89" s="122" t="n">
        <f aca="false">G88*CHOOSE(MATCH($C$22,{"H";"B";"N"},0),GPUMW_H*ODc_H,GPUMW_B*ODc_B,GPUMW_N*ODc_N)*ResidUtil*Timeline!G$9*INDEX(Curve,1,MAX(1,MIN(8,INT((G$5-$H$22)/4)+1)))/1000000</f>
        <v>0</v>
      </c>
      <c r="H89" s="122" t="n">
        <f aca="false">H88*CHOOSE(MATCH($C$22,{"H";"B";"N"},0),GPUMW_H*ODc_H,GPUMW_B*ODc_B,GPUMW_N*ODc_N)*ResidUtil*Timeline!H$9*INDEX(Curve,1,MAX(1,MIN(8,INT((H$5-$H$22)/4)+1)))/1000000</f>
        <v>0</v>
      </c>
      <c r="I89" s="122" t="n">
        <f aca="false">I88*CHOOSE(MATCH($C$22,{"H";"B";"N"},0),GPUMW_H*ODc_H,GPUMW_B*ODc_B,GPUMW_N*ODc_N)*ResidUtil*Timeline!I$9*INDEX(Curve,1,MAX(1,MIN(8,INT((I$5-$H$22)/4)+1)))/1000000</f>
        <v>0</v>
      </c>
      <c r="J89" s="122" t="n">
        <f aca="false">J88*CHOOSE(MATCH($C$22,{"H";"B";"N"},0),GPUMW_H*ODc_H,GPUMW_B*ODc_B,GPUMW_N*ODc_N)*ResidUtil*Timeline!J$9*INDEX(Curve,1,MAX(1,MIN(8,INT((J$5-$H$22)/4)+1)))/1000000</f>
        <v>0</v>
      </c>
      <c r="K89" s="122" t="n">
        <f aca="false">K88*CHOOSE(MATCH($C$22,{"H";"B";"N"},0),GPUMW_H*ODc_H,GPUMW_B*ODc_B,GPUMW_N*ODc_N)*ResidUtil*Timeline!K$9*INDEX(Curve,1,MAX(1,MIN(8,INT((K$5-$H$22)/4)+1)))/1000000</f>
        <v>0</v>
      </c>
      <c r="L89" s="122" t="n">
        <f aca="false">L88*CHOOSE(MATCH($C$22,{"H";"B";"N"},0),GPUMW_H*ODc_H,GPUMW_B*ODc_B,GPUMW_N*ODc_N)*ResidUtil*Timeline!L$9*INDEX(Curve,1,MAX(1,MIN(8,INT((L$5-$H$22)/4)+1)))/1000000</f>
        <v>0</v>
      </c>
      <c r="M89" s="122" t="n">
        <f aca="false">M88*CHOOSE(MATCH($C$22,{"H";"B";"N"},0),GPUMW_H*ODc_H,GPUMW_B*ODc_B,GPUMW_N*ODc_N)*ResidUtil*Timeline!M$9*INDEX(Curve,1,MAX(1,MIN(8,INT((M$5-$H$22)/4)+1)))/1000000</f>
        <v>0</v>
      </c>
      <c r="N89" s="122" t="n">
        <f aca="false">N88*CHOOSE(MATCH($C$22,{"H";"B";"N"},0),GPUMW_H*ODc_H,GPUMW_B*ODc_B,GPUMW_N*ODc_N)*ResidUtil*Timeline!N$9*INDEX(Curve,1,MAX(1,MIN(8,INT((N$5-$H$22)/4)+1)))/1000000</f>
        <v>0</v>
      </c>
      <c r="O89" s="122" t="n">
        <f aca="false">O88*CHOOSE(MATCH($C$22,{"H";"B";"N"},0),GPUMW_H*ODc_H,GPUMW_B*ODc_B,GPUMW_N*ODc_N)*ResidUtil*Timeline!O$9*INDEX(Curve,1,MAX(1,MIN(8,INT((O$5-$H$22)/4)+1)))/1000000</f>
        <v>0</v>
      </c>
      <c r="P89" s="123" t="n">
        <f aca="false">P88*CHOOSE(MATCH($C$22,{"H";"B";"N"},0),GPUMW_H*ODc_H,GPUMW_B*ODc_B,GPUMW_N*ODc_N)*ResidUtil*Timeline!P$9*INDEX(Curve,1,MAX(1,MIN(8,INT((P$5-$H$22)/4)+1)))/1000000</f>
        <v>0</v>
      </c>
      <c r="Q89" s="123" t="n">
        <f aca="false">Q88*CHOOSE(MATCH($C$22,{"H";"B";"N"},0),GPUMW_H*ODc_H,GPUMW_B*ODc_B,GPUMW_N*ODc_N)*ResidUtil*Timeline!Q$9*INDEX(Curve,1,MAX(1,MIN(8,INT((Q$5-$H$22)/4)+1)))/1000000</f>
        <v>0</v>
      </c>
      <c r="R89" s="123" t="n">
        <f aca="false">R88*CHOOSE(MATCH($C$22,{"H";"B";"N"},0),GPUMW_H*ODc_H,GPUMW_B*ODc_B,GPUMW_N*ODc_N)*ResidUtil*Timeline!R$9*INDEX(Curve,1,MAX(1,MIN(8,INT((R$5-$H$22)/4)+1)))/1000000</f>
        <v>0</v>
      </c>
      <c r="S89" s="123" t="n">
        <f aca="false">S88*CHOOSE(MATCH($C$22,{"H";"B";"N"},0),GPUMW_H*ODc_H,GPUMW_B*ODc_B,GPUMW_N*ODc_N)*ResidUtil*Timeline!S$9*INDEX(Curve,1,MAX(1,MIN(8,INT((S$5-$H$22)/4)+1)))/1000000</f>
        <v>0</v>
      </c>
      <c r="T89" s="123" t="n">
        <f aca="false">T88*CHOOSE(MATCH($C$22,{"H";"B";"N"},0),GPUMW_H*ODc_H,GPUMW_B*ODc_B,GPUMW_N*ODc_N)*ResidUtil*Timeline!T$9*INDEX(Curve,1,MAX(1,MIN(8,INT((T$5-$H$22)/4)+1)))/1000000</f>
        <v>0</v>
      </c>
      <c r="U89" s="123" t="n">
        <f aca="false">U88*CHOOSE(MATCH($C$22,{"H";"B";"N"},0),GPUMW_H*ODc_H,GPUMW_B*ODc_B,GPUMW_N*ODc_N)*ResidUtil*Timeline!U$9*INDEX(Curve,1,MAX(1,MIN(8,INT((U$5-$H$22)/4)+1)))/1000000</f>
        <v>0</v>
      </c>
      <c r="V89" s="123" t="n">
        <f aca="false">V88*CHOOSE(MATCH($C$22,{"H";"B";"N"},0),GPUMW_H*ODc_H,GPUMW_B*ODc_B,GPUMW_N*ODc_N)*ResidUtil*Timeline!V$9*INDEX(Curve,1,MAX(1,MIN(8,INT((V$5-$H$22)/4)+1)))/1000000</f>
        <v>0</v>
      </c>
      <c r="W89" s="123" t="n">
        <f aca="false">W88*CHOOSE(MATCH($C$22,{"H";"B";"N"},0),GPUMW_H*ODc_H,GPUMW_B*ODc_B,GPUMW_N*ODc_N)*ResidUtil*Timeline!W$9*INDEX(Curve,1,MAX(1,MIN(8,INT((W$5-$H$22)/4)+1)))/1000000</f>
        <v>0</v>
      </c>
      <c r="X89" s="123" t="n">
        <f aca="false">X88*CHOOSE(MATCH($C$22,{"H";"B";"N"},0),GPUMW_H*ODc_H,GPUMW_B*ODc_B,GPUMW_N*ODc_N)*ResidUtil*Timeline!X$9*INDEX(Curve,1,MAX(1,MIN(8,INT((X$5-$H$22)/4)+1)))/1000000</f>
        <v>0</v>
      </c>
      <c r="Y89" s="123" t="n">
        <f aca="false">Y88*CHOOSE(MATCH($C$22,{"H";"B";"N"},0),GPUMW_H*ODc_H,GPUMW_B*ODc_B,GPUMW_N*ODc_N)*ResidUtil*Timeline!Y$9*INDEX(Curve,1,MAX(1,MIN(8,INT((Y$5-$H$22)/4)+1)))/1000000</f>
        <v>0</v>
      </c>
      <c r="Z89" s="123" t="n">
        <f aca="false">Z88*CHOOSE(MATCH($C$22,{"H";"B";"N"},0),GPUMW_H*ODc_H,GPUMW_B*ODc_B,GPUMW_N*ODc_N)*ResidUtil*Timeline!Z$9*INDEX(Curve,1,MAX(1,MIN(8,INT((Z$5-$H$22)/4)+1)))/1000000</f>
        <v>0</v>
      </c>
      <c r="AA89" s="123" t="n">
        <f aca="false">AA88*CHOOSE(MATCH($C$22,{"H";"B";"N"},0),GPUMW_H*ODc_H,GPUMW_B*ODc_B,GPUMW_N*ODc_N)*ResidUtil*Timeline!AA$9*INDEX(Curve,1,MAX(1,MIN(8,INT((AA$5-$H$22)/4)+1)))/1000000</f>
        <v>0</v>
      </c>
      <c r="AB89" s="123" t="n">
        <f aca="false">AB88*CHOOSE(MATCH($C$22,{"H";"B";"N"},0),GPUMW_H*ODc_H,GPUMW_B*ODc_B,GPUMW_N*ODc_N)*ResidUtil*Timeline!AB$9*INDEX(Curve,1,MAX(1,MIN(8,INT((AB$5-$H$22)/4)+1)))/1000000</f>
        <v>0</v>
      </c>
      <c r="AC89" s="123" t="n">
        <f aca="false">AC88*CHOOSE(MATCH($C$22,{"H";"B";"N"},0),GPUMW_H*ODc_H,GPUMW_B*ODc_B,GPUMW_N*ODc_N)*ResidUtil*Timeline!AC$9*INDEX(Curve,1,MAX(1,MIN(8,INT((AC$5-$H$22)/4)+1)))/1000000</f>
        <v>0</v>
      </c>
      <c r="AD89" s="123" t="n">
        <f aca="false">AD88*CHOOSE(MATCH($C$22,{"H";"B";"N"},0),GPUMW_H*ODc_H,GPUMW_B*ODc_B,GPUMW_N*ODc_N)*ResidUtil*Timeline!AD$9*INDEX(Curve,1,MAX(1,MIN(8,INT((AD$5-$H$22)/4)+1)))/1000000</f>
        <v>0</v>
      </c>
      <c r="AE89" s="123" t="n">
        <f aca="false">AE88*CHOOSE(MATCH($C$22,{"H";"B";"N"},0),GPUMW_H*ODc_H,GPUMW_B*ODc_B,GPUMW_N*ODc_N)*ResidUtil*Timeline!AE$9*INDEX(Curve,1,MAX(1,MIN(8,INT((AE$5-$H$22)/4)+1)))/1000000</f>
        <v>0</v>
      </c>
      <c r="AF89" s="123" t="n">
        <f aca="false">AF88*CHOOSE(MATCH($C$22,{"H";"B";"N"},0),GPUMW_H*ODc_H,GPUMW_B*ODc_B,GPUMW_N*ODc_N)*ResidUtil*Timeline!AF$9*INDEX(Curve,1,MAX(1,MIN(8,INT((AF$5-$H$22)/4)+1)))/1000000</f>
        <v>0</v>
      </c>
      <c r="AG89" s="123" t="n">
        <f aca="false">AG88*CHOOSE(MATCH($C$22,{"H";"B";"N"},0),GPUMW_H*ODc_H,GPUMW_B*ODc_B,GPUMW_N*ODc_N)*ResidUtil*Timeline!AG$9*INDEX(Curve,1,MAX(1,MIN(8,INT((AG$5-$H$22)/4)+1)))/1000000</f>
        <v>0</v>
      </c>
      <c r="AI89" s="123" t="n">
        <f aca="false">SUMIF($F$7:$AG$7,AI$7,$F89:$AG89)</f>
        <v>0</v>
      </c>
      <c r="AJ89" s="123" t="n">
        <f aca="false">SUMIF($F$7:$AG$7,AJ$7,$F89:$AG89)</f>
        <v>0</v>
      </c>
      <c r="AK89" s="123" t="n">
        <f aca="false">SUMIF($F$7:$AG$7,AK$7,$F89:$AG89)</f>
        <v>0</v>
      </c>
      <c r="AL89" s="123" t="n">
        <f aca="false">SUMIF($F$7:$AG$7,AL$7,$F89:$AG89)</f>
        <v>0</v>
      </c>
      <c r="AM89" s="123" t="n">
        <f aca="false">SUMIF($F$7:$AG$7,AM$7,$F89:$AG89)</f>
        <v>0</v>
      </c>
      <c r="AN89" s="123" t="n">
        <f aca="false">SUMIF($F$7:$AG$7,AN$7,$F89:$AG89)</f>
        <v>0</v>
      </c>
      <c r="AO89" s="123" t="n">
        <f aca="false">SUMIF($F$7:$AG$7,AO$7,$F89:$AG89)</f>
        <v>0</v>
      </c>
    </row>
    <row r="90" customFormat="false" ht="15" hidden="false" customHeight="false" outlineLevel="0" collapsed="false">
      <c r="A90" s="104" t="s">
        <v>1689</v>
      </c>
      <c r="B90" s="20" t="s">
        <v>561</v>
      </c>
      <c r="C90" s="20"/>
      <c r="D90" s="20"/>
      <c r="F90" s="122" t="n">
        <f aca="false">(1-$I$23)*(1-$J$23)*$D$23*$E$23/4*MIN(1,MAX(0,(F$5-$H$23+1)/$T$23))*IF(F$5=$H$23,DelivFactor,IF(AND(F$5&gt;$H$23,F$5&lt;$H$23+$F$23),1,IF(F$5=$H$23+$F$23,1-DelivFactor,0)))</f>
        <v>0</v>
      </c>
      <c r="G90" s="122" t="n">
        <f aca="false">(1-$I$23)*(1-$J$23)*$D$23*$E$23/4*MIN(1,MAX(0,(G$5-$H$23+1)/$T$23))*IF(G$5=$H$23,DelivFactor,IF(AND(G$5&gt;$H$23,G$5&lt;$H$23+$F$23),1,IF(G$5=$H$23+$F$23,1-DelivFactor,0)))</f>
        <v>0</v>
      </c>
      <c r="H90" s="122" t="n">
        <f aca="false">(1-$I$23)*(1-$J$23)*$D$23*$E$23/4*MIN(1,MAX(0,(H$5-$H$23+1)/$T$23))*IF(H$5=$H$23,DelivFactor,IF(AND(H$5&gt;$H$23,H$5&lt;$H$23+$F$23),1,IF(H$5=$H$23+$F$23,1-DelivFactor,0)))</f>
        <v>0</v>
      </c>
      <c r="I90" s="122" t="n">
        <f aca="false">(1-$I$23)*(1-$J$23)*$D$23*$E$23/4*MIN(1,MAX(0,(I$5-$H$23+1)/$T$23))*IF(I$5=$H$23,DelivFactor,IF(AND(I$5&gt;$H$23,I$5&lt;$H$23+$F$23),1,IF(I$5=$H$23+$F$23,1-DelivFactor,0)))</f>
        <v>0</v>
      </c>
      <c r="J90" s="122" t="n">
        <f aca="false">(1-$I$23)*(1-$J$23)*$D$23*$E$23/4*MIN(1,MAX(0,(J$5-$H$23+1)/$T$23))*IF(J$5=$H$23,DelivFactor,IF(AND(J$5&gt;$H$23,J$5&lt;$H$23+$F$23),1,IF(J$5=$H$23+$F$23,1-DelivFactor,0)))</f>
        <v>0</v>
      </c>
      <c r="K90" s="122" t="n">
        <f aca="false">(1-$I$23)*(1-$J$23)*$D$23*$E$23/4*MIN(1,MAX(0,(K$5-$H$23+1)/$T$23))*IF(K$5=$H$23,DelivFactor,IF(AND(K$5&gt;$H$23,K$5&lt;$H$23+$F$23),1,IF(K$5=$H$23+$F$23,1-DelivFactor,0)))</f>
        <v>0</v>
      </c>
      <c r="L90" s="122" t="n">
        <f aca="false">(1-$I$23)*(1-$J$23)*$D$23*$E$23/4*MIN(1,MAX(0,(L$5-$H$23+1)/$T$23))*IF(L$5=$H$23,DelivFactor,IF(AND(L$5&gt;$H$23,L$5&lt;$H$23+$F$23),1,IF(L$5=$H$23+$F$23,1-DelivFactor,0)))</f>
        <v>0</v>
      </c>
      <c r="M90" s="122" t="n">
        <f aca="false">(1-$I$23)*(1-$J$23)*$D$23*$E$23/4*MIN(1,MAX(0,(M$5-$H$23+1)/$T$23))*IF(M$5=$H$23,DelivFactor,IF(AND(M$5&gt;$H$23,M$5&lt;$H$23+$F$23),1,IF(M$5=$H$23+$F$23,1-DelivFactor,0)))</f>
        <v>36.00875</v>
      </c>
      <c r="N90" s="122" t="n">
        <f aca="false">(1-$I$23)*(1-$J$23)*$D$23*$E$23/4*MIN(1,MAX(0,(N$5-$H$23+1)/$T$23))*IF(N$5=$H$23,DelivFactor,IF(AND(N$5&gt;$H$23,N$5&lt;$H$23+$F$23),1,IF(N$5=$H$23+$F$23,1-DelivFactor,0)))</f>
        <v>72.0175</v>
      </c>
      <c r="O90" s="122" t="n">
        <f aca="false">(1-$I$23)*(1-$J$23)*$D$23*$E$23/4*MIN(1,MAX(0,(O$5-$H$23+1)/$T$23))*IF(O$5=$H$23,DelivFactor,IF(AND(O$5&gt;$H$23,O$5&lt;$H$23+$F$23),1,IF(O$5=$H$23+$F$23,1-DelivFactor,0)))</f>
        <v>72.0175</v>
      </c>
      <c r="P90" s="123" t="n">
        <f aca="false">(1-$I$23)*(1-$J$23)*$D$23*$E$23/4*MIN(1,MAX(0,(P$5-$H$23+1)/$T$23))*IF(P$5=$H$23,DelivFactor,IF(AND(P$5&gt;$H$23,P$5&lt;$H$23+$F$23),1,IF(P$5=$H$23+$F$23,1-DelivFactor,0)))</f>
        <v>72.0175</v>
      </c>
      <c r="Q90" s="123" t="n">
        <f aca="false">(1-$I$23)*(1-$J$23)*$D$23*$E$23/4*MIN(1,MAX(0,(Q$5-$H$23+1)/$T$23))*IF(Q$5=$H$23,DelivFactor,IF(AND(Q$5&gt;$H$23,Q$5&lt;$H$23+$F$23),1,IF(Q$5=$H$23+$F$23,1-DelivFactor,0)))</f>
        <v>72.0175</v>
      </c>
      <c r="R90" s="123" t="n">
        <f aca="false">(1-$I$23)*(1-$J$23)*$D$23*$E$23/4*MIN(1,MAX(0,(R$5-$H$23+1)/$T$23))*IF(R$5=$H$23,DelivFactor,IF(AND(R$5&gt;$H$23,R$5&lt;$H$23+$F$23),1,IF(R$5=$H$23+$F$23,1-DelivFactor,0)))</f>
        <v>72.0175</v>
      </c>
      <c r="S90" s="123" t="n">
        <f aca="false">(1-$I$23)*(1-$J$23)*$D$23*$E$23/4*MIN(1,MAX(0,(S$5-$H$23+1)/$T$23))*IF(S$5=$H$23,DelivFactor,IF(AND(S$5&gt;$H$23,S$5&lt;$H$23+$F$23),1,IF(S$5=$H$23+$F$23,1-DelivFactor,0)))</f>
        <v>72.0175</v>
      </c>
      <c r="T90" s="123" t="n">
        <f aca="false">(1-$I$23)*(1-$J$23)*$D$23*$E$23/4*MIN(1,MAX(0,(T$5-$H$23+1)/$T$23))*IF(T$5=$H$23,DelivFactor,IF(AND(T$5&gt;$H$23,T$5&lt;$H$23+$F$23),1,IF(T$5=$H$23+$F$23,1-DelivFactor,0)))</f>
        <v>72.0175</v>
      </c>
      <c r="U90" s="123" t="n">
        <f aca="false">(1-$I$23)*(1-$J$23)*$D$23*$E$23/4*MIN(1,MAX(0,(U$5-$H$23+1)/$T$23))*IF(U$5=$H$23,DelivFactor,IF(AND(U$5&gt;$H$23,U$5&lt;$H$23+$F$23),1,IF(U$5=$H$23+$F$23,1-DelivFactor,0)))</f>
        <v>72.0175</v>
      </c>
      <c r="V90" s="123" t="n">
        <f aca="false">(1-$I$23)*(1-$J$23)*$D$23*$E$23/4*MIN(1,MAX(0,(V$5-$H$23+1)/$T$23))*IF(V$5=$H$23,DelivFactor,IF(AND(V$5&gt;$H$23,V$5&lt;$H$23+$F$23),1,IF(V$5=$H$23+$F$23,1-DelivFactor,0)))</f>
        <v>72.0175</v>
      </c>
      <c r="W90" s="123" t="n">
        <f aca="false">(1-$I$23)*(1-$J$23)*$D$23*$E$23/4*MIN(1,MAX(0,(W$5-$H$23+1)/$T$23))*IF(W$5=$H$23,DelivFactor,IF(AND(W$5&gt;$H$23,W$5&lt;$H$23+$F$23),1,IF(W$5=$H$23+$F$23,1-DelivFactor,0)))</f>
        <v>72.0175</v>
      </c>
      <c r="X90" s="123" t="n">
        <f aca="false">(1-$I$23)*(1-$J$23)*$D$23*$E$23/4*MIN(1,MAX(0,(X$5-$H$23+1)/$T$23))*IF(X$5=$H$23,DelivFactor,IF(AND(X$5&gt;$H$23,X$5&lt;$H$23+$F$23),1,IF(X$5=$H$23+$F$23,1-DelivFactor,0)))</f>
        <v>72.0175</v>
      </c>
      <c r="Y90" s="123" t="n">
        <f aca="false">(1-$I$23)*(1-$J$23)*$D$23*$E$23/4*MIN(1,MAX(0,(Y$5-$H$23+1)/$T$23))*IF(Y$5=$H$23,DelivFactor,IF(AND(Y$5&gt;$H$23,Y$5&lt;$H$23+$F$23),1,IF(Y$5=$H$23+$F$23,1-DelivFactor,0)))</f>
        <v>72.0175</v>
      </c>
      <c r="Z90" s="123" t="n">
        <f aca="false">(1-$I$23)*(1-$J$23)*$D$23*$E$23/4*MIN(1,MAX(0,(Z$5-$H$23+1)/$T$23))*IF(Z$5=$H$23,DelivFactor,IF(AND(Z$5&gt;$H$23,Z$5&lt;$H$23+$F$23),1,IF(Z$5=$H$23+$F$23,1-DelivFactor,0)))</f>
        <v>72.0175</v>
      </c>
      <c r="AA90" s="123" t="n">
        <f aca="false">(1-$I$23)*(1-$J$23)*$D$23*$E$23/4*MIN(1,MAX(0,(AA$5-$H$23+1)/$T$23))*IF(AA$5=$H$23,DelivFactor,IF(AND(AA$5&gt;$H$23,AA$5&lt;$H$23+$F$23),1,IF(AA$5=$H$23+$F$23,1-DelivFactor,0)))</f>
        <v>72.0175</v>
      </c>
      <c r="AB90" s="123" t="n">
        <f aca="false">(1-$I$23)*(1-$J$23)*$D$23*$E$23/4*MIN(1,MAX(0,(AB$5-$H$23+1)/$T$23))*IF(AB$5=$H$23,DelivFactor,IF(AND(AB$5&gt;$H$23,AB$5&lt;$H$23+$F$23),1,IF(AB$5=$H$23+$F$23,1-DelivFactor,0)))</f>
        <v>72.0175</v>
      </c>
      <c r="AC90" s="123" t="n">
        <f aca="false">(1-$I$23)*(1-$J$23)*$D$23*$E$23/4*MIN(1,MAX(0,(AC$5-$H$23+1)/$T$23))*IF(AC$5=$H$23,DelivFactor,IF(AND(AC$5&gt;$H$23,AC$5&lt;$H$23+$F$23),1,IF(AC$5=$H$23+$F$23,1-DelivFactor,0)))</f>
        <v>72.0175</v>
      </c>
      <c r="AD90" s="123" t="n">
        <f aca="false">(1-$I$23)*(1-$J$23)*$D$23*$E$23/4*MIN(1,MAX(0,(AD$5-$H$23+1)/$T$23))*IF(AD$5=$H$23,DelivFactor,IF(AND(AD$5&gt;$H$23,AD$5&lt;$H$23+$F$23),1,IF(AD$5=$H$23+$F$23,1-DelivFactor,0)))</f>
        <v>72.0175</v>
      </c>
      <c r="AE90" s="123" t="n">
        <f aca="false">(1-$I$23)*(1-$J$23)*$D$23*$E$23/4*MIN(1,MAX(0,(AE$5-$H$23+1)/$T$23))*IF(AE$5=$H$23,DelivFactor,IF(AND(AE$5&gt;$H$23,AE$5&lt;$H$23+$F$23),1,IF(AE$5=$H$23+$F$23,1-DelivFactor,0)))</f>
        <v>72.0175</v>
      </c>
      <c r="AF90" s="123" t="n">
        <f aca="false">(1-$I$23)*(1-$J$23)*$D$23*$E$23/4*MIN(1,MAX(0,(AF$5-$H$23+1)/$T$23))*IF(AF$5=$H$23,DelivFactor,IF(AND(AF$5&gt;$H$23,AF$5&lt;$H$23+$F$23),1,IF(AF$5=$H$23+$F$23,1-DelivFactor,0)))</f>
        <v>72.0175</v>
      </c>
      <c r="AG90" s="123" t="n">
        <f aca="false">(1-$I$23)*(1-$J$23)*$D$23*$E$23/4*MIN(1,MAX(0,(AG$5-$H$23+1)/$T$23))*IF(AG$5=$H$23,DelivFactor,IF(AND(AG$5&gt;$H$23,AG$5&lt;$H$23+$F$23),1,IF(AG$5=$H$23+$F$23,1-DelivFactor,0)))</f>
        <v>36.00875</v>
      </c>
      <c r="AI90" s="123" t="n">
        <f aca="false">SUMIF($F$7:$AG$7,AI$7,$F90:$AG90)</f>
        <v>0</v>
      </c>
      <c r="AJ90" s="123" t="n">
        <f aca="false">SUMIF($F$7:$AG$7,AJ$7,$F90:$AG90)</f>
        <v>36.00875</v>
      </c>
      <c r="AK90" s="123" t="n">
        <f aca="false">SUMIF($F$7:$AG$7,AK$7,$F90:$AG90)</f>
        <v>288.07</v>
      </c>
      <c r="AL90" s="123" t="n">
        <f aca="false">SUMIF($F$7:$AG$7,AL$7,$F90:$AG90)</f>
        <v>288.07</v>
      </c>
      <c r="AM90" s="123" t="n">
        <f aca="false">SUMIF($F$7:$AG$7,AM$7,$F90:$AG90)</f>
        <v>288.07</v>
      </c>
      <c r="AN90" s="123" t="n">
        <f aca="false">SUMIF($F$7:$AG$7,AN$7,$F90:$AG90)</f>
        <v>288.07</v>
      </c>
      <c r="AO90" s="123" t="n">
        <f aca="false">SUMIF($F$7:$AG$7,AO$7,$F90:$AG90)</f>
        <v>252.06125</v>
      </c>
    </row>
    <row r="91" customFormat="false" ht="15" hidden="false" customHeight="false" outlineLevel="0" collapsed="false">
      <c r="A91" s="104" t="s">
        <v>1690</v>
      </c>
      <c r="B91" s="20" t="s">
        <v>575</v>
      </c>
      <c r="C91" s="20"/>
      <c r="D91" s="20"/>
      <c r="F91" s="113" t="n">
        <f aca="false">(1-$I$23)*(1-$J$23)*$D$23*AND(F$5&gt;=$H$23,F$5&lt;$H$23+$F$23)</f>
        <v>0</v>
      </c>
      <c r="G91" s="113" t="n">
        <f aca="false">(1-$I$23)*(1-$J$23)*$D$23*AND(G$5&gt;=$H$23,G$5&lt;$H$23+$F$23)</f>
        <v>0</v>
      </c>
      <c r="H91" s="113" t="n">
        <f aca="false">(1-$I$23)*(1-$J$23)*$D$23*AND(H$5&gt;=$H$23,H$5&lt;$H$23+$F$23)</f>
        <v>0</v>
      </c>
      <c r="I91" s="113" t="n">
        <f aca="false">(1-$I$23)*(1-$J$23)*$D$23*AND(I$5&gt;=$H$23,I$5&lt;$H$23+$F$23)</f>
        <v>0</v>
      </c>
      <c r="J91" s="113" t="n">
        <f aca="false">(1-$I$23)*(1-$J$23)*$D$23*AND(J$5&gt;=$H$23,J$5&lt;$H$23+$F$23)</f>
        <v>0</v>
      </c>
      <c r="K91" s="113" t="n">
        <f aca="false">(1-$I$23)*(1-$J$23)*$D$23*AND(K$5&gt;=$H$23,K$5&lt;$H$23+$F$23)</f>
        <v>0</v>
      </c>
      <c r="L91" s="113" t="n">
        <f aca="false">(1-$I$23)*(1-$J$23)*$D$23*AND(L$5&gt;=$H$23,L$5&lt;$H$23+$F$23)</f>
        <v>0</v>
      </c>
      <c r="M91" s="113" t="n">
        <f aca="false">(1-$I$23)*(1-$J$23)*$D$23*AND(M$5&gt;=$H$23,M$5&lt;$H$23+$F$23)</f>
        <v>24.0058333333333</v>
      </c>
      <c r="N91" s="113" t="n">
        <f aca="false">(1-$I$23)*(1-$J$23)*$D$23*AND(N$5&gt;=$H$23,N$5&lt;$H$23+$F$23)</f>
        <v>24.0058333333333</v>
      </c>
      <c r="O91" s="113" t="n">
        <f aca="false">(1-$I$23)*(1-$J$23)*$D$23*AND(O$5&gt;=$H$23,O$5&lt;$H$23+$F$23)</f>
        <v>24.0058333333333</v>
      </c>
      <c r="P91" s="31" t="n">
        <f aca="false">(1-$I$23)*(1-$J$23)*$D$23*AND(P$5&gt;=$H$23,P$5&lt;$H$23+$F$23)</f>
        <v>24.0058333333333</v>
      </c>
      <c r="Q91" s="31" t="n">
        <f aca="false">(1-$I$23)*(1-$J$23)*$D$23*AND(Q$5&gt;=$H$23,Q$5&lt;$H$23+$F$23)</f>
        <v>24.0058333333333</v>
      </c>
      <c r="R91" s="31" t="n">
        <f aca="false">(1-$I$23)*(1-$J$23)*$D$23*AND(R$5&gt;=$H$23,R$5&lt;$H$23+$F$23)</f>
        <v>24.0058333333333</v>
      </c>
      <c r="S91" s="31" t="n">
        <f aca="false">(1-$I$23)*(1-$J$23)*$D$23*AND(S$5&gt;=$H$23,S$5&lt;$H$23+$F$23)</f>
        <v>24.0058333333333</v>
      </c>
      <c r="T91" s="31" t="n">
        <f aca="false">(1-$I$23)*(1-$J$23)*$D$23*AND(T$5&gt;=$H$23,T$5&lt;$H$23+$F$23)</f>
        <v>24.0058333333333</v>
      </c>
      <c r="U91" s="31" t="n">
        <f aca="false">(1-$I$23)*(1-$J$23)*$D$23*AND(U$5&gt;=$H$23,U$5&lt;$H$23+$F$23)</f>
        <v>24.0058333333333</v>
      </c>
      <c r="V91" s="31" t="n">
        <f aca="false">(1-$I$23)*(1-$J$23)*$D$23*AND(V$5&gt;=$H$23,V$5&lt;$H$23+$F$23)</f>
        <v>24.0058333333333</v>
      </c>
      <c r="W91" s="31" t="n">
        <f aca="false">(1-$I$23)*(1-$J$23)*$D$23*AND(W$5&gt;=$H$23,W$5&lt;$H$23+$F$23)</f>
        <v>24.0058333333333</v>
      </c>
      <c r="X91" s="31" t="n">
        <f aca="false">(1-$I$23)*(1-$J$23)*$D$23*AND(X$5&gt;=$H$23,X$5&lt;$H$23+$F$23)</f>
        <v>24.0058333333333</v>
      </c>
      <c r="Y91" s="31" t="n">
        <f aca="false">(1-$I$23)*(1-$J$23)*$D$23*AND(Y$5&gt;=$H$23,Y$5&lt;$H$23+$F$23)</f>
        <v>24.0058333333333</v>
      </c>
      <c r="Z91" s="31" t="n">
        <f aca="false">(1-$I$23)*(1-$J$23)*$D$23*AND(Z$5&gt;=$H$23,Z$5&lt;$H$23+$F$23)</f>
        <v>24.0058333333333</v>
      </c>
      <c r="AA91" s="31" t="n">
        <f aca="false">(1-$I$23)*(1-$J$23)*$D$23*AND(AA$5&gt;=$H$23,AA$5&lt;$H$23+$F$23)</f>
        <v>24.0058333333333</v>
      </c>
      <c r="AB91" s="31" t="n">
        <f aca="false">(1-$I$23)*(1-$J$23)*$D$23*AND(AB$5&gt;=$H$23,AB$5&lt;$H$23+$F$23)</f>
        <v>24.0058333333333</v>
      </c>
      <c r="AC91" s="31" t="n">
        <f aca="false">(1-$I$23)*(1-$J$23)*$D$23*AND(AC$5&gt;=$H$23,AC$5&lt;$H$23+$F$23)</f>
        <v>24.0058333333333</v>
      </c>
      <c r="AD91" s="31" t="n">
        <f aca="false">(1-$I$23)*(1-$J$23)*$D$23*AND(AD$5&gt;=$H$23,AD$5&lt;$H$23+$F$23)</f>
        <v>24.0058333333333</v>
      </c>
      <c r="AE91" s="31" t="n">
        <f aca="false">(1-$I$23)*(1-$J$23)*$D$23*AND(AE$5&gt;=$H$23,AE$5&lt;$H$23+$F$23)</f>
        <v>24.0058333333333</v>
      </c>
      <c r="AF91" s="31" t="n">
        <f aca="false">(1-$I$23)*(1-$J$23)*$D$23*AND(AF$5&gt;=$H$23,AF$5&lt;$H$23+$F$23)</f>
        <v>24.0058333333333</v>
      </c>
      <c r="AG91" s="31" t="n">
        <f aca="false">(1-$I$23)*(1-$J$23)*$D$23*AND(AG$5&gt;=$H$23,AG$5&lt;$H$23+$F$23)</f>
        <v>0</v>
      </c>
      <c r="AI91" s="31" t="n">
        <f aca="false">INDEX($F91:$AG91,1,MATCH(AI$7,$F$7:$AG$7,1))</f>
        <v>0</v>
      </c>
      <c r="AJ91" s="31" t="n">
        <f aca="false">INDEX($F91:$AG91,1,MATCH(AJ$7,$F$7:$AG$7,1))</f>
        <v>24.0058333333333</v>
      </c>
      <c r="AK91" s="31" t="n">
        <f aca="false">INDEX($F91:$AG91,1,MATCH(AK$7,$F$7:$AG$7,1))</f>
        <v>24.0058333333333</v>
      </c>
      <c r="AL91" s="31" t="n">
        <f aca="false">INDEX($F91:$AG91,1,MATCH(AL$7,$F$7:$AG$7,1))</f>
        <v>24.0058333333333</v>
      </c>
      <c r="AM91" s="31" t="n">
        <f aca="false">INDEX($F91:$AG91,1,MATCH(AM$7,$F$7:$AG$7,1))</f>
        <v>24.0058333333333</v>
      </c>
      <c r="AN91" s="31" t="n">
        <f aca="false">INDEX($F91:$AG91,1,MATCH(AN$7,$F$7:$AG$7,1))</f>
        <v>24.0058333333333</v>
      </c>
      <c r="AO91" s="31" t="n">
        <f aca="false">INDEX($F91:$AG91,1,MATCH(AO$7,$F$7:$AG$7,1))</f>
        <v>0</v>
      </c>
    </row>
    <row r="92" customFormat="false" ht="15" hidden="false" customHeight="false" outlineLevel="0" collapsed="false">
      <c r="A92" s="104" t="s">
        <v>1691</v>
      </c>
      <c r="B92" s="20" t="s">
        <v>561</v>
      </c>
      <c r="C92" s="20"/>
      <c r="D92" s="20"/>
      <c r="F92" s="122" t="n">
        <f aca="false">-(1-$I$23)*LD_Pct*$D$23*$E$23/4*AND(F$5&gt;=$G$23,F$5&lt;$H$23)</f>
        <v>-0</v>
      </c>
      <c r="G92" s="122" t="n">
        <f aca="false">-(1-$I$23)*LD_Pct*$D$23*$E$23/4*AND(G$5&gt;=$G$23,G$5&lt;$H$23)</f>
        <v>-0</v>
      </c>
      <c r="H92" s="122" t="n">
        <f aca="false">-(1-$I$23)*LD_Pct*$D$23*$E$23/4*AND(H$5&gt;=$G$23,H$5&lt;$H$23)</f>
        <v>-0</v>
      </c>
      <c r="I92" s="122" t="n">
        <f aca="false">-(1-$I$23)*LD_Pct*$D$23*$E$23/4*AND(I$5&gt;=$G$23,I$5&lt;$H$23)</f>
        <v>-0</v>
      </c>
      <c r="J92" s="122" t="n">
        <f aca="false">-(1-$I$23)*LD_Pct*$D$23*$E$23/4*AND(J$5&gt;=$G$23,J$5&lt;$H$23)</f>
        <v>-0</v>
      </c>
      <c r="K92" s="122" t="n">
        <f aca="false">-(1-$I$23)*LD_Pct*$D$23*$E$23/4*AND(K$5&gt;=$G$23,K$5&lt;$H$23)</f>
        <v>-0</v>
      </c>
      <c r="L92" s="122" t="n">
        <f aca="false">-(1-$I$23)*LD_Pct*$D$23*$E$23/4*AND(L$5&gt;=$G$23,L$5&lt;$H$23)</f>
        <v>-0</v>
      </c>
      <c r="M92" s="122" t="n">
        <f aca="false">-(1-$I$23)*LD_Pct*$D$23*$E$23/4*AND(M$5&gt;=$G$23,M$5&lt;$H$23)</f>
        <v>-0</v>
      </c>
      <c r="N92" s="122" t="n">
        <f aca="false">-(1-$I$23)*LD_Pct*$D$23*$E$23/4*AND(N$5&gt;=$G$23,N$5&lt;$H$23)</f>
        <v>-0</v>
      </c>
      <c r="O92" s="122" t="n">
        <f aca="false">-(1-$I$23)*LD_Pct*$D$23*$E$23/4*AND(O$5&gt;=$G$23,O$5&lt;$H$23)</f>
        <v>-0</v>
      </c>
      <c r="P92" s="123" t="n">
        <f aca="false">-(1-$I$23)*LD_Pct*$D$23*$E$23/4*AND(P$5&gt;=$G$23,P$5&lt;$H$23)</f>
        <v>-0</v>
      </c>
      <c r="Q92" s="123" t="n">
        <f aca="false">-(1-$I$23)*LD_Pct*$D$23*$E$23/4*AND(Q$5&gt;=$G$23,Q$5&lt;$H$23)</f>
        <v>-0</v>
      </c>
      <c r="R92" s="123" t="n">
        <f aca="false">-(1-$I$23)*LD_Pct*$D$23*$E$23/4*AND(R$5&gt;=$G$23,R$5&lt;$H$23)</f>
        <v>-0</v>
      </c>
      <c r="S92" s="123" t="n">
        <f aca="false">-(1-$I$23)*LD_Pct*$D$23*$E$23/4*AND(S$5&gt;=$G$23,S$5&lt;$H$23)</f>
        <v>-0</v>
      </c>
      <c r="T92" s="123" t="n">
        <f aca="false">-(1-$I$23)*LD_Pct*$D$23*$E$23/4*AND(T$5&gt;=$G$23,T$5&lt;$H$23)</f>
        <v>-0</v>
      </c>
      <c r="U92" s="123" t="n">
        <f aca="false">-(1-$I$23)*LD_Pct*$D$23*$E$23/4*AND(U$5&gt;=$G$23,U$5&lt;$H$23)</f>
        <v>-0</v>
      </c>
      <c r="V92" s="123" t="n">
        <f aca="false">-(1-$I$23)*LD_Pct*$D$23*$E$23/4*AND(V$5&gt;=$G$23,V$5&lt;$H$23)</f>
        <v>-0</v>
      </c>
      <c r="W92" s="123" t="n">
        <f aca="false">-(1-$I$23)*LD_Pct*$D$23*$E$23/4*AND(W$5&gt;=$G$23,W$5&lt;$H$23)</f>
        <v>-0</v>
      </c>
      <c r="X92" s="123" t="n">
        <f aca="false">-(1-$I$23)*LD_Pct*$D$23*$E$23/4*AND(X$5&gt;=$G$23,X$5&lt;$H$23)</f>
        <v>-0</v>
      </c>
      <c r="Y92" s="123" t="n">
        <f aca="false">-(1-$I$23)*LD_Pct*$D$23*$E$23/4*AND(Y$5&gt;=$G$23,Y$5&lt;$H$23)</f>
        <v>-0</v>
      </c>
      <c r="Z92" s="123" t="n">
        <f aca="false">-(1-$I$23)*LD_Pct*$D$23*$E$23/4*AND(Z$5&gt;=$G$23,Z$5&lt;$H$23)</f>
        <v>-0</v>
      </c>
      <c r="AA92" s="123" t="n">
        <f aca="false">-(1-$I$23)*LD_Pct*$D$23*$E$23/4*AND(AA$5&gt;=$G$23,AA$5&lt;$H$23)</f>
        <v>-0</v>
      </c>
      <c r="AB92" s="123" t="n">
        <f aca="false">-(1-$I$23)*LD_Pct*$D$23*$E$23/4*AND(AB$5&gt;=$G$23,AB$5&lt;$H$23)</f>
        <v>-0</v>
      </c>
      <c r="AC92" s="123" t="n">
        <f aca="false">-(1-$I$23)*LD_Pct*$D$23*$E$23/4*AND(AC$5&gt;=$G$23,AC$5&lt;$H$23)</f>
        <v>-0</v>
      </c>
      <c r="AD92" s="123" t="n">
        <f aca="false">-(1-$I$23)*LD_Pct*$D$23*$E$23/4*AND(AD$5&gt;=$G$23,AD$5&lt;$H$23)</f>
        <v>-0</v>
      </c>
      <c r="AE92" s="123" t="n">
        <f aca="false">-(1-$I$23)*LD_Pct*$D$23*$E$23/4*AND(AE$5&gt;=$G$23,AE$5&lt;$H$23)</f>
        <v>-0</v>
      </c>
      <c r="AF92" s="123" t="n">
        <f aca="false">-(1-$I$23)*LD_Pct*$D$23*$E$23/4*AND(AF$5&gt;=$G$23,AF$5&lt;$H$23)</f>
        <v>-0</v>
      </c>
      <c r="AG92" s="123" t="n">
        <f aca="false">-(1-$I$23)*LD_Pct*$D$23*$E$23/4*AND(AG$5&gt;=$G$23,AG$5&lt;$H$23)</f>
        <v>-0</v>
      </c>
      <c r="AI92" s="123" t="n">
        <f aca="false">SUMIF($F$7:$AG$7,AI$7,$F92:$AG92)</f>
        <v>0</v>
      </c>
      <c r="AJ92" s="123" t="n">
        <f aca="false">SUMIF($F$7:$AG$7,AJ$7,$F92:$AG92)</f>
        <v>0</v>
      </c>
      <c r="AK92" s="123" t="n">
        <f aca="false">SUMIF($F$7:$AG$7,AK$7,$F92:$AG92)</f>
        <v>0</v>
      </c>
      <c r="AL92" s="123" t="n">
        <f aca="false">SUMIF($F$7:$AG$7,AL$7,$F92:$AG92)</f>
        <v>0</v>
      </c>
      <c r="AM92" s="123" t="n">
        <f aca="false">SUMIF($F$7:$AG$7,AM$7,$F92:$AG92)</f>
        <v>0</v>
      </c>
      <c r="AN92" s="123" t="n">
        <f aca="false">SUMIF($F$7:$AG$7,AN$7,$F92:$AG92)</f>
        <v>0</v>
      </c>
      <c r="AO92" s="123" t="n">
        <f aca="false">SUMIF($F$7:$AG$7,AO$7,$F92:$AG92)</f>
        <v>0</v>
      </c>
    </row>
    <row r="93" customFormat="false" ht="15" hidden="false" customHeight="false" outlineLevel="0" collapsed="false">
      <c r="A93" s="104" t="s">
        <v>1692</v>
      </c>
      <c r="B93" s="20" t="s">
        <v>575</v>
      </c>
      <c r="C93" s="20"/>
      <c r="D93" s="20"/>
      <c r="F93" s="113" t="n">
        <f aca="false">(1-$I$23)*(1-$J$23)*$D$23*(F$5&gt;=$H$23+$F$23)</f>
        <v>0</v>
      </c>
      <c r="G93" s="113" t="n">
        <f aca="false">(1-$I$23)*(1-$J$23)*$D$23*(G$5&gt;=$H$23+$F$23)</f>
        <v>0</v>
      </c>
      <c r="H93" s="113" t="n">
        <f aca="false">(1-$I$23)*(1-$J$23)*$D$23*(H$5&gt;=$H$23+$F$23)</f>
        <v>0</v>
      </c>
      <c r="I93" s="113" t="n">
        <f aca="false">(1-$I$23)*(1-$J$23)*$D$23*(I$5&gt;=$H$23+$F$23)</f>
        <v>0</v>
      </c>
      <c r="J93" s="113" t="n">
        <f aca="false">(1-$I$23)*(1-$J$23)*$D$23*(J$5&gt;=$H$23+$F$23)</f>
        <v>0</v>
      </c>
      <c r="K93" s="113" t="n">
        <f aca="false">(1-$I$23)*(1-$J$23)*$D$23*(K$5&gt;=$H$23+$F$23)</f>
        <v>0</v>
      </c>
      <c r="L93" s="113" t="n">
        <f aca="false">(1-$I$23)*(1-$J$23)*$D$23*(L$5&gt;=$H$23+$F$23)</f>
        <v>0</v>
      </c>
      <c r="M93" s="113" t="n">
        <f aca="false">(1-$I$23)*(1-$J$23)*$D$23*(M$5&gt;=$H$23+$F$23)</f>
        <v>0</v>
      </c>
      <c r="N93" s="113" t="n">
        <f aca="false">(1-$I$23)*(1-$J$23)*$D$23*(N$5&gt;=$H$23+$F$23)</f>
        <v>0</v>
      </c>
      <c r="O93" s="113" t="n">
        <f aca="false">(1-$I$23)*(1-$J$23)*$D$23*(O$5&gt;=$H$23+$F$23)</f>
        <v>0</v>
      </c>
      <c r="P93" s="31" t="n">
        <f aca="false">(1-$I$23)*(1-$J$23)*$D$23*(P$5&gt;=$H$23+$F$23)</f>
        <v>0</v>
      </c>
      <c r="Q93" s="31" t="n">
        <f aca="false">(1-$I$23)*(1-$J$23)*$D$23*(Q$5&gt;=$H$23+$F$23)</f>
        <v>0</v>
      </c>
      <c r="R93" s="31" t="n">
        <f aca="false">(1-$I$23)*(1-$J$23)*$D$23*(R$5&gt;=$H$23+$F$23)</f>
        <v>0</v>
      </c>
      <c r="S93" s="31" t="n">
        <f aca="false">(1-$I$23)*(1-$J$23)*$D$23*(S$5&gt;=$H$23+$F$23)</f>
        <v>0</v>
      </c>
      <c r="T93" s="31" t="n">
        <f aca="false">(1-$I$23)*(1-$J$23)*$D$23*(T$5&gt;=$H$23+$F$23)</f>
        <v>0</v>
      </c>
      <c r="U93" s="31" t="n">
        <f aca="false">(1-$I$23)*(1-$J$23)*$D$23*(U$5&gt;=$H$23+$F$23)</f>
        <v>0</v>
      </c>
      <c r="V93" s="31" t="n">
        <f aca="false">(1-$I$23)*(1-$J$23)*$D$23*(V$5&gt;=$H$23+$F$23)</f>
        <v>0</v>
      </c>
      <c r="W93" s="31" t="n">
        <f aca="false">(1-$I$23)*(1-$J$23)*$D$23*(W$5&gt;=$H$23+$F$23)</f>
        <v>0</v>
      </c>
      <c r="X93" s="31" t="n">
        <f aca="false">(1-$I$23)*(1-$J$23)*$D$23*(X$5&gt;=$H$23+$F$23)</f>
        <v>0</v>
      </c>
      <c r="Y93" s="31" t="n">
        <f aca="false">(1-$I$23)*(1-$J$23)*$D$23*(Y$5&gt;=$H$23+$F$23)</f>
        <v>0</v>
      </c>
      <c r="Z93" s="31" t="n">
        <f aca="false">(1-$I$23)*(1-$J$23)*$D$23*(Z$5&gt;=$H$23+$F$23)</f>
        <v>0</v>
      </c>
      <c r="AA93" s="31" t="n">
        <f aca="false">(1-$I$23)*(1-$J$23)*$D$23*(AA$5&gt;=$H$23+$F$23)</f>
        <v>0</v>
      </c>
      <c r="AB93" s="31" t="n">
        <f aca="false">(1-$I$23)*(1-$J$23)*$D$23*(AB$5&gt;=$H$23+$F$23)</f>
        <v>0</v>
      </c>
      <c r="AC93" s="31" t="n">
        <f aca="false">(1-$I$23)*(1-$J$23)*$D$23*(AC$5&gt;=$H$23+$F$23)</f>
        <v>0</v>
      </c>
      <c r="AD93" s="31" t="n">
        <f aca="false">(1-$I$23)*(1-$J$23)*$D$23*(AD$5&gt;=$H$23+$F$23)</f>
        <v>0</v>
      </c>
      <c r="AE93" s="31" t="n">
        <f aca="false">(1-$I$23)*(1-$J$23)*$D$23*(AE$5&gt;=$H$23+$F$23)</f>
        <v>0</v>
      </c>
      <c r="AF93" s="31" t="n">
        <f aca="false">(1-$I$23)*(1-$J$23)*$D$23*(AF$5&gt;=$H$23+$F$23)</f>
        <v>0</v>
      </c>
      <c r="AG93" s="31" t="n">
        <f aca="false">(1-$I$23)*(1-$J$23)*$D$23*(AG$5&gt;=$H$23+$F$23)</f>
        <v>24.0058333333333</v>
      </c>
      <c r="AI93" s="31" t="n">
        <f aca="false">INDEX($F93:$AG93,1,MATCH(AI$7,$F$7:$AG$7,1))</f>
        <v>0</v>
      </c>
      <c r="AJ93" s="31" t="n">
        <f aca="false">INDEX($F93:$AG93,1,MATCH(AJ$7,$F$7:$AG$7,1))</f>
        <v>0</v>
      </c>
      <c r="AK93" s="31" t="n">
        <f aca="false">INDEX($F93:$AG93,1,MATCH(AK$7,$F$7:$AG$7,1))</f>
        <v>0</v>
      </c>
      <c r="AL93" s="31" t="n">
        <f aca="false">INDEX($F93:$AG93,1,MATCH(AL$7,$F$7:$AG$7,1))</f>
        <v>0</v>
      </c>
      <c r="AM93" s="31" t="n">
        <f aca="false">INDEX($F93:$AG93,1,MATCH(AM$7,$F$7:$AG$7,1))</f>
        <v>0</v>
      </c>
      <c r="AN93" s="31" t="n">
        <f aca="false">INDEX($F93:$AG93,1,MATCH(AN$7,$F$7:$AG$7,1))</f>
        <v>0</v>
      </c>
      <c r="AO93" s="31" t="n">
        <f aca="false">INDEX($F93:$AG93,1,MATCH(AO$7,$F$7:$AG$7,1))</f>
        <v>24.0058333333333</v>
      </c>
    </row>
    <row r="94" customFormat="false" ht="15" hidden="false" customHeight="false" outlineLevel="0" collapsed="false">
      <c r="A94" s="104" t="s">
        <v>1693</v>
      </c>
      <c r="B94" s="20" t="s">
        <v>561</v>
      </c>
      <c r="C94" s="20"/>
      <c r="D94" s="20" t="s">
        <v>1638</v>
      </c>
      <c r="F94" s="122" t="n">
        <f aca="false">F93*CHOOSE(MATCH($C$23,{"H";"B";"N"},0),GPUMW_H*ODc_H,GPUMW_B*ODc_B,GPUMW_N*ODc_N)*ResidUtil*Timeline!F$9*INDEX(Curve,1,MAX(1,MIN(8,INT((F$5-$H$23)/4)+1)))/1000000</f>
        <v>0</v>
      </c>
      <c r="G94" s="122" t="n">
        <f aca="false">G93*CHOOSE(MATCH($C$23,{"H";"B";"N"},0),GPUMW_H*ODc_H,GPUMW_B*ODc_B,GPUMW_N*ODc_N)*ResidUtil*Timeline!G$9*INDEX(Curve,1,MAX(1,MIN(8,INT((G$5-$H$23)/4)+1)))/1000000</f>
        <v>0</v>
      </c>
      <c r="H94" s="122" t="n">
        <f aca="false">H93*CHOOSE(MATCH($C$23,{"H";"B";"N"},0),GPUMW_H*ODc_H,GPUMW_B*ODc_B,GPUMW_N*ODc_N)*ResidUtil*Timeline!H$9*INDEX(Curve,1,MAX(1,MIN(8,INT((H$5-$H$23)/4)+1)))/1000000</f>
        <v>0</v>
      </c>
      <c r="I94" s="122" t="n">
        <f aca="false">I93*CHOOSE(MATCH($C$23,{"H";"B";"N"},0),GPUMW_H*ODc_H,GPUMW_B*ODc_B,GPUMW_N*ODc_N)*ResidUtil*Timeline!I$9*INDEX(Curve,1,MAX(1,MIN(8,INT((I$5-$H$23)/4)+1)))/1000000</f>
        <v>0</v>
      </c>
      <c r="J94" s="122" t="n">
        <f aca="false">J93*CHOOSE(MATCH($C$23,{"H";"B";"N"},0),GPUMW_H*ODc_H,GPUMW_B*ODc_B,GPUMW_N*ODc_N)*ResidUtil*Timeline!J$9*INDEX(Curve,1,MAX(1,MIN(8,INT((J$5-$H$23)/4)+1)))/1000000</f>
        <v>0</v>
      </c>
      <c r="K94" s="122" t="n">
        <f aca="false">K93*CHOOSE(MATCH($C$23,{"H";"B";"N"},0),GPUMW_H*ODc_H,GPUMW_B*ODc_B,GPUMW_N*ODc_N)*ResidUtil*Timeline!K$9*INDEX(Curve,1,MAX(1,MIN(8,INT((K$5-$H$23)/4)+1)))/1000000</f>
        <v>0</v>
      </c>
      <c r="L94" s="122" t="n">
        <f aca="false">L93*CHOOSE(MATCH($C$23,{"H";"B";"N"},0),GPUMW_H*ODc_H,GPUMW_B*ODc_B,GPUMW_N*ODc_N)*ResidUtil*Timeline!L$9*INDEX(Curve,1,MAX(1,MIN(8,INT((L$5-$H$23)/4)+1)))/1000000</f>
        <v>0</v>
      </c>
      <c r="M94" s="122" t="n">
        <f aca="false">M93*CHOOSE(MATCH($C$23,{"H";"B";"N"},0),GPUMW_H*ODc_H,GPUMW_B*ODc_B,GPUMW_N*ODc_N)*ResidUtil*Timeline!M$9*INDEX(Curve,1,MAX(1,MIN(8,INT((M$5-$H$23)/4)+1)))/1000000</f>
        <v>0</v>
      </c>
      <c r="N94" s="122" t="n">
        <f aca="false">N93*CHOOSE(MATCH($C$23,{"H";"B";"N"},0),GPUMW_H*ODc_H,GPUMW_B*ODc_B,GPUMW_N*ODc_N)*ResidUtil*Timeline!N$9*INDEX(Curve,1,MAX(1,MIN(8,INT((N$5-$H$23)/4)+1)))/1000000</f>
        <v>0</v>
      </c>
      <c r="O94" s="122" t="n">
        <f aca="false">O93*CHOOSE(MATCH($C$23,{"H";"B";"N"},0),GPUMW_H*ODc_H,GPUMW_B*ODc_B,GPUMW_N*ODc_N)*ResidUtil*Timeline!O$9*INDEX(Curve,1,MAX(1,MIN(8,INT((O$5-$H$23)/4)+1)))/1000000</f>
        <v>0</v>
      </c>
      <c r="P94" s="123" t="n">
        <f aca="false">P93*CHOOSE(MATCH($C$23,{"H";"B";"N"},0),GPUMW_H*ODc_H,GPUMW_B*ODc_B,GPUMW_N*ODc_N)*ResidUtil*Timeline!P$9*INDEX(Curve,1,MAX(1,MIN(8,INT((P$5-$H$23)/4)+1)))/1000000</f>
        <v>0</v>
      </c>
      <c r="Q94" s="123" t="n">
        <f aca="false">Q93*CHOOSE(MATCH($C$23,{"H";"B";"N"},0),GPUMW_H*ODc_H,GPUMW_B*ODc_B,GPUMW_N*ODc_N)*ResidUtil*Timeline!Q$9*INDEX(Curve,1,MAX(1,MIN(8,INT((Q$5-$H$23)/4)+1)))/1000000</f>
        <v>0</v>
      </c>
      <c r="R94" s="123" t="n">
        <f aca="false">R93*CHOOSE(MATCH($C$23,{"H";"B";"N"},0),GPUMW_H*ODc_H,GPUMW_B*ODc_B,GPUMW_N*ODc_N)*ResidUtil*Timeline!R$9*INDEX(Curve,1,MAX(1,MIN(8,INT((R$5-$H$23)/4)+1)))/1000000</f>
        <v>0</v>
      </c>
      <c r="S94" s="123" t="n">
        <f aca="false">S93*CHOOSE(MATCH($C$23,{"H";"B";"N"},0),GPUMW_H*ODc_H,GPUMW_B*ODc_B,GPUMW_N*ODc_N)*ResidUtil*Timeline!S$9*INDEX(Curve,1,MAX(1,MIN(8,INT((S$5-$H$23)/4)+1)))/1000000</f>
        <v>0</v>
      </c>
      <c r="T94" s="123" t="n">
        <f aca="false">T93*CHOOSE(MATCH($C$23,{"H";"B";"N"},0),GPUMW_H*ODc_H,GPUMW_B*ODc_B,GPUMW_N*ODc_N)*ResidUtil*Timeline!T$9*INDEX(Curve,1,MAX(1,MIN(8,INT((T$5-$H$23)/4)+1)))/1000000</f>
        <v>0</v>
      </c>
      <c r="U94" s="123" t="n">
        <f aca="false">U93*CHOOSE(MATCH($C$23,{"H";"B";"N"},0),GPUMW_H*ODc_H,GPUMW_B*ODc_B,GPUMW_N*ODc_N)*ResidUtil*Timeline!U$9*INDEX(Curve,1,MAX(1,MIN(8,INT((U$5-$H$23)/4)+1)))/1000000</f>
        <v>0</v>
      </c>
      <c r="V94" s="123" t="n">
        <f aca="false">V93*CHOOSE(MATCH($C$23,{"H";"B";"N"},0),GPUMW_H*ODc_H,GPUMW_B*ODc_B,GPUMW_N*ODc_N)*ResidUtil*Timeline!V$9*INDEX(Curve,1,MAX(1,MIN(8,INT((V$5-$H$23)/4)+1)))/1000000</f>
        <v>0</v>
      </c>
      <c r="W94" s="123" t="n">
        <f aca="false">W93*CHOOSE(MATCH($C$23,{"H";"B";"N"},0),GPUMW_H*ODc_H,GPUMW_B*ODc_B,GPUMW_N*ODc_N)*ResidUtil*Timeline!W$9*INDEX(Curve,1,MAX(1,MIN(8,INT((W$5-$H$23)/4)+1)))/1000000</f>
        <v>0</v>
      </c>
      <c r="X94" s="123" t="n">
        <f aca="false">X93*CHOOSE(MATCH($C$23,{"H";"B";"N"},0),GPUMW_H*ODc_H,GPUMW_B*ODc_B,GPUMW_N*ODc_N)*ResidUtil*Timeline!X$9*INDEX(Curve,1,MAX(1,MIN(8,INT((X$5-$H$23)/4)+1)))/1000000</f>
        <v>0</v>
      </c>
      <c r="Y94" s="123" t="n">
        <f aca="false">Y93*CHOOSE(MATCH($C$23,{"H";"B";"N"},0),GPUMW_H*ODc_H,GPUMW_B*ODc_B,GPUMW_N*ODc_N)*ResidUtil*Timeline!Y$9*INDEX(Curve,1,MAX(1,MIN(8,INT((Y$5-$H$23)/4)+1)))/1000000</f>
        <v>0</v>
      </c>
      <c r="Z94" s="123" t="n">
        <f aca="false">Z93*CHOOSE(MATCH($C$23,{"H";"B";"N"},0),GPUMW_H*ODc_H,GPUMW_B*ODc_B,GPUMW_N*ODc_N)*ResidUtil*Timeline!Z$9*INDEX(Curve,1,MAX(1,MIN(8,INT((Z$5-$H$23)/4)+1)))/1000000</f>
        <v>0</v>
      </c>
      <c r="AA94" s="123" t="n">
        <f aca="false">AA93*CHOOSE(MATCH($C$23,{"H";"B";"N"},0),GPUMW_H*ODc_H,GPUMW_B*ODc_B,GPUMW_N*ODc_N)*ResidUtil*Timeline!AA$9*INDEX(Curve,1,MAX(1,MIN(8,INT((AA$5-$H$23)/4)+1)))/1000000</f>
        <v>0</v>
      </c>
      <c r="AB94" s="123" t="n">
        <f aca="false">AB93*CHOOSE(MATCH($C$23,{"H";"B";"N"},0),GPUMW_H*ODc_H,GPUMW_B*ODc_B,GPUMW_N*ODc_N)*ResidUtil*Timeline!AB$9*INDEX(Curve,1,MAX(1,MIN(8,INT((AB$5-$H$23)/4)+1)))/1000000</f>
        <v>0</v>
      </c>
      <c r="AC94" s="123" t="n">
        <f aca="false">AC93*CHOOSE(MATCH($C$23,{"H";"B";"N"},0),GPUMW_H*ODc_H,GPUMW_B*ODc_B,GPUMW_N*ODc_N)*ResidUtil*Timeline!AC$9*INDEX(Curve,1,MAX(1,MIN(8,INT((AC$5-$H$23)/4)+1)))/1000000</f>
        <v>0</v>
      </c>
      <c r="AD94" s="123" t="n">
        <f aca="false">AD93*CHOOSE(MATCH($C$23,{"H";"B";"N"},0),GPUMW_H*ODc_H,GPUMW_B*ODc_B,GPUMW_N*ODc_N)*ResidUtil*Timeline!AD$9*INDEX(Curve,1,MAX(1,MIN(8,INT((AD$5-$H$23)/4)+1)))/1000000</f>
        <v>0</v>
      </c>
      <c r="AE94" s="123" t="n">
        <f aca="false">AE93*CHOOSE(MATCH($C$23,{"H";"B";"N"},0),GPUMW_H*ODc_H,GPUMW_B*ODc_B,GPUMW_N*ODc_N)*ResidUtil*Timeline!AE$9*INDEX(Curve,1,MAX(1,MIN(8,INT((AE$5-$H$23)/4)+1)))/1000000</f>
        <v>0</v>
      </c>
      <c r="AF94" s="123" t="n">
        <f aca="false">AF93*CHOOSE(MATCH($C$23,{"H";"B";"N"},0),GPUMW_H*ODc_H,GPUMW_B*ODc_B,GPUMW_N*ODc_N)*ResidUtil*Timeline!AF$9*INDEX(Curve,1,MAX(1,MIN(8,INT((AF$5-$H$23)/4)+1)))/1000000</f>
        <v>0</v>
      </c>
      <c r="AG94" s="123" t="n">
        <f aca="false">AG93*CHOOSE(MATCH($C$23,{"H";"B";"N"},0),GPUMW_H*ODc_H,GPUMW_B*ODc_B,GPUMW_N*ODc_N)*ResidUtil*Timeline!AG$9*INDEX(Curve,1,MAX(1,MIN(8,INT((AG$5-$H$23)/4)+1)))/1000000</f>
        <v>97.5412365785</v>
      </c>
      <c r="AI94" s="123" t="n">
        <f aca="false">SUMIF($F$7:$AG$7,AI$7,$F94:$AG94)</f>
        <v>0</v>
      </c>
      <c r="AJ94" s="123" t="n">
        <f aca="false">SUMIF($F$7:$AG$7,AJ$7,$F94:$AG94)</f>
        <v>0</v>
      </c>
      <c r="AK94" s="123" t="n">
        <f aca="false">SUMIF($F$7:$AG$7,AK$7,$F94:$AG94)</f>
        <v>0</v>
      </c>
      <c r="AL94" s="123" t="n">
        <f aca="false">SUMIF($F$7:$AG$7,AL$7,$F94:$AG94)</f>
        <v>0</v>
      </c>
      <c r="AM94" s="123" t="n">
        <f aca="false">SUMIF($F$7:$AG$7,AM$7,$F94:$AG94)</f>
        <v>0</v>
      </c>
      <c r="AN94" s="123" t="n">
        <f aca="false">SUMIF($F$7:$AG$7,AN$7,$F94:$AG94)</f>
        <v>0</v>
      </c>
      <c r="AO94" s="123" t="n">
        <f aca="false">SUMIF($F$7:$AG$7,AO$7,$F94:$AG94)</f>
        <v>97.5412365785</v>
      </c>
    </row>
    <row r="95" customFormat="false" ht="15" hidden="false" customHeight="false" outlineLevel="0" collapsed="false">
      <c r="A95" s="104" t="s">
        <v>1694</v>
      </c>
      <c r="B95" s="20" t="s">
        <v>561</v>
      </c>
      <c r="C95" s="20"/>
      <c r="D95" s="20"/>
      <c r="F95" s="122" t="n">
        <f aca="false">(1-$I$24)*(1-$J$24)*$D$24*$E$24/4*MIN(1,MAX(0,(F$5-$H$24+1)/$T$24))*IF(F$5=$H$24,DelivFactor,IF(AND(F$5&gt;$H$24,F$5&lt;$H$24+$F$24),1,IF(F$5=$H$24+$F$24,1-DelivFactor,0)))</f>
        <v>0</v>
      </c>
      <c r="G95" s="122" t="n">
        <f aca="false">(1-$I$24)*(1-$J$24)*$D$24*$E$24/4*MIN(1,MAX(0,(G$5-$H$24+1)/$T$24))*IF(G$5=$H$24,DelivFactor,IF(AND(G$5&gt;$H$24,G$5&lt;$H$24+$F$24),1,IF(G$5=$H$24+$F$24,1-DelivFactor,0)))</f>
        <v>0</v>
      </c>
      <c r="H95" s="122" t="n">
        <f aca="false">(1-$I$24)*(1-$J$24)*$D$24*$E$24/4*MIN(1,MAX(0,(H$5-$H$24+1)/$T$24))*IF(H$5=$H$24,DelivFactor,IF(AND(H$5&gt;$H$24,H$5&lt;$H$24+$F$24),1,IF(H$5=$H$24+$F$24,1-DelivFactor,0)))</f>
        <v>0</v>
      </c>
      <c r="I95" s="122" t="n">
        <f aca="false">(1-$I$24)*(1-$J$24)*$D$24*$E$24/4*MIN(1,MAX(0,(I$5-$H$24+1)/$T$24))*IF(I$5=$H$24,DelivFactor,IF(AND(I$5&gt;$H$24,I$5&lt;$H$24+$F$24),1,IF(I$5=$H$24+$F$24,1-DelivFactor,0)))</f>
        <v>0</v>
      </c>
      <c r="J95" s="122" t="n">
        <f aca="false">(1-$I$24)*(1-$J$24)*$D$24*$E$24/4*MIN(1,MAX(0,(J$5-$H$24+1)/$T$24))*IF(J$5=$H$24,DelivFactor,IF(AND(J$5&gt;$H$24,J$5&lt;$H$24+$F$24),1,IF(J$5=$H$24+$F$24,1-DelivFactor,0)))</f>
        <v>0</v>
      </c>
      <c r="K95" s="122" t="n">
        <f aca="false">(1-$I$24)*(1-$J$24)*$D$24*$E$24/4*MIN(1,MAX(0,(K$5-$H$24+1)/$T$24))*IF(K$5=$H$24,DelivFactor,IF(AND(K$5&gt;$H$24,K$5&lt;$H$24+$F$24),1,IF(K$5=$H$24+$F$24,1-DelivFactor,0)))</f>
        <v>0</v>
      </c>
      <c r="L95" s="122" t="n">
        <f aca="false">(1-$I$24)*(1-$J$24)*$D$24*$E$24/4*MIN(1,MAX(0,(L$5-$H$24+1)/$T$24))*IF(L$5=$H$24,DelivFactor,IF(AND(L$5&gt;$H$24,L$5&lt;$H$24+$F$24),1,IF(L$5=$H$24+$F$24,1-DelivFactor,0)))</f>
        <v>0</v>
      </c>
      <c r="M95" s="122" t="n">
        <f aca="false">(1-$I$24)*(1-$J$24)*$D$24*$E$24/4*MIN(1,MAX(0,(M$5-$H$24+1)/$T$24))*IF(M$5=$H$24,DelivFactor,IF(AND(M$5&gt;$H$24,M$5&lt;$H$24+$F$24),1,IF(M$5=$H$24+$F$24,1-DelivFactor,0)))</f>
        <v>0</v>
      </c>
      <c r="N95" s="122" t="n">
        <f aca="false">(1-$I$24)*(1-$J$24)*$D$24*$E$24/4*MIN(1,MAX(0,(N$5-$H$24+1)/$T$24))*IF(N$5=$H$24,DelivFactor,IF(AND(N$5&gt;$H$24,N$5&lt;$H$24+$F$24),1,IF(N$5=$H$24+$F$24,1-DelivFactor,0)))</f>
        <v>36.00875</v>
      </c>
      <c r="O95" s="122" t="n">
        <f aca="false">(1-$I$24)*(1-$J$24)*$D$24*$E$24/4*MIN(1,MAX(0,(O$5-$H$24+1)/$T$24))*IF(O$5=$H$24,DelivFactor,IF(AND(O$5&gt;$H$24,O$5&lt;$H$24+$F$24),1,IF(O$5=$H$24+$F$24,1-DelivFactor,0)))</f>
        <v>72.0175</v>
      </c>
      <c r="P95" s="123" t="n">
        <f aca="false">(1-$I$24)*(1-$J$24)*$D$24*$E$24/4*MIN(1,MAX(0,(P$5-$H$24+1)/$T$24))*IF(P$5=$H$24,DelivFactor,IF(AND(P$5&gt;$H$24,P$5&lt;$H$24+$F$24),1,IF(P$5=$H$24+$F$24,1-DelivFactor,0)))</f>
        <v>72.0175</v>
      </c>
      <c r="Q95" s="123" t="n">
        <f aca="false">(1-$I$24)*(1-$J$24)*$D$24*$E$24/4*MIN(1,MAX(0,(Q$5-$H$24+1)/$T$24))*IF(Q$5=$H$24,DelivFactor,IF(AND(Q$5&gt;$H$24,Q$5&lt;$H$24+$F$24),1,IF(Q$5=$H$24+$F$24,1-DelivFactor,0)))</f>
        <v>72.0175</v>
      </c>
      <c r="R95" s="123" t="n">
        <f aca="false">(1-$I$24)*(1-$J$24)*$D$24*$E$24/4*MIN(1,MAX(0,(R$5-$H$24+1)/$T$24))*IF(R$5=$H$24,DelivFactor,IF(AND(R$5&gt;$H$24,R$5&lt;$H$24+$F$24),1,IF(R$5=$H$24+$F$24,1-DelivFactor,0)))</f>
        <v>72.0175</v>
      </c>
      <c r="S95" s="123" t="n">
        <f aca="false">(1-$I$24)*(1-$J$24)*$D$24*$E$24/4*MIN(1,MAX(0,(S$5-$H$24+1)/$T$24))*IF(S$5=$H$24,DelivFactor,IF(AND(S$5&gt;$H$24,S$5&lt;$H$24+$F$24),1,IF(S$5=$H$24+$F$24,1-DelivFactor,0)))</f>
        <v>72.0175</v>
      </c>
      <c r="T95" s="123" t="n">
        <f aca="false">(1-$I$24)*(1-$J$24)*$D$24*$E$24/4*MIN(1,MAX(0,(T$5-$H$24+1)/$T$24))*IF(T$5=$H$24,DelivFactor,IF(AND(T$5&gt;$H$24,T$5&lt;$H$24+$F$24),1,IF(T$5=$H$24+$F$24,1-DelivFactor,0)))</f>
        <v>72.0175</v>
      </c>
      <c r="U95" s="123" t="n">
        <f aca="false">(1-$I$24)*(1-$J$24)*$D$24*$E$24/4*MIN(1,MAX(0,(U$5-$H$24+1)/$T$24))*IF(U$5=$H$24,DelivFactor,IF(AND(U$5&gt;$H$24,U$5&lt;$H$24+$F$24),1,IF(U$5=$H$24+$F$24,1-DelivFactor,0)))</f>
        <v>72.0175</v>
      </c>
      <c r="V95" s="123" t="n">
        <f aca="false">(1-$I$24)*(1-$J$24)*$D$24*$E$24/4*MIN(1,MAX(0,(V$5-$H$24+1)/$T$24))*IF(V$5=$H$24,DelivFactor,IF(AND(V$5&gt;$H$24,V$5&lt;$H$24+$F$24),1,IF(V$5=$H$24+$F$24,1-DelivFactor,0)))</f>
        <v>72.0175</v>
      </c>
      <c r="W95" s="123" t="n">
        <f aca="false">(1-$I$24)*(1-$J$24)*$D$24*$E$24/4*MIN(1,MAX(0,(W$5-$H$24+1)/$T$24))*IF(W$5=$H$24,DelivFactor,IF(AND(W$5&gt;$H$24,W$5&lt;$H$24+$F$24),1,IF(W$5=$H$24+$F$24,1-DelivFactor,0)))</f>
        <v>72.0175</v>
      </c>
      <c r="X95" s="123" t="n">
        <f aca="false">(1-$I$24)*(1-$J$24)*$D$24*$E$24/4*MIN(1,MAX(0,(X$5-$H$24+1)/$T$24))*IF(X$5=$H$24,DelivFactor,IF(AND(X$5&gt;$H$24,X$5&lt;$H$24+$F$24),1,IF(X$5=$H$24+$F$24,1-DelivFactor,0)))</f>
        <v>72.0175</v>
      </c>
      <c r="Y95" s="123" t="n">
        <f aca="false">(1-$I$24)*(1-$J$24)*$D$24*$E$24/4*MIN(1,MAX(0,(Y$5-$H$24+1)/$T$24))*IF(Y$5=$H$24,DelivFactor,IF(AND(Y$5&gt;$H$24,Y$5&lt;$H$24+$F$24),1,IF(Y$5=$H$24+$F$24,1-DelivFactor,0)))</f>
        <v>72.0175</v>
      </c>
      <c r="Z95" s="123" t="n">
        <f aca="false">(1-$I$24)*(1-$J$24)*$D$24*$E$24/4*MIN(1,MAX(0,(Z$5-$H$24+1)/$T$24))*IF(Z$5=$H$24,DelivFactor,IF(AND(Z$5&gt;$H$24,Z$5&lt;$H$24+$F$24),1,IF(Z$5=$H$24+$F$24,1-DelivFactor,0)))</f>
        <v>72.0175</v>
      </c>
      <c r="AA95" s="123" t="n">
        <f aca="false">(1-$I$24)*(1-$J$24)*$D$24*$E$24/4*MIN(1,MAX(0,(AA$5-$H$24+1)/$T$24))*IF(AA$5=$H$24,DelivFactor,IF(AND(AA$5&gt;$H$24,AA$5&lt;$H$24+$F$24),1,IF(AA$5=$H$24+$F$24,1-DelivFactor,0)))</f>
        <v>72.0175</v>
      </c>
      <c r="AB95" s="123" t="n">
        <f aca="false">(1-$I$24)*(1-$J$24)*$D$24*$E$24/4*MIN(1,MAX(0,(AB$5-$H$24+1)/$T$24))*IF(AB$5=$H$24,DelivFactor,IF(AND(AB$5&gt;$H$24,AB$5&lt;$H$24+$F$24),1,IF(AB$5=$H$24+$F$24,1-DelivFactor,0)))</f>
        <v>72.0175</v>
      </c>
      <c r="AC95" s="123" t="n">
        <f aca="false">(1-$I$24)*(1-$J$24)*$D$24*$E$24/4*MIN(1,MAX(0,(AC$5-$H$24+1)/$T$24))*IF(AC$5=$H$24,DelivFactor,IF(AND(AC$5&gt;$H$24,AC$5&lt;$H$24+$F$24),1,IF(AC$5=$H$24+$F$24,1-DelivFactor,0)))</f>
        <v>72.0175</v>
      </c>
      <c r="AD95" s="123" t="n">
        <f aca="false">(1-$I$24)*(1-$J$24)*$D$24*$E$24/4*MIN(1,MAX(0,(AD$5-$H$24+1)/$T$24))*IF(AD$5=$H$24,DelivFactor,IF(AND(AD$5&gt;$H$24,AD$5&lt;$H$24+$F$24),1,IF(AD$5=$H$24+$F$24,1-DelivFactor,0)))</f>
        <v>72.0175</v>
      </c>
      <c r="AE95" s="123" t="n">
        <f aca="false">(1-$I$24)*(1-$J$24)*$D$24*$E$24/4*MIN(1,MAX(0,(AE$5-$H$24+1)/$T$24))*IF(AE$5=$H$24,DelivFactor,IF(AND(AE$5&gt;$H$24,AE$5&lt;$H$24+$F$24),1,IF(AE$5=$H$24+$F$24,1-DelivFactor,0)))</f>
        <v>72.0175</v>
      </c>
      <c r="AF95" s="123" t="n">
        <f aca="false">(1-$I$24)*(1-$J$24)*$D$24*$E$24/4*MIN(1,MAX(0,(AF$5-$H$24+1)/$T$24))*IF(AF$5=$H$24,DelivFactor,IF(AND(AF$5&gt;$H$24,AF$5&lt;$H$24+$F$24),1,IF(AF$5=$H$24+$F$24,1-DelivFactor,0)))</f>
        <v>72.0175</v>
      </c>
      <c r="AG95" s="123" t="n">
        <f aca="false">(1-$I$24)*(1-$J$24)*$D$24*$E$24/4*MIN(1,MAX(0,(AG$5-$H$24+1)/$T$24))*IF(AG$5=$H$24,DelivFactor,IF(AND(AG$5&gt;$H$24,AG$5&lt;$H$24+$F$24),1,IF(AG$5=$H$24+$F$24,1-DelivFactor,0)))</f>
        <v>72.0175</v>
      </c>
      <c r="AI95" s="123" t="n">
        <f aca="false">SUMIF($F$7:$AG$7,AI$7,$F95:$AG95)</f>
        <v>0</v>
      </c>
      <c r="AJ95" s="123" t="n">
        <f aca="false">SUMIF($F$7:$AG$7,AJ$7,$F95:$AG95)</f>
        <v>0</v>
      </c>
      <c r="AK95" s="123" t="n">
        <f aca="false">SUMIF($F$7:$AG$7,AK$7,$F95:$AG95)</f>
        <v>252.06125</v>
      </c>
      <c r="AL95" s="123" t="n">
        <f aca="false">SUMIF($F$7:$AG$7,AL$7,$F95:$AG95)</f>
        <v>288.07</v>
      </c>
      <c r="AM95" s="123" t="n">
        <f aca="false">SUMIF($F$7:$AG$7,AM$7,$F95:$AG95)</f>
        <v>288.07</v>
      </c>
      <c r="AN95" s="123" t="n">
        <f aca="false">SUMIF($F$7:$AG$7,AN$7,$F95:$AG95)</f>
        <v>288.07</v>
      </c>
      <c r="AO95" s="123" t="n">
        <f aca="false">SUMIF($F$7:$AG$7,AO$7,$F95:$AG95)</f>
        <v>288.07</v>
      </c>
    </row>
    <row r="96" customFormat="false" ht="15" hidden="false" customHeight="false" outlineLevel="0" collapsed="false">
      <c r="A96" s="104" t="s">
        <v>1695</v>
      </c>
      <c r="B96" s="20" t="s">
        <v>575</v>
      </c>
      <c r="C96" s="20"/>
      <c r="D96" s="20"/>
      <c r="F96" s="113" t="n">
        <f aca="false">(1-$I$24)*(1-$J$24)*$D$24*AND(F$5&gt;=$H$24,F$5&lt;$H$24+$F$24)</f>
        <v>0</v>
      </c>
      <c r="G96" s="113" t="n">
        <f aca="false">(1-$I$24)*(1-$J$24)*$D$24*AND(G$5&gt;=$H$24,G$5&lt;$H$24+$F$24)</f>
        <v>0</v>
      </c>
      <c r="H96" s="113" t="n">
        <f aca="false">(1-$I$24)*(1-$J$24)*$D$24*AND(H$5&gt;=$H$24,H$5&lt;$H$24+$F$24)</f>
        <v>0</v>
      </c>
      <c r="I96" s="113" t="n">
        <f aca="false">(1-$I$24)*(1-$J$24)*$D$24*AND(I$5&gt;=$H$24,I$5&lt;$H$24+$F$24)</f>
        <v>0</v>
      </c>
      <c r="J96" s="113" t="n">
        <f aca="false">(1-$I$24)*(1-$J$24)*$D$24*AND(J$5&gt;=$H$24,J$5&lt;$H$24+$F$24)</f>
        <v>0</v>
      </c>
      <c r="K96" s="113" t="n">
        <f aca="false">(1-$I$24)*(1-$J$24)*$D$24*AND(K$5&gt;=$H$24,K$5&lt;$H$24+$F$24)</f>
        <v>0</v>
      </c>
      <c r="L96" s="113" t="n">
        <f aca="false">(1-$I$24)*(1-$J$24)*$D$24*AND(L$5&gt;=$H$24,L$5&lt;$H$24+$F$24)</f>
        <v>0</v>
      </c>
      <c r="M96" s="113" t="n">
        <f aca="false">(1-$I$24)*(1-$J$24)*$D$24*AND(M$5&gt;=$H$24,M$5&lt;$H$24+$F$24)</f>
        <v>0</v>
      </c>
      <c r="N96" s="113" t="n">
        <f aca="false">(1-$I$24)*(1-$J$24)*$D$24*AND(N$5&gt;=$H$24,N$5&lt;$H$24+$F$24)</f>
        <v>24.0058333333333</v>
      </c>
      <c r="O96" s="113" t="n">
        <f aca="false">(1-$I$24)*(1-$J$24)*$D$24*AND(O$5&gt;=$H$24,O$5&lt;$H$24+$F$24)</f>
        <v>24.0058333333333</v>
      </c>
      <c r="P96" s="31" t="n">
        <f aca="false">(1-$I$24)*(1-$J$24)*$D$24*AND(P$5&gt;=$H$24,P$5&lt;$H$24+$F$24)</f>
        <v>24.0058333333333</v>
      </c>
      <c r="Q96" s="31" t="n">
        <f aca="false">(1-$I$24)*(1-$J$24)*$D$24*AND(Q$5&gt;=$H$24,Q$5&lt;$H$24+$F$24)</f>
        <v>24.0058333333333</v>
      </c>
      <c r="R96" s="31" t="n">
        <f aca="false">(1-$I$24)*(1-$J$24)*$D$24*AND(R$5&gt;=$H$24,R$5&lt;$H$24+$F$24)</f>
        <v>24.0058333333333</v>
      </c>
      <c r="S96" s="31" t="n">
        <f aca="false">(1-$I$24)*(1-$J$24)*$D$24*AND(S$5&gt;=$H$24,S$5&lt;$H$24+$F$24)</f>
        <v>24.0058333333333</v>
      </c>
      <c r="T96" s="31" t="n">
        <f aca="false">(1-$I$24)*(1-$J$24)*$D$24*AND(T$5&gt;=$H$24,T$5&lt;$H$24+$F$24)</f>
        <v>24.0058333333333</v>
      </c>
      <c r="U96" s="31" t="n">
        <f aca="false">(1-$I$24)*(1-$J$24)*$D$24*AND(U$5&gt;=$H$24,U$5&lt;$H$24+$F$24)</f>
        <v>24.0058333333333</v>
      </c>
      <c r="V96" s="31" t="n">
        <f aca="false">(1-$I$24)*(1-$J$24)*$D$24*AND(V$5&gt;=$H$24,V$5&lt;$H$24+$F$24)</f>
        <v>24.0058333333333</v>
      </c>
      <c r="W96" s="31" t="n">
        <f aca="false">(1-$I$24)*(1-$J$24)*$D$24*AND(W$5&gt;=$H$24,W$5&lt;$H$24+$F$24)</f>
        <v>24.0058333333333</v>
      </c>
      <c r="X96" s="31" t="n">
        <f aca="false">(1-$I$24)*(1-$J$24)*$D$24*AND(X$5&gt;=$H$24,X$5&lt;$H$24+$F$24)</f>
        <v>24.0058333333333</v>
      </c>
      <c r="Y96" s="31" t="n">
        <f aca="false">(1-$I$24)*(1-$J$24)*$D$24*AND(Y$5&gt;=$H$24,Y$5&lt;$H$24+$F$24)</f>
        <v>24.0058333333333</v>
      </c>
      <c r="Z96" s="31" t="n">
        <f aca="false">(1-$I$24)*(1-$J$24)*$D$24*AND(Z$5&gt;=$H$24,Z$5&lt;$H$24+$F$24)</f>
        <v>24.0058333333333</v>
      </c>
      <c r="AA96" s="31" t="n">
        <f aca="false">(1-$I$24)*(1-$J$24)*$D$24*AND(AA$5&gt;=$H$24,AA$5&lt;$H$24+$F$24)</f>
        <v>24.0058333333333</v>
      </c>
      <c r="AB96" s="31" t="n">
        <f aca="false">(1-$I$24)*(1-$J$24)*$D$24*AND(AB$5&gt;=$H$24,AB$5&lt;$H$24+$F$24)</f>
        <v>24.0058333333333</v>
      </c>
      <c r="AC96" s="31" t="n">
        <f aca="false">(1-$I$24)*(1-$J$24)*$D$24*AND(AC$5&gt;=$H$24,AC$5&lt;$H$24+$F$24)</f>
        <v>24.0058333333333</v>
      </c>
      <c r="AD96" s="31" t="n">
        <f aca="false">(1-$I$24)*(1-$J$24)*$D$24*AND(AD$5&gt;=$H$24,AD$5&lt;$H$24+$F$24)</f>
        <v>24.0058333333333</v>
      </c>
      <c r="AE96" s="31" t="n">
        <f aca="false">(1-$I$24)*(1-$J$24)*$D$24*AND(AE$5&gt;=$H$24,AE$5&lt;$H$24+$F$24)</f>
        <v>24.0058333333333</v>
      </c>
      <c r="AF96" s="31" t="n">
        <f aca="false">(1-$I$24)*(1-$J$24)*$D$24*AND(AF$5&gt;=$H$24,AF$5&lt;$H$24+$F$24)</f>
        <v>24.0058333333333</v>
      </c>
      <c r="AG96" s="31" t="n">
        <f aca="false">(1-$I$24)*(1-$J$24)*$D$24*AND(AG$5&gt;=$H$24,AG$5&lt;$H$24+$F$24)</f>
        <v>24.0058333333333</v>
      </c>
      <c r="AI96" s="31" t="n">
        <f aca="false">INDEX($F96:$AG96,1,MATCH(AI$7,$F$7:$AG$7,1))</f>
        <v>0</v>
      </c>
      <c r="AJ96" s="31" t="n">
        <f aca="false">INDEX($F96:$AG96,1,MATCH(AJ$7,$F$7:$AG$7,1))</f>
        <v>0</v>
      </c>
      <c r="AK96" s="31" t="n">
        <f aca="false">INDEX($F96:$AG96,1,MATCH(AK$7,$F$7:$AG$7,1))</f>
        <v>24.0058333333333</v>
      </c>
      <c r="AL96" s="31" t="n">
        <f aca="false">INDEX($F96:$AG96,1,MATCH(AL$7,$F$7:$AG$7,1))</f>
        <v>24.0058333333333</v>
      </c>
      <c r="AM96" s="31" t="n">
        <f aca="false">INDEX($F96:$AG96,1,MATCH(AM$7,$F$7:$AG$7,1))</f>
        <v>24.0058333333333</v>
      </c>
      <c r="AN96" s="31" t="n">
        <f aca="false">INDEX($F96:$AG96,1,MATCH(AN$7,$F$7:$AG$7,1))</f>
        <v>24.0058333333333</v>
      </c>
      <c r="AO96" s="31" t="n">
        <f aca="false">INDEX($F96:$AG96,1,MATCH(AO$7,$F$7:$AG$7,1))</f>
        <v>24.0058333333333</v>
      </c>
    </row>
    <row r="97" customFormat="false" ht="15" hidden="false" customHeight="false" outlineLevel="0" collapsed="false">
      <c r="A97" s="104" t="s">
        <v>1696</v>
      </c>
      <c r="B97" s="20" t="s">
        <v>561</v>
      </c>
      <c r="C97" s="20"/>
      <c r="D97" s="20"/>
      <c r="F97" s="122" t="n">
        <f aca="false">-(1-$I$24)*LD_Pct*$D$24*$E$24/4*AND(F$5&gt;=$G$24,F$5&lt;$H$24)</f>
        <v>-0</v>
      </c>
      <c r="G97" s="122" t="n">
        <f aca="false">-(1-$I$24)*LD_Pct*$D$24*$E$24/4*AND(G$5&gt;=$G$24,G$5&lt;$H$24)</f>
        <v>-0</v>
      </c>
      <c r="H97" s="122" t="n">
        <f aca="false">-(1-$I$24)*LD_Pct*$D$24*$E$24/4*AND(H$5&gt;=$G$24,H$5&lt;$H$24)</f>
        <v>-0</v>
      </c>
      <c r="I97" s="122" t="n">
        <f aca="false">-(1-$I$24)*LD_Pct*$D$24*$E$24/4*AND(I$5&gt;=$G$24,I$5&lt;$H$24)</f>
        <v>-0</v>
      </c>
      <c r="J97" s="122" t="n">
        <f aca="false">-(1-$I$24)*LD_Pct*$D$24*$E$24/4*AND(J$5&gt;=$G$24,J$5&lt;$H$24)</f>
        <v>-0</v>
      </c>
      <c r="K97" s="122" t="n">
        <f aca="false">-(1-$I$24)*LD_Pct*$D$24*$E$24/4*AND(K$5&gt;=$G$24,K$5&lt;$H$24)</f>
        <v>-0</v>
      </c>
      <c r="L97" s="122" t="n">
        <f aca="false">-(1-$I$24)*LD_Pct*$D$24*$E$24/4*AND(L$5&gt;=$G$24,L$5&lt;$H$24)</f>
        <v>-0</v>
      </c>
      <c r="M97" s="122" t="n">
        <f aca="false">-(1-$I$24)*LD_Pct*$D$24*$E$24/4*AND(M$5&gt;=$G$24,M$5&lt;$H$24)</f>
        <v>-0</v>
      </c>
      <c r="N97" s="122" t="n">
        <f aca="false">-(1-$I$24)*LD_Pct*$D$24*$E$24/4*AND(N$5&gt;=$G$24,N$5&lt;$H$24)</f>
        <v>-0</v>
      </c>
      <c r="O97" s="122" t="n">
        <f aca="false">-(1-$I$24)*LD_Pct*$D$24*$E$24/4*AND(O$5&gt;=$G$24,O$5&lt;$H$24)</f>
        <v>-0</v>
      </c>
      <c r="P97" s="123" t="n">
        <f aca="false">-(1-$I$24)*LD_Pct*$D$24*$E$24/4*AND(P$5&gt;=$G$24,P$5&lt;$H$24)</f>
        <v>-0</v>
      </c>
      <c r="Q97" s="123" t="n">
        <f aca="false">-(1-$I$24)*LD_Pct*$D$24*$E$24/4*AND(Q$5&gt;=$G$24,Q$5&lt;$H$24)</f>
        <v>-0</v>
      </c>
      <c r="R97" s="123" t="n">
        <f aca="false">-(1-$I$24)*LD_Pct*$D$24*$E$24/4*AND(R$5&gt;=$G$24,R$5&lt;$H$24)</f>
        <v>-0</v>
      </c>
      <c r="S97" s="123" t="n">
        <f aca="false">-(1-$I$24)*LD_Pct*$D$24*$E$24/4*AND(S$5&gt;=$G$24,S$5&lt;$H$24)</f>
        <v>-0</v>
      </c>
      <c r="T97" s="123" t="n">
        <f aca="false">-(1-$I$24)*LD_Pct*$D$24*$E$24/4*AND(T$5&gt;=$G$24,T$5&lt;$H$24)</f>
        <v>-0</v>
      </c>
      <c r="U97" s="123" t="n">
        <f aca="false">-(1-$I$24)*LD_Pct*$D$24*$E$24/4*AND(U$5&gt;=$G$24,U$5&lt;$H$24)</f>
        <v>-0</v>
      </c>
      <c r="V97" s="123" t="n">
        <f aca="false">-(1-$I$24)*LD_Pct*$D$24*$E$24/4*AND(V$5&gt;=$G$24,V$5&lt;$H$24)</f>
        <v>-0</v>
      </c>
      <c r="W97" s="123" t="n">
        <f aca="false">-(1-$I$24)*LD_Pct*$D$24*$E$24/4*AND(W$5&gt;=$G$24,W$5&lt;$H$24)</f>
        <v>-0</v>
      </c>
      <c r="X97" s="123" t="n">
        <f aca="false">-(1-$I$24)*LD_Pct*$D$24*$E$24/4*AND(X$5&gt;=$G$24,X$5&lt;$H$24)</f>
        <v>-0</v>
      </c>
      <c r="Y97" s="123" t="n">
        <f aca="false">-(1-$I$24)*LD_Pct*$D$24*$E$24/4*AND(Y$5&gt;=$G$24,Y$5&lt;$H$24)</f>
        <v>-0</v>
      </c>
      <c r="Z97" s="123" t="n">
        <f aca="false">-(1-$I$24)*LD_Pct*$D$24*$E$24/4*AND(Z$5&gt;=$G$24,Z$5&lt;$H$24)</f>
        <v>-0</v>
      </c>
      <c r="AA97" s="123" t="n">
        <f aca="false">-(1-$I$24)*LD_Pct*$D$24*$E$24/4*AND(AA$5&gt;=$G$24,AA$5&lt;$H$24)</f>
        <v>-0</v>
      </c>
      <c r="AB97" s="123" t="n">
        <f aca="false">-(1-$I$24)*LD_Pct*$D$24*$E$24/4*AND(AB$5&gt;=$G$24,AB$5&lt;$H$24)</f>
        <v>-0</v>
      </c>
      <c r="AC97" s="123" t="n">
        <f aca="false">-(1-$I$24)*LD_Pct*$D$24*$E$24/4*AND(AC$5&gt;=$G$24,AC$5&lt;$H$24)</f>
        <v>-0</v>
      </c>
      <c r="AD97" s="123" t="n">
        <f aca="false">-(1-$I$24)*LD_Pct*$D$24*$E$24/4*AND(AD$5&gt;=$G$24,AD$5&lt;$H$24)</f>
        <v>-0</v>
      </c>
      <c r="AE97" s="123" t="n">
        <f aca="false">-(1-$I$24)*LD_Pct*$D$24*$E$24/4*AND(AE$5&gt;=$G$24,AE$5&lt;$H$24)</f>
        <v>-0</v>
      </c>
      <c r="AF97" s="123" t="n">
        <f aca="false">-(1-$I$24)*LD_Pct*$D$24*$E$24/4*AND(AF$5&gt;=$G$24,AF$5&lt;$H$24)</f>
        <v>-0</v>
      </c>
      <c r="AG97" s="123" t="n">
        <f aca="false">-(1-$I$24)*LD_Pct*$D$24*$E$24/4*AND(AG$5&gt;=$G$24,AG$5&lt;$H$24)</f>
        <v>-0</v>
      </c>
      <c r="AI97" s="123" t="n">
        <f aca="false">SUMIF($F$7:$AG$7,AI$7,$F97:$AG97)</f>
        <v>0</v>
      </c>
      <c r="AJ97" s="123" t="n">
        <f aca="false">SUMIF($F$7:$AG$7,AJ$7,$F97:$AG97)</f>
        <v>0</v>
      </c>
      <c r="AK97" s="123" t="n">
        <f aca="false">SUMIF($F$7:$AG$7,AK$7,$F97:$AG97)</f>
        <v>0</v>
      </c>
      <c r="AL97" s="123" t="n">
        <f aca="false">SUMIF($F$7:$AG$7,AL$7,$F97:$AG97)</f>
        <v>0</v>
      </c>
      <c r="AM97" s="123" t="n">
        <f aca="false">SUMIF($F$7:$AG$7,AM$7,$F97:$AG97)</f>
        <v>0</v>
      </c>
      <c r="AN97" s="123" t="n">
        <f aca="false">SUMIF($F$7:$AG$7,AN$7,$F97:$AG97)</f>
        <v>0</v>
      </c>
      <c r="AO97" s="123" t="n">
        <f aca="false">SUMIF($F$7:$AG$7,AO$7,$F97:$AG97)</f>
        <v>0</v>
      </c>
    </row>
    <row r="98" customFormat="false" ht="15" hidden="false" customHeight="false" outlineLevel="0" collapsed="false">
      <c r="A98" s="104" t="s">
        <v>1697</v>
      </c>
      <c r="B98" s="20" t="s">
        <v>575</v>
      </c>
      <c r="C98" s="20"/>
      <c r="D98" s="20"/>
      <c r="F98" s="113" t="n">
        <f aca="false">(1-$I$24)*(1-$J$24)*$D$24*(F$5&gt;=$H$24+$F$24)</f>
        <v>0</v>
      </c>
      <c r="G98" s="113" t="n">
        <f aca="false">(1-$I$24)*(1-$J$24)*$D$24*(G$5&gt;=$H$24+$F$24)</f>
        <v>0</v>
      </c>
      <c r="H98" s="113" t="n">
        <f aca="false">(1-$I$24)*(1-$J$24)*$D$24*(H$5&gt;=$H$24+$F$24)</f>
        <v>0</v>
      </c>
      <c r="I98" s="113" t="n">
        <f aca="false">(1-$I$24)*(1-$J$24)*$D$24*(I$5&gt;=$H$24+$F$24)</f>
        <v>0</v>
      </c>
      <c r="J98" s="113" t="n">
        <f aca="false">(1-$I$24)*(1-$J$24)*$D$24*(J$5&gt;=$H$24+$F$24)</f>
        <v>0</v>
      </c>
      <c r="K98" s="113" t="n">
        <f aca="false">(1-$I$24)*(1-$J$24)*$D$24*(K$5&gt;=$H$24+$F$24)</f>
        <v>0</v>
      </c>
      <c r="L98" s="113" t="n">
        <f aca="false">(1-$I$24)*(1-$J$24)*$D$24*(L$5&gt;=$H$24+$F$24)</f>
        <v>0</v>
      </c>
      <c r="M98" s="113" t="n">
        <f aca="false">(1-$I$24)*(1-$J$24)*$D$24*(M$5&gt;=$H$24+$F$24)</f>
        <v>0</v>
      </c>
      <c r="N98" s="113" t="n">
        <f aca="false">(1-$I$24)*(1-$J$24)*$D$24*(N$5&gt;=$H$24+$F$24)</f>
        <v>0</v>
      </c>
      <c r="O98" s="113" t="n">
        <f aca="false">(1-$I$24)*(1-$J$24)*$D$24*(O$5&gt;=$H$24+$F$24)</f>
        <v>0</v>
      </c>
      <c r="P98" s="31" t="n">
        <f aca="false">(1-$I$24)*(1-$J$24)*$D$24*(P$5&gt;=$H$24+$F$24)</f>
        <v>0</v>
      </c>
      <c r="Q98" s="31" t="n">
        <f aca="false">(1-$I$24)*(1-$J$24)*$D$24*(Q$5&gt;=$H$24+$F$24)</f>
        <v>0</v>
      </c>
      <c r="R98" s="31" t="n">
        <f aca="false">(1-$I$24)*(1-$J$24)*$D$24*(R$5&gt;=$H$24+$F$24)</f>
        <v>0</v>
      </c>
      <c r="S98" s="31" t="n">
        <f aca="false">(1-$I$24)*(1-$J$24)*$D$24*(S$5&gt;=$H$24+$F$24)</f>
        <v>0</v>
      </c>
      <c r="T98" s="31" t="n">
        <f aca="false">(1-$I$24)*(1-$J$24)*$D$24*(T$5&gt;=$H$24+$F$24)</f>
        <v>0</v>
      </c>
      <c r="U98" s="31" t="n">
        <f aca="false">(1-$I$24)*(1-$J$24)*$D$24*(U$5&gt;=$H$24+$F$24)</f>
        <v>0</v>
      </c>
      <c r="V98" s="31" t="n">
        <f aca="false">(1-$I$24)*(1-$J$24)*$D$24*(V$5&gt;=$H$24+$F$24)</f>
        <v>0</v>
      </c>
      <c r="W98" s="31" t="n">
        <f aca="false">(1-$I$24)*(1-$J$24)*$D$24*(W$5&gt;=$H$24+$F$24)</f>
        <v>0</v>
      </c>
      <c r="X98" s="31" t="n">
        <f aca="false">(1-$I$24)*(1-$J$24)*$D$24*(X$5&gt;=$H$24+$F$24)</f>
        <v>0</v>
      </c>
      <c r="Y98" s="31" t="n">
        <f aca="false">(1-$I$24)*(1-$J$24)*$D$24*(Y$5&gt;=$H$24+$F$24)</f>
        <v>0</v>
      </c>
      <c r="Z98" s="31" t="n">
        <f aca="false">(1-$I$24)*(1-$J$24)*$D$24*(Z$5&gt;=$H$24+$F$24)</f>
        <v>0</v>
      </c>
      <c r="AA98" s="31" t="n">
        <f aca="false">(1-$I$24)*(1-$J$24)*$D$24*(AA$5&gt;=$H$24+$F$24)</f>
        <v>0</v>
      </c>
      <c r="AB98" s="31" t="n">
        <f aca="false">(1-$I$24)*(1-$J$24)*$D$24*(AB$5&gt;=$H$24+$F$24)</f>
        <v>0</v>
      </c>
      <c r="AC98" s="31" t="n">
        <f aca="false">(1-$I$24)*(1-$J$24)*$D$24*(AC$5&gt;=$H$24+$F$24)</f>
        <v>0</v>
      </c>
      <c r="AD98" s="31" t="n">
        <f aca="false">(1-$I$24)*(1-$J$24)*$D$24*(AD$5&gt;=$H$24+$F$24)</f>
        <v>0</v>
      </c>
      <c r="AE98" s="31" t="n">
        <f aca="false">(1-$I$24)*(1-$J$24)*$D$24*(AE$5&gt;=$H$24+$F$24)</f>
        <v>0</v>
      </c>
      <c r="AF98" s="31" t="n">
        <f aca="false">(1-$I$24)*(1-$J$24)*$D$24*(AF$5&gt;=$H$24+$F$24)</f>
        <v>0</v>
      </c>
      <c r="AG98" s="31" t="n">
        <f aca="false">(1-$I$24)*(1-$J$24)*$D$24*(AG$5&gt;=$H$24+$F$24)</f>
        <v>0</v>
      </c>
      <c r="AI98" s="31" t="n">
        <f aca="false">INDEX($F98:$AG98,1,MATCH(AI$7,$F$7:$AG$7,1))</f>
        <v>0</v>
      </c>
      <c r="AJ98" s="31" t="n">
        <f aca="false">INDEX($F98:$AG98,1,MATCH(AJ$7,$F$7:$AG$7,1))</f>
        <v>0</v>
      </c>
      <c r="AK98" s="31" t="n">
        <f aca="false">INDEX($F98:$AG98,1,MATCH(AK$7,$F$7:$AG$7,1))</f>
        <v>0</v>
      </c>
      <c r="AL98" s="31" t="n">
        <f aca="false">INDEX($F98:$AG98,1,MATCH(AL$7,$F$7:$AG$7,1))</f>
        <v>0</v>
      </c>
      <c r="AM98" s="31" t="n">
        <f aca="false">INDEX($F98:$AG98,1,MATCH(AM$7,$F$7:$AG$7,1))</f>
        <v>0</v>
      </c>
      <c r="AN98" s="31" t="n">
        <f aca="false">INDEX($F98:$AG98,1,MATCH(AN$7,$F$7:$AG$7,1))</f>
        <v>0</v>
      </c>
      <c r="AO98" s="31" t="n">
        <f aca="false">INDEX($F98:$AG98,1,MATCH(AO$7,$F$7:$AG$7,1))</f>
        <v>0</v>
      </c>
    </row>
    <row r="99" customFormat="false" ht="15" hidden="false" customHeight="false" outlineLevel="0" collapsed="false">
      <c r="A99" s="104" t="s">
        <v>1698</v>
      </c>
      <c r="B99" s="20" t="s">
        <v>561</v>
      </c>
      <c r="C99" s="20"/>
      <c r="D99" s="20" t="s">
        <v>1638</v>
      </c>
      <c r="F99" s="122" t="n">
        <f aca="false">F98*CHOOSE(MATCH($C$24,{"H";"B";"N"},0),GPUMW_H*ODc_H,GPUMW_B*ODc_B,GPUMW_N*ODc_N)*ResidUtil*Timeline!F$9*INDEX(Curve,1,MAX(1,MIN(8,INT((F$5-$H$24)/4)+1)))/1000000</f>
        <v>0</v>
      </c>
      <c r="G99" s="122" t="n">
        <f aca="false">G98*CHOOSE(MATCH($C$24,{"H";"B";"N"},0),GPUMW_H*ODc_H,GPUMW_B*ODc_B,GPUMW_N*ODc_N)*ResidUtil*Timeline!G$9*INDEX(Curve,1,MAX(1,MIN(8,INT((G$5-$H$24)/4)+1)))/1000000</f>
        <v>0</v>
      </c>
      <c r="H99" s="122" t="n">
        <f aca="false">H98*CHOOSE(MATCH($C$24,{"H";"B";"N"},0),GPUMW_H*ODc_H,GPUMW_B*ODc_B,GPUMW_N*ODc_N)*ResidUtil*Timeline!H$9*INDEX(Curve,1,MAX(1,MIN(8,INT((H$5-$H$24)/4)+1)))/1000000</f>
        <v>0</v>
      </c>
      <c r="I99" s="122" t="n">
        <f aca="false">I98*CHOOSE(MATCH($C$24,{"H";"B";"N"},0),GPUMW_H*ODc_H,GPUMW_B*ODc_B,GPUMW_N*ODc_N)*ResidUtil*Timeline!I$9*INDEX(Curve,1,MAX(1,MIN(8,INT((I$5-$H$24)/4)+1)))/1000000</f>
        <v>0</v>
      </c>
      <c r="J99" s="122" t="n">
        <f aca="false">J98*CHOOSE(MATCH($C$24,{"H";"B";"N"},0),GPUMW_H*ODc_H,GPUMW_B*ODc_B,GPUMW_N*ODc_N)*ResidUtil*Timeline!J$9*INDEX(Curve,1,MAX(1,MIN(8,INT((J$5-$H$24)/4)+1)))/1000000</f>
        <v>0</v>
      </c>
      <c r="K99" s="122" t="n">
        <f aca="false">K98*CHOOSE(MATCH($C$24,{"H";"B";"N"},0),GPUMW_H*ODc_H,GPUMW_B*ODc_B,GPUMW_N*ODc_N)*ResidUtil*Timeline!K$9*INDEX(Curve,1,MAX(1,MIN(8,INT((K$5-$H$24)/4)+1)))/1000000</f>
        <v>0</v>
      </c>
      <c r="L99" s="122" t="n">
        <f aca="false">L98*CHOOSE(MATCH($C$24,{"H";"B";"N"},0),GPUMW_H*ODc_H,GPUMW_B*ODc_B,GPUMW_N*ODc_N)*ResidUtil*Timeline!L$9*INDEX(Curve,1,MAX(1,MIN(8,INT((L$5-$H$24)/4)+1)))/1000000</f>
        <v>0</v>
      </c>
      <c r="M99" s="122" t="n">
        <f aca="false">M98*CHOOSE(MATCH($C$24,{"H";"B";"N"},0),GPUMW_H*ODc_H,GPUMW_B*ODc_B,GPUMW_N*ODc_N)*ResidUtil*Timeline!M$9*INDEX(Curve,1,MAX(1,MIN(8,INT((M$5-$H$24)/4)+1)))/1000000</f>
        <v>0</v>
      </c>
      <c r="N99" s="122" t="n">
        <f aca="false">N98*CHOOSE(MATCH($C$24,{"H";"B";"N"},0),GPUMW_H*ODc_H,GPUMW_B*ODc_B,GPUMW_N*ODc_N)*ResidUtil*Timeline!N$9*INDEX(Curve,1,MAX(1,MIN(8,INT((N$5-$H$24)/4)+1)))/1000000</f>
        <v>0</v>
      </c>
      <c r="O99" s="122" t="n">
        <f aca="false">O98*CHOOSE(MATCH($C$24,{"H";"B";"N"},0),GPUMW_H*ODc_H,GPUMW_B*ODc_B,GPUMW_N*ODc_N)*ResidUtil*Timeline!O$9*INDEX(Curve,1,MAX(1,MIN(8,INT((O$5-$H$24)/4)+1)))/1000000</f>
        <v>0</v>
      </c>
      <c r="P99" s="123" t="n">
        <f aca="false">P98*CHOOSE(MATCH($C$24,{"H";"B";"N"},0),GPUMW_H*ODc_H,GPUMW_B*ODc_B,GPUMW_N*ODc_N)*ResidUtil*Timeline!P$9*INDEX(Curve,1,MAX(1,MIN(8,INT((P$5-$H$24)/4)+1)))/1000000</f>
        <v>0</v>
      </c>
      <c r="Q99" s="123" t="n">
        <f aca="false">Q98*CHOOSE(MATCH($C$24,{"H";"B";"N"},0),GPUMW_H*ODc_H,GPUMW_B*ODc_B,GPUMW_N*ODc_N)*ResidUtil*Timeline!Q$9*INDEX(Curve,1,MAX(1,MIN(8,INT((Q$5-$H$24)/4)+1)))/1000000</f>
        <v>0</v>
      </c>
      <c r="R99" s="123" t="n">
        <f aca="false">R98*CHOOSE(MATCH($C$24,{"H";"B";"N"},0),GPUMW_H*ODc_H,GPUMW_B*ODc_B,GPUMW_N*ODc_N)*ResidUtil*Timeline!R$9*INDEX(Curve,1,MAX(1,MIN(8,INT((R$5-$H$24)/4)+1)))/1000000</f>
        <v>0</v>
      </c>
      <c r="S99" s="123" t="n">
        <f aca="false">S98*CHOOSE(MATCH($C$24,{"H";"B";"N"},0),GPUMW_H*ODc_H,GPUMW_B*ODc_B,GPUMW_N*ODc_N)*ResidUtil*Timeline!S$9*INDEX(Curve,1,MAX(1,MIN(8,INT((S$5-$H$24)/4)+1)))/1000000</f>
        <v>0</v>
      </c>
      <c r="T99" s="123" t="n">
        <f aca="false">T98*CHOOSE(MATCH($C$24,{"H";"B";"N"},0),GPUMW_H*ODc_H,GPUMW_B*ODc_B,GPUMW_N*ODc_N)*ResidUtil*Timeline!T$9*INDEX(Curve,1,MAX(1,MIN(8,INT((T$5-$H$24)/4)+1)))/1000000</f>
        <v>0</v>
      </c>
      <c r="U99" s="123" t="n">
        <f aca="false">U98*CHOOSE(MATCH($C$24,{"H";"B";"N"},0),GPUMW_H*ODc_H,GPUMW_B*ODc_B,GPUMW_N*ODc_N)*ResidUtil*Timeline!U$9*INDEX(Curve,1,MAX(1,MIN(8,INT((U$5-$H$24)/4)+1)))/1000000</f>
        <v>0</v>
      </c>
      <c r="V99" s="123" t="n">
        <f aca="false">V98*CHOOSE(MATCH($C$24,{"H";"B";"N"},0),GPUMW_H*ODc_H,GPUMW_B*ODc_B,GPUMW_N*ODc_N)*ResidUtil*Timeline!V$9*INDEX(Curve,1,MAX(1,MIN(8,INT((V$5-$H$24)/4)+1)))/1000000</f>
        <v>0</v>
      </c>
      <c r="W99" s="123" t="n">
        <f aca="false">W98*CHOOSE(MATCH($C$24,{"H";"B";"N"},0),GPUMW_H*ODc_H,GPUMW_B*ODc_B,GPUMW_N*ODc_N)*ResidUtil*Timeline!W$9*INDEX(Curve,1,MAX(1,MIN(8,INT((W$5-$H$24)/4)+1)))/1000000</f>
        <v>0</v>
      </c>
      <c r="X99" s="123" t="n">
        <f aca="false">X98*CHOOSE(MATCH($C$24,{"H";"B";"N"},0),GPUMW_H*ODc_H,GPUMW_B*ODc_B,GPUMW_N*ODc_N)*ResidUtil*Timeline!X$9*INDEX(Curve,1,MAX(1,MIN(8,INT((X$5-$H$24)/4)+1)))/1000000</f>
        <v>0</v>
      </c>
      <c r="Y99" s="123" t="n">
        <f aca="false">Y98*CHOOSE(MATCH($C$24,{"H";"B";"N"},0),GPUMW_H*ODc_H,GPUMW_B*ODc_B,GPUMW_N*ODc_N)*ResidUtil*Timeline!Y$9*INDEX(Curve,1,MAX(1,MIN(8,INT((Y$5-$H$24)/4)+1)))/1000000</f>
        <v>0</v>
      </c>
      <c r="Z99" s="123" t="n">
        <f aca="false">Z98*CHOOSE(MATCH($C$24,{"H";"B";"N"},0),GPUMW_H*ODc_H,GPUMW_B*ODc_B,GPUMW_N*ODc_N)*ResidUtil*Timeline!Z$9*INDEX(Curve,1,MAX(1,MIN(8,INT((Z$5-$H$24)/4)+1)))/1000000</f>
        <v>0</v>
      </c>
      <c r="AA99" s="123" t="n">
        <f aca="false">AA98*CHOOSE(MATCH($C$24,{"H";"B";"N"},0),GPUMW_H*ODc_H,GPUMW_B*ODc_B,GPUMW_N*ODc_N)*ResidUtil*Timeline!AA$9*INDEX(Curve,1,MAX(1,MIN(8,INT((AA$5-$H$24)/4)+1)))/1000000</f>
        <v>0</v>
      </c>
      <c r="AB99" s="123" t="n">
        <f aca="false">AB98*CHOOSE(MATCH($C$24,{"H";"B";"N"},0),GPUMW_H*ODc_H,GPUMW_B*ODc_B,GPUMW_N*ODc_N)*ResidUtil*Timeline!AB$9*INDEX(Curve,1,MAX(1,MIN(8,INT((AB$5-$H$24)/4)+1)))/1000000</f>
        <v>0</v>
      </c>
      <c r="AC99" s="123" t="n">
        <f aca="false">AC98*CHOOSE(MATCH($C$24,{"H";"B";"N"},0),GPUMW_H*ODc_H,GPUMW_B*ODc_B,GPUMW_N*ODc_N)*ResidUtil*Timeline!AC$9*INDEX(Curve,1,MAX(1,MIN(8,INT((AC$5-$H$24)/4)+1)))/1000000</f>
        <v>0</v>
      </c>
      <c r="AD99" s="123" t="n">
        <f aca="false">AD98*CHOOSE(MATCH($C$24,{"H";"B";"N"},0),GPUMW_H*ODc_H,GPUMW_B*ODc_B,GPUMW_N*ODc_N)*ResidUtil*Timeline!AD$9*INDEX(Curve,1,MAX(1,MIN(8,INT((AD$5-$H$24)/4)+1)))/1000000</f>
        <v>0</v>
      </c>
      <c r="AE99" s="123" t="n">
        <f aca="false">AE98*CHOOSE(MATCH($C$24,{"H";"B";"N"},0),GPUMW_H*ODc_H,GPUMW_B*ODc_B,GPUMW_N*ODc_N)*ResidUtil*Timeline!AE$9*INDEX(Curve,1,MAX(1,MIN(8,INT((AE$5-$H$24)/4)+1)))/1000000</f>
        <v>0</v>
      </c>
      <c r="AF99" s="123" t="n">
        <f aca="false">AF98*CHOOSE(MATCH($C$24,{"H";"B";"N"},0),GPUMW_H*ODc_H,GPUMW_B*ODc_B,GPUMW_N*ODc_N)*ResidUtil*Timeline!AF$9*INDEX(Curve,1,MAX(1,MIN(8,INT((AF$5-$H$24)/4)+1)))/1000000</f>
        <v>0</v>
      </c>
      <c r="AG99" s="123" t="n">
        <f aca="false">AG98*CHOOSE(MATCH($C$24,{"H";"B";"N"},0),GPUMW_H*ODc_H,GPUMW_B*ODc_B,GPUMW_N*ODc_N)*ResidUtil*Timeline!AG$9*INDEX(Curve,1,MAX(1,MIN(8,INT((AG$5-$H$24)/4)+1)))/1000000</f>
        <v>0</v>
      </c>
      <c r="AI99" s="123" t="n">
        <f aca="false">SUMIF($F$7:$AG$7,AI$7,$F99:$AG99)</f>
        <v>0</v>
      </c>
      <c r="AJ99" s="123" t="n">
        <f aca="false">SUMIF($F$7:$AG$7,AJ$7,$F99:$AG99)</f>
        <v>0</v>
      </c>
      <c r="AK99" s="123" t="n">
        <f aca="false">SUMIF($F$7:$AG$7,AK$7,$F99:$AG99)</f>
        <v>0</v>
      </c>
      <c r="AL99" s="123" t="n">
        <f aca="false">SUMIF($F$7:$AG$7,AL$7,$F99:$AG99)</f>
        <v>0</v>
      </c>
      <c r="AM99" s="123" t="n">
        <f aca="false">SUMIF($F$7:$AG$7,AM$7,$F99:$AG99)</f>
        <v>0</v>
      </c>
      <c r="AN99" s="123" t="n">
        <f aca="false">SUMIF($F$7:$AG$7,AN$7,$F99:$AG99)</f>
        <v>0</v>
      </c>
      <c r="AO99" s="123" t="n">
        <f aca="false">SUMIF($F$7:$AG$7,AO$7,$F99:$AG99)</f>
        <v>0</v>
      </c>
    </row>
    <row r="100" customFormat="false" ht="15" hidden="false" customHeight="false" outlineLevel="0" collapsed="false">
      <c r="A100" s="104" t="s">
        <v>1699</v>
      </c>
      <c r="B100" s="20" t="s">
        <v>561</v>
      </c>
      <c r="C100" s="20"/>
      <c r="D100" s="20"/>
      <c r="F100" s="122" t="n">
        <f aca="false">(1-$I$25)*(1-$J$25)*$D$25*$E$25/4*MIN(1,MAX(0,(F$5-$H$25+1)/$T$25))*IF(F$5=$H$25,DelivFactor,IF(AND(F$5&gt;$H$25,F$5&lt;$H$25+$F$25),1,IF(F$5=$H$25+$F$25,1-DelivFactor,0)))</f>
        <v>0</v>
      </c>
      <c r="G100" s="122" t="n">
        <f aca="false">(1-$I$25)*(1-$J$25)*$D$25*$E$25/4*MIN(1,MAX(0,(G$5-$H$25+1)/$T$25))*IF(G$5=$H$25,DelivFactor,IF(AND(G$5&gt;$H$25,G$5&lt;$H$25+$F$25),1,IF(G$5=$H$25+$F$25,1-DelivFactor,0)))</f>
        <v>0</v>
      </c>
      <c r="H100" s="122" t="n">
        <f aca="false">(1-$I$25)*(1-$J$25)*$D$25*$E$25/4*MIN(1,MAX(0,(H$5-$H$25+1)/$T$25))*IF(H$5=$H$25,DelivFactor,IF(AND(H$5&gt;$H$25,H$5&lt;$H$25+$F$25),1,IF(H$5=$H$25+$F$25,1-DelivFactor,0)))</f>
        <v>0</v>
      </c>
      <c r="I100" s="122" t="n">
        <f aca="false">(1-$I$25)*(1-$J$25)*$D$25*$E$25/4*MIN(1,MAX(0,(I$5-$H$25+1)/$T$25))*IF(I$5=$H$25,DelivFactor,IF(AND(I$5&gt;$H$25,I$5&lt;$H$25+$F$25),1,IF(I$5=$H$25+$F$25,1-DelivFactor,0)))</f>
        <v>0</v>
      </c>
      <c r="J100" s="122" t="n">
        <f aca="false">(1-$I$25)*(1-$J$25)*$D$25*$E$25/4*MIN(1,MAX(0,(J$5-$H$25+1)/$T$25))*IF(J$5=$H$25,DelivFactor,IF(AND(J$5&gt;$H$25,J$5&lt;$H$25+$F$25),1,IF(J$5=$H$25+$F$25,1-DelivFactor,0)))</f>
        <v>0</v>
      </c>
      <c r="K100" s="122" t="n">
        <f aca="false">(1-$I$25)*(1-$J$25)*$D$25*$E$25/4*MIN(1,MAX(0,(K$5-$H$25+1)/$T$25))*IF(K$5=$H$25,DelivFactor,IF(AND(K$5&gt;$H$25,K$5&lt;$H$25+$F$25),1,IF(K$5=$H$25+$F$25,1-DelivFactor,0)))</f>
        <v>0</v>
      </c>
      <c r="L100" s="122" t="n">
        <f aca="false">(1-$I$25)*(1-$J$25)*$D$25*$E$25/4*MIN(1,MAX(0,(L$5-$H$25+1)/$T$25))*IF(L$5=$H$25,DelivFactor,IF(AND(L$5&gt;$H$25,L$5&lt;$H$25+$F$25),1,IF(L$5=$H$25+$F$25,1-DelivFactor,0)))</f>
        <v>0</v>
      </c>
      <c r="M100" s="122" t="n">
        <f aca="false">(1-$I$25)*(1-$J$25)*$D$25*$E$25/4*MIN(1,MAX(0,(M$5-$H$25+1)/$T$25))*IF(M$5=$H$25,DelivFactor,IF(AND(M$5&gt;$H$25,M$5&lt;$H$25+$F$25),1,IF(M$5=$H$25+$F$25,1-DelivFactor,0)))</f>
        <v>0</v>
      </c>
      <c r="N100" s="122" t="n">
        <f aca="false">(1-$I$25)*(1-$J$25)*$D$25*$E$25/4*MIN(1,MAX(0,(N$5-$H$25+1)/$T$25))*IF(N$5=$H$25,DelivFactor,IF(AND(N$5&gt;$H$25,N$5&lt;$H$25+$F$25),1,IF(N$5=$H$25+$F$25,1-DelivFactor,0)))</f>
        <v>0</v>
      </c>
      <c r="O100" s="122" t="n">
        <f aca="false">(1-$I$25)*(1-$J$25)*$D$25*$E$25/4*MIN(1,MAX(0,(O$5-$H$25+1)/$T$25))*IF(O$5=$H$25,DelivFactor,IF(AND(O$5&gt;$H$25,O$5&lt;$H$25+$F$25),1,IF(O$5=$H$25+$F$25,1-DelivFactor,0)))</f>
        <v>0</v>
      </c>
      <c r="P100" s="123" t="n">
        <f aca="false">(1-$I$25)*(1-$J$25)*$D$25*$E$25/4*MIN(1,MAX(0,(P$5-$H$25+1)/$T$25))*IF(P$5=$H$25,DelivFactor,IF(AND(P$5&gt;$H$25,P$5&lt;$H$25+$F$25),1,IF(P$5=$H$25+$F$25,1-DelivFactor,0)))</f>
        <v>0</v>
      </c>
      <c r="Q100" s="123" t="n">
        <f aca="false">(1-$I$25)*(1-$J$25)*$D$25*$E$25/4*MIN(1,MAX(0,(Q$5-$H$25+1)/$T$25))*IF(Q$5=$H$25,DelivFactor,IF(AND(Q$5&gt;$H$25,Q$5&lt;$H$25+$F$25),1,IF(Q$5=$H$25+$F$25,1-DelivFactor,0)))</f>
        <v>0</v>
      </c>
      <c r="R100" s="123" t="n">
        <f aca="false">(1-$I$25)*(1-$J$25)*$D$25*$E$25/4*MIN(1,MAX(0,(R$5-$H$25+1)/$T$25))*IF(R$5=$H$25,DelivFactor,IF(AND(R$5&gt;$H$25,R$5&lt;$H$25+$F$25),1,IF(R$5=$H$25+$F$25,1-DelivFactor,0)))</f>
        <v>0</v>
      </c>
      <c r="S100" s="123" t="n">
        <f aca="false">(1-$I$25)*(1-$J$25)*$D$25*$E$25/4*MIN(1,MAX(0,(S$5-$H$25+1)/$T$25))*IF(S$5=$H$25,DelivFactor,IF(AND(S$5&gt;$H$25,S$5&lt;$H$25+$F$25),1,IF(S$5=$H$25+$F$25,1-DelivFactor,0)))</f>
        <v>0</v>
      </c>
      <c r="T100" s="123" t="n">
        <f aca="false">(1-$I$25)*(1-$J$25)*$D$25*$E$25/4*MIN(1,MAX(0,(T$5-$H$25+1)/$T$25))*IF(T$5=$H$25,DelivFactor,IF(AND(T$5&gt;$H$25,T$5&lt;$H$25+$F$25),1,IF(T$5=$H$25+$F$25,1-DelivFactor,0)))</f>
        <v>150</v>
      </c>
      <c r="U100" s="123" t="n">
        <f aca="false">(1-$I$25)*(1-$J$25)*$D$25*$E$25/4*MIN(1,MAX(0,(U$5-$H$25+1)/$T$25))*IF(U$5=$H$25,DelivFactor,IF(AND(U$5&gt;$H$25,U$5&lt;$H$25+$F$25),1,IF(U$5=$H$25+$F$25,1-DelivFactor,0)))</f>
        <v>300</v>
      </c>
      <c r="V100" s="123" t="n">
        <f aca="false">(1-$I$25)*(1-$J$25)*$D$25*$E$25/4*MIN(1,MAX(0,(V$5-$H$25+1)/$T$25))*IF(V$5=$H$25,DelivFactor,IF(AND(V$5&gt;$H$25,V$5&lt;$H$25+$F$25),1,IF(V$5=$H$25+$F$25,1-DelivFactor,0)))</f>
        <v>300</v>
      </c>
      <c r="W100" s="123" t="n">
        <f aca="false">(1-$I$25)*(1-$J$25)*$D$25*$E$25/4*MIN(1,MAX(0,(W$5-$H$25+1)/$T$25))*IF(W$5=$H$25,DelivFactor,IF(AND(W$5&gt;$H$25,W$5&lt;$H$25+$F$25),1,IF(W$5=$H$25+$F$25,1-DelivFactor,0)))</f>
        <v>300</v>
      </c>
      <c r="X100" s="123" t="n">
        <f aca="false">(1-$I$25)*(1-$J$25)*$D$25*$E$25/4*MIN(1,MAX(0,(X$5-$H$25+1)/$T$25))*IF(X$5=$H$25,DelivFactor,IF(AND(X$5&gt;$H$25,X$5&lt;$H$25+$F$25),1,IF(X$5=$H$25+$F$25,1-DelivFactor,0)))</f>
        <v>300</v>
      </c>
      <c r="Y100" s="123" t="n">
        <f aca="false">(1-$I$25)*(1-$J$25)*$D$25*$E$25/4*MIN(1,MAX(0,(Y$5-$H$25+1)/$T$25))*IF(Y$5=$H$25,DelivFactor,IF(AND(Y$5&gt;$H$25,Y$5&lt;$H$25+$F$25),1,IF(Y$5=$H$25+$F$25,1-DelivFactor,0)))</f>
        <v>300</v>
      </c>
      <c r="Z100" s="123" t="n">
        <f aca="false">(1-$I$25)*(1-$J$25)*$D$25*$E$25/4*MIN(1,MAX(0,(Z$5-$H$25+1)/$T$25))*IF(Z$5=$H$25,DelivFactor,IF(AND(Z$5&gt;$H$25,Z$5&lt;$H$25+$F$25),1,IF(Z$5=$H$25+$F$25,1-DelivFactor,0)))</f>
        <v>300</v>
      </c>
      <c r="AA100" s="123" t="n">
        <f aca="false">(1-$I$25)*(1-$J$25)*$D$25*$E$25/4*MIN(1,MAX(0,(AA$5-$H$25+1)/$T$25))*IF(AA$5=$H$25,DelivFactor,IF(AND(AA$5&gt;$H$25,AA$5&lt;$H$25+$F$25),1,IF(AA$5=$H$25+$F$25,1-DelivFactor,0)))</f>
        <v>300</v>
      </c>
      <c r="AB100" s="123" t="n">
        <f aca="false">(1-$I$25)*(1-$J$25)*$D$25*$E$25/4*MIN(1,MAX(0,(AB$5-$H$25+1)/$T$25))*IF(AB$5=$H$25,DelivFactor,IF(AND(AB$5&gt;$H$25,AB$5&lt;$H$25+$F$25),1,IF(AB$5=$H$25+$F$25,1-DelivFactor,0)))</f>
        <v>300</v>
      </c>
      <c r="AC100" s="123" t="n">
        <f aca="false">(1-$I$25)*(1-$J$25)*$D$25*$E$25/4*MIN(1,MAX(0,(AC$5-$H$25+1)/$T$25))*IF(AC$5=$H$25,DelivFactor,IF(AND(AC$5&gt;$H$25,AC$5&lt;$H$25+$F$25),1,IF(AC$5=$H$25+$F$25,1-DelivFactor,0)))</f>
        <v>300</v>
      </c>
      <c r="AD100" s="123" t="n">
        <f aca="false">(1-$I$25)*(1-$J$25)*$D$25*$E$25/4*MIN(1,MAX(0,(AD$5-$H$25+1)/$T$25))*IF(AD$5=$H$25,DelivFactor,IF(AND(AD$5&gt;$H$25,AD$5&lt;$H$25+$F$25),1,IF(AD$5=$H$25+$F$25,1-DelivFactor,0)))</f>
        <v>300</v>
      </c>
      <c r="AE100" s="123" t="n">
        <f aca="false">(1-$I$25)*(1-$J$25)*$D$25*$E$25/4*MIN(1,MAX(0,(AE$5-$H$25+1)/$T$25))*IF(AE$5=$H$25,DelivFactor,IF(AND(AE$5&gt;$H$25,AE$5&lt;$H$25+$F$25),1,IF(AE$5=$H$25+$F$25,1-DelivFactor,0)))</f>
        <v>300</v>
      </c>
      <c r="AF100" s="123" t="n">
        <f aca="false">(1-$I$25)*(1-$J$25)*$D$25*$E$25/4*MIN(1,MAX(0,(AF$5-$H$25+1)/$T$25))*IF(AF$5=$H$25,DelivFactor,IF(AND(AF$5&gt;$H$25,AF$5&lt;$H$25+$F$25),1,IF(AF$5=$H$25+$F$25,1-DelivFactor,0)))</f>
        <v>300</v>
      </c>
      <c r="AG100" s="123" t="n">
        <f aca="false">(1-$I$25)*(1-$J$25)*$D$25*$E$25/4*MIN(1,MAX(0,(AG$5-$H$25+1)/$T$25))*IF(AG$5=$H$25,DelivFactor,IF(AND(AG$5&gt;$H$25,AG$5&lt;$H$25+$F$25),1,IF(AG$5=$H$25+$F$25,1-DelivFactor,0)))</f>
        <v>300</v>
      </c>
      <c r="AI100" s="123" t="n">
        <f aca="false">SUMIF($F$7:$AG$7,AI$7,$F100:$AG100)</f>
        <v>0</v>
      </c>
      <c r="AJ100" s="123" t="n">
        <f aca="false">SUMIF($F$7:$AG$7,AJ$7,$F100:$AG100)</f>
        <v>0</v>
      </c>
      <c r="AK100" s="123" t="n">
        <f aca="false">SUMIF($F$7:$AG$7,AK$7,$F100:$AG100)</f>
        <v>0</v>
      </c>
      <c r="AL100" s="123" t="n">
        <f aca="false">SUMIF($F$7:$AG$7,AL$7,$F100:$AG100)</f>
        <v>450</v>
      </c>
      <c r="AM100" s="123" t="n">
        <f aca="false">SUMIF($F$7:$AG$7,AM$7,$F100:$AG100)</f>
        <v>1200</v>
      </c>
      <c r="AN100" s="123" t="n">
        <f aca="false">SUMIF($F$7:$AG$7,AN$7,$F100:$AG100)</f>
        <v>1200</v>
      </c>
      <c r="AO100" s="123" t="n">
        <f aca="false">SUMIF($F$7:$AG$7,AO$7,$F100:$AG100)</f>
        <v>1200</v>
      </c>
    </row>
    <row r="101" customFormat="false" ht="15" hidden="false" customHeight="false" outlineLevel="0" collapsed="false">
      <c r="A101" s="104" t="s">
        <v>1700</v>
      </c>
      <c r="B101" s="20" t="s">
        <v>575</v>
      </c>
      <c r="C101" s="20"/>
      <c r="D101" s="20"/>
      <c r="F101" s="113" t="n">
        <f aca="false">(1-$I$25)*(1-$J$25)*$D$25*AND(F$5&gt;=$H$25,F$5&lt;$H$25+$F$25)</f>
        <v>0</v>
      </c>
      <c r="G101" s="113" t="n">
        <f aca="false">(1-$I$25)*(1-$J$25)*$D$25*AND(G$5&gt;=$H$25,G$5&lt;$H$25+$F$25)</f>
        <v>0</v>
      </c>
      <c r="H101" s="113" t="n">
        <f aca="false">(1-$I$25)*(1-$J$25)*$D$25*AND(H$5&gt;=$H$25,H$5&lt;$H$25+$F$25)</f>
        <v>0</v>
      </c>
      <c r="I101" s="113" t="n">
        <f aca="false">(1-$I$25)*(1-$J$25)*$D$25*AND(I$5&gt;=$H$25,I$5&lt;$H$25+$F$25)</f>
        <v>0</v>
      </c>
      <c r="J101" s="113" t="n">
        <f aca="false">(1-$I$25)*(1-$J$25)*$D$25*AND(J$5&gt;=$H$25,J$5&lt;$H$25+$F$25)</f>
        <v>0</v>
      </c>
      <c r="K101" s="113" t="n">
        <f aca="false">(1-$I$25)*(1-$J$25)*$D$25*AND(K$5&gt;=$H$25,K$5&lt;$H$25+$F$25)</f>
        <v>0</v>
      </c>
      <c r="L101" s="113" t="n">
        <f aca="false">(1-$I$25)*(1-$J$25)*$D$25*AND(L$5&gt;=$H$25,L$5&lt;$H$25+$F$25)</f>
        <v>0</v>
      </c>
      <c r="M101" s="113" t="n">
        <f aca="false">(1-$I$25)*(1-$J$25)*$D$25*AND(M$5&gt;=$H$25,M$5&lt;$H$25+$F$25)</f>
        <v>0</v>
      </c>
      <c r="N101" s="113" t="n">
        <f aca="false">(1-$I$25)*(1-$J$25)*$D$25*AND(N$5&gt;=$H$25,N$5&lt;$H$25+$F$25)</f>
        <v>0</v>
      </c>
      <c r="O101" s="113" t="n">
        <f aca="false">(1-$I$25)*(1-$J$25)*$D$25*AND(O$5&gt;=$H$25,O$5&lt;$H$25+$F$25)</f>
        <v>0</v>
      </c>
      <c r="P101" s="31" t="n">
        <f aca="false">(1-$I$25)*(1-$J$25)*$D$25*AND(P$5&gt;=$H$25,P$5&lt;$H$25+$F$25)</f>
        <v>0</v>
      </c>
      <c r="Q101" s="31" t="n">
        <f aca="false">(1-$I$25)*(1-$J$25)*$D$25*AND(Q$5&gt;=$H$25,Q$5&lt;$H$25+$F$25)</f>
        <v>0</v>
      </c>
      <c r="R101" s="31" t="n">
        <f aca="false">(1-$I$25)*(1-$J$25)*$D$25*AND(R$5&gt;=$H$25,R$5&lt;$H$25+$F$25)</f>
        <v>0</v>
      </c>
      <c r="S101" s="31" t="n">
        <f aca="false">(1-$I$25)*(1-$J$25)*$D$25*AND(S$5&gt;=$H$25,S$5&lt;$H$25+$F$25)</f>
        <v>0</v>
      </c>
      <c r="T101" s="31" t="n">
        <f aca="false">(1-$I$25)*(1-$J$25)*$D$25*AND(T$5&gt;=$H$25,T$5&lt;$H$25+$F$25)</f>
        <v>53.3333333333333</v>
      </c>
      <c r="U101" s="31" t="n">
        <f aca="false">(1-$I$25)*(1-$J$25)*$D$25*AND(U$5&gt;=$H$25,U$5&lt;$H$25+$F$25)</f>
        <v>53.3333333333333</v>
      </c>
      <c r="V101" s="31" t="n">
        <f aca="false">(1-$I$25)*(1-$J$25)*$D$25*AND(V$5&gt;=$H$25,V$5&lt;$H$25+$F$25)</f>
        <v>53.3333333333333</v>
      </c>
      <c r="W101" s="31" t="n">
        <f aca="false">(1-$I$25)*(1-$J$25)*$D$25*AND(W$5&gt;=$H$25,W$5&lt;$H$25+$F$25)</f>
        <v>53.3333333333333</v>
      </c>
      <c r="X101" s="31" t="n">
        <f aca="false">(1-$I$25)*(1-$J$25)*$D$25*AND(X$5&gt;=$H$25,X$5&lt;$H$25+$F$25)</f>
        <v>53.3333333333333</v>
      </c>
      <c r="Y101" s="31" t="n">
        <f aca="false">(1-$I$25)*(1-$J$25)*$D$25*AND(Y$5&gt;=$H$25,Y$5&lt;$H$25+$F$25)</f>
        <v>53.3333333333333</v>
      </c>
      <c r="Z101" s="31" t="n">
        <f aca="false">(1-$I$25)*(1-$J$25)*$D$25*AND(Z$5&gt;=$H$25,Z$5&lt;$H$25+$F$25)</f>
        <v>53.3333333333333</v>
      </c>
      <c r="AA101" s="31" t="n">
        <f aca="false">(1-$I$25)*(1-$J$25)*$D$25*AND(AA$5&gt;=$H$25,AA$5&lt;$H$25+$F$25)</f>
        <v>53.3333333333333</v>
      </c>
      <c r="AB101" s="31" t="n">
        <f aca="false">(1-$I$25)*(1-$J$25)*$D$25*AND(AB$5&gt;=$H$25,AB$5&lt;$H$25+$F$25)</f>
        <v>53.3333333333333</v>
      </c>
      <c r="AC101" s="31" t="n">
        <f aca="false">(1-$I$25)*(1-$J$25)*$D$25*AND(AC$5&gt;=$H$25,AC$5&lt;$H$25+$F$25)</f>
        <v>53.3333333333333</v>
      </c>
      <c r="AD101" s="31" t="n">
        <f aca="false">(1-$I$25)*(1-$J$25)*$D$25*AND(AD$5&gt;=$H$25,AD$5&lt;$H$25+$F$25)</f>
        <v>53.3333333333333</v>
      </c>
      <c r="AE101" s="31" t="n">
        <f aca="false">(1-$I$25)*(1-$J$25)*$D$25*AND(AE$5&gt;=$H$25,AE$5&lt;$H$25+$F$25)</f>
        <v>53.3333333333333</v>
      </c>
      <c r="AF101" s="31" t="n">
        <f aca="false">(1-$I$25)*(1-$J$25)*$D$25*AND(AF$5&gt;=$H$25,AF$5&lt;$H$25+$F$25)</f>
        <v>53.3333333333333</v>
      </c>
      <c r="AG101" s="31" t="n">
        <f aca="false">(1-$I$25)*(1-$J$25)*$D$25*AND(AG$5&gt;=$H$25,AG$5&lt;$H$25+$F$25)</f>
        <v>53.3333333333333</v>
      </c>
      <c r="AI101" s="31" t="n">
        <f aca="false">INDEX($F101:$AG101,1,MATCH(AI$7,$F$7:$AG$7,1))</f>
        <v>0</v>
      </c>
      <c r="AJ101" s="31" t="n">
        <f aca="false">INDEX($F101:$AG101,1,MATCH(AJ$7,$F$7:$AG$7,1))</f>
        <v>0</v>
      </c>
      <c r="AK101" s="31" t="n">
        <f aca="false">INDEX($F101:$AG101,1,MATCH(AK$7,$F$7:$AG$7,1))</f>
        <v>0</v>
      </c>
      <c r="AL101" s="31" t="n">
        <f aca="false">INDEX($F101:$AG101,1,MATCH(AL$7,$F$7:$AG$7,1))</f>
        <v>53.3333333333333</v>
      </c>
      <c r="AM101" s="31" t="n">
        <f aca="false">INDEX($F101:$AG101,1,MATCH(AM$7,$F$7:$AG$7,1))</f>
        <v>53.3333333333333</v>
      </c>
      <c r="AN101" s="31" t="n">
        <f aca="false">INDEX($F101:$AG101,1,MATCH(AN$7,$F$7:$AG$7,1))</f>
        <v>53.3333333333333</v>
      </c>
      <c r="AO101" s="31" t="n">
        <f aca="false">INDEX($F101:$AG101,1,MATCH(AO$7,$F$7:$AG$7,1))</f>
        <v>53.3333333333333</v>
      </c>
    </row>
    <row r="102" customFormat="false" ht="15" hidden="false" customHeight="false" outlineLevel="0" collapsed="false">
      <c r="A102" s="104" t="s">
        <v>1701</v>
      </c>
      <c r="B102" s="20" t="s">
        <v>561</v>
      </c>
      <c r="C102" s="20"/>
      <c r="D102" s="20"/>
      <c r="F102" s="122" t="n">
        <f aca="false">-(1-$I$25)*LD_Pct*$D$25*$E$25/4*AND(F$5&gt;=$G$25,F$5&lt;$H$25)</f>
        <v>-0</v>
      </c>
      <c r="G102" s="122" t="n">
        <f aca="false">-(1-$I$25)*LD_Pct*$D$25*$E$25/4*AND(G$5&gt;=$G$25,G$5&lt;$H$25)</f>
        <v>-0</v>
      </c>
      <c r="H102" s="122" t="n">
        <f aca="false">-(1-$I$25)*LD_Pct*$D$25*$E$25/4*AND(H$5&gt;=$G$25,H$5&lt;$H$25)</f>
        <v>-0</v>
      </c>
      <c r="I102" s="122" t="n">
        <f aca="false">-(1-$I$25)*LD_Pct*$D$25*$E$25/4*AND(I$5&gt;=$G$25,I$5&lt;$H$25)</f>
        <v>-0</v>
      </c>
      <c r="J102" s="122" t="n">
        <f aca="false">-(1-$I$25)*LD_Pct*$D$25*$E$25/4*AND(J$5&gt;=$G$25,J$5&lt;$H$25)</f>
        <v>-0</v>
      </c>
      <c r="K102" s="122" t="n">
        <f aca="false">-(1-$I$25)*LD_Pct*$D$25*$E$25/4*AND(K$5&gt;=$G$25,K$5&lt;$H$25)</f>
        <v>-0</v>
      </c>
      <c r="L102" s="122" t="n">
        <f aca="false">-(1-$I$25)*LD_Pct*$D$25*$E$25/4*AND(L$5&gt;=$G$25,L$5&lt;$H$25)</f>
        <v>-0</v>
      </c>
      <c r="M102" s="122" t="n">
        <f aca="false">-(1-$I$25)*LD_Pct*$D$25*$E$25/4*AND(M$5&gt;=$G$25,M$5&lt;$H$25)</f>
        <v>-0</v>
      </c>
      <c r="N102" s="122" t="n">
        <f aca="false">-(1-$I$25)*LD_Pct*$D$25*$E$25/4*AND(N$5&gt;=$G$25,N$5&lt;$H$25)</f>
        <v>-0</v>
      </c>
      <c r="O102" s="122" t="n">
        <f aca="false">-(1-$I$25)*LD_Pct*$D$25*$E$25/4*AND(O$5&gt;=$G$25,O$5&lt;$H$25)</f>
        <v>-0</v>
      </c>
      <c r="P102" s="123" t="n">
        <f aca="false">-(1-$I$25)*LD_Pct*$D$25*$E$25/4*AND(P$5&gt;=$G$25,P$5&lt;$H$25)</f>
        <v>-0</v>
      </c>
      <c r="Q102" s="123" t="n">
        <f aca="false">-(1-$I$25)*LD_Pct*$D$25*$E$25/4*AND(Q$5&gt;=$G$25,Q$5&lt;$H$25)</f>
        <v>-0</v>
      </c>
      <c r="R102" s="123" t="n">
        <f aca="false">-(1-$I$25)*LD_Pct*$D$25*$E$25/4*AND(R$5&gt;=$G$25,R$5&lt;$H$25)</f>
        <v>-0</v>
      </c>
      <c r="S102" s="123" t="n">
        <f aca="false">-(1-$I$25)*LD_Pct*$D$25*$E$25/4*AND(S$5&gt;=$G$25,S$5&lt;$H$25)</f>
        <v>-0</v>
      </c>
      <c r="T102" s="123" t="n">
        <f aca="false">-(1-$I$25)*LD_Pct*$D$25*$E$25/4*AND(T$5&gt;=$G$25,T$5&lt;$H$25)</f>
        <v>-0</v>
      </c>
      <c r="U102" s="123" t="n">
        <f aca="false">-(1-$I$25)*LD_Pct*$D$25*$E$25/4*AND(U$5&gt;=$G$25,U$5&lt;$H$25)</f>
        <v>-0</v>
      </c>
      <c r="V102" s="123" t="n">
        <f aca="false">-(1-$I$25)*LD_Pct*$D$25*$E$25/4*AND(V$5&gt;=$G$25,V$5&lt;$H$25)</f>
        <v>-0</v>
      </c>
      <c r="W102" s="123" t="n">
        <f aca="false">-(1-$I$25)*LD_Pct*$D$25*$E$25/4*AND(W$5&gt;=$G$25,W$5&lt;$H$25)</f>
        <v>-0</v>
      </c>
      <c r="X102" s="123" t="n">
        <f aca="false">-(1-$I$25)*LD_Pct*$D$25*$E$25/4*AND(X$5&gt;=$G$25,X$5&lt;$H$25)</f>
        <v>-0</v>
      </c>
      <c r="Y102" s="123" t="n">
        <f aca="false">-(1-$I$25)*LD_Pct*$D$25*$E$25/4*AND(Y$5&gt;=$G$25,Y$5&lt;$H$25)</f>
        <v>-0</v>
      </c>
      <c r="Z102" s="123" t="n">
        <f aca="false">-(1-$I$25)*LD_Pct*$D$25*$E$25/4*AND(Z$5&gt;=$G$25,Z$5&lt;$H$25)</f>
        <v>-0</v>
      </c>
      <c r="AA102" s="123" t="n">
        <f aca="false">-(1-$I$25)*LD_Pct*$D$25*$E$25/4*AND(AA$5&gt;=$G$25,AA$5&lt;$H$25)</f>
        <v>-0</v>
      </c>
      <c r="AB102" s="123" t="n">
        <f aca="false">-(1-$I$25)*LD_Pct*$D$25*$E$25/4*AND(AB$5&gt;=$G$25,AB$5&lt;$H$25)</f>
        <v>-0</v>
      </c>
      <c r="AC102" s="123" t="n">
        <f aca="false">-(1-$I$25)*LD_Pct*$D$25*$E$25/4*AND(AC$5&gt;=$G$25,AC$5&lt;$H$25)</f>
        <v>-0</v>
      </c>
      <c r="AD102" s="123" t="n">
        <f aca="false">-(1-$I$25)*LD_Pct*$D$25*$E$25/4*AND(AD$5&gt;=$G$25,AD$5&lt;$H$25)</f>
        <v>-0</v>
      </c>
      <c r="AE102" s="123" t="n">
        <f aca="false">-(1-$I$25)*LD_Pct*$D$25*$E$25/4*AND(AE$5&gt;=$G$25,AE$5&lt;$H$25)</f>
        <v>-0</v>
      </c>
      <c r="AF102" s="123" t="n">
        <f aca="false">-(1-$I$25)*LD_Pct*$D$25*$E$25/4*AND(AF$5&gt;=$G$25,AF$5&lt;$H$25)</f>
        <v>-0</v>
      </c>
      <c r="AG102" s="123" t="n">
        <f aca="false">-(1-$I$25)*LD_Pct*$D$25*$E$25/4*AND(AG$5&gt;=$G$25,AG$5&lt;$H$25)</f>
        <v>-0</v>
      </c>
      <c r="AI102" s="123" t="n">
        <f aca="false">SUMIF($F$7:$AG$7,AI$7,$F102:$AG102)</f>
        <v>0</v>
      </c>
      <c r="AJ102" s="123" t="n">
        <f aca="false">SUMIF($F$7:$AG$7,AJ$7,$F102:$AG102)</f>
        <v>0</v>
      </c>
      <c r="AK102" s="123" t="n">
        <f aca="false">SUMIF($F$7:$AG$7,AK$7,$F102:$AG102)</f>
        <v>0</v>
      </c>
      <c r="AL102" s="123" t="n">
        <f aca="false">SUMIF($F$7:$AG$7,AL$7,$F102:$AG102)</f>
        <v>0</v>
      </c>
      <c r="AM102" s="123" t="n">
        <f aca="false">SUMIF($F$7:$AG$7,AM$7,$F102:$AG102)</f>
        <v>0</v>
      </c>
      <c r="AN102" s="123" t="n">
        <f aca="false">SUMIF($F$7:$AG$7,AN$7,$F102:$AG102)</f>
        <v>0</v>
      </c>
      <c r="AO102" s="123" t="n">
        <f aca="false">SUMIF($F$7:$AG$7,AO$7,$F102:$AG102)</f>
        <v>0</v>
      </c>
    </row>
    <row r="103" customFormat="false" ht="15" hidden="false" customHeight="false" outlineLevel="0" collapsed="false">
      <c r="A103" s="104" t="s">
        <v>1702</v>
      </c>
      <c r="B103" s="20" t="s">
        <v>575</v>
      </c>
      <c r="C103" s="20"/>
      <c r="D103" s="20"/>
      <c r="F103" s="113" t="n">
        <f aca="false">(1-$I$25)*(1-$J$25)*$D$25*(F$5&gt;=$H$25+$F$25)</f>
        <v>0</v>
      </c>
      <c r="G103" s="113" t="n">
        <f aca="false">(1-$I$25)*(1-$J$25)*$D$25*(G$5&gt;=$H$25+$F$25)</f>
        <v>0</v>
      </c>
      <c r="H103" s="113" t="n">
        <f aca="false">(1-$I$25)*(1-$J$25)*$D$25*(H$5&gt;=$H$25+$F$25)</f>
        <v>0</v>
      </c>
      <c r="I103" s="113" t="n">
        <f aca="false">(1-$I$25)*(1-$J$25)*$D$25*(I$5&gt;=$H$25+$F$25)</f>
        <v>0</v>
      </c>
      <c r="J103" s="113" t="n">
        <f aca="false">(1-$I$25)*(1-$J$25)*$D$25*(J$5&gt;=$H$25+$F$25)</f>
        <v>0</v>
      </c>
      <c r="K103" s="113" t="n">
        <f aca="false">(1-$I$25)*(1-$J$25)*$D$25*(K$5&gt;=$H$25+$F$25)</f>
        <v>0</v>
      </c>
      <c r="L103" s="113" t="n">
        <f aca="false">(1-$I$25)*(1-$J$25)*$D$25*(L$5&gt;=$H$25+$F$25)</f>
        <v>0</v>
      </c>
      <c r="M103" s="113" t="n">
        <f aca="false">(1-$I$25)*(1-$J$25)*$D$25*(M$5&gt;=$H$25+$F$25)</f>
        <v>0</v>
      </c>
      <c r="N103" s="113" t="n">
        <f aca="false">(1-$I$25)*(1-$J$25)*$D$25*(N$5&gt;=$H$25+$F$25)</f>
        <v>0</v>
      </c>
      <c r="O103" s="113" t="n">
        <f aca="false">(1-$I$25)*(1-$J$25)*$D$25*(O$5&gt;=$H$25+$F$25)</f>
        <v>0</v>
      </c>
      <c r="P103" s="31" t="n">
        <f aca="false">(1-$I$25)*(1-$J$25)*$D$25*(P$5&gt;=$H$25+$F$25)</f>
        <v>0</v>
      </c>
      <c r="Q103" s="31" t="n">
        <f aca="false">(1-$I$25)*(1-$J$25)*$D$25*(Q$5&gt;=$H$25+$F$25)</f>
        <v>0</v>
      </c>
      <c r="R103" s="31" t="n">
        <f aca="false">(1-$I$25)*(1-$J$25)*$D$25*(R$5&gt;=$H$25+$F$25)</f>
        <v>0</v>
      </c>
      <c r="S103" s="31" t="n">
        <f aca="false">(1-$I$25)*(1-$J$25)*$D$25*(S$5&gt;=$H$25+$F$25)</f>
        <v>0</v>
      </c>
      <c r="T103" s="31" t="n">
        <f aca="false">(1-$I$25)*(1-$J$25)*$D$25*(T$5&gt;=$H$25+$F$25)</f>
        <v>0</v>
      </c>
      <c r="U103" s="31" t="n">
        <f aca="false">(1-$I$25)*(1-$J$25)*$D$25*(U$5&gt;=$H$25+$F$25)</f>
        <v>0</v>
      </c>
      <c r="V103" s="31" t="n">
        <f aca="false">(1-$I$25)*(1-$J$25)*$D$25*(V$5&gt;=$H$25+$F$25)</f>
        <v>0</v>
      </c>
      <c r="W103" s="31" t="n">
        <f aca="false">(1-$I$25)*(1-$J$25)*$D$25*(W$5&gt;=$H$25+$F$25)</f>
        <v>0</v>
      </c>
      <c r="X103" s="31" t="n">
        <f aca="false">(1-$I$25)*(1-$J$25)*$D$25*(X$5&gt;=$H$25+$F$25)</f>
        <v>0</v>
      </c>
      <c r="Y103" s="31" t="n">
        <f aca="false">(1-$I$25)*(1-$J$25)*$D$25*(Y$5&gt;=$H$25+$F$25)</f>
        <v>0</v>
      </c>
      <c r="Z103" s="31" t="n">
        <f aca="false">(1-$I$25)*(1-$J$25)*$D$25*(Z$5&gt;=$H$25+$F$25)</f>
        <v>0</v>
      </c>
      <c r="AA103" s="31" t="n">
        <f aca="false">(1-$I$25)*(1-$J$25)*$D$25*(AA$5&gt;=$H$25+$F$25)</f>
        <v>0</v>
      </c>
      <c r="AB103" s="31" t="n">
        <f aca="false">(1-$I$25)*(1-$J$25)*$D$25*(AB$5&gt;=$H$25+$F$25)</f>
        <v>0</v>
      </c>
      <c r="AC103" s="31" t="n">
        <f aca="false">(1-$I$25)*(1-$J$25)*$D$25*(AC$5&gt;=$H$25+$F$25)</f>
        <v>0</v>
      </c>
      <c r="AD103" s="31" t="n">
        <f aca="false">(1-$I$25)*(1-$J$25)*$D$25*(AD$5&gt;=$H$25+$F$25)</f>
        <v>0</v>
      </c>
      <c r="AE103" s="31" t="n">
        <f aca="false">(1-$I$25)*(1-$J$25)*$D$25*(AE$5&gt;=$H$25+$F$25)</f>
        <v>0</v>
      </c>
      <c r="AF103" s="31" t="n">
        <f aca="false">(1-$I$25)*(1-$J$25)*$D$25*(AF$5&gt;=$H$25+$F$25)</f>
        <v>0</v>
      </c>
      <c r="AG103" s="31" t="n">
        <f aca="false">(1-$I$25)*(1-$J$25)*$D$25*(AG$5&gt;=$H$25+$F$25)</f>
        <v>0</v>
      </c>
      <c r="AI103" s="31" t="n">
        <f aca="false">INDEX($F103:$AG103,1,MATCH(AI$7,$F$7:$AG$7,1))</f>
        <v>0</v>
      </c>
      <c r="AJ103" s="31" t="n">
        <f aca="false">INDEX($F103:$AG103,1,MATCH(AJ$7,$F$7:$AG$7,1))</f>
        <v>0</v>
      </c>
      <c r="AK103" s="31" t="n">
        <f aca="false">INDEX($F103:$AG103,1,MATCH(AK$7,$F$7:$AG$7,1))</f>
        <v>0</v>
      </c>
      <c r="AL103" s="31" t="n">
        <f aca="false">INDEX($F103:$AG103,1,MATCH(AL$7,$F$7:$AG$7,1))</f>
        <v>0</v>
      </c>
      <c r="AM103" s="31" t="n">
        <f aca="false">INDEX($F103:$AG103,1,MATCH(AM$7,$F$7:$AG$7,1))</f>
        <v>0</v>
      </c>
      <c r="AN103" s="31" t="n">
        <f aca="false">INDEX($F103:$AG103,1,MATCH(AN$7,$F$7:$AG$7,1))</f>
        <v>0</v>
      </c>
      <c r="AO103" s="31" t="n">
        <f aca="false">INDEX($F103:$AG103,1,MATCH(AO$7,$F$7:$AG$7,1))</f>
        <v>0</v>
      </c>
    </row>
    <row r="104" customFormat="false" ht="15" hidden="false" customHeight="false" outlineLevel="0" collapsed="false">
      <c r="A104" s="104" t="s">
        <v>1703</v>
      </c>
      <c r="B104" s="20" t="s">
        <v>561</v>
      </c>
      <c r="C104" s="20"/>
      <c r="D104" s="20" t="s">
        <v>1638</v>
      </c>
      <c r="F104" s="122" t="n">
        <f aca="false">F103*CHOOSE(MATCH($C$25,{"H";"B";"N"},0),GPUMW_H*ODc_H,GPUMW_B*ODc_B,GPUMW_N*ODc_N)*ResidUtil*Timeline!F$9*INDEX(Curve,1,MAX(1,MIN(8,INT((F$5-$H$25)/4)+1)))/1000000</f>
        <v>0</v>
      </c>
      <c r="G104" s="122" t="n">
        <f aca="false">G103*CHOOSE(MATCH($C$25,{"H";"B";"N"},0),GPUMW_H*ODc_H,GPUMW_B*ODc_B,GPUMW_N*ODc_N)*ResidUtil*Timeline!G$9*INDEX(Curve,1,MAX(1,MIN(8,INT((G$5-$H$25)/4)+1)))/1000000</f>
        <v>0</v>
      </c>
      <c r="H104" s="122" t="n">
        <f aca="false">H103*CHOOSE(MATCH($C$25,{"H";"B";"N"},0),GPUMW_H*ODc_H,GPUMW_B*ODc_B,GPUMW_N*ODc_N)*ResidUtil*Timeline!H$9*INDEX(Curve,1,MAX(1,MIN(8,INT((H$5-$H$25)/4)+1)))/1000000</f>
        <v>0</v>
      </c>
      <c r="I104" s="122" t="n">
        <f aca="false">I103*CHOOSE(MATCH($C$25,{"H";"B";"N"},0),GPUMW_H*ODc_H,GPUMW_B*ODc_B,GPUMW_N*ODc_N)*ResidUtil*Timeline!I$9*INDEX(Curve,1,MAX(1,MIN(8,INT((I$5-$H$25)/4)+1)))/1000000</f>
        <v>0</v>
      </c>
      <c r="J104" s="122" t="n">
        <f aca="false">J103*CHOOSE(MATCH($C$25,{"H";"B";"N"},0),GPUMW_H*ODc_H,GPUMW_B*ODc_B,GPUMW_N*ODc_N)*ResidUtil*Timeline!J$9*INDEX(Curve,1,MAX(1,MIN(8,INT((J$5-$H$25)/4)+1)))/1000000</f>
        <v>0</v>
      </c>
      <c r="K104" s="122" t="n">
        <f aca="false">K103*CHOOSE(MATCH($C$25,{"H";"B";"N"},0),GPUMW_H*ODc_H,GPUMW_B*ODc_B,GPUMW_N*ODc_N)*ResidUtil*Timeline!K$9*INDEX(Curve,1,MAX(1,MIN(8,INT((K$5-$H$25)/4)+1)))/1000000</f>
        <v>0</v>
      </c>
      <c r="L104" s="122" t="n">
        <f aca="false">L103*CHOOSE(MATCH($C$25,{"H";"B";"N"},0),GPUMW_H*ODc_H,GPUMW_B*ODc_B,GPUMW_N*ODc_N)*ResidUtil*Timeline!L$9*INDEX(Curve,1,MAX(1,MIN(8,INT((L$5-$H$25)/4)+1)))/1000000</f>
        <v>0</v>
      </c>
      <c r="M104" s="122" t="n">
        <f aca="false">M103*CHOOSE(MATCH($C$25,{"H";"B";"N"},0),GPUMW_H*ODc_H,GPUMW_B*ODc_B,GPUMW_N*ODc_N)*ResidUtil*Timeline!M$9*INDEX(Curve,1,MAX(1,MIN(8,INT((M$5-$H$25)/4)+1)))/1000000</f>
        <v>0</v>
      </c>
      <c r="N104" s="122" t="n">
        <f aca="false">N103*CHOOSE(MATCH($C$25,{"H";"B";"N"},0),GPUMW_H*ODc_H,GPUMW_B*ODc_B,GPUMW_N*ODc_N)*ResidUtil*Timeline!N$9*INDEX(Curve,1,MAX(1,MIN(8,INT((N$5-$H$25)/4)+1)))/1000000</f>
        <v>0</v>
      </c>
      <c r="O104" s="122" t="n">
        <f aca="false">O103*CHOOSE(MATCH($C$25,{"H";"B";"N"},0),GPUMW_H*ODc_H,GPUMW_B*ODc_B,GPUMW_N*ODc_N)*ResidUtil*Timeline!O$9*INDEX(Curve,1,MAX(1,MIN(8,INT((O$5-$H$25)/4)+1)))/1000000</f>
        <v>0</v>
      </c>
      <c r="P104" s="123" t="n">
        <f aca="false">P103*CHOOSE(MATCH($C$25,{"H";"B";"N"},0),GPUMW_H*ODc_H,GPUMW_B*ODc_B,GPUMW_N*ODc_N)*ResidUtil*Timeline!P$9*INDEX(Curve,1,MAX(1,MIN(8,INT((P$5-$H$25)/4)+1)))/1000000</f>
        <v>0</v>
      </c>
      <c r="Q104" s="123" t="n">
        <f aca="false">Q103*CHOOSE(MATCH($C$25,{"H";"B";"N"},0),GPUMW_H*ODc_H,GPUMW_B*ODc_B,GPUMW_N*ODc_N)*ResidUtil*Timeline!Q$9*INDEX(Curve,1,MAX(1,MIN(8,INT((Q$5-$H$25)/4)+1)))/1000000</f>
        <v>0</v>
      </c>
      <c r="R104" s="123" t="n">
        <f aca="false">R103*CHOOSE(MATCH($C$25,{"H";"B";"N"},0),GPUMW_H*ODc_H,GPUMW_B*ODc_B,GPUMW_N*ODc_N)*ResidUtil*Timeline!R$9*INDEX(Curve,1,MAX(1,MIN(8,INT((R$5-$H$25)/4)+1)))/1000000</f>
        <v>0</v>
      </c>
      <c r="S104" s="123" t="n">
        <f aca="false">S103*CHOOSE(MATCH($C$25,{"H";"B";"N"},0),GPUMW_H*ODc_H,GPUMW_B*ODc_B,GPUMW_N*ODc_N)*ResidUtil*Timeline!S$9*INDEX(Curve,1,MAX(1,MIN(8,INT((S$5-$H$25)/4)+1)))/1000000</f>
        <v>0</v>
      </c>
      <c r="T104" s="123" t="n">
        <f aca="false">T103*CHOOSE(MATCH($C$25,{"H";"B";"N"},0),GPUMW_H*ODc_H,GPUMW_B*ODc_B,GPUMW_N*ODc_N)*ResidUtil*Timeline!T$9*INDEX(Curve,1,MAX(1,MIN(8,INT((T$5-$H$25)/4)+1)))/1000000</f>
        <v>0</v>
      </c>
      <c r="U104" s="123" t="n">
        <f aca="false">U103*CHOOSE(MATCH($C$25,{"H";"B";"N"},0),GPUMW_H*ODc_H,GPUMW_B*ODc_B,GPUMW_N*ODc_N)*ResidUtil*Timeline!U$9*INDEX(Curve,1,MAX(1,MIN(8,INT((U$5-$H$25)/4)+1)))/1000000</f>
        <v>0</v>
      </c>
      <c r="V104" s="123" t="n">
        <f aca="false">V103*CHOOSE(MATCH($C$25,{"H";"B";"N"},0),GPUMW_H*ODc_H,GPUMW_B*ODc_B,GPUMW_N*ODc_N)*ResidUtil*Timeline!V$9*INDEX(Curve,1,MAX(1,MIN(8,INT((V$5-$H$25)/4)+1)))/1000000</f>
        <v>0</v>
      </c>
      <c r="W104" s="123" t="n">
        <f aca="false">W103*CHOOSE(MATCH($C$25,{"H";"B";"N"},0),GPUMW_H*ODc_H,GPUMW_B*ODc_B,GPUMW_N*ODc_N)*ResidUtil*Timeline!W$9*INDEX(Curve,1,MAX(1,MIN(8,INT((W$5-$H$25)/4)+1)))/1000000</f>
        <v>0</v>
      </c>
      <c r="X104" s="123" t="n">
        <f aca="false">X103*CHOOSE(MATCH($C$25,{"H";"B";"N"},0),GPUMW_H*ODc_H,GPUMW_B*ODc_B,GPUMW_N*ODc_N)*ResidUtil*Timeline!X$9*INDEX(Curve,1,MAX(1,MIN(8,INT((X$5-$H$25)/4)+1)))/1000000</f>
        <v>0</v>
      </c>
      <c r="Y104" s="123" t="n">
        <f aca="false">Y103*CHOOSE(MATCH($C$25,{"H";"B";"N"},0),GPUMW_H*ODc_H,GPUMW_B*ODc_B,GPUMW_N*ODc_N)*ResidUtil*Timeline!Y$9*INDEX(Curve,1,MAX(1,MIN(8,INT((Y$5-$H$25)/4)+1)))/1000000</f>
        <v>0</v>
      </c>
      <c r="Z104" s="123" t="n">
        <f aca="false">Z103*CHOOSE(MATCH($C$25,{"H";"B";"N"},0),GPUMW_H*ODc_H,GPUMW_B*ODc_B,GPUMW_N*ODc_N)*ResidUtil*Timeline!Z$9*INDEX(Curve,1,MAX(1,MIN(8,INT((Z$5-$H$25)/4)+1)))/1000000</f>
        <v>0</v>
      </c>
      <c r="AA104" s="123" t="n">
        <f aca="false">AA103*CHOOSE(MATCH($C$25,{"H";"B";"N"},0),GPUMW_H*ODc_H,GPUMW_B*ODc_B,GPUMW_N*ODc_N)*ResidUtil*Timeline!AA$9*INDEX(Curve,1,MAX(1,MIN(8,INT((AA$5-$H$25)/4)+1)))/1000000</f>
        <v>0</v>
      </c>
      <c r="AB104" s="123" t="n">
        <f aca="false">AB103*CHOOSE(MATCH($C$25,{"H";"B";"N"},0),GPUMW_H*ODc_H,GPUMW_B*ODc_B,GPUMW_N*ODc_N)*ResidUtil*Timeline!AB$9*INDEX(Curve,1,MAX(1,MIN(8,INT((AB$5-$H$25)/4)+1)))/1000000</f>
        <v>0</v>
      </c>
      <c r="AC104" s="123" t="n">
        <f aca="false">AC103*CHOOSE(MATCH($C$25,{"H";"B";"N"},0),GPUMW_H*ODc_H,GPUMW_B*ODc_B,GPUMW_N*ODc_N)*ResidUtil*Timeline!AC$9*INDEX(Curve,1,MAX(1,MIN(8,INT((AC$5-$H$25)/4)+1)))/1000000</f>
        <v>0</v>
      </c>
      <c r="AD104" s="123" t="n">
        <f aca="false">AD103*CHOOSE(MATCH($C$25,{"H";"B";"N"},0),GPUMW_H*ODc_H,GPUMW_B*ODc_B,GPUMW_N*ODc_N)*ResidUtil*Timeline!AD$9*INDEX(Curve,1,MAX(1,MIN(8,INT((AD$5-$H$25)/4)+1)))/1000000</f>
        <v>0</v>
      </c>
      <c r="AE104" s="123" t="n">
        <f aca="false">AE103*CHOOSE(MATCH($C$25,{"H";"B";"N"},0),GPUMW_H*ODc_H,GPUMW_B*ODc_B,GPUMW_N*ODc_N)*ResidUtil*Timeline!AE$9*INDEX(Curve,1,MAX(1,MIN(8,INT((AE$5-$H$25)/4)+1)))/1000000</f>
        <v>0</v>
      </c>
      <c r="AF104" s="123" t="n">
        <f aca="false">AF103*CHOOSE(MATCH($C$25,{"H";"B";"N"},0),GPUMW_H*ODc_H,GPUMW_B*ODc_B,GPUMW_N*ODc_N)*ResidUtil*Timeline!AF$9*INDEX(Curve,1,MAX(1,MIN(8,INT((AF$5-$H$25)/4)+1)))/1000000</f>
        <v>0</v>
      </c>
      <c r="AG104" s="123" t="n">
        <f aca="false">AG103*CHOOSE(MATCH($C$25,{"H";"B";"N"},0),GPUMW_H*ODc_H,GPUMW_B*ODc_B,GPUMW_N*ODc_N)*ResidUtil*Timeline!AG$9*INDEX(Curve,1,MAX(1,MIN(8,INT((AG$5-$H$25)/4)+1)))/1000000</f>
        <v>0</v>
      </c>
      <c r="AI104" s="123" t="n">
        <f aca="false">SUMIF($F$7:$AG$7,AI$7,$F104:$AG104)</f>
        <v>0</v>
      </c>
      <c r="AJ104" s="123" t="n">
        <f aca="false">SUMIF($F$7:$AG$7,AJ$7,$F104:$AG104)</f>
        <v>0</v>
      </c>
      <c r="AK104" s="123" t="n">
        <f aca="false">SUMIF($F$7:$AG$7,AK$7,$F104:$AG104)</f>
        <v>0</v>
      </c>
      <c r="AL104" s="123" t="n">
        <f aca="false">SUMIF($F$7:$AG$7,AL$7,$F104:$AG104)</f>
        <v>0</v>
      </c>
      <c r="AM104" s="123" t="n">
        <f aca="false">SUMIF($F$7:$AG$7,AM$7,$F104:$AG104)</f>
        <v>0</v>
      </c>
      <c r="AN104" s="123" t="n">
        <f aca="false">SUMIF($F$7:$AG$7,AN$7,$F104:$AG104)</f>
        <v>0</v>
      </c>
      <c r="AO104" s="123" t="n">
        <f aca="false">SUMIF($F$7:$AG$7,AO$7,$F104:$AG104)</f>
        <v>0</v>
      </c>
    </row>
    <row r="105" customFormat="false" ht="15" hidden="false" customHeight="false" outlineLevel="0" collapsed="false">
      <c r="A105" s="104" t="s">
        <v>1704</v>
      </c>
      <c r="B105" s="20" t="s">
        <v>561</v>
      </c>
      <c r="C105" s="20"/>
      <c r="D105" s="20"/>
      <c r="F105" s="122" t="n">
        <f aca="false">(1-$I$26)*(1-$J$26)*$D$26*$E$26/4*MIN(1,MAX(0,(F$5-$H$26+1)/$T$26))*IF(F$5=$H$26,DelivFactor,IF(AND(F$5&gt;$H$26,F$5&lt;$H$26+$F$26),1,IF(F$5=$H$26+$F$26,1-DelivFactor,0)))</f>
        <v>0</v>
      </c>
      <c r="G105" s="122" t="n">
        <f aca="false">(1-$I$26)*(1-$J$26)*$D$26*$E$26/4*MIN(1,MAX(0,(G$5-$H$26+1)/$T$26))*IF(G$5=$H$26,DelivFactor,IF(AND(G$5&gt;$H$26,G$5&lt;$H$26+$F$26),1,IF(G$5=$H$26+$F$26,1-DelivFactor,0)))</f>
        <v>0</v>
      </c>
      <c r="H105" s="122" t="n">
        <f aca="false">(1-$I$26)*(1-$J$26)*$D$26*$E$26/4*MIN(1,MAX(0,(H$5-$H$26+1)/$T$26))*IF(H$5=$H$26,DelivFactor,IF(AND(H$5&gt;$H$26,H$5&lt;$H$26+$F$26),1,IF(H$5=$H$26+$F$26,1-DelivFactor,0)))</f>
        <v>0</v>
      </c>
      <c r="I105" s="122" t="n">
        <f aca="false">(1-$I$26)*(1-$J$26)*$D$26*$E$26/4*MIN(1,MAX(0,(I$5-$H$26+1)/$T$26))*IF(I$5=$H$26,DelivFactor,IF(AND(I$5&gt;$H$26,I$5&lt;$H$26+$F$26),1,IF(I$5=$H$26+$F$26,1-DelivFactor,0)))</f>
        <v>0</v>
      </c>
      <c r="J105" s="122" t="n">
        <f aca="false">(1-$I$26)*(1-$J$26)*$D$26*$E$26/4*MIN(1,MAX(0,(J$5-$H$26+1)/$T$26))*IF(J$5=$H$26,DelivFactor,IF(AND(J$5&gt;$H$26,J$5&lt;$H$26+$F$26),1,IF(J$5=$H$26+$F$26,1-DelivFactor,0)))</f>
        <v>0</v>
      </c>
      <c r="K105" s="122" t="n">
        <f aca="false">(1-$I$26)*(1-$J$26)*$D$26*$E$26/4*MIN(1,MAX(0,(K$5-$H$26+1)/$T$26))*IF(K$5=$H$26,DelivFactor,IF(AND(K$5&gt;$H$26,K$5&lt;$H$26+$F$26),1,IF(K$5=$H$26+$F$26,1-DelivFactor,0)))</f>
        <v>0</v>
      </c>
      <c r="L105" s="122" t="n">
        <f aca="false">(1-$I$26)*(1-$J$26)*$D$26*$E$26/4*MIN(1,MAX(0,(L$5-$H$26+1)/$T$26))*IF(L$5=$H$26,DelivFactor,IF(AND(L$5&gt;$H$26,L$5&lt;$H$26+$F$26),1,IF(L$5=$H$26+$F$26,1-DelivFactor,0)))</f>
        <v>0</v>
      </c>
      <c r="M105" s="122" t="n">
        <f aca="false">(1-$I$26)*(1-$J$26)*$D$26*$E$26/4*MIN(1,MAX(0,(M$5-$H$26+1)/$T$26))*IF(M$5=$H$26,DelivFactor,IF(AND(M$5&gt;$H$26,M$5&lt;$H$26+$F$26),1,IF(M$5=$H$26+$F$26,1-DelivFactor,0)))</f>
        <v>0</v>
      </c>
      <c r="N105" s="122" t="n">
        <f aca="false">(1-$I$26)*(1-$J$26)*$D$26*$E$26/4*MIN(1,MAX(0,(N$5-$H$26+1)/$T$26))*IF(N$5=$H$26,DelivFactor,IF(AND(N$5&gt;$H$26,N$5&lt;$H$26+$F$26),1,IF(N$5=$H$26+$F$26,1-DelivFactor,0)))</f>
        <v>0</v>
      </c>
      <c r="O105" s="122" t="n">
        <f aca="false">(1-$I$26)*(1-$J$26)*$D$26*$E$26/4*MIN(1,MAX(0,(O$5-$H$26+1)/$T$26))*IF(O$5=$H$26,DelivFactor,IF(AND(O$5&gt;$H$26,O$5&lt;$H$26+$F$26),1,IF(O$5=$H$26+$F$26,1-DelivFactor,0)))</f>
        <v>0</v>
      </c>
      <c r="P105" s="123" t="n">
        <f aca="false">(1-$I$26)*(1-$J$26)*$D$26*$E$26/4*MIN(1,MAX(0,(P$5-$H$26+1)/$T$26))*IF(P$5=$H$26,DelivFactor,IF(AND(P$5&gt;$H$26,P$5&lt;$H$26+$F$26),1,IF(P$5=$H$26+$F$26,1-DelivFactor,0)))</f>
        <v>0</v>
      </c>
      <c r="Q105" s="123" t="n">
        <f aca="false">(1-$I$26)*(1-$J$26)*$D$26*$E$26/4*MIN(1,MAX(0,(Q$5-$H$26+1)/$T$26))*IF(Q$5=$H$26,DelivFactor,IF(AND(Q$5&gt;$H$26,Q$5&lt;$H$26+$F$26),1,IF(Q$5=$H$26+$F$26,1-DelivFactor,0)))</f>
        <v>0</v>
      </c>
      <c r="R105" s="123" t="n">
        <f aca="false">(1-$I$26)*(1-$J$26)*$D$26*$E$26/4*MIN(1,MAX(0,(R$5-$H$26+1)/$T$26))*IF(R$5=$H$26,DelivFactor,IF(AND(R$5&gt;$H$26,R$5&lt;$H$26+$F$26),1,IF(R$5=$H$26+$F$26,1-DelivFactor,0)))</f>
        <v>0</v>
      </c>
      <c r="S105" s="123" t="n">
        <f aca="false">(1-$I$26)*(1-$J$26)*$D$26*$E$26/4*MIN(1,MAX(0,(S$5-$H$26+1)/$T$26))*IF(S$5=$H$26,DelivFactor,IF(AND(S$5&gt;$H$26,S$5&lt;$H$26+$F$26),1,IF(S$5=$H$26+$F$26,1-DelivFactor,0)))</f>
        <v>0</v>
      </c>
      <c r="T105" s="123" t="n">
        <f aca="false">(1-$I$26)*(1-$J$26)*$D$26*$E$26/4*MIN(1,MAX(0,(T$5-$H$26+1)/$T$26))*IF(T$5=$H$26,DelivFactor,IF(AND(T$5&gt;$H$26,T$5&lt;$H$26+$F$26),1,IF(T$5=$H$26+$F$26,1-DelivFactor,0)))</f>
        <v>0</v>
      </c>
      <c r="U105" s="123" t="n">
        <f aca="false">(1-$I$26)*(1-$J$26)*$D$26*$E$26/4*MIN(1,MAX(0,(U$5-$H$26+1)/$T$26))*IF(U$5=$H$26,DelivFactor,IF(AND(U$5&gt;$H$26,U$5&lt;$H$26+$F$26),1,IF(U$5=$H$26+$F$26,1-DelivFactor,0)))</f>
        <v>150</v>
      </c>
      <c r="V105" s="123" t="n">
        <f aca="false">(1-$I$26)*(1-$J$26)*$D$26*$E$26/4*MIN(1,MAX(0,(V$5-$H$26+1)/$T$26))*IF(V$5=$H$26,DelivFactor,IF(AND(V$5&gt;$H$26,V$5&lt;$H$26+$F$26),1,IF(V$5=$H$26+$F$26,1-DelivFactor,0)))</f>
        <v>300</v>
      </c>
      <c r="W105" s="123" t="n">
        <f aca="false">(1-$I$26)*(1-$J$26)*$D$26*$E$26/4*MIN(1,MAX(0,(W$5-$H$26+1)/$T$26))*IF(W$5=$H$26,DelivFactor,IF(AND(W$5&gt;$H$26,W$5&lt;$H$26+$F$26),1,IF(W$5=$H$26+$F$26,1-DelivFactor,0)))</f>
        <v>300</v>
      </c>
      <c r="X105" s="123" t="n">
        <f aca="false">(1-$I$26)*(1-$J$26)*$D$26*$E$26/4*MIN(1,MAX(0,(X$5-$H$26+1)/$T$26))*IF(X$5=$H$26,DelivFactor,IF(AND(X$5&gt;$H$26,X$5&lt;$H$26+$F$26),1,IF(X$5=$H$26+$F$26,1-DelivFactor,0)))</f>
        <v>300</v>
      </c>
      <c r="Y105" s="123" t="n">
        <f aca="false">(1-$I$26)*(1-$J$26)*$D$26*$E$26/4*MIN(1,MAX(0,(Y$5-$H$26+1)/$T$26))*IF(Y$5=$H$26,DelivFactor,IF(AND(Y$5&gt;$H$26,Y$5&lt;$H$26+$F$26),1,IF(Y$5=$H$26+$F$26,1-DelivFactor,0)))</f>
        <v>300</v>
      </c>
      <c r="Z105" s="123" t="n">
        <f aca="false">(1-$I$26)*(1-$J$26)*$D$26*$E$26/4*MIN(1,MAX(0,(Z$5-$H$26+1)/$T$26))*IF(Z$5=$H$26,DelivFactor,IF(AND(Z$5&gt;$H$26,Z$5&lt;$H$26+$F$26),1,IF(Z$5=$H$26+$F$26,1-DelivFactor,0)))</f>
        <v>300</v>
      </c>
      <c r="AA105" s="123" t="n">
        <f aca="false">(1-$I$26)*(1-$J$26)*$D$26*$E$26/4*MIN(1,MAX(0,(AA$5-$H$26+1)/$T$26))*IF(AA$5=$H$26,DelivFactor,IF(AND(AA$5&gt;$H$26,AA$5&lt;$H$26+$F$26),1,IF(AA$5=$H$26+$F$26,1-DelivFactor,0)))</f>
        <v>300</v>
      </c>
      <c r="AB105" s="123" t="n">
        <f aca="false">(1-$I$26)*(1-$J$26)*$D$26*$E$26/4*MIN(1,MAX(0,(AB$5-$H$26+1)/$T$26))*IF(AB$5=$H$26,DelivFactor,IF(AND(AB$5&gt;$H$26,AB$5&lt;$H$26+$F$26),1,IF(AB$5=$H$26+$F$26,1-DelivFactor,0)))</f>
        <v>300</v>
      </c>
      <c r="AC105" s="123" t="n">
        <f aca="false">(1-$I$26)*(1-$J$26)*$D$26*$E$26/4*MIN(1,MAX(0,(AC$5-$H$26+1)/$T$26))*IF(AC$5=$H$26,DelivFactor,IF(AND(AC$5&gt;$H$26,AC$5&lt;$H$26+$F$26),1,IF(AC$5=$H$26+$F$26,1-DelivFactor,0)))</f>
        <v>300</v>
      </c>
      <c r="AD105" s="123" t="n">
        <f aca="false">(1-$I$26)*(1-$J$26)*$D$26*$E$26/4*MIN(1,MAX(0,(AD$5-$H$26+1)/$T$26))*IF(AD$5=$H$26,DelivFactor,IF(AND(AD$5&gt;$H$26,AD$5&lt;$H$26+$F$26),1,IF(AD$5=$H$26+$F$26,1-DelivFactor,0)))</f>
        <v>300</v>
      </c>
      <c r="AE105" s="123" t="n">
        <f aca="false">(1-$I$26)*(1-$J$26)*$D$26*$E$26/4*MIN(1,MAX(0,(AE$5-$H$26+1)/$T$26))*IF(AE$5=$H$26,DelivFactor,IF(AND(AE$5&gt;$H$26,AE$5&lt;$H$26+$F$26),1,IF(AE$5=$H$26+$F$26,1-DelivFactor,0)))</f>
        <v>300</v>
      </c>
      <c r="AF105" s="123" t="n">
        <f aca="false">(1-$I$26)*(1-$J$26)*$D$26*$E$26/4*MIN(1,MAX(0,(AF$5-$H$26+1)/$T$26))*IF(AF$5=$H$26,DelivFactor,IF(AND(AF$5&gt;$H$26,AF$5&lt;$H$26+$F$26),1,IF(AF$5=$H$26+$F$26,1-DelivFactor,0)))</f>
        <v>300</v>
      </c>
      <c r="AG105" s="123" t="n">
        <f aca="false">(1-$I$26)*(1-$J$26)*$D$26*$E$26/4*MIN(1,MAX(0,(AG$5-$H$26+1)/$T$26))*IF(AG$5=$H$26,DelivFactor,IF(AND(AG$5&gt;$H$26,AG$5&lt;$H$26+$F$26),1,IF(AG$5=$H$26+$F$26,1-DelivFactor,0)))</f>
        <v>300</v>
      </c>
      <c r="AI105" s="123" t="n">
        <f aca="false">SUMIF($F$7:$AG$7,AI$7,$F105:$AG105)</f>
        <v>0</v>
      </c>
      <c r="AJ105" s="123" t="n">
        <f aca="false">SUMIF($F$7:$AG$7,AJ$7,$F105:$AG105)</f>
        <v>0</v>
      </c>
      <c r="AK105" s="123" t="n">
        <f aca="false">SUMIF($F$7:$AG$7,AK$7,$F105:$AG105)</f>
        <v>0</v>
      </c>
      <c r="AL105" s="123" t="n">
        <f aca="false">SUMIF($F$7:$AG$7,AL$7,$F105:$AG105)</f>
        <v>150</v>
      </c>
      <c r="AM105" s="123" t="n">
        <f aca="false">SUMIF($F$7:$AG$7,AM$7,$F105:$AG105)</f>
        <v>1200</v>
      </c>
      <c r="AN105" s="123" t="n">
        <f aca="false">SUMIF($F$7:$AG$7,AN$7,$F105:$AG105)</f>
        <v>1200</v>
      </c>
      <c r="AO105" s="123" t="n">
        <f aca="false">SUMIF($F$7:$AG$7,AO$7,$F105:$AG105)</f>
        <v>1200</v>
      </c>
    </row>
    <row r="106" customFormat="false" ht="15" hidden="false" customHeight="false" outlineLevel="0" collapsed="false">
      <c r="A106" s="104" t="s">
        <v>1705</v>
      </c>
      <c r="B106" s="20" t="s">
        <v>575</v>
      </c>
      <c r="C106" s="20"/>
      <c r="D106" s="20"/>
      <c r="F106" s="113" t="n">
        <f aca="false">(1-$I$26)*(1-$J$26)*$D$26*AND(F$5&gt;=$H$26,F$5&lt;$H$26+$F$26)</f>
        <v>0</v>
      </c>
      <c r="G106" s="113" t="n">
        <f aca="false">(1-$I$26)*(1-$J$26)*$D$26*AND(G$5&gt;=$H$26,G$5&lt;$H$26+$F$26)</f>
        <v>0</v>
      </c>
      <c r="H106" s="113" t="n">
        <f aca="false">(1-$I$26)*(1-$J$26)*$D$26*AND(H$5&gt;=$H$26,H$5&lt;$H$26+$F$26)</f>
        <v>0</v>
      </c>
      <c r="I106" s="113" t="n">
        <f aca="false">(1-$I$26)*(1-$J$26)*$D$26*AND(I$5&gt;=$H$26,I$5&lt;$H$26+$F$26)</f>
        <v>0</v>
      </c>
      <c r="J106" s="113" t="n">
        <f aca="false">(1-$I$26)*(1-$J$26)*$D$26*AND(J$5&gt;=$H$26,J$5&lt;$H$26+$F$26)</f>
        <v>0</v>
      </c>
      <c r="K106" s="113" t="n">
        <f aca="false">(1-$I$26)*(1-$J$26)*$D$26*AND(K$5&gt;=$H$26,K$5&lt;$H$26+$F$26)</f>
        <v>0</v>
      </c>
      <c r="L106" s="113" t="n">
        <f aca="false">(1-$I$26)*(1-$J$26)*$D$26*AND(L$5&gt;=$H$26,L$5&lt;$H$26+$F$26)</f>
        <v>0</v>
      </c>
      <c r="M106" s="113" t="n">
        <f aca="false">(1-$I$26)*(1-$J$26)*$D$26*AND(M$5&gt;=$H$26,M$5&lt;$H$26+$F$26)</f>
        <v>0</v>
      </c>
      <c r="N106" s="113" t="n">
        <f aca="false">(1-$I$26)*(1-$J$26)*$D$26*AND(N$5&gt;=$H$26,N$5&lt;$H$26+$F$26)</f>
        <v>0</v>
      </c>
      <c r="O106" s="113" t="n">
        <f aca="false">(1-$I$26)*(1-$J$26)*$D$26*AND(O$5&gt;=$H$26,O$5&lt;$H$26+$F$26)</f>
        <v>0</v>
      </c>
      <c r="P106" s="31" t="n">
        <f aca="false">(1-$I$26)*(1-$J$26)*$D$26*AND(P$5&gt;=$H$26,P$5&lt;$H$26+$F$26)</f>
        <v>0</v>
      </c>
      <c r="Q106" s="31" t="n">
        <f aca="false">(1-$I$26)*(1-$J$26)*$D$26*AND(Q$5&gt;=$H$26,Q$5&lt;$H$26+$F$26)</f>
        <v>0</v>
      </c>
      <c r="R106" s="31" t="n">
        <f aca="false">(1-$I$26)*(1-$J$26)*$D$26*AND(R$5&gt;=$H$26,R$5&lt;$H$26+$F$26)</f>
        <v>0</v>
      </c>
      <c r="S106" s="31" t="n">
        <f aca="false">(1-$I$26)*(1-$J$26)*$D$26*AND(S$5&gt;=$H$26,S$5&lt;$H$26+$F$26)</f>
        <v>0</v>
      </c>
      <c r="T106" s="31" t="n">
        <f aca="false">(1-$I$26)*(1-$J$26)*$D$26*AND(T$5&gt;=$H$26,T$5&lt;$H$26+$F$26)</f>
        <v>0</v>
      </c>
      <c r="U106" s="31" t="n">
        <f aca="false">(1-$I$26)*(1-$J$26)*$D$26*AND(U$5&gt;=$H$26,U$5&lt;$H$26+$F$26)</f>
        <v>53.3333333333333</v>
      </c>
      <c r="V106" s="31" t="n">
        <f aca="false">(1-$I$26)*(1-$J$26)*$D$26*AND(V$5&gt;=$H$26,V$5&lt;$H$26+$F$26)</f>
        <v>53.3333333333333</v>
      </c>
      <c r="W106" s="31" t="n">
        <f aca="false">(1-$I$26)*(1-$J$26)*$D$26*AND(W$5&gt;=$H$26,W$5&lt;$H$26+$F$26)</f>
        <v>53.3333333333333</v>
      </c>
      <c r="X106" s="31" t="n">
        <f aca="false">(1-$I$26)*(1-$J$26)*$D$26*AND(X$5&gt;=$H$26,X$5&lt;$H$26+$F$26)</f>
        <v>53.3333333333333</v>
      </c>
      <c r="Y106" s="31" t="n">
        <f aca="false">(1-$I$26)*(1-$J$26)*$D$26*AND(Y$5&gt;=$H$26,Y$5&lt;$H$26+$F$26)</f>
        <v>53.3333333333333</v>
      </c>
      <c r="Z106" s="31" t="n">
        <f aca="false">(1-$I$26)*(1-$J$26)*$D$26*AND(Z$5&gt;=$H$26,Z$5&lt;$H$26+$F$26)</f>
        <v>53.3333333333333</v>
      </c>
      <c r="AA106" s="31" t="n">
        <f aca="false">(1-$I$26)*(1-$J$26)*$D$26*AND(AA$5&gt;=$H$26,AA$5&lt;$H$26+$F$26)</f>
        <v>53.3333333333333</v>
      </c>
      <c r="AB106" s="31" t="n">
        <f aca="false">(1-$I$26)*(1-$J$26)*$D$26*AND(AB$5&gt;=$H$26,AB$5&lt;$H$26+$F$26)</f>
        <v>53.3333333333333</v>
      </c>
      <c r="AC106" s="31" t="n">
        <f aca="false">(1-$I$26)*(1-$J$26)*$D$26*AND(AC$5&gt;=$H$26,AC$5&lt;$H$26+$F$26)</f>
        <v>53.3333333333333</v>
      </c>
      <c r="AD106" s="31" t="n">
        <f aca="false">(1-$I$26)*(1-$J$26)*$D$26*AND(AD$5&gt;=$H$26,AD$5&lt;$H$26+$F$26)</f>
        <v>53.3333333333333</v>
      </c>
      <c r="AE106" s="31" t="n">
        <f aca="false">(1-$I$26)*(1-$J$26)*$D$26*AND(AE$5&gt;=$H$26,AE$5&lt;$H$26+$F$26)</f>
        <v>53.3333333333333</v>
      </c>
      <c r="AF106" s="31" t="n">
        <f aca="false">(1-$I$26)*(1-$J$26)*$D$26*AND(AF$5&gt;=$H$26,AF$5&lt;$H$26+$F$26)</f>
        <v>53.3333333333333</v>
      </c>
      <c r="AG106" s="31" t="n">
        <f aca="false">(1-$I$26)*(1-$J$26)*$D$26*AND(AG$5&gt;=$H$26,AG$5&lt;$H$26+$F$26)</f>
        <v>53.3333333333333</v>
      </c>
      <c r="AI106" s="31" t="n">
        <f aca="false">INDEX($F106:$AG106,1,MATCH(AI$7,$F$7:$AG$7,1))</f>
        <v>0</v>
      </c>
      <c r="AJ106" s="31" t="n">
        <f aca="false">INDEX($F106:$AG106,1,MATCH(AJ$7,$F$7:$AG$7,1))</f>
        <v>0</v>
      </c>
      <c r="AK106" s="31" t="n">
        <f aca="false">INDEX($F106:$AG106,1,MATCH(AK$7,$F$7:$AG$7,1))</f>
        <v>0</v>
      </c>
      <c r="AL106" s="31" t="n">
        <f aca="false">INDEX($F106:$AG106,1,MATCH(AL$7,$F$7:$AG$7,1))</f>
        <v>53.3333333333333</v>
      </c>
      <c r="AM106" s="31" t="n">
        <f aca="false">INDEX($F106:$AG106,1,MATCH(AM$7,$F$7:$AG$7,1))</f>
        <v>53.3333333333333</v>
      </c>
      <c r="AN106" s="31" t="n">
        <f aca="false">INDEX($F106:$AG106,1,MATCH(AN$7,$F$7:$AG$7,1))</f>
        <v>53.3333333333333</v>
      </c>
      <c r="AO106" s="31" t="n">
        <f aca="false">INDEX($F106:$AG106,1,MATCH(AO$7,$F$7:$AG$7,1))</f>
        <v>53.3333333333333</v>
      </c>
    </row>
    <row r="107" customFormat="false" ht="15" hidden="false" customHeight="false" outlineLevel="0" collapsed="false">
      <c r="A107" s="104" t="s">
        <v>1706</v>
      </c>
      <c r="B107" s="20" t="s">
        <v>561</v>
      </c>
      <c r="C107" s="20"/>
      <c r="D107" s="20"/>
      <c r="F107" s="122" t="n">
        <f aca="false">-(1-$I$26)*LD_Pct*$D$26*$E$26/4*AND(F$5&gt;=$G$26,F$5&lt;$H$26)</f>
        <v>-0</v>
      </c>
      <c r="G107" s="122" t="n">
        <f aca="false">-(1-$I$26)*LD_Pct*$D$26*$E$26/4*AND(G$5&gt;=$G$26,G$5&lt;$H$26)</f>
        <v>-0</v>
      </c>
      <c r="H107" s="122" t="n">
        <f aca="false">-(1-$I$26)*LD_Pct*$D$26*$E$26/4*AND(H$5&gt;=$G$26,H$5&lt;$H$26)</f>
        <v>-0</v>
      </c>
      <c r="I107" s="122" t="n">
        <f aca="false">-(1-$I$26)*LD_Pct*$D$26*$E$26/4*AND(I$5&gt;=$G$26,I$5&lt;$H$26)</f>
        <v>-0</v>
      </c>
      <c r="J107" s="122" t="n">
        <f aca="false">-(1-$I$26)*LD_Pct*$D$26*$E$26/4*AND(J$5&gt;=$G$26,J$5&lt;$H$26)</f>
        <v>-0</v>
      </c>
      <c r="K107" s="122" t="n">
        <f aca="false">-(1-$I$26)*LD_Pct*$D$26*$E$26/4*AND(K$5&gt;=$G$26,K$5&lt;$H$26)</f>
        <v>-0</v>
      </c>
      <c r="L107" s="122" t="n">
        <f aca="false">-(1-$I$26)*LD_Pct*$D$26*$E$26/4*AND(L$5&gt;=$G$26,L$5&lt;$H$26)</f>
        <v>-0</v>
      </c>
      <c r="M107" s="122" t="n">
        <f aca="false">-(1-$I$26)*LD_Pct*$D$26*$E$26/4*AND(M$5&gt;=$G$26,M$5&lt;$H$26)</f>
        <v>-0</v>
      </c>
      <c r="N107" s="122" t="n">
        <f aca="false">-(1-$I$26)*LD_Pct*$D$26*$E$26/4*AND(N$5&gt;=$G$26,N$5&lt;$H$26)</f>
        <v>-0</v>
      </c>
      <c r="O107" s="122" t="n">
        <f aca="false">-(1-$I$26)*LD_Pct*$D$26*$E$26/4*AND(O$5&gt;=$G$26,O$5&lt;$H$26)</f>
        <v>-0</v>
      </c>
      <c r="P107" s="123" t="n">
        <f aca="false">-(1-$I$26)*LD_Pct*$D$26*$E$26/4*AND(P$5&gt;=$G$26,P$5&lt;$H$26)</f>
        <v>-0</v>
      </c>
      <c r="Q107" s="123" t="n">
        <f aca="false">-(1-$I$26)*LD_Pct*$D$26*$E$26/4*AND(Q$5&gt;=$G$26,Q$5&lt;$H$26)</f>
        <v>-0</v>
      </c>
      <c r="R107" s="123" t="n">
        <f aca="false">-(1-$I$26)*LD_Pct*$D$26*$E$26/4*AND(R$5&gt;=$G$26,R$5&lt;$H$26)</f>
        <v>-0</v>
      </c>
      <c r="S107" s="123" t="n">
        <f aca="false">-(1-$I$26)*LD_Pct*$D$26*$E$26/4*AND(S$5&gt;=$G$26,S$5&lt;$H$26)</f>
        <v>-0</v>
      </c>
      <c r="T107" s="123" t="n">
        <f aca="false">-(1-$I$26)*LD_Pct*$D$26*$E$26/4*AND(T$5&gt;=$G$26,T$5&lt;$H$26)</f>
        <v>-0</v>
      </c>
      <c r="U107" s="123" t="n">
        <f aca="false">-(1-$I$26)*LD_Pct*$D$26*$E$26/4*AND(U$5&gt;=$G$26,U$5&lt;$H$26)</f>
        <v>-0</v>
      </c>
      <c r="V107" s="123" t="n">
        <f aca="false">-(1-$I$26)*LD_Pct*$D$26*$E$26/4*AND(V$5&gt;=$G$26,V$5&lt;$H$26)</f>
        <v>-0</v>
      </c>
      <c r="W107" s="123" t="n">
        <f aca="false">-(1-$I$26)*LD_Pct*$D$26*$E$26/4*AND(W$5&gt;=$G$26,W$5&lt;$H$26)</f>
        <v>-0</v>
      </c>
      <c r="X107" s="123" t="n">
        <f aca="false">-(1-$I$26)*LD_Pct*$D$26*$E$26/4*AND(X$5&gt;=$G$26,X$5&lt;$H$26)</f>
        <v>-0</v>
      </c>
      <c r="Y107" s="123" t="n">
        <f aca="false">-(1-$I$26)*LD_Pct*$D$26*$E$26/4*AND(Y$5&gt;=$G$26,Y$5&lt;$H$26)</f>
        <v>-0</v>
      </c>
      <c r="Z107" s="123" t="n">
        <f aca="false">-(1-$I$26)*LD_Pct*$D$26*$E$26/4*AND(Z$5&gt;=$G$26,Z$5&lt;$H$26)</f>
        <v>-0</v>
      </c>
      <c r="AA107" s="123" t="n">
        <f aca="false">-(1-$I$26)*LD_Pct*$D$26*$E$26/4*AND(AA$5&gt;=$G$26,AA$5&lt;$H$26)</f>
        <v>-0</v>
      </c>
      <c r="AB107" s="123" t="n">
        <f aca="false">-(1-$I$26)*LD_Pct*$D$26*$E$26/4*AND(AB$5&gt;=$G$26,AB$5&lt;$H$26)</f>
        <v>-0</v>
      </c>
      <c r="AC107" s="123" t="n">
        <f aca="false">-(1-$I$26)*LD_Pct*$D$26*$E$26/4*AND(AC$5&gt;=$G$26,AC$5&lt;$H$26)</f>
        <v>-0</v>
      </c>
      <c r="AD107" s="123" t="n">
        <f aca="false">-(1-$I$26)*LD_Pct*$D$26*$E$26/4*AND(AD$5&gt;=$G$26,AD$5&lt;$H$26)</f>
        <v>-0</v>
      </c>
      <c r="AE107" s="123" t="n">
        <f aca="false">-(1-$I$26)*LD_Pct*$D$26*$E$26/4*AND(AE$5&gt;=$G$26,AE$5&lt;$H$26)</f>
        <v>-0</v>
      </c>
      <c r="AF107" s="123" t="n">
        <f aca="false">-(1-$I$26)*LD_Pct*$D$26*$E$26/4*AND(AF$5&gt;=$G$26,AF$5&lt;$H$26)</f>
        <v>-0</v>
      </c>
      <c r="AG107" s="123" t="n">
        <f aca="false">-(1-$I$26)*LD_Pct*$D$26*$E$26/4*AND(AG$5&gt;=$G$26,AG$5&lt;$H$26)</f>
        <v>-0</v>
      </c>
      <c r="AI107" s="123" t="n">
        <f aca="false">SUMIF($F$7:$AG$7,AI$7,$F107:$AG107)</f>
        <v>0</v>
      </c>
      <c r="AJ107" s="123" t="n">
        <f aca="false">SUMIF($F$7:$AG$7,AJ$7,$F107:$AG107)</f>
        <v>0</v>
      </c>
      <c r="AK107" s="123" t="n">
        <f aca="false">SUMIF($F$7:$AG$7,AK$7,$F107:$AG107)</f>
        <v>0</v>
      </c>
      <c r="AL107" s="123" t="n">
        <f aca="false">SUMIF($F$7:$AG$7,AL$7,$F107:$AG107)</f>
        <v>0</v>
      </c>
      <c r="AM107" s="123" t="n">
        <f aca="false">SUMIF($F$7:$AG$7,AM$7,$F107:$AG107)</f>
        <v>0</v>
      </c>
      <c r="AN107" s="123" t="n">
        <f aca="false">SUMIF($F$7:$AG$7,AN$7,$F107:$AG107)</f>
        <v>0</v>
      </c>
      <c r="AO107" s="123" t="n">
        <f aca="false">SUMIF($F$7:$AG$7,AO$7,$F107:$AG107)</f>
        <v>0</v>
      </c>
    </row>
    <row r="108" customFormat="false" ht="15" hidden="false" customHeight="false" outlineLevel="0" collapsed="false">
      <c r="A108" s="104" t="s">
        <v>1707</v>
      </c>
      <c r="B108" s="20" t="s">
        <v>575</v>
      </c>
      <c r="C108" s="20"/>
      <c r="D108" s="20"/>
      <c r="F108" s="113" t="n">
        <f aca="false">(1-$I$26)*(1-$J$26)*$D$26*(F$5&gt;=$H$26+$F$26)</f>
        <v>0</v>
      </c>
      <c r="G108" s="113" t="n">
        <f aca="false">(1-$I$26)*(1-$J$26)*$D$26*(G$5&gt;=$H$26+$F$26)</f>
        <v>0</v>
      </c>
      <c r="H108" s="113" t="n">
        <f aca="false">(1-$I$26)*(1-$J$26)*$D$26*(H$5&gt;=$H$26+$F$26)</f>
        <v>0</v>
      </c>
      <c r="I108" s="113" t="n">
        <f aca="false">(1-$I$26)*(1-$J$26)*$D$26*(I$5&gt;=$H$26+$F$26)</f>
        <v>0</v>
      </c>
      <c r="J108" s="113" t="n">
        <f aca="false">(1-$I$26)*(1-$J$26)*$D$26*(J$5&gt;=$H$26+$F$26)</f>
        <v>0</v>
      </c>
      <c r="K108" s="113" t="n">
        <f aca="false">(1-$I$26)*(1-$J$26)*$D$26*(K$5&gt;=$H$26+$F$26)</f>
        <v>0</v>
      </c>
      <c r="L108" s="113" t="n">
        <f aca="false">(1-$I$26)*(1-$J$26)*$D$26*(L$5&gt;=$H$26+$F$26)</f>
        <v>0</v>
      </c>
      <c r="M108" s="113" t="n">
        <f aca="false">(1-$I$26)*(1-$J$26)*$D$26*(M$5&gt;=$H$26+$F$26)</f>
        <v>0</v>
      </c>
      <c r="N108" s="113" t="n">
        <f aca="false">(1-$I$26)*(1-$J$26)*$D$26*(N$5&gt;=$H$26+$F$26)</f>
        <v>0</v>
      </c>
      <c r="O108" s="113" t="n">
        <f aca="false">(1-$I$26)*(1-$J$26)*$D$26*(O$5&gt;=$H$26+$F$26)</f>
        <v>0</v>
      </c>
      <c r="P108" s="31" t="n">
        <f aca="false">(1-$I$26)*(1-$J$26)*$D$26*(P$5&gt;=$H$26+$F$26)</f>
        <v>0</v>
      </c>
      <c r="Q108" s="31" t="n">
        <f aca="false">(1-$I$26)*(1-$J$26)*$D$26*(Q$5&gt;=$H$26+$F$26)</f>
        <v>0</v>
      </c>
      <c r="R108" s="31" t="n">
        <f aca="false">(1-$I$26)*(1-$J$26)*$D$26*(R$5&gt;=$H$26+$F$26)</f>
        <v>0</v>
      </c>
      <c r="S108" s="31" t="n">
        <f aca="false">(1-$I$26)*(1-$J$26)*$D$26*(S$5&gt;=$H$26+$F$26)</f>
        <v>0</v>
      </c>
      <c r="T108" s="31" t="n">
        <f aca="false">(1-$I$26)*(1-$J$26)*$D$26*(T$5&gt;=$H$26+$F$26)</f>
        <v>0</v>
      </c>
      <c r="U108" s="31" t="n">
        <f aca="false">(1-$I$26)*(1-$J$26)*$D$26*(U$5&gt;=$H$26+$F$26)</f>
        <v>0</v>
      </c>
      <c r="V108" s="31" t="n">
        <f aca="false">(1-$I$26)*(1-$J$26)*$D$26*(V$5&gt;=$H$26+$F$26)</f>
        <v>0</v>
      </c>
      <c r="W108" s="31" t="n">
        <f aca="false">(1-$I$26)*(1-$J$26)*$D$26*(W$5&gt;=$H$26+$F$26)</f>
        <v>0</v>
      </c>
      <c r="X108" s="31" t="n">
        <f aca="false">(1-$I$26)*(1-$J$26)*$D$26*(X$5&gt;=$H$26+$F$26)</f>
        <v>0</v>
      </c>
      <c r="Y108" s="31" t="n">
        <f aca="false">(1-$I$26)*(1-$J$26)*$D$26*(Y$5&gt;=$H$26+$F$26)</f>
        <v>0</v>
      </c>
      <c r="Z108" s="31" t="n">
        <f aca="false">(1-$I$26)*(1-$J$26)*$D$26*(Z$5&gt;=$H$26+$F$26)</f>
        <v>0</v>
      </c>
      <c r="AA108" s="31" t="n">
        <f aca="false">(1-$I$26)*(1-$J$26)*$D$26*(AA$5&gt;=$H$26+$F$26)</f>
        <v>0</v>
      </c>
      <c r="AB108" s="31" t="n">
        <f aca="false">(1-$I$26)*(1-$J$26)*$D$26*(AB$5&gt;=$H$26+$F$26)</f>
        <v>0</v>
      </c>
      <c r="AC108" s="31" t="n">
        <f aca="false">(1-$I$26)*(1-$J$26)*$D$26*(AC$5&gt;=$H$26+$F$26)</f>
        <v>0</v>
      </c>
      <c r="AD108" s="31" t="n">
        <f aca="false">(1-$I$26)*(1-$J$26)*$D$26*(AD$5&gt;=$H$26+$F$26)</f>
        <v>0</v>
      </c>
      <c r="AE108" s="31" t="n">
        <f aca="false">(1-$I$26)*(1-$J$26)*$D$26*(AE$5&gt;=$H$26+$F$26)</f>
        <v>0</v>
      </c>
      <c r="AF108" s="31" t="n">
        <f aca="false">(1-$I$26)*(1-$J$26)*$D$26*(AF$5&gt;=$H$26+$F$26)</f>
        <v>0</v>
      </c>
      <c r="AG108" s="31" t="n">
        <f aca="false">(1-$I$26)*(1-$J$26)*$D$26*(AG$5&gt;=$H$26+$F$26)</f>
        <v>0</v>
      </c>
      <c r="AI108" s="31" t="n">
        <f aca="false">INDEX($F108:$AG108,1,MATCH(AI$7,$F$7:$AG$7,1))</f>
        <v>0</v>
      </c>
      <c r="AJ108" s="31" t="n">
        <f aca="false">INDEX($F108:$AG108,1,MATCH(AJ$7,$F$7:$AG$7,1))</f>
        <v>0</v>
      </c>
      <c r="AK108" s="31" t="n">
        <f aca="false">INDEX($F108:$AG108,1,MATCH(AK$7,$F$7:$AG$7,1))</f>
        <v>0</v>
      </c>
      <c r="AL108" s="31" t="n">
        <f aca="false">INDEX($F108:$AG108,1,MATCH(AL$7,$F$7:$AG$7,1))</f>
        <v>0</v>
      </c>
      <c r="AM108" s="31" t="n">
        <f aca="false">INDEX($F108:$AG108,1,MATCH(AM$7,$F$7:$AG$7,1))</f>
        <v>0</v>
      </c>
      <c r="AN108" s="31" t="n">
        <f aca="false">INDEX($F108:$AG108,1,MATCH(AN$7,$F$7:$AG$7,1))</f>
        <v>0</v>
      </c>
      <c r="AO108" s="31" t="n">
        <f aca="false">INDEX($F108:$AG108,1,MATCH(AO$7,$F$7:$AG$7,1))</f>
        <v>0</v>
      </c>
    </row>
    <row r="109" customFormat="false" ht="15" hidden="false" customHeight="false" outlineLevel="0" collapsed="false">
      <c r="A109" s="104" t="s">
        <v>1708</v>
      </c>
      <c r="B109" s="20" t="s">
        <v>561</v>
      </c>
      <c r="C109" s="20"/>
      <c r="D109" s="20" t="s">
        <v>1638</v>
      </c>
      <c r="F109" s="122" t="n">
        <f aca="false">F108*CHOOSE(MATCH($C$26,{"H";"B";"N"},0),GPUMW_H*ODc_H,GPUMW_B*ODc_B,GPUMW_N*ODc_N)*ResidUtil*Timeline!F$9*INDEX(Curve,1,MAX(1,MIN(8,INT((F$5-$H$26)/4)+1)))/1000000</f>
        <v>0</v>
      </c>
      <c r="G109" s="122" t="n">
        <f aca="false">G108*CHOOSE(MATCH($C$26,{"H";"B";"N"},0),GPUMW_H*ODc_H,GPUMW_B*ODc_B,GPUMW_N*ODc_N)*ResidUtil*Timeline!G$9*INDEX(Curve,1,MAX(1,MIN(8,INT((G$5-$H$26)/4)+1)))/1000000</f>
        <v>0</v>
      </c>
      <c r="H109" s="122" t="n">
        <f aca="false">H108*CHOOSE(MATCH($C$26,{"H";"B";"N"},0),GPUMW_H*ODc_H,GPUMW_B*ODc_B,GPUMW_N*ODc_N)*ResidUtil*Timeline!H$9*INDEX(Curve,1,MAX(1,MIN(8,INT((H$5-$H$26)/4)+1)))/1000000</f>
        <v>0</v>
      </c>
      <c r="I109" s="122" t="n">
        <f aca="false">I108*CHOOSE(MATCH($C$26,{"H";"B";"N"},0),GPUMW_H*ODc_H,GPUMW_B*ODc_B,GPUMW_N*ODc_N)*ResidUtil*Timeline!I$9*INDEX(Curve,1,MAX(1,MIN(8,INT((I$5-$H$26)/4)+1)))/1000000</f>
        <v>0</v>
      </c>
      <c r="J109" s="122" t="n">
        <f aca="false">J108*CHOOSE(MATCH($C$26,{"H";"B";"N"},0),GPUMW_H*ODc_H,GPUMW_B*ODc_B,GPUMW_N*ODc_N)*ResidUtil*Timeline!J$9*INDEX(Curve,1,MAX(1,MIN(8,INT((J$5-$H$26)/4)+1)))/1000000</f>
        <v>0</v>
      </c>
      <c r="K109" s="122" t="n">
        <f aca="false">K108*CHOOSE(MATCH($C$26,{"H";"B";"N"},0),GPUMW_H*ODc_H,GPUMW_B*ODc_B,GPUMW_N*ODc_N)*ResidUtil*Timeline!K$9*INDEX(Curve,1,MAX(1,MIN(8,INT((K$5-$H$26)/4)+1)))/1000000</f>
        <v>0</v>
      </c>
      <c r="L109" s="122" t="n">
        <f aca="false">L108*CHOOSE(MATCH($C$26,{"H";"B";"N"},0),GPUMW_H*ODc_H,GPUMW_B*ODc_B,GPUMW_N*ODc_N)*ResidUtil*Timeline!L$9*INDEX(Curve,1,MAX(1,MIN(8,INT((L$5-$H$26)/4)+1)))/1000000</f>
        <v>0</v>
      </c>
      <c r="M109" s="122" t="n">
        <f aca="false">M108*CHOOSE(MATCH($C$26,{"H";"B";"N"},0),GPUMW_H*ODc_H,GPUMW_B*ODc_B,GPUMW_N*ODc_N)*ResidUtil*Timeline!M$9*INDEX(Curve,1,MAX(1,MIN(8,INT((M$5-$H$26)/4)+1)))/1000000</f>
        <v>0</v>
      </c>
      <c r="N109" s="122" t="n">
        <f aca="false">N108*CHOOSE(MATCH($C$26,{"H";"B";"N"},0),GPUMW_H*ODc_H,GPUMW_B*ODc_B,GPUMW_N*ODc_N)*ResidUtil*Timeline!N$9*INDEX(Curve,1,MAX(1,MIN(8,INT((N$5-$H$26)/4)+1)))/1000000</f>
        <v>0</v>
      </c>
      <c r="O109" s="122" t="n">
        <f aca="false">O108*CHOOSE(MATCH($C$26,{"H";"B";"N"},0),GPUMW_H*ODc_H,GPUMW_B*ODc_B,GPUMW_N*ODc_N)*ResidUtil*Timeline!O$9*INDEX(Curve,1,MAX(1,MIN(8,INT((O$5-$H$26)/4)+1)))/1000000</f>
        <v>0</v>
      </c>
      <c r="P109" s="123" t="n">
        <f aca="false">P108*CHOOSE(MATCH($C$26,{"H";"B";"N"},0),GPUMW_H*ODc_H,GPUMW_B*ODc_B,GPUMW_N*ODc_N)*ResidUtil*Timeline!P$9*INDEX(Curve,1,MAX(1,MIN(8,INT((P$5-$H$26)/4)+1)))/1000000</f>
        <v>0</v>
      </c>
      <c r="Q109" s="123" t="n">
        <f aca="false">Q108*CHOOSE(MATCH($C$26,{"H";"B";"N"},0),GPUMW_H*ODc_H,GPUMW_B*ODc_B,GPUMW_N*ODc_N)*ResidUtil*Timeline!Q$9*INDEX(Curve,1,MAX(1,MIN(8,INT((Q$5-$H$26)/4)+1)))/1000000</f>
        <v>0</v>
      </c>
      <c r="R109" s="123" t="n">
        <f aca="false">R108*CHOOSE(MATCH($C$26,{"H";"B";"N"},0),GPUMW_H*ODc_H,GPUMW_B*ODc_B,GPUMW_N*ODc_N)*ResidUtil*Timeline!R$9*INDEX(Curve,1,MAX(1,MIN(8,INT((R$5-$H$26)/4)+1)))/1000000</f>
        <v>0</v>
      </c>
      <c r="S109" s="123" t="n">
        <f aca="false">S108*CHOOSE(MATCH($C$26,{"H";"B";"N"},0),GPUMW_H*ODc_H,GPUMW_B*ODc_B,GPUMW_N*ODc_N)*ResidUtil*Timeline!S$9*INDEX(Curve,1,MAX(1,MIN(8,INT((S$5-$H$26)/4)+1)))/1000000</f>
        <v>0</v>
      </c>
      <c r="T109" s="123" t="n">
        <f aca="false">T108*CHOOSE(MATCH($C$26,{"H";"B";"N"},0),GPUMW_H*ODc_H,GPUMW_B*ODc_B,GPUMW_N*ODc_N)*ResidUtil*Timeline!T$9*INDEX(Curve,1,MAX(1,MIN(8,INT((T$5-$H$26)/4)+1)))/1000000</f>
        <v>0</v>
      </c>
      <c r="U109" s="123" t="n">
        <f aca="false">U108*CHOOSE(MATCH($C$26,{"H";"B";"N"},0),GPUMW_H*ODc_H,GPUMW_B*ODc_B,GPUMW_N*ODc_N)*ResidUtil*Timeline!U$9*INDEX(Curve,1,MAX(1,MIN(8,INT((U$5-$H$26)/4)+1)))/1000000</f>
        <v>0</v>
      </c>
      <c r="V109" s="123" t="n">
        <f aca="false">V108*CHOOSE(MATCH($C$26,{"H";"B";"N"},0),GPUMW_H*ODc_H,GPUMW_B*ODc_B,GPUMW_N*ODc_N)*ResidUtil*Timeline!V$9*INDEX(Curve,1,MAX(1,MIN(8,INT((V$5-$H$26)/4)+1)))/1000000</f>
        <v>0</v>
      </c>
      <c r="W109" s="123" t="n">
        <f aca="false">W108*CHOOSE(MATCH($C$26,{"H";"B";"N"},0),GPUMW_H*ODc_H,GPUMW_B*ODc_B,GPUMW_N*ODc_N)*ResidUtil*Timeline!W$9*INDEX(Curve,1,MAX(1,MIN(8,INT((W$5-$H$26)/4)+1)))/1000000</f>
        <v>0</v>
      </c>
      <c r="X109" s="123" t="n">
        <f aca="false">X108*CHOOSE(MATCH($C$26,{"H";"B";"N"},0),GPUMW_H*ODc_H,GPUMW_B*ODc_B,GPUMW_N*ODc_N)*ResidUtil*Timeline!X$9*INDEX(Curve,1,MAX(1,MIN(8,INT((X$5-$H$26)/4)+1)))/1000000</f>
        <v>0</v>
      </c>
      <c r="Y109" s="123" t="n">
        <f aca="false">Y108*CHOOSE(MATCH($C$26,{"H";"B";"N"},0),GPUMW_H*ODc_H,GPUMW_B*ODc_B,GPUMW_N*ODc_N)*ResidUtil*Timeline!Y$9*INDEX(Curve,1,MAX(1,MIN(8,INT((Y$5-$H$26)/4)+1)))/1000000</f>
        <v>0</v>
      </c>
      <c r="Z109" s="123" t="n">
        <f aca="false">Z108*CHOOSE(MATCH($C$26,{"H";"B";"N"},0),GPUMW_H*ODc_H,GPUMW_B*ODc_B,GPUMW_N*ODc_N)*ResidUtil*Timeline!Z$9*INDEX(Curve,1,MAX(1,MIN(8,INT((Z$5-$H$26)/4)+1)))/1000000</f>
        <v>0</v>
      </c>
      <c r="AA109" s="123" t="n">
        <f aca="false">AA108*CHOOSE(MATCH($C$26,{"H";"B";"N"},0),GPUMW_H*ODc_H,GPUMW_B*ODc_B,GPUMW_N*ODc_N)*ResidUtil*Timeline!AA$9*INDEX(Curve,1,MAX(1,MIN(8,INT((AA$5-$H$26)/4)+1)))/1000000</f>
        <v>0</v>
      </c>
      <c r="AB109" s="123" t="n">
        <f aca="false">AB108*CHOOSE(MATCH($C$26,{"H";"B";"N"},0),GPUMW_H*ODc_H,GPUMW_B*ODc_B,GPUMW_N*ODc_N)*ResidUtil*Timeline!AB$9*INDEX(Curve,1,MAX(1,MIN(8,INT((AB$5-$H$26)/4)+1)))/1000000</f>
        <v>0</v>
      </c>
      <c r="AC109" s="123" t="n">
        <f aca="false">AC108*CHOOSE(MATCH($C$26,{"H";"B";"N"},0),GPUMW_H*ODc_H,GPUMW_B*ODc_B,GPUMW_N*ODc_N)*ResidUtil*Timeline!AC$9*INDEX(Curve,1,MAX(1,MIN(8,INT((AC$5-$H$26)/4)+1)))/1000000</f>
        <v>0</v>
      </c>
      <c r="AD109" s="123" t="n">
        <f aca="false">AD108*CHOOSE(MATCH($C$26,{"H";"B";"N"},0),GPUMW_H*ODc_H,GPUMW_B*ODc_B,GPUMW_N*ODc_N)*ResidUtil*Timeline!AD$9*INDEX(Curve,1,MAX(1,MIN(8,INT((AD$5-$H$26)/4)+1)))/1000000</f>
        <v>0</v>
      </c>
      <c r="AE109" s="123" t="n">
        <f aca="false">AE108*CHOOSE(MATCH($C$26,{"H";"B";"N"},0),GPUMW_H*ODc_H,GPUMW_B*ODc_B,GPUMW_N*ODc_N)*ResidUtil*Timeline!AE$9*INDEX(Curve,1,MAX(1,MIN(8,INT((AE$5-$H$26)/4)+1)))/1000000</f>
        <v>0</v>
      </c>
      <c r="AF109" s="123" t="n">
        <f aca="false">AF108*CHOOSE(MATCH($C$26,{"H";"B";"N"},0),GPUMW_H*ODc_H,GPUMW_B*ODc_B,GPUMW_N*ODc_N)*ResidUtil*Timeline!AF$9*INDEX(Curve,1,MAX(1,MIN(8,INT((AF$5-$H$26)/4)+1)))/1000000</f>
        <v>0</v>
      </c>
      <c r="AG109" s="123" t="n">
        <f aca="false">AG108*CHOOSE(MATCH($C$26,{"H";"B";"N"},0),GPUMW_H*ODc_H,GPUMW_B*ODc_B,GPUMW_N*ODc_N)*ResidUtil*Timeline!AG$9*INDEX(Curve,1,MAX(1,MIN(8,INT((AG$5-$H$26)/4)+1)))/1000000</f>
        <v>0</v>
      </c>
      <c r="AI109" s="123" t="n">
        <f aca="false">SUMIF($F$7:$AG$7,AI$7,$F109:$AG109)</f>
        <v>0</v>
      </c>
      <c r="AJ109" s="123" t="n">
        <f aca="false">SUMIF($F$7:$AG$7,AJ$7,$F109:$AG109)</f>
        <v>0</v>
      </c>
      <c r="AK109" s="123" t="n">
        <f aca="false">SUMIF($F$7:$AG$7,AK$7,$F109:$AG109)</f>
        <v>0</v>
      </c>
      <c r="AL109" s="123" t="n">
        <f aca="false">SUMIF($F$7:$AG$7,AL$7,$F109:$AG109)</f>
        <v>0</v>
      </c>
      <c r="AM109" s="123" t="n">
        <f aca="false">SUMIF($F$7:$AG$7,AM$7,$F109:$AG109)</f>
        <v>0</v>
      </c>
      <c r="AN109" s="123" t="n">
        <f aca="false">SUMIF($F$7:$AG$7,AN$7,$F109:$AG109)</f>
        <v>0</v>
      </c>
      <c r="AO109" s="123" t="n">
        <f aca="false">SUMIF($F$7:$AG$7,AO$7,$F109:$AG109)</f>
        <v>0</v>
      </c>
    </row>
    <row r="110" customFormat="false" ht="15" hidden="false" customHeight="false" outlineLevel="0" collapsed="false">
      <c r="A110" s="104" t="s">
        <v>1709</v>
      </c>
      <c r="B110" s="20" t="s">
        <v>561</v>
      </c>
      <c r="C110" s="20"/>
      <c r="D110" s="20"/>
      <c r="F110" s="122" t="n">
        <f aca="false">(1-$I$27)*(1-$J$27)*$D$27*$E$27/4*MIN(1,MAX(0,(F$5-$H$27+1)/$T$27))*IF(F$5=$H$27,DelivFactor,IF(AND(F$5&gt;$H$27,F$5&lt;$H$27+$F$27),1,IF(F$5=$H$27+$F$27,1-DelivFactor,0)))</f>
        <v>0</v>
      </c>
      <c r="G110" s="122" t="n">
        <f aca="false">(1-$I$27)*(1-$J$27)*$D$27*$E$27/4*MIN(1,MAX(0,(G$5-$H$27+1)/$T$27))*IF(G$5=$H$27,DelivFactor,IF(AND(G$5&gt;$H$27,G$5&lt;$H$27+$F$27),1,IF(G$5=$H$27+$F$27,1-DelivFactor,0)))</f>
        <v>0</v>
      </c>
      <c r="H110" s="122" t="n">
        <f aca="false">(1-$I$27)*(1-$J$27)*$D$27*$E$27/4*MIN(1,MAX(0,(H$5-$H$27+1)/$T$27))*IF(H$5=$H$27,DelivFactor,IF(AND(H$5&gt;$H$27,H$5&lt;$H$27+$F$27),1,IF(H$5=$H$27+$F$27,1-DelivFactor,0)))</f>
        <v>0</v>
      </c>
      <c r="I110" s="122" t="n">
        <f aca="false">(1-$I$27)*(1-$J$27)*$D$27*$E$27/4*MIN(1,MAX(0,(I$5-$H$27+1)/$T$27))*IF(I$5=$H$27,DelivFactor,IF(AND(I$5&gt;$H$27,I$5&lt;$H$27+$F$27),1,IF(I$5=$H$27+$F$27,1-DelivFactor,0)))</f>
        <v>0</v>
      </c>
      <c r="J110" s="122" t="n">
        <f aca="false">(1-$I$27)*(1-$J$27)*$D$27*$E$27/4*MIN(1,MAX(0,(J$5-$H$27+1)/$T$27))*IF(J$5=$H$27,DelivFactor,IF(AND(J$5&gt;$H$27,J$5&lt;$H$27+$F$27),1,IF(J$5=$H$27+$F$27,1-DelivFactor,0)))</f>
        <v>0</v>
      </c>
      <c r="K110" s="122" t="n">
        <f aca="false">(1-$I$27)*(1-$J$27)*$D$27*$E$27/4*MIN(1,MAX(0,(K$5-$H$27+1)/$T$27))*IF(K$5=$H$27,DelivFactor,IF(AND(K$5&gt;$H$27,K$5&lt;$H$27+$F$27),1,IF(K$5=$H$27+$F$27,1-DelivFactor,0)))</f>
        <v>0</v>
      </c>
      <c r="L110" s="122" t="n">
        <f aca="false">(1-$I$27)*(1-$J$27)*$D$27*$E$27/4*MIN(1,MAX(0,(L$5-$H$27+1)/$T$27))*IF(L$5=$H$27,DelivFactor,IF(AND(L$5&gt;$H$27,L$5&lt;$H$27+$F$27),1,IF(L$5=$H$27+$F$27,1-DelivFactor,0)))</f>
        <v>0</v>
      </c>
      <c r="M110" s="122" t="n">
        <f aca="false">(1-$I$27)*(1-$J$27)*$D$27*$E$27/4*MIN(1,MAX(0,(M$5-$H$27+1)/$T$27))*IF(M$5=$H$27,DelivFactor,IF(AND(M$5&gt;$H$27,M$5&lt;$H$27+$F$27),1,IF(M$5=$H$27+$F$27,1-DelivFactor,0)))</f>
        <v>0</v>
      </c>
      <c r="N110" s="122" t="n">
        <f aca="false">(1-$I$27)*(1-$J$27)*$D$27*$E$27/4*MIN(1,MAX(0,(N$5-$H$27+1)/$T$27))*IF(N$5=$H$27,DelivFactor,IF(AND(N$5&gt;$H$27,N$5&lt;$H$27+$F$27),1,IF(N$5=$H$27+$F$27,1-DelivFactor,0)))</f>
        <v>0</v>
      </c>
      <c r="O110" s="122" t="n">
        <f aca="false">(1-$I$27)*(1-$J$27)*$D$27*$E$27/4*MIN(1,MAX(0,(O$5-$H$27+1)/$T$27))*IF(O$5=$H$27,DelivFactor,IF(AND(O$5&gt;$H$27,O$5&lt;$H$27+$F$27),1,IF(O$5=$H$27+$F$27,1-DelivFactor,0)))</f>
        <v>0</v>
      </c>
      <c r="P110" s="123" t="n">
        <f aca="false">(1-$I$27)*(1-$J$27)*$D$27*$E$27/4*MIN(1,MAX(0,(P$5-$H$27+1)/$T$27))*IF(P$5=$H$27,DelivFactor,IF(AND(P$5&gt;$H$27,P$5&lt;$H$27+$F$27),1,IF(P$5=$H$27+$F$27,1-DelivFactor,0)))</f>
        <v>0</v>
      </c>
      <c r="Q110" s="123" t="n">
        <f aca="false">(1-$I$27)*(1-$J$27)*$D$27*$E$27/4*MIN(1,MAX(0,(Q$5-$H$27+1)/$T$27))*IF(Q$5=$H$27,DelivFactor,IF(AND(Q$5&gt;$H$27,Q$5&lt;$H$27+$F$27),1,IF(Q$5=$H$27+$F$27,1-DelivFactor,0)))</f>
        <v>0</v>
      </c>
      <c r="R110" s="123" t="n">
        <f aca="false">(1-$I$27)*(1-$J$27)*$D$27*$E$27/4*MIN(1,MAX(0,(R$5-$H$27+1)/$T$27))*IF(R$5=$H$27,DelivFactor,IF(AND(R$5&gt;$H$27,R$5&lt;$H$27+$F$27),1,IF(R$5=$H$27+$F$27,1-DelivFactor,0)))</f>
        <v>0</v>
      </c>
      <c r="S110" s="123" t="n">
        <f aca="false">(1-$I$27)*(1-$J$27)*$D$27*$E$27/4*MIN(1,MAX(0,(S$5-$H$27+1)/$T$27))*IF(S$5=$H$27,DelivFactor,IF(AND(S$5&gt;$H$27,S$5&lt;$H$27+$F$27),1,IF(S$5=$H$27+$F$27,1-DelivFactor,0)))</f>
        <v>0</v>
      </c>
      <c r="T110" s="123" t="n">
        <f aca="false">(1-$I$27)*(1-$J$27)*$D$27*$E$27/4*MIN(1,MAX(0,(T$5-$H$27+1)/$T$27))*IF(T$5=$H$27,DelivFactor,IF(AND(T$5&gt;$H$27,T$5&lt;$H$27+$F$27),1,IF(T$5=$H$27+$F$27,1-DelivFactor,0)))</f>
        <v>0</v>
      </c>
      <c r="U110" s="123" t="n">
        <f aca="false">(1-$I$27)*(1-$J$27)*$D$27*$E$27/4*MIN(1,MAX(0,(U$5-$H$27+1)/$T$27))*IF(U$5=$H$27,DelivFactor,IF(AND(U$5&gt;$H$27,U$5&lt;$H$27+$F$27),1,IF(U$5=$H$27+$F$27,1-DelivFactor,0)))</f>
        <v>0</v>
      </c>
      <c r="V110" s="123" t="n">
        <f aca="false">(1-$I$27)*(1-$J$27)*$D$27*$E$27/4*MIN(1,MAX(0,(V$5-$H$27+1)/$T$27))*IF(V$5=$H$27,DelivFactor,IF(AND(V$5&gt;$H$27,V$5&lt;$H$27+$F$27),1,IF(V$5=$H$27+$F$27,1-DelivFactor,0)))</f>
        <v>0</v>
      </c>
      <c r="W110" s="123" t="n">
        <f aca="false">(1-$I$27)*(1-$J$27)*$D$27*$E$27/4*MIN(1,MAX(0,(W$5-$H$27+1)/$T$27))*IF(W$5=$H$27,DelivFactor,IF(AND(W$5&gt;$H$27,W$5&lt;$H$27+$F$27),1,IF(W$5=$H$27+$F$27,1-DelivFactor,0)))</f>
        <v>0</v>
      </c>
      <c r="X110" s="123" t="n">
        <f aca="false">(1-$I$27)*(1-$J$27)*$D$27*$E$27/4*MIN(1,MAX(0,(X$5-$H$27+1)/$T$27))*IF(X$5=$H$27,DelivFactor,IF(AND(X$5&gt;$H$27,X$5&lt;$H$27+$F$27),1,IF(X$5=$H$27+$F$27,1-DelivFactor,0)))</f>
        <v>0</v>
      </c>
      <c r="Y110" s="123" t="n">
        <f aca="false">(1-$I$27)*(1-$J$27)*$D$27*$E$27/4*MIN(1,MAX(0,(Y$5-$H$27+1)/$T$27))*IF(Y$5=$H$27,DelivFactor,IF(AND(Y$5&gt;$H$27,Y$5&lt;$H$27+$F$27),1,IF(Y$5=$H$27+$F$27,1-DelivFactor,0)))</f>
        <v>0</v>
      </c>
      <c r="Z110" s="123" t="n">
        <f aca="false">(1-$I$27)*(1-$J$27)*$D$27*$E$27/4*MIN(1,MAX(0,(Z$5-$H$27+1)/$T$27))*IF(Z$5=$H$27,DelivFactor,IF(AND(Z$5&gt;$H$27,Z$5&lt;$H$27+$F$27),1,IF(Z$5=$H$27+$F$27,1-DelivFactor,0)))</f>
        <v>0</v>
      </c>
      <c r="AA110" s="123" t="n">
        <f aca="false">(1-$I$27)*(1-$J$27)*$D$27*$E$27/4*MIN(1,MAX(0,(AA$5-$H$27+1)/$T$27))*IF(AA$5=$H$27,DelivFactor,IF(AND(AA$5&gt;$H$27,AA$5&lt;$H$27+$F$27),1,IF(AA$5=$H$27+$F$27,1-DelivFactor,0)))</f>
        <v>0</v>
      </c>
      <c r="AB110" s="123" t="n">
        <f aca="false">(1-$I$27)*(1-$J$27)*$D$27*$E$27/4*MIN(1,MAX(0,(AB$5-$H$27+1)/$T$27))*IF(AB$5=$H$27,DelivFactor,IF(AND(AB$5&gt;$H$27,AB$5&lt;$H$27+$F$27),1,IF(AB$5=$H$27+$F$27,1-DelivFactor,0)))</f>
        <v>0</v>
      </c>
      <c r="AC110" s="123" t="n">
        <f aca="false">(1-$I$27)*(1-$J$27)*$D$27*$E$27/4*MIN(1,MAX(0,(AC$5-$H$27+1)/$T$27))*IF(AC$5=$H$27,DelivFactor,IF(AND(AC$5&gt;$H$27,AC$5&lt;$H$27+$F$27),1,IF(AC$5=$H$27+$F$27,1-DelivFactor,0)))</f>
        <v>0</v>
      </c>
      <c r="AD110" s="123" t="n">
        <f aca="false">(1-$I$27)*(1-$J$27)*$D$27*$E$27/4*MIN(1,MAX(0,(AD$5-$H$27+1)/$T$27))*IF(AD$5=$H$27,DelivFactor,IF(AND(AD$5&gt;$H$27,AD$5&lt;$H$27+$F$27),1,IF(AD$5=$H$27+$F$27,1-DelivFactor,0)))</f>
        <v>0</v>
      </c>
      <c r="AE110" s="123" t="n">
        <f aca="false">(1-$I$27)*(1-$J$27)*$D$27*$E$27/4*MIN(1,MAX(0,(AE$5-$H$27+1)/$T$27))*IF(AE$5=$H$27,DelivFactor,IF(AND(AE$5&gt;$H$27,AE$5&lt;$H$27+$F$27),1,IF(AE$5=$H$27+$F$27,1-DelivFactor,0)))</f>
        <v>0</v>
      </c>
      <c r="AF110" s="123" t="n">
        <f aca="false">(1-$I$27)*(1-$J$27)*$D$27*$E$27/4*MIN(1,MAX(0,(AF$5-$H$27+1)/$T$27))*IF(AF$5=$H$27,DelivFactor,IF(AND(AF$5&gt;$H$27,AF$5&lt;$H$27+$F$27),1,IF(AF$5=$H$27+$F$27,1-DelivFactor,0)))</f>
        <v>0</v>
      </c>
      <c r="AG110" s="123" t="n">
        <f aca="false">(1-$I$27)*(1-$J$27)*$D$27*$E$27/4*MIN(1,MAX(0,(AG$5-$H$27+1)/$T$27))*IF(AG$5=$H$27,DelivFactor,IF(AND(AG$5&gt;$H$27,AG$5&lt;$H$27+$F$27),1,IF(AG$5=$H$27+$F$27,1-DelivFactor,0)))</f>
        <v>0</v>
      </c>
      <c r="AI110" s="123" t="n">
        <f aca="false">SUMIF($F$7:$AG$7,AI$7,$F110:$AG110)</f>
        <v>0</v>
      </c>
      <c r="AJ110" s="123" t="n">
        <f aca="false">SUMIF($F$7:$AG$7,AJ$7,$F110:$AG110)</f>
        <v>0</v>
      </c>
      <c r="AK110" s="123" t="n">
        <f aca="false">SUMIF($F$7:$AG$7,AK$7,$F110:$AG110)</f>
        <v>0</v>
      </c>
      <c r="AL110" s="123" t="n">
        <f aca="false">SUMIF($F$7:$AG$7,AL$7,$F110:$AG110)</f>
        <v>0</v>
      </c>
      <c r="AM110" s="123" t="n">
        <f aca="false">SUMIF($F$7:$AG$7,AM$7,$F110:$AG110)</f>
        <v>0</v>
      </c>
      <c r="AN110" s="123" t="n">
        <f aca="false">SUMIF($F$7:$AG$7,AN$7,$F110:$AG110)</f>
        <v>0</v>
      </c>
      <c r="AO110" s="123" t="n">
        <f aca="false">SUMIF($F$7:$AG$7,AO$7,$F110:$AG110)</f>
        <v>0</v>
      </c>
    </row>
    <row r="111" customFormat="false" ht="15" hidden="false" customHeight="false" outlineLevel="0" collapsed="false">
      <c r="A111" s="104" t="s">
        <v>1710</v>
      </c>
      <c r="B111" s="20" t="s">
        <v>575</v>
      </c>
      <c r="C111" s="20"/>
      <c r="D111" s="20"/>
      <c r="F111" s="113" t="n">
        <f aca="false">(1-$I$27)*(1-$J$27)*$D$27*AND(F$5&gt;=$H$27,F$5&lt;$H$27+$F$27)</f>
        <v>0</v>
      </c>
      <c r="G111" s="113" t="n">
        <f aca="false">(1-$I$27)*(1-$J$27)*$D$27*AND(G$5&gt;=$H$27,G$5&lt;$H$27+$F$27)</f>
        <v>0</v>
      </c>
      <c r="H111" s="113" t="n">
        <f aca="false">(1-$I$27)*(1-$J$27)*$D$27*AND(H$5&gt;=$H$27,H$5&lt;$H$27+$F$27)</f>
        <v>0</v>
      </c>
      <c r="I111" s="113" t="n">
        <f aca="false">(1-$I$27)*(1-$J$27)*$D$27*AND(I$5&gt;=$H$27,I$5&lt;$H$27+$F$27)</f>
        <v>0</v>
      </c>
      <c r="J111" s="113" t="n">
        <f aca="false">(1-$I$27)*(1-$J$27)*$D$27*AND(J$5&gt;=$H$27,J$5&lt;$H$27+$F$27)</f>
        <v>0</v>
      </c>
      <c r="K111" s="113" t="n">
        <f aca="false">(1-$I$27)*(1-$J$27)*$D$27*AND(K$5&gt;=$H$27,K$5&lt;$H$27+$F$27)</f>
        <v>0</v>
      </c>
      <c r="L111" s="113" t="n">
        <f aca="false">(1-$I$27)*(1-$J$27)*$D$27*AND(L$5&gt;=$H$27,L$5&lt;$H$27+$F$27)</f>
        <v>0</v>
      </c>
      <c r="M111" s="113" t="n">
        <f aca="false">(1-$I$27)*(1-$J$27)*$D$27*AND(M$5&gt;=$H$27,M$5&lt;$H$27+$F$27)</f>
        <v>0</v>
      </c>
      <c r="N111" s="113" t="n">
        <f aca="false">(1-$I$27)*(1-$J$27)*$D$27*AND(N$5&gt;=$H$27,N$5&lt;$H$27+$F$27)</f>
        <v>0</v>
      </c>
      <c r="O111" s="113" t="n">
        <f aca="false">(1-$I$27)*(1-$J$27)*$D$27*AND(O$5&gt;=$H$27,O$5&lt;$H$27+$F$27)</f>
        <v>0</v>
      </c>
      <c r="P111" s="31" t="n">
        <f aca="false">(1-$I$27)*(1-$J$27)*$D$27*AND(P$5&gt;=$H$27,P$5&lt;$H$27+$F$27)</f>
        <v>0</v>
      </c>
      <c r="Q111" s="31" t="n">
        <f aca="false">(1-$I$27)*(1-$J$27)*$D$27*AND(Q$5&gt;=$H$27,Q$5&lt;$H$27+$F$27)</f>
        <v>0</v>
      </c>
      <c r="R111" s="31" t="n">
        <f aca="false">(1-$I$27)*(1-$J$27)*$D$27*AND(R$5&gt;=$H$27,R$5&lt;$H$27+$F$27)</f>
        <v>0</v>
      </c>
      <c r="S111" s="31" t="n">
        <f aca="false">(1-$I$27)*(1-$J$27)*$D$27*AND(S$5&gt;=$H$27,S$5&lt;$H$27+$F$27)</f>
        <v>0</v>
      </c>
      <c r="T111" s="31" t="n">
        <f aca="false">(1-$I$27)*(1-$J$27)*$D$27*AND(T$5&gt;=$H$27,T$5&lt;$H$27+$F$27)</f>
        <v>0</v>
      </c>
      <c r="U111" s="31" t="n">
        <f aca="false">(1-$I$27)*(1-$J$27)*$D$27*AND(U$5&gt;=$H$27,U$5&lt;$H$27+$F$27)</f>
        <v>0</v>
      </c>
      <c r="V111" s="31" t="n">
        <f aca="false">(1-$I$27)*(1-$J$27)*$D$27*AND(V$5&gt;=$H$27,V$5&lt;$H$27+$F$27)</f>
        <v>0</v>
      </c>
      <c r="W111" s="31" t="n">
        <f aca="false">(1-$I$27)*(1-$J$27)*$D$27*AND(W$5&gt;=$H$27,W$5&lt;$H$27+$F$27)</f>
        <v>0</v>
      </c>
      <c r="X111" s="31" t="n">
        <f aca="false">(1-$I$27)*(1-$J$27)*$D$27*AND(X$5&gt;=$H$27,X$5&lt;$H$27+$F$27)</f>
        <v>0</v>
      </c>
      <c r="Y111" s="31" t="n">
        <f aca="false">(1-$I$27)*(1-$J$27)*$D$27*AND(Y$5&gt;=$H$27,Y$5&lt;$H$27+$F$27)</f>
        <v>0</v>
      </c>
      <c r="Z111" s="31" t="n">
        <f aca="false">(1-$I$27)*(1-$J$27)*$D$27*AND(Z$5&gt;=$H$27,Z$5&lt;$H$27+$F$27)</f>
        <v>0</v>
      </c>
      <c r="AA111" s="31" t="n">
        <f aca="false">(1-$I$27)*(1-$J$27)*$D$27*AND(AA$5&gt;=$H$27,AA$5&lt;$H$27+$F$27)</f>
        <v>0</v>
      </c>
      <c r="AB111" s="31" t="n">
        <f aca="false">(1-$I$27)*(1-$J$27)*$D$27*AND(AB$5&gt;=$H$27,AB$5&lt;$H$27+$F$27)</f>
        <v>0</v>
      </c>
      <c r="AC111" s="31" t="n">
        <f aca="false">(1-$I$27)*(1-$J$27)*$D$27*AND(AC$5&gt;=$H$27,AC$5&lt;$H$27+$F$27)</f>
        <v>0</v>
      </c>
      <c r="AD111" s="31" t="n">
        <f aca="false">(1-$I$27)*(1-$J$27)*$D$27*AND(AD$5&gt;=$H$27,AD$5&lt;$H$27+$F$27)</f>
        <v>0</v>
      </c>
      <c r="AE111" s="31" t="n">
        <f aca="false">(1-$I$27)*(1-$J$27)*$D$27*AND(AE$5&gt;=$H$27,AE$5&lt;$H$27+$F$27)</f>
        <v>0</v>
      </c>
      <c r="AF111" s="31" t="n">
        <f aca="false">(1-$I$27)*(1-$J$27)*$D$27*AND(AF$5&gt;=$H$27,AF$5&lt;$H$27+$F$27)</f>
        <v>0</v>
      </c>
      <c r="AG111" s="31" t="n">
        <f aca="false">(1-$I$27)*(1-$J$27)*$D$27*AND(AG$5&gt;=$H$27,AG$5&lt;$H$27+$F$27)</f>
        <v>0</v>
      </c>
      <c r="AI111" s="31" t="n">
        <f aca="false">INDEX($F111:$AG111,1,MATCH(AI$7,$F$7:$AG$7,1))</f>
        <v>0</v>
      </c>
      <c r="AJ111" s="31" t="n">
        <f aca="false">INDEX($F111:$AG111,1,MATCH(AJ$7,$F$7:$AG$7,1))</f>
        <v>0</v>
      </c>
      <c r="AK111" s="31" t="n">
        <f aca="false">INDEX($F111:$AG111,1,MATCH(AK$7,$F$7:$AG$7,1))</f>
        <v>0</v>
      </c>
      <c r="AL111" s="31" t="n">
        <f aca="false">INDEX($F111:$AG111,1,MATCH(AL$7,$F$7:$AG$7,1))</f>
        <v>0</v>
      </c>
      <c r="AM111" s="31" t="n">
        <f aca="false">INDEX($F111:$AG111,1,MATCH(AM$7,$F$7:$AG$7,1))</f>
        <v>0</v>
      </c>
      <c r="AN111" s="31" t="n">
        <f aca="false">INDEX($F111:$AG111,1,MATCH(AN$7,$F$7:$AG$7,1))</f>
        <v>0</v>
      </c>
      <c r="AO111" s="31" t="n">
        <f aca="false">INDEX($F111:$AG111,1,MATCH(AO$7,$F$7:$AG$7,1))</f>
        <v>0</v>
      </c>
    </row>
    <row r="112" customFormat="false" ht="15" hidden="false" customHeight="false" outlineLevel="0" collapsed="false">
      <c r="A112" s="104" t="s">
        <v>1711</v>
      </c>
      <c r="B112" s="20" t="s">
        <v>561</v>
      </c>
      <c r="C112" s="20"/>
      <c r="D112" s="20"/>
      <c r="F112" s="122" t="n">
        <f aca="false">-(1-$I$27)*LD_Pct*$D$27*$E$27/4*AND(F$5&gt;=$G$27,F$5&lt;$H$27)</f>
        <v>-0</v>
      </c>
      <c r="G112" s="122" t="n">
        <f aca="false">-(1-$I$27)*LD_Pct*$D$27*$E$27/4*AND(G$5&gt;=$G$27,G$5&lt;$H$27)</f>
        <v>-0</v>
      </c>
      <c r="H112" s="122" t="n">
        <f aca="false">-(1-$I$27)*LD_Pct*$D$27*$E$27/4*AND(H$5&gt;=$G$27,H$5&lt;$H$27)</f>
        <v>-0</v>
      </c>
      <c r="I112" s="122" t="n">
        <f aca="false">-(1-$I$27)*LD_Pct*$D$27*$E$27/4*AND(I$5&gt;=$G$27,I$5&lt;$H$27)</f>
        <v>-0</v>
      </c>
      <c r="J112" s="122" t="n">
        <f aca="false">-(1-$I$27)*LD_Pct*$D$27*$E$27/4*AND(J$5&gt;=$G$27,J$5&lt;$H$27)</f>
        <v>-0</v>
      </c>
      <c r="K112" s="122" t="n">
        <f aca="false">-(1-$I$27)*LD_Pct*$D$27*$E$27/4*AND(K$5&gt;=$G$27,K$5&lt;$H$27)</f>
        <v>-0</v>
      </c>
      <c r="L112" s="122" t="n">
        <f aca="false">-(1-$I$27)*LD_Pct*$D$27*$E$27/4*AND(L$5&gt;=$G$27,L$5&lt;$H$27)</f>
        <v>-0</v>
      </c>
      <c r="M112" s="122" t="n">
        <f aca="false">-(1-$I$27)*LD_Pct*$D$27*$E$27/4*AND(M$5&gt;=$G$27,M$5&lt;$H$27)</f>
        <v>-0</v>
      </c>
      <c r="N112" s="122" t="n">
        <f aca="false">-(1-$I$27)*LD_Pct*$D$27*$E$27/4*AND(N$5&gt;=$G$27,N$5&lt;$H$27)</f>
        <v>-0</v>
      </c>
      <c r="O112" s="122" t="n">
        <f aca="false">-(1-$I$27)*LD_Pct*$D$27*$E$27/4*AND(O$5&gt;=$G$27,O$5&lt;$H$27)</f>
        <v>-0</v>
      </c>
      <c r="P112" s="123" t="n">
        <f aca="false">-(1-$I$27)*LD_Pct*$D$27*$E$27/4*AND(P$5&gt;=$G$27,P$5&lt;$H$27)</f>
        <v>-0</v>
      </c>
      <c r="Q112" s="123" t="n">
        <f aca="false">-(1-$I$27)*LD_Pct*$D$27*$E$27/4*AND(Q$5&gt;=$G$27,Q$5&lt;$H$27)</f>
        <v>-0</v>
      </c>
      <c r="R112" s="123" t="n">
        <f aca="false">-(1-$I$27)*LD_Pct*$D$27*$E$27/4*AND(R$5&gt;=$G$27,R$5&lt;$H$27)</f>
        <v>-0</v>
      </c>
      <c r="S112" s="123" t="n">
        <f aca="false">-(1-$I$27)*LD_Pct*$D$27*$E$27/4*AND(S$5&gt;=$G$27,S$5&lt;$H$27)</f>
        <v>-0</v>
      </c>
      <c r="T112" s="123" t="n">
        <f aca="false">-(1-$I$27)*LD_Pct*$D$27*$E$27/4*AND(T$5&gt;=$G$27,T$5&lt;$H$27)</f>
        <v>-0</v>
      </c>
      <c r="U112" s="123" t="n">
        <f aca="false">-(1-$I$27)*LD_Pct*$D$27*$E$27/4*AND(U$5&gt;=$G$27,U$5&lt;$H$27)</f>
        <v>-0</v>
      </c>
      <c r="V112" s="123" t="n">
        <f aca="false">-(1-$I$27)*LD_Pct*$D$27*$E$27/4*AND(V$5&gt;=$G$27,V$5&lt;$H$27)</f>
        <v>-0</v>
      </c>
      <c r="W112" s="123" t="n">
        <f aca="false">-(1-$I$27)*LD_Pct*$D$27*$E$27/4*AND(W$5&gt;=$G$27,W$5&lt;$H$27)</f>
        <v>-0</v>
      </c>
      <c r="X112" s="123" t="n">
        <f aca="false">-(1-$I$27)*LD_Pct*$D$27*$E$27/4*AND(X$5&gt;=$G$27,X$5&lt;$H$27)</f>
        <v>-0</v>
      </c>
      <c r="Y112" s="123" t="n">
        <f aca="false">-(1-$I$27)*LD_Pct*$D$27*$E$27/4*AND(Y$5&gt;=$G$27,Y$5&lt;$H$27)</f>
        <v>-0</v>
      </c>
      <c r="Z112" s="123" t="n">
        <f aca="false">-(1-$I$27)*LD_Pct*$D$27*$E$27/4*AND(Z$5&gt;=$G$27,Z$5&lt;$H$27)</f>
        <v>-0</v>
      </c>
      <c r="AA112" s="123" t="n">
        <f aca="false">-(1-$I$27)*LD_Pct*$D$27*$E$27/4*AND(AA$5&gt;=$G$27,AA$5&lt;$H$27)</f>
        <v>-0</v>
      </c>
      <c r="AB112" s="123" t="n">
        <f aca="false">-(1-$I$27)*LD_Pct*$D$27*$E$27/4*AND(AB$5&gt;=$G$27,AB$5&lt;$H$27)</f>
        <v>-0</v>
      </c>
      <c r="AC112" s="123" t="n">
        <f aca="false">-(1-$I$27)*LD_Pct*$D$27*$E$27/4*AND(AC$5&gt;=$G$27,AC$5&lt;$H$27)</f>
        <v>-0</v>
      </c>
      <c r="AD112" s="123" t="n">
        <f aca="false">-(1-$I$27)*LD_Pct*$D$27*$E$27/4*AND(AD$5&gt;=$G$27,AD$5&lt;$H$27)</f>
        <v>-0</v>
      </c>
      <c r="AE112" s="123" t="n">
        <f aca="false">-(1-$I$27)*LD_Pct*$D$27*$E$27/4*AND(AE$5&gt;=$G$27,AE$5&lt;$H$27)</f>
        <v>-0</v>
      </c>
      <c r="AF112" s="123" t="n">
        <f aca="false">-(1-$I$27)*LD_Pct*$D$27*$E$27/4*AND(AF$5&gt;=$G$27,AF$5&lt;$H$27)</f>
        <v>-0</v>
      </c>
      <c r="AG112" s="123" t="n">
        <f aca="false">-(1-$I$27)*LD_Pct*$D$27*$E$27/4*AND(AG$5&gt;=$G$27,AG$5&lt;$H$27)</f>
        <v>-0</v>
      </c>
      <c r="AI112" s="123" t="n">
        <f aca="false">SUMIF($F$7:$AG$7,AI$7,$F112:$AG112)</f>
        <v>0</v>
      </c>
      <c r="AJ112" s="123" t="n">
        <f aca="false">SUMIF($F$7:$AG$7,AJ$7,$F112:$AG112)</f>
        <v>0</v>
      </c>
      <c r="AK112" s="123" t="n">
        <f aca="false">SUMIF($F$7:$AG$7,AK$7,$F112:$AG112)</f>
        <v>0</v>
      </c>
      <c r="AL112" s="123" t="n">
        <f aca="false">SUMIF($F$7:$AG$7,AL$7,$F112:$AG112)</f>
        <v>0</v>
      </c>
      <c r="AM112" s="123" t="n">
        <f aca="false">SUMIF($F$7:$AG$7,AM$7,$F112:$AG112)</f>
        <v>0</v>
      </c>
      <c r="AN112" s="123" t="n">
        <f aca="false">SUMIF($F$7:$AG$7,AN$7,$F112:$AG112)</f>
        <v>0</v>
      </c>
      <c r="AO112" s="123" t="n">
        <f aca="false">SUMIF($F$7:$AG$7,AO$7,$F112:$AG112)</f>
        <v>0</v>
      </c>
    </row>
    <row r="113" customFormat="false" ht="15" hidden="false" customHeight="false" outlineLevel="0" collapsed="false">
      <c r="A113" s="104" t="s">
        <v>1712</v>
      </c>
      <c r="B113" s="20" t="s">
        <v>575</v>
      </c>
      <c r="C113" s="20"/>
      <c r="D113" s="20"/>
      <c r="F113" s="113" t="n">
        <f aca="false">(1-$I$27)*(1-$J$27)*$D$27*(F$5&gt;=$H$27+$F$27)</f>
        <v>0</v>
      </c>
      <c r="G113" s="113" t="n">
        <f aca="false">(1-$I$27)*(1-$J$27)*$D$27*(G$5&gt;=$H$27+$F$27)</f>
        <v>0</v>
      </c>
      <c r="H113" s="113" t="n">
        <f aca="false">(1-$I$27)*(1-$J$27)*$D$27*(H$5&gt;=$H$27+$F$27)</f>
        <v>0</v>
      </c>
      <c r="I113" s="113" t="n">
        <f aca="false">(1-$I$27)*(1-$J$27)*$D$27*(I$5&gt;=$H$27+$F$27)</f>
        <v>0</v>
      </c>
      <c r="J113" s="113" t="n">
        <f aca="false">(1-$I$27)*(1-$J$27)*$D$27*(J$5&gt;=$H$27+$F$27)</f>
        <v>0</v>
      </c>
      <c r="K113" s="113" t="n">
        <f aca="false">(1-$I$27)*(1-$J$27)*$D$27*(K$5&gt;=$H$27+$F$27)</f>
        <v>0</v>
      </c>
      <c r="L113" s="113" t="n">
        <f aca="false">(1-$I$27)*(1-$J$27)*$D$27*(L$5&gt;=$H$27+$F$27)</f>
        <v>0</v>
      </c>
      <c r="M113" s="113" t="n">
        <f aca="false">(1-$I$27)*(1-$J$27)*$D$27*(M$5&gt;=$H$27+$F$27)</f>
        <v>0</v>
      </c>
      <c r="N113" s="113" t="n">
        <f aca="false">(1-$I$27)*(1-$J$27)*$D$27*(N$5&gt;=$H$27+$F$27)</f>
        <v>0</v>
      </c>
      <c r="O113" s="113" t="n">
        <f aca="false">(1-$I$27)*(1-$J$27)*$D$27*(O$5&gt;=$H$27+$F$27)</f>
        <v>0</v>
      </c>
      <c r="P113" s="31" t="n">
        <f aca="false">(1-$I$27)*(1-$J$27)*$D$27*(P$5&gt;=$H$27+$F$27)</f>
        <v>0</v>
      </c>
      <c r="Q113" s="31" t="n">
        <f aca="false">(1-$I$27)*(1-$J$27)*$D$27*(Q$5&gt;=$H$27+$F$27)</f>
        <v>0</v>
      </c>
      <c r="R113" s="31" t="n">
        <f aca="false">(1-$I$27)*(1-$J$27)*$D$27*(R$5&gt;=$H$27+$F$27)</f>
        <v>0</v>
      </c>
      <c r="S113" s="31" t="n">
        <f aca="false">(1-$I$27)*(1-$J$27)*$D$27*(S$5&gt;=$H$27+$F$27)</f>
        <v>0</v>
      </c>
      <c r="T113" s="31" t="n">
        <f aca="false">(1-$I$27)*(1-$J$27)*$D$27*(T$5&gt;=$H$27+$F$27)</f>
        <v>0</v>
      </c>
      <c r="U113" s="31" t="n">
        <f aca="false">(1-$I$27)*(1-$J$27)*$D$27*(U$5&gt;=$H$27+$F$27)</f>
        <v>0</v>
      </c>
      <c r="V113" s="31" t="n">
        <f aca="false">(1-$I$27)*(1-$J$27)*$D$27*(V$5&gt;=$H$27+$F$27)</f>
        <v>0</v>
      </c>
      <c r="W113" s="31" t="n">
        <f aca="false">(1-$I$27)*(1-$J$27)*$D$27*(W$5&gt;=$H$27+$F$27)</f>
        <v>0</v>
      </c>
      <c r="X113" s="31" t="n">
        <f aca="false">(1-$I$27)*(1-$J$27)*$D$27*(X$5&gt;=$H$27+$F$27)</f>
        <v>0</v>
      </c>
      <c r="Y113" s="31" t="n">
        <f aca="false">(1-$I$27)*(1-$J$27)*$D$27*(Y$5&gt;=$H$27+$F$27)</f>
        <v>0</v>
      </c>
      <c r="Z113" s="31" t="n">
        <f aca="false">(1-$I$27)*(1-$J$27)*$D$27*(Z$5&gt;=$H$27+$F$27)</f>
        <v>0</v>
      </c>
      <c r="AA113" s="31" t="n">
        <f aca="false">(1-$I$27)*(1-$J$27)*$D$27*(AA$5&gt;=$H$27+$F$27)</f>
        <v>0</v>
      </c>
      <c r="AB113" s="31" t="n">
        <f aca="false">(1-$I$27)*(1-$J$27)*$D$27*(AB$5&gt;=$H$27+$F$27)</f>
        <v>0</v>
      </c>
      <c r="AC113" s="31" t="n">
        <f aca="false">(1-$I$27)*(1-$J$27)*$D$27*(AC$5&gt;=$H$27+$F$27)</f>
        <v>0</v>
      </c>
      <c r="AD113" s="31" t="n">
        <f aca="false">(1-$I$27)*(1-$J$27)*$D$27*(AD$5&gt;=$H$27+$F$27)</f>
        <v>0</v>
      </c>
      <c r="AE113" s="31" t="n">
        <f aca="false">(1-$I$27)*(1-$J$27)*$D$27*(AE$5&gt;=$H$27+$F$27)</f>
        <v>0</v>
      </c>
      <c r="AF113" s="31" t="n">
        <f aca="false">(1-$I$27)*(1-$J$27)*$D$27*(AF$5&gt;=$H$27+$F$27)</f>
        <v>0</v>
      </c>
      <c r="AG113" s="31" t="n">
        <f aca="false">(1-$I$27)*(1-$J$27)*$D$27*(AG$5&gt;=$H$27+$F$27)</f>
        <v>0</v>
      </c>
      <c r="AI113" s="31" t="n">
        <f aca="false">INDEX($F113:$AG113,1,MATCH(AI$7,$F$7:$AG$7,1))</f>
        <v>0</v>
      </c>
      <c r="AJ113" s="31" t="n">
        <f aca="false">INDEX($F113:$AG113,1,MATCH(AJ$7,$F$7:$AG$7,1))</f>
        <v>0</v>
      </c>
      <c r="AK113" s="31" t="n">
        <f aca="false">INDEX($F113:$AG113,1,MATCH(AK$7,$F$7:$AG$7,1))</f>
        <v>0</v>
      </c>
      <c r="AL113" s="31" t="n">
        <f aca="false">INDEX($F113:$AG113,1,MATCH(AL$7,$F$7:$AG$7,1))</f>
        <v>0</v>
      </c>
      <c r="AM113" s="31" t="n">
        <f aca="false">INDEX($F113:$AG113,1,MATCH(AM$7,$F$7:$AG$7,1))</f>
        <v>0</v>
      </c>
      <c r="AN113" s="31" t="n">
        <f aca="false">INDEX($F113:$AG113,1,MATCH(AN$7,$F$7:$AG$7,1))</f>
        <v>0</v>
      </c>
      <c r="AO113" s="31" t="n">
        <f aca="false">INDEX($F113:$AG113,1,MATCH(AO$7,$F$7:$AG$7,1))</f>
        <v>0</v>
      </c>
    </row>
    <row r="114" customFormat="false" ht="15" hidden="false" customHeight="false" outlineLevel="0" collapsed="false">
      <c r="A114" s="104" t="s">
        <v>1713</v>
      </c>
      <c r="B114" s="20" t="s">
        <v>561</v>
      </c>
      <c r="C114" s="20"/>
      <c r="D114" s="20" t="s">
        <v>1638</v>
      </c>
      <c r="F114" s="122" t="n">
        <f aca="false">F113*CHOOSE(MATCH($C$27,{"H";"B";"N"},0),GPUMW_H*ODc_H,GPUMW_B*ODc_B,GPUMW_N*ODc_N)*ResidUtil*Timeline!F$9*INDEX(Curve,1,MAX(1,MIN(8,INT((F$5-$H$27)/4)+1)))/1000000</f>
        <v>0</v>
      </c>
      <c r="G114" s="122" t="n">
        <f aca="false">G113*CHOOSE(MATCH($C$27,{"H";"B";"N"},0),GPUMW_H*ODc_H,GPUMW_B*ODc_B,GPUMW_N*ODc_N)*ResidUtil*Timeline!G$9*INDEX(Curve,1,MAX(1,MIN(8,INT((G$5-$H$27)/4)+1)))/1000000</f>
        <v>0</v>
      </c>
      <c r="H114" s="122" t="n">
        <f aca="false">H113*CHOOSE(MATCH($C$27,{"H";"B";"N"},0),GPUMW_H*ODc_H,GPUMW_B*ODc_B,GPUMW_N*ODc_N)*ResidUtil*Timeline!H$9*INDEX(Curve,1,MAX(1,MIN(8,INT((H$5-$H$27)/4)+1)))/1000000</f>
        <v>0</v>
      </c>
      <c r="I114" s="122" t="n">
        <f aca="false">I113*CHOOSE(MATCH($C$27,{"H";"B";"N"},0),GPUMW_H*ODc_H,GPUMW_B*ODc_B,GPUMW_N*ODc_N)*ResidUtil*Timeline!I$9*INDEX(Curve,1,MAX(1,MIN(8,INT((I$5-$H$27)/4)+1)))/1000000</f>
        <v>0</v>
      </c>
      <c r="J114" s="122" t="n">
        <f aca="false">J113*CHOOSE(MATCH($C$27,{"H";"B";"N"},0),GPUMW_H*ODc_H,GPUMW_B*ODc_B,GPUMW_N*ODc_N)*ResidUtil*Timeline!J$9*INDEX(Curve,1,MAX(1,MIN(8,INT((J$5-$H$27)/4)+1)))/1000000</f>
        <v>0</v>
      </c>
      <c r="K114" s="122" t="n">
        <f aca="false">K113*CHOOSE(MATCH($C$27,{"H";"B";"N"},0),GPUMW_H*ODc_H,GPUMW_B*ODc_B,GPUMW_N*ODc_N)*ResidUtil*Timeline!K$9*INDEX(Curve,1,MAX(1,MIN(8,INT((K$5-$H$27)/4)+1)))/1000000</f>
        <v>0</v>
      </c>
      <c r="L114" s="122" t="n">
        <f aca="false">L113*CHOOSE(MATCH($C$27,{"H";"B";"N"},0),GPUMW_H*ODc_H,GPUMW_B*ODc_B,GPUMW_N*ODc_N)*ResidUtil*Timeline!L$9*INDEX(Curve,1,MAX(1,MIN(8,INT((L$5-$H$27)/4)+1)))/1000000</f>
        <v>0</v>
      </c>
      <c r="M114" s="122" t="n">
        <f aca="false">M113*CHOOSE(MATCH($C$27,{"H";"B";"N"},0),GPUMW_H*ODc_H,GPUMW_B*ODc_B,GPUMW_N*ODc_N)*ResidUtil*Timeline!M$9*INDEX(Curve,1,MAX(1,MIN(8,INT((M$5-$H$27)/4)+1)))/1000000</f>
        <v>0</v>
      </c>
      <c r="N114" s="122" t="n">
        <f aca="false">N113*CHOOSE(MATCH($C$27,{"H";"B";"N"},0),GPUMW_H*ODc_H,GPUMW_B*ODc_B,GPUMW_N*ODc_N)*ResidUtil*Timeline!N$9*INDEX(Curve,1,MAX(1,MIN(8,INT((N$5-$H$27)/4)+1)))/1000000</f>
        <v>0</v>
      </c>
      <c r="O114" s="122" t="n">
        <f aca="false">O113*CHOOSE(MATCH($C$27,{"H";"B";"N"},0),GPUMW_H*ODc_H,GPUMW_B*ODc_B,GPUMW_N*ODc_N)*ResidUtil*Timeline!O$9*INDEX(Curve,1,MAX(1,MIN(8,INT((O$5-$H$27)/4)+1)))/1000000</f>
        <v>0</v>
      </c>
      <c r="P114" s="123" t="n">
        <f aca="false">P113*CHOOSE(MATCH($C$27,{"H";"B";"N"},0),GPUMW_H*ODc_H,GPUMW_B*ODc_B,GPUMW_N*ODc_N)*ResidUtil*Timeline!P$9*INDEX(Curve,1,MAX(1,MIN(8,INT((P$5-$H$27)/4)+1)))/1000000</f>
        <v>0</v>
      </c>
      <c r="Q114" s="123" t="n">
        <f aca="false">Q113*CHOOSE(MATCH($C$27,{"H";"B";"N"},0),GPUMW_H*ODc_H,GPUMW_B*ODc_B,GPUMW_N*ODc_N)*ResidUtil*Timeline!Q$9*INDEX(Curve,1,MAX(1,MIN(8,INT((Q$5-$H$27)/4)+1)))/1000000</f>
        <v>0</v>
      </c>
      <c r="R114" s="123" t="n">
        <f aca="false">R113*CHOOSE(MATCH($C$27,{"H";"B";"N"},0),GPUMW_H*ODc_H,GPUMW_B*ODc_B,GPUMW_N*ODc_N)*ResidUtil*Timeline!R$9*INDEX(Curve,1,MAX(1,MIN(8,INT((R$5-$H$27)/4)+1)))/1000000</f>
        <v>0</v>
      </c>
      <c r="S114" s="123" t="n">
        <f aca="false">S113*CHOOSE(MATCH($C$27,{"H";"B";"N"},0),GPUMW_H*ODc_H,GPUMW_B*ODc_B,GPUMW_N*ODc_N)*ResidUtil*Timeline!S$9*INDEX(Curve,1,MAX(1,MIN(8,INT((S$5-$H$27)/4)+1)))/1000000</f>
        <v>0</v>
      </c>
      <c r="T114" s="123" t="n">
        <f aca="false">T113*CHOOSE(MATCH($C$27,{"H";"B";"N"},0),GPUMW_H*ODc_H,GPUMW_B*ODc_B,GPUMW_N*ODc_N)*ResidUtil*Timeline!T$9*INDEX(Curve,1,MAX(1,MIN(8,INT((T$5-$H$27)/4)+1)))/1000000</f>
        <v>0</v>
      </c>
      <c r="U114" s="123" t="n">
        <f aca="false">U113*CHOOSE(MATCH($C$27,{"H";"B";"N"},0),GPUMW_H*ODc_H,GPUMW_B*ODc_B,GPUMW_N*ODc_N)*ResidUtil*Timeline!U$9*INDEX(Curve,1,MAX(1,MIN(8,INT((U$5-$H$27)/4)+1)))/1000000</f>
        <v>0</v>
      </c>
      <c r="V114" s="123" t="n">
        <f aca="false">V113*CHOOSE(MATCH($C$27,{"H";"B";"N"},0),GPUMW_H*ODc_H,GPUMW_B*ODc_B,GPUMW_N*ODc_N)*ResidUtil*Timeline!V$9*INDEX(Curve,1,MAX(1,MIN(8,INT((V$5-$H$27)/4)+1)))/1000000</f>
        <v>0</v>
      </c>
      <c r="W114" s="123" t="n">
        <f aca="false">W113*CHOOSE(MATCH($C$27,{"H";"B";"N"},0),GPUMW_H*ODc_H,GPUMW_B*ODc_B,GPUMW_N*ODc_N)*ResidUtil*Timeline!W$9*INDEX(Curve,1,MAX(1,MIN(8,INT((W$5-$H$27)/4)+1)))/1000000</f>
        <v>0</v>
      </c>
      <c r="X114" s="123" t="n">
        <f aca="false">X113*CHOOSE(MATCH($C$27,{"H";"B";"N"},0),GPUMW_H*ODc_H,GPUMW_B*ODc_B,GPUMW_N*ODc_N)*ResidUtil*Timeline!X$9*INDEX(Curve,1,MAX(1,MIN(8,INT((X$5-$H$27)/4)+1)))/1000000</f>
        <v>0</v>
      </c>
      <c r="Y114" s="123" t="n">
        <f aca="false">Y113*CHOOSE(MATCH($C$27,{"H";"B";"N"},0),GPUMW_H*ODc_H,GPUMW_B*ODc_B,GPUMW_N*ODc_N)*ResidUtil*Timeline!Y$9*INDEX(Curve,1,MAX(1,MIN(8,INT((Y$5-$H$27)/4)+1)))/1000000</f>
        <v>0</v>
      </c>
      <c r="Z114" s="123" t="n">
        <f aca="false">Z113*CHOOSE(MATCH($C$27,{"H";"B";"N"},0),GPUMW_H*ODc_H,GPUMW_B*ODc_B,GPUMW_N*ODc_N)*ResidUtil*Timeline!Z$9*INDEX(Curve,1,MAX(1,MIN(8,INT((Z$5-$H$27)/4)+1)))/1000000</f>
        <v>0</v>
      </c>
      <c r="AA114" s="123" t="n">
        <f aca="false">AA113*CHOOSE(MATCH($C$27,{"H";"B";"N"},0),GPUMW_H*ODc_H,GPUMW_B*ODc_B,GPUMW_N*ODc_N)*ResidUtil*Timeline!AA$9*INDEX(Curve,1,MAX(1,MIN(8,INT((AA$5-$H$27)/4)+1)))/1000000</f>
        <v>0</v>
      </c>
      <c r="AB114" s="123" t="n">
        <f aca="false">AB113*CHOOSE(MATCH($C$27,{"H";"B";"N"},0),GPUMW_H*ODc_H,GPUMW_B*ODc_B,GPUMW_N*ODc_N)*ResidUtil*Timeline!AB$9*INDEX(Curve,1,MAX(1,MIN(8,INT((AB$5-$H$27)/4)+1)))/1000000</f>
        <v>0</v>
      </c>
      <c r="AC114" s="123" t="n">
        <f aca="false">AC113*CHOOSE(MATCH($C$27,{"H";"B";"N"},0),GPUMW_H*ODc_H,GPUMW_B*ODc_B,GPUMW_N*ODc_N)*ResidUtil*Timeline!AC$9*INDEX(Curve,1,MAX(1,MIN(8,INT((AC$5-$H$27)/4)+1)))/1000000</f>
        <v>0</v>
      </c>
      <c r="AD114" s="123" t="n">
        <f aca="false">AD113*CHOOSE(MATCH($C$27,{"H";"B";"N"},0),GPUMW_H*ODc_H,GPUMW_B*ODc_B,GPUMW_N*ODc_N)*ResidUtil*Timeline!AD$9*INDEX(Curve,1,MAX(1,MIN(8,INT((AD$5-$H$27)/4)+1)))/1000000</f>
        <v>0</v>
      </c>
      <c r="AE114" s="123" t="n">
        <f aca="false">AE113*CHOOSE(MATCH($C$27,{"H";"B";"N"},0),GPUMW_H*ODc_H,GPUMW_B*ODc_B,GPUMW_N*ODc_N)*ResidUtil*Timeline!AE$9*INDEX(Curve,1,MAX(1,MIN(8,INT((AE$5-$H$27)/4)+1)))/1000000</f>
        <v>0</v>
      </c>
      <c r="AF114" s="123" t="n">
        <f aca="false">AF113*CHOOSE(MATCH($C$27,{"H";"B";"N"},0),GPUMW_H*ODc_H,GPUMW_B*ODc_B,GPUMW_N*ODc_N)*ResidUtil*Timeline!AF$9*INDEX(Curve,1,MAX(1,MIN(8,INT((AF$5-$H$27)/4)+1)))/1000000</f>
        <v>0</v>
      </c>
      <c r="AG114" s="123" t="n">
        <f aca="false">AG113*CHOOSE(MATCH($C$27,{"H";"B";"N"},0),GPUMW_H*ODc_H,GPUMW_B*ODc_B,GPUMW_N*ODc_N)*ResidUtil*Timeline!AG$9*INDEX(Curve,1,MAX(1,MIN(8,INT((AG$5-$H$27)/4)+1)))/1000000</f>
        <v>0</v>
      </c>
      <c r="AI114" s="123" t="n">
        <f aca="false">SUMIF($F$7:$AG$7,AI$7,$F114:$AG114)</f>
        <v>0</v>
      </c>
      <c r="AJ114" s="123" t="n">
        <f aca="false">SUMIF($F$7:$AG$7,AJ$7,$F114:$AG114)</f>
        <v>0</v>
      </c>
      <c r="AK114" s="123" t="n">
        <f aca="false">SUMIF($F$7:$AG$7,AK$7,$F114:$AG114)</f>
        <v>0</v>
      </c>
      <c r="AL114" s="123" t="n">
        <f aca="false">SUMIF($F$7:$AG$7,AL$7,$F114:$AG114)</f>
        <v>0</v>
      </c>
      <c r="AM114" s="123" t="n">
        <f aca="false">SUMIF($F$7:$AG$7,AM$7,$F114:$AG114)</f>
        <v>0</v>
      </c>
      <c r="AN114" s="123" t="n">
        <f aca="false">SUMIF($F$7:$AG$7,AN$7,$F114:$AG114)</f>
        <v>0</v>
      </c>
      <c r="AO114" s="123" t="n">
        <f aca="false">SUMIF($F$7:$AG$7,AO$7,$F114:$AG114)</f>
        <v>0</v>
      </c>
    </row>
    <row r="115" customFormat="false" ht="15" hidden="false" customHeight="false" outlineLevel="0" collapsed="false">
      <c r="A115" s="104" t="s">
        <v>1714</v>
      </c>
      <c r="B115" s="20" t="s">
        <v>561</v>
      </c>
      <c r="C115" s="20"/>
      <c r="D115" s="20"/>
      <c r="F115" s="122" t="n">
        <f aca="false">(1-$I$28)*(1-$J$28)*$D$28*$E$28/4*MIN(1,MAX(0,(F$5-$H$28+1)/$T$28))*IF(F$5=$H$28,DelivFactor,IF(AND(F$5&gt;$H$28,F$5&lt;$H$28+$F$28),1,IF(F$5=$H$28+$F$28,1-DelivFactor,0)))</f>
        <v>0</v>
      </c>
      <c r="G115" s="122" t="n">
        <f aca="false">(1-$I$28)*(1-$J$28)*$D$28*$E$28/4*MIN(1,MAX(0,(G$5-$H$28+1)/$T$28))*IF(G$5=$H$28,DelivFactor,IF(AND(G$5&gt;$H$28,G$5&lt;$H$28+$F$28),1,IF(G$5=$H$28+$F$28,1-DelivFactor,0)))</f>
        <v>0</v>
      </c>
      <c r="H115" s="122" t="n">
        <f aca="false">(1-$I$28)*(1-$J$28)*$D$28*$E$28/4*MIN(1,MAX(0,(H$5-$H$28+1)/$T$28))*IF(H$5=$H$28,DelivFactor,IF(AND(H$5&gt;$H$28,H$5&lt;$H$28+$F$28),1,IF(H$5=$H$28+$F$28,1-DelivFactor,0)))</f>
        <v>0</v>
      </c>
      <c r="I115" s="122" t="n">
        <f aca="false">(1-$I$28)*(1-$J$28)*$D$28*$E$28/4*MIN(1,MAX(0,(I$5-$H$28+1)/$T$28))*IF(I$5=$H$28,DelivFactor,IF(AND(I$5&gt;$H$28,I$5&lt;$H$28+$F$28),1,IF(I$5=$H$28+$F$28,1-DelivFactor,0)))</f>
        <v>0</v>
      </c>
      <c r="J115" s="122" t="n">
        <f aca="false">(1-$I$28)*(1-$J$28)*$D$28*$E$28/4*MIN(1,MAX(0,(J$5-$H$28+1)/$T$28))*IF(J$5=$H$28,DelivFactor,IF(AND(J$5&gt;$H$28,J$5&lt;$H$28+$F$28),1,IF(J$5=$H$28+$F$28,1-DelivFactor,0)))</f>
        <v>0</v>
      </c>
      <c r="K115" s="122" t="n">
        <f aca="false">(1-$I$28)*(1-$J$28)*$D$28*$E$28/4*MIN(1,MAX(0,(K$5-$H$28+1)/$T$28))*IF(K$5=$H$28,DelivFactor,IF(AND(K$5&gt;$H$28,K$5&lt;$H$28+$F$28),1,IF(K$5=$H$28+$F$28,1-DelivFactor,0)))</f>
        <v>0</v>
      </c>
      <c r="L115" s="122" t="n">
        <f aca="false">(1-$I$28)*(1-$J$28)*$D$28*$E$28/4*MIN(1,MAX(0,(L$5-$H$28+1)/$T$28))*IF(L$5=$H$28,DelivFactor,IF(AND(L$5&gt;$H$28,L$5&lt;$H$28+$F$28),1,IF(L$5=$H$28+$F$28,1-DelivFactor,0)))</f>
        <v>0</v>
      </c>
      <c r="M115" s="122" t="n">
        <f aca="false">(1-$I$28)*(1-$J$28)*$D$28*$E$28/4*MIN(1,MAX(0,(M$5-$H$28+1)/$T$28))*IF(M$5=$H$28,DelivFactor,IF(AND(M$5&gt;$H$28,M$5&lt;$H$28+$F$28),1,IF(M$5=$H$28+$F$28,1-DelivFactor,0)))</f>
        <v>0</v>
      </c>
      <c r="N115" s="122" t="n">
        <f aca="false">(1-$I$28)*(1-$J$28)*$D$28*$E$28/4*MIN(1,MAX(0,(N$5-$H$28+1)/$T$28))*IF(N$5=$H$28,DelivFactor,IF(AND(N$5&gt;$H$28,N$5&lt;$H$28+$F$28),1,IF(N$5=$H$28+$F$28,1-DelivFactor,0)))</f>
        <v>0</v>
      </c>
      <c r="O115" s="122" t="n">
        <f aca="false">(1-$I$28)*(1-$J$28)*$D$28*$E$28/4*MIN(1,MAX(0,(O$5-$H$28+1)/$T$28))*IF(O$5=$H$28,DelivFactor,IF(AND(O$5&gt;$H$28,O$5&lt;$H$28+$F$28),1,IF(O$5=$H$28+$F$28,1-DelivFactor,0)))</f>
        <v>0</v>
      </c>
      <c r="P115" s="123" t="n">
        <f aca="false">(1-$I$28)*(1-$J$28)*$D$28*$E$28/4*MIN(1,MAX(0,(P$5-$H$28+1)/$T$28))*IF(P$5=$H$28,DelivFactor,IF(AND(P$5&gt;$H$28,P$5&lt;$H$28+$F$28),1,IF(P$5=$H$28+$F$28,1-DelivFactor,0)))</f>
        <v>0</v>
      </c>
      <c r="Q115" s="123" t="n">
        <f aca="false">(1-$I$28)*(1-$J$28)*$D$28*$E$28/4*MIN(1,MAX(0,(Q$5-$H$28+1)/$T$28))*IF(Q$5=$H$28,DelivFactor,IF(AND(Q$5&gt;$H$28,Q$5&lt;$H$28+$F$28),1,IF(Q$5=$H$28+$F$28,1-DelivFactor,0)))</f>
        <v>0</v>
      </c>
      <c r="R115" s="123" t="n">
        <f aca="false">(1-$I$28)*(1-$J$28)*$D$28*$E$28/4*MIN(1,MAX(0,(R$5-$H$28+1)/$T$28))*IF(R$5=$H$28,DelivFactor,IF(AND(R$5&gt;$H$28,R$5&lt;$H$28+$F$28),1,IF(R$5=$H$28+$F$28,1-DelivFactor,0)))</f>
        <v>0</v>
      </c>
      <c r="S115" s="123" t="n">
        <f aca="false">(1-$I$28)*(1-$J$28)*$D$28*$E$28/4*MIN(1,MAX(0,(S$5-$H$28+1)/$T$28))*IF(S$5=$H$28,DelivFactor,IF(AND(S$5&gt;$H$28,S$5&lt;$H$28+$F$28),1,IF(S$5=$H$28+$F$28,1-DelivFactor,0)))</f>
        <v>0</v>
      </c>
      <c r="T115" s="123" t="n">
        <f aca="false">(1-$I$28)*(1-$J$28)*$D$28*$E$28/4*MIN(1,MAX(0,(T$5-$H$28+1)/$T$28))*IF(T$5=$H$28,DelivFactor,IF(AND(T$5&gt;$H$28,T$5&lt;$H$28+$F$28),1,IF(T$5=$H$28+$F$28,1-DelivFactor,0)))</f>
        <v>0</v>
      </c>
      <c r="U115" s="123" t="n">
        <f aca="false">(1-$I$28)*(1-$J$28)*$D$28*$E$28/4*MIN(1,MAX(0,(U$5-$H$28+1)/$T$28))*IF(U$5=$H$28,DelivFactor,IF(AND(U$5&gt;$H$28,U$5&lt;$H$28+$F$28),1,IF(U$5=$H$28+$F$28,1-DelivFactor,0)))</f>
        <v>0</v>
      </c>
      <c r="V115" s="123" t="n">
        <f aca="false">(1-$I$28)*(1-$J$28)*$D$28*$E$28/4*MIN(1,MAX(0,(V$5-$H$28+1)/$T$28))*IF(V$5=$H$28,DelivFactor,IF(AND(V$5&gt;$H$28,V$5&lt;$H$28+$F$28),1,IF(V$5=$H$28+$F$28,1-DelivFactor,0)))</f>
        <v>0</v>
      </c>
      <c r="W115" s="123" t="n">
        <f aca="false">(1-$I$28)*(1-$J$28)*$D$28*$E$28/4*MIN(1,MAX(0,(W$5-$H$28+1)/$T$28))*IF(W$5=$H$28,DelivFactor,IF(AND(W$5&gt;$H$28,W$5&lt;$H$28+$F$28),1,IF(W$5=$H$28+$F$28,1-DelivFactor,0)))</f>
        <v>0</v>
      </c>
      <c r="X115" s="123" t="n">
        <f aca="false">(1-$I$28)*(1-$J$28)*$D$28*$E$28/4*MIN(1,MAX(0,(X$5-$H$28+1)/$T$28))*IF(X$5=$H$28,DelivFactor,IF(AND(X$5&gt;$H$28,X$5&lt;$H$28+$F$28),1,IF(X$5=$H$28+$F$28,1-DelivFactor,0)))</f>
        <v>0</v>
      </c>
      <c r="Y115" s="123" t="n">
        <f aca="false">(1-$I$28)*(1-$J$28)*$D$28*$E$28/4*MIN(1,MAX(0,(Y$5-$H$28+1)/$T$28))*IF(Y$5=$H$28,DelivFactor,IF(AND(Y$5&gt;$H$28,Y$5&lt;$H$28+$F$28),1,IF(Y$5=$H$28+$F$28,1-DelivFactor,0)))</f>
        <v>0</v>
      </c>
      <c r="Z115" s="123" t="n">
        <f aca="false">(1-$I$28)*(1-$J$28)*$D$28*$E$28/4*MIN(1,MAX(0,(Z$5-$H$28+1)/$T$28))*IF(Z$5=$H$28,DelivFactor,IF(AND(Z$5&gt;$H$28,Z$5&lt;$H$28+$F$28),1,IF(Z$5=$H$28+$F$28,1-DelivFactor,0)))</f>
        <v>0</v>
      </c>
      <c r="AA115" s="123" t="n">
        <f aca="false">(1-$I$28)*(1-$J$28)*$D$28*$E$28/4*MIN(1,MAX(0,(AA$5-$H$28+1)/$T$28))*IF(AA$5=$H$28,DelivFactor,IF(AND(AA$5&gt;$H$28,AA$5&lt;$H$28+$F$28),1,IF(AA$5=$H$28+$F$28,1-DelivFactor,0)))</f>
        <v>0</v>
      </c>
      <c r="AB115" s="123" t="n">
        <f aca="false">(1-$I$28)*(1-$J$28)*$D$28*$E$28/4*MIN(1,MAX(0,(AB$5-$H$28+1)/$T$28))*IF(AB$5=$H$28,DelivFactor,IF(AND(AB$5&gt;$H$28,AB$5&lt;$H$28+$F$28),1,IF(AB$5=$H$28+$F$28,1-DelivFactor,0)))</f>
        <v>0</v>
      </c>
      <c r="AC115" s="123" t="n">
        <f aca="false">(1-$I$28)*(1-$J$28)*$D$28*$E$28/4*MIN(1,MAX(0,(AC$5-$H$28+1)/$T$28))*IF(AC$5=$H$28,DelivFactor,IF(AND(AC$5&gt;$H$28,AC$5&lt;$H$28+$F$28),1,IF(AC$5=$H$28+$F$28,1-DelivFactor,0)))</f>
        <v>0</v>
      </c>
      <c r="AD115" s="123" t="n">
        <f aca="false">(1-$I$28)*(1-$J$28)*$D$28*$E$28/4*MIN(1,MAX(0,(AD$5-$H$28+1)/$T$28))*IF(AD$5=$H$28,DelivFactor,IF(AND(AD$5&gt;$H$28,AD$5&lt;$H$28+$F$28),1,IF(AD$5=$H$28+$F$28,1-DelivFactor,0)))</f>
        <v>0</v>
      </c>
      <c r="AE115" s="123" t="n">
        <f aca="false">(1-$I$28)*(1-$J$28)*$D$28*$E$28/4*MIN(1,MAX(0,(AE$5-$H$28+1)/$T$28))*IF(AE$5=$H$28,DelivFactor,IF(AND(AE$5&gt;$H$28,AE$5&lt;$H$28+$F$28),1,IF(AE$5=$H$28+$F$28,1-DelivFactor,0)))</f>
        <v>0</v>
      </c>
      <c r="AF115" s="123" t="n">
        <f aca="false">(1-$I$28)*(1-$J$28)*$D$28*$E$28/4*MIN(1,MAX(0,(AF$5-$H$28+1)/$T$28))*IF(AF$5=$H$28,DelivFactor,IF(AND(AF$5&gt;$H$28,AF$5&lt;$H$28+$F$28),1,IF(AF$5=$H$28+$F$28,1-DelivFactor,0)))</f>
        <v>0</v>
      </c>
      <c r="AG115" s="123" t="n">
        <f aca="false">(1-$I$28)*(1-$J$28)*$D$28*$E$28/4*MIN(1,MAX(0,(AG$5-$H$28+1)/$T$28))*IF(AG$5=$H$28,DelivFactor,IF(AND(AG$5&gt;$H$28,AG$5&lt;$H$28+$F$28),1,IF(AG$5=$H$28+$F$28,1-DelivFactor,0)))</f>
        <v>0</v>
      </c>
      <c r="AI115" s="123" t="n">
        <f aca="false">SUMIF($F$7:$AG$7,AI$7,$F115:$AG115)</f>
        <v>0</v>
      </c>
      <c r="AJ115" s="123" t="n">
        <f aca="false">SUMIF($F$7:$AG$7,AJ$7,$F115:$AG115)</f>
        <v>0</v>
      </c>
      <c r="AK115" s="123" t="n">
        <f aca="false">SUMIF($F$7:$AG$7,AK$7,$F115:$AG115)</f>
        <v>0</v>
      </c>
      <c r="AL115" s="123" t="n">
        <f aca="false">SUMIF($F$7:$AG$7,AL$7,$F115:$AG115)</f>
        <v>0</v>
      </c>
      <c r="AM115" s="123" t="n">
        <f aca="false">SUMIF($F$7:$AG$7,AM$7,$F115:$AG115)</f>
        <v>0</v>
      </c>
      <c r="AN115" s="123" t="n">
        <f aca="false">SUMIF($F$7:$AG$7,AN$7,$F115:$AG115)</f>
        <v>0</v>
      </c>
      <c r="AO115" s="123" t="n">
        <f aca="false">SUMIF($F$7:$AG$7,AO$7,$F115:$AG115)</f>
        <v>0</v>
      </c>
    </row>
    <row r="116" customFormat="false" ht="15" hidden="false" customHeight="false" outlineLevel="0" collapsed="false">
      <c r="A116" s="104" t="s">
        <v>1715</v>
      </c>
      <c r="B116" s="20" t="s">
        <v>575</v>
      </c>
      <c r="C116" s="20"/>
      <c r="D116" s="20"/>
      <c r="F116" s="113" t="n">
        <f aca="false">(1-$I$28)*(1-$J$28)*$D$28*AND(F$5&gt;=$H$28,F$5&lt;$H$28+$F$28)</f>
        <v>0</v>
      </c>
      <c r="G116" s="113" t="n">
        <f aca="false">(1-$I$28)*(1-$J$28)*$D$28*AND(G$5&gt;=$H$28,G$5&lt;$H$28+$F$28)</f>
        <v>0</v>
      </c>
      <c r="H116" s="113" t="n">
        <f aca="false">(1-$I$28)*(1-$J$28)*$D$28*AND(H$5&gt;=$H$28,H$5&lt;$H$28+$F$28)</f>
        <v>0</v>
      </c>
      <c r="I116" s="113" t="n">
        <f aca="false">(1-$I$28)*(1-$J$28)*$D$28*AND(I$5&gt;=$H$28,I$5&lt;$H$28+$F$28)</f>
        <v>0</v>
      </c>
      <c r="J116" s="113" t="n">
        <f aca="false">(1-$I$28)*(1-$J$28)*$D$28*AND(J$5&gt;=$H$28,J$5&lt;$H$28+$F$28)</f>
        <v>0</v>
      </c>
      <c r="K116" s="113" t="n">
        <f aca="false">(1-$I$28)*(1-$J$28)*$D$28*AND(K$5&gt;=$H$28,K$5&lt;$H$28+$F$28)</f>
        <v>0</v>
      </c>
      <c r="L116" s="113" t="n">
        <f aca="false">(1-$I$28)*(1-$J$28)*$D$28*AND(L$5&gt;=$H$28,L$5&lt;$H$28+$F$28)</f>
        <v>0</v>
      </c>
      <c r="M116" s="113" t="n">
        <f aca="false">(1-$I$28)*(1-$J$28)*$D$28*AND(M$5&gt;=$H$28,M$5&lt;$H$28+$F$28)</f>
        <v>0</v>
      </c>
      <c r="N116" s="113" t="n">
        <f aca="false">(1-$I$28)*(1-$J$28)*$D$28*AND(N$5&gt;=$H$28,N$5&lt;$H$28+$F$28)</f>
        <v>0</v>
      </c>
      <c r="O116" s="113" t="n">
        <f aca="false">(1-$I$28)*(1-$J$28)*$D$28*AND(O$5&gt;=$H$28,O$5&lt;$H$28+$F$28)</f>
        <v>0</v>
      </c>
      <c r="P116" s="31" t="n">
        <f aca="false">(1-$I$28)*(1-$J$28)*$D$28*AND(P$5&gt;=$H$28,P$5&lt;$H$28+$F$28)</f>
        <v>0</v>
      </c>
      <c r="Q116" s="31" t="n">
        <f aca="false">(1-$I$28)*(1-$J$28)*$D$28*AND(Q$5&gt;=$H$28,Q$5&lt;$H$28+$F$28)</f>
        <v>0</v>
      </c>
      <c r="R116" s="31" t="n">
        <f aca="false">(1-$I$28)*(1-$J$28)*$D$28*AND(R$5&gt;=$H$28,R$5&lt;$H$28+$F$28)</f>
        <v>0</v>
      </c>
      <c r="S116" s="31" t="n">
        <f aca="false">(1-$I$28)*(1-$J$28)*$D$28*AND(S$5&gt;=$H$28,S$5&lt;$H$28+$F$28)</f>
        <v>0</v>
      </c>
      <c r="T116" s="31" t="n">
        <f aca="false">(1-$I$28)*(1-$J$28)*$D$28*AND(T$5&gt;=$H$28,T$5&lt;$H$28+$F$28)</f>
        <v>0</v>
      </c>
      <c r="U116" s="31" t="n">
        <f aca="false">(1-$I$28)*(1-$J$28)*$D$28*AND(U$5&gt;=$H$28,U$5&lt;$H$28+$F$28)</f>
        <v>0</v>
      </c>
      <c r="V116" s="31" t="n">
        <f aca="false">(1-$I$28)*(1-$J$28)*$D$28*AND(V$5&gt;=$H$28,V$5&lt;$H$28+$F$28)</f>
        <v>0</v>
      </c>
      <c r="W116" s="31" t="n">
        <f aca="false">(1-$I$28)*(1-$J$28)*$D$28*AND(W$5&gt;=$H$28,W$5&lt;$H$28+$F$28)</f>
        <v>0</v>
      </c>
      <c r="X116" s="31" t="n">
        <f aca="false">(1-$I$28)*(1-$J$28)*$D$28*AND(X$5&gt;=$H$28,X$5&lt;$H$28+$F$28)</f>
        <v>0</v>
      </c>
      <c r="Y116" s="31" t="n">
        <f aca="false">(1-$I$28)*(1-$J$28)*$D$28*AND(Y$5&gt;=$H$28,Y$5&lt;$H$28+$F$28)</f>
        <v>0</v>
      </c>
      <c r="Z116" s="31" t="n">
        <f aca="false">(1-$I$28)*(1-$J$28)*$D$28*AND(Z$5&gt;=$H$28,Z$5&lt;$H$28+$F$28)</f>
        <v>0</v>
      </c>
      <c r="AA116" s="31" t="n">
        <f aca="false">(1-$I$28)*(1-$J$28)*$D$28*AND(AA$5&gt;=$H$28,AA$5&lt;$H$28+$F$28)</f>
        <v>0</v>
      </c>
      <c r="AB116" s="31" t="n">
        <f aca="false">(1-$I$28)*(1-$J$28)*$D$28*AND(AB$5&gt;=$H$28,AB$5&lt;$H$28+$F$28)</f>
        <v>0</v>
      </c>
      <c r="AC116" s="31" t="n">
        <f aca="false">(1-$I$28)*(1-$J$28)*$D$28*AND(AC$5&gt;=$H$28,AC$5&lt;$H$28+$F$28)</f>
        <v>0</v>
      </c>
      <c r="AD116" s="31" t="n">
        <f aca="false">(1-$I$28)*(1-$J$28)*$D$28*AND(AD$5&gt;=$H$28,AD$5&lt;$H$28+$F$28)</f>
        <v>0</v>
      </c>
      <c r="AE116" s="31" t="n">
        <f aca="false">(1-$I$28)*(1-$J$28)*$D$28*AND(AE$5&gt;=$H$28,AE$5&lt;$H$28+$F$28)</f>
        <v>0</v>
      </c>
      <c r="AF116" s="31" t="n">
        <f aca="false">(1-$I$28)*(1-$J$28)*$D$28*AND(AF$5&gt;=$H$28,AF$5&lt;$H$28+$F$28)</f>
        <v>0</v>
      </c>
      <c r="AG116" s="31" t="n">
        <f aca="false">(1-$I$28)*(1-$J$28)*$D$28*AND(AG$5&gt;=$H$28,AG$5&lt;$H$28+$F$28)</f>
        <v>0</v>
      </c>
      <c r="AI116" s="31" t="n">
        <f aca="false">INDEX($F116:$AG116,1,MATCH(AI$7,$F$7:$AG$7,1))</f>
        <v>0</v>
      </c>
      <c r="AJ116" s="31" t="n">
        <f aca="false">INDEX($F116:$AG116,1,MATCH(AJ$7,$F$7:$AG$7,1))</f>
        <v>0</v>
      </c>
      <c r="AK116" s="31" t="n">
        <f aca="false">INDEX($F116:$AG116,1,MATCH(AK$7,$F$7:$AG$7,1))</f>
        <v>0</v>
      </c>
      <c r="AL116" s="31" t="n">
        <f aca="false">INDEX($F116:$AG116,1,MATCH(AL$7,$F$7:$AG$7,1))</f>
        <v>0</v>
      </c>
      <c r="AM116" s="31" t="n">
        <f aca="false">INDEX($F116:$AG116,1,MATCH(AM$7,$F$7:$AG$7,1))</f>
        <v>0</v>
      </c>
      <c r="AN116" s="31" t="n">
        <f aca="false">INDEX($F116:$AG116,1,MATCH(AN$7,$F$7:$AG$7,1))</f>
        <v>0</v>
      </c>
      <c r="AO116" s="31" t="n">
        <f aca="false">INDEX($F116:$AG116,1,MATCH(AO$7,$F$7:$AG$7,1))</f>
        <v>0</v>
      </c>
    </row>
    <row r="117" customFormat="false" ht="15" hidden="false" customHeight="false" outlineLevel="0" collapsed="false">
      <c r="A117" s="104" t="s">
        <v>1716</v>
      </c>
      <c r="B117" s="20" t="s">
        <v>561</v>
      </c>
      <c r="C117" s="20"/>
      <c r="D117" s="20"/>
      <c r="F117" s="122" t="n">
        <f aca="false">-(1-$I$28)*LD_Pct*$D$28*$E$28/4*AND(F$5&gt;=$G$28,F$5&lt;$H$28)</f>
        <v>-0</v>
      </c>
      <c r="G117" s="122" t="n">
        <f aca="false">-(1-$I$28)*LD_Pct*$D$28*$E$28/4*AND(G$5&gt;=$G$28,G$5&lt;$H$28)</f>
        <v>-0</v>
      </c>
      <c r="H117" s="122" t="n">
        <f aca="false">-(1-$I$28)*LD_Pct*$D$28*$E$28/4*AND(H$5&gt;=$G$28,H$5&lt;$H$28)</f>
        <v>-0</v>
      </c>
      <c r="I117" s="122" t="n">
        <f aca="false">-(1-$I$28)*LD_Pct*$D$28*$E$28/4*AND(I$5&gt;=$G$28,I$5&lt;$H$28)</f>
        <v>-0</v>
      </c>
      <c r="J117" s="122" t="n">
        <f aca="false">-(1-$I$28)*LD_Pct*$D$28*$E$28/4*AND(J$5&gt;=$G$28,J$5&lt;$H$28)</f>
        <v>-0</v>
      </c>
      <c r="K117" s="122" t="n">
        <f aca="false">-(1-$I$28)*LD_Pct*$D$28*$E$28/4*AND(K$5&gt;=$G$28,K$5&lt;$H$28)</f>
        <v>-0</v>
      </c>
      <c r="L117" s="122" t="n">
        <f aca="false">-(1-$I$28)*LD_Pct*$D$28*$E$28/4*AND(L$5&gt;=$G$28,L$5&lt;$H$28)</f>
        <v>-0</v>
      </c>
      <c r="M117" s="122" t="n">
        <f aca="false">-(1-$I$28)*LD_Pct*$D$28*$E$28/4*AND(M$5&gt;=$G$28,M$5&lt;$H$28)</f>
        <v>-0</v>
      </c>
      <c r="N117" s="122" t="n">
        <f aca="false">-(1-$I$28)*LD_Pct*$D$28*$E$28/4*AND(N$5&gt;=$G$28,N$5&lt;$H$28)</f>
        <v>-0</v>
      </c>
      <c r="O117" s="122" t="n">
        <f aca="false">-(1-$I$28)*LD_Pct*$D$28*$E$28/4*AND(O$5&gt;=$G$28,O$5&lt;$H$28)</f>
        <v>-0</v>
      </c>
      <c r="P117" s="123" t="n">
        <f aca="false">-(1-$I$28)*LD_Pct*$D$28*$E$28/4*AND(P$5&gt;=$G$28,P$5&lt;$H$28)</f>
        <v>-0</v>
      </c>
      <c r="Q117" s="123" t="n">
        <f aca="false">-(1-$I$28)*LD_Pct*$D$28*$E$28/4*AND(Q$5&gt;=$G$28,Q$5&lt;$H$28)</f>
        <v>-0</v>
      </c>
      <c r="R117" s="123" t="n">
        <f aca="false">-(1-$I$28)*LD_Pct*$D$28*$E$28/4*AND(R$5&gt;=$G$28,R$5&lt;$H$28)</f>
        <v>-0</v>
      </c>
      <c r="S117" s="123" t="n">
        <f aca="false">-(1-$I$28)*LD_Pct*$D$28*$E$28/4*AND(S$5&gt;=$G$28,S$5&lt;$H$28)</f>
        <v>-0</v>
      </c>
      <c r="T117" s="123" t="n">
        <f aca="false">-(1-$I$28)*LD_Pct*$D$28*$E$28/4*AND(T$5&gt;=$G$28,T$5&lt;$H$28)</f>
        <v>-0</v>
      </c>
      <c r="U117" s="123" t="n">
        <f aca="false">-(1-$I$28)*LD_Pct*$D$28*$E$28/4*AND(U$5&gt;=$G$28,U$5&lt;$H$28)</f>
        <v>-0</v>
      </c>
      <c r="V117" s="123" t="n">
        <f aca="false">-(1-$I$28)*LD_Pct*$D$28*$E$28/4*AND(V$5&gt;=$G$28,V$5&lt;$H$28)</f>
        <v>-0</v>
      </c>
      <c r="W117" s="123" t="n">
        <f aca="false">-(1-$I$28)*LD_Pct*$D$28*$E$28/4*AND(W$5&gt;=$G$28,W$5&lt;$H$28)</f>
        <v>-0</v>
      </c>
      <c r="X117" s="123" t="n">
        <f aca="false">-(1-$I$28)*LD_Pct*$D$28*$E$28/4*AND(X$5&gt;=$G$28,X$5&lt;$H$28)</f>
        <v>-0</v>
      </c>
      <c r="Y117" s="123" t="n">
        <f aca="false">-(1-$I$28)*LD_Pct*$D$28*$E$28/4*AND(Y$5&gt;=$G$28,Y$5&lt;$H$28)</f>
        <v>-0</v>
      </c>
      <c r="Z117" s="123" t="n">
        <f aca="false">-(1-$I$28)*LD_Pct*$D$28*$E$28/4*AND(Z$5&gt;=$G$28,Z$5&lt;$H$28)</f>
        <v>-0</v>
      </c>
      <c r="AA117" s="123" t="n">
        <f aca="false">-(1-$I$28)*LD_Pct*$D$28*$E$28/4*AND(AA$5&gt;=$G$28,AA$5&lt;$H$28)</f>
        <v>-0</v>
      </c>
      <c r="AB117" s="123" t="n">
        <f aca="false">-(1-$I$28)*LD_Pct*$D$28*$E$28/4*AND(AB$5&gt;=$G$28,AB$5&lt;$H$28)</f>
        <v>-0</v>
      </c>
      <c r="AC117" s="123" t="n">
        <f aca="false">-(1-$I$28)*LD_Pct*$D$28*$E$28/4*AND(AC$5&gt;=$G$28,AC$5&lt;$H$28)</f>
        <v>-0</v>
      </c>
      <c r="AD117" s="123" t="n">
        <f aca="false">-(1-$I$28)*LD_Pct*$D$28*$E$28/4*AND(AD$5&gt;=$G$28,AD$5&lt;$H$28)</f>
        <v>-0</v>
      </c>
      <c r="AE117" s="123" t="n">
        <f aca="false">-(1-$I$28)*LD_Pct*$D$28*$E$28/4*AND(AE$5&gt;=$G$28,AE$5&lt;$H$28)</f>
        <v>-0</v>
      </c>
      <c r="AF117" s="123" t="n">
        <f aca="false">-(1-$I$28)*LD_Pct*$D$28*$E$28/4*AND(AF$5&gt;=$G$28,AF$5&lt;$H$28)</f>
        <v>-0</v>
      </c>
      <c r="AG117" s="123" t="n">
        <f aca="false">-(1-$I$28)*LD_Pct*$D$28*$E$28/4*AND(AG$5&gt;=$G$28,AG$5&lt;$H$28)</f>
        <v>-0</v>
      </c>
      <c r="AI117" s="123" t="n">
        <f aca="false">SUMIF($F$7:$AG$7,AI$7,$F117:$AG117)</f>
        <v>0</v>
      </c>
      <c r="AJ117" s="123" t="n">
        <f aca="false">SUMIF($F$7:$AG$7,AJ$7,$F117:$AG117)</f>
        <v>0</v>
      </c>
      <c r="AK117" s="123" t="n">
        <f aca="false">SUMIF($F$7:$AG$7,AK$7,$F117:$AG117)</f>
        <v>0</v>
      </c>
      <c r="AL117" s="123" t="n">
        <f aca="false">SUMIF($F$7:$AG$7,AL$7,$F117:$AG117)</f>
        <v>0</v>
      </c>
      <c r="AM117" s="123" t="n">
        <f aca="false">SUMIF($F$7:$AG$7,AM$7,$F117:$AG117)</f>
        <v>0</v>
      </c>
      <c r="AN117" s="123" t="n">
        <f aca="false">SUMIF($F$7:$AG$7,AN$7,$F117:$AG117)</f>
        <v>0</v>
      </c>
      <c r="AO117" s="123" t="n">
        <f aca="false">SUMIF($F$7:$AG$7,AO$7,$F117:$AG117)</f>
        <v>0</v>
      </c>
    </row>
    <row r="118" customFormat="false" ht="15" hidden="false" customHeight="false" outlineLevel="0" collapsed="false">
      <c r="A118" s="104" t="s">
        <v>1717</v>
      </c>
      <c r="B118" s="20" t="s">
        <v>575</v>
      </c>
      <c r="C118" s="20"/>
      <c r="D118" s="20"/>
      <c r="F118" s="113" t="n">
        <f aca="false">(1-$I$28)*(1-$J$28)*$D$28*(F$5&gt;=$H$28+$F$28)</f>
        <v>0</v>
      </c>
      <c r="G118" s="113" t="n">
        <f aca="false">(1-$I$28)*(1-$J$28)*$D$28*(G$5&gt;=$H$28+$F$28)</f>
        <v>0</v>
      </c>
      <c r="H118" s="113" t="n">
        <f aca="false">(1-$I$28)*(1-$J$28)*$D$28*(H$5&gt;=$H$28+$F$28)</f>
        <v>0</v>
      </c>
      <c r="I118" s="113" t="n">
        <f aca="false">(1-$I$28)*(1-$J$28)*$D$28*(I$5&gt;=$H$28+$F$28)</f>
        <v>0</v>
      </c>
      <c r="J118" s="113" t="n">
        <f aca="false">(1-$I$28)*(1-$J$28)*$D$28*(J$5&gt;=$H$28+$F$28)</f>
        <v>0</v>
      </c>
      <c r="K118" s="113" t="n">
        <f aca="false">(1-$I$28)*(1-$J$28)*$D$28*(K$5&gt;=$H$28+$F$28)</f>
        <v>0</v>
      </c>
      <c r="L118" s="113" t="n">
        <f aca="false">(1-$I$28)*(1-$J$28)*$D$28*(L$5&gt;=$H$28+$F$28)</f>
        <v>0</v>
      </c>
      <c r="M118" s="113" t="n">
        <f aca="false">(1-$I$28)*(1-$J$28)*$D$28*(M$5&gt;=$H$28+$F$28)</f>
        <v>0</v>
      </c>
      <c r="N118" s="113" t="n">
        <f aca="false">(1-$I$28)*(1-$J$28)*$D$28*(N$5&gt;=$H$28+$F$28)</f>
        <v>0</v>
      </c>
      <c r="O118" s="113" t="n">
        <f aca="false">(1-$I$28)*(1-$J$28)*$D$28*(O$5&gt;=$H$28+$F$28)</f>
        <v>0</v>
      </c>
      <c r="P118" s="31" t="n">
        <f aca="false">(1-$I$28)*(1-$J$28)*$D$28*(P$5&gt;=$H$28+$F$28)</f>
        <v>0</v>
      </c>
      <c r="Q118" s="31" t="n">
        <f aca="false">(1-$I$28)*(1-$J$28)*$D$28*(Q$5&gt;=$H$28+$F$28)</f>
        <v>0</v>
      </c>
      <c r="R118" s="31" t="n">
        <f aca="false">(1-$I$28)*(1-$J$28)*$D$28*(R$5&gt;=$H$28+$F$28)</f>
        <v>0</v>
      </c>
      <c r="S118" s="31" t="n">
        <f aca="false">(1-$I$28)*(1-$J$28)*$D$28*(S$5&gt;=$H$28+$F$28)</f>
        <v>0</v>
      </c>
      <c r="T118" s="31" t="n">
        <f aca="false">(1-$I$28)*(1-$J$28)*$D$28*(T$5&gt;=$H$28+$F$28)</f>
        <v>0</v>
      </c>
      <c r="U118" s="31" t="n">
        <f aca="false">(1-$I$28)*(1-$J$28)*$D$28*(U$5&gt;=$H$28+$F$28)</f>
        <v>0</v>
      </c>
      <c r="V118" s="31" t="n">
        <f aca="false">(1-$I$28)*(1-$J$28)*$D$28*(V$5&gt;=$H$28+$F$28)</f>
        <v>0</v>
      </c>
      <c r="W118" s="31" t="n">
        <f aca="false">(1-$I$28)*(1-$J$28)*$D$28*(W$5&gt;=$H$28+$F$28)</f>
        <v>0</v>
      </c>
      <c r="X118" s="31" t="n">
        <f aca="false">(1-$I$28)*(1-$J$28)*$D$28*(X$5&gt;=$H$28+$F$28)</f>
        <v>0</v>
      </c>
      <c r="Y118" s="31" t="n">
        <f aca="false">(1-$I$28)*(1-$J$28)*$D$28*(Y$5&gt;=$H$28+$F$28)</f>
        <v>0</v>
      </c>
      <c r="Z118" s="31" t="n">
        <f aca="false">(1-$I$28)*(1-$J$28)*$D$28*(Z$5&gt;=$H$28+$F$28)</f>
        <v>0</v>
      </c>
      <c r="AA118" s="31" t="n">
        <f aca="false">(1-$I$28)*(1-$J$28)*$D$28*(AA$5&gt;=$H$28+$F$28)</f>
        <v>0</v>
      </c>
      <c r="AB118" s="31" t="n">
        <f aca="false">(1-$I$28)*(1-$J$28)*$D$28*(AB$5&gt;=$H$28+$F$28)</f>
        <v>0</v>
      </c>
      <c r="AC118" s="31" t="n">
        <f aca="false">(1-$I$28)*(1-$J$28)*$D$28*(AC$5&gt;=$H$28+$F$28)</f>
        <v>0</v>
      </c>
      <c r="AD118" s="31" t="n">
        <f aca="false">(1-$I$28)*(1-$J$28)*$D$28*(AD$5&gt;=$H$28+$F$28)</f>
        <v>0</v>
      </c>
      <c r="AE118" s="31" t="n">
        <f aca="false">(1-$I$28)*(1-$J$28)*$D$28*(AE$5&gt;=$H$28+$F$28)</f>
        <v>0</v>
      </c>
      <c r="AF118" s="31" t="n">
        <f aca="false">(1-$I$28)*(1-$J$28)*$D$28*(AF$5&gt;=$H$28+$F$28)</f>
        <v>0</v>
      </c>
      <c r="AG118" s="31" t="n">
        <f aca="false">(1-$I$28)*(1-$J$28)*$D$28*(AG$5&gt;=$H$28+$F$28)</f>
        <v>0</v>
      </c>
      <c r="AI118" s="31" t="n">
        <f aca="false">INDEX($F118:$AG118,1,MATCH(AI$7,$F$7:$AG$7,1))</f>
        <v>0</v>
      </c>
      <c r="AJ118" s="31" t="n">
        <f aca="false">INDEX($F118:$AG118,1,MATCH(AJ$7,$F$7:$AG$7,1))</f>
        <v>0</v>
      </c>
      <c r="AK118" s="31" t="n">
        <f aca="false">INDEX($F118:$AG118,1,MATCH(AK$7,$F$7:$AG$7,1))</f>
        <v>0</v>
      </c>
      <c r="AL118" s="31" t="n">
        <f aca="false">INDEX($F118:$AG118,1,MATCH(AL$7,$F$7:$AG$7,1))</f>
        <v>0</v>
      </c>
      <c r="AM118" s="31" t="n">
        <f aca="false">INDEX($F118:$AG118,1,MATCH(AM$7,$F$7:$AG$7,1))</f>
        <v>0</v>
      </c>
      <c r="AN118" s="31" t="n">
        <f aca="false">INDEX($F118:$AG118,1,MATCH(AN$7,$F$7:$AG$7,1))</f>
        <v>0</v>
      </c>
      <c r="AO118" s="31" t="n">
        <f aca="false">INDEX($F118:$AG118,1,MATCH(AO$7,$F$7:$AG$7,1))</f>
        <v>0</v>
      </c>
    </row>
    <row r="119" customFormat="false" ht="15" hidden="false" customHeight="false" outlineLevel="0" collapsed="false">
      <c r="A119" s="104" t="s">
        <v>1718</v>
      </c>
      <c r="B119" s="20" t="s">
        <v>561</v>
      </c>
      <c r="C119" s="20"/>
      <c r="D119" s="20" t="s">
        <v>1638</v>
      </c>
      <c r="F119" s="122" t="n">
        <f aca="false">F118*CHOOSE(MATCH($C$28,{"H";"B";"N"},0),GPUMW_H*ODc_H,GPUMW_B*ODc_B,GPUMW_N*ODc_N)*ResidUtil*Timeline!F$9*INDEX(Curve,1,MAX(1,MIN(8,INT((F$5-$H$28)/4)+1)))/1000000</f>
        <v>0</v>
      </c>
      <c r="G119" s="122" t="n">
        <f aca="false">G118*CHOOSE(MATCH($C$28,{"H";"B";"N"},0),GPUMW_H*ODc_H,GPUMW_B*ODc_B,GPUMW_N*ODc_N)*ResidUtil*Timeline!G$9*INDEX(Curve,1,MAX(1,MIN(8,INT((G$5-$H$28)/4)+1)))/1000000</f>
        <v>0</v>
      </c>
      <c r="H119" s="122" t="n">
        <f aca="false">H118*CHOOSE(MATCH($C$28,{"H";"B";"N"},0),GPUMW_H*ODc_H,GPUMW_B*ODc_B,GPUMW_N*ODc_N)*ResidUtil*Timeline!H$9*INDEX(Curve,1,MAX(1,MIN(8,INT((H$5-$H$28)/4)+1)))/1000000</f>
        <v>0</v>
      </c>
      <c r="I119" s="122" t="n">
        <f aca="false">I118*CHOOSE(MATCH($C$28,{"H";"B";"N"},0),GPUMW_H*ODc_H,GPUMW_B*ODc_B,GPUMW_N*ODc_N)*ResidUtil*Timeline!I$9*INDEX(Curve,1,MAX(1,MIN(8,INT((I$5-$H$28)/4)+1)))/1000000</f>
        <v>0</v>
      </c>
      <c r="J119" s="122" t="n">
        <f aca="false">J118*CHOOSE(MATCH($C$28,{"H";"B";"N"},0),GPUMW_H*ODc_H,GPUMW_B*ODc_B,GPUMW_N*ODc_N)*ResidUtil*Timeline!J$9*INDEX(Curve,1,MAX(1,MIN(8,INT((J$5-$H$28)/4)+1)))/1000000</f>
        <v>0</v>
      </c>
      <c r="K119" s="122" t="n">
        <f aca="false">K118*CHOOSE(MATCH($C$28,{"H";"B";"N"},0),GPUMW_H*ODc_H,GPUMW_B*ODc_B,GPUMW_N*ODc_N)*ResidUtil*Timeline!K$9*INDEX(Curve,1,MAX(1,MIN(8,INT((K$5-$H$28)/4)+1)))/1000000</f>
        <v>0</v>
      </c>
      <c r="L119" s="122" t="n">
        <f aca="false">L118*CHOOSE(MATCH($C$28,{"H";"B";"N"},0),GPUMW_H*ODc_H,GPUMW_B*ODc_B,GPUMW_N*ODc_N)*ResidUtil*Timeline!L$9*INDEX(Curve,1,MAX(1,MIN(8,INT((L$5-$H$28)/4)+1)))/1000000</f>
        <v>0</v>
      </c>
      <c r="M119" s="122" t="n">
        <f aca="false">M118*CHOOSE(MATCH($C$28,{"H";"B";"N"},0),GPUMW_H*ODc_H,GPUMW_B*ODc_B,GPUMW_N*ODc_N)*ResidUtil*Timeline!M$9*INDEX(Curve,1,MAX(1,MIN(8,INT((M$5-$H$28)/4)+1)))/1000000</f>
        <v>0</v>
      </c>
      <c r="N119" s="122" t="n">
        <f aca="false">N118*CHOOSE(MATCH($C$28,{"H";"B";"N"},0),GPUMW_H*ODc_H,GPUMW_B*ODc_B,GPUMW_N*ODc_N)*ResidUtil*Timeline!N$9*INDEX(Curve,1,MAX(1,MIN(8,INT((N$5-$H$28)/4)+1)))/1000000</f>
        <v>0</v>
      </c>
      <c r="O119" s="122" t="n">
        <f aca="false">O118*CHOOSE(MATCH($C$28,{"H";"B";"N"},0),GPUMW_H*ODc_H,GPUMW_B*ODc_B,GPUMW_N*ODc_N)*ResidUtil*Timeline!O$9*INDEX(Curve,1,MAX(1,MIN(8,INT((O$5-$H$28)/4)+1)))/1000000</f>
        <v>0</v>
      </c>
      <c r="P119" s="123" t="n">
        <f aca="false">P118*CHOOSE(MATCH($C$28,{"H";"B";"N"},0),GPUMW_H*ODc_H,GPUMW_B*ODc_B,GPUMW_N*ODc_N)*ResidUtil*Timeline!P$9*INDEX(Curve,1,MAX(1,MIN(8,INT((P$5-$H$28)/4)+1)))/1000000</f>
        <v>0</v>
      </c>
      <c r="Q119" s="123" t="n">
        <f aca="false">Q118*CHOOSE(MATCH($C$28,{"H";"B";"N"},0),GPUMW_H*ODc_H,GPUMW_B*ODc_B,GPUMW_N*ODc_N)*ResidUtil*Timeline!Q$9*INDEX(Curve,1,MAX(1,MIN(8,INT((Q$5-$H$28)/4)+1)))/1000000</f>
        <v>0</v>
      </c>
      <c r="R119" s="123" t="n">
        <f aca="false">R118*CHOOSE(MATCH($C$28,{"H";"B";"N"},0),GPUMW_H*ODc_H,GPUMW_B*ODc_B,GPUMW_N*ODc_N)*ResidUtil*Timeline!R$9*INDEX(Curve,1,MAX(1,MIN(8,INT((R$5-$H$28)/4)+1)))/1000000</f>
        <v>0</v>
      </c>
      <c r="S119" s="123" t="n">
        <f aca="false">S118*CHOOSE(MATCH($C$28,{"H";"B";"N"},0),GPUMW_H*ODc_H,GPUMW_B*ODc_B,GPUMW_N*ODc_N)*ResidUtil*Timeline!S$9*INDEX(Curve,1,MAX(1,MIN(8,INT((S$5-$H$28)/4)+1)))/1000000</f>
        <v>0</v>
      </c>
      <c r="T119" s="123" t="n">
        <f aca="false">T118*CHOOSE(MATCH($C$28,{"H";"B";"N"},0),GPUMW_H*ODc_H,GPUMW_B*ODc_B,GPUMW_N*ODc_N)*ResidUtil*Timeline!T$9*INDEX(Curve,1,MAX(1,MIN(8,INT((T$5-$H$28)/4)+1)))/1000000</f>
        <v>0</v>
      </c>
      <c r="U119" s="123" t="n">
        <f aca="false">U118*CHOOSE(MATCH($C$28,{"H";"B";"N"},0),GPUMW_H*ODc_H,GPUMW_B*ODc_B,GPUMW_N*ODc_N)*ResidUtil*Timeline!U$9*INDEX(Curve,1,MAX(1,MIN(8,INT((U$5-$H$28)/4)+1)))/1000000</f>
        <v>0</v>
      </c>
      <c r="V119" s="123" t="n">
        <f aca="false">V118*CHOOSE(MATCH($C$28,{"H";"B";"N"},0),GPUMW_H*ODc_H,GPUMW_B*ODc_B,GPUMW_N*ODc_N)*ResidUtil*Timeline!V$9*INDEX(Curve,1,MAX(1,MIN(8,INT((V$5-$H$28)/4)+1)))/1000000</f>
        <v>0</v>
      </c>
      <c r="W119" s="123" t="n">
        <f aca="false">W118*CHOOSE(MATCH($C$28,{"H";"B";"N"},0),GPUMW_H*ODc_H,GPUMW_B*ODc_B,GPUMW_N*ODc_N)*ResidUtil*Timeline!W$9*INDEX(Curve,1,MAX(1,MIN(8,INT((W$5-$H$28)/4)+1)))/1000000</f>
        <v>0</v>
      </c>
      <c r="X119" s="123" t="n">
        <f aca="false">X118*CHOOSE(MATCH($C$28,{"H";"B";"N"},0),GPUMW_H*ODc_H,GPUMW_B*ODc_B,GPUMW_N*ODc_N)*ResidUtil*Timeline!X$9*INDEX(Curve,1,MAX(1,MIN(8,INT((X$5-$H$28)/4)+1)))/1000000</f>
        <v>0</v>
      </c>
      <c r="Y119" s="123" t="n">
        <f aca="false">Y118*CHOOSE(MATCH($C$28,{"H";"B";"N"},0),GPUMW_H*ODc_H,GPUMW_B*ODc_B,GPUMW_N*ODc_N)*ResidUtil*Timeline!Y$9*INDEX(Curve,1,MAX(1,MIN(8,INT((Y$5-$H$28)/4)+1)))/1000000</f>
        <v>0</v>
      </c>
      <c r="Z119" s="123" t="n">
        <f aca="false">Z118*CHOOSE(MATCH($C$28,{"H";"B";"N"},0),GPUMW_H*ODc_H,GPUMW_B*ODc_B,GPUMW_N*ODc_N)*ResidUtil*Timeline!Z$9*INDEX(Curve,1,MAX(1,MIN(8,INT((Z$5-$H$28)/4)+1)))/1000000</f>
        <v>0</v>
      </c>
      <c r="AA119" s="123" t="n">
        <f aca="false">AA118*CHOOSE(MATCH($C$28,{"H";"B";"N"},0),GPUMW_H*ODc_H,GPUMW_B*ODc_B,GPUMW_N*ODc_N)*ResidUtil*Timeline!AA$9*INDEX(Curve,1,MAX(1,MIN(8,INT((AA$5-$H$28)/4)+1)))/1000000</f>
        <v>0</v>
      </c>
      <c r="AB119" s="123" t="n">
        <f aca="false">AB118*CHOOSE(MATCH($C$28,{"H";"B";"N"},0),GPUMW_H*ODc_H,GPUMW_B*ODc_B,GPUMW_N*ODc_N)*ResidUtil*Timeline!AB$9*INDEX(Curve,1,MAX(1,MIN(8,INT((AB$5-$H$28)/4)+1)))/1000000</f>
        <v>0</v>
      </c>
      <c r="AC119" s="123" t="n">
        <f aca="false">AC118*CHOOSE(MATCH($C$28,{"H";"B";"N"},0),GPUMW_H*ODc_H,GPUMW_B*ODc_B,GPUMW_N*ODc_N)*ResidUtil*Timeline!AC$9*INDEX(Curve,1,MAX(1,MIN(8,INT((AC$5-$H$28)/4)+1)))/1000000</f>
        <v>0</v>
      </c>
      <c r="AD119" s="123" t="n">
        <f aca="false">AD118*CHOOSE(MATCH($C$28,{"H";"B";"N"},0),GPUMW_H*ODc_H,GPUMW_B*ODc_B,GPUMW_N*ODc_N)*ResidUtil*Timeline!AD$9*INDEX(Curve,1,MAX(1,MIN(8,INT((AD$5-$H$28)/4)+1)))/1000000</f>
        <v>0</v>
      </c>
      <c r="AE119" s="123" t="n">
        <f aca="false">AE118*CHOOSE(MATCH($C$28,{"H";"B";"N"},0),GPUMW_H*ODc_H,GPUMW_B*ODc_B,GPUMW_N*ODc_N)*ResidUtil*Timeline!AE$9*INDEX(Curve,1,MAX(1,MIN(8,INT((AE$5-$H$28)/4)+1)))/1000000</f>
        <v>0</v>
      </c>
      <c r="AF119" s="123" t="n">
        <f aca="false">AF118*CHOOSE(MATCH($C$28,{"H";"B";"N"},0),GPUMW_H*ODc_H,GPUMW_B*ODc_B,GPUMW_N*ODc_N)*ResidUtil*Timeline!AF$9*INDEX(Curve,1,MAX(1,MIN(8,INT((AF$5-$H$28)/4)+1)))/1000000</f>
        <v>0</v>
      </c>
      <c r="AG119" s="123" t="n">
        <f aca="false">AG118*CHOOSE(MATCH($C$28,{"H";"B";"N"},0),GPUMW_H*ODc_H,GPUMW_B*ODc_B,GPUMW_N*ODc_N)*ResidUtil*Timeline!AG$9*INDEX(Curve,1,MAX(1,MIN(8,INT((AG$5-$H$28)/4)+1)))/1000000</f>
        <v>0</v>
      </c>
      <c r="AI119" s="123" t="n">
        <f aca="false">SUMIF($F$7:$AG$7,AI$7,$F119:$AG119)</f>
        <v>0</v>
      </c>
      <c r="AJ119" s="123" t="n">
        <f aca="false">SUMIF($F$7:$AG$7,AJ$7,$F119:$AG119)</f>
        <v>0</v>
      </c>
      <c r="AK119" s="123" t="n">
        <f aca="false">SUMIF($F$7:$AG$7,AK$7,$F119:$AG119)</f>
        <v>0</v>
      </c>
      <c r="AL119" s="123" t="n">
        <f aca="false">SUMIF($F$7:$AG$7,AL$7,$F119:$AG119)</f>
        <v>0</v>
      </c>
      <c r="AM119" s="123" t="n">
        <f aca="false">SUMIF($F$7:$AG$7,AM$7,$F119:$AG119)</f>
        <v>0</v>
      </c>
      <c r="AN119" s="123" t="n">
        <f aca="false">SUMIF($F$7:$AG$7,AN$7,$F119:$AG119)</f>
        <v>0</v>
      </c>
      <c r="AO119" s="123" t="n">
        <f aca="false">SUMIF($F$7:$AG$7,AO$7,$F119:$AG119)</f>
        <v>0</v>
      </c>
    </row>
    <row r="120" customFormat="false" ht="15" hidden="false" customHeight="false" outlineLevel="0" collapsed="false">
      <c r="A120" s="104" t="s">
        <v>1719</v>
      </c>
      <c r="B120" s="20" t="s">
        <v>561</v>
      </c>
      <c r="C120" s="20"/>
      <c r="D120" s="20"/>
      <c r="F120" s="122" t="n">
        <f aca="false">(1-$I$29)*(1-$J$29)*$D$29*$E$29/4*MIN(1,MAX(0,(F$5-$H$29+1)/$T$29))*IF(F$5=$H$29,DelivFactor,IF(AND(F$5&gt;$H$29,F$5&lt;$H$29+$F$29),1,IF(F$5=$H$29+$F$29,1-DelivFactor,0)))</f>
        <v>0</v>
      </c>
      <c r="G120" s="122" t="n">
        <f aca="false">(1-$I$29)*(1-$J$29)*$D$29*$E$29/4*MIN(1,MAX(0,(G$5-$H$29+1)/$T$29))*IF(G$5=$H$29,DelivFactor,IF(AND(G$5&gt;$H$29,G$5&lt;$H$29+$F$29),1,IF(G$5=$H$29+$F$29,1-DelivFactor,0)))</f>
        <v>0</v>
      </c>
      <c r="H120" s="122" t="n">
        <f aca="false">(1-$I$29)*(1-$J$29)*$D$29*$E$29/4*MIN(1,MAX(0,(H$5-$H$29+1)/$T$29))*IF(H$5=$H$29,DelivFactor,IF(AND(H$5&gt;$H$29,H$5&lt;$H$29+$F$29),1,IF(H$5=$H$29+$F$29,1-DelivFactor,0)))</f>
        <v>0</v>
      </c>
      <c r="I120" s="122" t="n">
        <f aca="false">(1-$I$29)*(1-$J$29)*$D$29*$E$29/4*MIN(1,MAX(0,(I$5-$H$29+1)/$T$29))*IF(I$5=$H$29,DelivFactor,IF(AND(I$5&gt;$H$29,I$5&lt;$H$29+$F$29),1,IF(I$5=$H$29+$F$29,1-DelivFactor,0)))</f>
        <v>0</v>
      </c>
      <c r="J120" s="122" t="n">
        <f aca="false">(1-$I$29)*(1-$J$29)*$D$29*$E$29/4*MIN(1,MAX(0,(J$5-$H$29+1)/$T$29))*IF(J$5=$H$29,DelivFactor,IF(AND(J$5&gt;$H$29,J$5&lt;$H$29+$F$29),1,IF(J$5=$H$29+$F$29,1-DelivFactor,0)))</f>
        <v>0</v>
      </c>
      <c r="K120" s="122" t="n">
        <f aca="false">(1-$I$29)*(1-$J$29)*$D$29*$E$29/4*MIN(1,MAX(0,(K$5-$H$29+1)/$T$29))*IF(K$5=$H$29,DelivFactor,IF(AND(K$5&gt;$H$29,K$5&lt;$H$29+$F$29),1,IF(K$5=$H$29+$F$29,1-DelivFactor,0)))</f>
        <v>0</v>
      </c>
      <c r="L120" s="122" t="n">
        <f aca="false">(1-$I$29)*(1-$J$29)*$D$29*$E$29/4*MIN(1,MAX(0,(L$5-$H$29+1)/$T$29))*IF(L$5=$H$29,DelivFactor,IF(AND(L$5&gt;$H$29,L$5&lt;$H$29+$F$29),1,IF(L$5=$H$29+$F$29,1-DelivFactor,0)))</f>
        <v>0</v>
      </c>
      <c r="M120" s="122" t="n">
        <f aca="false">(1-$I$29)*(1-$J$29)*$D$29*$E$29/4*MIN(1,MAX(0,(M$5-$H$29+1)/$T$29))*IF(M$5=$H$29,DelivFactor,IF(AND(M$5&gt;$H$29,M$5&lt;$H$29+$F$29),1,IF(M$5=$H$29+$F$29,1-DelivFactor,0)))</f>
        <v>0</v>
      </c>
      <c r="N120" s="122" t="n">
        <f aca="false">(1-$I$29)*(1-$J$29)*$D$29*$E$29/4*MIN(1,MAX(0,(N$5-$H$29+1)/$T$29))*IF(N$5=$H$29,DelivFactor,IF(AND(N$5&gt;$H$29,N$5&lt;$H$29+$F$29),1,IF(N$5=$H$29+$F$29,1-DelivFactor,0)))</f>
        <v>0</v>
      </c>
      <c r="O120" s="122" t="n">
        <f aca="false">(1-$I$29)*(1-$J$29)*$D$29*$E$29/4*MIN(1,MAX(0,(O$5-$H$29+1)/$T$29))*IF(O$5=$H$29,DelivFactor,IF(AND(O$5&gt;$H$29,O$5&lt;$H$29+$F$29),1,IF(O$5=$H$29+$F$29,1-DelivFactor,0)))</f>
        <v>0</v>
      </c>
      <c r="P120" s="123" t="n">
        <f aca="false">(1-$I$29)*(1-$J$29)*$D$29*$E$29/4*MIN(1,MAX(0,(P$5-$H$29+1)/$T$29))*IF(P$5=$H$29,DelivFactor,IF(AND(P$5&gt;$H$29,P$5&lt;$H$29+$F$29),1,IF(P$5=$H$29+$F$29,1-DelivFactor,0)))</f>
        <v>0</v>
      </c>
      <c r="Q120" s="123" t="n">
        <f aca="false">(1-$I$29)*(1-$J$29)*$D$29*$E$29/4*MIN(1,MAX(0,(Q$5-$H$29+1)/$T$29))*IF(Q$5=$H$29,DelivFactor,IF(AND(Q$5&gt;$H$29,Q$5&lt;$H$29+$F$29),1,IF(Q$5=$H$29+$F$29,1-DelivFactor,0)))</f>
        <v>0</v>
      </c>
      <c r="R120" s="123" t="n">
        <f aca="false">(1-$I$29)*(1-$J$29)*$D$29*$E$29/4*MIN(1,MAX(0,(R$5-$H$29+1)/$T$29))*IF(R$5=$H$29,DelivFactor,IF(AND(R$5&gt;$H$29,R$5&lt;$H$29+$F$29),1,IF(R$5=$H$29+$F$29,1-DelivFactor,0)))</f>
        <v>0</v>
      </c>
      <c r="S120" s="123" t="n">
        <f aca="false">(1-$I$29)*(1-$J$29)*$D$29*$E$29/4*MIN(1,MAX(0,(S$5-$H$29+1)/$T$29))*IF(S$5=$H$29,DelivFactor,IF(AND(S$5&gt;$H$29,S$5&lt;$H$29+$F$29),1,IF(S$5=$H$29+$F$29,1-DelivFactor,0)))</f>
        <v>0</v>
      </c>
      <c r="T120" s="123" t="n">
        <f aca="false">(1-$I$29)*(1-$J$29)*$D$29*$E$29/4*MIN(1,MAX(0,(T$5-$H$29+1)/$T$29))*IF(T$5=$H$29,DelivFactor,IF(AND(T$5&gt;$H$29,T$5&lt;$H$29+$F$29),1,IF(T$5=$H$29+$F$29,1-DelivFactor,0)))</f>
        <v>0</v>
      </c>
      <c r="U120" s="123" t="n">
        <f aca="false">(1-$I$29)*(1-$J$29)*$D$29*$E$29/4*MIN(1,MAX(0,(U$5-$H$29+1)/$T$29))*IF(U$5=$H$29,DelivFactor,IF(AND(U$5&gt;$H$29,U$5&lt;$H$29+$F$29),1,IF(U$5=$H$29+$F$29,1-DelivFactor,0)))</f>
        <v>0</v>
      </c>
      <c r="V120" s="123" t="n">
        <f aca="false">(1-$I$29)*(1-$J$29)*$D$29*$E$29/4*MIN(1,MAX(0,(V$5-$H$29+1)/$T$29))*IF(V$5=$H$29,DelivFactor,IF(AND(V$5&gt;$H$29,V$5&lt;$H$29+$F$29),1,IF(V$5=$H$29+$F$29,1-DelivFactor,0)))</f>
        <v>0</v>
      </c>
      <c r="W120" s="123" t="n">
        <f aca="false">(1-$I$29)*(1-$J$29)*$D$29*$E$29/4*MIN(1,MAX(0,(W$5-$H$29+1)/$T$29))*IF(W$5=$H$29,DelivFactor,IF(AND(W$5&gt;$H$29,W$5&lt;$H$29+$F$29),1,IF(W$5=$H$29+$F$29,1-DelivFactor,0)))</f>
        <v>0</v>
      </c>
      <c r="X120" s="123" t="n">
        <f aca="false">(1-$I$29)*(1-$J$29)*$D$29*$E$29/4*MIN(1,MAX(0,(X$5-$H$29+1)/$T$29))*IF(X$5=$H$29,DelivFactor,IF(AND(X$5&gt;$H$29,X$5&lt;$H$29+$F$29),1,IF(X$5=$H$29+$F$29,1-DelivFactor,0)))</f>
        <v>0</v>
      </c>
      <c r="Y120" s="123" t="n">
        <f aca="false">(1-$I$29)*(1-$J$29)*$D$29*$E$29/4*MIN(1,MAX(0,(Y$5-$H$29+1)/$T$29))*IF(Y$5=$H$29,DelivFactor,IF(AND(Y$5&gt;$H$29,Y$5&lt;$H$29+$F$29),1,IF(Y$5=$H$29+$F$29,1-DelivFactor,0)))</f>
        <v>0</v>
      </c>
      <c r="Z120" s="123" t="n">
        <f aca="false">(1-$I$29)*(1-$J$29)*$D$29*$E$29/4*MIN(1,MAX(0,(Z$5-$H$29+1)/$T$29))*IF(Z$5=$H$29,DelivFactor,IF(AND(Z$5&gt;$H$29,Z$5&lt;$H$29+$F$29),1,IF(Z$5=$H$29+$F$29,1-DelivFactor,0)))</f>
        <v>0</v>
      </c>
      <c r="AA120" s="123" t="n">
        <f aca="false">(1-$I$29)*(1-$J$29)*$D$29*$E$29/4*MIN(1,MAX(0,(AA$5-$H$29+1)/$T$29))*IF(AA$5=$H$29,DelivFactor,IF(AND(AA$5&gt;$H$29,AA$5&lt;$H$29+$F$29),1,IF(AA$5=$H$29+$F$29,1-DelivFactor,0)))</f>
        <v>0</v>
      </c>
      <c r="AB120" s="123" t="n">
        <f aca="false">(1-$I$29)*(1-$J$29)*$D$29*$E$29/4*MIN(1,MAX(0,(AB$5-$H$29+1)/$T$29))*IF(AB$5=$H$29,DelivFactor,IF(AND(AB$5&gt;$H$29,AB$5&lt;$H$29+$F$29),1,IF(AB$5=$H$29+$F$29,1-DelivFactor,0)))</f>
        <v>0</v>
      </c>
      <c r="AC120" s="123" t="n">
        <f aca="false">(1-$I$29)*(1-$J$29)*$D$29*$E$29/4*MIN(1,MAX(0,(AC$5-$H$29+1)/$T$29))*IF(AC$5=$H$29,DelivFactor,IF(AND(AC$5&gt;$H$29,AC$5&lt;$H$29+$F$29),1,IF(AC$5=$H$29+$F$29,1-DelivFactor,0)))</f>
        <v>0</v>
      </c>
      <c r="AD120" s="123" t="n">
        <f aca="false">(1-$I$29)*(1-$J$29)*$D$29*$E$29/4*MIN(1,MAX(0,(AD$5-$H$29+1)/$T$29))*IF(AD$5=$H$29,DelivFactor,IF(AND(AD$5&gt;$H$29,AD$5&lt;$H$29+$F$29),1,IF(AD$5=$H$29+$F$29,1-DelivFactor,0)))</f>
        <v>0</v>
      </c>
      <c r="AE120" s="123" t="n">
        <f aca="false">(1-$I$29)*(1-$J$29)*$D$29*$E$29/4*MIN(1,MAX(0,(AE$5-$H$29+1)/$T$29))*IF(AE$5=$H$29,DelivFactor,IF(AND(AE$5&gt;$H$29,AE$5&lt;$H$29+$F$29),1,IF(AE$5=$H$29+$F$29,1-DelivFactor,0)))</f>
        <v>0</v>
      </c>
      <c r="AF120" s="123" t="n">
        <f aca="false">(1-$I$29)*(1-$J$29)*$D$29*$E$29/4*MIN(1,MAX(0,(AF$5-$H$29+1)/$T$29))*IF(AF$5=$H$29,DelivFactor,IF(AND(AF$5&gt;$H$29,AF$5&lt;$H$29+$F$29),1,IF(AF$5=$H$29+$F$29,1-DelivFactor,0)))</f>
        <v>0</v>
      </c>
      <c r="AG120" s="123" t="n">
        <f aca="false">(1-$I$29)*(1-$J$29)*$D$29*$E$29/4*MIN(1,MAX(0,(AG$5-$H$29+1)/$T$29))*IF(AG$5=$H$29,DelivFactor,IF(AND(AG$5&gt;$H$29,AG$5&lt;$H$29+$F$29),1,IF(AG$5=$H$29+$F$29,1-DelivFactor,0)))</f>
        <v>0</v>
      </c>
      <c r="AI120" s="123" t="n">
        <f aca="false">SUMIF($F$7:$AG$7,AI$7,$F120:$AG120)</f>
        <v>0</v>
      </c>
      <c r="AJ120" s="123" t="n">
        <f aca="false">SUMIF($F$7:$AG$7,AJ$7,$F120:$AG120)</f>
        <v>0</v>
      </c>
      <c r="AK120" s="123" t="n">
        <f aca="false">SUMIF($F$7:$AG$7,AK$7,$F120:$AG120)</f>
        <v>0</v>
      </c>
      <c r="AL120" s="123" t="n">
        <f aca="false">SUMIF($F$7:$AG$7,AL$7,$F120:$AG120)</f>
        <v>0</v>
      </c>
      <c r="AM120" s="123" t="n">
        <f aca="false">SUMIF($F$7:$AG$7,AM$7,$F120:$AG120)</f>
        <v>0</v>
      </c>
      <c r="AN120" s="123" t="n">
        <f aca="false">SUMIF($F$7:$AG$7,AN$7,$F120:$AG120)</f>
        <v>0</v>
      </c>
      <c r="AO120" s="123" t="n">
        <f aca="false">SUMIF($F$7:$AG$7,AO$7,$F120:$AG120)</f>
        <v>0</v>
      </c>
    </row>
    <row r="121" customFormat="false" ht="15" hidden="false" customHeight="false" outlineLevel="0" collapsed="false">
      <c r="A121" s="104" t="s">
        <v>1720</v>
      </c>
      <c r="B121" s="20" t="s">
        <v>575</v>
      </c>
      <c r="C121" s="20"/>
      <c r="D121" s="20"/>
      <c r="F121" s="113" t="n">
        <f aca="false">(1-$I$29)*(1-$J$29)*$D$29*AND(F$5&gt;=$H$29,F$5&lt;$H$29+$F$29)</f>
        <v>0</v>
      </c>
      <c r="G121" s="113" t="n">
        <f aca="false">(1-$I$29)*(1-$J$29)*$D$29*AND(G$5&gt;=$H$29,G$5&lt;$H$29+$F$29)</f>
        <v>0</v>
      </c>
      <c r="H121" s="113" t="n">
        <f aca="false">(1-$I$29)*(1-$J$29)*$D$29*AND(H$5&gt;=$H$29,H$5&lt;$H$29+$F$29)</f>
        <v>0</v>
      </c>
      <c r="I121" s="113" t="n">
        <f aca="false">(1-$I$29)*(1-$J$29)*$D$29*AND(I$5&gt;=$H$29,I$5&lt;$H$29+$F$29)</f>
        <v>0</v>
      </c>
      <c r="J121" s="113" t="n">
        <f aca="false">(1-$I$29)*(1-$J$29)*$D$29*AND(J$5&gt;=$H$29,J$5&lt;$H$29+$F$29)</f>
        <v>0</v>
      </c>
      <c r="K121" s="113" t="n">
        <f aca="false">(1-$I$29)*(1-$J$29)*$D$29*AND(K$5&gt;=$H$29,K$5&lt;$H$29+$F$29)</f>
        <v>0</v>
      </c>
      <c r="L121" s="113" t="n">
        <f aca="false">(1-$I$29)*(1-$J$29)*$D$29*AND(L$5&gt;=$H$29,L$5&lt;$H$29+$F$29)</f>
        <v>0</v>
      </c>
      <c r="M121" s="113" t="n">
        <f aca="false">(1-$I$29)*(1-$J$29)*$D$29*AND(M$5&gt;=$H$29,M$5&lt;$H$29+$F$29)</f>
        <v>0</v>
      </c>
      <c r="N121" s="113" t="n">
        <f aca="false">(1-$I$29)*(1-$J$29)*$D$29*AND(N$5&gt;=$H$29,N$5&lt;$H$29+$F$29)</f>
        <v>0</v>
      </c>
      <c r="O121" s="113" t="n">
        <f aca="false">(1-$I$29)*(1-$J$29)*$D$29*AND(O$5&gt;=$H$29,O$5&lt;$H$29+$F$29)</f>
        <v>0</v>
      </c>
      <c r="P121" s="31" t="n">
        <f aca="false">(1-$I$29)*(1-$J$29)*$D$29*AND(P$5&gt;=$H$29,P$5&lt;$H$29+$F$29)</f>
        <v>0</v>
      </c>
      <c r="Q121" s="31" t="n">
        <f aca="false">(1-$I$29)*(1-$J$29)*$D$29*AND(Q$5&gt;=$H$29,Q$5&lt;$H$29+$F$29)</f>
        <v>0</v>
      </c>
      <c r="R121" s="31" t="n">
        <f aca="false">(1-$I$29)*(1-$J$29)*$D$29*AND(R$5&gt;=$H$29,R$5&lt;$H$29+$F$29)</f>
        <v>0</v>
      </c>
      <c r="S121" s="31" t="n">
        <f aca="false">(1-$I$29)*(1-$J$29)*$D$29*AND(S$5&gt;=$H$29,S$5&lt;$H$29+$F$29)</f>
        <v>0</v>
      </c>
      <c r="T121" s="31" t="n">
        <f aca="false">(1-$I$29)*(1-$J$29)*$D$29*AND(T$5&gt;=$H$29,T$5&lt;$H$29+$F$29)</f>
        <v>0</v>
      </c>
      <c r="U121" s="31" t="n">
        <f aca="false">(1-$I$29)*(1-$J$29)*$D$29*AND(U$5&gt;=$H$29,U$5&lt;$H$29+$F$29)</f>
        <v>0</v>
      </c>
      <c r="V121" s="31" t="n">
        <f aca="false">(1-$I$29)*(1-$J$29)*$D$29*AND(V$5&gt;=$H$29,V$5&lt;$H$29+$F$29)</f>
        <v>0</v>
      </c>
      <c r="W121" s="31" t="n">
        <f aca="false">(1-$I$29)*(1-$J$29)*$D$29*AND(W$5&gt;=$H$29,W$5&lt;$H$29+$F$29)</f>
        <v>0</v>
      </c>
      <c r="X121" s="31" t="n">
        <f aca="false">(1-$I$29)*(1-$J$29)*$D$29*AND(X$5&gt;=$H$29,X$5&lt;$H$29+$F$29)</f>
        <v>0</v>
      </c>
      <c r="Y121" s="31" t="n">
        <f aca="false">(1-$I$29)*(1-$J$29)*$D$29*AND(Y$5&gt;=$H$29,Y$5&lt;$H$29+$F$29)</f>
        <v>0</v>
      </c>
      <c r="Z121" s="31" t="n">
        <f aca="false">(1-$I$29)*(1-$J$29)*$D$29*AND(Z$5&gt;=$H$29,Z$5&lt;$H$29+$F$29)</f>
        <v>0</v>
      </c>
      <c r="AA121" s="31" t="n">
        <f aca="false">(1-$I$29)*(1-$J$29)*$D$29*AND(AA$5&gt;=$H$29,AA$5&lt;$H$29+$F$29)</f>
        <v>0</v>
      </c>
      <c r="AB121" s="31" t="n">
        <f aca="false">(1-$I$29)*(1-$J$29)*$D$29*AND(AB$5&gt;=$H$29,AB$5&lt;$H$29+$F$29)</f>
        <v>0</v>
      </c>
      <c r="AC121" s="31" t="n">
        <f aca="false">(1-$I$29)*(1-$J$29)*$D$29*AND(AC$5&gt;=$H$29,AC$5&lt;$H$29+$F$29)</f>
        <v>0</v>
      </c>
      <c r="AD121" s="31" t="n">
        <f aca="false">(1-$I$29)*(1-$J$29)*$D$29*AND(AD$5&gt;=$H$29,AD$5&lt;$H$29+$F$29)</f>
        <v>0</v>
      </c>
      <c r="AE121" s="31" t="n">
        <f aca="false">(1-$I$29)*(1-$J$29)*$D$29*AND(AE$5&gt;=$H$29,AE$5&lt;$H$29+$F$29)</f>
        <v>0</v>
      </c>
      <c r="AF121" s="31" t="n">
        <f aca="false">(1-$I$29)*(1-$J$29)*$D$29*AND(AF$5&gt;=$H$29,AF$5&lt;$H$29+$F$29)</f>
        <v>0</v>
      </c>
      <c r="AG121" s="31" t="n">
        <f aca="false">(1-$I$29)*(1-$J$29)*$D$29*AND(AG$5&gt;=$H$29,AG$5&lt;$H$29+$F$29)</f>
        <v>0</v>
      </c>
      <c r="AI121" s="31" t="n">
        <f aca="false">INDEX($F121:$AG121,1,MATCH(AI$7,$F$7:$AG$7,1))</f>
        <v>0</v>
      </c>
      <c r="AJ121" s="31" t="n">
        <f aca="false">INDEX($F121:$AG121,1,MATCH(AJ$7,$F$7:$AG$7,1))</f>
        <v>0</v>
      </c>
      <c r="AK121" s="31" t="n">
        <f aca="false">INDEX($F121:$AG121,1,MATCH(AK$7,$F$7:$AG$7,1))</f>
        <v>0</v>
      </c>
      <c r="AL121" s="31" t="n">
        <f aca="false">INDEX($F121:$AG121,1,MATCH(AL$7,$F$7:$AG$7,1))</f>
        <v>0</v>
      </c>
      <c r="AM121" s="31" t="n">
        <f aca="false">INDEX($F121:$AG121,1,MATCH(AM$7,$F$7:$AG$7,1))</f>
        <v>0</v>
      </c>
      <c r="AN121" s="31" t="n">
        <f aca="false">INDEX($F121:$AG121,1,MATCH(AN$7,$F$7:$AG$7,1))</f>
        <v>0</v>
      </c>
      <c r="AO121" s="31" t="n">
        <f aca="false">INDEX($F121:$AG121,1,MATCH(AO$7,$F$7:$AG$7,1))</f>
        <v>0</v>
      </c>
    </row>
    <row r="122" customFormat="false" ht="15" hidden="false" customHeight="false" outlineLevel="0" collapsed="false">
      <c r="A122" s="104" t="s">
        <v>1721</v>
      </c>
      <c r="B122" s="20" t="s">
        <v>561</v>
      </c>
      <c r="C122" s="20"/>
      <c r="D122" s="20"/>
      <c r="F122" s="122" t="n">
        <f aca="false">-(1-$I$29)*LD_Pct*$D$29*$E$29/4*AND(F$5&gt;=$G$29,F$5&lt;$H$29)</f>
        <v>-0</v>
      </c>
      <c r="G122" s="122" t="n">
        <f aca="false">-(1-$I$29)*LD_Pct*$D$29*$E$29/4*AND(G$5&gt;=$G$29,G$5&lt;$H$29)</f>
        <v>-0</v>
      </c>
      <c r="H122" s="122" t="n">
        <f aca="false">-(1-$I$29)*LD_Pct*$D$29*$E$29/4*AND(H$5&gt;=$G$29,H$5&lt;$H$29)</f>
        <v>-0</v>
      </c>
      <c r="I122" s="122" t="n">
        <f aca="false">-(1-$I$29)*LD_Pct*$D$29*$E$29/4*AND(I$5&gt;=$G$29,I$5&lt;$H$29)</f>
        <v>-0</v>
      </c>
      <c r="J122" s="122" t="n">
        <f aca="false">-(1-$I$29)*LD_Pct*$D$29*$E$29/4*AND(J$5&gt;=$G$29,J$5&lt;$H$29)</f>
        <v>-0</v>
      </c>
      <c r="K122" s="122" t="n">
        <f aca="false">-(1-$I$29)*LD_Pct*$D$29*$E$29/4*AND(K$5&gt;=$G$29,K$5&lt;$H$29)</f>
        <v>-0</v>
      </c>
      <c r="L122" s="122" t="n">
        <f aca="false">-(1-$I$29)*LD_Pct*$D$29*$E$29/4*AND(L$5&gt;=$G$29,L$5&lt;$H$29)</f>
        <v>-0</v>
      </c>
      <c r="M122" s="122" t="n">
        <f aca="false">-(1-$I$29)*LD_Pct*$D$29*$E$29/4*AND(M$5&gt;=$G$29,M$5&lt;$H$29)</f>
        <v>-0</v>
      </c>
      <c r="N122" s="122" t="n">
        <f aca="false">-(1-$I$29)*LD_Pct*$D$29*$E$29/4*AND(N$5&gt;=$G$29,N$5&lt;$H$29)</f>
        <v>-0</v>
      </c>
      <c r="O122" s="122" t="n">
        <f aca="false">-(1-$I$29)*LD_Pct*$D$29*$E$29/4*AND(O$5&gt;=$G$29,O$5&lt;$H$29)</f>
        <v>-0</v>
      </c>
      <c r="P122" s="123" t="n">
        <f aca="false">-(1-$I$29)*LD_Pct*$D$29*$E$29/4*AND(P$5&gt;=$G$29,P$5&lt;$H$29)</f>
        <v>-0</v>
      </c>
      <c r="Q122" s="123" t="n">
        <f aca="false">-(1-$I$29)*LD_Pct*$D$29*$E$29/4*AND(Q$5&gt;=$G$29,Q$5&lt;$H$29)</f>
        <v>-0</v>
      </c>
      <c r="R122" s="123" t="n">
        <f aca="false">-(1-$I$29)*LD_Pct*$D$29*$E$29/4*AND(R$5&gt;=$G$29,R$5&lt;$H$29)</f>
        <v>-0</v>
      </c>
      <c r="S122" s="123" t="n">
        <f aca="false">-(1-$I$29)*LD_Pct*$D$29*$E$29/4*AND(S$5&gt;=$G$29,S$5&lt;$H$29)</f>
        <v>-0</v>
      </c>
      <c r="T122" s="123" t="n">
        <f aca="false">-(1-$I$29)*LD_Pct*$D$29*$E$29/4*AND(T$5&gt;=$G$29,T$5&lt;$H$29)</f>
        <v>-0</v>
      </c>
      <c r="U122" s="123" t="n">
        <f aca="false">-(1-$I$29)*LD_Pct*$D$29*$E$29/4*AND(U$5&gt;=$G$29,U$5&lt;$H$29)</f>
        <v>-0</v>
      </c>
      <c r="V122" s="123" t="n">
        <f aca="false">-(1-$I$29)*LD_Pct*$D$29*$E$29/4*AND(V$5&gt;=$G$29,V$5&lt;$H$29)</f>
        <v>-0</v>
      </c>
      <c r="W122" s="123" t="n">
        <f aca="false">-(1-$I$29)*LD_Pct*$D$29*$E$29/4*AND(W$5&gt;=$G$29,W$5&lt;$H$29)</f>
        <v>-0</v>
      </c>
      <c r="X122" s="123" t="n">
        <f aca="false">-(1-$I$29)*LD_Pct*$D$29*$E$29/4*AND(X$5&gt;=$G$29,X$5&lt;$H$29)</f>
        <v>-0</v>
      </c>
      <c r="Y122" s="123" t="n">
        <f aca="false">-(1-$I$29)*LD_Pct*$D$29*$E$29/4*AND(Y$5&gt;=$G$29,Y$5&lt;$H$29)</f>
        <v>-0</v>
      </c>
      <c r="Z122" s="123" t="n">
        <f aca="false">-(1-$I$29)*LD_Pct*$D$29*$E$29/4*AND(Z$5&gt;=$G$29,Z$5&lt;$H$29)</f>
        <v>-0</v>
      </c>
      <c r="AA122" s="123" t="n">
        <f aca="false">-(1-$I$29)*LD_Pct*$D$29*$E$29/4*AND(AA$5&gt;=$G$29,AA$5&lt;$H$29)</f>
        <v>-0</v>
      </c>
      <c r="AB122" s="123" t="n">
        <f aca="false">-(1-$I$29)*LD_Pct*$D$29*$E$29/4*AND(AB$5&gt;=$G$29,AB$5&lt;$H$29)</f>
        <v>-0</v>
      </c>
      <c r="AC122" s="123" t="n">
        <f aca="false">-(1-$I$29)*LD_Pct*$D$29*$E$29/4*AND(AC$5&gt;=$G$29,AC$5&lt;$H$29)</f>
        <v>-0</v>
      </c>
      <c r="AD122" s="123" t="n">
        <f aca="false">-(1-$I$29)*LD_Pct*$D$29*$E$29/4*AND(AD$5&gt;=$G$29,AD$5&lt;$H$29)</f>
        <v>-0</v>
      </c>
      <c r="AE122" s="123" t="n">
        <f aca="false">-(1-$I$29)*LD_Pct*$D$29*$E$29/4*AND(AE$5&gt;=$G$29,AE$5&lt;$H$29)</f>
        <v>-0</v>
      </c>
      <c r="AF122" s="123" t="n">
        <f aca="false">-(1-$I$29)*LD_Pct*$D$29*$E$29/4*AND(AF$5&gt;=$G$29,AF$5&lt;$H$29)</f>
        <v>-0</v>
      </c>
      <c r="AG122" s="123" t="n">
        <f aca="false">-(1-$I$29)*LD_Pct*$D$29*$E$29/4*AND(AG$5&gt;=$G$29,AG$5&lt;$H$29)</f>
        <v>-0</v>
      </c>
      <c r="AI122" s="123" t="n">
        <f aca="false">SUMIF($F$7:$AG$7,AI$7,$F122:$AG122)</f>
        <v>0</v>
      </c>
      <c r="AJ122" s="123" t="n">
        <f aca="false">SUMIF($F$7:$AG$7,AJ$7,$F122:$AG122)</f>
        <v>0</v>
      </c>
      <c r="AK122" s="123" t="n">
        <f aca="false">SUMIF($F$7:$AG$7,AK$7,$F122:$AG122)</f>
        <v>0</v>
      </c>
      <c r="AL122" s="123" t="n">
        <f aca="false">SUMIF($F$7:$AG$7,AL$7,$F122:$AG122)</f>
        <v>0</v>
      </c>
      <c r="AM122" s="123" t="n">
        <f aca="false">SUMIF($F$7:$AG$7,AM$7,$F122:$AG122)</f>
        <v>0</v>
      </c>
      <c r="AN122" s="123" t="n">
        <f aca="false">SUMIF($F$7:$AG$7,AN$7,$F122:$AG122)</f>
        <v>0</v>
      </c>
      <c r="AO122" s="123" t="n">
        <f aca="false">SUMIF($F$7:$AG$7,AO$7,$F122:$AG122)</f>
        <v>0</v>
      </c>
    </row>
    <row r="123" customFormat="false" ht="15" hidden="false" customHeight="false" outlineLevel="0" collapsed="false">
      <c r="A123" s="104" t="s">
        <v>1722</v>
      </c>
      <c r="B123" s="20" t="s">
        <v>575</v>
      </c>
      <c r="C123" s="20"/>
      <c r="D123" s="20"/>
      <c r="F123" s="113" t="n">
        <f aca="false">(1-$I$29)*(1-$J$29)*$D$29*(F$5&gt;=$H$29+$F$29)</f>
        <v>0</v>
      </c>
      <c r="G123" s="113" t="n">
        <f aca="false">(1-$I$29)*(1-$J$29)*$D$29*(G$5&gt;=$H$29+$F$29)</f>
        <v>0</v>
      </c>
      <c r="H123" s="113" t="n">
        <f aca="false">(1-$I$29)*(1-$J$29)*$D$29*(H$5&gt;=$H$29+$F$29)</f>
        <v>0</v>
      </c>
      <c r="I123" s="113" t="n">
        <f aca="false">(1-$I$29)*(1-$J$29)*$D$29*(I$5&gt;=$H$29+$F$29)</f>
        <v>0</v>
      </c>
      <c r="J123" s="113" t="n">
        <f aca="false">(1-$I$29)*(1-$J$29)*$D$29*(J$5&gt;=$H$29+$F$29)</f>
        <v>0</v>
      </c>
      <c r="K123" s="113" t="n">
        <f aca="false">(1-$I$29)*(1-$J$29)*$D$29*(K$5&gt;=$H$29+$F$29)</f>
        <v>0</v>
      </c>
      <c r="L123" s="113" t="n">
        <f aca="false">(1-$I$29)*(1-$J$29)*$D$29*(L$5&gt;=$H$29+$F$29)</f>
        <v>0</v>
      </c>
      <c r="M123" s="113" t="n">
        <f aca="false">(1-$I$29)*(1-$J$29)*$D$29*(M$5&gt;=$H$29+$F$29)</f>
        <v>0</v>
      </c>
      <c r="N123" s="113" t="n">
        <f aca="false">(1-$I$29)*(1-$J$29)*$D$29*(N$5&gt;=$H$29+$F$29)</f>
        <v>0</v>
      </c>
      <c r="O123" s="113" t="n">
        <f aca="false">(1-$I$29)*(1-$J$29)*$D$29*(O$5&gt;=$H$29+$F$29)</f>
        <v>0</v>
      </c>
      <c r="P123" s="31" t="n">
        <f aca="false">(1-$I$29)*(1-$J$29)*$D$29*(P$5&gt;=$H$29+$F$29)</f>
        <v>0</v>
      </c>
      <c r="Q123" s="31" t="n">
        <f aca="false">(1-$I$29)*(1-$J$29)*$D$29*(Q$5&gt;=$H$29+$F$29)</f>
        <v>0</v>
      </c>
      <c r="R123" s="31" t="n">
        <f aca="false">(1-$I$29)*(1-$J$29)*$D$29*(R$5&gt;=$H$29+$F$29)</f>
        <v>0</v>
      </c>
      <c r="S123" s="31" t="n">
        <f aca="false">(1-$I$29)*(1-$J$29)*$D$29*(S$5&gt;=$H$29+$F$29)</f>
        <v>0</v>
      </c>
      <c r="T123" s="31" t="n">
        <f aca="false">(1-$I$29)*(1-$J$29)*$D$29*(T$5&gt;=$H$29+$F$29)</f>
        <v>0</v>
      </c>
      <c r="U123" s="31" t="n">
        <f aca="false">(1-$I$29)*(1-$J$29)*$D$29*(U$5&gt;=$H$29+$F$29)</f>
        <v>0</v>
      </c>
      <c r="V123" s="31" t="n">
        <f aca="false">(1-$I$29)*(1-$J$29)*$D$29*(V$5&gt;=$H$29+$F$29)</f>
        <v>0</v>
      </c>
      <c r="W123" s="31" t="n">
        <f aca="false">(1-$I$29)*(1-$J$29)*$D$29*(W$5&gt;=$H$29+$F$29)</f>
        <v>0</v>
      </c>
      <c r="X123" s="31" t="n">
        <f aca="false">(1-$I$29)*(1-$J$29)*$D$29*(X$5&gt;=$H$29+$F$29)</f>
        <v>0</v>
      </c>
      <c r="Y123" s="31" t="n">
        <f aca="false">(1-$I$29)*(1-$J$29)*$D$29*(Y$5&gt;=$H$29+$F$29)</f>
        <v>0</v>
      </c>
      <c r="Z123" s="31" t="n">
        <f aca="false">(1-$I$29)*(1-$J$29)*$D$29*(Z$5&gt;=$H$29+$F$29)</f>
        <v>0</v>
      </c>
      <c r="AA123" s="31" t="n">
        <f aca="false">(1-$I$29)*(1-$J$29)*$D$29*(AA$5&gt;=$H$29+$F$29)</f>
        <v>0</v>
      </c>
      <c r="AB123" s="31" t="n">
        <f aca="false">(1-$I$29)*(1-$J$29)*$D$29*(AB$5&gt;=$H$29+$F$29)</f>
        <v>0</v>
      </c>
      <c r="AC123" s="31" t="n">
        <f aca="false">(1-$I$29)*(1-$J$29)*$D$29*(AC$5&gt;=$H$29+$F$29)</f>
        <v>0</v>
      </c>
      <c r="AD123" s="31" t="n">
        <f aca="false">(1-$I$29)*(1-$J$29)*$D$29*(AD$5&gt;=$H$29+$F$29)</f>
        <v>0</v>
      </c>
      <c r="AE123" s="31" t="n">
        <f aca="false">(1-$I$29)*(1-$J$29)*$D$29*(AE$5&gt;=$H$29+$F$29)</f>
        <v>0</v>
      </c>
      <c r="AF123" s="31" t="n">
        <f aca="false">(1-$I$29)*(1-$J$29)*$D$29*(AF$5&gt;=$H$29+$F$29)</f>
        <v>0</v>
      </c>
      <c r="AG123" s="31" t="n">
        <f aca="false">(1-$I$29)*(1-$J$29)*$D$29*(AG$5&gt;=$H$29+$F$29)</f>
        <v>0</v>
      </c>
      <c r="AI123" s="31" t="n">
        <f aca="false">INDEX($F123:$AG123,1,MATCH(AI$7,$F$7:$AG$7,1))</f>
        <v>0</v>
      </c>
      <c r="AJ123" s="31" t="n">
        <f aca="false">INDEX($F123:$AG123,1,MATCH(AJ$7,$F$7:$AG$7,1))</f>
        <v>0</v>
      </c>
      <c r="AK123" s="31" t="n">
        <f aca="false">INDEX($F123:$AG123,1,MATCH(AK$7,$F$7:$AG$7,1))</f>
        <v>0</v>
      </c>
      <c r="AL123" s="31" t="n">
        <f aca="false">INDEX($F123:$AG123,1,MATCH(AL$7,$F$7:$AG$7,1))</f>
        <v>0</v>
      </c>
      <c r="AM123" s="31" t="n">
        <f aca="false">INDEX($F123:$AG123,1,MATCH(AM$7,$F$7:$AG$7,1))</f>
        <v>0</v>
      </c>
      <c r="AN123" s="31" t="n">
        <f aca="false">INDEX($F123:$AG123,1,MATCH(AN$7,$F$7:$AG$7,1))</f>
        <v>0</v>
      </c>
      <c r="AO123" s="31" t="n">
        <f aca="false">INDEX($F123:$AG123,1,MATCH(AO$7,$F$7:$AG$7,1))</f>
        <v>0</v>
      </c>
    </row>
    <row r="124" customFormat="false" ht="15" hidden="false" customHeight="false" outlineLevel="0" collapsed="false">
      <c r="A124" s="104" t="s">
        <v>1723</v>
      </c>
      <c r="B124" s="20" t="s">
        <v>561</v>
      </c>
      <c r="C124" s="20"/>
      <c r="D124" s="20" t="s">
        <v>1638</v>
      </c>
      <c r="F124" s="122" t="n">
        <f aca="false">F123*CHOOSE(MATCH($C$29,{"H";"B";"N"},0),GPUMW_H*ODc_H,GPUMW_B*ODc_B,GPUMW_N*ODc_N)*ResidUtil*Timeline!F$9*INDEX(Curve,1,MAX(1,MIN(8,INT((F$5-$H$29)/4)+1)))/1000000</f>
        <v>0</v>
      </c>
      <c r="G124" s="122" t="n">
        <f aca="false">G123*CHOOSE(MATCH($C$29,{"H";"B";"N"},0),GPUMW_H*ODc_H,GPUMW_B*ODc_B,GPUMW_N*ODc_N)*ResidUtil*Timeline!G$9*INDEX(Curve,1,MAX(1,MIN(8,INT((G$5-$H$29)/4)+1)))/1000000</f>
        <v>0</v>
      </c>
      <c r="H124" s="122" t="n">
        <f aca="false">H123*CHOOSE(MATCH($C$29,{"H";"B";"N"},0),GPUMW_H*ODc_H,GPUMW_B*ODc_B,GPUMW_N*ODc_N)*ResidUtil*Timeline!H$9*INDEX(Curve,1,MAX(1,MIN(8,INT((H$5-$H$29)/4)+1)))/1000000</f>
        <v>0</v>
      </c>
      <c r="I124" s="122" t="n">
        <f aca="false">I123*CHOOSE(MATCH($C$29,{"H";"B";"N"},0),GPUMW_H*ODc_H,GPUMW_B*ODc_B,GPUMW_N*ODc_N)*ResidUtil*Timeline!I$9*INDEX(Curve,1,MAX(1,MIN(8,INT((I$5-$H$29)/4)+1)))/1000000</f>
        <v>0</v>
      </c>
      <c r="J124" s="122" t="n">
        <f aca="false">J123*CHOOSE(MATCH($C$29,{"H";"B";"N"},0),GPUMW_H*ODc_H,GPUMW_B*ODc_B,GPUMW_N*ODc_N)*ResidUtil*Timeline!J$9*INDEX(Curve,1,MAX(1,MIN(8,INT((J$5-$H$29)/4)+1)))/1000000</f>
        <v>0</v>
      </c>
      <c r="K124" s="122" t="n">
        <f aca="false">K123*CHOOSE(MATCH($C$29,{"H";"B";"N"},0),GPUMW_H*ODc_H,GPUMW_B*ODc_B,GPUMW_N*ODc_N)*ResidUtil*Timeline!K$9*INDEX(Curve,1,MAX(1,MIN(8,INT((K$5-$H$29)/4)+1)))/1000000</f>
        <v>0</v>
      </c>
      <c r="L124" s="122" t="n">
        <f aca="false">L123*CHOOSE(MATCH($C$29,{"H";"B";"N"},0),GPUMW_H*ODc_H,GPUMW_B*ODc_B,GPUMW_N*ODc_N)*ResidUtil*Timeline!L$9*INDEX(Curve,1,MAX(1,MIN(8,INT((L$5-$H$29)/4)+1)))/1000000</f>
        <v>0</v>
      </c>
      <c r="M124" s="122" t="n">
        <f aca="false">M123*CHOOSE(MATCH($C$29,{"H";"B";"N"},0),GPUMW_H*ODc_H,GPUMW_B*ODc_B,GPUMW_N*ODc_N)*ResidUtil*Timeline!M$9*INDEX(Curve,1,MAX(1,MIN(8,INT((M$5-$H$29)/4)+1)))/1000000</f>
        <v>0</v>
      </c>
      <c r="N124" s="122" t="n">
        <f aca="false">N123*CHOOSE(MATCH($C$29,{"H";"B";"N"},0),GPUMW_H*ODc_H,GPUMW_B*ODc_B,GPUMW_N*ODc_N)*ResidUtil*Timeline!N$9*INDEX(Curve,1,MAX(1,MIN(8,INT((N$5-$H$29)/4)+1)))/1000000</f>
        <v>0</v>
      </c>
      <c r="O124" s="122" t="n">
        <f aca="false">O123*CHOOSE(MATCH($C$29,{"H";"B";"N"},0),GPUMW_H*ODc_H,GPUMW_B*ODc_B,GPUMW_N*ODc_N)*ResidUtil*Timeline!O$9*INDEX(Curve,1,MAX(1,MIN(8,INT((O$5-$H$29)/4)+1)))/1000000</f>
        <v>0</v>
      </c>
      <c r="P124" s="123" t="n">
        <f aca="false">P123*CHOOSE(MATCH($C$29,{"H";"B";"N"},0),GPUMW_H*ODc_H,GPUMW_B*ODc_B,GPUMW_N*ODc_N)*ResidUtil*Timeline!P$9*INDEX(Curve,1,MAX(1,MIN(8,INT((P$5-$H$29)/4)+1)))/1000000</f>
        <v>0</v>
      </c>
      <c r="Q124" s="123" t="n">
        <f aca="false">Q123*CHOOSE(MATCH($C$29,{"H";"B";"N"},0),GPUMW_H*ODc_H,GPUMW_B*ODc_B,GPUMW_N*ODc_N)*ResidUtil*Timeline!Q$9*INDEX(Curve,1,MAX(1,MIN(8,INT((Q$5-$H$29)/4)+1)))/1000000</f>
        <v>0</v>
      </c>
      <c r="R124" s="123" t="n">
        <f aca="false">R123*CHOOSE(MATCH($C$29,{"H";"B";"N"},0),GPUMW_H*ODc_H,GPUMW_B*ODc_B,GPUMW_N*ODc_N)*ResidUtil*Timeline!R$9*INDEX(Curve,1,MAX(1,MIN(8,INT((R$5-$H$29)/4)+1)))/1000000</f>
        <v>0</v>
      </c>
      <c r="S124" s="123" t="n">
        <f aca="false">S123*CHOOSE(MATCH($C$29,{"H";"B";"N"},0),GPUMW_H*ODc_H,GPUMW_B*ODc_B,GPUMW_N*ODc_N)*ResidUtil*Timeline!S$9*INDEX(Curve,1,MAX(1,MIN(8,INT((S$5-$H$29)/4)+1)))/1000000</f>
        <v>0</v>
      </c>
      <c r="T124" s="123" t="n">
        <f aca="false">T123*CHOOSE(MATCH($C$29,{"H";"B";"N"},0),GPUMW_H*ODc_H,GPUMW_B*ODc_B,GPUMW_N*ODc_N)*ResidUtil*Timeline!T$9*INDEX(Curve,1,MAX(1,MIN(8,INT((T$5-$H$29)/4)+1)))/1000000</f>
        <v>0</v>
      </c>
      <c r="U124" s="123" t="n">
        <f aca="false">U123*CHOOSE(MATCH($C$29,{"H";"B";"N"},0),GPUMW_H*ODc_H,GPUMW_B*ODc_B,GPUMW_N*ODc_N)*ResidUtil*Timeline!U$9*INDEX(Curve,1,MAX(1,MIN(8,INT((U$5-$H$29)/4)+1)))/1000000</f>
        <v>0</v>
      </c>
      <c r="V124" s="123" t="n">
        <f aca="false">V123*CHOOSE(MATCH($C$29,{"H";"B";"N"},0),GPUMW_H*ODc_H,GPUMW_B*ODc_B,GPUMW_N*ODc_N)*ResidUtil*Timeline!V$9*INDEX(Curve,1,MAX(1,MIN(8,INT((V$5-$H$29)/4)+1)))/1000000</f>
        <v>0</v>
      </c>
      <c r="W124" s="123" t="n">
        <f aca="false">W123*CHOOSE(MATCH($C$29,{"H";"B";"N"},0),GPUMW_H*ODc_H,GPUMW_B*ODc_B,GPUMW_N*ODc_N)*ResidUtil*Timeline!W$9*INDEX(Curve,1,MAX(1,MIN(8,INT((W$5-$H$29)/4)+1)))/1000000</f>
        <v>0</v>
      </c>
      <c r="X124" s="123" t="n">
        <f aca="false">X123*CHOOSE(MATCH($C$29,{"H";"B";"N"},0),GPUMW_H*ODc_H,GPUMW_B*ODc_B,GPUMW_N*ODc_N)*ResidUtil*Timeline!X$9*INDEX(Curve,1,MAX(1,MIN(8,INT((X$5-$H$29)/4)+1)))/1000000</f>
        <v>0</v>
      </c>
      <c r="Y124" s="123" t="n">
        <f aca="false">Y123*CHOOSE(MATCH($C$29,{"H";"B";"N"},0),GPUMW_H*ODc_H,GPUMW_B*ODc_B,GPUMW_N*ODc_N)*ResidUtil*Timeline!Y$9*INDEX(Curve,1,MAX(1,MIN(8,INT((Y$5-$H$29)/4)+1)))/1000000</f>
        <v>0</v>
      </c>
      <c r="Z124" s="123" t="n">
        <f aca="false">Z123*CHOOSE(MATCH($C$29,{"H";"B";"N"},0),GPUMW_H*ODc_H,GPUMW_B*ODc_B,GPUMW_N*ODc_N)*ResidUtil*Timeline!Z$9*INDEX(Curve,1,MAX(1,MIN(8,INT((Z$5-$H$29)/4)+1)))/1000000</f>
        <v>0</v>
      </c>
      <c r="AA124" s="123" t="n">
        <f aca="false">AA123*CHOOSE(MATCH($C$29,{"H";"B";"N"},0),GPUMW_H*ODc_H,GPUMW_B*ODc_B,GPUMW_N*ODc_N)*ResidUtil*Timeline!AA$9*INDEX(Curve,1,MAX(1,MIN(8,INT((AA$5-$H$29)/4)+1)))/1000000</f>
        <v>0</v>
      </c>
      <c r="AB124" s="123" t="n">
        <f aca="false">AB123*CHOOSE(MATCH($C$29,{"H";"B";"N"},0),GPUMW_H*ODc_H,GPUMW_B*ODc_B,GPUMW_N*ODc_N)*ResidUtil*Timeline!AB$9*INDEX(Curve,1,MAX(1,MIN(8,INT((AB$5-$H$29)/4)+1)))/1000000</f>
        <v>0</v>
      </c>
      <c r="AC124" s="123" t="n">
        <f aca="false">AC123*CHOOSE(MATCH($C$29,{"H";"B";"N"},0),GPUMW_H*ODc_H,GPUMW_B*ODc_B,GPUMW_N*ODc_N)*ResidUtil*Timeline!AC$9*INDEX(Curve,1,MAX(1,MIN(8,INT((AC$5-$H$29)/4)+1)))/1000000</f>
        <v>0</v>
      </c>
      <c r="AD124" s="123" t="n">
        <f aca="false">AD123*CHOOSE(MATCH($C$29,{"H";"B";"N"},0),GPUMW_H*ODc_H,GPUMW_B*ODc_B,GPUMW_N*ODc_N)*ResidUtil*Timeline!AD$9*INDEX(Curve,1,MAX(1,MIN(8,INT((AD$5-$H$29)/4)+1)))/1000000</f>
        <v>0</v>
      </c>
      <c r="AE124" s="123" t="n">
        <f aca="false">AE123*CHOOSE(MATCH($C$29,{"H";"B";"N"},0),GPUMW_H*ODc_H,GPUMW_B*ODc_B,GPUMW_N*ODc_N)*ResidUtil*Timeline!AE$9*INDEX(Curve,1,MAX(1,MIN(8,INT((AE$5-$H$29)/4)+1)))/1000000</f>
        <v>0</v>
      </c>
      <c r="AF124" s="123" t="n">
        <f aca="false">AF123*CHOOSE(MATCH($C$29,{"H";"B";"N"},0),GPUMW_H*ODc_H,GPUMW_B*ODc_B,GPUMW_N*ODc_N)*ResidUtil*Timeline!AF$9*INDEX(Curve,1,MAX(1,MIN(8,INT((AF$5-$H$29)/4)+1)))/1000000</f>
        <v>0</v>
      </c>
      <c r="AG124" s="123" t="n">
        <f aca="false">AG123*CHOOSE(MATCH($C$29,{"H";"B";"N"},0),GPUMW_H*ODc_H,GPUMW_B*ODc_B,GPUMW_N*ODc_N)*ResidUtil*Timeline!AG$9*INDEX(Curve,1,MAX(1,MIN(8,INT((AG$5-$H$29)/4)+1)))/1000000</f>
        <v>0</v>
      </c>
      <c r="AI124" s="123" t="n">
        <f aca="false">SUMIF($F$7:$AG$7,AI$7,$F124:$AG124)</f>
        <v>0</v>
      </c>
      <c r="AJ124" s="123" t="n">
        <f aca="false">SUMIF($F$7:$AG$7,AJ$7,$F124:$AG124)</f>
        <v>0</v>
      </c>
      <c r="AK124" s="123" t="n">
        <f aca="false">SUMIF($F$7:$AG$7,AK$7,$F124:$AG124)</f>
        <v>0</v>
      </c>
      <c r="AL124" s="123" t="n">
        <f aca="false">SUMIF($F$7:$AG$7,AL$7,$F124:$AG124)</f>
        <v>0</v>
      </c>
      <c r="AM124" s="123" t="n">
        <f aca="false">SUMIF($F$7:$AG$7,AM$7,$F124:$AG124)</f>
        <v>0</v>
      </c>
      <c r="AN124" s="123" t="n">
        <f aca="false">SUMIF($F$7:$AG$7,AN$7,$F124:$AG124)</f>
        <v>0</v>
      </c>
      <c r="AO124" s="123" t="n">
        <f aca="false">SUMIF($F$7:$AG$7,AO$7,$F124:$AG124)</f>
        <v>0</v>
      </c>
    </row>
    <row r="126" customFormat="false" ht="15" hidden="false" customHeight="false" outlineLevel="0" collapsed="false">
      <c r="A126" s="53" t="s">
        <v>1724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</row>
    <row r="128" customFormat="false" ht="15" hidden="false" customHeight="false" outlineLevel="0" collapsed="false">
      <c r="A128" s="53" t="s">
        <v>1725</v>
      </c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</row>
    <row r="129" customFormat="false" ht="15" hidden="false" customHeight="false" outlineLevel="0" collapsed="false">
      <c r="A129" s="104" t="s">
        <v>1726</v>
      </c>
      <c r="B129" s="20" t="s">
        <v>561</v>
      </c>
      <c r="C129" s="20" t="s">
        <v>495</v>
      </c>
      <c r="D129" s="20"/>
      <c r="F129" s="122" t="n">
        <f aca="false">F35+F40+F45+F50+F55+F60+F65+F70+F75+F80+F85</f>
        <v>0</v>
      </c>
      <c r="G129" s="122" t="n">
        <f aca="false">G35+G40+G45+G50+G55+G60+G65+G70+G75+G80+G85</f>
        <v>0</v>
      </c>
      <c r="H129" s="122" t="n">
        <f aca="false">H35+H40+H45+H50+H55+H60+H65+H70+H75+H80+H85</f>
        <v>0</v>
      </c>
      <c r="I129" s="122" t="n">
        <f aca="false">I35+I40+I45+I50+I55+I60+I65+I70+I75+I80+I85</f>
        <v>0</v>
      </c>
      <c r="J129" s="122" t="n">
        <f aca="false">J35+J40+J45+J50+J55+J60+J65+J70+J75+J80+J85</f>
        <v>0</v>
      </c>
      <c r="K129" s="122" t="n">
        <f aca="false">K35+K40+K45+K50+K55+K60+K65+K70+K75+K80+K85</f>
        <v>0</v>
      </c>
      <c r="L129" s="122" t="n">
        <f aca="false">L35+L40+L45+L50+L55+L60+L65+L70+L75+L80+L85</f>
        <v>0</v>
      </c>
      <c r="M129" s="122" t="n">
        <f aca="false">M35+M40+M45+M50+M55+M60+M65+M70+M75+M80+M85</f>
        <v>12.0784027777778</v>
      </c>
      <c r="N129" s="122" t="n">
        <f aca="false">N35+N40+N45+N50+N55+N60+N65+N70+N75+N80+N85</f>
        <v>60.3920138888889</v>
      </c>
      <c r="O129" s="122" t="n">
        <f aca="false">O35+O40+O45+O50+O55+O60+O65+O70+O75+O80+O85</f>
        <v>120.784027777778</v>
      </c>
      <c r="P129" s="123" t="n">
        <f aca="false">P35+P40+P45+P50+P55+P60+P65+P70+P75+P80+P85</f>
        <v>193.254444444444</v>
      </c>
      <c r="Q129" s="123" t="n">
        <f aca="false">Q35+Q40+Q45+Q50+Q55+Q60+Q65+Q70+Q75+Q80+Q85</f>
        <v>289.881666666667</v>
      </c>
      <c r="R129" s="123" t="n">
        <f aca="false">R35+R40+R45+R50+R55+R60+R65+R70+R75+R80+R85</f>
        <v>338.195277777778</v>
      </c>
      <c r="S129" s="123" t="n">
        <f aca="false">S35+S40+S45+S50+S55+S60+S65+S70+S75+S80+S85</f>
        <v>410.665694444445</v>
      </c>
      <c r="T129" s="123" t="n">
        <f aca="false">T35+T40+T45+T50+T55+T60+T65+T70+T75+T80+T85</f>
        <v>519.371319444445</v>
      </c>
      <c r="U129" s="123" t="n">
        <f aca="false">U35+U40+U45+U50+U55+U60+U65+U70+U75+U80+U85</f>
        <v>676.390555555556</v>
      </c>
      <c r="V129" s="123" t="n">
        <f aca="false">V35+V40+V45+V50+V55+V60+V65+V70+V75+V80+V85</f>
        <v>797.174583333333</v>
      </c>
      <c r="W129" s="123" t="n">
        <f aca="false">W35+W40+W45+W50+W55+W60+W65+W70+W75+W80+W85</f>
        <v>869.645</v>
      </c>
      <c r="X129" s="123" t="n">
        <f aca="false">X35+X40+X45+X50+X55+X60+X65+X70+X75+X80+X85</f>
        <v>869.645</v>
      </c>
      <c r="Y129" s="123" t="n">
        <f aca="false">Y35+Y40+Y45+Y50+Y55+Y60+Y65+Y70+Y75+Y80+Y85</f>
        <v>869.645</v>
      </c>
      <c r="Z129" s="123" t="n">
        <f aca="false">Z35+Z40+Z45+Z50+Z55+Z60+Z65+Z70+Z75+Z80+Z85</f>
        <v>869.645</v>
      </c>
      <c r="AA129" s="123" t="n">
        <f aca="false">AA35+AA40+AA45+AA50+AA55+AA60+AA65+AA70+AA75+AA80+AA85</f>
        <v>869.645</v>
      </c>
      <c r="AB129" s="123" t="n">
        <f aca="false">AB35+AB40+AB45+AB50+AB55+AB60+AB65+AB70+AB75+AB80+AB85</f>
        <v>869.645</v>
      </c>
      <c r="AC129" s="123" t="n">
        <f aca="false">AC35+AC40+AC45+AC50+AC55+AC60+AC65+AC70+AC75+AC80+AC85</f>
        <v>869.645</v>
      </c>
      <c r="AD129" s="123" t="n">
        <f aca="false">AD35+AD40+AD45+AD50+AD55+AD60+AD65+AD70+AD75+AD80+AD85</f>
        <v>869.645</v>
      </c>
      <c r="AE129" s="123" t="n">
        <f aca="false">AE35+AE40+AE45+AE50+AE55+AE60+AE65+AE70+AE75+AE80+AE85</f>
        <v>869.645</v>
      </c>
      <c r="AF129" s="123" t="n">
        <f aca="false">AF35+AF40+AF45+AF50+AF55+AF60+AF65+AF70+AF75+AF80+AF85</f>
        <v>869.645</v>
      </c>
      <c r="AG129" s="123" t="n">
        <f aca="false">AG35+AG40+AG45+AG50+AG55+AG60+AG65+AG70+AG75+AG80+AG85</f>
        <v>821.331388888889</v>
      </c>
      <c r="AI129" s="123" t="n">
        <f aca="false">SUMIF($F$7:$AG$7,AI$7,$F129:$AG129)</f>
        <v>0</v>
      </c>
      <c r="AJ129" s="123" t="n">
        <f aca="false">SUMIF($F$7:$AG$7,AJ$7,$F129:$AG129)</f>
        <v>12.0784027777778</v>
      </c>
      <c r="AK129" s="123" t="n">
        <f aca="false">SUMIF($F$7:$AG$7,AK$7,$F129:$AG129)</f>
        <v>664.312152777778</v>
      </c>
      <c r="AL129" s="123" t="n">
        <f aca="false">SUMIF($F$7:$AG$7,AL$7,$F129:$AG129)</f>
        <v>1944.62284722222</v>
      </c>
      <c r="AM129" s="123" t="n">
        <f aca="false">SUMIF($F$7:$AG$7,AM$7,$F129:$AG129)</f>
        <v>3406.10958333333</v>
      </c>
      <c r="AN129" s="123" t="n">
        <f aca="false">SUMIF($F$7:$AG$7,AN$7,$F129:$AG129)</f>
        <v>3478.58</v>
      </c>
      <c r="AO129" s="123" t="n">
        <f aca="false">SUMIF($F$7:$AG$7,AO$7,$F129:$AG129)</f>
        <v>3430.26638888889</v>
      </c>
    </row>
    <row r="130" customFormat="false" ht="15" hidden="false" customHeight="false" outlineLevel="0" collapsed="false">
      <c r="A130" s="104" t="s">
        <v>1727</v>
      </c>
      <c r="B130" s="20" t="s">
        <v>575</v>
      </c>
      <c r="C130" s="20" t="s">
        <v>495</v>
      </c>
      <c r="D130" s="20"/>
      <c r="F130" s="122" t="n">
        <f aca="false">F36+F41+F46+F51+F56+F61+F66+F71+F76+F81+F86</f>
        <v>0</v>
      </c>
      <c r="G130" s="122" t="n">
        <f aca="false">G36+G41+G46+G51+G56+G61+G66+G71+G76+G81+G86</f>
        <v>0</v>
      </c>
      <c r="H130" s="122" t="n">
        <f aca="false">H36+H41+H46+H51+H56+H61+H66+H71+H76+H81+H86</f>
        <v>0</v>
      </c>
      <c r="I130" s="122" t="n">
        <f aca="false">I36+I41+I46+I51+I56+I61+I66+I71+I76+I81+I86</f>
        <v>0</v>
      </c>
      <c r="J130" s="122" t="n">
        <f aca="false">J36+J41+J46+J51+J56+J61+J66+J71+J76+J81+J86</f>
        <v>0</v>
      </c>
      <c r="K130" s="122" t="n">
        <f aca="false">K36+K41+K46+K51+K56+K61+K66+K71+K76+K81+K86</f>
        <v>0</v>
      </c>
      <c r="L130" s="122" t="n">
        <f aca="false">L36+L41+L46+L51+L56+L61+L66+L71+L76+L81+L86</f>
        <v>0</v>
      </c>
      <c r="M130" s="122" t="n">
        <f aca="false">M36+M41+M46+M51+M56+M61+M66+M71+M76+M81+M86</f>
        <v>26.6666666666667</v>
      </c>
      <c r="N130" s="122" t="n">
        <f aca="false">N36+N41+N46+N51+N56+N61+N66+N71+N76+N81+N86</f>
        <v>53.3333333333333</v>
      </c>
      <c r="O130" s="122" t="n">
        <f aca="false">O36+O41+O46+O51+O56+O61+O66+O71+O76+O81+O86</f>
        <v>53.3333333333333</v>
      </c>
      <c r="P130" s="123" t="n">
        <f aca="false">P36+P41+P46+P51+P56+P61+P66+P71+P76+P81+P86</f>
        <v>106.666666666667</v>
      </c>
      <c r="Q130" s="123" t="n">
        <f aca="false">Q36+Q41+Q46+Q51+Q56+Q61+Q66+Q71+Q76+Q81+Q86</f>
        <v>106.666666666667</v>
      </c>
      <c r="R130" s="123" t="n">
        <f aca="false">R36+R41+R46+R51+R56+R61+R66+R71+R76+R81+R86</f>
        <v>106.666666666667</v>
      </c>
      <c r="S130" s="123" t="n">
        <f aca="false">S36+S41+S46+S51+S56+S61+S66+S71+S76+S81+S86</f>
        <v>160</v>
      </c>
      <c r="T130" s="123" t="n">
        <f aca="false">T36+T41+T46+T51+T56+T61+T66+T71+T76+T81+T86</f>
        <v>240</v>
      </c>
      <c r="U130" s="123" t="n">
        <f aca="false">U36+U41+U46+U51+U56+U61+U66+U71+U76+U81+U86</f>
        <v>240</v>
      </c>
      <c r="V130" s="123" t="n">
        <f aca="false">V36+V41+V46+V51+V56+V61+V66+V71+V76+V81+V86</f>
        <v>240</v>
      </c>
      <c r="W130" s="123" t="n">
        <f aca="false">W36+W41+W46+W51+W56+W61+W66+W71+W76+W81+W86</f>
        <v>240</v>
      </c>
      <c r="X130" s="123" t="n">
        <f aca="false">X36+X41+X46+X51+X56+X61+X66+X71+X76+X81+X86</f>
        <v>240</v>
      </c>
      <c r="Y130" s="123" t="n">
        <f aca="false">Y36+Y41+Y46+Y51+Y56+Y61+Y66+Y71+Y76+Y81+Y86</f>
        <v>240</v>
      </c>
      <c r="Z130" s="123" t="n">
        <f aca="false">Z36+Z41+Z46+Z51+Z56+Z61+Z66+Z71+Z76+Z81+Z86</f>
        <v>240</v>
      </c>
      <c r="AA130" s="123" t="n">
        <f aca="false">AA36+AA41+AA46+AA51+AA56+AA61+AA66+AA71+AA76+AA81+AA86</f>
        <v>240</v>
      </c>
      <c r="AB130" s="123" t="n">
        <f aca="false">AB36+AB41+AB46+AB51+AB56+AB61+AB66+AB71+AB76+AB81+AB86</f>
        <v>240</v>
      </c>
      <c r="AC130" s="123" t="n">
        <f aca="false">AC36+AC41+AC46+AC51+AC56+AC61+AC66+AC71+AC76+AC81+AC86</f>
        <v>240</v>
      </c>
      <c r="AD130" s="123" t="n">
        <f aca="false">AD36+AD41+AD46+AD51+AD56+AD61+AD66+AD71+AD76+AD81+AD86</f>
        <v>240</v>
      </c>
      <c r="AE130" s="123" t="n">
        <f aca="false">AE36+AE41+AE46+AE51+AE56+AE61+AE66+AE71+AE76+AE81+AE86</f>
        <v>240</v>
      </c>
      <c r="AF130" s="123" t="n">
        <f aca="false">AF36+AF41+AF46+AF51+AF56+AF61+AF66+AF71+AF76+AF81+AF86</f>
        <v>240</v>
      </c>
      <c r="AG130" s="123" t="n">
        <f aca="false">AG36+AG41+AG46+AG51+AG56+AG61+AG66+AG71+AG76+AG81+AG86</f>
        <v>213.333333333333</v>
      </c>
      <c r="AI130" s="123" t="n">
        <f aca="false">INDEX($F130:$AG130,1,MATCH(AI$7,$F$7:$AG$7,1))</f>
        <v>0</v>
      </c>
      <c r="AJ130" s="123" t="n">
        <f aca="false">INDEX($F130:$AG130,1,MATCH(AJ$7,$F$7:$AG$7,1))</f>
        <v>26.6666666666667</v>
      </c>
      <c r="AK130" s="123" t="n">
        <f aca="false">INDEX($F130:$AG130,1,MATCH(AK$7,$F$7:$AG$7,1))</f>
        <v>106.666666666667</v>
      </c>
      <c r="AL130" s="123" t="n">
        <f aca="false">INDEX($F130:$AG130,1,MATCH(AL$7,$F$7:$AG$7,1))</f>
        <v>240</v>
      </c>
      <c r="AM130" s="123" t="n">
        <f aca="false">INDEX($F130:$AG130,1,MATCH(AM$7,$F$7:$AG$7,1))</f>
        <v>240</v>
      </c>
      <c r="AN130" s="123" t="n">
        <f aca="false">INDEX($F130:$AG130,1,MATCH(AN$7,$F$7:$AG$7,1))</f>
        <v>240</v>
      </c>
      <c r="AO130" s="123" t="n">
        <f aca="false">INDEX($F130:$AG130,1,MATCH(AO$7,$F$7:$AG$7,1))</f>
        <v>213.333333333333</v>
      </c>
    </row>
    <row r="131" customFormat="false" ht="15" hidden="false" customHeight="false" outlineLevel="0" collapsed="false">
      <c r="A131" s="104" t="s">
        <v>1728</v>
      </c>
      <c r="B131" s="20" t="s">
        <v>575</v>
      </c>
      <c r="C131" s="20" t="s">
        <v>513</v>
      </c>
      <c r="D131" s="20"/>
      <c r="F131" s="122" t="n">
        <f aca="false">IF(AND(BloomOn=1,F$5&gt;=BloomIdx+2*BloomSlipOn),F130,GensetMW/VinPUE)</f>
        <v>102.416666666667</v>
      </c>
      <c r="G131" s="122" t="n">
        <f aca="false">IF(AND(BloomOn=1,G$5&gt;=BloomIdx+2*BloomSlipOn),G130,GensetMW/VinPUE)</f>
        <v>102.416666666667</v>
      </c>
      <c r="H131" s="122" t="n">
        <f aca="false">IF(AND(BloomOn=1,H$5&gt;=BloomIdx+2*BloomSlipOn),H130,GensetMW/VinPUE)</f>
        <v>102.416666666667</v>
      </c>
      <c r="I131" s="122" t="n">
        <f aca="false">IF(AND(BloomOn=1,I$5&gt;=BloomIdx+2*BloomSlipOn),I130,GensetMW/VinPUE)</f>
        <v>102.416666666667</v>
      </c>
      <c r="J131" s="122" t="n">
        <f aca="false">IF(AND(BloomOn=1,J$5&gt;=BloomIdx+2*BloomSlipOn),J130,GensetMW/VinPUE)</f>
        <v>102.416666666667</v>
      </c>
      <c r="K131" s="122" t="n">
        <f aca="false">IF(AND(BloomOn=1,K$5&gt;=BloomIdx+2*BloomSlipOn),K130,GensetMW/VinPUE)</f>
        <v>102.416666666667</v>
      </c>
      <c r="L131" s="122" t="n">
        <f aca="false">IF(AND(BloomOn=1,L$5&gt;=BloomIdx+2*BloomSlipOn),L130,GensetMW/VinPUE)</f>
        <v>102.416666666667</v>
      </c>
      <c r="M131" s="122" t="n">
        <f aca="false">IF(AND(BloomOn=1,M$5&gt;=BloomIdx+2*BloomSlipOn),M130,GensetMW/VinPUE)</f>
        <v>102.416666666667</v>
      </c>
      <c r="N131" s="122" t="n">
        <f aca="false">IF(AND(BloomOn=1,N$5&gt;=BloomIdx+2*BloomSlipOn),N130,GensetMW/VinPUE)</f>
        <v>102.416666666667</v>
      </c>
      <c r="O131" s="122" t="n">
        <f aca="false">IF(AND(BloomOn=1,O$5&gt;=BloomIdx+2*BloomSlipOn),O130,GensetMW/VinPUE)</f>
        <v>102.416666666667</v>
      </c>
      <c r="P131" s="123" t="n">
        <f aca="false">IF(AND(BloomOn=1,P$5&gt;=BloomIdx+2*BloomSlipOn),P130,GensetMW/VinPUE)</f>
        <v>102.416666666667</v>
      </c>
      <c r="Q131" s="123" t="n">
        <f aca="false">IF(AND(BloomOn=1,Q$5&gt;=BloomIdx+2*BloomSlipOn),Q130,GensetMW/VinPUE)</f>
        <v>102.416666666667</v>
      </c>
      <c r="R131" s="123" t="n">
        <f aca="false">IF(AND(BloomOn=1,R$5&gt;=BloomIdx+2*BloomSlipOn),R130,GensetMW/VinPUE)</f>
        <v>102.416666666667</v>
      </c>
      <c r="S131" s="123" t="n">
        <f aca="false">IF(AND(BloomOn=1,S$5&gt;=BloomIdx+2*BloomSlipOn),S130,GensetMW/VinPUE)</f>
        <v>160</v>
      </c>
      <c r="T131" s="123" t="n">
        <f aca="false">IF(AND(BloomOn=1,T$5&gt;=BloomIdx+2*BloomSlipOn),T130,GensetMW/VinPUE)</f>
        <v>240</v>
      </c>
      <c r="U131" s="123" t="n">
        <f aca="false">IF(AND(BloomOn=1,U$5&gt;=BloomIdx+2*BloomSlipOn),U130,GensetMW/VinPUE)</f>
        <v>240</v>
      </c>
      <c r="V131" s="123" t="n">
        <f aca="false">IF(AND(BloomOn=1,V$5&gt;=BloomIdx+2*BloomSlipOn),V130,GensetMW/VinPUE)</f>
        <v>240</v>
      </c>
      <c r="W131" s="123" t="n">
        <f aca="false">IF(AND(BloomOn=1,W$5&gt;=BloomIdx+2*BloomSlipOn),W130,GensetMW/VinPUE)</f>
        <v>240</v>
      </c>
      <c r="X131" s="123" t="n">
        <f aca="false">IF(AND(BloomOn=1,X$5&gt;=BloomIdx+2*BloomSlipOn),X130,GensetMW/VinPUE)</f>
        <v>240</v>
      </c>
      <c r="Y131" s="123" t="n">
        <f aca="false">IF(AND(BloomOn=1,Y$5&gt;=BloomIdx+2*BloomSlipOn),Y130,GensetMW/VinPUE)</f>
        <v>240</v>
      </c>
      <c r="Z131" s="123" t="n">
        <f aca="false">IF(AND(BloomOn=1,Z$5&gt;=BloomIdx+2*BloomSlipOn),Z130,GensetMW/VinPUE)</f>
        <v>240</v>
      </c>
      <c r="AA131" s="123" t="n">
        <f aca="false">IF(AND(BloomOn=1,AA$5&gt;=BloomIdx+2*BloomSlipOn),AA130,GensetMW/VinPUE)</f>
        <v>240</v>
      </c>
      <c r="AB131" s="123" t="n">
        <f aca="false">IF(AND(BloomOn=1,AB$5&gt;=BloomIdx+2*BloomSlipOn),AB130,GensetMW/VinPUE)</f>
        <v>240</v>
      </c>
      <c r="AC131" s="123" t="n">
        <f aca="false">IF(AND(BloomOn=1,AC$5&gt;=BloomIdx+2*BloomSlipOn),AC130,GensetMW/VinPUE)</f>
        <v>240</v>
      </c>
      <c r="AD131" s="123" t="n">
        <f aca="false">IF(AND(BloomOn=1,AD$5&gt;=BloomIdx+2*BloomSlipOn),AD130,GensetMW/VinPUE)</f>
        <v>240</v>
      </c>
      <c r="AE131" s="123" t="n">
        <f aca="false">IF(AND(BloomOn=1,AE$5&gt;=BloomIdx+2*BloomSlipOn),AE130,GensetMW/VinPUE)</f>
        <v>240</v>
      </c>
      <c r="AF131" s="123" t="n">
        <f aca="false">IF(AND(BloomOn=1,AF$5&gt;=BloomIdx+2*BloomSlipOn),AF130,GensetMW/VinPUE)</f>
        <v>240</v>
      </c>
      <c r="AG131" s="123" t="n">
        <f aca="false">IF(AND(BloomOn=1,AG$5&gt;=BloomIdx+2*BloomSlipOn),AG130,GensetMW/VinPUE)</f>
        <v>213.333333333333</v>
      </c>
      <c r="AI131" s="123" t="n">
        <f aca="false">INDEX($F131:$AG131,1,MATCH(AI$7,$F$7:$AG$7,1))</f>
        <v>102.416666666667</v>
      </c>
      <c r="AJ131" s="123" t="n">
        <f aca="false">INDEX($F131:$AG131,1,MATCH(AJ$7,$F$7:$AG$7,1))</f>
        <v>102.416666666667</v>
      </c>
      <c r="AK131" s="123" t="n">
        <f aca="false">INDEX($F131:$AG131,1,MATCH(AK$7,$F$7:$AG$7,1))</f>
        <v>102.416666666667</v>
      </c>
      <c r="AL131" s="123" t="n">
        <f aca="false">INDEX($F131:$AG131,1,MATCH(AL$7,$F$7:$AG$7,1))</f>
        <v>240</v>
      </c>
      <c r="AM131" s="123" t="n">
        <f aca="false">INDEX($F131:$AG131,1,MATCH(AM$7,$F$7:$AG$7,1))</f>
        <v>240</v>
      </c>
      <c r="AN131" s="123" t="n">
        <f aca="false">INDEX($F131:$AG131,1,MATCH(AN$7,$F$7:$AG$7,1))</f>
        <v>240</v>
      </c>
      <c r="AO131" s="123" t="n">
        <f aca="false">INDEX($F131:$AG131,1,MATCH(AO$7,$F$7:$AG$7,1))</f>
        <v>213.333333333333</v>
      </c>
    </row>
    <row r="133" customFormat="false" ht="15" hidden="false" customHeight="false" outlineLevel="0" collapsed="false">
      <c r="A133" s="53" t="s">
        <v>1729</v>
      </c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</row>
    <row r="134" customFormat="false" ht="15" hidden="false" customHeight="false" outlineLevel="0" collapsed="false">
      <c r="A134" s="0" t="s">
        <v>1730</v>
      </c>
      <c r="C134" s="82" t="n">
        <v>0</v>
      </c>
      <c r="D134" s="22" t="n">
        <v>0</v>
      </c>
      <c r="E134" s="22" t="n">
        <v>0</v>
      </c>
      <c r="F134" s="34" t="n">
        <v>0.55</v>
      </c>
      <c r="G134" s="0" t="s">
        <v>1731</v>
      </c>
    </row>
    <row r="135" customFormat="false" ht="15" hidden="false" customHeight="false" outlineLevel="0" collapsed="false">
      <c r="A135" s="0" t="s">
        <v>1732</v>
      </c>
      <c r="C135" s="82" t="n">
        <v>51.25</v>
      </c>
      <c r="D135" s="22" t="n">
        <v>55</v>
      </c>
      <c r="E135" s="22" t="n">
        <v>6</v>
      </c>
      <c r="F135" s="34" t="n">
        <v>0.2</v>
      </c>
      <c r="G135" s="0" t="s">
        <v>1731</v>
      </c>
    </row>
    <row r="136" customFormat="false" ht="15" hidden="false" customHeight="false" outlineLevel="0" collapsed="false">
      <c r="A136" s="0" t="s">
        <v>1733</v>
      </c>
      <c r="C136" s="82" t="n">
        <v>100.95</v>
      </c>
      <c r="D136" s="22" t="n">
        <v>55</v>
      </c>
      <c r="E136" s="22" t="n">
        <v>6</v>
      </c>
      <c r="F136" s="34" t="n">
        <v>0.05</v>
      </c>
      <c r="G136" s="0" t="s">
        <v>1731</v>
      </c>
    </row>
    <row r="137" customFormat="false" ht="15" hidden="false" customHeight="false" outlineLevel="0" collapsed="false">
      <c r="A137" s="0" t="s">
        <v>1734</v>
      </c>
      <c r="C137" s="82" t="n">
        <v>102.5</v>
      </c>
      <c r="D137" s="22" t="n">
        <v>30</v>
      </c>
      <c r="E137" s="22" t="n">
        <v>0</v>
      </c>
      <c r="F137" s="34" t="n">
        <v>0.1</v>
      </c>
      <c r="G137" s="0" t="s">
        <v>1731</v>
      </c>
    </row>
    <row r="138" customFormat="false" ht="15" hidden="false" customHeight="false" outlineLevel="0" collapsed="false">
      <c r="A138" s="0" t="s">
        <v>1735</v>
      </c>
      <c r="C138" s="82" t="n">
        <v>102.5</v>
      </c>
      <c r="D138" s="22" t="n">
        <v>55</v>
      </c>
      <c r="E138" s="22" t="n">
        <v>6</v>
      </c>
      <c r="F138" s="34" t="n">
        <v>0.06</v>
      </c>
      <c r="G138" s="0" t="s">
        <v>1731</v>
      </c>
    </row>
    <row r="139" customFormat="false" ht="15" hidden="false" customHeight="false" outlineLevel="0" collapsed="false">
      <c r="A139" s="0" t="s">
        <v>1736</v>
      </c>
      <c r="C139" s="82" t="n">
        <v>102.5</v>
      </c>
      <c r="D139" s="22" t="n">
        <v>55</v>
      </c>
      <c r="E139" s="22" t="n">
        <v>36</v>
      </c>
      <c r="F139" s="34" t="n">
        <v>0.04</v>
      </c>
      <c r="G139" s="0" t="s">
        <v>1731</v>
      </c>
    </row>
    <row r="140" customFormat="false" ht="15" hidden="false" customHeight="false" outlineLevel="0" collapsed="false">
      <c r="A140" s="104" t="s">
        <v>1737</v>
      </c>
      <c r="B140" s="20" t="s">
        <v>575</v>
      </c>
      <c r="C140" s="20" t="s">
        <v>513</v>
      </c>
      <c r="D140" s="20" t="s">
        <v>1738</v>
      </c>
      <c r="F140" s="122" t="n">
        <f aca="false">0/Timeline!F$9*24</f>
        <v>0</v>
      </c>
      <c r="G140" s="122" t="n">
        <f aca="false">0/Timeline!G$9*24</f>
        <v>0</v>
      </c>
      <c r="H140" s="122" t="n">
        <f aca="false">0/Timeline!H$9*24</f>
        <v>0</v>
      </c>
      <c r="I140" s="122" t="n">
        <f aca="false">0/Timeline!I$9*24</f>
        <v>0</v>
      </c>
      <c r="J140" s="122" t="n">
        <f aca="false">0/Timeline!J$9*24</f>
        <v>0</v>
      </c>
      <c r="K140" s="122" t="n">
        <f aca="false">0/Timeline!K$9*24</f>
        <v>0</v>
      </c>
      <c r="L140" s="122" t="n">
        <f aca="false">0/Timeline!L$9*24</f>
        <v>0</v>
      </c>
      <c r="M140" s="122" t="n">
        <f aca="false">0/Timeline!M$9*24</f>
        <v>0</v>
      </c>
      <c r="N140" s="122" t="n">
        <f aca="false">0/Timeline!N$9*24</f>
        <v>0</v>
      </c>
      <c r="O140" s="122" t="n">
        <f aca="false">0/Timeline!O$9*24</f>
        <v>0</v>
      </c>
      <c r="P140" s="123" t="n">
        <f aca="false">0/Timeline!P$9*24</f>
        <v>0</v>
      </c>
      <c r="Q140" s="123" t="n">
        <f aca="false">IF(VinShutSel=0,0,IF(VinShutSel=7,SUMPRODUCT($C$134:$C$139,$D$134:$D$139,$F$134:$F$139),INDEX($C$134:$C$139,VinShutSel)*INDEX($D$134:$D$139,VinShutSel)))/Timeline!Q$9*24</f>
        <v>0</v>
      </c>
      <c r="R140" s="123" t="n">
        <f aca="false">IF(VinShutSel=0,0,IF(VinShutSel=7,SUMPRODUCT($C$134:$C$139,$E$134:$E$139,$F$134:$F$139),INDEX($C$134:$C$139,VinShutSel)*INDEX($E$134:$E$139,VinShutSel)))/Timeline!R$9*24</f>
        <v>0</v>
      </c>
      <c r="S140" s="123" t="n">
        <f aca="false">0/Timeline!S$9*24</f>
        <v>0</v>
      </c>
      <c r="T140" s="123" t="n">
        <f aca="false">0/Timeline!T$9*24</f>
        <v>0</v>
      </c>
      <c r="U140" s="123" t="n">
        <f aca="false">0/Timeline!U$9*24</f>
        <v>0</v>
      </c>
      <c r="V140" s="123" t="n">
        <f aca="false">0/Timeline!V$9*24</f>
        <v>0</v>
      </c>
      <c r="W140" s="123" t="n">
        <f aca="false">0/Timeline!W$9*24</f>
        <v>0</v>
      </c>
      <c r="X140" s="123" t="n">
        <f aca="false">0/Timeline!X$9*24</f>
        <v>0</v>
      </c>
      <c r="Y140" s="123" t="n">
        <f aca="false">0/Timeline!Y$9*24</f>
        <v>0</v>
      </c>
      <c r="Z140" s="123" t="n">
        <f aca="false">0/Timeline!Z$9*24</f>
        <v>0</v>
      </c>
      <c r="AA140" s="123" t="n">
        <f aca="false">0/Timeline!AA$9*24</f>
        <v>0</v>
      </c>
      <c r="AB140" s="123" t="n">
        <f aca="false">0/Timeline!AB$9*24</f>
        <v>0</v>
      </c>
      <c r="AC140" s="123" t="n">
        <f aca="false">0/Timeline!AC$9*24</f>
        <v>0</v>
      </c>
      <c r="AD140" s="123" t="n">
        <f aca="false">0/Timeline!AD$9*24</f>
        <v>0</v>
      </c>
      <c r="AE140" s="123" t="n">
        <f aca="false">0/Timeline!AE$9*24</f>
        <v>0</v>
      </c>
      <c r="AF140" s="123" t="n">
        <f aca="false">0/Timeline!AF$9*24</f>
        <v>0</v>
      </c>
      <c r="AG140" s="123" t="n">
        <f aca="false">0/Timeline!AG$9*24</f>
        <v>0</v>
      </c>
      <c r="AI140" s="123" t="n">
        <f aca="false">AVERAGEIF($F$7:$AG$7,AI$7,$F140:$AG140)</f>
        <v>0</v>
      </c>
      <c r="AJ140" s="123" t="n">
        <f aca="false">AVERAGEIF($F$7:$AG$7,AJ$7,$F140:$AG140)</f>
        <v>0</v>
      </c>
      <c r="AK140" s="123" t="n">
        <f aca="false">AVERAGEIF($F$7:$AG$7,AK$7,$F140:$AG140)</f>
        <v>0</v>
      </c>
      <c r="AL140" s="123" t="n">
        <f aca="false">AVERAGEIF($F$7:$AG$7,AL$7,$F140:$AG140)</f>
        <v>0</v>
      </c>
      <c r="AM140" s="123" t="n">
        <f aca="false">AVERAGEIF($F$7:$AG$7,AM$7,$F140:$AG140)</f>
        <v>0</v>
      </c>
      <c r="AN140" s="123" t="n">
        <f aca="false">AVERAGEIF($F$7:$AG$7,AN$7,$F140:$AG140)</f>
        <v>0</v>
      </c>
      <c r="AO140" s="123" t="n">
        <f aca="false">AVERAGEIF($F$7:$AG$7,AO$7,$F140:$AG140)</f>
        <v>0</v>
      </c>
    </row>
    <row r="141" customFormat="false" ht="15" hidden="false" customHeight="false" outlineLevel="0" collapsed="false">
      <c r="A141" s="3" t="s">
        <v>1739</v>
      </c>
      <c r="B141" s="20" t="s">
        <v>575</v>
      </c>
      <c r="C141" s="20" t="s">
        <v>495</v>
      </c>
      <c r="D141" s="20"/>
      <c r="F141" s="124" t="n">
        <f aca="false">MIN(F130,F131)</f>
        <v>0</v>
      </c>
      <c r="G141" s="124" t="n">
        <f aca="false">MIN(G130,G131)</f>
        <v>0</v>
      </c>
      <c r="H141" s="124" t="n">
        <f aca="false">MIN(H130,H131)</f>
        <v>0</v>
      </c>
      <c r="I141" s="124" t="n">
        <f aca="false">MIN(I130,I131)</f>
        <v>0</v>
      </c>
      <c r="J141" s="124" t="n">
        <f aca="false">MIN(J130,J131)</f>
        <v>0</v>
      </c>
      <c r="K141" s="124" t="n">
        <f aca="false">MIN(K130,K131)</f>
        <v>0</v>
      </c>
      <c r="L141" s="124" t="n">
        <f aca="false">MIN(L130,L131)</f>
        <v>0</v>
      </c>
      <c r="M141" s="124" t="n">
        <f aca="false">MIN(M130,M131)</f>
        <v>26.6666666666667</v>
      </c>
      <c r="N141" s="124" t="n">
        <f aca="false">MIN(N130,N131)</f>
        <v>53.3333333333333</v>
      </c>
      <c r="O141" s="124" t="n">
        <f aca="false">MIN(O130,O131)</f>
        <v>53.3333333333333</v>
      </c>
      <c r="P141" s="96" t="n">
        <f aca="false">MIN(P130,P131)</f>
        <v>102.416666666667</v>
      </c>
      <c r="Q141" s="96" t="n">
        <f aca="false">MIN(Q130,Q131)</f>
        <v>102.416666666667</v>
      </c>
      <c r="R141" s="96" t="n">
        <f aca="false">MIN(R130,R131)</f>
        <v>102.416666666667</v>
      </c>
      <c r="S141" s="96" t="n">
        <f aca="false">MIN(S130,S131)</f>
        <v>160</v>
      </c>
      <c r="T141" s="96" t="n">
        <f aca="false">MIN(T130,T131)</f>
        <v>240</v>
      </c>
      <c r="U141" s="96" t="n">
        <f aca="false">MIN(U130,U131)</f>
        <v>240</v>
      </c>
      <c r="V141" s="96" t="n">
        <f aca="false">MIN(V130,V131)</f>
        <v>240</v>
      </c>
      <c r="W141" s="96" t="n">
        <f aca="false">MIN(W130,W131)</f>
        <v>240</v>
      </c>
      <c r="X141" s="96" t="n">
        <f aca="false">MIN(X130,X131)</f>
        <v>240</v>
      </c>
      <c r="Y141" s="96" t="n">
        <f aca="false">MIN(Y130,Y131)</f>
        <v>240</v>
      </c>
      <c r="Z141" s="96" t="n">
        <f aca="false">MIN(Z130,Z131)</f>
        <v>240</v>
      </c>
      <c r="AA141" s="96" t="n">
        <f aca="false">MIN(AA130,AA131)</f>
        <v>240</v>
      </c>
      <c r="AB141" s="96" t="n">
        <f aca="false">MIN(AB130,AB131)</f>
        <v>240</v>
      </c>
      <c r="AC141" s="96" t="n">
        <f aca="false">MIN(AC130,AC131)</f>
        <v>240</v>
      </c>
      <c r="AD141" s="96" t="n">
        <f aca="false">MIN(AD130,AD131)</f>
        <v>240</v>
      </c>
      <c r="AE141" s="96" t="n">
        <f aca="false">MIN(AE130,AE131)</f>
        <v>240</v>
      </c>
      <c r="AF141" s="96" t="n">
        <f aca="false">MIN(AF130,AF131)</f>
        <v>240</v>
      </c>
      <c r="AG141" s="96" t="n">
        <f aca="false">MIN(AG130,AG131)</f>
        <v>213.333333333333</v>
      </c>
      <c r="AI141" s="96" t="n">
        <f aca="false">INDEX($F141:$AG141,1,MATCH(AI$7,$F$7:$AG$7,1))</f>
        <v>0</v>
      </c>
      <c r="AJ141" s="96" t="n">
        <f aca="false">INDEX($F141:$AG141,1,MATCH(AJ$7,$F$7:$AG$7,1))</f>
        <v>26.6666666666667</v>
      </c>
      <c r="AK141" s="96" t="n">
        <f aca="false">INDEX($F141:$AG141,1,MATCH(AK$7,$F$7:$AG$7,1))</f>
        <v>102.416666666667</v>
      </c>
      <c r="AL141" s="96" t="n">
        <f aca="false">INDEX($F141:$AG141,1,MATCH(AL$7,$F$7:$AG$7,1))</f>
        <v>240</v>
      </c>
      <c r="AM141" s="96" t="n">
        <f aca="false">INDEX($F141:$AG141,1,MATCH(AM$7,$F$7:$AG$7,1))</f>
        <v>240</v>
      </c>
      <c r="AN141" s="96" t="n">
        <f aca="false">INDEX($F141:$AG141,1,MATCH(AN$7,$F$7:$AG$7,1))</f>
        <v>240</v>
      </c>
      <c r="AO141" s="96" t="n">
        <f aca="false">INDEX($F141:$AG141,1,MATCH(AO$7,$F$7:$AG$7,1))</f>
        <v>213.333333333333</v>
      </c>
    </row>
    <row r="142" customFormat="false" ht="15" hidden="false" customHeight="false" outlineLevel="0" collapsed="false">
      <c r="A142" s="104" t="s">
        <v>1740</v>
      </c>
      <c r="B142" s="20" t="s">
        <v>561</v>
      </c>
      <c r="C142" s="20" t="s">
        <v>495</v>
      </c>
      <c r="D142" s="20"/>
      <c r="F142" s="122" t="n">
        <f aca="false">IF(F130&gt;0,F129*F141/F130,0)</f>
        <v>0</v>
      </c>
      <c r="G142" s="122" t="n">
        <f aca="false">IF(G130&gt;0,G129*G141/G130,0)</f>
        <v>0</v>
      </c>
      <c r="H142" s="122" t="n">
        <f aca="false">IF(H130&gt;0,H129*H141/H130,0)</f>
        <v>0</v>
      </c>
      <c r="I142" s="122" t="n">
        <f aca="false">IF(I130&gt;0,I129*I141/I130,0)</f>
        <v>0</v>
      </c>
      <c r="J142" s="122" t="n">
        <f aca="false">IF(J130&gt;0,J129*J141/J130,0)</f>
        <v>0</v>
      </c>
      <c r="K142" s="122" t="n">
        <f aca="false">IF(K130&gt;0,K129*K141/K130,0)</f>
        <v>0</v>
      </c>
      <c r="L142" s="122" t="n">
        <f aca="false">IF(L130&gt;0,L129*L141/L130,0)</f>
        <v>0</v>
      </c>
      <c r="M142" s="122" t="n">
        <f aca="false">IF(M130&gt;0,M129*M141/M130,0)</f>
        <v>12.0784027777778</v>
      </c>
      <c r="N142" s="122" t="n">
        <f aca="false">IF(N130&gt;0,N129*N141/N130,0)</f>
        <v>60.3920138888889</v>
      </c>
      <c r="O142" s="122" t="n">
        <f aca="false">IF(O130&gt;0,O129*O141/O130,0)</f>
        <v>120.784027777778</v>
      </c>
      <c r="P142" s="123" t="n">
        <f aca="false">IF(P130&gt;0,P129*P141/P130,0)</f>
        <v>185.554462673611</v>
      </c>
      <c r="Q142" s="123" t="n">
        <f aca="false">IF(Q130&gt;0,Q129*Q141/Q130,0)</f>
        <v>278.331694010417</v>
      </c>
      <c r="R142" s="123" t="n">
        <f aca="false">IF(R130&gt;0,R129*R141/R130,0)</f>
        <v>324.72030967882</v>
      </c>
      <c r="S142" s="123" t="n">
        <f aca="false">IF(S130&gt;0,S129*S141/S130,0)</f>
        <v>410.665694444445</v>
      </c>
      <c r="T142" s="123" t="n">
        <f aca="false">IF(T130&gt;0,T129*T141/T130,0)</f>
        <v>519.371319444445</v>
      </c>
      <c r="U142" s="123" t="n">
        <f aca="false">IF(U130&gt;0,U129*U141/U130,0)</f>
        <v>676.390555555556</v>
      </c>
      <c r="V142" s="123" t="n">
        <f aca="false">IF(V130&gt;0,V129*V141/V130,0)</f>
        <v>797.174583333333</v>
      </c>
      <c r="W142" s="123" t="n">
        <f aca="false">IF(W130&gt;0,W129*W141/W130,0)</f>
        <v>869.645</v>
      </c>
      <c r="X142" s="123" t="n">
        <f aca="false">IF(X130&gt;0,X129*X141/X130,0)</f>
        <v>869.645</v>
      </c>
      <c r="Y142" s="123" t="n">
        <f aca="false">IF(Y130&gt;0,Y129*Y141/Y130,0)</f>
        <v>869.645</v>
      </c>
      <c r="Z142" s="123" t="n">
        <f aca="false">IF(Z130&gt;0,Z129*Z141/Z130,0)</f>
        <v>869.645</v>
      </c>
      <c r="AA142" s="123" t="n">
        <f aca="false">IF(AA130&gt;0,AA129*AA141/AA130,0)</f>
        <v>869.645</v>
      </c>
      <c r="AB142" s="123" t="n">
        <f aca="false">IF(AB130&gt;0,AB129*AB141/AB130,0)</f>
        <v>869.645</v>
      </c>
      <c r="AC142" s="123" t="n">
        <f aca="false">IF(AC130&gt;0,AC129*AC141/AC130,0)</f>
        <v>869.645</v>
      </c>
      <c r="AD142" s="123" t="n">
        <f aca="false">IF(AD130&gt;0,AD129*AD141/AD130,0)</f>
        <v>869.645</v>
      </c>
      <c r="AE142" s="123" t="n">
        <f aca="false">IF(AE130&gt;0,AE129*AE141/AE130,0)</f>
        <v>869.645</v>
      </c>
      <c r="AF142" s="123" t="n">
        <f aca="false">IF(AF130&gt;0,AF129*AF141/AF130,0)</f>
        <v>869.645</v>
      </c>
      <c r="AG142" s="123" t="n">
        <f aca="false">IF(AG130&gt;0,AG129*AG141/AG130,0)</f>
        <v>821.331388888889</v>
      </c>
      <c r="AI142" s="123" t="n">
        <f aca="false">SUMIF($F$7:$AG$7,AI$7,$F142:$AG142)</f>
        <v>0</v>
      </c>
      <c r="AJ142" s="123" t="n">
        <f aca="false">SUMIF($F$7:$AG$7,AJ$7,$F142:$AG142)</f>
        <v>12.0784027777778</v>
      </c>
      <c r="AK142" s="123" t="n">
        <f aca="false">SUMIF($F$7:$AG$7,AK$7,$F142:$AG142)</f>
        <v>645.062198350694</v>
      </c>
      <c r="AL142" s="123" t="n">
        <f aca="false">SUMIF($F$7:$AG$7,AL$7,$F142:$AG142)</f>
        <v>1931.14787912326</v>
      </c>
      <c r="AM142" s="123" t="n">
        <f aca="false">SUMIF($F$7:$AG$7,AM$7,$F142:$AG142)</f>
        <v>3406.10958333333</v>
      </c>
      <c r="AN142" s="123" t="n">
        <f aca="false">SUMIF($F$7:$AG$7,AN$7,$F142:$AG142)</f>
        <v>3478.58</v>
      </c>
      <c r="AO142" s="123" t="n">
        <f aca="false">SUMIF($F$7:$AG$7,AO$7,$F142:$AG142)</f>
        <v>3430.26638888889</v>
      </c>
    </row>
    <row r="143" customFormat="false" ht="15" hidden="false" customHeight="false" outlineLevel="0" collapsed="false">
      <c r="A143" s="104" t="s">
        <v>1741</v>
      </c>
      <c r="B143" s="20" t="s">
        <v>561</v>
      </c>
      <c r="C143" s="20" t="s">
        <v>513</v>
      </c>
      <c r="D143" s="20" t="s">
        <v>1742</v>
      </c>
      <c r="F143" s="122" t="n">
        <f aca="false">MIN(F142,0*VinRevMW/365)</f>
        <v>0</v>
      </c>
      <c r="G143" s="122" t="n">
        <f aca="false">MIN(G142,0*VinRevMW/365)</f>
        <v>0</v>
      </c>
      <c r="H143" s="122" t="n">
        <f aca="false">MIN(H142,0*VinRevMW/365)</f>
        <v>0</v>
      </c>
      <c r="I143" s="122" t="n">
        <f aca="false">MIN(I142,0*VinRevMW/365)</f>
        <v>0</v>
      </c>
      <c r="J143" s="122" t="n">
        <f aca="false">MIN(J142,0*VinRevMW/365)</f>
        <v>0</v>
      </c>
      <c r="K143" s="122" t="n">
        <f aca="false">MIN(K142,0*VinRevMW/365)</f>
        <v>0</v>
      </c>
      <c r="L143" s="122" t="n">
        <f aca="false">MIN(L142,0*VinRevMW/365)</f>
        <v>0</v>
      </c>
      <c r="M143" s="122" t="n">
        <f aca="false">MIN(M142,0*VinRevMW/365)</f>
        <v>0</v>
      </c>
      <c r="N143" s="122" t="n">
        <f aca="false">MIN(N142,0*VinRevMW/365)</f>
        <v>0</v>
      </c>
      <c r="O143" s="122" t="n">
        <f aca="false">MIN(O142,0*VinRevMW/365)</f>
        <v>0</v>
      </c>
      <c r="P143" s="123" t="n">
        <f aca="false">MIN(P142,0*VinRevMW/365)</f>
        <v>0</v>
      </c>
      <c r="Q143" s="123" t="n">
        <f aca="false">MIN(Q142,IF(VinShutSel=0,0,IF(VinShutSel=7,SUMPRODUCT($C$134:$C$139,$D$134:$D$139,$F$134:$F$139),INDEX($C$134:$C$139,VinShutSel)*INDEX($D$134:$D$139,VinShutSel)))*VinRevMW/365)</f>
        <v>0</v>
      </c>
      <c r="R143" s="123" t="n">
        <f aca="false">MIN(R142,IF(VinShutSel=0,0,IF(VinShutSel=7,SUMPRODUCT($C$134:$C$139,$E$134:$E$139,$F$134:$F$139),INDEX($C$134:$C$139,VinShutSel)*INDEX($E$134:$E$139,VinShutSel)))*VinRevMW/365)</f>
        <v>0</v>
      </c>
      <c r="S143" s="123" t="n">
        <f aca="false">MIN(S142,0*VinRevMW/365)</f>
        <v>0</v>
      </c>
      <c r="T143" s="123" t="n">
        <f aca="false">MIN(T142,0*VinRevMW/365)</f>
        <v>0</v>
      </c>
      <c r="U143" s="123" t="n">
        <f aca="false">MIN(U142,0*VinRevMW/365)</f>
        <v>0</v>
      </c>
      <c r="V143" s="123" t="n">
        <f aca="false">MIN(V142,0*VinRevMW/365)</f>
        <v>0</v>
      </c>
      <c r="W143" s="123" t="n">
        <f aca="false">MIN(W142,0*VinRevMW/365)</f>
        <v>0</v>
      </c>
      <c r="X143" s="123" t="n">
        <f aca="false">MIN(X142,0*VinRevMW/365)</f>
        <v>0</v>
      </c>
      <c r="Y143" s="123" t="n">
        <f aca="false">MIN(Y142,0*VinRevMW/365)</f>
        <v>0</v>
      </c>
      <c r="Z143" s="123" t="n">
        <f aca="false">MIN(Z142,0*VinRevMW/365)</f>
        <v>0</v>
      </c>
      <c r="AA143" s="123" t="n">
        <f aca="false">MIN(AA142,0*VinRevMW/365)</f>
        <v>0</v>
      </c>
      <c r="AB143" s="123" t="n">
        <f aca="false">MIN(AB142,0*VinRevMW/365)</f>
        <v>0</v>
      </c>
      <c r="AC143" s="123" t="n">
        <f aca="false">MIN(AC142,0*VinRevMW/365)</f>
        <v>0</v>
      </c>
      <c r="AD143" s="123" t="n">
        <f aca="false">MIN(AD142,0*VinRevMW/365)</f>
        <v>0</v>
      </c>
      <c r="AE143" s="123" t="n">
        <f aca="false">MIN(AE142,0*VinRevMW/365)</f>
        <v>0</v>
      </c>
      <c r="AF143" s="123" t="n">
        <f aca="false">MIN(AF142,0*VinRevMW/365)</f>
        <v>0</v>
      </c>
      <c r="AG143" s="123" t="n">
        <f aca="false">MIN(AG142,0*VinRevMW/365)</f>
        <v>0</v>
      </c>
      <c r="AI143" s="123" t="n">
        <f aca="false">SUMIF($F$7:$AG$7,AI$7,$F143:$AG143)</f>
        <v>0</v>
      </c>
      <c r="AJ143" s="123" t="n">
        <f aca="false">SUMIF($F$7:$AG$7,AJ$7,$F143:$AG143)</f>
        <v>0</v>
      </c>
      <c r="AK143" s="123" t="n">
        <f aca="false">SUMIF($F$7:$AG$7,AK$7,$F143:$AG143)</f>
        <v>0</v>
      </c>
      <c r="AL143" s="123" t="n">
        <f aca="false">SUMIF($F$7:$AG$7,AL$7,$F143:$AG143)</f>
        <v>0</v>
      </c>
      <c r="AM143" s="123" t="n">
        <f aca="false">SUMIF($F$7:$AG$7,AM$7,$F143:$AG143)</f>
        <v>0</v>
      </c>
      <c r="AN143" s="123" t="n">
        <f aca="false">SUMIF($F$7:$AG$7,AN$7,$F143:$AG143)</f>
        <v>0</v>
      </c>
      <c r="AO143" s="123" t="n">
        <f aca="false">SUMIF($F$7:$AG$7,AO$7,$F143:$AG143)</f>
        <v>0</v>
      </c>
    </row>
    <row r="144" customFormat="false" ht="15" hidden="false" customHeight="false" outlineLevel="0" collapsed="false">
      <c r="A144" s="3" t="s">
        <v>1743</v>
      </c>
      <c r="B144" s="20" t="s">
        <v>561</v>
      </c>
      <c r="C144" s="20" t="s">
        <v>495</v>
      </c>
      <c r="D144" s="20"/>
      <c r="F144" s="124" t="n">
        <f aca="false">F142-F143</f>
        <v>0</v>
      </c>
      <c r="G144" s="124" t="n">
        <f aca="false">G142-G143</f>
        <v>0</v>
      </c>
      <c r="H144" s="124" t="n">
        <f aca="false">H142-H143</f>
        <v>0</v>
      </c>
      <c r="I144" s="124" t="n">
        <f aca="false">I142-I143</f>
        <v>0</v>
      </c>
      <c r="J144" s="124" t="n">
        <f aca="false">J142-J143</f>
        <v>0</v>
      </c>
      <c r="K144" s="124" t="n">
        <f aca="false">K142-K143</f>
        <v>0</v>
      </c>
      <c r="L144" s="124" t="n">
        <f aca="false">L142-L143</f>
        <v>0</v>
      </c>
      <c r="M144" s="124" t="n">
        <f aca="false">M142-M143</f>
        <v>12.0784027777778</v>
      </c>
      <c r="N144" s="124" t="n">
        <f aca="false">N142-N143</f>
        <v>60.3920138888889</v>
      </c>
      <c r="O144" s="124" t="n">
        <f aca="false">O142-O143</f>
        <v>120.784027777778</v>
      </c>
      <c r="P144" s="96" t="n">
        <f aca="false">P142-P143</f>
        <v>185.554462673611</v>
      </c>
      <c r="Q144" s="96" t="n">
        <f aca="false">Q142-Q143</f>
        <v>278.331694010417</v>
      </c>
      <c r="R144" s="96" t="n">
        <f aca="false">R142-R143</f>
        <v>324.72030967882</v>
      </c>
      <c r="S144" s="96" t="n">
        <f aca="false">S142-S143</f>
        <v>410.665694444445</v>
      </c>
      <c r="T144" s="96" t="n">
        <f aca="false">T142-T143</f>
        <v>519.371319444445</v>
      </c>
      <c r="U144" s="96" t="n">
        <f aca="false">U142-U143</f>
        <v>676.390555555556</v>
      </c>
      <c r="V144" s="96" t="n">
        <f aca="false">V142-V143</f>
        <v>797.174583333333</v>
      </c>
      <c r="W144" s="96" t="n">
        <f aca="false">W142-W143</f>
        <v>869.645</v>
      </c>
      <c r="X144" s="96" t="n">
        <f aca="false">X142-X143</f>
        <v>869.645</v>
      </c>
      <c r="Y144" s="96" t="n">
        <f aca="false">Y142-Y143</f>
        <v>869.645</v>
      </c>
      <c r="Z144" s="96" t="n">
        <f aca="false">Z142-Z143</f>
        <v>869.645</v>
      </c>
      <c r="AA144" s="96" t="n">
        <f aca="false">AA142-AA143</f>
        <v>869.645</v>
      </c>
      <c r="AB144" s="96" t="n">
        <f aca="false">AB142-AB143</f>
        <v>869.645</v>
      </c>
      <c r="AC144" s="96" t="n">
        <f aca="false">AC142-AC143</f>
        <v>869.645</v>
      </c>
      <c r="AD144" s="96" t="n">
        <f aca="false">AD142-AD143</f>
        <v>869.645</v>
      </c>
      <c r="AE144" s="96" t="n">
        <f aca="false">AE142-AE143</f>
        <v>869.645</v>
      </c>
      <c r="AF144" s="96" t="n">
        <f aca="false">AF142-AF143</f>
        <v>869.645</v>
      </c>
      <c r="AG144" s="96" t="n">
        <f aca="false">AG142-AG143</f>
        <v>821.331388888889</v>
      </c>
      <c r="AI144" s="96" t="n">
        <f aca="false">SUMIF($F$7:$AG$7,AI$7,$F144:$AG144)</f>
        <v>0</v>
      </c>
      <c r="AJ144" s="96" t="n">
        <f aca="false">SUMIF($F$7:$AG$7,AJ$7,$F144:$AG144)</f>
        <v>12.0784027777778</v>
      </c>
      <c r="AK144" s="96" t="n">
        <f aca="false">SUMIF($F$7:$AG$7,AK$7,$F144:$AG144)</f>
        <v>645.062198350694</v>
      </c>
      <c r="AL144" s="96" t="n">
        <f aca="false">SUMIF($F$7:$AG$7,AL$7,$F144:$AG144)</f>
        <v>1931.14787912326</v>
      </c>
      <c r="AM144" s="96" t="n">
        <f aca="false">SUMIF($F$7:$AG$7,AM$7,$F144:$AG144)</f>
        <v>3406.10958333333</v>
      </c>
      <c r="AN144" s="96" t="n">
        <f aca="false">SUMIF($F$7:$AG$7,AN$7,$F144:$AG144)</f>
        <v>3478.58</v>
      </c>
      <c r="AO144" s="96" t="n">
        <f aca="false">SUMIF($F$7:$AG$7,AO$7,$F144:$AG144)</f>
        <v>3430.26638888889</v>
      </c>
    </row>
    <row r="145" customFormat="false" ht="15" hidden="false" customHeight="false" outlineLevel="0" collapsed="false">
      <c r="A145" s="104" t="s">
        <v>1744</v>
      </c>
      <c r="B145" s="20" t="s">
        <v>499</v>
      </c>
      <c r="C145" s="20" t="s">
        <v>513</v>
      </c>
      <c r="D145" s="20"/>
      <c r="F145" s="114" t="n">
        <f aca="false">F140/26.67</f>
        <v>0</v>
      </c>
      <c r="G145" s="114" t="n">
        <f aca="false">G140/26.67</f>
        <v>0</v>
      </c>
      <c r="H145" s="114" t="n">
        <f aca="false">H140/26.67</f>
        <v>0</v>
      </c>
      <c r="I145" s="114" t="n">
        <f aca="false">I140/26.67</f>
        <v>0</v>
      </c>
      <c r="J145" s="114" t="n">
        <f aca="false">J140/26.67</f>
        <v>0</v>
      </c>
      <c r="K145" s="114" t="n">
        <f aca="false">K140/26.67</f>
        <v>0</v>
      </c>
      <c r="L145" s="114" t="n">
        <f aca="false">L140/26.67</f>
        <v>0</v>
      </c>
      <c r="M145" s="114" t="n">
        <f aca="false">M140/26.67</f>
        <v>0</v>
      </c>
      <c r="N145" s="114" t="n">
        <f aca="false">N140/26.67</f>
        <v>0</v>
      </c>
      <c r="O145" s="114" t="n">
        <f aca="false">O140/26.67</f>
        <v>0</v>
      </c>
      <c r="P145" s="23" t="n">
        <f aca="false">P140/26.67</f>
        <v>0</v>
      </c>
      <c r="Q145" s="23" t="n">
        <f aca="false">Q140/26.67</f>
        <v>0</v>
      </c>
      <c r="R145" s="23" t="n">
        <f aca="false">R140/26.67</f>
        <v>0</v>
      </c>
      <c r="S145" s="23" t="n">
        <f aca="false">S140/26.67</f>
        <v>0</v>
      </c>
      <c r="T145" s="23" t="n">
        <f aca="false">T140/26.67</f>
        <v>0</v>
      </c>
      <c r="U145" s="23" t="n">
        <f aca="false">U140/26.67</f>
        <v>0</v>
      </c>
      <c r="V145" s="23" t="n">
        <f aca="false">V140/26.67</f>
        <v>0</v>
      </c>
      <c r="W145" s="23" t="n">
        <f aca="false">W140/26.67</f>
        <v>0</v>
      </c>
      <c r="X145" s="23" t="n">
        <f aca="false">X140/26.67</f>
        <v>0</v>
      </c>
      <c r="Y145" s="23" t="n">
        <f aca="false">Y140/26.67</f>
        <v>0</v>
      </c>
      <c r="Z145" s="23" t="n">
        <f aca="false">Z140/26.67</f>
        <v>0</v>
      </c>
      <c r="AA145" s="23" t="n">
        <f aca="false">AA140/26.67</f>
        <v>0</v>
      </c>
      <c r="AB145" s="23" t="n">
        <f aca="false">AB140/26.67</f>
        <v>0</v>
      </c>
      <c r="AC145" s="23" t="n">
        <f aca="false">AC140/26.67</f>
        <v>0</v>
      </c>
      <c r="AD145" s="23" t="n">
        <f aca="false">AD140/26.67</f>
        <v>0</v>
      </c>
      <c r="AE145" s="23" t="n">
        <f aca="false">AE140/26.67</f>
        <v>0</v>
      </c>
      <c r="AF145" s="23" t="n">
        <f aca="false">AF140/26.67</f>
        <v>0</v>
      </c>
      <c r="AG145" s="23" t="n">
        <f aca="false">AG140/26.67</f>
        <v>0</v>
      </c>
      <c r="AI145" s="23" t="n">
        <f aca="false">AVERAGEIF($F$7:$AG$7,AI$7,$F145:$AG145)</f>
        <v>0</v>
      </c>
      <c r="AJ145" s="23" t="n">
        <f aca="false">AVERAGEIF($F$7:$AG$7,AJ$7,$F145:$AG145)</f>
        <v>0</v>
      </c>
      <c r="AK145" s="23" t="n">
        <f aca="false">AVERAGEIF($F$7:$AG$7,AK$7,$F145:$AG145)</f>
        <v>0</v>
      </c>
      <c r="AL145" s="23" t="n">
        <f aca="false">AVERAGEIF($F$7:$AG$7,AL$7,$F145:$AG145)</f>
        <v>0</v>
      </c>
      <c r="AM145" s="23" t="n">
        <f aca="false">AVERAGEIF($F$7:$AG$7,AM$7,$F145:$AG145)</f>
        <v>0</v>
      </c>
      <c r="AN145" s="23" t="n">
        <f aca="false">AVERAGEIF($F$7:$AG$7,AN$7,$F145:$AG145)</f>
        <v>0</v>
      </c>
      <c r="AO145" s="23" t="n">
        <f aca="false">AVERAGEIF($F$7:$AG$7,AO$7,$F145:$AG145)</f>
        <v>0</v>
      </c>
    </row>
    <row r="146" customFormat="false" ht="15" hidden="false" customHeight="false" outlineLevel="0" collapsed="false">
      <c r="A146" s="104" t="s">
        <v>1745</v>
      </c>
      <c r="B146" s="20" t="s">
        <v>561</v>
      </c>
      <c r="C146" s="20" t="s">
        <v>513</v>
      </c>
      <c r="D146" s="20" t="s">
        <v>1746</v>
      </c>
      <c r="Q146" s="123" t="n">
        <f aca="false">SUMPRODUCT($C$134:$C$139,$D$134:$D$139,$F$134:$F$139)*VinRevMW/365</f>
        <v>68.0352910958904</v>
      </c>
      <c r="R146" s="123" t="n">
        <f aca="false">SUMPRODUCT($C$134:$C$139,$E$134:$E$139,$F$134:$F$139)*VinRevMW/365</f>
        <v>10.9757054794521</v>
      </c>
    </row>
    <row r="147" customFormat="false" ht="15" hidden="false" customHeight="false" outlineLevel="0" collapsed="false">
      <c r="A147" s="104" t="s">
        <v>1747</v>
      </c>
      <c r="B147" s="20" t="s">
        <v>561</v>
      </c>
      <c r="C147" s="20" t="s">
        <v>531</v>
      </c>
      <c r="D147" s="20"/>
      <c r="F147" s="122" t="n">
        <f aca="false">F144-MSFT_Ceil</f>
        <v>-350</v>
      </c>
      <c r="G147" s="122" t="n">
        <f aca="false">G144-MSFT_Ceil</f>
        <v>-350</v>
      </c>
      <c r="H147" s="122" t="n">
        <f aca="false">H144-MSFT_Ceil</f>
        <v>-350</v>
      </c>
      <c r="I147" s="122" t="n">
        <f aca="false">I144-MSFT_Ceil</f>
        <v>-350</v>
      </c>
      <c r="J147" s="122" t="n">
        <f aca="false">J144-MSFT_Ceil</f>
        <v>-350</v>
      </c>
      <c r="K147" s="122" t="n">
        <f aca="false">K144-MSFT_Ceil</f>
        <v>-350</v>
      </c>
      <c r="L147" s="122" t="n">
        <f aca="false">L144-MSFT_Ceil</f>
        <v>-350</v>
      </c>
      <c r="M147" s="122" t="n">
        <f aca="false">M144-MSFT_Ceil</f>
        <v>-337.921597222222</v>
      </c>
      <c r="N147" s="122" t="n">
        <f aca="false">N144-MSFT_Ceil</f>
        <v>-289.607986111111</v>
      </c>
      <c r="O147" s="122" t="n">
        <f aca="false">O144-MSFT_Ceil</f>
        <v>-229.215972222222</v>
      </c>
      <c r="P147" s="123" t="n">
        <f aca="false">P144-MSFT_Ceil</f>
        <v>-164.445537326389</v>
      </c>
      <c r="Q147" s="123" t="n">
        <f aca="false">Q144-MSFT_Ceil</f>
        <v>-71.6683059895833</v>
      </c>
      <c r="R147" s="123" t="n">
        <f aca="false">R144-MSFT_Ceil</f>
        <v>-25.2796903211805</v>
      </c>
      <c r="S147" s="123" t="n">
        <f aca="false">S144-MSFT_Ceil</f>
        <v>60.6656944444445</v>
      </c>
      <c r="T147" s="123" t="n">
        <f aca="false">T144-MSFT_Ceil</f>
        <v>169.371319444445</v>
      </c>
      <c r="U147" s="123" t="n">
        <f aca="false">U144-MSFT_Ceil</f>
        <v>326.390555555555</v>
      </c>
      <c r="V147" s="123" t="n">
        <f aca="false">V144-MSFT_Ceil</f>
        <v>447.174583333333</v>
      </c>
      <c r="W147" s="123" t="n">
        <f aca="false">W144-MSFT_Ceil</f>
        <v>519.645</v>
      </c>
      <c r="X147" s="123" t="n">
        <f aca="false">X144-MSFT_Ceil</f>
        <v>519.645</v>
      </c>
      <c r="Y147" s="123" t="n">
        <f aca="false">Y144-MSFT_Ceil</f>
        <v>519.645</v>
      </c>
      <c r="Z147" s="123" t="n">
        <f aca="false">Z144-MSFT_Ceil</f>
        <v>519.645</v>
      </c>
      <c r="AA147" s="123" t="n">
        <f aca="false">AA144-MSFT_Ceil</f>
        <v>519.645</v>
      </c>
      <c r="AB147" s="123" t="n">
        <f aca="false">AB144-MSFT_Ceil</f>
        <v>519.645</v>
      </c>
      <c r="AC147" s="123" t="n">
        <f aca="false">AC144-MSFT_Ceil</f>
        <v>519.645</v>
      </c>
      <c r="AD147" s="123" t="n">
        <f aca="false">AD144-MSFT_Ceil</f>
        <v>519.645</v>
      </c>
      <c r="AE147" s="123" t="n">
        <f aca="false">AE144-MSFT_Ceil</f>
        <v>519.645</v>
      </c>
      <c r="AF147" s="123" t="n">
        <f aca="false">AF144-MSFT_Ceil</f>
        <v>519.645</v>
      </c>
      <c r="AG147" s="123" t="n">
        <f aca="false">AG144-MSFT_Ceil</f>
        <v>471.331388888889</v>
      </c>
    </row>
    <row r="148" customFormat="false" ht="15" hidden="false" customHeight="false" outlineLevel="0" collapsed="false">
      <c r="A148" s="104" t="s">
        <v>1748</v>
      </c>
      <c r="B148" s="20" t="s">
        <v>561</v>
      </c>
      <c r="C148" s="20" t="s">
        <v>495</v>
      </c>
      <c r="D148" s="20"/>
      <c r="F148" s="122" t="n">
        <f aca="false">F90+F95+F100+F105+F110+F115+F120</f>
        <v>0</v>
      </c>
      <c r="G148" s="122" t="n">
        <f aca="false">G90+G95+G100+G105+G110+G115+G120</f>
        <v>0</v>
      </c>
      <c r="H148" s="122" t="n">
        <f aca="false">H90+H95+H100+H105+H110+H115+H120</f>
        <v>0</v>
      </c>
      <c r="I148" s="122" t="n">
        <f aca="false">I90+I95+I100+I105+I110+I115+I120</f>
        <v>0</v>
      </c>
      <c r="J148" s="122" t="n">
        <f aca="false">J90+J95+J100+J105+J110+J115+J120</f>
        <v>0</v>
      </c>
      <c r="K148" s="122" t="n">
        <f aca="false">K90+K95+K100+K105+K110+K115+K120</f>
        <v>0</v>
      </c>
      <c r="L148" s="122" t="n">
        <f aca="false">L90+L95+L100+L105+L110+L115+L120</f>
        <v>0</v>
      </c>
      <c r="M148" s="122" t="n">
        <f aca="false">M90+M95+M100+M105+M110+M115+M120</f>
        <v>36.00875</v>
      </c>
      <c r="N148" s="122" t="n">
        <f aca="false">N90+N95+N100+N105+N110+N115+N120</f>
        <v>108.02625</v>
      </c>
      <c r="O148" s="122" t="n">
        <f aca="false">O90+O95+O100+O105+O110+O115+O120</f>
        <v>144.035</v>
      </c>
      <c r="P148" s="123" t="n">
        <f aca="false">P90+P95+P100+P105+P110+P115+P120</f>
        <v>144.035</v>
      </c>
      <c r="Q148" s="123" t="n">
        <f aca="false">Q90+Q95+Q100+Q105+Q110+Q115+Q120</f>
        <v>144.035</v>
      </c>
      <c r="R148" s="123" t="n">
        <f aca="false">R90+R95+R100+R105+R110+R115+R120</f>
        <v>144.035</v>
      </c>
      <c r="S148" s="123" t="n">
        <f aca="false">S90+S95+S100+S105+S110+S115+S120</f>
        <v>144.035</v>
      </c>
      <c r="T148" s="123" t="n">
        <f aca="false">T90+T95+T100+T105+T110+T115+T120</f>
        <v>294.035</v>
      </c>
      <c r="U148" s="123" t="n">
        <f aca="false">U90+U95+U100+U105+U110+U115+U120</f>
        <v>594.035</v>
      </c>
      <c r="V148" s="123" t="n">
        <f aca="false">V90+V95+V100+V105+V110+V115+V120</f>
        <v>744.035</v>
      </c>
      <c r="W148" s="123" t="n">
        <f aca="false">W90+W95+W100+W105+W110+W115+W120</f>
        <v>744.035</v>
      </c>
      <c r="X148" s="123" t="n">
        <f aca="false">X90+X95+X100+X105+X110+X115+X120</f>
        <v>744.035</v>
      </c>
      <c r="Y148" s="123" t="n">
        <f aca="false">Y90+Y95+Y100+Y105+Y110+Y115+Y120</f>
        <v>744.035</v>
      </c>
      <c r="Z148" s="123" t="n">
        <f aca="false">Z90+Z95+Z100+Z105+Z110+Z115+Z120</f>
        <v>744.035</v>
      </c>
      <c r="AA148" s="123" t="n">
        <f aca="false">AA90+AA95+AA100+AA105+AA110+AA115+AA120</f>
        <v>744.035</v>
      </c>
      <c r="AB148" s="123" t="n">
        <f aca="false">AB90+AB95+AB100+AB105+AB110+AB115+AB120</f>
        <v>744.035</v>
      </c>
      <c r="AC148" s="123" t="n">
        <f aca="false">AC90+AC95+AC100+AC105+AC110+AC115+AC120</f>
        <v>744.035</v>
      </c>
      <c r="AD148" s="123" t="n">
        <f aca="false">AD90+AD95+AD100+AD105+AD110+AD115+AD120</f>
        <v>744.035</v>
      </c>
      <c r="AE148" s="123" t="n">
        <f aca="false">AE90+AE95+AE100+AE105+AE110+AE115+AE120</f>
        <v>744.035</v>
      </c>
      <c r="AF148" s="123" t="n">
        <f aca="false">AF90+AF95+AF100+AF105+AF110+AF115+AF120</f>
        <v>744.035</v>
      </c>
      <c r="AG148" s="123" t="n">
        <f aca="false">AG90+AG95+AG100+AG105+AG110+AG115+AG120</f>
        <v>708.02625</v>
      </c>
      <c r="AI148" s="123" t="n">
        <f aca="false">SUMIF($F$7:$AG$7,AI$7,$F148:$AG148)</f>
        <v>0</v>
      </c>
      <c r="AJ148" s="123" t="n">
        <f aca="false">SUMIF($F$7:$AG$7,AJ$7,$F148:$AG148)</f>
        <v>36.00875</v>
      </c>
      <c r="AK148" s="123" t="n">
        <f aca="false">SUMIF($F$7:$AG$7,AK$7,$F148:$AG148)</f>
        <v>540.13125</v>
      </c>
      <c r="AL148" s="123" t="n">
        <f aca="false">SUMIF($F$7:$AG$7,AL$7,$F148:$AG148)</f>
        <v>1176.14</v>
      </c>
      <c r="AM148" s="123" t="n">
        <f aca="false">SUMIF($F$7:$AG$7,AM$7,$F148:$AG148)</f>
        <v>2976.14</v>
      </c>
      <c r="AN148" s="123" t="n">
        <f aca="false">SUMIF($F$7:$AG$7,AN$7,$F148:$AG148)</f>
        <v>2976.14</v>
      </c>
      <c r="AO148" s="123" t="n">
        <f aca="false">SUMIF($F$7:$AG$7,AO$7,$F148:$AG148)</f>
        <v>2940.13125</v>
      </c>
    </row>
    <row r="149" customFormat="false" ht="15" hidden="false" customHeight="false" outlineLevel="0" collapsed="false">
      <c r="A149" s="3" t="s">
        <v>1749</v>
      </c>
      <c r="B149" s="20" t="s">
        <v>561</v>
      </c>
      <c r="C149" s="20" t="s">
        <v>495</v>
      </c>
      <c r="D149" s="20"/>
      <c r="F149" s="124" t="n">
        <f aca="false">F144+F148</f>
        <v>0</v>
      </c>
      <c r="G149" s="124" t="n">
        <f aca="false">G144+G148</f>
        <v>0</v>
      </c>
      <c r="H149" s="124" t="n">
        <f aca="false">H144+H148</f>
        <v>0</v>
      </c>
      <c r="I149" s="124" t="n">
        <f aca="false">I144+I148</f>
        <v>0</v>
      </c>
      <c r="J149" s="124" t="n">
        <f aca="false">J144+J148</f>
        <v>0</v>
      </c>
      <c r="K149" s="124" t="n">
        <f aca="false">K144+K148</f>
        <v>0</v>
      </c>
      <c r="L149" s="124" t="n">
        <f aca="false">L144+L148</f>
        <v>0</v>
      </c>
      <c r="M149" s="124" t="n">
        <f aca="false">M144+M148</f>
        <v>48.0871527777778</v>
      </c>
      <c r="N149" s="124" t="n">
        <f aca="false">N144+N148</f>
        <v>168.418263888889</v>
      </c>
      <c r="O149" s="124" t="n">
        <f aca="false">O144+O148</f>
        <v>264.819027777778</v>
      </c>
      <c r="P149" s="96" t="n">
        <f aca="false">P144+P148</f>
        <v>329.589462673611</v>
      </c>
      <c r="Q149" s="96" t="n">
        <f aca="false">Q144+Q148</f>
        <v>422.366694010417</v>
      </c>
      <c r="R149" s="96" t="n">
        <f aca="false">R144+R148</f>
        <v>468.755309678819</v>
      </c>
      <c r="S149" s="96" t="n">
        <f aca="false">S144+S148</f>
        <v>554.700694444445</v>
      </c>
      <c r="T149" s="96" t="n">
        <f aca="false">T144+T148</f>
        <v>813.406319444445</v>
      </c>
      <c r="U149" s="96" t="n">
        <f aca="false">U144+U148</f>
        <v>1270.42555555556</v>
      </c>
      <c r="V149" s="96" t="n">
        <f aca="false">V144+V148</f>
        <v>1541.20958333333</v>
      </c>
      <c r="W149" s="96" t="n">
        <f aca="false">W144+W148</f>
        <v>1613.68</v>
      </c>
      <c r="X149" s="96" t="n">
        <f aca="false">X144+X148</f>
        <v>1613.68</v>
      </c>
      <c r="Y149" s="96" t="n">
        <f aca="false">Y144+Y148</f>
        <v>1613.68</v>
      </c>
      <c r="Z149" s="96" t="n">
        <f aca="false">Z144+Z148</f>
        <v>1613.68</v>
      </c>
      <c r="AA149" s="96" t="n">
        <f aca="false">AA144+AA148</f>
        <v>1613.68</v>
      </c>
      <c r="AB149" s="96" t="n">
        <f aca="false">AB144+AB148</f>
        <v>1613.68</v>
      </c>
      <c r="AC149" s="96" t="n">
        <f aca="false">AC144+AC148</f>
        <v>1613.68</v>
      </c>
      <c r="AD149" s="96" t="n">
        <f aca="false">AD144+AD148</f>
        <v>1613.68</v>
      </c>
      <c r="AE149" s="96" t="n">
        <f aca="false">AE144+AE148</f>
        <v>1613.68</v>
      </c>
      <c r="AF149" s="96" t="n">
        <f aca="false">AF144+AF148</f>
        <v>1613.68</v>
      </c>
      <c r="AG149" s="96" t="n">
        <f aca="false">AG144+AG148</f>
        <v>1529.35763888889</v>
      </c>
      <c r="AI149" s="96" t="n">
        <f aca="false">SUMIF($F$7:$AG$7,AI$7,$F149:$AG149)</f>
        <v>0</v>
      </c>
      <c r="AJ149" s="96" t="n">
        <f aca="false">SUMIF($F$7:$AG$7,AJ$7,$F149:$AG149)</f>
        <v>48.0871527777778</v>
      </c>
      <c r="AK149" s="96" t="n">
        <f aca="false">SUMIF($F$7:$AG$7,AK$7,$F149:$AG149)</f>
        <v>1185.19344835069</v>
      </c>
      <c r="AL149" s="96" t="n">
        <f aca="false">SUMIF($F$7:$AG$7,AL$7,$F149:$AG149)</f>
        <v>3107.28787912326</v>
      </c>
      <c r="AM149" s="96" t="n">
        <f aca="false">SUMIF($F$7:$AG$7,AM$7,$F149:$AG149)</f>
        <v>6382.24958333333</v>
      </c>
      <c r="AN149" s="96" t="n">
        <f aca="false">SUMIF($F$7:$AG$7,AN$7,$F149:$AG149)</f>
        <v>6454.72</v>
      </c>
      <c r="AO149" s="96" t="n">
        <f aca="false">SUMIF($F$7:$AG$7,AO$7,$F149:$AG149)</f>
        <v>6370.39763888889</v>
      </c>
    </row>
    <row r="150" customFormat="false" ht="15" hidden="false" customHeight="false" outlineLevel="0" collapsed="false">
      <c r="A150" s="104" t="s">
        <v>1750</v>
      </c>
      <c r="B150" s="20" t="s">
        <v>575</v>
      </c>
      <c r="C150" s="20" t="s">
        <v>495</v>
      </c>
      <c r="D150" s="20"/>
      <c r="F150" s="122" t="n">
        <f aca="false">F141+F91+F96+F101+F106+F111+F116+F121</f>
        <v>0</v>
      </c>
      <c r="G150" s="122" t="n">
        <f aca="false">G141+G91+G96+G101+G106+G111+G116+G121</f>
        <v>0</v>
      </c>
      <c r="H150" s="122" t="n">
        <f aca="false">H141+H91+H96+H101+H106+H111+H116+H121</f>
        <v>0</v>
      </c>
      <c r="I150" s="122" t="n">
        <f aca="false">I141+I91+I96+I101+I106+I111+I116+I121</f>
        <v>0</v>
      </c>
      <c r="J150" s="122" t="n">
        <f aca="false">J141+J91+J96+J101+J106+J111+J116+J121</f>
        <v>0</v>
      </c>
      <c r="K150" s="122" t="n">
        <f aca="false">K141+K91+K96+K101+K106+K111+K116+K121</f>
        <v>0</v>
      </c>
      <c r="L150" s="122" t="n">
        <f aca="false">L141+L91+L96+L101+L106+L111+L116+L121</f>
        <v>0</v>
      </c>
      <c r="M150" s="122" t="n">
        <f aca="false">M141+M91+M96+M101+M106+M111+M116+M121</f>
        <v>50.6725</v>
      </c>
      <c r="N150" s="122" t="n">
        <f aca="false">N141+N91+N96+N101+N106+N111+N116+N121</f>
        <v>101.345</v>
      </c>
      <c r="O150" s="122" t="n">
        <f aca="false">O141+O91+O96+O101+O106+O111+O116+O121</f>
        <v>101.345</v>
      </c>
      <c r="P150" s="123" t="n">
        <f aca="false">P141+P91+P96+P101+P106+P111+P116+P121</f>
        <v>150.428333333333</v>
      </c>
      <c r="Q150" s="123" t="n">
        <f aca="false">Q141+Q91+Q96+Q101+Q106+Q111+Q116+Q121</f>
        <v>150.428333333333</v>
      </c>
      <c r="R150" s="123" t="n">
        <f aca="false">R141+R91+R96+R101+R106+R111+R116+R121</f>
        <v>150.428333333333</v>
      </c>
      <c r="S150" s="123" t="n">
        <f aca="false">S141+S91+S96+S101+S106+S111+S116+S121</f>
        <v>208.011666666667</v>
      </c>
      <c r="T150" s="123" t="n">
        <f aca="false">T141+T91+T96+T101+T106+T111+T116+T121</f>
        <v>341.345</v>
      </c>
      <c r="U150" s="123" t="n">
        <f aca="false">U141+U91+U96+U101+U106+U111+U116+U121</f>
        <v>394.678333333333</v>
      </c>
      <c r="V150" s="123" t="n">
        <f aca="false">V141+V91+V96+V101+V106+V111+V116+V121</f>
        <v>394.678333333333</v>
      </c>
      <c r="W150" s="123" t="n">
        <f aca="false">W141+W91+W96+W101+W106+W111+W116+W121</f>
        <v>394.678333333333</v>
      </c>
      <c r="X150" s="123" t="n">
        <f aca="false">X141+X91+X96+X101+X106+X111+X116+X121</f>
        <v>394.678333333333</v>
      </c>
      <c r="Y150" s="123" t="n">
        <f aca="false">Y141+Y91+Y96+Y101+Y106+Y111+Y116+Y121</f>
        <v>394.678333333333</v>
      </c>
      <c r="Z150" s="123" t="n">
        <f aca="false">Z141+Z91+Z96+Z101+Z106+Z111+Z116+Z121</f>
        <v>394.678333333333</v>
      </c>
      <c r="AA150" s="123" t="n">
        <f aca="false">AA141+AA91+AA96+AA101+AA106+AA111+AA116+AA121</f>
        <v>394.678333333333</v>
      </c>
      <c r="AB150" s="123" t="n">
        <f aca="false">AB141+AB91+AB96+AB101+AB106+AB111+AB116+AB121</f>
        <v>394.678333333333</v>
      </c>
      <c r="AC150" s="123" t="n">
        <f aca="false">AC141+AC91+AC96+AC101+AC106+AC111+AC116+AC121</f>
        <v>394.678333333333</v>
      </c>
      <c r="AD150" s="123" t="n">
        <f aca="false">AD141+AD91+AD96+AD101+AD106+AD111+AD116+AD121</f>
        <v>394.678333333333</v>
      </c>
      <c r="AE150" s="123" t="n">
        <f aca="false">AE141+AE91+AE96+AE101+AE106+AE111+AE116+AE121</f>
        <v>394.678333333333</v>
      </c>
      <c r="AF150" s="123" t="n">
        <f aca="false">AF141+AF91+AF96+AF101+AF106+AF111+AF116+AF121</f>
        <v>394.678333333333</v>
      </c>
      <c r="AG150" s="123" t="n">
        <f aca="false">AG141+AG91+AG96+AG101+AG106+AG111+AG116+AG121</f>
        <v>344.005833333333</v>
      </c>
      <c r="AI150" s="123" t="n">
        <f aca="false">INDEX($F150:$AG150,1,MATCH(AI$7,$F$7:$AG$7,1))</f>
        <v>0</v>
      </c>
      <c r="AJ150" s="123" t="n">
        <f aca="false">INDEX($F150:$AG150,1,MATCH(AJ$7,$F$7:$AG$7,1))</f>
        <v>50.6725</v>
      </c>
      <c r="AK150" s="123" t="n">
        <f aca="false">INDEX($F150:$AG150,1,MATCH(AK$7,$F$7:$AG$7,1))</f>
        <v>150.428333333333</v>
      </c>
      <c r="AL150" s="123" t="n">
        <f aca="false">INDEX($F150:$AG150,1,MATCH(AL$7,$F$7:$AG$7,1))</f>
        <v>394.678333333333</v>
      </c>
      <c r="AM150" s="123" t="n">
        <f aca="false">INDEX($F150:$AG150,1,MATCH(AM$7,$F$7:$AG$7,1))</f>
        <v>394.678333333333</v>
      </c>
      <c r="AN150" s="123" t="n">
        <f aca="false">INDEX($F150:$AG150,1,MATCH(AN$7,$F$7:$AG$7,1))</f>
        <v>394.678333333333</v>
      </c>
      <c r="AO150" s="123" t="n">
        <f aca="false">INDEX($F150:$AG150,1,MATCH(AO$7,$F$7:$AG$7,1))</f>
        <v>344.005833333333</v>
      </c>
    </row>
    <row r="151" customFormat="false" ht="15" hidden="false" customHeight="false" outlineLevel="0" collapsed="false">
      <c r="A151" s="104" t="s">
        <v>1751</v>
      </c>
      <c r="B151" s="20" t="s">
        <v>561</v>
      </c>
      <c r="C151" s="20" t="s">
        <v>495</v>
      </c>
      <c r="D151" s="20"/>
      <c r="F151" s="122" t="n">
        <f aca="false">F37+F42+F47+F52+F57+F62+F67+F72+F77+F82+F87+F92+F97+F102+F107+F112+F117+F122</f>
        <v>-0</v>
      </c>
      <c r="G151" s="122" t="n">
        <f aca="false">G37+G42+G47+G52+G57+G62+G67+G72+G77+G82+G87+G92+G97+G102+G107+G112+G117+G122</f>
        <v>-0</v>
      </c>
      <c r="H151" s="122" t="n">
        <f aca="false">H37+H42+H47+H52+H57+H62+H67+H72+H77+H82+H87+H92+H97+H102+H107+H112+H117+H122</f>
        <v>-0</v>
      </c>
      <c r="I151" s="122" t="n">
        <f aca="false">I37+I42+I47+I52+I57+I62+I67+I72+I77+I82+I87+I92+I97+I102+I107+I112+I117+I122</f>
        <v>-0</v>
      </c>
      <c r="J151" s="122" t="n">
        <f aca="false">J37+J42+J47+J52+J57+J62+J67+J72+J77+J82+J87+J92+J97+J102+J107+J112+J117+J122</f>
        <v>-0</v>
      </c>
      <c r="K151" s="122" t="n">
        <f aca="false">K37+K42+K47+K52+K57+K62+K67+K72+K77+K82+K87+K92+K97+K102+K107+K112+K117+K122</f>
        <v>-0</v>
      </c>
      <c r="L151" s="122" t="n">
        <f aca="false">L37+L42+L47+L52+L57+L62+L67+L72+L77+L82+L87+L92+L97+L102+L107+L112+L117+L122</f>
        <v>-0</v>
      </c>
      <c r="M151" s="122" t="n">
        <f aca="false">M37+M42+M47+M52+M57+M62+M67+M72+M77+M82+M87+M92+M97+M102+M107+M112+M117+M122</f>
        <v>-0</v>
      </c>
      <c r="N151" s="122" t="n">
        <f aca="false">N37+N42+N47+N52+N57+N62+N67+N72+N77+N82+N87+N92+N97+N102+N107+N112+N117+N122</f>
        <v>-0</v>
      </c>
      <c r="O151" s="122" t="n">
        <f aca="false">O37+O42+O47+O52+O57+O62+O67+O72+O77+O82+O87+O92+O97+O102+O107+O112+O117+O122</f>
        <v>-0</v>
      </c>
      <c r="P151" s="123" t="n">
        <f aca="false">P37+P42+P47+P52+P57+P62+P67+P72+P77+P82+P87+P92+P97+P102+P107+P112+P117+P122</f>
        <v>-0</v>
      </c>
      <c r="Q151" s="123" t="n">
        <f aca="false">Q37+Q42+Q47+Q52+Q57+Q62+Q67+Q72+Q77+Q82+Q87+Q92+Q97+Q102+Q107+Q112+Q117+Q122</f>
        <v>-0</v>
      </c>
      <c r="R151" s="123" t="n">
        <f aca="false">R37+R42+R47+R52+R57+R62+R67+R72+R77+R82+R87+R92+R97+R102+R107+R112+R117+R122</f>
        <v>-0</v>
      </c>
      <c r="S151" s="123" t="n">
        <f aca="false">S37+S42+S47+S52+S57+S62+S67+S72+S77+S82+S87+S92+S97+S102+S107+S112+S117+S122</f>
        <v>-0</v>
      </c>
      <c r="T151" s="123" t="n">
        <f aca="false">T37+T42+T47+T52+T57+T62+T67+T72+T77+T82+T87+T92+T97+T102+T107+T112+T117+T122</f>
        <v>-0</v>
      </c>
      <c r="U151" s="123" t="n">
        <f aca="false">U37+U42+U47+U52+U57+U62+U67+U72+U77+U82+U87+U92+U97+U102+U107+U112+U117+U122</f>
        <v>-0</v>
      </c>
      <c r="V151" s="123" t="n">
        <f aca="false">V37+V42+V47+V52+V57+V62+V67+V72+V77+V82+V87+V92+V97+V102+V107+V112+V117+V122</f>
        <v>-0</v>
      </c>
      <c r="W151" s="123" t="n">
        <f aca="false">W37+W42+W47+W52+W57+W62+W67+W72+W77+W82+W87+W92+W97+W102+W107+W112+W117+W122</f>
        <v>-0</v>
      </c>
      <c r="X151" s="123" t="n">
        <f aca="false">X37+X42+X47+X52+X57+X62+X67+X72+X77+X82+X87+X92+X97+X102+X107+X112+X117+X122</f>
        <v>-0</v>
      </c>
      <c r="Y151" s="123" t="n">
        <f aca="false">Y37+Y42+Y47+Y52+Y57+Y62+Y67+Y72+Y77+Y82+Y87+Y92+Y97+Y102+Y107+Y112+Y117+Y122</f>
        <v>-0</v>
      </c>
      <c r="Z151" s="123" t="n">
        <f aca="false">Z37+Z42+Z47+Z52+Z57+Z62+Z67+Z72+Z77+Z82+Z87+Z92+Z97+Z102+Z107+Z112+Z117+Z122</f>
        <v>-0</v>
      </c>
      <c r="AA151" s="123" t="n">
        <f aca="false">AA37+AA42+AA47+AA52+AA57+AA62+AA67+AA72+AA77+AA82+AA87+AA92+AA97+AA102+AA107+AA112+AA117+AA122</f>
        <v>-0</v>
      </c>
      <c r="AB151" s="123" t="n">
        <f aca="false">AB37+AB42+AB47+AB52+AB57+AB62+AB67+AB72+AB77+AB82+AB87+AB92+AB97+AB102+AB107+AB112+AB117+AB122</f>
        <v>-0</v>
      </c>
      <c r="AC151" s="123" t="n">
        <f aca="false">AC37+AC42+AC47+AC52+AC57+AC62+AC67+AC72+AC77+AC82+AC87+AC92+AC97+AC102+AC107+AC112+AC117+AC122</f>
        <v>-0</v>
      </c>
      <c r="AD151" s="123" t="n">
        <f aca="false">AD37+AD42+AD47+AD52+AD57+AD62+AD67+AD72+AD77+AD82+AD87+AD92+AD97+AD102+AD107+AD112+AD117+AD122</f>
        <v>-0</v>
      </c>
      <c r="AE151" s="123" t="n">
        <f aca="false">AE37+AE42+AE47+AE52+AE57+AE62+AE67+AE72+AE77+AE82+AE87+AE92+AE97+AE102+AE107+AE112+AE117+AE122</f>
        <v>-0</v>
      </c>
      <c r="AF151" s="123" t="n">
        <f aca="false">AF37+AF42+AF47+AF52+AF57+AF62+AF67+AF72+AF77+AF82+AF87+AF92+AF97+AF102+AF107+AF112+AF117+AF122</f>
        <v>-0</v>
      </c>
      <c r="AG151" s="123" t="n">
        <f aca="false">AG37+AG42+AG47+AG52+AG57+AG62+AG67+AG72+AG77+AG82+AG87+AG92+AG97+AG102+AG107+AG112+AG117+AG122</f>
        <v>-0</v>
      </c>
      <c r="AI151" s="123" t="n">
        <f aca="false">SUMIF($F$7:$AG$7,AI$7,$F151:$AG151)</f>
        <v>0</v>
      </c>
      <c r="AJ151" s="123" t="n">
        <f aca="false">SUMIF($F$7:$AG$7,AJ$7,$F151:$AG151)</f>
        <v>0</v>
      </c>
      <c r="AK151" s="123" t="n">
        <f aca="false">SUMIF($F$7:$AG$7,AK$7,$F151:$AG151)</f>
        <v>0</v>
      </c>
      <c r="AL151" s="123" t="n">
        <f aca="false">SUMIF($F$7:$AG$7,AL$7,$F151:$AG151)</f>
        <v>0</v>
      </c>
      <c r="AM151" s="123" t="n">
        <f aca="false">SUMIF($F$7:$AG$7,AM$7,$F151:$AG151)</f>
        <v>0</v>
      </c>
      <c r="AN151" s="123" t="n">
        <f aca="false">SUMIF($F$7:$AG$7,AN$7,$F151:$AG151)</f>
        <v>0</v>
      </c>
      <c r="AO151" s="123" t="n">
        <f aca="false">SUMIF($F$7:$AG$7,AO$7,$F151:$AG151)</f>
        <v>0</v>
      </c>
    </row>
    <row r="152" customFormat="false" ht="15" hidden="false" customHeight="false" outlineLevel="0" collapsed="false">
      <c r="A152" s="104" t="s">
        <v>1752</v>
      </c>
      <c r="B152" s="20" t="s">
        <v>561</v>
      </c>
      <c r="C152" s="20" t="s">
        <v>495</v>
      </c>
      <c r="D152" s="20"/>
      <c r="F152" s="122" t="n">
        <f aca="false">F39+F44+F49+F54+F59+F64+F69+F74+F79+F84+F89+F94+F99+F104+F109+F114+F119+F124</f>
        <v>0</v>
      </c>
      <c r="G152" s="122" t="n">
        <f aca="false">G39+G44+G49+G54+G59+G64+G69+G74+G79+G84+G89+G94+G99+G104+G109+G114+G119+G124</f>
        <v>0</v>
      </c>
      <c r="H152" s="122" t="n">
        <f aca="false">H39+H44+H49+H54+H59+H64+H69+H74+H79+H84+H89+H94+H99+H104+H109+H114+H119+H124</f>
        <v>0</v>
      </c>
      <c r="I152" s="122" t="n">
        <f aca="false">I39+I44+I49+I54+I59+I64+I69+I74+I79+I84+I89+I94+I99+I104+I109+I114+I119+I124</f>
        <v>0</v>
      </c>
      <c r="J152" s="122" t="n">
        <f aca="false">J39+J44+J49+J54+J59+J64+J69+J74+J79+J84+J89+J94+J99+J104+J109+J114+J119+J124</f>
        <v>0</v>
      </c>
      <c r="K152" s="122" t="n">
        <f aca="false">K39+K44+K49+K54+K59+K64+K69+K74+K79+K84+K89+K94+K99+K104+K109+K114+K119+K124</f>
        <v>0</v>
      </c>
      <c r="L152" s="122" t="n">
        <f aca="false">L39+L44+L49+L54+L59+L64+L69+L74+L79+L84+L89+L94+L99+L104+L109+L114+L119+L124</f>
        <v>0</v>
      </c>
      <c r="M152" s="122" t="n">
        <f aca="false">M39+M44+M49+M54+M59+M64+M69+M74+M79+M84+M89+M94+M99+M104+M109+M114+M119+M124</f>
        <v>0</v>
      </c>
      <c r="N152" s="122" t="n">
        <f aca="false">N39+N44+N49+N54+N59+N64+N69+N74+N79+N84+N89+N94+N99+N104+N109+N114+N119+N124</f>
        <v>0</v>
      </c>
      <c r="O152" s="122" t="n">
        <f aca="false">O39+O44+O49+O54+O59+O64+O69+O74+O79+O84+O89+O94+O99+O104+O109+O114+O119+O124</f>
        <v>0</v>
      </c>
      <c r="P152" s="123" t="n">
        <f aca="false">P39+P44+P49+P54+P59+P64+P69+P74+P79+P84+P89+P94+P99+P104+P109+P114+P119+P124</f>
        <v>0</v>
      </c>
      <c r="Q152" s="123" t="n">
        <f aca="false">Q39+Q44+Q49+Q54+Q59+Q64+Q69+Q74+Q79+Q84+Q89+Q94+Q99+Q104+Q109+Q114+Q119+Q124</f>
        <v>0</v>
      </c>
      <c r="R152" s="123" t="n">
        <f aca="false">R39+R44+R49+R54+R59+R64+R69+R74+R79+R84+R89+R94+R99+R104+R109+R114+R119+R124</f>
        <v>0</v>
      </c>
      <c r="S152" s="123" t="n">
        <f aca="false">S39+S44+S49+S54+S59+S64+S69+S74+S79+S84+S89+S94+S99+S104+S109+S114+S119+S124</f>
        <v>0</v>
      </c>
      <c r="T152" s="123" t="n">
        <f aca="false">T39+T44+T49+T54+T59+T64+T69+T74+T79+T84+T89+T94+T99+T104+T109+T114+T119+T124</f>
        <v>0</v>
      </c>
      <c r="U152" s="123" t="n">
        <f aca="false">U39+U44+U49+U54+U59+U64+U69+U74+U79+U84+U89+U94+U99+U104+U109+U114+U119+U124</f>
        <v>0</v>
      </c>
      <c r="V152" s="123" t="n">
        <f aca="false">V39+V44+V49+V54+V59+V64+V69+V74+V79+V84+V89+V94+V99+V104+V109+V114+V119+V124</f>
        <v>0</v>
      </c>
      <c r="W152" s="123" t="n">
        <f aca="false">W39+W44+W49+W54+W59+W64+W69+W74+W79+W84+W89+W94+W99+W104+W109+W114+W119+W124</f>
        <v>0</v>
      </c>
      <c r="X152" s="123" t="n">
        <f aca="false">X39+X44+X49+X54+X59+X64+X69+X74+X79+X84+X89+X94+X99+X104+X109+X114+X119+X124</f>
        <v>0</v>
      </c>
      <c r="Y152" s="123" t="n">
        <f aca="false">Y39+Y44+Y49+Y54+Y59+Y64+Y69+Y74+Y79+Y84+Y89+Y94+Y99+Y104+Y109+Y114+Y119+Y124</f>
        <v>0</v>
      </c>
      <c r="Z152" s="123" t="n">
        <f aca="false">Z39+Z44+Z49+Z54+Z59+Z64+Z69+Z74+Z79+Z84+Z89+Z94+Z99+Z104+Z109+Z114+Z119+Z124</f>
        <v>0</v>
      </c>
      <c r="AA152" s="123" t="n">
        <f aca="false">AA39+AA44+AA49+AA54+AA59+AA64+AA69+AA74+AA79+AA84+AA89+AA94+AA99+AA104+AA109+AA114+AA119+AA124</f>
        <v>0</v>
      </c>
      <c r="AB152" s="123" t="n">
        <f aca="false">AB39+AB44+AB49+AB54+AB59+AB64+AB69+AB74+AB79+AB84+AB89+AB94+AB99+AB104+AB109+AB114+AB119+AB124</f>
        <v>0</v>
      </c>
      <c r="AC152" s="123" t="n">
        <f aca="false">AC39+AC44+AC49+AC54+AC59+AC64+AC69+AC74+AC79+AC84+AC89+AC94+AC99+AC104+AC109+AC114+AC119+AC124</f>
        <v>0</v>
      </c>
      <c r="AD152" s="123" t="n">
        <f aca="false">AD39+AD44+AD49+AD54+AD59+AD64+AD69+AD74+AD79+AD84+AD89+AD94+AD99+AD104+AD109+AD114+AD119+AD124</f>
        <v>0</v>
      </c>
      <c r="AE152" s="123" t="n">
        <f aca="false">AE39+AE44+AE49+AE54+AE59+AE64+AE69+AE74+AE79+AE84+AE89+AE94+AE99+AE104+AE109+AE114+AE119+AE124</f>
        <v>0</v>
      </c>
      <c r="AF152" s="123" t="n">
        <f aca="false">AF39+AF44+AF49+AF54+AF59+AF64+AF69+AF74+AF79+AF84+AF89+AF94+AF99+AF104+AF109+AF114+AF119+AF124</f>
        <v>0</v>
      </c>
      <c r="AG152" s="123" t="n">
        <f aca="false">AG39+AG44+AG49+AG54+AG59+AG64+AG69+AG74+AG79+AG84+AG89+AG94+AG99+AG104+AG109+AG114+AG119+AG124</f>
        <v>205.8940525785</v>
      </c>
      <c r="AI152" s="123" t="n">
        <f aca="false">SUMIF($F$7:$AG$7,AI$7,$F152:$AG152)</f>
        <v>0</v>
      </c>
      <c r="AJ152" s="123" t="n">
        <f aca="false">SUMIF($F$7:$AG$7,AJ$7,$F152:$AG152)</f>
        <v>0</v>
      </c>
      <c r="AK152" s="123" t="n">
        <f aca="false">SUMIF($F$7:$AG$7,AK$7,$F152:$AG152)</f>
        <v>0</v>
      </c>
      <c r="AL152" s="123" t="n">
        <f aca="false">SUMIF($F$7:$AG$7,AL$7,$F152:$AG152)</f>
        <v>0</v>
      </c>
      <c r="AM152" s="123" t="n">
        <f aca="false">SUMIF($F$7:$AG$7,AM$7,$F152:$AG152)</f>
        <v>0</v>
      </c>
      <c r="AN152" s="123" t="n">
        <f aca="false">SUMIF($F$7:$AG$7,AN$7,$F152:$AG152)</f>
        <v>0</v>
      </c>
      <c r="AO152" s="123" t="n">
        <f aca="false">SUMIF($F$7:$AG$7,AO$7,$F152:$AG152)</f>
        <v>205.8940525785</v>
      </c>
    </row>
    <row r="153" customFormat="false" ht="15" hidden="false" customHeight="false" outlineLevel="0" collapsed="false">
      <c r="A153" s="104" t="s">
        <v>1753</v>
      </c>
      <c r="B153" s="20" t="s">
        <v>575</v>
      </c>
      <c r="C153" s="20" t="s">
        <v>495</v>
      </c>
      <c r="D153" s="20"/>
      <c r="F153" s="122" t="n">
        <f aca="false">F36+F41+F46+F51+F56+F61+F66+F71+F76+F81+F86+F91+F96+F101+F106+F111+F116+F121</f>
        <v>0</v>
      </c>
      <c r="G153" s="122" t="n">
        <f aca="false">G36+G41+G46+G51+G56+G61+G66+G71+G76+G81+G86+G91+G96+G101+G106+G111+G116+G121</f>
        <v>0</v>
      </c>
      <c r="H153" s="122" t="n">
        <f aca="false">H36+H41+H46+H51+H56+H61+H66+H71+H76+H81+H86+H91+H96+H101+H106+H111+H116+H121</f>
        <v>0</v>
      </c>
      <c r="I153" s="122" t="n">
        <f aca="false">I36+I41+I46+I51+I56+I61+I66+I71+I76+I81+I86+I91+I96+I101+I106+I111+I116+I121</f>
        <v>0</v>
      </c>
      <c r="J153" s="122" t="n">
        <f aca="false">J36+J41+J46+J51+J56+J61+J66+J71+J76+J81+J86+J91+J96+J101+J106+J111+J116+J121</f>
        <v>0</v>
      </c>
      <c r="K153" s="122" t="n">
        <f aca="false">K36+K41+K46+K51+K56+K61+K66+K71+K76+K81+K86+K91+K96+K101+K106+K111+K116+K121</f>
        <v>0</v>
      </c>
      <c r="L153" s="122" t="n">
        <f aca="false">L36+L41+L46+L51+L56+L61+L66+L71+L76+L81+L86+L91+L96+L101+L106+L111+L116+L121</f>
        <v>0</v>
      </c>
      <c r="M153" s="122" t="n">
        <f aca="false">M36+M41+M46+M51+M56+M61+M66+M71+M76+M81+M86+M91+M96+M101+M106+M111+M116+M121</f>
        <v>50.6725</v>
      </c>
      <c r="N153" s="122" t="n">
        <f aca="false">N36+N41+N46+N51+N56+N61+N66+N71+N76+N81+N86+N91+N96+N101+N106+N111+N116+N121</f>
        <v>101.345</v>
      </c>
      <c r="O153" s="122" t="n">
        <f aca="false">O36+O41+O46+O51+O56+O61+O66+O71+O76+O81+O86+O91+O96+O101+O106+O111+O116+O121</f>
        <v>101.345</v>
      </c>
      <c r="P153" s="123" t="n">
        <f aca="false">P36+P41+P46+P51+P56+P61+P66+P71+P76+P81+P86+P91+P96+P101+P106+P111+P116+P121</f>
        <v>154.678333333333</v>
      </c>
      <c r="Q153" s="123" t="n">
        <f aca="false">Q36+Q41+Q46+Q51+Q56+Q61+Q66+Q71+Q76+Q81+Q86+Q91+Q96+Q101+Q106+Q111+Q116+Q121</f>
        <v>154.678333333333</v>
      </c>
      <c r="R153" s="123" t="n">
        <f aca="false">R36+R41+R46+R51+R56+R61+R66+R71+R76+R81+R86+R91+R96+R101+R106+R111+R116+R121</f>
        <v>154.678333333333</v>
      </c>
      <c r="S153" s="123" t="n">
        <f aca="false">S36+S41+S46+S51+S56+S61+S66+S71+S76+S81+S86+S91+S96+S101+S106+S111+S116+S121</f>
        <v>208.011666666667</v>
      </c>
      <c r="T153" s="123" t="n">
        <f aca="false">T36+T41+T46+T51+T56+T61+T66+T71+T76+T81+T86+T91+T96+T101+T106+T111+T116+T121</f>
        <v>341.345</v>
      </c>
      <c r="U153" s="123" t="n">
        <f aca="false">U36+U41+U46+U51+U56+U61+U66+U71+U76+U81+U86+U91+U96+U101+U106+U111+U116+U121</f>
        <v>394.678333333333</v>
      </c>
      <c r="V153" s="123" t="n">
        <f aca="false">V36+V41+V46+V51+V56+V61+V66+V71+V76+V81+V86+V91+V96+V101+V106+V111+V116+V121</f>
        <v>394.678333333333</v>
      </c>
      <c r="W153" s="123" t="n">
        <f aca="false">W36+W41+W46+W51+W56+W61+W66+W71+W76+W81+W86+W91+W96+W101+W106+W111+W116+W121</f>
        <v>394.678333333333</v>
      </c>
      <c r="X153" s="123" t="n">
        <f aca="false">X36+X41+X46+X51+X56+X61+X66+X71+X76+X81+X86+X91+X96+X101+X106+X111+X116+X121</f>
        <v>394.678333333333</v>
      </c>
      <c r="Y153" s="123" t="n">
        <f aca="false">Y36+Y41+Y46+Y51+Y56+Y61+Y66+Y71+Y76+Y81+Y86+Y91+Y96+Y101+Y106+Y111+Y116+Y121</f>
        <v>394.678333333333</v>
      </c>
      <c r="Z153" s="123" t="n">
        <f aca="false">Z36+Z41+Z46+Z51+Z56+Z61+Z66+Z71+Z76+Z81+Z86+Z91+Z96+Z101+Z106+Z111+Z116+Z121</f>
        <v>394.678333333333</v>
      </c>
      <c r="AA153" s="123" t="n">
        <f aca="false">AA36+AA41+AA46+AA51+AA56+AA61+AA66+AA71+AA76+AA81+AA86+AA91+AA96+AA101+AA106+AA111+AA116+AA121</f>
        <v>394.678333333333</v>
      </c>
      <c r="AB153" s="123" t="n">
        <f aca="false">AB36+AB41+AB46+AB51+AB56+AB61+AB66+AB71+AB76+AB81+AB86+AB91+AB96+AB101+AB106+AB111+AB116+AB121</f>
        <v>394.678333333333</v>
      </c>
      <c r="AC153" s="123" t="n">
        <f aca="false">AC36+AC41+AC46+AC51+AC56+AC61+AC66+AC71+AC76+AC81+AC86+AC91+AC96+AC101+AC106+AC111+AC116+AC121</f>
        <v>394.678333333333</v>
      </c>
      <c r="AD153" s="123" t="n">
        <f aca="false">AD36+AD41+AD46+AD51+AD56+AD61+AD66+AD71+AD76+AD81+AD86+AD91+AD96+AD101+AD106+AD111+AD116+AD121</f>
        <v>394.678333333333</v>
      </c>
      <c r="AE153" s="123" t="n">
        <f aca="false">AE36+AE41+AE46+AE51+AE56+AE61+AE66+AE71+AE76+AE81+AE86+AE91+AE96+AE101+AE106+AE111+AE116+AE121</f>
        <v>394.678333333333</v>
      </c>
      <c r="AF153" s="123" t="n">
        <f aca="false">AF36+AF41+AF46+AF51+AF56+AF61+AF66+AF71+AF76+AF81+AF86+AF91+AF96+AF101+AF106+AF111+AF116+AF121</f>
        <v>394.678333333333</v>
      </c>
      <c r="AG153" s="123" t="n">
        <f aca="false">AG36+AG41+AG46+AG51+AG56+AG61+AG66+AG71+AG76+AG81+AG86+AG91+AG96+AG101+AG106+AG111+AG116+AG121</f>
        <v>344.005833333333</v>
      </c>
      <c r="AI153" s="123" t="n">
        <f aca="false">INDEX($F153:$AG153,1,MATCH(AI$7,$F$7:$AG$7,1))</f>
        <v>0</v>
      </c>
      <c r="AJ153" s="123" t="n">
        <f aca="false">INDEX($F153:$AG153,1,MATCH(AJ$7,$F$7:$AG$7,1))</f>
        <v>50.6725</v>
      </c>
      <c r="AK153" s="123" t="n">
        <f aca="false">INDEX($F153:$AG153,1,MATCH(AK$7,$F$7:$AG$7,1))</f>
        <v>154.678333333333</v>
      </c>
      <c r="AL153" s="123" t="n">
        <f aca="false">INDEX($F153:$AG153,1,MATCH(AL$7,$F$7:$AG$7,1))</f>
        <v>394.678333333333</v>
      </c>
      <c r="AM153" s="123" t="n">
        <f aca="false">INDEX($F153:$AG153,1,MATCH(AM$7,$F$7:$AG$7,1))</f>
        <v>394.678333333333</v>
      </c>
      <c r="AN153" s="123" t="n">
        <f aca="false">INDEX($F153:$AG153,1,MATCH(AN$7,$F$7:$AG$7,1))</f>
        <v>394.678333333333</v>
      </c>
      <c r="AO153" s="123" t="n">
        <f aca="false">INDEX($F153:$AG153,1,MATCH(AO$7,$F$7:$AG$7,1))</f>
        <v>344.005833333333</v>
      </c>
    </row>
    <row r="154" customFormat="false" ht="15" hidden="false" customHeight="false" outlineLevel="0" collapsed="false">
      <c r="A154" s="104" t="s">
        <v>1754</v>
      </c>
      <c r="B154" s="20" t="s">
        <v>575</v>
      </c>
      <c r="C154" s="20" t="s">
        <v>495</v>
      </c>
      <c r="D154" s="20"/>
      <c r="F154" s="122" t="n">
        <f aca="false">F36+F41+F46+F51+F56+F61+F66+F71+F76+F81+F86+F91+F96+F101+F106+F111</f>
        <v>0</v>
      </c>
      <c r="G154" s="122" t="n">
        <f aca="false">G36+G41+G46+G51+G56+G61+G66+G71+G76+G81+G86+G91+G96+G101+G106+G111</f>
        <v>0</v>
      </c>
      <c r="H154" s="122" t="n">
        <f aca="false">H36+H41+H46+H51+H56+H61+H66+H71+H76+H81+H86+H91+H96+H101+H106+H111</f>
        <v>0</v>
      </c>
      <c r="I154" s="122" t="n">
        <f aca="false">I36+I41+I46+I51+I56+I61+I66+I71+I76+I81+I86+I91+I96+I101+I106+I111</f>
        <v>0</v>
      </c>
      <c r="J154" s="122" t="n">
        <f aca="false">J36+J41+J46+J51+J56+J61+J66+J71+J76+J81+J86+J91+J96+J101+J106+J111</f>
        <v>0</v>
      </c>
      <c r="K154" s="122" t="n">
        <f aca="false">K36+K41+K46+K51+K56+K61+K66+K71+K76+K81+K86+K91+K96+K101+K106+K111</f>
        <v>0</v>
      </c>
      <c r="L154" s="122" t="n">
        <f aca="false">L36+L41+L46+L51+L56+L61+L66+L71+L76+L81+L86+L91+L96+L101+L106+L111</f>
        <v>0</v>
      </c>
      <c r="M154" s="122" t="n">
        <f aca="false">M36+M41+M46+M51+M56+M61+M66+M71+M76+M81+M86+M91+M96+M101+M106+M111</f>
        <v>50.6725</v>
      </c>
      <c r="N154" s="122" t="n">
        <f aca="false">N36+N41+N46+N51+N56+N61+N66+N71+N76+N81+N86+N91+N96+N101+N106+N111</f>
        <v>101.345</v>
      </c>
      <c r="O154" s="122" t="n">
        <f aca="false">O36+O41+O46+O51+O56+O61+O66+O71+O76+O81+O86+O91+O96+O101+O106+O111</f>
        <v>101.345</v>
      </c>
      <c r="P154" s="123" t="n">
        <f aca="false">P36+P41+P46+P51+P56+P61+P66+P71+P76+P81+P86+P91+P96+P101+P106+P111</f>
        <v>154.678333333333</v>
      </c>
      <c r="Q154" s="123" t="n">
        <f aca="false">Q36+Q41+Q46+Q51+Q56+Q61+Q66+Q71+Q76+Q81+Q86+Q91+Q96+Q101+Q106+Q111</f>
        <v>154.678333333333</v>
      </c>
      <c r="R154" s="123" t="n">
        <f aca="false">R36+R41+R46+R51+R56+R61+R66+R71+R76+R81+R86+R91+R96+R101+R106+R111</f>
        <v>154.678333333333</v>
      </c>
      <c r="S154" s="123" t="n">
        <f aca="false">S36+S41+S46+S51+S56+S61+S66+S71+S76+S81+S86+S91+S96+S101+S106+S111</f>
        <v>208.011666666667</v>
      </c>
      <c r="T154" s="123" t="n">
        <f aca="false">T36+T41+T46+T51+T56+T61+T66+T71+T76+T81+T86+T91+T96+T101+T106+T111</f>
        <v>341.345</v>
      </c>
      <c r="U154" s="123" t="n">
        <f aca="false">U36+U41+U46+U51+U56+U61+U66+U71+U76+U81+U86+U91+U96+U101+U106+U111</f>
        <v>394.678333333333</v>
      </c>
      <c r="V154" s="123" t="n">
        <f aca="false">V36+V41+V46+V51+V56+V61+V66+V71+V76+V81+V86+V91+V96+V101+V106+V111</f>
        <v>394.678333333333</v>
      </c>
      <c r="W154" s="123" t="n">
        <f aca="false">W36+W41+W46+W51+W56+W61+W66+W71+W76+W81+W86+W91+W96+W101+W106+W111</f>
        <v>394.678333333333</v>
      </c>
      <c r="X154" s="123" t="n">
        <f aca="false">X36+X41+X46+X51+X56+X61+X66+X71+X76+X81+X86+X91+X96+X101+X106+X111</f>
        <v>394.678333333333</v>
      </c>
      <c r="Y154" s="123" t="n">
        <f aca="false">Y36+Y41+Y46+Y51+Y56+Y61+Y66+Y71+Y76+Y81+Y86+Y91+Y96+Y101+Y106+Y111</f>
        <v>394.678333333333</v>
      </c>
      <c r="Z154" s="123" t="n">
        <f aca="false">Z36+Z41+Z46+Z51+Z56+Z61+Z66+Z71+Z76+Z81+Z86+Z91+Z96+Z101+Z106+Z111</f>
        <v>394.678333333333</v>
      </c>
      <c r="AA154" s="123" t="n">
        <f aca="false">AA36+AA41+AA46+AA51+AA56+AA61+AA66+AA71+AA76+AA81+AA86+AA91+AA96+AA101+AA106+AA111</f>
        <v>394.678333333333</v>
      </c>
      <c r="AB154" s="123" t="n">
        <f aca="false">AB36+AB41+AB46+AB51+AB56+AB61+AB66+AB71+AB76+AB81+AB86+AB91+AB96+AB101+AB106+AB111</f>
        <v>394.678333333333</v>
      </c>
      <c r="AC154" s="123" t="n">
        <f aca="false">AC36+AC41+AC46+AC51+AC56+AC61+AC66+AC71+AC76+AC81+AC86+AC91+AC96+AC101+AC106+AC111</f>
        <v>394.678333333333</v>
      </c>
      <c r="AD154" s="123" t="n">
        <f aca="false">AD36+AD41+AD46+AD51+AD56+AD61+AD66+AD71+AD76+AD81+AD86+AD91+AD96+AD101+AD106+AD111</f>
        <v>394.678333333333</v>
      </c>
      <c r="AE154" s="123" t="n">
        <f aca="false">AE36+AE41+AE46+AE51+AE56+AE61+AE66+AE71+AE76+AE81+AE86+AE91+AE96+AE101+AE106+AE111</f>
        <v>394.678333333333</v>
      </c>
      <c r="AF154" s="123" t="n">
        <f aca="false">AF36+AF41+AF46+AF51+AF56+AF61+AF66+AF71+AF76+AF81+AF86+AF91+AF96+AF101+AF106+AF111</f>
        <v>394.678333333333</v>
      </c>
      <c r="AG154" s="123" t="n">
        <f aca="false">AG36+AG41+AG46+AG51+AG56+AG61+AG66+AG71+AG76+AG81+AG86+AG91+AG96+AG101+AG106+AG111</f>
        <v>344.005833333333</v>
      </c>
      <c r="AI154" s="123" t="n">
        <f aca="false">INDEX($F154:$AG154,1,MATCH(AI$7,$F$7:$AG$7,1))</f>
        <v>0</v>
      </c>
      <c r="AJ154" s="123" t="n">
        <f aca="false">INDEX($F154:$AG154,1,MATCH(AJ$7,$F$7:$AG$7,1))</f>
        <v>50.6725</v>
      </c>
      <c r="AK154" s="123" t="n">
        <f aca="false">INDEX($F154:$AG154,1,MATCH(AK$7,$F$7:$AG$7,1))</f>
        <v>154.678333333333</v>
      </c>
      <c r="AL154" s="123" t="n">
        <f aca="false">INDEX($F154:$AG154,1,MATCH(AL$7,$F$7:$AG$7,1))</f>
        <v>394.678333333333</v>
      </c>
      <c r="AM154" s="123" t="n">
        <f aca="false">INDEX($F154:$AG154,1,MATCH(AM$7,$F$7:$AG$7,1))</f>
        <v>394.678333333333</v>
      </c>
      <c r="AN154" s="123" t="n">
        <f aca="false">INDEX($F154:$AG154,1,MATCH(AN$7,$F$7:$AG$7,1))</f>
        <v>394.678333333333</v>
      </c>
      <c r="AO154" s="123" t="n">
        <f aca="false">INDEX($F154:$AG154,1,MATCH(AO$7,$F$7:$AG$7,1))</f>
        <v>344.005833333333</v>
      </c>
    </row>
    <row r="155" customFormat="false" ht="15" hidden="false" customHeight="false" outlineLevel="0" collapsed="false">
      <c r="A155" s="104" t="s">
        <v>1755</v>
      </c>
      <c r="B155" s="20" t="s">
        <v>575</v>
      </c>
      <c r="C155" s="20" t="s">
        <v>495</v>
      </c>
      <c r="D155" s="20"/>
      <c r="F155" s="122" t="n">
        <f aca="false">F116+F121</f>
        <v>0</v>
      </c>
      <c r="G155" s="122" t="n">
        <f aca="false">G116+G121</f>
        <v>0</v>
      </c>
      <c r="H155" s="122" t="n">
        <f aca="false">H116+H121</f>
        <v>0</v>
      </c>
      <c r="I155" s="122" t="n">
        <f aca="false">I116+I121</f>
        <v>0</v>
      </c>
      <c r="J155" s="122" t="n">
        <f aca="false">J116+J121</f>
        <v>0</v>
      </c>
      <c r="K155" s="122" t="n">
        <f aca="false">K116+K121</f>
        <v>0</v>
      </c>
      <c r="L155" s="122" t="n">
        <f aca="false">L116+L121</f>
        <v>0</v>
      </c>
      <c r="M155" s="122" t="n">
        <f aca="false">M116+M121</f>
        <v>0</v>
      </c>
      <c r="N155" s="122" t="n">
        <f aca="false">N116+N121</f>
        <v>0</v>
      </c>
      <c r="O155" s="122" t="n">
        <f aca="false">O116+O121</f>
        <v>0</v>
      </c>
      <c r="P155" s="123" t="n">
        <f aca="false">P116+P121</f>
        <v>0</v>
      </c>
      <c r="Q155" s="123" t="n">
        <f aca="false">Q116+Q121</f>
        <v>0</v>
      </c>
      <c r="R155" s="123" t="n">
        <f aca="false">R116+R121</f>
        <v>0</v>
      </c>
      <c r="S155" s="123" t="n">
        <f aca="false">S116+S121</f>
        <v>0</v>
      </c>
      <c r="T155" s="123" t="n">
        <f aca="false">T116+T121</f>
        <v>0</v>
      </c>
      <c r="U155" s="123" t="n">
        <f aca="false">U116+U121</f>
        <v>0</v>
      </c>
      <c r="V155" s="123" t="n">
        <f aca="false">V116+V121</f>
        <v>0</v>
      </c>
      <c r="W155" s="123" t="n">
        <f aca="false">W116+W121</f>
        <v>0</v>
      </c>
      <c r="X155" s="123" t="n">
        <f aca="false">X116+X121</f>
        <v>0</v>
      </c>
      <c r="Y155" s="123" t="n">
        <f aca="false">Y116+Y121</f>
        <v>0</v>
      </c>
      <c r="Z155" s="123" t="n">
        <f aca="false">Z116+Z121</f>
        <v>0</v>
      </c>
      <c r="AA155" s="123" t="n">
        <f aca="false">AA116+AA121</f>
        <v>0</v>
      </c>
      <c r="AB155" s="123" t="n">
        <f aca="false">AB116+AB121</f>
        <v>0</v>
      </c>
      <c r="AC155" s="123" t="n">
        <f aca="false">AC116+AC121</f>
        <v>0</v>
      </c>
      <c r="AD155" s="123" t="n">
        <f aca="false">AD116+AD121</f>
        <v>0</v>
      </c>
      <c r="AE155" s="123" t="n">
        <f aca="false">AE116+AE121</f>
        <v>0</v>
      </c>
      <c r="AF155" s="123" t="n">
        <f aca="false">AF116+AF121</f>
        <v>0</v>
      </c>
      <c r="AG155" s="123" t="n">
        <f aca="false">AG116+AG121</f>
        <v>0</v>
      </c>
      <c r="AI155" s="123" t="n">
        <f aca="false">INDEX($F155:$AG155,1,MATCH(AI$7,$F$7:$AG$7,1))</f>
        <v>0</v>
      </c>
      <c r="AJ155" s="123" t="n">
        <f aca="false">INDEX($F155:$AG155,1,MATCH(AJ$7,$F$7:$AG$7,1))</f>
        <v>0</v>
      </c>
      <c r="AK155" s="123" t="n">
        <f aca="false">INDEX($F155:$AG155,1,MATCH(AK$7,$F$7:$AG$7,1))</f>
        <v>0</v>
      </c>
      <c r="AL155" s="123" t="n">
        <f aca="false">INDEX($F155:$AG155,1,MATCH(AL$7,$F$7:$AG$7,1))</f>
        <v>0</v>
      </c>
      <c r="AM155" s="123" t="n">
        <f aca="false">INDEX($F155:$AG155,1,MATCH(AM$7,$F$7:$AG$7,1))</f>
        <v>0</v>
      </c>
      <c r="AN155" s="123" t="n">
        <f aca="false">INDEX($F155:$AG155,1,MATCH(AN$7,$F$7:$AG$7,1))</f>
        <v>0</v>
      </c>
      <c r="AO155" s="123" t="n">
        <f aca="false">INDEX($F155:$AG155,1,MATCH(AO$7,$F$7:$AG$7,1))</f>
        <v>0</v>
      </c>
    </row>
    <row r="156" customFormat="false" ht="15" hidden="false" customHeight="false" outlineLevel="0" collapsed="false">
      <c r="A156" s="104" t="s">
        <v>1756</v>
      </c>
      <c r="B156" s="20" t="s">
        <v>575</v>
      </c>
      <c r="C156" s="20" t="s">
        <v>495</v>
      </c>
      <c r="D156" s="20"/>
      <c r="F156" s="122" t="n">
        <f aca="false">F38+F43+F48+F53+F58+F63+F68+F73+F78+F83+F88+F93+F98+F103+F108+F113+F118+F123</f>
        <v>0</v>
      </c>
      <c r="G156" s="122" t="n">
        <f aca="false">G38+G43+G48+G53+G58+G63+G68+G73+G78+G83+G88+G93+G98+G103+G108+G113+G118+G123</f>
        <v>0</v>
      </c>
      <c r="H156" s="122" t="n">
        <f aca="false">H38+H43+H48+H53+H58+H63+H68+H73+H78+H83+H88+H93+H98+H103+H108+H113+H118+H123</f>
        <v>0</v>
      </c>
      <c r="I156" s="122" t="n">
        <f aca="false">I38+I43+I48+I53+I58+I63+I68+I73+I78+I83+I88+I93+I98+I103+I108+I113+I118+I123</f>
        <v>0</v>
      </c>
      <c r="J156" s="122" t="n">
        <f aca="false">J38+J43+J48+J53+J58+J63+J68+J73+J78+J83+J88+J93+J98+J103+J108+J113+J118+J123</f>
        <v>0</v>
      </c>
      <c r="K156" s="122" t="n">
        <f aca="false">K38+K43+K48+K53+K58+K63+K68+K73+K78+K83+K88+K93+K98+K103+K108+K113+K118+K123</f>
        <v>0</v>
      </c>
      <c r="L156" s="122" t="n">
        <f aca="false">L38+L43+L48+L53+L58+L63+L68+L73+L78+L83+L88+L93+L98+L103+L108+L113+L118+L123</f>
        <v>0</v>
      </c>
      <c r="M156" s="122" t="n">
        <f aca="false">M38+M43+M48+M53+M58+M63+M68+M73+M78+M83+M88+M93+M98+M103+M108+M113+M118+M123</f>
        <v>0</v>
      </c>
      <c r="N156" s="122" t="n">
        <f aca="false">N38+N43+N48+N53+N58+N63+N68+N73+N78+N83+N88+N93+N98+N103+N108+N113+N118+N123</f>
        <v>0</v>
      </c>
      <c r="O156" s="122" t="n">
        <f aca="false">O38+O43+O48+O53+O58+O63+O68+O73+O78+O83+O88+O93+O98+O103+O108+O113+O118+O123</f>
        <v>0</v>
      </c>
      <c r="P156" s="123" t="n">
        <f aca="false">P38+P43+P48+P53+P58+P63+P68+P73+P78+P83+P88+P93+P98+P103+P108+P113+P118+P123</f>
        <v>0</v>
      </c>
      <c r="Q156" s="123" t="n">
        <f aca="false">Q38+Q43+Q48+Q53+Q58+Q63+Q68+Q73+Q78+Q83+Q88+Q93+Q98+Q103+Q108+Q113+Q118+Q123</f>
        <v>0</v>
      </c>
      <c r="R156" s="123" t="n">
        <f aca="false">R38+R43+R48+R53+R58+R63+R68+R73+R78+R83+R88+R93+R98+R103+R108+R113+R118+R123</f>
        <v>0</v>
      </c>
      <c r="S156" s="123" t="n">
        <f aca="false">S38+S43+S48+S53+S58+S63+S68+S73+S78+S83+S88+S93+S98+S103+S108+S113+S118+S123</f>
        <v>0</v>
      </c>
      <c r="T156" s="123" t="n">
        <f aca="false">T38+T43+T48+T53+T58+T63+T68+T73+T78+T83+T88+T93+T98+T103+T108+T113+T118+T123</f>
        <v>0</v>
      </c>
      <c r="U156" s="123" t="n">
        <f aca="false">U38+U43+U48+U53+U58+U63+U68+U73+U78+U83+U88+U93+U98+U103+U108+U113+U118+U123</f>
        <v>0</v>
      </c>
      <c r="V156" s="123" t="n">
        <f aca="false">V38+V43+V48+V53+V58+V63+V68+V73+V78+V83+V88+V93+V98+V103+V108+V113+V118+V123</f>
        <v>0</v>
      </c>
      <c r="W156" s="123" t="n">
        <f aca="false">W38+W43+W48+W53+W58+W63+W68+W73+W78+W83+W88+W93+W98+W103+W108+W113+W118+W123</f>
        <v>0</v>
      </c>
      <c r="X156" s="123" t="n">
        <f aca="false">X38+X43+X48+X53+X58+X63+X68+X73+X78+X83+X88+X93+X98+X103+X108+X113+X118+X123</f>
        <v>0</v>
      </c>
      <c r="Y156" s="123" t="n">
        <f aca="false">Y38+Y43+Y48+Y53+Y58+Y63+Y68+Y73+Y78+Y83+Y88+Y93+Y98+Y103+Y108+Y113+Y118+Y123</f>
        <v>0</v>
      </c>
      <c r="Z156" s="123" t="n">
        <f aca="false">Z38+Z43+Z48+Z53+Z58+Z63+Z68+Z73+Z78+Z83+Z88+Z93+Z98+Z103+Z108+Z113+Z118+Z123</f>
        <v>0</v>
      </c>
      <c r="AA156" s="123" t="n">
        <f aca="false">AA38+AA43+AA48+AA53+AA58+AA63+AA68+AA73+AA78+AA83+AA88+AA93+AA98+AA103+AA108+AA113+AA118+AA123</f>
        <v>0</v>
      </c>
      <c r="AB156" s="123" t="n">
        <f aca="false">AB38+AB43+AB48+AB53+AB58+AB63+AB68+AB73+AB78+AB83+AB88+AB93+AB98+AB103+AB108+AB113+AB118+AB123</f>
        <v>0</v>
      </c>
      <c r="AC156" s="123" t="n">
        <f aca="false">AC38+AC43+AC48+AC53+AC58+AC63+AC68+AC73+AC78+AC83+AC88+AC93+AC98+AC103+AC108+AC113+AC118+AC123</f>
        <v>0</v>
      </c>
      <c r="AD156" s="123" t="n">
        <f aca="false">AD38+AD43+AD48+AD53+AD58+AD63+AD68+AD73+AD78+AD83+AD88+AD93+AD98+AD103+AD108+AD113+AD118+AD123</f>
        <v>0</v>
      </c>
      <c r="AE156" s="123" t="n">
        <f aca="false">AE38+AE43+AE48+AE53+AE58+AE63+AE68+AE73+AE78+AE83+AE88+AE93+AE98+AE103+AE108+AE113+AE118+AE123</f>
        <v>0</v>
      </c>
      <c r="AF156" s="123" t="n">
        <f aca="false">AF38+AF43+AF48+AF53+AF58+AF63+AF68+AF73+AF78+AF83+AF88+AF93+AF98+AF103+AF108+AF113+AF118+AF123</f>
        <v>0</v>
      </c>
      <c r="AG156" s="123" t="n">
        <f aca="false">AG38+AG43+AG48+AG53+AG58+AG63+AG68+AG73+AG78+AG83+AG88+AG93+AG98+AG103+AG108+AG113+AG118+AG123</f>
        <v>50.6725</v>
      </c>
      <c r="AI156" s="123" t="n">
        <f aca="false">INDEX($F156:$AG156,1,MATCH(AI$7,$F$7:$AG$7,1))</f>
        <v>0</v>
      </c>
      <c r="AJ156" s="123" t="n">
        <f aca="false">INDEX($F156:$AG156,1,MATCH(AJ$7,$F$7:$AG$7,1))</f>
        <v>0</v>
      </c>
      <c r="AK156" s="123" t="n">
        <f aca="false">INDEX($F156:$AG156,1,MATCH(AK$7,$F$7:$AG$7,1))</f>
        <v>0</v>
      </c>
      <c r="AL156" s="123" t="n">
        <f aca="false">INDEX($F156:$AG156,1,MATCH(AL$7,$F$7:$AG$7,1))</f>
        <v>0</v>
      </c>
      <c r="AM156" s="123" t="n">
        <f aca="false">INDEX($F156:$AG156,1,MATCH(AM$7,$F$7:$AG$7,1))</f>
        <v>0</v>
      </c>
      <c r="AN156" s="123" t="n">
        <f aca="false">INDEX($F156:$AG156,1,MATCH(AN$7,$F$7:$AG$7,1))</f>
        <v>0</v>
      </c>
      <c r="AO156" s="123" t="n">
        <f aca="false">INDEX($F156:$AG156,1,MATCH(AO$7,$F$7:$AG$7,1))</f>
        <v>50.6725</v>
      </c>
    </row>
    <row r="157" customFormat="false" ht="15" hidden="false" customHeight="false" outlineLevel="0" collapsed="false">
      <c r="A157" s="104" t="s">
        <v>1757</v>
      </c>
      <c r="B157" s="20" t="s">
        <v>674</v>
      </c>
      <c r="C157" s="20" t="s">
        <v>495</v>
      </c>
      <c r="D157" s="20"/>
      <c r="F157" s="108" t="n">
        <f aca="false">0</f>
        <v>0</v>
      </c>
      <c r="G157" s="108" t="n">
        <f aca="false">0</f>
        <v>0</v>
      </c>
      <c r="H157" s="108" t="n">
        <f aca="false">0</f>
        <v>0</v>
      </c>
      <c r="I157" s="108" t="n">
        <f aca="false">0</f>
        <v>0</v>
      </c>
      <c r="J157" s="108" t="n">
        <f aca="false">0</f>
        <v>0</v>
      </c>
      <c r="K157" s="108" t="n">
        <f aca="false">0</f>
        <v>0</v>
      </c>
      <c r="L157" s="108" t="n">
        <f aca="false">0</f>
        <v>0</v>
      </c>
      <c r="M157" s="108" t="n">
        <f aca="false">0</f>
        <v>0</v>
      </c>
      <c r="N157" s="108" t="n">
        <f aca="false">0</f>
        <v>0</v>
      </c>
      <c r="O157" s="108" t="n">
        <f aca="false">0</f>
        <v>0</v>
      </c>
      <c r="P157" s="29" t="n">
        <f aca="false">0</f>
        <v>0</v>
      </c>
      <c r="Q157" s="29" t="n">
        <f aca="false">0</f>
        <v>0</v>
      </c>
      <c r="R157" s="29" t="n">
        <f aca="false">0</f>
        <v>0</v>
      </c>
      <c r="S157" s="29" t="n">
        <f aca="false">0</f>
        <v>0</v>
      </c>
      <c r="T157" s="29" t="n">
        <f aca="false">0</f>
        <v>0</v>
      </c>
      <c r="U157" s="29" t="n">
        <f aca="false">0</f>
        <v>0</v>
      </c>
      <c r="V157" s="29" t="n">
        <f aca="false">0</f>
        <v>0</v>
      </c>
      <c r="W157" s="29" t="n">
        <f aca="false">0</f>
        <v>0</v>
      </c>
      <c r="X157" s="29" t="n">
        <f aca="false">0</f>
        <v>0</v>
      </c>
      <c r="Y157" s="29" t="n">
        <f aca="false">0</f>
        <v>0</v>
      </c>
      <c r="Z157" s="29" t="n">
        <f aca="false">0</f>
        <v>0</v>
      </c>
      <c r="AA157" s="29" t="n">
        <f aca="false">0</f>
        <v>0</v>
      </c>
      <c r="AB157" s="29" t="n">
        <f aca="false">0</f>
        <v>0</v>
      </c>
      <c r="AC157" s="29" t="n">
        <f aca="false">0</f>
        <v>0</v>
      </c>
      <c r="AD157" s="29" t="n">
        <f aca="false">0</f>
        <v>0</v>
      </c>
      <c r="AE157" s="29" t="n">
        <f aca="false">0</f>
        <v>0</v>
      </c>
      <c r="AF157" s="29" t="n">
        <f aca="false">0</f>
        <v>0</v>
      </c>
      <c r="AG157" s="29" t="n">
        <f aca="false">0</f>
        <v>0</v>
      </c>
      <c r="AI157" s="29" t="n">
        <f aca="false">INDEX($F157:$AG157,1,MATCH(AI$7,$F$7:$AG$7,1))</f>
        <v>0</v>
      </c>
      <c r="AJ157" s="29" t="n">
        <f aca="false">INDEX($F157:$AG157,1,MATCH(AJ$7,$F$7:$AG$7,1))</f>
        <v>0</v>
      </c>
      <c r="AK157" s="29" t="n">
        <f aca="false">INDEX($F157:$AG157,1,MATCH(AK$7,$F$7:$AG$7,1))</f>
        <v>0</v>
      </c>
      <c r="AL157" s="29" t="n">
        <f aca="false">INDEX($F157:$AG157,1,MATCH(AL$7,$F$7:$AG$7,1))</f>
        <v>0</v>
      </c>
      <c r="AM157" s="29" t="n">
        <f aca="false">INDEX($F157:$AG157,1,MATCH(AM$7,$F$7:$AG$7,1))</f>
        <v>0</v>
      </c>
      <c r="AN157" s="29" t="n">
        <f aca="false">INDEX($F157:$AG157,1,MATCH(AN$7,$F$7:$AG$7,1))</f>
        <v>0</v>
      </c>
      <c r="AO157" s="29" t="n">
        <f aca="false">INDEX($F157:$AG157,1,MATCH(AO$7,$F$7:$AG$7,1))</f>
        <v>0</v>
      </c>
    </row>
    <row r="158" customFormat="false" ht="15" hidden="false" customHeight="false" outlineLevel="0" collapsed="false">
      <c r="A158" s="104" t="s">
        <v>1758</v>
      </c>
      <c r="B158" s="20" t="s">
        <v>674</v>
      </c>
      <c r="C158" s="20" t="s">
        <v>495</v>
      </c>
      <c r="D158" s="20"/>
      <c r="F158" s="108" t="n">
        <f aca="false">(IF(VinCapOn=1,MIN((F36+F41+F46+F51+F56+F61+F66+F71+F76+F81+F86),INDEX(VinEnIT,1,MAX(1,1-IF(1&gt;LastHist,EnLag,0)))),(F36+F41+F46+F51+F56+F61+F66+F71+F76+F81+F86))+F91+F96+F38+F43+F48+F53+F58+F63+F68+F73+F78+F83+F88+F93+F98)*GPUMW_B</f>
        <v>0</v>
      </c>
      <c r="G158" s="108" t="n">
        <f aca="false">(IF(VinCapOn=1,MIN((G36+G41+G46+G51+G56+G61+G66+G71+G76+G81+G86),INDEX(VinEnIT,1,MAX(1,2-IF(2&gt;LastHist,EnLag,0)))),(G36+G41+G46+G51+G56+G61+G66+G71+G76+G81+G86))+G91+G96+G38+G43+G48+G53+G58+G63+G68+G73+G78+G83+G88+G93+G98)*GPUMW_B</f>
        <v>0</v>
      </c>
      <c r="H158" s="108" t="n">
        <f aca="false">(IF(VinCapOn=1,MIN((H36+H41+H46+H51+H56+H61+H66+H71+H76+H81+H86),INDEX(VinEnIT,1,MAX(1,3-IF(3&gt;LastHist,EnLag,0)))),(H36+H41+H46+H51+H56+H61+H66+H71+H76+H81+H86))+H91+H96+H38+H43+H48+H53+H58+H63+H68+H73+H78+H83+H88+H93+H98)*GPUMW_B</f>
        <v>0</v>
      </c>
      <c r="I158" s="108" t="n">
        <f aca="false">(IF(VinCapOn=1,MIN((I36+I41+I46+I51+I56+I61+I66+I71+I76+I81+I86),INDEX(VinEnIT,1,MAX(1,4-IF(4&gt;LastHist,EnLag,0)))),(I36+I41+I46+I51+I56+I61+I66+I71+I76+I81+I86))+I91+I96+I38+I43+I48+I53+I58+I63+I68+I73+I78+I83+I88+I93+I98)*GPUMW_B</f>
        <v>0</v>
      </c>
      <c r="J158" s="108" t="n">
        <f aca="false">(IF(VinCapOn=1,MIN((J36+J41+J46+J51+J56+J61+J66+J71+J76+J81+J86),INDEX(VinEnIT,1,MAX(1,5-IF(5&gt;LastHist,EnLag,0)))),(J36+J41+J46+J51+J56+J61+J66+J71+J76+J81+J86))+J91+J96+J38+J43+J48+J53+J58+J63+J68+J73+J78+J83+J88+J93+J98)*GPUMW_B</f>
        <v>0</v>
      </c>
      <c r="K158" s="108" t="n">
        <f aca="false">(IF(VinCapOn=1,MIN((K36+K41+K46+K51+K56+K61+K66+K71+K76+K81+K86),INDEX(VinEnIT,1,MAX(1,6-IF(6&gt;LastHist,EnLag,0)))),(K36+K41+K46+K51+K56+K61+K66+K71+K76+K81+K86))+K91+K96+K38+K43+K48+K53+K58+K63+K68+K73+K78+K83+K88+K93+K98)*GPUMW_B</f>
        <v>0</v>
      </c>
      <c r="L158" s="108" t="n">
        <f aca="false">(IF(VinCapOn=1,MIN((L36+L41+L46+L51+L56+L61+L66+L71+L76+L81+L86),INDEX(VinEnIT,1,MAX(1,7-IF(7&gt;LastHist,EnLag,0)))),(L36+L41+L46+L51+L56+L61+L66+L71+L76+L81+L86))+L91+L96+L38+L43+L48+L53+L58+L63+L68+L73+L78+L83+L88+L93+L98)*GPUMW_B</f>
        <v>0</v>
      </c>
      <c r="M158" s="108" t="n">
        <f aca="false">(IF(VinCapOn=1,MIN((M36+M41+M46+M51+M56+M61+M66+M71+M76+M81+M86),INDEX(VinEnIT,1,MAX(1,8-IF(8&gt;LastHist,EnLag,0)))),(M36+M41+M46+M51+M56+M61+M66+M71+M76+M81+M86))+M91+M96+M38+M43+M48+M53+M58+M63+M68+M73+M78+M83+M88+M93+M98)*GPUMW_B</f>
        <v>25102.9166666667</v>
      </c>
      <c r="N158" s="108" t="n">
        <f aca="false">(IF(VinCapOn=1,MIN((N36+N41+N46+N51+N56+N61+N66+N71+N76+N81+N86),INDEX(VinEnIT,1,MAX(1,9-IF(9&gt;LastHist,EnLag,0)))),(N36+N41+N46+N51+N56+N61+N66+N71+N76+N81+N86))+N91+N96+N38+N43+N48+N53+N58+N63+N68+N73+N78+N83+N88+N93+N98)*GPUMW_B</f>
        <v>42755.8333333333</v>
      </c>
      <c r="O158" s="108" t="n">
        <f aca="false">(IF(VinCapOn=1,MIN((O36+O41+O46+O51+O56+O61+O66+O71+O76+O81+O86),INDEX(VinEnIT,1,MAX(1,10-IF(10&gt;LastHist,EnLag,0)))),(O36+O41+O46+O51+O56+O61+O66+O71+O76+O81+O86))+O91+O96+O38+O43+O48+O53+O58+O63+O68+O73+O78+O83+O88+O93+O98)*GPUMW_B</f>
        <v>43505.8333333333</v>
      </c>
      <c r="P158" s="29" t="n">
        <f aca="false">(IF(VinCapOn=1,MIN((P36+P41+P46+P51+P56+P61+P66+P71+P76+P81+P86),INDEX(VinEnIT,1,MAX(1,11-IF(11&gt;LastHist,EnLag,0)))),(P36+P41+P46+P51+P56+P61+P66+P71+P76+P81+P86))+P91+P96+P38+P43+P48+P53+P58+P63+P68+P73+P78+P83+P88+P93+P98)*GPUMW_B</f>
        <v>43505.8333333333</v>
      </c>
      <c r="Q158" s="29" t="n">
        <f aca="false">(IF(VinCapOn=1,MIN((Q36+Q41+Q46+Q51+Q56+Q61+Q66+Q71+Q76+Q81+Q86),INDEX(VinEnIT,1,MAX(1,12-IF(12&gt;LastHist,EnLag,0)))),(Q36+Q41+Q46+Q51+Q56+Q61+Q66+Q71+Q76+Q81+Q86))+Q91+Q96+Q38+Q43+Q48+Q53+Q58+Q63+Q68+Q73+Q78+Q83+Q88+Q93+Q98)*GPUMW_B</f>
        <v>57005.8333333333</v>
      </c>
      <c r="R158" s="29" t="n">
        <f aca="false">(IF(VinCapOn=1,MIN((R36+R41+R46+R51+R56+R61+R66+R71+R76+R81+R86),INDEX(VinEnIT,1,MAX(1,13-IF(13&gt;LastHist,EnLag,0)))),(R36+R41+R46+R51+R56+R61+R66+R71+R76+R81+R86))+R91+R96+R38+R43+R48+R53+R58+R63+R68+R73+R78+R83+R88+R93+R98)*GPUMW_B</f>
        <v>64905.8333333333</v>
      </c>
      <c r="S158" s="29" t="n">
        <f aca="false">(IF(VinCapOn=1,MIN((S36+S41+S46+S51+S56+S61+S66+S71+S76+S81+S86),INDEX(VinEnIT,1,MAX(1,14-IF(14&gt;LastHist,EnLag,0)))),(S36+S41+S46+S51+S56+S61+S66+S71+S76+S81+S86))+S91+S96+S38+S43+S48+S53+S58+S63+S68+S73+S78+S83+S88+S93+S98)*GPUMW_B</f>
        <v>83255.8333333333</v>
      </c>
      <c r="T158" s="29" t="n">
        <f aca="false">(IF(VinCapOn=1,MIN((T36+T41+T46+T51+T56+T61+T66+T71+T76+T81+T86),INDEX(VinEnIT,1,MAX(1,15-IF(15&gt;LastHist,EnLag,0)))),(T36+T41+T46+T51+T56+T61+T66+T71+T76+T81+T86))+T91+T96+T38+T43+T48+T53+T58+T63+T68+T73+T78+T83+T88+T93+T98)*GPUMW_B</f>
        <v>108255.833333333</v>
      </c>
      <c r="U158" s="29" t="n">
        <f aca="false">(IF(VinCapOn=1,MIN((U36+U41+U46+U51+U56+U61+U66+U71+U76+U81+U86),INDEX(VinEnIT,1,MAX(1,16-IF(16&gt;LastHist,EnLag,0)))),(U36+U41+U46+U51+U56+U61+U66+U71+U76+U81+U86))+U91+U96+U38+U43+U48+U53+U58+U63+U68+U73+U78+U83+U88+U93+U98)*GPUMW_B</f>
        <v>126505.833333333</v>
      </c>
      <c r="V158" s="29" t="n">
        <f aca="false">(IF(VinCapOn=1,MIN((V36+V41+V46+V51+V56+V61+V66+V71+V76+V81+V86),INDEX(VinEnIT,1,MAX(1,17-IF(17&gt;LastHist,EnLag,0)))),(V36+V41+V46+V51+V56+V61+V66+V71+V76+V81+V86))+V91+V96+V38+V43+V48+V53+V58+V63+V68+V73+V78+V83+V88+V93+V98)*GPUMW_B</f>
        <v>144005.833333333</v>
      </c>
      <c r="W158" s="29" t="n">
        <f aca="false">(IF(VinCapOn=1,MIN((W36+W41+W46+W51+W56+W61+W66+W71+W76+W81+W86),INDEX(VinEnIT,1,MAX(1,18-IF(18&gt;LastHist,EnLag,0)))),(W36+W41+W46+W51+W56+W61+W66+W71+W76+W81+W86))+W91+W96+W38+W43+W48+W53+W58+W63+W68+W73+W78+W83+W88+W93+W98)*GPUMW_B</f>
        <v>144005.833333333</v>
      </c>
      <c r="X158" s="29" t="n">
        <f aca="false">(IF(VinCapOn=1,MIN((X36+X41+X46+X51+X56+X61+X66+X71+X76+X81+X86),INDEX(VinEnIT,1,MAX(1,19-IF(19&gt;LastHist,EnLag,0)))),(X36+X41+X46+X51+X56+X61+X66+X71+X76+X81+X86))+X91+X96+X38+X43+X48+X53+X58+X63+X68+X73+X78+X83+X88+X93+X98)*GPUMW_B</f>
        <v>144005.833333333</v>
      </c>
      <c r="Y158" s="29" t="n">
        <f aca="false">(IF(VinCapOn=1,MIN((Y36+Y41+Y46+Y51+Y56+Y61+Y66+Y71+Y76+Y81+Y86),INDEX(VinEnIT,1,MAX(1,20-IF(20&gt;LastHist,EnLag,0)))),(Y36+Y41+Y46+Y51+Y56+Y61+Y66+Y71+Y76+Y81+Y86))+Y91+Y96+Y38+Y43+Y48+Y53+Y58+Y63+Y68+Y73+Y78+Y83+Y88+Y93+Y98)*GPUMW_B</f>
        <v>144005.833333333</v>
      </c>
      <c r="Z158" s="29" t="n">
        <f aca="false">(IF(VinCapOn=1,MIN((Z36+Z41+Z46+Z51+Z56+Z61+Z66+Z71+Z76+Z81+Z86),INDEX(VinEnIT,1,MAX(1,21-IF(21&gt;LastHist,EnLag,0)))),(Z36+Z41+Z46+Z51+Z56+Z61+Z66+Z71+Z76+Z81+Z86))+Z91+Z96+Z38+Z43+Z48+Z53+Z58+Z63+Z68+Z73+Z78+Z83+Z88+Z93+Z98)*GPUMW_B</f>
        <v>144005.833333333</v>
      </c>
      <c r="AA158" s="29" t="n">
        <f aca="false">(IF(VinCapOn=1,MIN((AA36+AA41+AA46+AA51+AA56+AA61+AA66+AA71+AA76+AA81+AA86),INDEX(VinEnIT,1,MAX(1,22-IF(22&gt;LastHist,EnLag,0)))),(AA36+AA41+AA46+AA51+AA56+AA61+AA66+AA71+AA76+AA81+AA86))+AA91+AA96+AA38+AA43+AA48+AA53+AA58+AA63+AA68+AA73+AA78+AA83+AA88+AA93+AA98)*GPUMW_B</f>
        <v>144005.833333333</v>
      </c>
      <c r="AB158" s="29" t="n">
        <f aca="false">(IF(VinCapOn=1,MIN((AB36+AB41+AB46+AB51+AB56+AB61+AB66+AB71+AB76+AB81+AB86),INDEX(VinEnIT,1,MAX(1,23-IF(23&gt;LastHist,EnLag,0)))),(AB36+AB41+AB46+AB51+AB56+AB61+AB66+AB71+AB76+AB81+AB86))+AB91+AB96+AB38+AB43+AB48+AB53+AB58+AB63+AB68+AB73+AB78+AB83+AB88+AB93+AB98)*GPUMW_B</f>
        <v>144005.833333333</v>
      </c>
      <c r="AC158" s="29" t="n">
        <f aca="false">(IF(VinCapOn=1,MIN((AC36+AC41+AC46+AC51+AC56+AC61+AC66+AC71+AC76+AC81+AC86),INDEX(VinEnIT,1,MAX(1,24-IF(24&gt;LastHist,EnLag,0)))),(AC36+AC41+AC46+AC51+AC56+AC61+AC66+AC71+AC76+AC81+AC86))+AC91+AC96+AC38+AC43+AC48+AC53+AC58+AC63+AC68+AC73+AC78+AC83+AC88+AC93+AC98)*GPUMW_B</f>
        <v>144005.833333333</v>
      </c>
      <c r="AD158" s="29" t="n">
        <f aca="false">(IF(VinCapOn=1,MIN((AD36+AD41+AD46+AD51+AD56+AD61+AD66+AD71+AD76+AD81+AD86),INDEX(VinEnIT,1,MAX(1,25-IF(25&gt;LastHist,EnLag,0)))),(AD36+AD41+AD46+AD51+AD56+AD61+AD66+AD71+AD76+AD81+AD86))+AD91+AD96+AD38+AD43+AD48+AD53+AD58+AD63+AD68+AD73+AD78+AD83+AD88+AD93+AD98)*GPUMW_B</f>
        <v>144005.833333333</v>
      </c>
      <c r="AE158" s="29" t="n">
        <f aca="false">(IF(VinCapOn=1,MIN((AE36+AE41+AE46+AE51+AE56+AE61+AE66+AE71+AE76+AE81+AE86),INDEX(VinEnIT,1,MAX(1,26-IF(26&gt;LastHist,EnLag,0)))),(AE36+AE41+AE46+AE51+AE56+AE61+AE66+AE71+AE76+AE81+AE86))+AE91+AE96+AE38+AE43+AE48+AE53+AE58+AE63+AE68+AE73+AE78+AE83+AE88+AE93+AE98)*GPUMW_B</f>
        <v>144005.833333333</v>
      </c>
      <c r="AF158" s="29" t="n">
        <f aca="false">(IF(VinCapOn=1,MIN((AF36+AF41+AF46+AF51+AF56+AF61+AF66+AF71+AF76+AF81+AF86),INDEX(VinEnIT,1,MAX(1,27-IF(27&gt;LastHist,EnLag,0)))),(AF36+AF41+AF46+AF51+AF56+AF61+AF66+AF71+AF76+AF81+AF86))+AF91+AF96+AF38+AF43+AF48+AF53+AF58+AF63+AF68+AF73+AF78+AF83+AF88+AF93+AF98)*GPUMW_B</f>
        <v>144005.833333333</v>
      </c>
      <c r="AG158" s="29" t="n">
        <f aca="false">(IF(VinCapOn=1,MIN((AG36+AG41+AG46+AG51+AG56+AG61+AG66+AG71+AG76+AG81+AG86),INDEX(VinEnIT,1,MAX(1,28-IF(28&gt;LastHist,EnLag,0)))),(AG36+AG41+AG46+AG51+AG56+AG61+AG66+AG71+AG76+AG81+AG86))+AG91+AG96+AG38+AG43+AG48+AG53+AG58+AG63+AG68+AG73+AG78+AG83+AG88+AG93+AG98)*GPUMW_B</f>
        <v>144005.833333333</v>
      </c>
      <c r="AI158" s="29" t="n">
        <f aca="false">INDEX($F158:$AG158,1,MATCH(AI$7,$F$7:$AG$7,1))</f>
        <v>0</v>
      </c>
      <c r="AJ158" s="29" t="n">
        <f aca="false">INDEX($F158:$AG158,1,MATCH(AJ$7,$F$7:$AG$7,1))</f>
        <v>25102.9166666667</v>
      </c>
      <c r="AK158" s="29" t="n">
        <f aca="false">INDEX($F158:$AG158,1,MATCH(AK$7,$F$7:$AG$7,1))</f>
        <v>57005.8333333333</v>
      </c>
      <c r="AL158" s="29" t="n">
        <f aca="false">INDEX($F158:$AG158,1,MATCH(AL$7,$F$7:$AG$7,1))</f>
        <v>126505.833333333</v>
      </c>
      <c r="AM158" s="29" t="n">
        <f aca="false">INDEX($F158:$AG158,1,MATCH(AM$7,$F$7:$AG$7,1))</f>
        <v>144005.833333333</v>
      </c>
      <c r="AN158" s="29" t="n">
        <f aca="false">INDEX($F158:$AG158,1,MATCH(AN$7,$F$7:$AG$7,1))</f>
        <v>144005.833333333</v>
      </c>
      <c r="AO158" s="29" t="n">
        <f aca="false">INDEX($F158:$AG158,1,MATCH(AO$7,$F$7:$AG$7,1))</f>
        <v>144005.833333333</v>
      </c>
    </row>
    <row r="159" customFormat="false" ht="15" hidden="false" customHeight="false" outlineLevel="0" collapsed="false">
      <c r="A159" s="104" t="s">
        <v>1759</v>
      </c>
      <c r="B159" s="20" t="s">
        <v>674</v>
      </c>
      <c r="C159" s="20" t="s">
        <v>495</v>
      </c>
      <c r="D159" s="20"/>
      <c r="F159" s="108" t="n">
        <f aca="false">(0+F101+F106+F111+F116+F121+F103+F108+F113+F118+F123)*GPUMW_N</f>
        <v>0</v>
      </c>
      <c r="G159" s="108" t="n">
        <f aca="false">(0+G101+G106+G111+G116+G121+G103+G108+G113+G118+G123)*GPUMW_N</f>
        <v>0</v>
      </c>
      <c r="H159" s="108" t="n">
        <f aca="false">(0+H101+H106+H111+H116+H121+H103+H108+H113+H118+H123)*GPUMW_N</f>
        <v>0</v>
      </c>
      <c r="I159" s="108" t="n">
        <f aca="false">(0+I101+I106+I111+I116+I121+I103+I108+I113+I118+I123)*GPUMW_N</f>
        <v>0</v>
      </c>
      <c r="J159" s="108" t="n">
        <f aca="false">(0+J101+J106+J111+J116+J121+J103+J108+J113+J118+J123)*GPUMW_N</f>
        <v>0</v>
      </c>
      <c r="K159" s="108" t="n">
        <f aca="false">(0+K101+K106+K111+K116+K121+K103+K108+K113+K118+K123)*GPUMW_N</f>
        <v>0</v>
      </c>
      <c r="L159" s="108" t="n">
        <f aca="false">(0+L101+L106+L111+L116+L121+L103+L108+L113+L118+L123)*GPUMW_N</f>
        <v>0</v>
      </c>
      <c r="M159" s="108" t="n">
        <f aca="false">(0+M101+M106+M111+M116+M121+M103+M108+M113+M118+M123)*GPUMW_N</f>
        <v>0</v>
      </c>
      <c r="N159" s="108" t="n">
        <f aca="false">(0+N101+N106+N111+N116+N121+N103+N108+N113+N118+N123)*GPUMW_N</f>
        <v>0</v>
      </c>
      <c r="O159" s="108" t="n">
        <f aca="false">(0+O101+O106+O111+O116+O121+O103+O108+O113+O118+O123)*GPUMW_N</f>
        <v>0</v>
      </c>
      <c r="P159" s="29" t="n">
        <f aca="false">(0+P101+P106+P111+P116+P121+P103+P108+P113+P118+P123)*GPUMW_N</f>
        <v>0</v>
      </c>
      <c r="Q159" s="29" t="n">
        <f aca="false">(0+Q101+Q106+Q111+Q116+Q121+Q103+Q108+Q113+Q118+Q123)*GPUMW_N</f>
        <v>0</v>
      </c>
      <c r="R159" s="29" t="n">
        <f aca="false">(0+R101+R106+R111+R116+R121+R103+R108+R113+R118+R123)*GPUMW_N</f>
        <v>0</v>
      </c>
      <c r="S159" s="29" t="n">
        <f aca="false">(0+S101+S106+S111+S116+S121+S103+S108+S113+S118+S123)*GPUMW_N</f>
        <v>0</v>
      </c>
      <c r="T159" s="29" t="n">
        <f aca="false">(0+T101+T106+T111+T116+T121+T103+T108+T113+T118+T123)*GPUMW_N</f>
        <v>17066.6666666667</v>
      </c>
      <c r="U159" s="29" t="n">
        <f aca="false">(0+U101+U106+U111+U116+U121+U103+U108+U113+U118+U123)*GPUMW_N</f>
        <v>34133.3333333333</v>
      </c>
      <c r="V159" s="29" t="n">
        <f aca="false">(0+V101+V106+V111+V116+V121+V103+V108+V113+V118+V123)*GPUMW_N</f>
        <v>34133.3333333333</v>
      </c>
      <c r="W159" s="29" t="n">
        <f aca="false">(0+W101+W106+W111+W116+W121+W103+W108+W113+W118+W123)*GPUMW_N</f>
        <v>34133.3333333333</v>
      </c>
      <c r="X159" s="29" t="n">
        <f aca="false">(0+X101+X106+X111+X116+X121+X103+X108+X113+X118+X123)*GPUMW_N</f>
        <v>34133.3333333333</v>
      </c>
      <c r="Y159" s="29" t="n">
        <f aca="false">(0+Y101+Y106+Y111+Y116+Y121+Y103+Y108+Y113+Y118+Y123)*GPUMW_N</f>
        <v>34133.3333333333</v>
      </c>
      <c r="Z159" s="29" t="n">
        <f aca="false">(0+Z101+Z106+Z111+Z116+Z121+Z103+Z108+Z113+Z118+Z123)*GPUMW_N</f>
        <v>34133.3333333333</v>
      </c>
      <c r="AA159" s="29" t="n">
        <f aca="false">(0+AA101+AA106+AA111+AA116+AA121+AA103+AA108+AA113+AA118+AA123)*GPUMW_N</f>
        <v>34133.3333333333</v>
      </c>
      <c r="AB159" s="29" t="n">
        <f aca="false">(0+AB101+AB106+AB111+AB116+AB121+AB103+AB108+AB113+AB118+AB123)*GPUMW_N</f>
        <v>34133.3333333333</v>
      </c>
      <c r="AC159" s="29" t="n">
        <f aca="false">(0+AC101+AC106+AC111+AC116+AC121+AC103+AC108+AC113+AC118+AC123)*GPUMW_N</f>
        <v>34133.3333333333</v>
      </c>
      <c r="AD159" s="29" t="n">
        <f aca="false">(0+AD101+AD106+AD111+AD116+AD121+AD103+AD108+AD113+AD118+AD123)*GPUMW_N</f>
        <v>34133.3333333333</v>
      </c>
      <c r="AE159" s="29" t="n">
        <f aca="false">(0+AE101+AE106+AE111+AE116+AE121+AE103+AE108+AE113+AE118+AE123)*GPUMW_N</f>
        <v>34133.3333333333</v>
      </c>
      <c r="AF159" s="29" t="n">
        <f aca="false">(0+AF101+AF106+AF111+AF116+AF121+AF103+AF108+AF113+AF118+AF123)*GPUMW_N</f>
        <v>34133.3333333333</v>
      </c>
      <c r="AG159" s="29" t="n">
        <f aca="false">(0+AG101+AG106+AG111+AG116+AG121+AG103+AG108+AG113+AG118+AG123)*GPUMW_N</f>
        <v>34133.3333333333</v>
      </c>
      <c r="AI159" s="29" t="n">
        <f aca="false">INDEX($F159:$AG159,1,MATCH(AI$7,$F$7:$AG$7,1))</f>
        <v>0</v>
      </c>
      <c r="AJ159" s="29" t="n">
        <f aca="false">INDEX($F159:$AG159,1,MATCH(AJ$7,$F$7:$AG$7,1))</f>
        <v>0</v>
      </c>
      <c r="AK159" s="29" t="n">
        <f aca="false">INDEX($F159:$AG159,1,MATCH(AK$7,$F$7:$AG$7,1))</f>
        <v>0</v>
      </c>
      <c r="AL159" s="29" t="n">
        <f aca="false">INDEX($F159:$AG159,1,MATCH(AL$7,$F$7:$AG$7,1))</f>
        <v>34133.3333333333</v>
      </c>
      <c r="AM159" s="29" t="n">
        <f aca="false">INDEX($F159:$AG159,1,MATCH(AM$7,$F$7:$AG$7,1))</f>
        <v>34133.3333333333</v>
      </c>
      <c r="AN159" s="29" t="n">
        <f aca="false">INDEX($F159:$AG159,1,MATCH(AN$7,$F$7:$AG$7,1))</f>
        <v>34133.3333333333</v>
      </c>
      <c r="AO159" s="29" t="n">
        <f aca="false">INDEX($F159:$AG159,1,MATCH(AO$7,$F$7:$AG$7,1))</f>
        <v>34133.3333333333</v>
      </c>
    </row>
    <row r="161" customFormat="false" ht="15" hidden="false" customHeight="false" outlineLevel="0" collapsed="false">
      <c r="A161" s="53" t="s">
        <v>1760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</row>
    <row r="162" customFormat="false" ht="15" hidden="false" customHeight="false" outlineLevel="0" collapsed="false">
      <c r="A162" s="104" t="s">
        <v>879</v>
      </c>
      <c r="D162" s="20" t="s">
        <v>1761</v>
      </c>
      <c r="E162" s="106" t="n">
        <f aca="false">Cons_Q4</f>
        <v>1450</v>
      </c>
    </row>
    <row r="163" customFormat="false" ht="15" hidden="false" customHeight="false" outlineLevel="0" collapsed="false">
      <c r="A163" s="104" t="s">
        <v>1762</v>
      </c>
      <c r="D163" s="20" t="s">
        <v>507</v>
      </c>
      <c r="E163" s="106" t="n">
        <f aca="false">-Q2GroupRev</f>
        <v>-582.3</v>
      </c>
    </row>
    <row r="164" customFormat="false" ht="15" hidden="false" customHeight="false" outlineLevel="0" collapsed="false">
      <c r="A164" s="3" t="s">
        <v>1763</v>
      </c>
      <c r="D164" s="20"/>
      <c r="E164" s="112" t="n">
        <f aca="false">BR_Cons-Q2GroupRev</f>
        <v>867.7</v>
      </c>
    </row>
    <row r="165" customFormat="false" ht="15" hidden="false" customHeight="false" outlineLevel="0" collapsed="false">
      <c r="A165" s="104" t="s">
        <v>1764</v>
      </c>
      <c r="D165" s="20" t="s">
        <v>1765</v>
      </c>
      <c r="E165" s="106" t="n">
        <f aca="false">MS_Q2RR</f>
        <v>120.729</v>
      </c>
    </row>
    <row r="166" customFormat="false" ht="15" hidden="false" customHeight="false" outlineLevel="0" collapsed="false">
      <c r="A166" s="104" t="s">
        <v>1766</v>
      </c>
      <c r="D166" s="20" t="s">
        <v>1767</v>
      </c>
      <c r="E166" s="106" t="n">
        <f aca="false">INDEX(MS_Rev,1,12)</f>
        <v>278.331694010417</v>
      </c>
    </row>
    <row r="167" customFormat="false" ht="15" hidden="false" customHeight="false" outlineLevel="0" collapsed="false">
      <c r="A167" s="104" t="s">
        <v>1768</v>
      </c>
      <c r="D167" s="20"/>
      <c r="E167" s="106" t="n">
        <f aca="false">BR_MSQ4-BR_MSQ2</f>
        <v>157.602694010417</v>
      </c>
    </row>
    <row r="168" customFormat="false" ht="15" hidden="false" customHeight="false" outlineLevel="0" collapsed="false">
      <c r="A168" s="104" t="s">
        <v>1769</v>
      </c>
      <c r="D168" s="20"/>
      <c r="E168" s="106" t="n">
        <f aca="false">IF(TopCust=1,0.24,0.21)*574.9</f>
        <v>137.976</v>
      </c>
    </row>
    <row r="169" customFormat="false" ht="15" hidden="false" customHeight="false" outlineLevel="0" collapsed="false">
      <c r="A169" s="104" t="s">
        <v>1770</v>
      </c>
      <c r="D169" s="20"/>
      <c r="E169" s="106" t="n">
        <f aca="false">Meta1Q-BR_MetaQ2</f>
        <v>6.059</v>
      </c>
    </row>
    <row r="170" customFormat="false" ht="15" hidden="false" customHeight="false" outlineLevel="0" collapsed="false">
      <c r="A170" s="104" t="s">
        <v>1771</v>
      </c>
      <c r="D170" s="20" t="s">
        <v>1772</v>
      </c>
      <c r="E170" s="106" t="n">
        <f aca="false">PxLine_Lo</f>
        <v>40</v>
      </c>
    </row>
    <row r="171" customFormat="false" ht="15" hidden="false" customHeight="false" outlineLevel="0" collapsed="false">
      <c r="A171" s="104" t="s">
        <v>1773</v>
      </c>
      <c r="D171" s="20"/>
      <c r="E171" s="106" t="n">
        <f aca="false">PxLine_Hi</f>
        <v>125</v>
      </c>
    </row>
    <row r="172" customFormat="false" ht="15" hidden="false" customHeight="false" outlineLevel="0" collapsed="false">
      <c r="A172" s="3" t="s">
        <v>1774</v>
      </c>
      <c r="D172" s="20"/>
      <c r="E172" s="112" t="n">
        <f aca="false">BR_Gap-BR_MSInc-BR_MetaInc-BR_PxHi</f>
        <v>579.038305989583</v>
      </c>
    </row>
    <row r="173" customFormat="false" ht="15" hidden="false" customHeight="false" outlineLevel="0" collapsed="false">
      <c r="A173" s="3" t="s">
        <v>1775</v>
      </c>
      <c r="D173" s="20"/>
      <c r="E173" s="112" t="n">
        <f aca="false">BR_Gap-BR_MSInc-BR_MetaInc-BR_PxLo</f>
        <v>664.038305989583</v>
      </c>
    </row>
    <row r="174" customFormat="false" ht="15" hidden="false" customHeight="false" outlineLevel="0" collapsed="false">
      <c r="A174" s="104" t="s">
        <v>1776</v>
      </c>
      <c r="D174" s="20"/>
      <c r="E174" s="29" t="n">
        <f aca="false">BR_ResLo/(NewDealHi/4)</f>
        <v>92.6461289583333</v>
      </c>
    </row>
    <row r="175" customFormat="false" ht="15" hidden="false" customHeight="false" outlineLevel="0" collapsed="false">
      <c r="A175" s="104" t="s">
        <v>1777</v>
      </c>
      <c r="D175" s="20"/>
      <c r="E175" s="29" t="n">
        <f aca="false">BR_ResHi/(NewDealLo/4)</f>
        <v>132.807661197917</v>
      </c>
    </row>
    <row r="176" customFormat="false" ht="15" hidden="false" customHeight="false" outlineLevel="0" collapsed="false">
      <c r="A176" s="104" t="s">
        <v>1778</v>
      </c>
      <c r="D176" s="20"/>
      <c r="E176" s="29" t="n">
        <f aca="false">BR_ResHi/(BaseRateMW/4)</f>
        <v>221.346101996528</v>
      </c>
    </row>
    <row r="177" customFormat="false" ht="15" hidden="false" customHeight="false" outlineLevel="0" collapsed="false">
      <c r="A177" s="104" t="s">
        <v>1779</v>
      </c>
      <c r="D177" s="20"/>
      <c r="E177" s="26" t="str">
        <f aca="false">IF(AND(BR_MW25&lt;=UnseenChkHi,BR_MW20&gt;=UnseenChkLo),"OK - overlaps 83-200 MW","CHECK")</f>
        <v>OK - overlaps 83-200 MW</v>
      </c>
    </row>
    <row r="178" customFormat="false" ht="15" hidden="false" customHeight="false" outlineLevel="0" collapsed="false">
      <c r="A178" s="104" t="s">
        <v>1780</v>
      </c>
      <c r="D178" s="20"/>
      <c r="E178" s="106" t="n">
        <f aca="false">INDEX(PL_Rev,1,12)</f>
        <v>788.424963351483</v>
      </c>
    </row>
    <row r="179" customFormat="false" ht="15" hidden="false" customHeight="false" outlineLevel="0" collapsed="false">
      <c r="A179" s="104" t="s">
        <v>1781</v>
      </c>
      <c r="D179" s="20"/>
      <c r="E179" s="106" t="n">
        <f aca="false">BR_Model-BR_Cons</f>
        <v>-661.575036648517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1782</v>
      </c>
    </row>
    <row r="2" customFormat="false" ht="15" hidden="false" customHeight="false" outlineLevel="0" collapsed="false">
      <c r="A2" s="20" t="s">
        <v>1783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1784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1785</v>
      </c>
      <c r="B11" s="20" t="s">
        <v>575</v>
      </c>
      <c r="C11" s="20" t="s">
        <v>1309</v>
      </c>
      <c r="D11" s="20"/>
      <c r="E11" s="29" t="n">
        <f aca="false">INDEX(MW_Act,1,1)</f>
        <v>25</v>
      </c>
      <c r="F11" s="108" t="n">
        <f aca="false">INDEX(MW_Act,1,1)</f>
        <v>25</v>
      </c>
      <c r="G11" s="108" t="n">
        <f aca="false">INDEX(MW_Act,1,2)</f>
        <v>25</v>
      </c>
      <c r="H11" s="108" t="n">
        <f aca="false">INDEX(MW_Act,1,3)</f>
        <v>25</v>
      </c>
      <c r="I11" s="108" t="n">
        <f aca="false">INDEX(MW_Act,1,4)</f>
        <v>30</v>
      </c>
      <c r="J11" s="108" t="n">
        <f aca="false">INDEX(MW_Act,1,5)</f>
        <v>40</v>
      </c>
      <c r="K11" s="108" t="n">
        <f aca="false">INDEX(MW_Act,1,6)</f>
        <v>45</v>
      </c>
      <c r="L11" s="108" t="n">
        <f aca="false">INDEX(MW_Act,1,7)</f>
        <v>62.5</v>
      </c>
      <c r="M11" s="108" t="n">
        <f aca="false">INDEX(MW_Act,1,8)</f>
        <v>147.7</v>
      </c>
      <c r="N11" s="108" t="n">
        <f aca="false">INDEX(MW_Act,1,9)</f>
        <v>171.5</v>
      </c>
      <c r="O11" s="108" t="n">
        <f aca="false">INDEX(MW_Act,1,10)</f>
        <v>173</v>
      </c>
      <c r="P11" s="29" t="n">
        <f aca="false">INDEX(MW_Act,1,11)</f>
        <v>173</v>
      </c>
      <c r="Q11" s="29" t="n">
        <f aca="false">INDEX(MW_Act,1,12)</f>
        <v>207.5</v>
      </c>
      <c r="R11" s="29" t="n">
        <f aca="false">INDEX(MW_Act,1,13)</f>
        <v>292.4</v>
      </c>
      <c r="S11" s="29" t="n">
        <f aca="false">INDEX(MW_Act,1,14)</f>
        <v>416.4</v>
      </c>
      <c r="T11" s="29" t="n">
        <f aca="false">INDEX(MW_Act,1,15)</f>
        <v>545.1</v>
      </c>
      <c r="U11" s="29" t="n">
        <f aca="false">INDEX(MW_Act,1,16)</f>
        <v>684.5</v>
      </c>
      <c r="V11" s="29" t="n">
        <f aca="false">INDEX(MW_Act,1,17)</f>
        <v>950</v>
      </c>
      <c r="W11" s="29" t="n">
        <f aca="false">INDEX(MW_Act,1,18)</f>
        <v>1042.5</v>
      </c>
      <c r="X11" s="29" t="n">
        <f aca="false">INDEX(MW_Act,1,19)</f>
        <v>1198.5</v>
      </c>
      <c r="Y11" s="29" t="n">
        <f aca="false">INDEX(MW_Act,1,20)</f>
        <v>1211</v>
      </c>
      <c r="Z11" s="29" t="n">
        <f aca="false">INDEX(MW_Act,1,21)</f>
        <v>1539</v>
      </c>
      <c r="AA11" s="29" t="n">
        <f aca="false">INDEX(MW_Act,1,22)</f>
        <v>1539</v>
      </c>
      <c r="AB11" s="29" t="n">
        <f aca="false">INDEX(MW_Act,1,23)</f>
        <v>1875</v>
      </c>
      <c r="AC11" s="29" t="n">
        <f aca="false">INDEX(MW_Act,1,24)</f>
        <v>1875</v>
      </c>
      <c r="AD11" s="29" t="n">
        <f aca="false">INDEX(MW_Act,1,25)</f>
        <v>2343</v>
      </c>
      <c r="AE11" s="29" t="n">
        <f aca="false">INDEX(MW_Act,1,26)</f>
        <v>2343</v>
      </c>
      <c r="AF11" s="29" t="n">
        <f aca="false">INDEX(MW_Act,1,27)</f>
        <v>2343</v>
      </c>
      <c r="AG11" s="29" t="n">
        <f aca="false">INDEX(MW_Act,1,28)</f>
        <v>2343</v>
      </c>
      <c r="AI11" s="29" t="n">
        <f aca="false">INDEX($F11:$AG11,1,MATCH(AI$7,$F$7:$AG$7,1))</f>
        <v>30</v>
      </c>
      <c r="AJ11" s="29" t="n">
        <f aca="false">INDEX($F11:$AG11,1,MATCH(AJ$7,$F$7:$AG$7,1))</f>
        <v>147.7</v>
      </c>
      <c r="AK11" s="29" t="n">
        <f aca="false">INDEX($F11:$AG11,1,MATCH(AK$7,$F$7:$AG$7,1))</f>
        <v>207.5</v>
      </c>
      <c r="AL11" s="29" t="n">
        <f aca="false">INDEX($F11:$AG11,1,MATCH(AL$7,$F$7:$AG$7,1))</f>
        <v>684.5</v>
      </c>
      <c r="AM11" s="29" t="n">
        <f aca="false">INDEX($F11:$AG11,1,MATCH(AM$7,$F$7:$AG$7,1))</f>
        <v>1211</v>
      </c>
      <c r="AN11" s="29" t="n">
        <f aca="false">INDEX($F11:$AG11,1,MATCH(AN$7,$F$7:$AG$7,1))</f>
        <v>1875</v>
      </c>
      <c r="AO11" s="29" t="n">
        <f aca="false">INDEX($F11:$AG11,1,MATCH(AO$7,$F$7:$AG$7,1))</f>
        <v>2343</v>
      </c>
    </row>
    <row r="12" customFormat="false" ht="15" hidden="false" customHeight="false" outlineLevel="0" collapsed="false">
      <c r="A12" s="104" t="s">
        <v>1786</v>
      </c>
      <c r="B12" s="20" t="s">
        <v>575</v>
      </c>
      <c r="C12" s="20" t="s">
        <v>495</v>
      </c>
      <c r="D12" s="20"/>
      <c r="F12" s="108" t="n">
        <f aca="false">AVERAGE(E11,F11)</f>
        <v>25</v>
      </c>
      <c r="G12" s="108" t="n">
        <f aca="false">AVERAGE(F11,G11)</f>
        <v>25</v>
      </c>
      <c r="H12" s="108" t="n">
        <f aca="false">AVERAGE(G11,H11)</f>
        <v>25</v>
      </c>
      <c r="I12" s="108" t="n">
        <f aca="false">AVERAGE(H11,I11)</f>
        <v>27.5</v>
      </c>
      <c r="J12" s="108" t="n">
        <f aca="false">AVERAGE(I11,J11)</f>
        <v>35</v>
      </c>
      <c r="K12" s="108" t="n">
        <f aca="false">AVERAGE(J11,K11)</f>
        <v>42.5</v>
      </c>
      <c r="L12" s="108" t="n">
        <f aca="false">AVERAGE(K11,L11)</f>
        <v>53.75</v>
      </c>
      <c r="M12" s="108" t="n">
        <f aca="false">AVERAGE(L11,M11)</f>
        <v>105.1</v>
      </c>
      <c r="N12" s="108" t="n">
        <f aca="false">AVERAGE(M11,N11)</f>
        <v>159.6</v>
      </c>
      <c r="O12" s="108" t="n">
        <f aca="false">AVERAGE(N11,O11)</f>
        <v>172.25</v>
      </c>
      <c r="P12" s="29" t="n">
        <f aca="false">AVERAGE(O11,P11)</f>
        <v>173</v>
      </c>
      <c r="Q12" s="29" t="n">
        <f aca="false">AVERAGE(P11,Q11)</f>
        <v>190.25</v>
      </c>
      <c r="R12" s="29" t="n">
        <f aca="false">AVERAGE(Q11,R11)</f>
        <v>249.95</v>
      </c>
      <c r="S12" s="29" t="n">
        <f aca="false">AVERAGE(R11,S11)</f>
        <v>354.4</v>
      </c>
      <c r="T12" s="29" t="n">
        <f aca="false">AVERAGE(S11,T11)</f>
        <v>480.75</v>
      </c>
      <c r="U12" s="29" t="n">
        <f aca="false">AVERAGE(T11,U11)</f>
        <v>614.8</v>
      </c>
      <c r="V12" s="29" t="n">
        <f aca="false">AVERAGE(U11,V11)</f>
        <v>817.25</v>
      </c>
      <c r="W12" s="29" t="n">
        <f aca="false">AVERAGE(V11,W11)</f>
        <v>996.25</v>
      </c>
      <c r="X12" s="29" t="n">
        <f aca="false">AVERAGE(W11,X11)</f>
        <v>1120.5</v>
      </c>
      <c r="Y12" s="29" t="n">
        <f aca="false">AVERAGE(X11,Y11)</f>
        <v>1204.75</v>
      </c>
      <c r="Z12" s="29" t="n">
        <f aca="false">AVERAGE(Y11,Z11)</f>
        <v>1375</v>
      </c>
      <c r="AA12" s="29" t="n">
        <f aca="false">AVERAGE(Z11,AA11)</f>
        <v>1539</v>
      </c>
      <c r="AB12" s="29" t="n">
        <f aca="false">AVERAGE(AA11,AB11)</f>
        <v>1707</v>
      </c>
      <c r="AC12" s="29" t="n">
        <f aca="false">AVERAGE(AB11,AC11)</f>
        <v>1875</v>
      </c>
      <c r="AD12" s="29" t="n">
        <f aca="false">AVERAGE(AC11,AD11)</f>
        <v>2109</v>
      </c>
      <c r="AE12" s="29" t="n">
        <f aca="false">AVERAGE(AD11,AE11)</f>
        <v>2343</v>
      </c>
      <c r="AF12" s="29" t="n">
        <f aca="false">AVERAGE(AE11,AF11)</f>
        <v>2343</v>
      </c>
      <c r="AG12" s="29" t="n">
        <f aca="false">AVERAGE(AF11,AG11)</f>
        <v>2343</v>
      </c>
      <c r="AI12" s="29" t="n">
        <f aca="false">AVERAGEIF($F$7:$AG$7,AI$7,$F12:$AG12)</f>
        <v>25.625</v>
      </c>
      <c r="AJ12" s="29" t="n">
        <f aca="false">AVERAGEIF($F$7:$AG$7,AJ$7,$F12:$AG12)</f>
        <v>59.0875</v>
      </c>
      <c r="AK12" s="29" t="n">
        <f aca="false">AVERAGEIF($F$7:$AG$7,AK$7,$F12:$AG12)</f>
        <v>173.775</v>
      </c>
      <c r="AL12" s="29" t="n">
        <f aca="false">AVERAGEIF($F$7:$AG$7,AL$7,$F12:$AG12)</f>
        <v>424.975</v>
      </c>
      <c r="AM12" s="29" t="n">
        <f aca="false">AVERAGEIF($F$7:$AG$7,AM$7,$F12:$AG12)</f>
        <v>1034.6875</v>
      </c>
      <c r="AN12" s="29" t="n">
        <f aca="false">AVERAGEIF($F$7:$AG$7,AN$7,$F12:$AG12)</f>
        <v>1624</v>
      </c>
      <c r="AO12" s="29" t="n">
        <f aca="false">AVERAGEIF($F$7:$AG$7,AO$7,$F12:$AG12)</f>
        <v>2284.5</v>
      </c>
    </row>
    <row r="13" customFormat="false" ht="15" hidden="false" customHeight="false" outlineLevel="0" collapsed="false">
      <c r="A13" s="104" t="s">
        <v>1787</v>
      </c>
      <c r="B13" s="20" t="s">
        <v>575</v>
      </c>
      <c r="C13" s="20" t="s">
        <v>495</v>
      </c>
      <c r="D13" s="20"/>
      <c r="F13" s="108" t="n">
        <f aca="false">MAX(0,F11-E11)</f>
        <v>0</v>
      </c>
      <c r="G13" s="108" t="n">
        <f aca="false">MAX(0,G11-F11)</f>
        <v>0</v>
      </c>
      <c r="H13" s="108" t="n">
        <f aca="false">MAX(0,H11-G11)</f>
        <v>0</v>
      </c>
      <c r="I13" s="108" t="n">
        <f aca="false">MAX(0,I11-H11)</f>
        <v>5</v>
      </c>
      <c r="J13" s="108" t="n">
        <f aca="false">MAX(0,J11-I11)</f>
        <v>10</v>
      </c>
      <c r="K13" s="108" t="n">
        <f aca="false">MAX(0,K11-J11)</f>
        <v>5</v>
      </c>
      <c r="L13" s="108" t="n">
        <f aca="false">MAX(0,L11-K11)</f>
        <v>17.5</v>
      </c>
      <c r="M13" s="108" t="n">
        <f aca="false">MAX(0,M11-L11)</f>
        <v>85.2</v>
      </c>
      <c r="N13" s="108" t="n">
        <f aca="false">MAX(0,N11-M11)</f>
        <v>23.8</v>
      </c>
      <c r="O13" s="108" t="n">
        <f aca="false">MAX(0,O11-N11)</f>
        <v>1.5</v>
      </c>
      <c r="P13" s="29" t="n">
        <f aca="false">MAX(0,P11-O11)</f>
        <v>0</v>
      </c>
      <c r="Q13" s="29" t="n">
        <f aca="false">MAX(0,Q11-P11)</f>
        <v>34.5</v>
      </c>
      <c r="R13" s="29" t="n">
        <f aca="false">MAX(0,R11-Q11)</f>
        <v>84.9</v>
      </c>
      <c r="S13" s="29" t="n">
        <f aca="false">MAX(0,S11-R11)</f>
        <v>124</v>
      </c>
      <c r="T13" s="29" t="n">
        <f aca="false">MAX(0,T11-S11)</f>
        <v>128.7</v>
      </c>
      <c r="U13" s="29" t="n">
        <f aca="false">MAX(0,U11-T11)</f>
        <v>139.4</v>
      </c>
      <c r="V13" s="29" t="n">
        <f aca="false">MAX(0,V11-U11)</f>
        <v>265.5</v>
      </c>
      <c r="W13" s="29" t="n">
        <f aca="false">MAX(0,W11-V11)</f>
        <v>92.5</v>
      </c>
      <c r="X13" s="29" t="n">
        <f aca="false">MAX(0,X11-W11)</f>
        <v>156</v>
      </c>
      <c r="Y13" s="29" t="n">
        <f aca="false">MAX(0,Y11-X11)</f>
        <v>12.5</v>
      </c>
      <c r="Z13" s="29" t="n">
        <f aca="false">MAX(0,Z11-Y11)</f>
        <v>328</v>
      </c>
      <c r="AA13" s="29" t="n">
        <f aca="false">MAX(0,AA11-Z11)</f>
        <v>0</v>
      </c>
      <c r="AB13" s="29" t="n">
        <f aca="false">MAX(0,AB11-AA11)</f>
        <v>336</v>
      </c>
      <c r="AC13" s="29" t="n">
        <f aca="false">MAX(0,AC11-AB11)</f>
        <v>0</v>
      </c>
      <c r="AD13" s="29" t="n">
        <f aca="false">MAX(0,AD11-AC11)</f>
        <v>468</v>
      </c>
      <c r="AE13" s="29" t="n">
        <f aca="false">MAX(0,AE11-AD11)</f>
        <v>0</v>
      </c>
      <c r="AF13" s="29" t="n">
        <f aca="false">MAX(0,AF11-AE11)</f>
        <v>0</v>
      </c>
      <c r="AG13" s="29" t="n">
        <f aca="false">MAX(0,AG11-AF11)</f>
        <v>0</v>
      </c>
      <c r="AI13" s="29" t="n">
        <f aca="false">SUMIF($F$7:$AG$7,AI$7,$F13:$AG13)</f>
        <v>5</v>
      </c>
      <c r="AJ13" s="29" t="n">
        <f aca="false">SUMIF($F$7:$AG$7,AJ$7,$F13:$AG13)</f>
        <v>117.7</v>
      </c>
      <c r="AK13" s="29" t="n">
        <f aca="false">SUMIF($F$7:$AG$7,AK$7,$F13:$AG13)</f>
        <v>59.8</v>
      </c>
      <c r="AL13" s="29" t="n">
        <f aca="false">SUMIF($F$7:$AG$7,AL$7,$F13:$AG13)</f>
        <v>477</v>
      </c>
      <c r="AM13" s="29" t="n">
        <f aca="false">SUMIF($F$7:$AG$7,AM$7,$F13:$AG13)</f>
        <v>526.5</v>
      </c>
      <c r="AN13" s="29" t="n">
        <f aca="false">SUMIF($F$7:$AG$7,AN$7,$F13:$AG13)</f>
        <v>664</v>
      </c>
      <c r="AO13" s="29" t="n">
        <f aca="false">SUMIF($F$7:$AG$7,AO$7,$F13:$AG13)</f>
        <v>468</v>
      </c>
    </row>
    <row r="14" customFormat="false" ht="15" hidden="false" customHeight="false" outlineLevel="0" collapsed="false">
      <c r="A14" s="104" t="s">
        <v>1788</v>
      </c>
      <c r="B14" s="20" t="s">
        <v>674</v>
      </c>
      <c r="C14" s="20" t="s">
        <v>495</v>
      </c>
      <c r="D14" s="20" t="s">
        <v>1789</v>
      </c>
      <c r="F14" s="108" t="n">
        <f aca="false">MAX(0,F17-E17)</f>
        <v>0</v>
      </c>
      <c r="G14" s="108" t="n">
        <f aca="false">MAX(0,G17-F17)</f>
        <v>0</v>
      </c>
      <c r="H14" s="108" t="n">
        <f aca="false">MAX(0,H17-G17)</f>
        <v>0</v>
      </c>
      <c r="I14" s="108" t="n">
        <f aca="false">MAX(0,I17-H17)</f>
        <v>2743</v>
      </c>
      <c r="J14" s="108" t="n">
        <f aca="false">MAX(0,J17-I17)</f>
        <v>13544</v>
      </c>
      <c r="K14" s="108" t="n">
        <f aca="false">MAX(0,K17-J17)</f>
        <v>2743</v>
      </c>
      <c r="L14" s="108" t="n">
        <f aca="false">MAX(0,L17-K17)</f>
        <v>0</v>
      </c>
      <c r="M14" s="108" t="n">
        <f aca="false">MAX(0,M17-L17)</f>
        <v>0</v>
      </c>
      <c r="N14" s="108" t="n">
        <f aca="false">MAX(0,N17-M17)</f>
        <v>0</v>
      </c>
      <c r="O14" s="108" t="n">
        <f aca="false">MAX(0,O17-N17)</f>
        <v>0</v>
      </c>
      <c r="P14" s="29" t="n">
        <f aca="false">MAX(0,P17-O17)</f>
        <v>0</v>
      </c>
      <c r="Q14" s="29" t="n">
        <f aca="false">MAX(0,Q17-P17)</f>
        <v>0</v>
      </c>
      <c r="R14" s="29" t="n">
        <f aca="false">MAX(0,R17-Q17)</f>
        <v>0</v>
      </c>
      <c r="S14" s="29" t="n">
        <f aca="false">MAX(0,S17-R17)</f>
        <v>0</v>
      </c>
      <c r="T14" s="29" t="n">
        <f aca="false">MAX(0,T17-S17)</f>
        <v>0</v>
      </c>
      <c r="U14" s="29" t="n">
        <f aca="false">MAX(0,U17-T17)</f>
        <v>0</v>
      </c>
      <c r="V14" s="29" t="n">
        <f aca="false">MAX(0,V17-U17)</f>
        <v>0</v>
      </c>
      <c r="W14" s="29" t="n">
        <f aca="false">MAX(0,W17-V17)</f>
        <v>0</v>
      </c>
      <c r="X14" s="29" t="n">
        <f aca="false">MAX(0,X17-W17)</f>
        <v>0</v>
      </c>
      <c r="Y14" s="29" t="n">
        <f aca="false">MAX(0,Y17-X17)</f>
        <v>0</v>
      </c>
      <c r="Z14" s="29" t="n">
        <f aca="false">MAX(0,Z17-Y17)</f>
        <v>0</v>
      </c>
      <c r="AA14" s="29" t="n">
        <f aca="false">MAX(0,AA17-Z17)</f>
        <v>0</v>
      </c>
      <c r="AB14" s="29" t="n">
        <f aca="false">MAX(0,AB17-AA17)</f>
        <v>0</v>
      </c>
      <c r="AC14" s="29" t="n">
        <f aca="false">MAX(0,AC17-AB17)</f>
        <v>0</v>
      </c>
      <c r="AD14" s="29" t="n">
        <f aca="false">MAX(0,AD17-AC17)</f>
        <v>0</v>
      </c>
      <c r="AE14" s="29" t="n">
        <f aca="false">MAX(0,AE17-AD17)</f>
        <v>0</v>
      </c>
      <c r="AF14" s="29" t="n">
        <f aca="false">MAX(0,AF17-AE17)</f>
        <v>0</v>
      </c>
      <c r="AG14" s="29" t="n">
        <f aca="false">MAX(0,AG17-AF17)</f>
        <v>0</v>
      </c>
      <c r="AI14" s="29" t="n">
        <f aca="false">SUMIF($F$7:$AG$7,AI$7,$F14:$AG14)</f>
        <v>2743</v>
      </c>
      <c r="AJ14" s="29" t="n">
        <f aca="false">SUMIF($F$7:$AG$7,AJ$7,$F14:$AG14)</f>
        <v>16287</v>
      </c>
      <c r="AK14" s="29" t="n">
        <f aca="false">SUMIF($F$7:$AG$7,AK$7,$F14:$AG14)</f>
        <v>0</v>
      </c>
      <c r="AL14" s="29" t="n">
        <f aca="false">SUMIF($F$7:$AG$7,AL$7,$F14:$AG14)</f>
        <v>0</v>
      </c>
      <c r="AM14" s="29" t="n">
        <f aca="false">SUMIF($F$7:$AG$7,AM$7,$F14:$AG14)</f>
        <v>0</v>
      </c>
      <c r="AN14" s="29" t="n">
        <f aca="false">SUMIF($F$7:$AG$7,AN$7,$F14:$AG14)</f>
        <v>0</v>
      </c>
      <c r="AO14" s="29" t="n">
        <f aca="false">SUMIF($F$7:$AG$7,AO$7,$F14:$AG14)</f>
        <v>0</v>
      </c>
    </row>
    <row r="15" customFormat="false" ht="15" hidden="false" customHeight="false" outlineLevel="0" collapsed="false">
      <c r="A15" s="104" t="s">
        <v>1790</v>
      </c>
      <c r="B15" s="20" t="s">
        <v>674</v>
      </c>
      <c r="C15" s="20" t="s">
        <v>495</v>
      </c>
      <c r="D15" s="20" t="s">
        <v>1789</v>
      </c>
      <c r="F15" s="108" t="n">
        <f aca="false">MAX(0,F18-E18)</f>
        <v>0</v>
      </c>
      <c r="G15" s="108" t="n">
        <f aca="false">MAX(0,G18-F18)</f>
        <v>0</v>
      </c>
      <c r="H15" s="108" t="n">
        <f aca="false">MAX(0,H18-G18)</f>
        <v>0</v>
      </c>
      <c r="I15" s="108" t="n">
        <f aca="false">MAX(0,I18-H18)</f>
        <v>0</v>
      </c>
      <c r="J15" s="108" t="n">
        <f aca="false">MAX(0,J18-I18)</f>
        <v>0</v>
      </c>
      <c r="K15" s="108" t="n">
        <f aca="false">MAX(0,K18-J18)</f>
        <v>0</v>
      </c>
      <c r="L15" s="108" t="n">
        <f aca="false">MAX(0,L18-K18)</f>
        <v>7072</v>
      </c>
      <c r="M15" s="108" t="n">
        <f aca="false">MAX(0,M18-L18)</f>
        <v>37255</v>
      </c>
      <c r="N15" s="108" t="n">
        <f aca="false">MAX(0,N18-M18)</f>
        <v>10668</v>
      </c>
      <c r="O15" s="108" t="n">
        <f aca="false">MAX(0,O18-N18)</f>
        <v>737</v>
      </c>
      <c r="P15" s="29" t="n">
        <f aca="false">MAX(0,P18-O18)</f>
        <v>0</v>
      </c>
      <c r="Q15" s="29" t="n">
        <f aca="false">MAX(0,Q18-P18)</f>
        <v>16156</v>
      </c>
      <c r="R15" s="29" t="n">
        <f aca="false">MAX(0,R18-Q18)</f>
        <v>40767</v>
      </c>
      <c r="S15" s="29" t="n">
        <f aca="false">MAX(0,S18-R18)</f>
        <v>54874.0000000001</v>
      </c>
      <c r="T15" s="29" t="n">
        <f aca="false">MAX(0,T18-S18)</f>
        <v>51984</v>
      </c>
      <c r="U15" s="29" t="n">
        <f aca="false">MAX(0,U18-T18)</f>
        <v>25212</v>
      </c>
      <c r="V15" s="29" t="n">
        <f aca="false">MAX(0,V18-U18)</f>
        <v>45662</v>
      </c>
      <c r="W15" s="29" t="n">
        <f aca="false">MAX(0,W18-V18)</f>
        <v>0</v>
      </c>
      <c r="X15" s="29" t="n">
        <f aca="false">MAX(0,X18-W18)</f>
        <v>0</v>
      </c>
      <c r="Y15" s="29" t="n">
        <f aca="false">MAX(0,Y18-X18)</f>
        <v>0</v>
      </c>
      <c r="Z15" s="29" t="n">
        <f aca="false">MAX(0,Z18-Y18)</f>
        <v>24558</v>
      </c>
      <c r="AA15" s="29" t="n">
        <f aca="false">MAX(0,AA18-Z18)</f>
        <v>0</v>
      </c>
      <c r="AB15" s="29" t="n">
        <f aca="false">MAX(0,AB18-AA18)</f>
        <v>0</v>
      </c>
      <c r="AC15" s="29" t="n">
        <f aca="false">MAX(0,AC18-AB18)</f>
        <v>0</v>
      </c>
      <c r="AD15" s="29" t="n">
        <f aca="false">MAX(0,AD18-AC18)</f>
        <v>0</v>
      </c>
      <c r="AE15" s="29" t="n">
        <f aca="false">MAX(0,AE18-AD18)</f>
        <v>0</v>
      </c>
      <c r="AF15" s="29" t="n">
        <f aca="false">MAX(0,AF18-AE18)</f>
        <v>0</v>
      </c>
      <c r="AG15" s="29" t="n">
        <f aca="false">MAX(0,AG18-AF18)</f>
        <v>0</v>
      </c>
      <c r="AI15" s="29" t="n">
        <f aca="false">SUMIF($F$7:$AG$7,AI$7,$F15:$AG15)</f>
        <v>0</v>
      </c>
      <c r="AJ15" s="29" t="n">
        <f aca="false">SUMIF($F$7:$AG$7,AJ$7,$F15:$AG15)</f>
        <v>44327</v>
      </c>
      <c r="AK15" s="29" t="n">
        <f aca="false">SUMIF($F$7:$AG$7,AK$7,$F15:$AG15)</f>
        <v>27561</v>
      </c>
      <c r="AL15" s="29" t="n">
        <f aca="false">SUMIF($F$7:$AG$7,AL$7,$F15:$AG15)</f>
        <v>172837</v>
      </c>
      <c r="AM15" s="29" t="n">
        <f aca="false">SUMIF($F$7:$AG$7,AM$7,$F15:$AG15)</f>
        <v>45662</v>
      </c>
      <c r="AN15" s="29" t="n">
        <f aca="false">SUMIF($F$7:$AG$7,AN$7,$F15:$AG15)</f>
        <v>24558</v>
      </c>
      <c r="AO15" s="29" t="n">
        <f aca="false">SUMIF($F$7:$AG$7,AO$7,$F15:$AG15)</f>
        <v>0</v>
      </c>
    </row>
    <row r="16" customFormat="false" ht="15" hidden="false" customHeight="false" outlineLevel="0" collapsed="false">
      <c r="A16" s="104" t="s">
        <v>1791</v>
      </c>
      <c r="B16" s="20" t="s">
        <v>674</v>
      </c>
      <c r="C16" s="20" t="s">
        <v>495</v>
      </c>
      <c r="D16" s="20" t="s">
        <v>1789</v>
      </c>
      <c r="F16" s="108" t="n">
        <f aca="false">MAX(0,F19-E19)</f>
        <v>0</v>
      </c>
      <c r="G16" s="108" t="n">
        <f aca="false">MAX(0,G19-F19)</f>
        <v>0</v>
      </c>
      <c r="H16" s="108" t="n">
        <f aca="false">MAX(0,H19-G19)</f>
        <v>0</v>
      </c>
      <c r="I16" s="108" t="n">
        <f aca="false">MAX(0,I19-H19)</f>
        <v>0</v>
      </c>
      <c r="J16" s="108" t="n">
        <f aca="false">MAX(0,J19-I19)</f>
        <v>0</v>
      </c>
      <c r="K16" s="108" t="n">
        <f aca="false">MAX(0,K19-J19)</f>
        <v>0</v>
      </c>
      <c r="L16" s="108" t="n">
        <f aca="false">MAX(0,L19-K19)</f>
        <v>0</v>
      </c>
      <c r="M16" s="108" t="n">
        <f aca="false">MAX(0,M19-L19)</f>
        <v>0</v>
      </c>
      <c r="N16" s="108" t="n">
        <f aca="false">MAX(0,N19-M19)</f>
        <v>0</v>
      </c>
      <c r="O16" s="108" t="n">
        <f aca="false">MAX(0,O19-N19)</f>
        <v>0</v>
      </c>
      <c r="P16" s="29" t="n">
        <f aca="false">MAX(0,P19-O19)</f>
        <v>0</v>
      </c>
      <c r="Q16" s="29" t="n">
        <f aca="false">MAX(0,Q19-P19)</f>
        <v>0</v>
      </c>
      <c r="R16" s="29" t="n">
        <f aca="false">MAX(0,R19-Q19)</f>
        <v>0</v>
      </c>
      <c r="S16" s="29" t="n">
        <f aca="false">MAX(0,S19-R19)</f>
        <v>3338</v>
      </c>
      <c r="T16" s="29" t="n">
        <f aca="false">MAX(0,T19-S19)</f>
        <v>8010</v>
      </c>
      <c r="U16" s="29" t="n">
        <f aca="false">MAX(0,U19-T19)</f>
        <v>28697</v>
      </c>
      <c r="V16" s="29" t="n">
        <f aca="false">MAX(0,V19-U19)</f>
        <v>57401</v>
      </c>
      <c r="W16" s="29" t="n">
        <f aca="false">MAX(0,W19-V19)</f>
        <v>30700</v>
      </c>
      <c r="X16" s="29" t="n">
        <f aca="false">MAX(0,X19-W19)</f>
        <v>52064</v>
      </c>
      <c r="Y16" s="29" t="n">
        <f aca="false">MAX(0,Y19-X19)</f>
        <v>4000</v>
      </c>
      <c r="Z16" s="29" t="n">
        <f aca="false">MAX(0,Z19-Y19)</f>
        <v>93450</v>
      </c>
      <c r="AA16" s="29" t="n">
        <f aca="false">MAX(0,AA19-Z19)</f>
        <v>0</v>
      </c>
      <c r="AB16" s="29" t="n">
        <f aca="false">MAX(0,AB19-AA19)</f>
        <v>112140</v>
      </c>
      <c r="AC16" s="29" t="n">
        <f aca="false">MAX(0,AC19-AB19)</f>
        <v>0</v>
      </c>
      <c r="AD16" s="29" t="n">
        <f aca="false">MAX(0,AD19-AC19)</f>
        <v>156195</v>
      </c>
      <c r="AE16" s="29" t="n">
        <f aca="false">MAX(0,AE19-AD19)</f>
        <v>0</v>
      </c>
      <c r="AF16" s="29" t="n">
        <f aca="false">MAX(0,AF19-AE19)</f>
        <v>0</v>
      </c>
      <c r="AG16" s="29" t="n">
        <f aca="false">MAX(0,AG19-AF19)</f>
        <v>0</v>
      </c>
      <c r="AI16" s="29" t="n">
        <f aca="false">SUMIF($F$7:$AG$7,AI$7,$F16:$AG16)</f>
        <v>0</v>
      </c>
      <c r="AJ16" s="29" t="n">
        <f aca="false">SUMIF($F$7:$AG$7,AJ$7,$F16:$AG16)</f>
        <v>0</v>
      </c>
      <c r="AK16" s="29" t="n">
        <f aca="false">SUMIF($F$7:$AG$7,AK$7,$F16:$AG16)</f>
        <v>0</v>
      </c>
      <c r="AL16" s="29" t="n">
        <f aca="false">SUMIF($F$7:$AG$7,AL$7,$F16:$AG16)</f>
        <v>40045</v>
      </c>
      <c r="AM16" s="29" t="n">
        <f aca="false">SUMIF($F$7:$AG$7,AM$7,$F16:$AG16)</f>
        <v>144165</v>
      </c>
      <c r="AN16" s="29" t="n">
        <f aca="false">SUMIF($F$7:$AG$7,AN$7,$F16:$AG16)</f>
        <v>205590</v>
      </c>
      <c r="AO16" s="29" t="n">
        <f aca="false">SUMIF($F$7:$AG$7,AO$7,$F16:$AG16)</f>
        <v>156195</v>
      </c>
    </row>
    <row r="17" customFormat="false" ht="15" hidden="false" customHeight="false" outlineLevel="0" collapsed="false">
      <c r="A17" s="104" t="s">
        <v>1792</v>
      </c>
      <c r="B17" s="20" t="s">
        <v>674</v>
      </c>
      <c r="C17" s="20" t="s">
        <v>768</v>
      </c>
      <c r="D17" s="20" t="s">
        <v>1793</v>
      </c>
      <c r="E17" s="29" t="n">
        <f aca="false">INDEX(FileGPU_H,1,1)</f>
        <v>13713</v>
      </c>
      <c r="F17" s="108" t="n">
        <f aca="false">INDEX(FileGPU_H,1,MAX(1,1-IF(1&gt;LastHist,EnLag,0)))*IF(OR(FixMgmt=0,1&gt;LastHist),IFERROR(F11/INDEX(EnBaseIT,1,MAX(1,1-IF(1&gt;LastHist,EnLag,0))),1),IF(AND(HistMWBasis&gt;=2,1&gt;=LastHist-1),IFERROR((INDEX(EnBaseIT,1,1)+MWUp)/INDEX(EnBaseIT,1,1),1),1))+IF(1&gt;=5,GPUAnchorD,0)</f>
        <v>13713</v>
      </c>
      <c r="G17" s="108" t="n">
        <f aca="false">INDEX(FileGPU_H,1,MAX(1,2-IF(2&gt;LastHist,EnLag,0)))*IF(OR(FixMgmt=0,2&gt;LastHist),IFERROR(G11/INDEX(EnBaseIT,1,MAX(1,2-IF(2&gt;LastHist,EnLag,0))),1),IF(AND(HistMWBasis&gt;=2,2&gt;=LastHist-1),IFERROR((INDEX(EnBaseIT,1,2)+MWUp)/INDEX(EnBaseIT,1,2),1),1))+IF(2&gt;=5,GPUAnchorD,0)</f>
        <v>13713</v>
      </c>
      <c r="H17" s="108" t="n">
        <f aca="false">INDEX(FileGPU_H,1,MAX(1,3-IF(3&gt;LastHist,EnLag,0)))*IF(OR(FixMgmt=0,3&gt;LastHist),IFERROR(H11/INDEX(EnBaseIT,1,MAX(1,3-IF(3&gt;LastHist,EnLag,0))),1),IF(AND(HistMWBasis&gt;=2,3&gt;=LastHist-1),IFERROR((INDEX(EnBaseIT,1,3)+MWUp)/INDEX(EnBaseIT,1,3),1),1))+IF(3&gt;=5,GPUAnchorD,0)</f>
        <v>13713</v>
      </c>
      <c r="I17" s="108" t="n">
        <f aca="false">INDEX(FileGPU_H,1,MAX(1,4-IF(4&gt;LastHist,EnLag,0)))*IF(OR(FixMgmt=0,4&gt;LastHist),IFERROR(I11/INDEX(EnBaseIT,1,MAX(1,4-IF(4&gt;LastHist,EnLag,0))),1),IF(AND(HistMWBasis&gt;=2,4&gt;=LastHist-1),IFERROR((INDEX(EnBaseIT,1,4)+MWUp)/INDEX(EnBaseIT,1,4),1),1))+IF(4&gt;=5,GPUAnchorD,0)</f>
        <v>16456</v>
      </c>
      <c r="J17" s="108" t="n">
        <f aca="false">INDEX(FileGPU_H,1,MAX(1,5-IF(5&gt;LastHist,EnLag,0)))*IF(OR(FixMgmt=0,5&gt;LastHist),IFERROR(J11/INDEX(EnBaseIT,1,MAX(1,5-IF(5&gt;LastHist,EnLag,0))),1),IF(AND(HistMWBasis&gt;=2,5&gt;=LastHist-1),IFERROR((INDEX(EnBaseIT,1,5)+MWUp)/INDEX(EnBaseIT,1,5),1),1))+IF(5&gt;=5,GPUAnchorD,0)</f>
        <v>30000</v>
      </c>
      <c r="K17" s="108" t="n">
        <f aca="false">INDEX(FileGPU_H,1,MAX(1,6-IF(6&gt;LastHist,EnLag,0)))*IF(OR(FixMgmt=0,6&gt;LastHist),IFERROR(K11/INDEX(EnBaseIT,1,MAX(1,6-IF(6&gt;LastHist,EnLag,0))),1),IF(AND(HistMWBasis&gt;=2,6&gt;=LastHist-1),IFERROR((INDEX(EnBaseIT,1,6)+MWUp)/INDEX(EnBaseIT,1,6),1),1))+IF(6&gt;=5,GPUAnchorD,0)</f>
        <v>32743</v>
      </c>
      <c r="L17" s="108" t="n">
        <f aca="false">INDEX(FileGPU_H,1,MAX(1,7-IF(7&gt;LastHist,EnLag,0)))*IF(OR(FixMgmt=0,7&gt;LastHist),IFERROR(L11/INDEX(EnBaseIT,1,MAX(1,7-IF(7&gt;LastHist,EnLag,0))),1),IF(AND(HistMWBasis&gt;=2,7&gt;=LastHist-1),IFERROR((INDEX(EnBaseIT,1,7)+MWUp)/INDEX(EnBaseIT,1,7),1),1))+IF(7&gt;=5,GPUAnchorD,0)</f>
        <v>32743</v>
      </c>
      <c r="M17" s="108" t="n">
        <f aca="false">INDEX(FileGPU_H,1,MAX(1,8-IF(8&gt;LastHist,EnLag,0)))*IF(OR(FixMgmt=0,8&gt;LastHist),IFERROR(M11/INDEX(EnBaseIT,1,MAX(1,8-IF(8&gt;LastHist,EnLag,0))),1),IF(AND(HistMWBasis&gt;=2,8&gt;=LastHist-1),IFERROR((INDEX(EnBaseIT,1,8)+MWUp)/INDEX(EnBaseIT,1,8),1),1))+IF(8&gt;=5,GPUAnchorD,0)</f>
        <v>32743</v>
      </c>
      <c r="N17" s="108" t="n">
        <f aca="false">INDEX(FileGPU_H,1,MAX(1,9-IF(9&gt;LastHist,EnLag,0)))*IF(OR(FixMgmt=0,9&gt;LastHist),IFERROR(N11/INDEX(EnBaseIT,1,MAX(1,9-IF(9&gt;LastHist,EnLag,0))),1),IF(AND(HistMWBasis&gt;=2,9&gt;=LastHist-1),IFERROR((INDEX(EnBaseIT,1,9)+MWUp)/INDEX(EnBaseIT,1,9),1),1))+IF(9&gt;=5,GPUAnchorD,0)</f>
        <v>32743</v>
      </c>
      <c r="O17" s="108" t="n">
        <f aca="false">INDEX(FileGPU_H,1,MAX(1,10-IF(10&gt;LastHist,EnLag,0)))*IF(OR(FixMgmt=0,10&gt;LastHist),IFERROR(O11/INDEX(EnBaseIT,1,MAX(1,10-IF(10&gt;LastHist,EnLag,0))),1),IF(AND(HistMWBasis&gt;=2,10&gt;=LastHist-1),IFERROR((INDEX(EnBaseIT,1,10)+MWUp)/INDEX(EnBaseIT,1,10),1),1))+IF(10&gt;=5,GPUAnchorD,0)</f>
        <v>32743</v>
      </c>
      <c r="P17" s="29" t="n">
        <f aca="false">INDEX(FileGPU_H,1,MAX(1,11-IF(11&gt;LastHist,EnLag,0)))*IF(OR(FixMgmt=0,11&gt;LastHist),IFERROR(P11/INDEX(EnBaseIT,1,MAX(1,11-IF(11&gt;LastHist,EnLag,0))),1),IF(AND(HistMWBasis&gt;=2,11&gt;=LastHist-1),IFERROR((INDEX(EnBaseIT,1,11)+MWUp)/INDEX(EnBaseIT,1,11),1),1))+IF(11&gt;=5,GPUAnchorD,0)</f>
        <v>32743</v>
      </c>
      <c r="Q17" s="29" t="n">
        <f aca="false">INDEX(FileGPU_H,1,MAX(1,12-IF(12&gt;LastHist,EnLag,0)))*IF(OR(FixMgmt=0,12&gt;LastHist),IFERROR(Q11/INDEX(EnBaseIT,1,MAX(1,12-IF(12&gt;LastHist,EnLag,0))),1),IF(AND(HistMWBasis&gt;=2,12&gt;=LastHist-1),IFERROR((INDEX(EnBaseIT,1,12)+MWUp)/INDEX(EnBaseIT,1,12),1),1))+IF(12&gt;=5,GPUAnchorD,0)</f>
        <v>32743</v>
      </c>
      <c r="R17" s="29" t="n">
        <f aca="false">INDEX(FileGPU_H,1,MAX(1,13-IF(13&gt;LastHist,EnLag,0)))*IF(OR(FixMgmt=0,13&gt;LastHist),IFERROR(R11/INDEX(EnBaseIT,1,MAX(1,13-IF(13&gt;LastHist,EnLag,0))),1),IF(AND(HistMWBasis&gt;=2,13&gt;=LastHist-1),IFERROR((INDEX(EnBaseIT,1,13)+MWUp)/INDEX(EnBaseIT,1,13),1),1))+IF(13&gt;=5,GPUAnchorD,0)</f>
        <v>32743</v>
      </c>
      <c r="S17" s="29" t="n">
        <f aca="false">INDEX(FileGPU_H,1,MAX(1,14-IF(14&gt;LastHist,EnLag,0)))*IF(OR(FixMgmt=0,14&gt;LastHist),IFERROR(S11/INDEX(EnBaseIT,1,MAX(1,14-IF(14&gt;LastHist,EnLag,0))),1),IF(AND(HistMWBasis&gt;=2,14&gt;=LastHist-1),IFERROR((INDEX(EnBaseIT,1,14)+MWUp)/INDEX(EnBaseIT,1,14),1),1))+IF(14&gt;=5,GPUAnchorD,0)</f>
        <v>32743</v>
      </c>
      <c r="T17" s="29" t="n">
        <f aca="false">INDEX(FileGPU_H,1,MAX(1,15-IF(15&gt;LastHist,EnLag,0)))*IF(OR(FixMgmt=0,15&gt;LastHist),IFERROR(T11/INDEX(EnBaseIT,1,MAX(1,15-IF(15&gt;LastHist,EnLag,0))),1),IF(AND(HistMWBasis&gt;=2,15&gt;=LastHist-1),IFERROR((INDEX(EnBaseIT,1,15)+MWUp)/INDEX(EnBaseIT,1,15),1),1))+IF(15&gt;=5,GPUAnchorD,0)</f>
        <v>32743</v>
      </c>
      <c r="U17" s="29" t="n">
        <f aca="false">INDEX(FileGPU_H,1,MAX(1,16-IF(16&gt;LastHist,EnLag,0)))*IF(OR(FixMgmt=0,16&gt;LastHist),IFERROR(U11/INDEX(EnBaseIT,1,MAX(1,16-IF(16&gt;LastHist,EnLag,0))),1),IF(AND(HistMWBasis&gt;=2,16&gt;=LastHist-1),IFERROR((INDEX(EnBaseIT,1,16)+MWUp)/INDEX(EnBaseIT,1,16),1),1))+IF(16&gt;=5,GPUAnchorD,0)</f>
        <v>32743</v>
      </c>
      <c r="V17" s="29" t="n">
        <f aca="false">INDEX(FileGPU_H,1,MAX(1,17-IF(17&gt;LastHist,EnLag,0)))*IF(OR(FixMgmt=0,17&gt;LastHist),IFERROR(V11/INDEX(EnBaseIT,1,MAX(1,17-IF(17&gt;LastHist,EnLag,0))),1),IF(AND(HistMWBasis&gt;=2,17&gt;=LastHist-1),IFERROR((INDEX(EnBaseIT,1,17)+MWUp)/INDEX(EnBaseIT,1,17),1),1))+IF(17&gt;=5,GPUAnchorD,0)</f>
        <v>32743</v>
      </c>
      <c r="W17" s="29" t="n">
        <f aca="false">INDEX(FileGPU_H,1,MAX(1,18-IF(18&gt;LastHist,EnLag,0)))*IF(OR(FixMgmt=0,18&gt;LastHist),IFERROR(W11/INDEX(EnBaseIT,1,MAX(1,18-IF(18&gt;LastHist,EnLag,0))),1),IF(AND(HistMWBasis&gt;=2,18&gt;=LastHist-1),IFERROR((INDEX(EnBaseIT,1,18)+MWUp)/INDEX(EnBaseIT,1,18),1),1))+IF(18&gt;=5,GPUAnchorD,0)</f>
        <v>32743</v>
      </c>
      <c r="X17" s="29" t="n">
        <f aca="false">INDEX(FileGPU_H,1,MAX(1,19-IF(19&gt;LastHist,EnLag,0)))*IF(OR(FixMgmt=0,19&gt;LastHist),IFERROR(X11/INDEX(EnBaseIT,1,MAX(1,19-IF(19&gt;LastHist,EnLag,0))),1),IF(AND(HistMWBasis&gt;=2,19&gt;=LastHist-1),IFERROR((INDEX(EnBaseIT,1,19)+MWUp)/INDEX(EnBaseIT,1,19),1),1))+IF(19&gt;=5,GPUAnchorD,0)</f>
        <v>32743</v>
      </c>
      <c r="Y17" s="29" t="n">
        <f aca="false">INDEX(FileGPU_H,1,MAX(1,20-IF(20&gt;LastHist,EnLag,0)))*IF(OR(FixMgmt=0,20&gt;LastHist),IFERROR(Y11/INDEX(EnBaseIT,1,MAX(1,20-IF(20&gt;LastHist,EnLag,0))),1),IF(AND(HistMWBasis&gt;=2,20&gt;=LastHist-1),IFERROR((INDEX(EnBaseIT,1,20)+MWUp)/INDEX(EnBaseIT,1,20),1),1))+IF(20&gt;=5,GPUAnchorD,0)</f>
        <v>32743</v>
      </c>
      <c r="Z17" s="29" t="n">
        <f aca="false">INDEX(FileGPU_H,1,MAX(1,21-IF(21&gt;LastHist,EnLag,0)))*IF(OR(FixMgmt=0,21&gt;LastHist),IFERROR(Z11/INDEX(EnBaseIT,1,MAX(1,21-IF(21&gt;LastHist,EnLag,0))),1),IF(AND(HistMWBasis&gt;=2,21&gt;=LastHist-1),IFERROR((INDEX(EnBaseIT,1,21)+MWUp)/INDEX(EnBaseIT,1,21),1),1))+IF(21&gt;=5,GPUAnchorD,0)</f>
        <v>32743</v>
      </c>
      <c r="AA17" s="29" t="n">
        <f aca="false">INDEX(FileGPU_H,1,MAX(1,22-IF(22&gt;LastHist,EnLag,0)))*IF(OR(FixMgmt=0,22&gt;LastHist),IFERROR(AA11/INDEX(EnBaseIT,1,MAX(1,22-IF(22&gt;LastHist,EnLag,0))),1),IF(AND(HistMWBasis&gt;=2,22&gt;=LastHist-1),IFERROR((INDEX(EnBaseIT,1,22)+MWUp)/INDEX(EnBaseIT,1,22),1),1))+IF(22&gt;=5,GPUAnchorD,0)</f>
        <v>32743</v>
      </c>
      <c r="AB17" s="29" t="n">
        <f aca="false">INDEX(FileGPU_H,1,MAX(1,23-IF(23&gt;LastHist,EnLag,0)))*IF(OR(FixMgmt=0,23&gt;LastHist),IFERROR(AB11/INDEX(EnBaseIT,1,MAX(1,23-IF(23&gt;LastHist,EnLag,0))),1),IF(AND(HistMWBasis&gt;=2,23&gt;=LastHist-1),IFERROR((INDEX(EnBaseIT,1,23)+MWUp)/INDEX(EnBaseIT,1,23),1),1))+IF(23&gt;=5,GPUAnchorD,0)</f>
        <v>32743</v>
      </c>
      <c r="AC17" s="29" t="n">
        <f aca="false">INDEX(FileGPU_H,1,MAX(1,24-IF(24&gt;LastHist,EnLag,0)))*IF(OR(FixMgmt=0,24&gt;LastHist),IFERROR(AC11/INDEX(EnBaseIT,1,MAX(1,24-IF(24&gt;LastHist,EnLag,0))),1),IF(AND(HistMWBasis&gt;=2,24&gt;=LastHist-1),IFERROR((INDEX(EnBaseIT,1,24)+MWUp)/INDEX(EnBaseIT,1,24),1),1))+IF(24&gt;=5,GPUAnchorD,0)</f>
        <v>32743</v>
      </c>
      <c r="AD17" s="29" t="n">
        <f aca="false">INDEX(FileGPU_H,1,MAX(1,25-IF(25&gt;LastHist,EnLag,0)))*IF(OR(FixMgmt=0,25&gt;LastHist),IFERROR(AD11/INDEX(EnBaseIT,1,MAX(1,25-IF(25&gt;LastHist,EnLag,0))),1),IF(AND(HistMWBasis&gt;=2,25&gt;=LastHist-1),IFERROR((INDEX(EnBaseIT,1,25)+MWUp)/INDEX(EnBaseIT,1,25),1),1))+IF(25&gt;=5,GPUAnchorD,0)</f>
        <v>32743</v>
      </c>
      <c r="AE17" s="29" t="n">
        <f aca="false">INDEX(FileGPU_H,1,MAX(1,26-IF(26&gt;LastHist,EnLag,0)))*IF(OR(FixMgmt=0,26&gt;LastHist),IFERROR(AE11/INDEX(EnBaseIT,1,MAX(1,26-IF(26&gt;LastHist,EnLag,0))),1),IF(AND(HistMWBasis&gt;=2,26&gt;=LastHist-1),IFERROR((INDEX(EnBaseIT,1,26)+MWUp)/INDEX(EnBaseIT,1,26),1),1))+IF(26&gt;=5,GPUAnchorD,0)</f>
        <v>32743</v>
      </c>
      <c r="AF17" s="29" t="n">
        <f aca="false">INDEX(FileGPU_H,1,MAX(1,27-IF(27&gt;LastHist,EnLag,0)))*IF(OR(FixMgmt=0,27&gt;LastHist),IFERROR(AF11/INDEX(EnBaseIT,1,MAX(1,27-IF(27&gt;LastHist,EnLag,0))),1),IF(AND(HistMWBasis&gt;=2,27&gt;=LastHist-1),IFERROR((INDEX(EnBaseIT,1,27)+MWUp)/INDEX(EnBaseIT,1,27),1),1))+IF(27&gt;=5,GPUAnchorD,0)</f>
        <v>32743</v>
      </c>
      <c r="AG17" s="29" t="n">
        <f aca="false">INDEX(FileGPU_H,1,MAX(1,28-IF(28&gt;LastHist,EnLag,0)))*IF(OR(FixMgmt=0,28&gt;LastHist),IFERROR(AG11/INDEX(EnBaseIT,1,MAX(1,28-IF(28&gt;LastHist,EnLag,0))),1),IF(AND(HistMWBasis&gt;=2,28&gt;=LastHist-1),IFERROR((INDEX(EnBaseIT,1,28)+MWUp)/INDEX(EnBaseIT,1,28),1),1))+IF(28&gt;=5,GPUAnchorD,0)</f>
        <v>32743</v>
      </c>
      <c r="AI17" s="29" t="n">
        <f aca="false">INDEX($F17:$AG17,1,MATCH(AI$7,$F$7:$AG$7,1))</f>
        <v>16456</v>
      </c>
      <c r="AJ17" s="29" t="n">
        <f aca="false">INDEX($F17:$AG17,1,MATCH(AJ$7,$F$7:$AG$7,1))</f>
        <v>32743</v>
      </c>
      <c r="AK17" s="29" t="n">
        <f aca="false">INDEX($F17:$AG17,1,MATCH(AK$7,$F$7:$AG$7,1))</f>
        <v>32743</v>
      </c>
      <c r="AL17" s="29" t="n">
        <f aca="false">INDEX($F17:$AG17,1,MATCH(AL$7,$F$7:$AG$7,1))</f>
        <v>32743</v>
      </c>
      <c r="AM17" s="29" t="n">
        <f aca="false">INDEX($F17:$AG17,1,MATCH(AM$7,$F$7:$AG$7,1))</f>
        <v>32743</v>
      </c>
      <c r="AN17" s="29" t="n">
        <f aca="false">INDEX($F17:$AG17,1,MATCH(AN$7,$F$7:$AG$7,1))</f>
        <v>32743</v>
      </c>
      <c r="AO17" s="29" t="n">
        <f aca="false">INDEX($F17:$AG17,1,MATCH(AO$7,$F$7:$AG$7,1))</f>
        <v>32743</v>
      </c>
    </row>
    <row r="18" customFormat="false" ht="15" hidden="false" customHeight="false" outlineLevel="0" collapsed="false">
      <c r="A18" s="104" t="s">
        <v>1794</v>
      </c>
      <c r="B18" s="20" t="s">
        <v>674</v>
      </c>
      <c r="C18" s="20" t="s">
        <v>768</v>
      </c>
      <c r="D18" s="20" t="s">
        <v>1793</v>
      </c>
      <c r="E18" s="29" t="n">
        <f aca="false">0</f>
        <v>0</v>
      </c>
      <c r="F18" s="108" t="n">
        <f aca="false">INDEX(FileGPU_B,1,MAX(1,1-IF(1&gt;LastHist,EnLag,0)))*IF(OR(FixMgmt=0,1&gt;LastHist),IFERROR(F11/INDEX(EnBaseIT,1,MAX(1,1-IF(1&gt;LastHist,EnLag,0))),1),IF(AND(HistMWBasis&gt;=2,1&gt;=LastHist-1),IFERROR((INDEX(EnBaseIT,1,1)+MWUp)/INDEX(EnBaseIT,1,1),1),1))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8" s="108" t="n">
        <f aca="false">INDEX(FileGPU_B,1,MAX(1,2-IF(2&gt;LastHist,EnLag,0)))*IF(OR(FixMgmt=0,2&gt;LastHist),IFERROR(G11/INDEX(EnBaseIT,1,MAX(1,2-IF(2&gt;LastHist,EnLag,0))),1),IF(AND(HistMWBasis&gt;=2,2&gt;=LastHist-1),IFERROR((INDEX(EnBaseIT,1,2)+MWUp)/INDEX(EnBaseIT,1,2),1),1))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8" s="108" t="n">
        <f aca="false">INDEX(FileGPU_B,1,MAX(1,3-IF(3&gt;LastHist,EnLag,0)))*IF(OR(FixMgmt=0,3&gt;LastHist),IFERROR(H11/INDEX(EnBaseIT,1,MAX(1,3-IF(3&gt;LastHist,EnLag,0))),1),IF(AND(HistMWBasis&gt;=2,3&gt;=LastHist-1),IFERROR((INDEX(EnBaseIT,1,3)+MWUp)/INDEX(EnBaseIT,1,3),1),1))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8" s="108" t="n">
        <f aca="false">INDEX(FileGPU_B,1,MAX(1,4-IF(4&gt;LastHist,EnLag,0)))*IF(OR(FixMgmt=0,4&gt;LastHist),IFERROR(I11/INDEX(EnBaseIT,1,MAX(1,4-IF(4&gt;LastHist,EnLag,0))),1),IF(AND(HistMWBasis&gt;=2,4&gt;=LastHist-1),IFERROR((INDEX(EnBaseIT,1,4)+MWUp)/INDEX(EnBaseIT,1,4),1),1))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8" s="108" t="n">
        <f aca="false">INDEX(FileGPU_B,1,MAX(1,5-IF(5&gt;LastHist,EnLag,0)))*IF(OR(FixMgmt=0,5&gt;LastHist),IFERROR(J11/INDEX(EnBaseIT,1,MAX(1,5-IF(5&gt;LastHist,EnLag,0))),1),IF(AND(HistMWBasis&gt;=2,5&gt;=LastHist-1),IFERROR((INDEX(EnBaseIT,1,5)+MWUp)/INDEX(EnBaseIT,1,5),1),1))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8" s="108" t="n">
        <f aca="false">INDEX(FileGPU_B,1,MAX(1,6-IF(6&gt;LastHist,EnLag,0)))*IF(OR(FixMgmt=0,6&gt;LastHist),IFERROR(K11/INDEX(EnBaseIT,1,MAX(1,6-IF(6&gt;LastHist,EnLag,0))),1),IF(AND(HistMWBasis&gt;=2,6&gt;=LastHist-1),IFERROR((INDEX(EnBaseIT,1,6)+MWUp)/INDEX(EnBaseIT,1,6),1),1))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8" s="108" t="n">
        <f aca="false">INDEX(FileGPU_B,1,MAX(1,7-IF(7&gt;LastHist,EnLag,0)))*IF(OR(FixMgmt=0,7&gt;LastHist),IFERROR(L11/INDEX(EnBaseIT,1,MAX(1,7-IF(7&gt;LastHist,EnLag,0))),1),IF(AND(HistMWBasis&gt;=2,7&gt;=LastHist-1),IFERROR((INDEX(EnBaseIT,1,7)+MWUp)/INDEX(EnBaseIT,1,7),1),1))</f>
        <v>7072</v>
      </c>
      <c r="M18" s="108" t="n">
        <f aca="false">INDEX(FileGPU_B,1,MAX(1,8-IF(8&gt;LastHist,EnLag,0)))*IF(OR(FixMgmt=0,8&gt;LastHist),IFERROR(M11/INDEX(EnBaseIT,1,MAX(1,8-IF(8&gt;LastHist,EnLag,0))),1),IF(AND(HistMWBasis&gt;=2,8&gt;=LastHist-1),IFERROR((INDEX(EnBaseIT,1,8)+MWUp)/INDEX(EnBaseIT,1,8),1),1))</f>
        <v>44327</v>
      </c>
      <c r="N18" s="108" t="n">
        <f aca="false">INDEX(FileGPU_B,1,MAX(1,9-IF(9&gt;LastHist,EnLag,0)))*IF(OR(FixMgmt=0,9&gt;LastHist),IFERROR(N11/INDEX(EnBaseIT,1,MAX(1,9-IF(9&gt;LastHist,EnLag,0))),1),IF(AND(HistMWBasis&gt;=2,9&gt;=LastHist-1),IFERROR((INDEX(EnBaseIT,1,9)+MWUp)/INDEX(EnBaseIT,1,9),1),1))</f>
        <v>54995</v>
      </c>
      <c r="O18" s="108" t="n">
        <f aca="false">INDEX(FileGPU_B,1,MAX(1,10-IF(10&gt;LastHist,EnLag,0)))*IF(OR(FixMgmt=0,10&gt;LastHist),IFERROR(O11/INDEX(EnBaseIT,1,MAX(1,10-IF(10&gt;LastHist,EnLag,0))),1),IF(AND(HistMWBasis&gt;=2,10&gt;=LastHist-1),IFERROR((INDEX(EnBaseIT,1,10)+MWUp)/INDEX(EnBaseIT,1,10),1),1))</f>
        <v>55732</v>
      </c>
      <c r="P18" s="29" t="n">
        <f aca="false">INDEX(FileGPU_B,1,MAX(1,11-IF(11&gt;LastHist,EnLag,0)))*IF(OR(FixMgmt=0,11&gt;LastHist),IFERROR(P11/INDEX(EnBaseIT,1,MAX(1,11-IF(11&gt;LastHist,EnLag,0))),1),IF(AND(HistMWBasis&gt;=2,11&gt;=LastHist-1),IFERROR((INDEX(EnBaseIT,1,11)+MWUp)/INDEX(EnBaseIT,1,11),1),1))</f>
        <v>55732</v>
      </c>
      <c r="Q18" s="29" t="n">
        <f aca="false">INDEX(FileGPU_B,1,MAX(1,12-IF(12&gt;LastHist,EnLag,0)))*IF(OR(FixMgmt=0,12&gt;LastHist),IFERROR(Q11/INDEX(EnBaseIT,1,MAX(1,12-IF(12&gt;LastHist,EnLag,0))),1),IF(AND(HistMWBasis&gt;=2,12&gt;=LastHist-1),IFERROR((INDEX(EnBaseIT,1,12)+MWUp)/INDEX(EnBaseIT,1,12),1),1))</f>
        <v>71888</v>
      </c>
      <c r="R18" s="29" t="n">
        <f aca="false">INDEX(FileGPU_B,1,MAX(1,13-IF(13&gt;LastHist,EnLag,0)))*IF(OR(FixMgmt=0,13&gt;LastHist),IFERROR(R11/INDEX(EnBaseIT,1,MAX(1,13-IF(13&gt;LastHist,EnLag,0))),1),IF(AND(HistMWBasis&gt;=2,13&gt;=LastHist-1),IFERROR((INDEX(EnBaseIT,1,13)+MWUp)/INDEX(EnBaseIT,1,13),1),1))</f>
        <v>112655</v>
      </c>
      <c r="S18" s="29" t="n">
        <f aca="false">INDEX(FileGPU_B,1,MAX(1,14-IF(14&gt;LastHist,EnLag,0)))*IF(OR(FixMgmt=0,14&gt;LastHist),IFERROR(S11/INDEX(EnBaseIT,1,MAX(1,14-IF(14&gt;LastHist,EnLag,0))),1),IF(AND(HistMWBasis&gt;=2,14&gt;=LastHist-1),IFERROR((INDEX(EnBaseIT,1,14)+MWUp)/INDEX(EnBaseIT,1,14),1),1))</f>
        <v>167529</v>
      </c>
      <c r="T18" s="29" t="n">
        <f aca="false">INDEX(FileGPU_B,1,MAX(1,15-IF(15&gt;LastHist,EnLag,0)))*IF(OR(FixMgmt=0,15&gt;LastHist),IFERROR(T11/INDEX(EnBaseIT,1,MAX(1,15-IF(15&gt;LastHist,EnLag,0))),1),IF(AND(HistMWBasis&gt;=2,15&gt;=LastHist-1),IFERROR((INDEX(EnBaseIT,1,15)+MWUp)/INDEX(EnBaseIT,1,15),1),1))</f>
        <v>219513</v>
      </c>
      <c r="U18" s="29" t="n">
        <f aca="false">INDEX(FileGPU_B,1,MAX(1,16-IF(16&gt;LastHist,EnLag,0)))*IF(OR(FixMgmt=0,16&gt;LastHist),IFERROR(U11/INDEX(EnBaseIT,1,MAX(1,16-IF(16&gt;LastHist,EnLag,0))),1),IF(AND(HistMWBasis&gt;=2,16&gt;=LastHist-1),IFERROR((INDEX(EnBaseIT,1,16)+MWUp)/INDEX(EnBaseIT,1,16),1),1))</f>
        <v>244725</v>
      </c>
      <c r="V18" s="29" t="n">
        <f aca="false">INDEX(FileGPU_B,1,MAX(1,17-IF(17&gt;LastHist,EnLag,0)))*IF(OR(FixMgmt=0,17&gt;LastHist),IFERROR(V11/INDEX(EnBaseIT,1,MAX(1,17-IF(17&gt;LastHist,EnLag,0))),1),IF(AND(HistMWBasis&gt;=2,17&gt;=LastHist-1),IFERROR((INDEX(EnBaseIT,1,17)+MWUp)/INDEX(EnBaseIT,1,17),1),1))</f>
        <v>290387</v>
      </c>
      <c r="W18" s="29" t="n">
        <f aca="false">INDEX(FileGPU_B,1,MAX(1,18-IF(18&gt;LastHist,EnLag,0)))*IF(OR(FixMgmt=0,18&gt;LastHist),IFERROR(W11/INDEX(EnBaseIT,1,MAX(1,18-IF(18&gt;LastHist,EnLag,0))),1),IF(AND(HistMWBasis&gt;=2,18&gt;=LastHist-1),IFERROR((INDEX(EnBaseIT,1,18)+MWUp)/INDEX(EnBaseIT,1,18),1),1))</f>
        <v>290387</v>
      </c>
      <c r="X18" s="29" t="n">
        <f aca="false">INDEX(FileGPU_B,1,MAX(1,19-IF(19&gt;LastHist,EnLag,0)))*IF(OR(FixMgmt=0,19&gt;LastHist),IFERROR(X11/INDEX(EnBaseIT,1,MAX(1,19-IF(19&gt;LastHist,EnLag,0))),1),IF(AND(HistMWBasis&gt;=2,19&gt;=LastHist-1),IFERROR((INDEX(EnBaseIT,1,19)+MWUp)/INDEX(EnBaseIT,1,19),1),1))</f>
        <v>290387</v>
      </c>
      <c r="Y18" s="29" t="n">
        <f aca="false">INDEX(FileGPU_B,1,MAX(1,20-IF(20&gt;LastHist,EnLag,0)))*IF(OR(FixMgmt=0,20&gt;LastHist),IFERROR(Y11/INDEX(EnBaseIT,1,MAX(1,20-IF(20&gt;LastHist,EnLag,0))),1),IF(AND(HistMWBasis&gt;=2,20&gt;=LastHist-1),IFERROR((INDEX(EnBaseIT,1,20)+MWUp)/INDEX(EnBaseIT,1,20),1),1))</f>
        <v>290387</v>
      </c>
      <c r="Z18" s="29" t="n">
        <f aca="false">INDEX(FileGPU_B,1,MAX(1,21-IF(21&gt;LastHist,EnLag,0)))*IF(OR(FixMgmt=0,21&gt;LastHist),IFERROR(Z11/INDEX(EnBaseIT,1,MAX(1,21-IF(21&gt;LastHist,EnLag,0))),1),IF(AND(HistMWBasis&gt;=2,21&gt;=LastHist-1),IFERROR((INDEX(EnBaseIT,1,21)+MWUp)/INDEX(EnBaseIT,1,21),1),1))</f>
        <v>314945</v>
      </c>
      <c r="AA18" s="29" t="n">
        <f aca="false">INDEX(FileGPU_B,1,MAX(1,22-IF(22&gt;LastHist,EnLag,0)))*IF(OR(FixMgmt=0,22&gt;LastHist),IFERROR(AA11/INDEX(EnBaseIT,1,MAX(1,22-IF(22&gt;LastHist,EnLag,0))),1),IF(AND(HistMWBasis&gt;=2,22&gt;=LastHist-1),IFERROR((INDEX(EnBaseIT,1,22)+MWUp)/INDEX(EnBaseIT,1,22),1),1))</f>
        <v>314945</v>
      </c>
      <c r="AB18" s="29" t="n">
        <f aca="false">INDEX(FileGPU_B,1,MAX(1,23-IF(23&gt;LastHist,EnLag,0)))*IF(OR(FixMgmt=0,23&gt;LastHist),IFERROR(AB11/INDEX(EnBaseIT,1,MAX(1,23-IF(23&gt;LastHist,EnLag,0))),1),IF(AND(HistMWBasis&gt;=2,23&gt;=LastHist-1),IFERROR((INDEX(EnBaseIT,1,23)+MWUp)/INDEX(EnBaseIT,1,23),1),1))</f>
        <v>314945</v>
      </c>
      <c r="AC18" s="29" t="n">
        <f aca="false">INDEX(FileGPU_B,1,MAX(1,24-IF(24&gt;LastHist,EnLag,0)))*IF(OR(FixMgmt=0,24&gt;LastHist),IFERROR(AC11/INDEX(EnBaseIT,1,MAX(1,24-IF(24&gt;LastHist,EnLag,0))),1),IF(AND(HistMWBasis&gt;=2,24&gt;=LastHist-1),IFERROR((INDEX(EnBaseIT,1,24)+MWUp)/INDEX(EnBaseIT,1,24),1),1))</f>
        <v>314945</v>
      </c>
      <c r="AD18" s="29" t="n">
        <f aca="false">INDEX(FileGPU_B,1,MAX(1,25-IF(25&gt;LastHist,EnLag,0)))*IF(OR(FixMgmt=0,25&gt;LastHist),IFERROR(AD11/INDEX(EnBaseIT,1,MAX(1,25-IF(25&gt;LastHist,EnLag,0))),1),IF(AND(HistMWBasis&gt;=2,25&gt;=LastHist-1),IFERROR((INDEX(EnBaseIT,1,25)+MWUp)/INDEX(EnBaseIT,1,25),1),1))</f>
        <v>314945</v>
      </c>
      <c r="AE18" s="29" t="n">
        <f aca="false">INDEX(FileGPU_B,1,MAX(1,26-IF(26&gt;LastHist,EnLag,0)))*IF(OR(FixMgmt=0,26&gt;LastHist),IFERROR(AE11/INDEX(EnBaseIT,1,MAX(1,26-IF(26&gt;LastHist,EnLag,0))),1),IF(AND(HistMWBasis&gt;=2,26&gt;=LastHist-1),IFERROR((INDEX(EnBaseIT,1,26)+MWUp)/INDEX(EnBaseIT,1,26),1),1))</f>
        <v>314945</v>
      </c>
      <c r="AF18" s="29" t="n">
        <f aca="false">INDEX(FileGPU_B,1,MAX(1,27-IF(27&gt;LastHist,EnLag,0)))*IF(OR(FixMgmt=0,27&gt;LastHist),IFERROR(AF11/INDEX(EnBaseIT,1,MAX(1,27-IF(27&gt;LastHist,EnLag,0))),1),IF(AND(HistMWBasis&gt;=2,27&gt;=LastHist-1),IFERROR((INDEX(EnBaseIT,1,27)+MWUp)/INDEX(EnBaseIT,1,27),1),1))</f>
        <v>314945</v>
      </c>
      <c r="AG18" s="29" t="n">
        <f aca="false">INDEX(FileGPU_B,1,MAX(1,28-IF(28&gt;LastHist,EnLag,0)))*IF(OR(FixMgmt=0,28&gt;LastHist),IFERROR(AG11/INDEX(EnBaseIT,1,MAX(1,28-IF(28&gt;LastHist,EnLag,0))),1),IF(AND(HistMWBasis&gt;=2,28&gt;=LastHist-1),IFERROR((INDEX(EnBaseIT,1,28)+MWUp)/INDEX(EnBaseIT,1,28),1),1))</f>
        <v>314945</v>
      </c>
      <c r="AI18" s="29" t="n">
        <f aca="false">INDEX($F18:$AG18,1,MATCH(AI$7,$F$7:$AG$7,1))</f>
        <v>0</v>
      </c>
      <c r="AJ18" s="29" t="n">
        <f aca="false">INDEX($F18:$AG18,1,MATCH(AJ$7,$F$7:$AG$7,1))</f>
        <v>44327</v>
      </c>
      <c r="AK18" s="29" t="n">
        <f aca="false">INDEX($F18:$AG18,1,MATCH(AK$7,$F$7:$AG$7,1))</f>
        <v>71888</v>
      </c>
      <c r="AL18" s="29" t="n">
        <f aca="false">INDEX($F18:$AG18,1,MATCH(AL$7,$F$7:$AG$7,1))</f>
        <v>244725</v>
      </c>
      <c r="AM18" s="29" t="n">
        <f aca="false">INDEX($F18:$AG18,1,MATCH(AM$7,$F$7:$AG$7,1))</f>
        <v>290387</v>
      </c>
      <c r="AN18" s="29" t="n">
        <f aca="false">INDEX($F18:$AG18,1,MATCH(AN$7,$F$7:$AG$7,1))</f>
        <v>314945</v>
      </c>
      <c r="AO18" s="29" t="n">
        <f aca="false">INDEX($F18:$AG18,1,MATCH(AO$7,$F$7:$AG$7,1))</f>
        <v>314945</v>
      </c>
    </row>
    <row r="19" customFormat="false" ht="15" hidden="false" customHeight="false" outlineLevel="0" collapsed="false">
      <c r="A19" s="104" t="s">
        <v>1795</v>
      </c>
      <c r="B19" s="20" t="s">
        <v>674</v>
      </c>
      <c r="C19" s="20" t="s">
        <v>768</v>
      </c>
      <c r="D19" s="20" t="s">
        <v>1793</v>
      </c>
      <c r="E19" s="29" t="n">
        <f aca="false">0</f>
        <v>0</v>
      </c>
      <c r="F19" s="108" t="n">
        <f aca="false">INDEX(FileGPU_N,1,MAX(1,1-IF(1&gt;LastHist,EnLag,0)))*IF(OR(FixMgmt=0,1&gt;LastHist),IFERROR(F11/INDEX(EnBaseIT,1,MAX(1,1-IF(1&gt;LastHist,EnLag,0))),1),IF(AND(HistMWBasis&gt;=2,1&gt;=LastHist-1),IFERROR((INDEX(EnBaseIT,1,1)+MWUp)/INDEX(EnBaseIT,1,1),1),1))</f>
        <v>0</v>
      </c>
      <c r="G19" s="108" t="n">
        <f aca="false">INDEX(FileGPU_N,1,MAX(1,2-IF(2&gt;LastHist,EnLag,0)))*IF(OR(FixMgmt=0,2&gt;LastHist),IFERROR(G11/INDEX(EnBaseIT,1,MAX(1,2-IF(2&gt;LastHist,EnLag,0))),1),IF(AND(HistMWBasis&gt;=2,2&gt;=LastHist-1),IFERROR((INDEX(EnBaseIT,1,2)+MWUp)/INDEX(EnBaseIT,1,2),1),1))</f>
        <v>0</v>
      </c>
      <c r="H19" s="108" t="n">
        <f aca="false">INDEX(FileGPU_N,1,MAX(1,3-IF(3&gt;LastHist,EnLag,0)))*IF(OR(FixMgmt=0,3&gt;LastHist),IFERROR(H11/INDEX(EnBaseIT,1,MAX(1,3-IF(3&gt;LastHist,EnLag,0))),1),IF(AND(HistMWBasis&gt;=2,3&gt;=LastHist-1),IFERROR((INDEX(EnBaseIT,1,3)+MWUp)/INDEX(EnBaseIT,1,3),1),1))</f>
        <v>0</v>
      </c>
      <c r="I19" s="108" t="n">
        <f aca="false">INDEX(FileGPU_N,1,MAX(1,4-IF(4&gt;LastHist,EnLag,0)))*IF(OR(FixMgmt=0,4&gt;LastHist),IFERROR(I11/INDEX(EnBaseIT,1,MAX(1,4-IF(4&gt;LastHist,EnLag,0))),1),IF(AND(HistMWBasis&gt;=2,4&gt;=LastHist-1),IFERROR((INDEX(EnBaseIT,1,4)+MWUp)/INDEX(EnBaseIT,1,4),1),1))</f>
        <v>0</v>
      </c>
      <c r="J19" s="108" t="n">
        <f aca="false">INDEX(FileGPU_N,1,MAX(1,5-IF(5&gt;LastHist,EnLag,0)))*IF(OR(FixMgmt=0,5&gt;LastHist),IFERROR(J11/INDEX(EnBaseIT,1,MAX(1,5-IF(5&gt;LastHist,EnLag,0))),1),IF(AND(HistMWBasis&gt;=2,5&gt;=LastHist-1),IFERROR((INDEX(EnBaseIT,1,5)+MWUp)/INDEX(EnBaseIT,1,5),1),1))</f>
        <v>0</v>
      </c>
      <c r="K19" s="108" t="n">
        <f aca="false">INDEX(FileGPU_N,1,MAX(1,6-IF(6&gt;LastHist,EnLag,0)))*IF(OR(FixMgmt=0,6&gt;LastHist),IFERROR(K11/INDEX(EnBaseIT,1,MAX(1,6-IF(6&gt;LastHist,EnLag,0))),1),IF(AND(HistMWBasis&gt;=2,6&gt;=LastHist-1),IFERROR((INDEX(EnBaseIT,1,6)+MWUp)/INDEX(EnBaseIT,1,6),1),1))</f>
        <v>0</v>
      </c>
      <c r="L19" s="108" t="n">
        <f aca="false">INDEX(FileGPU_N,1,MAX(1,7-IF(7&gt;LastHist,EnLag,0)))*IF(OR(FixMgmt=0,7&gt;LastHist),IFERROR(L11/INDEX(EnBaseIT,1,MAX(1,7-IF(7&gt;LastHist,EnLag,0))),1),IF(AND(HistMWBasis&gt;=2,7&gt;=LastHist-1),IFERROR((INDEX(EnBaseIT,1,7)+MWUp)/INDEX(EnBaseIT,1,7),1),1))</f>
        <v>0</v>
      </c>
      <c r="M19" s="108" t="n">
        <f aca="false">INDEX(FileGPU_N,1,MAX(1,8-IF(8&gt;LastHist,EnLag,0)))*IF(OR(FixMgmt=0,8&gt;LastHist),IFERROR(M11/INDEX(EnBaseIT,1,MAX(1,8-IF(8&gt;LastHist,EnLag,0))),1),IF(AND(HistMWBasis&gt;=2,8&gt;=LastHist-1),IFERROR((INDEX(EnBaseIT,1,8)+MWUp)/INDEX(EnBaseIT,1,8),1),1))</f>
        <v>0</v>
      </c>
      <c r="N19" s="108" t="n">
        <f aca="false">INDEX(FileGPU_N,1,MAX(1,9-IF(9&gt;LastHist,EnLag,0)))*IF(OR(FixMgmt=0,9&gt;LastHist),IFERROR(N11/INDEX(EnBaseIT,1,MAX(1,9-IF(9&gt;LastHist,EnLag,0))),1),IF(AND(HistMWBasis&gt;=2,9&gt;=LastHist-1),IFERROR((INDEX(EnBaseIT,1,9)+MWUp)/INDEX(EnBaseIT,1,9),1),1))</f>
        <v>0</v>
      </c>
      <c r="O19" s="108" t="n">
        <f aca="false">INDEX(FileGPU_N,1,MAX(1,10-IF(10&gt;LastHist,EnLag,0)))*IF(OR(FixMgmt=0,10&gt;LastHist),IFERROR(O11/INDEX(EnBaseIT,1,MAX(1,10-IF(10&gt;LastHist,EnLag,0))),1),IF(AND(HistMWBasis&gt;=2,10&gt;=LastHist-1),IFERROR((INDEX(EnBaseIT,1,10)+MWUp)/INDEX(EnBaseIT,1,10),1),1))</f>
        <v>0</v>
      </c>
      <c r="P19" s="29" t="n">
        <f aca="false">INDEX(FileGPU_N,1,MAX(1,11-IF(11&gt;LastHist,EnLag,0)))*IF(OR(FixMgmt=0,11&gt;LastHist),IFERROR(P11/INDEX(EnBaseIT,1,MAX(1,11-IF(11&gt;LastHist,EnLag,0))),1),IF(AND(HistMWBasis&gt;=2,11&gt;=LastHist-1),IFERROR((INDEX(EnBaseIT,1,11)+MWUp)/INDEX(EnBaseIT,1,11),1),1))</f>
        <v>0</v>
      </c>
      <c r="Q19" s="29" t="n">
        <f aca="false">INDEX(FileGPU_N,1,MAX(1,12-IF(12&gt;LastHist,EnLag,0)))*IF(OR(FixMgmt=0,12&gt;LastHist),IFERROR(Q11/INDEX(EnBaseIT,1,MAX(1,12-IF(12&gt;LastHist,EnLag,0))),1),IF(AND(HistMWBasis&gt;=2,12&gt;=LastHist-1),IFERROR((INDEX(EnBaseIT,1,12)+MWUp)/INDEX(EnBaseIT,1,12),1),1))</f>
        <v>0</v>
      </c>
      <c r="R19" s="29" t="n">
        <f aca="false">INDEX(FileGPU_N,1,MAX(1,13-IF(13&gt;LastHist,EnLag,0)))*IF(OR(FixMgmt=0,13&gt;LastHist),IFERROR(R11/INDEX(EnBaseIT,1,MAX(1,13-IF(13&gt;LastHist,EnLag,0))),1),IF(AND(HistMWBasis&gt;=2,13&gt;=LastHist-1),IFERROR((INDEX(EnBaseIT,1,13)+MWUp)/INDEX(EnBaseIT,1,13),1),1))</f>
        <v>0</v>
      </c>
      <c r="S19" s="29" t="n">
        <f aca="false">INDEX(FileGPU_N,1,MAX(1,14-IF(14&gt;LastHist,EnLag,0)))*IF(OR(FixMgmt=0,14&gt;LastHist),IFERROR(S11/INDEX(EnBaseIT,1,MAX(1,14-IF(14&gt;LastHist,EnLag,0))),1),IF(AND(HistMWBasis&gt;=2,14&gt;=LastHist-1),IFERROR((INDEX(EnBaseIT,1,14)+MWUp)/INDEX(EnBaseIT,1,14),1),1))</f>
        <v>3338</v>
      </c>
      <c r="T19" s="29" t="n">
        <f aca="false">INDEX(FileGPU_N,1,MAX(1,15-IF(15&gt;LastHist,EnLag,0)))*IF(OR(FixMgmt=0,15&gt;LastHist),IFERROR(T11/INDEX(EnBaseIT,1,MAX(1,15-IF(15&gt;LastHist,EnLag,0))),1),IF(AND(HistMWBasis&gt;=2,15&gt;=LastHist-1),IFERROR((INDEX(EnBaseIT,1,15)+MWUp)/INDEX(EnBaseIT,1,15),1),1))</f>
        <v>11348</v>
      </c>
      <c r="U19" s="29" t="n">
        <f aca="false">INDEX(FileGPU_N,1,MAX(1,16-IF(16&gt;LastHist,EnLag,0)))*IF(OR(FixMgmt=0,16&gt;LastHist),IFERROR(U11/INDEX(EnBaseIT,1,MAX(1,16-IF(16&gt;LastHist,EnLag,0))),1),IF(AND(HistMWBasis&gt;=2,16&gt;=LastHist-1),IFERROR((INDEX(EnBaseIT,1,16)+MWUp)/INDEX(EnBaseIT,1,16),1),1))</f>
        <v>40045</v>
      </c>
      <c r="V19" s="29" t="n">
        <f aca="false">INDEX(FileGPU_N,1,MAX(1,17-IF(17&gt;LastHist,EnLag,0)))*IF(OR(FixMgmt=0,17&gt;LastHist),IFERROR(V11/INDEX(EnBaseIT,1,MAX(1,17-IF(17&gt;LastHist,EnLag,0))),1),IF(AND(HistMWBasis&gt;=2,17&gt;=LastHist-1),IFERROR((INDEX(EnBaseIT,1,17)+MWUp)/INDEX(EnBaseIT,1,17),1),1))</f>
        <v>97446</v>
      </c>
      <c r="W19" s="29" t="n">
        <f aca="false">INDEX(FileGPU_N,1,MAX(1,18-IF(18&gt;LastHist,EnLag,0)))*IF(OR(FixMgmt=0,18&gt;LastHist),IFERROR(W11/INDEX(EnBaseIT,1,MAX(1,18-IF(18&gt;LastHist,EnLag,0))),1),IF(AND(HistMWBasis&gt;=2,18&gt;=LastHist-1),IFERROR((INDEX(EnBaseIT,1,18)+MWUp)/INDEX(EnBaseIT,1,18),1),1))</f>
        <v>128146</v>
      </c>
      <c r="X19" s="29" t="n">
        <f aca="false">INDEX(FileGPU_N,1,MAX(1,19-IF(19&gt;LastHist,EnLag,0)))*IF(OR(FixMgmt=0,19&gt;LastHist),IFERROR(X11/INDEX(EnBaseIT,1,MAX(1,19-IF(19&gt;LastHist,EnLag,0))),1),IF(AND(HistMWBasis&gt;=2,19&gt;=LastHist-1),IFERROR((INDEX(EnBaseIT,1,19)+MWUp)/INDEX(EnBaseIT,1,19),1),1))</f>
        <v>180210</v>
      </c>
      <c r="Y19" s="29" t="n">
        <f aca="false">INDEX(FileGPU_N,1,MAX(1,20-IF(20&gt;LastHist,EnLag,0)))*IF(OR(FixMgmt=0,20&gt;LastHist),IFERROR(Y11/INDEX(EnBaseIT,1,MAX(1,20-IF(20&gt;LastHist,EnLag,0))),1),IF(AND(HistMWBasis&gt;=2,20&gt;=LastHist-1),IFERROR((INDEX(EnBaseIT,1,20)+MWUp)/INDEX(EnBaseIT,1,20),1),1))</f>
        <v>184210</v>
      </c>
      <c r="Z19" s="29" t="n">
        <f aca="false">INDEX(FileGPU_N,1,MAX(1,21-IF(21&gt;LastHist,EnLag,0)))*IF(OR(FixMgmt=0,21&gt;LastHist),IFERROR(Z11/INDEX(EnBaseIT,1,MAX(1,21-IF(21&gt;LastHist,EnLag,0))),1),IF(AND(HistMWBasis&gt;=2,21&gt;=LastHist-1),IFERROR((INDEX(EnBaseIT,1,21)+MWUp)/INDEX(EnBaseIT,1,21),1),1))</f>
        <v>277660</v>
      </c>
      <c r="AA19" s="29" t="n">
        <f aca="false">INDEX(FileGPU_N,1,MAX(1,22-IF(22&gt;LastHist,EnLag,0)))*IF(OR(FixMgmt=0,22&gt;LastHist),IFERROR(AA11/INDEX(EnBaseIT,1,MAX(1,22-IF(22&gt;LastHist,EnLag,0))),1),IF(AND(HistMWBasis&gt;=2,22&gt;=LastHist-1),IFERROR((INDEX(EnBaseIT,1,22)+MWUp)/INDEX(EnBaseIT,1,22),1),1))</f>
        <v>277660</v>
      </c>
      <c r="AB19" s="29" t="n">
        <f aca="false">INDEX(FileGPU_N,1,MAX(1,23-IF(23&gt;LastHist,EnLag,0)))*IF(OR(FixMgmt=0,23&gt;LastHist),IFERROR(AB11/INDEX(EnBaseIT,1,MAX(1,23-IF(23&gt;LastHist,EnLag,0))),1),IF(AND(HistMWBasis&gt;=2,23&gt;=LastHist-1),IFERROR((INDEX(EnBaseIT,1,23)+MWUp)/INDEX(EnBaseIT,1,23),1),1))</f>
        <v>389800</v>
      </c>
      <c r="AC19" s="29" t="n">
        <f aca="false">INDEX(FileGPU_N,1,MAX(1,24-IF(24&gt;LastHist,EnLag,0)))*IF(OR(FixMgmt=0,24&gt;LastHist),IFERROR(AC11/INDEX(EnBaseIT,1,MAX(1,24-IF(24&gt;LastHist,EnLag,0))),1),IF(AND(HistMWBasis&gt;=2,24&gt;=LastHist-1),IFERROR((INDEX(EnBaseIT,1,24)+MWUp)/INDEX(EnBaseIT,1,24),1),1))</f>
        <v>389800</v>
      </c>
      <c r="AD19" s="29" t="n">
        <f aca="false">INDEX(FileGPU_N,1,MAX(1,25-IF(25&gt;LastHist,EnLag,0)))*IF(OR(FixMgmt=0,25&gt;LastHist),IFERROR(AD11/INDEX(EnBaseIT,1,MAX(1,25-IF(25&gt;LastHist,EnLag,0))),1),IF(AND(HistMWBasis&gt;=2,25&gt;=LastHist-1),IFERROR((INDEX(EnBaseIT,1,25)+MWUp)/INDEX(EnBaseIT,1,25),1),1))</f>
        <v>545995</v>
      </c>
      <c r="AE19" s="29" t="n">
        <f aca="false">INDEX(FileGPU_N,1,MAX(1,26-IF(26&gt;LastHist,EnLag,0)))*IF(OR(FixMgmt=0,26&gt;LastHist),IFERROR(AE11/INDEX(EnBaseIT,1,MAX(1,26-IF(26&gt;LastHist,EnLag,0))),1),IF(AND(HistMWBasis&gt;=2,26&gt;=LastHist-1),IFERROR((INDEX(EnBaseIT,1,26)+MWUp)/INDEX(EnBaseIT,1,26),1),1))</f>
        <v>545995</v>
      </c>
      <c r="AF19" s="29" t="n">
        <f aca="false">INDEX(FileGPU_N,1,MAX(1,27-IF(27&gt;LastHist,EnLag,0)))*IF(OR(FixMgmt=0,27&gt;LastHist),IFERROR(AF11/INDEX(EnBaseIT,1,MAX(1,27-IF(27&gt;LastHist,EnLag,0))),1),IF(AND(HistMWBasis&gt;=2,27&gt;=LastHist-1),IFERROR((INDEX(EnBaseIT,1,27)+MWUp)/INDEX(EnBaseIT,1,27),1),1))</f>
        <v>545995</v>
      </c>
      <c r="AG19" s="29" t="n">
        <f aca="false">INDEX(FileGPU_N,1,MAX(1,28-IF(28&gt;LastHist,EnLag,0)))*IF(OR(FixMgmt=0,28&gt;LastHist),IFERROR(AG11/INDEX(EnBaseIT,1,MAX(1,28-IF(28&gt;LastHist,EnLag,0))),1),IF(AND(HistMWBasis&gt;=2,28&gt;=LastHist-1),IFERROR((INDEX(EnBaseIT,1,28)+MWUp)/INDEX(EnBaseIT,1,28),1),1))</f>
        <v>545995</v>
      </c>
      <c r="AI19" s="29" t="n">
        <f aca="false">INDEX($F19:$AG19,1,MATCH(AI$7,$F$7:$AG$7,1))</f>
        <v>0</v>
      </c>
      <c r="AJ19" s="29" t="n">
        <f aca="false">INDEX($F19:$AG19,1,MATCH(AJ$7,$F$7:$AG$7,1))</f>
        <v>0</v>
      </c>
      <c r="AK19" s="29" t="n">
        <f aca="false">INDEX($F19:$AG19,1,MATCH(AK$7,$F$7:$AG$7,1))</f>
        <v>0</v>
      </c>
      <c r="AL19" s="29" t="n">
        <f aca="false">INDEX($F19:$AG19,1,MATCH(AL$7,$F$7:$AG$7,1))</f>
        <v>40045</v>
      </c>
      <c r="AM19" s="29" t="n">
        <f aca="false">INDEX($F19:$AG19,1,MATCH(AM$7,$F$7:$AG$7,1))</f>
        <v>184210</v>
      </c>
      <c r="AN19" s="29" t="n">
        <f aca="false">INDEX($F19:$AG19,1,MATCH(AN$7,$F$7:$AG$7,1))</f>
        <v>389800</v>
      </c>
      <c r="AO19" s="29" t="n">
        <f aca="false">INDEX($F19:$AG19,1,MATCH(AO$7,$F$7:$AG$7,1))</f>
        <v>545995</v>
      </c>
    </row>
    <row r="20" customFormat="false" ht="15" hidden="false" customHeight="false" outlineLevel="0" collapsed="false">
      <c r="A20" s="3" t="s">
        <v>1796</v>
      </c>
      <c r="B20" s="20" t="s">
        <v>674</v>
      </c>
      <c r="C20" s="20" t="s">
        <v>495</v>
      </c>
      <c r="D20" s="20"/>
      <c r="E20" s="29" t="n">
        <f aca="false">E17+E18+E19</f>
        <v>13713</v>
      </c>
      <c r="F20" s="115" t="n">
        <f aca="false">F17+F18+F19</f>
        <v>13713</v>
      </c>
      <c r="G20" s="115" t="n">
        <f aca="false">G17+G18+G19</f>
        <v>13713</v>
      </c>
      <c r="H20" s="115" t="n">
        <f aca="false">H17+H18+H19</f>
        <v>13713</v>
      </c>
      <c r="I20" s="115" t="n">
        <f aca="false">I17+I18+I19</f>
        <v>16456</v>
      </c>
      <c r="J20" s="115" t="n">
        <f aca="false">J17+J18+J19</f>
        <v>30000</v>
      </c>
      <c r="K20" s="115" t="n">
        <f aca="false">K17+K18+K19</f>
        <v>32743</v>
      </c>
      <c r="L20" s="115" t="n">
        <f aca="false">L17+L18+L19</f>
        <v>39815</v>
      </c>
      <c r="M20" s="115" t="n">
        <f aca="false">M17+M18+M19</f>
        <v>77070</v>
      </c>
      <c r="N20" s="115" t="n">
        <f aca="false">N17+N18+N19</f>
        <v>87738</v>
      </c>
      <c r="O20" s="115" t="n">
        <f aca="false">O17+O18+O19</f>
        <v>88475</v>
      </c>
      <c r="P20" s="5" t="n">
        <f aca="false">P17+P18+P19</f>
        <v>88475</v>
      </c>
      <c r="Q20" s="5" t="n">
        <f aca="false">Q17+Q18+Q19</f>
        <v>104631</v>
      </c>
      <c r="R20" s="5" t="n">
        <f aca="false">R17+R18+R19</f>
        <v>145398</v>
      </c>
      <c r="S20" s="5" t="n">
        <f aca="false">S17+S18+S19</f>
        <v>203610</v>
      </c>
      <c r="T20" s="5" t="n">
        <f aca="false">T17+T18+T19</f>
        <v>263604</v>
      </c>
      <c r="U20" s="5" t="n">
        <f aca="false">U17+U18+U19</f>
        <v>317513</v>
      </c>
      <c r="V20" s="5" t="n">
        <f aca="false">V17+V18+V19</f>
        <v>420576</v>
      </c>
      <c r="W20" s="5" t="n">
        <f aca="false">W17+W18+W19</f>
        <v>451276</v>
      </c>
      <c r="X20" s="5" t="n">
        <f aca="false">X17+X18+X19</f>
        <v>503340</v>
      </c>
      <c r="Y20" s="5" t="n">
        <f aca="false">Y17+Y18+Y19</f>
        <v>507340</v>
      </c>
      <c r="Z20" s="5" t="n">
        <f aca="false">Z17+Z18+Z19</f>
        <v>625348</v>
      </c>
      <c r="AA20" s="5" t="n">
        <f aca="false">AA17+AA18+AA19</f>
        <v>625348</v>
      </c>
      <c r="AB20" s="5" t="n">
        <f aca="false">AB17+AB18+AB19</f>
        <v>737488</v>
      </c>
      <c r="AC20" s="5" t="n">
        <f aca="false">AC17+AC18+AC19</f>
        <v>737488</v>
      </c>
      <c r="AD20" s="5" t="n">
        <f aca="false">AD17+AD18+AD19</f>
        <v>893683</v>
      </c>
      <c r="AE20" s="5" t="n">
        <f aca="false">AE17+AE18+AE19</f>
        <v>893683</v>
      </c>
      <c r="AF20" s="5" t="n">
        <f aca="false">AF17+AF18+AF19</f>
        <v>893683</v>
      </c>
      <c r="AG20" s="5" t="n">
        <f aca="false">AG17+AG18+AG19</f>
        <v>893683</v>
      </c>
      <c r="AI20" s="5" t="n">
        <f aca="false">INDEX($F20:$AG20,1,MATCH(AI$7,$F$7:$AG$7,1))</f>
        <v>16456</v>
      </c>
      <c r="AJ20" s="5" t="n">
        <f aca="false">INDEX($F20:$AG20,1,MATCH(AJ$7,$F$7:$AG$7,1))</f>
        <v>77070</v>
      </c>
      <c r="AK20" s="5" t="n">
        <f aca="false">INDEX($F20:$AG20,1,MATCH(AK$7,$F$7:$AG$7,1))</f>
        <v>104631</v>
      </c>
      <c r="AL20" s="5" t="n">
        <f aca="false">INDEX($F20:$AG20,1,MATCH(AL$7,$F$7:$AG$7,1))</f>
        <v>317513</v>
      </c>
      <c r="AM20" s="5" t="n">
        <f aca="false">INDEX($F20:$AG20,1,MATCH(AM$7,$F$7:$AG$7,1))</f>
        <v>507340</v>
      </c>
      <c r="AN20" s="5" t="n">
        <f aca="false">INDEX($F20:$AG20,1,MATCH(AN$7,$F$7:$AG$7,1))</f>
        <v>737488</v>
      </c>
      <c r="AO20" s="5" t="n">
        <f aca="false">INDEX($F20:$AG20,1,MATCH(AO$7,$F$7:$AG$7,1))</f>
        <v>893683</v>
      </c>
    </row>
    <row r="21" customFormat="false" ht="15" hidden="false" customHeight="false" outlineLevel="0" collapsed="false">
      <c r="A21" s="104" t="s">
        <v>1797</v>
      </c>
      <c r="B21" s="20" t="s">
        <v>674</v>
      </c>
      <c r="C21" s="20" t="s">
        <v>495</v>
      </c>
      <c r="D21" s="20"/>
      <c r="F21" s="108" t="n">
        <f aca="false">AVERAGE(E20,F20)</f>
        <v>13713</v>
      </c>
      <c r="G21" s="108" t="n">
        <f aca="false">AVERAGE(F20,G20)</f>
        <v>13713</v>
      </c>
      <c r="H21" s="108" t="n">
        <f aca="false">AVERAGE(G20,H20)</f>
        <v>13713</v>
      </c>
      <c r="I21" s="108" t="n">
        <f aca="false">AVERAGE(H20,I20)</f>
        <v>15084.5</v>
      </c>
      <c r="J21" s="108" t="n">
        <f aca="false">AVERAGE(I20,J20)</f>
        <v>23228</v>
      </c>
      <c r="K21" s="108" t="n">
        <f aca="false">AVERAGE(J20,K20)</f>
        <v>31371.5</v>
      </c>
      <c r="L21" s="108" t="n">
        <f aca="false">AVERAGE(K20,L20)</f>
        <v>36279</v>
      </c>
      <c r="M21" s="108" t="n">
        <f aca="false">AVERAGE(L20,M20)</f>
        <v>58442.5</v>
      </c>
      <c r="N21" s="108" t="n">
        <f aca="false">AVERAGE(M20,N20)</f>
        <v>82404</v>
      </c>
      <c r="O21" s="108" t="n">
        <f aca="false">AVERAGE(N20,O20)</f>
        <v>88106.5</v>
      </c>
      <c r="P21" s="29" t="n">
        <f aca="false">AVERAGE(O20,P20)</f>
        <v>88475</v>
      </c>
      <c r="Q21" s="29" t="n">
        <f aca="false">AVERAGE(P20,Q20)</f>
        <v>96553</v>
      </c>
      <c r="R21" s="29" t="n">
        <f aca="false">AVERAGE(Q20,R20)</f>
        <v>125014.5</v>
      </c>
      <c r="S21" s="29" t="n">
        <f aca="false">AVERAGE(R20,S20)</f>
        <v>174504</v>
      </c>
      <c r="T21" s="29" t="n">
        <f aca="false">AVERAGE(S20,T20)</f>
        <v>233607</v>
      </c>
      <c r="U21" s="29" t="n">
        <f aca="false">AVERAGE(T20,U20)</f>
        <v>290558.5</v>
      </c>
      <c r="V21" s="29" t="n">
        <f aca="false">AVERAGE(U20,V20)</f>
        <v>369044.5</v>
      </c>
      <c r="W21" s="29" t="n">
        <f aca="false">AVERAGE(V20,W20)</f>
        <v>435926</v>
      </c>
      <c r="X21" s="29" t="n">
        <f aca="false">AVERAGE(W20,X20)</f>
        <v>477308</v>
      </c>
      <c r="Y21" s="29" t="n">
        <f aca="false">AVERAGE(X20,Y20)</f>
        <v>505340</v>
      </c>
      <c r="Z21" s="29" t="n">
        <f aca="false">AVERAGE(Y20,Z20)</f>
        <v>566344</v>
      </c>
      <c r="AA21" s="29" t="n">
        <f aca="false">AVERAGE(Z20,AA20)</f>
        <v>625348</v>
      </c>
      <c r="AB21" s="29" t="n">
        <f aca="false">AVERAGE(AA20,AB20)</f>
        <v>681418</v>
      </c>
      <c r="AC21" s="29" t="n">
        <f aca="false">AVERAGE(AB20,AC20)</f>
        <v>737488</v>
      </c>
      <c r="AD21" s="29" t="n">
        <f aca="false">AVERAGE(AC20,AD20)</f>
        <v>815585.5</v>
      </c>
      <c r="AE21" s="29" t="n">
        <f aca="false">AVERAGE(AD20,AE20)</f>
        <v>893683</v>
      </c>
      <c r="AF21" s="29" t="n">
        <f aca="false">AVERAGE(AE20,AF20)</f>
        <v>893683</v>
      </c>
      <c r="AG21" s="29" t="n">
        <f aca="false">AVERAGE(AF20,AG20)</f>
        <v>893683</v>
      </c>
      <c r="AI21" s="29" t="n">
        <f aca="false">AVERAGEIF($F$7:$AG$7,AI$7,$F21:$AG21)</f>
        <v>14055.875</v>
      </c>
      <c r="AJ21" s="29" t="n">
        <f aca="false">AVERAGEIF($F$7:$AG$7,AJ$7,$F21:$AG21)</f>
        <v>37330.25</v>
      </c>
      <c r="AK21" s="29" t="n">
        <f aca="false">AVERAGEIF($F$7:$AG$7,AK$7,$F21:$AG21)</f>
        <v>88884.625</v>
      </c>
      <c r="AL21" s="29" t="n">
        <f aca="false">AVERAGEIF($F$7:$AG$7,AL$7,$F21:$AG21)</f>
        <v>205921</v>
      </c>
      <c r="AM21" s="29" t="n">
        <f aca="false">AVERAGEIF($F$7:$AG$7,AM$7,$F21:$AG21)</f>
        <v>446904.625</v>
      </c>
      <c r="AN21" s="29" t="n">
        <f aca="false">AVERAGEIF($F$7:$AG$7,AN$7,$F21:$AG21)</f>
        <v>652649.5</v>
      </c>
      <c r="AO21" s="29" t="n">
        <f aca="false">AVERAGEIF($F$7:$AG$7,AO$7,$F21:$AG21)</f>
        <v>874158.625</v>
      </c>
    </row>
    <row r="23" customFormat="false" ht="15" hidden="false" customHeight="false" outlineLevel="0" collapsed="false">
      <c r="A23" s="53" t="s">
        <v>1798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 customFormat="false" ht="15" hidden="false" customHeight="false" outlineLevel="0" collapsed="false">
      <c r="A24" s="104" t="s">
        <v>1799</v>
      </c>
      <c r="B24" s="20" t="s">
        <v>575</v>
      </c>
      <c r="C24" s="20" t="s">
        <v>1581</v>
      </c>
      <c r="D24" s="20"/>
      <c r="F24" s="108" t="n">
        <f aca="false">INDEX(A_MW,1,1)</f>
        <v>0</v>
      </c>
      <c r="G24" s="108" t="n">
        <f aca="false">INDEX(A_MW,1,2)</f>
        <v>0</v>
      </c>
      <c r="H24" s="108" t="n">
        <f aca="false">INDEX(A_MW,1,3)</f>
        <v>0</v>
      </c>
      <c r="I24" s="108" t="n">
        <f aca="false">INDEX(A_MW,1,4)</f>
        <v>0</v>
      </c>
      <c r="J24" s="108" t="n">
        <f aca="false">INDEX(A_MW,1,5)</f>
        <v>0</v>
      </c>
      <c r="K24" s="108" t="n">
        <f aca="false">INDEX(A_MW,1,6)</f>
        <v>0</v>
      </c>
      <c r="L24" s="108" t="n">
        <f aca="false">INDEX(A_MW,1,7)</f>
        <v>0</v>
      </c>
      <c r="M24" s="108" t="n">
        <f aca="false">INDEX(A_MW,1,8)</f>
        <v>50.6725</v>
      </c>
      <c r="N24" s="108" t="n">
        <f aca="false">INDEX(A_MW,1,9)</f>
        <v>101.345</v>
      </c>
      <c r="O24" s="108" t="n">
        <f aca="false">INDEX(A_MW,1,10)</f>
        <v>101.345</v>
      </c>
      <c r="P24" s="29" t="n">
        <f aca="false">INDEX(A_MW,1,11)</f>
        <v>154.678333333333</v>
      </c>
      <c r="Q24" s="29" t="n">
        <f aca="false">INDEX(A_MW,1,12)</f>
        <v>154.678333333333</v>
      </c>
      <c r="R24" s="29" t="n">
        <f aca="false">INDEX(A_MW,1,13)</f>
        <v>154.678333333333</v>
      </c>
      <c r="S24" s="29" t="n">
        <f aca="false">INDEX(A_MW,1,14)</f>
        <v>208.011666666667</v>
      </c>
      <c r="T24" s="29" t="n">
        <f aca="false">INDEX(A_MW,1,15)</f>
        <v>341.345</v>
      </c>
      <c r="U24" s="29" t="n">
        <f aca="false">INDEX(A_MW,1,16)</f>
        <v>394.678333333333</v>
      </c>
      <c r="V24" s="29" t="n">
        <f aca="false">INDEX(A_MW,1,17)</f>
        <v>394.678333333333</v>
      </c>
      <c r="W24" s="29" t="n">
        <f aca="false">INDEX(A_MW,1,18)</f>
        <v>394.678333333333</v>
      </c>
      <c r="X24" s="29" t="n">
        <f aca="false">INDEX(A_MW,1,19)</f>
        <v>394.678333333333</v>
      </c>
      <c r="Y24" s="29" t="n">
        <f aca="false">INDEX(A_MW,1,20)</f>
        <v>394.678333333333</v>
      </c>
      <c r="Z24" s="29" t="n">
        <f aca="false">INDEX(A_MW,1,21)</f>
        <v>394.678333333333</v>
      </c>
      <c r="AA24" s="29" t="n">
        <f aca="false">INDEX(A_MW,1,22)</f>
        <v>394.678333333333</v>
      </c>
      <c r="AB24" s="29" t="n">
        <f aca="false">INDEX(A_MW,1,23)</f>
        <v>394.678333333333</v>
      </c>
      <c r="AC24" s="29" t="n">
        <f aca="false">INDEX(A_MW,1,24)</f>
        <v>394.678333333333</v>
      </c>
      <c r="AD24" s="29" t="n">
        <f aca="false">INDEX(A_MW,1,25)</f>
        <v>394.678333333333</v>
      </c>
      <c r="AE24" s="29" t="n">
        <f aca="false">INDEX(A_MW,1,26)</f>
        <v>394.678333333333</v>
      </c>
      <c r="AF24" s="29" t="n">
        <f aca="false">INDEX(A_MW,1,27)</f>
        <v>394.678333333333</v>
      </c>
      <c r="AG24" s="29" t="n">
        <f aca="false">INDEX(A_MW,1,28)</f>
        <v>344.005833333333</v>
      </c>
      <c r="AI24" s="29" t="n">
        <f aca="false">INDEX($F24:$AG24,1,MATCH(AI$7,$F$7:$AG$7,1))</f>
        <v>0</v>
      </c>
      <c r="AJ24" s="29" t="n">
        <f aca="false">INDEX($F24:$AG24,1,MATCH(AJ$7,$F$7:$AG$7,1))</f>
        <v>50.6725</v>
      </c>
      <c r="AK24" s="29" t="n">
        <f aca="false">INDEX($F24:$AG24,1,MATCH(AK$7,$F$7:$AG$7,1))</f>
        <v>154.678333333333</v>
      </c>
      <c r="AL24" s="29" t="n">
        <f aca="false">INDEX($F24:$AG24,1,MATCH(AL$7,$F$7:$AG$7,1))</f>
        <v>394.678333333333</v>
      </c>
      <c r="AM24" s="29" t="n">
        <f aca="false">INDEX($F24:$AG24,1,MATCH(AM$7,$F$7:$AG$7,1))</f>
        <v>394.678333333333</v>
      </c>
      <c r="AN24" s="29" t="n">
        <f aca="false">INDEX($F24:$AG24,1,MATCH(AN$7,$F$7:$AG$7,1))</f>
        <v>394.678333333333</v>
      </c>
      <c r="AO24" s="29" t="n">
        <f aca="false">INDEX($F24:$AG24,1,MATCH(AO$7,$F$7:$AG$7,1))</f>
        <v>344.005833333333</v>
      </c>
    </row>
    <row r="25" customFormat="false" ht="15" hidden="false" customHeight="false" outlineLevel="0" collapsed="false">
      <c r="A25" s="104" t="s">
        <v>1756</v>
      </c>
      <c r="B25" s="20" t="s">
        <v>575</v>
      </c>
      <c r="C25" s="20" t="s">
        <v>1581</v>
      </c>
      <c r="D25" s="20"/>
      <c r="F25" s="108" t="n">
        <f aca="false">INDEX(A_PostMW,1,1)</f>
        <v>0</v>
      </c>
      <c r="G25" s="108" t="n">
        <f aca="false">INDEX(A_PostMW,1,2)</f>
        <v>0</v>
      </c>
      <c r="H25" s="108" t="n">
        <f aca="false">INDEX(A_PostMW,1,3)</f>
        <v>0</v>
      </c>
      <c r="I25" s="108" t="n">
        <f aca="false">INDEX(A_PostMW,1,4)</f>
        <v>0</v>
      </c>
      <c r="J25" s="108" t="n">
        <f aca="false">INDEX(A_PostMW,1,5)</f>
        <v>0</v>
      </c>
      <c r="K25" s="108" t="n">
        <f aca="false">INDEX(A_PostMW,1,6)</f>
        <v>0</v>
      </c>
      <c r="L25" s="108" t="n">
        <f aca="false">INDEX(A_PostMW,1,7)</f>
        <v>0</v>
      </c>
      <c r="M25" s="108" t="n">
        <f aca="false">INDEX(A_PostMW,1,8)</f>
        <v>0</v>
      </c>
      <c r="N25" s="108" t="n">
        <f aca="false">INDEX(A_PostMW,1,9)</f>
        <v>0</v>
      </c>
      <c r="O25" s="108" t="n">
        <f aca="false">INDEX(A_PostMW,1,10)</f>
        <v>0</v>
      </c>
      <c r="P25" s="29" t="n">
        <f aca="false">INDEX(A_PostMW,1,11)</f>
        <v>0</v>
      </c>
      <c r="Q25" s="29" t="n">
        <f aca="false">INDEX(A_PostMW,1,12)</f>
        <v>0</v>
      </c>
      <c r="R25" s="29" t="n">
        <f aca="false">INDEX(A_PostMW,1,13)</f>
        <v>0</v>
      </c>
      <c r="S25" s="29" t="n">
        <f aca="false">INDEX(A_PostMW,1,14)</f>
        <v>0</v>
      </c>
      <c r="T25" s="29" t="n">
        <f aca="false">INDEX(A_PostMW,1,15)</f>
        <v>0</v>
      </c>
      <c r="U25" s="29" t="n">
        <f aca="false">INDEX(A_PostMW,1,16)</f>
        <v>0</v>
      </c>
      <c r="V25" s="29" t="n">
        <f aca="false">INDEX(A_PostMW,1,17)</f>
        <v>0</v>
      </c>
      <c r="W25" s="29" t="n">
        <f aca="false">INDEX(A_PostMW,1,18)</f>
        <v>0</v>
      </c>
      <c r="X25" s="29" t="n">
        <f aca="false">INDEX(A_PostMW,1,19)</f>
        <v>0</v>
      </c>
      <c r="Y25" s="29" t="n">
        <f aca="false">INDEX(A_PostMW,1,20)</f>
        <v>0</v>
      </c>
      <c r="Z25" s="29" t="n">
        <f aca="false">INDEX(A_PostMW,1,21)</f>
        <v>0</v>
      </c>
      <c r="AA25" s="29" t="n">
        <f aca="false">INDEX(A_PostMW,1,22)</f>
        <v>0</v>
      </c>
      <c r="AB25" s="29" t="n">
        <f aca="false">INDEX(A_PostMW,1,23)</f>
        <v>0</v>
      </c>
      <c r="AC25" s="29" t="n">
        <f aca="false">INDEX(A_PostMW,1,24)</f>
        <v>0</v>
      </c>
      <c r="AD25" s="29" t="n">
        <f aca="false">INDEX(A_PostMW,1,25)</f>
        <v>0</v>
      </c>
      <c r="AE25" s="29" t="n">
        <f aca="false">INDEX(A_PostMW,1,26)</f>
        <v>0</v>
      </c>
      <c r="AF25" s="29" t="n">
        <f aca="false">INDEX(A_PostMW,1,27)</f>
        <v>0</v>
      </c>
      <c r="AG25" s="29" t="n">
        <f aca="false">INDEX(A_PostMW,1,28)</f>
        <v>50.6725</v>
      </c>
      <c r="AI25" s="29" t="n">
        <f aca="false">INDEX($F25:$AG25,1,MATCH(AI$7,$F$7:$AG$7,1))</f>
        <v>0</v>
      </c>
      <c r="AJ25" s="29" t="n">
        <f aca="false">INDEX($F25:$AG25,1,MATCH(AJ$7,$F$7:$AG$7,1))</f>
        <v>0</v>
      </c>
      <c r="AK25" s="29" t="n">
        <f aca="false">INDEX($F25:$AG25,1,MATCH(AK$7,$F$7:$AG$7,1))</f>
        <v>0</v>
      </c>
      <c r="AL25" s="29" t="n">
        <f aca="false">INDEX($F25:$AG25,1,MATCH(AL$7,$F$7:$AG$7,1))</f>
        <v>0</v>
      </c>
      <c r="AM25" s="29" t="n">
        <f aca="false">INDEX($F25:$AG25,1,MATCH(AM$7,$F$7:$AG$7,1))</f>
        <v>0</v>
      </c>
      <c r="AN25" s="29" t="n">
        <f aca="false">INDEX($F25:$AG25,1,MATCH(AN$7,$F$7:$AG$7,1))</f>
        <v>0</v>
      </c>
      <c r="AO25" s="29" t="n">
        <f aca="false">INDEX($F25:$AG25,1,MATCH(AO$7,$F$7:$AG$7,1))</f>
        <v>50.6725</v>
      </c>
    </row>
    <row r="26" customFormat="false" ht="15" hidden="false" customHeight="false" outlineLevel="0" collapsed="false">
      <c r="A26" s="3" t="s">
        <v>1800</v>
      </c>
      <c r="B26" s="20" t="s">
        <v>561</v>
      </c>
      <c r="C26" s="20" t="s">
        <v>1581</v>
      </c>
      <c r="D26" s="20" t="s">
        <v>1801</v>
      </c>
      <c r="F26" s="124" t="n">
        <f aca="false">INDEX(A_Rev,1,1)+INDEX(A_LD,1,1)</f>
        <v>0</v>
      </c>
      <c r="G26" s="124" t="n">
        <f aca="false">INDEX(A_Rev,1,2)+INDEX(A_LD,1,2)</f>
        <v>0</v>
      </c>
      <c r="H26" s="124" t="n">
        <f aca="false">INDEX(A_Rev,1,3)+INDEX(A_LD,1,3)</f>
        <v>0</v>
      </c>
      <c r="I26" s="124" t="n">
        <f aca="false">INDEX(A_Rev,1,4)+INDEX(A_LD,1,4)</f>
        <v>0</v>
      </c>
      <c r="J26" s="124" t="n">
        <f aca="false">INDEX(A_Rev,1,5)+INDEX(A_LD,1,5)</f>
        <v>0</v>
      </c>
      <c r="K26" s="124" t="n">
        <f aca="false">INDEX(A_Rev,1,6)+INDEX(A_LD,1,6)</f>
        <v>0</v>
      </c>
      <c r="L26" s="124" t="n">
        <f aca="false">INDEX(A_Rev,1,7)+INDEX(A_LD,1,7)</f>
        <v>0</v>
      </c>
      <c r="M26" s="124" t="n">
        <f aca="false">INDEX(A_Rev,1,8)+INDEX(A_LD,1,8)</f>
        <v>48.0871527777778</v>
      </c>
      <c r="N26" s="124" t="n">
        <f aca="false">INDEX(A_Rev,1,9)+INDEX(A_LD,1,9)</f>
        <v>168.418263888889</v>
      </c>
      <c r="O26" s="124" t="n">
        <f aca="false">INDEX(A_Rev,1,10)+INDEX(A_LD,1,10)</f>
        <v>264.819027777778</v>
      </c>
      <c r="P26" s="96" t="n">
        <f aca="false">INDEX(A_Rev,1,11)+INDEX(A_LD,1,11)</f>
        <v>329.589462673611</v>
      </c>
      <c r="Q26" s="96" t="n">
        <f aca="false">INDEX(A_Rev,1,12)+INDEX(A_LD,1,12)</f>
        <v>422.366694010417</v>
      </c>
      <c r="R26" s="96" t="n">
        <f aca="false">INDEX(A_Rev,1,13)+INDEX(A_LD,1,13)</f>
        <v>468.755309678819</v>
      </c>
      <c r="S26" s="96" t="n">
        <f aca="false">INDEX(A_Rev,1,14)+INDEX(A_LD,1,14)</f>
        <v>554.700694444445</v>
      </c>
      <c r="T26" s="96" t="n">
        <f aca="false">INDEX(A_Rev,1,15)+INDEX(A_LD,1,15)</f>
        <v>813.406319444445</v>
      </c>
      <c r="U26" s="96" t="n">
        <f aca="false">INDEX(A_Rev,1,16)+INDEX(A_LD,1,16)</f>
        <v>1270.42555555556</v>
      </c>
      <c r="V26" s="96" t="n">
        <f aca="false">INDEX(A_Rev,1,17)+INDEX(A_LD,1,17)</f>
        <v>1541.20958333333</v>
      </c>
      <c r="W26" s="96" t="n">
        <f aca="false">INDEX(A_Rev,1,18)+INDEX(A_LD,1,18)</f>
        <v>1613.68</v>
      </c>
      <c r="X26" s="96" t="n">
        <f aca="false">INDEX(A_Rev,1,19)+INDEX(A_LD,1,19)</f>
        <v>1613.68</v>
      </c>
      <c r="Y26" s="96" t="n">
        <f aca="false">INDEX(A_Rev,1,20)+INDEX(A_LD,1,20)</f>
        <v>1613.68</v>
      </c>
      <c r="Z26" s="96" t="n">
        <f aca="false">INDEX(A_Rev,1,21)+INDEX(A_LD,1,21)</f>
        <v>1613.68</v>
      </c>
      <c r="AA26" s="96" t="n">
        <f aca="false">INDEX(A_Rev,1,22)+INDEX(A_LD,1,22)</f>
        <v>1613.68</v>
      </c>
      <c r="AB26" s="96" t="n">
        <f aca="false">INDEX(A_Rev,1,23)+INDEX(A_LD,1,23)</f>
        <v>1613.68</v>
      </c>
      <c r="AC26" s="96" t="n">
        <f aca="false">INDEX(A_Rev,1,24)+INDEX(A_LD,1,24)</f>
        <v>1613.68</v>
      </c>
      <c r="AD26" s="96" t="n">
        <f aca="false">INDEX(A_Rev,1,25)+INDEX(A_LD,1,25)</f>
        <v>1613.68</v>
      </c>
      <c r="AE26" s="96" t="n">
        <f aca="false">INDEX(A_Rev,1,26)+INDEX(A_LD,1,26)</f>
        <v>1613.68</v>
      </c>
      <c r="AF26" s="96" t="n">
        <f aca="false">INDEX(A_Rev,1,27)+INDEX(A_LD,1,27)</f>
        <v>1613.68</v>
      </c>
      <c r="AG26" s="96" t="n">
        <f aca="false">INDEX(A_Rev,1,28)+INDEX(A_LD,1,28)</f>
        <v>1529.35763888889</v>
      </c>
      <c r="AI26" s="96" t="n">
        <f aca="false">SUMIF($F$7:$AG$7,AI$7,$F26:$AG26)</f>
        <v>0</v>
      </c>
      <c r="AJ26" s="96" t="n">
        <f aca="false">SUMIF($F$7:$AG$7,AJ$7,$F26:$AG26)</f>
        <v>48.0871527777778</v>
      </c>
      <c r="AK26" s="96" t="n">
        <f aca="false">SUMIF($F$7:$AG$7,AK$7,$F26:$AG26)</f>
        <v>1185.19344835069</v>
      </c>
      <c r="AL26" s="96" t="n">
        <f aca="false">SUMIF($F$7:$AG$7,AL$7,$F26:$AG26)</f>
        <v>3107.28787912326</v>
      </c>
      <c r="AM26" s="96" t="n">
        <f aca="false">SUMIF($F$7:$AG$7,AM$7,$F26:$AG26)</f>
        <v>6382.24958333333</v>
      </c>
      <c r="AN26" s="96" t="n">
        <f aca="false">SUMIF($F$7:$AG$7,AN$7,$F26:$AG26)</f>
        <v>6454.72</v>
      </c>
      <c r="AO26" s="96" t="n">
        <f aca="false">SUMIF($F$7:$AG$7,AO$7,$F26:$AG26)</f>
        <v>6370.39763888889</v>
      </c>
    </row>
    <row r="27" customFormat="false" ht="15" hidden="false" customHeight="false" outlineLevel="0" collapsed="false">
      <c r="A27" s="104" t="s">
        <v>1802</v>
      </c>
      <c r="B27" s="20" t="s">
        <v>561</v>
      </c>
      <c r="C27" s="20" t="s">
        <v>1581</v>
      </c>
      <c r="D27" s="20" t="s">
        <v>1803</v>
      </c>
      <c r="F27" s="122" t="n">
        <f aca="false">INDEX(A_Post,1,1)</f>
        <v>0</v>
      </c>
      <c r="G27" s="122" t="n">
        <f aca="false">INDEX(A_Post,1,2)</f>
        <v>0</v>
      </c>
      <c r="H27" s="122" t="n">
        <f aca="false">INDEX(A_Post,1,3)</f>
        <v>0</v>
      </c>
      <c r="I27" s="122" t="n">
        <f aca="false">INDEX(A_Post,1,4)</f>
        <v>0</v>
      </c>
      <c r="J27" s="122" t="n">
        <f aca="false">INDEX(A_Post,1,5)</f>
        <v>0</v>
      </c>
      <c r="K27" s="122" t="n">
        <f aca="false">INDEX(A_Post,1,6)</f>
        <v>0</v>
      </c>
      <c r="L27" s="122" t="n">
        <f aca="false">INDEX(A_Post,1,7)</f>
        <v>0</v>
      </c>
      <c r="M27" s="122" t="n">
        <f aca="false">INDEX(A_Post,1,8)</f>
        <v>0</v>
      </c>
      <c r="N27" s="122" t="n">
        <f aca="false">INDEX(A_Post,1,9)</f>
        <v>0</v>
      </c>
      <c r="O27" s="122" t="n">
        <f aca="false">INDEX(A_Post,1,10)</f>
        <v>0</v>
      </c>
      <c r="P27" s="123" t="n">
        <f aca="false">INDEX(A_Post,1,11)</f>
        <v>0</v>
      </c>
      <c r="Q27" s="123" t="n">
        <f aca="false">INDEX(A_Post,1,12)</f>
        <v>0</v>
      </c>
      <c r="R27" s="123" t="n">
        <f aca="false">INDEX(A_Post,1,13)</f>
        <v>0</v>
      </c>
      <c r="S27" s="123" t="n">
        <f aca="false">INDEX(A_Post,1,14)</f>
        <v>0</v>
      </c>
      <c r="T27" s="123" t="n">
        <f aca="false">INDEX(A_Post,1,15)</f>
        <v>0</v>
      </c>
      <c r="U27" s="123" t="n">
        <f aca="false">INDEX(A_Post,1,16)</f>
        <v>0</v>
      </c>
      <c r="V27" s="123" t="n">
        <f aca="false">INDEX(A_Post,1,17)</f>
        <v>0</v>
      </c>
      <c r="W27" s="123" t="n">
        <f aca="false">INDEX(A_Post,1,18)</f>
        <v>0</v>
      </c>
      <c r="X27" s="123" t="n">
        <f aca="false">INDEX(A_Post,1,19)</f>
        <v>0</v>
      </c>
      <c r="Y27" s="123" t="n">
        <f aca="false">INDEX(A_Post,1,20)</f>
        <v>0</v>
      </c>
      <c r="Z27" s="123" t="n">
        <f aca="false">INDEX(A_Post,1,21)</f>
        <v>0</v>
      </c>
      <c r="AA27" s="123" t="n">
        <f aca="false">INDEX(A_Post,1,22)</f>
        <v>0</v>
      </c>
      <c r="AB27" s="123" t="n">
        <f aca="false">INDEX(A_Post,1,23)</f>
        <v>0</v>
      </c>
      <c r="AC27" s="123" t="n">
        <f aca="false">INDEX(A_Post,1,24)</f>
        <v>0</v>
      </c>
      <c r="AD27" s="123" t="n">
        <f aca="false">INDEX(A_Post,1,25)</f>
        <v>0</v>
      </c>
      <c r="AE27" s="123" t="n">
        <f aca="false">INDEX(A_Post,1,26)</f>
        <v>0</v>
      </c>
      <c r="AF27" s="123" t="n">
        <f aca="false">INDEX(A_Post,1,27)</f>
        <v>0</v>
      </c>
      <c r="AG27" s="123" t="n">
        <f aca="false">INDEX(A_Post,1,28)</f>
        <v>205.8940525785</v>
      </c>
      <c r="AI27" s="123" t="n">
        <f aca="false">SUMIF($F$7:$AG$7,AI$7,$F27:$AG27)</f>
        <v>0</v>
      </c>
      <c r="AJ27" s="123" t="n">
        <f aca="false">SUMIF($F$7:$AG$7,AJ$7,$F27:$AG27)</f>
        <v>0</v>
      </c>
      <c r="AK27" s="123" t="n">
        <f aca="false">SUMIF($F$7:$AG$7,AK$7,$F27:$AG27)</f>
        <v>0</v>
      </c>
      <c r="AL27" s="123" t="n">
        <f aca="false">SUMIF($F$7:$AG$7,AL$7,$F27:$AG27)</f>
        <v>0</v>
      </c>
      <c r="AM27" s="123" t="n">
        <f aca="false">SUMIF($F$7:$AG$7,AM$7,$F27:$AG27)</f>
        <v>0</v>
      </c>
      <c r="AN27" s="123" t="n">
        <f aca="false">SUMIF($F$7:$AG$7,AN$7,$F27:$AG27)</f>
        <v>0</v>
      </c>
      <c r="AO27" s="123" t="n">
        <f aca="false">SUMIF($F$7:$AG$7,AO$7,$F27:$AG27)</f>
        <v>205.8940525785</v>
      </c>
    </row>
    <row r="29" customFormat="false" ht="15" hidden="false" customHeight="false" outlineLevel="0" collapsed="false">
      <c r="A29" s="53" t="s">
        <v>1804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</row>
    <row r="30" customFormat="false" ht="15" hidden="false" customHeight="false" outlineLevel="0" collapsed="false">
      <c r="A30" s="104" t="s">
        <v>1805</v>
      </c>
      <c r="B30" s="20" t="s">
        <v>674</v>
      </c>
      <c r="C30" s="20" t="s">
        <v>495</v>
      </c>
      <c r="D30" s="20" t="s">
        <v>1806</v>
      </c>
      <c r="E30" s="29" t="n">
        <f aca="false">E17</f>
        <v>13713</v>
      </c>
      <c r="F30" s="108" t="n">
        <f aca="false">MAX(0,F17-INDEX(A_GPU_H,1,1))</f>
        <v>13713</v>
      </c>
      <c r="G30" s="108" t="n">
        <f aca="false">MAX(0,G17-INDEX(A_GPU_H,1,2))</f>
        <v>13713</v>
      </c>
      <c r="H30" s="108" t="n">
        <f aca="false">MAX(0,H17-INDEX(A_GPU_H,1,3))</f>
        <v>13713</v>
      </c>
      <c r="I30" s="108" t="n">
        <f aca="false">MAX(0,I17-INDEX(A_GPU_H,1,4))</f>
        <v>16456</v>
      </c>
      <c r="J30" s="108" t="n">
        <f aca="false">MAX(0,J17-INDEX(A_GPU_H,1,5))</f>
        <v>30000</v>
      </c>
      <c r="K30" s="108" t="n">
        <f aca="false">MAX(0,K17-INDEX(A_GPU_H,1,6))</f>
        <v>32743</v>
      </c>
      <c r="L30" s="108" t="n">
        <f aca="false">MAX(0,L17-INDEX(A_GPU_H,1,7))</f>
        <v>32743</v>
      </c>
      <c r="M30" s="108" t="n">
        <f aca="false">MAX(0,M17-INDEX(A_GPU_H,1,8))</f>
        <v>32743</v>
      </c>
      <c r="N30" s="108" t="n">
        <f aca="false">MAX(0,N17-INDEX(A_GPU_H,1,9))</f>
        <v>32743</v>
      </c>
      <c r="O30" s="108" t="n">
        <f aca="false">MAX(0,O17-INDEX(A_GPU_H,1,10))</f>
        <v>32743</v>
      </c>
      <c r="P30" s="29" t="n">
        <f aca="false">MAX(0,P17-INDEX(A_GPU_H,1,11))</f>
        <v>32743</v>
      </c>
      <c r="Q30" s="29" t="n">
        <f aca="false">MAX(0,Q17-INDEX(A_GPU_H,1,12))</f>
        <v>32743</v>
      </c>
      <c r="R30" s="29" t="n">
        <f aca="false">MAX(0,R17-INDEX(A_GPU_H,1,13))</f>
        <v>32743</v>
      </c>
      <c r="S30" s="29" t="n">
        <f aca="false">MAX(0,S17-INDEX(A_GPU_H,1,14))</f>
        <v>32743</v>
      </c>
      <c r="T30" s="29" t="n">
        <f aca="false">MAX(0,T17-INDEX(A_GPU_H,1,15))</f>
        <v>32743</v>
      </c>
      <c r="U30" s="29" t="n">
        <f aca="false">MAX(0,U17-INDEX(A_GPU_H,1,16))</f>
        <v>32743</v>
      </c>
      <c r="V30" s="29" t="n">
        <f aca="false">MAX(0,V17-INDEX(A_GPU_H,1,17))</f>
        <v>32743</v>
      </c>
      <c r="W30" s="29" t="n">
        <f aca="false">MAX(0,W17-INDEX(A_GPU_H,1,18))</f>
        <v>32743</v>
      </c>
      <c r="X30" s="29" t="n">
        <f aca="false">MAX(0,X17-INDEX(A_GPU_H,1,19))</f>
        <v>32743</v>
      </c>
      <c r="Y30" s="29" t="n">
        <f aca="false">MAX(0,Y17-INDEX(A_GPU_H,1,20))</f>
        <v>32743</v>
      </c>
      <c r="Z30" s="29" t="n">
        <f aca="false">MAX(0,Z17-INDEX(A_GPU_H,1,21))</f>
        <v>32743</v>
      </c>
      <c r="AA30" s="29" t="n">
        <f aca="false">MAX(0,AA17-INDEX(A_GPU_H,1,22))</f>
        <v>32743</v>
      </c>
      <c r="AB30" s="29" t="n">
        <f aca="false">MAX(0,AB17-INDEX(A_GPU_H,1,23))</f>
        <v>32743</v>
      </c>
      <c r="AC30" s="29" t="n">
        <f aca="false">MAX(0,AC17-INDEX(A_GPU_H,1,24))</f>
        <v>32743</v>
      </c>
      <c r="AD30" s="29" t="n">
        <f aca="false">MAX(0,AD17-INDEX(A_GPU_H,1,25))</f>
        <v>32743</v>
      </c>
      <c r="AE30" s="29" t="n">
        <f aca="false">MAX(0,AE17-INDEX(A_GPU_H,1,26))</f>
        <v>32743</v>
      </c>
      <c r="AF30" s="29" t="n">
        <f aca="false">MAX(0,AF17-INDEX(A_GPU_H,1,27))</f>
        <v>32743</v>
      </c>
      <c r="AG30" s="29" t="n">
        <f aca="false">MAX(0,AG17-INDEX(A_GPU_H,1,28))</f>
        <v>32743</v>
      </c>
      <c r="AI30" s="29" t="n">
        <f aca="false">INDEX($F30:$AG30,1,MATCH(AI$7,$F$7:$AG$7,1))</f>
        <v>16456</v>
      </c>
      <c r="AJ30" s="29" t="n">
        <f aca="false">INDEX($F30:$AG30,1,MATCH(AJ$7,$F$7:$AG$7,1))</f>
        <v>32743</v>
      </c>
      <c r="AK30" s="29" t="n">
        <f aca="false">INDEX($F30:$AG30,1,MATCH(AK$7,$F$7:$AG$7,1))</f>
        <v>32743</v>
      </c>
      <c r="AL30" s="29" t="n">
        <f aca="false">INDEX($F30:$AG30,1,MATCH(AL$7,$F$7:$AG$7,1))</f>
        <v>32743</v>
      </c>
      <c r="AM30" s="29" t="n">
        <f aca="false">INDEX($F30:$AG30,1,MATCH(AM$7,$F$7:$AG$7,1))</f>
        <v>32743</v>
      </c>
      <c r="AN30" s="29" t="n">
        <f aca="false">INDEX($F30:$AG30,1,MATCH(AN$7,$F$7:$AG$7,1))</f>
        <v>32743</v>
      </c>
      <c r="AO30" s="29" t="n">
        <f aca="false">INDEX($F30:$AG30,1,MATCH(AO$7,$F$7:$AG$7,1))</f>
        <v>32743</v>
      </c>
    </row>
    <row r="31" customFormat="false" ht="15" hidden="false" customHeight="false" outlineLevel="0" collapsed="false">
      <c r="A31" s="104" t="s">
        <v>1807</v>
      </c>
      <c r="B31" s="20" t="s">
        <v>674</v>
      </c>
      <c r="C31" s="20" t="s">
        <v>495</v>
      </c>
      <c r="D31" s="20" t="s">
        <v>1806</v>
      </c>
      <c r="E31" s="29" t="n">
        <f aca="false">E18</f>
        <v>0</v>
      </c>
      <c r="F31" s="108" t="n">
        <f aca="false">MAX(0,F18-INDEX(A_GPU_B,1,1))</f>
        <v>0</v>
      </c>
      <c r="G31" s="108" t="n">
        <f aca="false">MAX(0,G18-INDEX(A_GPU_B,1,2))</f>
        <v>0</v>
      </c>
      <c r="H31" s="108" t="n">
        <f aca="false">MAX(0,H18-INDEX(A_GPU_B,1,3))</f>
        <v>0</v>
      </c>
      <c r="I31" s="108" t="n">
        <f aca="false">MAX(0,I18-INDEX(A_GPU_B,1,4))</f>
        <v>0</v>
      </c>
      <c r="J31" s="108" t="n">
        <f aca="false">MAX(0,J18-INDEX(A_GPU_B,1,5))</f>
        <v>0</v>
      </c>
      <c r="K31" s="108" t="n">
        <f aca="false">MAX(0,K18-INDEX(A_GPU_B,1,6))</f>
        <v>0</v>
      </c>
      <c r="L31" s="108" t="n">
        <f aca="false">MAX(0,L18-INDEX(A_GPU_B,1,7))</f>
        <v>7072</v>
      </c>
      <c r="M31" s="108" t="n">
        <f aca="false">MAX(0,M18-INDEX(A_GPU_B,1,8))</f>
        <v>19224.0833333333</v>
      </c>
      <c r="N31" s="108" t="n">
        <f aca="false">MAX(0,N18-INDEX(A_GPU_B,1,9))</f>
        <v>12239.1666666667</v>
      </c>
      <c r="O31" s="108" t="n">
        <f aca="false">MAX(0,O18-INDEX(A_GPU_B,1,10))</f>
        <v>12226.1666666667</v>
      </c>
      <c r="P31" s="29" t="n">
        <f aca="false">MAX(0,P18-INDEX(A_GPU_B,1,11))</f>
        <v>12226.1666666667</v>
      </c>
      <c r="Q31" s="29" t="n">
        <f aca="false">MAX(0,Q18-INDEX(A_GPU_B,1,12))</f>
        <v>14882.1666666667</v>
      </c>
      <c r="R31" s="29" t="n">
        <f aca="false">MAX(0,R18-INDEX(A_GPU_B,1,13))</f>
        <v>47749.1666666666</v>
      </c>
      <c r="S31" s="29" t="n">
        <f aca="false">MAX(0,S18-INDEX(A_GPU_B,1,14))</f>
        <v>84273.1666666667</v>
      </c>
      <c r="T31" s="29" t="n">
        <f aca="false">MAX(0,T18-INDEX(A_GPU_B,1,15))</f>
        <v>111257.166666667</v>
      </c>
      <c r="U31" s="29" t="n">
        <f aca="false">MAX(0,U18-INDEX(A_GPU_B,1,16))</f>
        <v>118219.166666667</v>
      </c>
      <c r="V31" s="29" t="n">
        <f aca="false">MAX(0,V18-INDEX(A_GPU_B,1,17))</f>
        <v>146381.166666667</v>
      </c>
      <c r="W31" s="29" t="n">
        <f aca="false">MAX(0,W18-INDEX(A_GPU_B,1,18))</f>
        <v>146381.166666667</v>
      </c>
      <c r="X31" s="29" t="n">
        <f aca="false">MAX(0,X18-INDEX(A_GPU_B,1,19))</f>
        <v>146381.166666667</v>
      </c>
      <c r="Y31" s="29" t="n">
        <f aca="false">MAX(0,Y18-INDEX(A_GPU_B,1,20))</f>
        <v>146381.166666667</v>
      </c>
      <c r="Z31" s="29" t="n">
        <f aca="false">MAX(0,Z18-INDEX(A_GPU_B,1,21))</f>
        <v>170939.166666667</v>
      </c>
      <c r="AA31" s="29" t="n">
        <f aca="false">MAX(0,AA18-INDEX(A_GPU_B,1,22))</f>
        <v>170939.166666667</v>
      </c>
      <c r="AB31" s="29" t="n">
        <f aca="false">MAX(0,AB18-INDEX(A_GPU_B,1,23))</f>
        <v>170939.166666667</v>
      </c>
      <c r="AC31" s="29" t="n">
        <f aca="false">MAX(0,AC18-INDEX(A_GPU_B,1,24))</f>
        <v>170939.166666667</v>
      </c>
      <c r="AD31" s="29" t="n">
        <f aca="false">MAX(0,AD18-INDEX(A_GPU_B,1,25))</f>
        <v>170939.166666667</v>
      </c>
      <c r="AE31" s="29" t="n">
        <f aca="false">MAX(0,AE18-INDEX(A_GPU_B,1,26))</f>
        <v>170939.166666667</v>
      </c>
      <c r="AF31" s="29" t="n">
        <f aca="false">MAX(0,AF18-INDEX(A_GPU_B,1,27))</f>
        <v>170939.166666667</v>
      </c>
      <c r="AG31" s="29" t="n">
        <f aca="false">MAX(0,AG18-INDEX(A_GPU_B,1,28))</f>
        <v>170939.166666667</v>
      </c>
      <c r="AI31" s="29" t="n">
        <f aca="false">INDEX($F31:$AG31,1,MATCH(AI$7,$F$7:$AG$7,1))</f>
        <v>0</v>
      </c>
      <c r="AJ31" s="29" t="n">
        <f aca="false">INDEX($F31:$AG31,1,MATCH(AJ$7,$F$7:$AG$7,1))</f>
        <v>19224.0833333333</v>
      </c>
      <c r="AK31" s="29" t="n">
        <f aca="false">INDEX($F31:$AG31,1,MATCH(AK$7,$F$7:$AG$7,1))</f>
        <v>14882.1666666667</v>
      </c>
      <c r="AL31" s="29" t="n">
        <f aca="false">INDEX($F31:$AG31,1,MATCH(AL$7,$F$7:$AG$7,1))</f>
        <v>118219.166666667</v>
      </c>
      <c r="AM31" s="29" t="n">
        <f aca="false">INDEX($F31:$AG31,1,MATCH(AM$7,$F$7:$AG$7,1))</f>
        <v>146381.166666667</v>
      </c>
      <c r="AN31" s="29" t="n">
        <f aca="false">INDEX($F31:$AG31,1,MATCH(AN$7,$F$7:$AG$7,1))</f>
        <v>170939.166666667</v>
      </c>
      <c r="AO31" s="29" t="n">
        <f aca="false">INDEX($F31:$AG31,1,MATCH(AO$7,$F$7:$AG$7,1))</f>
        <v>170939.166666667</v>
      </c>
    </row>
    <row r="32" customFormat="false" ht="15" hidden="false" customHeight="false" outlineLevel="0" collapsed="false">
      <c r="A32" s="104" t="s">
        <v>1808</v>
      </c>
      <c r="B32" s="20" t="s">
        <v>674</v>
      </c>
      <c r="C32" s="20" t="s">
        <v>495</v>
      </c>
      <c r="D32" s="20" t="s">
        <v>1806</v>
      </c>
      <c r="E32" s="29" t="n">
        <f aca="false">E19</f>
        <v>0</v>
      </c>
      <c r="F32" s="108" t="n">
        <f aca="false">MAX(0,F19-INDEX(A_GPU_N,1,1))</f>
        <v>0</v>
      </c>
      <c r="G32" s="108" t="n">
        <f aca="false">MAX(0,G19-INDEX(A_GPU_N,1,2))</f>
        <v>0</v>
      </c>
      <c r="H32" s="108" t="n">
        <f aca="false">MAX(0,H19-INDEX(A_GPU_N,1,3))</f>
        <v>0</v>
      </c>
      <c r="I32" s="108" t="n">
        <f aca="false">MAX(0,I19-INDEX(A_GPU_N,1,4))</f>
        <v>0</v>
      </c>
      <c r="J32" s="108" t="n">
        <f aca="false">MAX(0,J19-INDEX(A_GPU_N,1,5))</f>
        <v>0</v>
      </c>
      <c r="K32" s="108" t="n">
        <f aca="false">MAX(0,K19-INDEX(A_GPU_N,1,6))</f>
        <v>0</v>
      </c>
      <c r="L32" s="108" t="n">
        <f aca="false">MAX(0,L19-INDEX(A_GPU_N,1,7))</f>
        <v>0</v>
      </c>
      <c r="M32" s="108" t="n">
        <f aca="false">MAX(0,M19-INDEX(A_GPU_N,1,8))</f>
        <v>0</v>
      </c>
      <c r="N32" s="108" t="n">
        <f aca="false">MAX(0,N19-INDEX(A_GPU_N,1,9))</f>
        <v>0</v>
      </c>
      <c r="O32" s="108" t="n">
        <f aca="false">MAX(0,O19-INDEX(A_GPU_N,1,10))</f>
        <v>0</v>
      </c>
      <c r="P32" s="29" t="n">
        <f aca="false">MAX(0,P19-INDEX(A_GPU_N,1,11))</f>
        <v>0</v>
      </c>
      <c r="Q32" s="29" t="n">
        <f aca="false">MAX(0,Q19-INDEX(A_GPU_N,1,12))</f>
        <v>0</v>
      </c>
      <c r="R32" s="29" t="n">
        <f aca="false">MAX(0,R19-INDEX(A_GPU_N,1,13))</f>
        <v>0</v>
      </c>
      <c r="S32" s="29" t="n">
        <f aca="false">MAX(0,S19-INDEX(A_GPU_N,1,14))</f>
        <v>3338</v>
      </c>
      <c r="T32" s="29" t="n">
        <f aca="false">MAX(0,T19-INDEX(A_GPU_N,1,15))</f>
        <v>0</v>
      </c>
      <c r="U32" s="29" t="n">
        <f aca="false">MAX(0,U19-INDEX(A_GPU_N,1,16))</f>
        <v>5911.66666666666</v>
      </c>
      <c r="V32" s="29" t="n">
        <f aca="false">MAX(0,V19-INDEX(A_GPU_N,1,17))</f>
        <v>63312.6666666667</v>
      </c>
      <c r="W32" s="29" t="n">
        <f aca="false">MAX(0,W19-INDEX(A_GPU_N,1,18))</f>
        <v>94012.6666666667</v>
      </c>
      <c r="X32" s="29" t="n">
        <f aca="false">MAX(0,X19-INDEX(A_GPU_N,1,19))</f>
        <v>146076.666666667</v>
      </c>
      <c r="Y32" s="29" t="n">
        <f aca="false">MAX(0,Y19-INDEX(A_GPU_N,1,20))</f>
        <v>150076.666666667</v>
      </c>
      <c r="Z32" s="29" t="n">
        <f aca="false">MAX(0,Z19-INDEX(A_GPU_N,1,21))</f>
        <v>243526.666666667</v>
      </c>
      <c r="AA32" s="29" t="n">
        <f aca="false">MAX(0,AA19-INDEX(A_GPU_N,1,22))</f>
        <v>243526.666666667</v>
      </c>
      <c r="AB32" s="29" t="n">
        <f aca="false">MAX(0,AB19-INDEX(A_GPU_N,1,23))</f>
        <v>355666.666666667</v>
      </c>
      <c r="AC32" s="29" t="n">
        <f aca="false">MAX(0,AC19-INDEX(A_GPU_N,1,24))</f>
        <v>355666.666666667</v>
      </c>
      <c r="AD32" s="29" t="n">
        <f aca="false">MAX(0,AD19-INDEX(A_GPU_N,1,25))</f>
        <v>511861.666666667</v>
      </c>
      <c r="AE32" s="29" t="n">
        <f aca="false">MAX(0,AE19-INDEX(A_GPU_N,1,26))</f>
        <v>511861.666666667</v>
      </c>
      <c r="AF32" s="29" t="n">
        <f aca="false">MAX(0,AF19-INDEX(A_GPU_N,1,27))</f>
        <v>511861.666666667</v>
      </c>
      <c r="AG32" s="29" t="n">
        <f aca="false">MAX(0,AG19-INDEX(A_GPU_N,1,28))</f>
        <v>511861.666666667</v>
      </c>
      <c r="AI32" s="29" t="n">
        <f aca="false">INDEX($F32:$AG32,1,MATCH(AI$7,$F$7:$AG$7,1))</f>
        <v>0</v>
      </c>
      <c r="AJ32" s="29" t="n">
        <f aca="false">INDEX($F32:$AG32,1,MATCH(AJ$7,$F$7:$AG$7,1))</f>
        <v>0</v>
      </c>
      <c r="AK32" s="29" t="n">
        <f aca="false">INDEX($F32:$AG32,1,MATCH(AK$7,$F$7:$AG$7,1))</f>
        <v>0</v>
      </c>
      <c r="AL32" s="29" t="n">
        <f aca="false">INDEX($F32:$AG32,1,MATCH(AL$7,$F$7:$AG$7,1))</f>
        <v>5911.66666666666</v>
      </c>
      <c r="AM32" s="29" t="n">
        <f aca="false">INDEX($F32:$AG32,1,MATCH(AM$7,$F$7:$AG$7,1))</f>
        <v>150076.666666667</v>
      </c>
      <c r="AN32" s="29" t="n">
        <f aca="false">INDEX($F32:$AG32,1,MATCH(AN$7,$F$7:$AG$7,1))</f>
        <v>355666.666666667</v>
      </c>
      <c r="AO32" s="29" t="n">
        <f aca="false">INDEX($F32:$AG32,1,MATCH(AO$7,$F$7:$AG$7,1))</f>
        <v>511861.666666667</v>
      </c>
    </row>
    <row r="33" customFormat="false" ht="15" hidden="false" customHeight="false" outlineLevel="0" collapsed="false">
      <c r="A33" s="104" t="s">
        <v>1809</v>
      </c>
      <c r="B33" s="20" t="s">
        <v>674</v>
      </c>
      <c r="C33" s="20" t="s">
        <v>495</v>
      </c>
      <c r="D33" s="20"/>
      <c r="F33" s="108" t="n">
        <f aca="false">AVERAGE(E30,F30)</f>
        <v>13713</v>
      </c>
      <c r="G33" s="108" t="n">
        <f aca="false">AVERAGE(F30,G30)</f>
        <v>13713</v>
      </c>
      <c r="H33" s="108" t="n">
        <f aca="false">AVERAGE(G30,H30)</f>
        <v>13713</v>
      </c>
      <c r="I33" s="108" t="n">
        <f aca="false">AVERAGE(H30,I30)</f>
        <v>15084.5</v>
      </c>
      <c r="J33" s="108" t="n">
        <f aca="false">AVERAGE(I30,J30)</f>
        <v>23228</v>
      </c>
      <c r="K33" s="108" t="n">
        <f aca="false">AVERAGE(J30,K30)</f>
        <v>31371.5</v>
      </c>
      <c r="L33" s="108" t="n">
        <f aca="false">AVERAGE(K30,L30)</f>
        <v>32743</v>
      </c>
      <c r="M33" s="108" t="n">
        <f aca="false">AVERAGE(L30,M30)</f>
        <v>32743</v>
      </c>
      <c r="N33" s="108" t="n">
        <f aca="false">AVERAGE(M30,N30)</f>
        <v>32743</v>
      </c>
      <c r="O33" s="108" t="n">
        <f aca="false">AVERAGE(N30,O30)</f>
        <v>32743</v>
      </c>
      <c r="P33" s="29" t="n">
        <f aca="false">AVERAGE(O30,P30)</f>
        <v>32743</v>
      </c>
      <c r="Q33" s="29" t="n">
        <f aca="false">AVERAGE(P30,Q30)</f>
        <v>32743</v>
      </c>
      <c r="R33" s="29" t="n">
        <f aca="false">AVERAGE(Q30,R30)</f>
        <v>32743</v>
      </c>
      <c r="S33" s="29" t="n">
        <f aca="false">AVERAGE(R30,S30)</f>
        <v>32743</v>
      </c>
      <c r="T33" s="29" t="n">
        <f aca="false">AVERAGE(S30,T30)</f>
        <v>32743</v>
      </c>
      <c r="U33" s="29" t="n">
        <f aca="false">AVERAGE(T30,U30)</f>
        <v>32743</v>
      </c>
      <c r="V33" s="29" t="n">
        <f aca="false">AVERAGE(U30,V30)</f>
        <v>32743</v>
      </c>
      <c r="W33" s="29" t="n">
        <f aca="false">AVERAGE(V30,W30)</f>
        <v>32743</v>
      </c>
      <c r="X33" s="29" t="n">
        <f aca="false">AVERAGE(W30,X30)</f>
        <v>32743</v>
      </c>
      <c r="Y33" s="29" t="n">
        <f aca="false">AVERAGE(X30,Y30)</f>
        <v>32743</v>
      </c>
      <c r="Z33" s="29" t="n">
        <f aca="false">AVERAGE(Y30,Z30)</f>
        <v>32743</v>
      </c>
      <c r="AA33" s="29" t="n">
        <f aca="false">AVERAGE(Z30,AA30)</f>
        <v>32743</v>
      </c>
      <c r="AB33" s="29" t="n">
        <f aca="false">AVERAGE(AA30,AB30)</f>
        <v>32743</v>
      </c>
      <c r="AC33" s="29" t="n">
        <f aca="false">AVERAGE(AB30,AC30)</f>
        <v>32743</v>
      </c>
      <c r="AD33" s="29" t="n">
        <f aca="false">AVERAGE(AC30,AD30)</f>
        <v>32743</v>
      </c>
      <c r="AE33" s="29" t="n">
        <f aca="false">AVERAGE(AD30,AE30)</f>
        <v>32743</v>
      </c>
      <c r="AF33" s="29" t="n">
        <f aca="false">AVERAGE(AE30,AF30)</f>
        <v>32743</v>
      </c>
      <c r="AG33" s="29" t="n">
        <f aca="false">AVERAGE(AF30,AG30)</f>
        <v>32743</v>
      </c>
      <c r="AI33" s="29" t="n">
        <f aca="false">AVERAGEIF($F$7:$AG$7,AI$7,$F33:$AG33)</f>
        <v>14055.875</v>
      </c>
      <c r="AJ33" s="29" t="n">
        <f aca="false">AVERAGEIF($F$7:$AG$7,AJ$7,$F33:$AG33)</f>
        <v>30021.375</v>
      </c>
      <c r="AK33" s="29" t="n">
        <f aca="false">AVERAGEIF($F$7:$AG$7,AK$7,$F33:$AG33)</f>
        <v>32743</v>
      </c>
      <c r="AL33" s="29" t="n">
        <f aca="false">AVERAGEIF($F$7:$AG$7,AL$7,$F33:$AG33)</f>
        <v>32743</v>
      </c>
      <c r="AM33" s="29" t="n">
        <f aca="false">AVERAGEIF($F$7:$AG$7,AM$7,$F33:$AG33)</f>
        <v>32743</v>
      </c>
      <c r="AN33" s="29" t="n">
        <f aca="false">AVERAGEIF($F$7:$AG$7,AN$7,$F33:$AG33)</f>
        <v>32743</v>
      </c>
      <c r="AO33" s="29" t="n">
        <f aca="false">AVERAGEIF($F$7:$AG$7,AO$7,$F33:$AG33)</f>
        <v>32743</v>
      </c>
    </row>
    <row r="34" customFormat="false" ht="15" hidden="false" customHeight="false" outlineLevel="0" collapsed="false">
      <c r="A34" s="104" t="s">
        <v>1810</v>
      </c>
      <c r="B34" s="20" t="s">
        <v>674</v>
      </c>
      <c r="C34" s="20" t="s">
        <v>495</v>
      </c>
      <c r="D34" s="20"/>
      <c r="F34" s="108" t="n">
        <f aca="false">AVERAGE(E31,F31)</f>
        <v>0</v>
      </c>
      <c r="G34" s="108" t="n">
        <f aca="false">AVERAGE(F31,G31)</f>
        <v>0</v>
      </c>
      <c r="H34" s="108" t="n">
        <f aca="false">AVERAGE(G31,H31)</f>
        <v>0</v>
      </c>
      <c r="I34" s="108" t="n">
        <f aca="false">AVERAGE(H31,I31)</f>
        <v>0</v>
      </c>
      <c r="J34" s="108" t="n">
        <f aca="false">AVERAGE(I31,J31)</f>
        <v>0</v>
      </c>
      <c r="K34" s="108" t="n">
        <f aca="false">AVERAGE(J31,K31)</f>
        <v>0</v>
      </c>
      <c r="L34" s="108" t="n">
        <f aca="false">AVERAGE(K31,L31)</f>
        <v>3536</v>
      </c>
      <c r="M34" s="108" t="n">
        <f aca="false">AVERAGE(L31,M31)</f>
        <v>13148.0416666667</v>
      </c>
      <c r="N34" s="108" t="n">
        <f aca="false">AVERAGE(M31,N31)</f>
        <v>15731.625</v>
      </c>
      <c r="O34" s="108" t="n">
        <f aca="false">AVERAGE(N31,O31)</f>
        <v>12232.6666666667</v>
      </c>
      <c r="P34" s="29" t="n">
        <f aca="false">AVERAGE(O31,P31)</f>
        <v>12226.1666666667</v>
      </c>
      <c r="Q34" s="29" t="n">
        <f aca="false">AVERAGE(P31,Q31)</f>
        <v>13554.1666666667</v>
      </c>
      <c r="R34" s="29" t="n">
        <f aca="false">AVERAGE(Q31,R31)</f>
        <v>31315.6666666667</v>
      </c>
      <c r="S34" s="29" t="n">
        <f aca="false">AVERAGE(R31,S31)</f>
        <v>66011.1666666667</v>
      </c>
      <c r="T34" s="29" t="n">
        <f aca="false">AVERAGE(S31,T31)</f>
        <v>97765.1666666667</v>
      </c>
      <c r="U34" s="29" t="n">
        <f aca="false">AVERAGE(T31,U31)</f>
        <v>114738.166666667</v>
      </c>
      <c r="V34" s="29" t="n">
        <f aca="false">AVERAGE(U31,V31)</f>
        <v>132300.166666667</v>
      </c>
      <c r="W34" s="29" t="n">
        <f aca="false">AVERAGE(V31,W31)</f>
        <v>146381.166666667</v>
      </c>
      <c r="X34" s="29" t="n">
        <f aca="false">AVERAGE(W31,X31)</f>
        <v>146381.166666667</v>
      </c>
      <c r="Y34" s="29" t="n">
        <f aca="false">AVERAGE(X31,Y31)</f>
        <v>146381.166666667</v>
      </c>
      <c r="Z34" s="29" t="n">
        <f aca="false">AVERAGE(Y31,Z31)</f>
        <v>158660.166666667</v>
      </c>
      <c r="AA34" s="29" t="n">
        <f aca="false">AVERAGE(Z31,AA31)</f>
        <v>170939.166666667</v>
      </c>
      <c r="AB34" s="29" t="n">
        <f aca="false">AVERAGE(AA31,AB31)</f>
        <v>170939.166666667</v>
      </c>
      <c r="AC34" s="29" t="n">
        <f aca="false">AVERAGE(AB31,AC31)</f>
        <v>170939.166666667</v>
      </c>
      <c r="AD34" s="29" t="n">
        <f aca="false">AVERAGE(AC31,AD31)</f>
        <v>170939.166666667</v>
      </c>
      <c r="AE34" s="29" t="n">
        <f aca="false">AVERAGE(AD31,AE31)</f>
        <v>170939.166666667</v>
      </c>
      <c r="AF34" s="29" t="n">
        <f aca="false">AVERAGE(AE31,AF31)</f>
        <v>170939.166666667</v>
      </c>
      <c r="AG34" s="29" t="n">
        <f aca="false">AVERAGE(AF31,AG31)</f>
        <v>170939.166666667</v>
      </c>
      <c r="AI34" s="29" t="n">
        <f aca="false">AVERAGEIF($F$7:$AG$7,AI$7,$F34:$AG34)</f>
        <v>0</v>
      </c>
      <c r="AJ34" s="29" t="n">
        <f aca="false">AVERAGEIF($F$7:$AG$7,AJ$7,$F34:$AG34)</f>
        <v>4171.01041666667</v>
      </c>
      <c r="AK34" s="29" t="n">
        <f aca="false">AVERAGEIF($F$7:$AG$7,AK$7,$F34:$AG34)</f>
        <v>13436.15625</v>
      </c>
      <c r="AL34" s="29" t="n">
        <f aca="false">AVERAGEIF($F$7:$AG$7,AL$7,$F34:$AG34)</f>
        <v>77457.5416666667</v>
      </c>
      <c r="AM34" s="29" t="n">
        <f aca="false">AVERAGEIF($F$7:$AG$7,AM$7,$F34:$AG34)</f>
        <v>142860.916666667</v>
      </c>
      <c r="AN34" s="29" t="n">
        <f aca="false">AVERAGEIF($F$7:$AG$7,AN$7,$F34:$AG34)</f>
        <v>167869.416666667</v>
      </c>
      <c r="AO34" s="29" t="n">
        <f aca="false">AVERAGEIF($F$7:$AG$7,AO$7,$F34:$AG34)</f>
        <v>170939.166666667</v>
      </c>
    </row>
    <row r="35" customFormat="false" ht="15" hidden="false" customHeight="false" outlineLevel="0" collapsed="false">
      <c r="A35" s="104" t="s">
        <v>1811</v>
      </c>
      <c r="B35" s="20" t="s">
        <v>674</v>
      </c>
      <c r="C35" s="20" t="s">
        <v>495</v>
      </c>
      <c r="D35" s="20"/>
      <c r="F35" s="108" t="n">
        <f aca="false">AVERAGE(E32,F32)</f>
        <v>0</v>
      </c>
      <c r="G35" s="108" t="n">
        <f aca="false">AVERAGE(F32,G32)</f>
        <v>0</v>
      </c>
      <c r="H35" s="108" t="n">
        <f aca="false">AVERAGE(G32,H32)</f>
        <v>0</v>
      </c>
      <c r="I35" s="108" t="n">
        <f aca="false">AVERAGE(H32,I32)</f>
        <v>0</v>
      </c>
      <c r="J35" s="108" t="n">
        <f aca="false">AVERAGE(I32,J32)</f>
        <v>0</v>
      </c>
      <c r="K35" s="108" t="n">
        <f aca="false">AVERAGE(J32,K32)</f>
        <v>0</v>
      </c>
      <c r="L35" s="108" t="n">
        <f aca="false">AVERAGE(K32,L32)</f>
        <v>0</v>
      </c>
      <c r="M35" s="108" t="n">
        <f aca="false">AVERAGE(L32,M32)</f>
        <v>0</v>
      </c>
      <c r="N35" s="108" t="n">
        <f aca="false">AVERAGE(M32,N32)</f>
        <v>0</v>
      </c>
      <c r="O35" s="108" t="n">
        <f aca="false">AVERAGE(N32,O32)</f>
        <v>0</v>
      </c>
      <c r="P35" s="29" t="n">
        <f aca="false">AVERAGE(O32,P32)</f>
        <v>0</v>
      </c>
      <c r="Q35" s="29" t="n">
        <f aca="false">AVERAGE(P32,Q32)</f>
        <v>0</v>
      </c>
      <c r="R35" s="29" t="n">
        <f aca="false">AVERAGE(Q32,R32)</f>
        <v>0</v>
      </c>
      <c r="S35" s="29" t="n">
        <f aca="false">AVERAGE(R32,S32)</f>
        <v>1669</v>
      </c>
      <c r="T35" s="29" t="n">
        <f aca="false">AVERAGE(S32,T32)</f>
        <v>1669</v>
      </c>
      <c r="U35" s="29" t="n">
        <f aca="false">AVERAGE(T32,U32)</f>
        <v>2955.83333333333</v>
      </c>
      <c r="V35" s="29" t="n">
        <f aca="false">AVERAGE(U32,V32)</f>
        <v>34612.1666666667</v>
      </c>
      <c r="W35" s="29" t="n">
        <f aca="false">AVERAGE(V32,W32)</f>
        <v>78662.6666666667</v>
      </c>
      <c r="X35" s="29" t="n">
        <f aca="false">AVERAGE(W32,X32)</f>
        <v>120044.666666667</v>
      </c>
      <c r="Y35" s="29" t="n">
        <f aca="false">AVERAGE(X32,Y32)</f>
        <v>148076.666666667</v>
      </c>
      <c r="Z35" s="29" t="n">
        <f aca="false">AVERAGE(Y32,Z32)</f>
        <v>196801.666666667</v>
      </c>
      <c r="AA35" s="29" t="n">
        <f aca="false">AVERAGE(Z32,AA32)</f>
        <v>243526.666666667</v>
      </c>
      <c r="AB35" s="29" t="n">
        <f aca="false">AVERAGE(AA32,AB32)</f>
        <v>299596.666666667</v>
      </c>
      <c r="AC35" s="29" t="n">
        <f aca="false">AVERAGE(AB32,AC32)</f>
        <v>355666.666666667</v>
      </c>
      <c r="AD35" s="29" t="n">
        <f aca="false">AVERAGE(AC32,AD32)</f>
        <v>433764.166666667</v>
      </c>
      <c r="AE35" s="29" t="n">
        <f aca="false">AVERAGE(AD32,AE32)</f>
        <v>511861.666666667</v>
      </c>
      <c r="AF35" s="29" t="n">
        <f aca="false">AVERAGE(AE32,AF32)</f>
        <v>511861.666666667</v>
      </c>
      <c r="AG35" s="29" t="n">
        <f aca="false">AVERAGE(AF32,AG32)</f>
        <v>511861.666666667</v>
      </c>
      <c r="AI35" s="29" t="n">
        <f aca="false">AVERAGEIF($F$7:$AG$7,AI$7,$F35:$AG35)</f>
        <v>0</v>
      </c>
      <c r="AJ35" s="29" t="n">
        <f aca="false">AVERAGEIF($F$7:$AG$7,AJ$7,$F35:$AG35)</f>
        <v>0</v>
      </c>
      <c r="AK35" s="29" t="n">
        <f aca="false">AVERAGEIF($F$7:$AG$7,AK$7,$F35:$AG35)</f>
        <v>0</v>
      </c>
      <c r="AL35" s="29" t="n">
        <f aca="false">AVERAGEIF($F$7:$AG$7,AL$7,$F35:$AG35)</f>
        <v>1573.45833333333</v>
      </c>
      <c r="AM35" s="29" t="n">
        <f aca="false">AVERAGEIF($F$7:$AG$7,AM$7,$F35:$AG35)</f>
        <v>95349.0416666667</v>
      </c>
      <c r="AN35" s="29" t="n">
        <f aca="false">AVERAGEIF($F$7:$AG$7,AN$7,$F35:$AG35)</f>
        <v>273897.916666667</v>
      </c>
      <c r="AO35" s="29" t="n">
        <f aca="false">AVERAGEIF($F$7:$AG$7,AO$7,$F35:$AG35)</f>
        <v>492337.291666667</v>
      </c>
    </row>
    <row r="36" customFormat="false" ht="15" hidden="false" customHeight="false" outlineLevel="0" collapsed="false">
      <c r="A36" s="104" t="s">
        <v>1812</v>
      </c>
      <c r="B36" s="20" t="s">
        <v>575</v>
      </c>
      <c r="C36" s="20" t="s">
        <v>495</v>
      </c>
      <c r="D36" s="20"/>
      <c r="F36" s="108" t="n">
        <f aca="false">MAX(0,F24+F25-F11)</f>
        <v>0</v>
      </c>
      <c r="G36" s="108" t="n">
        <f aca="false">MAX(0,G24+G25-G11)</f>
        <v>0</v>
      </c>
      <c r="H36" s="108" t="n">
        <f aca="false">MAX(0,H24+H25-H11)</f>
        <v>0</v>
      </c>
      <c r="I36" s="108" t="n">
        <f aca="false">MAX(0,I24+I25-I11)</f>
        <v>0</v>
      </c>
      <c r="J36" s="108" t="n">
        <f aca="false">MAX(0,J24+J25-J11)</f>
        <v>0</v>
      </c>
      <c r="K36" s="108" t="n">
        <f aca="false">MAX(0,K24+K25-K11)</f>
        <v>0</v>
      </c>
      <c r="L36" s="108" t="n">
        <f aca="false">MAX(0,L24+L25-L11)</f>
        <v>0</v>
      </c>
      <c r="M36" s="108" t="n">
        <f aca="false">MAX(0,M24+M25-M11)</f>
        <v>0</v>
      </c>
      <c r="N36" s="108" t="n">
        <f aca="false">MAX(0,N24+N25-N11)</f>
        <v>0</v>
      </c>
      <c r="O36" s="108" t="n">
        <f aca="false">MAX(0,O24+O25-O11)</f>
        <v>0</v>
      </c>
      <c r="P36" s="29" t="n">
        <f aca="false">MAX(0,P24+P25-P11)</f>
        <v>0</v>
      </c>
      <c r="Q36" s="29" t="n">
        <f aca="false">MAX(0,Q24+Q25-Q11)</f>
        <v>0</v>
      </c>
      <c r="R36" s="29" t="n">
        <f aca="false">MAX(0,R24+R25-R11)</f>
        <v>0</v>
      </c>
      <c r="S36" s="29" t="n">
        <f aca="false">MAX(0,S24+S25-S11)</f>
        <v>0</v>
      </c>
      <c r="T36" s="29" t="n">
        <f aca="false">MAX(0,T24+T25-T11)</f>
        <v>0</v>
      </c>
      <c r="U36" s="29" t="n">
        <f aca="false">MAX(0,U24+U25-U11)</f>
        <v>0</v>
      </c>
      <c r="V36" s="29" t="n">
        <f aca="false">MAX(0,V24+V25-V11)</f>
        <v>0</v>
      </c>
      <c r="W36" s="29" t="n">
        <f aca="false">MAX(0,W24+W25-W11)</f>
        <v>0</v>
      </c>
      <c r="X36" s="29" t="n">
        <f aca="false">MAX(0,X24+X25-X11)</f>
        <v>0</v>
      </c>
      <c r="Y36" s="29" t="n">
        <f aca="false">MAX(0,Y24+Y25-Y11)</f>
        <v>0</v>
      </c>
      <c r="Z36" s="29" t="n">
        <f aca="false">MAX(0,Z24+Z25-Z11)</f>
        <v>0</v>
      </c>
      <c r="AA36" s="29" t="n">
        <f aca="false">MAX(0,AA24+AA25-AA11)</f>
        <v>0</v>
      </c>
      <c r="AB36" s="29" t="n">
        <f aca="false">MAX(0,AB24+AB25-AB11)</f>
        <v>0</v>
      </c>
      <c r="AC36" s="29" t="n">
        <f aca="false">MAX(0,AC24+AC25-AC11)</f>
        <v>0</v>
      </c>
      <c r="AD36" s="29" t="n">
        <f aca="false">MAX(0,AD24+AD25-AD11)</f>
        <v>0</v>
      </c>
      <c r="AE36" s="29" t="n">
        <f aca="false">MAX(0,AE24+AE25-AE11)</f>
        <v>0</v>
      </c>
      <c r="AF36" s="29" t="n">
        <f aca="false">MAX(0,AF24+AF25-AF11)</f>
        <v>0</v>
      </c>
      <c r="AG36" s="29" t="n">
        <f aca="false">MAX(0,AG24+AG25-AG11)</f>
        <v>0</v>
      </c>
      <c r="AI36" s="29" t="n">
        <f aca="false">INDEX($F36:$AG36,1,MATCH(AI$7,$F$7:$AG$7,1))</f>
        <v>0</v>
      </c>
      <c r="AJ36" s="29" t="n">
        <f aca="false">INDEX($F36:$AG36,1,MATCH(AJ$7,$F$7:$AG$7,1))</f>
        <v>0</v>
      </c>
      <c r="AK36" s="29" t="n">
        <f aca="false">INDEX($F36:$AG36,1,MATCH(AK$7,$F$7:$AG$7,1))</f>
        <v>0</v>
      </c>
      <c r="AL36" s="29" t="n">
        <f aca="false">INDEX($F36:$AG36,1,MATCH(AL$7,$F$7:$AG$7,1))</f>
        <v>0</v>
      </c>
      <c r="AM36" s="29" t="n">
        <f aca="false">INDEX($F36:$AG36,1,MATCH(AM$7,$F$7:$AG$7,1))</f>
        <v>0</v>
      </c>
      <c r="AN36" s="29" t="n">
        <f aca="false">INDEX($F36:$AG36,1,MATCH(AN$7,$F$7:$AG$7,1))</f>
        <v>0</v>
      </c>
      <c r="AO36" s="29" t="n">
        <f aca="false">INDEX($F36:$AG36,1,MATCH(AO$7,$F$7:$AG$7,1))</f>
        <v>0</v>
      </c>
    </row>
    <row r="38" customFormat="false" ht="15" hidden="false" customHeight="false" outlineLevel="0" collapsed="false">
      <c r="A38" s="53" t="s">
        <v>1813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 customFormat="false" ht="15" hidden="false" customHeight="false" outlineLevel="0" collapsed="false">
      <c r="A39" s="104" t="s">
        <v>1814</v>
      </c>
      <c r="B39" s="20" t="s">
        <v>561</v>
      </c>
      <c r="C39" s="20" t="s">
        <v>495</v>
      </c>
      <c r="D39" s="20" t="s">
        <v>1815</v>
      </c>
      <c r="F39" s="122" t="n">
        <f aca="false">F33*Timeline!F$9*INDEX(ResSh,1,F$7-FYBase)*INDEX(P_RES_H,1,1)/1000000</f>
        <v>71.024508828</v>
      </c>
      <c r="G39" s="122" t="n">
        <f aca="false">G33*Timeline!G$9*INDEX(ResSh,1,G$7-FYBase)*INDEX(P_RES_H,1,2)/1000000</f>
        <v>71.024508828</v>
      </c>
      <c r="H39" s="122" t="n">
        <f aca="false">H33*Timeline!H$9*INDEX(ResSh,1,H$7-FYBase)*INDEX(P_RES_H,1,3)/1000000</f>
        <v>71.804997936</v>
      </c>
      <c r="I39" s="122" t="n">
        <f aca="false">I33*Timeline!I$9*INDEX(ResSh,1,I$7-FYBase)*INDEX(P_RES_H,1,4)/1000000</f>
        <v>78.986544984</v>
      </c>
      <c r="J39" s="122" t="n">
        <f aca="false">J33*Timeline!J$9*INDEX(ResSh,1,J$7-FYBase)*INDEX(P_RES_H,1,5)/1000000</f>
        <v>123.183472896</v>
      </c>
      <c r="K39" s="122" t="n">
        <f aca="false">K33*Timeline!K$9*INDEX(ResSh,1,K$7-FYBase)*INDEX(P_RES_H,1,6)/1000000</f>
        <v>168.2189020512</v>
      </c>
      <c r="L39" s="122" t="n">
        <f aca="false">L33*Timeline!L$9*INDEX(ResSh,1,L$7-FYBase)*INDEX(P_RES_H,1,7)/1000000</f>
        <v>177.5024748288</v>
      </c>
      <c r="M39" s="122" t="n">
        <f aca="false">M33*Timeline!M$9*INDEX(ResSh,1,M$7-FYBase)*INDEX(P_RES_H,1,8)/1000000</f>
        <v>177.5024748288</v>
      </c>
      <c r="N39" s="122" t="n">
        <f aca="false">N33*Timeline!N$9*INDEX(ResSh,1,N$7-FYBase)*INDEX(P_RES_H,1,9)/1000000</f>
        <v>177.59017368</v>
      </c>
      <c r="O39" s="122" t="n">
        <f aca="false">O33*Timeline!O$9*INDEX(ResSh,1,O$7-FYBase)*INDEX(P_RES_H,1,10)/1000000</f>
        <v>179.563397832</v>
      </c>
      <c r="P39" s="123" t="n">
        <f aca="false">P33*Timeline!P$9*INDEX(ResSh,1,P$7-FYBase)*INDEX(P_RES_H,1,11)/1000000</f>
        <v>183.2934280032</v>
      </c>
      <c r="Q39" s="123" t="n">
        <f aca="false">Q33*Timeline!Q$9*INDEX(ResSh,1,Q$7-FYBase)*INDEX(P_RES_H,1,12)/1000000</f>
        <v>194.1270651216</v>
      </c>
      <c r="R39" s="123" t="n">
        <f aca="false">R33*Timeline!R$9*INDEX(ResSh,1,R$7-FYBase)*INDEX(P_RES_H,1,13)/1000000</f>
        <v>192.678126864763</v>
      </c>
      <c r="S39" s="123" t="n">
        <f aca="false">S33*Timeline!S$9*INDEX(ResSh,1,S$7-FYBase)*INDEX(P_RES_H,1,14)/1000000</f>
        <v>195.51962162068</v>
      </c>
      <c r="T39" s="123" t="n">
        <f aca="false">T33*Timeline!T$9*INDEX(ResSh,1,T$7-FYBase)*INDEX(P_RES_H,1,15)/1000000</f>
        <v>196.380752454046</v>
      </c>
      <c r="U39" s="123" t="n">
        <f aca="false">U33*Timeline!U$9*INDEX(ResSh,1,U$7-FYBase)*INDEX(P_RES_H,1,16)/1000000</f>
        <v>193.21938201168</v>
      </c>
      <c r="V39" s="123" t="n">
        <f aca="false">V33*Timeline!V$9*INDEX(ResSh,1,V$7-FYBase)*INDEX(P_RES_H,1,17)/1000000</f>
        <v>186.25263613281</v>
      </c>
      <c r="W39" s="123" t="n">
        <f aca="false">W33*Timeline!W$9*INDEX(ResSh,1,W$7-FYBase)*INDEX(P_RES_H,1,18)/1000000</f>
        <v>179.754468597957</v>
      </c>
      <c r="X39" s="123" t="n">
        <f aca="false">X33*Timeline!X$9*INDEX(ResSh,1,X$7-FYBase)*INDEX(P_RES_H,1,19)/1000000</f>
        <v>174.494146125663</v>
      </c>
      <c r="Y39" s="123" t="n">
        <f aca="false">Y33*Timeline!Y$9*INDEX(ResSh,1,Y$7-FYBase)*INDEX(P_RES_H,1,20)/1000000</f>
        <v>167.546590051104</v>
      </c>
      <c r="Z39" s="123" t="n">
        <f aca="false">Z33*Timeline!Z$9*INDEX(ResSh,1,Z$7-FYBase)*INDEX(P_RES_H,1,21)/1000000</f>
        <v>157.378356953111</v>
      </c>
      <c r="AA39" s="123" t="n">
        <f aca="false">AA33*Timeline!AA$9*INDEX(ResSh,1,AA$7-FYBase)*INDEX(P_RES_H,1,22)/1000000</f>
        <v>152.791298308263</v>
      </c>
      <c r="AB39" s="123" t="n">
        <f aca="false">AB33*Timeline!AB$9*INDEX(ResSh,1,AB$7-FYBase)*INDEX(P_RES_H,1,23)/1000000</f>
        <v>148.320024206813</v>
      </c>
      <c r="AC39" s="123" t="n">
        <f aca="false">AC33*Timeline!AC$9*INDEX(ResSh,1,AC$7-FYBase)*INDEX(P_RES_H,1,24)/1000000</f>
        <v>142.414601543438</v>
      </c>
      <c r="AD39" s="123" t="n">
        <f aca="false">AD33*Timeline!AD$9*INDEX(ResSh,1,AD$7-FYBase)*INDEX(P_RES_H,1,25)/1000000</f>
        <v>133.771603410144</v>
      </c>
      <c r="AE39" s="123" t="n">
        <f aca="false">AE33*Timeline!AE$9*INDEX(ResSh,1,AE$7-FYBase)*INDEX(P_RES_H,1,26)/1000000</f>
        <v>129.872603562024</v>
      </c>
      <c r="AF39" s="123" t="n">
        <f aca="false">AF33*Timeline!AF$9*INDEX(ResSh,1,AF$7-FYBase)*INDEX(P_RES_H,1,27)/1000000</f>
        <v>126.072020575791</v>
      </c>
      <c r="AG39" s="123" t="n">
        <f aca="false">AG33*Timeline!AG$9*INDEX(ResSh,1,AG$7-FYBase)*INDEX(P_RES_H,1,28)/1000000</f>
        <v>121.052411311923</v>
      </c>
      <c r="AI39" s="123" t="n">
        <f aca="false">SUMIF($F$7:$AG$7,AI$7,$F39:$AG39)</f>
        <v>292.840560576</v>
      </c>
      <c r="AJ39" s="123" t="n">
        <f aca="false">SUMIF($F$7:$AG$7,AJ$7,$F39:$AG39)</f>
        <v>646.4073246048</v>
      </c>
      <c r="AK39" s="123" t="n">
        <f aca="false">SUMIF($F$7:$AG$7,AK$7,$F39:$AG39)</f>
        <v>734.5740646368</v>
      </c>
      <c r="AL39" s="123" t="n">
        <f aca="false">SUMIF($F$7:$AG$7,AL$7,$F39:$AG39)</f>
        <v>777.79788295117</v>
      </c>
      <c r="AM39" s="123" t="n">
        <f aca="false">SUMIF($F$7:$AG$7,AM$7,$F39:$AG39)</f>
        <v>708.047840907533</v>
      </c>
      <c r="AN39" s="123" t="n">
        <f aca="false">SUMIF($F$7:$AG$7,AN$7,$F39:$AG39)</f>
        <v>600.904281011626</v>
      </c>
      <c r="AO39" s="123" t="n">
        <f aca="false">SUMIF($F$7:$AG$7,AO$7,$F39:$AG39)</f>
        <v>510.768638859882</v>
      </c>
    </row>
    <row r="40" customFormat="false" ht="15" hidden="false" customHeight="false" outlineLevel="0" collapsed="false">
      <c r="A40" s="104" t="s">
        <v>1816</v>
      </c>
      <c r="B40" s="20" t="s">
        <v>561</v>
      </c>
      <c r="C40" s="20" t="s">
        <v>495</v>
      </c>
      <c r="D40" s="20" t="s">
        <v>1815</v>
      </c>
      <c r="F40" s="122" t="n">
        <f aca="false">F34*Timeline!F$9*INDEX(ResSh,1,F$7-FYBase)*INDEX(P_RES_B,1,1)/1000000</f>
        <v>0</v>
      </c>
      <c r="G40" s="122" t="n">
        <f aca="false">G34*Timeline!G$9*INDEX(ResSh,1,G$7-FYBase)*INDEX(P_RES_B,1,2)/1000000</f>
        <v>0</v>
      </c>
      <c r="H40" s="122" t="n">
        <f aca="false">H34*Timeline!H$9*INDEX(ResSh,1,H$7-FYBase)*INDEX(P_RES_B,1,3)/1000000</f>
        <v>0</v>
      </c>
      <c r="I40" s="122" t="n">
        <f aca="false">I34*Timeline!I$9*INDEX(ResSh,1,I$7-FYBase)*INDEX(P_RES_B,1,4)/1000000</f>
        <v>0</v>
      </c>
      <c r="J40" s="122" t="n">
        <f aca="false">J34*Timeline!J$9*INDEX(ResSh,1,J$7-FYBase)*INDEX(P_RES_B,1,5)/1000000</f>
        <v>0</v>
      </c>
      <c r="K40" s="122" t="n">
        <f aca="false">K34*Timeline!K$9*INDEX(ResSh,1,K$7-FYBase)*INDEX(P_RES_B,1,6)/1000000</f>
        <v>0</v>
      </c>
      <c r="L40" s="122" t="n">
        <f aca="false">L34*Timeline!L$9*INDEX(ResSh,1,L$7-FYBase)*INDEX(P_RES_B,1,7)/1000000</f>
        <v>42.2384601120768</v>
      </c>
      <c r="M40" s="122" t="n">
        <f aca="false">M34*Timeline!M$9*INDEX(ResSh,1,M$7-FYBase)*INDEX(P_RES_B,1,8)/1000000</f>
        <v>157.056853362394</v>
      </c>
      <c r="N40" s="122" t="n">
        <f aca="false">N34*Timeline!N$9*INDEX(ResSh,1,N$7-FYBase)*INDEX(P_RES_B,1,9)/1000000</f>
        <v>188.01128825388</v>
      </c>
      <c r="O40" s="122" t="n">
        <f aca="false">O34*Timeline!O$9*INDEX(ResSh,1,O$7-FYBase)*INDEX(P_RES_B,1,10)/1000000</f>
        <v>147.819035512512</v>
      </c>
      <c r="P40" s="123" t="n">
        <f aca="false">P34*Timeline!P$9*INDEX(ResSh,1,P$7-FYBase)*INDEX(P_RES_B,1,11)/1000000</f>
        <v>149.364011648448</v>
      </c>
      <c r="Q40" s="123" t="n">
        <f aca="false">Q34*Timeline!Q$9*INDEX(ResSh,1,Q$7-FYBase)*INDEX(P_RES_B,1,12)/1000000</f>
        <v>176.606962335216</v>
      </c>
      <c r="R40" s="123" t="n">
        <f aca="false">R34*Timeline!R$9*INDEX(ResSh,1,R$7-FYBase)*INDEX(P_RES_B,1,13)/1000000</f>
        <v>413.700285318093</v>
      </c>
      <c r="S40" s="123" t="n">
        <f aca="false">S34*Timeline!S$9*INDEX(ResSh,1,S$7-FYBase)*INDEX(P_RES_B,1,14)/1000000</f>
        <v>850.576715517766</v>
      </c>
      <c r="T40" s="123" t="n">
        <f aca="false">T34*Timeline!T$9*INDEX(ResSh,1,T$7-FYBase)*INDEX(P_RES_B,1,15)/1000000</f>
        <v>1202.0818046023</v>
      </c>
      <c r="U40" s="123" t="n">
        <f aca="false">U34*Timeline!U$9*INDEX(ResSh,1,U$7-FYBase)*INDEX(P_RES_B,1,16)/1000000</f>
        <v>1320.48900775665</v>
      </c>
      <c r="V40" s="123" t="n">
        <f aca="false">V34*Timeline!V$9*INDEX(ResSh,1,V$7-FYBase)*INDEX(P_RES_B,1,17)/1000000</f>
        <v>1504.61881910253</v>
      </c>
      <c r="W40" s="123" t="n">
        <f aca="false">W34*Timeline!W$9*INDEX(ResSh,1,W$7-FYBase)*INDEX(P_RES_B,1,18)/1000000</f>
        <v>1638.00702925663</v>
      </c>
      <c r="X40" s="123" t="n">
        <f aca="false">X34*Timeline!X$9*INDEX(ResSh,1,X$7-FYBase)*INDEX(P_RES_B,1,19)/1000000</f>
        <v>1630.58769088044</v>
      </c>
      <c r="Y40" s="123" t="n">
        <f aca="false">Y34*Timeline!Y$9*INDEX(ResSh,1,Y$7-FYBase)*INDEX(P_RES_B,1,20)/1000000</f>
        <v>1605.55845878484</v>
      </c>
      <c r="Z40" s="123" t="n">
        <f aca="false">Z34*Timeline!Z$9*INDEX(ResSh,1,Z$7-FYBase)*INDEX(P_RES_B,1,21)/1000000</f>
        <v>1676.27578137769</v>
      </c>
      <c r="AA40" s="123" t="n">
        <f aca="false">AA34*Timeline!AA$9*INDEX(ResSh,1,AA$7-FYBase)*INDEX(P_RES_B,1,22)/1000000</f>
        <v>1798.04266610405</v>
      </c>
      <c r="AB40" s="123" t="n">
        <f aca="false">AB34*Timeline!AB$9*INDEX(ResSh,1,AB$7-FYBase)*INDEX(P_RES_B,1,23)/1000000</f>
        <v>1789.8984477238</v>
      </c>
      <c r="AC40" s="123" t="n">
        <f aca="false">AC34*Timeline!AC$9*INDEX(ResSh,1,AC$7-FYBase)*INDEX(P_RES_B,1,24)/1000000</f>
        <v>1762.4238237424</v>
      </c>
      <c r="AD40" s="123" t="n">
        <f aca="false">AD34*Timeline!AD$9*INDEX(ResSh,1,AD$7-FYBase)*INDEX(P_RES_B,1,25)/1000000</f>
        <v>1697.64547536224</v>
      </c>
      <c r="AE40" s="123" t="n">
        <f aca="false">AE34*Timeline!AE$9*INDEX(ResSh,1,AE$7-FYBase)*INDEX(P_RES_B,1,26)/1000000</f>
        <v>1690.1601061378</v>
      </c>
      <c r="AF40" s="123" t="n">
        <f aca="false">AF34*Timeline!AF$9*INDEX(ResSh,1,AF$7-FYBase)*INDEX(P_RES_B,1,27)/1000000</f>
        <v>1682.50454086037</v>
      </c>
      <c r="AG40" s="123" t="n">
        <f aca="false">AG34*Timeline!AG$9*INDEX(ResSh,1,AG$7-FYBase)*INDEX(P_RES_B,1,28)/1000000</f>
        <v>1656.67839431786</v>
      </c>
      <c r="AI40" s="123" t="n">
        <f aca="false">SUMIF($F$7:$AG$7,AI$7,$F40:$AG40)</f>
        <v>0</v>
      </c>
      <c r="AJ40" s="123" t="n">
        <f aca="false">SUMIF($F$7:$AG$7,AJ$7,$F40:$AG40)</f>
        <v>199.29531347447</v>
      </c>
      <c r="AK40" s="123" t="n">
        <f aca="false">SUMIF($F$7:$AG$7,AK$7,$F40:$AG40)</f>
        <v>661.801297750056</v>
      </c>
      <c r="AL40" s="123" t="n">
        <f aca="false">SUMIF($F$7:$AG$7,AL$7,$F40:$AG40)</f>
        <v>3786.8478131948</v>
      </c>
      <c r="AM40" s="123" t="n">
        <f aca="false">SUMIF($F$7:$AG$7,AM$7,$F40:$AG40)</f>
        <v>6378.77199802444</v>
      </c>
      <c r="AN40" s="123" t="n">
        <f aca="false">SUMIF($F$7:$AG$7,AN$7,$F40:$AG40)</f>
        <v>7026.64071894794</v>
      </c>
      <c r="AO40" s="123" t="n">
        <f aca="false">SUMIF($F$7:$AG$7,AO$7,$F40:$AG40)</f>
        <v>6726.98851667827</v>
      </c>
    </row>
    <row r="41" customFormat="false" ht="15" hidden="false" customHeight="false" outlineLevel="0" collapsed="false">
      <c r="A41" s="104" t="s">
        <v>1817</v>
      </c>
      <c r="B41" s="20" t="s">
        <v>561</v>
      </c>
      <c r="C41" s="20" t="s">
        <v>495</v>
      </c>
      <c r="D41" s="20" t="s">
        <v>1815</v>
      </c>
      <c r="F41" s="122" t="n">
        <f aca="false">F35*Timeline!F$9*INDEX(ResSh,1,F$7-FYBase)*INDEX(P_RES_N,1,1)/1000000</f>
        <v>0</v>
      </c>
      <c r="G41" s="122" t="n">
        <f aca="false">G35*Timeline!G$9*INDEX(ResSh,1,G$7-FYBase)*INDEX(P_RES_N,1,2)/1000000</f>
        <v>0</v>
      </c>
      <c r="H41" s="122" t="n">
        <f aca="false">H35*Timeline!H$9*INDEX(ResSh,1,H$7-FYBase)*INDEX(P_RES_N,1,3)/1000000</f>
        <v>0</v>
      </c>
      <c r="I41" s="122" t="n">
        <f aca="false">I35*Timeline!I$9*INDEX(ResSh,1,I$7-FYBase)*INDEX(P_RES_N,1,4)/1000000</f>
        <v>0</v>
      </c>
      <c r="J41" s="122" t="n">
        <f aca="false">J35*Timeline!J$9*INDEX(ResSh,1,J$7-FYBase)*INDEX(P_RES_N,1,5)/1000000</f>
        <v>0</v>
      </c>
      <c r="K41" s="122" t="n">
        <f aca="false">K35*Timeline!K$9*INDEX(ResSh,1,K$7-FYBase)*INDEX(P_RES_N,1,6)/1000000</f>
        <v>0</v>
      </c>
      <c r="L41" s="122" t="n">
        <f aca="false">L35*Timeline!L$9*INDEX(ResSh,1,L$7-FYBase)*INDEX(P_RES_N,1,7)/1000000</f>
        <v>0</v>
      </c>
      <c r="M41" s="122" t="n">
        <f aca="false">M35*Timeline!M$9*INDEX(ResSh,1,M$7-FYBase)*INDEX(P_RES_N,1,8)/1000000</f>
        <v>0</v>
      </c>
      <c r="N41" s="122" t="n">
        <f aca="false">N35*Timeline!N$9*INDEX(ResSh,1,N$7-FYBase)*INDEX(P_RES_N,1,9)/1000000</f>
        <v>0</v>
      </c>
      <c r="O41" s="122" t="n">
        <f aca="false">O35*Timeline!O$9*INDEX(ResSh,1,O$7-FYBase)*INDEX(P_RES_N,1,10)/1000000</f>
        <v>0</v>
      </c>
      <c r="P41" s="123" t="n">
        <f aca="false">P35*Timeline!P$9*INDEX(ResSh,1,P$7-FYBase)*INDEX(P_RES_N,1,11)/1000000</f>
        <v>0</v>
      </c>
      <c r="Q41" s="123" t="n">
        <f aca="false">Q35*Timeline!Q$9*INDEX(ResSh,1,Q$7-FYBase)*INDEX(P_RES_N,1,12)/1000000</f>
        <v>0</v>
      </c>
      <c r="R41" s="123" t="n">
        <f aca="false">R35*Timeline!R$9*INDEX(ResSh,1,R$7-FYBase)*INDEX(P_RES_N,1,13)/1000000</f>
        <v>0</v>
      </c>
      <c r="S41" s="123" t="n">
        <f aca="false">S35*Timeline!S$9*INDEX(ResSh,1,S$7-FYBase)*INDEX(P_RES_N,1,14)/1000000</f>
        <v>32.851004868864</v>
      </c>
      <c r="T41" s="123" t="n">
        <f aca="false">T35*Timeline!T$9*INDEX(ResSh,1,T$7-FYBase)*INDEX(P_RES_N,1,15)/1000000</f>
        <v>33.212004922368</v>
      </c>
      <c r="U41" s="123" t="n">
        <f aca="false">U35*Timeline!U$9*INDEX(ResSh,1,U$7-FYBase)*INDEX(P_RES_N,1,16)/1000000</f>
        <v>58.81914392832</v>
      </c>
      <c r="V41" s="123" t="n">
        <f aca="false">V35*Timeline!V$9*INDEX(ResSh,1,V$7-FYBase)*INDEX(P_RES_N,1,17)/1000000</f>
        <v>681.272891365248</v>
      </c>
      <c r="W41" s="123" t="n">
        <f aca="false">W35*Timeline!W$9*INDEX(ResSh,1,W$7-FYBase)*INDEX(P_RES_N,1,18)/1000000</f>
        <v>1524.55448606653</v>
      </c>
      <c r="X41" s="123" t="n">
        <f aca="false">X35*Timeline!X$9*INDEX(ResSh,1,X$7-FYBase)*INDEX(P_RES_N,1,19)/1000000</f>
        <v>2316.03732293124</v>
      </c>
      <c r="Y41" s="123" t="n">
        <f aca="false">Y35*Timeline!Y$9*INDEX(ResSh,1,Y$7-FYBase)*INDEX(P_RES_N,1,20)/1000000</f>
        <v>2813.01000391584</v>
      </c>
      <c r="Z41" s="123" t="n">
        <f aca="false">Z35*Timeline!Z$9*INDEX(ResSh,1,Z$7-FYBase)*INDEX(P_RES_N,1,21)/1000000</f>
        <v>3601.22341031194</v>
      </c>
      <c r="AA41" s="123" t="n">
        <f aca="false">AA35*Timeline!AA$9*INDEX(ResSh,1,AA$7-FYBase)*INDEX(P_RES_N,1,22)/1000000</f>
        <v>4436.58353579275</v>
      </c>
      <c r="AB41" s="123" t="n">
        <f aca="false">AB35*Timeline!AB$9*INDEX(ResSh,1,AB$7-FYBase)*INDEX(P_RES_N,1,23)/1000000</f>
        <v>5433.34790480411</v>
      </c>
      <c r="AC41" s="123" t="n">
        <f aca="false">AC35*Timeline!AC$9*INDEX(ResSh,1,AC$7-FYBase)*INDEX(P_RES_N,1,24)/1000000</f>
        <v>6351.1981940155</v>
      </c>
      <c r="AD41" s="123" t="n">
        <f aca="false">AD35*Timeline!AD$9*INDEX(ResSh,1,AD$7-FYBase)*INDEX(P_RES_N,1,25)/1000000</f>
        <v>7461.09926877913</v>
      </c>
      <c r="AE41" s="123" t="n">
        <f aca="false">AE35*Timeline!AE$9*INDEX(ResSh,1,AE$7-FYBase)*INDEX(P_RES_N,1,26)/1000000</f>
        <v>8765.61918076281</v>
      </c>
      <c r="AF41" s="123" t="n">
        <f aca="false">AF35*Timeline!AF$9*INDEX(ResSh,1,AF$7-FYBase)*INDEX(P_RES_N,1,27)/1000000</f>
        <v>8725.91538607985</v>
      </c>
      <c r="AG41" s="123" t="n">
        <f aca="false">AG35*Timeline!AG$9*INDEX(ResSh,1,AG$7-FYBase)*INDEX(P_RES_N,1,28)/1000000</f>
        <v>8591.97413123886</v>
      </c>
      <c r="AI41" s="123" t="n">
        <f aca="false">SUMIF($F$7:$AG$7,AI$7,$F41:$AG41)</f>
        <v>0</v>
      </c>
      <c r="AJ41" s="123" t="n">
        <f aca="false">SUMIF($F$7:$AG$7,AJ$7,$F41:$AG41)</f>
        <v>0</v>
      </c>
      <c r="AK41" s="123" t="n">
        <f aca="false">SUMIF($F$7:$AG$7,AK$7,$F41:$AG41)</f>
        <v>0</v>
      </c>
      <c r="AL41" s="123" t="n">
        <f aca="false">SUMIF($F$7:$AG$7,AL$7,$F41:$AG41)</f>
        <v>124.882153719552</v>
      </c>
      <c r="AM41" s="123" t="n">
        <f aca="false">SUMIF($F$7:$AG$7,AM$7,$F41:$AG41)</f>
        <v>7334.87470427886</v>
      </c>
      <c r="AN41" s="123" t="n">
        <f aca="false">SUMIF($F$7:$AG$7,AN$7,$F41:$AG41)</f>
        <v>19822.3530449243</v>
      </c>
      <c r="AO41" s="123" t="n">
        <f aca="false">SUMIF($F$7:$AG$7,AO$7,$F41:$AG41)</f>
        <v>33544.6079668606</v>
      </c>
    </row>
    <row r="42" customFormat="false" ht="15" hidden="false" customHeight="false" outlineLevel="0" collapsed="false">
      <c r="A42" s="104" t="s">
        <v>1818</v>
      </c>
      <c r="B42" s="20" t="s">
        <v>561</v>
      </c>
      <c r="C42" s="20" t="s">
        <v>495</v>
      </c>
      <c r="D42" s="20"/>
      <c r="F42" s="122" t="n">
        <f aca="false">F39+F40+F41</f>
        <v>71.024508828</v>
      </c>
      <c r="G42" s="122" t="n">
        <f aca="false">G39+G40+G41</f>
        <v>71.024508828</v>
      </c>
      <c r="H42" s="122" t="n">
        <f aca="false">H39+H40+H41</f>
        <v>71.804997936</v>
      </c>
      <c r="I42" s="122" t="n">
        <f aca="false">I39+I40+I41</f>
        <v>78.986544984</v>
      </c>
      <c r="J42" s="122" t="n">
        <f aca="false">J39+J40+J41</f>
        <v>123.183472896</v>
      </c>
      <c r="K42" s="122" t="n">
        <f aca="false">K39+K40+K41</f>
        <v>168.2189020512</v>
      </c>
      <c r="L42" s="122" t="n">
        <f aca="false">L39+L40+L41</f>
        <v>219.740934940877</v>
      </c>
      <c r="M42" s="122" t="n">
        <f aca="false">M39+M40+M41</f>
        <v>334.559328191194</v>
      </c>
      <c r="N42" s="122" t="n">
        <f aca="false">N39+N40+N41</f>
        <v>365.60146193388</v>
      </c>
      <c r="O42" s="122" t="n">
        <f aca="false">O39+O40+O41</f>
        <v>327.382433344512</v>
      </c>
      <c r="P42" s="123" t="n">
        <f aca="false">P39+P40+P41</f>
        <v>332.657439651648</v>
      </c>
      <c r="Q42" s="123" t="n">
        <f aca="false">Q39+Q40+Q41</f>
        <v>370.734027456816</v>
      </c>
      <c r="R42" s="123" t="n">
        <f aca="false">R39+R40+R41</f>
        <v>606.378412182856</v>
      </c>
      <c r="S42" s="123" t="n">
        <f aca="false">S39+S40+S41</f>
        <v>1078.94734200731</v>
      </c>
      <c r="T42" s="123" t="n">
        <f aca="false">T39+T40+T41</f>
        <v>1431.67456197871</v>
      </c>
      <c r="U42" s="123" t="n">
        <f aca="false">U39+U40+U41</f>
        <v>1572.52753369665</v>
      </c>
      <c r="V42" s="123" t="n">
        <f aca="false">V39+V40+V41</f>
        <v>2372.14434660059</v>
      </c>
      <c r="W42" s="123" t="n">
        <f aca="false">W39+W40+W41</f>
        <v>3342.31598392112</v>
      </c>
      <c r="X42" s="123" t="n">
        <f aca="false">X39+X40+X41</f>
        <v>4121.11915993734</v>
      </c>
      <c r="Y42" s="123" t="n">
        <f aca="false">Y39+Y40+Y41</f>
        <v>4586.11505275178</v>
      </c>
      <c r="Z42" s="123" t="n">
        <f aca="false">Z39+Z40+Z41</f>
        <v>5434.87754864274</v>
      </c>
      <c r="AA42" s="123" t="n">
        <f aca="false">AA39+AA40+AA41</f>
        <v>6387.41750020506</v>
      </c>
      <c r="AB42" s="123" t="n">
        <f aca="false">AB39+AB40+AB41</f>
        <v>7371.56637673473</v>
      </c>
      <c r="AC42" s="123" t="n">
        <f aca="false">AC39+AC40+AC41</f>
        <v>8256.03661930134</v>
      </c>
      <c r="AD42" s="123" t="n">
        <f aca="false">AD39+AD40+AD41</f>
        <v>9292.51634755152</v>
      </c>
      <c r="AE42" s="123" t="n">
        <f aca="false">AE39+AE40+AE41</f>
        <v>10585.6518904626</v>
      </c>
      <c r="AF42" s="123" t="n">
        <f aca="false">AF39+AF40+AF41</f>
        <v>10534.491947516</v>
      </c>
      <c r="AG42" s="123" t="n">
        <f aca="false">AG39+AG40+AG41</f>
        <v>10369.7049368686</v>
      </c>
      <c r="AI42" s="123" t="n">
        <f aca="false">SUMIF($F$7:$AG$7,AI$7,$F42:$AG42)</f>
        <v>292.840560576</v>
      </c>
      <c r="AJ42" s="123" t="n">
        <f aca="false">SUMIF($F$7:$AG$7,AJ$7,$F42:$AG42)</f>
        <v>845.70263807927</v>
      </c>
      <c r="AK42" s="123" t="n">
        <f aca="false">SUMIF($F$7:$AG$7,AK$7,$F42:$AG42)</f>
        <v>1396.37536238686</v>
      </c>
      <c r="AL42" s="123" t="n">
        <f aca="false">SUMIF($F$7:$AG$7,AL$7,$F42:$AG42)</f>
        <v>4689.52784986552</v>
      </c>
      <c r="AM42" s="123" t="n">
        <f aca="false">SUMIF($F$7:$AG$7,AM$7,$F42:$AG42)</f>
        <v>14421.6945432108</v>
      </c>
      <c r="AN42" s="123" t="n">
        <f aca="false">SUMIF($F$7:$AG$7,AN$7,$F42:$AG42)</f>
        <v>27449.8980448839</v>
      </c>
      <c r="AO42" s="123" t="n">
        <f aca="false">SUMIF($F$7:$AG$7,AO$7,$F42:$AG42)</f>
        <v>40782.3651223988</v>
      </c>
    </row>
    <row r="43" customFormat="false" ht="15" hidden="false" customHeight="false" outlineLevel="0" collapsed="false">
      <c r="A43" s="104" t="s">
        <v>1819</v>
      </c>
      <c r="B43" s="20" t="s">
        <v>561</v>
      </c>
      <c r="C43" s="20" t="s">
        <v>495</v>
      </c>
      <c r="D43" s="20" t="s">
        <v>1820</v>
      </c>
      <c r="F43" s="122" t="n">
        <f aca="false">F33*Timeline!F$9*(1-INDEX(ResSh,1,F$7-FYBase))*((1-INDEX(SpotSh,1,F$7-FYBase))*INDEX(P_OD_H,1,1)*IF(F$5&lt;=LastHist,RealOD_B,RealOD)+INDEX(SpotSh,1,F$7-FYBase)*INDEX(P_SPOT_H,1,1))*(1+INDEX(StudioUp,1,F$7-FYBase))/1000000</f>
        <v>16.0006459587975</v>
      </c>
      <c r="G43" s="122" t="n">
        <f aca="false">G33*Timeline!G$9*(1-INDEX(ResSh,1,G$7-FYBase))*((1-INDEX(SpotSh,1,G$7-FYBase))*INDEX(P_OD_H,1,2)*IF(G$5&lt;=LastHist,RealOD_B,RealOD)+INDEX(SpotSh,1,G$7-FYBase)*INDEX(P_SPOT_H,1,2))*(1+INDEX(StudioUp,1,G$7-FYBase))/1000000</f>
        <v>16.0006459587975</v>
      </c>
      <c r="H43" s="122" t="n">
        <f aca="false">H33*Timeline!H$9*(1-INDEX(ResSh,1,H$7-FYBase))*((1-INDEX(SpotSh,1,H$7-FYBase))*INDEX(P_OD_H,1,3)*IF(H$5&lt;=LastHist,RealOD_B,RealOD)+INDEX(SpotSh,1,H$7-FYBase)*INDEX(P_SPOT_H,1,3))*(1+INDEX(StudioUp,1,H$7-FYBase))/1000000</f>
        <v>16.17647723307</v>
      </c>
      <c r="I43" s="122" t="n">
        <f aca="false">I33*Timeline!I$9*(1-INDEX(ResSh,1,I$7-FYBase))*((1-INDEX(SpotSh,1,I$7-FYBase))*INDEX(P_OD_H,1,4)*IF(I$5&lt;=LastHist,RealOD_B,RealOD)+INDEX(SpotSh,1,I$7-FYBase)*INDEX(P_SPOT_H,1,4))*(1+INDEX(StudioUp,1,I$7-FYBase))/1000000</f>
        <v>17.794360885455</v>
      </c>
      <c r="J43" s="122" t="n">
        <f aca="false">J33*Timeline!J$9*(1-INDEX(ResSh,1,J$7-FYBase))*((1-INDEX(SpotSh,1,J$7-FYBase))*INDEX(P_OD_H,1,5)*IF(J$5&lt;=LastHist,RealOD_B,RealOD)+INDEX(SpotSh,1,J$7-FYBase)*INDEX(P_SPOT_H,1,5))*(1+INDEX(StudioUp,1,J$7-FYBase))/1000000</f>
        <v>21.44410678872</v>
      </c>
      <c r="K43" s="122" t="n">
        <f aca="false">K33*Timeline!K$9*(1-INDEX(ResSh,1,K$7-FYBase))*((1-INDEX(SpotSh,1,K$7-FYBase))*INDEX(P_OD_H,1,6)*IF(K$5&lt;=LastHist,RealOD_B,RealOD)+INDEX(SpotSh,1,K$7-FYBase)*INDEX(P_SPOT_H,1,6))*(1+INDEX(StudioUp,1,K$7-FYBase))/1000000</f>
        <v>29.283994148409</v>
      </c>
      <c r="L43" s="122" t="n">
        <f aca="false">L33*Timeline!L$9*(1-INDEX(ResSh,1,L$7-FYBase))*((1-INDEX(SpotSh,1,L$7-FYBase))*INDEX(P_OD_H,1,7)*IF(L$5&lt;=LastHist,RealOD_B,RealOD)+INDEX(SpotSh,1,L$7-FYBase)*INDEX(P_SPOT_H,1,7))*(1+INDEX(StudioUp,1,L$7-FYBase))/1000000</f>
        <v>30.900103203816</v>
      </c>
      <c r="M43" s="122" t="n">
        <f aca="false">M33*Timeline!M$9*(1-INDEX(ResSh,1,M$7-FYBase))*((1-INDEX(SpotSh,1,M$7-FYBase))*INDEX(P_OD_H,1,8)*IF(M$5&lt;=LastHist,RealOD_B,RealOD)+INDEX(SpotSh,1,M$7-FYBase)*INDEX(P_SPOT_H,1,8))*(1+INDEX(StudioUp,1,M$7-FYBase))/1000000</f>
        <v>30.900103203816</v>
      </c>
      <c r="N43" s="122" t="n">
        <f aca="false">N33*Timeline!N$9*(1-INDEX(ResSh,1,N$7-FYBase))*((1-INDEX(SpotSh,1,N$7-FYBase))*INDEX(P_OD_H,1,9)*IF(N$5&lt;=LastHist,RealOD_B,RealOD)+INDEX(SpotSh,1,N$7-FYBase)*INDEX(P_SPOT_H,1,9))*(1+INDEX(StudioUp,1,N$7-FYBase))/1000000</f>
        <v>26.3898396927</v>
      </c>
      <c r="O43" s="122" t="n">
        <f aca="false">O33*Timeline!O$9*(1-INDEX(ResSh,1,O$7-FYBase))*((1-INDEX(SpotSh,1,O$7-FYBase))*INDEX(P_OD_H,1,10)*IF(O$5&lt;=LastHist,RealOD_B,RealOD)+INDEX(SpotSh,1,O$7-FYBase)*INDEX(P_SPOT_H,1,10))*(1+INDEX(StudioUp,1,O$7-FYBase))/1000000</f>
        <v>26.68306013373</v>
      </c>
      <c r="P43" s="123" t="n">
        <f aca="false">P33*Timeline!P$9*(1-INDEX(ResSh,1,P$7-FYBase))*((1-INDEX(SpotSh,1,P$7-FYBase))*INDEX(P_OD_H,1,11)*IF(P$5&lt;=LastHist,RealOD_B,RealOD)+INDEX(SpotSh,1,P$7-FYBase)*INDEX(P_SPOT_H,1,11))*(1+INDEX(StudioUp,1,P$7-FYBase))/1000000</f>
        <v>29.01612756372</v>
      </c>
      <c r="Q43" s="123" t="n">
        <f aca="false">Q33*Timeline!Q$9*(1-INDEX(ResSh,1,Q$7-FYBase))*((1-INDEX(SpotSh,1,Q$7-FYBase))*INDEX(P_OD_H,1,12)*IF(Q$5&lt;=LastHist,RealOD_B,RealOD)+INDEX(SpotSh,1,Q$7-FYBase)*INDEX(P_SPOT_H,1,12))*(1+INDEX(StudioUp,1,Q$7-FYBase))/1000000</f>
        <v>34.2857322852</v>
      </c>
      <c r="R43" s="123" t="n">
        <f aca="false">R33*Timeline!R$9*(1-INDEX(ResSh,1,R$7-FYBase))*((1-INDEX(SpotSh,1,R$7-FYBase))*INDEX(P_OD_H,1,13)*IF(R$5&lt;=LastHist,RealOD_B,RealOD)+INDEX(SpotSh,1,R$7-FYBase)*INDEX(P_SPOT_H,1,13))*(1+INDEX(StudioUp,1,R$7-FYBase))/1000000</f>
        <v>33.6688279534295</v>
      </c>
      <c r="S43" s="123" t="n">
        <f aca="false">S33*Timeline!S$9*(1-INDEX(ResSh,1,S$7-FYBase))*((1-INDEX(SpotSh,1,S$7-FYBase))*INDEX(P_OD_H,1,14)*IF(S$5&lt;=LastHist,RealOD_B,RealOD)+INDEX(SpotSh,1,S$7-FYBase)*INDEX(P_SPOT_H,1,14))*(1+INDEX(StudioUp,1,S$7-FYBase))/1000000</f>
        <v>32.6874929635638</v>
      </c>
      <c r="T43" s="123" t="n">
        <f aca="false">T33*Timeline!T$9*(1-INDEX(ResSh,1,T$7-FYBase))*((1-INDEX(SpotSh,1,T$7-FYBase))*INDEX(P_OD_H,1,15)*IF(T$5&lt;=LastHist,RealOD_B,RealOD)+INDEX(SpotSh,1,T$7-FYBase)*INDEX(P_SPOT_H,1,15))*(1+INDEX(StudioUp,1,T$7-FYBase))/1000000</f>
        <v>31.7309284055847</v>
      </c>
      <c r="U43" s="123" t="n">
        <f aca="false">U33*Timeline!U$9*(1-INDEX(ResSh,1,U$7-FYBase))*((1-INDEX(SpotSh,1,U$7-FYBase))*INDEX(P_OD_H,1,16)*IF(U$5&lt;=LastHist,RealOD_B,RealOD)+INDEX(SpotSh,1,U$7-FYBase)*INDEX(P_SPOT_H,1,16))*(1+INDEX(StudioUp,1,U$7-FYBase))/1000000</f>
        <v>30.46754846253</v>
      </c>
      <c r="V43" s="123" t="n">
        <f aca="false">V33*Timeline!V$9*(1-INDEX(ResSh,1,V$7-FYBase))*((1-INDEX(SpotSh,1,V$7-FYBase))*INDEX(P_OD_H,1,17)*IF(V$5&lt;=LastHist,RealOD_B,RealOD)+INDEX(SpotSh,1,V$7-FYBase)*INDEX(P_SPOT_H,1,17))*(1+INDEX(StudioUp,1,V$7-FYBase))/1000000</f>
        <v>30.1945952718583</v>
      </c>
      <c r="W43" s="123" t="n">
        <f aca="false">W33*Timeline!W$9*(1-INDEX(ResSh,1,W$7-FYBase))*((1-INDEX(SpotSh,1,W$7-FYBase))*INDEX(P_OD_H,1,18)*IF(W$5&lt;=LastHist,RealOD_B,RealOD)+INDEX(SpotSh,1,W$7-FYBase)*INDEX(P_SPOT_H,1,18))*(1+INDEX(StudioUp,1,W$7-FYBase))/1000000</f>
        <v>28.9923850633348</v>
      </c>
      <c r="X43" s="123" t="n">
        <f aca="false">X33*Timeline!X$9*(1-INDEX(ResSh,1,X$7-FYBase))*((1-INDEX(SpotSh,1,X$7-FYBase))*INDEX(P_OD_H,1,19)*IF(X$5&lt;=LastHist,RealOD_B,RealOD)+INDEX(SpotSh,1,X$7-FYBase)*INDEX(P_SPOT_H,1,19))*(1+INDEX(StudioUp,1,X$7-FYBase))/1000000</f>
        <v>28.1439538901707</v>
      </c>
      <c r="Y43" s="123" t="n">
        <f aca="false">Y33*Timeline!Y$9*(1-INDEX(ResSh,1,Y$7-FYBase))*((1-INDEX(SpotSh,1,Y$7-FYBase))*INDEX(P_OD_H,1,20)*IF(Y$5&lt;=LastHist,RealOD_B,RealOD)+INDEX(SpotSh,1,Y$7-FYBase)*INDEX(P_SPOT_H,1,20))*(1+INDEX(StudioUp,1,Y$7-FYBase))/1000000</f>
        <v>27.023390810244</v>
      </c>
      <c r="Z43" s="123" t="n">
        <f aca="false">Z33*Timeline!Z$9*(1-INDEX(ResSh,1,Z$7-FYBase))*((1-INDEX(SpotSh,1,Z$7-FYBase))*INDEX(P_OD_H,1,21)*IF(Z$5&lt;=LastHist,RealOD_B,RealOD)+INDEX(SpotSh,1,Z$7-FYBase)*INDEX(P_SPOT_H,1,21))*(1+INDEX(StudioUp,1,Z$7-FYBase))/1000000</f>
        <v>25.383368552716</v>
      </c>
      <c r="AA43" s="123" t="n">
        <f aca="false">AA33*Timeline!AA$9*(1-INDEX(ResSh,1,AA$7-FYBase))*((1-INDEX(SpotSh,1,AA$7-FYBase))*INDEX(P_OD_H,1,22)*IF(AA$5&lt;=LastHist,RealOD_B,RealOD)+INDEX(SpotSh,1,AA$7-FYBase)*INDEX(P_SPOT_H,1,22))*(1+INDEX(StudioUp,1,AA$7-FYBase))/1000000</f>
        <v>24.6435273038346</v>
      </c>
      <c r="AB43" s="123" t="n">
        <f aca="false">AB33*Timeline!AB$9*(1-INDEX(ResSh,1,AB$7-FYBase))*((1-INDEX(SpotSh,1,AB$7-FYBase))*INDEX(P_OD_H,1,23)*IF(AB$5&lt;=LastHist,RealOD_B,RealOD)+INDEX(SpotSh,1,AB$7-FYBase)*INDEX(P_SPOT_H,1,23))*(1+INDEX(StudioUp,1,AB$7-FYBase))/1000000</f>
        <v>23.9223608066451</v>
      </c>
      <c r="AC43" s="123" t="n">
        <f aca="false">AC33*Timeline!AC$9*(1-INDEX(ResSh,1,AC$7-FYBase))*((1-INDEX(SpotSh,1,AC$7-FYBase))*INDEX(P_OD_H,1,24)*IF(AC$5&lt;=LastHist,RealOD_B,RealOD)+INDEX(SpotSh,1,AC$7-FYBase)*INDEX(P_SPOT_H,1,24))*(1+INDEX(StudioUp,1,AC$7-FYBase))/1000000</f>
        <v>22.9698821887074</v>
      </c>
      <c r="AD43" s="123" t="n">
        <f aca="false">AD33*Timeline!AD$9*(1-INDEX(ResSh,1,AD$7-FYBase))*((1-INDEX(SpotSh,1,AD$7-FYBase))*INDEX(P_OD_H,1,25)*IF(AD$5&lt;=LastHist,RealOD_B,RealOD)+INDEX(SpotSh,1,AD$7-FYBase)*INDEX(P_SPOT_H,1,25))*(1+INDEX(StudioUp,1,AD$7-FYBase))/1000000</f>
        <v>21.5758632698086</v>
      </c>
      <c r="AE43" s="123" t="n">
        <f aca="false">AE33*Timeline!AE$9*(1-INDEX(ResSh,1,AE$7-FYBase))*((1-INDEX(SpotSh,1,AE$7-FYBase))*INDEX(P_OD_H,1,26)*IF(AE$5&lt;=LastHist,RealOD_B,RealOD)+INDEX(SpotSh,1,AE$7-FYBase)*INDEX(P_SPOT_H,1,26))*(1+INDEX(StudioUp,1,AE$7-FYBase))/1000000</f>
        <v>20.9469982082594</v>
      </c>
      <c r="AF43" s="123" t="n">
        <f aca="false">AF33*Timeline!AF$9*(1-INDEX(ResSh,1,AF$7-FYBase))*((1-INDEX(SpotSh,1,AF$7-FYBase))*INDEX(P_OD_H,1,27)*IF(AF$5&lt;=LastHist,RealOD_B,RealOD)+INDEX(SpotSh,1,AF$7-FYBase)*INDEX(P_SPOT_H,1,27))*(1+INDEX(StudioUp,1,AF$7-FYBase))/1000000</f>
        <v>20.3340066856484</v>
      </c>
      <c r="AG43" s="123" t="n">
        <f aca="false">AG33*Timeline!AG$9*(1-INDEX(ResSh,1,AG$7-FYBase))*((1-INDEX(SpotSh,1,AG$7-FYBase))*INDEX(P_OD_H,1,28)*IF(AG$5&lt;=LastHist,RealOD_B,RealOD)+INDEX(SpotSh,1,AG$7-FYBase)*INDEX(P_SPOT_H,1,28))*(1+INDEX(StudioUp,1,AG$7-FYBase))/1000000</f>
        <v>19.5243998604013</v>
      </c>
      <c r="AI43" s="123" t="n">
        <f aca="false">SUMIF($F$7:$AG$7,AI$7,$F43:$AG43)</f>
        <v>65.97213003612</v>
      </c>
      <c r="AJ43" s="123" t="n">
        <f aca="false">SUMIF($F$7:$AG$7,AJ$7,$F43:$AG43)</f>
        <v>112.528307344761</v>
      </c>
      <c r="AK43" s="123" t="n">
        <f aca="false">SUMIF($F$7:$AG$7,AK$7,$F43:$AG43)</f>
        <v>116.37475967535</v>
      </c>
      <c r="AL43" s="123" t="n">
        <f aca="false">SUMIF($F$7:$AG$7,AL$7,$F43:$AG43)</f>
        <v>128.554797785108</v>
      </c>
      <c r="AM43" s="123" t="n">
        <f aca="false">SUMIF($F$7:$AG$7,AM$7,$F43:$AG43)</f>
        <v>114.354325035608</v>
      </c>
      <c r="AN43" s="123" t="n">
        <f aca="false">SUMIF($F$7:$AG$7,AN$7,$F43:$AG43)</f>
        <v>96.9191388519031</v>
      </c>
      <c r="AO43" s="123" t="n">
        <f aca="false">SUMIF($F$7:$AG$7,AO$7,$F43:$AG43)</f>
        <v>82.3812680241177</v>
      </c>
    </row>
    <row r="44" customFormat="false" ht="15" hidden="false" customHeight="false" outlineLevel="0" collapsed="false">
      <c r="A44" s="104" t="s">
        <v>1821</v>
      </c>
      <c r="B44" s="20" t="s">
        <v>561</v>
      </c>
      <c r="C44" s="20" t="s">
        <v>495</v>
      </c>
      <c r="D44" s="20" t="s">
        <v>1820</v>
      </c>
      <c r="F44" s="122" t="n">
        <f aca="false">F34*Timeline!F$9*(1-INDEX(ResSh,1,F$7-FYBase))*((1-INDEX(SpotSh,1,F$7-FYBase))*INDEX(P_OD_B,1,1)*IF(F$5&lt;=LastHist,RealOD_B,RealOD)+INDEX(SpotSh,1,F$7-FYBase)*INDEX(P_SPOT_B,1,1))*(1+INDEX(StudioUp,1,F$7-FYBase))/1000000</f>
        <v>0</v>
      </c>
      <c r="G44" s="122" t="n">
        <f aca="false">G34*Timeline!G$9*(1-INDEX(ResSh,1,G$7-FYBase))*((1-INDEX(SpotSh,1,G$7-FYBase))*INDEX(P_OD_B,1,2)*IF(G$5&lt;=LastHist,RealOD_B,RealOD)+INDEX(SpotSh,1,G$7-FYBase)*INDEX(P_SPOT_B,1,2))*(1+INDEX(StudioUp,1,G$7-FYBase))/1000000</f>
        <v>0</v>
      </c>
      <c r="H44" s="122" t="n">
        <f aca="false">H34*Timeline!H$9*(1-INDEX(ResSh,1,H$7-FYBase))*((1-INDEX(SpotSh,1,H$7-FYBase))*INDEX(P_OD_B,1,3)*IF(H$5&lt;=LastHist,RealOD_B,RealOD)+INDEX(SpotSh,1,H$7-FYBase)*INDEX(P_SPOT_B,1,3))*(1+INDEX(StudioUp,1,H$7-FYBase))/1000000</f>
        <v>0</v>
      </c>
      <c r="I44" s="122" t="n">
        <f aca="false">I34*Timeline!I$9*(1-INDEX(ResSh,1,I$7-FYBase))*((1-INDEX(SpotSh,1,I$7-FYBase))*INDEX(P_OD_B,1,4)*IF(I$5&lt;=LastHist,RealOD_B,RealOD)+INDEX(SpotSh,1,I$7-FYBase)*INDEX(P_SPOT_B,1,4))*(1+INDEX(StudioUp,1,I$7-FYBase))/1000000</f>
        <v>0</v>
      </c>
      <c r="J44" s="122" t="n">
        <f aca="false">J34*Timeline!J$9*(1-INDEX(ResSh,1,J$7-FYBase))*((1-INDEX(SpotSh,1,J$7-FYBase))*INDEX(P_OD_B,1,5)*IF(J$5&lt;=LastHist,RealOD_B,RealOD)+INDEX(SpotSh,1,J$7-FYBase)*INDEX(P_SPOT_B,1,5))*(1+INDEX(StudioUp,1,J$7-FYBase))/1000000</f>
        <v>0</v>
      </c>
      <c r="K44" s="122" t="n">
        <f aca="false">K34*Timeline!K$9*(1-INDEX(ResSh,1,K$7-FYBase))*((1-INDEX(SpotSh,1,K$7-FYBase))*INDEX(P_OD_B,1,6)*IF(K$5&lt;=LastHist,RealOD_B,RealOD)+INDEX(SpotSh,1,K$7-FYBase)*INDEX(P_SPOT_B,1,6))*(1+INDEX(StudioUp,1,K$7-FYBase))/1000000</f>
        <v>0</v>
      </c>
      <c r="L44" s="122" t="n">
        <f aca="false">L34*Timeline!L$9*(1-INDEX(ResSh,1,L$7-FYBase))*((1-INDEX(SpotSh,1,L$7-FYBase))*INDEX(P_OD_B,1,7)*IF(L$5&lt;=LastHist,RealOD_B,RealOD)+INDEX(SpotSh,1,L$7-FYBase)*INDEX(P_SPOT_B,1,7))*(1+INDEX(StudioUp,1,L$7-FYBase))/1000000</f>
        <v>7.27912878061824</v>
      </c>
      <c r="M44" s="122" t="n">
        <f aca="false">M34*Timeline!M$9*(1-INDEX(ResSh,1,M$7-FYBase))*((1-INDEX(SpotSh,1,M$7-FYBase))*INDEX(P_OD_B,1,8)*IF(M$5&lt;=LastHist,RealOD_B,RealOD)+INDEX(SpotSh,1,M$7-FYBase)*INDEX(P_SPOT_B,1,8))*(1+INDEX(StudioUp,1,M$7-FYBase))/1000000</f>
        <v>27.066258061256</v>
      </c>
      <c r="N44" s="122" t="n">
        <f aca="false">N34*Timeline!N$9*(1-INDEX(ResSh,1,N$7-FYBase))*((1-INDEX(SpotSh,1,N$7-FYBase))*INDEX(P_OD_B,1,9)*IF(N$5&lt;=LastHist,RealOD_B,RealOD)+INDEX(SpotSh,1,N$7-FYBase)*INDEX(P_SPOT_B,1,9))*(1+INDEX(StudioUp,1,N$7-FYBase))/1000000</f>
        <v>27.6577950516368</v>
      </c>
      <c r="O44" s="122" t="n">
        <f aca="false">O34*Timeline!O$9*(1-INDEX(ResSh,1,O$7-FYBase))*((1-INDEX(SpotSh,1,O$7-FYBase))*INDEX(P_OD_B,1,10)*IF(O$5&lt;=LastHist,RealOD_B,RealOD)+INDEX(SpotSh,1,O$7-FYBase)*INDEX(P_SPOT_B,1,10))*(1+INDEX(StudioUp,1,O$7-FYBase))/1000000</f>
        <v>21.7452293790732</v>
      </c>
      <c r="P44" s="123" t="n">
        <f aca="false">P34*Timeline!P$9*(1-INDEX(ResSh,1,P$7-FYBase))*((1-INDEX(SpotSh,1,P$7-FYBase))*INDEX(P_OD_B,1,11)*IF(P$5&lt;=LastHist,RealOD_B,RealOD)+INDEX(SpotSh,1,P$7-FYBase)*INDEX(P_SPOT_B,1,11))*(1+INDEX(StudioUp,1,P$7-FYBase))/1000000</f>
        <v>21.9725063352828</v>
      </c>
      <c r="Q44" s="123" t="n">
        <f aca="false">Q34*Timeline!Q$9*(1-INDEX(ResSh,1,Q$7-FYBase))*((1-INDEX(SpotSh,1,Q$7-FYBase))*INDEX(P_OD_B,1,12)*IF(Q$5&lt;=LastHist,RealOD_B,RealOD)+INDEX(SpotSh,1,Q$7-FYBase)*INDEX(P_SPOT_B,1,12))*(1+INDEX(StudioUp,1,Q$7-FYBase))/1000000</f>
        <v>29.3031531441</v>
      </c>
      <c r="R44" s="123" t="n">
        <f aca="false">R34*Timeline!R$9*(1-INDEX(ResSh,1,R$7-FYBase))*((1-INDEX(SpotSh,1,R$7-FYBase))*INDEX(P_OD_B,1,13)*IF(R$5&lt;=LastHist,RealOD_B,RealOD)+INDEX(SpotSh,1,R$7-FYBase)*INDEX(P_SPOT_B,1,13))*(1+INDEX(StudioUp,1,R$7-FYBase))/1000000</f>
        <v>65.4750555377404</v>
      </c>
      <c r="S44" s="123" t="n">
        <f aca="false">S34*Timeline!S$9*(1-INDEX(ResSh,1,S$7-FYBase))*((1-INDEX(SpotSh,1,S$7-FYBase))*INDEX(P_OD_B,1,14)*IF(S$5&lt;=LastHist,RealOD_B,RealOD)+INDEX(SpotSh,1,S$7-FYBase)*INDEX(P_SPOT_B,1,14))*(1+INDEX(StudioUp,1,S$7-FYBase))/1000000</f>
        <v>131.523772088009</v>
      </c>
      <c r="T44" s="123" t="n">
        <f aca="false">T34*Timeline!T$9*(1-INDEX(ResSh,1,T$7-FYBase))*((1-INDEX(SpotSh,1,T$7-FYBase))*INDEX(P_OD_B,1,15)*IF(T$5&lt;=LastHist,RealOD_B,RealOD)+INDEX(SpotSh,1,T$7-FYBase)*INDEX(P_SPOT_B,1,15))*(1+INDEX(StudioUp,1,T$7-FYBase))/1000000</f>
        <v>184.914404126395</v>
      </c>
      <c r="U44" s="123" t="n">
        <f aca="false">U34*Timeline!U$9*(1-INDEX(ResSh,1,U$7-FYBase))*((1-INDEX(SpotSh,1,U$7-FYBase))*INDEX(P_OD_B,1,16)*IF(U$5&lt;=LastHist,RealOD_B,RealOD)+INDEX(SpotSh,1,U$7-FYBase)*INDEX(P_SPOT_B,1,16))*(1+INDEX(StudioUp,1,U$7-FYBase))/1000000</f>
        <v>202.912799898808</v>
      </c>
      <c r="V44" s="123" t="n">
        <f aca="false">V34*Timeline!V$9*(1-INDEX(ResSh,1,V$7-FYBase))*((1-INDEX(SpotSh,1,V$7-FYBase))*INDEX(P_OD_B,1,17)*IF(V$5&lt;=LastHist,RealOD_B,RealOD)+INDEX(SpotSh,1,V$7-FYBase)*INDEX(P_SPOT_B,1,17))*(1+INDEX(StudioUp,1,V$7-FYBase))/1000000</f>
        <v>241.489859722479</v>
      </c>
      <c r="W44" s="123" t="n">
        <f aca="false">W34*Timeline!W$9*(1-INDEX(ResSh,1,W$7-FYBase))*((1-INDEX(SpotSh,1,W$7-FYBase))*INDEX(P_OD_B,1,18)*IF(W$5&lt;=LastHist,RealOD_B,RealOD)+INDEX(SpotSh,1,W$7-FYBase)*INDEX(P_SPOT_B,1,18))*(1+INDEX(StudioUp,1,W$7-FYBase))/1000000</f>
        <v>263.090808470011</v>
      </c>
      <c r="X44" s="123" t="n">
        <f aca="false">X34*Timeline!X$9*(1-INDEX(ResSh,1,X$7-FYBase))*((1-INDEX(SpotSh,1,X$7-FYBase))*INDEX(P_OD_B,1,19)*IF(X$5&lt;=LastHist,RealOD_B,RealOD)+INDEX(SpotSh,1,X$7-FYBase)*INDEX(P_SPOT_B,1,19))*(1+INDEX(StudioUp,1,X$7-FYBase))/1000000</f>
        <v>261.899140976014</v>
      </c>
      <c r="Y44" s="123" t="n">
        <f aca="false">Y34*Timeline!Y$9*(1-INDEX(ResSh,1,Y$7-FYBase))*((1-INDEX(SpotSh,1,Y$7-FYBase))*INDEX(P_OD_B,1,20)*IF(Y$5&lt;=LastHist,RealOD_B,RealOD)+INDEX(SpotSh,1,Y$7-FYBase)*INDEX(P_SPOT_B,1,20))*(1+INDEX(StudioUp,1,Y$7-FYBase))/1000000</f>
        <v>257.879035573656</v>
      </c>
      <c r="Z44" s="123" t="n">
        <f aca="false">Z34*Timeline!Z$9*(1-INDEX(ResSh,1,Z$7-FYBase))*((1-INDEX(SpotSh,1,Z$7-FYBase))*INDEX(P_OD_B,1,21)*IF(Z$5&lt;=LastHist,RealOD_B,RealOD)+INDEX(SpotSh,1,Z$7-FYBase)*INDEX(P_SPOT_B,1,21))*(1+INDEX(StudioUp,1,Z$7-FYBase))/1000000</f>
        <v>269.23739804798</v>
      </c>
      <c r="AA44" s="123" t="n">
        <f aca="false">AA34*Timeline!AA$9*(1-INDEX(ResSh,1,AA$7-FYBase))*((1-INDEX(SpotSh,1,AA$7-FYBase))*INDEX(P_OD_B,1,22)*IF(AA$5&lt;=LastHist,RealOD_B,RealOD)+INDEX(SpotSh,1,AA$7-FYBase)*INDEX(P_SPOT_B,1,22))*(1+INDEX(StudioUp,1,AA$7-FYBase))/1000000</f>
        <v>288.795157920396</v>
      </c>
      <c r="AB44" s="123" t="n">
        <f aca="false">AB34*Timeline!AB$9*(1-INDEX(ResSh,1,AB$7-FYBase))*((1-INDEX(SpotSh,1,AB$7-FYBase))*INDEX(P_OD_B,1,23)*IF(AB$5&lt;=LastHist,RealOD_B,RealOD)+INDEX(SpotSh,1,AB$7-FYBase)*INDEX(P_SPOT_B,1,23))*(1+INDEX(StudioUp,1,AB$7-FYBase))/1000000</f>
        <v>287.487062802522</v>
      </c>
      <c r="AC44" s="123" t="n">
        <f aca="false">AC34*Timeline!AC$9*(1-INDEX(ResSh,1,AC$7-FYBase))*((1-INDEX(SpotSh,1,AC$7-FYBase))*INDEX(P_OD_B,1,24)*IF(AC$5&lt;=LastHist,RealOD_B,RealOD)+INDEX(SpotSh,1,AC$7-FYBase)*INDEX(P_SPOT_B,1,24))*(1+INDEX(StudioUp,1,AC$7-FYBase))/1000000</f>
        <v>283.074187334608</v>
      </c>
      <c r="AD44" s="123" t="n">
        <f aca="false">AD34*Timeline!AD$9*(1-INDEX(ResSh,1,AD$7-FYBase))*((1-INDEX(SpotSh,1,AD$7-FYBase))*INDEX(P_OD_B,1,25)*IF(AD$5&lt;=LastHist,RealOD_B,RealOD)+INDEX(SpotSh,1,AD$7-FYBase)*INDEX(P_SPOT_B,1,25))*(1+INDEX(StudioUp,1,AD$7-FYBase))/1000000</f>
        <v>272.669721576959</v>
      </c>
      <c r="AE44" s="123" t="n">
        <f aca="false">AE34*Timeline!AE$9*(1-INDEX(ResSh,1,AE$7-FYBase))*((1-INDEX(SpotSh,1,AE$7-FYBase))*INDEX(P_OD_B,1,26)*IF(AE$5&lt;=LastHist,RealOD_B,RealOD)+INDEX(SpotSh,1,AE$7-FYBase)*INDEX(P_SPOT_B,1,26))*(1+INDEX(StudioUp,1,AE$7-FYBase))/1000000</f>
        <v>271.467448445173</v>
      </c>
      <c r="AF44" s="123" t="n">
        <f aca="false">AF34*Timeline!AF$9*(1-INDEX(ResSh,1,AF$7-FYBase))*((1-INDEX(SpotSh,1,AF$7-FYBase))*INDEX(P_OD_B,1,27)*IF(AF$5&lt;=LastHist,RealOD_B,RealOD)+INDEX(SpotSh,1,AF$7-FYBase)*INDEX(P_SPOT_B,1,27))*(1+INDEX(StudioUp,1,AF$7-FYBase))/1000000</f>
        <v>270.23783903437</v>
      </c>
      <c r="AG44" s="123" t="n">
        <f aca="false">AG34*Timeline!AG$9*(1-INDEX(ResSh,1,AG$7-FYBase))*((1-INDEX(SpotSh,1,AG$7-FYBase))*INDEX(P_OD_B,1,28)*IF(AG$5&lt;=LastHist,RealOD_B,RealOD)+INDEX(SpotSh,1,AG$7-FYBase)*INDEX(P_SPOT_B,1,28))*(1+INDEX(StudioUp,1,AG$7-FYBase))/1000000</f>
        <v>266.089736094532</v>
      </c>
      <c r="AI44" s="123" t="n">
        <f aca="false">SUMIF($F$7:$AG$7,AI$7,$F44:$AG44)</f>
        <v>0</v>
      </c>
      <c r="AJ44" s="123" t="n">
        <f aca="false">SUMIF($F$7:$AG$7,AJ$7,$F44:$AG44)</f>
        <v>34.3453868418742</v>
      </c>
      <c r="AK44" s="123" t="n">
        <f aca="false">SUMIF($F$7:$AG$7,AK$7,$F44:$AG44)</f>
        <v>100.678683910093</v>
      </c>
      <c r="AL44" s="123" t="n">
        <f aca="false">SUMIF($F$7:$AG$7,AL$7,$F44:$AG44)</f>
        <v>584.826031650952</v>
      </c>
      <c r="AM44" s="123" t="n">
        <f aca="false">SUMIF($F$7:$AG$7,AM$7,$F44:$AG44)</f>
        <v>1024.35884474216</v>
      </c>
      <c r="AN44" s="123" t="n">
        <f aca="false">SUMIF($F$7:$AG$7,AN$7,$F44:$AG44)</f>
        <v>1128.59380610551</v>
      </c>
      <c r="AO44" s="123" t="n">
        <f aca="false">SUMIF($F$7:$AG$7,AO$7,$F44:$AG44)</f>
        <v>1080.46474515103</v>
      </c>
    </row>
    <row r="45" customFormat="false" ht="15" hidden="false" customHeight="false" outlineLevel="0" collapsed="false">
      <c r="A45" s="104" t="s">
        <v>1822</v>
      </c>
      <c r="B45" s="20" t="s">
        <v>561</v>
      </c>
      <c r="C45" s="20" t="s">
        <v>495</v>
      </c>
      <c r="D45" s="20" t="s">
        <v>1820</v>
      </c>
      <c r="F45" s="122" t="n">
        <f aca="false">F35*Timeline!F$9*(1-INDEX(ResSh,1,F$7-FYBase))*((1-INDEX(SpotSh,1,F$7-FYBase))*INDEX(P_OD_N,1,1)*IF(F$5&lt;=LastHist,RealOD_B,RealOD)+INDEX(SpotSh,1,F$7-FYBase)*INDEX(P_SPOT_N,1,1))*(1+INDEX(StudioUp,1,F$7-FYBase))/1000000</f>
        <v>0</v>
      </c>
      <c r="G45" s="122" t="n">
        <f aca="false">G35*Timeline!G$9*(1-INDEX(ResSh,1,G$7-FYBase))*((1-INDEX(SpotSh,1,G$7-FYBase))*INDEX(P_OD_N,1,2)*IF(G$5&lt;=LastHist,RealOD_B,RealOD)+INDEX(SpotSh,1,G$7-FYBase)*INDEX(P_SPOT_N,1,2))*(1+INDEX(StudioUp,1,G$7-FYBase))/1000000</f>
        <v>0</v>
      </c>
      <c r="H45" s="122" t="n">
        <f aca="false">H35*Timeline!H$9*(1-INDEX(ResSh,1,H$7-FYBase))*((1-INDEX(SpotSh,1,H$7-FYBase))*INDEX(P_OD_N,1,3)*IF(H$5&lt;=LastHist,RealOD_B,RealOD)+INDEX(SpotSh,1,H$7-FYBase)*INDEX(P_SPOT_N,1,3))*(1+INDEX(StudioUp,1,H$7-FYBase))/1000000</f>
        <v>0</v>
      </c>
      <c r="I45" s="122" t="n">
        <f aca="false">I35*Timeline!I$9*(1-INDEX(ResSh,1,I$7-FYBase))*((1-INDEX(SpotSh,1,I$7-FYBase))*INDEX(P_OD_N,1,4)*IF(I$5&lt;=LastHist,RealOD_B,RealOD)+INDEX(SpotSh,1,I$7-FYBase)*INDEX(P_SPOT_N,1,4))*(1+INDEX(StudioUp,1,I$7-FYBase))/1000000</f>
        <v>0</v>
      </c>
      <c r="J45" s="122" t="n">
        <f aca="false">J35*Timeline!J$9*(1-INDEX(ResSh,1,J$7-FYBase))*((1-INDEX(SpotSh,1,J$7-FYBase))*INDEX(P_OD_N,1,5)*IF(J$5&lt;=LastHist,RealOD_B,RealOD)+INDEX(SpotSh,1,J$7-FYBase)*INDEX(P_SPOT_N,1,5))*(1+INDEX(StudioUp,1,J$7-FYBase))/1000000</f>
        <v>0</v>
      </c>
      <c r="K45" s="122" t="n">
        <f aca="false">K35*Timeline!K$9*(1-INDEX(ResSh,1,K$7-FYBase))*((1-INDEX(SpotSh,1,K$7-FYBase))*INDEX(P_OD_N,1,6)*IF(K$5&lt;=LastHist,RealOD_B,RealOD)+INDEX(SpotSh,1,K$7-FYBase)*INDEX(P_SPOT_N,1,6))*(1+INDEX(StudioUp,1,K$7-FYBase))/1000000</f>
        <v>0</v>
      </c>
      <c r="L45" s="122" t="n">
        <f aca="false">L35*Timeline!L$9*(1-INDEX(ResSh,1,L$7-FYBase))*((1-INDEX(SpotSh,1,L$7-FYBase))*INDEX(P_OD_N,1,7)*IF(L$5&lt;=LastHist,RealOD_B,RealOD)+INDEX(SpotSh,1,L$7-FYBase)*INDEX(P_SPOT_N,1,7))*(1+INDEX(StudioUp,1,L$7-FYBase))/1000000</f>
        <v>0</v>
      </c>
      <c r="M45" s="122" t="n">
        <f aca="false">M35*Timeline!M$9*(1-INDEX(ResSh,1,M$7-FYBase))*((1-INDEX(SpotSh,1,M$7-FYBase))*INDEX(P_OD_N,1,8)*IF(M$5&lt;=LastHist,RealOD_B,RealOD)+INDEX(SpotSh,1,M$7-FYBase)*INDEX(P_SPOT_N,1,8))*(1+INDEX(StudioUp,1,M$7-FYBase))/1000000</f>
        <v>0</v>
      </c>
      <c r="N45" s="122" t="n">
        <f aca="false">N35*Timeline!N$9*(1-INDEX(ResSh,1,N$7-FYBase))*((1-INDEX(SpotSh,1,N$7-FYBase))*INDEX(P_OD_N,1,9)*IF(N$5&lt;=LastHist,RealOD_B,RealOD)+INDEX(SpotSh,1,N$7-FYBase)*INDEX(P_SPOT_N,1,9))*(1+INDEX(StudioUp,1,N$7-FYBase))/1000000</f>
        <v>0</v>
      </c>
      <c r="O45" s="122" t="n">
        <f aca="false">O35*Timeline!O$9*(1-INDEX(ResSh,1,O$7-FYBase))*((1-INDEX(SpotSh,1,O$7-FYBase))*INDEX(P_OD_N,1,10)*IF(O$5&lt;=LastHist,RealOD_B,RealOD)+INDEX(SpotSh,1,O$7-FYBase)*INDEX(P_SPOT_N,1,10))*(1+INDEX(StudioUp,1,O$7-FYBase))/1000000</f>
        <v>0</v>
      </c>
      <c r="P45" s="123" t="n">
        <f aca="false">P35*Timeline!P$9*(1-INDEX(ResSh,1,P$7-FYBase))*((1-INDEX(SpotSh,1,P$7-FYBase))*INDEX(P_OD_N,1,11)*IF(P$5&lt;=LastHist,RealOD_B,RealOD)+INDEX(SpotSh,1,P$7-FYBase)*INDEX(P_SPOT_N,1,11))*(1+INDEX(StudioUp,1,P$7-FYBase))/1000000</f>
        <v>0</v>
      </c>
      <c r="Q45" s="123" t="n">
        <f aca="false">Q35*Timeline!Q$9*(1-INDEX(ResSh,1,Q$7-FYBase))*((1-INDEX(SpotSh,1,Q$7-FYBase))*INDEX(P_OD_N,1,12)*IF(Q$5&lt;=LastHist,RealOD_B,RealOD)+INDEX(SpotSh,1,Q$7-FYBase)*INDEX(P_SPOT_N,1,12))*(1+INDEX(StudioUp,1,Q$7-FYBase))/1000000</f>
        <v>0</v>
      </c>
      <c r="R45" s="123" t="n">
        <f aca="false">R35*Timeline!R$9*(1-INDEX(ResSh,1,R$7-FYBase))*((1-INDEX(SpotSh,1,R$7-FYBase))*INDEX(P_OD_N,1,13)*IF(R$5&lt;=LastHist,RealOD_B,RealOD)+INDEX(SpotSh,1,R$7-FYBase)*INDEX(P_SPOT_N,1,13))*(1+INDEX(StudioUp,1,R$7-FYBase))/1000000</f>
        <v>0</v>
      </c>
      <c r="S45" s="123" t="n">
        <f aca="false">S35*Timeline!S$9*(1-INDEX(ResSh,1,S$7-FYBase))*((1-INDEX(SpotSh,1,S$7-FYBase))*INDEX(P_OD_N,1,14)*IF(S$5&lt;=LastHist,RealOD_B,RealOD)+INDEX(SpotSh,1,S$7-FYBase)*INDEX(P_SPOT_N,1,14))*(1+INDEX(StudioUp,1,S$7-FYBase))/1000000</f>
        <v>5.0261831428536</v>
      </c>
      <c r="T45" s="123" t="n">
        <f aca="false">T35*Timeline!T$9*(1-INDEX(ResSh,1,T$7-FYBase))*((1-INDEX(SpotSh,1,T$7-FYBase))*INDEX(P_OD_N,1,15)*IF(T$5&lt;=LastHist,RealOD_B,RealOD)+INDEX(SpotSh,1,T$7-FYBase)*INDEX(P_SPOT_N,1,15))*(1+INDEX(StudioUp,1,T$7-FYBase))/1000000</f>
        <v>5.0814159246432</v>
      </c>
      <c r="U45" s="123" t="n">
        <f aca="false">U35*Timeline!U$9*(1-INDEX(ResSh,1,U$7-FYBase))*((1-INDEX(SpotSh,1,U$7-FYBase))*INDEX(P_OD_N,1,16)*IF(U$5&lt;=LastHist,RealOD_B,RealOD)+INDEX(SpotSh,1,U$7-FYBase)*INDEX(P_SPOT_N,1,16))*(1+INDEX(StudioUp,1,U$7-FYBase))/1000000</f>
        <v>8.99929213336799</v>
      </c>
      <c r="V45" s="123" t="n">
        <f aca="false">V35*Timeline!V$9*(1-INDEX(ResSh,1,V$7-FYBase))*((1-INDEX(SpotSh,1,V$7-FYBase))*INDEX(P_OD_N,1,17)*IF(V$5&lt;=LastHist,RealOD_B,RealOD)+INDEX(SpotSh,1,V$7-FYBase)*INDEX(P_SPOT_N,1,17))*(1+INDEX(StudioUp,1,V$7-FYBase))/1000000</f>
        <v>108.766252306858</v>
      </c>
      <c r="W45" s="123" t="n">
        <f aca="false">W35*Timeline!W$9*(1-INDEX(ResSh,1,W$7-FYBase))*((1-INDEX(SpotSh,1,W$7-FYBase))*INDEX(P_OD_N,1,18)*IF(W$5&lt;=LastHist,RealOD_B,RealOD)+INDEX(SpotSh,1,W$7-FYBase)*INDEX(P_SPOT_N,1,18))*(1+INDEX(StudioUp,1,W$7-FYBase))/1000000</f>
        <v>243.397440275022</v>
      </c>
      <c r="X45" s="123" t="n">
        <f aca="false">X35*Timeline!X$9*(1-INDEX(ResSh,1,X$7-FYBase))*((1-INDEX(SpotSh,1,X$7-FYBase))*INDEX(P_OD_N,1,19)*IF(X$5&lt;=LastHist,RealOD_B,RealOD)+INDEX(SpotSh,1,X$7-FYBase)*INDEX(P_SPOT_N,1,19))*(1+INDEX(StudioUp,1,X$7-FYBase))/1000000</f>
        <v>369.758877845888</v>
      </c>
      <c r="Y45" s="123" t="n">
        <f aca="false">Y35*Timeline!Y$9*(1-INDEX(ResSh,1,Y$7-FYBase))*((1-INDEX(SpotSh,1,Y$7-FYBase))*INDEX(P_OD_N,1,20)*IF(Y$5&lt;=LastHist,RealOD_B,RealOD)+INDEX(SpotSh,1,Y$7-FYBase)*INDEX(P_SPOT_N,1,20))*(1+INDEX(StudioUp,1,Y$7-FYBase))/1000000</f>
        <v>449.101321519619</v>
      </c>
      <c r="Z45" s="123" t="n">
        <f aca="false">Z35*Timeline!Z$9*(1-INDEX(ResSh,1,Z$7-FYBase))*((1-INDEX(SpotSh,1,Z$7-FYBase))*INDEX(P_OD_N,1,21)*IF(Z$5&lt;=LastHist,RealOD_B,RealOD)+INDEX(SpotSh,1,Z$7-FYBase)*INDEX(P_SPOT_N,1,21))*(1+INDEX(StudioUp,1,Z$7-FYBase))/1000000</f>
        <v>574.940789548243</v>
      </c>
      <c r="AA45" s="123" t="n">
        <f aca="false">AA35*Timeline!AA$9*(1-INDEX(ResSh,1,AA$7-FYBase))*((1-INDEX(SpotSh,1,AA$7-FYBase))*INDEX(P_OD_N,1,22)*IF(AA$5&lt;=LastHist,RealOD_B,RealOD)+INDEX(SpotSh,1,AA$7-FYBase)*INDEX(P_SPOT_N,1,22))*(1+INDEX(StudioUp,1,AA$7-FYBase))/1000000</f>
        <v>708.307302918614</v>
      </c>
      <c r="AB45" s="123" t="n">
        <f aca="false">AB35*Timeline!AB$9*(1-INDEX(ResSh,1,AB$7-FYBase))*((1-INDEX(SpotSh,1,AB$7-FYBase))*INDEX(P_OD_N,1,23)*IF(AB$5&lt;=LastHist,RealOD_B,RealOD)+INDEX(SpotSh,1,AB$7-FYBase)*INDEX(P_SPOT_N,1,23))*(1+INDEX(StudioUp,1,AB$7-FYBase))/1000000</f>
        <v>867.442249023862</v>
      </c>
      <c r="AC45" s="123" t="n">
        <f aca="false">AC35*Timeline!AC$9*(1-INDEX(ResSh,1,AC$7-FYBase))*((1-INDEX(SpotSh,1,AC$7-FYBase))*INDEX(P_OD_N,1,24)*IF(AC$5&lt;=LastHist,RealOD_B,RealOD)+INDEX(SpotSh,1,AC$7-FYBase)*INDEX(P_SPOT_N,1,24))*(1+INDEX(StudioUp,1,AC$7-FYBase))/1000000</f>
        <v>1013.97844237838</v>
      </c>
      <c r="AD45" s="123" t="n">
        <f aca="false">AD35*Timeline!AD$9*(1-INDEX(ResSh,1,AD$7-FYBase))*((1-INDEX(SpotSh,1,AD$7-FYBase))*INDEX(P_OD_N,1,25)*IF(AD$5&lt;=LastHist,RealOD_B,RealOD)+INDEX(SpotSh,1,AD$7-FYBase)*INDEX(P_SPOT_N,1,25))*(1+INDEX(StudioUp,1,AD$7-FYBase))/1000000</f>
        <v>1191.17583546924</v>
      </c>
      <c r="AE45" s="123" t="n">
        <f aca="false">AE35*Timeline!AE$9*(1-INDEX(ResSh,1,AE$7-FYBase))*((1-INDEX(SpotSh,1,AE$7-FYBase))*INDEX(P_OD_N,1,26)*IF(AE$5&lt;=LastHist,RealOD_B,RealOD)+INDEX(SpotSh,1,AE$7-FYBase)*INDEX(P_SPOT_N,1,26))*(1+INDEX(StudioUp,1,AE$7-FYBase))/1000000</f>
        <v>1399.44442164738</v>
      </c>
      <c r="AF45" s="123" t="n">
        <f aca="false">AF35*Timeline!AF$9*(1-INDEX(ResSh,1,AF$7-FYBase))*((1-INDEX(SpotSh,1,AF$7-FYBase))*INDEX(P_OD_N,1,27)*IF(AF$5&lt;=LastHist,RealOD_B,RealOD)+INDEX(SpotSh,1,AF$7-FYBase)*INDEX(P_SPOT_N,1,27))*(1+INDEX(StudioUp,1,AF$7-FYBase))/1000000</f>
        <v>1393.10565049597</v>
      </c>
      <c r="AG45" s="123" t="n">
        <f aca="false">AG35*Timeline!AG$9*(1-INDEX(ResSh,1,AG$7-FYBase))*((1-INDEX(SpotSh,1,AG$7-FYBase))*INDEX(P_OD_N,1,28)*IF(AG$5&lt;=LastHist,RealOD_B,RealOD)+INDEX(SpotSh,1,AG$7-FYBase)*INDEX(P_SPOT_N,1,28))*(1+INDEX(StudioUp,1,AG$7-FYBase))/1000000</f>
        <v>1371.72172563564</v>
      </c>
      <c r="AI45" s="123" t="n">
        <f aca="false">SUMIF($F$7:$AG$7,AI$7,$F45:$AG45)</f>
        <v>0</v>
      </c>
      <c r="AJ45" s="123" t="n">
        <f aca="false">SUMIF($F$7:$AG$7,AJ$7,$F45:$AG45)</f>
        <v>0</v>
      </c>
      <c r="AK45" s="123" t="n">
        <f aca="false">SUMIF($F$7:$AG$7,AK$7,$F45:$AG45)</f>
        <v>0</v>
      </c>
      <c r="AL45" s="123" t="n">
        <f aca="false">SUMIF($F$7:$AG$7,AL$7,$F45:$AG45)</f>
        <v>19.1068912008648</v>
      </c>
      <c r="AM45" s="123" t="n">
        <f aca="false">SUMIF($F$7:$AG$7,AM$7,$F45:$AG45)</f>
        <v>1171.02389194739</v>
      </c>
      <c r="AN45" s="123" t="n">
        <f aca="false">SUMIF($F$7:$AG$7,AN$7,$F45:$AG45)</f>
        <v>3164.6687838691</v>
      </c>
      <c r="AO45" s="123" t="n">
        <f aca="false">SUMIF($F$7:$AG$7,AO$7,$F45:$AG45)</f>
        <v>5355.44763324822</v>
      </c>
    </row>
    <row r="46" customFormat="false" ht="15" hidden="false" customHeight="false" outlineLevel="0" collapsed="false">
      <c r="A46" s="104" t="s">
        <v>1823</v>
      </c>
      <c r="B46" s="20" t="s">
        <v>561</v>
      </c>
      <c r="C46" s="20" t="s">
        <v>495</v>
      </c>
      <c r="D46" s="20"/>
      <c r="F46" s="122" t="n">
        <f aca="false">F43+F44+F45</f>
        <v>16.0006459587975</v>
      </c>
      <c r="G46" s="122" t="n">
        <f aca="false">G43+G44+G45</f>
        <v>16.0006459587975</v>
      </c>
      <c r="H46" s="122" t="n">
        <f aca="false">H43+H44+H45</f>
        <v>16.17647723307</v>
      </c>
      <c r="I46" s="122" t="n">
        <f aca="false">I43+I44+I45</f>
        <v>17.794360885455</v>
      </c>
      <c r="J46" s="122" t="n">
        <f aca="false">J43+J44+J45</f>
        <v>21.44410678872</v>
      </c>
      <c r="K46" s="122" t="n">
        <f aca="false">K43+K44+K45</f>
        <v>29.283994148409</v>
      </c>
      <c r="L46" s="122" t="n">
        <f aca="false">L43+L44+L45</f>
        <v>38.1792319844342</v>
      </c>
      <c r="M46" s="122" t="n">
        <f aca="false">M43+M44+M45</f>
        <v>57.966361265072</v>
      </c>
      <c r="N46" s="122" t="n">
        <f aca="false">N43+N44+N45</f>
        <v>54.0476347443368</v>
      </c>
      <c r="O46" s="122" t="n">
        <f aca="false">O43+O44+O45</f>
        <v>48.4282895128032</v>
      </c>
      <c r="P46" s="123" t="n">
        <f aca="false">P43+P44+P45</f>
        <v>50.9886338990028</v>
      </c>
      <c r="Q46" s="123" t="n">
        <f aca="false">Q43+Q44+Q45</f>
        <v>63.5888854293</v>
      </c>
      <c r="R46" s="123" t="n">
        <f aca="false">R43+R44+R45</f>
        <v>99.1438834911699</v>
      </c>
      <c r="S46" s="123" t="n">
        <f aca="false">S43+S44+S45</f>
        <v>169.237448194426</v>
      </c>
      <c r="T46" s="123" t="n">
        <f aca="false">T43+T44+T45</f>
        <v>221.726748456622</v>
      </c>
      <c r="U46" s="123" t="n">
        <f aca="false">U43+U44+U45</f>
        <v>242.379640494706</v>
      </c>
      <c r="V46" s="123" t="n">
        <f aca="false">V43+V44+V45</f>
        <v>380.450707301195</v>
      </c>
      <c r="W46" s="123" t="n">
        <f aca="false">W43+W44+W45</f>
        <v>535.480633808367</v>
      </c>
      <c r="X46" s="123" t="n">
        <f aca="false">X43+X44+X45</f>
        <v>659.801972712073</v>
      </c>
      <c r="Y46" s="123" t="n">
        <f aca="false">Y43+Y44+Y45</f>
        <v>734.003747903518</v>
      </c>
      <c r="Z46" s="123" t="n">
        <f aca="false">Z43+Z44+Z45</f>
        <v>869.561556148939</v>
      </c>
      <c r="AA46" s="123" t="n">
        <f aca="false">AA43+AA44+AA45</f>
        <v>1021.74598814284</v>
      </c>
      <c r="AB46" s="123" t="n">
        <f aca="false">AB43+AB44+AB45</f>
        <v>1178.85167263303</v>
      </c>
      <c r="AC46" s="123" t="n">
        <f aca="false">AC43+AC44+AC45</f>
        <v>1320.02251190169</v>
      </c>
      <c r="AD46" s="123" t="n">
        <f aca="false">AD43+AD44+AD45</f>
        <v>1485.421420316</v>
      </c>
      <c r="AE46" s="123" t="n">
        <f aca="false">AE43+AE44+AE45</f>
        <v>1691.85886830081</v>
      </c>
      <c r="AF46" s="123" t="n">
        <f aca="false">AF43+AF44+AF45</f>
        <v>1683.67749621598</v>
      </c>
      <c r="AG46" s="123" t="n">
        <f aca="false">AG43+AG44+AG45</f>
        <v>1657.33586159057</v>
      </c>
      <c r="AI46" s="123" t="n">
        <f aca="false">SUMIF($F$7:$AG$7,AI$7,$F46:$AG46)</f>
        <v>65.97213003612</v>
      </c>
      <c r="AJ46" s="123" t="n">
        <f aca="false">SUMIF($F$7:$AG$7,AJ$7,$F46:$AG46)</f>
        <v>146.873694186635</v>
      </c>
      <c r="AK46" s="123" t="n">
        <f aca="false">SUMIF($F$7:$AG$7,AK$7,$F46:$AG46)</f>
        <v>217.053443585443</v>
      </c>
      <c r="AL46" s="123" t="n">
        <f aca="false">SUMIF($F$7:$AG$7,AL$7,$F46:$AG46)</f>
        <v>732.487720636925</v>
      </c>
      <c r="AM46" s="123" t="n">
        <f aca="false">SUMIF($F$7:$AG$7,AM$7,$F46:$AG46)</f>
        <v>2309.73706172515</v>
      </c>
      <c r="AN46" s="123" t="n">
        <f aca="false">SUMIF($F$7:$AG$7,AN$7,$F46:$AG46)</f>
        <v>4390.18172882651</v>
      </c>
      <c r="AO46" s="123" t="n">
        <f aca="false">SUMIF($F$7:$AG$7,AO$7,$F46:$AG46)</f>
        <v>6518.29364642337</v>
      </c>
    </row>
    <row r="47" customFormat="false" ht="15" hidden="false" customHeight="false" outlineLevel="0" collapsed="false">
      <c r="A47" s="3" t="s">
        <v>1824</v>
      </c>
      <c r="E47" s="65" t="n">
        <f aca="false">(INDEX(H_AIRev,1,LastHist)-INDEX(Book_A,1,LastHist)-INDEX(Book_Post,1,LastHist)-INDEX(AssetLight,1,INDEX(Q_Yr,1,LastHist)-FYBase)/4)/(INDEX($F$42:$AG$42,1,LastHist)+INDEX($F$46:$AG$46,1,LastHist))</f>
        <v>0.82509878873241</v>
      </c>
      <c r="F47" s="4" t="str">
        <f aca="false">IF(OR(UtilQ2&gt;1,UtilQ2&lt;0.4),"FLAG: outside 40-100% - not forced","OK (40-100%)")</f>
        <v>OK (40-100%)</v>
      </c>
    </row>
    <row r="48" customFormat="false" ht="15" hidden="false" customHeight="false" outlineLevel="0" collapsed="false">
      <c r="A48" s="104" t="s">
        <v>1825</v>
      </c>
      <c r="B48" s="20" t="s">
        <v>549</v>
      </c>
      <c r="C48" s="20" t="s">
        <v>546</v>
      </c>
      <c r="D48" s="20" t="s">
        <v>1826</v>
      </c>
      <c r="F48" s="116" t="n">
        <f aca="false">IF(F$5&lt;=LastHist,UtilQ2,Util_Res)</f>
        <v>0.82509878873241</v>
      </c>
      <c r="G48" s="116" t="n">
        <f aca="false">IF(G$5&lt;=LastHist,UtilQ2,Util_Res)</f>
        <v>0.82509878873241</v>
      </c>
      <c r="H48" s="116" t="n">
        <f aca="false">IF(H$5&lt;=LastHist,UtilQ2,Util_Res)</f>
        <v>0.82509878873241</v>
      </c>
      <c r="I48" s="116" t="n">
        <f aca="false">IF(I$5&lt;=LastHist,UtilQ2,Util_Res)</f>
        <v>0.82509878873241</v>
      </c>
      <c r="J48" s="116" t="n">
        <f aca="false">IF(J$5&lt;=LastHist,UtilQ2,Util_Res)</f>
        <v>0.82509878873241</v>
      </c>
      <c r="K48" s="116" t="n">
        <f aca="false">IF(K$5&lt;=LastHist,UtilQ2,Util_Res)</f>
        <v>0.82509878873241</v>
      </c>
      <c r="L48" s="116" t="n">
        <f aca="false">IF(L$5&lt;=LastHist,UtilQ2,Util_Res)</f>
        <v>0.82509878873241</v>
      </c>
      <c r="M48" s="116" t="n">
        <f aca="false">IF(M$5&lt;=LastHist,UtilQ2,Util_Res)</f>
        <v>0.82509878873241</v>
      </c>
      <c r="N48" s="116" t="n">
        <f aca="false">IF(N$5&lt;=LastHist,UtilQ2,Util_Res)</f>
        <v>0.82509878873241</v>
      </c>
      <c r="O48" s="116" t="n">
        <f aca="false">IF(O$5&lt;=LastHist,UtilQ2,Util_Res)</f>
        <v>0.82509878873241</v>
      </c>
      <c r="P48" s="25" t="n">
        <f aca="false">IF(P$5&lt;=LastHist,UtilQ2,Util_Res)</f>
        <v>0.82509878873241</v>
      </c>
      <c r="Q48" s="25" t="n">
        <f aca="false">IF(Q$5&lt;=LastHist,UtilQ2,Util_Res)</f>
        <v>0.82509878873241</v>
      </c>
      <c r="R48" s="25" t="n">
        <f aca="false">IF(R$5&lt;=LastHist,UtilQ2,Util_Res)</f>
        <v>0.82509878873241</v>
      </c>
      <c r="S48" s="25" t="n">
        <f aca="false">IF(S$5&lt;=LastHist,UtilQ2,Util_Res)</f>
        <v>0.82509878873241</v>
      </c>
      <c r="T48" s="25" t="n">
        <f aca="false">IF(T$5&lt;=LastHist,UtilQ2,Util_Res)</f>
        <v>0.82509878873241</v>
      </c>
      <c r="U48" s="25" t="n">
        <f aca="false">IF(U$5&lt;=LastHist,UtilQ2,Util_Res)</f>
        <v>0.82509878873241</v>
      </c>
      <c r="V48" s="25" t="n">
        <f aca="false">IF(V$5&lt;=LastHist,UtilQ2,Util_Res)</f>
        <v>0.82509878873241</v>
      </c>
      <c r="W48" s="25" t="n">
        <f aca="false">IF(W$5&lt;=LastHist,UtilQ2,Util_Res)</f>
        <v>0.82509878873241</v>
      </c>
      <c r="X48" s="25" t="n">
        <f aca="false">IF(X$5&lt;=LastHist,UtilQ2,Util_Res)</f>
        <v>0.82509878873241</v>
      </c>
      <c r="Y48" s="25" t="n">
        <f aca="false">IF(Y$5&lt;=LastHist,UtilQ2,Util_Res)</f>
        <v>0.82509878873241</v>
      </c>
      <c r="Z48" s="25" t="n">
        <f aca="false">IF(Z$5&lt;=LastHist,UtilQ2,Util_Res)</f>
        <v>0.82509878873241</v>
      </c>
      <c r="AA48" s="25" t="n">
        <f aca="false">IF(AA$5&lt;=LastHist,UtilQ2,Util_Res)</f>
        <v>0.82509878873241</v>
      </c>
      <c r="AB48" s="25" t="n">
        <f aca="false">IF(AB$5&lt;=LastHist,UtilQ2,Util_Res)</f>
        <v>0.82509878873241</v>
      </c>
      <c r="AC48" s="25" t="n">
        <f aca="false">IF(AC$5&lt;=LastHist,UtilQ2,Util_Res)</f>
        <v>0.82509878873241</v>
      </c>
      <c r="AD48" s="25" t="n">
        <f aca="false">IF(AD$5&lt;=LastHist,UtilQ2,Util_Res)</f>
        <v>0.82509878873241</v>
      </c>
      <c r="AE48" s="25" t="n">
        <f aca="false">IF(AE$5&lt;=LastHist,UtilQ2,Util_Res)</f>
        <v>0.82509878873241</v>
      </c>
      <c r="AF48" s="25" t="n">
        <f aca="false">IF(AF$5&lt;=LastHist,UtilQ2,Util_Res)</f>
        <v>0.82509878873241</v>
      </c>
      <c r="AG48" s="25" t="n">
        <f aca="false">IF(AG$5&lt;=LastHist,UtilQ2,Util_Res)</f>
        <v>0.82509878873241</v>
      </c>
      <c r="AI48" s="25" t="n">
        <f aca="false">AVERAGEIF($F$7:$AG$7,AI$7,$F48:$AG48)</f>
        <v>0.82509878873241</v>
      </c>
      <c r="AJ48" s="25" t="n">
        <f aca="false">AVERAGEIF($F$7:$AG$7,AJ$7,$F48:$AG48)</f>
        <v>0.82509878873241</v>
      </c>
      <c r="AK48" s="25" t="n">
        <f aca="false">AVERAGEIF($F$7:$AG$7,AK$7,$F48:$AG48)</f>
        <v>0.82509878873241</v>
      </c>
      <c r="AL48" s="25" t="n">
        <f aca="false">AVERAGEIF($F$7:$AG$7,AL$7,$F48:$AG48)</f>
        <v>0.82509878873241</v>
      </c>
      <c r="AM48" s="25" t="n">
        <f aca="false">AVERAGEIF($F$7:$AG$7,AM$7,$F48:$AG48)</f>
        <v>0.82509878873241</v>
      </c>
      <c r="AN48" s="25" t="n">
        <f aca="false">AVERAGEIF($F$7:$AG$7,AN$7,$F48:$AG48)</f>
        <v>0.82509878873241</v>
      </c>
      <c r="AO48" s="25" t="n">
        <f aca="false">AVERAGEIF($F$7:$AG$7,AO$7,$F48:$AG48)</f>
        <v>0.82509878873241</v>
      </c>
    </row>
    <row r="49" customFormat="false" ht="15" hidden="false" customHeight="false" outlineLevel="0" collapsed="false">
      <c r="A49" s="104" t="s">
        <v>1827</v>
      </c>
      <c r="B49" s="20" t="s">
        <v>549</v>
      </c>
      <c r="C49" s="20" t="s">
        <v>546</v>
      </c>
      <c r="D49" s="20" t="s">
        <v>1828</v>
      </c>
      <c r="F49" s="116" t="n">
        <f aca="false">IF(F$5&lt;=LastHist,UtilQ2,Util_OD)</f>
        <v>0.82509878873241</v>
      </c>
      <c r="G49" s="116" t="n">
        <f aca="false">IF(G$5&lt;=LastHist,UtilQ2,Util_OD)</f>
        <v>0.82509878873241</v>
      </c>
      <c r="H49" s="116" t="n">
        <f aca="false">IF(H$5&lt;=LastHist,UtilQ2,Util_OD)</f>
        <v>0.82509878873241</v>
      </c>
      <c r="I49" s="116" t="n">
        <f aca="false">IF(I$5&lt;=LastHist,UtilQ2,Util_OD)</f>
        <v>0.82509878873241</v>
      </c>
      <c r="J49" s="116" t="n">
        <f aca="false">IF(J$5&lt;=LastHist,UtilQ2,Util_OD)</f>
        <v>0.82509878873241</v>
      </c>
      <c r="K49" s="116" t="n">
        <f aca="false">IF(K$5&lt;=LastHist,UtilQ2,Util_OD)</f>
        <v>0.82509878873241</v>
      </c>
      <c r="L49" s="116" t="n">
        <f aca="false">IF(L$5&lt;=LastHist,UtilQ2,Util_OD)</f>
        <v>0.82509878873241</v>
      </c>
      <c r="M49" s="116" t="n">
        <f aca="false">IF(M$5&lt;=LastHist,UtilQ2,Util_OD)</f>
        <v>0.82509878873241</v>
      </c>
      <c r="N49" s="116" t="n">
        <f aca="false">IF(N$5&lt;=LastHist,UtilQ2,Util_OD)</f>
        <v>0.82509878873241</v>
      </c>
      <c r="O49" s="116" t="n">
        <f aca="false">IF(O$5&lt;=LastHist,UtilQ2,Util_OD)</f>
        <v>0.82509878873241</v>
      </c>
      <c r="P49" s="25" t="n">
        <f aca="false">IF(P$5&lt;=LastHist,UtilQ2,Util_OD)</f>
        <v>0.82509878873241</v>
      </c>
      <c r="Q49" s="25" t="n">
        <f aca="false">IF(Q$5&lt;=LastHist,UtilQ2,Util_OD)</f>
        <v>0.82509878873241</v>
      </c>
      <c r="R49" s="25" t="n">
        <f aca="false">IF(R$5&lt;=LastHist,UtilQ2,Util_OD)</f>
        <v>0.82509878873241</v>
      </c>
      <c r="S49" s="25" t="n">
        <f aca="false">IF(S$5&lt;=LastHist,UtilQ2,Util_OD)</f>
        <v>0.82509878873241</v>
      </c>
      <c r="T49" s="25" t="n">
        <f aca="false">IF(T$5&lt;=LastHist,UtilQ2,Util_OD)</f>
        <v>0.82509878873241</v>
      </c>
      <c r="U49" s="25" t="n">
        <f aca="false">IF(U$5&lt;=LastHist,UtilQ2,Util_OD)</f>
        <v>0.82509878873241</v>
      </c>
      <c r="V49" s="25" t="n">
        <f aca="false">IF(V$5&lt;=LastHist,UtilQ2,Util_OD)</f>
        <v>0.82509878873241</v>
      </c>
      <c r="W49" s="25" t="n">
        <f aca="false">IF(W$5&lt;=LastHist,UtilQ2,Util_OD)</f>
        <v>0.82509878873241</v>
      </c>
      <c r="X49" s="25" t="n">
        <f aca="false">IF(X$5&lt;=LastHist,UtilQ2,Util_OD)</f>
        <v>0.82509878873241</v>
      </c>
      <c r="Y49" s="25" t="n">
        <f aca="false">IF(Y$5&lt;=LastHist,UtilQ2,Util_OD)</f>
        <v>0.82509878873241</v>
      </c>
      <c r="Z49" s="25" t="n">
        <f aca="false">IF(Z$5&lt;=LastHist,UtilQ2,Util_OD)</f>
        <v>0.82509878873241</v>
      </c>
      <c r="AA49" s="25" t="n">
        <f aca="false">IF(AA$5&lt;=LastHist,UtilQ2,Util_OD)</f>
        <v>0.82509878873241</v>
      </c>
      <c r="AB49" s="25" t="n">
        <f aca="false">IF(AB$5&lt;=LastHist,UtilQ2,Util_OD)</f>
        <v>0.82509878873241</v>
      </c>
      <c r="AC49" s="25" t="n">
        <f aca="false">IF(AC$5&lt;=LastHist,UtilQ2,Util_OD)</f>
        <v>0.82509878873241</v>
      </c>
      <c r="AD49" s="25" t="n">
        <f aca="false">IF(AD$5&lt;=LastHist,UtilQ2,Util_OD)</f>
        <v>0.82509878873241</v>
      </c>
      <c r="AE49" s="25" t="n">
        <f aca="false">IF(AE$5&lt;=LastHist,UtilQ2,Util_OD)</f>
        <v>0.82509878873241</v>
      </c>
      <c r="AF49" s="25" t="n">
        <f aca="false">IF(AF$5&lt;=LastHist,UtilQ2,Util_OD)</f>
        <v>0.82509878873241</v>
      </c>
      <c r="AG49" s="25" t="n">
        <f aca="false">IF(AG$5&lt;=LastHist,UtilQ2,Util_OD)</f>
        <v>0.82509878873241</v>
      </c>
      <c r="AI49" s="25" t="n">
        <f aca="false">AVERAGEIF($F$7:$AG$7,AI$7,$F49:$AG49)</f>
        <v>0.82509878873241</v>
      </c>
      <c r="AJ49" s="25" t="n">
        <f aca="false">AVERAGEIF($F$7:$AG$7,AJ$7,$F49:$AG49)</f>
        <v>0.82509878873241</v>
      </c>
      <c r="AK49" s="25" t="n">
        <f aca="false">AVERAGEIF($F$7:$AG$7,AK$7,$F49:$AG49)</f>
        <v>0.82509878873241</v>
      </c>
      <c r="AL49" s="25" t="n">
        <f aca="false">AVERAGEIF($F$7:$AG$7,AL$7,$F49:$AG49)</f>
        <v>0.82509878873241</v>
      </c>
      <c r="AM49" s="25" t="n">
        <f aca="false">AVERAGEIF($F$7:$AG$7,AM$7,$F49:$AG49)</f>
        <v>0.82509878873241</v>
      </c>
      <c r="AN49" s="25" t="n">
        <f aca="false">AVERAGEIF($F$7:$AG$7,AN$7,$F49:$AG49)</f>
        <v>0.82509878873241</v>
      </c>
      <c r="AO49" s="25" t="n">
        <f aca="false">AVERAGEIF($F$7:$AG$7,AO$7,$F49:$AG49)</f>
        <v>0.82509878873241</v>
      </c>
    </row>
    <row r="50" customFormat="false" ht="15" hidden="false" customHeight="false" outlineLevel="0" collapsed="false">
      <c r="A50" s="3" t="s">
        <v>1829</v>
      </c>
      <c r="B50" s="20" t="s">
        <v>561</v>
      </c>
      <c r="C50" s="20" t="s">
        <v>495</v>
      </c>
      <c r="D50" s="20"/>
      <c r="F50" s="124" t="n">
        <f aca="false">F42*F48</f>
        <v>58.6022362042972</v>
      </c>
      <c r="G50" s="124" t="n">
        <f aca="false">G42*G48</f>
        <v>58.6022362042972</v>
      </c>
      <c r="H50" s="124" t="n">
        <f aca="false">H42*H48</f>
        <v>59.2462168219268</v>
      </c>
      <c r="I50" s="124" t="n">
        <f aca="false">I42*I48</f>
        <v>65.1717025924564</v>
      </c>
      <c r="J50" s="124" t="n">
        <f aca="false">J42*J48</f>
        <v>101.638534278341</v>
      </c>
      <c r="K50" s="124" t="n">
        <f aca="false">K42*K48</f>
        <v>138.797212324341</v>
      </c>
      <c r="L50" s="124" t="n">
        <f aca="false">L42*L48</f>
        <v>181.307979254645</v>
      </c>
      <c r="M50" s="124" t="n">
        <f aca="false">M42*M48</f>
        <v>276.044496449683</v>
      </c>
      <c r="N50" s="124" t="n">
        <f aca="false">N42*N48</f>
        <v>301.657323400443</v>
      </c>
      <c r="O50" s="124" t="n">
        <f aca="false">O42*O48</f>
        <v>270.122849204826</v>
      </c>
      <c r="P50" s="96" t="n">
        <f aca="false">P42*P48</f>
        <v>274.4752505194</v>
      </c>
      <c r="Q50" s="96" t="n">
        <f aca="false">Q42*Q48</f>
        <v>305.892196996507</v>
      </c>
      <c r="R50" s="96" t="n">
        <f aca="false">R42*R48</f>
        <v>500.322093405557</v>
      </c>
      <c r="S50" s="96" t="n">
        <f aca="false">S42*S48</f>
        <v>890.238144996285</v>
      </c>
      <c r="T50" s="96" t="n">
        <f aca="false">T42*T48</f>
        <v>1181.27294694764</v>
      </c>
      <c r="U50" s="96" t="n">
        <f aca="false">U42*U48</f>
        <v>1297.49056330147</v>
      </c>
      <c r="V50" s="96" t="n">
        <f aca="false">V42*V48</f>
        <v>1957.25342707858</v>
      </c>
      <c r="W50" s="96" t="n">
        <f aca="false">W42*W48</f>
        <v>2757.74086989429</v>
      </c>
      <c r="X50" s="96" t="n">
        <f aca="false">X42*X48</f>
        <v>3400.33042708623</v>
      </c>
      <c r="Y50" s="96" t="n">
        <f aca="false">Y42*Y48</f>
        <v>3783.99797501297</v>
      </c>
      <c r="Z50" s="96" t="n">
        <f aca="false">Z42*Z48</f>
        <v>4484.31088229409</v>
      </c>
      <c r="AA50" s="96" t="n">
        <f aca="false">AA42*AA48</f>
        <v>5270.25044254739</v>
      </c>
      <c r="AB50" s="96" t="n">
        <f aca="false">AB42*AB48</f>
        <v>6082.27048850438</v>
      </c>
      <c r="AC50" s="96" t="n">
        <f aca="false">AC42*AC48</f>
        <v>6812.04581431596</v>
      </c>
      <c r="AD50" s="96" t="n">
        <f aca="false">AD42*AD48</f>
        <v>7667.24398264087</v>
      </c>
      <c r="AE50" s="96" t="n">
        <f aca="false">AE42*AE48</f>
        <v>8734.20855276367</v>
      </c>
      <c r="AF50" s="96" t="n">
        <f aca="false">AF42*AF48</f>
        <v>8691.99654580679</v>
      </c>
      <c r="AG50" s="96" t="n">
        <f aca="false">AG42*AG48</f>
        <v>8556.0309829228</v>
      </c>
      <c r="AI50" s="96" t="n">
        <f aca="false">SUMIF($F$7:$AG$7,AI$7,$F50:$AG50)</f>
        <v>241.622391822977</v>
      </c>
      <c r="AJ50" s="96" t="n">
        <f aca="false">SUMIF($F$7:$AG$7,AJ$7,$F50:$AG50)</f>
        <v>697.78822230701</v>
      </c>
      <c r="AK50" s="96" t="n">
        <f aca="false">SUMIF($F$7:$AG$7,AK$7,$F50:$AG50)</f>
        <v>1152.14762012118</v>
      </c>
      <c r="AL50" s="96" t="n">
        <f aca="false">SUMIF($F$7:$AG$7,AL$7,$F50:$AG50)</f>
        <v>3869.32374865095</v>
      </c>
      <c r="AM50" s="96" t="n">
        <f aca="false">SUMIF($F$7:$AG$7,AM$7,$F50:$AG50)</f>
        <v>11899.3226990721</v>
      </c>
      <c r="AN50" s="96" t="n">
        <f aca="false">SUMIF($F$7:$AG$7,AN$7,$F50:$AG50)</f>
        <v>22648.8776276618</v>
      </c>
      <c r="AO50" s="96" t="n">
        <f aca="false">SUMIF($F$7:$AG$7,AO$7,$F50:$AG50)</f>
        <v>33649.4800641341</v>
      </c>
    </row>
    <row r="51" customFormat="false" ht="15" hidden="false" customHeight="false" outlineLevel="0" collapsed="false">
      <c r="A51" s="3" t="s">
        <v>1830</v>
      </c>
      <c r="B51" s="20" t="s">
        <v>561</v>
      </c>
      <c r="C51" s="20" t="s">
        <v>495</v>
      </c>
      <c r="D51" s="20"/>
      <c r="F51" s="124" t="n">
        <f aca="false">F46*F49</f>
        <v>13.20211359954</v>
      </c>
      <c r="G51" s="124" t="n">
        <f aca="false">G46*G49</f>
        <v>13.20211359954</v>
      </c>
      <c r="H51" s="124" t="n">
        <f aca="false">H46*H49</f>
        <v>13.3471917709635</v>
      </c>
      <c r="I51" s="124" t="n">
        <f aca="false">I46*I49</f>
        <v>14.6821056128563</v>
      </c>
      <c r="J51" s="124" t="n">
        <f aca="false">J46*J49</f>
        <v>17.6935065368213</v>
      </c>
      <c r="K51" s="124" t="n">
        <f aca="false">K46*K49</f>
        <v>24.1621881010993</v>
      </c>
      <c r="L51" s="124" t="n">
        <f aca="false">L46*L49</f>
        <v>31.5016380650904</v>
      </c>
      <c r="M51" s="124" t="n">
        <f aca="false">M46*M49</f>
        <v>47.8279744670362</v>
      </c>
      <c r="N51" s="124" t="n">
        <f aca="false">N46*N49</f>
        <v>44.594637961404</v>
      </c>
      <c r="O51" s="124" t="n">
        <f aca="false">O46*O49</f>
        <v>39.9581230173964</v>
      </c>
      <c r="P51" s="96" t="n">
        <f aca="false">P46*P49</f>
        <v>42.0706600691875</v>
      </c>
      <c r="Q51" s="96" t="n">
        <f aca="false">Q46*Q49</f>
        <v>52.4671123445594</v>
      </c>
      <c r="R51" s="96" t="n">
        <f aca="false">R46*R49</f>
        <v>81.8034981787915</v>
      </c>
      <c r="S51" s="96" t="n">
        <f aca="false">S46*S49</f>
        <v>139.637613513385</v>
      </c>
      <c r="T51" s="96" t="n">
        <f aca="false">T46*T49</f>
        <v>182.946471581135</v>
      </c>
      <c r="U51" s="96" t="n">
        <f aca="false">U46*U49</f>
        <v>199.987147785579</v>
      </c>
      <c r="V51" s="96" t="n">
        <f aca="false">V46*V49</f>
        <v>313.909417766604</v>
      </c>
      <c r="W51" s="96" t="n">
        <f aca="false">W46*W49</f>
        <v>441.824422344947</v>
      </c>
      <c r="X51" s="96" t="n">
        <f aca="false">X46*X49</f>
        <v>544.401808487986</v>
      </c>
      <c r="Y51" s="96" t="n">
        <f aca="false">Y46*Y49</f>
        <v>605.625603320242</v>
      </c>
      <c r="Z51" s="96" t="n">
        <f aca="false">Z46*Z49</f>
        <v>717.474186706759</v>
      </c>
      <c r="AA51" s="96" t="n">
        <f aca="false">AA46*AA49</f>
        <v>843.041377208861</v>
      </c>
      <c r="AB51" s="96" t="n">
        <f aca="false">AB46*AB49</f>
        <v>972.669087184688</v>
      </c>
      <c r="AC51" s="96" t="n">
        <f aca="false">AC46*AC49</f>
        <v>1089.1489756696</v>
      </c>
      <c r="AD51" s="96" t="n">
        <f aca="false">AD46*AD49</f>
        <v>1225.61941465991</v>
      </c>
      <c r="AE51" s="96" t="n">
        <f aca="false">AE46*AE49</f>
        <v>1395.95070294119</v>
      </c>
      <c r="AF51" s="96" t="n">
        <f aca="false">AF46*AF49</f>
        <v>1389.20026274383</v>
      </c>
      <c r="AG51" s="96" t="n">
        <f aca="false">AG46*AG49</f>
        <v>1367.46581192117</v>
      </c>
      <c r="AI51" s="96" t="n">
        <f aca="false">SUMIF($F$7:$AG$7,AI$7,$F51:$AG51)</f>
        <v>54.4335245828997</v>
      </c>
      <c r="AJ51" s="96" t="n">
        <f aca="false">SUMIF($F$7:$AG$7,AJ$7,$F51:$AG51)</f>
        <v>121.185307170047</v>
      </c>
      <c r="AK51" s="96" t="n">
        <f aca="false">SUMIF($F$7:$AG$7,AK$7,$F51:$AG51)</f>
        <v>179.090533392547</v>
      </c>
      <c r="AL51" s="96" t="n">
        <f aca="false">SUMIF($F$7:$AG$7,AL$7,$F51:$AG51)</f>
        <v>604.374731058891</v>
      </c>
      <c r="AM51" s="96" t="n">
        <f aca="false">SUMIF($F$7:$AG$7,AM$7,$F51:$AG51)</f>
        <v>1905.76125191978</v>
      </c>
      <c r="AN51" s="96" t="n">
        <f aca="false">SUMIF($F$7:$AG$7,AN$7,$F51:$AG51)</f>
        <v>3622.33362676991</v>
      </c>
      <c r="AO51" s="96" t="n">
        <f aca="false">SUMIF($F$7:$AG$7,AO$7,$F51:$AG51)</f>
        <v>5378.23619226609</v>
      </c>
    </row>
    <row r="53" customFormat="false" ht="15" hidden="false" customHeight="false" outlineLevel="0" collapsed="false">
      <c r="A53" s="53" t="s">
        <v>1831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customFormat="false" ht="15" hidden="false" customHeight="false" outlineLevel="0" collapsed="false">
      <c r="A54" s="104" t="s">
        <v>1832</v>
      </c>
      <c r="B54" s="20" t="s">
        <v>674</v>
      </c>
      <c r="C54" s="20" t="s">
        <v>495</v>
      </c>
      <c r="D54" s="20"/>
      <c r="F54" s="108" t="n">
        <f aca="false">IF(F$5&lt;NewDealIdx,F33,MIN(F33,INDEX($F$33:$AG$33,1,NewDealIdx-1)))</f>
        <v>13713</v>
      </c>
      <c r="G54" s="108" t="n">
        <f aca="false">IF(G$5&lt;NewDealIdx,G33,MIN(G33,INDEX($F$33:$AG$33,1,NewDealIdx-1)))</f>
        <v>13713</v>
      </c>
      <c r="H54" s="108" t="n">
        <f aca="false">IF(H$5&lt;NewDealIdx,H33,MIN(H33,INDEX($F$33:$AG$33,1,NewDealIdx-1)))</f>
        <v>13713</v>
      </c>
      <c r="I54" s="108" t="n">
        <f aca="false">IF(I$5&lt;NewDealIdx,I33,MIN(I33,INDEX($F$33:$AG$33,1,NewDealIdx-1)))</f>
        <v>15084.5</v>
      </c>
      <c r="J54" s="108" t="n">
        <f aca="false">IF(J$5&lt;NewDealIdx,J33,MIN(J33,INDEX($F$33:$AG$33,1,NewDealIdx-1)))</f>
        <v>23228</v>
      </c>
      <c r="K54" s="108" t="n">
        <f aca="false">IF(K$5&lt;NewDealIdx,K33,MIN(K33,INDEX($F$33:$AG$33,1,NewDealIdx-1)))</f>
        <v>31371.5</v>
      </c>
      <c r="L54" s="108" t="n">
        <f aca="false">IF(L$5&lt;NewDealIdx,L33,MIN(L33,INDEX($F$33:$AG$33,1,NewDealIdx-1)))</f>
        <v>32743</v>
      </c>
      <c r="M54" s="108" t="n">
        <f aca="false">IF(M$5&lt;NewDealIdx,M33,MIN(M33,INDEX($F$33:$AG$33,1,NewDealIdx-1)))</f>
        <v>32743</v>
      </c>
      <c r="N54" s="108" t="n">
        <f aca="false">IF(N$5&lt;NewDealIdx,N33,MIN(N33,INDEX($F$33:$AG$33,1,NewDealIdx-1)))</f>
        <v>32743</v>
      </c>
      <c r="O54" s="108" t="n">
        <f aca="false">IF(O$5&lt;NewDealIdx,O33,MIN(O33,INDEX($F$33:$AG$33,1,NewDealIdx-1)))</f>
        <v>32743</v>
      </c>
      <c r="P54" s="29" t="n">
        <f aca="false">IF(P$5&lt;NewDealIdx,P33,MIN(P33,INDEX($F$33:$AG$33,1,NewDealIdx-1)))</f>
        <v>32743</v>
      </c>
      <c r="Q54" s="29" t="n">
        <f aca="false">IF(Q$5&lt;NewDealIdx,Q33,MIN(Q33,INDEX($F$33:$AG$33,1,NewDealIdx-1)))</f>
        <v>32743</v>
      </c>
      <c r="R54" s="29" t="n">
        <f aca="false">IF(R$5&lt;NewDealIdx,R33,MIN(R33,INDEX($F$33:$AG$33,1,NewDealIdx-1)))</f>
        <v>32743</v>
      </c>
      <c r="S54" s="29" t="n">
        <f aca="false">IF(S$5&lt;NewDealIdx,S33,MIN(S33,INDEX($F$33:$AG$33,1,NewDealIdx-1)))</f>
        <v>32743</v>
      </c>
      <c r="T54" s="29" t="n">
        <f aca="false">IF(T$5&lt;NewDealIdx,T33,MIN(T33,INDEX($F$33:$AG$33,1,NewDealIdx-1)))</f>
        <v>32743</v>
      </c>
      <c r="U54" s="29" t="n">
        <f aca="false">IF(U$5&lt;NewDealIdx,U33,MIN(U33,INDEX($F$33:$AG$33,1,NewDealIdx-1)))</f>
        <v>32743</v>
      </c>
      <c r="V54" s="29" t="n">
        <f aca="false">IF(V$5&lt;NewDealIdx,V33,MIN(V33,INDEX($F$33:$AG$33,1,NewDealIdx-1)))</f>
        <v>32743</v>
      </c>
      <c r="W54" s="29" t="n">
        <f aca="false">IF(W$5&lt;NewDealIdx,W33,MIN(W33,INDEX($F$33:$AG$33,1,NewDealIdx-1)))</f>
        <v>32743</v>
      </c>
      <c r="X54" s="29" t="n">
        <f aca="false">IF(X$5&lt;NewDealIdx,X33,MIN(X33,INDEX($F$33:$AG$33,1,NewDealIdx-1)))</f>
        <v>32743</v>
      </c>
      <c r="Y54" s="29" t="n">
        <f aca="false">IF(Y$5&lt;NewDealIdx,Y33,MIN(Y33,INDEX($F$33:$AG$33,1,NewDealIdx-1)))</f>
        <v>32743</v>
      </c>
      <c r="Z54" s="29" t="n">
        <f aca="false">IF(Z$5&lt;NewDealIdx,Z33,MIN(Z33,INDEX($F$33:$AG$33,1,NewDealIdx-1)))</f>
        <v>32743</v>
      </c>
      <c r="AA54" s="29" t="n">
        <f aca="false">IF(AA$5&lt;NewDealIdx,AA33,MIN(AA33,INDEX($F$33:$AG$33,1,NewDealIdx-1)))</f>
        <v>32743</v>
      </c>
      <c r="AB54" s="29" t="n">
        <f aca="false">IF(AB$5&lt;NewDealIdx,AB33,MIN(AB33,INDEX($F$33:$AG$33,1,NewDealIdx-1)))</f>
        <v>32743</v>
      </c>
      <c r="AC54" s="29" t="n">
        <f aca="false">IF(AC$5&lt;NewDealIdx,AC33,MIN(AC33,INDEX($F$33:$AG$33,1,NewDealIdx-1)))</f>
        <v>32743</v>
      </c>
      <c r="AD54" s="29" t="n">
        <f aca="false">IF(AD$5&lt;NewDealIdx,AD33,MIN(AD33,INDEX($F$33:$AG$33,1,NewDealIdx-1)))</f>
        <v>32743</v>
      </c>
      <c r="AE54" s="29" t="n">
        <f aca="false">IF(AE$5&lt;NewDealIdx,AE33,MIN(AE33,INDEX($F$33:$AG$33,1,NewDealIdx-1)))</f>
        <v>32743</v>
      </c>
      <c r="AF54" s="29" t="n">
        <f aca="false">IF(AF$5&lt;NewDealIdx,AF33,MIN(AF33,INDEX($F$33:$AG$33,1,NewDealIdx-1)))</f>
        <v>32743</v>
      </c>
      <c r="AG54" s="29" t="n">
        <f aca="false">IF(AG$5&lt;NewDealIdx,AG33,MIN(AG33,INDEX($F$33:$AG$33,1,NewDealIdx-1)))</f>
        <v>32743</v>
      </c>
      <c r="AI54" s="29" t="n">
        <f aca="false">AVERAGEIF($F$7:$AG$7,AI$7,$F54:$AG54)</f>
        <v>14055.875</v>
      </c>
      <c r="AJ54" s="29" t="n">
        <f aca="false">AVERAGEIF($F$7:$AG$7,AJ$7,$F54:$AG54)</f>
        <v>30021.375</v>
      </c>
      <c r="AK54" s="29" t="n">
        <f aca="false">AVERAGEIF($F$7:$AG$7,AK$7,$F54:$AG54)</f>
        <v>32743</v>
      </c>
      <c r="AL54" s="29" t="n">
        <f aca="false">AVERAGEIF($F$7:$AG$7,AL$7,$F54:$AG54)</f>
        <v>32743</v>
      </c>
      <c r="AM54" s="29" t="n">
        <f aca="false">AVERAGEIF($F$7:$AG$7,AM$7,$F54:$AG54)</f>
        <v>32743</v>
      </c>
      <c r="AN54" s="29" t="n">
        <f aca="false">AVERAGEIF($F$7:$AG$7,AN$7,$F54:$AG54)</f>
        <v>32743</v>
      </c>
      <c r="AO54" s="29" t="n">
        <f aca="false">AVERAGEIF($F$7:$AG$7,AO$7,$F54:$AG54)</f>
        <v>32743</v>
      </c>
    </row>
    <row r="55" customFormat="false" ht="15" hidden="false" customHeight="false" outlineLevel="0" collapsed="false">
      <c r="A55" s="104" t="s">
        <v>1833</v>
      </c>
      <c r="B55" s="20" t="s">
        <v>674</v>
      </c>
      <c r="C55" s="20" t="s">
        <v>495</v>
      </c>
      <c r="D55" s="20"/>
      <c r="F55" s="108" t="n">
        <f aca="false">IF(F$5&lt;NewDealIdx,F34,MIN(F34,INDEX($F$34:$AG$34,1,NewDealIdx-1)))</f>
        <v>0</v>
      </c>
      <c r="G55" s="108" t="n">
        <f aca="false">IF(G$5&lt;NewDealIdx,G34,MIN(G34,INDEX($F$34:$AG$34,1,NewDealIdx-1)))</f>
        <v>0</v>
      </c>
      <c r="H55" s="108" t="n">
        <f aca="false">IF(H$5&lt;NewDealIdx,H34,MIN(H34,INDEX($F$34:$AG$34,1,NewDealIdx-1)))</f>
        <v>0</v>
      </c>
      <c r="I55" s="108" t="n">
        <f aca="false">IF(I$5&lt;NewDealIdx,I34,MIN(I34,INDEX($F$34:$AG$34,1,NewDealIdx-1)))</f>
        <v>0</v>
      </c>
      <c r="J55" s="108" t="n">
        <f aca="false">IF(J$5&lt;NewDealIdx,J34,MIN(J34,INDEX($F$34:$AG$34,1,NewDealIdx-1)))</f>
        <v>0</v>
      </c>
      <c r="K55" s="108" t="n">
        <f aca="false">IF(K$5&lt;NewDealIdx,K34,MIN(K34,INDEX($F$34:$AG$34,1,NewDealIdx-1)))</f>
        <v>0</v>
      </c>
      <c r="L55" s="108" t="n">
        <f aca="false">IF(L$5&lt;NewDealIdx,L34,MIN(L34,INDEX($F$34:$AG$34,1,NewDealIdx-1)))</f>
        <v>3536</v>
      </c>
      <c r="M55" s="108" t="n">
        <f aca="false">IF(M$5&lt;NewDealIdx,M34,MIN(M34,INDEX($F$34:$AG$34,1,NewDealIdx-1)))</f>
        <v>13148.0416666667</v>
      </c>
      <c r="N55" s="108" t="n">
        <f aca="false">IF(N$5&lt;NewDealIdx,N34,MIN(N34,INDEX($F$34:$AG$34,1,NewDealIdx-1)))</f>
        <v>15731.625</v>
      </c>
      <c r="O55" s="108" t="n">
        <f aca="false">IF(O$5&lt;NewDealIdx,O34,MIN(O34,INDEX($F$34:$AG$34,1,NewDealIdx-1)))</f>
        <v>12232.6666666667</v>
      </c>
      <c r="P55" s="29" t="n">
        <f aca="false">IF(P$5&lt;NewDealIdx,P34,MIN(P34,INDEX($F$34:$AG$34,1,NewDealIdx-1)))</f>
        <v>12226.1666666667</v>
      </c>
      <c r="Q55" s="29" t="n">
        <f aca="false">IF(Q$5&lt;NewDealIdx,Q34,MIN(Q34,INDEX($F$34:$AG$34,1,NewDealIdx-1)))</f>
        <v>13554.1666666667</v>
      </c>
      <c r="R55" s="29" t="n">
        <f aca="false">IF(R$5&lt;NewDealIdx,R34,MIN(R34,INDEX($F$34:$AG$34,1,NewDealIdx-1)))</f>
        <v>13554.1666666667</v>
      </c>
      <c r="S55" s="29" t="n">
        <f aca="false">IF(S$5&lt;NewDealIdx,S34,MIN(S34,INDEX($F$34:$AG$34,1,NewDealIdx-1)))</f>
        <v>13554.1666666667</v>
      </c>
      <c r="T55" s="29" t="n">
        <f aca="false">IF(T$5&lt;NewDealIdx,T34,MIN(T34,INDEX($F$34:$AG$34,1,NewDealIdx-1)))</f>
        <v>13554.1666666667</v>
      </c>
      <c r="U55" s="29" t="n">
        <f aca="false">IF(U$5&lt;NewDealIdx,U34,MIN(U34,INDEX($F$34:$AG$34,1,NewDealIdx-1)))</f>
        <v>13554.1666666667</v>
      </c>
      <c r="V55" s="29" t="n">
        <f aca="false">IF(V$5&lt;NewDealIdx,V34,MIN(V34,INDEX($F$34:$AG$34,1,NewDealIdx-1)))</f>
        <v>13554.1666666667</v>
      </c>
      <c r="W55" s="29" t="n">
        <f aca="false">IF(W$5&lt;NewDealIdx,W34,MIN(W34,INDEX($F$34:$AG$34,1,NewDealIdx-1)))</f>
        <v>13554.1666666667</v>
      </c>
      <c r="X55" s="29" t="n">
        <f aca="false">IF(X$5&lt;NewDealIdx,X34,MIN(X34,INDEX($F$34:$AG$34,1,NewDealIdx-1)))</f>
        <v>13554.1666666667</v>
      </c>
      <c r="Y55" s="29" t="n">
        <f aca="false">IF(Y$5&lt;NewDealIdx,Y34,MIN(Y34,INDEX($F$34:$AG$34,1,NewDealIdx-1)))</f>
        <v>13554.1666666667</v>
      </c>
      <c r="Z55" s="29" t="n">
        <f aca="false">IF(Z$5&lt;NewDealIdx,Z34,MIN(Z34,INDEX($F$34:$AG$34,1,NewDealIdx-1)))</f>
        <v>13554.1666666667</v>
      </c>
      <c r="AA55" s="29" t="n">
        <f aca="false">IF(AA$5&lt;NewDealIdx,AA34,MIN(AA34,INDEX($F$34:$AG$34,1,NewDealIdx-1)))</f>
        <v>13554.1666666667</v>
      </c>
      <c r="AB55" s="29" t="n">
        <f aca="false">IF(AB$5&lt;NewDealIdx,AB34,MIN(AB34,INDEX($F$34:$AG$34,1,NewDealIdx-1)))</f>
        <v>13554.1666666667</v>
      </c>
      <c r="AC55" s="29" t="n">
        <f aca="false">IF(AC$5&lt;NewDealIdx,AC34,MIN(AC34,INDEX($F$34:$AG$34,1,NewDealIdx-1)))</f>
        <v>13554.1666666667</v>
      </c>
      <c r="AD55" s="29" t="n">
        <f aca="false">IF(AD$5&lt;NewDealIdx,AD34,MIN(AD34,INDEX($F$34:$AG$34,1,NewDealIdx-1)))</f>
        <v>13554.1666666667</v>
      </c>
      <c r="AE55" s="29" t="n">
        <f aca="false">IF(AE$5&lt;NewDealIdx,AE34,MIN(AE34,INDEX($F$34:$AG$34,1,NewDealIdx-1)))</f>
        <v>13554.1666666667</v>
      </c>
      <c r="AF55" s="29" t="n">
        <f aca="false">IF(AF$5&lt;NewDealIdx,AF34,MIN(AF34,INDEX($F$34:$AG$34,1,NewDealIdx-1)))</f>
        <v>13554.1666666667</v>
      </c>
      <c r="AG55" s="29" t="n">
        <f aca="false">IF(AG$5&lt;NewDealIdx,AG34,MIN(AG34,INDEX($F$34:$AG$34,1,NewDealIdx-1)))</f>
        <v>13554.1666666667</v>
      </c>
      <c r="AI55" s="29" t="n">
        <f aca="false">AVERAGEIF($F$7:$AG$7,AI$7,$F55:$AG55)</f>
        <v>0</v>
      </c>
      <c r="AJ55" s="29" t="n">
        <f aca="false">AVERAGEIF($F$7:$AG$7,AJ$7,$F55:$AG55)</f>
        <v>4171.01041666667</v>
      </c>
      <c r="AK55" s="29" t="n">
        <f aca="false">AVERAGEIF($F$7:$AG$7,AK$7,$F55:$AG55)</f>
        <v>13436.15625</v>
      </c>
      <c r="AL55" s="29" t="n">
        <f aca="false">AVERAGEIF($F$7:$AG$7,AL$7,$F55:$AG55)</f>
        <v>13554.1666666667</v>
      </c>
      <c r="AM55" s="29" t="n">
        <f aca="false">AVERAGEIF($F$7:$AG$7,AM$7,$F55:$AG55)</f>
        <v>13554.1666666667</v>
      </c>
      <c r="AN55" s="29" t="n">
        <f aca="false">AVERAGEIF($F$7:$AG$7,AN$7,$F55:$AG55)</f>
        <v>13554.1666666667</v>
      </c>
      <c r="AO55" s="29" t="n">
        <f aca="false">AVERAGEIF($F$7:$AG$7,AO$7,$F55:$AG55)</f>
        <v>13554.1666666667</v>
      </c>
    </row>
    <row r="56" customFormat="false" ht="15" hidden="false" customHeight="false" outlineLevel="0" collapsed="false">
      <c r="A56" s="104" t="s">
        <v>1834</v>
      </c>
      <c r="B56" s="20" t="s">
        <v>674</v>
      </c>
      <c r="C56" s="20" t="s">
        <v>495</v>
      </c>
      <c r="D56" s="20"/>
      <c r="F56" s="108" t="n">
        <f aca="false">IF(F$5&lt;NewDealIdx,F35,MIN(F35,INDEX($F$35:$AG$35,1,NewDealIdx-1)))</f>
        <v>0</v>
      </c>
      <c r="G56" s="108" t="n">
        <f aca="false">IF(G$5&lt;NewDealIdx,G35,MIN(G35,INDEX($F$35:$AG$35,1,NewDealIdx-1)))</f>
        <v>0</v>
      </c>
      <c r="H56" s="108" t="n">
        <f aca="false">IF(H$5&lt;NewDealIdx,H35,MIN(H35,INDEX($F$35:$AG$35,1,NewDealIdx-1)))</f>
        <v>0</v>
      </c>
      <c r="I56" s="108" t="n">
        <f aca="false">IF(I$5&lt;NewDealIdx,I35,MIN(I35,INDEX($F$35:$AG$35,1,NewDealIdx-1)))</f>
        <v>0</v>
      </c>
      <c r="J56" s="108" t="n">
        <f aca="false">IF(J$5&lt;NewDealIdx,J35,MIN(J35,INDEX($F$35:$AG$35,1,NewDealIdx-1)))</f>
        <v>0</v>
      </c>
      <c r="K56" s="108" t="n">
        <f aca="false">IF(K$5&lt;NewDealIdx,K35,MIN(K35,INDEX($F$35:$AG$35,1,NewDealIdx-1)))</f>
        <v>0</v>
      </c>
      <c r="L56" s="108" t="n">
        <f aca="false">IF(L$5&lt;NewDealIdx,L35,MIN(L35,INDEX($F$35:$AG$35,1,NewDealIdx-1)))</f>
        <v>0</v>
      </c>
      <c r="M56" s="108" t="n">
        <f aca="false">IF(M$5&lt;NewDealIdx,M35,MIN(M35,INDEX($F$35:$AG$35,1,NewDealIdx-1)))</f>
        <v>0</v>
      </c>
      <c r="N56" s="108" t="n">
        <f aca="false">IF(N$5&lt;NewDealIdx,N35,MIN(N35,INDEX($F$35:$AG$35,1,NewDealIdx-1)))</f>
        <v>0</v>
      </c>
      <c r="O56" s="108" t="n">
        <f aca="false">IF(O$5&lt;NewDealIdx,O35,MIN(O35,INDEX($F$35:$AG$35,1,NewDealIdx-1)))</f>
        <v>0</v>
      </c>
      <c r="P56" s="29" t="n">
        <f aca="false">IF(P$5&lt;NewDealIdx,P35,MIN(P35,INDEX($F$35:$AG$35,1,NewDealIdx-1)))</f>
        <v>0</v>
      </c>
      <c r="Q56" s="29" t="n">
        <f aca="false">IF(Q$5&lt;NewDealIdx,Q35,MIN(Q35,INDEX($F$35:$AG$35,1,NewDealIdx-1)))</f>
        <v>0</v>
      </c>
      <c r="R56" s="29" t="n">
        <f aca="false">IF(R$5&lt;NewDealIdx,R35,MIN(R35,INDEX($F$35:$AG$35,1,NewDealIdx-1)))</f>
        <v>0</v>
      </c>
      <c r="S56" s="29" t="n">
        <f aca="false">IF(S$5&lt;NewDealIdx,S35,MIN(S35,INDEX($F$35:$AG$35,1,NewDealIdx-1)))</f>
        <v>0</v>
      </c>
      <c r="T56" s="29" t="n">
        <f aca="false">IF(T$5&lt;NewDealIdx,T35,MIN(T35,INDEX($F$35:$AG$35,1,NewDealIdx-1)))</f>
        <v>0</v>
      </c>
      <c r="U56" s="29" t="n">
        <f aca="false">IF(U$5&lt;NewDealIdx,U35,MIN(U35,INDEX($F$35:$AG$35,1,NewDealIdx-1)))</f>
        <v>0</v>
      </c>
      <c r="V56" s="29" t="n">
        <f aca="false">IF(V$5&lt;NewDealIdx,V35,MIN(V35,INDEX($F$35:$AG$35,1,NewDealIdx-1)))</f>
        <v>0</v>
      </c>
      <c r="W56" s="29" t="n">
        <f aca="false">IF(W$5&lt;NewDealIdx,W35,MIN(W35,INDEX($F$35:$AG$35,1,NewDealIdx-1)))</f>
        <v>0</v>
      </c>
      <c r="X56" s="29" t="n">
        <f aca="false">IF(X$5&lt;NewDealIdx,X35,MIN(X35,INDEX($F$35:$AG$35,1,NewDealIdx-1)))</f>
        <v>0</v>
      </c>
      <c r="Y56" s="29" t="n">
        <f aca="false">IF(Y$5&lt;NewDealIdx,Y35,MIN(Y35,INDEX($F$35:$AG$35,1,NewDealIdx-1)))</f>
        <v>0</v>
      </c>
      <c r="Z56" s="29" t="n">
        <f aca="false">IF(Z$5&lt;NewDealIdx,Z35,MIN(Z35,INDEX($F$35:$AG$35,1,NewDealIdx-1)))</f>
        <v>0</v>
      </c>
      <c r="AA56" s="29" t="n">
        <f aca="false">IF(AA$5&lt;NewDealIdx,AA35,MIN(AA35,INDEX($F$35:$AG$35,1,NewDealIdx-1)))</f>
        <v>0</v>
      </c>
      <c r="AB56" s="29" t="n">
        <f aca="false">IF(AB$5&lt;NewDealIdx,AB35,MIN(AB35,INDEX($F$35:$AG$35,1,NewDealIdx-1)))</f>
        <v>0</v>
      </c>
      <c r="AC56" s="29" t="n">
        <f aca="false">IF(AC$5&lt;NewDealIdx,AC35,MIN(AC35,INDEX($F$35:$AG$35,1,NewDealIdx-1)))</f>
        <v>0</v>
      </c>
      <c r="AD56" s="29" t="n">
        <f aca="false">IF(AD$5&lt;NewDealIdx,AD35,MIN(AD35,INDEX($F$35:$AG$35,1,NewDealIdx-1)))</f>
        <v>0</v>
      </c>
      <c r="AE56" s="29" t="n">
        <f aca="false">IF(AE$5&lt;NewDealIdx,AE35,MIN(AE35,INDEX($F$35:$AG$35,1,NewDealIdx-1)))</f>
        <v>0</v>
      </c>
      <c r="AF56" s="29" t="n">
        <f aca="false">IF(AF$5&lt;NewDealIdx,AF35,MIN(AF35,INDEX($F$35:$AG$35,1,NewDealIdx-1)))</f>
        <v>0</v>
      </c>
      <c r="AG56" s="29" t="n">
        <f aca="false">IF(AG$5&lt;NewDealIdx,AG35,MIN(AG35,INDEX($F$35:$AG$35,1,NewDealIdx-1)))</f>
        <v>0</v>
      </c>
      <c r="AI56" s="29" t="n">
        <f aca="false">AVERAGEIF($F$7:$AG$7,AI$7,$F56:$AG56)</f>
        <v>0</v>
      </c>
      <c r="AJ56" s="29" t="n">
        <f aca="false">AVERAGEIF($F$7:$AG$7,AJ$7,$F56:$AG56)</f>
        <v>0</v>
      </c>
      <c r="AK56" s="29" t="n">
        <f aca="false">AVERAGEIF($F$7:$AG$7,AK$7,$F56:$AG56)</f>
        <v>0</v>
      </c>
      <c r="AL56" s="29" t="n">
        <f aca="false">AVERAGEIF($F$7:$AG$7,AL$7,$F56:$AG56)</f>
        <v>0</v>
      </c>
      <c r="AM56" s="29" t="n">
        <f aca="false">AVERAGEIF($F$7:$AG$7,AM$7,$F56:$AG56)</f>
        <v>0</v>
      </c>
      <c r="AN56" s="29" t="n">
        <f aca="false">AVERAGEIF($F$7:$AG$7,AN$7,$F56:$AG56)</f>
        <v>0</v>
      </c>
      <c r="AO56" s="29" t="n">
        <f aca="false">AVERAGEIF($F$7:$AG$7,AO$7,$F56:$AG56)</f>
        <v>0</v>
      </c>
    </row>
    <row r="57" customFormat="false" ht="15" hidden="false" customHeight="false" outlineLevel="0" collapsed="false">
      <c r="A57" s="104" t="s">
        <v>1835</v>
      </c>
      <c r="B57" s="20" t="s">
        <v>561</v>
      </c>
      <c r="C57" s="20" t="s">
        <v>495</v>
      </c>
      <c r="D57" s="20"/>
      <c r="F57" s="122" t="n">
        <f aca="false">IF(F33&gt;0,F54/F33,0)*(F39*F48+F43*F49)+IF(F34&gt;0,F55/F34,0)*(F40*F48+F44*F49)+IF(F35&gt;0,F56/F35,0)*(F41*F48+F45*F49)</f>
        <v>71.8043498038371</v>
      </c>
      <c r="G57" s="122" t="n">
        <f aca="false">IF(G33&gt;0,G54/G33,0)*(G39*G48+G43*G49)+IF(G34&gt;0,G55/G34,0)*(G40*G48+G44*G49)+IF(G35&gt;0,G56/G35,0)*(G41*G48+G45*G49)</f>
        <v>71.8043498038371</v>
      </c>
      <c r="H57" s="122" t="n">
        <f aca="false">IF(H33&gt;0,H54/H33,0)*(H39*H48+H43*H49)+IF(H34&gt;0,H55/H34,0)*(H40*H48+H44*H49)+IF(H35&gt;0,H56/H35,0)*(H41*H48+H45*H49)</f>
        <v>72.5934085928903</v>
      </c>
      <c r="I57" s="122" t="n">
        <f aca="false">IF(I33&gt;0,I54/I33,0)*(I39*I48+I43*I49)+IF(I34&gt;0,I55/I34,0)*(I40*I48+I44*I49)+IF(I35&gt;0,I56/I35,0)*(I41*I48+I45*I49)</f>
        <v>79.8538082053127</v>
      </c>
      <c r="J57" s="122" t="n">
        <f aca="false">IF(J33&gt;0,J54/J33,0)*(J39*J48+J43*J49)+IF(J34&gt;0,J55/J34,0)*(J40*J48+J44*J49)+IF(J35&gt;0,J56/J35,0)*(J41*J48+J45*J49)</f>
        <v>119.332040815163</v>
      </c>
      <c r="K57" s="122" t="n">
        <f aca="false">IF(K33&gt;0,K54/K33,0)*(K39*K48+K43*K49)+IF(K34&gt;0,K55/K34,0)*(K40*K48+K44*K49)+IF(K35&gt;0,K56/K35,0)*(K41*K48+K45*K49)</f>
        <v>162.95940042544</v>
      </c>
      <c r="L57" s="122" t="n">
        <f aca="false">IF(L33&gt;0,L54/L33,0)*(L39*L48+L43*L49)+IF(L34&gt;0,L55/L34,0)*(L40*L48+L44*L49)+IF(L35&gt;0,L56/L35,0)*(L41*L48+L45*L49)</f>
        <v>212.809617319735</v>
      </c>
      <c r="M57" s="122" t="n">
        <f aca="false">IF(M33&gt;0,M54/M33,0)*(M39*M48+M43*M49)+IF(M34&gt;0,M55/M34,0)*(M40*M48+M44*M49)+IF(M35&gt;0,M56/M35,0)*(M41*M48+M45*M49)</f>
        <v>323.872470916719</v>
      </c>
      <c r="N57" s="122" t="n">
        <f aca="false">IF(N33&gt;0,N54/N33,0)*(N39*N48+N43*N49)+IF(N34&gt;0,N55/N34,0)*(N40*N48+N44*N49)+IF(N35&gt;0,N56/N35,0)*(N41*N48+N45*N49)</f>
        <v>346.251961361847</v>
      </c>
      <c r="O57" s="122" t="n">
        <f aca="false">IF(O33&gt;0,O54/O33,0)*(O39*O48+O43*O49)+IF(O34&gt;0,O55/O34,0)*(O40*O48+O44*O49)+IF(O35&gt;0,O56/O35,0)*(O41*O48+O45*O49)</f>
        <v>310.080972222222</v>
      </c>
      <c r="P57" s="123" t="n">
        <f aca="false">IF(P33&gt;0,P54/P33,0)*(P39*P48+P43*P49)+IF(P34&gt;0,P55/P34,0)*(P40*P48+P44*P49)+IF(P35&gt;0,P56/P35,0)*(P41*P48+P45*P49)</f>
        <v>316.545910588587</v>
      </c>
      <c r="Q57" s="123" t="n">
        <f aca="false">IF(Q33&gt;0,Q54/Q33,0)*(Q39*Q48+Q43*Q49)+IF(Q34&gt;0,Q55/Q34,0)*(Q40*Q48+Q44*Q49)+IF(Q35&gt;0,Q56/Q35,0)*(Q41*Q48+Q45*Q49)</f>
        <v>358.359309341066</v>
      </c>
      <c r="R57" s="123" t="n">
        <f aca="false">IF(R33&gt;0,R54/R33,0)*(R39*R48+R43*R49)+IF(R34&gt;0,R55/R34,0)*(R40*R48+R44*R49)+IF(R35&gt;0,R56/R35,0)*(R41*R48+R45*R49)</f>
        <v>357.882853060247</v>
      </c>
      <c r="S57" s="123" t="n">
        <f aca="false">IF(S33&gt;0,S54/S33,0)*(S39*S48+S43*S49)+IF(S34&gt;0,S55/S34,0)*(S40*S48+S44*S49)+IF(S35&gt;0,S56/S35,0)*(S41*S48+S45*S49)</f>
        <v>354.679608499199</v>
      </c>
      <c r="T57" s="123" t="n">
        <f aca="false">IF(T33&gt;0,T54/T33,0)*(T39*T48+T43*T49)+IF(T34&gt;0,T55/T34,0)*(T40*T48+T44*T49)+IF(T35&gt;0,T56/T35,0)*(T41*T48+T45*T49)</f>
        <v>346.875566686477</v>
      </c>
      <c r="U57" s="123" t="n">
        <f aca="false">IF(U33&gt;0,U54/U33,0)*(U39*U48+U43*U49)+IF(U34&gt;0,U55/U34,0)*(U40*U48+U44*U49)+IF(U35&gt;0,U56/U35,0)*(U41*U48+U45*U49)</f>
        <v>333.049754980585</v>
      </c>
      <c r="V57" s="123" t="n">
        <f aca="false">IF(V33&gt;0,V54/V33,0)*(V39*V48+V43*V49)+IF(V34&gt;0,V55/V34,0)*(V40*V48+V44*V49)+IF(V35&gt;0,V56/V35,0)*(V41*V48+V45*V49)</f>
        <v>326.191467726988</v>
      </c>
      <c r="W57" s="123" t="n">
        <f aca="false">IF(W33&gt;0,W54/W33,0)*(W39*W48+W43*W49)+IF(W34&gt;0,W55/W34,0)*(W40*W48+W44*W49)+IF(W35&gt;0,W56/W35,0)*(W41*W48+W45*W49)</f>
        <v>317.480720594805</v>
      </c>
      <c r="X57" s="123" t="n">
        <f aca="false">IF(X33&gt;0,X54/X33,0)*(X39*X48+X43*X49)+IF(X34&gt;0,X55/X34,0)*(X40*X48+X44*X49)+IF(X35&gt;0,X56/X35,0)*(X41*X48+X45*X49)</f>
        <v>311.782514197154</v>
      </c>
      <c r="Y57" s="123" t="n">
        <f aca="false">IF(Y33&gt;0,Y54/Y33,0)*(Y39*Y48+Y43*Y49)+IF(Y34&gt;0,Y55/Y34,0)*(Y40*Y48+Y44*Y49)+IF(Y35&gt;0,Y56/Y35,0)*(Y41*Y48+Y45*Y49)</f>
        <v>302.90614840579</v>
      </c>
      <c r="Z57" s="123" t="n">
        <f aca="false">IF(Z33&gt;0,Z54/Z33,0)*(Z39*Z48+Z43*Z49)+IF(Z34&gt;0,Z55/Z34,0)*(Z40*Z48+Z44*Z49)+IF(Z35&gt;0,Z56/Z35,0)*(Z41*Z48+Z45*Z49)</f>
        <v>287.930446200385</v>
      </c>
      <c r="AA57" s="123" t="n">
        <f aca="false">IF(AA33&gt;0,AA54/AA33,0)*(AA39*AA48+AA43*AA49)+IF(AA34&gt;0,AA55/AA34,0)*(AA40*AA48+AA44*AA49)+IF(AA35&gt;0,AA56/AA35,0)*(AA41*AA48+AA45*AA49)</f>
        <v>282.93056750943</v>
      </c>
      <c r="AB57" s="123" t="n">
        <f aca="false">IF(AB33&gt;0,AB54/AB33,0)*(AB39*AB48+AB43*AB49)+IF(AB34&gt;0,AB55/AB34,0)*(AB40*AB48+AB44*AB49)+IF(AB35&gt;0,AB56/AB35,0)*(AB41*AB48+AB45*AB49)</f>
        <v>278.027882766656</v>
      </c>
      <c r="AC57" s="123" t="n">
        <f aca="false">IF(AC33&gt;0,AC54/AC33,0)*(AC39*AC48+AC43*AC49)+IF(AC34&gt;0,AC55/AC34,0)*(AC40*AC48+AC44*AC49)+IF(AC35&gt;0,AC56/AC35,0)*(AC41*AC48+AC45*AC49)</f>
        <v>270.283228503528</v>
      </c>
      <c r="AD57" s="123" t="n">
        <f aca="false">IF(AD33&gt;0,AD54/AD33,0)*(AD39*AD48+AD43*AD49)+IF(AD34&gt;0,AD55/AD34,0)*(AD40*AD48+AD44*AD49)+IF(AD35&gt;0,AD56/AD35,0)*(AD41*AD48+AD45*AD49)</f>
        <v>257.082936377627</v>
      </c>
      <c r="AE57" s="123" t="n">
        <f aca="false">IF(AE33&gt;0,AE54/AE33,0)*(AE39*AE48+AE43*AE49)+IF(AE34&gt;0,AE55/AE34,0)*(AE40*AE48+AE44*AE49)+IF(AE35&gt;0,AE56/AE35,0)*(AE41*AE48+AE45*AE49)</f>
        <v>252.77862008663</v>
      </c>
      <c r="AF57" s="123" t="n">
        <f aca="false">IF(AF33&gt;0,AF54/AF33,0)*(AF39*AF48+AF43*AF49)+IF(AF34&gt;0,AF55/AF34,0)*(AF40*AF48+AF44*AF49)+IF(AF35&gt;0,AF56/AF35,0)*(AF41*AF48+AF45*AF49)</f>
        <v>248.555681308788</v>
      </c>
      <c r="AG57" s="123" t="n">
        <f aca="false">IF(AG33&gt;0,AG54/AG33,0)*(AG39*AG48+AG43*AG49)+IF(AG34&gt;0,AG55/AG34,0)*(AG40*AG48+AG44*AG49)+IF(AG35&gt;0,AG56/AG35,0)*(AG41*AG48+AG45*AG49)</f>
        <v>241.784966445089</v>
      </c>
      <c r="AI57" s="123" t="n">
        <f aca="false">SUMIF($F$7:$AG$7,AI$7,$F57:$AG57)</f>
        <v>296.055916405877</v>
      </c>
      <c r="AJ57" s="123" t="n">
        <f aca="false">SUMIF($F$7:$AG$7,AJ$7,$F57:$AG57)</f>
        <v>818.973529477057</v>
      </c>
      <c r="AK57" s="123" t="n">
        <f aca="false">SUMIF($F$7:$AG$7,AK$7,$F57:$AG57)</f>
        <v>1331.23815351372</v>
      </c>
      <c r="AL57" s="123" t="n">
        <f aca="false">SUMIF($F$7:$AG$7,AL$7,$F57:$AG57)</f>
        <v>1392.48778322651</v>
      </c>
      <c r="AM57" s="123" t="n">
        <f aca="false">SUMIF($F$7:$AG$7,AM$7,$F57:$AG57)</f>
        <v>1258.36085092474</v>
      </c>
      <c r="AN57" s="123" t="n">
        <f aca="false">SUMIF($F$7:$AG$7,AN$7,$F57:$AG57)</f>
        <v>1119.17212498</v>
      </c>
      <c r="AO57" s="123" t="n">
        <f aca="false">SUMIF($F$7:$AG$7,AO$7,$F57:$AG57)</f>
        <v>1000.20220421813</v>
      </c>
    </row>
    <row r="58" customFormat="false" ht="15" hidden="false" customHeight="false" outlineLevel="0" collapsed="false">
      <c r="A58" s="104" t="s">
        <v>1836</v>
      </c>
      <c r="B58" s="20" t="s">
        <v>575</v>
      </c>
      <c r="C58" s="20" t="s">
        <v>495</v>
      </c>
      <c r="D58" s="20"/>
      <c r="F58" s="108" t="n">
        <f aca="false">(F33-F54)/GPUMW_H+(F34-F55)/GPUMW_B+(F35-F56)/GPUMW_N</f>
        <v>0</v>
      </c>
      <c r="G58" s="108" t="n">
        <f aca="false">(G33-G54)/GPUMW_H+(G34-G55)/GPUMW_B+(G35-G56)/GPUMW_N</f>
        <v>0</v>
      </c>
      <c r="H58" s="108" t="n">
        <f aca="false">(H33-H54)/GPUMW_H+(H34-H55)/GPUMW_B+(H35-H56)/GPUMW_N</f>
        <v>0</v>
      </c>
      <c r="I58" s="108" t="n">
        <f aca="false">(I33-I54)/GPUMW_H+(I34-I55)/GPUMW_B+(I35-I56)/GPUMW_N</f>
        <v>0</v>
      </c>
      <c r="J58" s="108" t="n">
        <f aca="false">(J33-J54)/GPUMW_H+(J34-J55)/GPUMW_B+(J35-J56)/GPUMW_N</f>
        <v>0</v>
      </c>
      <c r="K58" s="108" t="n">
        <f aca="false">(K33-K54)/GPUMW_H+(K34-K55)/GPUMW_B+(K35-K56)/GPUMW_N</f>
        <v>0</v>
      </c>
      <c r="L58" s="108" t="n">
        <f aca="false">(L33-L54)/GPUMW_H+(L34-L55)/GPUMW_B+(L35-L56)/GPUMW_N</f>
        <v>0</v>
      </c>
      <c r="M58" s="108" t="n">
        <f aca="false">(M33-M54)/GPUMW_H+(M34-M55)/GPUMW_B+(M35-M56)/GPUMW_N</f>
        <v>0</v>
      </c>
      <c r="N58" s="108" t="n">
        <f aca="false">(N33-N54)/GPUMW_H+(N34-N55)/GPUMW_B+(N35-N56)/GPUMW_N</f>
        <v>0</v>
      </c>
      <c r="O58" s="108" t="n">
        <f aca="false">(O33-O54)/GPUMW_H+(O34-O55)/GPUMW_B+(O35-O56)/GPUMW_N</f>
        <v>0</v>
      </c>
      <c r="P58" s="29" t="n">
        <f aca="false">(P33-P54)/GPUMW_H+(P34-P55)/GPUMW_B+(P35-P56)/GPUMW_N</f>
        <v>0</v>
      </c>
      <c r="Q58" s="29" t="n">
        <f aca="false">(Q33-Q54)/GPUMW_H+(Q34-Q55)/GPUMW_B+(Q35-Q56)/GPUMW_N</f>
        <v>0</v>
      </c>
      <c r="R58" s="29" t="n">
        <f aca="false">(R33-R54)/GPUMW_H+(R34-R55)/GPUMW_B+(R35-R56)/GPUMW_N</f>
        <v>35.523</v>
      </c>
      <c r="S58" s="29" t="n">
        <f aca="false">(S33-S54)/GPUMW_H+(S34-S55)/GPUMW_B+(S35-S56)/GPUMW_N</f>
        <v>110.129625</v>
      </c>
      <c r="T58" s="29" t="n">
        <f aca="false">(T33-T54)/GPUMW_H+(T34-T55)/GPUMW_B+(T35-T56)/GPUMW_N</f>
        <v>173.637625</v>
      </c>
      <c r="U58" s="29" t="n">
        <f aca="false">(U33-U54)/GPUMW_H+(U34-U55)/GPUMW_B+(U35-U56)/GPUMW_N</f>
        <v>211.604979166667</v>
      </c>
      <c r="V58" s="29" t="n">
        <f aca="false">(V33-V54)/GPUMW_H+(V34-V55)/GPUMW_B+(V35-V56)/GPUMW_N</f>
        <v>345.655020833333</v>
      </c>
      <c r="W58" s="29" t="n">
        <f aca="false">(W33-W54)/GPUMW_H+(W34-W55)/GPUMW_B+(W35-W56)/GPUMW_N</f>
        <v>511.474833333333</v>
      </c>
      <c r="X58" s="29" t="n">
        <f aca="false">(X33-X54)/GPUMW_H+(X34-X55)/GPUMW_B+(X35-X56)/GPUMW_N</f>
        <v>640.793583333333</v>
      </c>
      <c r="Y58" s="29" t="n">
        <f aca="false">(Y33-Y54)/GPUMW_H+(Y34-Y55)/GPUMW_B+(Y35-Y56)/GPUMW_N</f>
        <v>728.393583333333</v>
      </c>
      <c r="Z58" s="29" t="n">
        <f aca="false">(Z33-Z54)/GPUMW_H+(Z34-Z55)/GPUMW_B+(Z35-Z56)/GPUMW_N</f>
        <v>905.217208333333</v>
      </c>
      <c r="AA58" s="29" t="n">
        <f aca="false">(AA33-AA54)/GPUMW_H+(AA34-AA55)/GPUMW_B+(AA35-AA56)/GPUMW_N</f>
        <v>1075.79083333333</v>
      </c>
      <c r="AB58" s="29" t="n">
        <f aca="false">(AB33-AB54)/GPUMW_H+(AB34-AB55)/GPUMW_B+(AB35-AB56)/GPUMW_N</f>
        <v>1251.00958333333</v>
      </c>
      <c r="AC58" s="29" t="n">
        <f aca="false">(AC33-AC54)/GPUMW_H+(AC34-AC55)/GPUMW_B+(AC35-AC56)/GPUMW_N</f>
        <v>1426.22833333333</v>
      </c>
      <c r="AD58" s="29" t="n">
        <f aca="false">(AD33-AD54)/GPUMW_H+(AD34-AD55)/GPUMW_B+(AD35-AD56)/GPUMW_N</f>
        <v>1670.28302083333</v>
      </c>
      <c r="AE58" s="29" t="n">
        <f aca="false">(AE33-AE54)/GPUMW_H+(AE34-AE55)/GPUMW_B+(AE35-AE56)/GPUMW_N</f>
        <v>1914.33770833333</v>
      </c>
      <c r="AF58" s="29" t="n">
        <f aca="false">(AF33-AF54)/GPUMW_H+(AF34-AF55)/GPUMW_B+(AF35-AF56)/GPUMW_N</f>
        <v>1914.33770833333</v>
      </c>
      <c r="AG58" s="29" t="n">
        <f aca="false">(AG33-AG54)/GPUMW_H+(AG34-AG55)/GPUMW_B+(AG35-AG56)/GPUMW_N</f>
        <v>1914.33770833333</v>
      </c>
      <c r="AI58" s="29" t="n">
        <f aca="false">AVERAGEIF($F$7:$AG$7,AI$7,$F58:$AG58)</f>
        <v>0</v>
      </c>
      <c r="AJ58" s="29" t="n">
        <f aca="false">AVERAGEIF($F$7:$AG$7,AJ$7,$F58:$AG58)</f>
        <v>0</v>
      </c>
      <c r="AK58" s="29" t="n">
        <f aca="false">AVERAGEIF($F$7:$AG$7,AK$7,$F58:$AG58)</f>
        <v>0</v>
      </c>
      <c r="AL58" s="29" t="n">
        <f aca="false">AVERAGEIF($F$7:$AG$7,AL$7,$F58:$AG58)</f>
        <v>132.723807291667</v>
      </c>
      <c r="AM58" s="29" t="n">
        <f aca="false">AVERAGEIF($F$7:$AG$7,AM$7,$F58:$AG58)</f>
        <v>556.579255208333</v>
      </c>
      <c r="AN58" s="29" t="n">
        <f aca="false">AVERAGEIF($F$7:$AG$7,AN$7,$F58:$AG58)</f>
        <v>1164.56148958333</v>
      </c>
      <c r="AO58" s="29" t="n">
        <f aca="false">AVERAGEIF($F$7:$AG$7,AO$7,$F58:$AG58)</f>
        <v>1853.32403645833</v>
      </c>
    </row>
    <row r="59" customFormat="false" ht="15" hidden="false" customHeight="false" outlineLevel="0" collapsed="false">
      <c r="A59" s="104" t="s">
        <v>1837</v>
      </c>
      <c r="B59" s="20" t="s">
        <v>575</v>
      </c>
      <c r="C59" s="20" t="s">
        <v>495</v>
      </c>
      <c r="D59" s="20"/>
      <c r="F59" s="108" t="n">
        <f aca="false">(F34-F55)/GPUMW_B+(F33-F54)/GPUMW_H</f>
        <v>0</v>
      </c>
      <c r="G59" s="108" t="n">
        <f aca="false">(G34-G55)/GPUMW_B+(G33-G54)/GPUMW_H</f>
        <v>0</v>
      </c>
      <c r="H59" s="108" t="n">
        <f aca="false">(H34-H55)/GPUMW_B+(H33-H54)/GPUMW_H</f>
        <v>0</v>
      </c>
      <c r="I59" s="108" t="n">
        <f aca="false">(I34-I55)/GPUMW_B+(I33-I54)/GPUMW_H</f>
        <v>0</v>
      </c>
      <c r="J59" s="108" t="n">
        <f aca="false">(J34-J55)/GPUMW_B+(J33-J54)/GPUMW_H</f>
        <v>0</v>
      </c>
      <c r="K59" s="108" t="n">
        <f aca="false">(K34-K55)/GPUMW_B+(K33-K54)/GPUMW_H</f>
        <v>0</v>
      </c>
      <c r="L59" s="108" t="n">
        <f aca="false">(L34-L55)/GPUMW_B+(L33-L54)/GPUMW_H</f>
        <v>0</v>
      </c>
      <c r="M59" s="108" t="n">
        <f aca="false">(M34-M55)/GPUMW_B+(M33-M54)/GPUMW_H</f>
        <v>0</v>
      </c>
      <c r="N59" s="108" t="n">
        <f aca="false">(N34-N55)/GPUMW_B+(N33-N54)/GPUMW_H</f>
        <v>0</v>
      </c>
      <c r="O59" s="108" t="n">
        <f aca="false">(O34-O55)/GPUMW_B+(O33-O54)/GPUMW_H</f>
        <v>0</v>
      </c>
      <c r="P59" s="29" t="n">
        <f aca="false">(P34-P55)/GPUMW_B+(P33-P54)/GPUMW_H</f>
        <v>0</v>
      </c>
      <c r="Q59" s="29" t="n">
        <f aca="false">(Q34-Q55)/GPUMW_B+(Q33-Q54)/GPUMW_H</f>
        <v>0</v>
      </c>
      <c r="R59" s="29" t="n">
        <f aca="false">(R34-R55)/GPUMW_B+(R33-R54)/GPUMW_H</f>
        <v>35.523</v>
      </c>
      <c r="S59" s="29" t="n">
        <f aca="false">(S34-S55)/GPUMW_B+(S33-S54)/GPUMW_H</f>
        <v>104.914</v>
      </c>
      <c r="T59" s="29" t="n">
        <f aca="false">(T34-T55)/GPUMW_B+(T33-T54)/GPUMW_H</f>
        <v>168.422</v>
      </c>
      <c r="U59" s="29" t="n">
        <f aca="false">(U34-U55)/GPUMW_B+(U33-U54)/GPUMW_H</f>
        <v>202.368</v>
      </c>
      <c r="V59" s="29" t="n">
        <f aca="false">(V34-V55)/GPUMW_B+(V33-V54)/GPUMW_H</f>
        <v>237.492</v>
      </c>
      <c r="W59" s="29" t="n">
        <f aca="false">(W34-W55)/GPUMW_B+(W33-W54)/GPUMW_H</f>
        <v>265.654</v>
      </c>
      <c r="X59" s="29" t="n">
        <f aca="false">(X34-X55)/GPUMW_B+(X33-X54)/GPUMW_H</f>
        <v>265.654</v>
      </c>
      <c r="Y59" s="29" t="n">
        <f aca="false">(Y34-Y55)/GPUMW_B+(Y33-Y54)/GPUMW_H</f>
        <v>265.654</v>
      </c>
      <c r="Z59" s="29" t="n">
        <f aca="false">(Z34-Z55)/GPUMW_B+(Z33-Z54)/GPUMW_H</f>
        <v>290.212</v>
      </c>
      <c r="AA59" s="29" t="n">
        <f aca="false">(AA34-AA55)/GPUMW_B+(AA33-AA54)/GPUMW_H</f>
        <v>314.77</v>
      </c>
      <c r="AB59" s="29" t="n">
        <f aca="false">(AB34-AB55)/GPUMW_B+(AB33-AB54)/GPUMW_H</f>
        <v>314.77</v>
      </c>
      <c r="AC59" s="29" t="n">
        <f aca="false">(AC34-AC55)/GPUMW_B+(AC33-AC54)/GPUMW_H</f>
        <v>314.77</v>
      </c>
      <c r="AD59" s="29" t="n">
        <f aca="false">(AD34-AD55)/GPUMW_B+(AD33-AD54)/GPUMW_H</f>
        <v>314.77</v>
      </c>
      <c r="AE59" s="29" t="n">
        <f aca="false">(AE34-AE55)/GPUMW_B+(AE33-AE54)/GPUMW_H</f>
        <v>314.77</v>
      </c>
      <c r="AF59" s="29" t="n">
        <f aca="false">(AF34-AF55)/GPUMW_B+(AF33-AF54)/GPUMW_H</f>
        <v>314.77</v>
      </c>
      <c r="AG59" s="29" t="n">
        <f aca="false">(AG34-AG55)/GPUMW_B+(AG33-AG54)/GPUMW_H</f>
        <v>314.77</v>
      </c>
      <c r="AI59" s="29" t="n">
        <f aca="false">AVERAGEIF($F$7:$AG$7,AI$7,$F59:$AG59)</f>
        <v>0</v>
      </c>
      <c r="AJ59" s="29" t="n">
        <f aca="false">AVERAGEIF($F$7:$AG$7,AJ$7,$F59:$AG59)</f>
        <v>0</v>
      </c>
      <c r="AK59" s="29" t="n">
        <f aca="false">AVERAGEIF($F$7:$AG$7,AK$7,$F59:$AG59)</f>
        <v>0</v>
      </c>
      <c r="AL59" s="29" t="n">
        <f aca="false">AVERAGEIF($F$7:$AG$7,AL$7,$F59:$AG59)</f>
        <v>127.80675</v>
      </c>
      <c r="AM59" s="29" t="n">
        <f aca="false">AVERAGEIF($F$7:$AG$7,AM$7,$F59:$AG59)</f>
        <v>258.6135</v>
      </c>
      <c r="AN59" s="29" t="n">
        <f aca="false">AVERAGEIF($F$7:$AG$7,AN$7,$F59:$AG59)</f>
        <v>308.6305</v>
      </c>
      <c r="AO59" s="29" t="n">
        <f aca="false">AVERAGEIF($F$7:$AG$7,AO$7,$F59:$AG59)</f>
        <v>314.77</v>
      </c>
    </row>
    <row r="60" customFormat="false" ht="15" hidden="false" customHeight="false" outlineLevel="0" collapsed="false">
      <c r="A60" s="104" t="s">
        <v>1838</v>
      </c>
      <c r="B60" s="20" t="s">
        <v>575</v>
      </c>
      <c r="C60" s="20" t="s">
        <v>495</v>
      </c>
      <c r="D60" s="20"/>
      <c r="F60" s="108" t="n">
        <f aca="false">(F35-F56)/GPUMW_N</f>
        <v>0</v>
      </c>
      <c r="G60" s="108" t="n">
        <f aca="false">(G35-G56)/GPUMW_N</f>
        <v>0</v>
      </c>
      <c r="H60" s="108" t="n">
        <f aca="false">(H35-H56)/GPUMW_N</f>
        <v>0</v>
      </c>
      <c r="I60" s="108" t="n">
        <f aca="false">(I35-I56)/GPUMW_N</f>
        <v>0</v>
      </c>
      <c r="J60" s="108" t="n">
        <f aca="false">(J35-J56)/GPUMW_N</f>
        <v>0</v>
      </c>
      <c r="K60" s="108" t="n">
        <f aca="false">(K35-K56)/GPUMW_N</f>
        <v>0</v>
      </c>
      <c r="L60" s="108" t="n">
        <f aca="false">(L35-L56)/GPUMW_N</f>
        <v>0</v>
      </c>
      <c r="M60" s="108" t="n">
        <f aca="false">(M35-M56)/GPUMW_N</f>
        <v>0</v>
      </c>
      <c r="N60" s="108" t="n">
        <f aca="false">(N35-N56)/GPUMW_N</f>
        <v>0</v>
      </c>
      <c r="O60" s="108" t="n">
        <f aca="false">(O35-O56)/GPUMW_N</f>
        <v>0</v>
      </c>
      <c r="P60" s="29" t="n">
        <f aca="false">(P35-P56)/GPUMW_N</f>
        <v>0</v>
      </c>
      <c r="Q60" s="29" t="n">
        <f aca="false">(Q35-Q56)/GPUMW_N</f>
        <v>0</v>
      </c>
      <c r="R60" s="29" t="n">
        <f aca="false">(R35-R56)/GPUMW_N</f>
        <v>0</v>
      </c>
      <c r="S60" s="29" t="n">
        <f aca="false">(S35-S56)/GPUMW_N</f>
        <v>5.215625</v>
      </c>
      <c r="T60" s="29" t="n">
        <f aca="false">(T35-T56)/GPUMW_N</f>
        <v>5.215625</v>
      </c>
      <c r="U60" s="29" t="n">
        <f aca="false">(U35-U56)/GPUMW_N</f>
        <v>9.23697916666666</v>
      </c>
      <c r="V60" s="29" t="n">
        <f aca="false">(V35-V56)/GPUMW_N</f>
        <v>108.163020833333</v>
      </c>
      <c r="W60" s="29" t="n">
        <f aca="false">(W35-W56)/GPUMW_N</f>
        <v>245.820833333333</v>
      </c>
      <c r="X60" s="29" t="n">
        <f aca="false">(X35-X56)/GPUMW_N</f>
        <v>375.139583333333</v>
      </c>
      <c r="Y60" s="29" t="n">
        <f aca="false">(Y35-Y56)/GPUMW_N</f>
        <v>462.739583333333</v>
      </c>
      <c r="Z60" s="29" t="n">
        <f aca="false">(Z35-Z56)/GPUMW_N</f>
        <v>615.005208333333</v>
      </c>
      <c r="AA60" s="29" t="n">
        <f aca="false">(AA35-AA56)/GPUMW_N</f>
        <v>761.020833333333</v>
      </c>
      <c r="AB60" s="29" t="n">
        <f aca="false">(AB35-AB56)/GPUMW_N</f>
        <v>936.239583333333</v>
      </c>
      <c r="AC60" s="29" t="n">
        <f aca="false">(AC35-AC56)/GPUMW_N</f>
        <v>1111.45833333333</v>
      </c>
      <c r="AD60" s="29" t="n">
        <f aca="false">(AD35-AD56)/GPUMW_N</f>
        <v>1355.51302083333</v>
      </c>
      <c r="AE60" s="29" t="n">
        <f aca="false">(AE35-AE56)/GPUMW_N</f>
        <v>1599.56770833333</v>
      </c>
      <c r="AF60" s="29" t="n">
        <f aca="false">(AF35-AF56)/GPUMW_N</f>
        <v>1599.56770833333</v>
      </c>
      <c r="AG60" s="29" t="n">
        <f aca="false">(AG35-AG56)/GPUMW_N</f>
        <v>1599.56770833333</v>
      </c>
      <c r="AI60" s="29" t="n">
        <f aca="false">AVERAGEIF($F$7:$AG$7,AI$7,$F60:$AG60)</f>
        <v>0</v>
      </c>
      <c r="AJ60" s="29" t="n">
        <f aca="false">AVERAGEIF($F$7:$AG$7,AJ$7,$F60:$AG60)</f>
        <v>0</v>
      </c>
      <c r="AK60" s="29" t="n">
        <f aca="false">AVERAGEIF($F$7:$AG$7,AK$7,$F60:$AG60)</f>
        <v>0</v>
      </c>
      <c r="AL60" s="29" t="n">
        <f aca="false">AVERAGEIF($F$7:$AG$7,AL$7,$F60:$AG60)</f>
        <v>4.91705729166667</v>
      </c>
      <c r="AM60" s="29" t="n">
        <f aca="false">AVERAGEIF($F$7:$AG$7,AM$7,$F60:$AG60)</f>
        <v>297.965755208333</v>
      </c>
      <c r="AN60" s="29" t="n">
        <f aca="false">AVERAGEIF($F$7:$AG$7,AN$7,$F60:$AG60)</f>
        <v>855.930989583333</v>
      </c>
      <c r="AO60" s="29" t="n">
        <f aca="false">AVERAGEIF($F$7:$AG$7,AO$7,$F60:$AG60)</f>
        <v>1538.55403645833</v>
      </c>
    </row>
    <row r="61" customFormat="false" ht="15" hidden="false" customHeight="false" outlineLevel="0" collapsed="false">
      <c r="A61" s="104" t="s">
        <v>1839</v>
      </c>
      <c r="B61" s="20" t="s">
        <v>575</v>
      </c>
      <c r="C61" s="20" t="s">
        <v>495</v>
      </c>
      <c r="D61" s="20"/>
      <c r="F61" s="108" t="n">
        <f aca="false">MAX(0,F59-E59)</f>
        <v>0</v>
      </c>
      <c r="G61" s="108" t="n">
        <f aca="false">MAX(0,G59-F59)</f>
        <v>0</v>
      </c>
      <c r="H61" s="108" t="n">
        <f aca="false">MAX(0,H59-G59)</f>
        <v>0</v>
      </c>
      <c r="I61" s="108" t="n">
        <f aca="false">MAX(0,I59-H59)</f>
        <v>0</v>
      </c>
      <c r="J61" s="108" t="n">
        <f aca="false">MAX(0,J59-I59)</f>
        <v>0</v>
      </c>
      <c r="K61" s="108" t="n">
        <f aca="false">MAX(0,K59-J59)</f>
        <v>0</v>
      </c>
      <c r="L61" s="108" t="n">
        <f aca="false">MAX(0,L59-K59)</f>
        <v>0</v>
      </c>
      <c r="M61" s="108" t="n">
        <f aca="false">MAX(0,M59-L59)</f>
        <v>0</v>
      </c>
      <c r="N61" s="108" t="n">
        <f aca="false">MAX(0,N59-M59)</f>
        <v>0</v>
      </c>
      <c r="O61" s="108" t="n">
        <f aca="false">MAX(0,O59-N59)</f>
        <v>0</v>
      </c>
      <c r="P61" s="29" t="n">
        <f aca="false">MAX(0,P59-O59)</f>
        <v>0</v>
      </c>
      <c r="Q61" s="29" t="n">
        <f aca="false">MAX(0,Q59-P59)</f>
        <v>0</v>
      </c>
      <c r="R61" s="29" t="n">
        <f aca="false">MAX(0,R59-Q59)</f>
        <v>35.523</v>
      </c>
      <c r="S61" s="29" t="n">
        <f aca="false">MAX(0,S59-R59)</f>
        <v>69.3910000000001</v>
      </c>
      <c r="T61" s="29" t="n">
        <f aca="false">MAX(0,T59-S59)</f>
        <v>63.508</v>
      </c>
      <c r="U61" s="29" t="n">
        <f aca="false">MAX(0,U59-T59)</f>
        <v>33.946</v>
      </c>
      <c r="V61" s="29" t="n">
        <f aca="false">MAX(0,V59-U59)</f>
        <v>35.124</v>
      </c>
      <c r="W61" s="29" t="n">
        <f aca="false">MAX(0,W59-V59)</f>
        <v>28.162</v>
      </c>
      <c r="X61" s="29" t="n">
        <f aca="false">MAX(0,X59-W59)</f>
        <v>0</v>
      </c>
      <c r="Y61" s="29" t="n">
        <f aca="false">MAX(0,Y59-X59)</f>
        <v>0</v>
      </c>
      <c r="Z61" s="29" t="n">
        <f aca="false">MAX(0,Z59-Y59)</f>
        <v>24.558</v>
      </c>
      <c r="AA61" s="29" t="n">
        <f aca="false">MAX(0,AA59-Z59)</f>
        <v>24.558</v>
      </c>
      <c r="AB61" s="29" t="n">
        <f aca="false">MAX(0,AB59-AA59)</f>
        <v>0</v>
      </c>
      <c r="AC61" s="29" t="n">
        <f aca="false">MAX(0,AC59-AB59)</f>
        <v>0</v>
      </c>
      <c r="AD61" s="29" t="n">
        <f aca="false">MAX(0,AD59-AC59)</f>
        <v>0</v>
      </c>
      <c r="AE61" s="29" t="n">
        <f aca="false">MAX(0,AE59-AD59)</f>
        <v>0</v>
      </c>
      <c r="AF61" s="29" t="n">
        <f aca="false">MAX(0,AF59-AE59)</f>
        <v>0</v>
      </c>
      <c r="AG61" s="29" t="n">
        <f aca="false">MAX(0,AG59-AF59)</f>
        <v>0</v>
      </c>
      <c r="AI61" s="29" t="n">
        <f aca="false">SUMIF($F$7:$AG$7,AI$7,$F61:$AG61)</f>
        <v>0</v>
      </c>
      <c r="AJ61" s="29" t="n">
        <f aca="false">SUMIF($F$7:$AG$7,AJ$7,$F61:$AG61)</f>
        <v>0</v>
      </c>
      <c r="AK61" s="29" t="n">
        <f aca="false">SUMIF($F$7:$AG$7,AK$7,$F61:$AG61)</f>
        <v>0</v>
      </c>
      <c r="AL61" s="29" t="n">
        <f aca="false">SUMIF($F$7:$AG$7,AL$7,$F61:$AG61)</f>
        <v>202.368</v>
      </c>
      <c r="AM61" s="29" t="n">
        <f aca="false">SUMIF($F$7:$AG$7,AM$7,$F61:$AG61)</f>
        <v>63.286</v>
      </c>
      <c r="AN61" s="29" t="n">
        <f aca="false">SUMIF($F$7:$AG$7,AN$7,$F61:$AG61)</f>
        <v>49.116</v>
      </c>
      <c r="AO61" s="29" t="n">
        <f aca="false">SUMIF($F$7:$AG$7,AO$7,$F61:$AG61)</f>
        <v>0</v>
      </c>
    </row>
    <row r="62" customFormat="false" ht="15" hidden="false" customHeight="false" outlineLevel="0" collapsed="false">
      <c r="A62" s="104" t="s">
        <v>1840</v>
      </c>
      <c r="B62" s="20" t="s">
        <v>575</v>
      </c>
      <c r="C62" s="20" t="s">
        <v>495</v>
      </c>
      <c r="D62" s="20"/>
      <c r="F62" s="108" t="n">
        <f aca="false">MAX(0,F60-E60)</f>
        <v>0</v>
      </c>
      <c r="G62" s="108" t="n">
        <f aca="false">MAX(0,G60-F60)</f>
        <v>0</v>
      </c>
      <c r="H62" s="108" t="n">
        <f aca="false">MAX(0,H60-G60)</f>
        <v>0</v>
      </c>
      <c r="I62" s="108" t="n">
        <f aca="false">MAX(0,I60-H60)</f>
        <v>0</v>
      </c>
      <c r="J62" s="108" t="n">
        <f aca="false">MAX(0,J60-I60)</f>
        <v>0</v>
      </c>
      <c r="K62" s="108" t="n">
        <f aca="false">MAX(0,K60-J60)</f>
        <v>0</v>
      </c>
      <c r="L62" s="108" t="n">
        <f aca="false">MAX(0,L60-K60)</f>
        <v>0</v>
      </c>
      <c r="M62" s="108" t="n">
        <f aca="false">MAX(0,M60-L60)</f>
        <v>0</v>
      </c>
      <c r="N62" s="108" t="n">
        <f aca="false">MAX(0,N60-M60)</f>
        <v>0</v>
      </c>
      <c r="O62" s="108" t="n">
        <f aca="false">MAX(0,O60-N60)</f>
        <v>0</v>
      </c>
      <c r="P62" s="29" t="n">
        <f aca="false">MAX(0,P60-O60)</f>
        <v>0</v>
      </c>
      <c r="Q62" s="29" t="n">
        <f aca="false">MAX(0,Q60-P60)</f>
        <v>0</v>
      </c>
      <c r="R62" s="29" t="n">
        <f aca="false">MAX(0,R60-Q60)</f>
        <v>0</v>
      </c>
      <c r="S62" s="29" t="n">
        <f aca="false">MAX(0,S60-R60)</f>
        <v>5.215625</v>
      </c>
      <c r="T62" s="29" t="n">
        <f aca="false">MAX(0,T60-S60)</f>
        <v>0</v>
      </c>
      <c r="U62" s="29" t="n">
        <f aca="false">MAX(0,U60-T60)</f>
        <v>4.02135416666666</v>
      </c>
      <c r="V62" s="29" t="n">
        <f aca="false">MAX(0,V60-U60)</f>
        <v>98.9260416666667</v>
      </c>
      <c r="W62" s="29" t="n">
        <f aca="false">MAX(0,W60-V60)</f>
        <v>137.6578125</v>
      </c>
      <c r="X62" s="29" t="n">
        <f aca="false">MAX(0,X60-W60)</f>
        <v>129.31875</v>
      </c>
      <c r="Y62" s="29" t="n">
        <f aca="false">MAX(0,Y60-X60)</f>
        <v>87.6</v>
      </c>
      <c r="Z62" s="29" t="n">
        <f aca="false">MAX(0,Z60-Y60)</f>
        <v>152.265625</v>
      </c>
      <c r="AA62" s="29" t="n">
        <f aca="false">MAX(0,AA60-Z60)</f>
        <v>146.015625</v>
      </c>
      <c r="AB62" s="29" t="n">
        <f aca="false">MAX(0,AB60-AA60)</f>
        <v>175.21875</v>
      </c>
      <c r="AC62" s="29" t="n">
        <f aca="false">MAX(0,AC60-AB60)</f>
        <v>175.21875</v>
      </c>
      <c r="AD62" s="29" t="n">
        <f aca="false">MAX(0,AD60-AC60)</f>
        <v>244.0546875</v>
      </c>
      <c r="AE62" s="29" t="n">
        <f aca="false">MAX(0,AE60-AD60)</f>
        <v>244.0546875</v>
      </c>
      <c r="AF62" s="29" t="n">
        <f aca="false">MAX(0,AF60-AE60)</f>
        <v>0</v>
      </c>
      <c r="AG62" s="29" t="n">
        <f aca="false">MAX(0,AG60-AF60)</f>
        <v>0</v>
      </c>
      <c r="AI62" s="29" t="n">
        <f aca="false">SUMIF($F$7:$AG$7,AI$7,$F62:$AG62)</f>
        <v>0</v>
      </c>
      <c r="AJ62" s="29" t="n">
        <f aca="false">SUMIF($F$7:$AG$7,AJ$7,$F62:$AG62)</f>
        <v>0</v>
      </c>
      <c r="AK62" s="29" t="n">
        <f aca="false">SUMIF($F$7:$AG$7,AK$7,$F62:$AG62)</f>
        <v>0</v>
      </c>
      <c r="AL62" s="29" t="n">
        <f aca="false">SUMIF($F$7:$AG$7,AL$7,$F62:$AG62)</f>
        <v>9.23697916666666</v>
      </c>
      <c r="AM62" s="29" t="n">
        <f aca="false">SUMIF($F$7:$AG$7,AM$7,$F62:$AG62)</f>
        <v>453.502604166667</v>
      </c>
      <c r="AN62" s="29" t="n">
        <f aca="false">SUMIF($F$7:$AG$7,AN$7,$F62:$AG62)</f>
        <v>648.71875</v>
      </c>
      <c r="AO62" s="29" t="n">
        <f aca="false">SUMIF($F$7:$AG$7,AO$7,$F62:$AG62)</f>
        <v>488.109375</v>
      </c>
    </row>
    <row r="63" customFormat="false" ht="15" hidden="false" customHeight="false" outlineLevel="0" collapsed="false">
      <c r="A63" s="104" t="s">
        <v>1841</v>
      </c>
      <c r="B63" s="20" t="s">
        <v>575</v>
      </c>
      <c r="C63" s="20" t="s">
        <v>495</v>
      </c>
      <c r="D63" s="20"/>
      <c r="F63" s="108" t="n">
        <f aca="false">F61+F62</f>
        <v>0</v>
      </c>
      <c r="G63" s="108" t="n">
        <f aca="false">G61+G62</f>
        <v>0</v>
      </c>
      <c r="H63" s="108" t="n">
        <f aca="false">H61+H62</f>
        <v>0</v>
      </c>
      <c r="I63" s="108" t="n">
        <f aca="false">I61+I62</f>
        <v>0</v>
      </c>
      <c r="J63" s="108" t="n">
        <f aca="false">J61+J62</f>
        <v>0</v>
      </c>
      <c r="K63" s="108" t="n">
        <f aca="false">K61+K62</f>
        <v>0</v>
      </c>
      <c r="L63" s="108" t="n">
        <f aca="false">L61+L62</f>
        <v>0</v>
      </c>
      <c r="M63" s="108" t="n">
        <f aca="false">M61+M62</f>
        <v>0</v>
      </c>
      <c r="N63" s="108" t="n">
        <f aca="false">N61+N62</f>
        <v>0</v>
      </c>
      <c r="O63" s="108" t="n">
        <f aca="false">O61+O62</f>
        <v>0</v>
      </c>
      <c r="P63" s="29" t="n">
        <f aca="false">P61+P62</f>
        <v>0</v>
      </c>
      <c r="Q63" s="29" t="n">
        <f aca="false">Q61+Q62</f>
        <v>0</v>
      </c>
      <c r="R63" s="29" t="n">
        <f aca="false">R61+R62</f>
        <v>35.523</v>
      </c>
      <c r="S63" s="29" t="n">
        <f aca="false">S61+S62</f>
        <v>74.6066250000001</v>
      </c>
      <c r="T63" s="29" t="n">
        <f aca="false">T61+T62</f>
        <v>63.508</v>
      </c>
      <c r="U63" s="29" t="n">
        <f aca="false">U61+U62</f>
        <v>37.9673541666666</v>
      </c>
      <c r="V63" s="29" t="n">
        <f aca="false">V61+V62</f>
        <v>134.050041666667</v>
      </c>
      <c r="W63" s="29" t="n">
        <f aca="false">W61+W62</f>
        <v>165.8198125</v>
      </c>
      <c r="X63" s="29" t="n">
        <f aca="false">X61+X62</f>
        <v>129.31875</v>
      </c>
      <c r="Y63" s="29" t="n">
        <f aca="false">Y61+Y62</f>
        <v>87.6</v>
      </c>
      <c r="Z63" s="29" t="n">
        <f aca="false">Z61+Z62</f>
        <v>176.823625</v>
      </c>
      <c r="AA63" s="29" t="n">
        <f aca="false">AA61+AA62</f>
        <v>170.573625</v>
      </c>
      <c r="AB63" s="29" t="n">
        <f aca="false">AB61+AB62</f>
        <v>175.21875</v>
      </c>
      <c r="AC63" s="29" t="n">
        <f aca="false">AC61+AC62</f>
        <v>175.21875</v>
      </c>
      <c r="AD63" s="29" t="n">
        <f aca="false">AD61+AD62</f>
        <v>244.0546875</v>
      </c>
      <c r="AE63" s="29" t="n">
        <f aca="false">AE61+AE62</f>
        <v>244.0546875</v>
      </c>
      <c r="AF63" s="29" t="n">
        <f aca="false">AF61+AF62</f>
        <v>0</v>
      </c>
      <c r="AG63" s="29" t="n">
        <f aca="false">AG61+AG62</f>
        <v>0</v>
      </c>
      <c r="AI63" s="29" t="n">
        <f aca="false">SUMIF($F$7:$AG$7,AI$7,$F63:$AG63)</f>
        <v>0</v>
      </c>
      <c r="AJ63" s="29" t="n">
        <f aca="false">SUMIF($F$7:$AG$7,AJ$7,$F63:$AG63)</f>
        <v>0</v>
      </c>
      <c r="AK63" s="29" t="n">
        <f aca="false">SUMIF($F$7:$AG$7,AK$7,$F63:$AG63)</f>
        <v>0</v>
      </c>
      <c r="AL63" s="29" t="n">
        <f aca="false">SUMIF($F$7:$AG$7,AL$7,$F63:$AG63)</f>
        <v>211.604979166667</v>
      </c>
      <c r="AM63" s="29" t="n">
        <f aca="false">SUMIF($F$7:$AG$7,AM$7,$F63:$AG63)</f>
        <v>516.788604166667</v>
      </c>
      <c r="AN63" s="29" t="n">
        <f aca="false">SUMIF($F$7:$AG$7,AN$7,$F63:$AG63)</f>
        <v>697.83475</v>
      </c>
      <c r="AO63" s="29" t="n">
        <f aca="false">SUMIF($F$7:$AG$7,AO$7,$F63:$AG63)</f>
        <v>488.109375</v>
      </c>
    </row>
    <row r="64" customFormat="false" ht="15" hidden="false" customHeight="false" outlineLevel="0" collapsed="false">
      <c r="A64" s="104" t="s">
        <v>1842</v>
      </c>
      <c r="B64" s="20" t="s">
        <v>542</v>
      </c>
      <c r="C64" s="20" t="s">
        <v>1843</v>
      </c>
      <c r="D64" s="20" t="s">
        <v>1844</v>
      </c>
      <c r="F64" s="114" t="n">
        <f aca="false">MYRate*IF(NDBasis=2,ND_GrossX,1)*IF(MYPathMode=1,(1+MYDecl)^(MAX(0,F$5-(MYDeclIdx-1))/4)*IF(AND(MYStressOn=1,F$5&gt;=PxCycIdx),1-MYStressCut,1),INDEX(P_OD_B,1,1)/INDEX(P_OD_B,1,NewDealIdx-1))</f>
        <v>22</v>
      </c>
      <c r="G64" s="114" t="n">
        <f aca="false">MYRate*IF(NDBasis=2,ND_GrossX,1)*IF(MYPathMode=1,(1+MYDecl)^(MAX(0,G$5-(MYDeclIdx-1))/4)*IF(AND(MYStressOn=1,G$5&gt;=PxCycIdx),1-MYStressCut,1),INDEX(P_OD_B,1,2)/INDEX(P_OD_B,1,NewDealIdx-1))</f>
        <v>22</v>
      </c>
      <c r="H64" s="114" t="n">
        <f aca="false">MYRate*IF(NDBasis=2,ND_GrossX,1)*IF(MYPathMode=1,(1+MYDecl)^(MAX(0,H$5-(MYDeclIdx-1))/4)*IF(AND(MYStressOn=1,H$5&gt;=PxCycIdx),1-MYStressCut,1),INDEX(P_OD_B,1,3)/INDEX(P_OD_B,1,NewDealIdx-1))</f>
        <v>22</v>
      </c>
      <c r="I64" s="114" t="n">
        <f aca="false">MYRate*IF(NDBasis=2,ND_GrossX,1)*IF(MYPathMode=1,(1+MYDecl)^(MAX(0,I$5-(MYDeclIdx-1))/4)*IF(AND(MYStressOn=1,I$5&gt;=PxCycIdx),1-MYStressCut,1),INDEX(P_OD_B,1,4)/INDEX(P_OD_B,1,NewDealIdx-1))</f>
        <v>22</v>
      </c>
      <c r="J64" s="114" t="n">
        <f aca="false">MYRate*IF(NDBasis=2,ND_GrossX,1)*IF(MYPathMode=1,(1+MYDecl)^(MAX(0,J$5-(MYDeclIdx-1))/4)*IF(AND(MYStressOn=1,J$5&gt;=PxCycIdx),1-MYStressCut,1),INDEX(P_OD_B,1,5)/INDEX(P_OD_B,1,NewDealIdx-1))</f>
        <v>22</v>
      </c>
      <c r="K64" s="114" t="n">
        <f aca="false">MYRate*IF(NDBasis=2,ND_GrossX,1)*IF(MYPathMode=1,(1+MYDecl)^(MAX(0,K$5-(MYDeclIdx-1))/4)*IF(AND(MYStressOn=1,K$5&gt;=PxCycIdx),1-MYStressCut,1),INDEX(P_OD_B,1,6)/INDEX(P_OD_B,1,NewDealIdx-1))</f>
        <v>22</v>
      </c>
      <c r="L64" s="114" t="n">
        <f aca="false">MYRate*IF(NDBasis=2,ND_GrossX,1)*IF(MYPathMode=1,(1+MYDecl)^(MAX(0,L$5-(MYDeclIdx-1))/4)*IF(AND(MYStressOn=1,L$5&gt;=PxCycIdx),1-MYStressCut,1),INDEX(P_OD_B,1,7)/INDEX(P_OD_B,1,NewDealIdx-1))</f>
        <v>22</v>
      </c>
      <c r="M64" s="114" t="n">
        <f aca="false">MYRate*IF(NDBasis=2,ND_GrossX,1)*IF(MYPathMode=1,(1+MYDecl)^(MAX(0,M$5-(MYDeclIdx-1))/4)*IF(AND(MYStressOn=1,M$5&gt;=PxCycIdx),1-MYStressCut,1),INDEX(P_OD_B,1,8)/INDEX(P_OD_B,1,NewDealIdx-1))</f>
        <v>22</v>
      </c>
      <c r="N64" s="114" t="n">
        <f aca="false">MYRate*IF(NDBasis=2,ND_GrossX,1)*IF(MYPathMode=1,(1+MYDecl)^(MAX(0,N$5-(MYDeclIdx-1))/4)*IF(AND(MYStressOn=1,N$5&gt;=PxCycIdx),1-MYStressCut,1),INDEX(P_OD_B,1,9)/INDEX(P_OD_B,1,NewDealIdx-1))</f>
        <v>22</v>
      </c>
      <c r="O64" s="114" t="n">
        <f aca="false">MYRate*IF(NDBasis=2,ND_GrossX,1)*IF(MYPathMode=1,(1+MYDecl)^(MAX(0,O$5-(MYDeclIdx-1))/4)*IF(AND(MYStressOn=1,O$5&gt;=PxCycIdx),1-MYStressCut,1),INDEX(P_OD_B,1,10)/INDEX(P_OD_B,1,NewDealIdx-1))</f>
        <v>22</v>
      </c>
      <c r="P64" s="23" t="n">
        <f aca="false">MYRate*IF(NDBasis=2,ND_GrossX,1)*IF(MYPathMode=1,(1+MYDecl)^(MAX(0,P$5-(MYDeclIdx-1))/4)*IF(AND(MYStressOn=1,P$5&gt;=PxCycIdx),1-MYStressCut,1),INDEX(P_OD_B,1,11)/INDEX(P_OD_B,1,NewDealIdx-1))</f>
        <v>22</v>
      </c>
      <c r="Q64" s="23" t="n">
        <f aca="false">MYRate*IF(NDBasis=2,ND_GrossX,1)*IF(MYPathMode=1,(1+MYDecl)^(MAX(0,Q$5-(MYDeclIdx-1))/4)*IF(AND(MYStressOn=1,Q$5&gt;=PxCycIdx),1-MYStressCut,1),INDEX(P_OD_B,1,12)/INDEX(P_OD_B,1,NewDealIdx-1))</f>
        <v>22</v>
      </c>
      <c r="R64" s="23" t="n">
        <f aca="false">MYRate*IF(NDBasis=2,ND_GrossX,1)*IF(MYPathMode=1,(1+MYDecl)^(MAX(0,R$5-(MYDeclIdx-1))/4)*IF(AND(MYStressOn=1,R$5&gt;=PxCycIdx),1-MYStressCut,1),INDEX(P_OD_B,1,13)/INDEX(P_OD_B,1,NewDealIdx-1))</f>
        <v>22</v>
      </c>
      <c r="S64" s="23" t="n">
        <f aca="false">MYRate*IF(NDBasis=2,ND_GrossX,1)*IF(MYPathMode=1,(1+MYDecl)^(MAX(0,S$5-(MYDeclIdx-1))/4)*IF(AND(MYStressOn=1,S$5&gt;=PxCycIdx),1-MYStressCut,1),INDEX(P_OD_B,1,14)/INDEX(P_OD_B,1,NewDealIdx-1))</f>
        <v>22</v>
      </c>
      <c r="T64" s="23" t="n">
        <f aca="false">MYRate*IF(NDBasis=2,ND_GrossX,1)*IF(MYPathMode=1,(1+MYDecl)^(MAX(0,T$5-(MYDeclIdx-1))/4)*IF(AND(MYStressOn=1,T$5&gt;=PxCycIdx),1-MYStressCut,1),INDEX(P_OD_B,1,15)/INDEX(P_OD_B,1,NewDealIdx-1))</f>
        <v>22</v>
      </c>
      <c r="U64" s="23" t="n">
        <f aca="false">MYRate*IF(NDBasis=2,ND_GrossX,1)*IF(MYPathMode=1,(1+MYDecl)^(MAX(0,U$5-(MYDeclIdx-1))/4)*IF(AND(MYStressOn=1,U$5&gt;=PxCycIdx),1-MYStressCut,1),INDEX(P_OD_B,1,16)/INDEX(P_OD_B,1,NewDealIdx-1))</f>
        <v>22</v>
      </c>
      <c r="V64" s="23" t="n">
        <f aca="false">MYRate*IF(NDBasis=2,ND_GrossX,1)*IF(MYPathMode=1,(1+MYDecl)^(MAX(0,V$5-(MYDeclIdx-1))/4)*IF(AND(MYStressOn=1,V$5&gt;=PxCycIdx),1-MYStressCut,1),INDEX(P_OD_B,1,17)/INDEX(P_OD_B,1,NewDealIdx-1))</f>
        <v>22</v>
      </c>
      <c r="W64" s="23" t="n">
        <f aca="false">MYRate*IF(NDBasis=2,ND_GrossX,1)*IF(MYPathMode=1,(1+MYDecl)^(MAX(0,W$5-(MYDeclIdx-1))/4)*IF(AND(MYStressOn=1,W$5&gt;=PxCycIdx),1-MYStressCut,1),INDEX(P_OD_B,1,18)/INDEX(P_OD_B,1,NewDealIdx-1))</f>
        <v>22</v>
      </c>
      <c r="X64" s="23" t="n">
        <f aca="false">MYRate*IF(NDBasis=2,ND_GrossX,1)*IF(MYPathMode=1,(1+MYDecl)^(MAX(0,X$5-(MYDeclIdx-1))/4)*IF(AND(MYStressOn=1,X$5&gt;=PxCycIdx),1-MYStressCut,1),INDEX(P_OD_B,1,19)/INDEX(P_OD_B,1,NewDealIdx-1))</f>
        <v>22</v>
      </c>
      <c r="Y64" s="23" t="n">
        <f aca="false">MYRate*IF(NDBasis=2,ND_GrossX,1)*IF(MYPathMode=1,(1+MYDecl)^(MAX(0,Y$5-(MYDeclIdx-1))/4)*IF(AND(MYStressOn=1,Y$5&gt;=PxCycIdx),1-MYStressCut,1),INDEX(P_OD_B,1,20)/INDEX(P_OD_B,1,NewDealIdx-1))</f>
        <v>22</v>
      </c>
      <c r="Z64" s="23" t="n">
        <f aca="false">MYRate*IF(NDBasis=2,ND_GrossX,1)*IF(MYPathMode=1,(1+MYDecl)^(MAX(0,Z$5-(MYDeclIdx-1))/4)*IF(AND(MYStressOn=1,Z$5&gt;=PxCycIdx),1-MYStressCut,1),INDEX(P_OD_B,1,21)/INDEX(P_OD_B,1,NewDealIdx-1))</f>
        <v>21.8331105801929</v>
      </c>
      <c r="AA64" s="23" t="n">
        <f aca="false">MYRate*IF(NDBasis=2,ND_GrossX,1)*IF(MYPathMode=1,(1+MYDecl)^(MAX(0,AA$5-(MYDeclIdx-1))/4)*IF(AND(MYStressOn=1,AA$5&gt;=PxCycIdx),1-MYStressCut,1),INDEX(P_OD_B,1,22)/INDEX(P_OD_B,1,NewDealIdx-1))</f>
        <v>21.6674871639514</v>
      </c>
      <c r="AB64" s="23" t="n">
        <f aca="false">MYRate*IF(NDBasis=2,ND_GrossX,1)*IF(MYPathMode=1,(1+MYDecl)^(MAX(0,AB$5-(MYDeclIdx-1))/4)*IF(AND(MYStressOn=1,AB$5&gt;=PxCycIdx),1-MYStressCut,1),INDEX(P_OD_B,1,23)/INDEX(P_OD_B,1,NewDealIdx-1))</f>
        <v>21.503120147521</v>
      </c>
      <c r="AC64" s="23" t="n">
        <f aca="false">MYRate*IF(NDBasis=2,ND_GrossX,1)*IF(MYPathMode=1,(1+MYDecl)^(MAX(0,AC$5-(MYDeclIdx-1))/4)*IF(AND(MYStressOn=1,AC$5&gt;=PxCycIdx),1-MYStressCut,1),INDEX(P_OD_B,1,24)/INDEX(P_OD_B,1,NewDealIdx-1))</f>
        <v>21.34</v>
      </c>
      <c r="AD64" s="23" t="n">
        <f aca="false">MYRate*IF(NDBasis=2,ND_GrossX,1)*IF(MYPathMode=1,(1+MYDecl)^(MAX(0,AD$5-(MYDeclIdx-1))/4)*IF(AND(MYStressOn=1,AD$5&gt;=PxCycIdx),1-MYStressCut,1),INDEX(P_OD_B,1,25)/INDEX(P_OD_B,1,NewDealIdx-1))</f>
        <v>21.1781172627871</v>
      </c>
      <c r="AE64" s="23" t="n">
        <f aca="false">MYRate*IF(NDBasis=2,ND_GrossX,1)*IF(MYPathMode=1,(1+MYDecl)^(MAX(0,AE$5-(MYDeclIdx-1))/4)*IF(AND(MYStressOn=1,AE$5&gt;=PxCycIdx),1-MYStressCut,1),INDEX(P_OD_B,1,26)/INDEX(P_OD_B,1,NewDealIdx-1))</f>
        <v>21.0174625490329</v>
      </c>
      <c r="AF64" s="23" t="n">
        <f aca="false">MYRate*IF(NDBasis=2,ND_GrossX,1)*IF(MYPathMode=1,(1+MYDecl)^(MAX(0,AF$5-(MYDeclIdx-1))/4)*IF(AND(MYStressOn=1,AF$5&gt;=PxCycIdx),1-MYStressCut,1),INDEX(P_OD_B,1,27)/INDEX(P_OD_B,1,NewDealIdx-1))</f>
        <v>20.8580265430954</v>
      </c>
      <c r="AG64" s="23" t="n">
        <f aca="false">MYRate*IF(NDBasis=2,ND_GrossX,1)*IF(MYPathMode=1,(1+MYDecl)^(MAX(0,AG$5-(MYDeclIdx-1))/4)*IF(AND(MYStressOn=1,AG$5&gt;=PxCycIdx),1-MYStressCut,1),INDEX(P_OD_B,1,28)/INDEX(P_OD_B,1,NewDealIdx-1))</f>
        <v>20.6998</v>
      </c>
      <c r="AI64" s="23" t="n">
        <f aca="false">AVERAGEIF($F$7:$AG$7,AI$7,$F64:$AG64)</f>
        <v>22</v>
      </c>
      <c r="AJ64" s="23" t="n">
        <f aca="false">AVERAGEIF($F$7:$AG$7,AJ$7,$F64:$AG64)</f>
        <v>22</v>
      </c>
      <c r="AK64" s="23" t="n">
        <f aca="false">AVERAGEIF($F$7:$AG$7,AK$7,$F64:$AG64)</f>
        <v>22</v>
      </c>
      <c r="AL64" s="23" t="n">
        <f aca="false">AVERAGEIF($F$7:$AG$7,AL$7,$F64:$AG64)</f>
        <v>22</v>
      </c>
      <c r="AM64" s="23" t="n">
        <f aca="false">AVERAGEIF($F$7:$AG$7,AM$7,$F64:$AG64)</f>
        <v>22</v>
      </c>
      <c r="AN64" s="23" t="n">
        <f aca="false">AVERAGEIF($F$7:$AG$7,AN$7,$F64:$AG64)</f>
        <v>21.5859294729163</v>
      </c>
      <c r="AO64" s="23" t="n">
        <f aca="false">AVERAGEIF($F$7:$AG$7,AO$7,$F64:$AG64)</f>
        <v>20.9383515887288</v>
      </c>
    </row>
    <row r="65" customFormat="false" ht="15" hidden="false" customHeight="false" outlineLevel="0" collapsed="false">
      <c r="A65" s="104" t="s">
        <v>1845</v>
      </c>
      <c r="B65" s="20" t="s">
        <v>542</v>
      </c>
      <c r="C65" s="20" t="s">
        <v>546</v>
      </c>
      <c r="D65" s="20" t="s">
        <v>1846</v>
      </c>
      <c r="F65" s="114" t="n">
        <f aca="false">IF(RubinMode=1,RubinMW*IF(MYPathMode=1,(1+MYDecl)^(MAX(0,F$5-(MYDeclIdx-1))/4)*IF(AND(MYStressOn=1,F$5&gt;=PxCycIdx),1-MYStressCut,1),1),F64*IF(ND_GenOn=1,Rubin_Prem*GPUMW_N/ND_GPUMW_GB,1))</f>
        <v>18</v>
      </c>
      <c r="G65" s="114" t="n">
        <f aca="false">IF(RubinMode=1,RubinMW*IF(MYPathMode=1,(1+MYDecl)^(MAX(0,G$5-(MYDeclIdx-1))/4)*IF(AND(MYStressOn=1,G$5&gt;=PxCycIdx),1-MYStressCut,1),1),G64*IF(ND_GenOn=1,Rubin_Prem*GPUMW_N/ND_GPUMW_GB,1))</f>
        <v>18</v>
      </c>
      <c r="H65" s="114" t="n">
        <f aca="false">IF(RubinMode=1,RubinMW*IF(MYPathMode=1,(1+MYDecl)^(MAX(0,H$5-(MYDeclIdx-1))/4)*IF(AND(MYStressOn=1,H$5&gt;=PxCycIdx),1-MYStressCut,1),1),H64*IF(ND_GenOn=1,Rubin_Prem*GPUMW_N/ND_GPUMW_GB,1))</f>
        <v>18</v>
      </c>
      <c r="I65" s="114" t="n">
        <f aca="false">IF(RubinMode=1,RubinMW*IF(MYPathMode=1,(1+MYDecl)^(MAX(0,I$5-(MYDeclIdx-1))/4)*IF(AND(MYStressOn=1,I$5&gt;=PxCycIdx),1-MYStressCut,1),1),I64*IF(ND_GenOn=1,Rubin_Prem*GPUMW_N/ND_GPUMW_GB,1))</f>
        <v>18</v>
      </c>
      <c r="J65" s="114" t="n">
        <f aca="false">IF(RubinMode=1,RubinMW*IF(MYPathMode=1,(1+MYDecl)^(MAX(0,J$5-(MYDeclIdx-1))/4)*IF(AND(MYStressOn=1,J$5&gt;=PxCycIdx),1-MYStressCut,1),1),J64*IF(ND_GenOn=1,Rubin_Prem*GPUMW_N/ND_GPUMW_GB,1))</f>
        <v>18</v>
      </c>
      <c r="K65" s="114" t="n">
        <f aca="false">IF(RubinMode=1,RubinMW*IF(MYPathMode=1,(1+MYDecl)^(MAX(0,K$5-(MYDeclIdx-1))/4)*IF(AND(MYStressOn=1,K$5&gt;=PxCycIdx),1-MYStressCut,1),1),K64*IF(ND_GenOn=1,Rubin_Prem*GPUMW_N/ND_GPUMW_GB,1))</f>
        <v>18</v>
      </c>
      <c r="L65" s="114" t="n">
        <f aca="false">IF(RubinMode=1,RubinMW*IF(MYPathMode=1,(1+MYDecl)^(MAX(0,L$5-(MYDeclIdx-1))/4)*IF(AND(MYStressOn=1,L$5&gt;=PxCycIdx),1-MYStressCut,1),1),L64*IF(ND_GenOn=1,Rubin_Prem*GPUMW_N/ND_GPUMW_GB,1))</f>
        <v>18</v>
      </c>
      <c r="M65" s="114" t="n">
        <f aca="false">IF(RubinMode=1,RubinMW*IF(MYPathMode=1,(1+MYDecl)^(MAX(0,M$5-(MYDeclIdx-1))/4)*IF(AND(MYStressOn=1,M$5&gt;=PxCycIdx),1-MYStressCut,1),1),M64*IF(ND_GenOn=1,Rubin_Prem*GPUMW_N/ND_GPUMW_GB,1))</f>
        <v>18</v>
      </c>
      <c r="N65" s="114" t="n">
        <f aca="false">IF(RubinMode=1,RubinMW*IF(MYPathMode=1,(1+MYDecl)^(MAX(0,N$5-(MYDeclIdx-1))/4)*IF(AND(MYStressOn=1,N$5&gt;=PxCycIdx),1-MYStressCut,1),1),N64*IF(ND_GenOn=1,Rubin_Prem*GPUMW_N/ND_GPUMW_GB,1))</f>
        <v>18</v>
      </c>
      <c r="O65" s="114" t="n">
        <f aca="false">IF(RubinMode=1,RubinMW*IF(MYPathMode=1,(1+MYDecl)^(MAX(0,O$5-(MYDeclIdx-1))/4)*IF(AND(MYStressOn=1,O$5&gt;=PxCycIdx),1-MYStressCut,1),1),O64*IF(ND_GenOn=1,Rubin_Prem*GPUMW_N/ND_GPUMW_GB,1))</f>
        <v>18</v>
      </c>
      <c r="P65" s="23" t="n">
        <f aca="false">IF(RubinMode=1,RubinMW*IF(MYPathMode=1,(1+MYDecl)^(MAX(0,P$5-(MYDeclIdx-1))/4)*IF(AND(MYStressOn=1,P$5&gt;=PxCycIdx),1-MYStressCut,1),1),P64*IF(ND_GenOn=1,Rubin_Prem*GPUMW_N/ND_GPUMW_GB,1))</f>
        <v>18</v>
      </c>
      <c r="Q65" s="23" t="n">
        <f aca="false">IF(RubinMode=1,RubinMW*IF(MYPathMode=1,(1+MYDecl)^(MAX(0,Q$5-(MYDeclIdx-1))/4)*IF(AND(MYStressOn=1,Q$5&gt;=PxCycIdx),1-MYStressCut,1),1),Q64*IF(ND_GenOn=1,Rubin_Prem*GPUMW_N/ND_GPUMW_GB,1))</f>
        <v>18</v>
      </c>
      <c r="R65" s="23" t="n">
        <f aca="false">IF(RubinMode=1,RubinMW*IF(MYPathMode=1,(1+MYDecl)^(MAX(0,R$5-(MYDeclIdx-1))/4)*IF(AND(MYStressOn=1,R$5&gt;=PxCycIdx),1-MYStressCut,1),1),R64*IF(ND_GenOn=1,Rubin_Prem*GPUMW_N/ND_GPUMW_GB,1))</f>
        <v>18</v>
      </c>
      <c r="S65" s="23" t="n">
        <f aca="false">IF(RubinMode=1,RubinMW*IF(MYPathMode=1,(1+MYDecl)^(MAX(0,S$5-(MYDeclIdx-1))/4)*IF(AND(MYStressOn=1,S$5&gt;=PxCycIdx),1-MYStressCut,1),1),S64*IF(ND_GenOn=1,Rubin_Prem*GPUMW_N/ND_GPUMW_GB,1))</f>
        <v>18</v>
      </c>
      <c r="T65" s="23" t="n">
        <f aca="false">IF(RubinMode=1,RubinMW*IF(MYPathMode=1,(1+MYDecl)^(MAX(0,T$5-(MYDeclIdx-1))/4)*IF(AND(MYStressOn=1,T$5&gt;=PxCycIdx),1-MYStressCut,1),1),T64*IF(ND_GenOn=1,Rubin_Prem*GPUMW_N/ND_GPUMW_GB,1))</f>
        <v>18</v>
      </c>
      <c r="U65" s="23" t="n">
        <f aca="false">IF(RubinMode=1,RubinMW*IF(MYPathMode=1,(1+MYDecl)^(MAX(0,U$5-(MYDeclIdx-1))/4)*IF(AND(MYStressOn=1,U$5&gt;=PxCycIdx),1-MYStressCut,1),1),U64*IF(ND_GenOn=1,Rubin_Prem*GPUMW_N/ND_GPUMW_GB,1))</f>
        <v>18</v>
      </c>
      <c r="V65" s="23" t="n">
        <f aca="false">IF(RubinMode=1,RubinMW*IF(MYPathMode=1,(1+MYDecl)^(MAX(0,V$5-(MYDeclIdx-1))/4)*IF(AND(MYStressOn=1,V$5&gt;=PxCycIdx),1-MYStressCut,1),1),V64*IF(ND_GenOn=1,Rubin_Prem*GPUMW_N/ND_GPUMW_GB,1))</f>
        <v>18</v>
      </c>
      <c r="W65" s="23" t="n">
        <f aca="false">IF(RubinMode=1,RubinMW*IF(MYPathMode=1,(1+MYDecl)^(MAX(0,W$5-(MYDeclIdx-1))/4)*IF(AND(MYStressOn=1,W$5&gt;=PxCycIdx),1-MYStressCut,1),1),W64*IF(ND_GenOn=1,Rubin_Prem*GPUMW_N/ND_GPUMW_GB,1))</f>
        <v>18</v>
      </c>
      <c r="X65" s="23" t="n">
        <f aca="false">IF(RubinMode=1,RubinMW*IF(MYPathMode=1,(1+MYDecl)^(MAX(0,X$5-(MYDeclIdx-1))/4)*IF(AND(MYStressOn=1,X$5&gt;=PxCycIdx),1-MYStressCut,1),1),X64*IF(ND_GenOn=1,Rubin_Prem*GPUMW_N/ND_GPUMW_GB,1))</f>
        <v>18</v>
      </c>
      <c r="Y65" s="23" t="n">
        <f aca="false">IF(RubinMode=1,RubinMW*IF(MYPathMode=1,(1+MYDecl)^(MAX(0,Y$5-(MYDeclIdx-1))/4)*IF(AND(MYStressOn=1,Y$5&gt;=PxCycIdx),1-MYStressCut,1),1),Y64*IF(ND_GenOn=1,Rubin_Prem*GPUMW_N/ND_GPUMW_GB,1))</f>
        <v>18</v>
      </c>
      <c r="Z65" s="23" t="n">
        <f aca="false">IF(RubinMode=1,RubinMW*IF(MYPathMode=1,(1+MYDecl)^(MAX(0,Z$5-(MYDeclIdx-1))/4)*IF(AND(MYStressOn=1,Z$5&gt;=PxCycIdx),1-MYStressCut,1),1),Z64*IF(ND_GenOn=1,Rubin_Prem*GPUMW_N/ND_GPUMW_GB,1))</f>
        <v>17.8634541110669</v>
      </c>
      <c r="AA65" s="23" t="n">
        <f aca="false">IF(RubinMode=1,RubinMW*IF(MYPathMode=1,(1+MYDecl)^(MAX(0,AA$5-(MYDeclIdx-1))/4)*IF(AND(MYStressOn=1,AA$5&gt;=PxCycIdx),1-MYStressCut,1),1),AA64*IF(ND_GenOn=1,Rubin_Prem*GPUMW_N/ND_GPUMW_GB,1))</f>
        <v>17.727944043233</v>
      </c>
      <c r="AB65" s="23" t="n">
        <f aca="false">IF(RubinMode=1,RubinMW*IF(MYPathMode=1,(1+MYDecl)^(MAX(0,AB$5-(MYDeclIdx-1))/4)*IF(AND(MYStressOn=1,AB$5&gt;=PxCycIdx),1-MYStressCut,1),1),AB64*IF(ND_GenOn=1,Rubin_Prem*GPUMW_N/ND_GPUMW_GB,1))</f>
        <v>17.5934619388808</v>
      </c>
      <c r="AC65" s="23" t="n">
        <f aca="false">IF(RubinMode=1,RubinMW*IF(MYPathMode=1,(1+MYDecl)^(MAX(0,AC$5-(MYDeclIdx-1))/4)*IF(AND(MYStressOn=1,AC$5&gt;=PxCycIdx),1-MYStressCut,1),1),AC64*IF(ND_GenOn=1,Rubin_Prem*GPUMW_N/ND_GPUMW_GB,1))</f>
        <v>17.46</v>
      </c>
      <c r="AD65" s="23" t="n">
        <f aca="false">IF(RubinMode=1,RubinMW*IF(MYPathMode=1,(1+MYDecl)^(MAX(0,AD$5-(MYDeclIdx-1))/4)*IF(AND(MYStressOn=1,AD$5&gt;=PxCycIdx),1-MYStressCut,1),1),AD64*IF(ND_GenOn=1,Rubin_Prem*GPUMW_N/ND_GPUMW_GB,1))</f>
        <v>17.3275504877349</v>
      </c>
      <c r="AE65" s="23" t="n">
        <f aca="false">IF(RubinMode=1,RubinMW*IF(MYPathMode=1,(1+MYDecl)^(MAX(0,AE$5-(MYDeclIdx-1))/4)*IF(AND(MYStressOn=1,AE$5&gt;=PxCycIdx),1-MYStressCut,1),1),AE64*IF(ND_GenOn=1,Rubin_Prem*GPUMW_N/ND_GPUMW_GB,1))</f>
        <v>17.196105721936</v>
      </c>
      <c r="AF65" s="23" t="n">
        <f aca="false">IF(RubinMode=1,RubinMW*IF(MYPathMode=1,(1+MYDecl)^(MAX(0,AF$5-(MYDeclIdx-1))/4)*IF(AND(MYStressOn=1,AF$5&gt;=PxCycIdx),1-MYStressCut,1),1),AF64*IF(ND_GenOn=1,Rubin_Prem*GPUMW_N/ND_GPUMW_GB,1))</f>
        <v>17.0656580807144</v>
      </c>
      <c r="AG65" s="23" t="n">
        <f aca="false">IF(RubinMode=1,RubinMW*IF(MYPathMode=1,(1+MYDecl)^(MAX(0,AG$5-(MYDeclIdx-1))/4)*IF(AND(MYStressOn=1,AG$5&gt;=PxCycIdx),1-MYStressCut,1),1),AG64*IF(ND_GenOn=1,Rubin_Prem*GPUMW_N/ND_GPUMW_GB,1))</f>
        <v>16.9362</v>
      </c>
      <c r="AI65" s="23" t="n">
        <f aca="false">AVERAGEIF($F$7:$AG$7,AI$7,$F65:$AG65)</f>
        <v>18</v>
      </c>
      <c r="AJ65" s="23" t="n">
        <f aca="false">AVERAGEIF($F$7:$AG$7,AJ$7,$F65:$AG65)</f>
        <v>18</v>
      </c>
      <c r="AK65" s="23" t="n">
        <f aca="false">AVERAGEIF($F$7:$AG$7,AK$7,$F65:$AG65)</f>
        <v>18</v>
      </c>
      <c r="AL65" s="23" t="n">
        <f aca="false">AVERAGEIF($F$7:$AG$7,AL$7,$F65:$AG65)</f>
        <v>18</v>
      </c>
      <c r="AM65" s="23" t="n">
        <f aca="false">AVERAGEIF($F$7:$AG$7,AM$7,$F65:$AG65)</f>
        <v>18</v>
      </c>
      <c r="AN65" s="23" t="n">
        <f aca="false">AVERAGEIF($F$7:$AG$7,AN$7,$F65:$AG65)</f>
        <v>17.6612150232952</v>
      </c>
      <c r="AO65" s="23" t="n">
        <f aca="false">AVERAGEIF($F$7:$AG$7,AO$7,$F65:$AG65)</f>
        <v>17.1313785725963</v>
      </c>
    </row>
    <row r="66" customFormat="false" ht="15" hidden="false" customHeight="false" outlineLevel="0" collapsed="false">
      <c r="A66" s="104" t="s">
        <v>1847</v>
      </c>
      <c r="B66" s="20" t="s">
        <v>542</v>
      </c>
      <c r="C66" s="20" t="s">
        <v>495</v>
      </c>
      <c r="D66" s="20"/>
      <c r="F66" s="114" t="n">
        <f aca="false">IF(F63&gt;0,(F61*F64+F62*F65)/F63,F64)</f>
        <v>22</v>
      </c>
      <c r="G66" s="114" t="n">
        <f aca="false">IF(G63&gt;0,(G61*G64+G62*G65)/G63,G64)</f>
        <v>22</v>
      </c>
      <c r="H66" s="114" t="n">
        <f aca="false">IF(H63&gt;0,(H61*H64+H62*H65)/H63,H64)</f>
        <v>22</v>
      </c>
      <c r="I66" s="114" t="n">
        <f aca="false">IF(I63&gt;0,(I61*I64+I62*I65)/I63,I64)</f>
        <v>22</v>
      </c>
      <c r="J66" s="114" t="n">
        <f aca="false">IF(J63&gt;0,(J61*J64+J62*J65)/J63,J64)</f>
        <v>22</v>
      </c>
      <c r="K66" s="114" t="n">
        <f aca="false">IF(K63&gt;0,(K61*K64+K62*K65)/K63,K64)</f>
        <v>22</v>
      </c>
      <c r="L66" s="114" t="n">
        <f aca="false">IF(L63&gt;0,(L61*L64+L62*L65)/L63,L64)</f>
        <v>22</v>
      </c>
      <c r="M66" s="114" t="n">
        <f aca="false">IF(M63&gt;0,(M61*M64+M62*M65)/M63,M64)</f>
        <v>22</v>
      </c>
      <c r="N66" s="114" t="n">
        <f aca="false">IF(N63&gt;0,(N61*N64+N62*N65)/N63,N64)</f>
        <v>22</v>
      </c>
      <c r="O66" s="114" t="n">
        <f aca="false">IF(O63&gt;0,(O61*O64+O62*O65)/O63,O64)</f>
        <v>22</v>
      </c>
      <c r="P66" s="23" t="n">
        <f aca="false">IF(P63&gt;0,(P61*P64+P62*P65)/P63,P64)</f>
        <v>22</v>
      </c>
      <c r="Q66" s="23" t="n">
        <f aca="false">IF(Q63&gt;0,(Q61*Q64+Q62*Q65)/Q63,Q64)</f>
        <v>22</v>
      </c>
      <c r="R66" s="23" t="n">
        <f aca="false">IF(R63&gt;0,(R61*R64+R62*R65)/R63,R64)</f>
        <v>22</v>
      </c>
      <c r="S66" s="23" t="n">
        <f aca="false">IF(S63&gt;0,(S61*S64+S62*S65)/S63,S64)</f>
        <v>21.7203666564464</v>
      </c>
      <c r="T66" s="23" t="n">
        <f aca="false">IF(T63&gt;0,(T61*T64+T62*T65)/T63,T64)</f>
        <v>22</v>
      </c>
      <c r="U66" s="23" t="n">
        <f aca="false">IF(U63&gt;0,(U61*U64+U62*U65)/U63,U64)</f>
        <v>21.5763355909381</v>
      </c>
      <c r="V66" s="23" t="n">
        <f aca="false">IF(V63&gt;0,(V61*V64+V62*V65)/V63,V64)</f>
        <v>19.0480862090992</v>
      </c>
      <c r="W66" s="23" t="n">
        <f aca="false">IF(W63&gt;0,(W61*W64+W62*W65)/W63,W64)</f>
        <v>18.6793398104946</v>
      </c>
      <c r="X66" s="23" t="n">
        <f aca="false">IF(X63&gt;0,(X61*X64+X62*X65)/X63,X64)</f>
        <v>18</v>
      </c>
      <c r="Y66" s="23" t="n">
        <f aca="false">IF(Y63&gt;0,(Y61*Y64+Y62*Y65)/Y63,Y64)</f>
        <v>18</v>
      </c>
      <c r="Z66" s="23" t="n">
        <f aca="false">IF(Z63&gt;0,(Z61*Z64+Z62*Z65)/Z63,Z64)</f>
        <v>18.4147765012102</v>
      </c>
      <c r="AA66" s="23" t="n">
        <f aca="false">IF(AA63&gt;0,(AA61*AA64+AA62*AA65)/AA63,AA64)</f>
        <v>18.2951319655076</v>
      </c>
      <c r="AB66" s="23" t="n">
        <f aca="false">IF(AB63&gt;0,(AB61*AB64+AB62*AB65)/AB63,AB64)</f>
        <v>17.5934619388808</v>
      </c>
      <c r="AC66" s="23" t="n">
        <f aca="false">IF(AC63&gt;0,(AC61*AC64+AC62*AC65)/AC63,AC64)</f>
        <v>17.46</v>
      </c>
      <c r="AD66" s="23" t="n">
        <f aca="false">IF(AD63&gt;0,(AD61*AD64+AD62*AD65)/AD63,AD64)</f>
        <v>17.3275504877349</v>
      </c>
      <c r="AE66" s="23" t="n">
        <f aca="false">IF(AE63&gt;0,(AE61*AE64+AE62*AE65)/AE63,AE64)</f>
        <v>17.196105721936</v>
      </c>
      <c r="AF66" s="23" t="n">
        <f aca="false">IF(AF63&gt;0,(AF61*AF64+AF62*AF65)/AF63,AF64)</f>
        <v>20.8580265430954</v>
      </c>
      <c r="AG66" s="23" t="n">
        <f aca="false">IF(AG63&gt;0,(AG61*AG64+AG62*AG65)/AG63,AG64)</f>
        <v>20.6998</v>
      </c>
      <c r="AI66" s="23" t="n">
        <f aca="false">AVERAGEIF($F$7:$AG$7,AI$7,$F66:$AG66)</f>
        <v>22</v>
      </c>
      <c r="AJ66" s="23" t="n">
        <f aca="false">AVERAGEIF($F$7:$AG$7,AJ$7,$F66:$AG66)</f>
        <v>22</v>
      </c>
      <c r="AK66" s="23" t="n">
        <f aca="false">AVERAGEIF($F$7:$AG$7,AK$7,$F66:$AG66)</f>
        <v>22</v>
      </c>
      <c r="AL66" s="23" t="n">
        <f aca="false">AVERAGEIF($F$7:$AG$7,AL$7,$F66:$AG66)</f>
        <v>21.8241755618461</v>
      </c>
      <c r="AM66" s="23" t="n">
        <f aca="false">AVERAGEIF($F$7:$AG$7,AM$7,$F66:$AG66)</f>
        <v>18.4318565048984</v>
      </c>
      <c r="AN66" s="23" t="n">
        <f aca="false">AVERAGEIF($F$7:$AG$7,AN$7,$F66:$AG66)</f>
        <v>17.9408426013997</v>
      </c>
      <c r="AO66" s="23" t="n">
        <f aca="false">AVERAGEIF($F$7:$AG$7,AO$7,$F66:$AG66)</f>
        <v>19.0203706881916</v>
      </c>
    </row>
    <row r="67" customFormat="false" ht="15" hidden="false" customHeight="false" outlineLevel="0" collapsed="false">
      <c r="A67" s="104" t="s">
        <v>1848</v>
      </c>
      <c r="B67" s="20" t="s">
        <v>648</v>
      </c>
      <c r="C67" s="20" t="s">
        <v>546</v>
      </c>
      <c r="D67" s="20"/>
      <c r="F67" s="125" t="n">
        <f aca="false">IF((F$5-MOD(F$5-NewDealIdx,2))&lt;PxCycIdx,1,IF((F$5-MOD(F$5-NewDealIdx,2))&lt;PxCycIdx+3,1-PxCyc,IF(STRecov=1,IF((F$5-MOD(F$5-NewDealIdx,2))=PxCycIdx+3,1-PxCyc/2,1),1-PxCyc)))*(1+PxChg_B)^(MAX(0,(F$5-MOD(F$5-NewDealIdx,2))-(PxCycIdx+5))/4)</f>
        <v>1</v>
      </c>
      <c r="G67" s="125" t="n">
        <f aca="false">IF((G$5-MOD(G$5-NewDealIdx,2))&lt;PxCycIdx,1,IF((G$5-MOD(G$5-NewDealIdx,2))&lt;PxCycIdx+3,1-PxCyc,IF(STRecov=1,IF((G$5-MOD(G$5-NewDealIdx,2))=PxCycIdx+3,1-PxCyc/2,1),1-PxCyc)))*(1+PxChg_B)^(MAX(0,(G$5-MOD(G$5-NewDealIdx,2))-(PxCycIdx+5))/4)</f>
        <v>1</v>
      </c>
      <c r="H67" s="125" t="n">
        <f aca="false">IF((H$5-MOD(H$5-NewDealIdx,2))&lt;PxCycIdx,1,IF((H$5-MOD(H$5-NewDealIdx,2))&lt;PxCycIdx+3,1-PxCyc,IF(STRecov=1,IF((H$5-MOD(H$5-NewDealIdx,2))=PxCycIdx+3,1-PxCyc/2,1),1-PxCyc)))*(1+PxChg_B)^(MAX(0,(H$5-MOD(H$5-NewDealIdx,2))-(PxCycIdx+5))/4)</f>
        <v>1</v>
      </c>
      <c r="I67" s="125" t="n">
        <f aca="false">IF((I$5-MOD(I$5-NewDealIdx,2))&lt;PxCycIdx,1,IF((I$5-MOD(I$5-NewDealIdx,2))&lt;PxCycIdx+3,1-PxCyc,IF(STRecov=1,IF((I$5-MOD(I$5-NewDealIdx,2))=PxCycIdx+3,1-PxCyc/2,1),1-PxCyc)))*(1+PxChg_B)^(MAX(0,(I$5-MOD(I$5-NewDealIdx,2))-(PxCycIdx+5))/4)</f>
        <v>1</v>
      </c>
      <c r="J67" s="125" t="n">
        <f aca="false">IF((J$5-MOD(J$5-NewDealIdx,2))&lt;PxCycIdx,1,IF((J$5-MOD(J$5-NewDealIdx,2))&lt;PxCycIdx+3,1-PxCyc,IF(STRecov=1,IF((J$5-MOD(J$5-NewDealIdx,2))=PxCycIdx+3,1-PxCyc/2,1),1-PxCyc)))*(1+PxChg_B)^(MAX(0,(J$5-MOD(J$5-NewDealIdx,2))-(PxCycIdx+5))/4)</f>
        <v>1</v>
      </c>
      <c r="K67" s="125" t="n">
        <f aca="false">IF((K$5-MOD(K$5-NewDealIdx,2))&lt;PxCycIdx,1,IF((K$5-MOD(K$5-NewDealIdx,2))&lt;PxCycIdx+3,1-PxCyc,IF(STRecov=1,IF((K$5-MOD(K$5-NewDealIdx,2))=PxCycIdx+3,1-PxCyc/2,1),1-PxCyc)))*(1+PxChg_B)^(MAX(0,(K$5-MOD(K$5-NewDealIdx,2))-(PxCycIdx+5))/4)</f>
        <v>1</v>
      </c>
      <c r="L67" s="125" t="n">
        <f aca="false">IF((L$5-MOD(L$5-NewDealIdx,2))&lt;PxCycIdx,1,IF((L$5-MOD(L$5-NewDealIdx,2))&lt;PxCycIdx+3,1-PxCyc,IF(STRecov=1,IF((L$5-MOD(L$5-NewDealIdx,2))=PxCycIdx+3,1-PxCyc/2,1),1-PxCyc)))*(1+PxChg_B)^(MAX(0,(L$5-MOD(L$5-NewDealIdx,2))-(PxCycIdx+5))/4)</f>
        <v>1</v>
      </c>
      <c r="M67" s="125" t="n">
        <f aca="false">IF((M$5-MOD(M$5-NewDealIdx,2))&lt;PxCycIdx,1,IF((M$5-MOD(M$5-NewDealIdx,2))&lt;PxCycIdx+3,1-PxCyc,IF(STRecov=1,IF((M$5-MOD(M$5-NewDealIdx,2))=PxCycIdx+3,1-PxCyc/2,1),1-PxCyc)))*(1+PxChg_B)^(MAX(0,(M$5-MOD(M$5-NewDealIdx,2))-(PxCycIdx+5))/4)</f>
        <v>1</v>
      </c>
      <c r="N67" s="125" t="n">
        <f aca="false">IF((N$5-MOD(N$5-NewDealIdx,2))&lt;PxCycIdx,1,IF((N$5-MOD(N$5-NewDealIdx,2))&lt;PxCycIdx+3,1-PxCyc,IF(STRecov=1,IF((N$5-MOD(N$5-NewDealIdx,2))=PxCycIdx+3,1-PxCyc/2,1),1-PxCyc)))*(1+PxChg_B)^(MAX(0,(N$5-MOD(N$5-NewDealIdx,2))-(PxCycIdx+5))/4)</f>
        <v>1</v>
      </c>
      <c r="O67" s="125" t="n">
        <f aca="false">IF((O$5-MOD(O$5-NewDealIdx,2))&lt;PxCycIdx,1,IF((O$5-MOD(O$5-NewDealIdx,2))&lt;PxCycIdx+3,1-PxCyc,IF(STRecov=1,IF((O$5-MOD(O$5-NewDealIdx,2))=PxCycIdx+3,1-PxCyc/2,1),1-PxCyc)))*(1+PxChg_B)^(MAX(0,(O$5-MOD(O$5-NewDealIdx,2))-(PxCycIdx+5))/4)</f>
        <v>1</v>
      </c>
      <c r="P67" s="50" t="n">
        <f aca="false">IF((P$5-MOD(P$5-NewDealIdx,2))&lt;PxCycIdx,1,IF((P$5-MOD(P$5-NewDealIdx,2))&lt;PxCycIdx+3,1-PxCyc,IF(STRecov=1,IF((P$5-MOD(P$5-NewDealIdx,2))=PxCycIdx+3,1-PxCyc/2,1),1-PxCyc)))*(1+PxChg_B)^(MAX(0,(P$5-MOD(P$5-NewDealIdx,2))-(PxCycIdx+5))/4)</f>
        <v>1</v>
      </c>
      <c r="Q67" s="50" t="n">
        <f aca="false">IF((Q$5-MOD(Q$5-NewDealIdx,2))&lt;PxCycIdx,1,IF((Q$5-MOD(Q$5-NewDealIdx,2))&lt;PxCycIdx+3,1-PxCyc,IF(STRecov=1,IF((Q$5-MOD(Q$5-NewDealIdx,2))=PxCycIdx+3,1-PxCyc/2,1),1-PxCyc)))*(1+PxChg_B)^(MAX(0,(Q$5-MOD(Q$5-NewDealIdx,2))-(PxCycIdx+5))/4)</f>
        <v>1</v>
      </c>
      <c r="R67" s="50" t="n">
        <f aca="false">IF((R$5-MOD(R$5-NewDealIdx,2))&lt;PxCycIdx,1,IF((R$5-MOD(R$5-NewDealIdx,2))&lt;PxCycIdx+3,1-PxCyc,IF(STRecov=1,IF((R$5-MOD(R$5-NewDealIdx,2))=PxCycIdx+3,1-PxCyc/2,1),1-PxCyc)))*(1+PxChg_B)^(MAX(0,(R$5-MOD(R$5-NewDealIdx,2))-(PxCycIdx+5))/4)</f>
        <v>0.78</v>
      </c>
      <c r="S67" s="50" t="n">
        <f aca="false">IF((S$5-MOD(S$5-NewDealIdx,2))&lt;PxCycIdx,1,IF((S$5-MOD(S$5-NewDealIdx,2))&lt;PxCycIdx+3,1-PxCyc,IF(STRecov=1,IF((S$5-MOD(S$5-NewDealIdx,2))=PxCycIdx+3,1-PxCyc/2,1),1-PxCyc)))*(1+PxChg_B)^(MAX(0,(S$5-MOD(S$5-NewDealIdx,2))-(PxCycIdx+5))/4)</f>
        <v>0.78</v>
      </c>
      <c r="T67" s="50" t="n">
        <f aca="false">IF((T$5-MOD(T$5-NewDealIdx,2))&lt;PxCycIdx,1,IF((T$5-MOD(T$5-NewDealIdx,2))&lt;PxCycIdx+3,1-PxCyc,IF(STRecov=1,IF((T$5-MOD(T$5-NewDealIdx,2))=PxCycIdx+3,1-PxCyc/2,1),1-PxCyc)))*(1+PxChg_B)^(MAX(0,(T$5-MOD(T$5-NewDealIdx,2))-(PxCycIdx+5))/4)</f>
        <v>0.78</v>
      </c>
      <c r="U67" s="50" t="n">
        <f aca="false">IF((U$5-MOD(U$5-NewDealIdx,2))&lt;PxCycIdx,1,IF((U$5-MOD(U$5-NewDealIdx,2))&lt;PxCycIdx+3,1-PxCyc,IF(STRecov=1,IF((U$5-MOD(U$5-NewDealIdx,2))=PxCycIdx+3,1-PxCyc/2,1),1-PxCyc)))*(1+PxChg_B)^(MAX(0,(U$5-MOD(U$5-NewDealIdx,2))-(PxCycIdx+5))/4)</f>
        <v>0.78</v>
      </c>
      <c r="V67" s="50" t="n">
        <f aca="false">IF((V$5-MOD(V$5-NewDealIdx,2))&lt;PxCycIdx,1,IF((V$5-MOD(V$5-NewDealIdx,2))&lt;PxCycIdx+3,1-PxCyc,IF(STRecov=1,IF((V$5-MOD(V$5-NewDealIdx,2))=PxCycIdx+3,1-PxCyc/2,1),1-PxCyc)))*(1+PxChg_B)^(MAX(0,(V$5-MOD(V$5-NewDealIdx,2))-(PxCycIdx+5))/4)</f>
        <v>1</v>
      </c>
      <c r="W67" s="50" t="n">
        <f aca="false">IF((W$5-MOD(W$5-NewDealIdx,2))&lt;PxCycIdx,1,IF((W$5-MOD(W$5-NewDealIdx,2))&lt;PxCycIdx+3,1-PxCyc,IF(STRecov=1,IF((W$5-MOD(W$5-NewDealIdx,2))=PxCycIdx+3,1-PxCyc/2,1),1-PxCyc)))*(1+PxChg_B)^(MAX(0,(W$5-MOD(W$5-NewDealIdx,2))-(PxCycIdx+5))/4)</f>
        <v>1</v>
      </c>
      <c r="X67" s="50" t="n">
        <f aca="false">IF((X$5-MOD(X$5-NewDealIdx,2))&lt;PxCycIdx,1,IF((X$5-MOD(X$5-NewDealIdx,2))&lt;PxCycIdx+3,1-PxCyc,IF(STRecov=1,IF((X$5-MOD(X$5-NewDealIdx,2))=PxCycIdx+3,1-PxCyc/2,1),1-PxCyc)))*(1+PxChg_B)^(MAX(0,(X$5-MOD(X$5-NewDealIdx,2))-(PxCycIdx+5))/4)</f>
        <v>0.984650177211819</v>
      </c>
      <c r="Y67" s="50" t="n">
        <f aca="false">IF((Y$5-MOD(Y$5-NewDealIdx,2))&lt;PxCycIdx,1,IF((Y$5-MOD(Y$5-NewDealIdx,2))&lt;PxCycIdx+3,1-PxCyc,IF(STRecov=1,IF((Y$5-MOD(Y$5-NewDealIdx,2))=PxCycIdx+3,1-PxCyc/2,1),1-PxCyc)))*(1+PxChg_B)^(MAX(0,(Y$5-MOD(Y$5-NewDealIdx,2))-(PxCycIdx+5))/4)</f>
        <v>0.984650177211819</v>
      </c>
      <c r="Z67" s="50" t="n">
        <f aca="false">IF((Z$5-MOD(Z$5-NewDealIdx,2))&lt;PxCycIdx,1,IF((Z$5-MOD(Z$5-NewDealIdx,2))&lt;PxCycIdx+3,1-PxCyc,IF(STRecov=1,IF((Z$5-MOD(Z$5-NewDealIdx,2))=PxCycIdx+3,1-PxCyc/2,1),1-PxCyc)))*(1+PxChg_B)^(MAX(0,(Z$5-MOD(Z$5-NewDealIdx,2))-(PxCycIdx+5))/4)</f>
        <v>0.95465376613423</v>
      </c>
      <c r="AA67" s="50" t="n">
        <f aca="false">IF((AA$5-MOD(AA$5-NewDealIdx,2))&lt;PxCycIdx,1,IF((AA$5-MOD(AA$5-NewDealIdx,2))&lt;PxCycIdx+3,1-PxCyc,IF(STRecov=1,IF((AA$5-MOD(AA$5-NewDealIdx,2))=PxCycIdx+3,1-PxCyc/2,1),1-PxCyc)))*(1+PxChg_B)^(MAX(0,(AA$5-MOD(AA$5-NewDealIdx,2))-(PxCycIdx+5))/4)</f>
        <v>0.95465376613423</v>
      </c>
      <c r="AB67" s="50" t="n">
        <f aca="false">IF((AB$5-MOD(AB$5-NewDealIdx,2))&lt;PxCycIdx,1,IF((AB$5-MOD(AB$5-NewDealIdx,2))&lt;PxCycIdx+3,1-PxCyc,IF(STRecov=1,IF((AB$5-MOD(AB$5-NewDealIdx,2))=PxCycIdx+3,1-PxCyc/2,1),1-PxCyc)))*(1+PxChg_B)^(MAX(0,(AB$5-MOD(AB$5-NewDealIdx,2))-(PxCycIdx+5))/4)</f>
        <v>0.925571166579109</v>
      </c>
      <c r="AC67" s="50" t="n">
        <f aca="false">IF((AC$5-MOD(AC$5-NewDealIdx,2))&lt;PxCycIdx,1,IF((AC$5-MOD(AC$5-NewDealIdx,2))&lt;PxCycIdx+3,1-PxCyc,IF(STRecov=1,IF((AC$5-MOD(AC$5-NewDealIdx,2))=PxCycIdx+3,1-PxCyc/2,1),1-PxCyc)))*(1+PxChg_B)^(MAX(0,(AC$5-MOD(AC$5-NewDealIdx,2))-(PxCycIdx+5))/4)</f>
        <v>0.925571166579109</v>
      </c>
      <c r="AD67" s="50" t="n">
        <f aca="false">IF((AD$5-MOD(AD$5-NewDealIdx,2))&lt;PxCycIdx,1,IF((AD$5-MOD(AD$5-NewDealIdx,2))&lt;PxCycIdx+3,1-PxCyc,IF(STRecov=1,IF((AD$5-MOD(AD$5-NewDealIdx,2))=PxCycIdx+3,1-PxCyc/2,1),1-PxCyc)))*(1+PxChg_B)^(MAX(0,(AD$5-MOD(AD$5-NewDealIdx,2))-(PxCycIdx+5))/4)</f>
        <v>0.897374540166177</v>
      </c>
      <c r="AE67" s="50" t="n">
        <f aca="false">IF((AE$5-MOD(AE$5-NewDealIdx,2))&lt;PxCycIdx,1,IF((AE$5-MOD(AE$5-NewDealIdx,2))&lt;PxCycIdx+3,1-PxCyc,IF(STRecov=1,IF((AE$5-MOD(AE$5-NewDealIdx,2))=PxCycIdx+3,1-PxCyc/2,1),1-PxCyc)))*(1+PxChg_B)^(MAX(0,(AE$5-MOD(AE$5-NewDealIdx,2))-(PxCycIdx+5))/4)</f>
        <v>0.897374540166177</v>
      </c>
      <c r="AF67" s="50" t="n">
        <f aca="false">IF((AF$5-MOD(AF$5-NewDealIdx,2))&lt;PxCycIdx,1,IF((AF$5-MOD(AF$5-NewDealIdx,2))&lt;PxCycIdx+3,1-PxCyc,IF(STRecov=1,IF((AF$5-MOD(AF$5-NewDealIdx,2))=PxCycIdx+3,1-PxCyc/2,1),1-PxCyc)))*(1+PxChg_B)^(MAX(0,(AF$5-MOD(AF$5-NewDealIdx,2))-(PxCycIdx+5))/4)</f>
        <v>0.870036896584363</v>
      </c>
      <c r="AG67" s="50" t="n">
        <f aca="false">IF((AG$5-MOD(AG$5-NewDealIdx,2))&lt;PxCycIdx,1,IF((AG$5-MOD(AG$5-NewDealIdx,2))&lt;PxCycIdx+3,1-PxCyc,IF(STRecov=1,IF((AG$5-MOD(AG$5-NewDealIdx,2))=PxCycIdx+3,1-PxCyc/2,1),1-PxCyc)))*(1+PxChg_B)^(MAX(0,(AG$5-MOD(AG$5-NewDealIdx,2))-(PxCycIdx+5))/4)</f>
        <v>0.870036896584363</v>
      </c>
      <c r="AI67" s="50" t="n">
        <f aca="false">AVERAGEIF($F$7:$AG$7,AI$7,$F67:$AG67)</f>
        <v>1</v>
      </c>
      <c r="AJ67" s="50" t="n">
        <f aca="false">AVERAGEIF($F$7:$AG$7,AJ$7,$F67:$AG67)</f>
        <v>1</v>
      </c>
      <c r="AK67" s="50" t="n">
        <f aca="false">AVERAGEIF($F$7:$AG$7,AK$7,$F67:$AG67)</f>
        <v>1</v>
      </c>
      <c r="AL67" s="50" t="n">
        <f aca="false">AVERAGEIF($F$7:$AG$7,AL$7,$F67:$AG67)</f>
        <v>0.78</v>
      </c>
      <c r="AM67" s="50" t="n">
        <f aca="false">AVERAGEIF($F$7:$AG$7,AM$7,$F67:$AG67)</f>
        <v>0.992325088605909</v>
      </c>
      <c r="AN67" s="50" t="n">
        <f aca="false">AVERAGEIF($F$7:$AG$7,AN$7,$F67:$AG67)</f>
        <v>0.94011246635667</v>
      </c>
      <c r="AO67" s="50" t="n">
        <f aca="false">AVERAGEIF($F$7:$AG$7,AO$7,$F67:$AG67)</f>
        <v>0.88370571837527</v>
      </c>
    </row>
    <row r="68" customFormat="false" ht="15" hidden="false" customHeight="false" outlineLevel="0" collapsed="false">
      <c r="A68" s="104" t="s">
        <v>1849</v>
      </c>
      <c r="B68" s="20" t="s">
        <v>542</v>
      </c>
      <c r="C68" s="20" t="s">
        <v>550</v>
      </c>
      <c r="D68" s="20"/>
      <c r="F68" s="114" t="n">
        <f aca="false">STRate*F67</f>
        <v>45</v>
      </c>
      <c r="G68" s="114" t="n">
        <f aca="false">STRate*G67</f>
        <v>45</v>
      </c>
      <c r="H68" s="114" t="n">
        <f aca="false">STRate*H67</f>
        <v>45</v>
      </c>
      <c r="I68" s="114" t="n">
        <f aca="false">STRate*I67</f>
        <v>45</v>
      </c>
      <c r="J68" s="114" t="n">
        <f aca="false">STRate*J67</f>
        <v>45</v>
      </c>
      <c r="K68" s="114" t="n">
        <f aca="false">STRate*K67</f>
        <v>45</v>
      </c>
      <c r="L68" s="114" t="n">
        <f aca="false">STRate*L67</f>
        <v>45</v>
      </c>
      <c r="M68" s="114" t="n">
        <f aca="false">STRate*M67</f>
        <v>45</v>
      </c>
      <c r="N68" s="114" t="n">
        <f aca="false">STRate*N67</f>
        <v>45</v>
      </c>
      <c r="O68" s="114" t="n">
        <f aca="false">STRate*O67</f>
        <v>45</v>
      </c>
      <c r="P68" s="23" t="n">
        <f aca="false">STRate*P67</f>
        <v>45</v>
      </c>
      <c r="Q68" s="23" t="n">
        <f aca="false">STRate*Q67</f>
        <v>45</v>
      </c>
      <c r="R68" s="23" t="n">
        <f aca="false">STRate*R67</f>
        <v>35.1</v>
      </c>
      <c r="S68" s="23" t="n">
        <f aca="false">STRate*S67</f>
        <v>35.1</v>
      </c>
      <c r="T68" s="23" t="n">
        <f aca="false">STRate*T67</f>
        <v>35.1</v>
      </c>
      <c r="U68" s="23" t="n">
        <f aca="false">STRate*U67</f>
        <v>35.1</v>
      </c>
      <c r="V68" s="23" t="n">
        <f aca="false">STRate*V67</f>
        <v>45</v>
      </c>
      <c r="W68" s="23" t="n">
        <f aca="false">STRate*W67</f>
        <v>45</v>
      </c>
      <c r="X68" s="23" t="n">
        <f aca="false">STRate*X67</f>
        <v>44.3092579745318</v>
      </c>
      <c r="Y68" s="23" t="n">
        <f aca="false">STRate*Y67</f>
        <v>44.3092579745318</v>
      </c>
      <c r="Z68" s="23" t="n">
        <f aca="false">STRate*Z67</f>
        <v>42.9594194760404</v>
      </c>
      <c r="AA68" s="23" t="n">
        <f aca="false">STRate*AA67</f>
        <v>42.9594194760404</v>
      </c>
      <c r="AB68" s="23" t="n">
        <f aca="false">STRate*AB67</f>
        <v>41.6507024960599</v>
      </c>
      <c r="AC68" s="23" t="n">
        <f aca="false">STRate*AC67</f>
        <v>41.6507024960599</v>
      </c>
      <c r="AD68" s="23" t="n">
        <f aca="false">STRate*AD67</f>
        <v>40.3818543074779</v>
      </c>
      <c r="AE68" s="23" t="n">
        <f aca="false">STRate*AE67</f>
        <v>40.3818543074779</v>
      </c>
      <c r="AF68" s="23" t="n">
        <f aca="false">STRate*AF67</f>
        <v>39.1516603462963</v>
      </c>
      <c r="AG68" s="23" t="n">
        <f aca="false">STRate*AG67</f>
        <v>39.1516603462963</v>
      </c>
      <c r="AI68" s="23" t="n">
        <f aca="false">AVERAGEIF($F$7:$AG$7,AI$7,$F68:$AG68)</f>
        <v>45</v>
      </c>
      <c r="AJ68" s="23" t="n">
        <f aca="false">AVERAGEIF($F$7:$AG$7,AJ$7,$F68:$AG68)</f>
        <v>45</v>
      </c>
      <c r="AK68" s="23" t="n">
        <f aca="false">AVERAGEIF($F$7:$AG$7,AK$7,$F68:$AG68)</f>
        <v>45</v>
      </c>
      <c r="AL68" s="23" t="n">
        <f aca="false">AVERAGEIF($F$7:$AG$7,AL$7,$F68:$AG68)</f>
        <v>35.1</v>
      </c>
      <c r="AM68" s="23" t="n">
        <f aca="false">AVERAGEIF($F$7:$AG$7,AM$7,$F68:$AG68)</f>
        <v>44.6546289872659</v>
      </c>
      <c r="AN68" s="23" t="n">
        <f aca="false">AVERAGEIF($F$7:$AG$7,AN$7,$F68:$AG68)</f>
        <v>42.3050609860501</v>
      </c>
      <c r="AO68" s="23" t="n">
        <f aca="false">AVERAGEIF($F$7:$AG$7,AO$7,$F68:$AG68)</f>
        <v>39.7667573268871</v>
      </c>
    </row>
    <row r="69" customFormat="false" ht="15" hidden="false" customHeight="false" outlineLevel="0" collapsed="false">
      <c r="A69" s="104" t="s">
        <v>1850</v>
      </c>
      <c r="B69" s="20" t="s">
        <v>575</v>
      </c>
      <c r="C69" s="20" t="s">
        <v>495</v>
      </c>
      <c r="D69" s="20"/>
      <c r="F69" s="108" t="n">
        <f aca="false">F54/GPUMW_H+F55/GPUMW_B+F56/GPUMW_N</f>
        <v>19.2328190743338</v>
      </c>
      <c r="G69" s="108" t="n">
        <f aca="false">G54/GPUMW_H+G55/GPUMW_B+G56/GPUMW_N</f>
        <v>19.2328190743338</v>
      </c>
      <c r="H69" s="108" t="n">
        <f aca="false">H54/GPUMW_H+H55/GPUMW_B+H56/GPUMW_N</f>
        <v>19.2328190743338</v>
      </c>
      <c r="I69" s="108" t="n">
        <f aca="false">I54/GPUMW_H+I55/GPUMW_B+I56/GPUMW_N</f>
        <v>21.156381486676</v>
      </c>
      <c r="J69" s="108" t="n">
        <f aca="false">J54/GPUMW_H+J55/GPUMW_B+J56/GPUMW_N</f>
        <v>32.577840112202</v>
      </c>
      <c r="K69" s="108" t="n">
        <f aca="false">K54/GPUMW_H+K55/GPUMW_B+K56/GPUMW_N</f>
        <v>43.9992987377279</v>
      </c>
      <c r="L69" s="108" t="n">
        <f aca="false">L54/GPUMW_H+L55/GPUMW_B+L56/GPUMW_N</f>
        <v>52.9948611500701</v>
      </c>
      <c r="M69" s="108" t="n">
        <f aca="false">M54/GPUMW_H+M55/GPUMW_B+M56/GPUMW_N</f>
        <v>72.2189444834035</v>
      </c>
      <c r="N69" s="108" t="n">
        <f aca="false">N54/GPUMW_H+N55/GPUMW_B+N56/GPUMW_N</f>
        <v>77.3861111500701</v>
      </c>
      <c r="O69" s="108" t="n">
        <f aca="false">O54/GPUMW_H+O55/GPUMW_B+O56/GPUMW_N</f>
        <v>70.3881944834035</v>
      </c>
      <c r="P69" s="29" t="n">
        <f aca="false">P54/GPUMW_H+P55/GPUMW_B+P56/GPUMW_N</f>
        <v>70.3751944834035</v>
      </c>
      <c r="Q69" s="29" t="n">
        <f aca="false">Q54/GPUMW_H+Q55/GPUMW_B+Q56/GPUMW_N</f>
        <v>73.0311944834035</v>
      </c>
      <c r="R69" s="29" t="n">
        <f aca="false">R54/GPUMW_H+R55/GPUMW_B+R56/GPUMW_N</f>
        <v>73.0311944834035</v>
      </c>
      <c r="S69" s="29" t="n">
        <f aca="false">S54/GPUMW_H+S55/GPUMW_B+S56/GPUMW_N</f>
        <v>73.0311944834035</v>
      </c>
      <c r="T69" s="29" t="n">
        <f aca="false">T54/GPUMW_H+T55/GPUMW_B+T56/GPUMW_N</f>
        <v>73.0311944834035</v>
      </c>
      <c r="U69" s="29" t="n">
        <f aca="false">U54/GPUMW_H+U55/GPUMW_B+U56/GPUMW_N</f>
        <v>73.0311944834035</v>
      </c>
      <c r="V69" s="29" t="n">
        <f aca="false">V54/GPUMW_H+V55/GPUMW_B+V56/GPUMW_N</f>
        <v>73.0311944834035</v>
      </c>
      <c r="W69" s="29" t="n">
        <f aca="false">W54/GPUMW_H+W55/GPUMW_B+W56/GPUMW_N</f>
        <v>73.0311944834035</v>
      </c>
      <c r="X69" s="29" t="n">
        <f aca="false">X54/GPUMW_H+X55/GPUMW_B+X56/GPUMW_N</f>
        <v>73.0311944834035</v>
      </c>
      <c r="Y69" s="29" t="n">
        <f aca="false">Y54/GPUMW_H+Y55/GPUMW_B+Y56/GPUMW_N</f>
        <v>73.0311944834035</v>
      </c>
      <c r="Z69" s="29" t="n">
        <f aca="false">Z54/GPUMW_H+Z55/GPUMW_B+Z56/GPUMW_N</f>
        <v>73.0311944834035</v>
      </c>
      <c r="AA69" s="29" t="n">
        <f aca="false">AA54/GPUMW_H+AA55/GPUMW_B+AA56/GPUMW_N</f>
        <v>73.0311944834035</v>
      </c>
      <c r="AB69" s="29" t="n">
        <f aca="false">AB54/GPUMW_H+AB55/GPUMW_B+AB56/GPUMW_N</f>
        <v>73.0311944834035</v>
      </c>
      <c r="AC69" s="29" t="n">
        <f aca="false">AC54/GPUMW_H+AC55/GPUMW_B+AC56/GPUMW_N</f>
        <v>73.0311944834035</v>
      </c>
      <c r="AD69" s="29" t="n">
        <f aca="false">AD54/GPUMW_H+AD55/GPUMW_B+AD56/GPUMW_N</f>
        <v>73.0311944834035</v>
      </c>
      <c r="AE69" s="29" t="n">
        <f aca="false">AE54/GPUMW_H+AE55/GPUMW_B+AE56/GPUMW_N</f>
        <v>73.0311944834035</v>
      </c>
      <c r="AF69" s="29" t="n">
        <f aca="false">AF54/GPUMW_H+AF55/GPUMW_B+AF56/GPUMW_N</f>
        <v>73.0311944834035</v>
      </c>
      <c r="AG69" s="29" t="n">
        <f aca="false">AG54/GPUMW_H+AG55/GPUMW_B+AG56/GPUMW_N</f>
        <v>73.0311944834035</v>
      </c>
      <c r="AI69" s="29" t="n">
        <f aca="false">AVERAGEIF($F$7:$AG$7,AI$7,$F69:$AG69)</f>
        <v>19.7137096774194</v>
      </c>
      <c r="AJ69" s="29" t="n">
        <f aca="false">AVERAGEIF($F$7:$AG$7,AJ$7,$F69:$AG69)</f>
        <v>50.4477361208509</v>
      </c>
      <c r="AK69" s="29" t="n">
        <f aca="false">AVERAGEIF($F$7:$AG$7,AK$7,$F69:$AG69)</f>
        <v>72.7951736500701</v>
      </c>
      <c r="AL69" s="29" t="n">
        <f aca="false">AVERAGEIF($F$7:$AG$7,AL$7,$F69:$AG69)</f>
        <v>73.0311944834035</v>
      </c>
      <c r="AM69" s="29" t="n">
        <f aca="false">AVERAGEIF($F$7:$AG$7,AM$7,$F69:$AG69)</f>
        <v>73.0311944834035</v>
      </c>
      <c r="AN69" s="29" t="n">
        <f aca="false">AVERAGEIF($F$7:$AG$7,AN$7,$F69:$AG69)</f>
        <v>73.0311944834035</v>
      </c>
      <c r="AO69" s="29" t="n">
        <f aca="false">AVERAGEIF($F$7:$AG$7,AO$7,$F69:$AG69)</f>
        <v>73.0311944834035</v>
      </c>
    </row>
    <row r="70" customFormat="false" ht="15" hidden="false" customHeight="false" outlineLevel="0" collapsed="false">
      <c r="A70" s="104" t="s">
        <v>1851</v>
      </c>
      <c r="B70" s="20" t="s">
        <v>575</v>
      </c>
      <c r="C70" s="20" t="s">
        <v>546</v>
      </c>
      <c r="D70" s="20" t="s">
        <v>1852</v>
      </c>
      <c r="F70" s="108" t="n">
        <f aca="false">IF(F$5&lt;NewDealIdx,0,IF(STMode=1,MIN(STShare*F12,F69+IF(STGBOnly=1,F59,F58)),STShare*F58))</f>
        <v>0</v>
      </c>
      <c r="G70" s="108" t="n">
        <f aca="false">IF(G$5&lt;NewDealIdx,0,IF(STMode=1,MIN(STShare*G12,G69+IF(STGBOnly=1,G59,G58)),STShare*G58))</f>
        <v>0</v>
      </c>
      <c r="H70" s="108" t="n">
        <f aca="false">IF(H$5&lt;NewDealIdx,0,IF(STMode=1,MIN(STShare*H12,H69+IF(STGBOnly=1,H59,H58)),STShare*H58))</f>
        <v>0</v>
      </c>
      <c r="I70" s="108" t="n">
        <f aca="false">IF(I$5&lt;NewDealIdx,0,IF(STMode=1,MIN(STShare*I12,I69+IF(STGBOnly=1,I59,I58)),STShare*I58))</f>
        <v>0</v>
      </c>
      <c r="J70" s="108" t="n">
        <f aca="false">IF(J$5&lt;NewDealIdx,0,IF(STMode=1,MIN(STShare*J12,J69+IF(STGBOnly=1,J59,J58)),STShare*J58))</f>
        <v>0</v>
      </c>
      <c r="K70" s="108" t="n">
        <f aca="false">IF(K$5&lt;NewDealIdx,0,IF(STMode=1,MIN(STShare*K12,K69+IF(STGBOnly=1,K59,K58)),STShare*K58))</f>
        <v>0</v>
      </c>
      <c r="L70" s="108" t="n">
        <f aca="false">IF(L$5&lt;NewDealIdx,0,IF(STMode=1,MIN(STShare*L12,L69+IF(STGBOnly=1,L59,L58)),STShare*L58))</f>
        <v>0</v>
      </c>
      <c r="M70" s="108" t="n">
        <f aca="false">IF(M$5&lt;NewDealIdx,0,IF(STMode=1,MIN(STShare*M12,M69+IF(STGBOnly=1,M59,M58)),STShare*M58))</f>
        <v>0</v>
      </c>
      <c r="N70" s="108" t="n">
        <f aca="false">IF(N$5&lt;NewDealIdx,0,IF(STMode=1,MIN(STShare*N12,N69+IF(STGBOnly=1,N59,N58)),STShare*N58))</f>
        <v>0</v>
      </c>
      <c r="O70" s="108" t="n">
        <f aca="false">IF(O$5&lt;NewDealIdx,0,IF(STMode=1,MIN(STShare*O12,O69+IF(STGBOnly=1,O59,O58)),STShare*O58))</f>
        <v>0</v>
      </c>
      <c r="P70" s="29" t="n">
        <f aca="false">IF(P$5&lt;NewDealIdx,0,IF(STMode=1,MIN(STShare*P12,P69+IF(STGBOnly=1,P59,P58)),STShare*P58))</f>
        <v>0</v>
      </c>
      <c r="Q70" s="29" t="n">
        <f aca="false">IF(Q$5&lt;NewDealIdx,0,IF(STMode=1,MIN(STShare*Q12,Q69+IF(STGBOnly=1,Q59,Q58)),STShare*Q58))</f>
        <v>0</v>
      </c>
      <c r="R70" s="29" t="n">
        <f aca="false">IF(R$5&lt;NewDealIdx,0,IF(STMode=1,MIN(STShare*R12,R69+IF(STGBOnly=1,R59,R58)),STShare*R58))</f>
        <v>12.4975</v>
      </c>
      <c r="S70" s="29" t="n">
        <f aca="false">IF(S$5&lt;NewDealIdx,0,IF(STMode=1,MIN(STShare*S12,S69+IF(STGBOnly=1,S59,S58)),STShare*S58))</f>
        <v>17.72</v>
      </c>
      <c r="T70" s="29" t="n">
        <f aca="false">IF(T$5&lt;NewDealIdx,0,IF(STMode=1,MIN(STShare*T12,T69+IF(STGBOnly=1,T59,T58)),STShare*T58))</f>
        <v>24.0375</v>
      </c>
      <c r="U70" s="29" t="n">
        <f aca="false">IF(U$5&lt;NewDealIdx,0,IF(STMode=1,MIN(STShare*U12,U69+IF(STGBOnly=1,U59,U58)),STShare*U58))</f>
        <v>30.74</v>
      </c>
      <c r="V70" s="29" t="n">
        <f aca="false">IF(V$5&lt;NewDealIdx,0,IF(STMode=1,MIN(STShare*V12,V69+IF(STGBOnly=1,V59,V58)),STShare*V58))</f>
        <v>40.8625</v>
      </c>
      <c r="W70" s="29" t="n">
        <f aca="false">IF(W$5&lt;NewDealIdx,0,IF(STMode=1,MIN(STShare*W12,W69+IF(STGBOnly=1,W59,W58)),STShare*W58))</f>
        <v>49.8125</v>
      </c>
      <c r="X70" s="29" t="n">
        <f aca="false">IF(X$5&lt;NewDealIdx,0,IF(STMode=1,MIN(STShare*X12,X69+IF(STGBOnly=1,X59,X58)),STShare*X58))</f>
        <v>56.025</v>
      </c>
      <c r="Y70" s="29" t="n">
        <f aca="false">IF(Y$5&lt;NewDealIdx,0,IF(STMode=1,MIN(STShare*Y12,Y69+IF(STGBOnly=1,Y59,Y58)),STShare*Y58))</f>
        <v>60.2375</v>
      </c>
      <c r="Z70" s="29" t="n">
        <f aca="false">IF(Z$5&lt;NewDealIdx,0,IF(STMode=1,MIN(STShare*Z12,Z69+IF(STGBOnly=1,Z59,Z58)),STShare*Z58))</f>
        <v>68.75</v>
      </c>
      <c r="AA70" s="29" t="n">
        <f aca="false">IF(AA$5&lt;NewDealIdx,0,IF(STMode=1,MIN(STShare*AA12,AA69+IF(STGBOnly=1,AA59,AA58)),STShare*AA58))</f>
        <v>76.95</v>
      </c>
      <c r="AB70" s="29" t="n">
        <f aca="false">IF(AB$5&lt;NewDealIdx,0,IF(STMode=1,MIN(STShare*AB12,AB69+IF(STGBOnly=1,AB59,AB58)),STShare*AB58))</f>
        <v>85.35</v>
      </c>
      <c r="AC70" s="29" t="n">
        <f aca="false">IF(AC$5&lt;NewDealIdx,0,IF(STMode=1,MIN(STShare*AC12,AC69+IF(STGBOnly=1,AC59,AC58)),STShare*AC58))</f>
        <v>93.75</v>
      </c>
      <c r="AD70" s="29" t="n">
        <f aca="false">IF(AD$5&lt;NewDealIdx,0,IF(STMode=1,MIN(STShare*AD12,AD69+IF(STGBOnly=1,AD59,AD58)),STShare*AD58))</f>
        <v>105.45</v>
      </c>
      <c r="AE70" s="29" t="n">
        <f aca="false">IF(AE$5&lt;NewDealIdx,0,IF(STMode=1,MIN(STShare*AE12,AE69+IF(STGBOnly=1,AE59,AE58)),STShare*AE58))</f>
        <v>117.15</v>
      </c>
      <c r="AF70" s="29" t="n">
        <f aca="false">IF(AF$5&lt;NewDealIdx,0,IF(STMode=1,MIN(STShare*AF12,AF69+IF(STGBOnly=1,AF59,AF58)),STShare*AF58))</f>
        <v>117.15</v>
      </c>
      <c r="AG70" s="29" t="n">
        <f aca="false">IF(AG$5&lt;NewDealIdx,0,IF(STMode=1,MIN(STShare*AG12,AG69+IF(STGBOnly=1,AG59,AG58)),STShare*AG58))</f>
        <v>117.15</v>
      </c>
      <c r="AI70" s="29" t="n">
        <f aca="false">AVERAGEIF($F$7:$AG$7,AI$7,$F70:$AG70)</f>
        <v>0</v>
      </c>
      <c r="AJ70" s="29" t="n">
        <f aca="false">AVERAGEIF($F$7:$AG$7,AJ$7,$F70:$AG70)</f>
        <v>0</v>
      </c>
      <c r="AK70" s="29" t="n">
        <f aca="false">AVERAGEIF($F$7:$AG$7,AK$7,$F70:$AG70)</f>
        <v>0</v>
      </c>
      <c r="AL70" s="29" t="n">
        <f aca="false">AVERAGEIF($F$7:$AG$7,AL$7,$F70:$AG70)</f>
        <v>21.24875</v>
      </c>
      <c r="AM70" s="29" t="n">
        <f aca="false">AVERAGEIF($F$7:$AG$7,AM$7,$F70:$AG70)</f>
        <v>51.734375</v>
      </c>
      <c r="AN70" s="29" t="n">
        <f aca="false">AVERAGEIF($F$7:$AG$7,AN$7,$F70:$AG70)</f>
        <v>81.2</v>
      </c>
      <c r="AO70" s="29" t="n">
        <f aca="false">AVERAGEIF($F$7:$AG$7,AO$7,$F70:$AG70)</f>
        <v>114.225</v>
      </c>
    </row>
    <row r="71" customFormat="false" ht="15" hidden="false" customHeight="false" outlineLevel="0" collapsed="false">
      <c r="A71" s="104" t="s">
        <v>1853</v>
      </c>
      <c r="B71" s="20" t="s">
        <v>549</v>
      </c>
      <c r="C71" s="20" t="s">
        <v>495</v>
      </c>
      <c r="D71" s="20"/>
      <c r="F71" s="126" t="n">
        <f aca="false">IF(F69+IF(STGBOnly=1,F59,F58)&gt;0,F70/(F69+IF(STGBOnly=1,F59,F58)),0)</f>
        <v>0</v>
      </c>
      <c r="G71" s="126" t="n">
        <f aca="false">IF(G69+IF(STGBOnly=1,G59,G58)&gt;0,G70/(G69+IF(STGBOnly=1,G59,G58)),0)</f>
        <v>0</v>
      </c>
      <c r="H71" s="126" t="n">
        <f aca="false">IF(H69+IF(STGBOnly=1,H59,H58)&gt;0,H70/(H69+IF(STGBOnly=1,H59,H58)),0)</f>
        <v>0</v>
      </c>
      <c r="I71" s="126" t="n">
        <f aca="false">IF(I69+IF(STGBOnly=1,I59,I58)&gt;0,I70/(I69+IF(STGBOnly=1,I59,I58)),0)</f>
        <v>0</v>
      </c>
      <c r="J71" s="126" t="n">
        <f aca="false">IF(J69+IF(STGBOnly=1,J59,J58)&gt;0,J70/(J69+IF(STGBOnly=1,J59,J58)),0)</f>
        <v>0</v>
      </c>
      <c r="K71" s="126" t="n">
        <f aca="false">IF(K69+IF(STGBOnly=1,K59,K58)&gt;0,K70/(K69+IF(STGBOnly=1,K59,K58)),0)</f>
        <v>0</v>
      </c>
      <c r="L71" s="126" t="n">
        <f aca="false">IF(L69+IF(STGBOnly=1,L59,L58)&gt;0,L70/(L69+IF(STGBOnly=1,L59,L58)),0)</f>
        <v>0</v>
      </c>
      <c r="M71" s="126" t="n">
        <f aca="false">IF(M69+IF(STGBOnly=1,M59,M58)&gt;0,M70/(M69+IF(STGBOnly=1,M59,M58)),0)</f>
        <v>0</v>
      </c>
      <c r="N71" s="126" t="n">
        <f aca="false">IF(N69+IF(STGBOnly=1,N59,N58)&gt;0,N70/(N69+IF(STGBOnly=1,N59,N58)),0)</f>
        <v>0</v>
      </c>
      <c r="O71" s="126" t="n">
        <f aca="false">IF(O69+IF(STGBOnly=1,O59,O58)&gt;0,O70/(O69+IF(STGBOnly=1,O59,O58)),0)</f>
        <v>0</v>
      </c>
      <c r="P71" s="27" t="n">
        <f aca="false">IF(P69+IF(STGBOnly=1,P59,P58)&gt;0,P70/(P69+IF(STGBOnly=1,P59,P58)),0)</f>
        <v>0</v>
      </c>
      <c r="Q71" s="27" t="n">
        <f aca="false">IF(Q69+IF(STGBOnly=1,Q59,Q58)&gt;0,Q70/(Q69+IF(STGBOnly=1,Q59,Q58)),0)</f>
        <v>0</v>
      </c>
      <c r="R71" s="27" t="n">
        <f aca="false">IF(R69+IF(STGBOnly=1,R59,R58)&gt;0,R70/(R69+IF(STGBOnly=1,R59,R58)),0)</f>
        <v>0.115126827290959</v>
      </c>
      <c r="S71" s="27" t="n">
        <f aca="false">IF(S69+IF(STGBOnly=1,S59,S58)&gt;0,S70/(S69+IF(STGBOnly=1,S59,S58)),0)</f>
        <v>0.0995812224738258</v>
      </c>
      <c r="T71" s="27" t="n">
        <f aca="false">IF(T69+IF(STGBOnly=1,T59,T58)&gt;0,T70/(T69+IF(STGBOnly=1,T59,T58)),0)</f>
        <v>0.0995534561115622</v>
      </c>
      <c r="U71" s="27" t="n">
        <f aca="false">IF(U69+IF(STGBOnly=1,U59,U58)&gt;0,U70/(U69+IF(STGBOnly=1,U59,U58)),0)</f>
        <v>0.111619789076226</v>
      </c>
      <c r="V71" s="27" t="n">
        <f aca="false">IF(V69+IF(STGBOnly=1,V59,V58)&gt;0,V70/(V69+IF(STGBOnly=1,V59,V58)),0)</f>
        <v>0.1315924244177</v>
      </c>
      <c r="W71" s="27" t="n">
        <f aca="false">IF(W69+IF(STGBOnly=1,W59,W58)&gt;0,W70/(W69+IF(STGBOnly=1,W59,W58)),0)</f>
        <v>0.147076107285939</v>
      </c>
      <c r="X71" s="27" t="n">
        <f aca="false">IF(X69+IF(STGBOnly=1,X59,X58)&gt;0,X70/(X69+IF(STGBOnly=1,X59,X58)),0)</f>
        <v>0.165419099838288</v>
      </c>
      <c r="Y71" s="27" t="n">
        <f aca="false">IF(Y69+IF(STGBOnly=1,Y59,Y58)&gt;0,Y70/(Y69+IF(STGBOnly=1,Y59,Y58)),0)</f>
        <v>0.17785690364139</v>
      </c>
      <c r="Z71" s="27" t="n">
        <f aca="false">IF(Z69+IF(STGBOnly=1,Z59,Z58)&gt;0,Z70/(Z69+IF(STGBOnly=1,Z59,Z58)),0)</f>
        <v>0.189267138501452</v>
      </c>
      <c r="AA71" s="27" t="n">
        <f aca="false">IF(AA69+IF(STGBOnly=1,AA59,AA58)&gt;0,AA70/(AA69+IF(STGBOnly=1,AA59,AA58)),0)</f>
        <v>0.198426413055551</v>
      </c>
      <c r="AB71" s="27" t="n">
        <f aca="false">IF(AB69+IF(STGBOnly=1,AB59,AB58)&gt;0,AB70/(AB69+IF(STGBOnly=1,AB59,AB58)),0)</f>
        <v>0.220086996157132</v>
      </c>
      <c r="AC71" s="27" t="n">
        <f aca="false">IF(AC69+IF(STGBOnly=1,AC59,AC58)&gt;0,AC70/(AC69+IF(STGBOnly=1,AC59,AC58)),0)</f>
        <v>0.241747579258713</v>
      </c>
      <c r="AD71" s="27" t="n">
        <f aca="false">IF(AD69+IF(STGBOnly=1,AD59,AD58)&gt;0,AD70/(AD69+IF(STGBOnly=1,AD59,AD58)),0)</f>
        <v>0.2719176771502</v>
      </c>
      <c r="AE71" s="27" t="n">
        <f aca="false">IF(AE69+IF(STGBOnly=1,AE59,AE58)&gt;0,AE70/(AE69+IF(STGBOnly=1,AE59,AE58)),0)</f>
        <v>0.302087775041687</v>
      </c>
      <c r="AF71" s="27" t="n">
        <f aca="false">IF(AF69+IF(STGBOnly=1,AF59,AF58)&gt;0,AF70/(AF69+IF(STGBOnly=1,AF59,AF58)),0)</f>
        <v>0.302087775041687</v>
      </c>
      <c r="AG71" s="27" t="n">
        <f aca="false">IF(AG69+IF(STGBOnly=1,AG59,AG58)&gt;0,AG70/(AG69+IF(STGBOnly=1,AG59,AG58)),0)</f>
        <v>0.302087775041687</v>
      </c>
      <c r="AI71" s="27" t="n">
        <f aca="false">AVERAGEIF($F$7:$AG$7,AI$7,$F71:$AG71)</f>
        <v>0</v>
      </c>
      <c r="AJ71" s="27" t="n">
        <f aca="false">AVERAGEIF($F$7:$AG$7,AJ$7,$F71:$AG71)</f>
        <v>0</v>
      </c>
      <c r="AK71" s="27" t="n">
        <f aca="false">AVERAGEIF($F$7:$AG$7,AK$7,$F71:$AG71)</f>
        <v>0</v>
      </c>
      <c r="AL71" s="27" t="n">
        <f aca="false">AVERAGEIF($F$7:$AG$7,AL$7,$F71:$AG71)</f>
        <v>0.106470323738143</v>
      </c>
      <c r="AM71" s="27" t="n">
        <f aca="false">AVERAGEIF($F$7:$AG$7,AM$7,$F71:$AG71)</f>
        <v>0.155486133795829</v>
      </c>
      <c r="AN71" s="27" t="n">
        <f aca="false">AVERAGEIF($F$7:$AG$7,AN$7,$F71:$AG71)</f>
        <v>0.212382031743212</v>
      </c>
      <c r="AO71" s="27" t="n">
        <f aca="false">AVERAGEIF($F$7:$AG$7,AO$7,$F71:$AG71)</f>
        <v>0.294545250568816</v>
      </c>
    </row>
    <row r="72" customFormat="false" ht="15" hidden="false" customHeight="false" outlineLevel="0" collapsed="false">
      <c r="A72" s="104" t="s">
        <v>1854</v>
      </c>
      <c r="B72" s="20" t="s">
        <v>561</v>
      </c>
      <c r="C72" s="20" t="s">
        <v>495</v>
      </c>
      <c r="D72" s="20"/>
      <c r="F72" s="122" t="n">
        <f aca="false">SUMPRODUCT($F$63:F63,$F$66:F66)/4</f>
        <v>0</v>
      </c>
      <c r="G72" s="122" t="n">
        <f aca="false">SUMPRODUCT($F$63:G63,$F$66:G66)/4</f>
        <v>0</v>
      </c>
      <c r="H72" s="122" t="n">
        <f aca="false">SUMPRODUCT($F$63:H63,$F$66:H66)/4</f>
        <v>0</v>
      </c>
      <c r="I72" s="122" t="n">
        <f aca="false">SUMPRODUCT($F$63:I63,$F$66:I66)/4</f>
        <v>0</v>
      </c>
      <c r="J72" s="122" t="n">
        <f aca="false">SUMPRODUCT($F$63:J63,$F$66:J66)/4</f>
        <v>0</v>
      </c>
      <c r="K72" s="122" t="n">
        <f aca="false">SUMPRODUCT($F$63:K63,$F$66:K66)/4</f>
        <v>0</v>
      </c>
      <c r="L72" s="122" t="n">
        <f aca="false">SUMPRODUCT($F$63:L63,$F$66:L66)/4</f>
        <v>0</v>
      </c>
      <c r="M72" s="122" t="n">
        <f aca="false">SUMPRODUCT($F$63:M63,$F$66:M66)/4</f>
        <v>0</v>
      </c>
      <c r="N72" s="122" t="n">
        <f aca="false">SUMPRODUCT($F$63:N63,$F$66:N66)/4</f>
        <v>0</v>
      </c>
      <c r="O72" s="122" t="n">
        <f aca="false">SUMPRODUCT($F$63:O63,$F$66:O66)/4</f>
        <v>0</v>
      </c>
      <c r="P72" s="123" t="n">
        <f aca="false">SUMPRODUCT($F$63:P63,$F$66:P66)/4</f>
        <v>0</v>
      </c>
      <c r="Q72" s="123" t="n">
        <f aca="false">SUMPRODUCT($F$63:Q63,$F$66:Q66)/4</f>
        <v>0</v>
      </c>
      <c r="R72" s="123" t="n">
        <f aca="false">SUMPRODUCT($F$63:R63,$F$66:R66)/4</f>
        <v>195.3765</v>
      </c>
      <c r="S72" s="123" t="n">
        <f aca="false">SUMPRODUCT($F$63:S63,$F$66:S66)/4</f>
        <v>600.4973125</v>
      </c>
      <c r="T72" s="123" t="n">
        <f aca="false">SUMPRODUCT($F$63:T63,$F$66:T66)/4</f>
        <v>949.7913125</v>
      </c>
      <c r="U72" s="123" t="n">
        <f aca="false">SUMPRODUCT($F$63:U63,$F$66:U66)/4</f>
        <v>1154.59040625</v>
      </c>
      <c r="V72" s="123" t="n">
        <f aca="false">SUMPRODUCT($F$63:V63,$F$66:V66)/4</f>
        <v>1792.93959375</v>
      </c>
      <c r="W72" s="123" t="n">
        <f aca="false">SUMPRODUCT($F$63:W63,$F$66:W66)/4</f>
        <v>2567.29075</v>
      </c>
      <c r="X72" s="123" t="n">
        <f aca="false">SUMPRODUCT($F$63:X63,$F$66:X66)/4</f>
        <v>3149.225125</v>
      </c>
      <c r="Y72" s="123" t="n">
        <f aca="false">SUMPRODUCT($F$63:Y63,$F$66:Y66)/4</f>
        <v>3543.425125</v>
      </c>
      <c r="Z72" s="123" t="n">
        <f aca="false">SUMPRODUCT($F$63:Z63,$F$66:Z66)/4</f>
        <v>4357.4670086272</v>
      </c>
      <c r="AA72" s="123" t="n">
        <f aca="false">SUMPRODUCT($F$63:AA63,$F$66:AA66)/4</f>
        <v>5137.6337534297</v>
      </c>
      <c r="AB72" s="123" t="n">
        <f aca="false">SUMPRODUCT($F$63:AB63,$F$66:AB66)/4</f>
        <v>5908.30985570552</v>
      </c>
      <c r="AC72" s="123" t="n">
        <f aca="false">SUMPRODUCT($F$63:AC63,$F$66:AC66)/4</f>
        <v>6673.13969945552</v>
      </c>
      <c r="AD72" s="123" t="n">
        <f aca="false">SUMPRODUCT($F$63:AD63,$F$66:AD66)/4</f>
        <v>7730.35717931168</v>
      </c>
      <c r="AE72" s="123" t="n">
        <f aca="false">SUMPRODUCT($F$63:AE63,$F$66:AE66)/4</f>
        <v>8779.55473135769</v>
      </c>
      <c r="AF72" s="123" t="n">
        <f aca="false">SUMPRODUCT($F$63:AF63,$F$66:AF66)/4</f>
        <v>8779.55473135769</v>
      </c>
      <c r="AG72" s="123" t="n">
        <f aca="false">SUMPRODUCT($F$63:AG63,$F$66:AG66)/4</f>
        <v>8779.55473135769</v>
      </c>
      <c r="AI72" s="123" t="n">
        <f aca="false">SUMIF($F$7:$AG$7,AI$7,$F72:$AG72)</f>
        <v>0</v>
      </c>
      <c r="AJ72" s="123" t="n">
        <f aca="false">SUMIF($F$7:$AG$7,AJ$7,$F72:$AG72)</f>
        <v>0</v>
      </c>
      <c r="AK72" s="123" t="n">
        <f aca="false">SUMIF($F$7:$AG$7,AK$7,$F72:$AG72)</f>
        <v>0</v>
      </c>
      <c r="AL72" s="123" t="n">
        <f aca="false">SUMIF($F$7:$AG$7,AL$7,$F72:$AG72)</f>
        <v>2900.25553125</v>
      </c>
      <c r="AM72" s="123" t="n">
        <f aca="false">SUMIF($F$7:$AG$7,AM$7,$F72:$AG72)</f>
        <v>11052.88059375</v>
      </c>
      <c r="AN72" s="123" t="n">
        <f aca="false">SUMIF($F$7:$AG$7,AN$7,$F72:$AG72)</f>
        <v>22076.5503172179</v>
      </c>
      <c r="AO72" s="123" t="n">
        <f aca="false">SUMIF($F$7:$AG$7,AO$7,$F72:$AG72)</f>
        <v>34069.0213733848</v>
      </c>
    </row>
    <row r="74" customFormat="false" ht="15" hidden="false" customHeight="false" outlineLevel="0" collapsed="false">
      <c r="A74" s="53" t="s">
        <v>1855</v>
      </c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</row>
    <row r="75" customFormat="false" ht="15" hidden="false" customHeight="false" outlineLevel="0" collapsed="false">
      <c r="A75" s="104" t="s">
        <v>1856</v>
      </c>
      <c r="B75" s="20" t="s">
        <v>561</v>
      </c>
      <c r="C75" s="20" t="s">
        <v>495</v>
      </c>
      <c r="D75" s="20"/>
      <c r="F75" s="122" t="n">
        <f aca="false">SUMPRODUCT(($F$5:$AG$5&gt;=LastHist+1)*($F$5:$AG$5&lt;=LastHist+8)*$F$26:$AG$26)+SUMPRODUCT(($F$5:$AG$5&gt;=LastHist+1)*($F$5:$AG$5&lt;=LastHist+8)*$F$27:$AG$27)+SUMPRODUCT(($F$5:$AG$5&gt;=LastHist+1)*($F$5:$AG$5&lt;=LastHist+8)*($F$5:$AG$5&lt;NewDealIdx)*($F$50:$AG$50+$F$51:$AG$51))+SUMPRODUCT(($F$5:$AG$5&gt;=NewDealIdx)*($F$5:$AG$5&lt;=LastHist+8)*$F$57:$AG$57)</f>
        <v>9725.19881061858</v>
      </c>
    </row>
    <row r="76" customFormat="false" ht="15" hidden="false" customHeight="false" outlineLevel="0" collapsed="false">
      <c r="A76" s="104" t="s">
        <v>1857</v>
      </c>
      <c r="B76" s="20" t="s">
        <v>561</v>
      </c>
      <c r="C76" s="20" t="s">
        <v>550</v>
      </c>
      <c r="D76" s="20"/>
      <c r="F76" s="122" t="n">
        <f aca="false">MAX(0,RPO_Tot*RPO24Pct-RPO_Cov)</f>
        <v>3771.20118938142</v>
      </c>
    </row>
    <row r="77" customFormat="false" ht="15" hidden="false" customHeight="false" outlineLevel="0" collapsed="false">
      <c r="A77" s="104" t="s">
        <v>1858</v>
      </c>
      <c r="B77" s="20" t="s">
        <v>549</v>
      </c>
      <c r="C77" s="20" t="s">
        <v>495</v>
      </c>
      <c r="D77" s="20"/>
      <c r="F77" s="126" t="n">
        <f aca="false">IFERROR(MIN(1,RPO_New/SUMPRODUCT(($F$5:$AG$5&gt;=LastHist+1)*($F$5:$AG$5&lt;=LastHist+8)*$F$72:$AG$72)),1)</f>
        <v>0.519414437863832</v>
      </c>
    </row>
    <row r="78" customFormat="false" ht="15" hidden="false" customHeight="false" outlineLevel="0" collapsed="false">
      <c r="A78" s="104" t="s">
        <v>1859</v>
      </c>
      <c r="B78" s="20" t="s">
        <v>575</v>
      </c>
      <c r="C78" s="20" t="s">
        <v>495</v>
      </c>
      <c r="D78" s="20"/>
      <c r="F78" s="108" t="n">
        <f aca="false">RPO_Sold*INDEX(ND_MW,1,LastHist+8)</f>
        <v>265.667413037331</v>
      </c>
    </row>
    <row r="79" customFormat="false" ht="15" hidden="false" customHeight="false" outlineLevel="0" collapsed="false">
      <c r="A79" s="104" t="s">
        <v>1860</v>
      </c>
      <c r="B79" s="20" t="s">
        <v>575</v>
      </c>
      <c r="C79" s="20" t="s">
        <v>495</v>
      </c>
      <c r="D79" s="20"/>
      <c r="F79" s="108" t="n">
        <f aca="false">E79+F63</f>
        <v>0</v>
      </c>
      <c r="G79" s="108" t="n">
        <f aca="false">F79+G63</f>
        <v>0</v>
      </c>
      <c r="H79" s="108" t="n">
        <f aca="false">G79+H63</f>
        <v>0</v>
      </c>
      <c r="I79" s="108" t="n">
        <f aca="false">H79+I63</f>
        <v>0</v>
      </c>
      <c r="J79" s="108" t="n">
        <f aca="false">I79+J63</f>
        <v>0</v>
      </c>
      <c r="K79" s="108" t="n">
        <f aca="false">J79+K63</f>
        <v>0</v>
      </c>
      <c r="L79" s="108" t="n">
        <f aca="false">K79+L63</f>
        <v>0</v>
      </c>
      <c r="M79" s="108" t="n">
        <f aca="false">L79+M63</f>
        <v>0</v>
      </c>
      <c r="N79" s="108" t="n">
        <f aca="false">M79+N63</f>
        <v>0</v>
      </c>
      <c r="O79" s="108" t="n">
        <f aca="false">N79+O63</f>
        <v>0</v>
      </c>
      <c r="P79" s="29" t="n">
        <f aca="false">O79+P63</f>
        <v>0</v>
      </c>
      <c r="Q79" s="29" t="n">
        <f aca="false">P79+Q63</f>
        <v>0</v>
      </c>
      <c r="R79" s="29" t="n">
        <f aca="false">Q79+R63</f>
        <v>35.523</v>
      </c>
      <c r="S79" s="29" t="n">
        <f aca="false">R79+S63</f>
        <v>110.129625</v>
      </c>
      <c r="T79" s="29" t="n">
        <f aca="false">S79+T63</f>
        <v>173.637625</v>
      </c>
      <c r="U79" s="29" t="n">
        <f aca="false">T79+U63</f>
        <v>211.604979166667</v>
      </c>
      <c r="V79" s="29" t="n">
        <f aca="false">U79+V63</f>
        <v>345.655020833333</v>
      </c>
      <c r="W79" s="29" t="n">
        <f aca="false">V79+W63</f>
        <v>511.474833333333</v>
      </c>
      <c r="X79" s="29" t="n">
        <f aca="false">W79+X63</f>
        <v>640.793583333333</v>
      </c>
      <c r="Y79" s="29" t="n">
        <f aca="false">X79+Y63</f>
        <v>728.393583333333</v>
      </c>
      <c r="Z79" s="29" t="n">
        <f aca="false">Y79+Z63</f>
        <v>905.217208333333</v>
      </c>
      <c r="AA79" s="29" t="n">
        <f aca="false">Z79+AA63</f>
        <v>1075.79083333333</v>
      </c>
      <c r="AB79" s="29" t="n">
        <f aca="false">AA79+AB63</f>
        <v>1251.00958333333</v>
      </c>
      <c r="AC79" s="29" t="n">
        <f aca="false">AB79+AC63</f>
        <v>1426.22833333333</v>
      </c>
      <c r="AD79" s="29" t="n">
        <f aca="false">AC79+AD63</f>
        <v>1670.28302083333</v>
      </c>
      <c r="AE79" s="29" t="n">
        <f aca="false">AD79+AE63</f>
        <v>1914.33770833333</v>
      </c>
      <c r="AF79" s="29" t="n">
        <f aca="false">AE79+AF63</f>
        <v>1914.33770833333</v>
      </c>
      <c r="AG79" s="29" t="n">
        <f aca="false">AF79+AG63</f>
        <v>1914.33770833333</v>
      </c>
      <c r="AI79" s="29" t="n">
        <f aca="false">INDEX($F79:$AG79,1,MATCH(AI$7,$F$7:$AG$7,1))</f>
        <v>0</v>
      </c>
      <c r="AJ79" s="29" t="n">
        <f aca="false">INDEX($F79:$AG79,1,MATCH(AJ$7,$F$7:$AG$7,1))</f>
        <v>0</v>
      </c>
      <c r="AK79" s="29" t="n">
        <f aca="false">INDEX($F79:$AG79,1,MATCH(AK$7,$F$7:$AG$7,1))</f>
        <v>0</v>
      </c>
      <c r="AL79" s="29" t="n">
        <f aca="false">INDEX($F79:$AG79,1,MATCH(AL$7,$F$7:$AG$7,1))</f>
        <v>211.604979166667</v>
      </c>
      <c r="AM79" s="29" t="n">
        <f aca="false">INDEX($F79:$AG79,1,MATCH(AM$7,$F$7:$AG$7,1))</f>
        <v>728.393583333333</v>
      </c>
      <c r="AN79" s="29" t="n">
        <f aca="false">INDEX($F79:$AG79,1,MATCH(AN$7,$F$7:$AG$7,1))</f>
        <v>1426.22833333333</v>
      </c>
      <c r="AO79" s="29" t="n">
        <f aca="false">INDEX($F79:$AG79,1,MATCH(AO$7,$F$7:$AG$7,1))</f>
        <v>1914.33770833333</v>
      </c>
    </row>
    <row r="80" customFormat="false" ht="15" hidden="false" customHeight="false" outlineLevel="0" collapsed="false">
      <c r="A80" s="104" t="s">
        <v>1861</v>
      </c>
      <c r="B80" s="20" t="s">
        <v>575</v>
      </c>
      <c r="C80" s="20" t="s">
        <v>495</v>
      </c>
      <c r="D80" s="20"/>
      <c r="F80" s="113" t="n">
        <f aca="false">MIN(F63,MAX(0,RPO_SoldMW-E79))</f>
        <v>0</v>
      </c>
      <c r="G80" s="113" t="n">
        <f aca="false">MIN(G63,MAX(0,RPO_SoldMW-F79))</f>
        <v>0</v>
      </c>
      <c r="H80" s="113" t="n">
        <f aca="false">MIN(H63,MAX(0,RPO_SoldMW-G79))</f>
        <v>0</v>
      </c>
      <c r="I80" s="113" t="n">
        <f aca="false">MIN(I63,MAX(0,RPO_SoldMW-H79))</f>
        <v>0</v>
      </c>
      <c r="J80" s="113" t="n">
        <f aca="false">MIN(J63,MAX(0,RPO_SoldMW-I79))</f>
        <v>0</v>
      </c>
      <c r="K80" s="113" t="n">
        <f aca="false">MIN(K63,MAX(0,RPO_SoldMW-J79))</f>
        <v>0</v>
      </c>
      <c r="L80" s="113" t="n">
        <f aca="false">MIN(L63,MAX(0,RPO_SoldMW-K79))</f>
        <v>0</v>
      </c>
      <c r="M80" s="113" t="n">
        <f aca="false">MIN(M63,MAX(0,RPO_SoldMW-L79))</f>
        <v>0</v>
      </c>
      <c r="N80" s="113" t="n">
        <f aca="false">MIN(N63,MAX(0,RPO_SoldMW-M79))</f>
        <v>0</v>
      </c>
      <c r="O80" s="113" t="n">
        <f aca="false">MIN(O63,MAX(0,RPO_SoldMW-N79))</f>
        <v>0</v>
      </c>
      <c r="P80" s="31" t="n">
        <f aca="false">MIN(P63,MAX(0,RPO_SoldMW-O79))</f>
        <v>0</v>
      </c>
      <c r="Q80" s="31" t="n">
        <f aca="false">MIN(Q63,MAX(0,RPO_SoldMW-P79))</f>
        <v>0</v>
      </c>
      <c r="R80" s="31" t="n">
        <f aca="false">MIN(R63,MAX(0,RPO_SoldMW-Q79))</f>
        <v>35.523</v>
      </c>
      <c r="S80" s="31" t="n">
        <f aca="false">MIN(S63,MAX(0,RPO_SoldMW-R79))</f>
        <v>74.6066250000001</v>
      </c>
      <c r="T80" s="31" t="n">
        <f aca="false">MIN(T63,MAX(0,RPO_SoldMW-S79))</f>
        <v>63.508</v>
      </c>
      <c r="U80" s="31" t="n">
        <f aca="false">MIN(U63,MAX(0,RPO_SoldMW-T79))</f>
        <v>37.9673541666666</v>
      </c>
      <c r="V80" s="31" t="n">
        <f aca="false">MIN(V63,MAX(0,RPO_SoldMW-U79))</f>
        <v>54.0624338706639</v>
      </c>
      <c r="W80" s="31" t="n">
        <f aca="false">MIN(W63,MAX(0,RPO_SoldMW-V79))</f>
        <v>0</v>
      </c>
      <c r="X80" s="31" t="n">
        <f aca="false">MIN(X63,MAX(0,RPO_SoldMW-W79))</f>
        <v>0</v>
      </c>
      <c r="Y80" s="31" t="n">
        <f aca="false">MIN(Y63,MAX(0,RPO_SoldMW-X79))</f>
        <v>0</v>
      </c>
      <c r="Z80" s="31" t="n">
        <f aca="false">MIN(Z63,MAX(0,RPO_SoldMW-Y79))</f>
        <v>0</v>
      </c>
      <c r="AA80" s="31" t="n">
        <f aca="false">MIN(AA63,MAX(0,RPO_SoldMW-Z79))</f>
        <v>0</v>
      </c>
      <c r="AB80" s="31" t="n">
        <f aca="false">MIN(AB63,MAX(0,RPO_SoldMW-AA79))</f>
        <v>0</v>
      </c>
      <c r="AC80" s="31" t="n">
        <f aca="false">MIN(AC63,MAX(0,RPO_SoldMW-AB79))</f>
        <v>0</v>
      </c>
      <c r="AD80" s="31" t="n">
        <f aca="false">MIN(AD63,MAX(0,RPO_SoldMW-AC79))</f>
        <v>0</v>
      </c>
      <c r="AE80" s="31" t="n">
        <f aca="false">MIN(AE63,MAX(0,RPO_SoldMW-AD79))</f>
        <v>0</v>
      </c>
      <c r="AF80" s="31" t="n">
        <f aca="false">MIN(AF63,MAX(0,RPO_SoldMW-AE79))</f>
        <v>0</v>
      </c>
      <c r="AG80" s="31" t="n">
        <f aca="false">MIN(AG63,MAX(0,RPO_SoldMW-AF79))</f>
        <v>0</v>
      </c>
      <c r="AI80" s="31" t="n">
        <f aca="false">SUMIF($F$7:$AG$7,AI$7,$F80:$AG80)</f>
        <v>0</v>
      </c>
      <c r="AJ80" s="31" t="n">
        <f aca="false">SUMIF($F$7:$AG$7,AJ$7,$F80:$AG80)</f>
        <v>0</v>
      </c>
      <c r="AK80" s="31" t="n">
        <f aca="false">SUMIF($F$7:$AG$7,AK$7,$F80:$AG80)</f>
        <v>0</v>
      </c>
      <c r="AL80" s="31" t="n">
        <f aca="false">SUMIF($F$7:$AG$7,AL$7,$F80:$AG80)</f>
        <v>211.604979166667</v>
      </c>
      <c r="AM80" s="31" t="n">
        <f aca="false">SUMIF($F$7:$AG$7,AM$7,$F80:$AG80)</f>
        <v>54.0624338706639</v>
      </c>
      <c r="AN80" s="31" t="n">
        <f aca="false">SUMIF($F$7:$AG$7,AN$7,$F80:$AG80)</f>
        <v>0</v>
      </c>
      <c r="AO80" s="31" t="n">
        <f aca="false">SUMIF($F$7:$AG$7,AO$7,$F80:$AG80)</f>
        <v>0</v>
      </c>
    </row>
    <row r="81" customFormat="false" ht="15" hidden="false" customHeight="false" outlineLevel="0" collapsed="false">
      <c r="A81" s="104" t="s">
        <v>1862</v>
      </c>
      <c r="B81" s="20" t="s">
        <v>648</v>
      </c>
      <c r="C81" s="20" t="s">
        <v>495</v>
      </c>
      <c r="D81" s="20"/>
      <c r="F81" s="125" t="n">
        <f aca="false">IF(F63&gt;0,(F80+(F63-F80)*MYRateU/MYRate)/F63,0)</f>
        <v>0</v>
      </c>
      <c r="G81" s="125" t="n">
        <f aca="false">IF(G63&gt;0,(G80+(G63-G80)*MYRateU/MYRate)/G63,0)</f>
        <v>0</v>
      </c>
      <c r="H81" s="125" t="n">
        <f aca="false">IF(H63&gt;0,(H80+(H63-H80)*MYRateU/MYRate)/H63,0)</f>
        <v>0</v>
      </c>
      <c r="I81" s="125" t="n">
        <f aca="false">IF(I63&gt;0,(I80+(I63-I80)*MYRateU/MYRate)/I63,0)</f>
        <v>0</v>
      </c>
      <c r="J81" s="125" t="n">
        <f aca="false">IF(J63&gt;0,(J80+(J63-J80)*MYRateU/MYRate)/J63,0)</f>
        <v>0</v>
      </c>
      <c r="K81" s="125" t="n">
        <f aca="false">IF(K63&gt;0,(K80+(K63-K80)*MYRateU/MYRate)/K63,0)</f>
        <v>0</v>
      </c>
      <c r="L81" s="125" t="n">
        <f aca="false">IF(L63&gt;0,(L80+(L63-L80)*MYRateU/MYRate)/L63,0)</f>
        <v>0</v>
      </c>
      <c r="M81" s="125" t="n">
        <f aca="false">IF(M63&gt;0,(M80+(M63-M80)*MYRateU/MYRate)/M63,0)</f>
        <v>0</v>
      </c>
      <c r="N81" s="125" t="n">
        <f aca="false">IF(N63&gt;0,(N80+(N63-N80)*MYRateU/MYRate)/N63,0)</f>
        <v>0</v>
      </c>
      <c r="O81" s="125" t="n">
        <f aca="false">IF(O63&gt;0,(O80+(O63-O80)*MYRateU/MYRate)/O63,0)</f>
        <v>0</v>
      </c>
      <c r="P81" s="50" t="n">
        <f aca="false">IF(P63&gt;0,(P80+(P63-P80)*MYRateU/MYRate)/P63,0)</f>
        <v>0</v>
      </c>
      <c r="Q81" s="50" t="n">
        <f aca="false">IF(Q63&gt;0,(Q80+(Q63-Q80)*MYRateU/MYRate)/Q63,0)</f>
        <v>0</v>
      </c>
      <c r="R81" s="50" t="n">
        <f aca="false">IF(R63&gt;0,(R80+(R63-R80)*MYRateU/MYRate)/R63,0)</f>
        <v>1</v>
      </c>
      <c r="S81" s="50" t="n">
        <f aca="false">IF(S63&gt;0,(S80+(S63-S80)*MYRateU/MYRate)/S63,0)</f>
        <v>1</v>
      </c>
      <c r="T81" s="50" t="n">
        <f aca="false">IF(T63&gt;0,(T80+(T63-T80)*MYRateU/MYRate)/T63,0)</f>
        <v>1</v>
      </c>
      <c r="U81" s="50" t="n">
        <f aca="false">IF(U63&gt;0,(U80+(U63-U80)*MYRateU/MYRate)/U63,0)</f>
        <v>1</v>
      </c>
      <c r="V81" s="50" t="n">
        <f aca="false">IF(V63&gt;0,(V80+(V63-V80)*MYRateU/MYRate)/V63,0)</f>
        <v>1</v>
      </c>
      <c r="W81" s="50" t="n">
        <f aca="false">IF(W63&gt;0,(W80+(W63-W80)*MYRateU/MYRate)/W63,0)</f>
        <v>1</v>
      </c>
      <c r="X81" s="50" t="n">
        <f aca="false">IF(X63&gt;0,(X80+(X63-X80)*MYRateU/MYRate)/X63,0)</f>
        <v>1</v>
      </c>
      <c r="Y81" s="50" t="n">
        <f aca="false">IF(Y63&gt;0,(Y80+(Y63-Y80)*MYRateU/MYRate)/Y63,0)</f>
        <v>1</v>
      </c>
      <c r="Z81" s="50" t="n">
        <f aca="false">IF(Z63&gt;0,(Z80+(Z63-Z80)*MYRateU/MYRate)/Z63,0)</f>
        <v>1</v>
      </c>
      <c r="AA81" s="50" t="n">
        <f aca="false">IF(AA63&gt;0,(AA80+(AA63-AA80)*MYRateU/MYRate)/AA63,0)</f>
        <v>1</v>
      </c>
      <c r="AB81" s="50" t="n">
        <f aca="false">IF(AB63&gt;0,(AB80+(AB63-AB80)*MYRateU/MYRate)/AB63,0)</f>
        <v>1</v>
      </c>
      <c r="AC81" s="50" t="n">
        <f aca="false">IF(AC63&gt;0,(AC80+(AC63-AC80)*MYRateU/MYRate)/AC63,0)</f>
        <v>1</v>
      </c>
      <c r="AD81" s="50" t="n">
        <f aca="false">IF(AD63&gt;0,(AD80+(AD63-AD80)*MYRateU/MYRate)/AD63,0)</f>
        <v>1</v>
      </c>
      <c r="AE81" s="50" t="n">
        <f aca="false">IF(AE63&gt;0,(AE80+(AE63-AE80)*MYRateU/MYRate)/AE63,0)</f>
        <v>1</v>
      </c>
      <c r="AF81" s="50" t="n">
        <f aca="false">IF(AF63&gt;0,(AF80+(AF63-AF80)*MYRateU/MYRate)/AF63,0)</f>
        <v>0</v>
      </c>
      <c r="AG81" s="50" t="n">
        <f aca="false">IF(AG63&gt;0,(AG80+(AG63-AG80)*MYRateU/MYRate)/AG63,0)</f>
        <v>0</v>
      </c>
      <c r="AI81" s="50" t="n">
        <f aca="false">AVERAGEIF($F$7:$AG$7,AI$7,$F81:$AG81)</f>
        <v>0</v>
      </c>
      <c r="AJ81" s="50" t="n">
        <f aca="false">AVERAGEIF($F$7:$AG$7,AJ$7,$F81:$AG81)</f>
        <v>0</v>
      </c>
      <c r="AK81" s="50" t="n">
        <f aca="false">AVERAGEIF($F$7:$AG$7,AK$7,$F81:$AG81)</f>
        <v>0</v>
      </c>
      <c r="AL81" s="50" t="n">
        <f aca="false">AVERAGEIF($F$7:$AG$7,AL$7,$F81:$AG81)</f>
        <v>1</v>
      </c>
      <c r="AM81" s="50" t="n">
        <f aca="false">AVERAGEIF($F$7:$AG$7,AM$7,$F81:$AG81)</f>
        <v>1</v>
      </c>
      <c r="AN81" s="50" t="n">
        <f aca="false">AVERAGEIF($F$7:$AG$7,AN$7,$F81:$AG81)</f>
        <v>1</v>
      </c>
      <c r="AO81" s="50" t="n">
        <f aca="false">AVERAGEIF($F$7:$AG$7,AO$7,$F81:$AG81)</f>
        <v>0.5</v>
      </c>
    </row>
    <row r="82" customFormat="false" ht="15" hidden="false" customHeight="false" outlineLevel="0" collapsed="false">
      <c r="A82" s="104" t="s">
        <v>1863</v>
      </c>
      <c r="B82" s="20" t="s">
        <v>561</v>
      </c>
      <c r="C82" s="20" t="s">
        <v>495</v>
      </c>
      <c r="D82" s="20" t="s">
        <v>1864</v>
      </c>
      <c r="F82" s="122" t="n">
        <f aca="false">IF(STMode=1,1-F71,1-STShare)*SUMPRODUCT($F$64:F64,$F$61:F61,$F$81:F81)/4+IF(STMode=1,IF(STGBOnly=1,1,1-F71),1-STShare)*SUMPRODUCT($F$65:F65,$F$62:F62,$F$81:F81)/4</f>
        <v>0</v>
      </c>
      <c r="G82" s="122" t="n">
        <f aca="false">IF(STMode=1,1-G71,1-STShare)*SUMPRODUCT($F$64:G64,$F$61:G61,$F$81:G81)/4+IF(STMode=1,IF(STGBOnly=1,1,1-G71),1-STShare)*SUMPRODUCT($F$65:G65,$F$62:G62,$F$81:G81)/4</f>
        <v>0</v>
      </c>
      <c r="H82" s="122" t="n">
        <f aca="false">IF(STMode=1,1-H71,1-STShare)*SUMPRODUCT($F$64:H64,$F$61:H61,$F$81:H81)/4+IF(STMode=1,IF(STGBOnly=1,1,1-H71),1-STShare)*SUMPRODUCT($F$65:H65,$F$62:H62,$F$81:H81)/4</f>
        <v>0</v>
      </c>
      <c r="I82" s="122" t="n">
        <f aca="false">IF(STMode=1,1-I71,1-STShare)*SUMPRODUCT($F$64:I64,$F$61:I61,$F$81:I81)/4+IF(STMode=1,IF(STGBOnly=1,1,1-I71),1-STShare)*SUMPRODUCT($F$65:I65,$F$62:I62,$F$81:I81)/4</f>
        <v>0</v>
      </c>
      <c r="J82" s="122" t="n">
        <f aca="false">IF(STMode=1,1-J71,1-STShare)*SUMPRODUCT($F$64:J64,$F$61:J61,$F$81:J81)/4+IF(STMode=1,IF(STGBOnly=1,1,1-J71),1-STShare)*SUMPRODUCT($F$65:J65,$F$62:J62,$F$81:J81)/4</f>
        <v>0</v>
      </c>
      <c r="K82" s="122" t="n">
        <f aca="false">IF(STMode=1,1-K71,1-STShare)*SUMPRODUCT($F$64:K64,$F$61:K61,$F$81:K81)/4+IF(STMode=1,IF(STGBOnly=1,1,1-K71),1-STShare)*SUMPRODUCT($F$65:K65,$F$62:K62,$F$81:K81)/4</f>
        <v>0</v>
      </c>
      <c r="L82" s="122" t="n">
        <f aca="false">IF(STMode=1,1-L71,1-STShare)*SUMPRODUCT($F$64:L64,$F$61:L61,$F$81:L81)/4+IF(STMode=1,IF(STGBOnly=1,1,1-L71),1-STShare)*SUMPRODUCT($F$65:L65,$F$62:L62,$F$81:L81)/4</f>
        <v>0</v>
      </c>
      <c r="M82" s="122" t="n">
        <f aca="false">IF(STMode=1,1-M71,1-STShare)*SUMPRODUCT($F$64:M64,$F$61:M61,$F$81:M81)/4+IF(STMode=1,IF(STGBOnly=1,1,1-M71),1-STShare)*SUMPRODUCT($F$65:M65,$F$62:M62,$F$81:M81)/4</f>
        <v>0</v>
      </c>
      <c r="N82" s="122" t="n">
        <f aca="false">IF(STMode=1,1-N71,1-STShare)*SUMPRODUCT($F$64:N64,$F$61:N61,$F$81:N81)/4+IF(STMode=1,IF(STGBOnly=1,1,1-N71),1-STShare)*SUMPRODUCT($F$65:N65,$F$62:N62,$F$81:N81)/4</f>
        <v>0</v>
      </c>
      <c r="O82" s="122" t="n">
        <f aca="false">IF(STMode=1,1-O71,1-STShare)*SUMPRODUCT($F$64:O64,$F$61:O61,$F$81:O81)/4+IF(STMode=1,IF(STGBOnly=1,1,1-O71),1-STShare)*SUMPRODUCT($F$65:O65,$F$62:O62,$F$81:O81)/4</f>
        <v>0</v>
      </c>
      <c r="P82" s="123" t="n">
        <f aca="false">IF(STMode=1,1-P71,1-STShare)*SUMPRODUCT($F$64:P64,$F$61:P61,$F$81:P81)/4+IF(STMode=1,IF(STGBOnly=1,1,1-P71),1-STShare)*SUMPRODUCT($F$65:P65,$F$62:P62,$F$81:P81)/4</f>
        <v>0</v>
      </c>
      <c r="Q82" s="123" t="n">
        <f aca="false">IF(STMode=1,1-Q71,1-STShare)*SUMPRODUCT($F$64:Q64,$F$61:Q61,$F$81:Q81)/4+IF(STMode=1,IF(STGBOnly=1,1,1-Q71),1-STShare)*SUMPRODUCT($F$65:Q65,$F$62:Q62,$F$81:Q81)/4</f>
        <v>0</v>
      </c>
      <c r="R82" s="123" t="n">
        <f aca="false">IF(STMode=1,1-R71,1-STShare)*SUMPRODUCT($F$64:R64,$F$61:R61,$F$81:R81)/4+IF(STMode=1,IF(STGBOnly=1,1,1-R71),1-STShare)*SUMPRODUCT($F$65:R65,$F$62:R62,$F$81:R81)/4</f>
        <v>172.883423427788</v>
      </c>
      <c r="S82" s="123" t="n">
        <f aca="false">IF(STMode=1,1-S71,1-STShare)*SUMPRODUCT($F$64:S64,$F$61:S61,$F$81:S81)/4+IF(STMode=1,IF(STGBOnly=1,1,1-S71),1-STShare)*SUMPRODUCT($F$65:S65,$F$62:S62,$F$81:S81)/4</f>
        <v>543.036258439596</v>
      </c>
      <c r="T82" s="123" t="n">
        <f aca="false">IF(STMode=1,1-T71,1-STShare)*SUMPRODUCT($F$64:T64,$F$61:T61,$F$81:T81)/4+IF(STMode=1,IF(STGBOnly=1,1,1-T71),1-STShare)*SUMPRODUCT($F$65:T65,$F$62:T62,$F$81:T81)/4</f>
        <v>857.572855481282</v>
      </c>
      <c r="U82" s="123" t="n">
        <f aca="false">IF(STMode=1,1-U71,1-STShare)*SUMPRODUCT($F$64:U64,$F$61:U61,$F$81:U81)/4+IF(STMode=1,IF(STGBOnly=1,1,1-U71),1-STShare)*SUMPRODUCT($F$65:U65,$F$62:U62,$F$81:U81)/4</f>
        <v>1030.35490213322</v>
      </c>
      <c r="V82" s="123" t="n">
        <f aca="false">IF(STMode=1,1-V71,1-STShare)*SUMPRODUCT($F$64:V64,$F$61:V61,$F$81:V81)/4+IF(STMode=1,IF(STGBOnly=1,1,1-V71),1-STShare)*SUMPRODUCT($F$65:V65,$F$62:V62,$F$81:V81)/4</f>
        <v>1621.05277942105</v>
      </c>
      <c r="W82" s="123" t="n">
        <f aca="false">IF(STMode=1,1-W71,1-STShare)*SUMPRODUCT($F$64:W64,$F$61:W61,$F$81:W81)/4+IF(STMode=1,IF(STGBOnly=1,1,1-W71),1-STShare)*SUMPRODUCT($F$65:W65,$F$62:W62,$F$81:W81)/4</f>
        <v>2352.39829087284</v>
      </c>
      <c r="X82" s="123" t="n">
        <f aca="false">IF(STMode=1,1-X71,1-STShare)*SUMPRODUCT($F$64:X64,$F$61:X61,$F$81:X81)/4+IF(STMode=1,IF(STGBOnly=1,1,1-X71),1-STShare)*SUMPRODUCT($F$65:X65,$F$62:X62,$F$81:X81)/4</f>
        <v>2907.53177448358</v>
      </c>
      <c r="Y82" s="123" t="n">
        <f aca="false">IF(STMode=1,1-Y71,1-STShare)*SUMPRODUCT($F$64:Y64,$F$61:Y61,$F$81:Y81)/4+IF(STMode=1,IF(STGBOnly=1,1,1-Y71),1-STShare)*SUMPRODUCT($F$65:Y65,$F$62:Y62,$F$81:Y81)/4</f>
        <v>3283.55893666028</v>
      </c>
      <c r="Z82" s="123" t="n">
        <f aca="false">IF(STMode=1,1-Z71,1-STShare)*SUMPRODUCT($F$64:Z64,$F$61:Z61,$F$81:Z81)/4+IF(STMode=1,IF(STGBOnly=1,1,1-Z71),1-STShare)*SUMPRODUCT($F$65:Z65,$F$62:Z62,$F$81:Z81)/4</f>
        <v>4055.55916367376</v>
      </c>
      <c r="AA82" s="123" t="n">
        <f aca="false">IF(STMode=1,1-AA71,1-STShare)*SUMPRODUCT($F$64:AA64,$F$61:AA61,$F$81:AA81)/4+IF(STMode=1,IF(STGBOnly=1,1,1-AA71),1-STShare)*SUMPRODUCT($F$65:AA65,$F$62:AA62,$F$81:AA81)/4</f>
        <v>4794.71939350975</v>
      </c>
      <c r="AB82" s="123" t="n">
        <f aca="false">IF(STMode=1,1-AB71,1-STShare)*SUMPRODUCT($F$64:AB64,$F$61:AB61,$F$81:AB81)/4+IF(STMode=1,IF(STGBOnly=1,1,1-AB71),1-STShare)*SUMPRODUCT($F$65:AB65,$F$62:AB62,$F$81:AB81)/4</f>
        <v>5527.96234928358</v>
      </c>
      <c r="AC82" s="123" t="n">
        <f aca="false">IF(STMode=1,1-AC71,1-STShare)*SUMPRODUCT($F$64:AC64,$F$61:AC61,$F$81:AC81)/4+IF(STMode=1,IF(STGBOnly=1,1,1-AC71),1-STShare)*SUMPRODUCT($F$65:AC65,$F$62:AC62,$F$81:AC81)/4</f>
        <v>6255.3590465316</v>
      </c>
      <c r="AD82" s="123" t="n">
        <f aca="false">IF(STMode=1,1-AD71,1-STShare)*SUMPRODUCT($F$64:AD64,$F$61:AD61,$F$81:AD81)/4+IF(STMode=1,IF(STGBOnly=1,1,1-AD71),1-STShare)*SUMPRODUCT($F$65:AD65,$F$62:AD62,$F$81:AD81)/4</f>
        <v>7260.43750090285</v>
      </c>
      <c r="AE82" s="123" t="n">
        <f aca="false">IF(STMode=1,1-AE71,1-STShare)*SUMPRODUCT($F$64:AE64,$F$61:AE61,$F$81:AE81)/4+IF(STMode=1,IF(STGBOnly=1,1,1-AE71),1-STShare)*SUMPRODUCT($F$65:AE65,$F$62:AE62,$F$81:AE81)/4</f>
        <v>8257.49602746395</v>
      </c>
      <c r="AF82" s="123" t="n">
        <f aca="false">IF(STMode=1,1-AF71,1-STShare)*SUMPRODUCT($F$64:AF64,$F$61:AF61,$F$81:AF81)/4+IF(STMode=1,IF(STGBOnly=1,1,1-AF71),1-STShare)*SUMPRODUCT($F$65:AF65,$F$62:AF62,$F$81:AF81)/4</f>
        <v>8257.49602746395</v>
      </c>
      <c r="AG82" s="123" t="n">
        <f aca="false">IF(STMode=1,1-AG71,1-STShare)*SUMPRODUCT($F$64:AG64,$F$61:AG61,$F$81:AG81)/4+IF(STMode=1,IF(STGBOnly=1,1,1-AG71),1-STShare)*SUMPRODUCT($F$65:AG65,$F$62:AG62,$F$81:AG81)/4</f>
        <v>8257.49602746395</v>
      </c>
      <c r="AI82" s="123" t="n">
        <f aca="false">SUMIF($F$7:$AG$7,AI$7,$F82:$AG82)</f>
        <v>0</v>
      </c>
      <c r="AJ82" s="123" t="n">
        <f aca="false">SUMIF($F$7:$AG$7,AJ$7,$F82:$AG82)</f>
        <v>0</v>
      </c>
      <c r="AK82" s="123" t="n">
        <f aca="false">SUMIF($F$7:$AG$7,AK$7,$F82:$AG82)</f>
        <v>0</v>
      </c>
      <c r="AL82" s="123" t="n">
        <f aca="false">SUMIF($F$7:$AG$7,AL$7,$F82:$AG82)</f>
        <v>2603.84743948189</v>
      </c>
      <c r="AM82" s="123" t="n">
        <f aca="false">SUMIF($F$7:$AG$7,AM$7,$F82:$AG82)</f>
        <v>10164.5417814377</v>
      </c>
      <c r="AN82" s="123" t="n">
        <f aca="false">SUMIF($F$7:$AG$7,AN$7,$F82:$AG82)</f>
        <v>20633.5999529987</v>
      </c>
      <c r="AO82" s="123" t="n">
        <f aca="false">SUMIF($F$7:$AG$7,AO$7,$F82:$AG82)</f>
        <v>32032.9255832947</v>
      </c>
    </row>
    <row r="83" customFormat="false" ht="15" hidden="false" customHeight="false" outlineLevel="0" collapsed="false">
      <c r="A83" s="104" t="s">
        <v>1865</v>
      </c>
      <c r="B83" s="20" t="s">
        <v>561</v>
      </c>
      <c r="C83" s="20" t="s">
        <v>495</v>
      </c>
      <c r="D83" s="20" t="s">
        <v>1866</v>
      </c>
      <c r="F83" s="122" t="n">
        <f aca="false">F70*F68*IF(STMode=1,STOcc,1)/4</f>
        <v>0</v>
      </c>
      <c r="G83" s="122" t="n">
        <f aca="false">G70*G68*IF(STMode=1,STOcc,1)/4</f>
        <v>0</v>
      </c>
      <c r="H83" s="122" t="n">
        <f aca="false">H70*H68*IF(STMode=1,STOcc,1)/4</f>
        <v>0</v>
      </c>
      <c r="I83" s="122" t="n">
        <f aca="false">I70*I68*IF(STMode=1,STOcc,1)/4</f>
        <v>0</v>
      </c>
      <c r="J83" s="122" t="n">
        <f aca="false">J70*J68*IF(STMode=1,STOcc,1)/4</f>
        <v>0</v>
      </c>
      <c r="K83" s="122" t="n">
        <f aca="false">K70*K68*IF(STMode=1,STOcc,1)/4</f>
        <v>0</v>
      </c>
      <c r="L83" s="122" t="n">
        <f aca="false">L70*L68*IF(STMode=1,STOcc,1)/4</f>
        <v>0</v>
      </c>
      <c r="M83" s="122" t="n">
        <f aca="false">M70*M68*IF(STMode=1,STOcc,1)/4</f>
        <v>0</v>
      </c>
      <c r="N83" s="122" t="n">
        <f aca="false">N70*N68*IF(STMode=1,STOcc,1)/4</f>
        <v>0</v>
      </c>
      <c r="O83" s="122" t="n">
        <f aca="false">O70*O68*IF(STMode=1,STOcc,1)/4</f>
        <v>0</v>
      </c>
      <c r="P83" s="123" t="n">
        <f aca="false">P70*P68*IF(STMode=1,STOcc,1)/4</f>
        <v>0</v>
      </c>
      <c r="Q83" s="123" t="n">
        <f aca="false">Q70*Q68*IF(STMode=1,STOcc,1)/4</f>
        <v>0</v>
      </c>
      <c r="R83" s="123" t="n">
        <f aca="false">R70*R68*IF(STMode=1,STOcc,1)/4</f>
        <v>93.215728125</v>
      </c>
      <c r="S83" s="123" t="n">
        <f aca="false">S70*S68*IF(STMode=1,STOcc,1)/4</f>
        <v>132.16905</v>
      </c>
      <c r="T83" s="123" t="n">
        <f aca="false">T70*T68*IF(STMode=1,STOcc,1)/4</f>
        <v>179.289703125</v>
      </c>
      <c r="U83" s="123" t="n">
        <f aca="false">U70*U68*IF(STMode=1,STOcc,1)/4</f>
        <v>229.281975</v>
      </c>
      <c r="V83" s="123" t="n">
        <f aca="false">V70*V68*IF(STMode=1,STOcc,1)/4</f>
        <v>390.74765625</v>
      </c>
      <c r="W83" s="123" t="n">
        <f aca="false">W70*W68*IF(STMode=1,STOcc,1)/4</f>
        <v>476.33203125</v>
      </c>
      <c r="X83" s="123" t="n">
        <f aca="false">X70*X68*IF(STMode=1,STOcc,1)/4</f>
        <v>527.515562829919</v>
      </c>
      <c r="Y83" s="123" t="n">
        <f aca="false">Y70*Y68*IF(STMode=1,STOcc,1)/4</f>
        <v>567.179272038683</v>
      </c>
      <c r="Z83" s="123" t="n">
        <f aca="false">Z70*Z68*IF(STMode=1,STOcc,1)/4</f>
        <v>627.610268907777</v>
      </c>
      <c r="AA83" s="123" t="n">
        <f aca="false">AA70*AA68*IF(STMode=1,STOcc,1)/4</f>
        <v>702.467057344778</v>
      </c>
      <c r="AB83" s="123" t="n">
        <f aca="false">AB70*AB68*IF(STMode=1,STOcc,1)/4</f>
        <v>755.413584833227</v>
      </c>
      <c r="AC83" s="123" t="n">
        <f aca="false">AC70*AC68*IF(STMode=1,STOcc,1)/4</f>
        <v>829.760088788694</v>
      </c>
      <c r="AD83" s="123" t="n">
        <f aca="false">AD70*AD68*IF(STMode=1,STOcc,1)/4</f>
        <v>904.881639053754</v>
      </c>
      <c r="AE83" s="123" t="n">
        <f aca="false">AE70*AE68*IF(STMode=1,STOcc,1)/4</f>
        <v>1005.28102432572</v>
      </c>
      <c r="AF83" s="123" t="n">
        <f aca="false">AF70*AF68*IF(STMode=1,STOcc,1)/4</f>
        <v>974.656114533331</v>
      </c>
      <c r="AG83" s="123" t="n">
        <f aca="false">AG70*AG68*IF(STMode=1,STOcc,1)/4</f>
        <v>974.656114533331</v>
      </c>
      <c r="AI83" s="123" t="n">
        <f aca="false">SUMIF($F$7:$AG$7,AI$7,$F83:$AG83)</f>
        <v>0</v>
      </c>
      <c r="AJ83" s="123" t="n">
        <f aca="false">SUMIF($F$7:$AG$7,AJ$7,$F83:$AG83)</f>
        <v>0</v>
      </c>
      <c r="AK83" s="123" t="n">
        <f aca="false">SUMIF($F$7:$AG$7,AK$7,$F83:$AG83)</f>
        <v>0</v>
      </c>
      <c r="AL83" s="123" t="n">
        <f aca="false">SUMIF($F$7:$AG$7,AL$7,$F83:$AG83)</f>
        <v>633.95645625</v>
      </c>
      <c r="AM83" s="123" t="n">
        <f aca="false">SUMIF($F$7:$AG$7,AM$7,$F83:$AG83)</f>
        <v>1961.7745223686</v>
      </c>
      <c r="AN83" s="123" t="n">
        <f aca="false">SUMIF($F$7:$AG$7,AN$7,$F83:$AG83)</f>
        <v>2915.25099987448</v>
      </c>
      <c r="AO83" s="123" t="n">
        <f aca="false">SUMIF($F$7:$AG$7,AO$7,$F83:$AG83)</f>
        <v>3859.47489244614</v>
      </c>
    </row>
    <row r="84" customFormat="false" ht="15" hidden="false" customHeight="false" outlineLevel="0" collapsed="false">
      <c r="A84" s="3" t="s">
        <v>1867</v>
      </c>
      <c r="B84" s="20" t="s">
        <v>561</v>
      </c>
      <c r="C84" s="20" t="s">
        <v>495</v>
      </c>
      <c r="D84" s="20"/>
      <c r="F84" s="124" t="n">
        <f aca="false">IF(AND(NewDealOn=1,F$5&gt;=NewDealIdx),F57*IF(STMode=1,1-F71,1)+F82+F83-F50-F51,0)</f>
        <v>0</v>
      </c>
      <c r="G84" s="124" t="n">
        <f aca="false">IF(AND(NewDealOn=1,G$5&gt;=NewDealIdx),G57*IF(STMode=1,1-G71,1)+G82+G83-G50-G51,0)</f>
        <v>0</v>
      </c>
      <c r="H84" s="124" t="n">
        <f aca="false">IF(AND(NewDealOn=1,H$5&gt;=NewDealIdx),H57*IF(STMode=1,1-H71,1)+H82+H83-H50-H51,0)</f>
        <v>0</v>
      </c>
      <c r="I84" s="124" t="n">
        <f aca="false">IF(AND(NewDealOn=1,I$5&gt;=NewDealIdx),I57*IF(STMode=1,1-I71,1)+I82+I83-I50-I51,0)</f>
        <v>0</v>
      </c>
      <c r="J84" s="124" t="n">
        <f aca="false">IF(AND(NewDealOn=1,J$5&gt;=NewDealIdx),J57*IF(STMode=1,1-J71,1)+J82+J83-J50-J51,0)</f>
        <v>0</v>
      </c>
      <c r="K84" s="124" t="n">
        <f aca="false">IF(AND(NewDealOn=1,K$5&gt;=NewDealIdx),K57*IF(STMode=1,1-K71,1)+K82+K83-K50-K51,0)</f>
        <v>0</v>
      </c>
      <c r="L84" s="124" t="n">
        <f aca="false">IF(AND(NewDealOn=1,L$5&gt;=NewDealIdx),L57*IF(STMode=1,1-L71,1)+L82+L83-L50-L51,0)</f>
        <v>0</v>
      </c>
      <c r="M84" s="124" t="n">
        <f aca="false">IF(AND(NewDealOn=1,M$5&gt;=NewDealIdx),M57*IF(STMode=1,1-M71,1)+M82+M83-M50-M51,0)</f>
        <v>0</v>
      </c>
      <c r="N84" s="124" t="n">
        <f aca="false">IF(AND(NewDealOn=1,N$5&gt;=NewDealIdx),N57*IF(STMode=1,1-N71,1)+N82+N83-N50-N51,0)</f>
        <v>0</v>
      </c>
      <c r="O84" s="124" t="n">
        <f aca="false">IF(AND(NewDealOn=1,O$5&gt;=NewDealIdx),O57*IF(STMode=1,1-O71,1)+O82+O83-O50-O51,0)</f>
        <v>0</v>
      </c>
      <c r="P84" s="96" t="n">
        <f aca="false">IF(AND(NewDealOn=1,P$5&gt;=NewDealIdx),P57*IF(STMode=1,1-P71,1)+P82+P83-P50-P51,0)</f>
        <v>0</v>
      </c>
      <c r="Q84" s="96" t="n">
        <f aca="false">IF(AND(NewDealOn=1,Q$5&gt;=NewDealIdx),Q57*IF(STMode=1,1-Q71,1)+Q82+Q83-Q50-Q51,0)</f>
        <v>0</v>
      </c>
      <c r="R84" s="96" t="n">
        <f aca="false">IF(AND(NewDealOn=1,R$5&gt;=NewDealIdx),R57*IF(STMode=1,1-R71,1)+R82+R83-R50-R51,0)</f>
        <v>0.654495614024185</v>
      </c>
      <c r="S84" s="96" t="n">
        <f aca="false">IF(AND(NewDealOn=1,S$5&gt;=NewDealIdx),S57*IF(STMode=1,1-S71,1)+S82+S83-S50-S51,0)</f>
        <v>-35.3102705717628</v>
      </c>
      <c r="T84" s="96" t="n">
        <f aca="false">IF(AND(NewDealOn=1,T$5&gt;=NewDealIdx),T57*IF(STMode=1,1-T71,1)+T82+T83-T50-T51,0)</f>
        <v>-15.0139547403102</v>
      </c>
      <c r="U84" s="96" t="n">
        <f aca="false">IF(AND(NewDealOn=1,U$5&gt;=NewDealIdx),U57*IF(STMode=1,1-U71,1)+U82+U83-U50-U51,0)</f>
        <v>58.0339776239405</v>
      </c>
      <c r="V84" s="96" t="n">
        <f aca="false">IF(AND(NewDealOn=1,V$5&gt;=NewDealIdx),V57*IF(STMode=1,1-V71,1)+V82+V83-V50-V51,0)</f>
        <v>23.9047324902989</v>
      </c>
      <c r="W84" s="96" t="n">
        <f aca="false">IF(AND(NewDealOn=1,W$5&gt;=NewDealIdx),W57*IF(STMode=1,1-W71,1)+W82+W83-W50-W51,0)</f>
        <v>-100.048078045013</v>
      </c>
      <c r="X84" s="96" t="n">
        <f aca="false">IF(AND(NewDealOn=1,X$5&gt;=NewDealIdx),X57*IF(STMode=1,1-X71,1)+X82+X83-X50-X51,0)</f>
        <v>-249.477166907377</v>
      </c>
      <c r="Y84" s="96" t="n">
        <f aca="false">IF(AND(NewDealOn=1,Y$5&gt;=NewDealIdx),Y57*IF(STMode=1,1-Y71,1)+Y82+Y83-Y50-Y51,0)</f>
        <v>-289.853170877853</v>
      </c>
      <c r="Z84" s="96" t="n">
        <f aca="false">IF(AND(NewDealOn=1,Z$5&gt;=NewDealIdx),Z57*IF(STMode=1,1-Z71,1)+Z82+Z83-Z50-Z51,0)</f>
        <v>-285.180961858721</v>
      </c>
      <c r="AA84" s="96" t="n">
        <f aca="false">IF(AND(NewDealOn=1,AA$5&gt;=NewDealIdx),AA57*IF(STMode=1,1-AA71,1)+AA82+AA83-AA50-AA51,0)</f>
        <v>-389.315699046967</v>
      </c>
      <c r="AB84" s="96" t="n">
        <f aca="false">IF(AND(NewDealOn=1,AB$5&gt;=NewDealIdx),AB57*IF(STMode=1,1-AB71,1)+AB82+AB83-AB50-AB51,0)</f>
        <v>-554.726080371647</v>
      </c>
      <c r="AC84" s="96" t="n">
        <f aca="false">IF(AND(NewDealOn=1,AC$5&gt;=NewDealIdx),AC57*IF(STMode=1,1-AC71,1)+AC82+AC83-AC50-AC51,0)</f>
        <v>-611.132742366697</v>
      </c>
      <c r="AD84" s="96" t="n">
        <f aca="false">IF(AND(NewDealOn=1,AD$5&gt;=NewDealIdx),AD57*IF(STMode=1,1-AD71,1)+AD82+AD83-AD50-AD51,0)</f>
        <v>-540.366715861312</v>
      </c>
      <c r="AE84" s="96" t="n">
        <f aca="false">IF(AND(NewDealOn=1,AE$5&gt;=NewDealIdx),AE57*IF(STMode=1,1-AE71,1)+AE82+AE83-AE50-AE51,0)</f>
        <v>-690.964914748623</v>
      </c>
      <c r="AF84" s="96" t="n">
        <f aca="false">IF(AND(NewDealOn=1,AF$5&gt;=NewDealIdx),AF57*IF(STMode=1,1-AF71,1)+AF82+AF83-AF50-AF51,0)</f>
        <v>-675.574617985083</v>
      </c>
      <c r="AG84" s="96" t="n">
        <f aca="false">IF(AND(NewDealOn=1,AG$5&gt;=NewDealIdx),AG57*IF(STMode=1,1-AG71,1)+AG82+AG83-AG50-AG51,0)</f>
        <v>-522.599968953522</v>
      </c>
      <c r="AI84" s="96" t="n">
        <f aca="false">SUMIF($F$7:$AG$7,AI$7,$F84:$AG84)</f>
        <v>0</v>
      </c>
      <c r="AJ84" s="96" t="n">
        <f aca="false">SUMIF($F$7:$AG$7,AJ$7,$F84:$AG84)</f>
        <v>0</v>
      </c>
      <c r="AK84" s="96" t="n">
        <f aca="false">SUMIF($F$7:$AG$7,AK$7,$F84:$AG84)</f>
        <v>0</v>
      </c>
      <c r="AL84" s="96" t="n">
        <f aca="false">SUMIF($F$7:$AG$7,AL$7,$F84:$AG84)</f>
        <v>8.36424792589172</v>
      </c>
      <c r="AM84" s="96" t="n">
        <f aca="false">SUMIF($F$7:$AG$7,AM$7,$F84:$AG84)</f>
        <v>-615.473683339944</v>
      </c>
      <c r="AN84" s="96" t="n">
        <f aca="false">SUMIF($F$7:$AG$7,AN$7,$F84:$AG84)</f>
        <v>-1840.35548364403</v>
      </c>
      <c r="AO84" s="96" t="n">
        <f aca="false">SUMIF($F$7:$AG$7,AO$7,$F84:$AG84)</f>
        <v>-2429.50621754854</v>
      </c>
    </row>
    <row r="85" customFormat="false" ht="15" hidden="false" customHeight="false" outlineLevel="0" collapsed="false">
      <c r="A85" s="104" t="s">
        <v>1868</v>
      </c>
      <c r="B85" s="20" t="s">
        <v>542</v>
      </c>
      <c r="C85" s="20" t="s">
        <v>495</v>
      </c>
      <c r="D85" s="20"/>
      <c r="F85" s="114" t="n">
        <f aca="false">IF(F58&gt;0,F72*4/F58,0)</f>
        <v>0</v>
      </c>
      <c r="G85" s="114" t="n">
        <f aca="false">IF(G58&gt;0,G72*4/G58,0)</f>
        <v>0</v>
      </c>
      <c r="H85" s="114" t="n">
        <f aca="false">IF(H58&gt;0,H72*4/H58,0)</f>
        <v>0</v>
      </c>
      <c r="I85" s="114" t="n">
        <f aca="false">IF(I58&gt;0,I72*4/I58,0)</f>
        <v>0</v>
      </c>
      <c r="J85" s="114" t="n">
        <f aca="false">IF(J58&gt;0,J72*4/J58,0)</f>
        <v>0</v>
      </c>
      <c r="K85" s="114" t="n">
        <f aca="false">IF(K58&gt;0,K72*4/K58,0)</f>
        <v>0</v>
      </c>
      <c r="L85" s="114" t="n">
        <f aca="false">IF(L58&gt;0,L72*4/L58,0)</f>
        <v>0</v>
      </c>
      <c r="M85" s="114" t="n">
        <f aca="false">IF(M58&gt;0,M72*4/M58,0)</f>
        <v>0</v>
      </c>
      <c r="N85" s="114" t="n">
        <f aca="false">IF(N58&gt;0,N72*4/N58,0)</f>
        <v>0</v>
      </c>
      <c r="O85" s="114" t="n">
        <f aca="false">IF(O58&gt;0,O72*4/O58,0)</f>
        <v>0</v>
      </c>
      <c r="P85" s="23" t="n">
        <f aca="false">IF(P58&gt;0,P72*4/P58,0)</f>
        <v>0</v>
      </c>
      <c r="Q85" s="23" t="n">
        <f aca="false">IF(Q58&gt;0,Q72*4/Q58,0)</f>
        <v>0</v>
      </c>
      <c r="R85" s="23" t="n">
        <f aca="false">IF(R58&gt;0,R72*4/R58,0)</f>
        <v>22</v>
      </c>
      <c r="S85" s="23" t="n">
        <f aca="false">IF(S58&gt;0,S72*4/S58,0)</f>
        <v>21.8105641420281</v>
      </c>
      <c r="T85" s="23" t="n">
        <f aca="false">IF(T58&gt;0,T72*4/T58,0)</f>
        <v>21.8798503492547</v>
      </c>
      <c r="U85" s="23" t="n">
        <f aca="false">IF(U58&gt;0,U72*4/U58,0)</f>
        <v>21.8253920261604</v>
      </c>
      <c r="V85" s="23" t="n">
        <f aca="false">IF(V58&gt;0,V72*4/V58,0)</f>
        <v>20.7483124582126</v>
      </c>
      <c r="W85" s="23" t="n">
        <f aca="false">IF(W58&gt;0,W72*4/W58,0)</f>
        <v>20.0775528545067</v>
      </c>
      <c r="X85" s="23" t="n">
        <f aca="false">IF(X58&gt;0,X72*4/X58,0)</f>
        <v>19.6582812744041</v>
      </c>
      <c r="Y85" s="23" t="n">
        <f aca="false">IF(Y58&gt;0,Y72*4/Y58,0)</f>
        <v>19.4588486558835</v>
      </c>
      <c r="Z85" s="23" t="n">
        <f aca="false">IF(Z58&gt;0,Z72*4/Z58,0)</f>
        <v>19.2549013364431</v>
      </c>
      <c r="AA85" s="23" t="n">
        <f aca="false">IF(AA58&gt;0,AA72*4/AA58,0)</f>
        <v>19.1027236679858</v>
      </c>
      <c r="AB85" s="23" t="n">
        <f aca="false">IF(AB58&gt;0,AB72*4/AB58,0)</f>
        <v>18.8913336377895</v>
      </c>
      <c r="AC85" s="23" t="n">
        <f aca="false">IF(AC58&gt;0,AC72*4/AC58,0)</f>
        <v>18.7154876775145</v>
      </c>
      <c r="AD85" s="23" t="n">
        <f aca="false">IF(AD58&gt;0,AD72*4/AD58,0)</f>
        <v>18.5126881681522</v>
      </c>
      <c r="AE85" s="23" t="n">
        <f aca="false">IF(AE58&gt;0,AE72*4/AE58,0)</f>
        <v>18.3448399791516</v>
      </c>
      <c r="AF85" s="23" t="n">
        <f aca="false">IF(AF58&gt;0,AF72*4/AF58,0)</f>
        <v>18.3448399791516</v>
      </c>
      <c r="AG85" s="23" t="n">
        <f aca="false">IF(AG58&gt;0,AG72*4/AG58,0)</f>
        <v>18.3448399791516</v>
      </c>
      <c r="AI85" s="23" t="n">
        <f aca="false">AVERAGEIF($F$7:$AG$7,AI$7,$F85:$AG85)</f>
        <v>0</v>
      </c>
      <c r="AJ85" s="23" t="n">
        <f aca="false">AVERAGEIF($F$7:$AG$7,AJ$7,$F85:$AG85)</f>
        <v>0</v>
      </c>
      <c r="AK85" s="23" t="n">
        <f aca="false">AVERAGEIF($F$7:$AG$7,AK$7,$F85:$AG85)</f>
        <v>0</v>
      </c>
      <c r="AL85" s="23" t="n">
        <f aca="false">AVERAGEIF($F$7:$AG$7,AL$7,$F85:$AG85)</f>
        <v>21.8789516293608</v>
      </c>
      <c r="AM85" s="23" t="n">
        <f aca="false">AVERAGEIF($F$7:$AG$7,AM$7,$F85:$AG85)</f>
        <v>19.9857488107517</v>
      </c>
      <c r="AN85" s="23" t="n">
        <f aca="false">AVERAGEIF($F$7:$AG$7,AN$7,$F85:$AG85)</f>
        <v>18.9911115799332</v>
      </c>
      <c r="AO85" s="23" t="n">
        <f aca="false">AVERAGEIF($F$7:$AG$7,AO$7,$F85:$AG85)</f>
        <v>18.3868020264017</v>
      </c>
    </row>
    <row r="87" customFormat="false" ht="15" hidden="false" customHeight="false" outlineLevel="0" collapsed="false">
      <c r="A87" s="53" t="s">
        <v>1869</v>
      </c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</row>
    <row r="88" customFormat="false" ht="15" hidden="false" customHeight="false" outlineLevel="0" collapsed="false">
      <c r="A88" s="104" t="s">
        <v>1151</v>
      </c>
      <c r="B88" s="20" t="s">
        <v>561</v>
      </c>
      <c r="C88" s="20" t="s">
        <v>546</v>
      </c>
      <c r="D88" s="20"/>
      <c r="F88" s="122" t="n">
        <f aca="false">INDEX(AssetLight,1,F$7-FYBase)/4</f>
        <v>0</v>
      </c>
      <c r="G88" s="122" t="n">
        <f aca="false">INDEX(AssetLight,1,G$7-FYBase)/4</f>
        <v>0</v>
      </c>
      <c r="H88" s="122" t="n">
        <f aca="false">INDEX(AssetLight,1,H$7-FYBase)/4</f>
        <v>0</v>
      </c>
      <c r="I88" s="122" t="n">
        <f aca="false">INDEX(AssetLight,1,I$7-FYBase)/4</f>
        <v>0</v>
      </c>
      <c r="J88" s="122" t="n">
        <f aca="false">INDEX(AssetLight,1,J$7-FYBase)/4</f>
        <v>0</v>
      </c>
      <c r="K88" s="122" t="n">
        <f aca="false">INDEX(AssetLight,1,K$7-FYBase)/4</f>
        <v>0</v>
      </c>
      <c r="L88" s="122" t="n">
        <f aca="false">INDEX(AssetLight,1,L$7-FYBase)/4</f>
        <v>0</v>
      </c>
      <c r="M88" s="122" t="n">
        <f aca="false">INDEX(AssetLight,1,M$7-FYBase)/4</f>
        <v>0</v>
      </c>
      <c r="N88" s="122" t="n">
        <f aca="false">INDEX(AssetLight,1,N$7-FYBase)/4</f>
        <v>0</v>
      </c>
      <c r="O88" s="122" t="n">
        <f aca="false">INDEX(AssetLight,1,O$7-FYBase)/4</f>
        <v>0</v>
      </c>
      <c r="P88" s="123" t="n">
        <f aca="false">INDEX(AssetLight,1,P$7-FYBase)/4</f>
        <v>0</v>
      </c>
      <c r="Q88" s="123" t="n">
        <f aca="false">INDEX(AssetLight,1,Q$7-FYBase)/4</f>
        <v>0</v>
      </c>
      <c r="R88" s="123" t="n">
        <f aca="false">INDEX(AssetLight,1,R$7-FYBase)/4</f>
        <v>0</v>
      </c>
      <c r="S88" s="123" t="n">
        <f aca="false">INDEX(AssetLight,1,S$7-FYBase)/4</f>
        <v>0</v>
      </c>
      <c r="T88" s="123" t="n">
        <f aca="false">INDEX(AssetLight,1,T$7-FYBase)/4</f>
        <v>0</v>
      </c>
      <c r="U88" s="123" t="n">
        <f aca="false">INDEX(AssetLight,1,U$7-FYBase)/4</f>
        <v>0</v>
      </c>
      <c r="V88" s="123" t="n">
        <f aca="false">INDEX(AssetLight,1,V$7-FYBase)/4</f>
        <v>0</v>
      </c>
      <c r="W88" s="123" t="n">
        <f aca="false">INDEX(AssetLight,1,W$7-FYBase)/4</f>
        <v>0</v>
      </c>
      <c r="X88" s="123" t="n">
        <f aca="false">INDEX(AssetLight,1,X$7-FYBase)/4</f>
        <v>0</v>
      </c>
      <c r="Y88" s="123" t="n">
        <f aca="false">INDEX(AssetLight,1,Y$7-FYBase)/4</f>
        <v>0</v>
      </c>
      <c r="Z88" s="123" t="n">
        <f aca="false">INDEX(AssetLight,1,Z$7-FYBase)/4</f>
        <v>0</v>
      </c>
      <c r="AA88" s="123" t="n">
        <f aca="false">INDEX(AssetLight,1,AA$7-FYBase)/4</f>
        <v>0</v>
      </c>
      <c r="AB88" s="123" t="n">
        <f aca="false">INDEX(AssetLight,1,AB$7-FYBase)/4</f>
        <v>0</v>
      </c>
      <c r="AC88" s="123" t="n">
        <f aca="false">INDEX(AssetLight,1,AC$7-FYBase)/4</f>
        <v>0</v>
      </c>
      <c r="AD88" s="123" t="n">
        <f aca="false">INDEX(AssetLight,1,AD$7-FYBase)/4</f>
        <v>0</v>
      </c>
      <c r="AE88" s="123" t="n">
        <f aca="false">INDEX(AssetLight,1,AE$7-FYBase)/4</f>
        <v>0</v>
      </c>
      <c r="AF88" s="123" t="n">
        <f aca="false">INDEX(AssetLight,1,AF$7-FYBase)/4</f>
        <v>0</v>
      </c>
      <c r="AG88" s="123" t="n">
        <f aca="false">INDEX(AssetLight,1,AG$7-FYBase)/4</f>
        <v>0</v>
      </c>
      <c r="AI88" s="123" t="n">
        <f aca="false">SUMIF($F$7:$AG$7,AI$7,$F88:$AG88)</f>
        <v>0</v>
      </c>
      <c r="AJ88" s="123" t="n">
        <f aca="false">SUMIF($F$7:$AG$7,AJ$7,$F88:$AG88)</f>
        <v>0</v>
      </c>
      <c r="AK88" s="123" t="n">
        <f aca="false">SUMIF($F$7:$AG$7,AK$7,$F88:$AG88)</f>
        <v>0</v>
      </c>
      <c r="AL88" s="123" t="n">
        <f aca="false">SUMIF($F$7:$AG$7,AL$7,$F88:$AG88)</f>
        <v>0</v>
      </c>
      <c r="AM88" s="123" t="n">
        <f aca="false">SUMIF($F$7:$AG$7,AM$7,$F88:$AG88)</f>
        <v>0</v>
      </c>
      <c r="AN88" s="123" t="n">
        <f aca="false">SUMIF($F$7:$AG$7,AN$7,$F88:$AG88)</f>
        <v>0</v>
      </c>
      <c r="AO88" s="123" t="n">
        <f aca="false">SUMIF($F$7:$AG$7,AO$7,$F88:$AG88)</f>
        <v>0</v>
      </c>
    </row>
    <row r="89" customFormat="false" ht="15" hidden="false" customHeight="false" outlineLevel="0" collapsed="false">
      <c r="A89" s="104" t="s">
        <v>1870</v>
      </c>
      <c r="B89" s="20" t="s">
        <v>561</v>
      </c>
      <c r="C89" s="20" t="s">
        <v>495</v>
      </c>
      <c r="D89" s="20"/>
      <c r="F89" s="122" t="n">
        <f aca="false">F26+F27+F50+F51+F84+F88</f>
        <v>71.8043498038371</v>
      </c>
      <c r="G89" s="122" t="n">
        <f aca="false">G26+G27+G50+G51+G84+G88</f>
        <v>71.8043498038371</v>
      </c>
      <c r="H89" s="122" t="n">
        <f aca="false">H26+H27+H50+H51+H84+H88</f>
        <v>72.5934085928903</v>
      </c>
      <c r="I89" s="122" t="n">
        <f aca="false">I26+I27+I50+I51+I84+I88</f>
        <v>79.8538082053127</v>
      </c>
      <c r="J89" s="122" t="n">
        <f aca="false">J26+J27+J50+J51+J84+J88</f>
        <v>119.332040815163</v>
      </c>
      <c r="K89" s="122" t="n">
        <f aca="false">K26+K27+K50+K51+K84+K88</f>
        <v>162.95940042544</v>
      </c>
      <c r="L89" s="122" t="n">
        <f aca="false">L26+L27+L50+L51+L84+L88</f>
        <v>212.809617319735</v>
      </c>
      <c r="M89" s="122" t="n">
        <f aca="false">M26+M27+M50+M51+M84+M88</f>
        <v>371.959623694497</v>
      </c>
      <c r="N89" s="122" t="n">
        <f aca="false">N26+N27+N50+N51+N84+N88</f>
        <v>514.670225250736</v>
      </c>
      <c r="O89" s="122" t="n">
        <f aca="false">O26+O27+O50+O51+O84+O88</f>
        <v>574.9</v>
      </c>
      <c r="P89" s="123" t="n">
        <f aca="false">P26+P27+P50+P51+P84+P88</f>
        <v>646.135373262198</v>
      </c>
      <c r="Q89" s="123" t="n">
        <f aca="false">Q26+Q27+Q50+Q51+Q84+Q88</f>
        <v>780.726003351483</v>
      </c>
      <c r="R89" s="123" t="n">
        <f aca="false">R26+R27+R50+R51+R84+R88</f>
        <v>1051.53539687719</v>
      </c>
      <c r="S89" s="123" t="n">
        <f aca="false">S26+S27+S50+S51+S84+S88</f>
        <v>1549.26618238235</v>
      </c>
      <c r="T89" s="123" t="n">
        <f aca="false">T26+T27+T50+T51+T84+T88</f>
        <v>2162.61178323291</v>
      </c>
      <c r="U89" s="123" t="n">
        <f aca="false">U26+U27+U50+U51+U84+U88</f>
        <v>2825.93724426654</v>
      </c>
      <c r="V89" s="123" t="n">
        <f aca="false">V26+V27+V50+V51+V84+V88</f>
        <v>3836.27716066881</v>
      </c>
      <c r="W89" s="123" t="n">
        <f aca="false">W26+W27+W50+W51+W84+W88</f>
        <v>4713.19721419422</v>
      </c>
      <c r="X89" s="123" t="n">
        <f aca="false">X26+X27+X50+X51+X84+X88</f>
        <v>5308.93506866684</v>
      </c>
      <c r="Y89" s="123" t="n">
        <f aca="false">Y26+Y27+Y50+Y51+Y84+Y88</f>
        <v>5713.45040745536</v>
      </c>
      <c r="Z89" s="123" t="n">
        <f aca="false">Z26+Z27+Z50+Z51+Z84+Z88</f>
        <v>6530.28410714213</v>
      </c>
      <c r="AA89" s="123" t="n">
        <f aca="false">AA26+AA27+AA50+AA51+AA84+AA88</f>
        <v>7337.65612070929</v>
      </c>
      <c r="AB89" s="123" t="n">
        <f aca="false">AB26+AB27+AB50+AB51+AB84+AB88</f>
        <v>8113.89349531743</v>
      </c>
      <c r="AC89" s="123" t="n">
        <f aca="false">AC26+AC27+AC50+AC51+AC84+AC88</f>
        <v>8903.74204761886</v>
      </c>
      <c r="AD89" s="123" t="n">
        <f aca="false">AD26+AD27+AD50+AD51+AD84+AD88</f>
        <v>9966.17668143947</v>
      </c>
      <c r="AE89" s="123" t="n">
        <f aca="false">AE26+AE27+AE50+AE51+AE84+AE88</f>
        <v>11052.8743409562</v>
      </c>
      <c r="AF89" s="123" t="n">
        <f aca="false">AF26+AF27+AF50+AF51+AF84+AF88</f>
        <v>11019.3021905655</v>
      </c>
      <c r="AG89" s="123" t="n">
        <f aca="false">AG26+AG27+AG50+AG51+AG84+AG88</f>
        <v>11136.1485173578</v>
      </c>
      <c r="AI89" s="123" t="n">
        <f aca="false">SUMIF($F$7:$AG$7,AI$7,$F89:$AG89)</f>
        <v>296.055916405877</v>
      </c>
      <c r="AJ89" s="123" t="n">
        <f aca="false">SUMIF($F$7:$AG$7,AJ$7,$F89:$AG89)</f>
        <v>867.060682254835</v>
      </c>
      <c r="AK89" s="123" t="n">
        <f aca="false">SUMIF($F$7:$AG$7,AK$7,$F89:$AG89)</f>
        <v>2516.43160186442</v>
      </c>
      <c r="AL89" s="123" t="n">
        <f aca="false">SUMIF($F$7:$AG$7,AL$7,$F89:$AG89)</f>
        <v>7589.35060675899</v>
      </c>
      <c r="AM89" s="123" t="n">
        <f aca="false">SUMIF($F$7:$AG$7,AM$7,$F89:$AG89)</f>
        <v>19571.8598509852</v>
      </c>
      <c r="AN89" s="123" t="n">
        <f aca="false">SUMIF($F$7:$AG$7,AN$7,$F89:$AG89)</f>
        <v>30885.5757707877</v>
      </c>
      <c r="AO89" s="123" t="n">
        <f aca="false">SUMIF($F$7:$AG$7,AO$7,$F89:$AG89)</f>
        <v>43174.5017303191</v>
      </c>
    </row>
    <row r="90" customFormat="false" ht="15" hidden="false" customHeight="false" outlineLevel="0" collapsed="false">
      <c r="A90" s="104" t="s">
        <v>1871</v>
      </c>
      <c r="B90" s="20" t="s">
        <v>561</v>
      </c>
      <c r="C90" s="20" t="s">
        <v>550</v>
      </c>
      <c r="D90" s="20" t="s">
        <v>1872</v>
      </c>
      <c r="F90" s="122" t="n">
        <f aca="false">IF(F$5&lt;=LastHist,0,JuneExitOn*MAX(0,INDEX(H_ARR,1,LastHist)/4-INDEX($E$89:$AG$89,1,LastHist+2)))</f>
        <v>0</v>
      </c>
      <c r="G90" s="122" t="n">
        <f aca="false">IF(G$5&lt;=LastHist,0,JuneExitOn*MAX(0,INDEX(H_ARR,1,LastHist)/4-INDEX($E$89:$AG$89,1,LastHist+2)))</f>
        <v>0</v>
      </c>
      <c r="H90" s="122" t="n">
        <f aca="false">IF(H$5&lt;=LastHist,0,JuneExitOn*MAX(0,INDEX(H_ARR,1,LastHist)/4-INDEX($E$89:$AG$89,1,LastHist+2)))</f>
        <v>0</v>
      </c>
      <c r="I90" s="122" t="n">
        <f aca="false">IF(I$5&lt;=LastHist,0,JuneExitOn*MAX(0,INDEX(H_ARR,1,LastHist)/4-INDEX($E$89:$AG$89,1,LastHist+2)))</f>
        <v>0</v>
      </c>
      <c r="J90" s="122" t="n">
        <f aca="false">IF(J$5&lt;=LastHist,0,JuneExitOn*MAX(0,INDEX(H_ARR,1,LastHist)/4-INDEX($E$89:$AG$89,1,LastHist+2)))</f>
        <v>0</v>
      </c>
      <c r="K90" s="122" t="n">
        <f aca="false">IF(K$5&lt;=LastHist,0,JuneExitOn*MAX(0,INDEX(H_ARR,1,LastHist)/4-INDEX($E$89:$AG$89,1,LastHist+2)))</f>
        <v>0</v>
      </c>
      <c r="L90" s="122" t="n">
        <f aca="false">IF(L$5&lt;=LastHist,0,JuneExitOn*MAX(0,INDEX(H_ARR,1,LastHist)/4-INDEX($E$89:$AG$89,1,LastHist+2)))</f>
        <v>0</v>
      </c>
      <c r="M90" s="122" t="n">
        <f aca="false">IF(M$5&lt;=LastHist,0,JuneExitOn*MAX(0,INDEX(H_ARR,1,LastHist)/4-INDEX($E$89:$AG$89,1,LastHist+2)))</f>
        <v>0</v>
      </c>
      <c r="N90" s="122" t="n">
        <f aca="false">IF(N$5&lt;=LastHist,0,JuneExitOn*MAX(0,INDEX(H_ARR,1,LastHist)/4-INDEX($E$89:$AG$89,1,LastHist+2)))</f>
        <v>0</v>
      </c>
      <c r="O90" s="122" t="n">
        <f aca="false">IF(O$5&lt;=LastHist,0,JuneExitOn*MAX(0,INDEX(H_ARR,1,LastHist)/4-INDEX($E$89:$AG$89,1,LastHist+2)))</f>
        <v>0</v>
      </c>
      <c r="P90" s="123" t="n">
        <f aca="false">IF(P$5&lt;=LastHist,0,JuneExitOn*MAX(0,INDEX(H_ARR,1,LastHist)/4-INDEX($E$89:$AG$89,1,LastHist+2)))</f>
        <v>0</v>
      </c>
      <c r="Q90" s="123" t="n">
        <f aca="false">IF(Q$5&lt;=LastHist,0,JuneExitOn*MAX(0,INDEX(H_ARR,1,LastHist)/4-INDEX($E$89:$AG$89,1,LastHist+2)))</f>
        <v>0</v>
      </c>
      <c r="R90" s="123" t="n">
        <f aca="false">IF(R$5&lt;=LastHist,0,JuneExitOn*MAX(0,INDEX(H_ARR,1,LastHist)/4-INDEX($E$89:$AG$89,1,LastHist+2)))</f>
        <v>0</v>
      </c>
      <c r="S90" s="123" t="n">
        <f aca="false">IF(S$5&lt;=LastHist,0,JuneExitOn*MAX(0,INDEX(H_ARR,1,LastHist)/4-INDEX($E$89:$AG$89,1,LastHist+2)))</f>
        <v>0</v>
      </c>
      <c r="T90" s="123" t="n">
        <f aca="false">IF(T$5&lt;=LastHist,0,JuneExitOn*MAX(0,INDEX(H_ARR,1,LastHist)/4-INDEX($E$89:$AG$89,1,LastHist+2)))</f>
        <v>0</v>
      </c>
      <c r="U90" s="123" t="n">
        <f aca="false">IF(U$5&lt;=LastHist,0,JuneExitOn*MAX(0,INDEX(H_ARR,1,LastHist)/4-INDEX($E$89:$AG$89,1,LastHist+2)))</f>
        <v>0</v>
      </c>
      <c r="V90" s="123" t="n">
        <f aca="false">IF(V$5&lt;=LastHist,0,JuneExitOn*MAX(0,INDEX(H_ARR,1,LastHist)/4-INDEX($E$89:$AG$89,1,LastHist+2)))</f>
        <v>0</v>
      </c>
      <c r="W90" s="123" t="n">
        <f aca="false">IF(W$5&lt;=LastHist,0,JuneExitOn*MAX(0,INDEX(H_ARR,1,LastHist)/4-INDEX($E$89:$AG$89,1,LastHist+2)))</f>
        <v>0</v>
      </c>
      <c r="X90" s="123" t="n">
        <f aca="false">IF(X$5&lt;=LastHist,0,JuneExitOn*MAX(0,INDEX(H_ARR,1,LastHist)/4-INDEX($E$89:$AG$89,1,LastHist+2)))</f>
        <v>0</v>
      </c>
      <c r="Y90" s="123" t="n">
        <f aca="false">IF(Y$5&lt;=LastHist,0,JuneExitOn*MAX(0,INDEX(H_ARR,1,LastHist)/4-INDEX($E$89:$AG$89,1,LastHist+2)))</f>
        <v>0</v>
      </c>
      <c r="Z90" s="123" t="n">
        <f aca="false">IF(Z$5&lt;=LastHist,0,JuneExitOn*MAX(0,INDEX(H_ARR,1,LastHist)/4-INDEX($E$89:$AG$89,1,LastHist+2)))</f>
        <v>0</v>
      </c>
      <c r="AA90" s="123" t="n">
        <f aca="false">IF(AA$5&lt;=LastHist,0,JuneExitOn*MAX(0,INDEX(H_ARR,1,LastHist)/4-INDEX($E$89:$AG$89,1,LastHist+2)))</f>
        <v>0</v>
      </c>
      <c r="AB90" s="123" t="n">
        <f aca="false">IF(AB$5&lt;=LastHist,0,JuneExitOn*MAX(0,INDEX(H_ARR,1,LastHist)/4-INDEX($E$89:$AG$89,1,LastHist+2)))</f>
        <v>0</v>
      </c>
      <c r="AC90" s="123" t="n">
        <f aca="false">IF(AC$5&lt;=LastHist,0,JuneExitOn*MAX(0,INDEX(H_ARR,1,LastHist)/4-INDEX($E$89:$AG$89,1,LastHist+2)))</f>
        <v>0</v>
      </c>
      <c r="AD90" s="123" t="n">
        <f aca="false">IF(AD$5&lt;=LastHist,0,JuneExitOn*MAX(0,INDEX(H_ARR,1,LastHist)/4-INDEX($E$89:$AG$89,1,LastHist+2)))</f>
        <v>0</v>
      </c>
      <c r="AE90" s="123" t="n">
        <f aca="false">IF(AE$5&lt;=LastHist,0,JuneExitOn*MAX(0,INDEX(H_ARR,1,LastHist)/4-INDEX($E$89:$AG$89,1,LastHist+2)))</f>
        <v>0</v>
      </c>
      <c r="AF90" s="123" t="n">
        <f aca="false">IF(AF$5&lt;=LastHist,0,JuneExitOn*MAX(0,INDEX(H_ARR,1,LastHist)/4-INDEX($E$89:$AG$89,1,LastHist+2)))</f>
        <v>0</v>
      </c>
      <c r="AG90" s="123" t="n">
        <f aca="false">IF(AG$5&lt;=LastHist,0,JuneExitOn*MAX(0,INDEX(H_ARR,1,LastHist)/4-INDEX($E$89:$AG$89,1,LastHist+2)))</f>
        <v>0</v>
      </c>
      <c r="AI90" s="123" t="n">
        <f aca="false">SUMIF($F$7:$AG$7,AI$7,$F90:$AG90)</f>
        <v>0</v>
      </c>
      <c r="AJ90" s="123" t="n">
        <f aca="false">SUMIF($F$7:$AG$7,AJ$7,$F90:$AG90)</f>
        <v>0</v>
      </c>
      <c r="AK90" s="123" t="n">
        <f aca="false">SUMIF($F$7:$AG$7,AK$7,$F90:$AG90)</f>
        <v>0</v>
      </c>
      <c r="AL90" s="123" t="n">
        <f aca="false">SUMIF($F$7:$AG$7,AL$7,$F90:$AG90)</f>
        <v>0</v>
      </c>
      <c r="AM90" s="123" t="n">
        <f aca="false">SUMIF($F$7:$AG$7,AM$7,$F90:$AG90)</f>
        <v>0</v>
      </c>
      <c r="AN90" s="123" t="n">
        <f aca="false">SUMIF($F$7:$AG$7,AN$7,$F90:$AG90)</f>
        <v>0</v>
      </c>
      <c r="AO90" s="123" t="n">
        <f aca="false">SUMIF($F$7:$AG$7,AO$7,$F90:$AG90)</f>
        <v>0</v>
      </c>
    </row>
    <row r="91" customFormat="false" ht="15" hidden="false" customHeight="false" outlineLevel="0" collapsed="false">
      <c r="A91" s="3" t="s">
        <v>1873</v>
      </c>
      <c r="B91" s="20" t="s">
        <v>561</v>
      </c>
      <c r="C91" s="20" t="s">
        <v>495</v>
      </c>
      <c r="D91" s="20"/>
      <c r="F91" s="124" t="n">
        <f aca="false">F89+F90</f>
        <v>71.8043498038371</v>
      </c>
      <c r="G91" s="124" t="n">
        <f aca="false">G89+G90</f>
        <v>71.8043498038371</v>
      </c>
      <c r="H91" s="124" t="n">
        <f aca="false">H89+H90</f>
        <v>72.5934085928903</v>
      </c>
      <c r="I91" s="124" t="n">
        <f aca="false">I89+I90</f>
        <v>79.8538082053127</v>
      </c>
      <c r="J91" s="124" t="n">
        <f aca="false">J89+J90</f>
        <v>119.332040815163</v>
      </c>
      <c r="K91" s="124" t="n">
        <f aca="false">K89+K90</f>
        <v>162.95940042544</v>
      </c>
      <c r="L91" s="124" t="n">
        <f aca="false">L89+L90</f>
        <v>212.809617319735</v>
      </c>
      <c r="M91" s="124" t="n">
        <f aca="false">M89+M90</f>
        <v>371.959623694497</v>
      </c>
      <c r="N91" s="124" t="n">
        <f aca="false">N89+N90</f>
        <v>514.670225250736</v>
      </c>
      <c r="O91" s="124" t="n">
        <f aca="false">O89+O90</f>
        <v>574.9</v>
      </c>
      <c r="P91" s="96" t="n">
        <f aca="false">P89+P90</f>
        <v>646.135373262198</v>
      </c>
      <c r="Q91" s="96" t="n">
        <f aca="false">Q89+Q90</f>
        <v>780.726003351483</v>
      </c>
      <c r="R91" s="96" t="n">
        <f aca="false">R89+R90</f>
        <v>1051.53539687719</v>
      </c>
      <c r="S91" s="96" t="n">
        <f aca="false">S89+S90</f>
        <v>1549.26618238235</v>
      </c>
      <c r="T91" s="96" t="n">
        <f aca="false">T89+T90</f>
        <v>2162.61178323291</v>
      </c>
      <c r="U91" s="96" t="n">
        <f aca="false">U89+U90</f>
        <v>2825.93724426654</v>
      </c>
      <c r="V91" s="96" t="n">
        <f aca="false">V89+V90</f>
        <v>3836.27716066881</v>
      </c>
      <c r="W91" s="96" t="n">
        <f aca="false">W89+W90</f>
        <v>4713.19721419422</v>
      </c>
      <c r="X91" s="96" t="n">
        <f aca="false">X89+X90</f>
        <v>5308.93506866684</v>
      </c>
      <c r="Y91" s="96" t="n">
        <f aca="false">Y89+Y90</f>
        <v>5713.45040745536</v>
      </c>
      <c r="Z91" s="96" t="n">
        <f aca="false">Z89+Z90</f>
        <v>6530.28410714213</v>
      </c>
      <c r="AA91" s="96" t="n">
        <f aca="false">AA89+AA90</f>
        <v>7337.65612070929</v>
      </c>
      <c r="AB91" s="96" t="n">
        <f aca="false">AB89+AB90</f>
        <v>8113.89349531743</v>
      </c>
      <c r="AC91" s="96" t="n">
        <f aca="false">AC89+AC90</f>
        <v>8903.74204761886</v>
      </c>
      <c r="AD91" s="96" t="n">
        <f aca="false">AD89+AD90</f>
        <v>9966.17668143947</v>
      </c>
      <c r="AE91" s="96" t="n">
        <f aca="false">AE89+AE90</f>
        <v>11052.8743409562</v>
      </c>
      <c r="AF91" s="96" t="n">
        <f aca="false">AF89+AF90</f>
        <v>11019.3021905655</v>
      </c>
      <c r="AG91" s="96" t="n">
        <f aca="false">AG89+AG90</f>
        <v>11136.1485173578</v>
      </c>
      <c r="AI91" s="96" t="n">
        <f aca="false">SUMIF($F$7:$AG$7,AI$7,$F91:$AG91)</f>
        <v>296.055916405877</v>
      </c>
      <c r="AJ91" s="96" t="n">
        <f aca="false">SUMIF($F$7:$AG$7,AJ$7,$F91:$AG91)</f>
        <v>867.060682254835</v>
      </c>
      <c r="AK91" s="96" t="n">
        <f aca="false">SUMIF($F$7:$AG$7,AK$7,$F91:$AG91)</f>
        <v>2516.43160186442</v>
      </c>
      <c r="AL91" s="96" t="n">
        <f aca="false">SUMIF($F$7:$AG$7,AL$7,$F91:$AG91)</f>
        <v>7589.35060675899</v>
      </c>
      <c r="AM91" s="96" t="n">
        <f aca="false">SUMIF($F$7:$AG$7,AM$7,$F91:$AG91)</f>
        <v>19571.8598509852</v>
      </c>
      <c r="AN91" s="96" t="n">
        <f aca="false">SUMIF($F$7:$AG$7,AN$7,$F91:$AG91)</f>
        <v>30885.5757707877</v>
      </c>
      <c r="AO91" s="96" t="n">
        <f aca="false">SUMIF($F$7:$AG$7,AO$7,$F91:$AG91)</f>
        <v>43174.5017303191</v>
      </c>
    </row>
    <row r="92" customFormat="false" ht="15" hidden="false" customHeight="false" outlineLevel="0" collapsed="false">
      <c r="A92" s="104" t="s">
        <v>1874</v>
      </c>
      <c r="B92" s="20" t="s">
        <v>561</v>
      </c>
      <c r="C92" s="20" t="s">
        <v>550</v>
      </c>
      <c r="D92" s="20" t="s">
        <v>1875</v>
      </c>
      <c r="F92" s="122" t="n">
        <f aca="false">INDEX(H_Rev,1,1)-INDEX(H_AIRev,1,1)</f>
        <v>1.1</v>
      </c>
      <c r="G92" s="122" t="n">
        <f aca="false">IF(G$5&lt;=LastHist,INDEX(H_Rev,1,G$5)-INDEX(H_AIRev,1,G$5),F92*(1+OthRev_g))</f>
        <v>1.4</v>
      </c>
      <c r="H92" s="122" t="n">
        <f aca="false">IF(H$5&lt;=LastHist,INDEX(H_Rev,1,H$5)-INDEX(H_AIRev,1,H$5),G92*(1+OthRev_g))</f>
        <v>3.2</v>
      </c>
      <c r="I92" s="122" t="n">
        <f aca="false">IF(I$5&lt;=LastHist,INDEX(H_Rev,1,I$5)-INDEX(H_AIRev,1,I$5),H92*(1+OthRev_g))</f>
        <v>3.5</v>
      </c>
      <c r="J92" s="122" t="n">
        <f aca="false">IF(J$5&lt;=LastHist,INDEX(H_Rev,1,J$5)-INDEX(H_AIRev,1,J$5),I92*(1+OthRev_g))</f>
        <v>9.5</v>
      </c>
      <c r="K92" s="122" t="n">
        <f aca="false">IF(K$5&lt;=LastHist,INDEX(H_Rev,1,K$5)-INDEX(H_AIRev,1,K$5),J92*(1+OthRev_g))</f>
        <v>11.5</v>
      </c>
      <c r="L92" s="122" t="n">
        <f aca="false">IF(L$5&lt;=LastHist,INDEX(H_Rev,1,L$5)-INDEX(H_AIRev,1,L$5),K92*(1+OthRev_g))</f>
        <v>7.29999999999998</v>
      </c>
      <c r="M92" s="122" t="n">
        <f aca="false">IF(M$5&lt;=LastHist,INDEX(H_Rev,1,M$5)-INDEX(H_AIRev,1,M$5),L92*(1+OthRev_g))</f>
        <v>13.5</v>
      </c>
      <c r="N92" s="122" t="n">
        <f aca="false">IF(N$5&lt;=LastHist,INDEX(H_Rev,1,N$5)-INDEX(H_AIRev,1,N$5),M92*(1+OthRev_g))</f>
        <v>9.30000000000001</v>
      </c>
      <c r="O92" s="122" t="n">
        <f aca="false">IF(O$5&lt;=LastHist,INDEX(H_Rev,1,O$5)-INDEX(H_AIRev,1,O$5),N92*(1+OthRev_g))</f>
        <v>7.39999999999998</v>
      </c>
      <c r="P92" s="0" t="n">
        <f aca="false">IF(P$5&lt;=LastHist,INDEX(H_Rev,1,P$5)-INDEX(H_AIRev,1,P$5),O92*(1+OthRev_g))</f>
        <v>7.54799999999998</v>
      </c>
      <c r="Q92" s="0" t="n">
        <f aca="false">IF(Q$5&lt;=LastHist,INDEX(H_Rev,1,Q$5)-INDEX(H_AIRev,1,Q$5),P92*(1+OthRev_g))</f>
        <v>7.69895999999998</v>
      </c>
      <c r="R92" s="0" t="n">
        <f aca="false">IF(R$5&lt;=LastHist,INDEX(H_Rev,1,R$5)-INDEX(H_AIRev,1,R$5),Q92*(1+OthRev_g))</f>
        <v>7.85293919999998</v>
      </c>
      <c r="S92" s="0" t="n">
        <f aca="false">IF(S$5&lt;=LastHist,INDEX(H_Rev,1,S$5)-INDEX(H_AIRev,1,S$5),R92*(1+OthRev_g))</f>
        <v>8.00999798399998</v>
      </c>
      <c r="T92" s="0" t="n">
        <f aca="false">IF(T$5&lt;=LastHist,INDEX(H_Rev,1,T$5)-INDEX(H_AIRev,1,T$5),S92*(1+OthRev_g))</f>
        <v>8.17019794367998</v>
      </c>
      <c r="U92" s="0" t="n">
        <f aca="false">IF(U$5&lt;=LastHist,INDEX(H_Rev,1,U$5)-INDEX(H_AIRev,1,U$5),T92*(1+OthRev_g))</f>
        <v>8.33360190255358</v>
      </c>
      <c r="V92" s="0" t="n">
        <f aca="false">IF(V$5&lt;=LastHist,INDEX(H_Rev,1,V$5)-INDEX(H_AIRev,1,V$5),U92*(1+OthRev_g))</f>
        <v>8.50027394060465</v>
      </c>
      <c r="W92" s="0" t="n">
        <f aca="false">IF(W$5&lt;=LastHist,INDEX(H_Rev,1,W$5)-INDEX(H_AIRev,1,W$5),V92*(1+OthRev_g))</f>
        <v>8.67027941941674</v>
      </c>
      <c r="X92" s="0" t="n">
        <f aca="false">IF(X$5&lt;=LastHist,INDEX(H_Rev,1,X$5)-INDEX(H_AIRev,1,X$5),W92*(1+OthRev_g))</f>
        <v>8.84368500780508</v>
      </c>
      <c r="Y92" s="0" t="n">
        <f aca="false">IF(Y$5&lt;=LastHist,INDEX(H_Rev,1,Y$5)-INDEX(H_AIRev,1,Y$5),X92*(1+OthRev_g))</f>
        <v>9.02055870796118</v>
      </c>
      <c r="Z92" s="0" t="n">
        <f aca="false">IF(Z$5&lt;=LastHist,INDEX(H_Rev,1,Z$5)-INDEX(H_AIRev,1,Z$5),Y92*(1+OthRev_g))</f>
        <v>9.2009698821204</v>
      </c>
      <c r="AA92" s="0" t="n">
        <f aca="false">IF(AA$5&lt;=LastHist,INDEX(H_Rev,1,AA$5)-INDEX(H_AIRev,1,AA$5),Z92*(1+OthRev_g))</f>
        <v>9.38498927976281</v>
      </c>
      <c r="AB92" s="0" t="n">
        <f aca="false">IF(AB$5&lt;=LastHist,INDEX(H_Rev,1,AB$5)-INDEX(H_AIRev,1,AB$5),AA92*(1+OthRev_g))</f>
        <v>9.57268906535807</v>
      </c>
      <c r="AC92" s="0" t="n">
        <f aca="false">IF(AC$5&lt;=LastHist,INDEX(H_Rev,1,AC$5)-INDEX(H_AIRev,1,AC$5),AB92*(1+OthRev_g))</f>
        <v>9.76414284666523</v>
      </c>
      <c r="AD92" s="0" t="n">
        <f aca="false">IF(AD$5&lt;=LastHist,INDEX(H_Rev,1,AD$5)-INDEX(H_AIRev,1,AD$5),AC92*(1+OthRev_g))</f>
        <v>9.95942570359853</v>
      </c>
      <c r="AE92" s="0" t="n">
        <f aca="false">IF(AE$5&lt;=LastHist,INDEX(H_Rev,1,AE$5)-INDEX(H_AIRev,1,AE$5),AD92*(1+OthRev_g))</f>
        <v>10.1586142176705</v>
      </c>
      <c r="AF92" s="0" t="n">
        <f aca="false">IF(AF$5&lt;=LastHist,INDEX(H_Rev,1,AF$5)-INDEX(H_AIRev,1,AF$5),AE92*(1+OthRev_g))</f>
        <v>10.3617865020239</v>
      </c>
      <c r="AG92" s="0" t="n">
        <f aca="false">IF(AG$5&lt;=LastHist,INDEX(H_Rev,1,AG$5)-INDEX(H_AIRev,1,AG$5),AF92*(1+OthRev_g))</f>
        <v>10.5690222320644</v>
      </c>
      <c r="AI92" s="123" t="n">
        <f aca="false">SUMIF($F$7:$AG$7,AI$7,$F92:$AG92)</f>
        <v>9.20000000000001</v>
      </c>
      <c r="AJ92" s="123" t="n">
        <f aca="false">SUMIF($F$7:$AG$7,AJ$7,$F92:$AG92)</f>
        <v>41.8</v>
      </c>
      <c r="AK92" s="123" t="n">
        <f aca="false">SUMIF($F$7:$AG$7,AK$7,$F92:$AG92)</f>
        <v>31.9469599999999</v>
      </c>
      <c r="AL92" s="123" t="n">
        <f aca="false">SUMIF($F$7:$AG$7,AL$7,$F92:$AG92)</f>
        <v>32.3667370302335</v>
      </c>
      <c r="AM92" s="123" t="n">
        <f aca="false">SUMIF($F$7:$AG$7,AM$7,$F92:$AG92)</f>
        <v>35.0347970757876</v>
      </c>
      <c r="AN92" s="123" t="n">
        <f aca="false">SUMIF($F$7:$AG$7,AN$7,$F92:$AG92)</f>
        <v>37.9227910739065</v>
      </c>
      <c r="AO92" s="123" t="n">
        <f aca="false">SUMIF($F$7:$AG$7,AO$7,$F92:$AG92)</f>
        <v>41.0488486553574</v>
      </c>
    </row>
    <row r="93" customFormat="false" ht="15" hidden="false" customHeight="false" outlineLevel="0" collapsed="false">
      <c r="A93" s="3" t="s">
        <v>1876</v>
      </c>
      <c r="B93" s="20" t="s">
        <v>561</v>
      </c>
      <c r="C93" s="20" t="s">
        <v>495</v>
      </c>
      <c r="D93" s="20"/>
      <c r="F93" s="124" t="n">
        <f aca="false">F91+F92</f>
        <v>72.9043498038371</v>
      </c>
      <c r="G93" s="124" t="n">
        <f aca="false">G91+G92</f>
        <v>73.2043498038371</v>
      </c>
      <c r="H93" s="124" t="n">
        <f aca="false">H91+H92</f>
        <v>75.7934085928903</v>
      </c>
      <c r="I93" s="124" t="n">
        <f aca="false">I91+I92</f>
        <v>83.3538082053127</v>
      </c>
      <c r="J93" s="124" t="n">
        <f aca="false">J91+J92</f>
        <v>128.832040815163</v>
      </c>
      <c r="K93" s="124" t="n">
        <f aca="false">K91+K92</f>
        <v>174.45940042544</v>
      </c>
      <c r="L93" s="124" t="n">
        <f aca="false">L91+L92</f>
        <v>220.109617319735</v>
      </c>
      <c r="M93" s="124" t="n">
        <f aca="false">M91+M92</f>
        <v>385.459623694497</v>
      </c>
      <c r="N93" s="124" t="n">
        <f aca="false">N91+N92</f>
        <v>523.970225250735</v>
      </c>
      <c r="O93" s="124" t="n">
        <f aca="false">O91+O92</f>
        <v>582.3</v>
      </c>
      <c r="P93" s="96" t="n">
        <f aca="false">P91+P92</f>
        <v>653.683373262198</v>
      </c>
      <c r="Q93" s="96" t="n">
        <f aca="false">Q91+Q92</f>
        <v>788.424963351483</v>
      </c>
      <c r="R93" s="96" t="n">
        <f aca="false">R91+R92</f>
        <v>1059.38833607719</v>
      </c>
      <c r="S93" s="96" t="n">
        <f aca="false">S91+S92</f>
        <v>1557.27618036635</v>
      </c>
      <c r="T93" s="96" t="n">
        <f aca="false">T91+T92</f>
        <v>2170.78198117659</v>
      </c>
      <c r="U93" s="96" t="n">
        <f aca="false">U91+U92</f>
        <v>2834.2708461691</v>
      </c>
      <c r="V93" s="96" t="n">
        <f aca="false">V91+V92</f>
        <v>3844.77743460942</v>
      </c>
      <c r="W93" s="96" t="n">
        <f aca="false">W91+W92</f>
        <v>4721.86749361364</v>
      </c>
      <c r="X93" s="96" t="n">
        <f aca="false">X91+X92</f>
        <v>5317.77875367465</v>
      </c>
      <c r="Y93" s="96" t="n">
        <f aca="false">Y91+Y92</f>
        <v>5722.47096616332</v>
      </c>
      <c r="Z93" s="96" t="n">
        <f aca="false">Z91+Z92</f>
        <v>6539.48507702425</v>
      </c>
      <c r="AA93" s="96" t="n">
        <f aca="false">AA91+AA92</f>
        <v>7347.04110998905</v>
      </c>
      <c r="AB93" s="96" t="n">
        <f aca="false">AB91+AB92</f>
        <v>8123.46618438278</v>
      </c>
      <c r="AC93" s="96" t="n">
        <f aca="false">AC91+AC92</f>
        <v>8913.50619046553</v>
      </c>
      <c r="AD93" s="96" t="n">
        <f aca="false">AD91+AD92</f>
        <v>9976.13610714307</v>
      </c>
      <c r="AE93" s="96" t="n">
        <f aca="false">AE91+AE92</f>
        <v>11063.0329551739</v>
      </c>
      <c r="AF93" s="96" t="n">
        <f aca="false">AF91+AF92</f>
        <v>11029.6639770676</v>
      </c>
      <c r="AG93" s="96" t="n">
        <f aca="false">AG91+AG92</f>
        <v>11146.7175395899</v>
      </c>
      <c r="AI93" s="96" t="n">
        <f aca="false">SUMIF($F$7:$AG$7,AI$7,$F93:$AG93)</f>
        <v>305.255916405877</v>
      </c>
      <c r="AJ93" s="96" t="n">
        <f aca="false">SUMIF($F$7:$AG$7,AJ$7,$F93:$AG93)</f>
        <v>908.860682254835</v>
      </c>
      <c r="AK93" s="96" t="n">
        <f aca="false">SUMIF($F$7:$AG$7,AK$7,$F93:$AG93)</f>
        <v>2548.37856186442</v>
      </c>
      <c r="AL93" s="96" t="n">
        <f aca="false">SUMIF($F$7:$AG$7,AL$7,$F93:$AG93)</f>
        <v>7621.71734378923</v>
      </c>
      <c r="AM93" s="96" t="n">
        <f aca="false">SUMIF($F$7:$AG$7,AM$7,$F93:$AG93)</f>
        <v>19606.894648061</v>
      </c>
      <c r="AN93" s="96" t="n">
        <f aca="false">SUMIF($F$7:$AG$7,AN$7,$F93:$AG93)</f>
        <v>30923.4985618616</v>
      </c>
      <c r="AO93" s="96" t="n">
        <f aca="false">SUMIF($F$7:$AG$7,AO$7,$F93:$AG93)</f>
        <v>43215.5505789744</v>
      </c>
    </row>
    <row r="94" customFormat="false" ht="15" hidden="false" customHeight="false" outlineLevel="0" collapsed="false">
      <c r="A94" s="3" t="s">
        <v>1877</v>
      </c>
      <c r="B94" s="20" t="s">
        <v>561</v>
      </c>
      <c r="C94" s="20" t="s">
        <v>495</v>
      </c>
      <c r="D94" s="20"/>
      <c r="F94" s="124" t="n">
        <f aca="false">IF(F$5&lt;=LastHist,INDEX(H_Rev,1,F$5),F93)</f>
        <v>11.4</v>
      </c>
      <c r="G94" s="124" t="n">
        <f aca="false">IF(G$5&lt;=LastHist,INDEX(H_Rev,1,G$5),G93)</f>
        <v>14.5</v>
      </c>
      <c r="H94" s="124" t="n">
        <f aca="false">IF(H$5&lt;=LastHist,INDEX(H_Rev,1,H$5),H93)</f>
        <v>32.1</v>
      </c>
      <c r="I94" s="124" t="n">
        <f aca="false">IF(I$5&lt;=LastHist,INDEX(H_Rev,1,I$5),I93)</f>
        <v>35.2</v>
      </c>
      <c r="J94" s="124" t="n">
        <f aca="false">IF(J$5&lt;=LastHist,INDEX(H_Rev,1,J$5),J93)</f>
        <v>50.9</v>
      </c>
      <c r="K94" s="124" t="n">
        <f aca="false">IF(K$5&lt;=LastHist,INDEX(H_Rev,1,K$5),K93)</f>
        <v>105.1</v>
      </c>
      <c r="L94" s="124" t="n">
        <f aca="false">IF(L$5&lt;=LastHist,INDEX(H_Rev,1,L$5),L93)</f>
        <v>146.1</v>
      </c>
      <c r="M94" s="124" t="n">
        <f aca="false">IF(M$5&lt;=LastHist,INDEX(H_Rev,1,M$5),M93)</f>
        <v>227.7</v>
      </c>
      <c r="N94" s="124" t="n">
        <f aca="false">IF(N$5&lt;=LastHist,INDEX(H_Rev,1,N$5),N93)</f>
        <v>399</v>
      </c>
      <c r="O94" s="124" t="n">
        <f aca="false">IF(O$5&lt;=LastHist,INDEX(H_Rev,1,O$5),O93)</f>
        <v>582.3</v>
      </c>
      <c r="P94" s="96" t="n">
        <f aca="false">IF(P$5&lt;=LastHist,INDEX(H_Rev,1,P$5),P93)</f>
        <v>653.683373262198</v>
      </c>
      <c r="Q94" s="96" t="n">
        <f aca="false">IF(Q$5&lt;=LastHist,INDEX(H_Rev,1,Q$5),Q93)</f>
        <v>788.424963351483</v>
      </c>
      <c r="R94" s="96" t="n">
        <f aca="false">IF(R$5&lt;=LastHist,INDEX(H_Rev,1,R$5),R93)</f>
        <v>1059.38833607719</v>
      </c>
      <c r="S94" s="96" t="n">
        <f aca="false">IF(S$5&lt;=LastHist,INDEX(H_Rev,1,S$5),S93)</f>
        <v>1557.27618036635</v>
      </c>
      <c r="T94" s="96" t="n">
        <f aca="false">IF(T$5&lt;=LastHist,INDEX(H_Rev,1,T$5),T93)</f>
        <v>2170.78198117659</v>
      </c>
      <c r="U94" s="96" t="n">
        <f aca="false">IF(U$5&lt;=LastHist,INDEX(H_Rev,1,U$5),U93)</f>
        <v>2834.2708461691</v>
      </c>
      <c r="V94" s="96" t="n">
        <f aca="false">IF(V$5&lt;=LastHist,INDEX(H_Rev,1,V$5),V93)</f>
        <v>3844.77743460942</v>
      </c>
      <c r="W94" s="96" t="n">
        <f aca="false">IF(W$5&lt;=LastHist,INDEX(H_Rev,1,W$5),W93)</f>
        <v>4721.86749361364</v>
      </c>
      <c r="X94" s="96" t="n">
        <f aca="false">IF(X$5&lt;=LastHist,INDEX(H_Rev,1,X$5),X93)</f>
        <v>5317.77875367465</v>
      </c>
      <c r="Y94" s="96" t="n">
        <f aca="false">IF(Y$5&lt;=LastHist,INDEX(H_Rev,1,Y$5),Y93)</f>
        <v>5722.47096616332</v>
      </c>
      <c r="Z94" s="96" t="n">
        <f aca="false">IF(Z$5&lt;=LastHist,INDEX(H_Rev,1,Z$5),Z93)</f>
        <v>6539.48507702425</v>
      </c>
      <c r="AA94" s="96" t="n">
        <f aca="false">IF(AA$5&lt;=LastHist,INDEX(H_Rev,1,AA$5),AA93)</f>
        <v>7347.04110998905</v>
      </c>
      <c r="AB94" s="96" t="n">
        <f aca="false">IF(AB$5&lt;=LastHist,INDEX(H_Rev,1,AB$5),AB93)</f>
        <v>8123.46618438278</v>
      </c>
      <c r="AC94" s="96" t="n">
        <f aca="false">IF(AC$5&lt;=LastHist,INDEX(H_Rev,1,AC$5),AC93)</f>
        <v>8913.50619046553</v>
      </c>
      <c r="AD94" s="96" t="n">
        <f aca="false">IF(AD$5&lt;=LastHist,INDEX(H_Rev,1,AD$5),AD93)</f>
        <v>9976.13610714307</v>
      </c>
      <c r="AE94" s="96" t="n">
        <f aca="false">IF(AE$5&lt;=LastHist,INDEX(H_Rev,1,AE$5),AE93)</f>
        <v>11063.0329551739</v>
      </c>
      <c r="AF94" s="96" t="n">
        <f aca="false">IF(AF$5&lt;=LastHist,INDEX(H_Rev,1,AF$5),AF93)</f>
        <v>11029.6639770676</v>
      </c>
      <c r="AG94" s="96" t="n">
        <f aca="false">IF(AG$5&lt;=LastHist,INDEX(H_Rev,1,AG$5),AG93)</f>
        <v>11146.7175395899</v>
      </c>
      <c r="AI94" s="96" t="n">
        <f aca="false">SUMIF($F$7:$AG$7,AI$7,$F94:$AG94)</f>
        <v>93.2</v>
      </c>
      <c r="AJ94" s="96" t="n">
        <f aca="false">SUMIF($F$7:$AG$7,AJ$7,$F94:$AG94)</f>
        <v>529.8</v>
      </c>
      <c r="AK94" s="96" t="n">
        <f aca="false">SUMIF($F$7:$AG$7,AK$7,$F94:$AG94)</f>
        <v>2423.40833661368</v>
      </c>
      <c r="AL94" s="96" t="n">
        <f aca="false">SUMIF($F$7:$AG$7,AL$7,$F94:$AG94)</f>
        <v>7621.71734378923</v>
      </c>
      <c r="AM94" s="96" t="n">
        <f aca="false">SUMIF($F$7:$AG$7,AM$7,$F94:$AG94)</f>
        <v>19606.894648061</v>
      </c>
      <c r="AN94" s="96" t="n">
        <f aca="false">SUMIF($F$7:$AG$7,AN$7,$F94:$AG94)</f>
        <v>30923.4985618616</v>
      </c>
      <c r="AO94" s="96" t="n">
        <f aca="false">SUMIF($F$7:$AG$7,AO$7,$F94:$AG94)</f>
        <v>43215.5505789744</v>
      </c>
    </row>
    <row r="95" customFormat="false" ht="15" hidden="false" customHeight="false" outlineLevel="0" collapsed="false">
      <c r="A95" s="104" t="s">
        <v>1878</v>
      </c>
      <c r="B95" s="20" t="s">
        <v>561</v>
      </c>
      <c r="C95" s="20" t="s">
        <v>495</v>
      </c>
      <c r="D95" s="20"/>
      <c r="F95" s="122" t="n">
        <f aca="false">IF(F$5&lt;=LastHist,INDEX(H_AIRev,1,F$5),F91)</f>
        <v>10.3</v>
      </c>
      <c r="G95" s="122" t="n">
        <f aca="false">IF(G$5&lt;=LastHist,INDEX(H_AIRev,1,G$5),G91)</f>
        <v>13.1</v>
      </c>
      <c r="H95" s="122" t="n">
        <f aca="false">IF(H$5&lt;=LastHist,INDEX(H_AIRev,1,H$5),H91)</f>
        <v>28.9</v>
      </c>
      <c r="I95" s="122" t="n">
        <f aca="false">IF(I$5&lt;=LastHist,INDEX(H_AIRev,1,I$5),I91)</f>
        <v>31.7</v>
      </c>
      <c r="J95" s="122" t="n">
        <f aca="false">IF(J$5&lt;=LastHist,INDEX(H_AIRev,1,J$5),J91)</f>
        <v>41.4</v>
      </c>
      <c r="K95" s="122" t="n">
        <f aca="false">IF(K$5&lt;=LastHist,INDEX(H_AIRev,1,K$5),K91)</f>
        <v>93.6</v>
      </c>
      <c r="L95" s="122" t="n">
        <f aca="false">IF(L$5&lt;=LastHist,INDEX(H_AIRev,1,L$5),L91)</f>
        <v>138.8</v>
      </c>
      <c r="M95" s="122" t="n">
        <f aca="false">IF(M$5&lt;=LastHist,INDEX(H_AIRev,1,M$5),M91)</f>
        <v>214.2</v>
      </c>
      <c r="N95" s="122" t="n">
        <f aca="false">IF(N$5&lt;=LastHist,INDEX(H_AIRev,1,N$5),N91)</f>
        <v>389.7</v>
      </c>
      <c r="O95" s="122" t="n">
        <f aca="false">IF(O$5&lt;=LastHist,INDEX(H_AIRev,1,O$5),O91)</f>
        <v>574.9</v>
      </c>
      <c r="P95" s="123" t="n">
        <f aca="false">IF(P$5&lt;=LastHist,INDEX(H_AIRev,1,P$5),P91)</f>
        <v>646.135373262198</v>
      </c>
      <c r="Q95" s="123" t="n">
        <f aca="false">IF(Q$5&lt;=LastHist,INDEX(H_AIRev,1,Q$5),Q91)</f>
        <v>780.726003351483</v>
      </c>
      <c r="R95" s="123" t="n">
        <f aca="false">IF(R$5&lt;=LastHist,INDEX(H_AIRev,1,R$5),R91)</f>
        <v>1051.53539687719</v>
      </c>
      <c r="S95" s="123" t="n">
        <f aca="false">IF(S$5&lt;=LastHist,INDEX(H_AIRev,1,S$5),S91)</f>
        <v>1549.26618238235</v>
      </c>
      <c r="T95" s="123" t="n">
        <f aca="false">IF(T$5&lt;=LastHist,INDEX(H_AIRev,1,T$5),T91)</f>
        <v>2162.61178323291</v>
      </c>
      <c r="U95" s="123" t="n">
        <f aca="false">IF(U$5&lt;=LastHist,INDEX(H_AIRev,1,U$5),U91)</f>
        <v>2825.93724426654</v>
      </c>
      <c r="V95" s="123" t="n">
        <f aca="false">IF(V$5&lt;=LastHist,INDEX(H_AIRev,1,V$5),V91)</f>
        <v>3836.27716066881</v>
      </c>
      <c r="W95" s="123" t="n">
        <f aca="false">IF(W$5&lt;=LastHist,INDEX(H_AIRev,1,W$5),W91)</f>
        <v>4713.19721419422</v>
      </c>
      <c r="X95" s="123" t="n">
        <f aca="false">IF(X$5&lt;=LastHist,INDEX(H_AIRev,1,X$5),X91)</f>
        <v>5308.93506866684</v>
      </c>
      <c r="Y95" s="123" t="n">
        <f aca="false">IF(Y$5&lt;=LastHist,INDEX(H_AIRev,1,Y$5),Y91)</f>
        <v>5713.45040745536</v>
      </c>
      <c r="Z95" s="123" t="n">
        <f aca="false">IF(Z$5&lt;=LastHist,INDEX(H_AIRev,1,Z$5),Z91)</f>
        <v>6530.28410714213</v>
      </c>
      <c r="AA95" s="123" t="n">
        <f aca="false">IF(AA$5&lt;=LastHist,INDEX(H_AIRev,1,AA$5),AA91)</f>
        <v>7337.65612070929</v>
      </c>
      <c r="AB95" s="123" t="n">
        <f aca="false">IF(AB$5&lt;=LastHist,INDEX(H_AIRev,1,AB$5),AB91)</f>
        <v>8113.89349531743</v>
      </c>
      <c r="AC95" s="123" t="n">
        <f aca="false">IF(AC$5&lt;=LastHist,INDEX(H_AIRev,1,AC$5),AC91)</f>
        <v>8903.74204761886</v>
      </c>
      <c r="AD95" s="123" t="n">
        <f aca="false">IF(AD$5&lt;=LastHist,INDEX(H_AIRev,1,AD$5),AD91)</f>
        <v>9966.17668143947</v>
      </c>
      <c r="AE95" s="123" t="n">
        <f aca="false">IF(AE$5&lt;=LastHist,INDEX(H_AIRev,1,AE$5),AE91)</f>
        <v>11052.8743409562</v>
      </c>
      <c r="AF95" s="123" t="n">
        <f aca="false">IF(AF$5&lt;=LastHist,INDEX(H_AIRev,1,AF$5),AF91)</f>
        <v>11019.3021905655</v>
      </c>
      <c r="AG95" s="123" t="n">
        <f aca="false">IF(AG$5&lt;=LastHist,INDEX(H_AIRev,1,AG$5),AG91)</f>
        <v>11136.1485173578</v>
      </c>
      <c r="AI95" s="123" t="n">
        <f aca="false">SUMIF($F$7:$AG$7,AI$7,$F95:$AG95)</f>
        <v>84</v>
      </c>
      <c r="AJ95" s="123" t="n">
        <f aca="false">SUMIF($F$7:$AG$7,AJ$7,$F95:$AG95)</f>
        <v>488</v>
      </c>
      <c r="AK95" s="123" t="n">
        <f aca="false">SUMIF($F$7:$AG$7,AK$7,$F95:$AG95)</f>
        <v>2391.46137661368</v>
      </c>
      <c r="AL95" s="123" t="n">
        <f aca="false">SUMIF($F$7:$AG$7,AL$7,$F95:$AG95)</f>
        <v>7589.35060675899</v>
      </c>
      <c r="AM95" s="123" t="n">
        <f aca="false">SUMIF($F$7:$AG$7,AM$7,$F95:$AG95)</f>
        <v>19571.8598509852</v>
      </c>
      <c r="AN95" s="123" t="n">
        <f aca="false">SUMIF($F$7:$AG$7,AN$7,$F95:$AG95)</f>
        <v>30885.5757707877</v>
      </c>
      <c r="AO95" s="123" t="n">
        <f aca="false">SUMIF($F$7:$AG$7,AO$7,$F95:$AG95)</f>
        <v>43174.5017303191</v>
      </c>
    </row>
    <row r="96" customFormat="false" ht="15" hidden="false" customHeight="false" outlineLevel="0" collapsed="false">
      <c r="A96" s="104" t="s">
        <v>1879</v>
      </c>
      <c r="B96" s="20" t="s">
        <v>549</v>
      </c>
      <c r="C96" s="20" t="s">
        <v>495</v>
      </c>
      <c r="D96" s="20" t="s">
        <v>1880</v>
      </c>
      <c r="F96" s="127" t="n">
        <f aca="false">IF(F$5&lt;=LastHist,F91/INDEX(H_AIRev,1,F$5)-1,"")</f>
        <v>5.97129609745991</v>
      </c>
      <c r="G96" s="127" t="n">
        <f aca="false">IF(G$5&lt;=LastHist,G91/INDEX(H_AIRev,1,G$5)-1,"")</f>
        <v>4.48124807662879</v>
      </c>
      <c r="H96" s="127" t="n">
        <f aca="false">IF(H$5&lt;=LastHist,H91/INDEX(H_AIRev,1,H$5)-1,"")</f>
        <v>1.51188265027302</v>
      </c>
      <c r="I96" s="127" t="n">
        <f aca="false">IF(I$5&lt;=LastHist,I91/INDEX(H_AIRev,1,I$5)-1,"")</f>
        <v>1.51904757745466</v>
      </c>
      <c r="J96" s="127" t="n">
        <f aca="false">IF(J$5&lt;=LastHist,J91/INDEX(H_AIRev,1,J$5)-1,"")</f>
        <v>1.88241644481069</v>
      </c>
      <c r="K96" s="127" t="n">
        <f aca="false">IF(K$5&lt;=LastHist,K91/INDEX(H_AIRev,1,K$5)-1,"")</f>
        <v>0.741019235314533</v>
      </c>
      <c r="L96" s="127" t="n">
        <f aca="false">IF(L$5&lt;=LastHist,L91/INDEX(H_AIRev,1,L$5)-1,"")</f>
        <v>0.533210499421723</v>
      </c>
      <c r="M96" s="127" t="n">
        <f aca="false">IF(M$5&lt;=LastHist,M91/INDEX(H_AIRev,1,M$5)-1,"")</f>
        <v>0.736506179712869</v>
      </c>
      <c r="N96" s="127" t="n">
        <f aca="false">IF(N$5&lt;=LastHist,N91/INDEX(H_AIRev,1,N$5)-1,"")</f>
        <v>0.320683154351387</v>
      </c>
      <c r="O96" s="127" t="n">
        <f aca="false">IF(O$5&lt;=LastHist,O91/INDEX(H_AIRev,1,O$5)-1,"")</f>
        <v>0</v>
      </c>
      <c r="P96" s="128" t="str">
        <f aca="false">IF(P$5&lt;=LastHist,P91/INDEX(H_AIRev,1,P$5)-1,"")</f>
        <v/>
      </c>
      <c r="Q96" s="128" t="str">
        <f aca="false">IF(Q$5&lt;=LastHist,Q91/INDEX(H_AIRev,1,Q$5)-1,"")</f>
        <v/>
      </c>
      <c r="R96" s="128" t="str">
        <f aca="false">IF(R$5&lt;=LastHist,R91/INDEX(H_AIRev,1,R$5)-1,"")</f>
        <v/>
      </c>
      <c r="S96" s="128" t="str">
        <f aca="false">IF(S$5&lt;=LastHist,S91/INDEX(H_AIRev,1,S$5)-1,"")</f>
        <v/>
      </c>
      <c r="T96" s="128" t="str">
        <f aca="false">IF(T$5&lt;=LastHist,T91/INDEX(H_AIRev,1,T$5)-1,"")</f>
        <v/>
      </c>
      <c r="U96" s="128" t="str">
        <f aca="false">IF(U$5&lt;=LastHist,U91/INDEX(H_AIRev,1,U$5)-1,"")</f>
        <v/>
      </c>
      <c r="V96" s="128" t="str">
        <f aca="false">IF(V$5&lt;=LastHist,V91/INDEX(H_AIRev,1,V$5)-1,"")</f>
        <v/>
      </c>
      <c r="W96" s="128" t="str">
        <f aca="false">IF(W$5&lt;=LastHist,W91/INDEX(H_AIRev,1,W$5)-1,"")</f>
        <v/>
      </c>
      <c r="X96" s="128" t="str">
        <f aca="false">IF(X$5&lt;=LastHist,X91/INDEX(H_AIRev,1,X$5)-1,"")</f>
        <v/>
      </c>
      <c r="Y96" s="128" t="str">
        <f aca="false">IF(Y$5&lt;=LastHist,Y91/INDEX(H_AIRev,1,Y$5)-1,"")</f>
        <v/>
      </c>
      <c r="Z96" s="128" t="str">
        <f aca="false">IF(Z$5&lt;=LastHist,Z91/INDEX(H_AIRev,1,Z$5)-1,"")</f>
        <v/>
      </c>
      <c r="AA96" s="128" t="str">
        <f aca="false">IF(AA$5&lt;=LastHist,AA91/INDEX(H_AIRev,1,AA$5)-1,"")</f>
        <v/>
      </c>
      <c r="AB96" s="128" t="str">
        <f aca="false">IF(AB$5&lt;=LastHist,AB91/INDEX(H_AIRev,1,AB$5)-1,"")</f>
        <v/>
      </c>
      <c r="AC96" s="128" t="str">
        <f aca="false">IF(AC$5&lt;=LastHist,AC91/INDEX(H_AIRev,1,AC$5)-1,"")</f>
        <v/>
      </c>
      <c r="AD96" s="128" t="str">
        <f aca="false">IF(AD$5&lt;=LastHist,AD91/INDEX(H_AIRev,1,AD$5)-1,"")</f>
        <v/>
      </c>
      <c r="AE96" s="128" t="str">
        <f aca="false">IF(AE$5&lt;=LastHist,AE91/INDEX(H_AIRev,1,AE$5)-1,"")</f>
        <v/>
      </c>
      <c r="AF96" s="128" t="str">
        <f aca="false">IF(AF$5&lt;=LastHist,AF91/INDEX(H_AIRev,1,AF$5)-1,"")</f>
        <v/>
      </c>
      <c r="AG96" s="128" t="str">
        <f aca="false">IF(AG$5&lt;=LastHist,AG91/INDEX(H_AIRev,1,AG$5)-1,"")</f>
        <v/>
      </c>
    </row>
    <row r="98" customFormat="false" ht="15" hidden="false" customHeight="false" outlineLevel="0" collapsed="false">
      <c r="A98" s="53" t="s">
        <v>1881</v>
      </c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</row>
    <row r="99" customFormat="false" ht="15" hidden="false" customHeight="false" outlineLevel="0" collapsed="false">
      <c r="A99" s="104" t="s">
        <v>1882</v>
      </c>
      <c r="B99" s="20" t="s">
        <v>549</v>
      </c>
      <c r="C99" s="20" t="s">
        <v>495</v>
      </c>
      <c r="D99" s="20"/>
      <c r="F99" s="116" t="n">
        <f aca="false">IF(F91&lt;&gt;0,F26/F91,0)</f>
        <v>0</v>
      </c>
      <c r="G99" s="116" t="n">
        <f aca="false">IF(G91&lt;&gt;0,G26/G91,0)</f>
        <v>0</v>
      </c>
      <c r="H99" s="116" t="n">
        <f aca="false">IF(H91&lt;&gt;0,H26/H91,0)</f>
        <v>0</v>
      </c>
      <c r="I99" s="116" t="n">
        <f aca="false">IF(I91&lt;&gt;0,I26/I91,0)</f>
        <v>0</v>
      </c>
      <c r="J99" s="116" t="n">
        <f aca="false">IF(J91&lt;&gt;0,J26/J91,0)</f>
        <v>0</v>
      </c>
      <c r="K99" s="116" t="n">
        <f aca="false">IF(K91&lt;&gt;0,K26/K91,0)</f>
        <v>0</v>
      </c>
      <c r="L99" s="116" t="n">
        <f aca="false">IF(L91&lt;&gt;0,L26/L91,0)</f>
        <v>0</v>
      </c>
      <c r="M99" s="116" t="n">
        <f aca="false">IF(M91&lt;&gt;0,M26/M91,0)</f>
        <v>0.129280571638801</v>
      </c>
      <c r="N99" s="116" t="n">
        <f aca="false">IF(N91&lt;&gt;0,N26/N91,0)</f>
        <v>0.327235296751117</v>
      </c>
      <c r="O99" s="116" t="n">
        <f aca="false">IF(O91&lt;&gt;0,O26/O91,0)</f>
        <v>0.460634941342456</v>
      </c>
      <c r="P99" s="25" t="n">
        <f aca="false">IF(P91&lt;&gt;0,P26/P91,0)</f>
        <v>0.510093513391141</v>
      </c>
      <c r="Q99" s="25" t="n">
        <f aca="false">IF(Q91&lt;&gt;0,Q26/Q91,0)</f>
        <v>0.540992220314541</v>
      </c>
      <c r="R99" s="25" t="n">
        <f aca="false">IF(R91&lt;&gt;0,R26/R91,0)</f>
        <v>0.445781769278438</v>
      </c>
      <c r="S99" s="25" t="n">
        <f aca="false">IF(S91&lt;&gt;0,S26/S91,0)</f>
        <v>0.358040923343118</v>
      </c>
      <c r="T99" s="25" t="n">
        <f aca="false">IF(T91&lt;&gt;0,T26/T91,0)</f>
        <v>0.376122208225684</v>
      </c>
      <c r="U99" s="25" t="n">
        <f aca="false">IF(U91&lt;&gt;0,U26/U91,0)</f>
        <v>0.44955901201737</v>
      </c>
      <c r="V99" s="25" t="n">
        <f aca="false">IF(V91&lt;&gt;0,V26/V91,0)</f>
        <v>0.401746150964922</v>
      </c>
      <c r="W99" s="25" t="n">
        <f aca="false">IF(W91&lt;&gt;0,W26/W91,0)</f>
        <v>0.342374809850998</v>
      </c>
      <c r="X99" s="25" t="n">
        <f aca="false">IF(X91&lt;&gt;0,X26/X91,0)</f>
        <v>0.30395549750154</v>
      </c>
      <c r="Y99" s="25" t="n">
        <f aca="false">IF(Y91&lt;&gt;0,Y26/Y91,0)</f>
        <v>0.282435286021621</v>
      </c>
      <c r="Z99" s="25" t="n">
        <f aca="false">IF(Z91&lt;&gt;0,Z26/Z91,0)</f>
        <v>0.247107166169865</v>
      </c>
      <c r="AA99" s="25" t="n">
        <f aca="false">IF(AA91&lt;&gt;0,AA26/AA91,0)</f>
        <v>0.219917637656208</v>
      </c>
      <c r="AB99" s="25" t="n">
        <f aca="false">IF(AB91&lt;&gt;0,AB26/AB91,0)</f>
        <v>0.198878627249823</v>
      </c>
      <c r="AC99" s="25" t="n">
        <f aca="false">IF(AC91&lt;&gt;0,AC26/AC91,0)</f>
        <v>0.181236157940082</v>
      </c>
      <c r="AD99" s="25" t="n">
        <f aca="false">IF(AD91&lt;&gt;0,AD26/AD91,0)</f>
        <v>0.161915652469341</v>
      </c>
      <c r="AE99" s="25" t="n">
        <f aca="false">IF(AE91&lt;&gt;0,AE26/AE91,0)</f>
        <v>0.145996412355883</v>
      </c>
      <c r="AF99" s="25" t="n">
        <f aca="false">IF(AF91&lt;&gt;0,AF26/AF91,0)</f>
        <v>0.146441214887599</v>
      </c>
      <c r="AG99" s="25" t="n">
        <f aca="false">IF(AG91&lt;&gt;0,AG26/AG91,0)</f>
        <v>0.13733272652615</v>
      </c>
      <c r="AI99" s="25" t="n">
        <f aca="false">IF(AI91&lt;&gt;0,AI26/AI91,0)</f>
        <v>0</v>
      </c>
      <c r="AJ99" s="25" t="n">
        <f aca="false">IF(AJ91&lt;&gt;0,AJ26/AJ91,0)</f>
        <v>0.0554599623324226</v>
      </c>
      <c r="AK99" s="25" t="n">
        <f aca="false">IF(AK91&lt;&gt;0,AK26/AK91,0)</f>
        <v>0.470981785267912</v>
      </c>
      <c r="AL99" s="25" t="n">
        <f aca="false">IF(AL91&lt;&gt;0,AL26/AL91,0)</f>
        <v>0.40942737266031</v>
      </c>
      <c r="AM99" s="25" t="n">
        <f aca="false">IF(AM91&lt;&gt;0,AM26/AM91,0)</f>
        <v>0.32609315782588</v>
      </c>
      <c r="AN99" s="25" t="n">
        <f aca="false">IF(AN91&lt;&gt;0,AN26/AN91,0)</f>
        <v>0.208988171303739</v>
      </c>
      <c r="AO99" s="25" t="n">
        <f aca="false">IF(AO91&lt;&gt;0,AO26/AO91,0)</f>
        <v>0.147549997882554</v>
      </c>
    </row>
    <row r="100" customFormat="false" ht="15" hidden="false" customHeight="false" outlineLevel="0" collapsed="false">
      <c r="A100" s="104" t="s">
        <v>1883</v>
      </c>
      <c r="B100" s="20" t="s">
        <v>549</v>
      </c>
      <c r="C100" s="20" t="s">
        <v>495</v>
      </c>
      <c r="D100" s="20"/>
      <c r="F100" s="116" t="n">
        <f aca="false">IF(F91&lt;&gt;0,F50/F91,0)</f>
        <v>0.816137690326465</v>
      </c>
      <c r="G100" s="116" t="n">
        <f aca="false">IF(G91&lt;&gt;0,G50/G91,0)</f>
        <v>0.816137690326465</v>
      </c>
      <c r="H100" s="116" t="n">
        <f aca="false">IF(H91&lt;&gt;0,H50/H91,0)</f>
        <v>0.816137690326465</v>
      </c>
      <c r="I100" s="116" t="n">
        <f aca="false">IF(I91&lt;&gt;0,I50/I91,0)</f>
        <v>0.816137690326465</v>
      </c>
      <c r="J100" s="116" t="n">
        <f aca="false">IF(J91&lt;&gt;0,J50/J91,0)</f>
        <v>0.85172878620062</v>
      </c>
      <c r="K100" s="116" t="n">
        <f aca="false">IF(K91&lt;&gt;0,K50/K91,0)</f>
        <v>0.85172878620062</v>
      </c>
      <c r="L100" s="116" t="n">
        <f aca="false">IF(L91&lt;&gt;0,L50/L91,0)</f>
        <v>0.851972676508502</v>
      </c>
      <c r="M100" s="116" t="n">
        <f aca="false">IF(M91&lt;&gt;0,M50/M91,0)</f>
        <v>0.742135648240164</v>
      </c>
      <c r="N100" s="116" t="n">
        <f aca="false">IF(N91&lt;&gt;0,N50/N91,0)</f>
        <v>0.586117689737117</v>
      </c>
      <c r="O100" s="116" t="n">
        <f aca="false">IF(O91&lt;&gt;0,O50/O91,0)</f>
        <v>0.469860583066317</v>
      </c>
      <c r="P100" s="25" t="n">
        <f aca="false">IF(P91&lt;&gt;0,P50/P91,0)</f>
        <v>0.424795270275381</v>
      </c>
      <c r="Q100" s="25" t="n">
        <f aca="false">IF(Q91&lt;&gt;0,Q50/Q91,0)</f>
        <v>0.391804801791384</v>
      </c>
      <c r="R100" s="25" t="n">
        <f aca="false">IF(R91&lt;&gt;0,R50/R91,0)</f>
        <v>0.475801475529396</v>
      </c>
      <c r="S100" s="25" t="n">
        <f aca="false">IF(S91&lt;&gt;0,S50/S91,0)</f>
        <v>0.574619232717866</v>
      </c>
      <c r="T100" s="25" t="n">
        <f aca="false">IF(T91&lt;&gt;0,T50/T91,0)</f>
        <v>0.546225150582387</v>
      </c>
      <c r="U100" s="25" t="n">
        <f aca="false">IF(U91&lt;&gt;0,U50/U91,0)</f>
        <v>0.459136368273537</v>
      </c>
      <c r="V100" s="25" t="n">
        <f aca="false">IF(V91&lt;&gt;0,V50/V91,0)</f>
        <v>0.510196042961961</v>
      </c>
      <c r="W100" s="25" t="n">
        <f aca="false">IF(W91&lt;&gt;0,W50/W91,0)</f>
        <v>0.585110434502741</v>
      </c>
      <c r="X100" s="25" t="n">
        <f aca="false">IF(X91&lt;&gt;0,X50/X91,0)</f>
        <v>0.640491997567435</v>
      </c>
      <c r="Y100" s="25" t="n">
        <f aca="false">IF(Y91&lt;&gt;0,Y50/Y91,0)</f>
        <v>0.662296459259594</v>
      </c>
      <c r="Z100" s="25" t="n">
        <f aca="false">IF(Z91&lt;&gt;0,Z50/Z91,0)</f>
        <v>0.686694607572989</v>
      </c>
      <c r="AA100" s="25" t="n">
        <f aca="false">IF(AA91&lt;&gt;0,AA50/AA91,0)</f>
        <v>0.718247129035253</v>
      </c>
      <c r="AB100" s="25" t="n">
        <f aca="false">IF(AB91&lt;&gt;0,AB50/AB91,0)</f>
        <v>0.749611822242244</v>
      </c>
      <c r="AC100" s="25" t="n">
        <f aca="false">IF(AC91&lt;&gt;0,AC50/AC91,0)</f>
        <v>0.765076725929825</v>
      </c>
      <c r="AD100" s="25" t="n">
        <f aca="false">IF(AD91&lt;&gt;0,AD50/AD91,0)</f>
        <v>0.76932651584634</v>
      </c>
      <c r="AE100" s="25" t="n">
        <f aca="false">IF(AE91&lt;&gt;0,AE50/AE91,0)</f>
        <v>0.790220560130609</v>
      </c>
      <c r="AF100" s="25" t="n">
        <f aca="false">IF(AF91&lt;&gt;0,AF50/AF91,0)</f>
        <v>0.788797366247808</v>
      </c>
      <c r="AG100" s="25" t="n">
        <f aca="false">IF(AG91&lt;&gt;0,AG50/AG91,0)</f>
        <v>0.768311501017302</v>
      </c>
      <c r="AI100" s="25" t="n">
        <f aca="false">IF(AI91&lt;&gt;0,AI50/AI91,0)</f>
        <v>0.816137690326465</v>
      </c>
      <c r="AJ100" s="25" t="n">
        <f aca="false">IF(AJ91&lt;&gt;0,AJ50/AJ91,0)</f>
        <v>0.804774379219199</v>
      </c>
      <c r="AK100" s="25" t="n">
        <f aca="false">IF(AK91&lt;&gt;0,AK50/AK91,0)</f>
        <v>0.457849766020881</v>
      </c>
      <c r="AL100" s="25" t="n">
        <f aca="false">IF(AL91&lt;&gt;0,AL50/AL91,0)</f>
        <v>0.509835946333138</v>
      </c>
      <c r="AM100" s="25" t="n">
        <f aca="false">IF(AM91&lt;&gt;0,AM50/AM91,0)</f>
        <v>0.607981192879483</v>
      </c>
      <c r="AN100" s="25" t="n">
        <f aca="false">IF(AN91&lt;&gt;0,AN50/AN91,0)</f>
        <v>0.733315700369221</v>
      </c>
      <c r="AO100" s="25" t="n">
        <f aca="false">IF(AO91&lt;&gt;0,AO50/AO91,0)</f>
        <v>0.779383170981773</v>
      </c>
    </row>
    <row r="101" customFormat="false" ht="15" hidden="false" customHeight="false" outlineLevel="0" collapsed="false">
      <c r="A101" s="104" t="s">
        <v>1884</v>
      </c>
      <c r="B101" s="20" t="s">
        <v>549</v>
      </c>
      <c r="C101" s="20" t="s">
        <v>495</v>
      </c>
      <c r="D101" s="20"/>
      <c r="F101" s="116" t="n">
        <f aca="false">IF(F91&lt;&gt;0,F51/F91,0)</f>
        <v>0.183862309673535</v>
      </c>
      <c r="G101" s="116" t="n">
        <f aca="false">IF(G91&lt;&gt;0,G51/G91,0)</f>
        <v>0.183862309673535</v>
      </c>
      <c r="H101" s="116" t="n">
        <f aca="false">IF(H91&lt;&gt;0,H51/H91,0)</f>
        <v>0.183862309673535</v>
      </c>
      <c r="I101" s="116" t="n">
        <f aca="false">IF(I91&lt;&gt;0,I51/I91,0)</f>
        <v>0.183862309673535</v>
      </c>
      <c r="J101" s="116" t="n">
        <f aca="false">IF(J91&lt;&gt;0,J51/J91,0)</f>
        <v>0.14827121379938</v>
      </c>
      <c r="K101" s="116" t="n">
        <f aca="false">IF(K91&lt;&gt;0,K51/K91,0)</f>
        <v>0.14827121379938</v>
      </c>
      <c r="L101" s="116" t="n">
        <f aca="false">IF(L91&lt;&gt;0,L51/L91,0)</f>
        <v>0.148027323491498</v>
      </c>
      <c r="M101" s="116" t="n">
        <f aca="false">IF(M91&lt;&gt;0,M51/M91,0)</f>
        <v>0.128583780121035</v>
      </c>
      <c r="N101" s="116" t="n">
        <f aca="false">IF(N91&lt;&gt;0,N51/N91,0)</f>
        <v>0.0866470135117657</v>
      </c>
      <c r="O101" s="116" t="n">
        <f aca="false">IF(O91&lt;&gt;0,O51/O91,0)</f>
        <v>0.069504475591227</v>
      </c>
      <c r="P101" s="25" t="n">
        <f aca="false">IF(P91&lt;&gt;0,P51/P91,0)</f>
        <v>0.0651112163334779</v>
      </c>
      <c r="Q101" s="25" t="n">
        <f aca="false">IF(Q91&lt;&gt;0,Q51/Q91,0)</f>
        <v>0.0672029778940752</v>
      </c>
      <c r="R101" s="25" t="n">
        <f aca="false">IF(R91&lt;&gt;0,R51/R91,0)</f>
        <v>0.0777943361885185</v>
      </c>
      <c r="S101" s="25" t="n">
        <f aca="false">IF(S91&lt;&gt;0,S51/S91,0)</f>
        <v>0.0901314539110769</v>
      </c>
      <c r="T101" s="25" t="n">
        <f aca="false">IF(T91&lt;&gt;0,T51/T91,0)</f>
        <v>0.0845951515660599</v>
      </c>
      <c r="U101" s="25" t="n">
        <f aca="false">IF(U91&lt;&gt;0,U51/U91,0)</f>
        <v>0.0707684320277554</v>
      </c>
      <c r="V101" s="25" t="n">
        <f aca="false">IF(V91&lt;&gt;0,V51/V91,0)</f>
        <v>0.0818265742071351</v>
      </c>
      <c r="W101" s="25" t="n">
        <f aca="false">IF(W91&lt;&gt;0,W51/W91,0)</f>
        <v>0.0937419764686172</v>
      </c>
      <c r="X101" s="25" t="n">
        <f aca="false">IF(X91&lt;&gt;0,X51/X91,0)</f>
        <v>0.102544446569149</v>
      </c>
      <c r="Y101" s="25" t="n">
        <f aca="false">IF(Y91&lt;&gt;0,Y51/Y91,0)</f>
        <v>0.105999975519167</v>
      </c>
      <c r="Z101" s="25" t="n">
        <f aca="false">IF(Z91&lt;&gt;0,Z51/Z91,0)</f>
        <v>0.109868755315264</v>
      </c>
      <c r="AA101" s="25" t="n">
        <f aca="false">IF(AA91&lt;&gt;0,AA51/AA91,0)</f>
        <v>0.114892462026058</v>
      </c>
      <c r="AB101" s="25" t="n">
        <f aca="false">IF(AB91&lt;&gt;0,AB51/AB91,0)</f>
        <v>0.119876984797252</v>
      </c>
      <c r="AC101" s="25" t="n">
        <f aca="false">IF(AC91&lt;&gt;0,AC51/AC91,0)</f>
        <v>0.122324857329046</v>
      </c>
      <c r="AD101" s="25" t="n">
        <f aca="false">IF(AD91&lt;&gt;0,AD51/AD91,0)</f>
        <v>0.12297789351281</v>
      </c>
      <c r="AE101" s="25" t="n">
        <f aca="false">IF(AE91&lt;&gt;0,AE51/AE91,0)</f>
        <v>0.126297527672826</v>
      </c>
      <c r="AF101" s="25" t="n">
        <f aca="false">IF(AF91&lt;&gt;0,AF51/AF91,0)</f>
        <v>0.126069712829296</v>
      </c>
      <c r="AG101" s="25" t="n">
        <f aca="false">IF(AG91&lt;&gt;0,AG51/AG91,0)</f>
        <v>0.122795220429191</v>
      </c>
      <c r="AI101" s="25" t="n">
        <f aca="false">IF(AI91&lt;&gt;0,AI51/AI91,0)</f>
        <v>0.183862309673535</v>
      </c>
      <c r="AJ101" s="25" t="n">
        <f aca="false">IF(AJ91&lt;&gt;0,AJ51/AJ91,0)</f>
        <v>0.139765658448378</v>
      </c>
      <c r="AK101" s="25" t="n">
        <f aca="false">IF(AK91&lt;&gt;0,AK51/AK91,0)</f>
        <v>0.0711684487112066</v>
      </c>
      <c r="AL101" s="25" t="n">
        <f aca="false">IF(AL91&lt;&gt;0,AL51/AL91,0)</f>
        <v>0.079634577762245</v>
      </c>
      <c r="AM101" s="25" t="n">
        <f aca="false">IF(AM91&lt;&gt;0,AM51/AM91,0)</f>
        <v>0.0973725167883749</v>
      </c>
      <c r="AN101" s="25" t="n">
        <f aca="false">IF(AN91&lt;&gt;0,AN51/AN91,0)</f>
        <v>0.117282373288181</v>
      </c>
      <c r="AO101" s="25" t="n">
        <f aca="false">IF(AO91&lt;&gt;0,AO51/AO91,0)</f>
        <v>0.124569733910542</v>
      </c>
    </row>
    <row r="102" customFormat="false" ht="15" hidden="false" customHeight="false" outlineLevel="0" collapsed="false">
      <c r="A102" s="104" t="s">
        <v>1885</v>
      </c>
      <c r="B102" s="20" t="s">
        <v>549</v>
      </c>
      <c r="C102" s="20" t="s">
        <v>495</v>
      </c>
      <c r="D102" s="20"/>
      <c r="F102" s="116" t="n">
        <f aca="false">IF(F91&lt;&gt;0,F27/F91,0)</f>
        <v>0</v>
      </c>
      <c r="G102" s="116" t="n">
        <f aca="false">IF(G91&lt;&gt;0,G27/G91,0)</f>
        <v>0</v>
      </c>
      <c r="H102" s="116" t="n">
        <f aca="false">IF(H91&lt;&gt;0,H27/H91,0)</f>
        <v>0</v>
      </c>
      <c r="I102" s="116" t="n">
        <f aca="false">IF(I91&lt;&gt;0,I27/I91,0)</f>
        <v>0</v>
      </c>
      <c r="J102" s="116" t="n">
        <f aca="false">IF(J91&lt;&gt;0,J27/J91,0)</f>
        <v>0</v>
      </c>
      <c r="K102" s="116" t="n">
        <f aca="false">IF(K91&lt;&gt;0,K27/K91,0)</f>
        <v>0</v>
      </c>
      <c r="L102" s="116" t="n">
        <f aca="false">IF(L91&lt;&gt;0,L27/L91,0)</f>
        <v>0</v>
      </c>
      <c r="M102" s="116" t="n">
        <f aca="false">IF(M91&lt;&gt;0,M27/M91,0)</f>
        <v>0</v>
      </c>
      <c r="N102" s="116" t="n">
        <f aca="false">IF(N91&lt;&gt;0,N27/N91,0)</f>
        <v>0</v>
      </c>
      <c r="O102" s="116" t="n">
        <f aca="false">IF(O91&lt;&gt;0,O27/O91,0)</f>
        <v>0</v>
      </c>
      <c r="P102" s="25" t="n">
        <f aca="false">IF(P91&lt;&gt;0,P27/P91,0)</f>
        <v>0</v>
      </c>
      <c r="Q102" s="25" t="n">
        <f aca="false">IF(Q91&lt;&gt;0,Q27/Q91,0)</f>
        <v>0</v>
      </c>
      <c r="R102" s="25" t="n">
        <f aca="false">IF(R91&lt;&gt;0,R27/R91,0)</f>
        <v>0</v>
      </c>
      <c r="S102" s="25" t="n">
        <f aca="false">IF(S91&lt;&gt;0,S27/S91,0)</f>
        <v>0</v>
      </c>
      <c r="T102" s="25" t="n">
        <f aca="false">IF(T91&lt;&gt;0,T27/T91,0)</f>
        <v>0</v>
      </c>
      <c r="U102" s="25" t="n">
        <f aca="false">IF(U91&lt;&gt;0,U27/U91,0)</f>
        <v>0</v>
      </c>
      <c r="V102" s="25" t="n">
        <f aca="false">IF(V91&lt;&gt;0,V27/V91,0)</f>
        <v>0</v>
      </c>
      <c r="W102" s="25" t="n">
        <f aca="false">IF(W91&lt;&gt;0,W27/W91,0)</f>
        <v>0</v>
      </c>
      <c r="X102" s="25" t="n">
        <f aca="false">IF(X91&lt;&gt;0,X27/X91,0)</f>
        <v>0</v>
      </c>
      <c r="Y102" s="25" t="n">
        <f aca="false">IF(Y91&lt;&gt;0,Y27/Y91,0)</f>
        <v>0</v>
      </c>
      <c r="Z102" s="25" t="n">
        <f aca="false">IF(Z91&lt;&gt;0,Z27/Z91,0)</f>
        <v>0</v>
      </c>
      <c r="AA102" s="25" t="n">
        <f aca="false">IF(AA91&lt;&gt;0,AA27/AA91,0)</f>
        <v>0</v>
      </c>
      <c r="AB102" s="25" t="n">
        <f aca="false">IF(AB91&lt;&gt;0,AB27/AB91,0)</f>
        <v>0</v>
      </c>
      <c r="AC102" s="25" t="n">
        <f aca="false">IF(AC91&lt;&gt;0,AC27/AC91,0)</f>
        <v>0</v>
      </c>
      <c r="AD102" s="25" t="n">
        <f aca="false">IF(AD91&lt;&gt;0,AD27/AD91,0)</f>
        <v>0</v>
      </c>
      <c r="AE102" s="25" t="n">
        <f aca="false">IF(AE91&lt;&gt;0,AE27/AE91,0)</f>
        <v>0</v>
      </c>
      <c r="AF102" s="25" t="n">
        <f aca="false">IF(AF91&lt;&gt;0,AF27/AF91,0)</f>
        <v>0</v>
      </c>
      <c r="AG102" s="25" t="n">
        <f aca="false">IF(AG91&lt;&gt;0,AG27/AG91,0)</f>
        <v>0.0184888026823254</v>
      </c>
      <c r="AI102" s="25" t="n">
        <f aca="false">IF(AI91&lt;&gt;0,AI27/AI91,0)</f>
        <v>0</v>
      </c>
      <c r="AJ102" s="25" t="n">
        <f aca="false">IF(AJ91&lt;&gt;0,AJ27/AJ91,0)</f>
        <v>0</v>
      </c>
      <c r="AK102" s="25" t="n">
        <f aca="false">IF(AK91&lt;&gt;0,AK27/AK91,0)</f>
        <v>0</v>
      </c>
      <c r="AL102" s="25" t="n">
        <f aca="false">IF(AL91&lt;&gt;0,AL27/AL91,0)</f>
        <v>0</v>
      </c>
      <c r="AM102" s="25" t="n">
        <f aca="false">IF(AM91&lt;&gt;0,AM27/AM91,0)</f>
        <v>0</v>
      </c>
      <c r="AN102" s="25" t="n">
        <f aca="false">IF(AN91&lt;&gt;0,AN27/AN91,0)</f>
        <v>0</v>
      </c>
      <c r="AO102" s="25" t="n">
        <f aca="false">IF(AO91&lt;&gt;0,AO27/AO91,0)</f>
        <v>0.0047688808052627</v>
      </c>
    </row>
    <row r="103" customFormat="false" ht="15" hidden="false" customHeight="false" outlineLevel="0" collapsed="false">
      <c r="A103" s="104" t="s">
        <v>1886</v>
      </c>
      <c r="B103" s="20" t="s">
        <v>561</v>
      </c>
      <c r="C103" s="20" t="s">
        <v>495</v>
      </c>
      <c r="D103" s="20" t="s">
        <v>1887</v>
      </c>
      <c r="F103" s="122" t="n">
        <f aca="false">F50+F51</f>
        <v>71.8043498038371</v>
      </c>
      <c r="G103" s="122" t="n">
        <f aca="false">G50+G51</f>
        <v>71.8043498038371</v>
      </c>
      <c r="H103" s="122" t="n">
        <f aca="false">H50+H51</f>
        <v>72.5934085928903</v>
      </c>
      <c r="I103" s="122" t="n">
        <f aca="false">I50+I51</f>
        <v>79.8538082053127</v>
      </c>
      <c r="J103" s="122" t="n">
        <f aca="false">J50+J51</f>
        <v>119.332040815163</v>
      </c>
      <c r="K103" s="122" t="n">
        <f aca="false">K50+K51</f>
        <v>162.95940042544</v>
      </c>
      <c r="L103" s="122" t="n">
        <f aca="false">L50+L51</f>
        <v>212.809617319735</v>
      </c>
      <c r="M103" s="122" t="n">
        <f aca="false">M50+M51</f>
        <v>323.872470916719</v>
      </c>
      <c r="N103" s="122" t="n">
        <f aca="false">N50+N51</f>
        <v>346.251961361847</v>
      </c>
      <c r="O103" s="122" t="n">
        <f aca="false">O50+O51</f>
        <v>310.080972222222</v>
      </c>
      <c r="P103" s="123" t="n">
        <f aca="false">P50+P51</f>
        <v>316.545910588587</v>
      </c>
      <c r="Q103" s="123" t="n">
        <f aca="false">Q50+Q51</f>
        <v>358.359309341066</v>
      </c>
      <c r="R103" s="123" t="n">
        <f aca="false">R50+R51</f>
        <v>582.125591584348</v>
      </c>
      <c r="S103" s="123" t="n">
        <f aca="false">S50+S51</f>
        <v>1029.87575850967</v>
      </c>
      <c r="T103" s="123" t="n">
        <f aca="false">T50+T51</f>
        <v>1364.21941852877</v>
      </c>
      <c r="U103" s="123" t="n">
        <f aca="false">U50+U51</f>
        <v>1497.47771108705</v>
      </c>
      <c r="V103" s="123" t="n">
        <f aca="false">V50+V51</f>
        <v>2271.16284484518</v>
      </c>
      <c r="W103" s="123" t="n">
        <f aca="false">W50+W51</f>
        <v>3199.56529223924</v>
      </c>
      <c r="X103" s="123" t="n">
        <f aca="false">X50+X51</f>
        <v>3944.73223557422</v>
      </c>
      <c r="Y103" s="123" t="n">
        <f aca="false">Y50+Y51</f>
        <v>4389.62357833321</v>
      </c>
      <c r="Z103" s="123" t="n">
        <f aca="false">Z50+Z51</f>
        <v>5201.78506900085</v>
      </c>
      <c r="AA103" s="123" t="n">
        <f aca="false">AA50+AA51</f>
        <v>6113.29181975625</v>
      </c>
      <c r="AB103" s="123" t="n">
        <f aca="false">AB50+AB51</f>
        <v>7054.93957568907</v>
      </c>
      <c r="AC103" s="123" t="n">
        <f aca="false">AC50+AC51</f>
        <v>7901.19478998556</v>
      </c>
      <c r="AD103" s="123" t="n">
        <f aca="false">AD50+AD51</f>
        <v>8892.86339730078</v>
      </c>
      <c r="AE103" s="123" t="n">
        <f aca="false">AE50+AE51</f>
        <v>10130.1592557049</v>
      </c>
      <c r="AF103" s="123" t="n">
        <f aca="false">AF50+AF51</f>
        <v>10081.1968085506</v>
      </c>
      <c r="AG103" s="123" t="n">
        <f aca="false">AG50+AG51</f>
        <v>9923.49679484397</v>
      </c>
      <c r="AI103" s="123" t="n">
        <f aca="false">SUMIF($F$7:$AG$7,AI$7,$F103:$AG103)</f>
        <v>296.055916405877</v>
      </c>
      <c r="AJ103" s="123" t="n">
        <f aca="false">SUMIF($F$7:$AG$7,AJ$7,$F103:$AG103)</f>
        <v>818.973529477057</v>
      </c>
      <c r="AK103" s="123" t="n">
        <f aca="false">SUMIF($F$7:$AG$7,AK$7,$F103:$AG103)</f>
        <v>1331.23815351372</v>
      </c>
      <c r="AL103" s="123" t="n">
        <f aca="false">SUMIF($F$7:$AG$7,AL$7,$F103:$AG103)</f>
        <v>4473.69847970984</v>
      </c>
      <c r="AM103" s="123" t="n">
        <f aca="false">SUMIF($F$7:$AG$7,AM$7,$F103:$AG103)</f>
        <v>13805.0839509918</v>
      </c>
      <c r="AN103" s="123" t="n">
        <f aca="false">SUMIF($F$7:$AG$7,AN$7,$F103:$AG103)</f>
        <v>26271.2112544317</v>
      </c>
      <c r="AO103" s="123" t="n">
        <f aca="false">SUMIF($F$7:$AG$7,AO$7,$F103:$AG103)</f>
        <v>39027.7162564002</v>
      </c>
    </row>
    <row r="105" customFormat="false" ht="15" hidden="false" customHeight="false" outlineLevel="0" collapsed="false">
      <c r="A105" s="53" t="s">
        <v>1888</v>
      </c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</row>
    <row r="106" customFormat="false" ht="15" hidden="false" customHeight="false" outlineLevel="0" collapsed="false">
      <c r="A106" s="0" t="s">
        <v>1889</v>
      </c>
      <c r="D106" s="20" t="s">
        <v>1890</v>
      </c>
      <c r="E106" s="5" t="n">
        <f aca="false">INDEX(H_ARR,1,LastHist)</f>
        <v>3000</v>
      </c>
    </row>
    <row r="107" customFormat="false" ht="15" hidden="false" customHeight="false" outlineLevel="0" collapsed="false">
      <c r="A107" s="0" t="s">
        <v>1891</v>
      </c>
      <c r="D107" s="20" t="s">
        <v>1892</v>
      </c>
      <c r="E107" s="5" t="n">
        <f aca="false">4*((Contracts!O35+Contracts!P35+Contracts!O40+Contracts!P40)/2+Contracts!O148)</f>
        <v>1155.90333333333</v>
      </c>
    </row>
    <row r="108" customFormat="false" ht="15" hidden="false" customHeight="false" outlineLevel="0" collapsed="false">
      <c r="A108" s="0" t="s">
        <v>1893</v>
      </c>
      <c r="D108" s="20" t="s">
        <v>1894</v>
      </c>
      <c r="E108" s="5" t="n">
        <f aca="false">4*(O50+O51+O43*O49*(ODp_H/ODq_H-1))*(O30+O31+O32)/(O33+O34+O35)</f>
        <v>1246.9615565192</v>
      </c>
    </row>
    <row r="109" customFormat="false" ht="15" hidden="false" customHeight="false" outlineLevel="0" collapsed="false">
      <c r="A109" s="0" t="s">
        <v>1895</v>
      </c>
      <c r="D109" s="20"/>
      <c r="E109" s="5" t="n">
        <f aca="false">ARR_RRa+ARR_RRbc</f>
        <v>2402.86488985253</v>
      </c>
    </row>
    <row r="110" customFormat="false" ht="15" hidden="false" customHeight="false" outlineLevel="0" collapsed="false">
      <c r="A110" s="0" t="s">
        <v>1896</v>
      </c>
      <c r="D110" s="20"/>
      <c r="E110" s="60" t="n">
        <f aca="false">ARR_RR/INDEX(MW_En,1,LastHist)</f>
        <v>13.8893924268932</v>
      </c>
    </row>
    <row r="111" customFormat="false" ht="15" hidden="false" customHeight="false" outlineLevel="0" collapsed="false">
      <c r="A111" s="0" t="s">
        <v>1897</v>
      </c>
      <c r="D111" s="20" t="s">
        <v>1898</v>
      </c>
      <c r="E111" s="5" t="n">
        <f aca="false">ARR_Rep-ARR_RR</f>
        <v>597.13511014747</v>
      </c>
    </row>
    <row r="112" customFormat="false" ht="15" hidden="false" customHeight="false" outlineLevel="0" collapsed="false">
      <c r="A112" s="0" t="s">
        <v>1899</v>
      </c>
      <c r="D112" s="20" t="s">
        <v>1900</v>
      </c>
      <c r="E112" s="5" t="n">
        <f aca="false">IFERROR(ARR_Res/ARR_RRMW,0)</f>
        <v>42.9921692608577</v>
      </c>
    </row>
    <row r="113" customFormat="false" ht="15" hidden="false" customHeight="false" outlineLevel="0" collapsed="false">
      <c r="A113" s="0" t="s">
        <v>1901</v>
      </c>
      <c r="D113" s="20"/>
      <c r="E113" s="5" t="n">
        <f aca="false">ARR_Rep/12</f>
        <v>250</v>
      </c>
    </row>
    <row r="114" customFormat="false" ht="15" hidden="false" customHeight="false" outlineLevel="0" collapsed="false">
      <c r="A114" s="0" t="s">
        <v>1902</v>
      </c>
      <c r="D114" s="20"/>
      <c r="E114" s="5" t="n">
        <f aca="false">INDEX(H_AIRev,1,LastHist)/3</f>
        <v>191.633333333333</v>
      </c>
    </row>
    <row r="115" customFormat="false" ht="15" hidden="false" customHeight="false" outlineLevel="0" collapsed="false">
      <c r="A115" s="0" t="s">
        <v>1903</v>
      </c>
      <c r="D115" s="20" t="s">
        <v>1904</v>
      </c>
      <c r="E115" s="5" t="n">
        <f aca="false">ARR_JunMo-MarMo</f>
        <v>88</v>
      </c>
    </row>
    <row r="116" customFormat="false" ht="15" hidden="false" customHeight="false" outlineLevel="0" collapsed="false">
      <c r="A116" s="0" t="s">
        <v>1905</v>
      </c>
      <c r="D116" s="20" t="s">
        <v>1906</v>
      </c>
      <c r="E116" s="5" t="n">
        <f aca="false">ARR_Step*12/ACV_2026</f>
        <v>88</v>
      </c>
    </row>
    <row r="117" customFormat="false" ht="15" hidden="false" customHeight="false" outlineLevel="0" collapsed="false">
      <c r="A117" s="0" t="s">
        <v>1907</v>
      </c>
      <c r="D117" s="20" t="s">
        <v>1908</v>
      </c>
      <c r="E117" s="5" t="n">
        <f aca="false">ARR_Rep-INDEX(MW_En,1,LastHist)*ARR_RRMW_Hi</f>
        <v>664.5</v>
      </c>
    </row>
    <row r="118" customFormat="false" ht="15" hidden="false" customHeight="false" outlineLevel="0" collapsed="false">
      <c r="A118" s="0" t="s">
        <v>1909</v>
      </c>
      <c r="D118" s="20"/>
      <c r="E118" s="5" t="n">
        <f aca="false">ARR_Rep-INDEX(MW_En,1,LastHist)*ARR_RRMW_Lo</f>
        <v>699.1</v>
      </c>
    </row>
    <row r="119" customFormat="false" ht="15" hidden="false" customHeight="false" outlineLevel="0" collapsed="false">
      <c r="A119" s="0" t="s">
        <v>1910</v>
      </c>
      <c r="D119" s="20"/>
      <c r="E119" s="5" t="n">
        <f aca="false">ARR_Res/ARR_RRMW_Hi</f>
        <v>44.2322303812941</v>
      </c>
    </row>
    <row r="120" customFormat="false" ht="15" hidden="false" customHeight="false" outlineLevel="0" collapsed="false">
      <c r="A120" s="0" t="s">
        <v>1911</v>
      </c>
      <c r="D120" s="20" t="s">
        <v>1912</v>
      </c>
      <c r="E120" s="5" t="n">
        <f aca="false">ARR_Res/ARR_RRMW_Lo</f>
        <v>44.8973767028173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1913</v>
      </c>
    </row>
    <row r="2" customFormat="false" ht="15" hidden="false" customHeight="false" outlineLevel="0" collapsed="false">
      <c r="A2" s="20" t="s">
        <v>1914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1915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0" t="s">
        <v>1916</v>
      </c>
      <c r="F11" s="57" t="n">
        <f aca="false">4*IF(LifeOverride=0,Life_H,LifeOverride)</f>
        <v>20</v>
      </c>
      <c r="G11" s="0" t="s">
        <v>1917</v>
      </c>
      <c r="K11" s="57" t="n">
        <f aca="false">IF(ImpQ_H=0,999,ImpQ_H)</f>
        <v>999</v>
      </c>
    </row>
    <row r="12" customFormat="false" ht="15" hidden="false" customHeight="false" outlineLevel="0" collapsed="false">
      <c r="A12" s="0" t="s">
        <v>1918</v>
      </c>
      <c r="F12" s="57" t="n">
        <f aca="false">4*IF(LifeOverride=0,Life_B,LifeOverride)</f>
        <v>20</v>
      </c>
      <c r="G12" s="0" t="s">
        <v>1917</v>
      </c>
      <c r="K12" s="57" t="n">
        <f aca="false">IF(ImpQ_B=0,999,ImpQ_B)</f>
        <v>999</v>
      </c>
    </row>
    <row r="13" customFormat="false" ht="15" hidden="false" customHeight="false" outlineLevel="0" collapsed="false">
      <c r="A13" s="0" t="s">
        <v>1919</v>
      </c>
      <c r="F13" s="57" t="n">
        <f aca="false">4*IF(LifeOverride=0,Life_N,LifeOverride)</f>
        <v>20</v>
      </c>
      <c r="G13" s="0" t="s">
        <v>1917</v>
      </c>
      <c r="K13" s="57" t="n">
        <f aca="false">IF(ImpQ_N=0,999,ImpQ_N)</f>
        <v>999</v>
      </c>
    </row>
    <row r="14" customFormat="false" ht="15" hidden="false" customHeight="false" outlineLevel="0" collapsed="false">
      <c r="A14" s="0" t="s">
        <v>1920</v>
      </c>
      <c r="F14" s="57" t="n">
        <f aca="false">4*CapIntLife</f>
        <v>20</v>
      </c>
    </row>
    <row r="15" customFormat="false" ht="15" hidden="false" customHeight="false" outlineLevel="0" collapsed="false">
      <c r="A15" s="0" t="s">
        <v>1921</v>
      </c>
      <c r="F15" s="57" t="n">
        <f aca="false">4*Life_Shell</f>
        <v>80</v>
      </c>
    </row>
    <row r="16" customFormat="false" ht="15" hidden="false" customHeight="false" outlineLevel="0" collapsed="false">
      <c r="A16" s="0" t="s">
        <v>1922</v>
      </c>
      <c r="F16" s="57" t="n">
        <f aca="false">4*Life_Pow</f>
        <v>40</v>
      </c>
    </row>
    <row r="17" customFormat="false" ht="15" hidden="false" customHeight="false" outlineLevel="0" collapsed="false">
      <c r="A17" s="0" t="s">
        <v>1923</v>
      </c>
      <c r="F17" s="57" t="n">
        <f aca="false">4*Life_Maint</f>
        <v>20</v>
      </c>
    </row>
    <row r="19" customFormat="false" ht="15" hidden="false" customHeight="false" outlineLevel="0" collapsed="false">
      <c r="A19" s="53" t="s">
        <v>1924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</row>
    <row r="20" customFormat="false" ht="15" hidden="false" customHeight="false" outlineLevel="0" collapsed="false">
      <c r="A20" s="104" t="s">
        <v>1925</v>
      </c>
      <c r="B20" s="20" t="s">
        <v>575</v>
      </c>
      <c r="C20" s="20" t="s">
        <v>1782</v>
      </c>
      <c r="D20" s="20"/>
      <c r="F20" s="108" t="n">
        <f aca="false">INDEX(MW_New,1,1)</f>
        <v>0</v>
      </c>
      <c r="G20" s="108" t="n">
        <f aca="false">INDEX(MW_New,1,2)</f>
        <v>0</v>
      </c>
      <c r="H20" s="108" t="n">
        <f aca="false">INDEX(MW_New,1,3)</f>
        <v>0</v>
      </c>
      <c r="I20" s="108" t="n">
        <f aca="false">INDEX(MW_New,1,4)</f>
        <v>5</v>
      </c>
      <c r="J20" s="108" t="n">
        <f aca="false">INDEX(MW_New,1,5)</f>
        <v>10</v>
      </c>
      <c r="K20" s="108" t="n">
        <f aca="false">INDEX(MW_New,1,6)</f>
        <v>5</v>
      </c>
      <c r="L20" s="108" t="n">
        <f aca="false">INDEX(MW_New,1,7)</f>
        <v>17.5</v>
      </c>
      <c r="M20" s="108" t="n">
        <f aca="false">INDEX(MW_New,1,8)</f>
        <v>85.2</v>
      </c>
      <c r="N20" s="108" t="n">
        <f aca="false">INDEX(MW_New,1,9)</f>
        <v>23.8</v>
      </c>
      <c r="O20" s="108" t="n">
        <f aca="false">INDEX(MW_New,1,10)</f>
        <v>1.5</v>
      </c>
      <c r="P20" s="29" t="n">
        <f aca="false">INDEX(MW_New,1,11)</f>
        <v>0</v>
      </c>
      <c r="Q20" s="29" t="n">
        <f aca="false">INDEX(MW_New,1,12)</f>
        <v>34.5</v>
      </c>
      <c r="R20" s="29" t="n">
        <f aca="false">INDEX(MW_New,1,13)</f>
        <v>84.9</v>
      </c>
      <c r="S20" s="29" t="n">
        <f aca="false">INDEX(MW_New,1,14)</f>
        <v>124</v>
      </c>
      <c r="T20" s="29" t="n">
        <f aca="false">INDEX(MW_New,1,15)</f>
        <v>128.7</v>
      </c>
      <c r="U20" s="29" t="n">
        <f aca="false">INDEX(MW_New,1,16)</f>
        <v>139.4</v>
      </c>
      <c r="V20" s="29" t="n">
        <f aca="false">INDEX(MW_New,1,17)</f>
        <v>265.5</v>
      </c>
      <c r="W20" s="29" t="n">
        <f aca="false">INDEX(MW_New,1,18)</f>
        <v>92.5</v>
      </c>
      <c r="X20" s="29" t="n">
        <f aca="false">INDEX(MW_New,1,19)</f>
        <v>156</v>
      </c>
      <c r="Y20" s="29" t="n">
        <f aca="false">INDEX(MW_New,1,20)</f>
        <v>12.5</v>
      </c>
      <c r="Z20" s="29" t="n">
        <f aca="false">INDEX(MW_New,1,21)</f>
        <v>328</v>
      </c>
      <c r="AA20" s="29" t="n">
        <f aca="false">INDEX(MW_New,1,22)</f>
        <v>0</v>
      </c>
      <c r="AB20" s="29" t="n">
        <f aca="false">INDEX(MW_New,1,23)</f>
        <v>336</v>
      </c>
      <c r="AC20" s="29" t="n">
        <f aca="false">INDEX(MW_New,1,24)</f>
        <v>0</v>
      </c>
      <c r="AD20" s="29" t="n">
        <f aca="false">INDEX(MW_New,1,25)</f>
        <v>468</v>
      </c>
      <c r="AE20" s="29" t="n">
        <f aca="false">INDEX(MW_New,1,26)</f>
        <v>0</v>
      </c>
      <c r="AF20" s="29" t="n">
        <f aca="false">INDEX(MW_New,1,27)</f>
        <v>0</v>
      </c>
      <c r="AG20" s="29" t="n">
        <f aca="false">INDEX(MW_New,1,28)</f>
        <v>0</v>
      </c>
      <c r="AI20" s="29" t="n">
        <f aca="false">SUMIF($F$7:$AG$7,AI$7,$F20:$AG20)</f>
        <v>5</v>
      </c>
      <c r="AJ20" s="29" t="n">
        <f aca="false">SUMIF($F$7:$AG$7,AJ$7,$F20:$AG20)</f>
        <v>117.7</v>
      </c>
      <c r="AK20" s="29" t="n">
        <f aca="false">SUMIF($F$7:$AG$7,AK$7,$F20:$AG20)</f>
        <v>59.8</v>
      </c>
      <c r="AL20" s="29" t="n">
        <f aca="false">SUMIF($F$7:$AG$7,AL$7,$F20:$AG20)</f>
        <v>477</v>
      </c>
      <c r="AM20" s="29" t="n">
        <f aca="false">SUMIF($F$7:$AG$7,AM$7,$F20:$AG20)</f>
        <v>526.5</v>
      </c>
      <c r="AN20" s="29" t="n">
        <f aca="false">SUMIF($F$7:$AG$7,AN$7,$F20:$AG20)</f>
        <v>664</v>
      </c>
      <c r="AO20" s="29" t="n">
        <f aca="false">SUMIF($F$7:$AG$7,AO$7,$F20:$AG20)</f>
        <v>468</v>
      </c>
    </row>
    <row r="21" customFormat="false" ht="15" hidden="false" customHeight="false" outlineLevel="0" collapsed="false">
      <c r="A21" s="104" t="s">
        <v>1926</v>
      </c>
      <c r="B21" s="20" t="s">
        <v>549</v>
      </c>
      <c r="C21" s="20" t="s">
        <v>1309</v>
      </c>
      <c r="D21" s="20"/>
      <c r="F21" s="116" t="n">
        <f aca="false">INDEX(MW_OwnSh,1,1)</f>
        <v>1</v>
      </c>
      <c r="G21" s="116" t="n">
        <f aca="false">INDEX(MW_OwnSh,1,2)</f>
        <v>1</v>
      </c>
      <c r="H21" s="116" t="n">
        <f aca="false">INDEX(MW_OwnSh,1,3)</f>
        <v>1</v>
      </c>
      <c r="I21" s="116" t="n">
        <f aca="false">INDEX(MW_OwnSh,1,4)</f>
        <v>0.833333333333333</v>
      </c>
      <c r="J21" s="116" t="n">
        <f aca="false">INDEX(MW_OwnSh,1,5)</f>
        <v>0.625</v>
      </c>
      <c r="K21" s="116" t="n">
        <f aca="false">INDEX(MW_OwnSh,1,6)</f>
        <v>0.555555555555556</v>
      </c>
      <c r="L21" s="116" t="n">
        <f aca="false">INDEX(MW_OwnSh,1,7)</f>
        <v>0.6</v>
      </c>
      <c r="M21" s="116" t="n">
        <f aca="false">INDEX(MW_OwnSh,1,8)</f>
        <v>0.423155044008125</v>
      </c>
      <c r="N21" s="116" t="n">
        <f aca="false">INDEX(MW_OwnSh,1,9)</f>
        <v>0.43731778425656</v>
      </c>
      <c r="O21" s="116" t="n">
        <f aca="false">INDEX(MW_OwnSh,1,10)</f>
        <v>0.433526011560694</v>
      </c>
      <c r="P21" s="25" t="n">
        <f aca="false">INDEX(MW_OwnSh,1,11)</f>
        <v>0.36144578313253</v>
      </c>
      <c r="Q21" s="25" t="n">
        <f aca="false">INDEX(MW_OwnSh,1,12)</f>
        <v>0.256497948016416</v>
      </c>
      <c r="R21" s="25" t="n">
        <f aca="false">INDEX(MW_OwnSh,1,13)</f>
        <v>0.204130643611912</v>
      </c>
      <c r="S21" s="25" t="n">
        <f aca="false">INDEX(MW_OwnSh,1,14)</f>
        <v>0.199963309484498</v>
      </c>
      <c r="T21" s="25" t="n">
        <f aca="false">INDEX(MW_OwnSh,1,15)</f>
        <v>0.267348429510592</v>
      </c>
      <c r="U21" s="25" t="n">
        <f aca="false">INDEX(MW_OwnSh,1,16)</f>
        <v>0.361052631578947</v>
      </c>
      <c r="V21" s="25" t="n">
        <f aca="false">INDEX(MW_OwnSh,1,17)</f>
        <v>0.405755395683453</v>
      </c>
      <c r="W21" s="25" t="n">
        <f aca="false">INDEX(MW_OwnSh,1,18)</f>
        <v>0.483103879849812</v>
      </c>
      <c r="X21" s="25" t="n">
        <f aca="false">INDEX(MW_OwnSh,1,19)</f>
        <v>0.478117258464079</v>
      </c>
      <c r="Y21" s="25" t="n">
        <f aca="false">INDEX(MW_OwnSh,1,20)</f>
        <v>0.558154645873944</v>
      </c>
      <c r="Z21" s="25" t="n">
        <f aca="false">INDEX(MW_OwnSh,1,21)</f>
        <v>0.558154645873944</v>
      </c>
      <c r="AA21" s="25" t="n">
        <f aca="false">INDEX(MW_OwnSh,1,22)</f>
        <v>0.637333333333333</v>
      </c>
      <c r="AB21" s="25" t="n">
        <f aca="false">INDEX(MW_OwnSh,1,23)</f>
        <v>0.637333333333333</v>
      </c>
      <c r="AC21" s="25" t="n">
        <f aca="false">INDEX(MW_OwnSh,1,24)</f>
        <v>0.709773794280837</v>
      </c>
      <c r="AD21" s="25" t="n">
        <f aca="false">INDEX(MW_OwnSh,1,25)</f>
        <v>0.709773794280837</v>
      </c>
      <c r="AE21" s="25" t="n">
        <f aca="false">INDEX(MW_OwnSh,1,26)</f>
        <v>0.709773794280837</v>
      </c>
      <c r="AF21" s="25" t="n">
        <f aca="false">INDEX(MW_OwnSh,1,27)</f>
        <v>0.709773794280837</v>
      </c>
      <c r="AG21" s="25" t="n">
        <f aca="false">INDEX(MW_OwnSh,1,28)</f>
        <v>0.757402782732786</v>
      </c>
      <c r="AI21" s="25" t="n">
        <f aca="false">AVERAGEIF($F$7:$AG$7,AI$7,$F21:$AG21)</f>
        <v>0.958333333333333</v>
      </c>
      <c r="AJ21" s="25" t="n">
        <f aca="false">AVERAGEIF($F$7:$AG$7,AJ$7,$F21:$AG21)</f>
        <v>0.55092764989092</v>
      </c>
      <c r="AK21" s="25" t="n">
        <f aca="false">AVERAGEIF($F$7:$AG$7,AK$7,$F21:$AG21)</f>
        <v>0.37219688174155</v>
      </c>
      <c r="AL21" s="25" t="n">
        <f aca="false">AVERAGEIF($F$7:$AG$7,AL$7,$F21:$AG21)</f>
        <v>0.258123753546487</v>
      </c>
      <c r="AM21" s="25" t="n">
        <f aca="false">AVERAGEIF($F$7:$AG$7,AM$7,$F21:$AG21)</f>
        <v>0.481282794967822</v>
      </c>
      <c r="AN21" s="25" t="n">
        <f aca="false">AVERAGEIF($F$7:$AG$7,AN$7,$F21:$AG21)</f>
        <v>0.635648776705362</v>
      </c>
      <c r="AO21" s="25" t="n">
        <f aca="false">AVERAGEIF($F$7:$AG$7,AO$7,$F21:$AG21)</f>
        <v>0.721681041393824</v>
      </c>
    </row>
    <row r="22" customFormat="false" ht="15" hidden="false" customHeight="false" outlineLevel="0" collapsed="false">
      <c r="A22" s="104" t="s">
        <v>1927</v>
      </c>
      <c r="B22" s="20" t="s">
        <v>561</v>
      </c>
      <c r="C22" s="20" t="s">
        <v>550</v>
      </c>
      <c r="D22" s="20"/>
      <c r="F22" s="122" t="n">
        <f aca="false">INDEX(H_Capex,1,1)</f>
        <v>130</v>
      </c>
      <c r="G22" s="122" t="n">
        <f aca="false">INDEX(H_Capex,1,2)</f>
        <v>130</v>
      </c>
      <c r="H22" s="122" t="n">
        <f aca="false">INDEX(H_Capex,1,3)</f>
        <v>129.9</v>
      </c>
      <c r="I22" s="122" t="n">
        <f aca="false">INDEX(H_Capex,1,4)</f>
        <v>417.6</v>
      </c>
      <c r="J22" s="122" t="n">
        <f aca="false">INDEX(H_Capex,1,5)</f>
        <v>544</v>
      </c>
      <c r="K22" s="122" t="n">
        <f aca="false">INDEX(H_Capex,1,6)</f>
        <v>510.6</v>
      </c>
      <c r="L22" s="122" t="n">
        <f aca="false">INDEX(H_Capex,1,7)</f>
        <v>955.5</v>
      </c>
      <c r="M22" s="122" t="n">
        <f aca="false">INDEX(H_Capex,1,8)</f>
        <v>2056</v>
      </c>
      <c r="N22" s="122" t="n">
        <f aca="false">INDEX(H_Capex,1,9)</f>
        <v>2472.9</v>
      </c>
      <c r="O22" s="122" t="n">
        <f aca="false">INDEX(H_Capex,1,10)</f>
        <v>5657.4</v>
      </c>
      <c r="AI22" s="123" t="n">
        <f aca="false">SUMIF($F$7:$AG$7,AI$7,$F22:$AG22)</f>
        <v>807.5</v>
      </c>
      <c r="AJ22" s="123" t="n">
        <f aca="false">SUMIF($F$7:$AG$7,AJ$7,$F22:$AG22)</f>
        <v>4066.1</v>
      </c>
      <c r="AK22" s="123" t="n">
        <f aca="false">SUMIF($F$7:$AG$7,AK$7,$F22:$AG22)</f>
        <v>8130.3</v>
      </c>
      <c r="AL22" s="123" t="n">
        <f aca="false">SUMIF($F$7:$AG$7,AL$7,$F22:$AG22)</f>
        <v>0</v>
      </c>
      <c r="AM22" s="123" t="n">
        <f aca="false">SUMIF($F$7:$AG$7,AM$7,$F22:$AG22)</f>
        <v>0</v>
      </c>
      <c r="AN22" s="123" t="n">
        <f aca="false">SUMIF($F$7:$AG$7,AN$7,$F22:$AG22)</f>
        <v>0</v>
      </c>
      <c r="AO22" s="123" t="n">
        <f aca="false">SUMIF($F$7:$AG$7,AO$7,$F22:$AG22)</f>
        <v>0</v>
      </c>
    </row>
    <row r="23" customFormat="false" ht="15" hidden="false" customHeight="false" outlineLevel="0" collapsed="false">
      <c r="A23" s="104" t="s">
        <v>1928</v>
      </c>
      <c r="B23" s="20" t="s">
        <v>561</v>
      </c>
      <c r="C23" s="20" t="s">
        <v>495</v>
      </c>
      <c r="D23" s="20" t="s">
        <v>1929</v>
      </c>
      <c r="E23" s="123" t="n">
        <f aca="false">OpenGPU_H</f>
        <v>142.4</v>
      </c>
      <c r="F23" s="122" t="n">
        <f aca="false">IF(F$5&lt;=LastHist,IF(F$5&lt;=10,INDEX(H_Capex,1,F$5)*HistGPUsh*INDEX(Mix_H,1,F$7-FYBase),0),IF(AND(CapexMethod&lt;3,F$5+GPULead&gt;28),0,CHOOSE(CapexMethod,INDEX(GPU_Add_H,1,MIN(28,F$5+GPULead))*GPUCost_H/1000000,INDEX(GPU_Add_H,1,MIN(28,F$5+GPULead))/GPUMW_H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H,1,MIN(28,F$5+GPULead))/(INDEX(GPU_Add_H,1,MIN(28,F$5+GPULead))+INDEX(GPU_Add_B,1,MIN(28,F$5+GPULead))+INDEX(GPU_Add_N,1,MIN(28,F$5+GPULead))),INDEX(Mix_H,1,F$7-FYBase)))))</f>
        <v>104</v>
      </c>
      <c r="G23" s="122" t="n">
        <f aca="false">IF(G$5&lt;=LastHist,IF(G$5&lt;=10,INDEX(H_Capex,1,G$5)*HistGPUsh*INDEX(Mix_H,1,G$7-FYBase),0),IF(AND(CapexMethod&lt;3,G$5+GPULead&gt;28),0,CHOOSE(CapexMethod,INDEX(GPU_Add_H,1,MIN(28,G$5+GPULead))*GPUCost_H/1000000,INDEX(GPU_Add_H,1,MIN(28,G$5+GPULead))/GPUMW_H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H,1,MIN(28,G$5+GPULead))/(INDEX(GPU_Add_H,1,MIN(28,G$5+GPULead))+INDEX(GPU_Add_B,1,MIN(28,G$5+GPULead))+INDEX(GPU_Add_N,1,MIN(28,G$5+GPULead))),INDEX(Mix_H,1,G$7-FYBase)))))</f>
        <v>104</v>
      </c>
      <c r="H23" s="122" t="n">
        <f aca="false">IF(H$5&lt;=LastHist,IF(H$5&lt;=10,INDEX(H_Capex,1,H$5)*HistGPUsh*INDEX(Mix_H,1,H$7-FYBase),0),IF(AND(CapexMethod&lt;3,H$5+GPULead&gt;28),0,CHOOSE(CapexMethod,INDEX(GPU_Add_H,1,MIN(28,H$5+GPULead))*GPUCost_H/1000000,INDEX(GPU_Add_H,1,MIN(28,H$5+GPULead))/GPUMW_H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H,1,MIN(28,H$5+GPULead))/(INDEX(GPU_Add_H,1,MIN(28,H$5+GPULead))+INDEX(GPU_Add_B,1,MIN(28,H$5+GPULead))+INDEX(GPU_Add_N,1,MIN(28,H$5+GPULead))),INDEX(Mix_H,1,H$7-FYBase)))))</f>
        <v>103.92</v>
      </c>
      <c r="I23" s="122" t="n">
        <f aca="false">IF(I$5&lt;=LastHist,IF(I$5&lt;=10,INDEX(H_Capex,1,I$5)*HistGPUsh*INDEX(Mix_H,1,I$7-FYBase),0),IF(AND(CapexMethod&lt;3,I$5+GPULead&gt;28),0,CHOOSE(CapexMethod,INDEX(GPU_Add_H,1,MIN(28,I$5+GPULead))*GPUCost_H/1000000,INDEX(GPU_Add_H,1,MIN(28,I$5+GPULead))/GPUMW_H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H,1,MIN(28,I$5+GPULead))/(INDEX(GPU_Add_H,1,MIN(28,I$5+GPULead))+INDEX(GPU_Add_B,1,MIN(28,I$5+GPULead))+INDEX(GPU_Add_N,1,MIN(28,I$5+GPULead))),INDEX(Mix_H,1,I$7-FYBase)))))</f>
        <v>334.08</v>
      </c>
      <c r="J23" s="122" t="n">
        <f aca="false">IF(J$5&lt;=LastHist,IF(J$5&lt;=10,INDEX(H_Capex,1,J$5)*HistGPUsh*INDEX(Mix_H,1,J$7-FYBase),0),IF(AND(CapexMethod&lt;3,J$5+GPULead&gt;28),0,CHOOSE(CapexMethod,INDEX(GPU_Add_H,1,MIN(28,J$5+GPULead))*GPUCost_H/1000000,INDEX(GPU_Add_H,1,MIN(28,J$5+GPULead))/GPUMW_H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H,1,MIN(28,J$5+GPULead))/(INDEX(GPU_Add_H,1,MIN(28,J$5+GPULead))+INDEX(GPU_Add_B,1,MIN(28,J$5+GPULead))+INDEX(GPU_Add_N,1,MIN(28,J$5+GPULead))),INDEX(Mix_H,1,J$7-FYBase)))))</f>
        <v>261.12</v>
      </c>
      <c r="K23" s="122" t="n">
        <f aca="false">IF(K$5&lt;=LastHist,IF(K$5&lt;=10,INDEX(H_Capex,1,K$5)*HistGPUsh*INDEX(Mix_H,1,K$7-FYBase),0),IF(AND(CapexMethod&lt;3,K$5+GPULead&gt;28),0,CHOOSE(CapexMethod,INDEX(GPU_Add_H,1,MIN(28,K$5+GPULead))*GPUCost_H/1000000,INDEX(GPU_Add_H,1,MIN(28,K$5+GPULead))/GPUMW_H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H,1,MIN(28,K$5+GPULead))/(INDEX(GPU_Add_H,1,MIN(28,K$5+GPULead))+INDEX(GPU_Add_B,1,MIN(28,K$5+GPULead))+INDEX(GPU_Add_N,1,MIN(28,K$5+GPULead))),INDEX(Mix_H,1,K$7-FYBase)))))</f>
        <v>245.088</v>
      </c>
      <c r="L23" s="122" t="n">
        <f aca="false">IF(L$5&lt;=LastHist,IF(L$5&lt;=10,INDEX(H_Capex,1,L$5)*HistGPUsh*INDEX(Mix_H,1,L$7-FYBase),0),IF(AND(CapexMethod&lt;3,L$5+GPULead&gt;28),0,CHOOSE(CapexMethod,INDEX(GPU_Add_H,1,MIN(28,L$5+GPULead))*GPUCost_H/1000000,INDEX(GPU_Add_H,1,MIN(28,L$5+GPULead))/GPUMW_H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H,1,MIN(28,L$5+GPULead))/(INDEX(GPU_Add_H,1,MIN(28,L$5+GPULead))+INDEX(GPU_Add_B,1,MIN(28,L$5+GPULead))+INDEX(GPU_Add_N,1,MIN(28,L$5+GPULead))),INDEX(Mix_H,1,L$7-FYBase)))))</f>
        <v>458.64</v>
      </c>
      <c r="M23" s="122" t="n">
        <f aca="false">IF(M$5&lt;=LastHist,IF(M$5&lt;=10,INDEX(H_Capex,1,M$5)*HistGPUsh*INDEX(Mix_H,1,M$7-FYBase),0),IF(AND(CapexMethod&lt;3,M$5+GPULead&gt;28),0,CHOOSE(CapexMethod,INDEX(GPU_Add_H,1,MIN(28,M$5+GPULead))*GPUCost_H/1000000,INDEX(GPU_Add_H,1,MIN(28,M$5+GPULead))/GPUMW_H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H,1,MIN(28,M$5+GPULead))/(INDEX(GPU_Add_H,1,MIN(28,M$5+GPULead))+INDEX(GPU_Add_B,1,MIN(28,M$5+GPULead))+INDEX(GPU_Add_N,1,MIN(28,M$5+GPULead))),INDEX(Mix_H,1,M$7-FYBase)))))</f>
        <v>986.88</v>
      </c>
      <c r="N23" s="122" t="n">
        <f aca="false">IF(N$5&lt;=LastHist,IF(N$5&lt;=10,INDEX(H_Capex,1,N$5)*HistGPUsh*INDEX(Mix_H,1,N$7-FYBase),0),IF(AND(CapexMethod&lt;3,N$5+GPULead&gt;28),0,CHOOSE(CapexMethod,INDEX(GPU_Add_H,1,MIN(28,N$5+GPULead))*GPUCost_H/1000000,INDEX(GPU_Add_H,1,MIN(28,N$5+GPULead))/GPUMW_H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H,1,MIN(28,N$5+GPULead))/(INDEX(GPU_Add_H,1,MIN(28,N$5+GPULead))+INDEX(GPU_Add_B,1,MIN(28,N$5+GPULead))+INDEX(GPU_Add_N,1,MIN(28,N$5+GPULead))),INDEX(Mix_H,1,N$7-FYBase)))))</f>
        <v>197.832</v>
      </c>
      <c r="O23" s="122" t="n">
        <f aca="false">IF(O$5&lt;=LastHist,IF(O$5&lt;=10,INDEX(H_Capex,1,O$5)*HistGPUsh*INDEX(Mix_H,1,O$7-FYBase),0),IF(AND(CapexMethod&lt;3,O$5+GPULead&gt;28),0,CHOOSE(CapexMethod,INDEX(GPU_Add_H,1,MIN(28,O$5+GPULead))*GPUCost_H/1000000,INDEX(GPU_Add_H,1,MIN(28,O$5+GPULead))/GPUMW_H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H,1,MIN(28,O$5+GPULead))/(INDEX(GPU_Add_H,1,MIN(28,O$5+GPULead))+INDEX(GPU_Add_B,1,MIN(28,O$5+GPULead))+INDEX(GPU_Add_N,1,MIN(28,O$5+GPULead))),INDEX(Mix_H,1,O$7-FYBase)))))</f>
        <v>452.592</v>
      </c>
      <c r="P23" s="123" t="n">
        <f aca="false">IF(P$5&lt;=LastHist,IF(P$5&lt;=10,INDEX(H_Capex,1,P$5)*HistGPUsh*INDEX(Mix_H,1,P$7-FYBase),0),IF(AND(CapexMethod&lt;3,P$5+GPULead&gt;28),0,CHOOSE(CapexMethod,INDEX(GPU_Add_H,1,MIN(28,P$5+GPULead))*GPUCost_H/1000000,INDEX(GPU_Add_H,1,MIN(28,P$5+GPULead))/GPUMW_H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H,1,MIN(28,P$5+GPULead))/(INDEX(GPU_Add_H,1,MIN(28,P$5+GPULead))+INDEX(GPU_Add_B,1,MIN(28,P$5+GPULead))+INDEX(GPU_Add_N,1,MIN(28,P$5+GPULead))),INDEX(Mix_H,1,P$7-FYBase)))))</f>
        <v>0</v>
      </c>
      <c r="Q23" s="123" t="n">
        <f aca="false">IF(Q$5&lt;=LastHist,IF(Q$5&lt;=10,INDEX(H_Capex,1,Q$5)*HistGPUsh*INDEX(Mix_H,1,Q$7-FYBase),0),IF(AND(CapexMethod&lt;3,Q$5+GPULead&gt;28),0,CHOOSE(CapexMethod,INDEX(GPU_Add_H,1,MIN(28,Q$5+GPULead))*GPUCost_H/1000000,INDEX(GPU_Add_H,1,MIN(28,Q$5+GPULead))/GPUMW_H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H,1,MIN(28,Q$5+GPULead))/(INDEX(GPU_Add_H,1,MIN(28,Q$5+GPULead))+INDEX(GPU_Add_B,1,MIN(28,Q$5+GPULead))+INDEX(GPU_Add_N,1,MIN(28,Q$5+GPULead))),INDEX(Mix_H,1,Q$7-FYBase)))))</f>
        <v>0</v>
      </c>
      <c r="R23" s="123" t="n">
        <f aca="false">IF(R$5&lt;=LastHist,IF(R$5&lt;=10,INDEX(H_Capex,1,R$5)*HistGPUsh*INDEX(Mix_H,1,R$7-FYBase),0),IF(AND(CapexMethod&lt;3,R$5+GPULead&gt;28),0,CHOOSE(CapexMethod,INDEX(GPU_Add_H,1,MIN(28,R$5+GPULead))*GPUCost_H/1000000,INDEX(GPU_Add_H,1,MIN(28,R$5+GPULead))/GPUMW_H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H,1,MIN(28,R$5+GPULead))/(INDEX(GPU_Add_H,1,MIN(28,R$5+GPULead))+INDEX(GPU_Add_B,1,MIN(28,R$5+GPULead))+INDEX(GPU_Add_N,1,MIN(28,R$5+GPULead))),INDEX(Mix_H,1,R$7-FYBase)))))</f>
        <v>0</v>
      </c>
      <c r="S23" s="123" t="n">
        <f aca="false">IF(S$5&lt;=LastHist,IF(S$5&lt;=10,INDEX(H_Capex,1,S$5)*HistGPUsh*INDEX(Mix_H,1,S$7-FYBase),0),IF(AND(CapexMethod&lt;3,S$5+GPULead&gt;28),0,CHOOSE(CapexMethod,INDEX(GPU_Add_H,1,MIN(28,S$5+GPULead))*GPUCost_H/1000000,INDEX(GPU_Add_H,1,MIN(28,S$5+GPULead))/GPUMW_H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H,1,MIN(28,S$5+GPULead))/(INDEX(GPU_Add_H,1,MIN(28,S$5+GPULead))+INDEX(GPU_Add_B,1,MIN(28,S$5+GPULead))+INDEX(GPU_Add_N,1,MIN(28,S$5+GPULead))),INDEX(Mix_H,1,S$7-FYBase)))))</f>
        <v>0</v>
      </c>
      <c r="T23" s="123" t="n">
        <f aca="false">IF(T$5&lt;=LastHist,IF(T$5&lt;=10,INDEX(H_Capex,1,T$5)*HistGPUsh*INDEX(Mix_H,1,T$7-FYBase),0),IF(AND(CapexMethod&lt;3,T$5+GPULead&gt;28),0,CHOOSE(CapexMethod,INDEX(GPU_Add_H,1,MIN(28,T$5+GPULead))*GPUCost_H/1000000,INDEX(GPU_Add_H,1,MIN(28,T$5+GPULead))/GPUMW_H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H,1,MIN(28,T$5+GPULead))/(INDEX(GPU_Add_H,1,MIN(28,T$5+GPULead))+INDEX(GPU_Add_B,1,MIN(28,T$5+GPULead))+INDEX(GPU_Add_N,1,MIN(28,T$5+GPULead))),INDEX(Mix_H,1,T$7-FYBase)))))</f>
        <v>0</v>
      </c>
      <c r="U23" s="123" t="n">
        <f aca="false">IF(U$5&lt;=LastHist,IF(U$5&lt;=10,INDEX(H_Capex,1,U$5)*HistGPUsh*INDEX(Mix_H,1,U$7-FYBase),0),IF(AND(CapexMethod&lt;3,U$5+GPULead&gt;28),0,CHOOSE(CapexMethod,INDEX(GPU_Add_H,1,MIN(28,U$5+GPULead))*GPUCost_H/1000000,INDEX(GPU_Add_H,1,MIN(28,U$5+GPULead))/GPUMW_H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H,1,MIN(28,U$5+GPULead))/(INDEX(GPU_Add_H,1,MIN(28,U$5+GPULead))+INDEX(GPU_Add_B,1,MIN(28,U$5+GPULead))+INDEX(GPU_Add_N,1,MIN(28,U$5+GPULead))),INDEX(Mix_H,1,U$7-FYBase)))))</f>
        <v>0</v>
      </c>
      <c r="V23" s="123" t="n">
        <f aca="false">IF(V$5&lt;=LastHist,IF(V$5&lt;=10,INDEX(H_Capex,1,V$5)*HistGPUsh*INDEX(Mix_H,1,V$7-FYBase),0),IF(AND(CapexMethod&lt;3,V$5+GPULead&gt;28),0,CHOOSE(CapexMethod,INDEX(GPU_Add_H,1,MIN(28,V$5+GPULead))*GPUCost_H/1000000,INDEX(GPU_Add_H,1,MIN(28,V$5+GPULead))/GPUMW_H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H,1,MIN(28,V$5+GPULead))/(INDEX(GPU_Add_H,1,MIN(28,V$5+GPULead))+INDEX(GPU_Add_B,1,MIN(28,V$5+GPULead))+INDEX(GPU_Add_N,1,MIN(28,V$5+GPULead))),INDEX(Mix_H,1,V$7-FYBase)))))</f>
        <v>0</v>
      </c>
      <c r="W23" s="123" t="n">
        <f aca="false">IF(W$5&lt;=LastHist,IF(W$5&lt;=10,INDEX(H_Capex,1,W$5)*HistGPUsh*INDEX(Mix_H,1,W$7-FYBase),0),IF(AND(CapexMethod&lt;3,W$5+GPULead&gt;28),0,CHOOSE(CapexMethod,INDEX(GPU_Add_H,1,MIN(28,W$5+GPULead))*GPUCost_H/1000000,INDEX(GPU_Add_H,1,MIN(28,W$5+GPULead))/GPUMW_H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H,1,MIN(28,W$5+GPULead))/(INDEX(GPU_Add_H,1,MIN(28,W$5+GPULead))+INDEX(GPU_Add_B,1,MIN(28,W$5+GPULead))+INDEX(GPU_Add_N,1,MIN(28,W$5+GPULead))),INDEX(Mix_H,1,W$7-FYBase)))))</f>
        <v>0</v>
      </c>
      <c r="X23" s="123" t="n">
        <f aca="false">IF(X$5&lt;=LastHist,IF(X$5&lt;=10,INDEX(H_Capex,1,X$5)*HistGPUsh*INDEX(Mix_H,1,X$7-FYBase),0),IF(AND(CapexMethod&lt;3,X$5+GPULead&gt;28),0,CHOOSE(CapexMethod,INDEX(GPU_Add_H,1,MIN(28,X$5+GPULead))*GPUCost_H/1000000,INDEX(GPU_Add_H,1,MIN(28,X$5+GPULead))/GPUMW_H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H,1,MIN(28,X$5+GPULead))/(INDEX(GPU_Add_H,1,MIN(28,X$5+GPULead))+INDEX(GPU_Add_B,1,MIN(28,X$5+GPULead))+INDEX(GPU_Add_N,1,MIN(28,X$5+GPULead))),INDEX(Mix_H,1,X$7-FYBase)))))</f>
        <v>0</v>
      </c>
      <c r="Y23" s="123" t="n">
        <f aca="false">IF(Y$5&lt;=LastHist,IF(Y$5&lt;=10,INDEX(H_Capex,1,Y$5)*HistGPUsh*INDEX(Mix_H,1,Y$7-FYBase),0),IF(AND(CapexMethod&lt;3,Y$5+GPULead&gt;28),0,CHOOSE(CapexMethod,INDEX(GPU_Add_H,1,MIN(28,Y$5+GPULead))*GPUCost_H/1000000,INDEX(GPU_Add_H,1,MIN(28,Y$5+GPULead))/GPUMW_H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H,1,MIN(28,Y$5+GPULead))/(INDEX(GPU_Add_H,1,MIN(28,Y$5+GPULead))+INDEX(GPU_Add_B,1,MIN(28,Y$5+GPULead))+INDEX(GPU_Add_N,1,MIN(28,Y$5+GPULead))),INDEX(Mix_H,1,Y$7-FYBase)))))</f>
        <v>0</v>
      </c>
      <c r="Z23" s="123" t="n">
        <f aca="false">IF(Z$5&lt;=LastHist,IF(Z$5&lt;=10,INDEX(H_Capex,1,Z$5)*HistGPUsh*INDEX(Mix_H,1,Z$7-FYBase),0),IF(AND(CapexMethod&lt;3,Z$5+GPULead&gt;28),0,CHOOSE(CapexMethod,INDEX(GPU_Add_H,1,MIN(28,Z$5+GPULead))*GPUCost_H/1000000,INDEX(GPU_Add_H,1,MIN(28,Z$5+GPULead))/GPUMW_H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H,1,MIN(28,Z$5+GPULead))/(INDEX(GPU_Add_H,1,MIN(28,Z$5+GPULead))+INDEX(GPU_Add_B,1,MIN(28,Z$5+GPULead))+INDEX(GPU_Add_N,1,MIN(28,Z$5+GPULead))),INDEX(Mix_H,1,Z$7-FYBase)))))</f>
        <v>0</v>
      </c>
      <c r="AA23" s="123" t="n">
        <f aca="false">IF(AA$5&lt;=LastHist,IF(AA$5&lt;=10,INDEX(H_Capex,1,AA$5)*HistGPUsh*INDEX(Mix_H,1,AA$7-FYBase),0),IF(AND(CapexMethod&lt;3,AA$5+GPULead&gt;28),0,CHOOSE(CapexMethod,INDEX(GPU_Add_H,1,MIN(28,AA$5+GPULead))*GPUCost_H/1000000,INDEX(GPU_Add_H,1,MIN(28,AA$5+GPULead))/GPUMW_H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H,1,MIN(28,AA$5+GPULead))/(INDEX(GPU_Add_H,1,MIN(28,AA$5+GPULead))+INDEX(GPU_Add_B,1,MIN(28,AA$5+GPULead))+INDEX(GPU_Add_N,1,MIN(28,AA$5+GPULead))),INDEX(Mix_H,1,AA$7-FYBase)))))</f>
        <v>0</v>
      </c>
      <c r="AB23" s="123" t="n">
        <f aca="false">IF(AB$5&lt;=LastHist,IF(AB$5&lt;=10,INDEX(H_Capex,1,AB$5)*HistGPUsh*INDEX(Mix_H,1,AB$7-FYBase),0),IF(AND(CapexMethod&lt;3,AB$5+GPULead&gt;28),0,CHOOSE(CapexMethod,INDEX(GPU_Add_H,1,MIN(28,AB$5+GPULead))*GPUCost_H/1000000,INDEX(GPU_Add_H,1,MIN(28,AB$5+GPULead))/GPUMW_H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H,1,MIN(28,AB$5+GPULead))/(INDEX(GPU_Add_H,1,MIN(28,AB$5+GPULead))+INDEX(GPU_Add_B,1,MIN(28,AB$5+GPULead))+INDEX(GPU_Add_N,1,MIN(28,AB$5+GPULead))),INDEX(Mix_H,1,AB$7-FYBase)))))</f>
        <v>0</v>
      </c>
      <c r="AC23" s="123" t="n">
        <f aca="false">IF(AC$5&lt;=LastHist,IF(AC$5&lt;=10,INDEX(H_Capex,1,AC$5)*HistGPUsh*INDEX(Mix_H,1,AC$7-FYBase),0),IF(AND(CapexMethod&lt;3,AC$5+GPULead&gt;28),0,CHOOSE(CapexMethod,INDEX(GPU_Add_H,1,MIN(28,AC$5+GPULead))*GPUCost_H/1000000,INDEX(GPU_Add_H,1,MIN(28,AC$5+GPULead))/GPUMW_H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H,1,MIN(28,AC$5+GPULead))/(INDEX(GPU_Add_H,1,MIN(28,AC$5+GPULead))+INDEX(GPU_Add_B,1,MIN(28,AC$5+GPULead))+INDEX(GPU_Add_N,1,MIN(28,AC$5+GPULead))),INDEX(Mix_H,1,AC$7-FYBase)))))</f>
        <v>0</v>
      </c>
      <c r="AD23" s="123" t="n">
        <f aca="false">IF(AD$5&lt;=LastHist,IF(AD$5&lt;=10,INDEX(H_Capex,1,AD$5)*HistGPUsh*INDEX(Mix_H,1,AD$7-FYBase),0),IF(AND(CapexMethod&lt;3,AD$5+GPULead&gt;28),0,CHOOSE(CapexMethod,INDEX(GPU_Add_H,1,MIN(28,AD$5+GPULead))*GPUCost_H/1000000,INDEX(GPU_Add_H,1,MIN(28,AD$5+GPULead))/GPUMW_H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H,1,MIN(28,AD$5+GPULead))/(INDEX(GPU_Add_H,1,MIN(28,AD$5+GPULead))+INDEX(GPU_Add_B,1,MIN(28,AD$5+GPULead))+INDEX(GPU_Add_N,1,MIN(28,AD$5+GPULead))),INDEX(Mix_H,1,AD$7-FYBase)))))</f>
        <v>0</v>
      </c>
      <c r="AE23" s="123" t="n">
        <f aca="false">IF(AE$5&lt;=LastHist,IF(AE$5&lt;=10,INDEX(H_Capex,1,AE$5)*HistGPUsh*INDEX(Mix_H,1,AE$7-FYBase),0),IF(AND(CapexMethod&lt;3,AE$5+GPULead&gt;28),0,CHOOSE(CapexMethod,INDEX(GPU_Add_H,1,MIN(28,AE$5+GPULead))*GPUCost_H/1000000,INDEX(GPU_Add_H,1,MIN(28,AE$5+GPULead))/GPUMW_H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H,1,MIN(28,AE$5+GPULead))/(INDEX(GPU_Add_H,1,MIN(28,AE$5+GPULead))+INDEX(GPU_Add_B,1,MIN(28,AE$5+GPULead))+INDEX(GPU_Add_N,1,MIN(28,AE$5+GPULead))),INDEX(Mix_H,1,AE$7-FYBase)))))</f>
        <v>0</v>
      </c>
      <c r="AF23" s="123" t="n">
        <f aca="false">IF(AF$5&lt;=LastHist,IF(AF$5&lt;=10,INDEX(H_Capex,1,AF$5)*HistGPUsh*INDEX(Mix_H,1,AF$7-FYBase),0),IF(AND(CapexMethod&lt;3,AF$5+GPULead&gt;28),0,CHOOSE(CapexMethod,INDEX(GPU_Add_H,1,MIN(28,AF$5+GPULead))*GPUCost_H/1000000,INDEX(GPU_Add_H,1,MIN(28,AF$5+GPULead))/GPUMW_H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H,1,MIN(28,AF$5+GPULead))/(INDEX(GPU_Add_H,1,MIN(28,AF$5+GPULead))+INDEX(GPU_Add_B,1,MIN(28,AF$5+GPULead))+INDEX(GPU_Add_N,1,MIN(28,AF$5+GPULead))),INDEX(Mix_H,1,AF$7-FYBase)))))</f>
        <v>0</v>
      </c>
      <c r="AG23" s="123" t="n">
        <f aca="false">IF(AG$5&lt;=LastHist,IF(AG$5&lt;=10,INDEX(H_Capex,1,AG$5)*HistGPUsh*INDEX(Mix_H,1,AG$7-FYBase),0),IF(AND(CapexMethod&lt;3,AG$5+GPULead&gt;28),0,CHOOSE(CapexMethod,INDEX(GPU_Add_H,1,MIN(28,AG$5+GPULead))*GPUCost_H/1000000,INDEX(GPU_Add_H,1,MIN(28,AG$5+GPULead))/GPUMW_H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H,1,MIN(28,AG$5+GPULead))/(INDEX(GPU_Add_H,1,MIN(28,AG$5+GPULead))+INDEX(GPU_Add_B,1,MIN(28,AG$5+GPULead))+INDEX(GPU_Add_N,1,MIN(28,AG$5+GPULead))),INDEX(Mix_H,1,AG$7-FYBase)))))</f>
        <v>0</v>
      </c>
      <c r="AI23" s="123" t="n">
        <f aca="false">SUMIF($F$7:$AG$7,AI$7,$F23:$AG23)</f>
        <v>646</v>
      </c>
      <c r="AJ23" s="123" t="n">
        <f aca="false">SUMIF($F$7:$AG$7,AJ$7,$F23:$AG23)</f>
        <v>1951.728</v>
      </c>
      <c r="AK23" s="123" t="n">
        <f aca="false">SUMIF($F$7:$AG$7,AK$7,$F23:$AG23)</f>
        <v>650.424</v>
      </c>
      <c r="AL23" s="123" t="n">
        <f aca="false">SUMIF($F$7:$AG$7,AL$7,$F23:$AG23)</f>
        <v>0</v>
      </c>
      <c r="AM23" s="123" t="n">
        <f aca="false">SUMIF($F$7:$AG$7,AM$7,$F23:$AG23)</f>
        <v>0</v>
      </c>
      <c r="AN23" s="123" t="n">
        <f aca="false">SUMIF($F$7:$AG$7,AN$7,$F23:$AG23)</f>
        <v>0</v>
      </c>
      <c r="AO23" s="123" t="n">
        <f aca="false">SUMIF($F$7:$AG$7,AO$7,$F23:$AG23)</f>
        <v>0</v>
      </c>
    </row>
    <row r="24" customFormat="false" ht="15" hidden="false" customHeight="false" outlineLevel="0" collapsed="false">
      <c r="A24" s="104" t="s">
        <v>1930</v>
      </c>
      <c r="B24" s="20" t="s">
        <v>561</v>
      </c>
      <c r="C24" s="20" t="s">
        <v>495</v>
      </c>
      <c r="D24" s="20" t="s">
        <v>1929</v>
      </c>
      <c r="E24" s="123" t="n">
        <f aca="false">0</f>
        <v>0</v>
      </c>
      <c r="F24" s="122" t="n">
        <f aca="false">IF(F$5&lt;=LastHist,IF(F$5&lt;=10,INDEX(H_Capex,1,F$5)*HistGPUsh*INDEX(Mix_B,1,F$7-FYBase),0),IF(AND(CapexMethod&lt;3,F$5+GPULead&gt;28),0,CHOOSE(CapexMethod,INDEX(GPU_Add_B,1,MIN(28,F$5+GPULead))*GPUCost_B/1000000,INDEX(GPU_Add_B,1,MIN(28,F$5+GPULead))/GPUMW_B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B,1,MIN(28,F$5+GPULead))/(INDEX(GPU_Add_H,1,MIN(28,F$5+GPULead))+INDEX(GPU_Add_B,1,MIN(28,F$5+GPULead))+INDEX(GPU_Add_N,1,MIN(28,F$5+GPULead))),INDEX(Mix_B,1,F$7-FYBase)))))</f>
        <v>0</v>
      </c>
      <c r="G24" s="122" t="n">
        <f aca="false">IF(G$5&lt;=LastHist,IF(G$5&lt;=10,INDEX(H_Capex,1,G$5)*HistGPUsh*INDEX(Mix_B,1,G$7-FYBase),0),IF(AND(CapexMethod&lt;3,G$5+GPULead&gt;28),0,CHOOSE(CapexMethod,INDEX(GPU_Add_B,1,MIN(28,G$5+GPULead))*GPUCost_B/1000000,INDEX(GPU_Add_B,1,MIN(28,G$5+GPULead))/GPUMW_B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B,1,MIN(28,G$5+GPULead))/(INDEX(GPU_Add_H,1,MIN(28,G$5+GPULead))+INDEX(GPU_Add_B,1,MIN(28,G$5+GPULead))+INDEX(GPU_Add_N,1,MIN(28,G$5+GPULead))),INDEX(Mix_B,1,G$7-FYBase)))))</f>
        <v>0</v>
      </c>
      <c r="H24" s="122" t="n">
        <f aca="false">IF(H$5&lt;=LastHist,IF(H$5&lt;=10,INDEX(H_Capex,1,H$5)*HistGPUsh*INDEX(Mix_B,1,H$7-FYBase),0),IF(AND(CapexMethod&lt;3,H$5+GPULead&gt;28),0,CHOOSE(CapexMethod,INDEX(GPU_Add_B,1,MIN(28,H$5+GPULead))*GPUCost_B/1000000,INDEX(GPU_Add_B,1,MIN(28,H$5+GPULead))/GPUMW_B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B,1,MIN(28,H$5+GPULead))/(INDEX(GPU_Add_H,1,MIN(28,H$5+GPULead))+INDEX(GPU_Add_B,1,MIN(28,H$5+GPULead))+INDEX(GPU_Add_N,1,MIN(28,H$5+GPULead))),INDEX(Mix_B,1,H$7-FYBase)))))</f>
        <v>0</v>
      </c>
      <c r="I24" s="122" t="n">
        <f aca="false">IF(I$5&lt;=LastHist,IF(I$5&lt;=10,INDEX(H_Capex,1,I$5)*HistGPUsh*INDEX(Mix_B,1,I$7-FYBase),0),IF(AND(CapexMethod&lt;3,I$5+GPULead&gt;28),0,CHOOSE(CapexMethod,INDEX(GPU_Add_B,1,MIN(28,I$5+GPULead))*GPUCost_B/1000000,INDEX(GPU_Add_B,1,MIN(28,I$5+GPULead))/GPUMW_B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B,1,MIN(28,I$5+GPULead))/(INDEX(GPU_Add_H,1,MIN(28,I$5+GPULead))+INDEX(GPU_Add_B,1,MIN(28,I$5+GPULead))+INDEX(GPU_Add_N,1,MIN(28,I$5+GPULead))),INDEX(Mix_B,1,I$7-FYBase)))))</f>
        <v>0</v>
      </c>
      <c r="J24" s="122" t="n">
        <f aca="false">IF(J$5&lt;=LastHist,IF(J$5&lt;=10,INDEX(H_Capex,1,J$5)*HistGPUsh*INDEX(Mix_B,1,J$7-FYBase),0),IF(AND(CapexMethod&lt;3,J$5+GPULead&gt;28),0,CHOOSE(CapexMethod,INDEX(GPU_Add_B,1,MIN(28,J$5+GPULead))*GPUCost_B/1000000,INDEX(GPU_Add_B,1,MIN(28,J$5+GPULead))/GPUMW_B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B,1,MIN(28,J$5+GPULead))/(INDEX(GPU_Add_H,1,MIN(28,J$5+GPULead))+INDEX(GPU_Add_B,1,MIN(28,J$5+GPULead))+INDEX(GPU_Add_N,1,MIN(28,J$5+GPULead))),INDEX(Mix_B,1,J$7-FYBase)))))</f>
        <v>174.08</v>
      </c>
      <c r="K24" s="122" t="n">
        <f aca="false">IF(K$5&lt;=LastHist,IF(K$5&lt;=10,INDEX(H_Capex,1,K$5)*HistGPUsh*INDEX(Mix_B,1,K$7-FYBase),0),IF(AND(CapexMethod&lt;3,K$5+GPULead&gt;28),0,CHOOSE(CapexMethod,INDEX(GPU_Add_B,1,MIN(28,K$5+GPULead))*GPUCost_B/1000000,INDEX(GPU_Add_B,1,MIN(28,K$5+GPULead))/GPUMW_B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B,1,MIN(28,K$5+GPULead))/(INDEX(GPU_Add_H,1,MIN(28,K$5+GPULead))+INDEX(GPU_Add_B,1,MIN(28,K$5+GPULead))+INDEX(GPU_Add_N,1,MIN(28,K$5+GPULead))),INDEX(Mix_B,1,K$7-FYBase)))))</f>
        <v>163.392</v>
      </c>
      <c r="L24" s="122" t="n">
        <f aca="false">IF(L$5&lt;=LastHist,IF(L$5&lt;=10,INDEX(H_Capex,1,L$5)*HistGPUsh*INDEX(Mix_B,1,L$7-FYBase),0),IF(AND(CapexMethod&lt;3,L$5+GPULead&gt;28),0,CHOOSE(CapexMethod,INDEX(GPU_Add_B,1,MIN(28,L$5+GPULead))*GPUCost_B/1000000,INDEX(GPU_Add_B,1,MIN(28,L$5+GPULead))/GPUMW_B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B,1,MIN(28,L$5+GPULead))/(INDEX(GPU_Add_H,1,MIN(28,L$5+GPULead))+INDEX(GPU_Add_B,1,MIN(28,L$5+GPULead))+INDEX(GPU_Add_N,1,MIN(28,L$5+GPULead))),INDEX(Mix_B,1,L$7-FYBase)))))</f>
        <v>305.76</v>
      </c>
      <c r="M24" s="122" t="n">
        <f aca="false">IF(M$5&lt;=LastHist,IF(M$5&lt;=10,INDEX(H_Capex,1,M$5)*HistGPUsh*INDEX(Mix_B,1,M$7-FYBase),0),IF(AND(CapexMethod&lt;3,M$5+GPULead&gt;28),0,CHOOSE(CapexMethod,INDEX(GPU_Add_B,1,MIN(28,M$5+GPULead))*GPUCost_B/1000000,INDEX(GPU_Add_B,1,MIN(28,M$5+GPULead))/GPUMW_B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B,1,MIN(28,M$5+GPULead))/(INDEX(GPU_Add_H,1,MIN(28,M$5+GPULead))+INDEX(GPU_Add_B,1,MIN(28,M$5+GPULead))+INDEX(GPU_Add_N,1,MIN(28,M$5+GPULead))),INDEX(Mix_B,1,M$7-FYBase)))))</f>
        <v>657.92</v>
      </c>
      <c r="N24" s="122" t="n">
        <f aca="false">IF(N$5&lt;=LastHist,IF(N$5&lt;=10,INDEX(H_Capex,1,N$5)*HistGPUsh*INDEX(Mix_B,1,N$7-FYBase),0),IF(AND(CapexMethod&lt;3,N$5+GPULead&gt;28),0,CHOOSE(CapexMethod,INDEX(GPU_Add_B,1,MIN(28,N$5+GPULead))*GPUCost_B/1000000,INDEX(GPU_Add_B,1,MIN(28,N$5+GPULead))/GPUMW_B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B,1,MIN(28,N$5+GPULead))/(INDEX(GPU_Add_H,1,MIN(28,N$5+GPULead))+INDEX(GPU_Add_B,1,MIN(28,N$5+GPULead))+INDEX(GPU_Add_N,1,MIN(28,N$5+GPULead))),INDEX(Mix_B,1,N$7-FYBase)))))</f>
        <v>1780.488</v>
      </c>
      <c r="O24" s="122" t="n">
        <f aca="false">IF(O$5&lt;=LastHist,IF(O$5&lt;=10,INDEX(H_Capex,1,O$5)*HistGPUsh*INDEX(Mix_B,1,O$7-FYBase),0),IF(AND(CapexMethod&lt;3,O$5+GPULead&gt;28),0,CHOOSE(CapexMethod,INDEX(GPU_Add_B,1,MIN(28,O$5+GPULead))*GPUCost_B/1000000,INDEX(GPU_Add_B,1,MIN(28,O$5+GPULead))/GPUMW_B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B,1,MIN(28,O$5+GPULead))/(INDEX(GPU_Add_H,1,MIN(28,O$5+GPULead))+INDEX(GPU_Add_B,1,MIN(28,O$5+GPULead))+INDEX(GPU_Add_N,1,MIN(28,O$5+GPULead))),INDEX(Mix_B,1,O$7-FYBase)))))</f>
        <v>4073.328</v>
      </c>
      <c r="P24" s="123" t="n">
        <f aca="false">IF(P$5&lt;=LastHist,IF(P$5&lt;=10,INDEX(H_Capex,1,P$5)*HistGPUsh*INDEX(Mix_B,1,P$7-FYBase),0),IF(AND(CapexMethod&lt;3,P$5+GPULead&gt;28),0,CHOOSE(CapexMethod,INDEX(GPU_Add_B,1,MIN(28,P$5+GPULead))*GPUCost_B/1000000,INDEX(GPU_Add_B,1,MIN(28,P$5+GPULead))/GPUMW_B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B,1,MIN(28,P$5+GPULead))/(INDEX(GPU_Add_H,1,MIN(28,P$5+GPULead))+INDEX(GPU_Add_B,1,MIN(28,P$5+GPULead))+INDEX(GPU_Add_N,1,MIN(28,P$5+GPULead))),INDEX(Mix_B,1,P$7-FYBase)))))</f>
        <v>3374.2</v>
      </c>
      <c r="Q24" s="123" t="n">
        <f aca="false">IF(Q$5&lt;=LastHist,IF(Q$5&lt;=10,INDEX(H_Capex,1,Q$5)*HistGPUsh*INDEX(Mix_B,1,Q$7-FYBase),0),IF(AND(CapexMethod&lt;3,Q$5+GPULead&gt;28),0,CHOOSE(CapexMethod,INDEX(GPU_Add_B,1,MIN(28,Q$5+GPULead))*GPUCost_B/1000000,INDEX(GPU_Add_B,1,MIN(28,Q$5+GPULead))/GPUMW_B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B,1,MIN(28,Q$5+GPULead))/(INDEX(GPU_Add_H,1,MIN(28,Q$5+GPULead))+INDEX(GPU_Add_B,1,MIN(28,Q$5+GPULead))+INDEX(GPU_Add_N,1,MIN(28,Q$5+GPULead))),INDEX(Mix_B,1,Q$7-FYBase)))))</f>
        <v>4651.54526558098</v>
      </c>
      <c r="R24" s="123" t="n">
        <f aca="false">IF(R$5&lt;=LastHist,IF(R$5&lt;=10,INDEX(H_Capex,1,R$5)*HistGPUsh*INDEX(Mix_B,1,R$7-FYBase),0),IF(AND(CapexMethod&lt;3,R$5+GPULead&gt;28),0,CHOOSE(CapexMethod,INDEX(GPU_Add_B,1,MIN(28,R$5+GPULead))*GPUCost_B/1000000,INDEX(GPU_Add_B,1,MIN(28,R$5+GPULead))/GPUMW_B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B,1,MIN(28,R$5+GPULead))/(INDEX(GPU_Add_H,1,MIN(28,R$5+GPULead))+INDEX(GPU_Add_B,1,MIN(28,R$5+GPULead))+INDEX(GPU_Add_N,1,MIN(28,R$5+GPULead))),INDEX(Mix_B,1,R$7-FYBase)))))</f>
        <v>4650.17389738974</v>
      </c>
      <c r="S24" s="123" t="n">
        <f aca="false">IF(S$5&lt;=LastHist,IF(S$5&lt;=10,INDEX(H_Capex,1,S$5)*HistGPUsh*INDEX(Mix_B,1,S$7-FYBase),0),IF(AND(CapexMethod&lt;3,S$5+GPULead&gt;28),0,CHOOSE(CapexMethod,INDEX(GPU_Add_B,1,MIN(28,S$5+GPULead))*GPUCost_B/1000000,INDEX(GPU_Add_B,1,MIN(28,S$5+GPULead))/GPUMW_B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B,1,MIN(28,S$5+GPULead))/(INDEX(GPU_Add_H,1,MIN(28,S$5+GPULead))+INDEX(GPU_Add_B,1,MIN(28,S$5+GPULead))+INDEX(GPU_Add_N,1,MIN(28,S$5+GPULead))),INDEX(Mix_B,1,S$7-FYBase)))))</f>
        <v>2757.47042608841</v>
      </c>
      <c r="T24" s="123" t="n">
        <f aca="false">IF(T$5&lt;=LastHist,IF(T$5&lt;=10,INDEX(H_Capex,1,T$5)*HistGPUsh*INDEX(Mix_B,1,T$7-FYBase),0),IF(AND(CapexMethod&lt;3,T$5+GPULead&gt;28),0,CHOOSE(CapexMethod,INDEX(GPU_Add_B,1,MIN(28,T$5+GPULead))*GPUCost_B/1000000,INDEX(GPU_Add_B,1,MIN(28,T$5+GPULead))/GPUMW_B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B,1,MIN(28,T$5+GPULead))/(INDEX(GPU_Add_H,1,MIN(28,T$5+GPULead))+INDEX(GPU_Add_B,1,MIN(28,T$5+GPULead))+INDEX(GPU_Add_N,1,MIN(28,T$5+GPULead))),INDEX(Mix_B,1,T$7-FYBase)))))</f>
        <v>5039.90841524116</v>
      </c>
      <c r="U24" s="123" t="n">
        <f aca="false">IF(U$5&lt;=LastHist,IF(U$5&lt;=10,INDEX(H_Capex,1,U$5)*HistGPUsh*INDEX(Mix_B,1,U$7-FYBase),0),IF(AND(CapexMethod&lt;3,U$5+GPULead&gt;28),0,CHOOSE(CapexMethod,INDEX(GPU_Add_B,1,MIN(28,U$5+GPULead))*GPUCost_B/1000000,INDEX(GPU_Add_B,1,MIN(28,U$5+GPULead))/GPUMW_B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B,1,MIN(28,U$5+GPULead))/(INDEX(GPU_Add_H,1,MIN(28,U$5+GPULead))+INDEX(GPU_Add_B,1,MIN(28,U$5+GPULead))+INDEX(GPU_Add_N,1,MIN(28,U$5+GPULead))),INDEX(Mix_B,1,U$7-FYBase)))))</f>
        <v>0</v>
      </c>
      <c r="V24" s="123" t="n">
        <f aca="false">IF(V$5&lt;=LastHist,IF(V$5&lt;=10,INDEX(H_Capex,1,V$5)*HistGPUsh*INDEX(Mix_B,1,V$7-FYBase),0),IF(AND(CapexMethod&lt;3,V$5+GPULead&gt;28),0,CHOOSE(CapexMethod,INDEX(GPU_Add_B,1,MIN(28,V$5+GPULead))*GPUCost_B/1000000,INDEX(GPU_Add_B,1,MIN(28,V$5+GPULead))/GPUMW_B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B,1,MIN(28,V$5+GPULead))/(INDEX(GPU_Add_H,1,MIN(28,V$5+GPULead))+INDEX(GPU_Add_B,1,MIN(28,V$5+GPULead))+INDEX(GPU_Add_N,1,MIN(28,V$5+GPULead))),INDEX(Mix_B,1,V$7-FYBase)))))</f>
        <v>0</v>
      </c>
      <c r="W24" s="123" t="n">
        <f aca="false">IF(W$5&lt;=LastHist,IF(W$5&lt;=10,INDEX(H_Capex,1,W$5)*HistGPUsh*INDEX(Mix_B,1,W$7-FYBase),0),IF(AND(CapexMethod&lt;3,W$5+GPULead&gt;28),0,CHOOSE(CapexMethod,INDEX(GPU_Add_B,1,MIN(28,W$5+GPULead))*GPUCost_B/1000000,INDEX(GPU_Add_B,1,MIN(28,W$5+GPULead))/GPUMW_B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B,1,MIN(28,W$5+GPULead))/(INDEX(GPU_Add_H,1,MIN(28,W$5+GPULead))+INDEX(GPU_Add_B,1,MIN(28,W$5+GPULead))+INDEX(GPU_Add_N,1,MIN(28,W$5+GPULead))),INDEX(Mix_B,1,W$7-FYBase)))))</f>
        <v>0</v>
      </c>
      <c r="X24" s="123" t="n">
        <f aca="false">IF(X$5&lt;=LastHist,IF(X$5&lt;=10,INDEX(H_Capex,1,X$5)*HistGPUsh*INDEX(Mix_B,1,X$7-FYBase),0),IF(AND(CapexMethod&lt;3,X$5+GPULead&gt;28),0,CHOOSE(CapexMethod,INDEX(GPU_Add_B,1,MIN(28,X$5+GPULead))*GPUCost_B/1000000,INDEX(GPU_Add_B,1,MIN(28,X$5+GPULead))/GPUMW_B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B,1,MIN(28,X$5+GPULead))/(INDEX(GPU_Add_H,1,MIN(28,X$5+GPULead))+INDEX(GPU_Add_B,1,MIN(28,X$5+GPULead))+INDEX(GPU_Add_N,1,MIN(28,X$5+GPULead))),INDEX(Mix_B,1,X$7-FYBase)))))</f>
        <v>3017.09955257271</v>
      </c>
      <c r="Y24" s="123" t="n">
        <f aca="false">IF(Y$5&lt;=LastHist,IF(Y$5&lt;=10,INDEX(H_Capex,1,Y$5)*HistGPUsh*INDEX(Mix_B,1,Y$7-FYBase),0),IF(AND(CapexMethod&lt;3,Y$5+GPULead&gt;28),0,CHOOSE(CapexMethod,INDEX(GPU_Add_B,1,MIN(28,Y$5+GPULead))*GPUCost_B/1000000,INDEX(GPU_Add_B,1,MIN(28,Y$5+GPULead))/GPUMW_B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B,1,MIN(28,Y$5+GPULead))/(INDEX(GPU_Add_H,1,MIN(28,Y$5+GPULead))+INDEX(GPU_Add_B,1,MIN(28,Y$5+GPULead))+INDEX(GPU_Add_N,1,MIN(28,Y$5+GPULead))),INDEX(Mix_B,1,Y$7-FYBase)))))</f>
        <v>0</v>
      </c>
      <c r="Z24" s="123" t="n">
        <f aca="false">IF(Z$5&lt;=LastHist,IF(Z$5&lt;=10,INDEX(H_Capex,1,Z$5)*HistGPUsh*INDEX(Mix_B,1,Z$7-FYBase),0),IF(AND(CapexMethod&lt;3,Z$5+GPULead&gt;28),0,CHOOSE(CapexMethod,INDEX(GPU_Add_B,1,MIN(28,Z$5+GPULead))*GPUCost_B/1000000,INDEX(GPU_Add_B,1,MIN(28,Z$5+GPULead))/GPUMW_B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B,1,MIN(28,Z$5+GPULead))/(INDEX(GPU_Add_H,1,MIN(28,Z$5+GPULead))+INDEX(GPU_Add_B,1,MIN(28,Z$5+GPULead))+INDEX(GPU_Add_N,1,MIN(28,Z$5+GPULead))),INDEX(Mix_B,1,Z$7-FYBase)))))</f>
        <v>0</v>
      </c>
      <c r="AA24" s="123" t="n">
        <f aca="false">IF(AA$5&lt;=LastHist,IF(AA$5&lt;=10,INDEX(H_Capex,1,AA$5)*HistGPUsh*INDEX(Mix_B,1,AA$7-FYBase),0),IF(AND(CapexMethod&lt;3,AA$5+GPULead&gt;28),0,CHOOSE(CapexMethod,INDEX(GPU_Add_B,1,MIN(28,AA$5+GPULead))*GPUCost_B/1000000,INDEX(GPU_Add_B,1,MIN(28,AA$5+GPULead))/GPUMW_B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B,1,MIN(28,AA$5+GPULead))/(INDEX(GPU_Add_H,1,MIN(28,AA$5+GPULead))+INDEX(GPU_Add_B,1,MIN(28,AA$5+GPULead))+INDEX(GPU_Add_N,1,MIN(28,AA$5+GPULead))),INDEX(Mix_B,1,AA$7-FYBase)))))</f>
        <v>0</v>
      </c>
      <c r="AB24" s="123" t="n">
        <f aca="false">IF(AB$5&lt;=LastHist,IF(AB$5&lt;=10,INDEX(H_Capex,1,AB$5)*HistGPUsh*INDEX(Mix_B,1,AB$7-FYBase),0),IF(AND(CapexMethod&lt;3,AB$5+GPULead&gt;28),0,CHOOSE(CapexMethod,INDEX(GPU_Add_B,1,MIN(28,AB$5+GPULead))*GPUCost_B/1000000,INDEX(GPU_Add_B,1,MIN(28,AB$5+GPULead))/GPUMW_B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B,1,MIN(28,AB$5+GPULead))/(INDEX(GPU_Add_H,1,MIN(28,AB$5+GPULead))+INDEX(GPU_Add_B,1,MIN(28,AB$5+GPULead))+INDEX(GPU_Add_N,1,MIN(28,AB$5+GPULead))),INDEX(Mix_B,1,AB$7-FYBase)))))</f>
        <v>0</v>
      </c>
      <c r="AC24" s="123" t="n">
        <f aca="false">IF(AC$5&lt;=LastHist,IF(AC$5&lt;=10,INDEX(H_Capex,1,AC$5)*HistGPUsh*INDEX(Mix_B,1,AC$7-FYBase),0),IF(AND(CapexMethod&lt;3,AC$5+GPULead&gt;28),0,CHOOSE(CapexMethod,INDEX(GPU_Add_B,1,MIN(28,AC$5+GPULead))*GPUCost_B/1000000,INDEX(GPU_Add_B,1,MIN(28,AC$5+GPULead))/GPUMW_B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B,1,MIN(28,AC$5+GPULead))/(INDEX(GPU_Add_H,1,MIN(28,AC$5+GPULead))+INDEX(GPU_Add_B,1,MIN(28,AC$5+GPULead))+INDEX(GPU_Add_N,1,MIN(28,AC$5+GPULead))),INDEX(Mix_B,1,AC$7-FYBase)))))</f>
        <v>0</v>
      </c>
      <c r="AD24" s="123" t="n">
        <f aca="false">IF(AD$5&lt;=LastHist,IF(AD$5&lt;=10,INDEX(H_Capex,1,AD$5)*HistGPUsh*INDEX(Mix_B,1,AD$7-FYBase),0),IF(AND(CapexMethod&lt;3,AD$5+GPULead&gt;28),0,CHOOSE(CapexMethod,INDEX(GPU_Add_B,1,MIN(28,AD$5+GPULead))*GPUCost_B/1000000,INDEX(GPU_Add_B,1,MIN(28,AD$5+GPULead))/GPUMW_B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B,1,MIN(28,AD$5+GPULead))/(INDEX(GPU_Add_H,1,MIN(28,AD$5+GPULead))+INDEX(GPU_Add_B,1,MIN(28,AD$5+GPULead))+INDEX(GPU_Add_N,1,MIN(28,AD$5+GPULead))),INDEX(Mix_B,1,AD$7-FYBase)))))</f>
        <v>0</v>
      </c>
      <c r="AE24" s="123" t="n">
        <f aca="false">IF(AE$5&lt;=LastHist,IF(AE$5&lt;=10,INDEX(H_Capex,1,AE$5)*HistGPUsh*INDEX(Mix_B,1,AE$7-FYBase),0),IF(AND(CapexMethod&lt;3,AE$5+GPULead&gt;28),0,CHOOSE(CapexMethod,INDEX(GPU_Add_B,1,MIN(28,AE$5+GPULead))*GPUCost_B/1000000,INDEX(GPU_Add_B,1,MIN(28,AE$5+GPULead))/GPUMW_B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B,1,MIN(28,AE$5+GPULead))/(INDEX(GPU_Add_H,1,MIN(28,AE$5+GPULead))+INDEX(GPU_Add_B,1,MIN(28,AE$5+GPULead))+INDEX(GPU_Add_N,1,MIN(28,AE$5+GPULead))),INDEX(Mix_B,1,AE$7-FYBase)))))</f>
        <v>0</v>
      </c>
      <c r="AF24" s="123" t="n">
        <f aca="false">IF(AF$5&lt;=LastHist,IF(AF$5&lt;=10,INDEX(H_Capex,1,AF$5)*HistGPUsh*INDEX(Mix_B,1,AF$7-FYBase),0),IF(AND(CapexMethod&lt;3,AF$5+GPULead&gt;28),0,CHOOSE(CapexMethod,INDEX(GPU_Add_B,1,MIN(28,AF$5+GPULead))*GPUCost_B/1000000,INDEX(GPU_Add_B,1,MIN(28,AF$5+GPULead))/GPUMW_B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B,1,MIN(28,AF$5+GPULead))/(INDEX(GPU_Add_H,1,MIN(28,AF$5+GPULead))+INDEX(GPU_Add_B,1,MIN(28,AF$5+GPULead))+INDEX(GPU_Add_N,1,MIN(28,AF$5+GPULead))),INDEX(Mix_B,1,AF$7-FYBase)))))</f>
        <v>0</v>
      </c>
      <c r="AG24" s="123" t="n">
        <f aca="false">IF(AG$5&lt;=LastHist,IF(AG$5&lt;=10,INDEX(H_Capex,1,AG$5)*HistGPUsh*INDEX(Mix_B,1,AG$7-FYBase),0),IF(AND(CapexMethod&lt;3,AG$5+GPULead&gt;28),0,CHOOSE(CapexMethod,INDEX(GPU_Add_B,1,MIN(28,AG$5+GPULead))*GPUCost_B/1000000,INDEX(GPU_Add_B,1,MIN(28,AG$5+GPULead))/GPUMW_B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B,1,MIN(28,AG$5+GPULead))/(INDEX(GPU_Add_H,1,MIN(28,AG$5+GPULead))+INDEX(GPU_Add_B,1,MIN(28,AG$5+GPULead))+INDEX(GPU_Add_N,1,MIN(28,AG$5+GPULead))),INDEX(Mix_B,1,AG$7-FYBase)))))</f>
        <v>0</v>
      </c>
      <c r="AI24" s="123" t="n">
        <f aca="false">SUMIF($F$7:$AG$7,AI$7,$F24:$AG24)</f>
        <v>0</v>
      </c>
      <c r="AJ24" s="123" t="n">
        <f aca="false">SUMIF($F$7:$AG$7,AJ$7,$F24:$AG24)</f>
        <v>1301.152</v>
      </c>
      <c r="AK24" s="123" t="n">
        <f aca="false">SUMIF($F$7:$AG$7,AK$7,$F24:$AG24)</f>
        <v>13879.561265581</v>
      </c>
      <c r="AL24" s="123" t="n">
        <f aca="false">SUMIF($F$7:$AG$7,AL$7,$F24:$AG24)</f>
        <v>12447.5527387193</v>
      </c>
      <c r="AM24" s="123" t="n">
        <f aca="false">SUMIF($F$7:$AG$7,AM$7,$F24:$AG24)</f>
        <v>3017.09955257271</v>
      </c>
      <c r="AN24" s="123" t="n">
        <f aca="false">SUMIF($F$7:$AG$7,AN$7,$F24:$AG24)</f>
        <v>0</v>
      </c>
      <c r="AO24" s="123" t="n">
        <f aca="false">SUMIF($F$7:$AG$7,AO$7,$F24:$AG24)</f>
        <v>0</v>
      </c>
    </row>
    <row r="25" customFormat="false" ht="15" hidden="false" customHeight="false" outlineLevel="0" collapsed="false">
      <c r="A25" s="104" t="s">
        <v>1931</v>
      </c>
      <c r="B25" s="20" t="s">
        <v>561</v>
      </c>
      <c r="C25" s="20" t="s">
        <v>495</v>
      </c>
      <c r="D25" s="20" t="s">
        <v>1929</v>
      </c>
      <c r="E25" s="123" t="n">
        <f aca="false">0</f>
        <v>0</v>
      </c>
      <c r="F25" s="122" t="n">
        <f aca="false">IF(F$5&lt;=LastHist,IF(F$5&lt;=10,INDEX(H_Capex,1,F$5)*HistGPUsh*INDEX(Mix_N,1,F$7-FYBase),0),IF(AND(CapexMethod&lt;3,F$5+GPULead&gt;28),0,CHOOSE(CapexMethod,INDEX(GPU_Add_N,1,MIN(28,F$5+GPULead))*GPUCost_N/1000000,INDEX(GPU_Add_N,1,MIN(28,F$5+GPULead))/GPUMW_N*ITCapexMW,IF(FixMgmt=1,(IF(F$5+GPULead&gt;29,0,IF(F$5+GPULead&gt;28,IF(TermBase=2,0,MW_Add31),INDEX(MW_New,1,MIN(28,F$5+GPULead))))*INDEX(PathRateIT,1,MAX(1,MIN(28,F$5+GPULead-EnLag)))+IF(F$5=LastHist+1,MAX(0,INDEX(MW_Act,1,LastHist)-INDEX(EnBaseIT,1,LastHist))*INDEX(PathRateIT,1,LastHist+1),0)),INDEX(PathIT,1,MAX(1,MIN(28,F$5+GPULead-EnLag))))*IFERROR(INDEX(GPU_Add_N,1,MIN(28,F$5+GPULead))/(INDEX(GPU_Add_H,1,MIN(28,F$5+GPULead))+INDEX(GPU_Add_B,1,MIN(28,F$5+GPULead))+INDEX(GPU_Add_N,1,MIN(28,F$5+GPULead))),INDEX(Mix_N,1,F$7-FYBase)))))</f>
        <v>0</v>
      </c>
      <c r="G25" s="122" t="n">
        <f aca="false">IF(G$5&lt;=LastHist,IF(G$5&lt;=10,INDEX(H_Capex,1,G$5)*HistGPUsh*INDEX(Mix_N,1,G$7-FYBase),0),IF(AND(CapexMethod&lt;3,G$5+GPULead&gt;28),0,CHOOSE(CapexMethod,INDEX(GPU_Add_N,1,MIN(28,G$5+GPULead))*GPUCost_N/1000000,INDEX(GPU_Add_N,1,MIN(28,G$5+GPULead))/GPUMW_N*ITCapexMW,IF(FixMgmt=1,(IF(G$5+GPULead&gt;29,0,IF(G$5+GPULead&gt;28,IF(TermBase=2,0,MW_Add31),INDEX(MW_New,1,MIN(28,G$5+GPULead))))*INDEX(PathRateIT,1,MAX(1,MIN(28,G$5+GPULead-EnLag)))+IF(G$5=LastHist+1,MAX(0,INDEX(MW_Act,1,LastHist)-INDEX(EnBaseIT,1,LastHist))*INDEX(PathRateIT,1,LastHist+1),0)),INDEX(PathIT,1,MAX(1,MIN(28,G$5+GPULead-EnLag))))*IFERROR(INDEX(GPU_Add_N,1,MIN(28,G$5+GPULead))/(INDEX(GPU_Add_H,1,MIN(28,G$5+GPULead))+INDEX(GPU_Add_B,1,MIN(28,G$5+GPULead))+INDEX(GPU_Add_N,1,MIN(28,G$5+GPULead))),INDEX(Mix_N,1,G$7-FYBase)))))</f>
        <v>0</v>
      </c>
      <c r="H25" s="122" t="n">
        <f aca="false">IF(H$5&lt;=LastHist,IF(H$5&lt;=10,INDEX(H_Capex,1,H$5)*HistGPUsh*INDEX(Mix_N,1,H$7-FYBase),0),IF(AND(CapexMethod&lt;3,H$5+GPULead&gt;28),0,CHOOSE(CapexMethod,INDEX(GPU_Add_N,1,MIN(28,H$5+GPULead))*GPUCost_N/1000000,INDEX(GPU_Add_N,1,MIN(28,H$5+GPULead))/GPUMW_N*ITCapexMW,IF(FixMgmt=1,(IF(H$5+GPULead&gt;29,0,IF(H$5+GPULead&gt;28,IF(TermBase=2,0,MW_Add31),INDEX(MW_New,1,MIN(28,H$5+GPULead))))*INDEX(PathRateIT,1,MAX(1,MIN(28,H$5+GPULead-EnLag)))+IF(H$5=LastHist+1,MAX(0,INDEX(MW_Act,1,LastHist)-INDEX(EnBaseIT,1,LastHist))*INDEX(PathRateIT,1,LastHist+1),0)),INDEX(PathIT,1,MAX(1,MIN(28,H$5+GPULead-EnLag))))*IFERROR(INDEX(GPU_Add_N,1,MIN(28,H$5+GPULead))/(INDEX(GPU_Add_H,1,MIN(28,H$5+GPULead))+INDEX(GPU_Add_B,1,MIN(28,H$5+GPULead))+INDEX(GPU_Add_N,1,MIN(28,H$5+GPULead))),INDEX(Mix_N,1,H$7-FYBase)))))</f>
        <v>0</v>
      </c>
      <c r="I25" s="122" t="n">
        <f aca="false">IF(I$5&lt;=LastHist,IF(I$5&lt;=10,INDEX(H_Capex,1,I$5)*HistGPUsh*INDEX(Mix_N,1,I$7-FYBase),0),IF(AND(CapexMethod&lt;3,I$5+GPULead&gt;28),0,CHOOSE(CapexMethod,INDEX(GPU_Add_N,1,MIN(28,I$5+GPULead))*GPUCost_N/1000000,INDEX(GPU_Add_N,1,MIN(28,I$5+GPULead))/GPUMW_N*ITCapexMW,IF(FixMgmt=1,(IF(I$5+GPULead&gt;29,0,IF(I$5+GPULead&gt;28,IF(TermBase=2,0,MW_Add31),INDEX(MW_New,1,MIN(28,I$5+GPULead))))*INDEX(PathRateIT,1,MAX(1,MIN(28,I$5+GPULead-EnLag)))+IF(I$5=LastHist+1,MAX(0,INDEX(MW_Act,1,LastHist)-INDEX(EnBaseIT,1,LastHist))*INDEX(PathRateIT,1,LastHist+1),0)),INDEX(PathIT,1,MAX(1,MIN(28,I$5+GPULead-EnLag))))*IFERROR(INDEX(GPU_Add_N,1,MIN(28,I$5+GPULead))/(INDEX(GPU_Add_H,1,MIN(28,I$5+GPULead))+INDEX(GPU_Add_B,1,MIN(28,I$5+GPULead))+INDEX(GPU_Add_N,1,MIN(28,I$5+GPULead))),INDEX(Mix_N,1,I$7-FYBase)))))</f>
        <v>0</v>
      </c>
      <c r="J25" s="122" t="n">
        <f aca="false">IF(J$5&lt;=LastHist,IF(J$5&lt;=10,INDEX(H_Capex,1,J$5)*HistGPUsh*INDEX(Mix_N,1,J$7-FYBase),0),IF(AND(CapexMethod&lt;3,J$5+GPULead&gt;28),0,CHOOSE(CapexMethod,INDEX(GPU_Add_N,1,MIN(28,J$5+GPULead))*GPUCost_N/1000000,INDEX(GPU_Add_N,1,MIN(28,J$5+GPULead))/GPUMW_N*ITCapexMW,IF(FixMgmt=1,(IF(J$5+GPULead&gt;29,0,IF(J$5+GPULead&gt;28,IF(TermBase=2,0,MW_Add31),INDEX(MW_New,1,MIN(28,J$5+GPULead))))*INDEX(PathRateIT,1,MAX(1,MIN(28,J$5+GPULead-EnLag)))+IF(J$5=LastHist+1,MAX(0,INDEX(MW_Act,1,LastHist)-INDEX(EnBaseIT,1,LastHist))*INDEX(PathRateIT,1,LastHist+1),0)),INDEX(PathIT,1,MAX(1,MIN(28,J$5+GPULead-EnLag))))*IFERROR(INDEX(GPU_Add_N,1,MIN(28,J$5+GPULead))/(INDEX(GPU_Add_H,1,MIN(28,J$5+GPULead))+INDEX(GPU_Add_B,1,MIN(28,J$5+GPULead))+INDEX(GPU_Add_N,1,MIN(28,J$5+GPULead))),INDEX(Mix_N,1,J$7-FYBase)))))</f>
        <v>0</v>
      </c>
      <c r="K25" s="122" t="n">
        <f aca="false">IF(K$5&lt;=LastHist,IF(K$5&lt;=10,INDEX(H_Capex,1,K$5)*HistGPUsh*INDEX(Mix_N,1,K$7-FYBase),0),IF(AND(CapexMethod&lt;3,K$5+GPULead&gt;28),0,CHOOSE(CapexMethod,INDEX(GPU_Add_N,1,MIN(28,K$5+GPULead))*GPUCost_N/1000000,INDEX(GPU_Add_N,1,MIN(28,K$5+GPULead))/GPUMW_N*ITCapexMW,IF(FixMgmt=1,(IF(K$5+GPULead&gt;29,0,IF(K$5+GPULead&gt;28,IF(TermBase=2,0,MW_Add31),INDEX(MW_New,1,MIN(28,K$5+GPULead))))*INDEX(PathRateIT,1,MAX(1,MIN(28,K$5+GPULead-EnLag)))+IF(K$5=LastHist+1,MAX(0,INDEX(MW_Act,1,LastHist)-INDEX(EnBaseIT,1,LastHist))*INDEX(PathRateIT,1,LastHist+1),0)),INDEX(PathIT,1,MAX(1,MIN(28,K$5+GPULead-EnLag))))*IFERROR(INDEX(GPU_Add_N,1,MIN(28,K$5+GPULead))/(INDEX(GPU_Add_H,1,MIN(28,K$5+GPULead))+INDEX(GPU_Add_B,1,MIN(28,K$5+GPULead))+INDEX(GPU_Add_N,1,MIN(28,K$5+GPULead))),INDEX(Mix_N,1,K$7-FYBase)))))</f>
        <v>0</v>
      </c>
      <c r="L25" s="122" t="n">
        <f aca="false">IF(L$5&lt;=LastHist,IF(L$5&lt;=10,INDEX(H_Capex,1,L$5)*HistGPUsh*INDEX(Mix_N,1,L$7-FYBase),0),IF(AND(CapexMethod&lt;3,L$5+GPULead&gt;28),0,CHOOSE(CapexMethod,INDEX(GPU_Add_N,1,MIN(28,L$5+GPULead))*GPUCost_N/1000000,INDEX(GPU_Add_N,1,MIN(28,L$5+GPULead))/GPUMW_N*ITCapexMW,IF(FixMgmt=1,(IF(L$5+GPULead&gt;29,0,IF(L$5+GPULead&gt;28,IF(TermBase=2,0,MW_Add31),INDEX(MW_New,1,MIN(28,L$5+GPULead))))*INDEX(PathRateIT,1,MAX(1,MIN(28,L$5+GPULead-EnLag)))+IF(L$5=LastHist+1,MAX(0,INDEX(MW_Act,1,LastHist)-INDEX(EnBaseIT,1,LastHist))*INDEX(PathRateIT,1,LastHist+1),0)),INDEX(PathIT,1,MAX(1,MIN(28,L$5+GPULead-EnLag))))*IFERROR(INDEX(GPU_Add_N,1,MIN(28,L$5+GPULead))/(INDEX(GPU_Add_H,1,MIN(28,L$5+GPULead))+INDEX(GPU_Add_B,1,MIN(28,L$5+GPULead))+INDEX(GPU_Add_N,1,MIN(28,L$5+GPULead))),INDEX(Mix_N,1,L$7-FYBase)))))</f>
        <v>0</v>
      </c>
      <c r="M25" s="122" t="n">
        <f aca="false">IF(M$5&lt;=LastHist,IF(M$5&lt;=10,INDEX(H_Capex,1,M$5)*HistGPUsh*INDEX(Mix_N,1,M$7-FYBase),0),IF(AND(CapexMethod&lt;3,M$5+GPULead&gt;28),0,CHOOSE(CapexMethod,INDEX(GPU_Add_N,1,MIN(28,M$5+GPULead))*GPUCost_N/1000000,INDEX(GPU_Add_N,1,MIN(28,M$5+GPULead))/GPUMW_N*ITCapexMW,IF(FixMgmt=1,(IF(M$5+GPULead&gt;29,0,IF(M$5+GPULead&gt;28,IF(TermBase=2,0,MW_Add31),INDEX(MW_New,1,MIN(28,M$5+GPULead))))*INDEX(PathRateIT,1,MAX(1,MIN(28,M$5+GPULead-EnLag)))+IF(M$5=LastHist+1,MAX(0,INDEX(MW_Act,1,LastHist)-INDEX(EnBaseIT,1,LastHist))*INDEX(PathRateIT,1,LastHist+1),0)),INDEX(PathIT,1,MAX(1,MIN(28,M$5+GPULead-EnLag))))*IFERROR(INDEX(GPU_Add_N,1,MIN(28,M$5+GPULead))/(INDEX(GPU_Add_H,1,MIN(28,M$5+GPULead))+INDEX(GPU_Add_B,1,MIN(28,M$5+GPULead))+INDEX(GPU_Add_N,1,MIN(28,M$5+GPULead))),INDEX(Mix_N,1,M$7-FYBase)))))</f>
        <v>0</v>
      </c>
      <c r="N25" s="122" t="n">
        <f aca="false">IF(N$5&lt;=LastHist,IF(N$5&lt;=10,INDEX(H_Capex,1,N$5)*HistGPUsh*INDEX(Mix_N,1,N$7-FYBase),0),IF(AND(CapexMethod&lt;3,N$5+GPULead&gt;28),0,CHOOSE(CapexMethod,INDEX(GPU_Add_N,1,MIN(28,N$5+GPULead))*GPUCost_N/1000000,INDEX(GPU_Add_N,1,MIN(28,N$5+GPULead))/GPUMW_N*ITCapexMW,IF(FixMgmt=1,(IF(N$5+GPULead&gt;29,0,IF(N$5+GPULead&gt;28,IF(TermBase=2,0,MW_Add31),INDEX(MW_New,1,MIN(28,N$5+GPULead))))*INDEX(PathRateIT,1,MAX(1,MIN(28,N$5+GPULead-EnLag)))+IF(N$5=LastHist+1,MAX(0,INDEX(MW_Act,1,LastHist)-INDEX(EnBaseIT,1,LastHist))*INDEX(PathRateIT,1,LastHist+1),0)),INDEX(PathIT,1,MAX(1,MIN(28,N$5+GPULead-EnLag))))*IFERROR(INDEX(GPU_Add_N,1,MIN(28,N$5+GPULead))/(INDEX(GPU_Add_H,1,MIN(28,N$5+GPULead))+INDEX(GPU_Add_B,1,MIN(28,N$5+GPULead))+INDEX(GPU_Add_N,1,MIN(28,N$5+GPULead))),INDEX(Mix_N,1,N$7-FYBase)))))</f>
        <v>0</v>
      </c>
      <c r="O25" s="122" t="n">
        <f aca="false">IF(O$5&lt;=LastHist,IF(O$5&lt;=10,INDEX(H_Capex,1,O$5)*HistGPUsh*INDEX(Mix_N,1,O$7-FYBase),0),IF(AND(CapexMethod&lt;3,O$5+GPULead&gt;28),0,CHOOSE(CapexMethod,INDEX(GPU_Add_N,1,MIN(28,O$5+GPULead))*GPUCost_N/1000000,INDEX(GPU_Add_N,1,MIN(28,O$5+GPULead))/GPUMW_N*ITCapexMW,IF(FixMgmt=1,(IF(O$5+GPULead&gt;29,0,IF(O$5+GPULead&gt;28,IF(TermBase=2,0,MW_Add31),INDEX(MW_New,1,MIN(28,O$5+GPULead))))*INDEX(PathRateIT,1,MAX(1,MIN(28,O$5+GPULead-EnLag)))+IF(O$5=LastHist+1,MAX(0,INDEX(MW_Act,1,LastHist)-INDEX(EnBaseIT,1,LastHist))*INDEX(PathRateIT,1,LastHist+1),0)),INDEX(PathIT,1,MAX(1,MIN(28,O$5+GPULead-EnLag))))*IFERROR(INDEX(GPU_Add_N,1,MIN(28,O$5+GPULead))/(INDEX(GPU_Add_H,1,MIN(28,O$5+GPULead))+INDEX(GPU_Add_B,1,MIN(28,O$5+GPULead))+INDEX(GPU_Add_N,1,MIN(28,O$5+GPULead))),INDEX(Mix_N,1,O$7-FYBase)))))</f>
        <v>0</v>
      </c>
      <c r="P25" s="123" t="n">
        <f aca="false">IF(P$5&lt;=LastHist,IF(P$5&lt;=10,INDEX(H_Capex,1,P$5)*HistGPUsh*INDEX(Mix_N,1,P$7-FYBase),0),IF(AND(CapexMethod&lt;3,P$5+GPULead&gt;28),0,CHOOSE(CapexMethod,INDEX(GPU_Add_N,1,MIN(28,P$5+GPULead))*GPUCost_N/1000000,INDEX(GPU_Add_N,1,MIN(28,P$5+GPULead))/GPUMW_N*ITCapexMW,IF(FixMgmt=1,(IF(P$5+GPULead&gt;29,0,IF(P$5+GPULead&gt;28,IF(TermBase=2,0,MW_Add31),INDEX(MW_New,1,MIN(28,P$5+GPULead))))*INDEX(PathRateIT,1,MAX(1,MIN(28,P$5+GPULead-EnLag)))+IF(P$5=LastHist+1,MAX(0,INDEX(MW_Act,1,LastHist)-INDEX(EnBaseIT,1,LastHist))*INDEX(PathRateIT,1,LastHist+1),0)),INDEX(PathIT,1,MAX(1,MIN(28,P$5+GPULead-EnLag))))*IFERROR(INDEX(GPU_Add_N,1,MIN(28,P$5+GPULead))/(INDEX(GPU_Add_H,1,MIN(28,P$5+GPULead))+INDEX(GPU_Add_B,1,MIN(28,P$5+GPULead))+INDEX(GPU_Add_N,1,MIN(28,P$5+GPULead))),INDEX(Mix_N,1,P$7-FYBase)))))</f>
        <v>0</v>
      </c>
      <c r="Q25" s="123" t="n">
        <f aca="false">IF(Q$5&lt;=LastHist,IF(Q$5&lt;=10,INDEX(H_Capex,1,Q$5)*HistGPUsh*INDEX(Mix_N,1,Q$7-FYBase),0),IF(AND(CapexMethod&lt;3,Q$5+GPULead&gt;28),0,CHOOSE(CapexMethod,INDEX(GPU_Add_N,1,MIN(28,Q$5+GPULead))*GPUCost_N/1000000,INDEX(GPU_Add_N,1,MIN(28,Q$5+GPULead))/GPUMW_N*ITCapexMW,IF(FixMgmt=1,(IF(Q$5+GPULead&gt;29,0,IF(Q$5+GPULead&gt;28,IF(TermBase=2,0,MW_Add31),INDEX(MW_New,1,MIN(28,Q$5+GPULead))))*INDEX(PathRateIT,1,MAX(1,MIN(28,Q$5+GPULead-EnLag)))+IF(Q$5=LastHist+1,MAX(0,INDEX(MW_Act,1,LastHist)-INDEX(EnBaseIT,1,LastHist))*INDEX(PathRateIT,1,LastHist+1),0)),INDEX(PathIT,1,MAX(1,MIN(28,Q$5+GPULead-EnLag))))*IFERROR(INDEX(GPU_Add_N,1,MIN(28,Q$5+GPULead))/(INDEX(GPU_Add_H,1,MIN(28,Q$5+GPULead))+INDEX(GPU_Add_B,1,MIN(28,Q$5+GPULead))+INDEX(GPU_Add_N,1,MIN(28,Q$5+GPULead))),INDEX(Mix_N,1,Q$7-FYBase)))))</f>
        <v>282.95473441902</v>
      </c>
      <c r="R25" s="123" t="n">
        <f aca="false">IF(R$5&lt;=LastHist,IF(R$5&lt;=10,INDEX(H_Capex,1,R$5)*HistGPUsh*INDEX(Mix_N,1,R$7-FYBase),0),IF(AND(CapexMethod&lt;3,R$5+GPULead&gt;28),0,CHOOSE(CapexMethod,INDEX(GPU_Add_N,1,MIN(28,R$5+GPULead))*GPUCost_N/1000000,INDEX(GPU_Add_N,1,MIN(28,R$5+GPULead))/GPUMW_N*ITCapexMW,IF(FixMgmt=1,(IF(R$5+GPULead&gt;29,0,IF(R$5+GPULead&gt;28,IF(TermBase=2,0,MW_Add31),INDEX(MW_New,1,MIN(28,R$5+GPULead))))*INDEX(PathRateIT,1,MAX(1,MIN(28,R$5+GPULead-EnLag)))+IF(R$5=LastHist+1,MAX(0,INDEX(MW_Act,1,LastHist)-INDEX(EnBaseIT,1,LastHist))*INDEX(PathRateIT,1,LastHist+1),0)),INDEX(PathIT,1,MAX(1,MIN(28,R$5+GPULead-EnLag))))*IFERROR(INDEX(GPU_Add_N,1,MIN(28,R$5+GPULead))/(INDEX(GPU_Add_H,1,MIN(28,R$5+GPULead))+INDEX(GPU_Add_B,1,MIN(28,R$5+GPULead))+INDEX(GPU_Add_N,1,MIN(28,R$5+GPULead))),INDEX(Mix_N,1,R$7-FYBase)))))</f>
        <v>716.526102610261</v>
      </c>
      <c r="S25" s="123" t="n">
        <f aca="false">IF(S$5&lt;=LastHist,IF(S$5&lt;=10,INDEX(H_Capex,1,S$5)*HistGPUsh*INDEX(Mix_N,1,S$7-FYBase),0),IF(AND(CapexMethod&lt;3,S$5+GPULead&gt;28),0,CHOOSE(CapexMethod,INDEX(GPU_Add_N,1,MIN(28,S$5+GPULead))*GPUCost_N/1000000,INDEX(GPU_Add_N,1,MIN(28,S$5+GPULead))/GPUMW_N*ITCapexMW,IF(FixMgmt=1,(IF(S$5+GPULead&gt;29,0,IF(S$5+GPULead&gt;28,IF(TermBase=2,0,MW_Add31),INDEX(MW_New,1,MIN(28,S$5+GPULead))))*INDEX(PathRateIT,1,MAX(1,MIN(28,S$5+GPULead-EnLag)))+IF(S$5=LastHist+1,MAX(0,INDEX(MW_Act,1,LastHist)-INDEX(EnBaseIT,1,LastHist))*INDEX(PathRateIT,1,LastHist+1),0)),INDEX(PathIT,1,MAX(1,MIN(28,S$5+GPULead-EnLag))))*IFERROR(INDEX(GPU_Add_N,1,MIN(28,S$5+GPULead))/(INDEX(GPU_Add_H,1,MIN(28,S$5+GPULead))+INDEX(GPU_Add_B,1,MIN(28,S$5+GPULead))+INDEX(GPU_Add_N,1,MIN(28,S$5+GPULead))),INDEX(Mix_N,1,S$7-FYBase)))))</f>
        <v>3138.62957391159</v>
      </c>
      <c r="T25" s="123" t="n">
        <f aca="false">IF(T$5&lt;=LastHist,IF(T$5&lt;=10,INDEX(H_Capex,1,T$5)*HistGPUsh*INDEX(Mix_N,1,T$7-FYBase),0),IF(AND(CapexMethod&lt;3,T$5+GPULead&gt;28),0,CHOOSE(CapexMethod,INDEX(GPU_Add_N,1,MIN(28,T$5+GPULead))*GPUCost_N/1000000,INDEX(GPU_Add_N,1,MIN(28,T$5+GPULead))/GPUMW_N*ITCapexMW,IF(FixMgmt=1,(IF(T$5+GPULead&gt;29,0,IF(T$5+GPULead&gt;28,IF(TermBase=2,0,MW_Add31),INDEX(MW_New,1,MIN(28,T$5+GPULead))))*INDEX(PathRateIT,1,MAX(1,MIN(28,T$5+GPULead-EnLag)))+IF(T$5=LastHist+1,MAX(0,INDEX(MW_Act,1,LastHist)-INDEX(EnBaseIT,1,LastHist))*INDEX(PathRateIT,1,LastHist+1),0)),INDEX(PathIT,1,MAX(1,MIN(28,T$5+GPULead-EnLag))))*IFERROR(INDEX(GPU_Add_N,1,MIN(28,T$5+GPULead))/(INDEX(GPU_Add_H,1,MIN(28,T$5+GPULead))+INDEX(GPU_Add_B,1,MIN(28,T$5+GPULead))+INDEX(GPU_Add_N,1,MIN(28,T$5+GPULead))),INDEX(Mix_N,1,T$7-FYBase)))))</f>
        <v>6335.59158475884</v>
      </c>
      <c r="U25" s="123" t="n">
        <f aca="false">IF(U$5&lt;=LastHist,IF(U$5&lt;=10,INDEX(H_Capex,1,U$5)*HistGPUsh*INDEX(Mix_N,1,U$7-FYBase),0),IF(AND(CapexMethod&lt;3,U$5+GPULead&gt;28),0,CHOOSE(CapexMethod,INDEX(GPU_Add_N,1,MIN(28,U$5+GPULead))*GPUCost_N/1000000,INDEX(GPU_Add_N,1,MIN(28,U$5+GPULead))/GPUMW_N*ITCapexMW,IF(FixMgmt=1,(IF(U$5+GPULead&gt;29,0,IF(U$5+GPULead&gt;28,IF(TermBase=2,0,MW_Add31),INDEX(MW_New,1,MIN(28,U$5+GPULead))))*INDEX(PathRateIT,1,MAX(1,MIN(28,U$5+GPULead-EnLag)))+IF(U$5=LastHist+1,MAX(0,INDEX(MW_Act,1,LastHist)-INDEX(EnBaseIT,1,LastHist))*INDEX(PathRateIT,1,LastHist+1),0)),INDEX(PathIT,1,MAX(1,MIN(28,U$5+GPULead-EnLag))))*IFERROR(INDEX(GPU_Add_N,1,MIN(28,U$5+GPULead))/(INDEX(GPU_Add_H,1,MIN(28,U$5+GPULead))+INDEX(GPU_Add_B,1,MIN(28,U$5+GPULead))+INDEX(GPU_Add_N,1,MIN(28,U$5+GPULead))),INDEX(Mix_N,1,U$7-FYBase)))))</f>
        <v>4092.5</v>
      </c>
      <c r="V25" s="123" t="n">
        <f aca="false">IF(V$5&lt;=LastHist,IF(V$5&lt;=10,INDEX(H_Capex,1,V$5)*HistGPUsh*INDEX(Mix_N,1,V$7-FYBase),0),IF(AND(CapexMethod&lt;3,V$5+GPULead&gt;28),0,CHOOSE(CapexMethod,INDEX(GPU_Add_N,1,MIN(28,V$5+GPULead))*GPUCost_N/1000000,INDEX(GPU_Add_N,1,MIN(28,V$5+GPULead))/GPUMW_N*ITCapexMW,IF(FixMgmt=1,(IF(V$5+GPULead&gt;29,0,IF(V$5+GPULead&gt;28,IF(TermBase=2,0,MW_Add31),INDEX(MW_New,1,MIN(28,V$5+GPULead))))*INDEX(PathRateIT,1,MAX(1,MIN(28,V$5+GPULead-EnLag)))+IF(V$5=LastHist+1,MAX(0,INDEX(MW_Act,1,LastHist)-INDEX(EnBaseIT,1,LastHist))*INDEX(PathRateIT,1,LastHist+1),0)),INDEX(PathIT,1,MAX(1,MIN(28,V$5+GPULead-EnLag))))*IFERROR(INDEX(GPU_Add_N,1,MIN(28,V$5+GPULead))/(INDEX(GPU_Add_H,1,MIN(28,V$5+GPULead))+INDEX(GPU_Add_B,1,MIN(28,V$5+GPULead))+INDEX(GPU_Add_N,1,MIN(28,V$5+GPULead))),INDEX(Mix_N,1,V$7-FYBase)))))</f>
        <v>6981</v>
      </c>
      <c r="W25" s="123" t="n">
        <f aca="false">IF(W$5&lt;=LastHist,IF(W$5&lt;=10,INDEX(H_Capex,1,W$5)*HistGPUsh*INDEX(Mix_N,1,W$7-FYBase),0),IF(AND(CapexMethod&lt;3,W$5+GPULead&gt;28),0,CHOOSE(CapexMethod,INDEX(GPU_Add_N,1,MIN(28,W$5+GPULead))*GPUCost_N/1000000,INDEX(GPU_Add_N,1,MIN(28,W$5+GPULead))/GPUMW_N*ITCapexMW,IF(FixMgmt=1,(IF(W$5+GPULead&gt;29,0,IF(W$5+GPULead&gt;28,IF(TermBase=2,0,MW_Add31),INDEX(MW_New,1,MIN(28,W$5+GPULead))))*INDEX(PathRateIT,1,MAX(1,MIN(28,W$5+GPULead-EnLag)))+IF(W$5=LastHist+1,MAX(0,INDEX(MW_Act,1,LastHist)-INDEX(EnBaseIT,1,LastHist))*INDEX(PathRateIT,1,LastHist+1),0)),INDEX(PathIT,1,MAX(1,MIN(28,W$5+GPULead-EnLag))))*IFERROR(INDEX(GPU_Add_N,1,MIN(28,W$5+GPULead))/(INDEX(GPU_Add_H,1,MIN(28,W$5+GPULead))+INDEX(GPU_Add_B,1,MIN(28,W$5+GPULead))+INDEX(GPU_Add_N,1,MIN(28,W$5+GPULead))),INDEX(Mix_N,1,W$7-FYBase)))))</f>
        <v>512.5</v>
      </c>
      <c r="X25" s="123" t="n">
        <f aca="false">IF(X$5&lt;=LastHist,IF(X$5&lt;=10,INDEX(H_Capex,1,X$5)*HistGPUsh*INDEX(Mix_N,1,X$7-FYBase),0),IF(AND(CapexMethod&lt;3,X$5+GPULead&gt;28),0,CHOOSE(CapexMethod,INDEX(GPU_Add_N,1,MIN(28,X$5+GPULead))*GPUCost_N/1000000,INDEX(GPU_Add_N,1,MIN(28,X$5+GPULead))/GPUMW_N*ITCapexMW,IF(FixMgmt=1,(IF(X$5+GPULead&gt;29,0,IF(X$5+GPULead&gt;28,IF(TermBase=2,0,MW_Add31),INDEX(MW_New,1,MIN(28,X$5+GPULead))))*INDEX(PathRateIT,1,MAX(1,MIN(28,X$5+GPULead-EnLag)))+IF(X$5=LastHist+1,MAX(0,INDEX(MW_Act,1,LastHist)-INDEX(EnBaseIT,1,LastHist))*INDEX(PathRateIT,1,LastHist+1),0)),INDEX(PathIT,1,MAX(1,MIN(28,X$5+GPULead-EnLag))))*IFERROR(INDEX(GPU_Add_N,1,MIN(28,X$5+GPULead))/(INDEX(GPU_Add_H,1,MIN(28,X$5+GPULead))+INDEX(GPU_Add_B,1,MIN(28,X$5+GPULead))+INDEX(GPU_Add_N,1,MIN(28,X$5+GPULead))),INDEX(Mix_N,1,X$7-FYBase)))))</f>
        <v>11480.9004474273</v>
      </c>
      <c r="Y25" s="123" t="n">
        <f aca="false">IF(Y$5&lt;=LastHist,IF(Y$5&lt;=10,INDEX(H_Capex,1,Y$5)*HistGPUsh*INDEX(Mix_N,1,Y$7-FYBase),0),IF(AND(CapexMethod&lt;3,Y$5+GPULead&gt;28),0,CHOOSE(CapexMethod,INDEX(GPU_Add_N,1,MIN(28,Y$5+GPULead))*GPUCost_N/1000000,INDEX(GPU_Add_N,1,MIN(28,Y$5+GPULead))/GPUMW_N*ITCapexMW,IF(FixMgmt=1,(IF(Y$5+GPULead&gt;29,0,IF(Y$5+GPULead&gt;28,IF(TermBase=2,0,MW_Add31),INDEX(MW_New,1,MIN(28,Y$5+GPULead))))*INDEX(PathRateIT,1,MAX(1,MIN(28,Y$5+GPULead-EnLag)))+IF(Y$5=LastHist+1,MAX(0,INDEX(MW_Act,1,LastHist)-INDEX(EnBaseIT,1,LastHist))*INDEX(PathRateIT,1,LastHist+1),0)),INDEX(PathIT,1,MAX(1,MIN(28,Y$5+GPULead-EnLag))))*IFERROR(INDEX(GPU_Add_N,1,MIN(28,Y$5+GPULead))/(INDEX(GPU_Add_H,1,MIN(28,Y$5+GPULead))+INDEX(GPU_Add_B,1,MIN(28,Y$5+GPULead))+INDEX(GPU_Add_N,1,MIN(28,Y$5+GPULead))),INDEX(Mix_N,1,Y$7-FYBase)))))</f>
        <v>0</v>
      </c>
      <c r="Z25" s="123" t="n">
        <f aca="false">IF(Z$5&lt;=LastHist,IF(Z$5&lt;=10,INDEX(H_Capex,1,Z$5)*HistGPUsh*INDEX(Mix_N,1,Z$7-FYBase),0),IF(AND(CapexMethod&lt;3,Z$5+GPULead&gt;28),0,CHOOSE(CapexMethod,INDEX(GPU_Add_N,1,MIN(28,Z$5+GPULead))*GPUCost_N/1000000,INDEX(GPU_Add_N,1,MIN(28,Z$5+GPULead))/GPUMW_N*ITCapexMW,IF(FixMgmt=1,(IF(Z$5+GPULead&gt;29,0,IF(Z$5+GPULead&gt;28,IF(TermBase=2,0,MW_Add31),INDEX(MW_New,1,MIN(28,Z$5+GPULead))))*INDEX(PathRateIT,1,MAX(1,MIN(28,Z$5+GPULead-EnLag)))+IF(Z$5=LastHist+1,MAX(0,INDEX(MW_Act,1,LastHist)-INDEX(EnBaseIT,1,LastHist))*INDEX(PathRateIT,1,LastHist+1),0)),INDEX(PathIT,1,MAX(1,MIN(28,Z$5+GPULead-EnLag))))*IFERROR(INDEX(GPU_Add_N,1,MIN(28,Z$5+GPULead))/(INDEX(GPU_Add_H,1,MIN(28,Z$5+GPULead))+INDEX(GPU_Add_B,1,MIN(28,Z$5+GPULead))+INDEX(GPU_Add_N,1,MIN(28,Z$5+GPULead))),INDEX(Mix_N,1,Z$7-FYBase)))))</f>
        <v>15036</v>
      </c>
      <c r="AA25" s="123" t="n">
        <f aca="false">IF(AA$5&lt;=LastHist,IF(AA$5&lt;=10,INDEX(H_Capex,1,AA$5)*HistGPUsh*INDEX(Mix_N,1,AA$7-FYBase),0),IF(AND(CapexMethod&lt;3,AA$5+GPULead&gt;28),0,CHOOSE(CapexMethod,INDEX(GPU_Add_N,1,MIN(28,AA$5+GPULead))*GPUCost_N/1000000,INDEX(GPU_Add_N,1,MIN(28,AA$5+GPULead))/GPUMW_N*ITCapexMW,IF(FixMgmt=1,(IF(AA$5+GPULead&gt;29,0,IF(AA$5+GPULead&gt;28,IF(TermBase=2,0,MW_Add31),INDEX(MW_New,1,MIN(28,AA$5+GPULead))))*INDEX(PathRateIT,1,MAX(1,MIN(28,AA$5+GPULead-EnLag)))+IF(AA$5=LastHist+1,MAX(0,INDEX(MW_Act,1,LastHist)-INDEX(EnBaseIT,1,LastHist))*INDEX(PathRateIT,1,LastHist+1),0)),INDEX(PathIT,1,MAX(1,MIN(28,AA$5+GPULead-EnLag))))*IFERROR(INDEX(GPU_Add_N,1,MIN(28,AA$5+GPULead))/(INDEX(GPU_Add_H,1,MIN(28,AA$5+GPULead))+INDEX(GPU_Add_B,1,MIN(28,AA$5+GPULead))+INDEX(GPU_Add_N,1,MIN(28,AA$5+GPULead))),INDEX(Mix_N,1,AA$7-FYBase)))))</f>
        <v>0</v>
      </c>
      <c r="AB25" s="123" t="n">
        <f aca="false">IF(AB$5&lt;=LastHist,IF(AB$5&lt;=10,INDEX(H_Capex,1,AB$5)*HistGPUsh*INDEX(Mix_N,1,AB$7-FYBase),0),IF(AND(CapexMethod&lt;3,AB$5+GPULead&gt;28),0,CHOOSE(CapexMethod,INDEX(GPU_Add_N,1,MIN(28,AB$5+GPULead))*GPUCost_N/1000000,INDEX(GPU_Add_N,1,MIN(28,AB$5+GPULead))/GPUMW_N*ITCapexMW,IF(FixMgmt=1,(IF(AB$5+GPULead&gt;29,0,IF(AB$5+GPULead&gt;28,IF(TermBase=2,0,MW_Add31),INDEX(MW_New,1,MIN(28,AB$5+GPULead))))*INDEX(PathRateIT,1,MAX(1,MIN(28,AB$5+GPULead-EnLag)))+IF(AB$5=LastHist+1,MAX(0,INDEX(MW_Act,1,LastHist)-INDEX(EnBaseIT,1,LastHist))*INDEX(PathRateIT,1,LastHist+1),0)),INDEX(PathIT,1,MAX(1,MIN(28,AB$5+GPULead-EnLag))))*IFERROR(INDEX(GPU_Add_N,1,MIN(28,AB$5+GPULead))/(INDEX(GPU_Add_H,1,MIN(28,AB$5+GPULead))+INDEX(GPU_Add_B,1,MIN(28,AB$5+GPULead))+INDEX(GPU_Add_N,1,MIN(28,AB$5+GPULead))),INDEX(Mix_N,1,AB$7-FYBase)))))</f>
        <v>20943</v>
      </c>
      <c r="AC25" s="123" t="n">
        <f aca="false">IF(AC$5&lt;=LastHist,IF(AC$5&lt;=10,INDEX(H_Capex,1,AC$5)*HistGPUsh*INDEX(Mix_N,1,AC$7-FYBase),0),IF(AND(CapexMethod&lt;3,AC$5+GPULead&gt;28),0,CHOOSE(CapexMethod,INDEX(GPU_Add_N,1,MIN(28,AC$5+GPULead))*GPUCost_N/1000000,INDEX(GPU_Add_N,1,MIN(28,AC$5+GPULead))/GPUMW_N*ITCapexMW,IF(FixMgmt=1,(IF(AC$5+GPULead&gt;29,0,IF(AC$5+GPULead&gt;28,IF(TermBase=2,0,MW_Add31),INDEX(MW_New,1,MIN(28,AC$5+GPULead))))*INDEX(PathRateIT,1,MAX(1,MIN(28,AC$5+GPULead-EnLag)))+IF(AC$5=LastHist+1,MAX(0,INDEX(MW_Act,1,LastHist)-INDEX(EnBaseIT,1,LastHist))*INDEX(PathRateIT,1,LastHist+1),0)),INDEX(PathIT,1,MAX(1,MIN(28,AC$5+GPULead-EnLag))))*IFERROR(INDEX(GPU_Add_N,1,MIN(28,AC$5+GPULead))/(INDEX(GPU_Add_H,1,MIN(28,AC$5+GPULead))+INDEX(GPU_Add_B,1,MIN(28,AC$5+GPULead))+INDEX(GPU_Add_N,1,MIN(28,AC$5+GPULead))),INDEX(Mix_N,1,AC$7-FYBase)))))</f>
        <v>0</v>
      </c>
      <c r="AD25" s="123" t="n">
        <f aca="false">IF(AD$5&lt;=LastHist,IF(AD$5&lt;=10,INDEX(H_Capex,1,AD$5)*HistGPUsh*INDEX(Mix_N,1,AD$7-FYBase),0),IF(AND(CapexMethod&lt;3,AD$5+GPULead&gt;28),0,CHOOSE(CapexMethod,INDEX(GPU_Add_N,1,MIN(28,AD$5+GPULead))*GPUCost_N/1000000,INDEX(GPU_Add_N,1,MIN(28,AD$5+GPULead))/GPUMW_N*ITCapexMW,IF(FixMgmt=1,(IF(AD$5+GPULead&gt;29,0,IF(AD$5+GPULead&gt;28,IF(TermBase=2,0,MW_Add31),INDEX(MW_New,1,MIN(28,AD$5+GPULead))))*INDEX(PathRateIT,1,MAX(1,MIN(28,AD$5+GPULead-EnLag)))+IF(AD$5=LastHist+1,MAX(0,INDEX(MW_Act,1,LastHist)-INDEX(EnBaseIT,1,LastHist))*INDEX(PathRateIT,1,LastHist+1),0)),INDEX(PathIT,1,MAX(1,MIN(28,AD$5+GPULead-EnLag))))*IFERROR(INDEX(GPU_Add_N,1,MIN(28,AD$5+GPULead))/(INDEX(GPU_Add_H,1,MIN(28,AD$5+GPULead))+INDEX(GPU_Add_B,1,MIN(28,AD$5+GPULead))+INDEX(GPU_Add_N,1,MIN(28,AD$5+GPULead))),INDEX(Mix_N,1,AD$7-FYBase)))))</f>
        <v>0</v>
      </c>
      <c r="AE25" s="123" t="n">
        <f aca="false">IF(AE$5&lt;=LastHist,IF(AE$5&lt;=10,INDEX(H_Capex,1,AE$5)*HistGPUsh*INDEX(Mix_N,1,AE$7-FYBase),0),IF(AND(CapexMethod&lt;3,AE$5+GPULead&gt;28),0,CHOOSE(CapexMethod,INDEX(GPU_Add_N,1,MIN(28,AE$5+GPULead))*GPUCost_N/1000000,INDEX(GPU_Add_N,1,MIN(28,AE$5+GPULead))/GPUMW_N*ITCapexMW,IF(FixMgmt=1,(IF(AE$5+GPULead&gt;29,0,IF(AE$5+GPULead&gt;28,IF(TermBase=2,0,MW_Add31),INDEX(MW_New,1,MIN(28,AE$5+GPULead))))*INDEX(PathRateIT,1,MAX(1,MIN(28,AE$5+GPULead-EnLag)))+IF(AE$5=LastHist+1,MAX(0,INDEX(MW_Act,1,LastHist)-INDEX(EnBaseIT,1,LastHist))*INDEX(PathRateIT,1,LastHist+1),0)),INDEX(PathIT,1,MAX(1,MIN(28,AE$5+GPULead-EnLag))))*IFERROR(INDEX(GPU_Add_N,1,MIN(28,AE$5+GPULead))/(INDEX(GPU_Add_H,1,MIN(28,AE$5+GPULead))+INDEX(GPU_Add_B,1,MIN(28,AE$5+GPULead))+INDEX(GPU_Add_N,1,MIN(28,AE$5+GPULead))),INDEX(Mix_N,1,AE$7-FYBase)))))</f>
        <v>0</v>
      </c>
      <c r="AF25" s="123" t="n">
        <f aca="false">IF(AF$5&lt;=LastHist,IF(AF$5&lt;=10,INDEX(H_Capex,1,AF$5)*HistGPUsh*INDEX(Mix_N,1,AF$7-FYBase),0),IF(AND(CapexMethod&lt;3,AF$5+GPULead&gt;28),0,CHOOSE(CapexMethod,INDEX(GPU_Add_N,1,MIN(28,AF$5+GPULead))*GPUCost_N/1000000,INDEX(GPU_Add_N,1,MIN(28,AF$5+GPULead))/GPUMW_N*ITCapexMW,IF(FixMgmt=1,(IF(AF$5+GPULead&gt;29,0,IF(AF$5+GPULead&gt;28,IF(TermBase=2,0,MW_Add31),INDEX(MW_New,1,MIN(28,AF$5+GPULead))))*INDEX(PathRateIT,1,MAX(1,MIN(28,AF$5+GPULead-EnLag)))+IF(AF$5=LastHist+1,MAX(0,INDEX(MW_Act,1,LastHist)-INDEX(EnBaseIT,1,LastHist))*INDEX(PathRateIT,1,LastHist+1),0)),INDEX(PathIT,1,MAX(1,MIN(28,AF$5+GPULead-EnLag))))*IFERROR(INDEX(GPU_Add_N,1,MIN(28,AF$5+GPULead))/(INDEX(GPU_Add_H,1,MIN(28,AF$5+GPULead))+INDEX(GPU_Add_B,1,MIN(28,AF$5+GPULead))+INDEX(GPU_Add_N,1,MIN(28,AF$5+GPULead))),INDEX(Mix_N,1,AF$7-FYBase)))))</f>
        <v>0</v>
      </c>
      <c r="AG25" s="123" t="n">
        <f aca="false">IF(AG$5&lt;=LastHist,IF(AG$5&lt;=10,INDEX(H_Capex,1,AG$5)*HistGPUsh*INDEX(Mix_N,1,AG$7-FYBase),0),IF(AND(CapexMethod&lt;3,AG$5+GPULead&gt;28),0,CHOOSE(CapexMethod,INDEX(GPU_Add_N,1,MIN(28,AG$5+GPULead))*GPUCost_N/1000000,INDEX(GPU_Add_N,1,MIN(28,AG$5+GPULead))/GPUMW_N*ITCapexMW,IF(FixMgmt=1,(IF(AG$5+GPULead&gt;29,0,IF(AG$5+GPULead&gt;28,IF(TermBase=2,0,MW_Add31),INDEX(MW_New,1,MIN(28,AG$5+GPULead))))*INDEX(PathRateIT,1,MAX(1,MIN(28,AG$5+GPULead-EnLag)))+IF(AG$5=LastHist+1,MAX(0,INDEX(MW_Act,1,LastHist)-INDEX(EnBaseIT,1,LastHist))*INDEX(PathRateIT,1,LastHist+1),0)),INDEX(PathIT,1,MAX(1,MIN(28,AG$5+GPULead-EnLag))))*IFERROR(INDEX(GPU_Add_N,1,MIN(28,AG$5+GPULead))/(INDEX(GPU_Add_H,1,MIN(28,AG$5+GPULead))+INDEX(GPU_Add_B,1,MIN(28,AG$5+GPULead))+INDEX(GPU_Add_N,1,MIN(28,AG$5+GPULead))),INDEX(Mix_N,1,AG$7-FYBase)))))</f>
        <v>0</v>
      </c>
      <c r="AI25" s="123" t="n">
        <f aca="false">SUMIF($F$7:$AG$7,AI$7,$F25:$AG25)</f>
        <v>0</v>
      </c>
      <c r="AJ25" s="123" t="n">
        <f aca="false">SUMIF($F$7:$AG$7,AJ$7,$F25:$AG25)</f>
        <v>0</v>
      </c>
      <c r="AK25" s="123" t="n">
        <f aca="false">SUMIF($F$7:$AG$7,AK$7,$F25:$AG25)</f>
        <v>282.95473441902</v>
      </c>
      <c r="AL25" s="123" t="n">
        <f aca="false">SUMIF($F$7:$AG$7,AL$7,$F25:$AG25)</f>
        <v>14283.2472612807</v>
      </c>
      <c r="AM25" s="123" t="n">
        <f aca="false">SUMIF($F$7:$AG$7,AM$7,$F25:$AG25)</f>
        <v>18974.4004474273</v>
      </c>
      <c r="AN25" s="123" t="n">
        <f aca="false">SUMIF($F$7:$AG$7,AN$7,$F25:$AG25)</f>
        <v>35979</v>
      </c>
      <c r="AO25" s="123" t="n">
        <f aca="false">SUMIF($F$7:$AG$7,AO$7,$F25:$AG25)</f>
        <v>0</v>
      </c>
    </row>
    <row r="26" customFormat="false" ht="15" hidden="false" customHeight="false" outlineLevel="0" collapsed="false">
      <c r="A26" s="104" t="s">
        <v>1932</v>
      </c>
      <c r="B26" s="20" t="s">
        <v>561</v>
      </c>
      <c r="C26" s="20" t="s">
        <v>495</v>
      </c>
      <c r="D26" s="20" t="s">
        <v>1933</v>
      </c>
      <c r="E26" s="123" t="n">
        <f aca="false">0</f>
        <v>0</v>
      </c>
      <c r="F26" s="122" t="n">
        <f aca="false">IF(F$5&lt;=LastHist,INDEX(H_Capex,1,F$5)*HistShell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ShellMW/(ShellMW+PowerMW),INDEX(MW_New,1,MIN(28,F$5+DCLead))*INDEX(MW_OwnSh,1,MIN(28,F$5+DCLead))*ShellMW))</f>
        <v>10.4</v>
      </c>
      <c r="G26" s="122" t="n">
        <f aca="false">IF(G$5&lt;=LastHist,INDEX(H_Capex,1,G$5)*HistShell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ShellMW/(ShellMW+PowerMW),INDEX(MW_New,1,MIN(28,G$5+DCLead))*INDEX(MW_OwnSh,1,MIN(28,G$5+DCLead))*ShellMW))</f>
        <v>10.4</v>
      </c>
      <c r="H26" s="122" t="n">
        <f aca="false">IF(H$5&lt;=LastHist,INDEX(H_Capex,1,H$5)*HistShell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ShellMW/(ShellMW+PowerMW),INDEX(MW_New,1,MIN(28,H$5+DCLead))*INDEX(MW_OwnSh,1,MIN(28,H$5+DCLead))*ShellMW))</f>
        <v>10.392</v>
      </c>
      <c r="I26" s="122" t="n">
        <f aca="false">IF(I$5&lt;=LastHist,INDEX(H_Capex,1,I$5)*HistShell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ShellMW/(ShellMW+PowerMW),INDEX(MW_New,1,MIN(28,I$5+DCLead))*INDEX(MW_OwnSh,1,MIN(28,I$5+DCLead))*ShellMW))</f>
        <v>33.408</v>
      </c>
      <c r="J26" s="122" t="n">
        <f aca="false">IF(J$5&lt;=LastHist,INDEX(H_Capex,1,J$5)*HistShell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ShellMW/(ShellMW+PowerMW),INDEX(MW_New,1,MIN(28,J$5+DCLead))*INDEX(MW_OwnSh,1,MIN(28,J$5+DCLead))*ShellMW))</f>
        <v>43.52</v>
      </c>
      <c r="K26" s="122" t="n">
        <f aca="false">IF(K$5&lt;=LastHist,INDEX(H_Capex,1,K$5)*HistShell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ShellMW/(ShellMW+PowerMW),INDEX(MW_New,1,MIN(28,K$5+DCLead))*INDEX(MW_OwnSh,1,MIN(28,K$5+DCLead))*ShellMW))</f>
        <v>40.848</v>
      </c>
      <c r="L26" s="122" t="n">
        <f aca="false">IF(L$5&lt;=LastHist,INDEX(H_Capex,1,L$5)*HistShell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ShellMW/(ShellMW+PowerMW),INDEX(MW_New,1,MIN(28,L$5+DCLead))*INDEX(MW_OwnSh,1,MIN(28,L$5+DCLead))*ShellMW))</f>
        <v>76.44</v>
      </c>
      <c r="M26" s="122" t="n">
        <f aca="false">IF(M$5&lt;=LastHist,INDEX(H_Capex,1,M$5)*HistShell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ShellMW/(ShellMW+PowerMW),INDEX(MW_New,1,MIN(28,M$5+DCLead))*INDEX(MW_OwnSh,1,MIN(28,M$5+DCLead))*ShellMW))</f>
        <v>164.48</v>
      </c>
      <c r="N26" s="122" t="n">
        <f aca="false">IF(N$5&lt;=LastHist,INDEX(H_Capex,1,N$5)*HistShell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ShellMW/(ShellMW+PowerMW),INDEX(MW_New,1,MIN(28,N$5+DCLead))*INDEX(MW_OwnSh,1,MIN(28,N$5+DCLead))*ShellMW))</f>
        <v>197.832</v>
      </c>
      <c r="O26" s="122" t="n">
        <f aca="false">IF(O$5&lt;=LastHist,INDEX(H_Capex,1,O$5)*HistShell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ShellMW/(ShellMW+PowerMW),INDEX(MW_New,1,MIN(28,O$5+DCLead))*INDEX(MW_OwnSh,1,MIN(28,O$5+DCLead))*ShellMW))</f>
        <v>452.592</v>
      </c>
      <c r="P26" s="123" t="n">
        <f aca="false">IF(P$5&lt;=LastHist,INDEX(H_Capex,1,P$5)*HistShell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ShellMW/(ShellMW+PowerMW),INDEX(MW_New,1,MIN(28,P$5+DCLead))*INDEX(MW_OwnSh,1,MIN(28,P$5+DCLead))*ShellMW))</f>
        <v>45</v>
      </c>
      <c r="Q26" s="123" t="n">
        <f aca="false">IF(Q$5&lt;=LastHist,INDEX(H_Capex,1,Q$5)*HistShell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ShellMW/(ShellMW+PowerMW),INDEX(MW_New,1,MIN(28,Q$5+DCLead))*INDEX(MW_OwnSh,1,MIN(28,Q$5+DCLead))*ShellMW))</f>
        <v>108</v>
      </c>
      <c r="R26" s="123" t="n">
        <f aca="false">IF(R$5&lt;=LastHist,INDEX(H_Capex,1,R$5)*HistShell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ShellMW/(ShellMW+PowerMW),INDEX(MW_New,1,MIN(28,R$5+DCLead))*INDEX(MW_OwnSh,1,MIN(28,R$5+DCLead))*ShellMW))</f>
        <v>333</v>
      </c>
      <c r="S26" s="123" t="n">
        <f aca="false">IF(S$5&lt;=LastHist,INDEX(H_Capex,1,S$5)*HistShell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ShellMW/(ShellMW+PowerMW),INDEX(MW_New,1,MIN(28,S$5+DCLead))*INDEX(MW_OwnSh,1,MIN(28,S$5+DCLead))*ShellMW))</f>
        <v>720</v>
      </c>
      <c r="T26" s="123" t="n">
        <f aca="false">IF(T$5&lt;=LastHist,INDEX(H_Capex,1,T$5)*HistShell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ShellMW/(ShellMW+PowerMW),INDEX(MW_New,1,MIN(28,T$5+DCLead))*INDEX(MW_OwnSh,1,MIN(28,T$5+DCLead))*ShellMW))</f>
        <v>360</v>
      </c>
      <c r="U26" s="123" t="n">
        <f aca="false">IF(U$5&lt;=LastHist,INDEX(H_Capex,1,U$5)*HistShell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ShellMW/(ShellMW+PowerMW),INDEX(MW_New,1,MIN(28,U$5+DCLead))*INDEX(MW_OwnSh,1,MIN(28,U$5+DCLead))*ShellMW))</f>
        <v>702</v>
      </c>
      <c r="V26" s="123" t="n">
        <f aca="false">IF(V$5&lt;=LastHist,INDEX(H_Capex,1,V$5)*HistShell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ShellMW/(ShellMW+PowerMW),INDEX(MW_New,1,MIN(28,V$5+DCLead))*INDEX(MW_OwnSh,1,MIN(28,V$5+DCLead))*ShellMW))</f>
        <v>0</v>
      </c>
      <c r="W26" s="123" t="n">
        <f aca="false">IF(W$5&lt;=LastHist,INDEX(H_Capex,1,W$5)*HistShell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ShellMW/(ShellMW+PowerMW),INDEX(MW_New,1,MIN(28,W$5+DCLead))*INDEX(MW_OwnSh,1,MIN(28,W$5+DCLead))*ShellMW))</f>
        <v>1260</v>
      </c>
      <c r="X26" s="123" t="n">
        <f aca="false">IF(X$5&lt;=LastHist,INDEX(H_Capex,1,X$5)*HistShell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ShellMW/(ShellMW+PowerMW),INDEX(MW_New,1,MIN(28,X$5+DCLead))*INDEX(MW_OwnSh,1,MIN(28,X$5+DCLead))*ShellMW))</f>
        <v>0</v>
      </c>
      <c r="Y26" s="123" t="n">
        <f aca="false">IF(Y$5&lt;=LastHist,INDEX(H_Capex,1,Y$5)*HistShell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ShellMW/(ShellMW+PowerMW),INDEX(MW_New,1,MIN(28,Y$5+DCLead))*INDEX(MW_OwnSh,1,MIN(28,Y$5+DCLead))*ShellMW))</f>
        <v>1512</v>
      </c>
      <c r="Z26" s="123" t="n">
        <f aca="false">IF(Z$5&lt;=LastHist,INDEX(H_Capex,1,Z$5)*HistShell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ShellMW/(ShellMW+PowerMW),INDEX(MW_New,1,MIN(28,Z$5+DCLead))*INDEX(MW_OwnSh,1,MIN(28,Z$5+DCLead))*ShellMW))</f>
        <v>0</v>
      </c>
      <c r="AA26" s="123" t="n">
        <f aca="false">IF(AA$5&lt;=LastHist,INDEX(H_Capex,1,AA$5)*HistShell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ShellMW/(ShellMW+PowerMW),INDEX(MW_New,1,MIN(28,AA$5+DCLead))*INDEX(MW_OwnSh,1,MIN(28,AA$5+DCLead))*ShellMW))</f>
        <v>2106</v>
      </c>
      <c r="AB26" s="123" t="n">
        <f aca="false">IF(AB$5&lt;=LastHist,INDEX(H_Capex,1,AB$5)*HistShell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ShellMW/(ShellMW+PowerMW),INDEX(MW_New,1,MIN(28,AB$5+DCLead))*INDEX(MW_OwnSh,1,MIN(28,AB$5+DCLead))*ShellMW))</f>
        <v>0</v>
      </c>
      <c r="AC26" s="123" t="n">
        <f aca="false">IF(AC$5&lt;=LastHist,INDEX(H_Capex,1,AC$5)*HistShell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ShellMW/(ShellMW+PowerMW),INDEX(MW_New,1,MIN(28,AC$5+DCLead))*INDEX(MW_OwnSh,1,MIN(28,AC$5+DCLead))*ShellMW))</f>
        <v>0</v>
      </c>
      <c r="AD26" s="123" t="n">
        <f aca="false">IF(AD$5&lt;=LastHist,INDEX(H_Capex,1,AD$5)*HistShell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ShellMW/(ShellMW+PowerMW),INDEX(MW_New,1,MIN(28,AD$5+DCLead))*INDEX(MW_OwnSh,1,MIN(28,AD$5+DCLead))*ShellMW))</f>
        <v>0</v>
      </c>
      <c r="AE26" s="123" t="n">
        <f aca="false">IF(AE$5&lt;=LastHist,INDEX(H_Capex,1,AE$5)*HistShell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ShellMW/(ShellMW+PowerMW),INDEX(MW_New,1,MIN(28,AE$5+DCLead))*INDEX(MW_OwnSh,1,MIN(28,AE$5+DCLead))*ShellMW))</f>
        <v>0</v>
      </c>
      <c r="AF26" s="123" t="n">
        <f aca="false">IF(AF$5&lt;=LastHist,INDEX(H_Capex,1,AF$5)*HistShell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ShellMW/(ShellMW+PowerMW),INDEX(MW_New,1,MIN(28,AF$5+DCLead))*INDEX(MW_OwnSh,1,MIN(28,AF$5+DCLead))*ShellMW))</f>
        <v>0</v>
      </c>
      <c r="AG26" s="123" t="n">
        <f aca="false">IF(AG$5&lt;=LastHist,INDEX(H_Capex,1,AG$5)*HistShell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ShellMW/(ShellMW+PowerMW),INDEX(MW_New,1,MIN(28,AG$5+DCLead))*INDEX(MW_OwnSh,1,MIN(28,AG$5+DCLead))*ShellMW))</f>
        <v>0</v>
      </c>
      <c r="AI26" s="123" t="n">
        <f aca="false">SUMIF($F$7:$AG$7,AI$7,$F26:$AG26)</f>
        <v>64.6</v>
      </c>
      <c r="AJ26" s="123" t="n">
        <f aca="false">SUMIF($F$7:$AG$7,AJ$7,$F26:$AG26)</f>
        <v>325.288</v>
      </c>
      <c r="AK26" s="123" t="n">
        <f aca="false">SUMIF($F$7:$AG$7,AK$7,$F26:$AG26)</f>
        <v>803.424</v>
      </c>
      <c r="AL26" s="123" t="n">
        <f aca="false">SUMIF($F$7:$AG$7,AL$7,$F26:$AG26)</f>
        <v>2115</v>
      </c>
      <c r="AM26" s="123" t="n">
        <f aca="false">SUMIF($F$7:$AG$7,AM$7,$F26:$AG26)</f>
        <v>2772</v>
      </c>
      <c r="AN26" s="123" t="n">
        <f aca="false">SUMIF($F$7:$AG$7,AN$7,$F26:$AG26)</f>
        <v>2106</v>
      </c>
      <c r="AO26" s="123" t="n">
        <f aca="false">SUMIF($F$7:$AG$7,AO$7,$F26:$AG26)</f>
        <v>0</v>
      </c>
    </row>
    <row r="27" customFormat="false" ht="15" hidden="false" customHeight="false" outlineLevel="0" collapsed="false">
      <c r="A27" s="104" t="s">
        <v>1934</v>
      </c>
      <c r="B27" s="20" t="s">
        <v>561</v>
      </c>
      <c r="C27" s="20" t="s">
        <v>495</v>
      </c>
      <c r="D27" s="20" t="s">
        <v>1935</v>
      </c>
      <c r="E27" s="123" t="n">
        <f aca="false">0</f>
        <v>0</v>
      </c>
      <c r="F27" s="122" t="n">
        <f aca="false">IF(F$5&lt;=LastHist,INDEX(H_Capex,1,F$5)*HistPowSh,IF(CapexMethod=3,IF(FixMgmt=1,(IF(F$5+DCLead&gt;29,0,IF(F$5+DCLead&gt;28,IF(TermBase=2,0,MW_Add31),INDEX(MW_New,1,MIN(28,F$5+DCLead))))*INDEX(PathRateSP,1,MAX(1,MIN(28,F$5+DCLead-EnLag)))+IF(F$5=LastHist+1,MAX(0,INDEX(MW_Act,1,LastHist)-INDEX(EnBaseIT,1,LastHist))*INDEX(PathRateSP,1,LastHist+1),0)),INDEX(PathSP,1,MAX(1,MIN(28,F$5+DCLead-EnLag))))*PowerMW/(ShellMW+PowerMW),INDEX(MW_New,1,MIN(28,F$5+DCLead))*INDEX(MW_OwnSh,1,MIN(28,F$5+DCLead))*PowerMW))</f>
        <v>15.6</v>
      </c>
      <c r="G27" s="122" t="n">
        <f aca="false">IF(G$5&lt;=LastHist,INDEX(H_Capex,1,G$5)*HistPowSh,IF(CapexMethod=3,IF(FixMgmt=1,(IF(G$5+DCLead&gt;29,0,IF(G$5+DCLead&gt;28,IF(TermBase=2,0,MW_Add31),INDEX(MW_New,1,MIN(28,G$5+DCLead))))*INDEX(PathRateSP,1,MAX(1,MIN(28,G$5+DCLead-EnLag)))+IF(G$5=LastHist+1,MAX(0,INDEX(MW_Act,1,LastHist)-INDEX(EnBaseIT,1,LastHist))*INDEX(PathRateSP,1,LastHist+1),0)),INDEX(PathSP,1,MAX(1,MIN(28,G$5+DCLead-EnLag))))*PowerMW/(ShellMW+PowerMW),INDEX(MW_New,1,MIN(28,G$5+DCLead))*INDEX(MW_OwnSh,1,MIN(28,G$5+DCLead))*PowerMW))</f>
        <v>15.6</v>
      </c>
      <c r="H27" s="122" t="n">
        <f aca="false">IF(H$5&lt;=LastHist,INDEX(H_Capex,1,H$5)*HistPowSh,IF(CapexMethod=3,IF(FixMgmt=1,(IF(H$5+DCLead&gt;29,0,IF(H$5+DCLead&gt;28,IF(TermBase=2,0,MW_Add31),INDEX(MW_New,1,MIN(28,H$5+DCLead))))*INDEX(PathRateSP,1,MAX(1,MIN(28,H$5+DCLead-EnLag)))+IF(H$5=LastHist+1,MAX(0,INDEX(MW_Act,1,LastHist)-INDEX(EnBaseIT,1,LastHist))*INDEX(PathRateSP,1,LastHist+1),0)),INDEX(PathSP,1,MAX(1,MIN(28,H$5+DCLead-EnLag))))*PowerMW/(ShellMW+PowerMW),INDEX(MW_New,1,MIN(28,H$5+DCLead))*INDEX(MW_OwnSh,1,MIN(28,H$5+DCLead))*PowerMW))</f>
        <v>15.588</v>
      </c>
      <c r="I27" s="122" t="n">
        <f aca="false">IF(I$5&lt;=LastHist,INDEX(H_Capex,1,I$5)*HistPowSh,IF(CapexMethod=3,IF(FixMgmt=1,(IF(I$5+DCLead&gt;29,0,IF(I$5+DCLead&gt;28,IF(TermBase=2,0,MW_Add31),INDEX(MW_New,1,MIN(28,I$5+DCLead))))*INDEX(PathRateSP,1,MAX(1,MIN(28,I$5+DCLead-EnLag)))+IF(I$5=LastHist+1,MAX(0,INDEX(MW_Act,1,LastHist)-INDEX(EnBaseIT,1,LastHist))*INDEX(PathRateSP,1,LastHist+1),0)),INDEX(PathSP,1,MAX(1,MIN(28,I$5+DCLead-EnLag))))*PowerMW/(ShellMW+PowerMW),INDEX(MW_New,1,MIN(28,I$5+DCLead))*INDEX(MW_OwnSh,1,MIN(28,I$5+DCLead))*PowerMW))</f>
        <v>50.112</v>
      </c>
      <c r="J27" s="122" t="n">
        <f aca="false">IF(J$5&lt;=LastHist,INDEX(H_Capex,1,J$5)*HistPowSh,IF(CapexMethod=3,IF(FixMgmt=1,(IF(J$5+DCLead&gt;29,0,IF(J$5+DCLead&gt;28,IF(TermBase=2,0,MW_Add31),INDEX(MW_New,1,MIN(28,J$5+DCLead))))*INDEX(PathRateSP,1,MAX(1,MIN(28,J$5+DCLead-EnLag)))+IF(J$5=LastHist+1,MAX(0,INDEX(MW_Act,1,LastHist)-INDEX(EnBaseIT,1,LastHist))*INDEX(PathRateSP,1,LastHist+1),0)),INDEX(PathSP,1,MAX(1,MIN(28,J$5+DCLead-EnLag))))*PowerMW/(ShellMW+PowerMW),INDEX(MW_New,1,MIN(28,J$5+DCLead))*INDEX(MW_OwnSh,1,MIN(28,J$5+DCLead))*PowerMW))</f>
        <v>65.28</v>
      </c>
      <c r="K27" s="122" t="n">
        <f aca="false">IF(K$5&lt;=LastHist,INDEX(H_Capex,1,K$5)*HistPowSh,IF(CapexMethod=3,IF(FixMgmt=1,(IF(K$5+DCLead&gt;29,0,IF(K$5+DCLead&gt;28,IF(TermBase=2,0,MW_Add31),INDEX(MW_New,1,MIN(28,K$5+DCLead))))*INDEX(PathRateSP,1,MAX(1,MIN(28,K$5+DCLead-EnLag)))+IF(K$5=LastHist+1,MAX(0,INDEX(MW_Act,1,LastHist)-INDEX(EnBaseIT,1,LastHist))*INDEX(PathRateSP,1,LastHist+1),0)),INDEX(PathSP,1,MAX(1,MIN(28,K$5+DCLead-EnLag))))*PowerMW/(ShellMW+PowerMW),INDEX(MW_New,1,MIN(28,K$5+DCLead))*INDEX(MW_OwnSh,1,MIN(28,K$5+DCLead))*PowerMW))</f>
        <v>61.272</v>
      </c>
      <c r="L27" s="122" t="n">
        <f aca="false">IF(L$5&lt;=LastHist,INDEX(H_Capex,1,L$5)*HistPowSh,IF(CapexMethod=3,IF(FixMgmt=1,(IF(L$5+DCLead&gt;29,0,IF(L$5+DCLead&gt;28,IF(TermBase=2,0,MW_Add31),INDEX(MW_New,1,MIN(28,L$5+DCLead))))*INDEX(PathRateSP,1,MAX(1,MIN(28,L$5+DCLead-EnLag)))+IF(L$5=LastHist+1,MAX(0,INDEX(MW_Act,1,LastHist)-INDEX(EnBaseIT,1,LastHist))*INDEX(PathRateSP,1,LastHist+1),0)),INDEX(PathSP,1,MAX(1,MIN(28,L$5+DCLead-EnLag))))*PowerMW/(ShellMW+PowerMW),INDEX(MW_New,1,MIN(28,L$5+DCLead))*INDEX(MW_OwnSh,1,MIN(28,L$5+DCLead))*PowerMW))</f>
        <v>114.66</v>
      </c>
      <c r="M27" s="122" t="n">
        <f aca="false">IF(M$5&lt;=LastHist,INDEX(H_Capex,1,M$5)*HistPowSh,IF(CapexMethod=3,IF(FixMgmt=1,(IF(M$5+DCLead&gt;29,0,IF(M$5+DCLead&gt;28,IF(TermBase=2,0,MW_Add31),INDEX(MW_New,1,MIN(28,M$5+DCLead))))*INDEX(PathRateSP,1,MAX(1,MIN(28,M$5+DCLead-EnLag)))+IF(M$5=LastHist+1,MAX(0,INDEX(MW_Act,1,LastHist)-INDEX(EnBaseIT,1,LastHist))*INDEX(PathRateSP,1,LastHist+1),0)),INDEX(PathSP,1,MAX(1,MIN(28,M$5+DCLead-EnLag))))*PowerMW/(ShellMW+PowerMW),INDEX(MW_New,1,MIN(28,M$5+DCLead))*INDEX(MW_OwnSh,1,MIN(28,M$5+DCLead))*PowerMW))</f>
        <v>246.72</v>
      </c>
      <c r="N27" s="122" t="n">
        <f aca="false">IF(N$5&lt;=LastHist,INDEX(H_Capex,1,N$5)*HistPowSh,IF(CapexMethod=3,IF(FixMgmt=1,(IF(N$5+DCLead&gt;29,0,IF(N$5+DCLead&gt;28,IF(TermBase=2,0,MW_Add31),INDEX(MW_New,1,MIN(28,N$5+DCLead))))*INDEX(PathRateSP,1,MAX(1,MIN(28,N$5+DCLead-EnLag)))+IF(N$5=LastHist+1,MAX(0,INDEX(MW_Act,1,LastHist)-INDEX(EnBaseIT,1,LastHist))*INDEX(PathRateSP,1,LastHist+1),0)),INDEX(PathSP,1,MAX(1,MIN(28,N$5+DCLead-EnLag))))*PowerMW/(ShellMW+PowerMW),INDEX(MW_New,1,MIN(28,N$5+DCLead))*INDEX(MW_OwnSh,1,MIN(28,N$5+DCLead))*PowerMW))</f>
        <v>296.748</v>
      </c>
      <c r="O27" s="122" t="n">
        <f aca="false">IF(O$5&lt;=LastHist,INDEX(H_Capex,1,O$5)*HistPowSh,IF(CapexMethod=3,IF(FixMgmt=1,(IF(O$5+DCLead&gt;29,0,IF(O$5+DCLead&gt;28,IF(TermBase=2,0,MW_Add31),INDEX(MW_New,1,MIN(28,O$5+DCLead))))*INDEX(PathRateSP,1,MAX(1,MIN(28,O$5+DCLead-EnLag)))+IF(O$5=LastHist+1,MAX(0,INDEX(MW_Act,1,LastHist)-INDEX(EnBaseIT,1,LastHist))*INDEX(PathRateSP,1,LastHist+1),0)),INDEX(PathSP,1,MAX(1,MIN(28,O$5+DCLead-EnLag))))*PowerMW/(ShellMW+PowerMW),INDEX(MW_New,1,MIN(28,O$5+DCLead))*INDEX(MW_OwnSh,1,MIN(28,O$5+DCLead))*PowerMW))</f>
        <v>678.888</v>
      </c>
      <c r="P27" s="123" t="n">
        <f aca="false">IF(P$5&lt;=LastHist,INDEX(H_Capex,1,P$5)*HistPowSh,IF(CapexMethod=3,IF(FixMgmt=1,(IF(P$5+DCLead&gt;29,0,IF(P$5+DCLead&gt;28,IF(TermBase=2,0,MW_Add31),INDEX(MW_New,1,MIN(28,P$5+DCLead))))*INDEX(PathRateSP,1,MAX(1,MIN(28,P$5+DCLead-EnLag)))+IF(P$5=LastHist+1,MAX(0,INDEX(MW_Act,1,LastHist)-INDEX(EnBaseIT,1,LastHist))*INDEX(PathRateSP,1,LastHist+1),0)),INDEX(PathSP,1,MAX(1,MIN(28,P$5+DCLead-EnLag))))*PowerMW/(ShellMW+PowerMW),INDEX(MW_New,1,MIN(28,P$5+DCLead))*INDEX(MW_OwnSh,1,MIN(28,P$5+DCLead))*PowerMW))</f>
        <v>67.5</v>
      </c>
      <c r="Q27" s="123" t="n">
        <f aca="false">IF(Q$5&lt;=LastHist,INDEX(H_Capex,1,Q$5)*HistPowSh,IF(CapexMethod=3,IF(FixMgmt=1,(IF(Q$5+DCLead&gt;29,0,IF(Q$5+DCLead&gt;28,IF(TermBase=2,0,MW_Add31),INDEX(MW_New,1,MIN(28,Q$5+DCLead))))*INDEX(PathRateSP,1,MAX(1,MIN(28,Q$5+DCLead-EnLag)))+IF(Q$5=LastHist+1,MAX(0,INDEX(MW_Act,1,LastHist)-INDEX(EnBaseIT,1,LastHist))*INDEX(PathRateSP,1,LastHist+1),0)),INDEX(PathSP,1,MAX(1,MIN(28,Q$5+DCLead-EnLag))))*PowerMW/(ShellMW+PowerMW),INDEX(MW_New,1,MIN(28,Q$5+DCLead))*INDEX(MW_OwnSh,1,MIN(28,Q$5+DCLead))*PowerMW))</f>
        <v>162</v>
      </c>
      <c r="R27" s="123" t="n">
        <f aca="false">IF(R$5&lt;=LastHist,INDEX(H_Capex,1,R$5)*HistPowSh,IF(CapexMethod=3,IF(FixMgmt=1,(IF(R$5+DCLead&gt;29,0,IF(R$5+DCLead&gt;28,IF(TermBase=2,0,MW_Add31),INDEX(MW_New,1,MIN(28,R$5+DCLead))))*INDEX(PathRateSP,1,MAX(1,MIN(28,R$5+DCLead-EnLag)))+IF(R$5=LastHist+1,MAX(0,INDEX(MW_Act,1,LastHist)-INDEX(EnBaseIT,1,LastHist))*INDEX(PathRateSP,1,LastHist+1),0)),INDEX(PathSP,1,MAX(1,MIN(28,R$5+DCLead-EnLag))))*PowerMW/(ShellMW+PowerMW),INDEX(MW_New,1,MIN(28,R$5+DCLead))*INDEX(MW_OwnSh,1,MIN(28,R$5+DCLead))*PowerMW))</f>
        <v>499.5</v>
      </c>
      <c r="S27" s="123" t="n">
        <f aca="false">IF(S$5&lt;=LastHist,INDEX(H_Capex,1,S$5)*HistPowSh,IF(CapexMethod=3,IF(FixMgmt=1,(IF(S$5+DCLead&gt;29,0,IF(S$5+DCLead&gt;28,IF(TermBase=2,0,MW_Add31),INDEX(MW_New,1,MIN(28,S$5+DCLead))))*INDEX(PathRateSP,1,MAX(1,MIN(28,S$5+DCLead-EnLag)))+IF(S$5=LastHist+1,MAX(0,INDEX(MW_Act,1,LastHist)-INDEX(EnBaseIT,1,LastHist))*INDEX(PathRateSP,1,LastHist+1),0)),INDEX(PathSP,1,MAX(1,MIN(28,S$5+DCLead-EnLag))))*PowerMW/(ShellMW+PowerMW),INDEX(MW_New,1,MIN(28,S$5+DCLead))*INDEX(MW_OwnSh,1,MIN(28,S$5+DCLead))*PowerMW))</f>
        <v>1080</v>
      </c>
      <c r="T27" s="123" t="n">
        <f aca="false">IF(T$5&lt;=LastHist,INDEX(H_Capex,1,T$5)*HistPowSh,IF(CapexMethod=3,IF(FixMgmt=1,(IF(T$5+DCLead&gt;29,0,IF(T$5+DCLead&gt;28,IF(TermBase=2,0,MW_Add31),INDEX(MW_New,1,MIN(28,T$5+DCLead))))*INDEX(PathRateSP,1,MAX(1,MIN(28,T$5+DCLead-EnLag)))+IF(T$5=LastHist+1,MAX(0,INDEX(MW_Act,1,LastHist)-INDEX(EnBaseIT,1,LastHist))*INDEX(PathRateSP,1,LastHist+1),0)),INDEX(PathSP,1,MAX(1,MIN(28,T$5+DCLead-EnLag))))*PowerMW/(ShellMW+PowerMW),INDEX(MW_New,1,MIN(28,T$5+DCLead))*INDEX(MW_OwnSh,1,MIN(28,T$5+DCLead))*PowerMW))</f>
        <v>540</v>
      </c>
      <c r="U27" s="123" t="n">
        <f aca="false">IF(U$5&lt;=LastHist,INDEX(H_Capex,1,U$5)*HistPowSh,IF(CapexMethod=3,IF(FixMgmt=1,(IF(U$5+DCLead&gt;29,0,IF(U$5+DCLead&gt;28,IF(TermBase=2,0,MW_Add31),INDEX(MW_New,1,MIN(28,U$5+DCLead))))*INDEX(PathRateSP,1,MAX(1,MIN(28,U$5+DCLead-EnLag)))+IF(U$5=LastHist+1,MAX(0,INDEX(MW_Act,1,LastHist)-INDEX(EnBaseIT,1,LastHist))*INDEX(PathRateSP,1,LastHist+1),0)),INDEX(PathSP,1,MAX(1,MIN(28,U$5+DCLead-EnLag))))*PowerMW/(ShellMW+PowerMW),INDEX(MW_New,1,MIN(28,U$5+DCLead))*INDEX(MW_OwnSh,1,MIN(28,U$5+DCLead))*PowerMW))</f>
        <v>1053</v>
      </c>
      <c r="V27" s="123" t="n">
        <f aca="false">IF(V$5&lt;=LastHist,INDEX(H_Capex,1,V$5)*HistPowSh,IF(CapexMethod=3,IF(FixMgmt=1,(IF(V$5+DCLead&gt;29,0,IF(V$5+DCLead&gt;28,IF(TermBase=2,0,MW_Add31),INDEX(MW_New,1,MIN(28,V$5+DCLead))))*INDEX(PathRateSP,1,MAX(1,MIN(28,V$5+DCLead-EnLag)))+IF(V$5=LastHist+1,MAX(0,INDEX(MW_Act,1,LastHist)-INDEX(EnBaseIT,1,LastHist))*INDEX(PathRateSP,1,LastHist+1),0)),INDEX(PathSP,1,MAX(1,MIN(28,V$5+DCLead-EnLag))))*PowerMW/(ShellMW+PowerMW),INDEX(MW_New,1,MIN(28,V$5+DCLead))*INDEX(MW_OwnSh,1,MIN(28,V$5+DCLead))*PowerMW))</f>
        <v>0</v>
      </c>
      <c r="W27" s="123" t="n">
        <f aca="false">IF(W$5&lt;=LastHist,INDEX(H_Capex,1,W$5)*HistPowSh,IF(CapexMethod=3,IF(FixMgmt=1,(IF(W$5+DCLead&gt;29,0,IF(W$5+DCLead&gt;28,IF(TermBase=2,0,MW_Add31),INDEX(MW_New,1,MIN(28,W$5+DCLead))))*INDEX(PathRateSP,1,MAX(1,MIN(28,W$5+DCLead-EnLag)))+IF(W$5=LastHist+1,MAX(0,INDEX(MW_Act,1,LastHist)-INDEX(EnBaseIT,1,LastHist))*INDEX(PathRateSP,1,LastHist+1),0)),INDEX(PathSP,1,MAX(1,MIN(28,W$5+DCLead-EnLag))))*PowerMW/(ShellMW+PowerMW),INDEX(MW_New,1,MIN(28,W$5+DCLead))*INDEX(MW_OwnSh,1,MIN(28,W$5+DCLead))*PowerMW))</f>
        <v>1890</v>
      </c>
      <c r="X27" s="123" t="n">
        <f aca="false">IF(X$5&lt;=LastHist,INDEX(H_Capex,1,X$5)*HistPowSh,IF(CapexMethod=3,IF(FixMgmt=1,(IF(X$5+DCLead&gt;29,0,IF(X$5+DCLead&gt;28,IF(TermBase=2,0,MW_Add31),INDEX(MW_New,1,MIN(28,X$5+DCLead))))*INDEX(PathRateSP,1,MAX(1,MIN(28,X$5+DCLead-EnLag)))+IF(X$5=LastHist+1,MAX(0,INDEX(MW_Act,1,LastHist)-INDEX(EnBaseIT,1,LastHist))*INDEX(PathRateSP,1,LastHist+1),0)),INDEX(PathSP,1,MAX(1,MIN(28,X$5+DCLead-EnLag))))*PowerMW/(ShellMW+PowerMW),INDEX(MW_New,1,MIN(28,X$5+DCLead))*INDEX(MW_OwnSh,1,MIN(28,X$5+DCLead))*PowerMW))</f>
        <v>0</v>
      </c>
      <c r="Y27" s="123" t="n">
        <f aca="false">IF(Y$5&lt;=LastHist,INDEX(H_Capex,1,Y$5)*HistPowSh,IF(CapexMethod=3,IF(FixMgmt=1,(IF(Y$5+DCLead&gt;29,0,IF(Y$5+DCLead&gt;28,IF(TermBase=2,0,MW_Add31),INDEX(MW_New,1,MIN(28,Y$5+DCLead))))*INDEX(PathRateSP,1,MAX(1,MIN(28,Y$5+DCLead-EnLag)))+IF(Y$5=LastHist+1,MAX(0,INDEX(MW_Act,1,LastHist)-INDEX(EnBaseIT,1,LastHist))*INDEX(PathRateSP,1,LastHist+1),0)),INDEX(PathSP,1,MAX(1,MIN(28,Y$5+DCLead-EnLag))))*PowerMW/(ShellMW+PowerMW),INDEX(MW_New,1,MIN(28,Y$5+DCLead))*INDEX(MW_OwnSh,1,MIN(28,Y$5+DCLead))*PowerMW))</f>
        <v>2268</v>
      </c>
      <c r="Z27" s="123" t="n">
        <f aca="false">IF(Z$5&lt;=LastHist,INDEX(H_Capex,1,Z$5)*HistPowSh,IF(CapexMethod=3,IF(FixMgmt=1,(IF(Z$5+DCLead&gt;29,0,IF(Z$5+DCLead&gt;28,IF(TermBase=2,0,MW_Add31),INDEX(MW_New,1,MIN(28,Z$5+DCLead))))*INDEX(PathRateSP,1,MAX(1,MIN(28,Z$5+DCLead-EnLag)))+IF(Z$5=LastHist+1,MAX(0,INDEX(MW_Act,1,LastHist)-INDEX(EnBaseIT,1,LastHist))*INDEX(PathRateSP,1,LastHist+1),0)),INDEX(PathSP,1,MAX(1,MIN(28,Z$5+DCLead-EnLag))))*PowerMW/(ShellMW+PowerMW),INDEX(MW_New,1,MIN(28,Z$5+DCLead))*INDEX(MW_OwnSh,1,MIN(28,Z$5+DCLead))*PowerMW))</f>
        <v>0</v>
      </c>
      <c r="AA27" s="123" t="n">
        <f aca="false">IF(AA$5&lt;=LastHist,INDEX(H_Capex,1,AA$5)*HistPowSh,IF(CapexMethod=3,IF(FixMgmt=1,(IF(AA$5+DCLead&gt;29,0,IF(AA$5+DCLead&gt;28,IF(TermBase=2,0,MW_Add31),INDEX(MW_New,1,MIN(28,AA$5+DCLead))))*INDEX(PathRateSP,1,MAX(1,MIN(28,AA$5+DCLead-EnLag)))+IF(AA$5=LastHist+1,MAX(0,INDEX(MW_Act,1,LastHist)-INDEX(EnBaseIT,1,LastHist))*INDEX(PathRateSP,1,LastHist+1),0)),INDEX(PathSP,1,MAX(1,MIN(28,AA$5+DCLead-EnLag))))*PowerMW/(ShellMW+PowerMW),INDEX(MW_New,1,MIN(28,AA$5+DCLead))*INDEX(MW_OwnSh,1,MIN(28,AA$5+DCLead))*PowerMW))</f>
        <v>3159</v>
      </c>
      <c r="AB27" s="123" t="n">
        <f aca="false">IF(AB$5&lt;=LastHist,INDEX(H_Capex,1,AB$5)*HistPowSh,IF(CapexMethod=3,IF(FixMgmt=1,(IF(AB$5+DCLead&gt;29,0,IF(AB$5+DCLead&gt;28,IF(TermBase=2,0,MW_Add31),INDEX(MW_New,1,MIN(28,AB$5+DCLead))))*INDEX(PathRateSP,1,MAX(1,MIN(28,AB$5+DCLead-EnLag)))+IF(AB$5=LastHist+1,MAX(0,INDEX(MW_Act,1,LastHist)-INDEX(EnBaseIT,1,LastHist))*INDEX(PathRateSP,1,LastHist+1),0)),INDEX(PathSP,1,MAX(1,MIN(28,AB$5+DCLead-EnLag))))*PowerMW/(ShellMW+PowerMW),INDEX(MW_New,1,MIN(28,AB$5+DCLead))*INDEX(MW_OwnSh,1,MIN(28,AB$5+DCLead))*PowerMW))</f>
        <v>0</v>
      </c>
      <c r="AC27" s="123" t="n">
        <f aca="false">IF(AC$5&lt;=LastHist,INDEX(H_Capex,1,AC$5)*HistPowSh,IF(CapexMethod=3,IF(FixMgmt=1,(IF(AC$5+DCLead&gt;29,0,IF(AC$5+DCLead&gt;28,IF(TermBase=2,0,MW_Add31),INDEX(MW_New,1,MIN(28,AC$5+DCLead))))*INDEX(PathRateSP,1,MAX(1,MIN(28,AC$5+DCLead-EnLag)))+IF(AC$5=LastHist+1,MAX(0,INDEX(MW_Act,1,LastHist)-INDEX(EnBaseIT,1,LastHist))*INDEX(PathRateSP,1,LastHist+1),0)),INDEX(PathSP,1,MAX(1,MIN(28,AC$5+DCLead-EnLag))))*PowerMW/(ShellMW+PowerMW),INDEX(MW_New,1,MIN(28,AC$5+DCLead))*INDEX(MW_OwnSh,1,MIN(28,AC$5+DCLead))*PowerMW))</f>
        <v>0</v>
      </c>
      <c r="AD27" s="123" t="n">
        <f aca="false">IF(AD$5&lt;=LastHist,INDEX(H_Capex,1,AD$5)*HistPowSh,IF(CapexMethod=3,IF(FixMgmt=1,(IF(AD$5+DCLead&gt;29,0,IF(AD$5+DCLead&gt;28,IF(TermBase=2,0,MW_Add31),INDEX(MW_New,1,MIN(28,AD$5+DCLead))))*INDEX(PathRateSP,1,MAX(1,MIN(28,AD$5+DCLead-EnLag)))+IF(AD$5=LastHist+1,MAX(0,INDEX(MW_Act,1,LastHist)-INDEX(EnBaseIT,1,LastHist))*INDEX(PathRateSP,1,LastHist+1),0)),INDEX(PathSP,1,MAX(1,MIN(28,AD$5+DCLead-EnLag))))*PowerMW/(ShellMW+PowerMW),INDEX(MW_New,1,MIN(28,AD$5+DCLead))*INDEX(MW_OwnSh,1,MIN(28,AD$5+DCLead))*PowerMW))</f>
        <v>0</v>
      </c>
      <c r="AE27" s="123" t="n">
        <f aca="false">IF(AE$5&lt;=LastHist,INDEX(H_Capex,1,AE$5)*HistPowSh,IF(CapexMethod=3,IF(FixMgmt=1,(IF(AE$5+DCLead&gt;29,0,IF(AE$5+DCLead&gt;28,IF(TermBase=2,0,MW_Add31),INDEX(MW_New,1,MIN(28,AE$5+DCLead))))*INDEX(PathRateSP,1,MAX(1,MIN(28,AE$5+DCLead-EnLag)))+IF(AE$5=LastHist+1,MAX(0,INDEX(MW_Act,1,LastHist)-INDEX(EnBaseIT,1,LastHist))*INDEX(PathRateSP,1,LastHist+1),0)),INDEX(PathSP,1,MAX(1,MIN(28,AE$5+DCLead-EnLag))))*PowerMW/(ShellMW+PowerMW),INDEX(MW_New,1,MIN(28,AE$5+DCLead))*INDEX(MW_OwnSh,1,MIN(28,AE$5+DCLead))*PowerMW))</f>
        <v>0</v>
      </c>
      <c r="AF27" s="123" t="n">
        <f aca="false">IF(AF$5&lt;=LastHist,INDEX(H_Capex,1,AF$5)*HistPowSh,IF(CapexMethod=3,IF(FixMgmt=1,(IF(AF$5+DCLead&gt;29,0,IF(AF$5+DCLead&gt;28,IF(TermBase=2,0,MW_Add31),INDEX(MW_New,1,MIN(28,AF$5+DCLead))))*INDEX(PathRateSP,1,MAX(1,MIN(28,AF$5+DCLead-EnLag)))+IF(AF$5=LastHist+1,MAX(0,INDEX(MW_Act,1,LastHist)-INDEX(EnBaseIT,1,LastHist))*INDEX(PathRateSP,1,LastHist+1),0)),INDEX(PathSP,1,MAX(1,MIN(28,AF$5+DCLead-EnLag))))*PowerMW/(ShellMW+PowerMW),INDEX(MW_New,1,MIN(28,AF$5+DCLead))*INDEX(MW_OwnSh,1,MIN(28,AF$5+DCLead))*PowerMW))</f>
        <v>0</v>
      </c>
      <c r="AG27" s="123" t="n">
        <f aca="false">IF(AG$5&lt;=LastHist,INDEX(H_Capex,1,AG$5)*HistPowSh,IF(CapexMethod=3,IF(FixMgmt=1,(IF(AG$5+DCLead&gt;29,0,IF(AG$5+DCLead&gt;28,IF(TermBase=2,0,MW_Add31),INDEX(MW_New,1,MIN(28,AG$5+DCLead))))*INDEX(PathRateSP,1,MAX(1,MIN(28,AG$5+DCLead-EnLag)))+IF(AG$5=LastHist+1,MAX(0,INDEX(MW_Act,1,LastHist)-INDEX(EnBaseIT,1,LastHist))*INDEX(PathRateSP,1,LastHist+1),0)),INDEX(PathSP,1,MAX(1,MIN(28,AG$5+DCLead-EnLag))))*PowerMW/(ShellMW+PowerMW),INDEX(MW_New,1,MIN(28,AG$5+DCLead))*INDEX(MW_OwnSh,1,MIN(28,AG$5+DCLead))*PowerMW))</f>
        <v>0</v>
      </c>
      <c r="AI27" s="123" t="n">
        <f aca="false">SUMIF($F$7:$AG$7,AI$7,$F27:$AG27)</f>
        <v>96.9</v>
      </c>
      <c r="AJ27" s="123" t="n">
        <f aca="false">SUMIF($F$7:$AG$7,AJ$7,$F27:$AG27)</f>
        <v>487.932</v>
      </c>
      <c r="AK27" s="123" t="n">
        <f aca="false">SUMIF($F$7:$AG$7,AK$7,$F27:$AG27)</f>
        <v>1205.136</v>
      </c>
      <c r="AL27" s="123" t="n">
        <f aca="false">SUMIF($F$7:$AG$7,AL$7,$F27:$AG27)</f>
        <v>3172.5</v>
      </c>
      <c r="AM27" s="123" t="n">
        <f aca="false">SUMIF($F$7:$AG$7,AM$7,$F27:$AG27)</f>
        <v>4158</v>
      </c>
      <c r="AN27" s="123" t="n">
        <f aca="false">SUMIF($F$7:$AG$7,AN$7,$F27:$AG27)</f>
        <v>3159</v>
      </c>
      <c r="AO27" s="123" t="n">
        <f aca="false">SUMIF($F$7:$AG$7,AO$7,$F27:$AG27)</f>
        <v>0</v>
      </c>
    </row>
    <row r="28" customFormat="false" ht="15" hidden="false" customHeight="false" outlineLevel="0" collapsed="false">
      <c r="A28" s="104" t="s">
        <v>903</v>
      </c>
      <c r="B28" s="20" t="s">
        <v>561</v>
      </c>
      <c r="C28" s="20" t="s">
        <v>495</v>
      </c>
      <c r="D28" s="20" t="s">
        <v>1936</v>
      </c>
      <c r="E28" s="123" t="n">
        <f aca="false">0</f>
        <v>0</v>
      </c>
      <c r="F28" s="122" t="n">
        <f aca="false">IF(F$5&lt;=LastHist,0,MaintPct*INDEX(Rev,1,1))</f>
        <v>0</v>
      </c>
      <c r="G28" s="122" t="n">
        <f aca="false">IF(G$5&lt;=LastHist,0,MaintPct*INDEX(Rev,1,2))</f>
        <v>0</v>
      </c>
      <c r="H28" s="122" t="n">
        <f aca="false">IF(H$5&lt;=LastHist,0,MaintPct*INDEX(Rev,1,3))</f>
        <v>0</v>
      </c>
      <c r="I28" s="122" t="n">
        <f aca="false">IF(I$5&lt;=LastHist,0,MaintPct*INDEX(Rev,1,4))</f>
        <v>0</v>
      </c>
      <c r="J28" s="122" t="n">
        <f aca="false">IF(J$5&lt;=LastHist,0,MaintPct*INDEX(Rev,1,5))</f>
        <v>0</v>
      </c>
      <c r="K28" s="122" t="n">
        <f aca="false">IF(K$5&lt;=LastHist,0,MaintPct*INDEX(Rev,1,6))</f>
        <v>0</v>
      </c>
      <c r="L28" s="122" t="n">
        <f aca="false">IF(L$5&lt;=LastHist,0,MaintPct*INDEX(Rev,1,7))</f>
        <v>0</v>
      </c>
      <c r="M28" s="122" t="n">
        <f aca="false">IF(M$5&lt;=LastHist,0,MaintPct*INDEX(Rev,1,8))</f>
        <v>0</v>
      </c>
      <c r="N28" s="122" t="n">
        <f aca="false">IF(N$5&lt;=LastHist,0,MaintPct*INDEX(Rev,1,9))</f>
        <v>0</v>
      </c>
      <c r="O28" s="122" t="n">
        <f aca="false">IF(O$5&lt;=LastHist,0,MaintPct*INDEX(Rev,1,10))</f>
        <v>0</v>
      </c>
      <c r="P28" s="123" t="n">
        <f aca="false">IF(P$5&lt;=LastHist,0,MaintPct*INDEX(Rev,1,11))</f>
        <v>13.073667465244</v>
      </c>
      <c r="Q28" s="123" t="n">
        <f aca="false">IF(Q$5&lt;=LastHist,0,MaintPct*INDEX(Rev,1,12))</f>
        <v>15.7684992670297</v>
      </c>
      <c r="R28" s="123" t="n">
        <f aca="false">IF(R$5&lt;=LastHist,0,MaintPct*INDEX(Rev,1,13))</f>
        <v>21.1877667215438</v>
      </c>
      <c r="S28" s="123" t="n">
        <f aca="false">IF(S$5&lt;=LastHist,0,MaintPct*INDEX(Rev,1,14))</f>
        <v>31.145523607327</v>
      </c>
      <c r="T28" s="123" t="n">
        <f aca="false">IF(T$5&lt;=LastHist,0,MaintPct*INDEX(Rev,1,15))</f>
        <v>43.4156396235318</v>
      </c>
      <c r="U28" s="123" t="n">
        <f aca="false">IF(U$5&lt;=LastHist,0,MaintPct*INDEX(Rev,1,16))</f>
        <v>56.6854169233819</v>
      </c>
      <c r="V28" s="123" t="n">
        <f aca="false">IF(V$5&lt;=LastHist,0,MaintPct*INDEX(Rev,1,17))</f>
        <v>76.8955486921884</v>
      </c>
      <c r="W28" s="123" t="n">
        <f aca="false">IF(W$5&lt;=LastHist,0,MaintPct*INDEX(Rev,1,18))</f>
        <v>94.4373498722728</v>
      </c>
      <c r="X28" s="123" t="n">
        <f aca="false">IF(X$5&lt;=LastHist,0,MaintPct*INDEX(Rev,1,19))</f>
        <v>106.355575073493</v>
      </c>
      <c r="Y28" s="123" t="n">
        <f aca="false">IF(Y$5&lt;=LastHist,0,MaintPct*INDEX(Rev,1,20))</f>
        <v>114.449419323266</v>
      </c>
      <c r="Z28" s="123" t="n">
        <f aca="false">IF(Z$5&lt;=LastHist,0,MaintPct*INDEX(Rev,1,21))</f>
        <v>130.789701540485</v>
      </c>
      <c r="AA28" s="123" t="n">
        <f aca="false">IF(AA$5&lt;=LastHist,0,MaintPct*INDEX(Rev,1,22))</f>
        <v>146.940822199781</v>
      </c>
      <c r="AB28" s="123" t="n">
        <f aca="false">IF(AB$5&lt;=LastHist,0,MaintPct*INDEX(Rev,1,23))</f>
        <v>162.469323687656</v>
      </c>
      <c r="AC28" s="123" t="n">
        <f aca="false">IF(AC$5&lt;=LastHist,0,MaintPct*INDEX(Rev,1,24))</f>
        <v>178.270123809311</v>
      </c>
      <c r="AD28" s="123" t="n">
        <f aca="false">IF(AD$5&lt;=LastHist,0,MaintPct*INDEX(Rev,1,25))</f>
        <v>199.522722142861</v>
      </c>
      <c r="AE28" s="123" t="n">
        <f aca="false">IF(AE$5&lt;=LastHist,0,MaintPct*INDEX(Rev,1,26))</f>
        <v>221.260659103478</v>
      </c>
      <c r="AF28" s="123" t="n">
        <f aca="false">IF(AF$5&lt;=LastHist,0,MaintPct*INDEX(Rev,1,27))</f>
        <v>220.593279541351</v>
      </c>
      <c r="AG28" s="123" t="n">
        <f aca="false">IF(AG$5&lt;=LastHist,0,MaintPct*INDEX(Rev,1,28))</f>
        <v>222.934350791798</v>
      </c>
      <c r="AI28" s="123" t="n">
        <f aca="false">SUMIF($F$7:$AG$7,AI$7,$F28:$AG28)</f>
        <v>0</v>
      </c>
      <c r="AJ28" s="123" t="n">
        <f aca="false">SUMIF($F$7:$AG$7,AJ$7,$F28:$AG28)</f>
        <v>0</v>
      </c>
      <c r="AK28" s="123" t="n">
        <f aca="false">SUMIF($F$7:$AG$7,AK$7,$F28:$AG28)</f>
        <v>28.8421667322736</v>
      </c>
      <c r="AL28" s="123" t="n">
        <f aca="false">SUMIF($F$7:$AG$7,AL$7,$F28:$AG28)</f>
        <v>152.434346875785</v>
      </c>
      <c r="AM28" s="123" t="n">
        <f aca="false">SUMIF($F$7:$AG$7,AM$7,$F28:$AG28)</f>
        <v>392.137892961221</v>
      </c>
      <c r="AN28" s="123" t="n">
        <f aca="false">SUMIF($F$7:$AG$7,AN$7,$F28:$AG28)</f>
        <v>618.469971237232</v>
      </c>
      <c r="AO28" s="123" t="n">
        <f aca="false">SUMIF($F$7:$AG$7,AO$7,$F28:$AG28)</f>
        <v>864.311011579489</v>
      </c>
    </row>
    <row r="29" customFormat="false" ht="15" hidden="false" customHeight="false" outlineLevel="0" collapsed="false">
      <c r="A29" s="104" t="s">
        <v>1937</v>
      </c>
      <c r="B29" s="20" t="s">
        <v>561</v>
      </c>
      <c r="C29" s="20" t="s">
        <v>495</v>
      </c>
      <c r="D29" s="20" t="s">
        <v>1938</v>
      </c>
      <c r="E29" s="123" t="n">
        <f aca="false">0</f>
        <v>0</v>
      </c>
      <c r="F29" s="122" t="n">
        <f aca="false">IF(F$5&lt;=LastHist,0,ReplOn*(IF(F$5-LQ_H&gt;=0,INDEX($E$23:$AG$23,1,F$5-LQ_H+1),0)*IF(ReplPxOn=1,(1+PxChg_H)^(LQ_H/4),1)+IF(F$5-LQ_B&gt;=0,INDEX($E$24:$AG$24,1,F$5-LQ_B+1),0)*IF(ReplPxOn=1,(1+PxChg_B)^(LQ_B/4),1)+IF(F$5-LQ_N&gt;=0,INDEX($E$25:$AG$25,1,F$5-LQ_N+1),0)*IF(ReplPxOn=1,(1+PxChg_N)^(LQ_N/4),1)))</f>
        <v>0</v>
      </c>
      <c r="G29" s="122" t="n">
        <f aca="false">IF(G$5&lt;=LastHist,0,ReplOn*(IF(G$5-LQ_H&gt;=0,INDEX($E$23:$AG$23,1,G$5-LQ_H+1),0)*IF(ReplPxOn=1,(1+PxChg_H)^(LQ_H/4),1)+IF(G$5-LQ_B&gt;=0,INDEX($E$24:$AG$24,1,G$5-LQ_B+1),0)*IF(ReplPxOn=1,(1+PxChg_B)^(LQ_B/4),1)+IF(G$5-LQ_N&gt;=0,INDEX($E$25:$AG$25,1,G$5-LQ_N+1),0)*IF(ReplPxOn=1,(1+PxChg_N)^(LQ_N/4),1)))</f>
        <v>0</v>
      </c>
      <c r="H29" s="122" t="n">
        <f aca="false">IF(H$5&lt;=LastHist,0,ReplOn*(IF(H$5-LQ_H&gt;=0,INDEX($E$23:$AG$23,1,H$5-LQ_H+1),0)*IF(ReplPxOn=1,(1+PxChg_H)^(LQ_H/4),1)+IF(H$5-LQ_B&gt;=0,INDEX($E$24:$AG$24,1,H$5-LQ_B+1),0)*IF(ReplPxOn=1,(1+PxChg_B)^(LQ_B/4),1)+IF(H$5-LQ_N&gt;=0,INDEX($E$25:$AG$25,1,H$5-LQ_N+1),0)*IF(ReplPxOn=1,(1+PxChg_N)^(LQ_N/4),1)))</f>
        <v>0</v>
      </c>
      <c r="I29" s="122" t="n">
        <f aca="false">IF(I$5&lt;=LastHist,0,ReplOn*(IF(I$5-LQ_H&gt;=0,INDEX($E$23:$AG$23,1,I$5-LQ_H+1),0)*IF(ReplPxOn=1,(1+PxChg_H)^(LQ_H/4),1)+IF(I$5-LQ_B&gt;=0,INDEX($E$24:$AG$24,1,I$5-LQ_B+1),0)*IF(ReplPxOn=1,(1+PxChg_B)^(LQ_B/4),1)+IF(I$5-LQ_N&gt;=0,INDEX($E$25:$AG$25,1,I$5-LQ_N+1),0)*IF(ReplPxOn=1,(1+PxChg_N)^(LQ_N/4),1)))</f>
        <v>0</v>
      </c>
      <c r="J29" s="122" t="n">
        <f aca="false">IF(J$5&lt;=LastHist,0,ReplOn*(IF(J$5-LQ_H&gt;=0,INDEX($E$23:$AG$23,1,J$5-LQ_H+1),0)*IF(ReplPxOn=1,(1+PxChg_H)^(LQ_H/4),1)+IF(J$5-LQ_B&gt;=0,INDEX($E$24:$AG$24,1,J$5-LQ_B+1),0)*IF(ReplPxOn=1,(1+PxChg_B)^(LQ_B/4),1)+IF(J$5-LQ_N&gt;=0,INDEX($E$25:$AG$25,1,J$5-LQ_N+1),0)*IF(ReplPxOn=1,(1+PxChg_N)^(LQ_N/4),1)))</f>
        <v>0</v>
      </c>
      <c r="K29" s="122" t="n">
        <f aca="false">IF(K$5&lt;=LastHist,0,ReplOn*(IF(K$5-LQ_H&gt;=0,INDEX($E$23:$AG$23,1,K$5-LQ_H+1),0)*IF(ReplPxOn=1,(1+PxChg_H)^(LQ_H/4),1)+IF(K$5-LQ_B&gt;=0,INDEX($E$24:$AG$24,1,K$5-LQ_B+1),0)*IF(ReplPxOn=1,(1+PxChg_B)^(LQ_B/4),1)+IF(K$5-LQ_N&gt;=0,INDEX($E$25:$AG$25,1,K$5-LQ_N+1),0)*IF(ReplPxOn=1,(1+PxChg_N)^(LQ_N/4),1)))</f>
        <v>0</v>
      </c>
      <c r="L29" s="122" t="n">
        <f aca="false">IF(L$5&lt;=LastHist,0,ReplOn*(IF(L$5-LQ_H&gt;=0,INDEX($E$23:$AG$23,1,L$5-LQ_H+1),0)*IF(ReplPxOn=1,(1+PxChg_H)^(LQ_H/4),1)+IF(L$5-LQ_B&gt;=0,INDEX($E$24:$AG$24,1,L$5-LQ_B+1),0)*IF(ReplPxOn=1,(1+PxChg_B)^(LQ_B/4),1)+IF(L$5-LQ_N&gt;=0,INDEX($E$25:$AG$25,1,L$5-LQ_N+1),0)*IF(ReplPxOn=1,(1+PxChg_N)^(LQ_N/4),1)))</f>
        <v>0</v>
      </c>
      <c r="M29" s="122" t="n">
        <f aca="false">IF(M$5&lt;=LastHist,0,ReplOn*(IF(M$5-LQ_H&gt;=0,INDEX($E$23:$AG$23,1,M$5-LQ_H+1),0)*IF(ReplPxOn=1,(1+PxChg_H)^(LQ_H/4),1)+IF(M$5-LQ_B&gt;=0,INDEX($E$24:$AG$24,1,M$5-LQ_B+1),0)*IF(ReplPxOn=1,(1+PxChg_B)^(LQ_B/4),1)+IF(M$5-LQ_N&gt;=0,INDEX($E$25:$AG$25,1,M$5-LQ_N+1),0)*IF(ReplPxOn=1,(1+PxChg_N)^(LQ_N/4),1)))</f>
        <v>0</v>
      </c>
      <c r="N29" s="122" t="n">
        <f aca="false">IF(N$5&lt;=LastHist,0,ReplOn*(IF(N$5-LQ_H&gt;=0,INDEX($E$23:$AG$23,1,N$5-LQ_H+1),0)*IF(ReplPxOn=1,(1+PxChg_H)^(LQ_H/4),1)+IF(N$5-LQ_B&gt;=0,INDEX($E$24:$AG$24,1,N$5-LQ_B+1),0)*IF(ReplPxOn=1,(1+PxChg_B)^(LQ_B/4),1)+IF(N$5-LQ_N&gt;=0,INDEX($E$25:$AG$25,1,N$5-LQ_N+1),0)*IF(ReplPxOn=1,(1+PxChg_N)^(LQ_N/4),1)))</f>
        <v>0</v>
      </c>
      <c r="O29" s="122" t="n">
        <f aca="false">IF(O$5&lt;=LastHist,0,ReplOn*(IF(O$5-LQ_H&gt;=0,INDEX($E$23:$AG$23,1,O$5-LQ_H+1),0)*IF(ReplPxOn=1,(1+PxChg_H)^(LQ_H/4),1)+IF(O$5-LQ_B&gt;=0,INDEX($E$24:$AG$24,1,O$5-LQ_B+1),0)*IF(ReplPxOn=1,(1+PxChg_B)^(LQ_B/4),1)+IF(O$5-LQ_N&gt;=0,INDEX($E$25:$AG$25,1,O$5-LQ_N+1),0)*IF(ReplPxOn=1,(1+PxChg_N)^(LQ_N/4),1)))</f>
        <v>0</v>
      </c>
      <c r="P29" s="123" t="n">
        <f aca="false">IF(P$5&lt;=LastHist,0,ReplOn*(IF(P$5-LQ_H&gt;=0,INDEX($E$23:$AG$23,1,P$5-LQ_H+1),0)*IF(ReplPxOn=1,(1+PxChg_H)^(LQ_H/4),1)+IF(P$5-LQ_B&gt;=0,INDEX($E$24:$AG$24,1,P$5-LQ_B+1),0)*IF(ReplPxOn=1,(1+PxChg_B)^(LQ_B/4),1)+IF(P$5-LQ_N&gt;=0,INDEX($E$25:$AG$25,1,P$5-LQ_N+1),0)*IF(ReplPxOn=1,(1+PxChg_N)^(LQ_N/4),1)))</f>
        <v>0</v>
      </c>
      <c r="Q29" s="123" t="n">
        <f aca="false">IF(Q$5&lt;=LastHist,0,ReplOn*(IF(Q$5-LQ_H&gt;=0,INDEX($E$23:$AG$23,1,Q$5-LQ_H+1),0)*IF(ReplPxOn=1,(1+PxChg_H)^(LQ_H/4),1)+IF(Q$5-LQ_B&gt;=0,INDEX($E$24:$AG$24,1,Q$5-LQ_B+1),0)*IF(ReplPxOn=1,(1+PxChg_B)^(LQ_B/4),1)+IF(Q$5-LQ_N&gt;=0,INDEX($E$25:$AG$25,1,Q$5-LQ_N+1),0)*IF(ReplPxOn=1,(1+PxChg_N)^(LQ_N/4),1)))</f>
        <v>0</v>
      </c>
      <c r="R29" s="123" t="n">
        <f aca="false">IF(R$5&lt;=LastHist,0,ReplOn*(IF(R$5-LQ_H&gt;=0,INDEX($E$23:$AG$23,1,R$5-LQ_H+1),0)*IF(ReplPxOn=1,(1+PxChg_H)^(LQ_H/4),1)+IF(R$5-LQ_B&gt;=0,INDEX($E$24:$AG$24,1,R$5-LQ_B+1),0)*IF(ReplPxOn=1,(1+PxChg_B)^(LQ_B/4),1)+IF(R$5-LQ_N&gt;=0,INDEX($E$25:$AG$25,1,R$5-LQ_N+1),0)*IF(ReplPxOn=1,(1+PxChg_N)^(LQ_N/4),1)))</f>
        <v>0</v>
      </c>
      <c r="S29" s="123" t="n">
        <f aca="false">IF(S$5&lt;=LastHist,0,ReplOn*(IF(S$5-LQ_H&gt;=0,INDEX($E$23:$AG$23,1,S$5-LQ_H+1),0)*IF(ReplPxOn=1,(1+PxChg_H)^(LQ_H/4),1)+IF(S$5-LQ_B&gt;=0,INDEX($E$24:$AG$24,1,S$5-LQ_B+1),0)*IF(ReplPxOn=1,(1+PxChg_B)^(LQ_B/4),1)+IF(S$5-LQ_N&gt;=0,INDEX($E$25:$AG$25,1,S$5-LQ_N+1),0)*IF(ReplPxOn=1,(1+PxChg_N)^(LQ_N/4),1)))</f>
        <v>0</v>
      </c>
      <c r="T29" s="123" t="n">
        <f aca="false">IF(T$5&lt;=LastHist,0,ReplOn*(IF(T$5-LQ_H&gt;=0,INDEX($E$23:$AG$23,1,T$5-LQ_H+1),0)*IF(ReplPxOn=1,(1+PxChg_H)^(LQ_H/4),1)+IF(T$5-LQ_B&gt;=0,INDEX($E$24:$AG$24,1,T$5-LQ_B+1),0)*IF(ReplPxOn=1,(1+PxChg_B)^(LQ_B/4),1)+IF(T$5-LQ_N&gt;=0,INDEX($E$25:$AG$25,1,T$5-LQ_N+1),0)*IF(ReplPxOn=1,(1+PxChg_N)^(LQ_N/4),1)))</f>
        <v>0</v>
      </c>
      <c r="U29" s="123" t="n">
        <f aca="false">IF(U$5&lt;=LastHist,0,ReplOn*(IF(U$5-LQ_H&gt;=0,INDEX($E$23:$AG$23,1,U$5-LQ_H+1),0)*IF(ReplPxOn=1,(1+PxChg_H)^(LQ_H/4),1)+IF(U$5-LQ_B&gt;=0,INDEX($E$24:$AG$24,1,U$5-LQ_B+1),0)*IF(ReplPxOn=1,(1+PxChg_B)^(LQ_B/4),1)+IF(U$5-LQ_N&gt;=0,INDEX($E$25:$AG$25,1,U$5-LQ_N+1),0)*IF(ReplPxOn=1,(1+PxChg_N)^(LQ_N/4),1)))</f>
        <v>0</v>
      </c>
      <c r="V29" s="123" t="n">
        <f aca="false">IF(V$5&lt;=LastHist,0,ReplOn*(IF(V$5-LQ_H&gt;=0,INDEX($E$23:$AG$23,1,V$5-LQ_H+1),0)*IF(ReplPxOn=1,(1+PxChg_H)^(LQ_H/4),1)+IF(V$5-LQ_B&gt;=0,INDEX($E$24:$AG$24,1,V$5-LQ_B+1),0)*IF(ReplPxOn=1,(1+PxChg_B)^(LQ_B/4),1)+IF(V$5-LQ_N&gt;=0,INDEX($E$25:$AG$25,1,V$5-LQ_N+1),0)*IF(ReplPxOn=1,(1+PxChg_N)^(LQ_N/4),1)))</f>
        <v>0</v>
      </c>
      <c r="W29" s="123" t="n">
        <f aca="false">IF(W$5&lt;=LastHist,0,ReplOn*(IF(W$5-LQ_H&gt;=0,INDEX($E$23:$AG$23,1,W$5-LQ_H+1),0)*IF(ReplPxOn=1,(1+PxChg_H)^(LQ_H/4),1)+IF(W$5-LQ_B&gt;=0,INDEX($E$24:$AG$24,1,W$5-LQ_B+1),0)*IF(ReplPxOn=1,(1+PxChg_B)^(LQ_B/4),1)+IF(W$5-LQ_N&gt;=0,INDEX($E$25:$AG$25,1,W$5-LQ_N+1),0)*IF(ReplPxOn=1,(1+PxChg_N)^(LQ_N/4),1)))</f>
        <v>0</v>
      </c>
      <c r="X29" s="123" t="n">
        <f aca="false">IF(X$5&lt;=LastHist,0,ReplOn*(IF(X$5-LQ_H&gt;=0,INDEX($E$23:$AG$23,1,X$5-LQ_H+1),0)*IF(ReplPxOn=1,(1+PxChg_H)^(LQ_H/4),1)+IF(X$5-LQ_B&gt;=0,INDEX($E$24:$AG$24,1,X$5-LQ_B+1),0)*IF(ReplPxOn=1,(1+PxChg_B)^(LQ_B/4),1)+IF(X$5-LQ_N&gt;=0,INDEX($E$25:$AG$25,1,X$5-LQ_N+1),0)*IF(ReplPxOn=1,(1+PxChg_N)^(LQ_N/4),1)))</f>
        <v>0</v>
      </c>
      <c r="Y29" s="123" t="n">
        <f aca="false">IF(Y$5&lt;=LastHist,0,ReplOn*(IF(Y$5-LQ_H&gt;=0,INDEX($E$23:$AG$23,1,Y$5-LQ_H+1),0)*IF(ReplPxOn=1,(1+PxChg_H)^(LQ_H/4),1)+IF(Y$5-LQ_B&gt;=0,INDEX($E$24:$AG$24,1,Y$5-LQ_B+1),0)*IF(ReplPxOn=1,(1+PxChg_B)^(LQ_B/4),1)+IF(Y$5-LQ_N&gt;=0,INDEX($E$25:$AG$25,1,Y$5-LQ_N+1),0)*IF(ReplPxOn=1,(1+PxChg_N)^(LQ_N/4),1)))</f>
        <v>142.4</v>
      </c>
      <c r="Z29" s="123" t="n">
        <f aca="false">IF(Z$5&lt;=LastHist,0,ReplOn*(IF(Z$5-LQ_H&gt;=0,INDEX($E$23:$AG$23,1,Z$5-LQ_H+1),0)*IF(ReplPxOn=1,(1+PxChg_H)^(LQ_H/4),1)+IF(Z$5-LQ_B&gt;=0,INDEX($E$24:$AG$24,1,Z$5-LQ_B+1),0)*IF(ReplPxOn=1,(1+PxChg_B)^(LQ_B/4),1)+IF(Z$5-LQ_N&gt;=0,INDEX($E$25:$AG$25,1,Z$5-LQ_N+1),0)*IF(ReplPxOn=1,(1+PxChg_N)^(LQ_N/4),1)))</f>
        <v>104</v>
      </c>
      <c r="AA29" s="123" t="n">
        <f aca="false">IF(AA$5&lt;=LastHist,0,ReplOn*(IF(AA$5-LQ_H&gt;=0,INDEX($E$23:$AG$23,1,AA$5-LQ_H+1),0)*IF(ReplPxOn=1,(1+PxChg_H)^(LQ_H/4),1)+IF(AA$5-LQ_B&gt;=0,INDEX($E$24:$AG$24,1,AA$5-LQ_B+1),0)*IF(ReplPxOn=1,(1+PxChg_B)^(LQ_B/4),1)+IF(AA$5-LQ_N&gt;=0,INDEX($E$25:$AG$25,1,AA$5-LQ_N+1),0)*IF(ReplPxOn=1,(1+PxChg_N)^(LQ_N/4),1)))</f>
        <v>104</v>
      </c>
      <c r="AB29" s="123" t="n">
        <f aca="false">IF(AB$5&lt;=LastHist,0,ReplOn*(IF(AB$5-LQ_H&gt;=0,INDEX($E$23:$AG$23,1,AB$5-LQ_H+1),0)*IF(ReplPxOn=1,(1+PxChg_H)^(LQ_H/4),1)+IF(AB$5-LQ_B&gt;=0,INDEX($E$24:$AG$24,1,AB$5-LQ_B+1),0)*IF(ReplPxOn=1,(1+PxChg_B)^(LQ_B/4),1)+IF(AB$5-LQ_N&gt;=0,INDEX($E$25:$AG$25,1,AB$5-LQ_N+1),0)*IF(ReplPxOn=1,(1+PxChg_N)^(LQ_N/4),1)))</f>
        <v>103.92</v>
      </c>
      <c r="AC29" s="123" t="n">
        <f aca="false">IF(AC$5&lt;=LastHist,0,ReplOn*(IF(AC$5-LQ_H&gt;=0,INDEX($E$23:$AG$23,1,AC$5-LQ_H+1),0)*IF(ReplPxOn=1,(1+PxChg_H)^(LQ_H/4),1)+IF(AC$5-LQ_B&gt;=0,INDEX($E$24:$AG$24,1,AC$5-LQ_B+1),0)*IF(ReplPxOn=1,(1+PxChg_B)^(LQ_B/4),1)+IF(AC$5-LQ_N&gt;=0,INDEX($E$25:$AG$25,1,AC$5-LQ_N+1),0)*IF(ReplPxOn=1,(1+PxChg_N)^(LQ_N/4),1)))</f>
        <v>334.08</v>
      </c>
      <c r="AD29" s="123" t="n">
        <f aca="false">IF(AD$5&lt;=LastHist,0,ReplOn*(IF(AD$5-LQ_H&gt;=0,INDEX($E$23:$AG$23,1,AD$5-LQ_H+1),0)*IF(ReplPxOn=1,(1+PxChg_H)^(LQ_H/4),1)+IF(AD$5-LQ_B&gt;=0,INDEX($E$24:$AG$24,1,AD$5-LQ_B+1),0)*IF(ReplPxOn=1,(1+PxChg_B)^(LQ_B/4),1)+IF(AD$5-LQ_N&gt;=0,INDEX($E$25:$AG$25,1,AD$5-LQ_N+1),0)*IF(ReplPxOn=1,(1+PxChg_N)^(LQ_N/4),1)))</f>
        <v>435.2</v>
      </c>
      <c r="AE29" s="123" t="n">
        <f aca="false">IF(AE$5&lt;=LastHist,0,ReplOn*(IF(AE$5-LQ_H&gt;=0,INDEX($E$23:$AG$23,1,AE$5-LQ_H+1),0)*IF(ReplPxOn=1,(1+PxChg_H)^(LQ_H/4),1)+IF(AE$5-LQ_B&gt;=0,INDEX($E$24:$AG$24,1,AE$5-LQ_B+1),0)*IF(ReplPxOn=1,(1+PxChg_B)^(LQ_B/4),1)+IF(AE$5-LQ_N&gt;=0,INDEX($E$25:$AG$25,1,AE$5-LQ_N+1),0)*IF(ReplPxOn=1,(1+PxChg_N)^(LQ_N/4),1)))</f>
        <v>408.48</v>
      </c>
      <c r="AF29" s="123" t="n">
        <f aca="false">IF(AF$5&lt;=LastHist,0,ReplOn*(IF(AF$5-LQ_H&gt;=0,INDEX($E$23:$AG$23,1,AF$5-LQ_H+1),0)*IF(ReplPxOn=1,(1+PxChg_H)^(LQ_H/4),1)+IF(AF$5-LQ_B&gt;=0,INDEX($E$24:$AG$24,1,AF$5-LQ_B+1),0)*IF(ReplPxOn=1,(1+PxChg_B)^(LQ_B/4),1)+IF(AF$5-LQ_N&gt;=0,INDEX($E$25:$AG$25,1,AF$5-LQ_N+1),0)*IF(ReplPxOn=1,(1+PxChg_N)^(LQ_N/4),1)))</f>
        <v>764.4</v>
      </c>
      <c r="AG29" s="123" t="n">
        <f aca="false">IF(AG$5&lt;=LastHist,0,ReplOn*(IF(AG$5-LQ_H&gt;=0,INDEX($E$23:$AG$23,1,AG$5-LQ_H+1),0)*IF(ReplPxOn=1,(1+PxChg_H)^(LQ_H/4),1)+IF(AG$5-LQ_B&gt;=0,INDEX($E$24:$AG$24,1,AG$5-LQ_B+1),0)*IF(ReplPxOn=1,(1+PxChg_B)^(LQ_B/4),1)+IF(AG$5-LQ_N&gt;=0,INDEX($E$25:$AG$25,1,AG$5-LQ_N+1),0)*IF(ReplPxOn=1,(1+PxChg_N)^(LQ_N/4),1)))</f>
        <v>1644.8</v>
      </c>
      <c r="AI29" s="123" t="n">
        <f aca="false">SUMIF($F$7:$AG$7,AI$7,$F29:$AG29)</f>
        <v>0</v>
      </c>
      <c r="AJ29" s="123" t="n">
        <f aca="false">SUMIF($F$7:$AG$7,AJ$7,$F29:$AG29)</f>
        <v>0</v>
      </c>
      <c r="AK29" s="123" t="n">
        <f aca="false">SUMIF($F$7:$AG$7,AK$7,$F29:$AG29)</f>
        <v>0</v>
      </c>
      <c r="AL29" s="123" t="n">
        <f aca="false">SUMIF($F$7:$AG$7,AL$7,$F29:$AG29)</f>
        <v>0</v>
      </c>
      <c r="AM29" s="123" t="n">
        <f aca="false">SUMIF($F$7:$AG$7,AM$7,$F29:$AG29)</f>
        <v>142.4</v>
      </c>
      <c r="AN29" s="123" t="n">
        <f aca="false">SUMIF($F$7:$AG$7,AN$7,$F29:$AG29)</f>
        <v>646</v>
      </c>
      <c r="AO29" s="123" t="n">
        <f aca="false">SUMIF($F$7:$AG$7,AO$7,$F29:$AG29)</f>
        <v>3252.88</v>
      </c>
    </row>
    <row r="30" customFormat="false" ht="15" hidden="false" customHeight="false" outlineLevel="0" collapsed="false">
      <c r="A30" s="104" t="s">
        <v>1939</v>
      </c>
      <c r="B30" s="20" t="s">
        <v>561</v>
      </c>
      <c r="C30" s="20" t="s">
        <v>495</v>
      </c>
      <c r="D30" s="20"/>
      <c r="F30" s="122" t="n">
        <f aca="false">F23+F24+F25+F26+F27+F28+F29</f>
        <v>130</v>
      </c>
      <c r="G30" s="122" t="n">
        <f aca="false">G23+G24+G25+G26+G27+G28+G29</f>
        <v>130</v>
      </c>
      <c r="H30" s="122" t="n">
        <f aca="false">H23+H24+H25+H26+H27+H28+H29</f>
        <v>129.9</v>
      </c>
      <c r="I30" s="122" t="n">
        <f aca="false">I23+I24+I25+I26+I27+I28+I29</f>
        <v>417.6</v>
      </c>
      <c r="J30" s="122" t="n">
        <f aca="false">J23+J24+J25+J26+J27+J28+J29</f>
        <v>544</v>
      </c>
      <c r="K30" s="122" t="n">
        <f aca="false">K23+K24+K25+K26+K27+K28+K29</f>
        <v>510.6</v>
      </c>
      <c r="L30" s="122" t="n">
        <f aca="false">L23+L24+L25+L26+L27+L28+L29</f>
        <v>955.5</v>
      </c>
      <c r="M30" s="122" t="n">
        <f aca="false">M23+M24+M25+M26+M27+M28+M29</f>
        <v>2056</v>
      </c>
      <c r="N30" s="122" t="n">
        <f aca="false">N23+N24+N25+N26+N27+N28+N29</f>
        <v>2472.9</v>
      </c>
      <c r="O30" s="122" t="n">
        <f aca="false">O23+O24+O25+O26+O27+O28+O29</f>
        <v>5657.4</v>
      </c>
      <c r="P30" s="123" t="n">
        <f aca="false">P23+P24+P25+P26+P27+P28+P29</f>
        <v>3499.77366746524</v>
      </c>
      <c r="Q30" s="123" t="n">
        <f aca="false">Q23+Q24+Q25+Q26+Q27+Q28+Q29</f>
        <v>5220.26849926703</v>
      </c>
      <c r="R30" s="123" t="n">
        <f aca="false">R23+R24+R25+R26+R27+R28+R29</f>
        <v>6220.38776672155</v>
      </c>
      <c r="S30" s="123" t="n">
        <f aca="false">S23+S24+S25+S26+S27+S28+S29</f>
        <v>7727.24552360733</v>
      </c>
      <c r="T30" s="123" t="n">
        <f aca="false">T23+T24+T25+T26+T27+T28+T29</f>
        <v>12318.9156396235</v>
      </c>
      <c r="U30" s="123" t="n">
        <f aca="false">U23+U24+U25+U26+U27+U28+U29</f>
        <v>5904.18541692338</v>
      </c>
      <c r="V30" s="123" t="n">
        <f aca="false">V23+V24+V25+V26+V27+V28+V29</f>
        <v>7057.89554869219</v>
      </c>
      <c r="W30" s="123" t="n">
        <f aca="false">W23+W24+W25+W26+W27+W28+W29</f>
        <v>3756.93734987227</v>
      </c>
      <c r="X30" s="123" t="n">
        <f aca="false">X23+X24+X25+X26+X27+X28+X29</f>
        <v>14604.3555750735</v>
      </c>
      <c r="Y30" s="123" t="n">
        <f aca="false">Y23+Y24+Y25+Y26+Y27+Y28+Y29</f>
        <v>4036.84941932327</v>
      </c>
      <c r="Z30" s="123" t="n">
        <f aca="false">Z23+Z24+Z25+Z26+Z27+Z28+Z29</f>
        <v>15270.7897015405</v>
      </c>
      <c r="AA30" s="123" t="n">
        <f aca="false">AA23+AA24+AA25+AA26+AA27+AA28+AA29</f>
        <v>5515.94082219978</v>
      </c>
      <c r="AB30" s="123" t="n">
        <f aca="false">AB23+AB24+AB25+AB26+AB27+AB28+AB29</f>
        <v>21209.3893236877</v>
      </c>
      <c r="AC30" s="123" t="n">
        <f aca="false">AC23+AC24+AC25+AC26+AC27+AC28+AC29</f>
        <v>512.350123809311</v>
      </c>
      <c r="AD30" s="123" t="n">
        <f aca="false">AD23+AD24+AD25+AD26+AD27+AD28+AD29</f>
        <v>634.722722142862</v>
      </c>
      <c r="AE30" s="123" t="n">
        <f aca="false">AE23+AE24+AE25+AE26+AE27+AE28+AE29</f>
        <v>629.740659103478</v>
      </c>
      <c r="AF30" s="123" t="n">
        <f aca="false">AF23+AF24+AF25+AF26+AF27+AF28+AF29</f>
        <v>984.993279541351</v>
      </c>
      <c r="AG30" s="123" t="n">
        <f aca="false">AG23+AG24+AG25+AG26+AG27+AG28+AG29</f>
        <v>1867.7343507918</v>
      </c>
      <c r="AI30" s="123" t="n">
        <f aca="false">SUMIF($F$7:$AG$7,AI$7,$F30:$AG30)</f>
        <v>807.5</v>
      </c>
      <c r="AJ30" s="123" t="n">
        <f aca="false">SUMIF($F$7:$AG$7,AJ$7,$F30:$AG30)</f>
        <v>4066.1</v>
      </c>
      <c r="AK30" s="123" t="n">
        <f aca="false">SUMIF($F$7:$AG$7,AK$7,$F30:$AG30)</f>
        <v>16850.3421667323</v>
      </c>
      <c r="AL30" s="123" t="n">
        <f aca="false">SUMIF($F$7:$AG$7,AL$7,$F30:$AG30)</f>
        <v>32170.7343468758</v>
      </c>
      <c r="AM30" s="123" t="n">
        <f aca="false">SUMIF($F$7:$AG$7,AM$7,$F30:$AG30)</f>
        <v>29456.0378929612</v>
      </c>
      <c r="AN30" s="123" t="n">
        <f aca="false">SUMIF($F$7:$AG$7,AN$7,$F30:$AG30)</f>
        <v>42508.4699712372</v>
      </c>
      <c r="AO30" s="123" t="n">
        <f aca="false">SUMIF($F$7:$AG$7,AO$7,$F30:$AG30)</f>
        <v>4117.19101157949</v>
      </c>
    </row>
    <row r="31" customFormat="false" ht="15" hidden="false" customHeight="false" outlineLevel="0" collapsed="false">
      <c r="A31" s="104" t="s">
        <v>1940</v>
      </c>
      <c r="B31" s="20" t="s">
        <v>561</v>
      </c>
      <c r="C31" s="20" t="s">
        <v>506</v>
      </c>
      <c r="D31" s="20" t="s">
        <v>1941</v>
      </c>
      <c r="F31" s="122" t="n">
        <f aca="false">IF(AND(CapexMode=1,F$7=2027,F$5&gt;LastHist),INDEX(Cons_Cx,1,2027-FYBase)/4-F30,0)</f>
        <v>0</v>
      </c>
      <c r="G31" s="122" t="n">
        <f aca="false">IF(AND(CapexMode=1,G$7=2027,G$5&gt;LastHist),INDEX(Cons_Cx,1,2027-FYBase)/4-G30,0)</f>
        <v>0</v>
      </c>
      <c r="H31" s="122" t="n">
        <f aca="false">IF(AND(CapexMode=1,H$7=2027,H$5&gt;LastHist),INDEX(Cons_Cx,1,2027-FYBase)/4-H30,0)</f>
        <v>0</v>
      </c>
      <c r="I31" s="122" t="n">
        <f aca="false">IF(AND(CapexMode=1,I$7=2027,I$5&gt;LastHist),INDEX(Cons_Cx,1,2027-FYBase)/4-I30,0)</f>
        <v>0</v>
      </c>
      <c r="J31" s="122" t="n">
        <f aca="false">IF(AND(CapexMode=1,J$7=2027,J$5&gt;LastHist),INDEX(Cons_Cx,1,2027-FYBase)/4-J30,0)</f>
        <v>0</v>
      </c>
      <c r="K31" s="122" t="n">
        <f aca="false">IF(AND(CapexMode=1,K$7=2027,K$5&gt;LastHist),INDEX(Cons_Cx,1,2027-FYBase)/4-K30,0)</f>
        <v>0</v>
      </c>
      <c r="L31" s="122" t="n">
        <f aca="false">IF(AND(CapexMode=1,L$7=2027,L$5&gt;LastHist),INDEX(Cons_Cx,1,2027-FYBase)/4-L30,0)</f>
        <v>0</v>
      </c>
      <c r="M31" s="122" t="n">
        <f aca="false">IF(AND(CapexMode=1,M$7=2027,M$5&gt;LastHist),INDEX(Cons_Cx,1,2027-FYBase)/4-M30,0)</f>
        <v>0</v>
      </c>
      <c r="N31" s="122" t="n">
        <f aca="false">IF(AND(CapexMode=1,N$7=2027,N$5&gt;LastHist),INDEX(Cons_Cx,1,2027-FYBase)/4-N30,0)</f>
        <v>0</v>
      </c>
      <c r="O31" s="122" t="n">
        <f aca="false">IF(AND(CapexMode=1,O$7=2027,O$5&gt;LastHist),INDEX(Cons_Cx,1,2027-FYBase)/4-O30,0)</f>
        <v>0</v>
      </c>
      <c r="P31" s="123" t="n">
        <f aca="false">IF(AND(CapexMode=1,P$7=2027,P$5&gt;LastHist),INDEX(Cons_Cx,1,2027-FYBase)/4-P30,0)</f>
        <v>0</v>
      </c>
      <c r="Q31" s="123" t="n">
        <f aca="false">IF(AND(CapexMode=1,Q$7=2027,Q$5&gt;LastHist),INDEX(Cons_Cx,1,2027-FYBase)/4-Q30,0)</f>
        <v>0</v>
      </c>
      <c r="R31" s="123" t="n">
        <f aca="false">IF(AND(CapexMode=1,R$7=2027,R$5&gt;LastHist),INDEX(Cons_Cx,1,2027-FYBase)/4-R30,0)</f>
        <v>0</v>
      </c>
      <c r="S31" s="123" t="n">
        <f aca="false">IF(AND(CapexMode=1,S$7=2027,S$5&gt;LastHist),INDEX(Cons_Cx,1,2027-FYBase)/4-S30,0)</f>
        <v>0</v>
      </c>
      <c r="T31" s="123" t="n">
        <f aca="false">IF(AND(CapexMode=1,T$7=2027,T$5&gt;LastHist),INDEX(Cons_Cx,1,2027-FYBase)/4-T30,0)</f>
        <v>0</v>
      </c>
      <c r="U31" s="123" t="n">
        <f aca="false">IF(AND(CapexMode=1,U$7=2027,U$5&gt;LastHist),INDEX(Cons_Cx,1,2027-FYBase)/4-U30,0)</f>
        <v>0</v>
      </c>
      <c r="V31" s="123" t="n">
        <f aca="false">IF(AND(CapexMode=1,V$7=2027,V$5&gt;LastHist),INDEX(Cons_Cx,1,2027-FYBase)/4-V30,0)</f>
        <v>0</v>
      </c>
      <c r="W31" s="123" t="n">
        <f aca="false">IF(AND(CapexMode=1,W$7=2027,W$5&gt;LastHist),INDEX(Cons_Cx,1,2027-FYBase)/4-W30,0)</f>
        <v>0</v>
      </c>
      <c r="X31" s="123" t="n">
        <f aca="false">IF(AND(CapexMode=1,X$7=2027,X$5&gt;LastHist),INDEX(Cons_Cx,1,2027-FYBase)/4-X30,0)</f>
        <v>0</v>
      </c>
      <c r="Y31" s="123" t="n">
        <f aca="false">IF(AND(CapexMode=1,Y$7=2027,Y$5&gt;LastHist),INDEX(Cons_Cx,1,2027-FYBase)/4-Y30,0)</f>
        <v>0</v>
      </c>
      <c r="Z31" s="123" t="n">
        <f aca="false">IF(AND(CapexMode=1,Z$7=2027,Z$5&gt;LastHist),INDEX(Cons_Cx,1,2027-FYBase)/4-Z30,0)</f>
        <v>0</v>
      </c>
      <c r="AA31" s="123" t="n">
        <f aca="false">IF(AND(CapexMode=1,AA$7=2027,AA$5&gt;LastHist),INDEX(Cons_Cx,1,2027-FYBase)/4-AA30,0)</f>
        <v>0</v>
      </c>
      <c r="AB31" s="123" t="n">
        <f aca="false">IF(AND(CapexMode=1,AB$7=2027,AB$5&gt;LastHist),INDEX(Cons_Cx,1,2027-FYBase)/4-AB30,0)</f>
        <v>0</v>
      </c>
      <c r="AC31" s="123" t="n">
        <f aca="false">IF(AND(CapexMode=1,AC$7=2027,AC$5&gt;LastHist),INDEX(Cons_Cx,1,2027-FYBase)/4-AC30,0)</f>
        <v>0</v>
      </c>
      <c r="AD31" s="123" t="n">
        <f aca="false">IF(AND(CapexMode=1,AD$7=2027,AD$5&gt;LastHist),INDEX(Cons_Cx,1,2027-FYBase)/4-AD30,0)</f>
        <v>0</v>
      </c>
      <c r="AE31" s="123" t="n">
        <f aca="false">IF(AND(CapexMode=1,AE$7=2027,AE$5&gt;LastHist),INDEX(Cons_Cx,1,2027-FYBase)/4-AE30,0)</f>
        <v>0</v>
      </c>
      <c r="AF31" s="123" t="n">
        <f aca="false">IF(AND(CapexMode=1,AF$7=2027,AF$5&gt;LastHist),INDEX(Cons_Cx,1,2027-FYBase)/4-AF30,0)</f>
        <v>0</v>
      </c>
      <c r="AG31" s="123" t="n">
        <f aca="false">IF(AND(CapexMode=1,AG$7=2027,AG$5&gt;LastHist),INDEX(Cons_Cx,1,2027-FYBase)/4-AG30,0)</f>
        <v>0</v>
      </c>
      <c r="AI31" s="123" t="n">
        <f aca="false">SUMIF($F$7:$AG$7,AI$7,$F31:$AG31)</f>
        <v>0</v>
      </c>
      <c r="AJ31" s="123" t="n">
        <f aca="false">SUMIF($F$7:$AG$7,AJ$7,$F31:$AG31)</f>
        <v>0</v>
      </c>
      <c r="AK31" s="123" t="n">
        <f aca="false">SUMIF($F$7:$AG$7,AK$7,$F31:$AG31)</f>
        <v>0</v>
      </c>
      <c r="AL31" s="123" t="n">
        <f aca="false">SUMIF($F$7:$AG$7,AL$7,$F31:$AG31)</f>
        <v>0</v>
      </c>
      <c r="AM31" s="123" t="n">
        <f aca="false">SUMIF($F$7:$AG$7,AM$7,$F31:$AG31)</f>
        <v>0</v>
      </c>
      <c r="AN31" s="123" t="n">
        <f aca="false">SUMIF($F$7:$AG$7,AN$7,$F31:$AG31)</f>
        <v>0</v>
      </c>
      <c r="AO31" s="123" t="n">
        <f aca="false">SUMIF($F$7:$AG$7,AO$7,$F31:$AG31)</f>
        <v>0</v>
      </c>
    </row>
    <row r="32" customFormat="false" ht="15" hidden="false" customHeight="false" outlineLevel="0" collapsed="false">
      <c r="A32" s="3" t="s">
        <v>1942</v>
      </c>
      <c r="B32" s="20" t="s">
        <v>561</v>
      </c>
      <c r="C32" s="20" t="s">
        <v>495</v>
      </c>
      <c r="D32" s="20"/>
      <c r="F32" s="124" t="n">
        <f aca="false">F30+F31</f>
        <v>130</v>
      </c>
      <c r="G32" s="124" t="n">
        <f aca="false">G30+G31</f>
        <v>130</v>
      </c>
      <c r="H32" s="124" t="n">
        <f aca="false">H30+H31</f>
        <v>129.9</v>
      </c>
      <c r="I32" s="124" t="n">
        <f aca="false">I30+I31</f>
        <v>417.6</v>
      </c>
      <c r="J32" s="124" t="n">
        <f aca="false">J30+J31</f>
        <v>544</v>
      </c>
      <c r="K32" s="124" t="n">
        <f aca="false">K30+K31</f>
        <v>510.6</v>
      </c>
      <c r="L32" s="124" t="n">
        <f aca="false">L30+L31</f>
        <v>955.5</v>
      </c>
      <c r="M32" s="124" t="n">
        <f aca="false">M30+M31</f>
        <v>2056</v>
      </c>
      <c r="N32" s="124" t="n">
        <f aca="false">N30+N31</f>
        <v>2472.9</v>
      </c>
      <c r="O32" s="124" t="n">
        <f aca="false">O30+O31</f>
        <v>5657.4</v>
      </c>
      <c r="P32" s="96" t="n">
        <f aca="false">P30+P31</f>
        <v>3499.77366746524</v>
      </c>
      <c r="Q32" s="96" t="n">
        <f aca="false">Q30+Q31</f>
        <v>5220.26849926703</v>
      </c>
      <c r="R32" s="96" t="n">
        <f aca="false">R30+R31</f>
        <v>6220.38776672155</v>
      </c>
      <c r="S32" s="96" t="n">
        <f aca="false">S30+S31</f>
        <v>7727.24552360733</v>
      </c>
      <c r="T32" s="96" t="n">
        <f aca="false">T30+T31</f>
        <v>12318.9156396235</v>
      </c>
      <c r="U32" s="96" t="n">
        <f aca="false">U30+U31</f>
        <v>5904.18541692338</v>
      </c>
      <c r="V32" s="96" t="n">
        <f aca="false">V30+V31</f>
        <v>7057.89554869219</v>
      </c>
      <c r="W32" s="96" t="n">
        <f aca="false">W30+W31</f>
        <v>3756.93734987227</v>
      </c>
      <c r="X32" s="96" t="n">
        <f aca="false">X30+X31</f>
        <v>14604.3555750735</v>
      </c>
      <c r="Y32" s="96" t="n">
        <f aca="false">Y30+Y31</f>
        <v>4036.84941932327</v>
      </c>
      <c r="Z32" s="96" t="n">
        <f aca="false">Z30+Z31</f>
        <v>15270.7897015405</v>
      </c>
      <c r="AA32" s="96" t="n">
        <f aca="false">AA30+AA31</f>
        <v>5515.94082219978</v>
      </c>
      <c r="AB32" s="96" t="n">
        <f aca="false">AB30+AB31</f>
        <v>21209.3893236877</v>
      </c>
      <c r="AC32" s="96" t="n">
        <f aca="false">AC30+AC31</f>
        <v>512.350123809311</v>
      </c>
      <c r="AD32" s="96" t="n">
        <f aca="false">AD30+AD31</f>
        <v>634.722722142862</v>
      </c>
      <c r="AE32" s="96" t="n">
        <f aca="false">AE30+AE31</f>
        <v>629.740659103478</v>
      </c>
      <c r="AF32" s="96" t="n">
        <f aca="false">AF30+AF31</f>
        <v>984.993279541351</v>
      </c>
      <c r="AG32" s="96" t="n">
        <f aca="false">AG30+AG31</f>
        <v>1867.7343507918</v>
      </c>
      <c r="AI32" s="96" t="n">
        <f aca="false">SUMIF($F$7:$AG$7,AI$7,$F32:$AG32)</f>
        <v>807.5</v>
      </c>
      <c r="AJ32" s="96" t="n">
        <f aca="false">SUMIF($F$7:$AG$7,AJ$7,$F32:$AG32)</f>
        <v>4066.1</v>
      </c>
      <c r="AK32" s="96" t="n">
        <f aca="false">SUMIF($F$7:$AG$7,AK$7,$F32:$AG32)</f>
        <v>16850.3421667323</v>
      </c>
      <c r="AL32" s="96" t="n">
        <f aca="false">SUMIF($F$7:$AG$7,AL$7,$F32:$AG32)</f>
        <v>32170.7343468758</v>
      </c>
      <c r="AM32" s="96" t="n">
        <f aca="false">SUMIF($F$7:$AG$7,AM$7,$F32:$AG32)</f>
        <v>29456.0378929612</v>
      </c>
      <c r="AN32" s="96" t="n">
        <f aca="false">SUMIF($F$7:$AG$7,AN$7,$F32:$AG32)</f>
        <v>42508.4699712372</v>
      </c>
      <c r="AO32" s="96" t="n">
        <f aca="false">SUMIF($F$7:$AG$7,AO$7,$F32:$AG32)</f>
        <v>4117.19101157949</v>
      </c>
    </row>
    <row r="33" customFormat="false" ht="15" hidden="false" customHeight="false" outlineLevel="0" collapsed="false">
      <c r="A33" s="104" t="s">
        <v>1943</v>
      </c>
      <c r="B33" s="20" t="s">
        <v>561</v>
      </c>
      <c r="C33" s="20" t="s">
        <v>495</v>
      </c>
      <c r="D33" s="20"/>
      <c r="F33" s="122" t="n">
        <f aca="false">F23+F24+F25+F26+F27</f>
        <v>130</v>
      </c>
      <c r="G33" s="122" t="n">
        <f aca="false">G23+G24+G25+G26+G27</f>
        <v>130</v>
      </c>
      <c r="H33" s="122" t="n">
        <f aca="false">H23+H24+H25+H26+H27</f>
        <v>129.9</v>
      </c>
      <c r="I33" s="122" t="n">
        <f aca="false">I23+I24+I25+I26+I27</f>
        <v>417.6</v>
      </c>
      <c r="J33" s="122" t="n">
        <f aca="false">J23+J24+J25+J26+J27</f>
        <v>544</v>
      </c>
      <c r="K33" s="122" t="n">
        <f aca="false">K23+K24+K25+K26+K27</f>
        <v>510.6</v>
      </c>
      <c r="L33" s="122" t="n">
        <f aca="false">L23+L24+L25+L26+L27</f>
        <v>955.5</v>
      </c>
      <c r="M33" s="122" t="n">
        <f aca="false">M23+M24+M25+M26+M27</f>
        <v>2056</v>
      </c>
      <c r="N33" s="122" t="n">
        <f aca="false">N23+N24+N25+N26+N27</f>
        <v>2472.9</v>
      </c>
      <c r="O33" s="122" t="n">
        <f aca="false">O23+O24+O25+O26+O27</f>
        <v>5657.4</v>
      </c>
      <c r="P33" s="123" t="n">
        <f aca="false">P23+P24+P25+P26+P27</f>
        <v>3486.7</v>
      </c>
      <c r="Q33" s="123" t="n">
        <f aca="false">Q23+Q24+Q25+Q26+Q27</f>
        <v>5204.5</v>
      </c>
      <c r="R33" s="123" t="n">
        <f aca="false">R23+R24+R25+R26+R27</f>
        <v>6199.2</v>
      </c>
      <c r="S33" s="123" t="n">
        <f aca="false">S23+S24+S25+S26+S27</f>
        <v>7696.1</v>
      </c>
      <c r="T33" s="123" t="n">
        <f aca="false">T23+T24+T25+T26+T27</f>
        <v>12275.5</v>
      </c>
      <c r="U33" s="123" t="n">
        <f aca="false">U23+U24+U25+U26+U27</f>
        <v>5847.5</v>
      </c>
      <c r="V33" s="123" t="n">
        <f aca="false">V23+V24+V25+V26+V27</f>
        <v>6981</v>
      </c>
      <c r="W33" s="123" t="n">
        <f aca="false">W23+W24+W25+W26+W27</f>
        <v>3662.5</v>
      </c>
      <c r="X33" s="123" t="n">
        <f aca="false">X23+X24+X25+X26+X27</f>
        <v>14498</v>
      </c>
      <c r="Y33" s="123" t="n">
        <f aca="false">Y23+Y24+Y25+Y26+Y27</f>
        <v>3780</v>
      </c>
      <c r="Z33" s="123" t="n">
        <f aca="false">Z23+Z24+Z25+Z26+Z27</f>
        <v>15036</v>
      </c>
      <c r="AA33" s="123" t="n">
        <f aca="false">AA23+AA24+AA25+AA26+AA27</f>
        <v>5265</v>
      </c>
      <c r="AB33" s="123" t="n">
        <f aca="false">AB23+AB24+AB25+AB26+AB27</f>
        <v>20943</v>
      </c>
      <c r="AC33" s="123" t="n">
        <f aca="false">AC23+AC24+AC25+AC26+AC27</f>
        <v>0</v>
      </c>
      <c r="AD33" s="123" t="n">
        <f aca="false">AD23+AD24+AD25+AD26+AD27</f>
        <v>0</v>
      </c>
      <c r="AE33" s="123" t="n">
        <f aca="false">AE23+AE24+AE25+AE26+AE27</f>
        <v>0</v>
      </c>
      <c r="AF33" s="123" t="n">
        <f aca="false">AF23+AF24+AF25+AF26+AF27</f>
        <v>0</v>
      </c>
      <c r="AG33" s="123" t="n">
        <f aca="false">AG23+AG24+AG25+AG26+AG27</f>
        <v>0</v>
      </c>
      <c r="AI33" s="123" t="n">
        <f aca="false">SUMIF($F$7:$AG$7,AI$7,$F33:$AG33)</f>
        <v>807.5</v>
      </c>
      <c r="AJ33" s="123" t="n">
        <f aca="false">SUMIF($F$7:$AG$7,AJ$7,$F33:$AG33)</f>
        <v>4066.1</v>
      </c>
      <c r="AK33" s="123" t="n">
        <f aca="false">SUMIF($F$7:$AG$7,AK$7,$F33:$AG33)</f>
        <v>16821.5</v>
      </c>
      <c r="AL33" s="123" t="n">
        <f aca="false">SUMIF($F$7:$AG$7,AL$7,$F33:$AG33)</f>
        <v>32018.3</v>
      </c>
      <c r="AM33" s="123" t="n">
        <f aca="false">SUMIF($F$7:$AG$7,AM$7,$F33:$AG33)</f>
        <v>28921.5</v>
      </c>
      <c r="AN33" s="123" t="n">
        <f aca="false">SUMIF($F$7:$AG$7,AN$7,$F33:$AG33)</f>
        <v>41244</v>
      </c>
      <c r="AO33" s="123" t="n">
        <f aca="false">SUMIF($F$7:$AG$7,AO$7,$F33:$AG33)</f>
        <v>0</v>
      </c>
    </row>
    <row r="34" customFormat="false" ht="15" hidden="false" customHeight="false" outlineLevel="0" collapsed="false">
      <c r="A34" s="104" t="s">
        <v>1944</v>
      </c>
      <c r="B34" s="20" t="s">
        <v>561</v>
      </c>
      <c r="C34" s="20" t="s">
        <v>495</v>
      </c>
      <c r="D34" s="20"/>
      <c r="F34" s="122" t="n">
        <f aca="false">F32-F22</f>
        <v>0</v>
      </c>
      <c r="G34" s="122" t="n">
        <f aca="false">G32-G22</f>
        <v>0</v>
      </c>
      <c r="H34" s="122" t="n">
        <f aca="false">H32-H22</f>
        <v>0</v>
      </c>
      <c r="I34" s="122" t="n">
        <f aca="false">I32-I22</f>
        <v>0</v>
      </c>
      <c r="J34" s="122" t="n">
        <f aca="false">J32-J22</f>
        <v>0</v>
      </c>
      <c r="K34" s="122" t="n">
        <f aca="false">K32-K22</f>
        <v>0</v>
      </c>
      <c r="L34" s="122" t="n">
        <f aca="false">L32-L22</f>
        <v>0</v>
      </c>
      <c r="M34" s="122" t="n">
        <f aca="false">M32-M22</f>
        <v>0</v>
      </c>
      <c r="N34" s="122" t="n">
        <f aca="false">N32-N22</f>
        <v>0</v>
      </c>
      <c r="O34" s="122" t="n">
        <f aca="false">O32-O22</f>
        <v>0</v>
      </c>
      <c r="AI34" s="123" t="n">
        <f aca="false">SUMIF($F$7:$AG$7,AI$7,$F34:$AG34)</f>
        <v>0</v>
      </c>
      <c r="AJ34" s="123" t="n">
        <f aca="false">SUMIF($F$7:$AG$7,AJ$7,$F34:$AG34)</f>
        <v>0</v>
      </c>
      <c r="AK34" s="123" t="n">
        <f aca="false">SUMIF($F$7:$AG$7,AK$7,$F34:$AG34)</f>
        <v>0</v>
      </c>
      <c r="AL34" s="123" t="n">
        <f aca="false">SUMIF($F$7:$AG$7,AL$7,$F34:$AG34)</f>
        <v>0</v>
      </c>
      <c r="AM34" s="123" t="n">
        <f aca="false">SUMIF($F$7:$AG$7,AM$7,$F34:$AG34)</f>
        <v>0</v>
      </c>
      <c r="AN34" s="123" t="n">
        <f aca="false">SUMIF($F$7:$AG$7,AN$7,$F34:$AG34)</f>
        <v>0</v>
      </c>
      <c r="AO34" s="123" t="n">
        <f aca="false">SUMIF($F$7:$AG$7,AO$7,$F34:$AG34)</f>
        <v>0</v>
      </c>
    </row>
    <row r="36" customFormat="false" ht="15" hidden="false" customHeight="false" outlineLevel="0" collapsed="false">
      <c r="A36" s="53" t="s">
        <v>1945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 customFormat="false" ht="15" hidden="false" customHeight="false" outlineLevel="0" collapsed="false">
      <c r="A37" s="104" t="s">
        <v>1946</v>
      </c>
      <c r="B37" s="20" t="s">
        <v>561</v>
      </c>
      <c r="C37" s="20" t="s">
        <v>495</v>
      </c>
      <c r="D37" s="20"/>
      <c r="F37" s="122" t="n">
        <f aca="false">SUMPRODUCT($E$23:F$23,((F$5-$E$5:F$5)&gt;=(PISLag+($E$5:F$5&gt;LastHist)*(GPULead-1)))*((F$5-$E$5:F$5)&lt;LQ_H+(PISLag+($E$5:F$5&gt;LastHist)*(GPULead-1)))*($E$5:F$5&lt;=IMPE_H))/LQ_H</f>
        <v>7.12</v>
      </c>
      <c r="G37" s="122" t="n">
        <f aca="false">SUMPRODUCT($E$23:G$23,((G$5-$E$5:G$5)&gt;=(PISLag+($E$5:G$5&gt;LastHist)*(GPULead-1)))*((G$5-$E$5:G$5)&lt;LQ_H+(PISLag+($E$5:G$5&gt;LastHist)*(GPULead-1)))*($E$5:G$5&lt;=IMPE_H))/LQ_H</f>
        <v>12.32</v>
      </c>
      <c r="H37" s="122" t="n">
        <f aca="false">SUMPRODUCT($E$23:H$23,((H$5-$E$5:H$5)&gt;=(PISLag+($E$5:H$5&gt;LastHist)*(GPULead-1)))*((H$5-$E$5:H$5)&lt;LQ_H+(PISLag+($E$5:H$5&gt;LastHist)*(GPULead-1)))*($E$5:H$5&lt;=IMPE_H))/LQ_H</f>
        <v>17.52</v>
      </c>
      <c r="I37" s="122" t="n">
        <f aca="false">SUMPRODUCT($E$23:I$23,((I$5-$E$5:I$5)&gt;=(PISLag+($E$5:I$5&gt;LastHist)*(GPULead-1)))*((I$5-$E$5:I$5)&lt;LQ_H+(PISLag+($E$5:I$5&gt;LastHist)*(GPULead-1)))*($E$5:I$5&lt;=IMPE_H))/LQ_H</f>
        <v>22.716</v>
      </c>
      <c r="J37" s="122" t="n">
        <f aca="false">SUMPRODUCT($E$23:J$23,((J$5-$E$5:J$5)&gt;=(PISLag+($E$5:J$5&gt;LastHist)*(GPULead-1)))*((J$5-$E$5:J$5)&lt;LQ_H+(PISLag+($E$5:J$5&gt;LastHist)*(GPULead-1)))*($E$5:J$5&lt;=IMPE_H))/LQ_H</f>
        <v>39.42</v>
      </c>
      <c r="K37" s="122" t="n">
        <f aca="false">SUMPRODUCT($E$23:K$23,((K$5-$E$5:K$5)&gt;=(PISLag+($E$5:K$5&gt;LastHist)*(GPULead-1)))*((K$5-$E$5:K$5)&lt;LQ_H+(PISLag+($E$5:K$5&gt;LastHist)*(GPULead-1)))*($E$5:K$5&lt;=IMPE_H))/LQ_H</f>
        <v>52.476</v>
      </c>
      <c r="L37" s="122" t="n">
        <f aca="false">SUMPRODUCT($E$23:L$23,((L$5-$E$5:L$5)&gt;=(PISLag+($E$5:L$5&gt;LastHist)*(GPULead-1)))*((L$5-$E$5:L$5)&lt;LQ_H+(PISLag+($E$5:L$5&gt;LastHist)*(GPULead-1)))*($E$5:L$5&lt;=IMPE_H))/LQ_H</f>
        <v>64.7304</v>
      </c>
      <c r="M37" s="122" t="n">
        <f aca="false">SUMPRODUCT($E$23:M$23,((M$5-$E$5:M$5)&gt;=(PISLag+($E$5:M$5&gt;LastHist)*(GPULead-1)))*((M$5-$E$5:M$5)&lt;LQ_H+(PISLag+($E$5:M$5&gt;LastHist)*(GPULead-1)))*($E$5:M$5&lt;=IMPE_H))/LQ_H</f>
        <v>87.6624</v>
      </c>
      <c r="N37" s="122" t="n">
        <f aca="false">SUMPRODUCT($E$23:N$23,((N$5-$E$5:N$5)&gt;=(PISLag+($E$5:N$5&gt;LastHist)*(GPULead-1)))*((N$5-$E$5:N$5)&lt;LQ_H+(PISLag+($E$5:N$5&gt;LastHist)*(GPULead-1)))*($E$5:N$5&lt;=IMPE_H))/LQ_H</f>
        <v>137.0064</v>
      </c>
      <c r="O37" s="122" t="n">
        <f aca="false">SUMPRODUCT($E$23:O$23,((O$5-$E$5:O$5)&gt;=(PISLag+($E$5:O$5&gt;LastHist)*(GPULead-1)))*((O$5-$E$5:O$5)&lt;LQ_H+(PISLag+($E$5:O$5&gt;LastHist)*(GPULead-1)))*($E$5:O$5&lt;=IMPE_H))/LQ_H</f>
        <v>146.898</v>
      </c>
      <c r="P37" s="123" t="n">
        <f aca="false">SUMPRODUCT($E$23:P$23,((P$5-$E$5:P$5)&gt;=(PISLag+($E$5:P$5&gt;LastHist)*(GPULead-1)))*((P$5-$E$5:P$5)&lt;LQ_H+(PISLag+($E$5:P$5&gt;LastHist)*(GPULead-1)))*($E$5:P$5&lt;=IMPE_H))/LQ_H</f>
        <v>169.5276</v>
      </c>
      <c r="Q37" s="123" t="n">
        <f aca="false">SUMPRODUCT($E$23:Q$23,((Q$5-$E$5:Q$5)&gt;=(PISLag+($E$5:Q$5&gt;LastHist)*(GPULead-1)))*((Q$5-$E$5:Q$5)&lt;LQ_H+(PISLag+($E$5:Q$5&gt;LastHist)*(GPULead-1)))*($E$5:Q$5&lt;=IMPE_H))/LQ_H</f>
        <v>169.5276</v>
      </c>
      <c r="R37" s="123" t="n">
        <f aca="false">SUMPRODUCT($E$23:R$23,((R$5-$E$5:R$5)&gt;=(PISLag+($E$5:R$5&gt;LastHist)*(GPULead-1)))*((R$5-$E$5:R$5)&lt;LQ_H+(PISLag+($E$5:R$5&gt;LastHist)*(GPULead-1)))*($E$5:R$5&lt;=IMPE_H))/LQ_H</f>
        <v>169.5276</v>
      </c>
      <c r="S37" s="123" t="n">
        <f aca="false">SUMPRODUCT($E$23:S$23,((S$5-$E$5:S$5)&gt;=(PISLag+($E$5:S$5&gt;LastHist)*(GPULead-1)))*((S$5-$E$5:S$5)&lt;LQ_H+(PISLag+($E$5:S$5&gt;LastHist)*(GPULead-1)))*($E$5:S$5&lt;=IMPE_H))/LQ_H</f>
        <v>169.5276</v>
      </c>
      <c r="T37" s="123" t="n">
        <f aca="false">SUMPRODUCT($E$23:T$23,((T$5-$E$5:T$5)&gt;=(PISLag+($E$5:T$5&gt;LastHist)*(GPULead-1)))*((T$5-$E$5:T$5)&lt;LQ_H+(PISLag+($E$5:T$5&gt;LastHist)*(GPULead-1)))*($E$5:T$5&lt;=IMPE_H))/LQ_H</f>
        <v>169.5276</v>
      </c>
      <c r="U37" s="123" t="n">
        <f aca="false">SUMPRODUCT($E$23:U$23,((U$5-$E$5:U$5)&gt;=(PISLag+($E$5:U$5&gt;LastHist)*(GPULead-1)))*((U$5-$E$5:U$5)&lt;LQ_H+(PISLag+($E$5:U$5&gt;LastHist)*(GPULead-1)))*($E$5:U$5&lt;=IMPE_H))/LQ_H</f>
        <v>169.5276</v>
      </c>
      <c r="V37" s="123" t="n">
        <f aca="false">SUMPRODUCT($E$23:V$23,((V$5-$E$5:V$5)&gt;=(PISLag+($E$5:V$5&gt;LastHist)*(GPULead-1)))*((V$5-$E$5:V$5)&lt;LQ_H+(PISLag+($E$5:V$5&gt;LastHist)*(GPULead-1)))*($E$5:V$5&lt;=IMPE_H))/LQ_H</f>
        <v>169.5276</v>
      </c>
      <c r="W37" s="123" t="n">
        <f aca="false">SUMPRODUCT($E$23:W$23,((W$5-$E$5:W$5)&gt;=(PISLag+($E$5:W$5&gt;LastHist)*(GPULead-1)))*((W$5-$E$5:W$5)&lt;LQ_H+(PISLag+($E$5:W$5&gt;LastHist)*(GPULead-1)))*($E$5:W$5&lt;=IMPE_H))/LQ_H</f>
        <v>169.5276</v>
      </c>
      <c r="X37" s="123" t="n">
        <f aca="false">SUMPRODUCT($E$23:X$23,((X$5-$E$5:X$5)&gt;=(PISLag+($E$5:X$5&gt;LastHist)*(GPULead-1)))*((X$5-$E$5:X$5)&lt;LQ_H+(PISLag+($E$5:X$5&gt;LastHist)*(GPULead-1)))*($E$5:X$5&lt;=IMPE_H))/LQ_H</f>
        <v>169.5276</v>
      </c>
      <c r="Y37" s="123" t="n">
        <f aca="false">SUMPRODUCT($E$23:Y$23,((Y$5-$E$5:Y$5)&gt;=(PISLag+($E$5:Y$5&gt;LastHist)*(GPULead-1)))*((Y$5-$E$5:Y$5)&lt;LQ_H+(PISLag+($E$5:Y$5&gt;LastHist)*(GPULead-1)))*($E$5:Y$5&lt;=IMPE_H))/LQ_H</f>
        <v>169.5276</v>
      </c>
      <c r="Z37" s="123" t="n">
        <f aca="false">SUMPRODUCT($E$23:Z$23,((Z$5-$E$5:Z$5)&gt;=(PISLag+($E$5:Z$5&gt;LastHist)*(GPULead-1)))*((Z$5-$E$5:Z$5)&lt;LQ_H+(PISLag+($E$5:Z$5&gt;LastHist)*(GPULead-1)))*($E$5:Z$5&lt;=IMPE_H))/LQ_H</f>
        <v>162.4076</v>
      </c>
      <c r="AA37" s="123" t="n">
        <f aca="false">SUMPRODUCT($E$23:AA$23,((AA$5-$E$5:AA$5)&gt;=(PISLag+($E$5:AA$5&gt;LastHist)*(GPULead-1)))*((AA$5-$E$5:AA$5)&lt;LQ_H+(PISLag+($E$5:AA$5&gt;LastHist)*(GPULead-1)))*($E$5:AA$5&lt;=IMPE_H))/LQ_H</f>
        <v>157.2076</v>
      </c>
      <c r="AB37" s="123" t="n">
        <f aca="false">SUMPRODUCT($E$23:AB$23,((AB$5-$E$5:AB$5)&gt;=(PISLag+($E$5:AB$5&gt;LastHist)*(GPULead-1)))*((AB$5-$E$5:AB$5)&lt;LQ_H+(PISLag+($E$5:AB$5&gt;LastHist)*(GPULead-1)))*($E$5:AB$5&lt;=IMPE_H))/LQ_H</f>
        <v>152.0076</v>
      </c>
      <c r="AC37" s="123" t="n">
        <f aca="false">SUMPRODUCT($E$23:AC$23,((AC$5-$E$5:AC$5)&gt;=(PISLag+($E$5:AC$5&gt;LastHist)*(GPULead-1)))*((AC$5-$E$5:AC$5)&lt;LQ_H+(PISLag+($E$5:AC$5&gt;LastHist)*(GPULead-1)))*($E$5:AC$5&lt;=IMPE_H))/LQ_H</f>
        <v>146.8116</v>
      </c>
      <c r="AD37" s="123" t="n">
        <f aca="false">SUMPRODUCT($E$23:AD$23,((AD$5-$E$5:AD$5)&gt;=(PISLag+($E$5:AD$5&gt;LastHist)*(GPULead-1)))*((AD$5-$E$5:AD$5)&lt;LQ_H+(PISLag+($E$5:AD$5&gt;LastHist)*(GPULead-1)))*($E$5:AD$5&lt;=IMPE_H))/LQ_H</f>
        <v>130.1076</v>
      </c>
      <c r="AE37" s="123" t="n">
        <f aca="false">SUMPRODUCT($E$23:AE$23,((AE$5-$E$5:AE$5)&gt;=(PISLag+($E$5:AE$5&gt;LastHist)*(GPULead-1)))*((AE$5-$E$5:AE$5)&lt;LQ_H+(PISLag+($E$5:AE$5&gt;LastHist)*(GPULead-1)))*($E$5:AE$5&lt;=IMPE_H))/LQ_H</f>
        <v>117.0516</v>
      </c>
      <c r="AF37" s="123" t="n">
        <f aca="false">SUMPRODUCT($E$23:AF$23,((AF$5-$E$5:AF$5)&gt;=(PISLag+($E$5:AF$5&gt;LastHist)*(GPULead-1)))*((AF$5-$E$5:AF$5)&lt;LQ_H+(PISLag+($E$5:AF$5&gt;LastHist)*(GPULead-1)))*($E$5:AF$5&lt;=IMPE_H))/LQ_H</f>
        <v>104.7972</v>
      </c>
      <c r="AG37" s="123" t="n">
        <f aca="false">SUMPRODUCT($E$23:AG$23,((AG$5-$E$5:AG$5)&gt;=(PISLag+($E$5:AG$5&gt;LastHist)*(GPULead-1)))*((AG$5-$E$5:AG$5)&lt;LQ_H+(PISLag+($E$5:AG$5&gt;LastHist)*(GPULead-1)))*($E$5:AG$5&lt;=IMPE_H))/LQ_H</f>
        <v>81.8652</v>
      </c>
      <c r="AI37" s="123" t="n">
        <f aca="false">SUMIF($F$7:$AG$7,AI$7,$F37:$AG37)</f>
        <v>59.676</v>
      </c>
      <c r="AJ37" s="123" t="n">
        <f aca="false">SUMIF($F$7:$AG$7,AJ$7,$F37:$AG37)</f>
        <v>244.2888</v>
      </c>
      <c r="AK37" s="123" t="n">
        <f aca="false">SUMIF($F$7:$AG$7,AK$7,$F37:$AG37)</f>
        <v>622.9596</v>
      </c>
      <c r="AL37" s="123" t="n">
        <f aca="false">SUMIF($F$7:$AG$7,AL$7,$F37:$AG37)</f>
        <v>678.1104</v>
      </c>
      <c r="AM37" s="123" t="n">
        <f aca="false">SUMIF($F$7:$AG$7,AM$7,$F37:$AG37)</f>
        <v>678.1104</v>
      </c>
      <c r="AN37" s="123" t="n">
        <f aca="false">SUMIF($F$7:$AG$7,AN$7,$F37:$AG37)</f>
        <v>618.4344</v>
      </c>
      <c r="AO37" s="123" t="n">
        <f aca="false">SUMIF($F$7:$AG$7,AO$7,$F37:$AG37)</f>
        <v>433.8216</v>
      </c>
    </row>
    <row r="38" customFormat="false" ht="15" hidden="false" customHeight="false" outlineLevel="0" collapsed="false">
      <c r="A38" s="104" t="s">
        <v>1947</v>
      </c>
      <c r="B38" s="20" t="s">
        <v>561</v>
      </c>
      <c r="C38" s="20" t="s">
        <v>495</v>
      </c>
      <c r="D38" s="20"/>
      <c r="F38" s="122" t="n">
        <f aca="false">SUMPRODUCT($E$23:F$23,((F$5-$E$5:F$5)&gt;=(PISLag+($E$5:F$5&gt;LastHist)*(GPULead-1)))*((F$5-$E$5:F$5)&lt;LQ_H+(PISLag+($E$5:F$5&gt;LastHist)*(GPULead-1)))*($E$5:F$5&gt;IMPE_H))/LQ_H</f>
        <v>0</v>
      </c>
      <c r="G38" s="122" t="n">
        <f aca="false">SUMPRODUCT($E$23:G$23,((G$5-$E$5:G$5)&gt;=(PISLag+($E$5:G$5&gt;LastHist)*(GPULead-1)))*((G$5-$E$5:G$5)&lt;LQ_H+(PISLag+($E$5:G$5&gt;LastHist)*(GPULead-1)))*($E$5:G$5&gt;IMPE_H))/LQ_H</f>
        <v>0</v>
      </c>
      <c r="H38" s="122" t="n">
        <f aca="false">SUMPRODUCT($E$23:H$23,((H$5-$E$5:H$5)&gt;=(PISLag+($E$5:H$5&gt;LastHist)*(GPULead-1)))*((H$5-$E$5:H$5)&lt;LQ_H+(PISLag+($E$5:H$5&gt;LastHist)*(GPULead-1)))*($E$5:H$5&gt;IMPE_H))/LQ_H</f>
        <v>0</v>
      </c>
      <c r="I38" s="122" t="n">
        <f aca="false">SUMPRODUCT($E$23:I$23,((I$5-$E$5:I$5)&gt;=(PISLag+($E$5:I$5&gt;LastHist)*(GPULead-1)))*((I$5-$E$5:I$5)&lt;LQ_H+(PISLag+($E$5:I$5&gt;LastHist)*(GPULead-1)))*($E$5:I$5&gt;IMPE_H))/LQ_H</f>
        <v>0</v>
      </c>
      <c r="J38" s="122" t="n">
        <f aca="false">SUMPRODUCT($E$23:J$23,((J$5-$E$5:J$5)&gt;=(PISLag+($E$5:J$5&gt;LastHist)*(GPULead-1)))*((J$5-$E$5:J$5)&lt;LQ_H+(PISLag+($E$5:J$5&gt;LastHist)*(GPULead-1)))*($E$5:J$5&gt;IMPE_H))/LQ_H</f>
        <v>0</v>
      </c>
      <c r="K38" s="122" t="n">
        <f aca="false">SUMPRODUCT($E$23:K$23,((K$5-$E$5:K$5)&gt;=(PISLag+($E$5:K$5&gt;LastHist)*(GPULead-1)))*((K$5-$E$5:K$5)&lt;LQ_H+(PISLag+($E$5:K$5&gt;LastHist)*(GPULead-1)))*($E$5:K$5&gt;IMPE_H))/LQ_H</f>
        <v>0</v>
      </c>
      <c r="L38" s="122" t="n">
        <f aca="false">SUMPRODUCT($E$23:L$23,((L$5-$E$5:L$5)&gt;=(PISLag+($E$5:L$5&gt;LastHist)*(GPULead-1)))*((L$5-$E$5:L$5)&lt;LQ_H+(PISLag+($E$5:L$5&gt;LastHist)*(GPULead-1)))*($E$5:L$5&gt;IMPE_H))/LQ_H</f>
        <v>0</v>
      </c>
      <c r="M38" s="122" t="n">
        <f aca="false">SUMPRODUCT($E$23:M$23,((M$5-$E$5:M$5)&gt;=(PISLag+($E$5:M$5&gt;LastHist)*(GPULead-1)))*((M$5-$E$5:M$5)&lt;LQ_H+(PISLag+($E$5:M$5&gt;LastHist)*(GPULead-1)))*($E$5:M$5&gt;IMPE_H))/LQ_H</f>
        <v>0</v>
      </c>
      <c r="N38" s="122" t="n">
        <f aca="false">SUMPRODUCT($E$23:N$23,((N$5-$E$5:N$5)&gt;=(PISLag+($E$5:N$5&gt;LastHist)*(GPULead-1)))*((N$5-$E$5:N$5)&lt;LQ_H+(PISLag+($E$5:N$5&gt;LastHist)*(GPULead-1)))*($E$5:N$5&gt;IMPE_H))/LQ_H</f>
        <v>0</v>
      </c>
      <c r="O38" s="122" t="n">
        <f aca="false">SUMPRODUCT($E$23:O$23,((O$5-$E$5:O$5)&gt;=(PISLag+($E$5:O$5&gt;LastHist)*(GPULead-1)))*((O$5-$E$5:O$5)&lt;LQ_H+(PISLag+($E$5:O$5&gt;LastHist)*(GPULead-1)))*($E$5:O$5&gt;IMPE_H))/LQ_H</f>
        <v>0</v>
      </c>
      <c r="P38" s="123" t="n">
        <f aca="false">SUMPRODUCT($E$23:P$23,((P$5-$E$5:P$5)&gt;=(PISLag+($E$5:P$5&gt;LastHist)*(GPULead-1)))*((P$5-$E$5:P$5)&lt;LQ_H+(PISLag+($E$5:P$5&gt;LastHist)*(GPULead-1)))*($E$5:P$5&gt;IMPE_H))/LQ_H</f>
        <v>0</v>
      </c>
      <c r="Q38" s="123" t="n">
        <f aca="false">SUMPRODUCT($E$23:Q$23,((Q$5-$E$5:Q$5)&gt;=(PISLag+($E$5:Q$5&gt;LastHist)*(GPULead-1)))*((Q$5-$E$5:Q$5)&lt;LQ_H+(PISLag+($E$5:Q$5&gt;LastHist)*(GPULead-1)))*($E$5:Q$5&gt;IMPE_H))/LQ_H</f>
        <v>0</v>
      </c>
      <c r="R38" s="123" t="n">
        <f aca="false">SUMPRODUCT($E$23:R$23,((R$5-$E$5:R$5)&gt;=(PISLag+($E$5:R$5&gt;LastHist)*(GPULead-1)))*((R$5-$E$5:R$5)&lt;LQ_H+(PISLag+($E$5:R$5&gt;LastHist)*(GPULead-1)))*($E$5:R$5&gt;IMPE_H))/LQ_H</f>
        <v>0</v>
      </c>
      <c r="S38" s="123" t="n">
        <f aca="false">SUMPRODUCT($E$23:S$23,((S$5-$E$5:S$5)&gt;=(PISLag+($E$5:S$5&gt;LastHist)*(GPULead-1)))*((S$5-$E$5:S$5)&lt;LQ_H+(PISLag+($E$5:S$5&gt;LastHist)*(GPULead-1)))*($E$5:S$5&gt;IMPE_H))/LQ_H</f>
        <v>0</v>
      </c>
      <c r="T38" s="123" t="n">
        <f aca="false">SUMPRODUCT($E$23:T$23,((T$5-$E$5:T$5)&gt;=(PISLag+($E$5:T$5&gt;LastHist)*(GPULead-1)))*((T$5-$E$5:T$5)&lt;LQ_H+(PISLag+($E$5:T$5&gt;LastHist)*(GPULead-1)))*($E$5:T$5&gt;IMPE_H))/LQ_H</f>
        <v>0</v>
      </c>
      <c r="U38" s="123" t="n">
        <f aca="false">SUMPRODUCT($E$23:U$23,((U$5-$E$5:U$5)&gt;=(PISLag+($E$5:U$5&gt;LastHist)*(GPULead-1)))*((U$5-$E$5:U$5)&lt;LQ_H+(PISLag+($E$5:U$5&gt;LastHist)*(GPULead-1)))*($E$5:U$5&gt;IMPE_H))/LQ_H</f>
        <v>0</v>
      </c>
      <c r="V38" s="123" t="n">
        <f aca="false">SUMPRODUCT($E$23:V$23,((V$5-$E$5:V$5)&gt;=(PISLag+($E$5:V$5&gt;LastHist)*(GPULead-1)))*((V$5-$E$5:V$5)&lt;LQ_H+(PISLag+($E$5:V$5&gt;LastHist)*(GPULead-1)))*($E$5:V$5&gt;IMPE_H))/LQ_H</f>
        <v>0</v>
      </c>
      <c r="W38" s="123" t="n">
        <f aca="false">SUMPRODUCT($E$23:W$23,((W$5-$E$5:W$5)&gt;=(PISLag+($E$5:W$5&gt;LastHist)*(GPULead-1)))*((W$5-$E$5:W$5)&lt;LQ_H+(PISLag+($E$5:W$5&gt;LastHist)*(GPULead-1)))*($E$5:W$5&gt;IMPE_H))/LQ_H</f>
        <v>0</v>
      </c>
      <c r="X38" s="123" t="n">
        <f aca="false">SUMPRODUCT($E$23:X$23,((X$5-$E$5:X$5)&gt;=(PISLag+($E$5:X$5&gt;LastHist)*(GPULead-1)))*((X$5-$E$5:X$5)&lt;LQ_H+(PISLag+($E$5:X$5&gt;LastHist)*(GPULead-1)))*($E$5:X$5&gt;IMPE_H))/LQ_H</f>
        <v>0</v>
      </c>
      <c r="Y38" s="123" t="n">
        <f aca="false">SUMPRODUCT($E$23:Y$23,((Y$5-$E$5:Y$5)&gt;=(PISLag+($E$5:Y$5&gt;LastHist)*(GPULead-1)))*((Y$5-$E$5:Y$5)&lt;LQ_H+(PISLag+($E$5:Y$5&gt;LastHist)*(GPULead-1)))*($E$5:Y$5&gt;IMPE_H))/LQ_H</f>
        <v>0</v>
      </c>
      <c r="Z38" s="123" t="n">
        <f aca="false">SUMPRODUCT($E$23:Z$23,((Z$5-$E$5:Z$5)&gt;=(PISLag+($E$5:Z$5&gt;LastHist)*(GPULead-1)))*((Z$5-$E$5:Z$5)&lt;LQ_H+(PISLag+($E$5:Z$5&gt;LastHist)*(GPULead-1)))*($E$5:Z$5&gt;IMPE_H))/LQ_H</f>
        <v>0</v>
      </c>
      <c r="AA38" s="123" t="n">
        <f aca="false">SUMPRODUCT($E$23:AA$23,((AA$5-$E$5:AA$5)&gt;=(PISLag+($E$5:AA$5&gt;LastHist)*(GPULead-1)))*((AA$5-$E$5:AA$5)&lt;LQ_H+(PISLag+($E$5:AA$5&gt;LastHist)*(GPULead-1)))*($E$5:AA$5&gt;IMPE_H))/LQ_H</f>
        <v>0</v>
      </c>
      <c r="AB38" s="123" t="n">
        <f aca="false">SUMPRODUCT($E$23:AB$23,((AB$5-$E$5:AB$5)&gt;=(PISLag+($E$5:AB$5&gt;LastHist)*(GPULead-1)))*((AB$5-$E$5:AB$5)&lt;LQ_H+(PISLag+($E$5:AB$5&gt;LastHist)*(GPULead-1)))*($E$5:AB$5&gt;IMPE_H))/LQ_H</f>
        <v>0</v>
      </c>
      <c r="AC38" s="123" t="n">
        <f aca="false">SUMPRODUCT($E$23:AC$23,((AC$5-$E$5:AC$5)&gt;=(PISLag+($E$5:AC$5&gt;LastHist)*(GPULead-1)))*((AC$5-$E$5:AC$5)&lt;LQ_H+(PISLag+($E$5:AC$5&gt;LastHist)*(GPULead-1)))*($E$5:AC$5&gt;IMPE_H))/LQ_H</f>
        <v>0</v>
      </c>
      <c r="AD38" s="123" t="n">
        <f aca="false">SUMPRODUCT($E$23:AD$23,((AD$5-$E$5:AD$5)&gt;=(PISLag+($E$5:AD$5&gt;LastHist)*(GPULead-1)))*((AD$5-$E$5:AD$5)&lt;LQ_H+(PISLag+($E$5:AD$5&gt;LastHist)*(GPULead-1)))*($E$5:AD$5&gt;IMPE_H))/LQ_H</f>
        <v>0</v>
      </c>
      <c r="AE38" s="123" t="n">
        <f aca="false">SUMPRODUCT($E$23:AE$23,((AE$5-$E$5:AE$5)&gt;=(PISLag+($E$5:AE$5&gt;LastHist)*(GPULead-1)))*((AE$5-$E$5:AE$5)&lt;LQ_H+(PISLag+($E$5:AE$5&gt;LastHist)*(GPULead-1)))*($E$5:AE$5&gt;IMPE_H))/LQ_H</f>
        <v>0</v>
      </c>
      <c r="AF38" s="123" t="n">
        <f aca="false">SUMPRODUCT($E$23:AF$23,((AF$5-$E$5:AF$5)&gt;=(PISLag+($E$5:AF$5&gt;LastHist)*(GPULead-1)))*((AF$5-$E$5:AF$5)&lt;LQ_H+(PISLag+($E$5:AF$5&gt;LastHist)*(GPULead-1)))*($E$5:AF$5&gt;IMPE_H))/LQ_H</f>
        <v>0</v>
      </c>
      <c r="AG38" s="123" t="n">
        <f aca="false">SUMPRODUCT($E$23:AG$23,((AG$5-$E$5:AG$5)&gt;=(PISLag+($E$5:AG$5&gt;LastHist)*(GPULead-1)))*((AG$5-$E$5:AG$5)&lt;LQ_H+(PISLag+($E$5:AG$5&gt;LastHist)*(GPULead-1)))*($E$5:AG$5&gt;IMPE_H))/LQ_H</f>
        <v>0</v>
      </c>
      <c r="AI38" s="123" t="n">
        <f aca="false">SUMIF($F$7:$AG$7,AI$7,$F38:$AG38)</f>
        <v>0</v>
      </c>
      <c r="AJ38" s="123" t="n">
        <f aca="false">SUMIF($F$7:$AG$7,AJ$7,$F38:$AG38)</f>
        <v>0</v>
      </c>
      <c r="AK38" s="123" t="n">
        <f aca="false">SUMIF($F$7:$AG$7,AK$7,$F38:$AG38)</f>
        <v>0</v>
      </c>
      <c r="AL38" s="123" t="n">
        <f aca="false">SUMIF($F$7:$AG$7,AL$7,$F38:$AG38)</f>
        <v>0</v>
      </c>
      <c r="AM38" s="123" t="n">
        <f aca="false">SUMIF($F$7:$AG$7,AM$7,$F38:$AG38)</f>
        <v>0</v>
      </c>
      <c r="AN38" s="123" t="n">
        <f aca="false">SUMIF($F$7:$AG$7,AN$7,$F38:$AG38)</f>
        <v>0</v>
      </c>
      <c r="AO38" s="123" t="n">
        <f aca="false">SUMIF($F$7:$AG$7,AO$7,$F38:$AG38)</f>
        <v>0</v>
      </c>
    </row>
    <row r="39" customFormat="false" ht="15" hidden="false" customHeight="false" outlineLevel="0" collapsed="false">
      <c r="A39" s="3" t="s">
        <v>1948</v>
      </c>
      <c r="B39" s="20" t="s">
        <v>561</v>
      </c>
      <c r="C39" s="20" t="s">
        <v>495</v>
      </c>
      <c r="D39" s="20"/>
      <c r="F39" s="124" t="n">
        <f aca="false">F37*(1-ImpPct_H*(F$5&gt;IMPE_H))+F38</f>
        <v>7.12</v>
      </c>
      <c r="G39" s="124" t="n">
        <f aca="false">G37*(1-ImpPct_H*(G$5&gt;IMPE_H))+G38</f>
        <v>12.32</v>
      </c>
      <c r="H39" s="124" t="n">
        <f aca="false">H37*(1-ImpPct_H*(H$5&gt;IMPE_H))+H38</f>
        <v>17.52</v>
      </c>
      <c r="I39" s="124" t="n">
        <f aca="false">I37*(1-ImpPct_H*(I$5&gt;IMPE_H))+I38</f>
        <v>22.716</v>
      </c>
      <c r="J39" s="124" t="n">
        <f aca="false">J37*(1-ImpPct_H*(J$5&gt;IMPE_H))+J38</f>
        <v>39.42</v>
      </c>
      <c r="K39" s="124" t="n">
        <f aca="false">K37*(1-ImpPct_H*(K$5&gt;IMPE_H))+K38</f>
        <v>52.476</v>
      </c>
      <c r="L39" s="124" t="n">
        <f aca="false">L37*(1-ImpPct_H*(L$5&gt;IMPE_H))+L38</f>
        <v>64.7304</v>
      </c>
      <c r="M39" s="124" t="n">
        <f aca="false">M37*(1-ImpPct_H*(M$5&gt;IMPE_H))+M38</f>
        <v>87.6624</v>
      </c>
      <c r="N39" s="124" t="n">
        <f aca="false">N37*(1-ImpPct_H*(N$5&gt;IMPE_H))+N38</f>
        <v>137.0064</v>
      </c>
      <c r="O39" s="124" t="n">
        <f aca="false">O37*(1-ImpPct_H*(O$5&gt;IMPE_H))+O38</f>
        <v>146.898</v>
      </c>
      <c r="P39" s="96" t="n">
        <f aca="false">P37*(1-ImpPct_H*(P$5&gt;IMPE_H))+P38</f>
        <v>169.5276</v>
      </c>
      <c r="Q39" s="96" t="n">
        <f aca="false">Q37*(1-ImpPct_H*(Q$5&gt;IMPE_H))+Q38</f>
        <v>169.5276</v>
      </c>
      <c r="R39" s="96" t="n">
        <f aca="false">R37*(1-ImpPct_H*(R$5&gt;IMPE_H))+R38</f>
        <v>169.5276</v>
      </c>
      <c r="S39" s="96" t="n">
        <f aca="false">S37*(1-ImpPct_H*(S$5&gt;IMPE_H))+S38</f>
        <v>169.5276</v>
      </c>
      <c r="T39" s="96" t="n">
        <f aca="false">T37*(1-ImpPct_H*(T$5&gt;IMPE_H))+T38</f>
        <v>169.5276</v>
      </c>
      <c r="U39" s="96" t="n">
        <f aca="false">U37*(1-ImpPct_H*(U$5&gt;IMPE_H))+U38</f>
        <v>169.5276</v>
      </c>
      <c r="V39" s="96" t="n">
        <f aca="false">V37*(1-ImpPct_H*(V$5&gt;IMPE_H))+V38</f>
        <v>169.5276</v>
      </c>
      <c r="W39" s="96" t="n">
        <f aca="false">W37*(1-ImpPct_H*(W$5&gt;IMPE_H))+W38</f>
        <v>169.5276</v>
      </c>
      <c r="X39" s="96" t="n">
        <f aca="false">X37*(1-ImpPct_H*(X$5&gt;IMPE_H))+X38</f>
        <v>169.5276</v>
      </c>
      <c r="Y39" s="96" t="n">
        <f aca="false">Y37*(1-ImpPct_H*(Y$5&gt;IMPE_H))+Y38</f>
        <v>169.5276</v>
      </c>
      <c r="Z39" s="96" t="n">
        <f aca="false">Z37*(1-ImpPct_H*(Z$5&gt;IMPE_H))+Z38</f>
        <v>162.4076</v>
      </c>
      <c r="AA39" s="96" t="n">
        <f aca="false">AA37*(1-ImpPct_H*(AA$5&gt;IMPE_H))+AA38</f>
        <v>157.2076</v>
      </c>
      <c r="AB39" s="96" t="n">
        <f aca="false">AB37*(1-ImpPct_H*(AB$5&gt;IMPE_H))+AB38</f>
        <v>152.0076</v>
      </c>
      <c r="AC39" s="96" t="n">
        <f aca="false">AC37*(1-ImpPct_H*(AC$5&gt;IMPE_H))+AC38</f>
        <v>146.8116</v>
      </c>
      <c r="AD39" s="96" t="n">
        <f aca="false">AD37*(1-ImpPct_H*(AD$5&gt;IMPE_H))+AD38</f>
        <v>130.1076</v>
      </c>
      <c r="AE39" s="96" t="n">
        <f aca="false">AE37*(1-ImpPct_H*(AE$5&gt;IMPE_H))+AE38</f>
        <v>117.0516</v>
      </c>
      <c r="AF39" s="96" t="n">
        <f aca="false">AF37*(1-ImpPct_H*(AF$5&gt;IMPE_H))+AF38</f>
        <v>104.7972</v>
      </c>
      <c r="AG39" s="96" t="n">
        <f aca="false">AG37*(1-ImpPct_H*(AG$5&gt;IMPE_H))+AG38</f>
        <v>81.8652</v>
      </c>
      <c r="AI39" s="96" t="n">
        <f aca="false">SUMIF($F$7:$AG$7,AI$7,$F39:$AG39)</f>
        <v>59.676</v>
      </c>
      <c r="AJ39" s="96" t="n">
        <f aca="false">SUMIF($F$7:$AG$7,AJ$7,$F39:$AG39)</f>
        <v>244.2888</v>
      </c>
      <c r="AK39" s="96" t="n">
        <f aca="false">SUMIF($F$7:$AG$7,AK$7,$F39:$AG39)</f>
        <v>622.9596</v>
      </c>
      <c r="AL39" s="96" t="n">
        <f aca="false">SUMIF($F$7:$AG$7,AL$7,$F39:$AG39)</f>
        <v>678.1104</v>
      </c>
      <c r="AM39" s="96" t="n">
        <f aca="false">SUMIF($F$7:$AG$7,AM$7,$F39:$AG39)</f>
        <v>678.1104</v>
      </c>
      <c r="AN39" s="96" t="n">
        <f aca="false">SUMIF($F$7:$AG$7,AN$7,$F39:$AG39)</f>
        <v>618.4344</v>
      </c>
      <c r="AO39" s="96" t="n">
        <f aca="false">SUMIF($F$7:$AG$7,AO$7,$F39:$AG39)</f>
        <v>433.8216</v>
      </c>
    </row>
    <row r="40" customFormat="false" ht="15" hidden="false" customHeight="false" outlineLevel="0" collapsed="false">
      <c r="A40" s="104" t="s">
        <v>1949</v>
      </c>
      <c r="B40" s="20" t="s">
        <v>561</v>
      </c>
      <c r="C40" s="20" t="s">
        <v>506</v>
      </c>
      <c r="D40" s="20"/>
      <c r="F40" s="122" t="n">
        <f aca="false">IF(F$5=IMPE_H,ImpPct_H*(SUMPRODUCT($E$23:F$23,--($E$5:F$5&lt;=IMPE_H))-SUM($F$37:F$37)),0)</f>
        <v>0</v>
      </c>
      <c r="G40" s="122" t="n">
        <f aca="false">IF(G$5=IMPE_H,ImpPct_H*(SUMPRODUCT($E$23:G$23,--($E$5:G$5&lt;=IMPE_H))-SUM($F$37:G$37)),0)</f>
        <v>0</v>
      </c>
      <c r="H40" s="122" t="n">
        <f aca="false">IF(H$5=IMPE_H,ImpPct_H*(SUMPRODUCT($E$23:H$23,--($E$5:H$5&lt;=IMPE_H))-SUM($F$37:H$37)),0)</f>
        <v>0</v>
      </c>
      <c r="I40" s="122" t="n">
        <f aca="false">IF(I$5=IMPE_H,ImpPct_H*(SUMPRODUCT($E$23:I$23,--($E$5:I$5&lt;=IMPE_H))-SUM($F$37:I$37)),0)</f>
        <v>0</v>
      </c>
      <c r="J40" s="122" t="n">
        <f aca="false">IF(J$5=IMPE_H,ImpPct_H*(SUMPRODUCT($E$23:J$23,--($E$5:J$5&lt;=IMPE_H))-SUM($F$37:J$37)),0)</f>
        <v>0</v>
      </c>
      <c r="K40" s="122" t="n">
        <f aca="false">IF(K$5=IMPE_H,ImpPct_H*(SUMPRODUCT($E$23:K$23,--($E$5:K$5&lt;=IMPE_H))-SUM($F$37:K$37)),0)</f>
        <v>0</v>
      </c>
      <c r="L40" s="122" t="n">
        <f aca="false">IF(L$5=IMPE_H,ImpPct_H*(SUMPRODUCT($E$23:L$23,--($E$5:L$5&lt;=IMPE_H))-SUM($F$37:L$37)),0)</f>
        <v>0</v>
      </c>
      <c r="M40" s="122" t="n">
        <f aca="false">IF(M$5=IMPE_H,ImpPct_H*(SUMPRODUCT($E$23:M$23,--($E$5:M$5&lt;=IMPE_H))-SUM($F$37:M$37)),0)</f>
        <v>0</v>
      </c>
      <c r="N40" s="122" t="n">
        <f aca="false">IF(N$5=IMPE_H,ImpPct_H*(SUMPRODUCT($E$23:N$23,--($E$5:N$5&lt;=IMPE_H))-SUM($F$37:N$37)),0)</f>
        <v>0</v>
      </c>
      <c r="O40" s="122" t="n">
        <f aca="false">IF(O$5=IMPE_H,ImpPct_H*(SUMPRODUCT($E$23:O$23,--($E$5:O$5&lt;=IMPE_H))-SUM($F$37:O$37)),0)</f>
        <v>0</v>
      </c>
      <c r="P40" s="123" t="n">
        <f aca="false">IF(P$5=IMPE_H,ImpPct_H*(SUMPRODUCT($E$23:P$23,--($E$5:P$5&lt;=IMPE_H))-SUM($F$37:P$37)),0)</f>
        <v>0</v>
      </c>
      <c r="Q40" s="123" t="n">
        <f aca="false">IF(Q$5=IMPE_H,ImpPct_H*(SUMPRODUCT($E$23:Q$23,--($E$5:Q$5&lt;=IMPE_H))-SUM($F$37:Q$37)),0)</f>
        <v>0</v>
      </c>
      <c r="R40" s="123" t="n">
        <f aca="false">IF(R$5=IMPE_H,ImpPct_H*(SUMPRODUCT($E$23:R$23,--($E$5:R$5&lt;=IMPE_H))-SUM($F$37:R$37)),0)</f>
        <v>0</v>
      </c>
      <c r="S40" s="123" t="n">
        <f aca="false">IF(S$5=IMPE_H,ImpPct_H*(SUMPRODUCT($E$23:S$23,--($E$5:S$5&lt;=IMPE_H))-SUM($F$37:S$37)),0)</f>
        <v>0</v>
      </c>
      <c r="T40" s="123" t="n">
        <f aca="false">IF(T$5=IMPE_H,ImpPct_H*(SUMPRODUCT($E$23:T$23,--($E$5:T$5&lt;=IMPE_H))-SUM($F$37:T$37)),0)</f>
        <v>0</v>
      </c>
      <c r="U40" s="123" t="n">
        <f aca="false">IF(U$5=IMPE_H,ImpPct_H*(SUMPRODUCT($E$23:U$23,--($E$5:U$5&lt;=IMPE_H))-SUM($F$37:U$37)),0)</f>
        <v>0</v>
      </c>
      <c r="V40" s="123" t="n">
        <f aca="false">IF(V$5=IMPE_H,ImpPct_H*(SUMPRODUCT($E$23:V$23,--($E$5:V$5&lt;=IMPE_H))-SUM($F$37:V$37)),0)</f>
        <v>0</v>
      </c>
      <c r="W40" s="123" t="n">
        <f aca="false">IF(W$5=IMPE_H,ImpPct_H*(SUMPRODUCT($E$23:W$23,--($E$5:W$5&lt;=IMPE_H))-SUM($F$37:W$37)),0)</f>
        <v>0</v>
      </c>
      <c r="X40" s="123" t="n">
        <f aca="false">IF(X$5=IMPE_H,ImpPct_H*(SUMPRODUCT($E$23:X$23,--($E$5:X$5&lt;=IMPE_H))-SUM($F$37:X$37)),0)</f>
        <v>0</v>
      </c>
      <c r="Y40" s="123" t="n">
        <f aca="false">IF(Y$5=IMPE_H,ImpPct_H*(SUMPRODUCT($E$23:Y$23,--($E$5:Y$5&lt;=IMPE_H))-SUM($F$37:Y$37)),0)</f>
        <v>0</v>
      </c>
      <c r="Z40" s="123" t="n">
        <f aca="false">IF(Z$5=IMPE_H,ImpPct_H*(SUMPRODUCT($E$23:Z$23,--($E$5:Z$5&lt;=IMPE_H))-SUM($F$37:Z$37)),0)</f>
        <v>0</v>
      </c>
      <c r="AA40" s="123" t="n">
        <f aca="false">IF(AA$5=IMPE_H,ImpPct_H*(SUMPRODUCT($E$23:AA$23,--($E$5:AA$5&lt;=IMPE_H))-SUM($F$37:AA$37)),0)</f>
        <v>0</v>
      </c>
      <c r="AB40" s="123" t="n">
        <f aca="false">IF(AB$5=IMPE_H,ImpPct_H*(SUMPRODUCT($E$23:AB$23,--($E$5:AB$5&lt;=IMPE_H))-SUM($F$37:AB$37)),0)</f>
        <v>0</v>
      </c>
      <c r="AC40" s="123" t="n">
        <f aca="false">IF(AC$5=IMPE_H,ImpPct_H*(SUMPRODUCT($E$23:AC$23,--($E$5:AC$5&lt;=IMPE_H))-SUM($F$37:AC$37)),0)</f>
        <v>0</v>
      </c>
      <c r="AD40" s="123" t="n">
        <f aca="false">IF(AD$5=IMPE_H,ImpPct_H*(SUMPRODUCT($E$23:AD$23,--($E$5:AD$5&lt;=IMPE_H))-SUM($F$37:AD$37)),0)</f>
        <v>0</v>
      </c>
      <c r="AE40" s="123" t="n">
        <f aca="false">IF(AE$5=IMPE_H,ImpPct_H*(SUMPRODUCT($E$23:AE$23,--($E$5:AE$5&lt;=IMPE_H))-SUM($F$37:AE$37)),0)</f>
        <v>0</v>
      </c>
      <c r="AF40" s="123" t="n">
        <f aca="false">IF(AF$5=IMPE_H,ImpPct_H*(SUMPRODUCT($E$23:AF$23,--($E$5:AF$5&lt;=IMPE_H))-SUM($F$37:AF$37)),0)</f>
        <v>0</v>
      </c>
      <c r="AG40" s="123" t="n">
        <f aca="false">IF(AG$5=IMPE_H,ImpPct_H*(SUMPRODUCT($E$23:AG$23,--($E$5:AG$5&lt;=IMPE_H))-SUM($F$37:AG$37)),0)</f>
        <v>0</v>
      </c>
      <c r="AI40" s="123" t="n">
        <f aca="false">SUMIF($F$7:$AG$7,AI$7,$F40:$AG40)</f>
        <v>0</v>
      </c>
      <c r="AJ40" s="123" t="n">
        <f aca="false">SUMIF($F$7:$AG$7,AJ$7,$F40:$AG40)</f>
        <v>0</v>
      </c>
      <c r="AK40" s="123" t="n">
        <f aca="false">SUMIF($F$7:$AG$7,AK$7,$F40:$AG40)</f>
        <v>0</v>
      </c>
      <c r="AL40" s="123" t="n">
        <f aca="false">SUMIF($F$7:$AG$7,AL$7,$F40:$AG40)</f>
        <v>0</v>
      </c>
      <c r="AM40" s="123" t="n">
        <f aca="false">SUMIF($F$7:$AG$7,AM$7,$F40:$AG40)</f>
        <v>0</v>
      </c>
      <c r="AN40" s="123" t="n">
        <f aca="false">SUMIF($F$7:$AG$7,AN$7,$F40:$AG40)</f>
        <v>0</v>
      </c>
      <c r="AO40" s="123" t="n">
        <f aca="false">SUMIF($F$7:$AG$7,AO$7,$F40:$AG40)</f>
        <v>0</v>
      </c>
    </row>
    <row r="41" customFormat="false" ht="15" hidden="false" customHeight="false" outlineLevel="0" collapsed="false">
      <c r="A41" s="104" t="s">
        <v>1950</v>
      </c>
      <c r="B41" s="20" t="s">
        <v>561</v>
      </c>
      <c r="C41" s="20" t="s">
        <v>495</v>
      </c>
      <c r="D41" s="20"/>
      <c r="E41" s="123" t="n">
        <f aca="false">E23</f>
        <v>142.4</v>
      </c>
      <c r="F41" s="122" t="n">
        <f aca="false">E41+F23-F39-F40</f>
        <v>239.28</v>
      </c>
      <c r="G41" s="122" t="n">
        <f aca="false">F41+G23-G39-G40</f>
        <v>330.96</v>
      </c>
      <c r="H41" s="122" t="n">
        <f aca="false">G41+H23-H39-H40</f>
        <v>417.36</v>
      </c>
      <c r="I41" s="122" t="n">
        <f aca="false">H41+I23-I39-I40</f>
        <v>728.724</v>
      </c>
      <c r="J41" s="122" t="n">
        <f aca="false">I41+J23-J39-J40</f>
        <v>950.424</v>
      </c>
      <c r="K41" s="122" t="n">
        <f aca="false">J41+K23-K39-K40</f>
        <v>1143.036</v>
      </c>
      <c r="L41" s="122" t="n">
        <f aca="false">K41+L23-L39-L40</f>
        <v>1536.9456</v>
      </c>
      <c r="M41" s="122" t="n">
        <f aca="false">L41+M23-M39-M40</f>
        <v>2436.1632</v>
      </c>
      <c r="N41" s="122" t="n">
        <f aca="false">M41+N23-N39-N40</f>
        <v>2496.9888</v>
      </c>
      <c r="O41" s="122" t="n">
        <f aca="false">N41+O23-O39-O40</f>
        <v>2802.6828</v>
      </c>
      <c r="P41" s="123" t="n">
        <f aca="false">O41+P23-P39-P40</f>
        <v>2633.1552</v>
      </c>
      <c r="Q41" s="123" t="n">
        <f aca="false">P41+Q23-Q39-Q40</f>
        <v>2463.6276</v>
      </c>
      <c r="R41" s="123" t="n">
        <f aca="false">Q41+R23-R39-R40</f>
        <v>2294.1</v>
      </c>
      <c r="S41" s="123" t="n">
        <f aca="false">R41+S23-S39-S40</f>
        <v>2124.5724</v>
      </c>
      <c r="T41" s="123" t="n">
        <f aca="false">S41+T23-T39-T40</f>
        <v>1955.0448</v>
      </c>
      <c r="U41" s="123" t="n">
        <f aca="false">T41+U23-U39-U40</f>
        <v>1785.5172</v>
      </c>
      <c r="V41" s="123" t="n">
        <f aca="false">U41+V23-V39-V40</f>
        <v>1615.9896</v>
      </c>
      <c r="W41" s="123" t="n">
        <f aca="false">V41+W23-W39-W40</f>
        <v>1446.462</v>
      </c>
      <c r="X41" s="123" t="n">
        <f aca="false">W41+X23-X39-X40</f>
        <v>1276.9344</v>
      </c>
      <c r="Y41" s="123" t="n">
        <f aca="false">X41+Y23-Y39-Y40</f>
        <v>1107.4068</v>
      </c>
      <c r="Z41" s="123" t="n">
        <f aca="false">Y41+Z23-Z39-Z40</f>
        <v>944.999200000001</v>
      </c>
      <c r="AA41" s="123" t="n">
        <f aca="false">Z41+AA23-AA39-AA40</f>
        <v>787.791600000001</v>
      </c>
      <c r="AB41" s="123" t="n">
        <f aca="false">AA41+AB23-AB39-AB40</f>
        <v>635.784000000001</v>
      </c>
      <c r="AC41" s="123" t="n">
        <f aca="false">AB41+AC23-AC39-AC40</f>
        <v>488.972400000001</v>
      </c>
      <c r="AD41" s="123" t="n">
        <f aca="false">AC41+AD23-AD39-AD40</f>
        <v>358.864800000001</v>
      </c>
      <c r="AE41" s="123" t="n">
        <f aca="false">AD41+AE23-AE39-AE40</f>
        <v>241.813200000001</v>
      </c>
      <c r="AF41" s="123" t="n">
        <f aca="false">AE41+AF23-AF39-AF40</f>
        <v>137.016000000001</v>
      </c>
      <c r="AG41" s="123" t="n">
        <f aca="false">AF41+AG23-AG39-AG40</f>
        <v>55.1508000000006</v>
      </c>
      <c r="AI41" s="123" t="n">
        <f aca="false">INDEX($F41:$AG41,1,MATCH(AI$7,$F$7:$AG$7,1))</f>
        <v>728.724</v>
      </c>
      <c r="AJ41" s="123" t="n">
        <f aca="false">INDEX($F41:$AG41,1,MATCH(AJ$7,$F$7:$AG$7,1))</f>
        <v>2436.1632</v>
      </c>
      <c r="AK41" s="123" t="n">
        <f aca="false">INDEX($F41:$AG41,1,MATCH(AK$7,$F$7:$AG$7,1))</f>
        <v>2463.6276</v>
      </c>
      <c r="AL41" s="123" t="n">
        <f aca="false">INDEX($F41:$AG41,1,MATCH(AL$7,$F$7:$AG$7,1))</f>
        <v>1785.5172</v>
      </c>
      <c r="AM41" s="123" t="n">
        <f aca="false">INDEX($F41:$AG41,1,MATCH(AM$7,$F$7:$AG$7,1))</f>
        <v>1107.4068</v>
      </c>
      <c r="AN41" s="123" t="n">
        <f aca="false">INDEX($F41:$AG41,1,MATCH(AN$7,$F$7:$AG$7,1))</f>
        <v>488.972400000001</v>
      </c>
      <c r="AO41" s="123" t="n">
        <f aca="false">INDEX($F41:$AG41,1,MATCH(AO$7,$F$7:$AG$7,1))</f>
        <v>55.1508000000006</v>
      </c>
    </row>
    <row r="42" customFormat="false" ht="15" hidden="false" customHeight="false" outlineLevel="0" collapsed="false">
      <c r="A42" s="104" t="s">
        <v>1951</v>
      </c>
      <c r="B42" s="20" t="s">
        <v>561</v>
      </c>
      <c r="C42" s="20" t="s">
        <v>495</v>
      </c>
      <c r="D42" s="20"/>
      <c r="F42" s="122" t="n">
        <f aca="false">SUMPRODUCT($E$24:F$24,((F$5-$E$5:F$5)&gt;=(PISLag+($E$5:F$5&gt;LastHist)*(GPULead-1)))*((F$5-$E$5:F$5)&lt;LQ_B+(PISLag+($E$5:F$5&gt;LastHist)*(GPULead-1)))*($E$5:F$5&lt;=IMPE_B))/LQ_B</f>
        <v>0</v>
      </c>
      <c r="G42" s="122" t="n">
        <f aca="false">SUMPRODUCT($E$24:G$24,((G$5-$E$5:G$5)&gt;=(PISLag+($E$5:G$5&gt;LastHist)*(GPULead-1)))*((G$5-$E$5:G$5)&lt;LQ_B+(PISLag+($E$5:G$5&gt;LastHist)*(GPULead-1)))*($E$5:G$5&lt;=IMPE_B))/LQ_B</f>
        <v>0</v>
      </c>
      <c r="H42" s="122" t="n">
        <f aca="false">SUMPRODUCT($E$24:H$24,((H$5-$E$5:H$5)&gt;=(PISLag+($E$5:H$5&gt;LastHist)*(GPULead-1)))*((H$5-$E$5:H$5)&lt;LQ_B+(PISLag+($E$5:H$5&gt;LastHist)*(GPULead-1)))*($E$5:H$5&lt;=IMPE_B))/LQ_B</f>
        <v>0</v>
      </c>
      <c r="I42" s="122" t="n">
        <f aca="false">SUMPRODUCT($E$24:I$24,((I$5-$E$5:I$5)&gt;=(PISLag+($E$5:I$5&gt;LastHist)*(GPULead-1)))*((I$5-$E$5:I$5)&lt;LQ_B+(PISLag+($E$5:I$5&gt;LastHist)*(GPULead-1)))*($E$5:I$5&lt;=IMPE_B))/LQ_B</f>
        <v>0</v>
      </c>
      <c r="J42" s="122" t="n">
        <f aca="false">SUMPRODUCT($E$24:J$24,((J$5-$E$5:J$5)&gt;=(PISLag+($E$5:J$5&gt;LastHist)*(GPULead-1)))*((J$5-$E$5:J$5)&lt;LQ_B+(PISLag+($E$5:J$5&gt;LastHist)*(GPULead-1)))*($E$5:J$5&lt;=IMPE_B))/LQ_B</f>
        <v>0</v>
      </c>
      <c r="K42" s="122" t="n">
        <f aca="false">SUMPRODUCT($E$24:K$24,((K$5-$E$5:K$5)&gt;=(PISLag+($E$5:K$5&gt;LastHist)*(GPULead-1)))*((K$5-$E$5:K$5)&lt;LQ_B+(PISLag+($E$5:K$5&gt;LastHist)*(GPULead-1)))*($E$5:K$5&lt;=IMPE_B))/LQ_B</f>
        <v>8.704</v>
      </c>
      <c r="L42" s="122" t="n">
        <f aca="false">SUMPRODUCT($E$24:L$24,((L$5-$E$5:L$5)&gt;=(PISLag+($E$5:L$5&gt;LastHist)*(GPULead-1)))*((L$5-$E$5:L$5)&lt;LQ_B+(PISLag+($E$5:L$5&gt;LastHist)*(GPULead-1)))*($E$5:L$5&lt;=IMPE_B))/LQ_B</f>
        <v>16.8736</v>
      </c>
      <c r="M42" s="122" t="n">
        <f aca="false">SUMPRODUCT($E$24:M$24,((M$5-$E$5:M$5)&gt;=(PISLag+($E$5:M$5&gt;LastHist)*(GPULead-1)))*((M$5-$E$5:M$5)&lt;LQ_B+(PISLag+($E$5:M$5&gt;LastHist)*(GPULead-1)))*($E$5:M$5&lt;=IMPE_B))/LQ_B</f>
        <v>32.1616</v>
      </c>
      <c r="N42" s="122" t="n">
        <f aca="false">SUMPRODUCT($E$24:N$24,((N$5-$E$5:N$5)&gt;=(PISLag+($E$5:N$5&gt;LastHist)*(GPULead-1)))*((N$5-$E$5:N$5)&lt;LQ_B+(PISLag+($E$5:N$5&gt;LastHist)*(GPULead-1)))*($E$5:N$5&lt;=IMPE_B))/LQ_B</f>
        <v>65.0576</v>
      </c>
      <c r="O42" s="122" t="n">
        <f aca="false">SUMPRODUCT($E$24:O$24,((O$5-$E$5:O$5)&gt;=(PISLag+($E$5:O$5&gt;LastHist)*(GPULead-1)))*((O$5-$E$5:O$5)&lt;LQ_B+(PISLag+($E$5:O$5&gt;LastHist)*(GPULead-1)))*($E$5:O$5&lt;=IMPE_B))/LQ_B</f>
        <v>154.082</v>
      </c>
      <c r="P42" s="123" t="n">
        <f aca="false">SUMPRODUCT($E$24:P$24,((P$5-$E$5:P$5)&gt;=(PISLag+($E$5:P$5&gt;LastHist)*(GPULead-1)))*((P$5-$E$5:P$5)&lt;LQ_B+(PISLag+($E$5:P$5&gt;LastHist)*(GPULead-1)))*($E$5:P$5&lt;=IMPE_B))/LQ_B</f>
        <v>357.7484</v>
      </c>
      <c r="Q42" s="123" t="n">
        <f aca="false">SUMPRODUCT($E$24:Q$24,((Q$5-$E$5:Q$5)&gt;=(PISLag+($E$5:Q$5&gt;LastHist)*(GPULead-1)))*((Q$5-$E$5:Q$5)&lt;LQ_B+(PISLag+($E$5:Q$5&gt;LastHist)*(GPULead-1)))*($E$5:Q$5&lt;=IMPE_B))/LQ_B</f>
        <v>357.7484</v>
      </c>
      <c r="R42" s="123" t="n">
        <f aca="false">SUMPRODUCT($E$24:R$24,((R$5-$E$5:R$5)&gt;=(PISLag+($E$5:R$5&gt;LastHist)*(GPULead-1)))*((R$5-$E$5:R$5)&lt;LQ_B+(PISLag+($E$5:R$5&gt;LastHist)*(GPULead-1)))*($E$5:R$5&lt;=IMPE_B))/LQ_B</f>
        <v>526.4584</v>
      </c>
      <c r="S42" s="123" t="n">
        <f aca="false">SUMPRODUCT($E$24:S$24,((S$5-$E$5:S$5)&gt;=(PISLag+($E$5:S$5&gt;LastHist)*(GPULead-1)))*((S$5-$E$5:S$5)&lt;LQ_B+(PISLag+($E$5:S$5&gt;LastHist)*(GPULead-1)))*($E$5:S$5&lt;=IMPE_B))/LQ_B</f>
        <v>759.035663279049</v>
      </c>
      <c r="T42" s="123" t="n">
        <f aca="false">SUMPRODUCT($E$24:T$24,((T$5-$E$5:T$5)&gt;=(PISLag+($E$5:T$5&gt;LastHist)*(GPULead-1)))*((T$5-$E$5:T$5)&lt;LQ_B+(PISLag+($E$5:T$5&gt;LastHist)*(GPULead-1)))*($E$5:T$5&lt;=IMPE_B))/LQ_B</f>
        <v>991.544358148536</v>
      </c>
      <c r="U42" s="123" t="n">
        <f aca="false">SUMPRODUCT($E$24:U$24,((U$5-$E$5:U$5)&gt;=(PISLag+($E$5:U$5&gt;LastHist)*(GPULead-1)))*((U$5-$E$5:U$5)&lt;LQ_B+(PISLag+($E$5:U$5&gt;LastHist)*(GPULead-1)))*($E$5:U$5&lt;=IMPE_B))/LQ_B</f>
        <v>1129.41787945296</v>
      </c>
      <c r="V42" s="123" t="n">
        <f aca="false">SUMPRODUCT($E$24:V$24,((V$5-$E$5:V$5)&gt;=(PISLag+($E$5:V$5&gt;LastHist)*(GPULead-1)))*((V$5-$E$5:V$5)&lt;LQ_B+(PISLag+($E$5:V$5&gt;LastHist)*(GPULead-1)))*($E$5:V$5&lt;=IMPE_B))/LQ_B</f>
        <v>1381.41330021501</v>
      </c>
      <c r="W42" s="123" t="n">
        <f aca="false">SUMPRODUCT($E$24:W$24,((W$5-$E$5:W$5)&gt;=(PISLag+($E$5:W$5&gt;LastHist)*(GPULead-1)))*((W$5-$E$5:W$5)&lt;LQ_B+(PISLag+($E$5:W$5&gt;LastHist)*(GPULead-1)))*($E$5:W$5&lt;=IMPE_B))/LQ_B</f>
        <v>1381.41330021501</v>
      </c>
      <c r="X42" s="123" t="n">
        <f aca="false">SUMPRODUCT($E$24:X$24,((X$5-$E$5:X$5)&gt;=(PISLag+($E$5:X$5&gt;LastHist)*(GPULead-1)))*((X$5-$E$5:X$5)&lt;LQ_B+(PISLag+($E$5:X$5&gt;LastHist)*(GPULead-1)))*($E$5:X$5&lt;=IMPE_B))/LQ_B</f>
        <v>1381.41330021501</v>
      </c>
      <c r="Y42" s="123" t="n">
        <f aca="false">SUMPRODUCT($E$24:Y$24,((Y$5-$E$5:Y$5)&gt;=(PISLag+($E$5:Y$5&gt;LastHist)*(GPULead-1)))*((Y$5-$E$5:Y$5)&lt;LQ_B+(PISLag+($E$5:Y$5&gt;LastHist)*(GPULead-1)))*($E$5:Y$5&lt;=IMPE_B))/LQ_B</f>
        <v>1381.41330021501</v>
      </c>
      <c r="Z42" s="123" t="n">
        <f aca="false">SUMPRODUCT($E$24:Z$24,((Z$5-$E$5:Z$5)&gt;=(PISLag+($E$5:Z$5&gt;LastHist)*(GPULead-1)))*((Z$5-$E$5:Z$5)&lt;LQ_B+(PISLag+($E$5:Z$5&gt;LastHist)*(GPULead-1)))*($E$5:Z$5&lt;=IMPE_B))/LQ_B</f>
        <v>1532.26827784365</v>
      </c>
      <c r="AA42" s="123" t="n">
        <f aca="false">SUMPRODUCT($E$24:AA$24,((AA$5-$E$5:AA$5)&gt;=(PISLag+($E$5:AA$5&gt;LastHist)*(GPULead-1)))*((AA$5-$E$5:AA$5)&lt;LQ_B+(PISLag+($E$5:AA$5&gt;LastHist)*(GPULead-1)))*($E$5:AA$5&lt;=IMPE_B))/LQ_B</f>
        <v>1532.26827784365</v>
      </c>
      <c r="AB42" s="123" t="n">
        <f aca="false">SUMPRODUCT($E$24:AB$24,((AB$5-$E$5:AB$5)&gt;=(PISLag+($E$5:AB$5&gt;LastHist)*(GPULead-1)))*((AB$5-$E$5:AB$5)&lt;LQ_B+(PISLag+($E$5:AB$5&gt;LastHist)*(GPULead-1)))*($E$5:AB$5&lt;=IMPE_B))/LQ_B</f>
        <v>1532.26827784365</v>
      </c>
      <c r="AC42" s="123" t="n">
        <f aca="false">SUMPRODUCT($E$24:AC$24,((AC$5-$E$5:AC$5)&gt;=(PISLag+($E$5:AC$5&gt;LastHist)*(GPULead-1)))*((AC$5-$E$5:AC$5)&lt;LQ_B+(PISLag+($E$5:AC$5&gt;LastHist)*(GPULead-1)))*($E$5:AC$5&lt;=IMPE_B))/LQ_B</f>
        <v>1532.26827784365</v>
      </c>
      <c r="AD42" s="123" t="n">
        <f aca="false">SUMPRODUCT($E$24:AD$24,((AD$5-$E$5:AD$5)&gt;=(PISLag+($E$5:AD$5&gt;LastHist)*(GPULead-1)))*((AD$5-$E$5:AD$5)&lt;LQ_B+(PISLag+($E$5:AD$5&gt;LastHist)*(GPULead-1)))*($E$5:AD$5&lt;=IMPE_B))/LQ_B</f>
        <v>1532.26827784365</v>
      </c>
      <c r="AE42" s="123" t="n">
        <f aca="false">SUMPRODUCT($E$24:AE$24,((AE$5-$E$5:AE$5)&gt;=(PISLag+($E$5:AE$5&gt;LastHist)*(GPULead-1)))*((AE$5-$E$5:AE$5)&lt;LQ_B+(PISLag+($E$5:AE$5&gt;LastHist)*(GPULead-1)))*($E$5:AE$5&lt;=IMPE_B))/LQ_B</f>
        <v>1523.56427784365</v>
      </c>
      <c r="AF42" s="123" t="n">
        <f aca="false">SUMPRODUCT($E$24:AF$24,((AF$5-$E$5:AF$5)&gt;=(PISLag+($E$5:AF$5&gt;LastHist)*(GPULead-1)))*((AF$5-$E$5:AF$5)&lt;LQ_B+(PISLag+($E$5:AF$5&gt;LastHist)*(GPULead-1)))*($E$5:AF$5&lt;=IMPE_B))/LQ_B</f>
        <v>1515.39467784365</v>
      </c>
      <c r="AG42" s="123" t="n">
        <f aca="false">SUMPRODUCT($E$24:AG$24,((AG$5-$E$5:AG$5)&gt;=(PISLag+($E$5:AG$5&gt;LastHist)*(GPULead-1)))*((AG$5-$E$5:AG$5)&lt;LQ_B+(PISLag+($E$5:AG$5&gt;LastHist)*(GPULead-1)))*($E$5:AG$5&lt;=IMPE_B))/LQ_B</f>
        <v>1500.10667784365</v>
      </c>
      <c r="AI42" s="123" t="n">
        <f aca="false">SUMIF($F$7:$AG$7,AI$7,$F42:$AG42)</f>
        <v>0</v>
      </c>
      <c r="AJ42" s="123" t="n">
        <f aca="false">SUMIF($F$7:$AG$7,AJ$7,$F42:$AG42)</f>
        <v>57.7392</v>
      </c>
      <c r="AK42" s="123" t="n">
        <f aca="false">SUMIF($F$7:$AG$7,AK$7,$F42:$AG42)</f>
        <v>934.6364</v>
      </c>
      <c r="AL42" s="123" t="n">
        <f aca="false">SUMIF($F$7:$AG$7,AL$7,$F42:$AG42)</f>
        <v>3406.45630088054</v>
      </c>
      <c r="AM42" s="123" t="n">
        <f aca="false">SUMIF($F$7:$AG$7,AM$7,$F42:$AG42)</f>
        <v>5525.65320086006</v>
      </c>
      <c r="AN42" s="123" t="n">
        <f aca="false">SUMIF($F$7:$AG$7,AN$7,$F42:$AG42)</f>
        <v>6129.0731113746</v>
      </c>
      <c r="AO42" s="123" t="n">
        <f aca="false">SUMIF($F$7:$AG$7,AO$7,$F42:$AG42)</f>
        <v>6071.3339113746</v>
      </c>
    </row>
    <row r="43" customFormat="false" ht="15" hidden="false" customHeight="false" outlineLevel="0" collapsed="false">
      <c r="A43" s="104" t="s">
        <v>1952</v>
      </c>
      <c r="B43" s="20" t="s">
        <v>561</v>
      </c>
      <c r="C43" s="20" t="s">
        <v>495</v>
      </c>
      <c r="D43" s="20"/>
      <c r="F43" s="122" t="n">
        <f aca="false">SUMPRODUCT($E$24:F$24,((F$5-$E$5:F$5)&gt;=(PISLag+($E$5:F$5&gt;LastHist)*(GPULead-1)))*((F$5-$E$5:F$5)&lt;LQ_B+(PISLag+($E$5:F$5&gt;LastHist)*(GPULead-1)))*($E$5:F$5&gt;IMPE_B))/LQ_B</f>
        <v>0</v>
      </c>
      <c r="G43" s="122" t="n">
        <f aca="false">SUMPRODUCT($E$24:G$24,((G$5-$E$5:G$5)&gt;=(PISLag+($E$5:G$5&gt;LastHist)*(GPULead-1)))*((G$5-$E$5:G$5)&lt;LQ_B+(PISLag+($E$5:G$5&gt;LastHist)*(GPULead-1)))*($E$5:G$5&gt;IMPE_B))/LQ_B</f>
        <v>0</v>
      </c>
      <c r="H43" s="122" t="n">
        <f aca="false">SUMPRODUCT($E$24:H$24,((H$5-$E$5:H$5)&gt;=(PISLag+($E$5:H$5&gt;LastHist)*(GPULead-1)))*((H$5-$E$5:H$5)&lt;LQ_B+(PISLag+($E$5:H$5&gt;LastHist)*(GPULead-1)))*($E$5:H$5&gt;IMPE_B))/LQ_B</f>
        <v>0</v>
      </c>
      <c r="I43" s="122" t="n">
        <f aca="false">SUMPRODUCT($E$24:I$24,((I$5-$E$5:I$5)&gt;=(PISLag+($E$5:I$5&gt;LastHist)*(GPULead-1)))*((I$5-$E$5:I$5)&lt;LQ_B+(PISLag+($E$5:I$5&gt;LastHist)*(GPULead-1)))*($E$5:I$5&gt;IMPE_B))/LQ_B</f>
        <v>0</v>
      </c>
      <c r="J43" s="122" t="n">
        <f aca="false">SUMPRODUCT($E$24:J$24,((J$5-$E$5:J$5)&gt;=(PISLag+($E$5:J$5&gt;LastHist)*(GPULead-1)))*((J$5-$E$5:J$5)&lt;LQ_B+(PISLag+($E$5:J$5&gt;LastHist)*(GPULead-1)))*($E$5:J$5&gt;IMPE_B))/LQ_B</f>
        <v>0</v>
      </c>
      <c r="K43" s="122" t="n">
        <f aca="false">SUMPRODUCT($E$24:K$24,((K$5-$E$5:K$5)&gt;=(PISLag+($E$5:K$5&gt;LastHist)*(GPULead-1)))*((K$5-$E$5:K$5)&lt;LQ_B+(PISLag+($E$5:K$5&gt;LastHist)*(GPULead-1)))*($E$5:K$5&gt;IMPE_B))/LQ_B</f>
        <v>0</v>
      </c>
      <c r="L43" s="122" t="n">
        <f aca="false">SUMPRODUCT($E$24:L$24,((L$5-$E$5:L$5)&gt;=(PISLag+($E$5:L$5&gt;LastHist)*(GPULead-1)))*((L$5-$E$5:L$5)&lt;LQ_B+(PISLag+($E$5:L$5&gt;LastHist)*(GPULead-1)))*($E$5:L$5&gt;IMPE_B))/LQ_B</f>
        <v>0</v>
      </c>
      <c r="M43" s="122" t="n">
        <f aca="false">SUMPRODUCT($E$24:M$24,((M$5-$E$5:M$5)&gt;=(PISLag+($E$5:M$5&gt;LastHist)*(GPULead-1)))*((M$5-$E$5:M$5)&lt;LQ_B+(PISLag+($E$5:M$5&gt;LastHist)*(GPULead-1)))*($E$5:M$5&gt;IMPE_B))/LQ_B</f>
        <v>0</v>
      </c>
      <c r="N43" s="122" t="n">
        <f aca="false">SUMPRODUCT($E$24:N$24,((N$5-$E$5:N$5)&gt;=(PISLag+($E$5:N$5&gt;LastHist)*(GPULead-1)))*((N$5-$E$5:N$5)&lt;LQ_B+(PISLag+($E$5:N$5&gt;LastHist)*(GPULead-1)))*($E$5:N$5&gt;IMPE_B))/LQ_B</f>
        <v>0</v>
      </c>
      <c r="O43" s="122" t="n">
        <f aca="false">SUMPRODUCT($E$24:O$24,((O$5-$E$5:O$5)&gt;=(PISLag+($E$5:O$5&gt;LastHist)*(GPULead-1)))*((O$5-$E$5:O$5)&lt;LQ_B+(PISLag+($E$5:O$5&gt;LastHist)*(GPULead-1)))*($E$5:O$5&gt;IMPE_B))/LQ_B</f>
        <v>0</v>
      </c>
      <c r="P43" s="123" t="n">
        <f aca="false">SUMPRODUCT($E$24:P$24,((P$5-$E$5:P$5)&gt;=(PISLag+($E$5:P$5&gt;LastHist)*(GPULead-1)))*((P$5-$E$5:P$5)&lt;LQ_B+(PISLag+($E$5:P$5&gt;LastHist)*(GPULead-1)))*($E$5:P$5&gt;IMPE_B))/LQ_B</f>
        <v>0</v>
      </c>
      <c r="Q43" s="123" t="n">
        <f aca="false">SUMPRODUCT($E$24:Q$24,((Q$5-$E$5:Q$5)&gt;=(PISLag+($E$5:Q$5&gt;LastHist)*(GPULead-1)))*((Q$5-$E$5:Q$5)&lt;LQ_B+(PISLag+($E$5:Q$5&gt;LastHist)*(GPULead-1)))*($E$5:Q$5&gt;IMPE_B))/LQ_B</f>
        <v>0</v>
      </c>
      <c r="R43" s="123" t="n">
        <f aca="false">SUMPRODUCT($E$24:R$24,((R$5-$E$5:R$5)&gt;=(PISLag+($E$5:R$5&gt;LastHist)*(GPULead-1)))*((R$5-$E$5:R$5)&lt;LQ_B+(PISLag+($E$5:R$5&gt;LastHist)*(GPULead-1)))*($E$5:R$5&gt;IMPE_B))/LQ_B</f>
        <v>0</v>
      </c>
      <c r="S43" s="123" t="n">
        <f aca="false">SUMPRODUCT($E$24:S$24,((S$5-$E$5:S$5)&gt;=(PISLag+($E$5:S$5&gt;LastHist)*(GPULead-1)))*((S$5-$E$5:S$5)&lt;LQ_B+(PISLag+($E$5:S$5&gt;LastHist)*(GPULead-1)))*($E$5:S$5&gt;IMPE_B))/LQ_B</f>
        <v>0</v>
      </c>
      <c r="T43" s="123" t="n">
        <f aca="false">SUMPRODUCT($E$24:T$24,((T$5-$E$5:T$5)&gt;=(PISLag+($E$5:T$5&gt;LastHist)*(GPULead-1)))*((T$5-$E$5:T$5)&lt;LQ_B+(PISLag+($E$5:T$5&gt;LastHist)*(GPULead-1)))*($E$5:T$5&gt;IMPE_B))/LQ_B</f>
        <v>0</v>
      </c>
      <c r="U43" s="123" t="n">
        <f aca="false">SUMPRODUCT($E$24:U$24,((U$5-$E$5:U$5)&gt;=(PISLag+($E$5:U$5&gt;LastHist)*(GPULead-1)))*((U$5-$E$5:U$5)&lt;LQ_B+(PISLag+($E$5:U$5&gt;LastHist)*(GPULead-1)))*($E$5:U$5&gt;IMPE_B))/LQ_B</f>
        <v>0</v>
      </c>
      <c r="V43" s="123" t="n">
        <f aca="false">SUMPRODUCT($E$24:V$24,((V$5-$E$5:V$5)&gt;=(PISLag+($E$5:V$5&gt;LastHist)*(GPULead-1)))*((V$5-$E$5:V$5)&lt;LQ_B+(PISLag+($E$5:V$5&gt;LastHist)*(GPULead-1)))*($E$5:V$5&gt;IMPE_B))/LQ_B</f>
        <v>0</v>
      </c>
      <c r="W43" s="123" t="n">
        <f aca="false">SUMPRODUCT($E$24:W$24,((W$5-$E$5:W$5)&gt;=(PISLag+($E$5:W$5&gt;LastHist)*(GPULead-1)))*((W$5-$E$5:W$5)&lt;LQ_B+(PISLag+($E$5:W$5&gt;LastHist)*(GPULead-1)))*($E$5:W$5&gt;IMPE_B))/LQ_B</f>
        <v>0</v>
      </c>
      <c r="X43" s="123" t="n">
        <f aca="false">SUMPRODUCT($E$24:X$24,((X$5-$E$5:X$5)&gt;=(PISLag+($E$5:X$5&gt;LastHist)*(GPULead-1)))*((X$5-$E$5:X$5)&lt;LQ_B+(PISLag+($E$5:X$5&gt;LastHist)*(GPULead-1)))*($E$5:X$5&gt;IMPE_B))/LQ_B</f>
        <v>0</v>
      </c>
      <c r="Y43" s="123" t="n">
        <f aca="false">SUMPRODUCT($E$24:Y$24,((Y$5-$E$5:Y$5)&gt;=(PISLag+($E$5:Y$5&gt;LastHist)*(GPULead-1)))*((Y$5-$E$5:Y$5)&lt;LQ_B+(PISLag+($E$5:Y$5&gt;LastHist)*(GPULead-1)))*($E$5:Y$5&gt;IMPE_B))/LQ_B</f>
        <v>0</v>
      </c>
      <c r="Z43" s="123" t="n">
        <f aca="false">SUMPRODUCT($E$24:Z$24,((Z$5-$E$5:Z$5)&gt;=(PISLag+($E$5:Z$5&gt;LastHist)*(GPULead-1)))*((Z$5-$E$5:Z$5)&lt;LQ_B+(PISLag+($E$5:Z$5&gt;LastHist)*(GPULead-1)))*($E$5:Z$5&gt;IMPE_B))/LQ_B</f>
        <v>0</v>
      </c>
      <c r="AA43" s="123" t="n">
        <f aca="false">SUMPRODUCT($E$24:AA$24,((AA$5-$E$5:AA$5)&gt;=(PISLag+($E$5:AA$5&gt;LastHist)*(GPULead-1)))*((AA$5-$E$5:AA$5)&lt;LQ_B+(PISLag+($E$5:AA$5&gt;LastHist)*(GPULead-1)))*($E$5:AA$5&gt;IMPE_B))/LQ_B</f>
        <v>0</v>
      </c>
      <c r="AB43" s="123" t="n">
        <f aca="false">SUMPRODUCT($E$24:AB$24,((AB$5-$E$5:AB$5)&gt;=(PISLag+($E$5:AB$5&gt;LastHist)*(GPULead-1)))*((AB$5-$E$5:AB$5)&lt;LQ_B+(PISLag+($E$5:AB$5&gt;LastHist)*(GPULead-1)))*($E$5:AB$5&gt;IMPE_B))/LQ_B</f>
        <v>0</v>
      </c>
      <c r="AC43" s="123" t="n">
        <f aca="false">SUMPRODUCT($E$24:AC$24,((AC$5-$E$5:AC$5)&gt;=(PISLag+($E$5:AC$5&gt;LastHist)*(GPULead-1)))*((AC$5-$E$5:AC$5)&lt;LQ_B+(PISLag+($E$5:AC$5&gt;LastHist)*(GPULead-1)))*($E$5:AC$5&gt;IMPE_B))/LQ_B</f>
        <v>0</v>
      </c>
      <c r="AD43" s="123" t="n">
        <f aca="false">SUMPRODUCT($E$24:AD$24,((AD$5-$E$5:AD$5)&gt;=(PISLag+($E$5:AD$5&gt;LastHist)*(GPULead-1)))*((AD$5-$E$5:AD$5)&lt;LQ_B+(PISLag+($E$5:AD$5&gt;LastHist)*(GPULead-1)))*($E$5:AD$5&gt;IMPE_B))/LQ_B</f>
        <v>0</v>
      </c>
      <c r="AE43" s="123" t="n">
        <f aca="false">SUMPRODUCT($E$24:AE$24,((AE$5-$E$5:AE$5)&gt;=(PISLag+($E$5:AE$5&gt;LastHist)*(GPULead-1)))*((AE$5-$E$5:AE$5)&lt;LQ_B+(PISLag+($E$5:AE$5&gt;LastHist)*(GPULead-1)))*($E$5:AE$5&gt;IMPE_B))/LQ_B</f>
        <v>0</v>
      </c>
      <c r="AF43" s="123" t="n">
        <f aca="false">SUMPRODUCT($E$24:AF$24,((AF$5-$E$5:AF$5)&gt;=(PISLag+($E$5:AF$5&gt;LastHist)*(GPULead-1)))*((AF$5-$E$5:AF$5)&lt;LQ_B+(PISLag+($E$5:AF$5&gt;LastHist)*(GPULead-1)))*($E$5:AF$5&gt;IMPE_B))/LQ_B</f>
        <v>0</v>
      </c>
      <c r="AG43" s="123" t="n">
        <f aca="false">SUMPRODUCT($E$24:AG$24,((AG$5-$E$5:AG$5)&gt;=(PISLag+($E$5:AG$5&gt;LastHist)*(GPULead-1)))*((AG$5-$E$5:AG$5)&lt;LQ_B+(PISLag+($E$5:AG$5&gt;LastHist)*(GPULead-1)))*($E$5:AG$5&gt;IMPE_B))/LQ_B</f>
        <v>0</v>
      </c>
      <c r="AI43" s="123" t="n">
        <f aca="false">SUMIF($F$7:$AG$7,AI$7,$F43:$AG43)</f>
        <v>0</v>
      </c>
      <c r="AJ43" s="123" t="n">
        <f aca="false">SUMIF($F$7:$AG$7,AJ$7,$F43:$AG43)</f>
        <v>0</v>
      </c>
      <c r="AK43" s="123" t="n">
        <f aca="false">SUMIF($F$7:$AG$7,AK$7,$F43:$AG43)</f>
        <v>0</v>
      </c>
      <c r="AL43" s="123" t="n">
        <f aca="false">SUMIF($F$7:$AG$7,AL$7,$F43:$AG43)</f>
        <v>0</v>
      </c>
      <c r="AM43" s="123" t="n">
        <f aca="false">SUMIF($F$7:$AG$7,AM$7,$F43:$AG43)</f>
        <v>0</v>
      </c>
      <c r="AN43" s="123" t="n">
        <f aca="false">SUMIF($F$7:$AG$7,AN$7,$F43:$AG43)</f>
        <v>0</v>
      </c>
      <c r="AO43" s="123" t="n">
        <f aca="false">SUMIF($F$7:$AG$7,AO$7,$F43:$AG43)</f>
        <v>0</v>
      </c>
    </row>
    <row r="44" customFormat="false" ht="15" hidden="false" customHeight="false" outlineLevel="0" collapsed="false">
      <c r="A44" s="3" t="s">
        <v>1953</v>
      </c>
      <c r="B44" s="20" t="s">
        <v>561</v>
      </c>
      <c r="C44" s="20" t="s">
        <v>495</v>
      </c>
      <c r="D44" s="20"/>
      <c r="F44" s="124" t="n">
        <f aca="false">F42*(1-ImpPct_B*(F$5&gt;IMPE_B))+F43</f>
        <v>0</v>
      </c>
      <c r="G44" s="124" t="n">
        <f aca="false">G42*(1-ImpPct_B*(G$5&gt;IMPE_B))+G43</f>
        <v>0</v>
      </c>
      <c r="H44" s="124" t="n">
        <f aca="false">H42*(1-ImpPct_B*(H$5&gt;IMPE_B))+H43</f>
        <v>0</v>
      </c>
      <c r="I44" s="124" t="n">
        <f aca="false">I42*(1-ImpPct_B*(I$5&gt;IMPE_B))+I43</f>
        <v>0</v>
      </c>
      <c r="J44" s="124" t="n">
        <f aca="false">J42*(1-ImpPct_B*(J$5&gt;IMPE_B))+J43</f>
        <v>0</v>
      </c>
      <c r="K44" s="124" t="n">
        <f aca="false">K42*(1-ImpPct_B*(K$5&gt;IMPE_B))+K43</f>
        <v>8.704</v>
      </c>
      <c r="L44" s="124" t="n">
        <f aca="false">L42*(1-ImpPct_B*(L$5&gt;IMPE_B))+L43</f>
        <v>16.8736</v>
      </c>
      <c r="M44" s="124" t="n">
        <f aca="false">M42*(1-ImpPct_B*(M$5&gt;IMPE_B))+M43</f>
        <v>32.1616</v>
      </c>
      <c r="N44" s="124" t="n">
        <f aca="false">N42*(1-ImpPct_B*(N$5&gt;IMPE_B))+N43</f>
        <v>65.0576</v>
      </c>
      <c r="O44" s="124" t="n">
        <f aca="false">O42*(1-ImpPct_B*(O$5&gt;IMPE_B))+O43</f>
        <v>154.082</v>
      </c>
      <c r="P44" s="96" t="n">
        <f aca="false">P42*(1-ImpPct_B*(P$5&gt;IMPE_B))+P43</f>
        <v>357.7484</v>
      </c>
      <c r="Q44" s="96" t="n">
        <f aca="false">Q42*(1-ImpPct_B*(Q$5&gt;IMPE_B))+Q43</f>
        <v>357.7484</v>
      </c>
      <c r="R44" s="96" t="n">
        <f aca="false">R42*(1-ImpPct_B*(R$5&gt;IMPE_B))+R43</f>
        <v>526.4584</v>
      </c>
      <c r="S44" s="96" t="n">
        <f aca="false">S42*(1-ImpPct_B*(S$5&gt;IMPE_B))+S43</f>
        <v>759.035663279049</v>
      </c>
      <c r="T44" s="96" t="n">
        <f aca="false">T42*(1-ImpPct_B*(T$5&gt;IMPE_B))+T43</f>
        <v>991.544358148536</v>
      </c>
      <c r="U44" s="96" t="n">
        <f aca="false">U42*(1-ImpPct_B*(U$5&gt;IMPE_B))+U43</f>
        <v>1129.41787945296</v>
      </c>
      <c r="V44" s="96" t="n">
        <f aca="false">V42*(1-ImpPct_B*(V$5&gt;IMPE_B))+V43</f>
        <v>1381.41330021501</v>
      </c>
      <c r="W44" s="96" t="n">
        <f aca="false">W42*(1-ImpPct_B*(W$5&gt;IMPE_B))+W43</f>
        <v>1381.41330021501</v>
      </c>
      <c r="X44" s="96" t="n">
        <f aca="false">X42*(1-ImpPct_B*(X$5&gt;IMPE_B))+X43</f>
        <v>1381.41330021501</v>
      </c>
      <c r="Y44" s="96" t="n">
        <f aca="false">Y42*(1-ImpPct_B*(Y$5&gt;IMPE_B))+Y43</f>
        <v>1381.41330021501</v>
      </c>
      <c r="Z44" s="96" t="n">
        <f aca="false">Z42*(1-ImpPct_B*(Z$5&gt;IMPE_B))+Z43</f>
        <v>1532.26827784365</v>
      </c>
      <c r="AA44" s="96" t="n">
        <f aca="false">AA42*(1-ImpPct_B*(AA$5&gt;IMPE_B))+AA43</f>
        <v>1532.26827784365</v>
      </c>
      <c r="AB44" s="96" t="n">
        <f aca="false">AB42*(1-ImpPct_B*(AB$5&gt;IMPE_B))+AB43</f>
        <v>1532.26827784365</v>
      </c>
      <c r="AC44" s="96" t="n">
        <f aca="false">AC42*(1-ImpPct_B*(AC$5&gt;IMPE_B))+AC43</f>
        <v>1532.26827784365</v>
      </c>
      <c r="AD44" s="96" t="n">
        <f aca="false">AD42*(1-ImpPct_B*(AD$5&gt;IMPE_B))+AD43</f>
        <v>1532.26827784365</v>
      </c>
      <c r="AE44" s="96" t="n">
        <f aca="false">AE42*(1-ImpPct_B*(AE$5&gt;IMPE_B))+AE43</f>
        <v>1523.56427784365</v>
      </c>
      <c r="AF44" s="96" t="n">
        <f aca="false">AF42*(1-ImpPct_B*(AF$5&gt;IMPE_B))+AF43</f>
        <v>1515.39467784365</v>
      </c>
      <c r="AG44" s="96" t="n">
        <f aca="false">AG42*(1-ImpPct_B*(AG$5&gt;IMPE_B))+AG43</f>
        <v>1500.10667784365</v>
      </c>
      <c r="AI44" s="96" t="n">
        <f aca="false">SUMIF($F$7:$AG$7,AI$7,$F44:$AG44)</f>
        <v>0</v>
      </c>
      <c r="AJ44" s="96" t="n">
        <f aca="false">SUMIF($F$7:$AG$7,AJ$7,$F44:$AG44)</f>
        <v>57.7392</v>
      </c>
      <c r="AK44" s="96" t="n">
        <f aca="false">SUMIF($F$7:$AG$7,AK$7,$F44:$AG44)</f>
        <v>934.6364</v>
      </c>
      <c r="AL44" s="96" t="n">
        <f aca="false">SUMIF($F$7:$AG$7,AL$7,$F44:$AG44)</f>
        <v>3406.45630088054</v>
      </c>
      <c r="AM44" s="96" t="n">
        <f aca="false">SUMIF($F$7:$AG$7,AM$7,$F44:$AG44)</f>
        <v>5525.65320086006</v>
      </c>
      <c r="AN44" s="96" t="n">
        <f aca="false">SUMIF($F$7:$AG$7,AN$7,$F44:$AG44)</f>
        <v>6129.0731113746</v>
      </c>
      <c r="AO44" s="96" t="n">
        <f aca="false">SUMIF($F$7:$AG$7,AO$7,$F44:$AG44)</f>
        <v>6071.3339113746</v>
      </c>
    </row>
    <row r="45" customFormat="false" ht="15" hidden="false" customHeight="false" outlineLevel="0" collapsed="false">
      <c r="A45" s="104" t="s">
        <v>1954</v>
      </c>
      <c r="B45" s="20" t="s">
        <v>561</v>
      </c>
      <c r="C45" s="20" t="s">
        <v>506</v>
      </c>
      <c r="D45" s="20"/>
      <c r="F45" s="122" t="n">
        <f aca="false">IF(F$5=IMPE_B,ImpPct_B*(SUMPRODUCT($E$24:F$24,--($E$5:F$5&lt;=IMPE_B))-SUM($F$42:F$42)),0)</f>
        <v>0</v>
      </c>
      <c r="G45" s="122" t="n">
        <f aca="false">IF(G$5=IMPE_B,ImpPct_B*(SUMPRODUCT($E$24:G$24,--($E$5:G$5&lt;=IMPE_B))-SUM($F$42:G$42)),0)</f>
        <v>0</v>
      </c>
      <c r="H45" s="122" t="n">
        <f aca="false">IF(H$5=IMPE_B,ImpPct_B*(SUMPRODUCT($E$24:H$24,--($E$5:H$5&lt;=IMPE_B))-SUM($F$42:H$42)),0)</f>
        <v>0</v>
      </c>
      <c r="I45" s="122" t="n">
        <f aca="false">IF(I$5=IMPE_B,ImpPct_B*(SUMPRODUCT($E$24:I$24,--($E$5:I$5&lt;=IMPE_B))-SUM($F$42:I$42)),0)</f>
        <v>0</v>
      </c>
      <c r="J45" s="122" t="n">
        <f aca="false">IF(J$5=IMPE_B,ImpPct_B*(SUMPRODUCT($E$24:J$24,--($E$5:J$5&lt;=IMPE_B))-SUM($F$42:J$42)),0)</f>
        <v>0</v>
      </c>
      <c r="K45" s="122" t="n">
        <f aca="false">IF(K$5=IMPE_B,ImpPct_B*(SUMPRODUCT($E$24:K$24,--($E$5:K$5&lt;=IMPE_B))-SUM($F$42:K$42)),0)</f>
        <v>0</v>
      </c>
      <c r="L45" s="122" t="n">
        <f aca="false">IF(L$5=IMPE_B,ImpPct_B*(SUMPRODUCT($E$24:L$24,--($E$5:L$5&lt;=IMPE_B))-SUM($F$42:L$42)),0)</f>
        <v>0</v>
      </c>
      <c r="M45" s="122" t="n">
        <f aca="false">IF(M$5=IMPE_B,ImpPct_B*(SUMPRODUCT($E$24:M$24,--($E$5:M$5&lt;=IMPE_B))-SUM($F$42:M$42)),0)</f>
        <v>0</v>
      </c>
      <c r="N45" s="122" t="n">
        <f aca="false">IF(N$5=IMPE_B,ImpPct_B*(SUMPRODUCT($E$24:N$24,--($E$5:N$5&lt;=IMPE_B))-SUM($F$42:N$42)),0)</f>
        <v>0</v>
      </c>
      <c r="O45" s="122" t="n">
        <f aca="false">IF(O$5=IMPE_B,ImpPct_B*(SUMPRODUCT($E$24:O$24,--($E$5:O$5&lt;=IMPE_B))-SUM($F$42:O$42)),0)</f>
        <v>0</v>
      </c>
      <c r="P45" s="123" t="n">
        <f aca="false">IF(P$5=IMPE_B,ImpPct_B*(SUMPRODUCT($E$24:P$24,--($E$5:P$5&lt;=IMPE_B))-SUM($F$42:P$42)),0)</f>
        <v>0</v>
      </c>
      <c r="Q45" s="123" t="n">
        <f aca="false">IF(Q$5=IMPE_B,ImpPct_B*(SUMPRODUCT($E$24:Q$24,--($E$5:Q$5&lt;=IMPE_B))-SUM($F$42:Q$42)),0)</f>
        <v>0</v>
      </c>
      <c r="R45" s="123" t="n">
        <f aca="false">IF(R$5=IMPE_B,ImpPct_B*(SUMPRODUCT($E$24:R$24,--($E$5:R$5&lt;=IMPE_B))-SUM($F$42:R$42)),0)</f>
        <v>0</v>
      </c>
      <c r="S45" s="123" t="n">
        <f aca="false">IF(S$5=IMPE_B,ImpPct_B*(SUMPRODUCT($E$24:S$24,--($E$5:S$5&lt;=IMPE_B))-SUM($F$42:S$42)),0)</f>
        <v>0</v>
      </c>
      <c r="T45" s="123" t="n">
        <f aca="false">IF(T$5=IMPE_B,ImpPct_B*(SUMPRODUCT($E$24:T$24,--($E$5:T$5&lt;=IMPE_B))-SUM($F$42:T$42)),0)</f>
        <v>0</v>
      </c>
      <c r="U45" s="123" t="n">
        <f aca="false">IF(U$5=IMPE_B,ImpPct_B*(SUMPRODUCT($E$24:U$24,--($E$5:U$5&lt;=IMPE_B))-SUM($F$42:U$42)),0)</f>
        <v>0</v>
      </c>
      <c r="V45" s="123" t="n">
        <f aca="false">IF(V$5=IMPE_B,ImpPct_B*(SUMPRODUCT($E$24:V$24,--($E$5:V$5&lt;=IMPE_B))-SUM($F$42:V$42)),0)</f>
        <v>0</v>
      </c>
      <c r="W45" s="123" t="n">
        <f aca="false">IF(W$5=IMPE_B,ImpPct_B*(SUMPRODUCT($E$24:W$24,--($E$5:W$5&lt;=IMPE_B))-SUM($F$42:W$42)),0)</f>
        <v>0</v>
      </c>
      <c r="X45" s="123" t="n">
        <f aca="false">IF(X$5=IMPE_B,ImpPct_B*(SUMPRODUCT($E$24:X$24,--($E$5:X$5&lt;=IMPE_B))-SUM($F$42:X$42)),0)</f>
        <v>0</v>
      </c>
      <c r="Y45" s="123" t="n">
        <f aca="false">IF(Y$5=IMPE_B,ImpPct_B*(SUMPRODUCT($E$24:Y$24,--($E$5:Y$5&lt;=IMPE_B))-SUM($F$42:Y$42)),0)</f>
        <v>0</v>
      </c>
      <c r="Z45" s="123" t="n">
        <f aca="false">IF(Z$5=IMPE_B,ImpPct_B*(SUMPRODUCT($E$24:Z$24,--($E$5:Z$5&lt;=IMPE_B))-SUM($F$42:Z$42)),0)</f>
        <v>0</v>
      </c>
      <c r="AA45" s="123" t="n">
        <f aca="false">IF(AA$5=IMPE_B,ImpPct_B*(SUMPRODUCT($E$24:AA$24,--($E$5:AA$5&lt;=IMPE_B))-SUM($F$42:AA$42)),0)</f>
        <v>0</v>
      </c>
      <c r="AB45" s="123" t="n">
        <f aca="false">IF(AB$5=IMPE_B,ImpPct_B*(SUMPRODUCT($E$24:AB$24,--($E$5:AB$5&lt;=IMPE_B))-SUM($F$42:AB$42)),0)</f>
        <v>0</v>
      </c>
      <c r="AC45" s="123" t="n">
        <f aca="false">IF(AC$5=IMPE_B,ImpPct_B*(SUMPRODUCT($E$24:AC$24,--($E$5:AC$5&lt;=IMPE_B))-SUM($F$42:AC$42)),0)</f>
        <v>0</v>
      </c>
      <c r="AD45" s="123" t="n">
        <f aca="false">IF(AD$5=IMPE_B,ImpPct_B*(SUMPRODUCT($E$24:AD$24,--($E$5:AD$5&lt;=IMPE_B))-SUM($F$42:AD$42)),0)</f>
        <v>0</v>
      </c>
      <c r="AE45" s="123" t="n">
        <f aca="false">IF(AE$5=IMPE_B,ImpPct_B*(SUMPRODUCT($E$24:AE$24,--($E$5:AE$5&lt;=IMPE_B))-SUM($F$42:AE$42)),0)</f>
        <v>0</v>
      </c>
      <c r="AF45" s="123" t="n">
        <f aca="false">IF(AF$5=IMPE_B,ImpPct_B*(SUMPRODUCT($E$24:AF$24,--($E$5:AF$5&lt;=IMPE_B))-SUM($F$42:AF$42)),0)</f>
        <v>0</v>
      </c>
      <c r="AG45" s="123" t="n">
        <f aca="false">IF(AG$5=IMPE_B,ImpPct_B*(SUMPRODUCT($E$24:AG$24,--($E$5:AG$5&lt;=IMPE_B))-SUM($F$42:AG$42)),0)</f>
        <v>0</v>
      </c>
      <c r="AI45" s="123" t="n">
        <f aca="false">SUMIF($F$7:$AG$7,AI$7,$F45:$AG45)</f>
        <v>0</v>
      </c>
      <c r="AJ45" s="123" t="n">
        <f aca="false">SUMIF($F$7:$AG$7,AJ$7,$F45:$AG45)</f>
        <v>0</v>
      </c>
      <c r="AK45" s="123" t="n">
        <f aca="false">SUMIF($F$7:$AG$7,AK$7,$F45:$AG45)</f>
        <v>0</v>
      </c>
      <c r="AL45" s="123" t="n">
        <f aca="false">SUMIF($F$7:$AG$7,AL$7,$F45:$AG45)</f>
        <v>0</v>
      </c>
      <c r="AM45" s="123" t="n">
        <f aca="false">SUMIF($F$7:$AG$7,AM$7,$F45:$AG45)</f>
        <v>0</v>
      </c>
      <c r="AN45" s="123" t="n">
        <f aca="false">SUMIF($F$7:$AG$7,AN$7,$F45:$AG45)</f>
        <v>0</v>
      </c>
      <c r="AO45" s="123" t="n">
        <f aca="false">SUMIF($F$7:$AG$7,AO$7,$F45:$AG45)</f>
        <v>0</v>
      </c>
    </row>
    <row r="46" customFormat="false" ht="15" hidden="false" customHeight="false" outlineLevel="0" collapsed="false">
      <c r="A46" s="104" t="s">
        <v>1955</v>
      </c>
      <c r="B46" s="20" t="s">
        <v>561</v>
      </c>
      <c r="C46" s="20" t="s">
        <v>495</v>
      </c>
      <c r="D46" s="20"/>
      <c r="E46" s="123" t="n">
        <f aca="false">E24</f>
        <v>0</v>
      </c>
      <c r="F46" s="122" t="n">
        <f aca="false">E46+F24-F44-F45</f>
        <v>0</v>
      </c>
      <c r="G46" s="122" t="n">
        <f aca="false">F46+G24-G44-G45</f>
        <v>0</v>
      </c>
      <c r="H46" s="122" t="n">
        <f aca="false">G46+H24-H44-H45</f>
        <v>0</v>
      </c>
      <c r="I46" s="122" t="n">
        <f aca="false">H46+I24-I44-I45</f>
        <v>0</v>
      </c>
      <c r="J46" s="122" t="n">
        <f aca="false">I46+J24-J44-J45</f>
        <v>174.08</v>
      </c>
      <c r="K46" s="122" t="n">
        <f aca="false">J46+K24-K44-K45</f>
        <v>328.768</v>
      </c>
      <c r="L46" s="122" t="n">
        <f aca="false">K46+L24-L44-L45</f>
        <v>617.6544</v>
      </c>
      <c r="M46" s="122" t="n">
        <f aca="false">L46+M24-M44-M45</f>
        <v>1243.4128</v>
      </c>
      <c r="N46" s="122" t="n">
        <f aca="false">M46+N24-N44-N45</f>
        <v>2958.8432</v>
      </c>
      <c r="O46" s="122" t="n">
        <f aca="false">N46+O24-O44-O45</f>
        <v>6878.0892</v>
      </c>
      <c r="P46" s="123" t="n">
        <f aca="false">O46+P24-P44-P45</f>
        <v>9894.5408</v>
      </c>
      <c r="Q46" s="123" t="n">
        <f aca="false">P46+Q24-Q44-Q45</f>
        <v>14188.337665581</v>
      </c>
      <c r="R46" s="123" t="n">
        <f aca="false">Q46+R24-R44-R45</f>
        <v>18312.0531629707</v>
      </c>
      <c r="S46" s="123" t="n">
        <f aca="false">R46+S24-S44-S45</f>
        <v>20310.4879257801</v>
      </c>
      <c r="T46" s="123" t="n">
        <f aca="false">S46+T24-T44-T45</f>
        <v>24358.8519828727</v>
      </c>
      <c r="U46" s="123" t="n">
        <f aca="false">T46+U24-U44-U45</f>
        <v>23229.4341034198</v>
      </c>
      <c r="V46" s="123" t="n">
        <f aca="false">U46+V24-V44-V45</f>
        <v>21848.0208032047</v>
      </c>
      <c r="W46" s="123" t="n">
        <f aca="false">V46+W24-W44-W45</f>
        <v>20466.6075029897</v>
      </c>
      <c r="X46" s="123" t="n">
        <f aca="false">W46+X24-X44-X45</f>
        <v>22102.2937553474</v>
      </c>
      <c r="Y46" s="123" t="n">
        <f aca="false">X46+Y24-Y44-Y45</f>
        <v>20720.8804551324</v>
      </c>
      <c r="Z46" s="123" t="n">
        <f aca="false">Y46+Z24-Z44-Z45</f>
        <v>19188.6121772887</v>
      </c>
      <c r="AA46" s="123" t="n">
        <f aca="false">Z46+AA24-AA44-AA45</f>
        <v>17656.3438994451</v>
      </c>
      <c r="AB46" s="123" t="n">
        <f aca="false">AA46+AB24-AB44-AB45</f>
        <v>16124.0756216014</v>
      </c>
      <c r="AC46" s="123" t="n">
        <f aca="false">AB46+AC24-AC44-AC45</f>
        <v>14591.8073437578</v>
      </c>
      <c r="AD46" s="123" t="n">
        <f aca="false">AC46+AD24-AD44-AD45</f>
        <v>13059.5390659141</v>
      </c>
      <c r="AE46" s="123" t="n">
        <f aca="false">AD46+AE24-AE44-AE45</f>
        <v>11535.9747880705</v>
      </c>
      <c r="AF46" s="123" t="n">
        <f aca="false">AE46+AF24-AF44-AF45</f>
        <v>10020.5801102268</v>
      </c>
      <c r="AG46" s="123" t="n">
        <f aca="false">AF46+AG24-AG44-AG45</f>
        <v>8520.47343238319</v>
      </c>
      <c r="AI46" s="123" t="n">
        <f aca="false">INDEX($F46:$AG46,1,MATCH(AI$7,$F$7:$AG$7,1))</f>
        <v>0</v>
      </c>
      <c r="AJ46" s="123" t="n">
        <f aca="false">INDEX($F46:$AG46,1,MATCH(AJ$7,$F$7:$AG$7,1))</f>
        <v>1243.4128</v>
      </c>
      <c r="AK46" s="123" t="n">
        <f aca="false">INDEX($F46:$AG46,1,MATCH(AK$7,$F$7:$AG$7,1))</f>
        <v>14188.337665581</v>
      </c>
      <c r="AL46" s="123" t="n">
        <f aca="false">INDEX($F46:$AG46,1,MATCH(AL$7,$F$7:$AG$7,1))</f>
        <v>23229.4341034198</v>
      </c>
      <c r="AM46" s="123" t="n">
        <f aca="false">INDEX($F46:$AG46,1,MATCH(AM$7,$F$7:$AG$7,1))</f>
        <v>20720.8804551324</v>
      </c>
      <c r="AN46" s="123" t="n">
        <f aca="false">INDEX($F46:$AG46,1,MATCH(AN$7,$F$7:$AG$7,1))</f>
        <v>14591.8073437578</v>
      </c>
      <c r="AO46" s="123" t="n">
        <f aca="false">INDEX($F46:$AG46,1,MATCH(AO$7,$F$7:$AG$7,1))</f>
        <v>8520.47343238319</v>
      </c>
    </row>
    <row r="47" customFormat="false" ht="15" hidden="false" customHeight="false" outlineLevel="0" collapsed="false">
      <c r="A47" s="104" t="s">
        <v>1956</v>
      </c>
      <c r="B47" s="20" t="s">
        <v>561</v>
      </c>
      <c r="C47" s="20" t="s">
        <v>495</v>
      </c>
      <c r="D47" s="20"/>
      <c r="F47" s="122" t="n">
        <f aca="false">SUMPRODUCT($E$25:F$25,((F$5-$E$5:F$5)&gt;=(PISLag+($E$5:F$5&gt;LastHist)*(GPULead-1)))*((F$5-$E$5:F$5)&lt;LQ_N+(PISLag+($E$5:F$5&gt;LastHist)*(GPULead-1)))*($E$5:F$5&lt;=IMPE_N))/LQ_N</f>
        <v>0</v>
      </c>
      <c r="G47" s="122" t="n">
        <f aca="false">SUMPRODUCT($E$25:G$25,((G$5-$E$5:G$5)&gt;=(PISLag+($E$5:G$5&gt;LastHist)*(GPULead-1)))*((G$5-$E$5:G$5)&lt;LQ_N+(PISLag+($E$5:G$5&gt;LastHist)*(GPULead-1)))*($E$5:G$5&lt;=IMPE_N))/LQ_N</f>
        <v>0</v>
      </c>
      <c r="H47" s="122" t="n">
        <f aca="false">SUMPRODUCT($E$25:H$25,((H$5-$E$5:H$5)&gt;=(PISLag+($E$5:H$5&gt;LastHist)*(GPULead-1)))*((H$5-$E$5:H$5)&lt;LQ_N+(PISLag+($E$5:H$5&gt;LastHist)*(GPULead-1)))*($E$5:H$5&lt;=IMPE_N))/LQ_N</f>
        <v>0</v>
      </c>
      <c r="I47" s="122" t="n">
        <f aca="false">SUMPRODUCT($E$25:I$25,((I$5-$E$5:I$5)&gt;=(PISLag+($E$5:I$5&gt;LastHist)*(GPULead-1)))*((I$5-$E$5:I$5)&lt;LQ_N+(PISLag+($E$5:I$5&gt;LastHist)*(GPULead-1)))*($E$5:I$5&lt;=IMPE_N))/LQ_N</f>
        <v>0</v>
      </c>
      <c r="J47" s="122" t="n">
        <f aca="false">SUMPRODUCT($E$25:J$25,((J$5-$E$5:J$5)&gt;=(PISLag+($E$5:J$5&gt;LastHist)*(GPULead-1)))*((J$5-$E$5:J$5)&lt;LQ_N+(PISLag+($E$5:J$5&gt;LastHist)*(GPULead-1)))*($E$5:J$5&lt;=IMPE_N))/LQ_N</f>
        <v>0</v>
      </c>
      <c r="K47" s="122" t="n">
        <f aca="false">SUMPRODUCT($E$25:K$25,((K$5-$E$5:K$5)&gt;=(PISLag+($E$5:K$5&gt;LastHist)*(GPULead-1)))*((K$5-$E$5:K$5)&lt;LQ_N+(PISLag+($E$5:K$5&gt;LastHist)*(GPULead-1)))*($E$5:K$5&lt;=IMPE_N))/LQ_N</f>
        <v>0</v>
      </c>
      <c r="L47" s="122" t="n">
        <f aca="false">SUMPRODUCT($E$25:L$25,((L$5-$E$5:L$5)&gt;=(PISLag+($E$5:L$5&gt;LastHist)*(GPULead-1)))*((L$5-$E$5:L$5)&lt;LQ_N+(PISLag+($E$5:L$5&gt;LastHist)*(GPULead-1)))*($E$5:L$5&lt;=IMPE_N))/LQ_N</f>
        <v>0</v>
      </c>
      <c r="M47" s="122" t="n">
        <f aca="false">SUMPRODUCT($E$25:M$25,((M$5-$E$5:M$5)&gt;=(PISLag+($E$5:M$5&gt;LastHist)*(GPULead-1)))*((M$5-$E$5:M$5)&lt;LQ_N+(PISLag+($E$5:M$5&gt;LastHist)*(GPULead-1)))*($E$5:M$5&lt;=IMPE_N))/LQ_N</f>
        <v>0</v>
      </c>
      <c r="N47" s="122" t="n">
        <f aca="false">SUMPRODUCT($E$25:N$25,((N$5-$E$5:N$5)&gt;=(PISLag+($E$5:N$5&gt;LastHist)*(GPULead-1)))*((N$5-$E$5:N$5)&lt;LQ_N+(PISLag+($E$5:N$5&gt;LastHist)*(GPULead-1)))*($E$5:N$5&lt;=IMPE_N))/LQ_N</f>
        <v>0</v>
      </c>
      <c r="O47" s="122" t="n">
        <f aca="false">SUMPRODUCT($E$25:O$25,((O$5-$E$5:O$5)&gt;=(PISLag+($E$5:O$5&gt;LastHist)*(GPULead-1)))*((O$5-$E$5:O$5)&lt;LQ_N+(PISLag+($E$5:O$5&gt;LastHist)*(GPULead-1)))*($E$5:O$5&lt;=IMPE_N))/LQ_N</f>
        <v>0</v>
      </c>
      <c r="P47" s="123" t="n">
        <f aca="false">SUMPRODUCT($E$25:P$25,((P$5-$E$5:P$5)&gt;=(PISLag+($E$5:P$5&gt;LastHist)*(GPULead-1)))*((P$5-$E$5:P$5)&lt;LQ_N+(PISLag+($E$5:P$5&gt;LastHist)*(GPULead-1)))*($E$5:P$5&lt;=IMPE_N))/LQ_N</f>
        <v>0</v>
      </c>
      <c r="Q47" s="123" t="n">
        <f aca="false">SUMPRODUCT($E$25:Q$25,((Q$5-$E$5:Q$5)&gt;=(PISLag+($E$5:Q$5&gt;LastHist)*(GPULead-1)))*((Q$5-$E$5:Q$5)&lt;LQ_N+(PISLag+($E$5:Q$5&gt;LastHist)*(GPULead-1)))*($E$5:Q$5&lt;=IMPE_N))/LQ_N</f>
        <v>0</v>
      </c>
      <c r="R47" s="123" t="n">
        <f aca="false">SUMPRODUCT($E$25:R$25,((R$5-$E$5:R$5)&gt;=(PISLag+($E$5:R$5&gt;LastHist)*(GPULead-1)))*((R$5-$E$5:R$5)&lt;LQ_N+(PISLag+($E$5:R$5&gt;LastHist)*(GPULead-1)))*($E$5:R$5&lt;=IMPE_N))/LQ_N</f>
        <v>0</v>
      </c>
      <c r="S47" s="123" t="n">
        <f aca="false">SUMPRODUCT($E$25:S$25,((S$5-$E$5:S$5)&gt;=(PISLag+($E$5:S$5&gt;LastHist)*(GPULead-1)))*((S$5-$E$5:S$5)&lt;LQ_N+(PISLag+($E$5:S$5&gt;LastHist)*(GPULead-1)))*($E$5:S$5&lt;=IMPE_N))/LQ_N</f>
        <v>14.147736720951</v>
      </c>
      <c r="T47" s="123" t="n">
        <f aca="false">SUMPRODUCT($E$25:T$25,((T$5-$E$5:T$5)&gt;=(PISLag+($E$5:T$5&gt;LastHist)*(GPULead-1)))*((T$5-$E$5:T$5)&lt;LQ_N+(PISLag+($E$5:T$5&gt;LastHist)*(GPULead-1)))*($E$5:T$5&lt;=IMPE_N))/LQ_N</f>
        <v>49.9740418514641</v>
      </c>
      <c r="U47" s="123" t="n">
        <f aca="false">SUMPRODUCT($E$25:U$25,((U$5-$E$5:U$5)&gt;=(PISLag+($E$5:U$5&gt;LastHist)*(GPULead-1)))*((U$5-$E$5:U$5)&lt;LQ_N+(PISLag+($E$5:U$5&gt;LastHist)*(GPULead-1)))*($E$5:U$5&lt;=IMPE_N))/LQ_N</f>
        <v>206.905520547044</v>
      </c>
      <c r="V47" s="123" t="n">
        <f aca="false">SUMPRODUCT($E$25:V$25,((V$5-$E$5:V$5)&gt;=(PISLag+($E$5:V$5&gt;LastHist)*(GPULead-1)))*((V$5-$E$5:V$5)&lt;LQ_N+(PISLag+($E$5:V$5&gt;LastHist)*(GPULead-1)))*($E$5:V$5&lt;=IMPE_N))/LQ_N</f>
        <v>523.685099784986</v>
      </c>
      <c r="W47" s="123" t="n">
        <f aca="false">SUMPRODUCT($E$25:W$25,((W$5-$E$5:W$5)&gt;=(PISLag+($E$5:W$5&gt;LastHist)*(GPULead-1)))*((W$5-$E$5:W$5)&lt;LQ_N+(PISLag+($E$5:W$5&gt;LastHist)*(GPULead-1)))*($E$5:W$5&lt;=IMPE_N))/LQ_N</f>
        <v>728.310099784986</v>
      </c>
      <c r="X47" s="123" t="n">
        <f aca="false">SUMPRODUCT($E$25:X$25,((X$5-$E$5:X$5)&gt;=(PISLag+($E$5:X$5&gt;LastHist)*(GPULead-1)))*((X$5-$E$5:X$5)&lt;LQ_N+(PISLag+($E$5:X$5&gt;LastHist)*(GPULead-1)))*($E$5:X$5&lt;=IMPE_N))/LQ_N</f>
        <v>1077.36009978499</v>
      </c>
      <c r="Y47" s="123" t="n">
        <f aca="false">SUMPRODUCT($E$25:Y$25,((Y$5-$E$5:Y$5)&gt;=(PISLag+($E$5:Y$5&gt;LastHist)*(GPULead-1)))*((Y$5-$E$5:Y$5)&lt;LQ_N+(PISLag+($E$5:Y$5&gt;LastHist)*(GPULead-1)))*($E$5:Y$5&lt;=IMPE_N))/LQ_N</f>
        <v>1102.98509978499</v>
      </c>
      <c r="Z47" s="123" t="n">
        <f aca="false">SUMPRODUCT($E$25:Z$25,((Z$5-$E$5:Z$5)&gt;=(PISLag+($E$5:Z$5&gt;LastHist)*(GPULead-1)))*((Z$5-$E$5:Z$5)&lt;LQ_N+(PISLag+($E$5:Z$5&gt;LastHist)*(GPULead-1)))*($E$5:Z$5&lt;=IMPE_N))/LQ_N</f>
        <v>1677.03012215635</v>
      </c>
      <c r="AA47" s="123" t="n">
        <f aca="false">SUMPRODUCT($E$25:AA$25,((AA$5-$E$5:AA$5)&gt;=(PISLag+($E$5:AA$5&gt;LastHist)*(GPULead-1)))*((AA$5-$E$5:AA$5)&lt;LQ_N+(PISLag+($E$5:AA$5&gt;LastHist)*(GPULead-1)))*($E$5:AA$5&lt;=IMPE_N))/LQ_N</f>
        <v>1677.03012215635</v>
      </c>
      <c r="AB47" s="123" t="n">
        <f aca="false">SUMPRODUCT($E$25:AB$25,((AB$5-$E$5:AB$5)&gt;=(PISLag+($E$5:AB$5&gt;LastHist)*(GPULead-1)))*((AB$5-$E$5:AB$5)&lt;LQ_N+(PISLag+($E$5:AB$5&gt;LastHist)*(GPULead-1)))*($E$5:AB$5&lt;=IMPE_N))/LQ_N</f>
        <v>2428.83012215635</v>
      </c>
      <c r="AC47" s="123" t="n">
        <f aca="false">SUMPRODUCT($E$25:AC$25,((AC$5-$E$5:AC$5)&gt;=(PISLag+($E$5:AC$5&gt;LastHist)*(GPULead-1)))*((AC$5-$E$5:AC$5)&lt;LQ_N+(PISLag+($E$5:AC$5&gt;LastHist)*(GPULead-1)))*($E$5:AC$5&lt;=IMPE_N))/LQ_N</f>
        <v>2428.83012215635</v>
      </c>
      <c r="AD47" s="123" t="n">
        <f aca="false">SUMPRODUCT($E$25:AD$25,((AD$5-$E$5:AD$5)&gt;=(PISLag+($E$5:AD$5&gt;LastHist)*(GPULead-1)))*((AD$5-$E$5:AD$5)&lt;LQ_N+(PISLag+($E$5:AD$5&gt;LastHist)*(GPULead-1)))*($E$5:AD$5&lt;=IMPE_N))/LQ_N</f>
        <v>3475.98012215635</v>
      </c>
      <c r="AE47" s="123" t="n">
        <f aca="false">SUMPRODUCT($E$25:AE$25,((AE$5-$E$5:AE$5)&gt;=(PISLag+($E$5:AE$5&gt;LastHist)*(GPULead-1)))*((AE$5-$E$5:AE$5)&lt;LQ_N+(PISLag+($E$5:AE$5&gt;LastHist)*(GPULead-1)))*($E$5:AE$5&lt;=IMPE_N))/LQ_N</f>
        <v>3475.98012215635</v>
      </c>
      <c r="AF47" s="123" t="n">
        <f aca="false">SUMPRODUCT($E$25:AF$25,((AF$5-$E$5:AF$5)&gt;=(PISLag+($E$5:AF$5&gt;LastHist)*(GPULead-1)))*((AF$5-$E$5:AF$5)&lt;LQ_N+(PISLag+($E$5:AF$5&gt;LastHist)*(GPULead-1)))*($E$5:AF$5&lt;=IMPE_N))/LQ_N</f>
        <v>3475.98012215635</v>
      </c>
      <c r="AG47" s="123" t="n">
        <f aca="false">SUMPRODUCT($E$25:AG$25,((AG$5-$E$5:AG$5)&gt;=(PISLag+($E$5:AG$5&gt;LastHist)*(GPULead-1)))*((AG$5-$E$5:AG$5)&lt;LQ_N+(PISLag+($E$5:AG$5&gt;LastHist)*(GPULead-1)))*($E$5:AG$5&lt;=IMPE_N))/LQ_N</f>
        <v>3475.98012215635</v>
      </c>
      <c r="AI47" s="123" t="n">
        <f aca="false">SUMIF($F$7:$AG$7,AI$7,$F47:$AG47)</f>
        <v>0</v>
      </c>
      <c r="AJ47" s="123" t="n">
        <f aca="false">SUMIF($F$7:$AG$7,AJ$7,$F47:$AG47)</f>
        <v>0</v>
      </c>
      <c r="AK47" s="123" t="n">
        <f aca="false">SUMIF($F$7:$AG$7,AK$7,$F47:$AG47)</f>
        <v>0</v>
      </c>
      <c r="AL47" s="123" t="n">
        <f aca="false">SUMIF($F$7:$AG$7,AL$7,$F47:$AG47)</f>
        <v>271.027299119459</v>
      </c>
      <c r="AM47" s="123" t="n">
        <f aca="false">SUMIF($F$7:$AG$7,AM$7,$F47:$AG47)</f>
        <v>3432.34039913994</v>
      </c>
      <c r="AN47" s="123" t="n">
        <f aca="false">SUMIF($F$7:$AG$7,AN$7,$F47:$AG47)</f>
        <v>8211.7204886254</v>
      </c>
      <c r="AO47" s="123" t="n">
        <f aca="false">SUMIF($F$7:$AG$7,AO$7,$F47:$AG47)</f>
        <v>13903.9204886254</v>
      </c>
    </row>
    <row r="48" customFormat="false" ht="15" hidden="false" customHeight="false" outlineLevel="0" collapsed="false">
      <c r="A48" s="104" t="s">
        <v>1957</v>
      </c>
      <c r="B48" s="20" t="s">
        <v>561</v>
      </c>
      <c r="C48" s="20" t="s">
        <v>495</v>
      </c>
      <c r="D48" s="20"/>
      <c r="F48" s="122" t="n">
        <f aca="false">SUMPRODUCT($E$25:F$25,((F$5-$E$5:F$5)&gt;=(PISLag+($E$5:F$5&gt;LastHist)*(GPULead-1)))*((F$5-$E$5:F$5)&lt;LQ_N+(PISLag+($E$5:F$5&gt;LastHist)*(GPULead-1)))*($E$5:F$5&gt;IMPE_N))/LQ_N</f>
        <v>0</v>
      </c>
      <c r="G48" s="122" t="n">
        <f aca="false">SUMPRODUCT($E$25:G$25,((G$5-$E$5:G$5)&gt;=(PISLag+($E$5:G$5&gt;LastHist)*(GPULead-1)))*((G$5-$E$5:G$5)&lt;LQ_N+(PISLag+($E$5:G$5&gt;LastHist)*(GPULead-1)))*($E$5:G$5&gt;IMPE_N))/LQ_N</f>
        <v>0</v>
      </c>
      <c r="H48" s="122" t="n">
        <f aca="false">SUMPRODUCT($E$25:H$25,((H$5-$E$5:H$5)&gt;=(PISLag+($E$5:H$5&gt;LastHist)*(GPULead-1)))*((H$5-$E$5:H$5)&lt;LQ_N+(PISLag+($E$5:H$5&gt;LastHist)*(GPULead-1)))*($E$5:H$5&gt;IMPE_N))/LQ_N</f>
        <v>0</v>
      </c>
      <c r="I48" s="122" t="n">
        <f aca="false">SUMPRODUCT($E$25:I$25,((I$5-$E$5:I$5)&gt;=(PISLag+($E$5:I$5&gt;LastHist)*(GPULead-1)))*((I$5-$E$5:I$5)&lt;LQ_N+(PISLag+($E$5:I$5&gt;LastHist)*(GPULead-1)))*($E$5:I$5&gt;IMPE_N))/LQ_N</f>
        <v>0</v>
      </c>
      <c r="J48" s="122" t="n">
        <f aca="false">SUMPRODUCT($E$25:J$25,((J$5-$E$5:J$5)&gt;=(PISLag+($E$5:J$5&gt;LastHist)*(GPULead-1)))*((J$5-$E$5:J$5)&lt;LQ_N+(PISLag+($E$5:J$5&gt;LastHist)*(GPULead-1)))*($E$5:J$5&gt;IMPE_N))/LQ_N</f>
        <v>0</v>
      </c>
      <c r="K48" s="122" t="n">
        <f aca="false">SUMPRODUCT($E$25:K$25,((K$5-$E$5:K$5)&gt;=(PISLag+($E$5:K$5&gt;LastHist)*(GPULead-1)))*((K$5-$E$5:K$5)&lt;LQ_N+(PISLag+($E$5:K$5&gt;LastHist)*(GPULead-1)))*($E$5:K$5&gt;IMPE_N))/LQ_N</f>
        <v>0</v>
      </c>
      <c r="L48" s="122" t="n">
        <f aca="false">SUMPRODUCT($E$25:L$25,((L$5-$E$5:L$5)&gt;=(PISLag+($E$5:L$5&gt;LastHist)*(GPULead-1)))*((L$5-$E$5:L$5)&lt;LQ_N+(PISLag+($E$5:L$5&gt;LastHist)*(GPULead-1)))*($E$5:L$5&gt;IMPE_N))/LQ_N</f>
        <v>0</v>
      </c>
      <c r="M48" s="122" t="n">
        <f aca="false">SUMPRODUCT($E$25:M$25,((M$5-$E$5:M$5)&gt;=(PISLag+($E$5:M$5&gt;LastHist)*(GPULead-1)))*((M$5-$E$5:M$5)&lt;LQ_N+(PISLag+($E$5:M$5&gt;LastHist)*(GPULead-1)))*($E$5:M$5&gt;IMPE_N))/LQ_N</f>
        <v>0</v>
      </c>
      <c r="N48" s="122" t="n">
        <f aca="false">SUMPRODUCT($E$25:N$25,((N$5-$E$5:N$5)&gt;=(PISLag+($E$5:N$5&gt;LastHist)*(GPULead-1)))*((N$5-$E$5:N$5)&lt;LQ_N+(PISLag+($E$5:N$5&gt;LastHist)*(GPULead-1)))*($E$5:N$5&gt;IMPE_N))/LQ_N</f>
        <v>0</v>
      </c>
      <c r="O48" s="122" t="n">
        <f aca="false">SUMPRODUCT($E$25:O$25,((O$5-$E$5:O$5)&gt;=(PISLag+($E$5:O$5&gt;LastHist)*(GPULead-1)))*((O$5-$E$5:O$5)&lt;LQ_N+(PISLag+($E$5:O$5&gt;LastHist)*(GPULead-1)))*($E$5:O$5&gt;IMPE_N))/LQ_N</f>
        <v>0</v>
      </c>
      <c r="P48" s="123" t="n">
        <f aca="false">SUMPRODUCT($E$25:P$25,((P$5-$E$5:P$5)&gt;=(PISLag+($E$5:P$5&gt;LastHist)*(GPULead-1)))*((P$5-$E$5:P$5)&lt;LQ_N+(PISLag+($E$5:P$5&gt;LastHist)*(GPULead-1)))*($E$5:P$5&gt;IMPE_N))/LQ_N</f>
        <v>0</v>
      </c>
      <c r="Q48" s="123" t="n">
        <f aca="false">SUMPRODUCT($E$25:Q$25,((Q$5-$E$5:Q$5)&gt;=(PISLag+($E$5:Q$5&gt;LastHist)*(GPULead-1)))*((Q$5-$E$5:Q$5)&lt;LQ_N+(PISLag+($E$5:Q$5&gt;LastHist)*(GPULead-1)))*($E$5:Q$5&gt;IMPE_N))/LQ_N</f>
        <v>0</v>
      </c>
      <c r="R48" s="123" t="n">
        <f aca="false">SUMPRODUCT($E$25:R$25,((R$5-$E$5:R$5)&gt;=(PISLag+($E$5:R$5&gt;LastHist)*(GPULead-1)))*((R$5-$E$5:R$5)&lt;LQ_N+(PISLag+($E$5:R$5&gt;LastHist)*(GPULead-1)))*($E$5:R$5&gt;IMPE_N))/LQ_N</f>
        <v>0</v>
      </c>
      <c r="S48" s="123" t="n">
        <f aca="false">SUMPRODUCT($E$25:S$25,((S$5-$E$5:S$5)&gt;=(PISLag+($E$5:S$5&gt;LastHist)*(GPULead-1)))*((S$5-$E$5:S$5)&lt;LQ_N+(PISLag+($E$5:S$5&gt;LastHist)*(GPULead-1)))*($E$5:S$5&gt;IMPE_N))/LQ_N</f>
        <v>0</v>
      </c>
      <c r="T48" s="123" t="n">
        <f aca="false">SUMPRODUCT($E$25:T$25,((T$5-$E$5:T$5)&gt;=(PISLag+($E$5:T$5&gt;LastHist)*(GPULead-1)))*((T$5-$E$5:T$5)&lt;LQ_N+(PISLag+($E$5:T$5&gt;LastHist)*(GPULead-1)))*($E$5:T$5&gt;IMPE_N))/LQ_N</f>
        <v>0</v>
      </c>
      <c r="U48" s="123" t="n">
        <f aca="false">SUMPRODUCT($E$25:U$25,((U$5-$E$5:U$5)&gt;=(PISLag+($E$5:U$5&gt;LastHist)*(GPULead-1)))*((U$5-$E$5:U$5)&lt;LQ_N+(PISLag+($E$5:U$5&gt;LastHist)*(GPULead-1)))*($E$5:U$5&gt;IMPE_N))/LQ_N</f>
        <v>0</v>
      </c>
      <c r="V48" s="123" t="n">
        <f aca="false">SUMPRODUCT($E$25:V$25,((V$5-$E$5:V$5)&gt;=(PISLag+($E$5:V$5&gt;LastHist)*(GPULead-1)))*((V$5-$E$5:V$5)&lt;LQ_N+(PISLag+($E$5:V$5&gt;LastHist)*(GPULead-1)))*($E$5:V$5&gt;IMPE_N))/LQ_N</f>
        <v>0</v>
      </c>
      <c r="W48" s="123" t="n">
        <f aca="false">SUMPRODUCT($E$25:W$25,((W$5-$E$5:W$5)&gt;=(PISLag+($E$5:W$5&gt;LastHist)*(GPULead-1)))*((W$5-$E$5:W$5)&lt;LQ_N+(PISLag+($E$5:W$5&gt;LastHist)*(GPULead-1)))*($E$5:W$5&gt;IMPE_N))/LQ_N</f>
        <v>0</v>
      </c>
      <c r="X48" s="123" t="n">
        <f aca="false">SUMPRODUCT($E$25:X$25,((X$5-$E$5:X$5)&gt;=(PISLag+($E$5:X$5&gt;LastHist)*(GPULead-1)))*((X$5-$E$5:X$5)&lt;LQ_N+(PISLag+($E$5:X$5&gt;LastHist)*(GPULead-1)))*($E$5:X$5&gt;IMPE_N))/LQ_N</f>
        <v>0</v>
      </c>
      <c r="Y48" s="123" t="n">
        <f aca="false">SUMPRODUCT($E$25:Y$25,((Y$5-$E$5:Y$5)&gt;=(PISLag+($E$5:Y$5&gt;LastHist)*(GPULead-1)))*((Y$5-$E$5:Y$5)&lt;LQ_N+(PISLag+($E$5:Y$5&gt;LastHist)*(GPULead-1)))*($E$5:Y$5&gt;IMPE_N))/LQ_N</f>
        <v>0</v>
      </c>
      <c r="Z48" s="123" t="n">
        <f aca="false">SUMPRODUCT($E$25:Z$25,((Z$5-$E$5:Z$5)&gt;=(PISLag+($E$5:Z$5&gt;LastHist)*(GPULead-1)))*((Z$5-$E$5:Z$5)&lt;LQ_N+(PISLag+($E$5:Z$5&gt;LastHist)*(GPULead-1)))*($E$5:Z$5&gt;IMPE_N))/LQ_N</f>
        <v>0</v>
      </c>
      <c r="AA48" s="123" t="n">
        <f aca="false">SUMPRODUCT($E$25:AA$25,((AA$5-$E$5:AA$5)&gt;=(PISLag+($E$5:AA$5&gt;LastHist)*(GPULead-1)))*((AA$5-$E$5:AA$5)&lt;LQ_N+(PISLag+($E$5:AA$5&gt;LastHist)*(GPULead-1)))*($E$5:AA$5&gt;IMPE_N))/LQ_N</f>
        <v>0</v>
      </c>
      <c r="AB48" s="123" t="n">
        <f aca="false">SUMPRODUCT($E$25:AB$25,((AB$5-$E$5:AB$5)&gt;=(PISLag+($E$5:AB$5&gt;LastHist)*(GPULead-1)))*((AB$5-$E$5:AB$5)&lt;LQ_N+(PISLag+($E$5:AB$5&gt;LastHist)*(GPULead-1)))*($E$5:AB$5&gt;IMPE_N))/LQ_N</f>
        <v>0</v>
      </c>
      <c r="AC48" s="123" t="n">
        <f aca="false">SUMPRODUCT($E$25:AC$25,((AC$5-$E$5:AC$5)&gt;=(PISLag+($E$5:AC$5&gt;LastHist)*(GPULead-1)))*((AC$5-$E$5:AC$5)&lt;LQ_N+(PISLag+($E$5:AC$5&gt;LastHist)*(GPULead-1)))*($E$5:AC$5&gt;IMPE_N))/LQ_N</f>
        <v>0</v>
      </c>
      <c r="AD48" s="123" t="n">
        <f aca="false">SUMPRODUCT($E$25:AD$25,((AD$5-$E$5:AD$5)&gt;=(PISLag+($E$5:AD$5&gt;LastHist)*(GPULead-1)))*((AD$5-$E$5:AD$5)&lt;LQ_N+(PISLag+($E$5:AD$5&gt;LastHist)*(GPULead-1)))*($E$5:AD$5&gt;IMPE_N))/LQ_N</f>
        <v>0</v>
      </c>
      <c r="AE48" s="123" t="n">
        <f aca="false">SUMPRODUCT($E$25:AE$25,((AE$5-$E$5:AE$5)&gt;=(PISLag+($E$5:AE$5&gt;LastHist)*(GPULead-1)))*((AE$5-$E$5:AE$5)&lt;LQ_N+(PISLag+($E$5:AE$5&gt;LastHist)*(GPULead-1)))*($E$5:AE$5&gt;IMPE_N))/LQ_N</f>
        <v>0</v>
      </c>
      <c r="AF48" s="123" t="n">
        <f aca="false">SUMPRODUCT($E$25:AF$25,((AF$5-$E$5:AF$5)&gt;=(PISLag+($E$5:AF$5&gt;LastHist)*(GPULead-1)))*((AF$5-$E$5:AF$5)&lt;LQ_N+(PISLag+($E$5:AF$5&gt;LastHist)*(GPULead-1)))*($E$5:AF$5&gt;IMPE_N))/LQ_N</f>
        <v>0</v>
      </c>
      <c r="AG48" s="123" t="n">
        <f aca="false">SUMPRODUCT($E$25:AG$25,((AG$5-$E$5:AG$5)&gt;=(PISLag+($E$5:AG$5&gt;LastHist)*(GPULead-1)))*((AG$5-$E$5:AG$5)&lt;LQ_N+(PISLag+($E$5:AG$5&gt;LastHist)*(GPULead-1)))*($E$5:AG$5&gt;IMPE_N))/LQ_N</f>
        <v>0</v>
      </c>
      <c r="AI48" s="123" t="n">
        <f aca="false">SUMIF($F$7:$AG$7,AI$7,$F48:$AG48)</f>
        <v>0</v>
      </c>
      <c r="AJ48" s="123" t="n">
        <f aca="false">SUMIF($F$7:$AG$7,AJ$7,$F48:$AG48)</f>
        <v>0</v>
      </c>
      <c r="AK48" s="123" t="n">
        <f aca="false">SUMIF($F$7:$AG$7,AK$7,$F48:$AG48)</f>
        <v>0</v>
      </c>
      <c r="AL48" s="123" t="n">
        <f aca="false">SUMIF($F$7:$AG$7,AL$7,$F48:$AG48)</f>
        <v>0</v>
      </c>
      <c r="AM48" s="123" t="n">
        <f aca="false">SUMIF($F$7:$AG$7,AM$7,$F48:$AG48)</f>
        <v>0</v>
      </c>
      <c r="AN48" s="123" t="n">
        <f aca="false">SUMIF($F$7:$AG$7,AN$7,$F48:$AG48)</f>
        <v>0</v>
      </c>
      <c r="AO48" s="123" t="n">
        <f aca="false">SUMIF($F$7:$AG$7,AO$7,$F48:$AG48)</f>
        <v>0</v>
      </c>
    </row>
    <row r="49" customFormat="false" ht="15" hidden="false" customHeight="false" outlineLevel="0" collapsed="false">
      <c r="A49" s="3" t="s">
        <v>1958</v>
      </c>
      <c r="B49" s="20" t="s">
        <v>561</v>
      </c>
      <c r="C49" s="20" t="s">
        <v>495</v>
      </c>
      <c r="D49" s="20"/>
      <c r="F49" s="124" t="n">
        <f aca="false">F47*(1-ImpPct_N*(F$5&gt;IMPE_N))+F48</f>
        <v>0</v>
      </c>
      <c r="G49" s="124" t="n">
        <f aca="false">G47*(1-ImpPct_N*(G$5&gt;IMPE_N))+G48</f>
        <v>0</v>
      </c>
      <c r="H49" s="124" t="n">
        <f aca="false">H47*(1-ImpPct_N*(H$5&gt;IMPE_N))+H48</f>
        <v>0</v>
      </c>
      <c r="I49" s="124" t="n">
        <f aca="false">I47*(1-ImpPct_N*(I$5&gt;IMPE_N))+I48</f>
        <v>0</v>
      </c>
      <c r="J49" s="124" t="n">
        <f aca="false">J47*(1-ImpPct_N*(J$5&gt;IMPE_N))+J48</f>
        <v>0</v>
      </c>
      <c r="K49" s="124" t="n">
        <f aca="false">K47*(1-ImpPct_N*(K$5&gt;IMPE_N))+K48</f>
        <v>0</v>
      </c>
      <c r="L49" s="124" t="n">
        <f aca="false">L47*(1-ImpPct_N*(L$5&gt;IMPE_N))+L48</f>
        <v>0</v>
      </c>
      <c r="M49" s="124" t="n">
        <f aca="false">M47*(1-ImpPct_N*(M$5&gt;IMPE_N))+M48</f>
        <v>0</v>
      </c>
      <c r="N49" s="124" t="n">
        <f aca="false">N47*(1-ImpPct_N*(N$5&gt;IMPE_N))+N48</f>
        <v>0</v>
      </c>
      <c r="O49" s="124" t="n">
        <f aca="false">O47*(1-ImpPct_N*(O$5&gt;IMPE_N))+O48</f>
        <v>0</v>
      </c>
      <c r="P49" s="96" t="n">
        <f aca="false">P47*(1-ImpPct_N*(P$5&gt;IMPE_N))+P48</f>
        <v>0</v>
      </c>
      <c r="Q49" s="96" t="n">
        <f aca="false">Q47*(1-ImpPct_N*(Q$5&gt;IMPE_N))+Q48</f>
        <v>0</v>
      </c>
      <c r="R49" s="96" t="n">
        <f aca="false">R47*(1-ImpPct_N*(R$5&gt;IMPE_N))+R48</f>
        <v>0</v>
      </c>
      <c r="S49" s="96" t="n">
        <f aca="false">S47*(1-ImpPct_N*(S$5&gt;IMPE_N))+S48</f>
        <v>14.147736720951</v>
      </c>
      <c r="T49" s="96" t="n">
        <f aca="false">T47*(1-ImpPct_N*(T$5&gt;IMPE_N))+T48</f>
        <v>49.9740418514641</v>
      </c>
      <c r="U49" s="96" t="n">
        <f aca="false">U47*(1-ImpPct_N*(U$5&gt;IMPE_N))+U48</f>
        <v>206.905520547044</v>
      </c>
      <c r="V49" s="96" t="n">
        <f aca="false">V47*(1-ImpPct_N*(V$5&gt;IMPE_N))+V48</f>
        <v>523.685099784986</v>
      </c>
      <c r="W49" s="96" t="n">
        <f aca="false">W47*(1-ImpPct_N*(W$5&gt;IMPE_N))+W48</f>
        <v>728.310099784986</v>
      </c>
      <c r="X49" s="96" t="n">
        <f aca="false">X47*(1-ImpPct_N*(X$5&gt;IMPE_N))+X48</f>
        <v>1077.36009978499</v>
      </c>
      <c r="Y49" s="96" t="n">
        <f aca="false">Y47*(1-ImpPct_N*(Y$5&gt;IMPE_N))+Y48</f>
        <v>1102.98509978499</v>
      </c>
      <c r="Z49" s="96" t="n">
        <f aca="false">Z47*(1-ImpPct_N*(Z$5&gt;IMPE_N))+Z48</f>
        <v>1677.03012215635</v>
      </c>
      <c r="AA49" s="96" t="n">
        <f aca="false">AA47*(1-ImpPct_N*(AA$5&gt;IMPE_N))+AA48</f>
        <v>1677.03012215635</v>
      </c>
      <c r="AB49" s="96" t="n">
        <f aca="false">AB47*(1-ImpPct_N*(AB$5&gt;IMPE_N))+AB48</f>
        <v>2428.83012215635</v>
      </c>
      <c r="AC49" s="96" t="n">
        <f aca="false">AC47*(1-ImpPct_N*(AC$5&gt;IMPE_N))+AC48</f>
        <v>2428.83012215635</v>
      </c>
      <c r="AD49" s="96" t="n">
        <f aca="false">AD47*(1-ImpPct_N*(AD$5&gt;IMPE_N))+AD48</f>
        <v>3475.98012215635</v>
      </c>
      <c r="AE49" s="96" t="n">
        <f aca="false">AE47*(1-ImpPct_N*(AE$5&gt;IMPE_N))+AE48</f>
        <v>3475.98012215635</v>
      </c>
      <c r="AF49" s="96" t="n">
        <f aca="false">AF47*(1-ImpPct_N*(AF$5&gt;IMPE_N))+AF48</f>
        <v>3475.98012215635</v>
      </c>
      <c r="AG49" s="96" t="n">
        <f aca="false">AG47*(1-ImpPct_N*(AG$5&gt;IMPE_N))+AG48</f>
        <v>3475.98012215635</v>
      </c>
      <c r="AI49" s="96" t="n">
        <f aca="false">SUMIF($F$7:$AG$7,AI$7,$F49:$AG49)</f>
        <v>0</v>
      </c>
      <c r="AJ49" s="96" t="n">
        <f aca="false">SUMIF($F$7:$AG$7,AJ$7,$F49:$AG49)</f>
        <v>0</v>
      </c>
      <c r="AK49" s="96" t="n">
        <f aca="false">SUMIF($F$7:$AG$7,AK$7,$F49:$AG49)</f>
        <v>0</v>
      </c>
      <c r="AL49" s="96" t="n">
        <f aca="false">SUMIF($F$7:$AG$7,AL$7,$F49:$AG49)</f>
        <v>271.027299119459</v>
      </c>
      <c r="AM49" s="96" t="n">
        <f aca="false">SUMIF($F$7:$AG$7,AM$7,$F49:$AG49)</f>
        <v>3432.34039913994</v>
      </c>
      <c r="AN49" s="96" t="n">
        <f aca="false">SUMIF($F$7:$AG$7,AN$7,$F49:$AG49)</f>
        <v>8211.7204886254</v>
      </c>
      <c r="AO49" s="96" t="n">
        <f aca="false">SUMIF($F$7:$AG$7,AO$7,$F49:$AG49)</f>
        <v>13903.9204886254</v>
      </c>
    </row>
    <row r="50" customFormat="false" ht="15" hidden="false" customHeight="false" outlineLevel="0" collapsed="false">
      <c r="A50" s="104" t="s">
        <v>1959</v>
      </c>
      <c r="B50" s="20" t="s">
        <v>561</v>
      </c>
      <c r="C50" s="20" t="s">
        <v>506</v>
      </c>
      <c r="D50" s="20"/>
      <c r="F50" s="122" t="n">
        <f aca="false">IF(F$5=IMPE_N,ImpPct_N*(SUMPRODUCT($E$25:F$25,--($E$5:F$5&lt;=IMPE_N))-SUM($F$47:F$47)),0)</f>
        <v>0</v>
      </c>
      <c r="G50" s="122" t="n">
        <f aca="false">IF(G$5=IMPE_N,ImpPct_N*(SUMPRODUCT($E$25:G$25,--($E$5:G$5&lt;=IMPE_N))-SUM($F$47:G$47)),0)</f>
        <v>0</v>
      </c>
      <c r="H50" s="122" t="n">
        <f aca="false">IF(H$5=IMPE_N,ImpPct_N*(SUMPRODUCT($E$25:H$25,--($E$5:H$5&lt;=IMPE_N))-SUM($F$47:H$47)),0)</f>
        <v>0</v>
      </c>
      <c r="I50" s="122" t="n">
        <f aca="false">IF(I$5=IMPE_N,ImpPct_N*(SUMPRODUCT($E$25:I$25,--($E$5:I$5&lt;=IMPE_N))-SUM($F$47:I$47)),0)</f>
        <v>0</v>
      </c>
      <c r="J50" s="122" t="n">
        <f aca="false">IF(J$5=IMPE_N,ImpPct_N*(SUMPRODUCT($E$25:J$25,--($E$5:J$5&lt;=IMPE_N))-SUM($F$47:J$47)),0)</f>
        <v>0</v>
      </c>
      <c r="K50" s="122" t="n">
        <f aca="false">IF(K$5=IMPE_N,ImpPct_N*(SUMPRODUCT($E$25:K$25,--($E$5:K$5&lt;=IMPE_N))-SUM($F$47:K$47)),0)</f>
        <v>0</v>
      </c>
      <c r="L50" s="122" t="n">
        <f aca="false">IF(L$5=IMPE_N,ImpPct_N*(SUMPRODUCT($E$25:L$25,--($E$5:L$5&lt;=IMPE_N))-SUM($F$47:L$47)),0)</f>
        <v>0</v>
      </c>
      <c r="M50" s="122" t="n">
        <f aca="false">IF(M$5=IMPE_N,ImpPct_N*(SUMPRODUCT($E$25:M$25,--($E$5:M$5&lt;=IMPE_N))-SUM($F$47:M$47)),0)</f>
        <v>0</v>
      </c>
      <c r="N50" s="122" t="n">
        <f aca="false">IF(N$5=IMPE_N,ImpPct_N*(SUMPRODUCT($E$25:N$25,--($E$5:N$5&lt;=IMPE_N))-SUM($F$47:N$47)),0)</f>
        <v>0</v>
      </c>
      <c r="O50" s="122" t="n">
        <f aca="false">IF(O$5=IMPE_N,ImpPct_N*(SUMPRODUCT($E$25:O$25,--($E$5:O$5&lt;=IMPE_N))-SUM($F$47:O$47)),0)</f>
        <v>0</v>
      </c>
      <c r="P50" s="123" t="n">
        <f aca="false">IF(P$5=IMPE_N,ImpPct_N*(SUMPRODUCT($E$25:P$25,--($E$5:P$5&lt;=IMPE_N))-SUM($F$47:P$47)),0)</f>
        <v>0</v>
      </c>
      <c r="Q50" s="123" t="n">
        <f aca="false">IF(Q$5=IMPE_N,ImpPct_N*(SUMPRODUCT($E$25:Q$25,--($E$5:Q$5&lt;=IMPE_N))-SUM($F$47:Q$47)),0)</f>
        <v>0</v>
      </c>
      <c r="R50" s="123" t="n">
        <f aca="false">IF(R$5=IMPE_N,ImpPct_N*(SUMPRODUCT($E$25:R$25,--($E$5:R$5&lt;=IMPE_N))-SUM($F$47:R$47)),0)</f>
        <v>0</v>
      </c>
      <c r="S50" s="123" t="n">
        <f aca="false">IF(S$5=IMPE_N,ImpPct_N*(SUMPRODUCT($E$25:S$25,--($E$5:S$5&lt;=IMPE_N))-SUM($F$47:S$47)),0)</f>
        <v>0</v>
      </c>
      <c r="T50" s="123" t="n">
        <f aca="false">IF(T$5=IMPE_N,ImpPct_N*(SUMPRODUCT($E$25:T$25,--($E$5:T$5&lt;=IMPE_N))-SUM($F$47:T$47)),0)</f>
        <v>0</v>
      </c>
      <c r="U50" s="123" t="n">
        <f aca="false">IF(U$5=IMPE_N,ImpPct_N*(SUMPRODUCT($E$25:U$25,--($E$5:U$5&lt;=IMPE_N))-SUM($F$47:U$47)),0)</f>
        <v>0</v>
      </c>
      <c r="V50" s="123" t="n">
        <f aca="false">IF(V$5=IMPE_N,ImpPct_N*(SUMPRODUCT($E$25:V$25,--($E$5:V$5&lt;=IMPE_N))-SUM($F$47:V$47)),0)</f>
        <v>0</v>
      </c>
      <c r="W50" s="123" t="n">
        <f aca="false">IF(W$5=IMPE_N,ImpPct_N*(SUMPRODUCT($E$25:W$25,--($E$5:W$5&lt;=IMPE_N))-SUM($F$47:W$47)),0)</f>
        <v>0</v>
      </c>
      <c r="X50" s="123" t="n">
        <f aca="false">IF(X$5=IMPE_N,ImpPct_N*(SUMPRODUCT($E$25:X$25,--($E$5:X$5&lt;=IMPE_N))-SUM($F$47:X$47)),0)</f>
        <v>0</v>
      </c>
      <c r="Y50" s="123" t="n">
        <f aca="false">IF(Y$5=IMPE_N,ImpPct_N*(SUMPRODUCT($E$25:Y$25,--($E$5:Y$5&lt;=IMPE_N))-SUM($F$47:Y$47)),0)</f>
        <v>0</v>
      </c>
      <c r="Z50" s="123" t="n">
        <f aca="false">IF(Z$5=IMPE_N,ImpPct_N*(SUMPRODUCT($E$25:Z$25,--($E$5:Z$5&lt;=IMPE_N))-SUM($F$47:Z$47)),0)</f>
        <v>0</v>
      </c>
      <c r="AA50" s="123" t="n">
        <f aca="false">IF(AA$5=IMPE_N,ImpPct_N*(SUMPRODUCT($E$25:AA$25,--($E$5:AA$5&lt;=IMPE_N))-SUM($F$47:AA$47)),0)</f>
        <v>0</v>
      </c>
      <c r="AB50" s="123" t="n">
        <f aca="false">IF(AB$5=IMPE_N,ImpPct_N*(SUMPRODUCT($E$25:AB$25,--($E$5:AB$5&lt;=IMPE_N))-SUM($F$47:AB$47)),0)</f>
        <v>0</v>
      </c>
      <c r="AC50" s="123" t="n">
        <f aca="false">IF(AC$5=IMPE_N,ImpPct_N*(SUMPRODUCT($E$25:AC$25,--($E$5:AC$5&lt;=IMPE_N))-SUM($F$47:AC$47)),0)</f>
        <v>0</v>
      </c>
      <c r="AD50" s="123" t="n">
        <f aca="false">IF(AD$5=IMPE_N,ImpPct_N*(SUMPRODUCT($E$25:AD$25,--($E$5:AD$5&lt;=IMPE_N))-SUM($F$47:AD$47)),0)</f>
        <v>0</v>
      </c>
      <c r="AE50" s="123" t="n">
        <f aca="false">IF(AE$5=IMPE_N,ImpPct_N*(SUMPRODUCT($E$25:AE$25,--($E$5:AE$5&lt;=IMPE_N))-SUM($F$47:AE$47)),0)</f>
        <v>0</v>
      </c>
      <c r="AF50" s="123" t="n">
        <f aca="false">IF(AF$5=IMPE_N,ImpPct_N*(SUMPRODUCT($E$25:AF$25,--($E$5:AF$5&lt;=IMPE_N))-SUM($F$47:AF$47)),0)</f>
        <v>0</v>
      </c>
      <c r="AG50" s="123" t="n">
        <f aca="false">IF(AG$5=IMPE_N,ImpPct_N*(SUMPRODUCT($E$25:AG$25,--($E$5:AG$5&lt;=IMPE_N))-SUM($F$47:AG$47)),0)</f>
        <v>0</v>
      </c>
      <c r="AI50" s="123" t="n">
        <f aca="false">SUMIF($F$7:$AG$7,AI$7,$F50:$AG50)</f>
        <v>0</v>
      </c>
      <c r="AJ50" s="123" t="n">
        <f aca="false">SUMIF($F$7:$AG$7,AJ$7,$F50:$AG50)</f>
        <v>0</v>
      </c>
      <c r="AK50" s="123" t="n">
        <f aca="false">SUMIF($F$7:$AG$7,AK$7,$F50:$AG50)</f>
        <v>0</v>
      </c>
      <c r="AL50" s="123" t="n">
        <f aca="false">SUMIF($F$7:$AG$7,AL$7,$F50:$AG50)</f>
        <v>0</v>
      </c>
      <c r="AM50" s="123" t="n">
        <f aca="false">SUMIF($F$7:$AG$7,AM$7,$F50:$AG50)</f>
        <v>0</v>
      </c>
      <c r="AN50" s="123" t="n">
        <f aca="false">SUMIF($F$7:$AG$7,AN$7,$F50:$AG50)</f>
        <v>0</v>
      </c>
      <c r="AO50" s="123" t="n">
        <f aca="false">SUMIF($F$7:$AG$7,AO$7,$F50:$AG50)</f>
        <v>0</v>
      </c>
    </row>
    <row r="51" customFormat="false" ht="15" hidden="false" customHeight="false" outlineLevel="0" collapsed="false">
      <c r="A51" s="104" t="s">
        <v>1960</v>
      </c>
      <c r="B51" s="20" t="s">
        <v>561</v>
      </c>
      <c r="C51" s="20" t="s">
        <v>495</v>
      </c>
      <c r="D51" s="20"/>
      <c r="E51" s="123" t="n">
        <f aca="false">E25</f>
        <v>0</v>
      </c>
      <c r="F51" s="122" t="n">
        <f aca="false">E51+F25-F49-F50</f>
        <v>0</v>
      </c>
      <c r="G51" s="122" t="n">
        <f aca="false">F51+G25-G49-G50</f>
        <v>0</v>
      </c>
      <c r="H51" s="122" t="n">
        <f aca="false">G51+H25-H49-H50</f>
        <v>0</v>
      </c>
      <c r="I51" s="122" t="n">
        <f aca="false">H51+I25-I49-I50</f>
        <v>0</v>
      </c>
      <c r="J51" s="122" t="n">
        <f aca="false">I51+J25-J49-J50</f>
        <v>0</v>
      </c>
      <c r="K51" s="122" t="n">
        <f aca="false">J51+K25-K49-K50</f>
        <v>0</v>
      </c>
      <c r="L51" s="122" t="n">
        <f aca="false">K51+L25-L49-L50</f>
        <v>0</v>
      </c>
      <c r="M51" s="122" t="n">
        <f aca="false">L51+M25-M49-M50</f>
        <v>0</v>
      </c>
      <c r="N51" s="122" t="n">
        <f aca="false">M51+N25-N49-N50</f>
        <v>0</v>
      </c>
      <c r="O51" s="122" t="n">
        <f aca="false">N51+O25-O49-O50</f>
        <v>0</v>
      </c>
      <c r="P51" s="123" t="n">
        <f aca="false">O51+P25-P49-P50</f>
        <v>0</v>
      </c>
      <c r="Q51" s="123" t="n">
        <f aca="false">P51+Q25-Q49-Q50</f>
        <v>282.95473441902</v>
      </c>
      <c r="R51" s="123" t="n">
        <f aca="false">Q51+R25-R49-R50</f>
        <v>999.480837029281</v>
      </c>
      <c r="S51" s="123" t="n">
        <f aca="false">R51+S25-S49-S50</f>
        <v>4123.96267421992</v>
      </c>
      <c r="T51" s="123" t="n">
        <f aca="false">S51+T25-T49-T50</f>
        <v>10409.5802171273</v>
      </c>
      <c r="U51" s="123" t="n">
        <f aca="false">T51+U25-U49-U50</f>
        <v>14295.1746965803</v>
      </c>
      <c r="V51" s="123" t="n">
        <f aca="false">U51+V25-V49-V50</f>
        <v>20752.4895967953</v>
      </c>
      <c r="W51" s="123" t="n">
        <f aca="false">V51+W25-W49-W50</f>
        <v>20536.6794970103</v>
      </c>
      <c r="X51" s="123" t="n">
        <f aca="false">W51+X25-X49-X50</f>
        <v>30940.2198446526</v>
      </c>
      <c r="Y51" s="123" t="n">
        <f aca="false">X51+Y25-Y49-Y50</f>
        <v>29837.2347448676</v>
      </c>
      <c r="Z51" s="123" t="n">
        <f aca="false">Y51+Z25-Z49-Z50</f>
        <v>43196.2046227113</v>
      </c>
      <c r="AA51" s="123" t="n">
        <f aca="false">Z51+AA25-AA49-AA50</f>
        <v>41519.1745005549</v>
      </c>
      <c r="AB51" s="123" t="n">
        <f aca="false">AA51+AB25-AB49-AB50</f>
        <v>60033.3443783986</v>
      </c>
      <c r="AC51" s="123" t="n">
        <f aca="false">AB51+AC25-AC49-AC50</f>
        <v>57604.5142562422</v>
      </c>
      <c r="AD51" s="123" t="n">
        <f aca="false">AC51+AD25-AD49-AD50</f>
        <v>54128.5341340859</v>
      </c>
      <c r="AE51" s="123" t="n">
        <f aca="false">AD51+AE25-AE49-AE50</f>
        <v>50652.5540119295</v>
      </c>
      <c r="AF51" s="123" t="n">
        <f aca="false">AE51+AF25-AF49-AF50</f>
        <v>47176.5738897732</v>
      </c>
      <c r="AG51" s="123" t="n">
        <f aca="false">AF51+AG25-AG49-AG50</f>
        <v>43700.5937676168</v>
      </c>
      <c r="AI51" s="123" t="n">
        <f aca="false">INDEX($F51:$AG51,1,MATCH(AI$7,$F$7:$AG$7,1))</f>
        <v>0</v>
      </c>
      <c r="AJ51" s="123" t="n">
        <f aca="false">INDEX($F51:$AG51,1,MATCH(AJ$7,$F$7:$AG$7,1))</f>
        <v>0</v>
      </c>
      <c r="AK51" s="123" t="n">
        <f aca="false">INDEX($F51:$AG51,1,MATCH(AK$7,$F$7:$AG$7,1))</f>
        <v>282.95473441902</v>
      </c>
      <c r="AL51" s="123" t="n">
        <f aca="false">INDEX($F51:$AG51,1,MATCH(AL$7,$F$7:$AG$7,1))</f>
        <v>14295.1746965803</v>
      </c>
      <c r="AM51" s="123" t="n">
        <f aca="false">INDEX($F51:$AG51,1,MATCH(AM$7,$F$7:$AG$7,1))</f>
        <v>29837.2347448676</v>
      </c>
      <c r="AN51" s="123" t="n">
        <f aca="false">INDEX($F51:$AG51,1,MATCH(AN$7,$F$7:$AG$7,1))</f>
        <v>57604.5142562422</v>
      </c>
      <c r="AO51" s="123" t="n">
        <f aca="false">INDEX($F51:$AG51,1,MATCH(AO$7,$F$7:$AG$7,1))</f>
        <v>43700.5937676168</v>
      </c>
    </row>
    <row r="53" customFormat="false" ht="15" hidden="false" customHeight="false" outlineLevel="0" collapsed="false">
      <c r="A53" s="53" t="s">
        <v>1961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</row>
    <row r="54" customFormat="false" ht="15" hidden="false" customHeight="false" outlineLevel="0" collapsed="false">
      <c r="A54" s="104" t="s">
        <v>1962</v>
      </c>
      <c r="B54" s="20" t="s">
        <v>561</v>
      </c>
      <c r="C54" s="20" t="s">
        <v>495</v>
      </c>
      <c r="D54" s="20"/>
      <c r="F54" s="122" t="n">
        <f aca="false">SUMPRODUCT($E$26:F$26,((F$5-$E$5:F$5)&gt;=(PISLag+($E$5:F$5&gt;LastHist)*MAX(0,DCLead-2)))*((F$5-$E$5:F$5)&lt;LQ_Shell+(PISLag+($E$5:F$5&gt;LastHist)*MAX(0,DCLead-2))))/LQ_Shell</f>
        <v>0</v>
      </c>
      <c r="G54" s="122" t="n">
        <f aca="false">SUMPRODUCT($E$26:G$26,((G$5-$E$5:G$5)&gt;=(PISLag+($E$5:G$5&gt;LastHist)*MAX(0,DCLead-2)))*((G$5-$E$5:G$5)&lt;LQ_Shell+(PISLag+($E$5:G$5&gt;LastHist)*MAX(0,DCLead-2))))/LQ_Shell</f>
        <v>0.13</v>
      </c>
      <c r="H54" s="122" t="n">
        <f aca="false">SUMPRODUCT($E$26:H$26,((H$5-$E$5:H$5)&gt;=(PISLag+($E$5:H$5&gt;LastHist)*MAX(0,DCLead-2)))*((H$5-$E$5:H$5)&lt;LQ_Shell+(PISLag+($E$5:H$5&gt;LastHist)*MAX(0,DCLead-2))))/LQ_Shell</f>
        <v>0.26</v>
      </c>
      <c r="I54" s="122" t="n">
        <f aca="false">SUMPRODUCT($E$26:I$26,((I$5-$E$5:I$5)&gt;=(PISLag+($E$5:I$5&gt;LastHist)*MAX(0,DCLead-2)))*((I$5-$E$5:I$5)&lt;LQ_Shell+(PISLag+($E$5:I$5&gt;LastHist)*MAX(0,DCLead-2))))/LQ_Shell</f>
        <v>0.3899</v>
      </c>
      <c r="J54" s="122" t="n">
        <f aca="false">SUMPRODUCT($E$26:J$26,((J$5-$E$5:J$5)&gt;=(PISLag+($E$5:J$5&gt;LastHist)*MAX(0,DCLead-2)))*((J$5-$E$5:J$5)&lt;LQ_Shell+(PISLag+($E$5:J$5&gt;LastHist)*MAX(0,DCLead-2))))/LQ_Shell</f>
        <v>0.8075</v>
      </c>
      <c r="K54" s="122" t="n">
        <f aca="false">SUMPRODUCT($E$26:K$26,((K$5-$E$5:K$5)&gt;=(PISLag+($E$5:K$5&gt;LastHist)*MAX(0,DCLead-2)))*((K$5-$E$5:K$5)&lt;LQ_Shell+(PISLag+($E$5:K$5&gt;LastHist)*MAX(0,DCLead-2))))/LQ_Shell</f>
        <v>1.3515</v>
      </c>
      <c r="L54" s="122" t="n">
        <f aca="false">SUMPRODUCT($E$26:L$26,((L$5-$E$5:L$5)&gt;=(PISLag+($E$5:L$5&gt;LastHist)*MAX(0,DCLead-2)))*((L$5-$E$5:L$5)&lt;LQ_Shell+(PISLag+($E$5:L$5&gt;LastHist)*MAX(0,DCLead-2))))/LQ_Shell</f>
        <v>1.8621</v>
      </c>
      <c r="M54" s="122" t="n">
        <f aca="false">SUMPRODUCT($E$26:M$26,((M$5-$E$5:M$5)&gt;=(PISLag+($E$5:M$5&gt;LastHist)*MAX(0,DCLead-2)))*((M$5-$E$5:M$5)&lt;LQ_Shell+(PISLag+($E$5:M$5&gt;LastHist)*MAX(0,DCLead-2))))/LQ_Shell</f>
        <v>2.8176</v>
      </c>
      <c r="N54" s="122" t="n">
        <f aca="false">SUMPRODUCT($E$26:N$26,((N$5-$E$5:N$5)&gt;=(PISLag+($E$5:N$5&gt;LastHist)*MAX(0,DCLead-2)))*((N$5-$E$5:N$5)&lt;LQ_Shell+(PISLag+($E$5:N$5&gt;LastHist)*MAX(0,DCLead-2))))/LQ_Shell</f>
        <v>4.8736</v>
      </c>
      <c r="O54" s="122" t="n">
        <f aca="false">SUMPRODUCT($E$26:O$26,((O$5-$E$5:O$5)&gt;=(PISLag+($E$5:O$5&gt;LastHist)*MAX(0,DCLead-2)))*((O$5-$E$5:O$5)&lt;LQ_Shell+(PISLag+($E$5:O$5&gt;LastHist)*MAX(0,DCLead-2))))/LQ_Shell</f>
        <v>7.3465</v>
      </c>
      <c r="P54" s="123" t="n">
        <f aca="false">SUMPRODUCT($E$26:P$26,((P$5-$E$5:P$5)&gt;=(PISLag+($E$5:P$5&gt;LastHist)*MAX(0,DCLead-2)))*((P$5-$E$5:P$5)&lt;LQ_Shell+(PISLag+($E$5:P$5&gt;LastHist)*MAX(0,DCLead-2))))/LQ_Shell</f>
        <v>13.0039</v>
      </c>
      <c r="Q54" s="123" t="n">
        <f aca="false">SUMPRODUCT($E$26:Q$26,((Q$5-$E$5:Q$5)&gt;=(PISLag+($E$5:Q$5&gt;LastHist)*MAX(0,DCLead-2)))*((Q$5-$E$5:Q$5)&lt;LQ_Shell+(PISLag+($E$5:Q$5&gt;LastHist)*MAX(0,DCLead-2))))/LQ_Shell</f>
        <v>13.0039</v>
      </c>
      <c r="R54" s="123" t="n">
        <f aca="false">SUMPRODUCT($E$26:R$26,((R$5-$E$5:R$5)&gt;=(PISLag+($E$5:R$5&gt;LastHist)*MAX(0,DCLead-2)))*((R$5-$E$5:R$5)&lt;LQ_Shell+(PISLag+($E$5:R$5&gt;LastHist)*MAX(0,DCLead-2))))/LQ_Shell</f>
        <v>13.5664</v>
      </c>
      <c r="S54" s="123" t="n">
        <f aca="false">SUMPRODUCT($E$26:S$26,((S$5-$E$5:S$5)&gt;=(PISLag+($E$5:S$5&gt;LastHist)*MAX(0,DCLead-2)))*((S$5-$E$5:S$5)&lt;LQ_Shell+(PISLag+($E$5:S$5&gt;LastHist)*MAX(0,DCLead-2))))/LQ_Shell</f>
        <v>14.9164</v>
      </c>
      <c r="T54" s="123" t="n">
        <f aca="false">SUMPRODUCT($E$26:T$26,((T$5-$E$5:T$5)&gt;=(PISLag+($E$5:T$5&gt;LastHist)*MAX(0,DCLead-2)))*((T$5-$E$5:T$5)&lt;LQ_Shell+(PISLag+($E$5:T$5&gt;LastHist)*MAX(0,DCLead-2))))/LQ_Shell</f>
        <v>19.0789</v>
      </c>
      <c r="U54" s="123" t="n">
        <f aca="false">SUMPRODUCT($E$26:U$26,((U$5-$E$5:U$5)&gt;=(PISLag+($E$5:U$5&gt;LastHist)*MAX(0,DCLead-2)))*((U$5-$E$5:U$5)&lt;LQ_Shell+(PISLag+($E$5:U$5&gt;LastHist)*MAX(0,DCLead-2))))/LQ_Shell</f>
        <v>28.0789</v>
      </c>
      <c r="V54" s="123" t="n">
        <f aca="false">SUMPRODUCT($E$26:V$26,((V$5-$E$5:V$5)&gt;=(PISLag+($E$5:V$5&gt;LastHist)*MAX(0,DCLead-2)))*((V$5-$E$5:V$5)&lt;LQ_Shell+(PISLag+($E$5:V$5&gt;LastHist)*MAX(0,DCLead-2))))/LQ_Shell</f>
        <v>32.5789</v>
      </c>
      <c r="W54" s="123" t="n">
        <f aca="false">SUMPRODUCT($E$26:W$26,((W$5-$E$5:W$5)&gt;=(PISLag+($E$5:W$5&gt;LastHist)*MAX(0,DCLead-2)))*((W$5-$E$5:W$5)&lt;LQ_Shell+(PISLag+($E$5:W$5&gt;LastHist)*MAX(0,DCLead-2))))/LQ_Shell</f>
        <v>41.3539</v>
      </c>
      <c r="X54" s="123" t="n">
        <f aca="false">SUMPRODUCT($E$26:X$26,((X$5-$E$5:X$5)&gt;=(PISLag+($E$5:X$5&gt;LastHist)*MAX(0,DCLead-2)))*((X$5-$E$5:X$5)&lt;LQ_Shell+(PISLag+($E$5:X$5&gt;LastHist)*MAX(0,DCLead-2))))/LQ_Shell</f>
        <v>41.3539</v>
      </c>
      <c r="Y54" s="123" t="n">
        <f aca="false">SUMPRODUCT($E$26:Y$26,((Y$5-$E$5:Y$5)&gt;=(PISLag+($E$5:Y$5&gt;LastHist)*MAX(0,DCLead-2)))*((Y$5-$E$5:Y$5)&lt;LQ_Shell+(PISLag+($E$5:Y$5&gt;LastHist)*MAX(0,DCLead-2))))/LQ_Shell</f>
        <v>57.1039</v>
      </c>
      <c r="Z54" s="123" t="n">
        <f aca="false">SUMPRODUCT($E$26:Z$26,((Z$5-$E$5:Z$5)&gt;=(PISLag+($E$5:Z$5&gt;LastHist)*MAX(0,DCLead-2)))*((Z$5-$E$5:Z$5)&lt;LQ_Shell+(PISLag+($E$5:Z$5&gt;LastHist)*MAX(0,DCLead-2))))/LQ_Shell</f>
        <v>57.1039</v>
      </c>
      <c r="AA54" s="123" t="n">
        <f aca="false">SUMPRODUCT($E$26:AA$26,((AA$5-$E$5:AA$5)&gt;=(PISLag+($E$5:AA$5&gt;LastHist)*MAX(0,DCLead-2)))*((AA$5-$E$5:AA$5)&lt;LQ_Shell+(PISLag+($E$5:AA$5&gt;LastHist)*MAX(0,DCLead-2))))/LQ_Shell</f>
        <v>76.0039</v>
      </c>
      <c r="AB54" s="123" t="n">
        <f aca="false">SUMPRODUCT($E$26:AB$26,((AB$5-$E$5:AB$5)&gt;=(PISLag+($E$5:AB$5&gt;LastHist)*MAX(0,DCLead-2)))*((AB$5-$E$5:AB$5)&lt;LQ_Shell+(PISLag+($E$5:AB$5&gt;LastHist)*MAX(0,DCLead-2))))/LQ_Shell</f>
        <v>76.0039</v>
      </c>
      <c r="AC54" s="123" t="n">
        <f aca="false">SUMPRODUCT($E$26:AC$26,((AC$5-$E$5:AC$5)&gt;=(PISLag+($E$5:AC$5&gt;LastHist)*MAX(0,DCLead-2)))*((AC$5-$E$5:AC$5)&lt;LQ_Shell+(PISLag+($E$5:AC$5&gt;LastHist)*MAX(0,DCLead-2))))/LQ_Shell</f>
        <v>102.3289</v>
      </c>
      <c r="AD54" s="123" t="n">
        <f aca="false">SUMPRODUCT($E$26:AD$26,((AD$5-$E$5:AD$5)&gt;=(PISLag+($E$5:AD$5&gt;LastHist)*MAX(0,DCLead-2)))*((AD$5-$E$5:AD$5)&lt;LQ_Shell+(PISLag+($E$5:AD$5&gt;LastHist)*MAX(0,DCLead-2))))/LQ_Shell</f>
        <v>102.3289</v>
      </c>
      <c r="AE54" s="123" t="n">
        <f aca="false">SUMPRODUCT($E$26:AE$26,((AE$5-$E$5:AE$5)&gt;=(PISLag+($E$5:AE$5&gt;LastHist)*MAX(0,DCLead-2)))*((AE$5-$E$5:AE$5)&lt;LQ_Shell+(PISLag+($E$5:AE$5&gt;LastHist)*MAX(0,DCLead-2))))/LQ_Shell</f>
        <v>102.3289</v>
      </c>
      <c r="AF54" s="123" t="n">
        <f aca="false">SUMPRODUCT($E$26:AF$26,((AF$5-$E$5:AF$5)&gt;=(PISLag+($E$5:AF$5&gt;LastHist)*MAX(0,DCLead-2)))*((AF$5-$E$5:AF$5)&lt;LQ_Shell+(PISLag+($E$5:AF$5&gt;LastHist)*MAX(0,DCLead-2))))/LQ_Shell</f>
        <v>102.3289</v>
      </c>
      <c r="AG54" s="123" t="n">
        <f aca="false">SUMPRODUCT($E$26:AG$26,((AG$5-$E$5:AG$5)&gt;=(PISLag+($E$5:AG$5&gt;LastHist)*MAX(0,DCLead-2)))*((AG$5-$E$5:AG$5)&lt;LQ_Shell+(PISLag+($E$5:AG$5&gt;LastHist)*MAX(0,DCLead-2))))/LQ_Shell</f>
        <v>102.3289</v>
      </c>
      <c r="AI54" s="123" t="n">
        <f aca="false">SUMIF($F$7:$AG$7,AI$7,$F54:$AG54)</f>
        <v>0.7799</v>
      </c>
      <c r="AJ54" s="123" t="n">
        <f aca="false">SUMIF($F$7:$AG$7,AJ$7,$F54:$AG54)</f>
        <v>6.8387</v>
      </c>
      <c r="AK54" s="123" t="n">
        <f aca="false">SUMIF($F$7:$AG$7,AK$7,$F54:$AG54)</f>
        <v>38.2279</v>
      </c>
      <c r="AL54" s="123" t="n">
        <f aca="false">SUMIF($F$7:$AG$7,AL$7,$F54:$AG54)</f>
        <v>75.6406</v>
      </c>
      <c r="AM54" s="123" t="n">
        <f aca="false">SUMIF($F$7:$AG$7,AM$7,$F54:$AG54)</f>
        <v>172.3906</v>
      </c>
      <c r="AN54" s="123" t="n">
        <f aca="false">SUMIF($F$7:$AG$7,AN$7,$F54:$AG54)</f>
        <v>311.4406</v>
      </c>
      <c r="AO54" s="123" t="n">
        <f aca="false">SUMIF($F$7:$AG$7,AO$7,$F54:$AG54)</f>
        <v>409.3156</v>
      </c>
    </row>
    <row r="55" customFormat="false" ht="15" hidden="false" customHeight="false" outlineLevel="0" collapsed="false">
      <c r="A55" s="104" t="s">
        <v>1963</v>
      </c>
      <c r="B55" s="20" t="s">
        <v>561</v>
      </c>
      <c r="C55" s="20" t="s">
        <v>495</v>
      </c>
      <c r="D55" s="20"/>
      <c r="F55" s="122" t="n">
        <f aca="false">SUMPRODUCT($E$27:F$27,((F$5-$E$5:F$5)&gt;=(PISLag+($E$5:F$5&gt;LastHist)*MAX(0,DCLead-2)))*((F$5-$E$5:F$5)&lt;LQ_Pow+(PISLag+($E$5:F$5&gt;LastHist)*MAX(0,DCLead-2))))/LQ_Pow</f>
        <v>0</v>
      </c>
      <c r="G55" s="122" t="n">
        <f aca="false">SUMPRODUCT($E$27:G$27,((G$5-$E$5:G$5)&gt;=(PISLag+($E$5:G$5&gt;LastHist)*MAX(0,DCLead-2)))*((G$5-$E$5:G$5)&lt;LQ_Pow+(PISLag+($E$5:G$5&gt;LastHist)*MAX(0,DCLead-2))))/LQ_Pow</f>
        <v>0.39</v>
      </c>
      <c r="H55" s="122" t="n">
        <f aca="false">SUMPRODUCT($E$27:H$27,((H$5-$E$5:H$5)&gt;=(PISLag+($E$5:H$5&gt;LastHist)*MAX(0,DCLead-2)))*((H$5-$E$5:H$5)&lt;LQ_Pow+(PISLag+($E$5:H$5&gt;LastHist)*MAX(0,DCLead-2))))/LQ_Pow</f>
        <v>0.78</v>
      </c>
      <c r="I55" s="122" t="n">
        <f aca="false">SUMPRODUCT($E$27:I$27,((I$5-$E$5:I$5)&gt;=(PISLag+($E$5:I$5&gt;LastHist)*MAX(0,DCLead-2)))*((I$5-$E$5:I$5)&lt;LQ_Pow+(PISLag+($E$5:I$5&gt;LastHist)*MAX(0,DCLead-2))))/LQ_Pow</f>
        <v>1.1697</v>
      </c>
      <c r="J55" s="122" t="n">
        <f aca="false">SUMPRODUCT($E$27:J$27,((J$5-$E$5:J$5)&gt;=(PISLag+($E$5:J$5&gt;LastHist)*MAX(0,DCLead-2)))*((J$5-$E$5:J$5)&lt;LQ_Pow+(PISLag+($E$5:J$5&gt;LastHist)*MAX(0,DCLead-2))))/LQ_Pow</f>
        <v>2.4225</v>
      </c>
      <c r="K55" s="122" t="n">
        <f aca="false">SUMPRODUCT($E$27:K$27,((K$5-$E$5:K$5)&gt;=(PISLag+($E$5:K$5&gt;LastHist)*MAX(0,DCLead-2)))*((K$5-$E$5:K$5)&lt;LQ_Pow+(PISLag+($E$5:K$5&gt;LastHist)*MAX(0,DCLead-2))))/LQ_Pow</f>
        <v>4.0545</v>
      </c>
      <c r="L55" s="122" t="n">
        <f aca="false">SUMPRODUCT($E$27:L$27,((L$5-$E$5:L$5)&gt;=(PISLag+($E$5:L$5&gt;LastHist)*MAX(0,DCLead-2)))*((L$5-$E$5:L$5)&lt;LQ_Pow+(PISLag+($E$5:L$5&gt;LastHist)*MAX(0,DCLead-2))))/LQ_Pow</f>
        <v>5.5863</v>
      </c>
      <c r="M55" s="122" t="n">
        <f aca="false">SUMPRODUCT($E$27:M$27,((M$5-$E$5:M$5)&gt;=(PISLag+($E$5:M$5&gt;LastHist)*MAX(0,DCLead-2)))*((M$5-$E$5:M$5)&lt;LQ_Pow+(PISLag+($E$5:M$5&gt;LastHist)*MAX(0,DCLead-2))))/LQ_Pow</f>
        <v>8.4528</v>
      </c>
      <c r="N55" s="122" t="n">
        <f aca="false">SUMPRODUCT($E$27:N$27,((N$5-$E$5:N$5)&gt;=(PISLag+($E$5:N$5&gt;LastHist)*MAX(0,DCLead-2)))*((N$5-$E$5:N$5)&lt;LQ_Pow+(PISLag+($E$5:N$5&gt;LastHist)*MAX(0,DCLead-2))))/LQ_Pow</f>
        <v>14.6208</v>
      </c>
      <c r="O55" s="122" t="n">
        <f aca="false">SUMPRODUCT($E$27:O$27,((O$5-$E$5:O$5)&gt;=(PISLag+($E$5:O$5&gt;LastHist)*MAX(0,DCLead-2)))*((O$5-$E$5:O$5)&lt;LQ_Pow+(PISLag+($E$5:O$5&gt;LastHist)*MAX(0,DCLead-2))))/LQ_Pow</f>
        <v>22.0395</v>
      </c>
      <c r="P55" s="123" t="n">
        <f aca="false">SUMPRODUCT($E$27:P$27,((P$5-$E$5:P$5)&gt;=(PISLag+($E$5:P$5&gt;LastHist)*MAX(0,DCLead-2)))*((P$5-$E$5:P$5)&lt;LQ_Pow+(PISLag+($E$5:P$5&gt;LastHist)*MAX(0,DCLead-2))))/LQ_Pow</f>
        <v>39.0117</v>
      </c>
      <c r="Q55" s="123" t="n">
        <f aca="false">SUMPRODUCT($E$27:Q$27,((Q$5-$E$5:Q$5)&gt;=(PISLag+($E$5:Q$5&gt;LastHist)*MAX(0,DCLead-2)))*((Q$5-$E$5:Q$5)&lt;LQ_Pow+(PISLag+($E$5:Q$5&gt;LastHist)*MAX(0,DCLead-2))))/LQ_Pow</f>
        <v>39.0117</v>
      </c>
      <c r="R55" s="123" t="n">
        <f aca="false">SUMPRODUCT($E$27:R$27,((R$5-$E$5:R$5)&gt;=(PISLag+($E$5:R$5&gt;LastHist)*MAX(0,DCLead-2)))*((R$5-$E$5:R$5)&lt;LQ_Pow+(PISLag+($E$5:R$5&gt;LastHist)*MAX(0,DCLead-2))))/LQ_Pow</f>
        <v>40.6992</v>
      </c>
      <c r="S55" s="123" t="n">
        <f aca="false">SUMPRODUCT($E$27:S$27,((S$5-$E$5:S$5)&gt;=(PISLag+($E$5:S$5&gt;LastHist)*MAX(0,DCLead-2)))*((S$5-$E$5:S$5)&lt;LQ_Pow+(PISLag+($E$5:S$5&gt;LastHist)*MAX(0,DCLead-2))))/LQ_Pow</f>
        <v>44.7492</v>
      </c>
      <c r="T55" s="123" t="n">
        <f aca="false">SUMPRODUCT($E$27:T$27,((T$5-$E$5:T$5)&gt;=(PISLag+($E$5:T$5&gt;LastHist)*MAX(0,DCLead-2)))*((T$5-$E$5:T$5)&lt;LQ_Pow+(PISLag+($E$5:T$5&gt;LastHist)*MAX(0,DCLead-2))))/LQ_Pow</f>
        <v>57.2367</v>
      </c>
      <c r="U55" s="123" t="n">
        <f aca="false">SUMPRODUCT($E$27:U$27,((U$5-$E$5:U$5)&gt;=(PISLag+($E$5:U$5&gt;LastHist)*MAX(0,DCLead-2)))*((U$5-$E$5:U$5)&lt;LQ_Pow+(PISLag+($E$5:U$5&gt;LastHist)*MAX(0,DCLead-2))))/LQ_Pow</f>
        <v>84.2367</v>
      </c>
      <c r="V55" s="123" t="n">
        <f aca="false">SUMPRODUCT($E$27:V$27,((V$5-$E$5:V$5)&gt;=(PISLag+($E$5:V$5&gt;LastHist)*MAX(0,DCLead-2)))*((V$5-$E$5:V$5)&lt;LQ_Pow+(PISLag+($E$5:V$5&gt;LastHist)*MAX(0,DCLead-2))))/LQ_Pow</f>
        <v>97.7367</v>
      </c>
      <c r="W55" s="123" t="n">
        <f aca="false">SUMPRODUCT($E$27:W$27,((W$5-$E$5:W$5)&gt;=(PISLag+($E$5:W$5&gt;LastHist)*MAX(0,DCLead-2)))*((W$5-$E$5:W$5)&lt;LQ_Pow+(PISLag+($E$5:W$5&gt;LastHist)*MAX(0,DCLead-2))))/LQ_Pow</f>
        <v>124.0617</v>
      </c>
      <c r="X55" s="123" t="n">
        <f aca="false">SUMPRODUCT($E$27:X$27,((X$5-$E$5:X$5)&gt;=(PISLag+($E$5:X$5&gt;LastHist)*MAX(0,DCLead-2)))*((X$5-$E$5:X$5)&lt;LQ_Pow+(PISLag+($E$5:X$5&gt;LastHist)*MAX(0,DCLead-2))))/LQ_Pow</f>
        <v>124.0617</v>
      </c>
      <c r="Y55" s="123" t="n">
        <f aca="false">SUMPRODUCT($E$27:Y$27,((Y$5-$E$5:Y$5)&gt;=(PISLag+($E$5:Y$5&gt;LastHist)*MAX(0,DCLead-2)))*((Y$5-$E$5:Y$5)&lt;LQ_Pow+(PISLag+($E$5:Y$5&gt;LastHist)*MAX(0,DCLead-2))))/LQ_Pow</f>
        <v>171.3117</v>
      </c>
      <c r="Z55" s="123" t="n">
        <f aca="false">SUMPRODUCT($E$27:Z$27,((Z$5-$E$5:Z$5)&gt;=(PISLag+($E$5:Z$5&gt;LastHist)*MAX(0,DCLead-2)))*((Z$5-$E$5:Z$5)&lt;LQ_Pow+(PISLag+($E$5:Z$5&gt;LastHist)*MAX(0,DCLead-2))))/LQ_Pow</f>
        <v>171.3117</v>
      </c>
      <c r="AA55" s="123" t="n">
        <f aca="false">SUMPRODUCT($E$27:AA$27,((AA$5-$E$5:AA$5)&gt;=(PISLag+($E$5:AA$5&gt;LastHist)*MAX(0,DCLead-2)))*((AA$5-$E$5:AA$5)&lt;LQ_Pow+(PISLag+($E$5:AA$5&gt;LastHist)*MAX(0,DCLead-2))))/LQ_Pow</f>
        <v>228.0117</v>
      </c>
      <c r="AB55" s="123" t="n">
        <f aca="false">SUMPRODUCT($E$27:AB$27,((AB$5-$E$5:AB$5)&gt;=(PISLag+($E$5:AB$5&gt;LastHist)*MAX(0,DCLead-2)))*((AB$5-$E$5:AB$5)&lt;LQ_Pow+(PISLag+($E$5:AB$5&gt;LastHist)*MAX(0,DCLead-2))))/LQ_Pow</f>
        <v>228.0117</v>
      </c>
      <c r="AC55" s="123" t="n">
        <f aca="false">SUMPRODUCT($E$27:AC$27,((AC$5-$E$5:AC$5)&gt;=(PISLag+($E$5:AC$5&gt;LastHist)*MAX(0,DCLead-2)))*((AC$5-$E$5:AC$5)&lt;LQ_Pow+(PISLag+($E$5:AC$5&gt;LastHist)*MAX(0,DCLead-2))))/LQ_Pow</f>
        <v>306.9867</v>
      </c>
      <c r="AD55" s="123" t="n">
        <f aca="false">SUMPRODUCT($E$27:AD$27,((AD$5-$E$5:AD$5)&gt;=(PISLag+($E$5:AD$5&gt;LastHist)*MAX(0,DCLead-2)))*((AD$5-$E$5:AD$5)&lt;LQ_Pow+(PISLag+($E$5:AD$5&gt;LastHist)*MAX(0,DCLead-2))))/LQ_Pow</f>
        <v>306.9867</v>
      </c>
      <c r="AE55" s="123" t="n">
        <f aca="false">SUMPRODUCT($E$27:AE$27,((AE$5-$E$5:AE$5)&gt;=(PISLag+($E$5:AE$5&gt;LastHist)*MAX(0,DCLead-2)))*((AE$5-$E$5:AE$5)&lt;LQ_Pow+(PISLag+($E$5:AE$5&gt;LastHist)*MAX(0,DCLead-2))))/LQ_Pow</f>
        <v>306.9867</v>
      </c>
      <c r="AF55" s="123" t="n">
        <f aca="false">SUMPRODUCT($E$27:AF$27,((AF$5-$E$5:AF$5)&gt;=(PISLag+($E$5:AF$5&gt;LastHist)*MAX(0,DCLead-2)))*((AF$5-$E$5:AF$5)&lt;LQ_Pow+(PISLag+($E$5:AF$5&gt;LastHist)*MAX(0,DCLead-2))))/LQ_Pow</f>
        <v>306.9867</v>
      </c>
      <c r="AG55" s="123" t="n">
        <f aca="false">SUMPRODUCT($E$27:AG$27,((AG$5-$E$5:AG$5)&gt;=(PISLag+($E$5:AG$5&gt;LastHist)*MAX(0,DCLead-2)))*((AG$5-$E$5:AG$5)&lt;LQ_Pow+(PISLag+($E$5:AG$5&gt;LastHist)*MAX(0,DCLead-2))))/LQ_Pow</f>
        <v>306.9867</v>
      </c>
      <c r="AI55" s="123" t="n">
        <f aca="false">SUMIF($F$7:$AG$7,AI$7,$F55:$AG55)</f>
        <v>2.3397</v>
      </c>
      <c r="AJ55" s="123" t="n">
        <f aca="false">SUMIF($F$7:$AG$7,AJ$7,$F55:$AG55)</f>
        <v>20.5161</v>
      </c>
      <c r="AK55" s="123" t="n">
        <f aca="false">SUMIF($F$7:$AG$7,AK$7,$F55:$AG55)</f>
        <v>114.6837</v>
      </c>
      <c r="AL55" s="123" t="n">
        <f aca="false">SUMIF($F$7:$AG$7,AL$7,$F55:$AG55)</f>
        <v>226.9218</v>
      </c>
      <c r="AM55" s="123" t="n">
        <f aca="false">SUMIF($F$7:$AG$7,AM$7,$F55:$AG55)</f>
        <v>517.1718</v>
      </c>
      <c r="AN55" s="123" t="n">
        <f aca="false">SUMIF($F$7:$AG$7,AN$7,$F55:$AG55)</f>
        <v>934.3218</v>
      </c>
      <c r="AO55" s="123" t="n">
        <f aca="false">SUMIF($F$7:$AG$7,AO$7,$F55:$AG55)</f>
        <v>1227.9468</v>
      </c>
    </row>
    <row r="56" customFormat="false" ht="15" hidden="false" customHeight="false" outlineLevel="0" collapsed="false">
      <c r="A56" s="104" t="s">
        <v>1964</v>
      </c>
      <c r="B56" s="20" t="s">
        <v>561</v>
      </c>
      <c r="C56" s="20" t="s">
        <v>495</v>
      </c>
      <c r="D56" s="20"/>
      <c r="F56" s="122" t="n">
        <f aca="false">SUMPRODUCT($E$28:F$28,((F$5-$E$5:F$5)&gt;=PISLag)*((F$5-$E$5:F$5)&lt;LQ_Maint+PISLag))/LQ_Maint</f>
        <v>0</v>
      </c>
      <c r="G56" s="122" t="n">
        <f aca="false">SUMPRODUCT($E$28:G$28,((G$5-$E$5:G$5)&gt;=PISLag)*((G$5-$E$5:G$5)&lt;LQ_Maint+PISLag))/LQ_Maint</f>
        <v>0</v>
      </c>
      <c r="H56" s="122" t="n">
        <f aca="false">SUMPRODUCT($E$28:H$28,((H$5-$E$5:H$5)&gt;=PISLag)*((H$5-$E$5:H$5)&lt;LQ_Maint+PISLag))/LQ_Maint</f>
        <v>0</v>
      </c>
      <c r="I56" s="122" t="n">
        <f aca="false">SUMPRODUCT($E$28:I$28,((I$5-$E$5:I$5)&gt;=PISLag)*((I$5-$E$5:I$5)&lt;LQ_Maint+PISLag))/LQ_Maint</f>
        <v>0</v>
      </c>
      <c r="J56" s="122" t="n">
        <f aca="false">SUMPRODUCT($E$28:J$28,((J$5-$E$5:J$5)&gt;=PISLag)*((J$5-$E$5:J$5)&lt;LQ_Maint+PISLag))/LQ_Maint</f>
        <v>0</v>
      </c>
      <c r="K56" s="122" t="n">
        <f aca="false">SUMPRODUCT($E$28:K$28,((K$5-$E$5:K$5)&gt;=PISLag)*((K$5-$E$5:K$5)&lt;LQ_Maint+PISLag))/LQ_Maint</f>
        <v>0</v>
      </c>
      <c r="L56" s="122" t="n">
        <f aca="false">SUMPRODUCT($E$28:L$28,((L$5-$E$5:L$5)&gt;=PISLag)*((L$5-$E$5:L$5)&lt;LQ_Maint+PISLag))/LQ_Maint</f>
        <v>0</v>
      </c>
      <c r="M56" s="122" t="n">
        <f aca="false">SUMPRODUCT($E$28:M$28,((M$5-$E$5:M$5)&gt;=PISLag)*((M$5-$E$5:M$5)&lt;LQ_Maint+PISLag))/LQ_Maint</f>
        <v>0</v>
      </c>
      <c r="N56" s="122" t="n">
        <f aca="false">SUMPRODUCT($E$28:N$28,((N$5-$E$5:N$5)&gt;=PISLag)*((N$5-$E$5:N$5)&lt;LQ_Maint+PISLag))/LQ_Maint</f>
        <v>0</v>
      </c>
      <c r="O56" s="122" t="n">
        <f aca="false">SUMPRODUCT($E$28:O$28,((O$5-$E$5:O$5)&gt;=PISLag)*((O$5-$E$5:O$5)&lt;LQ_Maint+PISLag))/LQ_Maint</f>
        <v>0</v>
      </c>
      <c r="P56" s="123" t="n">
        <f aca="false">SUMPRODUCT($E$28:P$28,((P$5-$E$5:P$5)&gt;=PISLag)*((P$5-$E$5:P$5)&lt;LQ_Maint+PISLag))/LQ_Maint</f>
        <v>0</v>
      </c>
      <c r="Q56" s="123" t="n">
        <f aca="false">SUMPRODUCT($E$28:Q$28,((Q$5-$E$5:Q$5)&gt;=PISLag)*((Q$5-$E$5:Q$5)&lt;LQ_Maint+PISLag))/LQ_Maint</f>
        <v>0.653683373262198</v>
      </c>
      <c r="R56" s="123" t="n">
        <f aca="false">SUMPRODUCT($E$28:R$28,((R$5-$E$5:R$5)&gt;=PISLag)*((R$5-$E$5:R$5)&lt;LQ_Maint+PISLag))/LQ_Maint</f>
        <v>1.44210833661368</v>
      </c>
      <c r="S56" s="123" t="n">
        <f aca="false">SUMPRODUCT($E$28:S$28,((S$5-$E$5:S$5)&gt;=PISLag)*((S$5-$E$5:S$5)&lt;LQ_Maint+PISLag))/LQ_Maint</f>
        <v>2.50149667269087</v>
      </c>
      <c r="T56" s="123" t="n">
        <f aca="false">SUMPRODUCT($E$28:T$28,((T$5-$E$5:T$5)&gt;=PISLag)*((T$5-$E$5:T$5)&lt;LQ_Maint+PISLag))/LQ_Maint</f>
        <v>4.05877285305722</v>
      </c>
      <c r="U56" s="123" t="n">
        <f aca="false">SUMPRODUCT($E$28:U$28,((U$5-$E$5:U$5)&gt;=PISLag)*((U$5-$E$5:U$5)&lt;LQ_Maint+PISLag))/LQ_Maint</f>
        <v>6.22955483423381</v>
      </c>
      <c r="V56" s="123" t="n">
        <f aca="false">SUMPRODUCT($E$28:V$28,((V$5-$E$5:V$5)&gt;=PISLag)*((V$5-$E$5:V$5)&lt;LQ_Maint+PISLag))/LQ_Maint</f>
        <v>9.06382568040291</v>
      </c>
      <c r="W56" s="123" t="n">
        <f aca="false">SUMPRODUCT($E$28:W$28,((W$5-$E$5:W$5)&gt;=PISLag)*((W$5-$E$5:W$5)&lt;LQ_Maint+PISLag))/LQ_Maint</f>
        <v>12.9086031150123</v>
      </c>
      <c r="X56" s="123" t="n">
        <f aca="false">SUMPRODUCT($E$28:X$28,((X$5-$E$5:X$5)&gt;=PISLag)*((X$5-$E$5:X$5)&lt;LQ_Maint+PISLag))/LQ_Maint</f>
        <v>17.630470608626</v>
      </c>
      <c r="Y56" s="123" t="n">
        <f aca="false">SUMPRODUCT($E$28:Y$28,((Y$5-$E$5:Y$5)&gt;=PISLag)*((Y$5-$E$5:Y$5)&lt;LQ_Maint+PISLag))/LQ_Maint</f>
        <v>22.9482493623006</v>
      </c>
      <c r="Z56" s="123" t="n">
        <f aca="false">SUMPRODUCT($E$28:Z$28,((Z$5-$E$5:Z$5)&gt;=PISLag)*((Z$5-$E$5:Z$5)&lt;LQ_Maint+PISLag))/LQ_Maint</f>
        <v>28.6707203284639</v>
      </c>
      <c r="AA56" s="123" t="n">
        <f aca="false">SUMPRODUCT($E$28:AA$28,((AA$5-$E$5:AA$5)&gt;=PISLag)*((AA$5-$E$5:AA$5)&lt;LQ_Maint+PISLag))/LQ_Maint</f>
        <v>35.2102054054882</v>
      </c>
      <c r="AB56" s="123" t="n">
        <f aca="false">SUMPRODUCT($E$28:AB$28,((AB$5-$E$5:AB$5)&gt;=PISLag)*((AB$5-$E$5:AB$5)&lt;LQ_Maint+PISLag))/LQ_Maint</f>
        <v>42.5572465154772</v>
      </c>
      <c r="AC56" s="123" t="n">
        <f aca="false">SUMPRODUCT($E$28:AC$28,((AC$5-$E$5:AC$5)&gt;=PISLag)*((AC$5-$E$5:AC$5)&lt;LQ_Maint+PISLag))/LQ_Maint</f>
        <v>50.68071269986</v>
      </c>
      <c r="AD56" s="123" t="n">
        <f aca="false">SUMPRODUCT($E$28:AD$28,((AD$5-$E$5:AD$5)&gt;=PISLag)*((AD$5-$E$5:AD$5)&lt;LQ_Maint+PISLag))/LQ_Maint</f>
        <v>59.5942188903255</v>
      </c>
      <c r="AE56" s="123" t="n">
        <f aca="false">SUMPRODUCT($E$28:AE$28,((AE$5-$E$5:AE$5)&gt;=PISLag)*((AE$5-$E$5:AE$5)&lt;LQ_Maint+PISLag))/LQ_Maint</f>
        <v>69.5703549974686</v>
      </c>
      <c r="AF56" s="123" t="n">
        <f aca="false">SUMPRODUCT($E$28:AF$28,((AF$5-$E$5:AF$5)&gt;=PISLag)*((AF$5-$E$5:AF$5)&lt;LQ_Maint+PISLag))/LQ_Maint</f>
        <v>80.6333879526425</v>
      </c>
      <c r="AG56" s="123" t="n">
        <f aca="false">SUMPRODUCT($E$28:AG$28,((AG$5-$E$5:AG$5)&gt;=PISLag)*((AG$5-$E$5:AG$5)&lt;LQ_Maint+PISLag))/LQ_Maint</f>
        <v>91.6630519297101</v>
      </c>
      <c r="AI56" s="123" t="n">
        <f aca="false">SUMIF($F$7:$AG$7,AI$7,$F56:$AG56)</f>
        <v>0</v>
      </c>
      <c r="AJ56" s="123" t="n">
        <f aca="false">SUMIF($F$7:$AG$7,AJ$7,$F56:$AG56)</f>
        <v>0</v>
      </c>
      <c r="AK56" s="123" t="n">
        <f aca="false">SUMIF($F$7:$AG$7,AK$7,$F56:$AG56)</f>
        <v>0.653683373262198</v>
      </c>
      <c r="AL56" s="123" t="n">
        <f aca="false">SUMIF($F$7:$AG$7,AL$7,$F56:$AG56)</f>
        <v>14.2319326965956</v>
      </c>
      <c r="AM56" s="123" t="n">
        <f aca="false">SUMIF($F$7:$AG$7,AM$7,$F56:$AG56)</f>
        <v>62.5511487663418</v>
      </c>
      <c r="AN56" s="123" t="n">
        <f aca="false">SUMIF($F$7:$AG$7,AN$7,$F56:$AG56)</f>
        <v>157.118884949289</v>
      </c>
      <c r="AO56" s="123" t="n">
        <f aca="false">SUMIF($F$7:$AG$7,AO$7,$F56:$AG56)</f>
        <v>301.461013770147</v>
      </c>
    </row>
    <row r="57" customFormat="false" ht="15" hidden="false" customHeight="false" outlineLevel="0" collapsed="false">
      <c r="A57" s="104" t="s">
        <v>1965</v>
      </c>
      <c r="B57" s="20" t="s">
        <v>561</v>
      </c>
      <c r="C57" s="20" t="s">
        <v>495</v>
      </c>
      <c r="D57" s="20"/>
      <c r="F57" s="122" t="n">
        <f aca="false">SUMPRODUCT($E$29:F$29,((F$5-$E$5:F$5)&gt;=PISLag)*((F$5-$E$5:F$5)&lt;LQ_N+PISLag))/LQ_N</f>
        <v>0</v>
      </c>
      <c r="G57" s="122" t="n">
        <f aca="false">SUMPRODUCT($E$29:G$29,((G$5-$E$5:G$5)&gt;=PISLag)*((G$5-$E$5:G$5)&lt;LQ_N+PISLag))/LQ_N</f>
        <v>0</v>
      </c>
      <c r="H57" s="122" t="n">
        <f aca="false">SUMPRODUCT($E$29:H$29,((H$5-$E$5:H$5)&gt;=PISLag)*((H$5-$E$5:H$5)&lt;LQ_N+PISLag))/LQ_N</f>
        <v>0</v>
      </c>
      <c r="I57" s="122" t="n">
        <f aca="false">SUMPRODUCT($E$29:I$29,((I$5-$E$5:I$5)&gt;=PISLag)*((I$5-$E$5:I$5)&lt;LQ_N+PISLag))/LQ_N</f>
        <v>0</v>
      </c>
      <c r="J57" s="122" t="n">
        <f aca="false">SUMPRODUCT($E$29:J$29,((J$5-$E$5:J$5)&gt;=PISLag)*((J$5-$E$5:J$5)&lt;LQ_N+PISLag))/LQ_N</f>
        <v>0</v>
      </c>
      <c r="K57" s="122" t="n">
        <f aca="false">SUMPRODUCT($E$29:K$29,((K$5-$E$5:K$5)&gt;=PISLag)*((K$5-$E$5:K$5)&lt;LQ_N+PISLag))/LQ_N</f>
        <v>0</v>
      </c>
      <c r="L57" s="122" t="n">
        <f aca="false">SUMPRODUCT($E$29:L$29,((L$5-$E$5:L$5)&gt;=PISLag)*((L$5-$E$5:L$5)&lt;LQ_N+PISLag))/LQ_N</f>
        <v>0</v>
      </c>
      <c r="M57" s="122" t="n">
        <f aca="false">SUMPRODUCT($E$29:M$29,((M$5-$E$5:M$5)&gt;=PISLag)*((M$5-$E$5:M$5)&lt;LQ_N+PISLag))/LQ_N</f>
        <v>0</v>
      </c>
      <c r="N57" s="122" t="n">
        <f aca="false">SUMPRODUCT($E$29:N$29,((N$5-$E$5:N$5)&gt;=PISLag)*((N$5-$E$5:N$5)&lt;LQ_N+PISLag))/LQ_N</f>
        <v>0</v>
      </c>
      <c r="O57" s="122" t="n">
        <f aca="false">SUMPRODUCT($E$29:O$29,((O$5-$E$5:O$5)&gt;=PISLag)*((O$5-$E$5:O$5)&lt;LQ_N+PISLag))/LQ_N</f>
        <v>0</v>
      </c>
      <c r="P57" s="123" t="n">
        <f aca="false">SUMPRODUCT($E$29:P$29,((P$5-$E$5:P$5)&gt;=PISLag)*((P$5-$E$5:P$5)&lt;LQ_N+PISLag))/LQ_N</f>
        <v>0</v>
      </c>
      <c r="Q57" s="123" t="n">
        <f aca="false">SUMPRODUCT($E$29:Q$29,((Q$5-$E$5:Q$5)&gt;=PISLag)*((Q$5-$E$5:Q$5)&lt;LQ_N+PISLag))/LQ_N</f>
        <v>0</v>
      </c>
      <c r="R57" s="123" t="n">
        <f aca="false">SUMPRODUCT($E$29:R$29,((R$5-$E$5:R$5)&gt;=PISLag)*((R$5-$E$5:R$5)&lt;LQ_N+PISLag))/LQ_N</f>
        <v>0</v>
      </c>
      <c r="S57" s="123" t="n">
        <f aca="false">SUMPRODUCT($E$29:S$29,((S$5-$E$5:S$5)&gt;=PISLag)*((S$5-$E$5:S$5)&lt;LQ_N+PISLag))/LQ_N</f>
        <v>0</v>
      </c>
      <c r="T57" s="123" t="n">
        <f aca="false">SUMPRODUCT($E$29:T$29,((T$5-$E$5:T$5)&gt;=PISLag)*((T$5-$E$5:T$5)&lt;LQ_N+PISLag))/LQ_N</f>
        <v>0</v>
      </c>
      <c r="U57" s="123" t="n">
        <f aca="false">SUMPRODUCT($E$29:U$29,((U$5-$E$5:U$5)&gt;=PISLag)*((U$5-$E$5:U$5)&lt;LQ_N+PISLag))/LQ_N</f>
        <v>0</v>
      </c>
      <c r="V57" s="123" t="n">
        <f aca="false">SUMPRODUCT($E$29:V$29,((V$5-$E$5:V$5)&gt;=PISLag)*((V$5-$E$5:V$5)&lt;LQ_N+PISLag))/LQ_N</f>
        <v>0</v>
      </c>
      <c r="W57" s="123" t="n">
        <f aca="false">SUMPRODUCT($E$29:W$29,((W$5-$E$5:W$5)&gt;=PISLag)*((W$5-$E$5:W$5)&lt;LQ_N+PISLag))/LQ_N</f>
        <v>0</v>
      </c>
      <c r="X57" s="123" t="n">
        <f aca="false">SUMPRODUCT($E$29:X$29,((X$5-$E$5:X$5)&gt;=PISLag)*((X$5-$E$5:X$5)&lt;LQ_N+PISLag))/LQ_N</f>
        <v>0</v>
      </c>
      <c r="Y57" s="123" t="n">
        <f aca="false">SUMPRODUCT($E$29:Y$29,((Y$5-$E$5:Y$5)&gt;=PISLag)*((Y$5-$E$5:Y$5)&lt;LQ_N+PISLag))/LQ_N</f>
        <v>0</v>
      </c>
      <c r="Z57" s="123" t="n">
        <f aca="false">SUMPRODUCT($E$29:Z$29,((Z$5-$E$5:Z$5)&gt;=PISLag)*((Z$5-$E$5:Z$5)&lt;LQ_N+PISLag))/LQ_N</f>
        <v>7.12</v>
      </c>
      <c r="AA57" s="123" t="n">
        <f aca="false">SUMPRODUCT($E$29:AA$29,((AA$5-$E$5:AA$5)&gt;=PISLag)*((AA$5-$E$5:AA$5)&lt;LQ_N+PISLag))/LQ_N</f>
        <v>12.32</v>
      </c>
      <c r="AB57" s="123" t="n">
        <f aca="false">SUMPRODUCT($E$29:AB$29,((AB$5-$E$5:AB$5)&gt;=PISLag)*((AB$5-$E$5:AB$5)&lt;LQ_N+PISLag))/LQ_N</f>
        <v>17.52</v>
      </c>
      <c r="AC57" s="123" t="n">
        <f aca="false">SUMPRODUCT($E$29:AC$29,((AC$5-$E$5:AC$5)&gt;=PISLag)*((AC$5-$E$5:AC$5)&lt;LQ_N+PISLag))/LQ_N</f>
        <v>22.716</v>
      </c>
      <c r="AD57" s="123" t="n">
        <f aca="false">SUMPRODUCT($E$29:AD$29,((AD$5-$E$5:AD$5)&gt;=PISLag)*((AD$5-$E$5:AD$5)&lt;LQ_N+PISLag))/LQ_N</f>
        <v>39.42</v>
      </c>
      <c r="AE57" s="123" t="n">
        <f aca="false">SUMPRODUCT($E$29:AE$29,((AE$5-$E$5:AE$5)&gt;=PISLag)*((AE$5-$E$5:AE$5)&lt;LQ_N+PISLag))/LQ_N</f>
        <v>61.18</v>
      </c>
      <c r="AF57" s="123" t="n">
        <f aca="false">SUMPRODUCT($E$29:AF$29,((AF$5-$E$5:AF$5)&gt;=PISLag)*((AF$5-$E$5:AF$5)&lt;LQ_N+PISLag))/LQ_N</f>
        <v>81.604</v>
      </c>
      <c r="AG57" s="123" t="n">
        <f aca="false">SUMPRODUCT($E$29:AG$29,((AG$5-$E$5:AG$5)&gt;=PISLag)*((AG$5-$E$5:AG$5)&lt;LQ_N+PISLag))/LQ_N</f>
        <v>119.824</v>
      </c>
      <c r="AI57" s="123" t="n">
        <f aca="false">SUMIF($F$7:$AG$7,AI$7,$F57:$AG57)</f>
        <v>0</v>
      </c>
      <c r="AJ57" s="123" t="n">
        <f aca="false">SUMIF($F$7:$AG$7,AJ$7,$F57:$AG57)</f>
        <v>0</v>
      </c>
      <c r="AK57" s="123" t="n">
        <f aca="false">SUMIF($F$7:$AG$7,AK$7,$F57:$AG57)</f>
        <v>0</v>
      </c>
      <c r="AL57" s="123" t="n">
        <f aca="false">SUMIF($F$7:$AG$7,AL$7,$F57:$AG57)</f>
        <v>0</v>
      </c>
      <c r="AM57" s="123" t="n">
        <f aca="false">SUMIF($F$7:$AG$7,AM$7,$F57:$AG57)</f>
        <v>0</v>
      </c>
      <c r="AN57" s="123" t="n">
        <f aca="false">SUMIF($F$7:$AG$7,AN$7,$F57:$AG57)</f>
        <v>59.676</v>
      </c>
      <c r="AO57" s="123" t="n">
        <f aca="false">SUMIF($F$7:$AG$7,AO$7,$F57:$AG57)</f>
        <v>302.028</v>
      </c>
    </row>
    <row r="58" customFormat="false" ht="15" hidden="false" customHeight="false" outlineLevel="0" collapsed="false">
      <c r="A58" s="104" t="s">
        <v>1966</v>
      </c>
      <c r="B58" s="20" t="s">
        <v>561</v>
      </c>
      <c r="C58" s="20" t="s">
        <v>550</v>
      </c>
      <c r="D58" s="20"/>
      <c r="F58" s="122" t="n">
        <f aca="false">OtherDA</f>
        <v>5</v>
      </c>
      <c r="G58" s="122" t="n">
        <f aca="false">OtherDA</f>
        <v>5</v>
      </c>
      <c r="H58" s="122" t="n">
        <f aca="false">OtherDA</f>
        <v>5</v>
      </c>
      <c r="I58" s="122" t="n">
        <f aca="false">OtherDA</f>
        <v>5</v>
      </c>
      <c r="J58" s="122" t="n">
        <f aca="false">OtherDA</f>
        <v>5</v>
      </c>
      <c r="K58" s="122" t="n">
        <f aca="false">OtherDA</f>
        <v>5</v>
      </c>
      <c r="L58" s="122" t="n">
        <f aca="false">OtherDA</f>
        <v>5</v>
      </c>
      <c r="M58" s="122" t="n">
        <f aca="false">OtherDA</f>
        <v>5</v>
      </c>
      <c r="N58" s="122" t="n">
        <f aca="false">OtherDA</f>
        <v>5</v>
      </c>
      <c r="O58" s="122" t="n">
        <f aca="false">OtherDA</f>
        <v>5</v>
      </c>
      <c r="P58" s="123" t="n">
        <f aca="false">OtherDA</f>
        <v>5</v>
      </c>
      <c r="Q58" s="123" t="n">
        <f aca="false">OtherDA</f>
        <v>5</v>
      </c>
      <c r="R58" s="123" t="n">
        <f aca="false">OtherDA</f>
        <v>5</v>
      </c>
      <c r="S58" s="123" t="n">
        <f aca="false">OtherDA</f>
        <v>5</v>
      </c>
      <c r="T58" s="123" t="n">
        <f aca="false">OtherDA</f>
        <v>5</v>
      </c>
      <c r="U58" s="123" t="n">
        <f aca="false">OtherDA</f>
        <v>5</v>
      </c>
      <c r="V58" s="123" t="n">
        <f aca="false">OtherDA</f>
        <v>5</v>
      </c>
      <c r="W58" s="123" t="n">
        <f aca="false">OtherDA</f>
        <v>5</v>
      </c>
      <c r="X58" s="123" t="n">
        <f aca="false">OtherDA</f>
        <v>5</v>
      </c>
      <c r="Y58" s="123" t="n">
        <f aca="false">OtherDA</f>
        <v>5</v>
      </c>
      <c r="Z58" s="123" t="n">
        <f aca="false">OtherDA</f>
        <v>5</v>
      </c>
      <c r="AA58" s="123" t="n">
        <f aca="false">OtherDA</f>
        <v>5</v>
      </c>
      <c r="AB58" s="123" t="n">
        <f aca="false">OtherDA</f>
        <v>5</v>
      </c>
      <c r="AC58" s="123" t="n">
        <f aca="false">OtherDA</f>
        <v>5</v>
      </c>
      <c r="AD58" s="123" t="n">
        <f aca="false">OtherDA</f>
        <v>5</v>
      </c>
      <c r="AE58" s="123" t="n">
        <f aca="false">OtherDA</f>
        <v>5</v>
      </c>
      <c r="AF58" s="123" t="n">
        <f aca="false">OtherDA</f>
        <v>5</v>
      </c>
      <c r="AG58" s="123" t="n">
        <f aca="false">OtherDA</f>
        <v>5</v>
      </c>
      <c r="AI58" s="123" t="n">
        <f aca="false">SUMIF($F$7:$AG$7,AI$7,$F58:$AG58)</f>
        <v>20</v>
      </c>
      <c r="AJ58" s="123" t="n">
        <f aca="false">SUMIF($F$7:$AG$7,AJ$7,$F58:$AG58)</f>
        <v>20</v>
      </c>
      <c r="AK58" s="123" t="n">
        <f aca="false">SUMIF($F$7:$AG$7,AK$7,$F58:$AG58)</f>
        <v>20</v>
      </c>
      <c r="AL58" s="123" t="n">
        <f aca="false">SUMIF($F$7:$AG$7,AL$7,$F58:$AG58)</f>
        <v>20</v>
      </c>
      <c r="AM58" s="123" t="n">
        <f aca="false">SUMIF($F$7:$AG$7,AM$7,$F58:$AG58)</f>
        <v>20</v>
      </c>
      <c r="AN58" s="123" t="n">
        <f aca="false">SUMIF($F$7:$AG$7,AN$7,$F58:$AG58)</f>
        <v>20</v>
      </c>
      <c r="AO58" s="123" t="n">
        <f aca="false">SUMIF($F$7:$AG$7,AO$7,$F58:$AG58)</f>
        <v>20</v>
      </c>
    </row>
    <row r="59" customFormat="false" ht="15" hidden="false" customHeight="false" outlineLevel="0" collapsed="false">
      <c r="A59" s="104" t="s">
        <v>1967</v>
      </c>
      <c r="B59" s="20" t="s">
        <v>561</v>
      </c>
      <c r="C59" s="20" t="s">
        <v>550</v>
      </c>
      <c r="D59" s="20" t="s">
        <v>1968</v>
      </c>
      <c r="F59" s="122" t="n">
        <f aca="false">IF(F$5&lt;=LastHist,INDEX(H_CapInt,1,F$5),CapIntPct*(INDEX(CV_cpn,1,1)+INDEX(CV_acc,1,1)+INDEX(Sec_Int,1,1)))</f>
        <v>0</v>
      </c>
      <c r="G59" s="122" t="n">
        <f aca="false">IF(G$5&lt;=LastHist,INDEX(H_CapInt,1,G$5),CapIntPct*(INDEX(CV_cpn,1,2)+INDEX(CV_acc,1,2)+INDEX(Sec_Int,1,2)))</f>
        <v>0</v>
      </c>
      <c r="H59" s="122" t="n">
        <f aca="false">IF(H$5&lt;=LastHist,INDEX(H_CapInt,1,H$5),CapIntPct*(INDEX(CV_cpn,1,3)+INDEX(CV_acc,1,3)+INDEX(Sec_Int,1,3)))</f>
        <v>0</v>
      </c>
      <c r="I59" s="122" t="n">
        <f aca="false">IF(I$5&lt;=LastHist,INDEX(H_CapInt,1,I$5),CapIntPct*(INDEX(CV_cpn,1,4)+INDEX(CV_acc,1,4)+INDEX(Sec_Int,1,4)))</f>
        <v>0</v>
      </c>
      <c r="J59" s="122" t="n">
        <f aca="false">IF(J$5&lt;=LastHist,INDEX(H_CapInt,1,J$5),CapIntPct*(INDEX(CV_cpn,1,5)+INDEX(CV_acc,1,5)+INDEX(Sec_Int,1,5)))</f>
        <v>0</v>
      </c>
      <c r="K59" s="122" t="n">
        <f aca="false">IF(K$5&lt;=LastHist,INDEX(H_CapInt,1,K$5),CapIntPct*(INDEX(CV_cpn,1,6)+INDEX(CV_acc,1,6)+INDEX(Sec_Int,1,6)))</f>
        <v>0</v>
      </c>
      <c r="L59" s="122" t="n">
        <f aca="false">IF(L$5&lt;=LastHist,INDEX(H_CapInt,1,L$5),CapIntPct*(INDEX(CV_cpn,1,7)+INDEX(CV_acc,1,7)+INDEX(Sec_Int,1,7)))</f>
        <v>0</v>
      </c>
      <c r="M59" s="122" t="n">
        <f aca="false">IF(M$5&lt;=LastHist,INDEX(H_CapInt,1,M$5),CapIntPct*(INDEX(CV_cpn,1,8)+INDEX(CV_acc,1,8)+INDEX(Sec_Int,1,8)))</f>
        <v>0</v>
      </c>
      <c r="N59" s="122" t="n">
        <f aca="false">IF(N$5&lt;=LastHist,INDEX(H_CapInt,1,N$5),CapIntPct*(INDEX(CV_cpn,1,9)+INDEX(CV_acc,1,9)+INDEX(Sec_Int,1,9)))</f>
        <v>15.7</v>
      </c>
      <c r="O59" s="122" t="n">
        <f aca="false">IF(O$5&lt;=LastHist,INDEX(H_CapInt,1,O$5),CapIntPct*(INDEX(CV_cpn,1,10)+INDEX(CV_acc,1,10)+INDEX(Sec_Int,1,10)))</f>
        <v>40.2</v>
      </c>
      <c r="P59" s="123" t="n">
        <f aca="false">IF(P$5&lt;=LastHist,INDEX(H_CapInt,1,P$5),CapIntPct*(INDEX(CV_cpn,1,11)+INDEX(CV_acc,1,11)+INDEX(Sec_Int,1,11)))</f>
        <v>63.7840843762675</v>
      </c>
      <c r="Q59" s="123" t="n">
        <f aca="false">IF(Q$5&lt;=LastHist,INDEX(H_CapInt,1,Q$5),CapIntPct*(INDEX(CV_cpn,1,12)+INDEX(CV_acc,1,12)+INDEX(Sec_Int,1,12)))</f>
        <v>63.7840843762675</v>
      </c>
      <c r="R59" s="123" t="n">
        <f aca="false">IF(R$5&lt;=LastHist,INDEX(H_CapInt,1,R$5),CapIntPct*(INDEX(CV_cpn,1,13)+INDEX(CV_acc,1,13)+INDEX(Sec_Int,1,13)))</f>
        <v>94.6024891056684</v>
      </c>
      <c r="S59" s="123" t="n">
        <f aca="false">IF(S$5&lt;=LastHist,INDEX(H_CapInt,1,S$5),CapIntPct*(INDEX(CV_cpn,1,14)+INDEX(CV_acc,1,14)+INDEX(Sec_Int,1,14)))</f>
        <v>94.6024891056684</v>
      </c>
      <c r="T59" s="123" t="n">
        <f aca="false">IF(T$5&lt;=LastHist,INDEX(H_CapInt,1,T$5),CapIntPct*(INDEX(CV_cpn,1,15)+INDEX(CV_acc,1,15)+INDEX(Sec_Int,1,15)))</f>
        <v>125.388088125187</v>
      </c>
      <c r="U59" s="123" t="n">
        <f aca="false">IF(U$5&lt;=LastHist,INDEX(H_CapInt,1,U$5),CapIntPct*(INDEX(CV_cpn,1,16)+INDEX(CV_acc,1,16)+INDEX(Sec_Int,1,16)))</f>
        <v>125.388088125187</v>
      </c>
      <c r="V59" s="123" t="n">
        <f aca="false">IF(V$5&lt;=LastHist,INDEX(H_CapInt,1,V$5),CapIntPct*(INDEX(CV_cpn,1,17)+INDEX(CV_acc,1,17)+INDEX(Sec_Int,1,17)))</f>
        <v>125.388088125187</v>
      </c>
      <c r="W59" s="123" t="n">
        <f aca="false">IF(W$5&lt;=LastHist,INDEX(H_CapInt,1,W$5),CapIntPct*(INDEX(CV_cpn,1,18)+INDEX(CV_acc,1,18)+INDEX(Sec_Int,1,18)))</f>
        <v>125.388088125187</v>
      </c>
      <c r="X59" s="123" t="n">
        <f aca="false">IF(X$5&lt;=LastHist,INDEX(H_CapInt,1,X$5),CapIntPct*(INDEX(CV_cpn,1,19)+INDEX(CV_acc,1,19)+INDEX(Sec_Int,1,19)))</f>
        <v>125.388088125187</v>
      </c>
      <c r="Y59" s="123" t="n">
        <f aca="false">IF(Y$5&lt;=LastHist,INDEX(H_CapInt,1,Y$5),CapIntPct*(INDEX(CV_cpn,1,20)+INDEX(CV_acc,1,20)+INDEX(Sec_Int,1,20)))</f>
        <v>125.388088125187</v>
      </c>
      <c r="Z59" s="123" t="n">
        <f aca="false">IF(Z$5&lt;=LastHist,INDEX(H_CapInt,1,Z$5),CapIntPct*(INDEX(CV_cpn,1,21)+INDEX(CV_acc,1,21)+INDEX(Sec_Int,1,21)))</f>
        <v>125.388088125187</v>
      </c>
      <c r="AA59" s="123" t="n">
        <f aca="false">IF(AA$5&lt;=LastHist,INDEX(H_CapInt,1,AA$5),CapIntPct*(INDEX(CV_cpn,1,22)+INDEX(CV_acc,1,22)+INDEX(Sec_Int,1,22)))</f>
        <v>124.80376002081</v>
      </c>
      <c r="AB59" s="123" t="n">
        <f aca="false">IF(AB$5&lt;=LastHist,INDEX(H_CapInt,1,AB$5),CapIntPct*(INDEX(CV_cpn,1,23)+INDEX(CV_acc,1,23)+INDEX(Sec_Int,1,23)))</f>
        <v>124.80376002081</v>
      </c>
      <c r="AC59" s="123" t="n">
        <f aca="false">IF(AC$5&lt;=LastHist,INDEX(H_CapInt,1,AC$5),CapIntPct*(INDEX(CV_cpn,1,24)+INDEX(CV_acc,1,24)+INDEX(Sec_Int,1,24)))</f>
        <v>124.80376002081</v>
      </c>
      <c r="AD59" s="123" t="n">
        <f aca="false">IF(AD$5&lt;=LastHist,INDEX(H_CapInt,1,AD$5),CapIntPct*(INDEX(CV_cpn,1,25)+INDEX(CV_acc,1,25)+INDEX(Sec_Int,1,25)))</f>
        <v>113.920977959441</v>
      </c>
      <c r="AE59" s="123" t="n">
        <f aca="false">IF(AE$5&lt;=LastHist,INDEX(H_CapInt,1,AE$5),CapIntPct*(INDEX(CV_cpn,1,26)+INDEX(CV_acc,1,26)+INDEX(Sec_Int,1,26)))</f>
        <v>113.920977959441</v>
      </c>
      <c r="AF59" s="123" t="n">
        <f aca="false">IF(AF$5&lt;=LastHist,INDEX(H_CapInt,1,AF$5),CapIntPct*(INDEX(CV_cpn,1,27)+INDEX(CV_acc,1,27)+INDEX(Sec_Int,1,27)))</f>
        <v>95.9419644571817</v>
      </c>
      <c r="AG59" s="123" t="n">
        <f aca="false">IF(AG$5&lt;=LastHist,INDEX(H_CapInt,1,AG$5),CapIntPct*(INDEX(CV_cpn,1,28)+INDEX(CV_acc,1,28)+INDEX(Sec_Int,1,28)))</f>
        <v>95.9419644571817</v>
      </c>
      <c r="AI59" s="123" t="n">
        <f aca="false">SUMIF($F$7:$AG$7,AI$7,$F59:$AG59)</f>
        <v>0</v>
      </c>
      <c r="AJ59" s="123" t="n">
        <f aca="false">SUMIF($F$7:$AG$7,AJ$7,$F59:$AG59)</f>
        <v>0</v>
      </c>
      <c r="AK59" s="123" t="n">
        <f aca="false">SUMIF($F$7:$AG$7,AK$7,$F59:$AG59)</f>
        <v>183.468168752535</v>
      </c>
      <c r="AL59" s="123" t="n">
        <f aca="false">SUMIF($F$7:$AG$7,AL$7,$F59:$AG59)</f>
        <v>439.98115446171</v>
      </c>
      <c r="AM59" s="123" t="n">
        <f aca="false">SUMIF($F$7:$AG$7,AM$7,$F59:$AG59)</f>
        <v>501.552352500747</v>
      </c>
      <c r="AN59" s="123" t="n">
        <f aca="false">SUMIF($F$7:$AG$7,AN$7,$F59:$AG59)</f>
        <v>499.799368187617</v>
      </c>
      <c r="AO59" s="123" t="n">
        <f aca="false">SUMIF($F$7:$AG$7,AO$7,$F59:$AG59)</f>
        <v>419.725884833245</v>
      </c>
    </row>
    <row r="60" customFormat="false" ht="15" hidden="false" customHeight="false" outlineLevel="0" collapsed="false">
      <c r="A60" s="104" t="s">
        <v>1969</v>
      </c>
      <c r="B60" s="20" t="s">
        <v>561</v>
      </c>
      <c r="C60" s="20" t="s">
        <v>495</v>
      </c>
      <c r="D60" s="20"/>
      <c r="F60" s="122" t="n">
        <f aca="false">SUMPRODUCT($E$59:F$59,((F$5-$E$5:F$5)&gt;=PISLag)*((F$5-$E$5:F$5)&lt;LQ_CapInt+PISLag))/LQ_CapInt</f>
        <v>0</v>
      </c>
      <c r="G60" s="122" t="n">
        <f aca="false">SUMPRODUCT($E$59:G$59,((G$5-$E$5:G$5)&gt;=PISLag)*((G$5-$E$5:G$5)&lt;LQ_CapInt+PISLag))/LQ_CapInt</f>
        <v>0</v>
      </c>
      <c r="H60" s="122" t="n">
        <f aca="false">SUMPRODUCT($E$59:H$59,((H$5-$E$5:H$5)&gt;=PISLag)*((H$5-$E$5:H$5)&lt;LQ_CapInt+PISLag))/LQ_CapInt</f>
        <v>0</v>
      </c>
      <c r="I60" s="122" t="n">
        <f aca="false">SUMPRODUCT($E$59:I$59,((I$5-$E$5:I$5)&gt;=PISLag)*((I$5-$E$5:I$5)&lt;LQ_CapInt+PISLag))/LQ_CapInt</f>
        <v>0</v>
      </c>
      <c r="J60" s="122" t="n">
        <f aca="false">SUMPRODUCT($E$59:J$59,((J$5-$E$5:J$5)&gt;=PISLag)*((J$5-$E$5:J$5)&lt;LQ_CapInt+PISLag))/LQ_CapInt</f>
        <v>0</v>
      </c>
      <c r="K60" s="122" t="n">
        <f aca="false">SUMPRODUCT($E$59:K$59,((K$5-$E$5:K$5)&gt;=PISLag)*((K$5-$E$5:K$5)&lt;LQ_CapInt+PISLag))/LQ_CapInt</f>
        <v>0</v>
      </c>
      <c r="L60" s="122" t="n">
        <f aca="false">SUMPRODUCT($E$59:L$59,((L$5-$E$5:L$5)&gt;=PISLag)*((L$5-$E$5:L$5)&lt;LQ_CapInt+PISLag))/LQ_CapInt</f>
        <v>0</v>
      </c>
      <c r="M60" s="122" t="n">
        <f aca="false">SUMPRODUCT($E$59:M$59,((M$5-$E$5:M$5)&gt;=PISLag)*((M$5-$E$5:M$5)&lt;LQ_CapInt+PISLag))/LQ_CapInt</f>
        <v>0</v>
      </c>
      <c r="N60" s="122" t="n">
        <f aca="false">SUMPRODUCT($E$59:N$59,((N$5-$E$5:N$5)&gt;=PISLag)*((N$5-$E$5:N$5)&lt;LQ_CapInt+PISLag))/LQ_CapInt</f>
        <v>0</v>
      </c>
      <c r="O60" s="122" t="n">
        <f aca="false">SUMPRODUCT($E$59:O$59,((O$5-$E$5:O$5)&gt;=PISLag)*((O$5-$E$5:O$5)&lt;LQ_CapInt+PISLag))/LQ_CapInt</f>
        <v>0.785</v>
      </c>
      <c r="P60" s="123" t="n">
        <f aca="false">SUMPRODUCT($E$59:P$59,((P$5-$E$5:P$5)&gt;=PISLag)*((P$5-$E$5:P$5)&lt;LQ_CapInt+PISLag))/LQ_CapInt</f>
        <v>2.795</v>
      </c>
      <c r="Q60" s="123" t="n">
        <f aca="false">SUMPRODUCT($E$59:Q$59,((Q$5-$E$5:Q$5)&gt;=PISLag)*((Q$5-$E$5:Q$5)&lt;LQ_CapInt+PISLag))/LQ_CapInt</f>
        <v>5.98420421881338</v>
      </c>
      <c r="R60" s="123" t="n">
        <f aca="false">SUMPRODUCT($E$59:R$59,((R$5-$E$5:R$5)&gt;=PISLag)*((R$5-$E$5:R$5)&lt;LQ_CapInt+PISLag))/LQ_CapInt</f>
        <v>9.17340843762675</v>
      </c>
      <c r="S60" s="123" t="n">
        <f aca="false">SUMPRODUCT($E$59:S$59,((S$5-$E$5:S$5)&gt;=PISLag)*((S$5-$E$5:S$5)&lt;LQ_CapInt+PISLag))/LQ_CapInt</f>
        <v>13.9035328929102</v>
      </c>
      <c r="T60" s="123" t="n">
        <f aca="false">SUMPRODUCT($E$59:T$59,((T$5-$E$5:T$5)&gt;=PISLag)*((T$5-$E$5:T$5)&lt;LQ_CapInt+PISLag))/LQ_CapInt</f>
        <v>18.6336573481936</v>
      </c>
      <c r="U60" s="123" t="n">
        <f aca="false">SUMPRODUCT($E$59:U$59,((U$5-$E$5:U$5)&gt;=PISLag)*((U$5-$E$5:U$5)&lt;LQ_CapInt+PISLag))/LQ_CapInt</f>
        <v>24.9030617544529</v>
      </c>
      <c r="V60" s="123" t="n">
        <f aca="false">SUMPRODUCT($E$59:V$59,((V$5-$E$5:V$5)&gt;=PISLag)*((V$5-$E$5:V$5)&lt;LQ_CapInt+PISLag))/LQ_CapInt</f>
        <v>31.1724661607123</v>
      </c>
      <c r="W60" s="123" t="n">
        <f aca="false">SUMPRODUCT($E$59:W$59,((W$5-$E$5:W$5)&gt;=PISLag)*((W$5-$E$5:W$5)&lt;LQ_CapInt+PISLag))/LQ_CapInt</f>
        <v>37.4418705669716</v>
      </c>
      <c r="X60" s="123" t="n">
        <f aca="false">SUMPRODUCT($E$59:X$59,((X$5-$E$5:X$5)&gt;=PISLag)*((X$5-$E$5:X$5)&lt;LQ_CapInt+PISLag))/LQ_CapInt</f>
        <v>43.711274973231</v>
      </c>
      <c r="Y60" s="123" t="n">
        <f aca="false">SUMPRODUCT($E$59:Y$59,((Y$5-$E$5:Y$5)&gt;=PISLag)*((Y$5-$E$5:Y$5)&lt;LQ_CapInt+PISLag))/LQ_CapInt</f>
        <v>49.9806793794903</v>
      </c>
      <c r="Z60" s="123" t="n">
        <f aca="false">SUMPRODUCT($E$59:Z$59,((Z$5-$E$5:Z$5)&gt;=PISLag)*((Z$5-$E$5:Z$5)&lt;LQ_CapInt+PISLag))/LQ_CapInt</f>
        <v>56.2500837857496</v>
      </c>
      <c r="AA60" s="123" t="n">
        <f aca="false">SUMPRODUCT($E$59:AA$59,((AA$5-$E$5:AA$5)&gt;=PISLag)*((AA$5-$E$5:AA$5)&lt;LQ_CapInt+PISLag))/LQ_CapInt</f>
        <v>62.519488192009</v>
      </c>
      <c r="AB60" s="123" t="n">
        <f aca="false">SUMPRODUCT($E$59:AB$59,((AB$5-$E$5:AB$5)&gt;=PISLag)*((AB$5-$E$5:AB$5)&lt;LQ_CapInt+PISLag))/LQ_CapInt</f>
        <v>68.7596761930495</v>
      </c>
      <c r="AC60" s="123" t="n">
        <f aca="false">SUMPRODUCT($E$59:AC$59,((AC$5-$E$5:AC$5)&gt;=PISLag)*((AC$5-$E$5:AC$5)&lt;LQ_CapInt+PISLag))/LQ_CapInt</f>
        <v>74.99986419409</v>
      </c>
      <c r="AD60" s="123" t="n">
        <f aca="false">SUMPRODUCT($E$59:AD$59,((AD$5-$E$5:AD$5)&gt;=PISLag)*((AD$5-$E$5:AD$5)&lt;LQ_CapInt+PISLag))/LQ_CapInt</f>
        <v>81.2400521951305</v>
      </c>
      <c r="AE60" s="123" t="n">
        <f aca="false">SUMPRODUCT($E$59:AE$59,((AE$5-$E$5:AE$5)&gt;=PISLag)*((AE$5-$E$5:AE$5)&lt;LQ_CapInt+PISLag))/LQ_CapInt</f>
        <v>86.9361010931025</v>
      </c>
      <c r="AF60" s="123" t="n">
        <f aca="false">SUMPRODUCT($E$59:AF$59,((AF$5-$E$5:AF$5)&gt;=PISLag)*((AF$5-$E$5:AF$5)&lt;LQ_CapInt+PISLag))/LQ_CapInt</f>
        <v>92.6321499910746</v>
      </c>
      <c r="AG60" s="123" t="n">
        <f aca="false">SUMPRODUCT($E$59:AG$59,((AG$5-$E$5:AG$5)&gt;=PISLag)*((AG$5-$E$5:AG$5)&lt;LQ_CapInt+PISLag))/LQ_CapInt</f>
        <v>97.4292482139337</v>
      </c>
      <c r="AI60" s="123" t="n">
        <f aca="false">SUMIF($F$7:$AG$7,AI$7,$F60:$AG60)</f>
        <v>0</v>
      </c>
      <c r="AJ60" s="123" t="n">
        <f aca="false">SUMIF($F$7:$AG$7,AJ$7,$F60:$AG60)</f>
        <v>0</v>
      </c>
      <c r="AK60" s="123" t="n">
        <f aca="false">SUMIF($F$7:$AG$7,AK$7,$F60:$AG60)</f>
        <v>9.56420421881338</v>
      </c>
      <c r="AL60" s="123" t="n">
        <f aca="false">SUMIF($F$7:$AG$7,AL$7,$F60:$AG60)</f>
        <v>66.6136604331834</v>
      </c>
      <c r="AM60" s="123" t="n">
        <f aca="false">SUMIF($F$7:$AG$7,AM$7,$F60:$AG60)</f>
        <v>162.306291080405</v>
      </c>
      <c r="AN60" s="123" t="n">
        <f aca="false">SUMIF($F$7:$AG$7,AN$7,$F60:$AG60)</f>
        <v>262.529112364898</v>
      </c>
      <c r="AO60" s="123" t="n">
        <f aca="false">SUMIF($F$7:$AG$7,AO$7,$F60:$AG60)</f>
        <v>358.237551493241</v>
      </c>
    </row>
    <row r="61" customFormat="false" ht="15" hidden="false" customHeight="false" outlineLevel="0" collapsed="false">
      <c r="A61" s="104" t="s">
        <v>1970</v>
      </c>
      <c r="B61" s="20" t="s">
        <v>561</v>
      </c>
      <c r="C61" s="20" t="s">
        <v>495</v>
      </c>
      <c r="D61" s="20"/>
      <c r="F61" s="122" t="n">
        <f aca="false">SUMPRODUCT($E$31:F$31,((F$5-$E$5:F$5)&gt;=PISLag)*((F$5-$E$5:F$5)&lt;LQ_B+PISLag))/LQ_B</f>
        <v>0</v>
      </c>
      <c r="G61" s="122" t="n">
        <f aca="false">SUMPRODUCT($E$31:G$31,((G$5-$E$5:G$5)&gt;=PISLag)*((G$5-$E$5:G$5)&lt;LQ_B+PISLag))/LQ_B</f>
        <v>0</v>
      </c>
      <c r="H61" s="122" t="n">
        <f aca="false">SUMPRODUCT($E$31:H$31,((H$5-$E$5:H$5)&gt;=PISLag)*((H$5-$E$5:H$5)&lt;LQ_B+PISLag))/LQ_B</f>
        <v>0</v>
      </c>
      <c r="I61" s="122" t="n">
        <f aca="false">SUMPRODUCT($E$31:I$31,((I$5-$E$5:I$5)&gt;=PISLag)*((I$5-$E$5:I$5)&lt;LQ_B+PISLag))/LQ_B</f>
        <v>0</v>
      </c>
      <c r="J61" s="122" t="n">
        <f aca="false">SUMPRODUCT($E$31:J$31,((J$5-$E$5:J$5)&gt;=PISLag)*((J$5-$E$5:J$5)&lt;LQ_B+PISLag))/LQ_B</f>
        <v>0</v>
      </c>
      <c r="K61" s="122" t="n">
        <f aca="false">SUMPRODUCT($E$31:K$31,((K$5-$E$5:K$5)&gt;=PISLag)*((K$5-$E$5:K$5)&lt;LQ_B+PISLag))/LQ_B</f>
        <v>0</v>
      </c>
      <c r="L61" s="122" t="n">
        <f aca="false">SUMPRODUCT($E$31:L$31,((L$5-$E$5:L$5)&gt;=PISLag)*((L$5-$E$5:L$5)&lt;LQ_B+PISLag))/LQ_B</f>
        <v>0</v>
      </c>
      <c r="M61" s="122" t="n">
        <f aca="false">SUMPRODUCT($E$31:M$31,((M$5-$E$5:M$5)&gt;=PISLag)*((M$5-$E$5:M$5)&lt;LQ_B+PISLag))/LQ_B</f>
        <v>0</v>
      </c>
      <c r="N61" s="122" t="n">
        <f aca="false">SUMPRODUCT($E$31:N$31,((N$5-$E$5:N$5)&gt;=PISLag)*((N$5-$E$5:N$5)&lt;LQ_B+PISLag))/LQ_B</f>
        <v>0</v>
      </c>
      <c r="O61" s="122" t="n">
        <f aca="false">SUMPRODUCT($E$31:O$31,((O$5-$E$5:O$5)&gt;=PISLag)*((O$5-$E$5:O$5)&lt;LQ_B+PISLag))/LQ_B</f>
        <v>0</v>
      </c>
      <c r="P61" s="123" t="n">
        <f aca="false">SUMPRODUCT($E$31:P$31,((P$5-$E$5:P$5)&gt;=PISLag)*((P$5-$E$5:P$5)&lt;LQ_B+PISLag))/LQ_B</f>
        <v>0</v>
      </c>
      <c r="Q61" s="123" t="n">
        <f aca="false">SUMPRODUCT($E$31:Q$31,((Q$5-$E$5:Q$5)&gt;=PISLag)*((Q$5-$E$5:Q$5)&lt;LQ_B+PISLag))/LQ_B</f>
        <v>0</v>
      </c>
      <c r="R61" s="123" t="n">
        <f aca="false">SUMPRODUCT($E$31:R$31,((R$5-$E$5:R$5)&gt;=PISLag)*((R$5-$E$5:R$5)&lt;LQ_B+PISLag))/LQ_B</f>
        <v>0</v>
      </c>
      <c r="S61" s="123" t="n">
        <f aca="false">SUMPRODUCT($E$31:S$31,((S$5-$E$5:S$5)&gt;=PISLag)*((S$5-$E$5:S$5)&lt;LQ_B+PISLag))/LQ_B</f>
        <v>0</v>
      </c>
      <c r="T61" s="123" t="n">
        <f aca="false">SUMPRODUCT($E$31:T$31,((T$5-$E$5:T$5)&gt;=PISLag)*((T$5-$E$5:T$5)&lt;LQ_B+PISLag))/LQ_B</f>
        <v>0</v>
      </c>
      <c r="U61" s="123" t="n">
        <f aca="false">SUMPRODUCT($E$31:U$31,((U$5-$E$5:U$5)&gt;=PISLag)*((U$5-$E$5:U$5)&lt;LQ_B+PISLag))/LQ_B</f>
        <v>0</v>
      </c>
      <c r="V61" s="123" t="n">
        <f aca="false">SUMPRODUCT($E$31:V$31,((V$5-$E$5:V$5)&gt;=PISLag)*((V$5-$E$5:V$5)&lt;LQ_B+PISLag))/LQ_B</f>
        <v>0</v>
      </c>
      <c r="W61" s="123" t="n">
        <f aca="false">SUMPRODUCT($E$31:W$31,((W$5-$E$5:W$5)&gt;=PISLag)*((W$5-$E$5:W$5)&lt;LQ_B+PISLag))/LQ_B</f>
        <v>0</v>
      </c>
      <c r="X61" s="123" t="n">
        <f aca="false">SUMPRODUCT($E$31:X$31,((X$5-$E$5:X$5)&gt;=PISLag)*((X$5-$E$5:X$5)&lt;LQ_B+PISLag))/LQ_B</f>
        <v>0</v>
      </c>
      <c r="Y61" s="123" t="n">
        <f aca="false">SUMPRODUCT($E$31:Y$31,((Y$5-$E$5:Y$5)&gt;=PISLag)*((Y$5-$E$5:Y$5)&lt;LQ_B+PISLag))/LQ_B</f>
        <v>0</v>
      </c>
      <c r="Z61" s="123" t="n">
        <f aca="false">SUMPRODUCT($E$31:Z$31,((Z$5-$E$5:Z$5)&gt;=PISLag)*((Z$5-$E$5:Z$5)&lt;LQ_B+PISLag))/LQ_B</f>
        <v>0</v>
      </c>
      <c r="AA61" s="123" t="n">
        <f aca="false">SUMPRODUCT($E$31:AA$31,((AA$5-$E$5:AA$5)&gt;=PISLag)*((AA$5-$E$5:AA$5)&lt;LQ_B+PISLag))/LQ_B</f>
        <v>0</v>
      </c>
      <c r="AB61" s="123" t="n">
        <f aca="false">SUMPRODUCT($E$31:AB$31,((AB$5-$E$5:AB$5)&gt;=PISLag)*((AB$5-$E$5:AB$5)&lt;LQ_B+PISLag))/LQ_B</f>
        <v>0</v>
      </c>
      <c r="AC61" s="123" t="n">
        <f aca="false">SUMPRODUCT($E$31:AC$31,((AC$5-$E$5:AC$5)&gt;=PISLag)*((AC$5-$E$5:AC$5)&lt;LQ_B+PISLag))/LQ_B</f>
        <v>0</v>
      </c>
      <c r="AD61" s="123" t="n">
        <f aca="false">SUMPRODUCT($E$31:AD$31,((AD$5-$E$5:AD$5)&gt;=PISLag)*((AD$5-$E$5:AD$5)&lt;LQ_B+PISLag))/LQ_B</f>
        <v>0</v>
      </c>
      <c r="AE61" s="123" t="n">
        <f aca="false">SUMPRODUCT($E$31:AE$31,((AE$5-$E$5:AE$5)&gt;=PISLag)*((AE$5-$E$5:AE$5)&lt;LQ_B+PISLag))/LQ_B</f>
        <v>0</v>
      </c>
      <c r="AF61" s="123" t="n">
        <f aca="false">SUMPRODUCT($E$31:AF$31,((AF$5-$E$5:AF$5)&gt;=PISLag)*((AF$5-$E$5:AF$5)&lt;LQ_B+PISLag))/LQ_B</f>
        <v>0</v>
      </c>
      <c r="AG61" s="123" t="n">
        <f aca="false">SUMPRODUCT($E$31:AG$31,((AG$5-$E$5:AG$5)&gt;=PISLag)*((AG$5-$E$5:AG$5)&lt;LQ_B+PISLag))/LQ_B</f>
        <v>0</v>
      </c>
      <c r="AI61" s="123" t="n">
        <f aca="false">SUMIF($F$7:$AG$7,AI$7,$F61:$AG61)</f>
        <v>0</v>
      </c>
      <c r="AJ61" s="123" t="n">
        <f aca="false">SUMIF($F$7:$AG$7,AJ$7,$F61:$AG61)</f>
        <v>0</v>
      </c>
      <c r="AK61" s="123" t="n">
        <f aca="false">SUMIF($F$7:$AG$7,AK$7,$F61:$AG61)</f>
        <v>0</v>
      </c>
      <c r="AL61" s="123" t="n">
        <f aca="false">SUMIF($F$7:$AG$7,AL$7,$F61:$AG61)</f>
        <v>0</v>
      </c>
      <c r="AM61" s="123" t="n">
        <f aca="false">SUMIF($F$7:$AG$7,AM$7,$F61:$AG61)</f>
        <v>0</v>
      </c>
      <c r="AN61" s="123" t="n">
        <f aca="false">SUMIF($F$7:$AG$7,AN$7,$F61:$AG61)</f>
        <v>0</v>
      </c>
      <c r="AO61" s="123" t="n">
        <f aca="false">SUMIF($F$7:$AG$7,AO$7,$F61:$AG61)</f>
        <v>0</v>
      </c>
    </row>
    <row r="63" customFormat="false" ht="15" hidden="false" customHeight="false" outlineLevel="0" collapsed="false">
      <c r="A63" s="53" t="s">
        <v>1971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</row>
    <row r="64" customFormat="false" ht="15" hidden="false" customHeight="false" outlineLevel="0" collapsed="false">
      <c r="A64" s="104" t="s">
        <v>1972</v>
      </c>
      <c r="B64" s="20" t="s">
        <v>561</v>
      </c>
      <c r="C64" s="20" t="s">
        <v>495</v>
      </c>
      <c r="D64" s="20"/>
      <c r="F64" s="122" t="n">
        <f aca="false">F39+F44+F49</f>
        <v>7.12</v>
      </c>
      <c r="G64" s="122" t="n">
        <f aca="false">G39+G44+G49</f>
        <v>12.32</v>
      </c>
      <c r="H64" s="122" t="n">
        <f aca="false">H39+H44+H49</f>
        <v>17.52</v>
      </c>
      <c r="I64" s="122" t="n">
        <f aca="false">I39+I44+I49</f>
        <v>22.716</v>
      </c>
      <c r="J64" s="122" t="n">
        <f aca="false">J39+J44+J49</f>
        <v>39.42</v>
      </c>
      <c r="K64" s="122" t="n">
        <f aca="false">K39+K44+K49</f>
        <v>61.18</v>
      </c>
      <c r="L64" s="122" t="n">
        <f aca="false">L39+L44+L49</f>
        <v>81.604</v>
      </c>
      <c r="M64" s="122" t="n">
        <f aca="false">M39+M44+M49</f>
        <v>119.824</v>
      </c>
      <c r="N64" s="122" t="n">
        <f aca="false">N39+N44+N49</f>
        <v>202.064</v>
      </c>
      <c r="O64" s="122" t="n">
        <f aca="false">O39+O44+O49</f>
        <v>300.98</v>
      </c>
      <c r="P64" s="123" t="n">
        <f aca="false">P39+P44+P49</f>
        <v>527.276</v>
      </c>
      <c r="Q64" s="123" t="n">
        <f aca="false">Q39+Q44+Q49</f>
        <v>527.276</v>
      </c>
      <c r="R64" s="123" t="n">
        <f aca="false">R39+R44+R49</f>
        <v>695.986</v>
      </c>
      <c r="S64" s="123" t="n">
        <f aca="false">S39+S44+S49</f>
        <v>942.711</v>
      </c>
      <c r="T64" s="123" t="n">
        <f aca="false">T39+T44+T49</f>
        <v>1211.046</v>
      </c>
      <c r="U64" s="123" t="n">
        <f aca="false">U39+U44+U49</f>
        <v>1505.851</v>
      </c>
      <c r="V64" s="123" t="n">
        <f aca="false">V39+V44+V49</f>
        <v>2074.626</v>
      </c>
      <c r="W64" s="123" t="n">
        <f aca="false">W39+W44+W49</f>
        <v>2279.251</v>
      </c>
      <c r="X64" s="123" t="n">
        <f aca="false">X39+X44+X49</f>
        <v>2628.301</v>
      </c>
      <c r="Y64" s="123" t="n">
        <f aca="false">Y39+Y44+Y49</f>
        <v>2653.926</v>
      </c>
      <c r="Z64" s="123" t="n">
        <f aca="false">Z39+Z44+Z49</f>
        <v>3371.706</v>
      </c>
      <c r="AA64" s="123" t="n">
        <f aca="false">AA39+AA44+AA49</f>
        <v>3366.506</v>
      </c>
      <c r="AB64" s="123" t="n">
        <f aca="false">AB39+AB44+AB49</f>
        <v>4113.106</v>
      </c>
      <c r="AC64" s="123" t="n">
        <f aca="false">AC39+AC44+AC49</f>
        <v>4107.91</v>
      </c>
      <c r="AD64" s="123" t="n">
        <f aca="false">AD39+AD44+AD49</f>
        <v>5138.356</v>
      </c>
      <c r="AE64" s="123" t="n">
        <f aca="false">AE39+AE44+AE49</f>
        <v>5116.596</v>
      </c>
      <c r="AF64" s="123" t="n">
        <f aca="false">AF39+AF44+AF49</f>
        <v>5096.172</v>
      </c>
      <c r="AG64" s="123" t="n">
        <f aca="false">AG39+AG44+AG49</f>
        <v>5057.952</v>
      </c>
      <c r="AI64" s="123" t="n">
        <f aca="false">SUMIF($F$7:$AG$7,AI$7,$F64:$AG64)</f>
        <v>59.676</v>
      </c>
      <c r="AJ64" s="123" t="n">
        <f aca="false">SUMIF($F$7:$AG$7,AJ$7,$F64:$AG64)</f>
        <v>302.028</v>
      </c>
      <c r="AK64" s="123" t="n">
        <f aca="false">SUMIF($F$7:$AG$7,AK$7,$F64:$AG64)</f>
        <v>1557.596</v>
      </c>
      <c r="AL64" s="123" t="n">
        <f aca="false">SUMIF($F$7:$AG$7,AL$7,$F64:$AG64)</f>
        <v>4355.594</v>
      </c>
      <c r="AM64" s="123" t="n">
        <f aca="false">SUMIF($F$7:$AG$7,AM$7,$F64:$AG64)</f>
        <v>9636.104</v>
      </c>
      <c r="AN64" s="123" t="n">
        <f aca="false">SUMIF($F$7:$AG$7,AN$7,$F64:$AG64)</f>
        <v>14959.228</v>
      </c>
      <c r="AO64" s="123" t="n">
        <f aca="false">SUMIF($F$7:$AG$7,AO$7,$F64:$AG64)</f>
        <v>20409.076</v>
      </c>
    </row>
    <row r="65" customFormat="false" ht="15" hidden="false" customHeight="false" outlineLevel="0" collapsed="false">
      <c r="A65" s="3" t="s">
        <v>1973</v>
      </c>
      <c r="B65" s="20" t="s">
        <v>561</v>
      </c>
      <c r="C65" s="20" t="s">
        <v>495</v>
      </c>
      <c r="D65" s="20"/>
      <c r="F65" s="124" t="n">
        <f aca="false">F64+F54+F55+F56+F58+F60+F61+F57</f>
        <v>12.12</v>
      </c>
      <c r="G65" s="124" t="n">
        <f aca="false">G64+G54+G55+G56+G58+G60+G61+G57</f>
        <v>17.84</v>
      </c>
      <c r="H65" s="124" t="n">
        <f aca="false">H64+H54+H55+H56+H58+H60+H61+H57</f>
        <v>23.56</v>
      </c>
      <c r="I65" s="124" t="n">
        <f aca="false">I64+I54+I55+I56+I58+I60+I61+I57</f>
        <v>29.2756</v>
      </c>
      <c r="J65" s="124" t="n">
        <f aca="false">J64+J54+J55+J56+J58+J60+J61+J57</f>
        <v>47.65</v>
      </c>
      <c r="K65" s="124" t="n">
        <f aca="false">K64+K54+K55+K56+K58+K60+K61+K57</f>
        <v>71.586</v>
      </c>
      <c r="L65" s="124" t="n">
        <f aca="false">L64+L54+L55+L56+L58+L60+L61+L57</f>
        <v>94.0524</v>
      </c>
      <c r="M65" s="124" t="n">
        <f aca="false">M64+M54+M55+M56+M58+M60+M61+M57</f>
        <v>136.0944</v>
      </c>
      <c r="N65" s="124" t="n">
        <f aca="false">N64+N54+N55+N56+N58+N60+N61+N57</f>
        <v>226.5584</v>
      </c>
      <c r="O65" s="124" t="n">
        <f aca="false">O64+O54+O55+O56+O58+O60+O61+O57</f>
        <v>336.151</v>
      </c>
      <c r="P65" s="96" t="n">
        <f aca="false">P64+P54+P55+P56+P58+P60+P61+P57</f>
        <v>587.0866</v>
      </c>
      <c r="Q65" s="96" t="n">
        <f aca="false">Q64+Q54+Q55+Q56+Q58+Q60+Q61+Q57</f>
        <v>590.929487592076</v>
      </c>
      <c r="R65" s="96" t="n">
        <f aca="false">R64+R54+R55+R56+R58+R60+R61+R57</f>
        <v>765.867116774241</v>
      </c>
      <c r="S65" s="96" t="n">
        <f aca="false">S64+S54+S55+S56+S58+S60+S61+S57</f>
        <v>1023.7816295656</v>
      </c>
      <c r="T65" s="96" t="n">
        <f aca="false">T64+T54+T55+T56+T58+T60+T61+T57</f>
        <v>1315.05403020125</v>
      </c>
      <c r="U65" s="96" t="n">
        <f aca="false">U64+U54+U55+U56+U58+U60+U61+U57</f>
        <v>1654.29921658869</v>
      </c>
      <c r="V65" s="96" t="n">
        <f aca="false">V64+V54+V55+V56+V58+V60+V61+V57</f>
        <v>2250.17789184112</v>
      </c>
      <c r="W65" s="96" t="n">
        <f aca="false">W64+W54+W55+W56+W58+W60+W61+W57</f>
        <v>2500.01707368198</v>
      </c>
      <c r="X65" s="96" t="n">
        <f aca="false">X64+X54+X55+X56+X58+X60+X61+X57</f>
        <v>2860.05834558186</v>
      </c>
      <c r="Y65" s="96" t="n">
        <f aca="false">Y64+Y54+Y55+Y56+Y58+Y60+Y61+Y57</f>
        <v>2960.27052874179</v>
      </c>
      <c r="Z65" s="96" t="n">
        <f aca="false">Z64+Z54+Z55+Z56+Z58+Z60+Z61+Z57</f>
        <v>3697.16240411422</v>
      </c>
      <c r="AA65" s="96" t="n">
        <f aca="false">AA64+AA54+AA55+AA56+AA58+AA60+AA61+AA57</f>
        <v>3785.5712935975</v>
      </c>
      <c r="AB65" s="96" t="n">
        <f aca="false">AB64+AB54+AB55+AB56+AB58+AB60+AB61+AB57</f>
        <v>4550.95852270853</v>
      </c>
      <c r="AC65" s="96" t="n">
        <f aca="false">AC64+AC54+AC55+AC56+AC58+AC60+AC61+AC57</f>
        <v>4670.62217689395</v>
      </c>
      <c r="AD65" s="96" t="n">
        <f aca="false">AD64+AD54+AD55+AD56+AD58+AD60+AD61+AD57</f>
        <v>5732.92587108546</v>
      </c>
      <c r="AE65" s="96" t="n">
        <f aca="false">AE64+AE54+AE55+AE56+AE58+AE60+AE61+AE57</f>
        <v>5748.59805609057</v>
      </c>
      <c r="AF65" s="96" t="n">
        <f aca="false">AF64+AF54+AF55+AF56+AF58+AF60+AF61+AF57</f>
        <v>5765.35713794372</v>
      </c>
      <c r="AG65" s="96" t="n">
        <f aca="false">AG64+AG54+AG55+AG56+AG58+AG60+AG61+AG57</f>
        <v>5781.18390014365</v>
      </c>
      <c r="AI65" s="96" t="n">
        <f aca="false">SUMIF($F$7:$AG$7,AI$7,$F65:$AG65)</f>
        <v>82.7956</v>
      </c>
      <c r="AJ65" s="96" t="n">
        <f aca="false">SUMIF($F$7:$AG$7,AJ$7,$F65:$AG65)</f>
        <v>349.3828</v>
      </c>
      <c r="AK65" s="96" t="n">
        <f aca="false">SUMIF($F$7:$AG$7,AK$7,$F65:$AG65)</f>
        <v>1740.72548759208</v>
      </c>
      <c r="AL65" s="96" t="n">
        <f aca="false">SUMIF($F$7:$AG$7,AL$7,$F65:$AG65)</f>
        <v>4759.00199312978</v>
      </c>
      <c r="AM65" s="96" t="n">
        <f aca="false">SUMIF($F$7:$AG$7,AM$7,$F65:$AG65)</f>
        <v>10570.5238398467</v>
      </c>
      <c r="AN65" s="96" t="n">
        <f aca="false">SUMIF($F$7:$AG$7,AN$7,$F65:$AG65)</f>
        <v>16704.3143973142</v>
      </c>
      <c r="AO65" s="96" t="n">
        <f aca="false">SUMIF($F$7:$AG$7,AO$7,$F65:$AG65)</f>
        <v>23028.0649652634</v>
      </c>
    </row>
    <row r="66" customFormat="false" ht="15" hidden="false" customHeight="false" outlineLevel="0" collapsed="false">
      <c r="A66" s="3" t="s">
        <v>1974</v>
      </c>
      <c r="B66" s="20" t="s">
        <v>561</v>
      </c>
      <c r="C66" s="20" t="s">
        <v>495</v>
      </c>
      <c r="D66" s="20"/>
      <c r="F66" s="124" t="n">
        <f aca="false">IF(F$5&lt;=LastHist,INDEX(H_DA,1,F$5),F65)</f>
        <v>8.9</v>
      </c>
      <c r="G66" s="124" t="n">
        <f aca="false">IF(G$5&lt;=LastHist,INDEX(H_DA,1,G$5),G65)</f>
        <v>11.4</v>
      </c>
      <c r="H66" s="124" t="n">
        <f aca="false">IF(H$5&lt;=LastHist,INDEX(H_DA,1,H$5),H65)</f>
        <v>23.5</v>
      </c>
      <c r="I66" s="124" t="n">
        <f aca="false">IF(I$5&lt;=LastHist,INDEX(H_DA,1,I$5),I65)</f>
        <v>33.3</v>
      </c>
      <c r="J66" s="124" t="n">
        <f aca="false">IF(J$5&lt;=LastHist,INDEX(H_DA,1,J$5),J65)</f>
        <v>49.1</v>
      </c>
      <c r="K66" s="124" t="n">
        <f aca="false">IF(K$5&lt;=LastHist,INDEX(H_DA,1,K$5),K65)</f>
        <v>75.2</v>
      </c>
      <c r="L66" s="124" t="n">
        <f aca="false">IF(L$5&lt;=LastHist,INDEX(H_DA,1,L$5),L65)</f>
        <v>99</v>
      </c>
      <c r="M66" s="124" t="n">
        <f aca="false">IF(M$5&lt;=LastHist,INDEX(H_DA,1,M$5),M65)</f>
        <v>180.7</v>
      </c>
      <c r="N66" s="124" t="n">
        <f aca="false">IF(N$5&lt;=LastHist,INDEX(H_DA,1,N$5),N65)</f>
        <v>212</v>
      </c>
      <c r="O66" s="124" t="n">
        <f aca="false">IF(O$5&lt;=LastHist,INDEX(H_DA,1,O$5),O65)</f>
        <v>259.7</v>
      </c>
      <c r="P66" s="96" t="n">
        <f aca="false">IF(P$5&lt;=LastHist,INDEX(H_DA,1,P$5),P65)</f>
        <v>587.0866</v>
      </c>
      <c r="Q66" s="96" t="n">
        <f aca="false">IF(Q$5&lt;=LastHist,INDEX(H_DA,1,Q$5),Q65)</f>
        <v>590.929487592076</v>
      </c>
      <c r="R66" s="96" t="n">
        <f aca="false">IF(R$5&lt;=LastHist,INDEX(H_DA,1,R$5),R65)</f>
        <v>765.867116774241</v>
      </c>
      <c r="S66" s="96" t="n">
        <f aca="false">IF(S$5&lt;=LastHist,INDEX(H_DA,1,S$5),S65)</f>
        <v>1023.7816295656</v>
      </c>
      <c r="T66" s="96" t="n">
        <f aca="false">IF(T$5&lt;=LastHist,INDEX(H_DA,1,T$5),T65)</f>
        <v>1315.05403020125</v>
      </c>
      <c r="U66" s="96" t="n">
        <f aca="false">IF(U$5&lt;=LastHist,INDEX(H_DA,1,U$5),U65)</f>
        <v>1654.29921658869</v>
      </c>
      <c r="V66" s="96" t="n">
        <f aca="false">IF(V$5&lt;=LastHist,INDEX(H_DA,1,V$5),V65)</f>
        <v>2250.17789184112</v>
      </c>
      <c r="W66" s="96" t="n">
        <f aca="false">IF(W$5&lt;=LastHist,INDEX(H_DA,1,W$5),W65)</f>
        <v>2500.01707368198</v>
      </c>
      <c r="X66" s="96" t="n">
        <f aca="false">IF(X$5&lt;=LastHist,INDEX(H_DA,1,X$5),X65)</f>
        <v>2860.05834558186</v>
      </c>
      <c r="Y66" s="96" t="n">
        <f aca="false">IF(Y$5&lt;=LastHist,INDEX(H_DA,1,Y$5),Y65)</f>
        <v>2960.27052874179</v>
      </c>
      <c r="Z66" s="96" t="n">
        <f aca="false">IF(Z$5&lt;=LastHist,INDEX(H_DA,1,Z$5),Z65)</f>
        <v>3697.16240411422</v>
      </c>
      <c r="AA66" s="96" t="n">
        <f aca="false">IF(AA$5&lt;=LastHist,INDEX(H_DA,1,AA$5),AA65)</f>
        <v>3785.5712935975</v>
      </c>
      <c r="AB66" s="96" t="n">
        <f aca="false">IF(AB$5&lt;=LastHist,INDEX(H_DA,1,AB$5),AB65)</f>
        <v>4550.95852270853</v>
      </c>
      <c r="AC66" s="96" t="n">
        <f aca="false">IF(AC$5&lt;=LastHist,INDEX(H_DA,1,AC$5),AC65)</f>
        <v>4670.62217689395</v>
      </c>
      <c r="AD66" s="96" t="n">
        <f aca="false">IF(AD$5&lt;=LastHist,INDEX(H_DA,1,AD$5),AD65)</f>
        <v>5732.92587108546</v>
      </c>
      <c r="AE66" s="96" t="n">
        <f aca="false">IF(AE$5&lt;=LastHist,INDEX(H_DA,1,AE$5),AE65)</f>
        <v>5748.59805609057</v>
      </c>
      <c r="AF66" s="96" t="n">
        <f aca="false">IF(AF$5&lt;=LastHist,INDEX(H_DA,1,AF$5),AF65)</f>
        <v>5765.35713794372</v>
      </c>
      <c r="AG66" s="96" t="n">
        <f aca="false">IF(AG$5&lt;=LastHist,INDEX(H_DA,1,AG$5),AG65)</f>
        <v>5781.18390014365</v>
      </c>
      <c r="AI66" s="96" t="n">
        <f aca="false">SUMIF($F$7:$AG$7,AI$7,$F66:$AG66)</f>
        <v>77.1</v>
      </c>
      <c r="AJ66" s="96" t="n">
        <f aca="false">SUMIF($F$7:$AG$7,AJ$7,$F66:$AG66)</f>
        <v>404</v>
      </c>
      <c r="AK66" s="96" t="n">
        <f aca="false">SUMIF($F$7:$AG$7,AK$7,$F66:$AG66)</f>
        <v>1649.71608759208</v>
      </c>
      <c r="AL66" s="96" t="n">
        <f aca="false">SUMIF($F$7:$AG$7,AL$7,$F66:$AG66)</f>
        <v>4759.00199312978</v>
      </c>
      <c r="AM66" s="96" t="n">
        <f aca="false">SUMIF($F$7:$AG$7,AM$7,$F66:$AG66)</f>
        <v>10570.5238398467</v>
      </c>
      <c r="AN66" s="96" t="n">
        <f aca="false">SUMIF($F$7:$AG$7,AN$7,$F66:$AG66)</f>
        <v>16704.3143973142</v>
      </c>
      <c r="AO66" s="96" t="n">
        <f aca="false">SUMIF($F$7:$AG$7,AO$7,$F66:$AG66)</f>
        <v>23028.0649652634</v>
      </c>
    </row>
    <row r="67" customFormat="false" ht="15" hidden="false" customHeight="false" outlineLevel="0" collapsed="false">
      <c r="A67" s="104" t="s">
        <v>1975</v>
      </c>
      <c r="B67" s="20" t="s">
        <v>549</v>
      </c>
      <c r="C67" s="20" t="s">
        <v>495</v>
      </c>
      <c r="D67" s="20"/>
      <c r="F67" s="127" t="n">
        <f aca="false">IF(F$5&lt;=LastHist,F65/INDEX(H_DA,1,F$5)-1,"")</f>
        <v>0.361797752808989</v>
      </c>
      <c r="G67" s="127" t="n">
        <f aca="false">IF(G$5&lt;=LastHist,G65/INDEX(H_DA,1,G$5)-1,"")</f>
        <v>0.564912280701755</v>
      </c>
      <c r="H67" s="127" t="n">
        <f aca="false">IF(H$5&lt;=LastHist,H65/INDEX(H_DA,1,H$5)-1,"")</f>
        <v>0.00255319148936173</v>
      </c>
      <c r="I67" s="127" t="n">
        <f aca="false">IF(I$5&lt;=LastHist,I65/INDEX(H_DA,1,I$5)-1,"")</f>
        <v>-0.120852852852853</v>
      </c>
      <c r="J67" s="127" t="n">
        <f aca="false">IF(J$5&lt;=LastHist,J65/INDEX(H_DA,1,J$5)-1,"")</f>
        <v>-0.029531568228106</v>
      </c>
      <c r="K67" s="127" t="n">
        <f aca="false">IF(K$5&lt;=LastHist,K65/INDEX(H_DA,1,K$5)-1,"")</f>
        <v>-0.0480585106382979</v>
      </c>
      <c r="L67" s="127" t="n">
        <f aca="false">IF(L$5&lt;=LastHist,L65/INDEX(H_DA,1,L$5)-1,"")</f>
        <v>-0.0499757575757576</v>
      </c>
      <c r="M67" s="127" t="n">
        <f aca="false">IF(M$5&lt;=LastHist,M65/INDEX(H_DA,1,M$5)-1,"")</f>
        <v>-0.246848920863309</v>
      </c>
      <c r="N67" s="127" t="n">
        <f aca="false">IF(N$5&lt;=LastHist,N65/INDEX(H_DA,1,N$5)-1,"")</f>
        <v>0.0686716981132076</v>
      </c>
      <c r="O67" s="127" t="n">
        <f aca="false">IF(O$5&lt;=LastHist,O65/INDEX(H_DA,1,O$5)-1,"")</f>
        <v>0.294381979206777</v>
      </c>
      <c r="P67" s="128" t="str">
        <f aca="false">IF(P$5&lt;=LastHist,P65/INDEX(H_DA,1,P$5)-1,"")</f>
        <v/>
      </c>
      <c r="Q67" s="128" t="str">
        <f aca="false">IF(Q$5&lt;=LastHist,Q65/INDEX(H_DA,1,Q$5)-1,"")</f>
        <v/>
      </c>
      <c r="R67" s="128" t="str">
        <f aca="false">IF(R$5&lt;=LastHist,R65/INDEX(H_DA,1,R$5)-1,"")</f>
        <v/>
      </c>
      <c r="S67" s="128" t="str">
        <f aca="false">IF(S$5&lt;=LastHist,S65/INDEX(H_DA,1,S$5)-1,"")</f>
        <v/>
      </c>
      <c r="T67" s="128" t="str">
        <f aca="false">IF(T$5&lt;=LastHist,T65/INDEX(H_DA,1,T$5)-1,"")</f>
        <v/>
      </c>
      <c r="U67" s="128" t="str">
        <f aca="false">IF(U$5&lt;=LastHist,U65/INDEX(H_DA,1,U$5)-1,"")</f>
        <v/>
      </c>
      <c r="V67" s="128" t="str">
        <f aca="false">IF(V$5&lt;=LastHist,V65/INDEX(H_DA,1,V$5)-1,"")</f>
        <v/>
      </c>
      <c r="W67" s="128" t="str">
        <f aca="false">IF(W$5&lt;=LastHist,W65/INDEX(H_DA,1,W$5)-1,"")</f>
        <v/>
      </c>
      <c r="X67" s="128" t="str">
        <f aca="false">IF(X$5&lt;=LastHist,X65/INDEX(H_DA,1,X$5)-1,"")</f>
        <v/>
      </c>
      <c r="Y67" s="128" t="str">
        <f aca="false">IF(Y$5&lt;=LastHist,Y65/INDEX(H_DA,1,Y$5)-1,"")</f>
        <v/>
      </c>
      <c r="Z67" s="128" t="str">
        <f aca="false">IF(Z$5&lt;=LastHist,Z65/INDEX(H_DA,1,Z$5)-1,"")</f>
        <v/>
      </c>
      <c r="AA67" s="128" t="str">
        <f aca="false">IF(AA$5&lt;=LastHist,AA65/INDEX(H_DA,1,AA$5)-1,"")</f>
        <v/>
      </c>
      <c r="AB67" s="128" t="str">
        <f aca="false">IF(AB$5&lt;=LastHist,AB65/INDEX(H_DA,1,AB$5)-1,"")</f>
        <v/>
      </c>
      <c r="AC67" s="128" t="str">
        <f aca="false">IF(AC$5&lt;=LastHist,AC65/INDEX(H_DA,1,AC$5)-1,"")</f>
        <v/>
      </c>
      <c r="AD67" s="128" t="str">
        <f aca="false">IF(AD$5&lt;=LastHist,AD65/INDEX(H_DA,1,AD$5)-1,"")</f>
        <v/>
      </c>
      <c r="AE67" s="128" t="str">
        <f aca="false">IF(AE$5&lt;=LastHist,AE65/INDEX(H_DA,1,AE$5)-1,"")</f>
        <v/>
      </c>
      <c r="AF67" s="128" t="str">
        <f aca="false">IF(AF$5&lt;=LastHist,AF65/INDEX(H_DA,1,AF$5)-1,"")</f>
        <v/>
      </c>
      <c r="AG67" s="128" t="str">
        <f aca="false">IF(AG$5&lt;=LastHist,AG65/INDEX(H_DA,1,AG$5)-1,"")</f>
        <v/>
      </c>
    </row>
    <row r="68" customFormat="false" ht="15" hidden="false" customHeight="false" outlineLevel="0" collapsed="false">
      <c r="A68" s="104" t="s">
        <v>1976</v>
      </c>
      <c r="B68" s="20" t="s">
        <v>561</v>
      </c>
      <c r="C68" s="20" t="s">
        <v>506</v>
      </c>
      <c r="D68" s="20"/>
      <c r="F68" s="122" t="n">
        <f aca="false">IF(F$5&lt;=LastHist,0,F40+F45+F50)</f>
        <v>0</v>
      </c>
      <c r="G68" s="122" t="n">
        <f aca="false">IF(G$5&lt;=LastHist,0,G40+G45+G50)</f>
        <v>0</v>
      </c>
      <c r="H68" s="122" t="n">
        <f aca="false">IF(H$5&lt;=LastHist,0,H40+H45+H50)</f>
        <v>0</v>
      </c>
      <c r="I68" s="122" t="n">
        <f aca="false">IF(I$5&lt;=LastHist,0,I40+I45+I50)</f>
        <v>0</v>
      </c>
      <c r="J68" s="122" t="n">
        <f aca="false">IF(J$5&lt;=LastHist,0,J40+J45+J50)</f>
        <v>0</v>
      </c>
      <c r="K68" s="122" t="n">
        <f aca="false">IF(K$5&lt;=LastHist,0,K40+K45+K50)</f>
        <v>0</v>
      </c>
      <c r="L68" s="122" t="n">
        <f aca="false">IF(L$5&lt;=LastHist,0,L40+L45+L50)</f>
        <v>0</v>
      </c>
      <c r="M68" s="122" t="n">
        <f aca="false">IF(M$5&lt;=LastHist,0,M40+M45+M50)</f>
        <v>0</v>
      </c>
      <c r="N68" s="122" t="n">
        <f aca="false">IF(N$5&lt;=LastHist,0,N40+N45+N50)</f>
        <v>0</v>
      </c>
      <c r="O68" s="122" t="n">
        <f aca="false">IF(O$5&lt;=LastHist,0,O40+O45+O50)</f>
        <v>0</v>
      </c>
      <c r="P68" s="123" t="n">
        <f aca="false">IF(P$5&lt;=LastHist,0,P40+P45+P50)</f>
        <v>0</v>
      </c>
      <c r="Q68" s="123" t="n">
        <f aca="false">IF(Q$5&lt;=LastHist,0,Q40+Q45+Q50)</f>
        <v>0</v>
      </c>
      <c r="R68" s="123" t="n">
        <f aca="false">IF(R$5&lt;=LastHist,0,R40+R45+R50)</f>
        <v>0</v>
      </c>
      <c r="S68" s="123" t="n">
        <f aca="false">IF(S$5&lt;=LastHist,0,S40+S45+S50)</f>
        <v>0</v>
      </c>
      <c r="T68" s="123" t="n">
        <f aca="false">IF(T$5&lt;=LastHist,0,T40+T45+T50)</f>
        <v>0</v>
      </c>
      <c r="U68" s="123" t="n">
        <f aca="false">IF(U$5&lt;=LastHist,0,U40+U45+U50)</f>
        <v>0</v>
      </c>
      <c r="V68" s="123" t="n">
        <f aca="false">IF(V$5&lt;=LastHist,0,V40+V45+V50)</f>
        <v>0</v>
      </c>
      <c r="W68" s="123" t="n">
        <f aca="false">IF(W$5&lt;=LastHist,0,W40+W45+W50)</f>
        <v>0</v>
      </c>
      <c r="X68" s="123" t="n">
        <f aca="false">IF(X$5&lt;=LastHist,0,X40+X45+X50)</f>
        <v>0</v>
      </c>
      <c r="Y68" s="123" t="n">
        <f aca="false">IF(Y$5&lt;=LastHist,0,Y40+Y45+Y50)</f>
        <v>0</v>
      </c>
      <c r="Z68" s="123" t="n">
        <f aca="false">IF(Z$5&lt;=LastHist,0,Z40+Z45+Z50)</f>
        <v>0</v>
      </c>
      <c r="AA68" s="123" t="n">
        <f aca="false">IF(AA$5&lt;=LastHist,0,AA40+AA45+AA50)</f>
        <v>0</v>
      </c>
      <c r="AB68" s="123" t="n">
        <f aca="false">IF(AB$5&lt;=LastHist,0,AB40+AB45+AB50)</f>
        <v>0</v>
      </c>
      <c r="AC68" s="123" t="n">
        <f aca="false">IF(AC$5&lt;=LastHist,0,AC40+AC45+AC50)</f>
        <v>0</v>
      </c>
      <c r="AD68" s="123" t="n">
        <f aca="false">IF(AD$5&lt;=LastHist,0,AD40+AD45+AD50)</f>
        <v>0</v>
      </c>
      <c r="AE68" s="123" t="n">
        <f aca="false">IF(AE$5&lt;=LastHist,0,AE40+AE45+AE50)</f>
        <v>0</v>
      </c>
      <c r="AF68" s="123" t="n">
        <f aca="false">IF(AF$5&lt;=LastHist,0,AF40+AF45+AF50)</f>
        <v>0</v>
      </c>
      <c r="AG68" s="123" t="n">
        <f aca="false">IF(AG$5&lt;=LastHist,0,AG40+AG45+AG50)</f>
        <v>0</v>
      </c>
      <c r="AI68" s="123" t="n">
        <f aca="false">SUMIF($F$7:$AG$7,AI$7,$F68:$AG68)</f>
        <v>0</v>
      </c>
      <c r="AJ68" s="123" t="n">
        <f aca="false">SUMIF($F$7:$AG$7,AJ$7,$F68:$AG68)</f>
        <v>0</v>
      </c>
      <c r="AK68" s="123" t="n">
        <f aca="false">SUMIF($F$7:$AG$7,AK$7,$F68:$AG68)</f>
        <v>0</v>
      </c>
      <c r="AL68" s="123" t="n">
        <f aca="false">SUMIF($F$7:$AG$7,AL$7,$F68:$AG68)</f>
        <v>0</v>
      </c>
      <c r="AM68" s="123" t="n">
        <f aca="false">SUMIF($F$7:$AG$7,AM$7,$F68:$AG68)</f>
        <v>0</v>
      </c>
      <c r="AN68" s="123" t="n">
        <f aca="false">SUMIF($F$7:$AG$7,AN$7,$F68:$AG68)</f>
        <v>0</v>
      </c>
      <c r="AO68" s="123" t="n">
        <f aca="false">SUMIF($F$7:$AG$7,AO$7,$F68:$AG68)</f>
        <v>0</v>
      </c>
    </row>
    <row r="69" customFormat="false" ht="15" hidden="false" customHeight="false" outlineLevel="0" collapsed="false">
      <c r="A69" s="104" t="s">
        <v>1977</v>
      </c>
      <c r="B69" s="20" t="s">
        <v>561</v>
      </c>
      <c r="C69" s="20" t="s">
        <v>495</v>
      </c>
      <c r="D69" s="20"/>
      <c r="E69" s="123" t="n">
        <f aca="false">E41</f>
        <v>142.4</v>
      </c>
      <c r="F69" s="122" t="n">
        <f aca="false">F41+F46+F51+SUM($F26:F26)-SUM($F54:F54)+SUM($F27:F27)-SUM($F55:F55)+SUM($F28:F28)-SUM($F56:F56)+SUM($F29:F29)-SUM($F57:F57)</f>
        <v>265.28</v>
      </c>
      <c r="G69" s="122" t="n">
        <f aca="false">G41+G46+G51+SUM($F26:G26)-SUM($F54:G54)+SUM($F27:G27)-SUM($F55:G55)+SUM($F28:G28)-SUM($F56:G56)+SUM($F29:G29)-SUM($F57:G57)</f>
        <v>382.44</v>
      </c>
      <c r="H69" s="122" t="n">
        <f aca="false">H41+H46+H51+SUM($F26:H26)-SUM($F54:H54)+SUM($F27:H27)-SUM($F55:H55)+SUM($F28:H28)-SUM($F56:H56)+SUM($F29:H29)-SUM($F57:H57)</f>
        <v>493.78</v>
      </c>
      <c r="I69" s="122" t="n">
        <f aca="false">I41+I46+I51+SUM($F26:I26)-SUM($F54:I54)+SUM($F27:I27)-SUM($F55:I55)+SUM($F28:I28)-SUM($F56:I56)+SUM($F29:I29)-SUM($F57:I57)</f>
        <v>887.1044</v>
      </c>
      <c r="J69" s="122" t="n">
        <f aca="false">J41+J46+J51+SUM($F26:J26)-SUM($F54:J54)+SUM($F27:J27)-SUM($F55:J55)+SUM($F28:J28)-SUM($F56:J56)+SUM($F29:J29)-SUM($F57:J57)</f>
        <v>1388.4544</v>
      </c>
      <c r="K69" s="122" t="n">
        <f aca="false">K41+K46+K51+SUM($F26:K26)-SUM($F54:K54)+SUM($F27:K27)-SUM($F55:K55)+SUM($F28:K28)-SUM($F56:K56)+SUM($F29:K29)-SUM($F57:K57)</f>
        <v>1832.4684</v>
      </c>
      <c r="L69" s="122" t="n">
        <f aca="false">L41+L46+L51+SUM($F26:L26)-SUM($F54:L54)+SUM($F27:L27)-SUM($F55:L55)+SUM($F28:L28)-SUM($F56:L56)+SUM($F29:L29)-SUM($F57:L57)</f>
        <v>2698.916</v>
      </c>
      <c r="M69" s="122" t="n">
        <f aca="false">M41+M46+M51+SUM($F26:M26)-SUM($F54:M54)+SUM($F27:M27)-SUM($F55:M55)+SUM($F28:M28)-SUM($F56:M56)+SUM($F29:M29)-SUM($F57:M57)</f>
        <v>4623.8216</v>
      </c>
      <c r="N69" s="122" t="n">
        <f aca="false">N41+N46+N51+SUM($F26:N26)-SUM($F54:N54)+SUM($F27:N27)-SUM($F55:N55)+SUM($F28:N28)-SUM($F56:N56)+SUM($F29:N29)-SUM($F57:N57)</f>
        <v>6875.1632</v>
      </c>
      <c r="O69" s="122" t="n">
        <f aca="false">O41+O46+O51+SUM($F26:O26)-SUM($F54:O54)+SUM($F27:O27)-SUM($F55:O55)+SUM($F28:O28)-SUM($F56:O56)+SUM($F29:O29)-SUM($F57:O57)</f>
        <v>12202.1972</v>
      </c>
      <c r="P69" s="123" t="n">
        <f aca="false">P41+P46+P51+SUM($F26:P26)-SUM($F54:P54)+SUM($F27:P27)-SUM($F55:P55)+SUM($F28:P28)-SUM($F56:P56)+SUM($F29:P29)-SUM($F57:P57)</f>
        <v>15122.6792674652</v>
      </c>
      <c r="Q69" s="123" t="n">
        <f aca="false">Q41+Q46+Q51+SUM($F26:Q26)-SUM($F54:Q54)+SUM($F27:Q27)-SUM($F55:Q55)+SUM($F28:Q28)-SUM($F56:Q56)+SUM($F29:Q29)-SUM($F57:Q57)</f>
        <v>19763.002483359</v>
      </c>
      <c r="R69" s="123" t="n">
        <f aca="false">R41+R46+R51+SUM($F26:R26)-SUM($F54:R54)+SUM($F27:R27)-SUM($F55:R55)+SUM($F28:R28)-SUM($F56:R56)+SUM($F29:R29)-SUM($F57:R57)</f>
        <v>25231.6965417439</v>
      </c>
      <c r="S69" s="123" t="n">
        <f aca="false">S41+S46+S51+SUM($F26:S26)-SUM($F54:S54)+SUM($F27:S27)-SUM($F55:S55)+SUM($F28:S28)-SUM($F56:S56)+SUM($F29:S29)-SUM($F57:S57)</f>
        <v>31954.0639686786</v>
      </c>
      <c r="T69" s="123" t="n">
        <f aca="false">T41+T46+T51+SUM($F26:T26)-SUM($F54:T54)+SUM($F27:T27)-SUM($F55:T55)+SUM($F28:T28)-SUM($F56:T56)+SUM($F29:T29)-SUM($F57:T57)</f>
        <v>42981.5592354491</v>
      </c>
      <c r="U69" s="123" t="n">
        <f aca="false">U41+U46+U51+SUM($F26:U26)-SUM($F54:U54)+SUM($F27:U27)-SUM($F55:U55)+SUM($F28:U28)-SUM($F56:U56)+SUM($F29:U29)-SUM($F57:U57)</f>
        <v>47261.3484975382</v>
      </c>
      <c r="V69" s="123" t="n">
        <f aca="false">V41+V46+V51+SUM($F26:V26)-SUM($F54:V54)+SUM($F27:V27)-SUM($F55:V55)+SUM($F28:V28)-SUM($F56:V56)+SUM($F29:V29)-SUM($F57:V57)</f>
        <v>52105.23862055</v>
      </c>
      <c r="W69" s="123" t="n">
        <f aca="false">W41+W46+W51+SUM($F26:W26)-SUM($F54:W54)+SUM($F27:W27)-SUM($F55:W55)+SUM($F28:W28)-SUM($F56:W56)+SUM($F29:W29)-SUM($F57:W57)</f>
        <v>53404.6007673072</v>
      </c>
      <c r="X69" s="123" t="n">
        <f aca="false">X41+X46+X51+SUM($F26:X26)-SUM($F54:X54)+SUM($F27:X27)-SUM($F55:X55)+SUM($F28:X28)-SUM($F56:X56)+SUM($F29:X29)-SUM($F57:X57)</f>
        <v>65197.6092717721</v>
      </c>
      <c r="Y69" s="123" t="n">
        <f aca="false">Y41+Y46+Y51+SUM($F26:Y26)-SUM($F54:Y54)+SUM($F27:Y27)-SUM($F55:Y55)+SUM($F28:Y28)-SUM($F56:Y56)+SUM($F29:Y29)-SUM($F57:Y57)</f>
        <v>66329.1688417331</v>
      </c>
      <c r="Z69" s="123" t="n">
        <f aca="false">Z41+Z46+Z51+SUM($F26:Z26)-SUM($F54:Z54)+SUM($F27:Z27)-SUM($F55:Z55)+SUM($F28:Z28)-SUM($F56:Z56)+SUM($F29:Z29)-SUM($F57:Z57)</f>
        <v>77964.0462229451</v>
      </c>
      <c r="AA69" s="123" t="n">
        <f aca="false">AA41+AA46+AA51+SUM($F26:AA26)-SUM($F54:AA54)+SUM($F27:AA27)-SUM($F55:AA55)+SUM($F28:AA28)-SUM($F56:AA56)+SUM($F29:AA29)-SUM($F57:AA57)</f>
        <v>79761.9352397394</v>
      </c>
      <c r="AB69" s="123" t="n">
        <f aca="false">AB41+AB46+AB51+SUM($F26:AB26)-SUM($F54:AB54)+SUM($F27:AB27)-SUM($F55:AB55)+SUM($F28:AB28)-SUM($F56:AB56)+SUM($F29:AB29)-SUM($F57:AB57)</f>
        <v>96494.1257169116</v>
      </c>
      <c r="AC69" s="123" t="n">
        <f aca="false">AC41+AC46+AC51+SUM($F26:AC26)-SUM($F54:AC54)+SUM($F27:AC27)-SUM($F55:AC55)+SUM($F28:AC28)-SUM($F56:AC56)+SUM($F29:AC29)-SUM($F57:AC57)</f>
        <v>92415.853528021</v>
      </c>
      <c r="AD69" s="123" t="n">
        <f aca="false">AD41+AD46+AD51+SUM($F26:AD26)-SUM($F54:AD54)+SUM($F27:AD27)-SUM($F55:AD55)+SUM($F28:AD28)-SUM($F56:AD56)+SUM($F29:AD29)-SUM($F57:AD57)</f>
        <v>87403.8904312736</v>
      </c>
      <c r="AE69" s="123" t="n">
        <f aca="false">AE41+AE46+AE51+SUM($F26:AE26)-SUM($F54:AE54)+SUM($F27:AE27)-SUM($F55:AE55)+SUM($F28:AE28)-SUM($F56:AE56)+SUM($F29:AE29)-SUM($F57:AE57)</f>
        <v>82376.9691353796</v>
      </c>
      <c r="AF69" s="123" t="n">
        <f aca="false">AF41+AF46+AF51+SUM($F26:AF26)-SUM($F54:AF54)+SUM($F27:AF27)-SUM($F55:AF55)+SUM($F28:AF28)-SUM($F56:AF56)+SUM($F29:AF29)-SUM($F57:AF57)</f>
        <v>77694.2374269683</v>
      </c>
      <c r="AG69" s="123" t="n">
        <f aca="false">AG41+AG46+AG51+SUM($F26:AG26)-SUM($F54:AG54)+SUM($F27:AG27)-SUM($F55:AG55)+SUM($F28:AG28)-SUM($F56:AG56)+SUM($F29:AG29)-SUM($F57:AG57)</f>
        <v>73883.2171258304</v>
      </c>
      <c r="AI69" s="123" t="n">
        <f aca="false">INDEX($F69:$AG69,1,MATCH(AI$7,$F$7:$AG$7,1))</f>
        <v>887.1044</v>
      </c>
      <c r="AJ69" s="123" t="n">
        <f aca="false">INDEX($F69:$AG69,1,MATCH(AJ$7,$F$7:$AG$7,1))</f>
        <v>4623.8216</v>
      </c>
      <c r="AK69" s="123" t="n">
        <f aca="false">INDEX($F69:$AG69,1,MATCH(AK$7,$F$7:$AG$7,1))</f>
        <v>19763.002483359</v>
      </c>
      <c r="AL69" s="123" t="n">
        <f aca="false">INDEX($F69:$AG69,1,MATCH(AL$7,$F$7:$AG$7,1))</f>
        <v>47261.3484975382</v>
      </c>
      <c r="AM69" s="123" t="n">
        <f aca="false">INDEX($F69:$AG69,1,MATCH(AM$7,$F$7:$AG$7,1))</f>
        <v>66329.1688417331</v>
      </c>
      <c r="AN69" s="123" t="n">
        <f aca="false">INDEX($F69:$AG69,1,MATCH(AN$7,$F$7:$AG$7,1))</f>
        <v>92415.853528021</v>
      </c>
      <c r="AO69" s="123" t="n">
        <f aca="false">INDEX($F69:$AG69,1,MATCH(AO$7,$F$7:$AG$7,1))</f>
        <v>73883.2171258304</v>
      </c>
    </row>
    <row r="71" customFormat="false" ht="15" hidden="false" customHeight="false" outlineLevel="0" collapsed="false">
      <c r="A71" s="53" t="s">
        <v>1978</v>
      </c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</row>
    <row r="72" customFormat="false" ht="15" hidden="false" customHeight="false" outlineLevel="0" collapsed="false">
      <c r="A72" s="104" t="s">
        <v>1979</v>
      </c>
      <c r="B72" s="20" t="s">
        <v>561</v>
      </c>
      <c r="C72" s="20" t="s">
        <v>495</v>
      </c>
      <c r="D72" s="20"/>
      <c r="F72" s="122" t="n">
        <f aca="false">INDEX(Capex,1,1)+INDEX(CapInt,1,1)</f>
        <v>130</v>
      </c>
      <c r="G72" s="122" t="n">
        <f aca="false">INDEX(Capex,1,2)+INDEX(CapInt,1,2)</f>
        <v>130</v>
      </c>
      <c r="H72" s="122" t="n">
        <f aca="false">INDEX(Capex,1,3)+INDEX(CapInt,1,3)</f>
        <v>129.9</v>
      </c>
      <c r="I72" s="122" t="n">
        <f aca="false">INDEX(Capex,1,4)+INDEX(CapInt,1,4)</f>
        <v>417.6</v>
      </c>
      <c r="J72" s="122" t="n">
        <f aca="false">INDEX(Capex,1,5)+INDEX(CapInt,1,5)</f>
        <v>544</v>
      </c>
      <c r="K72" s="122" t="n">
        <f aca="false">INDEX(Capex,1,6)+INDEX(CapInt,1,6)</f>
        <v>510.6</v>
      </c>
      <c r="L72" s="122" t="n">
        <f aca="false">INDEX(Capex,1,7)+INDEX(CapInt,1,7)</f>
        <v>955.5</v>
      </c>
      <c r="M72" s="122" t="n">
        <f aca="false">INDEX(Capex,1,8)+INDEX(CapInt,1,8)</f>
        <v>2056</v>
      </c>
      <c r="N72" s="122" t="n">
        <f aca="false">INDEX(Capex,1,9)+INDEX(CapInt,1,9)</f>
        <v>2488.6</v>
      </c>
      <c r="O72" s="122" t="n">
        <f aca="false">INDEX(Capex,1,10)+INDEX(CapInt,1,10)</f>
        <v>5697.6</v>
      </c>
      <c r="P72" s="123" t="n">
        <f aca="false">INDEX(Capex,1,11)+INDEX(CapInt,1,11)</f>
        <v>3563.55775184151</v>
      </c>
      <c r="Q72" s="123" t="n">
        <f aca="false">INDEX(Capex,1,12)+INDEX(CapInt,1,12)</f>
        <v>5284.0525836433</v>
      </c>
      <c r="R72" s="123" t="n">
        <f aca="false">INDEX(Capex,1,13)+INDEX(CapInt,1,13)</f>
        <v>6314.99025582721</v>
      </c>
      <c r="S72" s="123" t="n">
        <f aca="false">INDEX(Capex,1,14)+INDEX(CapInt,1,14)</f>
        <v>7821.848012713</v>
      </c>
      <c r="T72" s="123" t="n">
        <f aca="false">INDEX(Capex,1,15)+INDEX(CapInt,1,15)</f>
        <v>12444.3037277487</v>
      </c>
      <c r="U72" s="123" t="n">
        <f aca="false">INDEX(Capex,1,16)+INDEX(CapInt,1,16)</f>
        <v>6029.57350504857</v>
      </c>
      <c r="V72" s="123" t="n">
        <f aca="false">INDEX(Capex,1,17)+INDEX(CapInt,1,17)</f>
        <v>7183.28363681738</v>
      </c>
      <c r="W72" s="123" t="n">
        <f aca="false">INDEX(Capex,1,18)+INDEX(CapInt,1,18)</f>
        <v>3882.32543799746</v>
      </c>
      <c r="X72" s="123" t="n">
        <f aca="false">INDEX(Capex,1,19)+INDEX(CapInt,1,19)</f>
        <v>14729.7436631987</v>
      </c>
      <c r="Y72" s="123" t="n">
        <f aca="false">INDEX(Capex,1,20)+INDEX(CapInt,1,20)</f>
        <v>4162.23750744845</v>
      </c>
      <c r="Z72" s="123" t="n">
        <f aca="false">INDEX(Capex,1,21)+INDEX(CapInt,1,21)</f>
        <v>15396.1777896657</v>
      </c>
      <c r="AA72" s="123" t="n">
        <f aca="false">INDEX(Capex,1,22)+INDEX(CapInt,1,22)</f>
        <v>5640.74458222059</v>
      </c>
      <c r="AB72" s="123" t="n">
        <f aca="false">INDEX(Capex,1,23)+INDEX(CapInt,1,23)</f>
        <v>21334.1930837085</v>
      </c>
      <c r="AC72" s="123" t="n">
        <f aca="false">INDEX(Capex,1,24)+INDEX(CapInt,1,24)</f>
        <v>637.153883830121</v>
      </c>
      <c r="AD72" s="123" t="n">
        <f aca="false">INDEX(Capex,1,25)+INDEX(CapInt,1,25)</f>
        <v>748.643700102303</v>
      </c>
      <c r="AE72" s="123" t="n">
        <f aca="false">INDEX(Capex,1,26)+INDEX(CapInt,1,26)</f>
        <v>743.661637062919</v>
      </c>
      <c r="AF72" s="123" t="n">
        <f aca="false">INDEX(Capex,1,27)+INDEX(CapInt,1,27)</f>
        <v>1080.93524399853</v>
      </c>
      <c r="AG72" s="123" t="n">
        <f aca="false">INDEX(Capex,1,28)+INDEX(CapInt,1,28)</f>
        <v>1963.67631524898</v>
      </c>
      <c r="AI72" s="123" t="n">
        <f aca="false">SUMIF($F$7:$AG$7,AI$7,$F72:$AG72)</f>
        <v>807.5</v>
      </c>
      <c r="AJ72" s="123" t="n">
        <f aca="false">SUMIF($F$7:$AG$7,AJ$7,$F72:$AG72)</f>
        <v>4066.1</v>
      </c>
      <c r="AK72" s="123" t="n">
        <f aca="false">SUMIF($F$7:$AG$7,AK$7,$F72:$AG72)</f>
        <v>17033.8103354848</v>
      </c>
      <c r="AL72" s="123" t="n">
        <f aca="false">SUMIF($F$7:$AG$7,AL$7,$F72:$AG72)</f>
        <v>32610.7155013375</v>
      </c>
      <c r="AM72" s="123" t="n">
        <f aca="false">SUMIF($F$7:$AG$7,AM$7,$F72:$AG72)</f>
        <v>29957.590245462</v>
      </c>
      <c r="AN72" s="123" t="n">
        <f aca="false">SUMIF($F$7:$AG$7,AN$7,$F72:$AG72)</f>
        <v>43008.2693394249</v>
      </c>
      <c r="AO72" s="123" t="n">
        <f aca="false">SUMIF($F$7:$AG$7,AO$7,$F72:$AG72)</f>
        <v>4536.91689641274</v>
      </c>
    </row>
    <row r="73" customFormat="false" ht="15" hidden="false" customHeight="false" outlineLevel="0" collapsed="false">
      <c r="A73" s="104" t="s">
        <v>1980</v>
      </c>
      <c r="B73" s="20" t="s">
        <v>561</v>
      </c>
      <c r="C73" s="20" t="s">
        <v>1843</v>
      </c>
      <c r="D73" s="20" t="s">
        <v>1981</v>
      </c>
      <c r="F73" s="122" t="n">
        <f aca="false">IF(F$5&lt;=LastHist,IF(F$5&gt;=9,INDEX(H_ISG,1,F$5)-INDEX(H_ISG,1,F$5-1),0),IF(F$5=LastHist+1,CIPRel1,IF(F$5=LastHist+2,CIPRel2,0))*INDEX(H_CIP,1,LastHist)+IF(F$5-(PISLag+GPULead-1)&gt;LastHist,INDEX($E$72:$AG$72,1,MAX(1,F$5-(PISLag+GPULead-1))),0))</f>
        <v>0</v>
      </c>
      <c r="G73" s="122" t="n">
        <f aca="false">IF(G$5&lt;=LastHist,IF(G$5&gt;=9,INDEX(H_ISG,1,G$5)-INDEX(H_ISG,1,G$5-1),0),IF(G$5=LastHist+1,CIPRel1,IF(G$5=LastHist+2,CIPRel2,0))*INDEX(H_CIP,1,LastHist)+IF(G$5-(PISLag+GPULead-1)&gt;LastHist,INDEX($E$72:$AG$72,1,MAX(1,G$5-(PISLag+GPULead-1))),0))</f>
        <v>0</v>
      </c>
      <c r="H73" s="122" t="n">
        <f aca="false">IF(H$5&lt;=LastHist,IF(H$5&gt;=9,INDEX(H_ISG,1,H$5)-INDEX(H_ISG,1,H$5-1),0),IF(H$5=LastHist+1,CIPRel1,IF(H$5=LastHist+2,CIPRel2,0))*INDEX(H_CIP,1,LastHist)+IF(H$5-(PISLag+GPULead-1)&gt;LastHist,INDEX($E$72:$AG$72,1,MAX(1,H$5-(PISLag+GPULead-1))),0))</f>
        <v>0</v>
      </c>
      <c r="I73" s="122" t="n">
        <f aca="false">IF(I$5&lt;=LastHist,IF(I$5&gt;=9,INDEX(H_ISG,1,I$5)-INDEX(H_ISG,1,I$5-1),0),IF(I$5=LastHist+1,CIPRel1,IF(I$5=LastHist+2,CIPRel2,0))*INDEX(H_CIP,1,LastHist)+IF(I$5-(PISLag+GPULead-1)&gt;LastHist,INDEX($E$72:$AG$72,1,MAX(1,I$5-(PISLag+GPULead-1))),0))</f>
        <v>0</v>
      </c>
      <c r="J73" s="122" t="n">
        <f aca="false">IF(J$5&lt;=LastHist,IF(J$5&gt;=9,INDEX(H_ISG,1,J$5)-INDEX(H_ISG,1,J$5-1),0),IF(J$5=LastHist+1,CIPRel1,IF(J$5=LastHist+2,CIPRel2,0))*INDEX(H_CIP,1,LastHist)+IF(J$5-(PISLag+GPULead-1)&gt;LastHist,INDEX($E$72:$AG$72,1,MAX(1,J$5-(PISLag+GPULead-1))),0))</f>
        <v>0</v>
      </c>
      <c r="K73" s="122" t="n">
        <f aca="false">IF(K$5&lt;=LastHist,IF(K$5&gt;=9,INDEX(H_ISG,1,K$5)-INDEX(H_ISG,1,K$5-1),0),IF(K$5=LastHist+1,CIPRel1,IF(K$5=LastHist+2,CIPRel2,0))*INDEX(H_CIP,1,LastHist)+IF(K$5-(PISLag+GPULead-1)&gt;LastHist,INDEX($E$72:$AG$72,1,MAX(1,K$5-(PISLag+GPULead-1))),0))</f>
        <v>0</v>
      </c>
      <c r="L73" s="122" t="n">
        <f aca="false">IF(L$5&lt;=LastHist,IF(L$5&gt;=9,INDEX(H_ISG,1,L$5)-INDEX(H_ISG,1,L$5-1),0),IF(L$5=LastHist+1,CIPRel1,IF(L$5=LastHist+2,CIPRel2,0))*INDEX(H_CIP,1,LastHist)+IF(L$5-(PISLag+GPULead-1)&gt;LastHist,INDEX($E$72:$AG$72,1,MAX(1,L$5-(PISLag+GPULead-1))),0))</f>
        <v>0</v>
      </c>
      <c r="M73" s="122" t="n">
        <f aca="false">IF(M$5&lt;=LastHist,IF(M$5&gt;=9,INDEX(H_ISG,1,M$5)-INDEX(H_ISG,1,M$5-1),0),IF(M$5=LastHist+1,CIPRel1,IF(M$5=LastHist+2,CIPRel2,0))*INDEX(H_CIP,1,LastHist)+IF(M$5-(PISLag+GPULead-1)&gt;LastHist,INDEX($E$72:$AG$72,1,MAX(1,M$5-(PISLag+GPULead-1))),0))</f>
        <v>0</v>
      </c>
      <c r="N73" s="122" t="n">
        <f aca="false">IF(N$5&lt;=LastHist,IF(N$5&gt;=9,INDEX(H_ISG,1,N$5)-INDEX(H_ISG,1,N$5-1),0),IF(N$5=LastHist+1,CIPRel1,IF(N$5=LastHist+2,CIPRel2,0))*INDEX(H_CIP,1,LastHist)+IF(N$5-(PISLag+GPULead-1)&gt;LastHist,INDEX($E$72:$AG$72,1,MAX(1,N$5-(PISLag+GPULead-1))),0))</f>
        <v>1775.8</v>
      </c>
      <c r="O73" s="122" t="n">
        <f aca="false">IF(O$5&lt;=LastHist,IF(O$5&gt;=9,INDEX(H_ISG,1,O$5)-INDEX(H_ISG,1,O$5-1),0),IF(O$5=LastHist+1,CIPRel1,IF(O$5=LastHist+2,CIPRel2,0))*INDEX(H_CIP,1,LastHist)+IF(O$5-(PISLag+GPULead-1)&gt;LastHist,INDEX($E$72:$AG$72,1,MAX(1,O$5-(PISLag+GPULead-1))),0))</f>
        <v>764.400000000001</v>
      </c>
      <c r="P73" s="123" t="n">
        <f aca="false">IF(P$5&lt;=LastHist,IF(P$5&gt;=9,INDEX(H_ISG,1,P$5)-INDEX(H_ISG,1,P$5-1),0),IF(P$5=LastHist+1,CIPRel1,IF(P$5=LastHist+2,CIPRel2,0))*INDEX(H_CIP,1,LastHist)+IF(P$5-(PISLag+GPULead-1)&gt;LastHist,INDEX($E$72:$AG$72,1,MAX(1,P$5-(PISLag+GPULead-1))),0))</f>
        <v>4701.84</v>
      </c>
      <c r="Q73" s="123" t="n">
        <f aca="false">IF(Q$5&lt;=LastHist,IF(Q$5&gt;=9,INDEX(H_ISG,1,Q$5)-INDEX(H_ISG,1,Q$5-1),0),IF(Q$5=LastHist+1,CIPRel1,IF(Q$5=LastHist+2,CIPRel2,0))*INDEX(H_CIP,1,LastHist)+IF(Q$5-(PISLag+GPULead-1)&gt;LastHist,INDEX($E$72:$AG$72,1,MAX(1,Q$5-(PISLag+GPULead-1))),0))</f>
        <v>3134.56</v>
      </c>
      <c r="R73" s="123" t="n">
        <f aca="false">IF(R$5&lt;=LastHist,IF(R$5&gt;=9,INDEX(H_ISG,1,R$5)-INDEX(H_ISG,1,R$5-1),0),IF(R$5=LastHist+1,CIPRel1,IF(R$5=LastHist+2,CIPRel2,0))*INDEX(H_CIP,1,LastHist)+IF(R$5-(PISLag+GPULead-1)&gt;LastHist,INDEX($E$72:$AG$72,1,MAX(1,R$5-(PISLag+GPULead-1))),0))</f>
        <v>5697.6</v>
      </c>
      <c r="S73" s="123" t="n">
        <f aca="false">IF(S$5&lt;=LastHist,IF(S$5&gt;=9,INDEX(H_ISG,1,S$5)-INDEX(H_ISG,1,S$5-1),0),IF(S$5=LastHist+1,CIPRel1,IF(S$5=LastHist+2,CIPRel2,0))*INDEX(H_CIP,1,LastHist)+IF(S$5-(PISLag+GPULead-1)&gt;LastHist,INDEX($E$72:$AG$72,1,MAX(1,S$5-(PISLag+GPULead-1))),0))</f>
        <v>3563.55775184151</v>
      </c>
      <c r="T73" s="123" t="n">
        <f aca="false">IF(T$5&lt;=LastHist,IF(T$5&gt;=9,INDEX(H_ISG,1,T$5)-INDEX(H_ISG,1,T$5-1),0),IF(T$5=LastHist+1,CIPRel1,IF(T$5=LastHist+2,CIPRel2,0))*INDEX(H_CIP,1,LastHist)+IF(T$5-(PISLag+GPULead-1)&gt;LastHist,INDEX($E$72:$AG$72,1,MAX(1,T$5-(PISLag+GPULead-1))),0))</f>
        <v>5284.0525836433</v>
      </c>
      <c r="U73" s="123" t="n">
        <f aca="false">IF(U$5&lt;=LastHist,IF(U$5&gt;=9,INDEX(H_ISG,1,U$5)-INDEX(H_ISG,1,U$5-1),0),IF(U$5=LastHist+1,CIPRel1,IF(U$5=LastHist+2,CIPRel2,0))*INDEX(H_CIP,1,LastHist)+IF(U$5-(PISLag+GPULead-1)&gt;LastHist,INDEX($E$72:$AG$72,1,MAX(1,U$5-(PISLag+GPULead-1))),0))</f>
        <v>6314.99025582721</v>
      </c>
      <c r="V73" s="123" t="n">
        <f aca="false">IF(V$5&lt;=LastHist,IF(V$5&gt;=9,INDEX(H_ISG,1,V$5)-INDEX(H_ISG,1,V$5-1),0),IF(V$5=LastHist+1,CIPRel1,IF(V$5=LastHist+2,CIPRel2,0))*INDEX(H_CIP,1,LastHist)+IF(V$5-(PISLag+GPULead-1)&gt;LastHist,INDEX($E$72:$AG$72,1,MAX(1,V$5-(PISLag+GPULead-1))),0))</f>
        <v>7821.848012713</v>
      </c>
      <c r="W73" s="123" t="n">
        <f aca="false">IF(W$5&lt;=LastHist,IF(W$5&gt;=9,INDEX(H_ISG,1,W$5)-INDEX(H_ISG,1,W$5-1),0),IF(W$5=LastHist+1,CIPRel1,IF(W$5=LastHist+2,CIPRel2,0))*INDEX(H_CIP,1,LastHist)+IF(W$5-(PISLag+GPULead-1)&gt;LastHist,INDEX($E$72:$AG$72,1,MAX(1,W$5-(PISLag+GPULead-1))),0))</f>
        <v>12444.3037277487</v>
      </c>
      <c r="X73" s="123" t="n">
        <f aca="false">IF(X$5&lt;=LastHist,IF(X$5&gt;=9,INDEX(H_ISG,1,X$5)-INDEX(H_ISG,1,X$5-1),0),IF(X$5=LastHist+1,CIPRel1,IF(X$5=LastHist+2,CIPRel2,0))*INDEX(H_CIP,1,LastHist)+IF(X$5-(PISLag+GPULead-1)&gt;LastHist,INDEX($E$72:$AG$72,1,MAX(1,X$5-(PISLag+GPULead-1))),0))</f>
        <v>6029.57350504857</v>
      </c>
      <c r="Y73" s="123" t="n">
        <f aca="false">IF(Y$5&lt;=LastHist,IF(Y$5&gt;=9,INDEX(H_ISG,1,Y$5)-INDEX(H_ISG,1,Y$5-1),0),IF(Y$5=LastHist+1,CIPRel1,IF(Y$5=LastHist+2,CIPRel2,0))*INDEX(H_CIP,1,LastHist)+IF(Y$5-(PISLag+GPULead-1)&gt;LastHist,INDEX($E$72:$AG$72,1,MAX(1,Y$5-(PISLag+GPULead-1))),0))</f>
        <v>7183.28363681738</v>
      </c>
      <c r="Z73" s="123" t="n">
        <f aca="false">IF(Z$5&lt;=LastHist,IF(Z$5&gt;=9,INDEX(H_ISG,1,Z$5)-INDEX(H_ISG,1,Z$5-1),0),IF(Z$5=LastHist+1,CIPRel1,IF(Z$5=LastHist+2,CIPRel2,0))*INDEX(H_CIP,1,LastHist)+IF(Z$5-(PISLag+GPULead-1)&gt;LastHist,INDEX($E$72:$AG$72,1,MAX(1,Z$5-(PISLag+GPULead-1))),0))</f>
        <v>3882.32543799746</v>
      </c>
      <c r="AA73" s="123" t="n">
        <f aca="false">IF(AA$5&lt;=LastHist,IF(AA$5&gt;=9,INDEX(H_ISG,1,AA$5)-INDEX(H_ISG,1,AA$5-1),0),IF(AA$5=LastHist+1,CIPRel1,IF(AA$5=LastHist+2,CIPRel2,0))*INDEX(H_CIP,1,LastHist)+IF(AA$5-(PISLag+GPULead-1)&gt;LastHist,INDEX($E$72:$AG$72,1,MAX(1,AA$5-(PISLag+GPULead-1))),0))</f>
        <v>14729.7436631987</v>
      </c>
      <c r="AB73" s="123" t="n">
        <f aca="false">IF(AB$5&lt;=LastHist,IF(AB$5&gt;=9,INDEX(H_ISG,1,AB$5)-INDEX(H_ISG,1,AB$5-1),0),IF(AB$5=LastHist+1,CIPRel1,IF(AB$5=LastHist+2,CIPRel2,0))*INDEX(H_CIP,1,LastHist)+IF(AB$5-(PISLag+GPULead-1)&gt;LastHist,INDEX($E$72:$AG$72,1,MAX(1,AB$5-(PISLag+GPULead-1))),0))</f>
        <v>4162.23750744845</v>
      </c>
      <c r="AC73" s="123" t="n">
        <f aca="false">IF(AC$5&lt;=LastHist,IF(AC$5&gt;=9,INDEX(H_ISG,1,AC$5)-INDEX(H_ISG,1,AC$5-1),0),IF(AC$5=LastHist+1,CIPRel1,IF(AC$5=LastHist+2,CIPRel2,0))*INDEX(H_CIP,1,LastHist)+IF(AC$5-(PISLag+GPULead-1)&gt;LastHist,INDEX($E$72:$AG$72,1,MAX(1,AC$5-(PISLag+GPULead-1))),0))</f>
        <v>15396.1777896657</v>
      </c>
      <c r="AD73" s="123" t="n">
        <f aca="false">IF(AD$5&lt;=LastHist,IF(AD$5&gt;=9,INDEX(H_ISG,1,AD$5)-INDEX(H_ISG,1,AD$5-1),0),IF(AD$5=LastHist+1,CIPRel1,IF(AD$5=LastHist+2,CIPRel2,0))*INDEX(H_CIP,1,LastHist)+IF(AD$5-(PISLag+GPULead-1)&gt;LastHist,INDEX($E$72:$AG$72,1,MAX(1,AD$5-(PISLag+GPULead-1))),0))</f>
        <v>5640.74458222059</v>
      </c>
      <c r="AE73" s="123" t="n">
        <f aca="false">IF(AE$5&lt;=LastHist,IF(AE$5&gt;=9,INDEX(H_ISG,1,AE$5)-INDEX(H_ISG,1,AE$5-1),0),IF(AE$5=LastHist+1,CIPRel1,IF(AE$5=LastHist+2,CIPRel2,0))*INDEX(H_CIP,1,LastHist)+IF(AE$5-(PISLag+GPULead-1)&gt;LastHist,INDEX($E$72:$AG$72,1,MAX(1,AE$5-(PISLag+GPULead-1))),0))</f>
        <v>21334.1930837085</v>
      </c>
      <c r="AF73" s="123" t="n">
        <f aca="false">IF(AF$5&lt;=LastHist,IF(AF$5&gt;=9,INDEX(H_ISG,1,AF$5)-INDEX(H_ISG,1,AF$5-1),0),IF(AF$5=LastHist+1,CIPRel1,IF(AF$5=LastHist+2,CIPRel2,0))*INDEX(H_CIP,1,LastHist)+IF(AF$5-(PISLag+GPULead-1)&gt;LastHist,INDEX($E$72:$AG$72,1,MAX(1,AF$5-(PISLag+GPULead-1))),0))</f>
        <v>637.153883830121</v>
      </c>
      <c r="AG73" s="123" t="n">
        <f aca="false">IF(AG$5&lt;=LastHist,IF(AG$5&gt;=9,INDEX(H_ISG,1,AG$5)-INDEX(H_ISG,1,AG$5-1),0),IF(AG$5=LastHist+1,CIPRel1,IF(AG$5=LastHist+2,CIPRel2,0))*INDEX(H_CIP,1,LastHist)+IF(AG$5-(PISLag+GPULead-1)&gt;LastHist,INDEX($E$72:$AG$72,1,MAX(1,AG$5-(PISLag+GPULead-1))),0))</f>
        <v>748.643700102303</v>
      </c>
      <c r="AI73" s="123" t="n">
        <f aca="false">SUMIF($F$7:$AG$7,AI$7,$F73:$AG73)</f>
        <v>0</v>
      </c>
      <c r="AJ73" s="123" t="n">
        <f aca="false">SUMIF($F$7:$AG$7,AJ$7,$F73:$AG73)</f>
        <v>0</v>
      </c>
      <c r="AK73" s="123" t="n">
        <f aca="false">SUMIF($F$7:$AG$7,AK$7,$F73:$AG73)</f>
        <v>10376.6</v>
      </c>
      <c r="AL73" s="123" t="n">
        <f aca="false">SUMIF($F$7:$AG$7,AL$7,$F73:$AG73)</f>
        <v>20860.200591312</v>
      </c>
      <c r="AM73" s="123" t="n">
        <f aca="false">SUMIF($F$7:$AG$7,AM$7,$F73:$AG73)</f>
        <v>33479.0088823277</v>
      </c>
      <c r="AN73" s="123" t="n">
        <f aca="false">SUMIF($F$7:$AG$7,AN$7,$F73:$AG73)</f>
        <v>38170.4843983103</v>
      </c>
      <c r="AO73" s="123" t="n">
        <f aca="false">SUMIF($F$7:$AG$7,AO$7,$F73:$AG73)</f>
        <v>28360.7352498615</v>
      </c>
    </row>
    <row r="74" customFormat="false" ht="15" hidden="false" customHeight="false" outlineLevel="0" collapsed="false">
      <c r="A74" s="104" t="s">
        <v>1982</v>
      </c>
      <c r="B74" s="20" t="s">
        <v>561</v>
      </c>
      <c r="C74" s="20" t="s">
        <v>1843</v>
      </c>
      <c r="D74" s="20" t="s">
        <v>1983</v>
      </c>
      <c r="F74" s="122" t="n">
        <f aca="false">IF(F$5&lt;=LastHist,INDEX(H_CIP,1,F$5),E74+F72-F73)</f>
        <v>0</v>
      </c>
      <c r="G74" s="122" t="n">
        <f aca="false">IF(G$5&lt;=LastHist,INDEX(H_CIP,1,G$5),F74+G72-G73)</f>
        <v>0</v>
      </c>
      <c r="H74" s="122" t="n">
        <f aca="false">IF(H$5&lt;=LastHist,INDEX(H_CIP,1,H$5),G74+H72-H73)</f>
        <v>0</v>
      </c>
      <c r="I74" s="122" t="n">
        <f aca="false">IF(I$5&lt;=LastHist,INDEX(H_CIP,1,I$5),H74+I72-I73)</f>
        <v>0</v>
      </c>
      <c r="J74" s="122" t="n">
        <f aca="false">IF(J$5&lt;=LastHist,INDEX(H_CIP,1,J$5),I74+J72-J73)</f>
        <v>0</v>
      </c>
      <c r="K74" s="122" t="n">
        <f aca="false">IF(K$5&lt;=LastHist,INDEX(H_CIP,1,K$5),J74+K72-K73)</f>
        <v>0</v>
      </c>
      <c r="L74" s="122" t="n">
        <f aca="false">IF(L$5&lt;=LastHist,INDEX(H_CIP,1,L$5),K74+L72-L73)</f>
        <v>0</v>
      </c>
      <c r="M74" s="122" t="n">
        <f aca="false">IF(M$5&lt;=LastHist,INDEX(H_CIP,1,M$5),L74+M72-M73)</f>
        <v>2417.4</v>
      </c>
      <c r="N74" s="122" t="n">
        <f aca="false">IF(N$5&lt;=LastHist,INDEX(H_CIP,1,N$5),M74+N72-N73)</f>
        <v>2427.9</v>
      </c>
      <c r="O74" s="122" t="n">
        <f aca="false">IF(O$5&lt;=LastHist,INDEX(H_CIP,1,O$5),N74+O72-O73)</f>
        <v>7836.4</v>
      </c>
      <c r="P74" s="123" t="n">
        <f aca="false">IF(P$5&lt;=LastHist,INDEX(H_CIP,1,P$5),O74+P72-P73)</f>
        <v>6698.11775184151</v>
      </c>
      <c r="Q74" s="123" t="n">
        <f aca="false">IF(Q$5&lt;=LastHist,INDEX(H_CIP,1,Q$5),P74+Q72-Q73)</f>
        <v>8847.61033548481</v>
      </c>
      <c r="R74" s="123" t="n">
        <f aca="false">IF(R$5&lt;=LastHist,INDEX(H_CIP,1,R$5),Q74+R72-R73)</f>
        <v>9465.00059131203</v>
      </c>
      <c r="S74" s="123" t="n">
        <f aca="false">IF(S$5&lt;=LastHist,INDEX(H_CIP,1,S$5),R74+S72-S73)</f>
        <v>13723.2908521835</v>
      </c>
      <c r="T74" s="123" t="n">
        <f aca="false">IF(T$5&lt;=LastHist,INDEX(H_CIP,1,T$5),S74+T72-T73)</f>
        <v>20883.5419962889</v>
      </c>
      <c r="U74" s="123" t="n">
        <f aca="false">IF(U$5&lt;=LastHist,INDEX(H_CIP,1,U$5),T74+U72-U73)</f>
        <v>20598.1252455103</v>
      </c>
      <c r="V74" s="123" t="n">
        <f aca="false">IF(V$5&lt;=LastHist,INDEX(H_CIP,1,V$5),U74+V72-V73)</f>
        <v>19959.5608696147</v>
      </c>
      <c r="W74" s="123" t="n">
        <f aca="false">IF(W$5&lt;=LastHist,INDEX(H_CIP,1,W$5),V74+W72-W73)</f>
        <v>11397.5825798634</v>
      </c>
      <c r="X74" s="123" t="n">
        <f aca="false">IF(X$5&lt;=LastHist,INDEX(H_CIP,1,X$5),W74+X72-X73)</f>
        <v>20097.7527380135</v>
      </c>
      <c r="Y74" s="123" t="n">
        <f aca="false">IF(Y$5&lt;=LastHist,INDEX(H_CIP,1,Y$5),X74+Y72-Y73)</f>
        <v>17076.7066086446</v>
      </c>
      <c r="Z74" s="123" t="n">
        <f aca="false">IF(Z$5&lt;=LastHist,INDEX(H_CIP,1,Z$5),Y74+Z72-Z73)</f>
        <v>28590.5589603128</v>
      </c>
      <c r="AA74" s="123" t="n">
        <f aca="false">IF(AA$5&lt;=LastHist,INDEX(H_CIP,1,AA$5),Z74+AA72-AA73)</f>
        <v>19501.5598793347</v>
      </c>
      <c r="AB74" s="123" t="n">
        <f aca="false">IF(AB$5&lt;=LastHist,INDEX(H_CIP,1,AB$5),AA74+AB72-AB73)</f>
        <v>36673.5154555947</v>
      </c>
      <c r="AC74" s="123" t="n">
        <f aca="false">IF(AC$5&lt;=LastHist,INDEX(H_CIP,1,AC$5),AB74+AC72-AC73)</f>
        <v>21914.4915497592</v>
      </c>
      <c r="AD74" s="123" t="n">
        <f aca="false">IF(AD$5&lt;=LastHist,INDEX(H_CIP,1,AD$5),AC74+AD72-AD73)</f>
        <v>17022.3906676409</v>
      </c>
      <c r="AE74" s="123" t="n">
        <f aca="false">IF(AE$5&lt;=LastHist,INDEX(H_CIP,1,AE$5),AD74+AE72-AE73)</f>
        <v>-3568.14077900464</v>
      </c>
      <c r="AF74" s="123" t="n">
        <f aca="false">IF(AF$5&lt;=LastHist,INDEX(H_CIP,1,AF$5),AE74+AF72-AF73)</f>
        <v>-3124.35941883623</v>
      </c>
      <c r="AG74" s="123" t="n">
        <f aca="false">IF(AG$5&lt;=LastHist,INDEX(H_CIP,1,AG$5),AF74+AG72-AG73)</f>
        <v>-1909.32680368955</v>
      </c>
      <c r="AI74" s="123" t="n">
        <f aca="false">INDEX($F74:$AG74,1,MATCH(AI$7,$F$7:$AG$7,1))</f>
        <v>0</v>
      </c>
      <c r="AJ74" s="123" t="n">
        <f aca="false">INDEX($F74:$AG74,1,MATCH(AJ$7,$F$7:$AG$7,1))</f>
        <v>2417.4</v>
      </c>
      <c r="AK74" s="123" t="n">
        <f aca="false">INDEX($F74:$AG74,1,MATCH(AK$7,$F$7:$AG$7,1))</f>
        <v>8847.61033548481</v>
      </c>
      <c r="AL74" s="123" t="n">
        <f aca="false">INDEX($F74:$AG74,1,MATCH(AL$7,$F$7:$AG$7,1))</f>
        <v>20598.1252455103</v>
      </c>
      <c r="AM74" s="123" t="n">
        <f aca="false">INDEX($F74:$AG74,1,MATCH(AM$7,$F$7:$AG$7,1))</f>
        <v>17076.7066086446</v>
      </c>
      <c r="AN74" s="123" t="n">
        <f aca="false">INDEX($F74:$AG74,1,MATCH(AN$7,$F$7:$AG$7,1))</f>
        <v>21914.4915497592</v>
      </c>
      <c r="AO74" s="123" t="n">
        <f aca="false">INDEX($F74:$AG74,1,MATCH(AO$7,$F$7:$AG$7,1))</f>
        <v>-1909.32680368955</v>
      </c>
    </row>
    <row r="75" customFormat="false" ht="15" hidden="false" customHeight="false" outlineLevel="0" collapsed="false">
      <c r="A75" s="104" t="s">
        <v>1984</v>
      </c>
      <c r="B75" s="20" t="s">
        <v>561</v>
      </c>
      <c r="C75" s="20" t="s">
        <v>1843</v>
      </c>
      <c r="D75" s="20" t="s">
        <v>1985</v>
      </c>
      <c r="F75" s="122" t="n">
        <f aca="false">IF(F$5&lt;=LastHist,INDEX(H_ISG,1,F$5),E75+F73)</f>
        <v>0</v>
      </c>
      <c r="G75" s="122" t="n">
        <f aca="false">IF(G$5&lt;=LastHist,INDEX(H_ISG,1,G$5),F75+G73)</f>
        <v>0</v>
      </c>
      <c r="H75" s="122" t="n">
        <f aca="false">IF(H$5&lt;=LastHist,INDEX(H_ISG,1,H$5),G75+H73)</f>
        <v>0</v>
      </c>
      <c r="I75" s="122" t="n">
        <f aca="false">IF(I$5&lt;=LastHist,INDEX(H_ISG,1,I$5),H75+I73)</f>
        <v>0</v>
      </c>
      <c r="J75" s="122" t="n">
        <f aca="false">IF(J$5&lt;=LastHist,INDEX(H_ISG,1,J$5),I75+J73)</f>
        <v>0</v>
      </c>
      <c r="K75" s="122" t="n">
        <f aca="false">IF(K$5&lt;=LastHist,INDEX(H_ISG,1,K$5),J75+K73)</f>
        <v>0</v>
      </c>
      <c r="L75" s="122" t="n">
        <f aca="false">IF(L$5&lt;=LastHist,INDEX(H_ISG,1,L$5),K75+L73)</f>
        <v>0</v>
      </c>
      <c r="M75" s="122" t="n">
        <f aca="false">IF(M$5&lt;=LastHist,INDEX(H_ISG,1,M$5),L75+M73)</f>
        <v>3772.9</v>
      </c>
      <c r="N75" s="122" t="n">
        <f aca="false">IF(N$5&lt;=LastHist,INDEX(H_ISG,1,N$5),M75+N73)</f>
        <v>5548.7</v>
      </c>
      <c r="O75" s="122" t="n">
        <f aca="false">IF(O$5&lt;=LastHist,INDEX(H_ISG,1,O$5),N75+O73)</f>
        <v>6313.1</v>
      </c>
      <c r="P75" s="123" t="n">
        <f aca="false">IF(P$5&lt;=LastHist,INDEX(H_ISG,1,P$5),O75+P73)</f>
        <v>11014.94</v>
      </c>
      <c r="Q75" s="123" t="n">
        <f aca="false">IF(Q$5&lt;=LastHist,INDEX(H_ISG,1,Q$5),P75+Q73)</f>
        <v>14149.5</v>
      </c>
      <c r="R75" s="123" t="n">
        <f aca="false">IF(R$5&lt;=LastHist,INDEX(H_ISG,1,R$5),Q75+R73)</f>
        <v>19847.1</v>
      </c>
      <c r="S75" s="123" t="n">
        <f aca="false">IF(S$5&lt;=LastHist,INDEX(H_ISG,1,S$5),R75+S73)</f>
        <v>23410.6577518415</v>
      </c>
      <c r="T75" s="123" t="n">
        <f aca="false">IF(T$5&lt;=LastHist,INDEX(H_ISG,1,T$5),S75+T73)</f>
        <v>28694.7103354848</v>
      </c>
      <c r="U75" s="123" t="n">
        <f aca="false">IF(U$5&lt;=LastHist,INDEX(H_ISG,1,U$5),T75+U73)</f>
        <v>35009.700591312</v>
      </c>
      <c r="V75" s="123" t="n">
        <f aca="false">IF(V$5&lt;=LastHist,INDEX(H_ISG,1,V$5),U75+V73)</f>
        <v>42831.548604025</v>
      </c>
      <c r="W75" s="123" t="n">
        <f aca="false">IF(W$5&lt;=LastHist,INDEX(H_ISG,1,W$5),V75+W73)</f>
        <v>55275.8523317737</v>
      </c>
      <c r="X75" s="123" t="n">
        <f aca="false">IF(X$5&lt;=LastHist,INDEX(H_ISG,1,X$5),W75+X73)</f>
        <v>61305.4258368223</v>
      </c>
      <c r="Y75" s="123" t="n">
        <f aca="false">IF(Y$5&lt;=LastHist,INDEX(H_ISG,1,Y$5),X75+Y73)</f>
        <v>68488.7094736397</v>
      </c>
      <c r="Z75" s="123" t="n">
        <f aca="false">IF(Z$5&lt;=LastHist,INDEX(H_ISG,1,Z$5),Y75+Z73)</f>
        <v>72371.0349116371</v>
      </c>
      <c r="AA75" s="123" t="n">
        <f aca="false">IF(AA$5&lt;=LastHist,INDEX(H_ISG,1,AA$5),Z75+AA73)</f>
        <v>87100.7785748358</v>
      </c>
      <c r="AB75" s="123" t="n">
        <f aca="false">IF(AB$5&lt;=LastHist,INDEX(H_ISG,1,AB$5),AA75+AB73)</f>
        <v>91263.0160822843</v>
      </c>
      <c r="AC75" s="123" t="n">
        <f aca="false">IF(AC$5&lt;=LastHist,INDEX(H_ISG,1,AC$5),AB75+AC73)</f>
        <v>106659.19387195</v>
      </c>
      <c r="AD75" s="123" t="n">
        <f aca="false">IF(AD$5&lt;=LastHist,INDEX(H_ISG,1,AD$5),AC75+AD73)</f>
        <v>112299.938454171</v>
      </c>
      <c r="AE75" s="123" t="n">
        <f aca="false">IF(AE$5&lt;=LastHist,INDEX(H_ISG,1,AE$5),AD75+AE73)</f>
        <v>133634.131537879</v>
      </c>
      <c r="AF75" s="123" t="n">
        <f aca="false">IF(AF$5&lt;=LastHist,INDEX(H_ISG,1,AF$5),AE75+AF73)</f>
        <v>134271.285421709</v>
      </c>
      <c r="AG75" s="123" t="n">
        <f aca="false">IF(AG$5&lt;=LastHist,INDEX(H_ISG,1,AG$5),AF75+AG73)</f>
        <v>135019.929121811</v>
      </c>
      <c r="AI75" s="123" t="n">
        <f aca="false">INDEX($F75:$AG75,1,MATCH(AI$7,$F$7:$AG$7,1))</f>
        <v>0</v>
      </c>
      <c r="AJ75" s="123" t="n">
        <f aca="false">INDEX($F75:$AG75,1,MATCH(AJ$7,$F$7:$AG$7,1))</f>
        <v>3772.9</v>
      </c>
      <c r="AK75" s="123" t="n">
        <f aca="false">INDEX($F75:$AG75,1,MATCH(AK$7,$F$7:$AG$7,1))</f>
        <v>14149.5</v>
      </c>
      <c r="AL75" s="123" t="n">
        <f aca="false">INDEX($F75:$AG75,1,MATCH(AL$7,$F$7:$AG$7,1))</f>
        <v>35009.700591312</v>
      </c>
      <c r="AM75" s="123" t="n">
        <f aca="false">INDEX($F75:$AG75,1,MATCH(AM$7,$F$7:$AG$7,1))</f>
        <v>68488.7094736397</v>
      </c>
      <c r="AN75" s="123" t="n">
        <f aca="false">INDEX($F75:$AG75,1,MATCH(AN$7,$F$7:$AG$7,1))</f>
        <v>106659.19387195</v>
      </c>
      <c r="AO75" s="123" t="n">
        <f aca="false">INDEX($F75:$AG75,1,MATCH(AO$7,$F$7:$AG$7,1))</f>
        <v>135019.929121811</v>
      </c>
    </row>
    <row r="76" customFormat="false" ht="15" hidden="false" customHeight="false" outlineLevel="0" collapsed="false">
      <c r="A76" s="104" t="s">
        <v>1986</v>
      </c>
      <c r="B76" s="20" t="s">
        <v>561</v>
      </c>
      <c r="C76" s="20" t="s">
        <v>1843</v>
      </c>
      <c r="D76" s="20" t="s">
        <v>1987</v>
      </c>
      <c r="F76" s="122" t="n">
        <f aca="false">IF(F$5&lt;=LastHist,INDEX(H_PPDep,1,F$5),F65-OtherDA)</f>
        <v>8.9</v>
      </c>
      <c r="G76" s="122" t="n">
        <f aca="false">IF(G$5&lt;=LastHist,INDEX(H_PPDep,1,G$5),G65-OtherDA)</f>
        <v>11.4</v>
      </c>
      <c r="H76" s="122" t="n">
        <f aca="false">IF(H$5&lt;=LastHist,INDEX(H_PPDep,1,H$5),H65-OtherDA)</f>
        <v>23.5</v>
      </c>
      <c r="I76" s="122" t="n">
        <f aca="false">IF(I$5&lt;=LastHist,INDEX(H_PPDep,1,I$5),I65-OtherDA)</f>
        <v>33.3</v>
      </c>
      <c r="J76" s="122" t="n">
        <f aca="false">IF(J$5&lt;=LastHist,INDEX(H_PPDep,1,J$5),J65-OtherDA)</f>
        <v>49.1</v>
      </c>
      <c r="K76" s="122" t="n">
        <f aca="false">IF(K$5&lt;=LastHist,INDEX(H_PPDep,1,K$5),K65-OtherDA)</f>
        <v>75.2</v>
      </c>
      <c r="L76" s="122" t="n">
        <f aca="false">IF(L$5&lt;=LastHist,INDEX(H_PPDep,1,L$5),L65-OtherDA)</f>
        <v>99</v>
      </c>
      <c r="M76" s="122" t="n">
        <f aca="false">IF(M$5&lt;=LastHist,INDEX(H_PPDep,1,M$5),M65-OtherDA)</f>
        <v>180.7</v>
      </c>
      <c r="N76" s="122" t="n">
        <f aca="false">IF(N$5&lt;=LastHist,INDEX(H_PPDep,1,N$5),N65-OtherDA)</f>
        <v>208.8</v>
      </c>
      <c r="O76" s="122" t="n">
        <f aca="false">IF(O$5&lt;=LastHist,INDEX(H_PPDep,1,O$5),O65-OtherDA)</f>
        <v>253.8</v>
      </c>
      <c r="P76" s="123" t="n">
        <f aca="false">IF(P$5&lt;=LastHist,INDEX(H_PPDep,1,P$5),P65-OtherDA)</f>
        <v>582.0866</v>
      </c>
      <c r="Q76" s="123" t="n">
        <f aca="false">IF(Q$5&lt;=LastHist,INDEX(H_PPDep,1,Q$5),Q65-OtherDA)</f>
        <v>585.929487592076</v>
      </c>
      <c r="R76" s="123" t="n">
        <f aca="false">IF(R$5&lt;=LastHist,INDEX(H_PPDep,1,R$5),R65-OtherDA)</f>
        <v>760.867116774241</v>
      </c>
      <c r="S76" s="123" t="n">
        <f aca="false">IF(S$5&lt;=LastHist,INDEX(H_PPDep,1,S$5),S65-OtherDA)</f>
        <v>1018.7816295656</v>
      </c>
      <c r="T76" s="123" t="n">
        <f aca="false">IF(T$5&lt;=LastHist,INDEX(H_PPDep,1,T$5),T65-OtherDA)</f>
        <v>1310.05403020125</v>
      </c>
      <c r="U76" s="123" t="n">
        <f aca="false">IF(U$5&lt;=LastHist,INDEX(H_PPDep,1,U$5),U65-OtherDA)</f>
        <v>1649.29921658869</v>
      </c>
      <c r="V76" s="123" t="n">
        <f aca="false">IF(V$5&lt;=LastHist,INDEX(H_PPDep,1,V$5),V65-OtherDA)</f>
        <v>2245.17789184112</v>
      </c>
      <c r="W76" s="123" t="n">
        <f aca="false">IF(W$5&lt;=LastHist,INDEX(H_PPDep,1,W$5),W65-OtherDA)</f>
        <v>2495.01707368198</v>
      </c>
      <c r="X76" s="123" t="n">
        <f aca="false">IF(X$5&lt;=LastHist,INDEX(H_PPDep,1,X$5),X65-OtherDA)</f>
        <v>2855.05834558186</v>
      </c>
      <c r="Y76" s="123" t="n">
        <f aca="false">IF(Y$5&lt;=LastHist,INDEX(H_PPDep,1,Y$5),Y65-OtherDA)</f>
        <v>2955.27052874179</v>
      </c>
      <c r="Z76" s="123" t="n">
        <f aca="false">IF(Z$5&lt;=LastHist,INDEX(H_PPDep,1,Z$5),Z65-OtherDA)</f>
        <v>3692.16240411422</v>
      </c>
      <c r="AA76" s="123" t="n">
        <f aca="false">IF(AA$5&lt;=LastHist,INDEX(H_PPDep,1,AA$5),AA65-OtherDA)</f>
        <v>3780.5712935975</v>
      </c>
      <c r="AB76" s="123" t="n">
        <f aca="false">IF(AB$5&lt;=LastHist,INDEX(H_PPDep,1,AB$5),AB65-OtherDA)</f>
        <v>4545.95852270853</v>
      </c>
      <c r="AC76" s="123" t="n">
        <f aca="false">IF(AC$5&lt;=LastHist,INDEX(H_PPDep,1,AC$5),AC65-OtherDA)</f>
        <v>4665.62217689395</v>
      </c>
      <c r="AD76" s="123" t="n">
        <f aca="false">IF(AD$5&lt;=LastHist,INDEX(H_PPDep,1,AD$5),AD65-OtherDA)</f>
        <v>5727.92587108546</v>
      </c>
      <c r="AE76" s="123" t="n">
        <f aca="false">IF(AE$5&lt;=LastHist,INDEX(H_PPDep,1,AE$5),AE65-OtherDA)</f>
        <v>5743.59805609057</v>
      </c>
      <c r="AF76" s="123" t="n">
        <f aca="false">IF(AF$5&lt;=LastHist,INDEX(H_PPDep,1,AF$5),AF65-OtherDA)</f>
        <v>5760.35713794372</v>
      </c>
      <c r="AG76" s="123" t="n">
        <f aca="false">IF(AG$5&lt;=LastHist,INDEX(H_PPDep,1,AG$5),AG65-OtherDA)</f>
        <v>5776.18390014365</v>
      </c>
      <c r="AI76" s="123" t="n">
        <f aca="false">SUMIF($F$7:$AG$7,AI$7,$F76:$AG76)</f>
        <v>77.1</v>
      </c>
      <c r="AJ76" s="123" t="n">
        <f aca="false">SUMIF($F$7:$AG$7,AJ$7,$F76:$AG76)</f>
        <v>404</v>
      </c>
      <c r="AK76" s="123" t="n">
        <f aca="false">SUMIF($F$7:$AG$7,AK$7,$F76:$AG76)</f>
        <v>1630.61608759208</v>
      </c>
      <c r="AL76" s="123" t="n">
        <f aca="false">SUMIF($F$7:$AG$7,AL$7,$F76:$AG76)</f>
        <v>4739.00199312978</v>
      </c>
      <c r="AM76" s="123" t="n">
        <f aca="false">SUMIF($F$7:$AG$7,AM$7,$F76:$AG76)</f>
        <v>10550.5238398467</v>
      </c>
      <c r="AN76" s="123" t="n">
        <f aca="false">SUMIF($F$7:$AG$7,AN$7,$F76:$AG76)</f>
        <v>16684.3143973142</v>
      </c>
      <c r="AO76" s="123" t="n">
        <f aca="false">SUMIF($F$7:$AG$7,AO$7,$F76:$AG76)</f>
        <v>23008.0649652634</v>
      </c>
    </row>
    <row r="77" customFormat="false" ht="15" hidden="false" customHeight="false" outlineLevel="0" collapsed="false">
      <c r="A77" s="104" t="s">
        <v>1988</v>
      </c>
      <c r="B77" s="20" t="s">
        <v>561</v>
      </c>
      <c r="C77" s="20" t="s">
        <v>1843</v>
      </c>
      <c r="D77" s="20" t="s">
        <v>1989</v>
      </c>
      <c r="F77" s="122" t="n">
        <f aca="false">IF(F$5&lt;=LastHist,F76+INDEX(H_DAex,1,F$5)-INDEX(H_DA,1,F$5),F76+F39*(LQ_H/16-1)+F44*(LQ_B/16-1)+F49*(LQ_N/16-1))</f>
        <v>8.9</v>
      </c>
      <c r="G77" s="122" t="n">
        <f aca="false">IF(G$5&lt;=LastHist,G76+INDEX(H_DAex,1,G$5)-INDEX(H_DA,1,G$5),G76+G39*(LQ_H/16-1)+G44*(LQ_B/16-1)+G49*(LQ_N/16-1))</f>
        <v>11.4</v>
      </c>
      <c r="H77" s="122" t="n">
        <f aca="false">IF(H$5&lt;=LastHist,H76+INDEX(H_DAex,1,H$5)-INDEX(H_DA,1,H$5),H76+H39*(LQ_H/16-1)+H44*(LQ_B/16-1)+H49*(LQ_N/16-1))</f>
        <v>23.5</v>
      </c>
      <c r="I77" s="122" t="n">
        <f aca="false">IF(I$5&lt;=LastHist,I76+INDEX(H_DAex,1,I$5)-INDEX(H_DA,1,I$5),I76+I39*(LQ_H/16-1)+I44*(LQ_B/16-1)+I49*(LQ_N/16-1))</f>
        <v>33.3</v>
      </c>
      <c r="J77" s="122" t="n">
        <f aca="false">IF(J$5&lt;=LastHist,J76+INDEX(H_DAex,1,J$5)-INDEX(H_DA,1,J$5),J76+J39*(LQ_H/16-1)+J44*(LQ_B/16-1)+J49*(LQ_N/16-1))</f>
        <v>49.1</v>
      </c>
      <c r="K77" s="122" t="n">
        <f aca="false">IF(K$5&lt;=LastHist,K76+INDEX(H_DAex,1,K$5)-INDEX(H_DA,1,K$5),K76+K39*(LQ_H/16-1)+K44*(LQ_B/16-1)+K49*(LQ_N/16-1))</f>
        <v>75.2</v>
      </c>
      <c r="L77" s="122" t="n">
        <f aca="false">IF(L$5&lt;=LastHist,L76+INDEX(H_DAex,1,L$5)-INDEX(H_DA,1,L$5),L76+L39*(LQ_H/16-1)+L44*(LQ_B/16-1)+L49*(LQ_N/16-1))</f>
        <v>99</v>
      </c>
      <c r="M77" s="122" t="n">
        <f aca="false">IF(M$5&lt;=LastHist,M76+INDEX(H_DAex,1,M$5)-INDEX(H_DA,1,M$5),M76+M39*(LQ_H/16-1)+M44*(LQ_B/16-1)+M49*(LQ_N/16-1))</f>
        <v>180.7</v>
      </c>
      <c r="N77" s="122" t="n">
        <f aca="false">IF(N$5&lt;=LastHist,N76+INDEX(H_DAex,1,N$5)-INDEX(H_DA,1,N$5),N76+N39*(LQ_H/16-1)+N44*(LQ_B/16-1)+N49*(LQ_N/16-1))</f>
        <v>251.9</v>
      </c>
      <c r="O77" s="122" t="n">
        <f aca="false">IF(O$5&lt;=LastHist,O76+INDEX(H_DAex,1,O$5)-INDEX(H_DA,1,O$5),O76+O39*(LQ_H/16-1)+O44*(LQ_B/16-1)+O49*(LQ_N/16-1))</f>
        <v>296.8</v>
      </c>
      <c r="P77" s="123" t="n">
        <f aca="false">IF(P$5&lt;=LastHist,P76+INDEX(H_DAex,1,P$5)-INDEX(H_DA,1,P$5),P76+P39*(LQ_H/16-1)+P44*(LQ_B/16-1)+P49*(LQ_N/16-1))</f>
        <v>713.9056</v>
      </c>
      <c r="Q77" s="123" t="n">
        <f aca="false">IF(Q$5&lt;=LastHist,Q76+INDEX(H_DAex,1,Q$5)-INDEX(H_DA,1,Q$5),Q76+Q39*(LQ_H/16-1)+Q44*(LQ_B/16-1)+Q49*(LQ_N/16-1))</f>
        <v>717.748487592076</v>
      </c>
      <c r="R77" s="123" t="n">
        <f aca="false">IF(R$5&lt;=LastHist,R76+INDEX(H_DAex,1,R$5)-INDEX(H_DA,1,R$5),R76+R39*(LQ_H/16-1)+R44*(LQ_B/16-1)+R49*(LQ_N/16-1))</f>
        <v>934.863616774241</v>
      </c>
      <c r="S77" s="123" t="n">
        <f aca="false">IF(S$5&lt;=LastHist,S76+INDEX(H_DAex,1,S$5)-INDEX(H_DA,1,S$5),S76+S39*(LQ_H/16-1)+S44*(LQ_B/16-1)+S49*(LQ_N/16-1))</f>
        <v>1254.4593795656</v>
      </c>
      <c r="T77" s="123" t="n">
        <f aca="false">IF(T$5&lt;=LastHist,T76+INDEX(H_DAex,1,T$5)-INDEX(H_DA,1,T$5),T76+T39*(LQ_H/16-1)+T44*(LQ_B/16-1)+T49*(LQ_N/16-1))</f>
        <v>1612.81553020125</v>
      </c>
      <c r="U77" s="123" t="n">
        <f aca="false">IF(U$5&lt;=LastHist,U76+INDEX(H_DAex,1,U$5)-INDEX(H_DA,1,U$5),U76+U39*(LQ_H/16-1)+U44*(LQ_B/16-1)+U49*(LQ_N/16-1))</f>
        <v>2025.76196658869</v>
      </c>
      <c r="V77" s="123" t="n">
        <f aca="false">IF(V$5&lt;=LastHist,V76+INDEX(H_DAex,1,V$5)-INDEX(H_DA,1,V$5),V76+V39*(LQ_H/16-1)+V44*(LQ_B/16-1)+V49*(LQ_N/16-1))</f>
        <v>2763.83439184112</v>
      </c>
      <c r="W77" s="123" t="n">
        <f aca="false">IF(W$5&lt;=LastHist,W76+INDEX(H_DAex,1,W$5)-INDEX(H_DA,1,W$5),W76+W39*(LQ_H/16-1)+W44*(LQ_B/16-1)+W49*(LQ_N/16-1))</f>
        <v>3064.82982368198</v>
      </c>
      <c r="X77" s="123" t="n">
        <f aca="false">IF(X$5&lt;=LastHist,X76+INDEX(H_DAex,1,X$5)-INDEX(H_DA,1,X$5),X76+X39*(LQ_H/16-1)+X44*(LQ_B/16-1)+X49*(LQ_N/16-1))</f>
        <v>3512.13359558186</v>
      </c>
      <c r="Y77" s="123" t="n">
        <f aca="false">IF(Y$5&lt;=LastHist,Y76+INDEX(H_DAex,1,Y$5)-INDEX(H_DA,1,Y$5),Y76+Y39*(LQ_H/16-1)+Y44*(LQ_B/16-1)+Y49*(LQ_N/16-1))</f>
        <v>3618.75202874179</v>
      </c>
      <c r="Z77" s="123" t="n">
        <f aca="false">IF(Z$5&lt;=LastHist,Z76+INDEX(H_DAex,1,Z$5)-INDEX(H_DA,1,Z$5),Z76+Z39*(LQ_H/16-1)+Z44*(LQ_B/16-1)+Z49*(LQ_N/16-1))</f>
        <v>4535.08890411421</v>
      </c>
      <c r="AA77" s="123" t="n">
        <f aca="false">IF(AA$5&lt;=LastHist,AA76+INDEX(H_DAex,1,AA$5)-INDEX(H_DA,1,AA$5),AA76+AA39*(LQ_H/16-1)+AA44*(LQ_B/16-1)+AA49*(LQ_N/16-1))</f>
        <v>4622.1977935975</v>
      </c>
      <c r="AB77" s="123" t="n">
        <f aca="false">IF(AB$5&lt;=LastHist,AB76+INDEX(H_DAex,1,AB$5)-INDEX(H_DA,1,AB$5),AB76+AB39*(LQ_H/16-1)+AB44*(LQ_B/16-1)+AB49*(LQ_N/16-1))</f>
        <v>5574.23502270853</v>
      </c>
      <c r="AC77" s="123" t="n">
        <f aca="false">IF(AC$5&lt;=LastHist,AC76+INDEX(H_DAex,1,AC$5)-INDEX(H_DA,1,AC$5),AC76+AC39*(LQ_H/16-1)+AC44*(LQ_B/16-1)+AC49*(LQ_N/16-1))</f>
        <v>5692.59967689395</v>
      </c>
      <c r="AD77" s="123" t="n">
        <f aca="false">IF(AD$5&lt;=LastHist,AD76+INDEX(H_DAex,1,AD$5)-INDEX(H_DA,1,AD$5),AD76+AD39*(LQ_H/16-1)+AD44*(LQ_B/16-1)+AD49*(LQ_N/16-1))</f>
        <v>7012.51487108546</v>
      </c>
      <c r="AE77" s="123" t="n">
        <f aca="false">IF(AE$5&lt;=LastHist,AE76+INDEX(H_DAex,1,AE$5)-INDEX(H_DA,1,AE$5),AE76+AE39*(LQ_H/16-1)+AE44*(LQ_B/16-1)+AE49*(LQ_N/16-1))</f>
        <v>7022.74705609057</v>
      </c>
      <c r="AF77" s="123" t="n">
        <f aca="false">IF(AF$5&lt;=LastHist,AF76+INDEX(H_DAex,1,AF$5)-INDEX(H_DA,1,AF$5),AF76+AF39*(LQ_H/16-1)+AF44*(LQ_B/16-1)+AF49*(LQ_N/16-1))</f>
        <v>7034.40013794372</v>
      </c>
      <c r="AG77" s="123" t="n">
        <f aca="false">IF(AG$5&lt;=LastHist,AG76+INDEX(H_DAex,1,AG$5)-INDEX(H_DA,1,AG$5),AG76+AG39*(LQ_H/16-1)+AG44*(LQ_B/16-1)+AG49*(LQ_N/16-1))</f>
        <v>7040.67190014365</v>
      </c>
      <c r="AI77" s="123" t="n">
        <f aca="false">SUMIF($F$7:$AG$7,AI$7,$F77:$AG77)</f>
        <v>77.1</v>
      </c>
      <c r="AJ77" s="123" t="n">
        <f aca="false">SUMIF($F$7:$AG$7,AJ$7,$F77:$AG77)</f>
        <v>404</v>
      </c>
      <c r="AK77" s="123" t="n">
        <f aca="false">SUMIF($F$7:$AG$7,AK$7,$F77:$AG77)</f>
        <v>1980.35408759208</v>
      </c>
      <c r="AL77" s="123" t="n">
        <f aca="false">SUMIF($F$7:$AG$7,AL$7,$F77:$AG77)</f>
        <v>5827.90049312978</v>
      </c>
      <c r="AM77" s="123" t="n">
        <f aca="false">SUMIF($F$7:$AG$7,AM$7,$F77:$AG77)</f>
        <v>12959.5498398467</v>
      </c>
      <c r="AN77" s="123" t="n">
        <f aca="false">SUMIF($F$7:$AG$7,AN$7,$F77:$AG77)</f>
        <v>20424.1213973142</v>
      </c>
      <c r="AO77" s="123" t="n">
        <f aca="false">SUMIF($F$7:$AG$7,AO$7,$F77:$AG77)</f>
        <v>28110.3339652634</v>
      </c>
    </row>
    <row r="78" customFormat="false" ht="15" hidden="false" customHeight="false" outlineLevel="0" collapsed="false">
      <c r="A78" s="104" t="s">
        <v>1990</v>
      </c>
      <c r="B78" s="20" t="s">
        <v>549</v>
      </c>
      <c r="C78" s="20" t="s">
        <v>495</v>
      </c>
      <c r="D78" s="20" t="s">
        <v>1991</v>
      </c>
      <c r="G78" s="126" t="str">
        <f aca="false">IF(AND(F75&gt;0,G75&gt;0),G76*4/AVERAGE(F75,G75),"")</f>
        <v/>
      </c>
      <c r="H78" s="126" t="str">
        <f aca="false">IF(AND(G75&gt;0,H75&gt;0),H76*4/AVERAGE(G75,H75),"")</f>
        <v/>
      </c>
      <c r="I78" s="126" t="str">
        <f aca="false">IF(AND(H75&gt;0,I75&gt;0),I76*4/AVERAGE(H75,I75),"")</f>
        <v/>
      </c>
      <c r="J78" s="126" t="str">
        <f aca="false">IF(AND(I75&gt;0,J75&gt;0),J76*4/AVERAGE(I75,J75),"")</f>
        <v/>
      </c>
      <c r="K78" s="126" t="str">
        <f aca="false">IF(AND(J75&gt;0,K75&gt;0),K76*4/AVERAGE(J75,K75),"")</f>
        <v/>
      </c>
      <c r="L78" s="126" t="str">
        <f aca="false">IF(AND(K75&gt;0,L75&gt;0),L76*4/AVERAGE(K75,L75),"")</f>
        <v/>
      </c>
      <c r="M78" s="126" t="str">
        <f aca="false">IF(AND(L75&gt;0,M75&gt;0),M76*4/AVERAGE(L75,M75),"")</f>
        <v/>
      </c>
      <c r="N78" s="126" t="n">
        <f aca="false">IF(AND(M75&gt;0,N75&gt;0),N76*4/AVERAGE(M75,N75),"")</f>
        <v>0.179196704428424</v>
      </c>
      <c r="O78" s="126" t="n">
        <f aca="false">IF(AND(N75&gt;0,O75&gt;0),O76*4/AVERAGE(N75,O75),"")</f>
        <v>0.171171323070698</v>
      </c>
      <c r="P78" s="27" t="n">
        <f aca="false">IF(AND(O75&gt;0,P75&gt;0),P76*4/AVERAGE(O75,P75),"")</f>
        <v>0.268737422120448</v>
      </c>
      <c r="Q78" s="27" t="n">
        <f aca="false">IF(AND(P75&gt;0,Q75&gt;0),Q76*4/AVERAGE(P75,Q75),"")</f>
        <v>0.186272211928285</v>
      </c>
      <c r="R78" s="27" t="n">
        <f aca="false">IF(AND(Q75&gt;0,R75&gt;0),R76*4/AVERAGE(Q75,R75),"")</f>
        <v>0.1790454614342</v>
      </c>
      <c r="S78" s="27" t="n">
        <f aca="false">IF(AND(R75&gt;0,S75&gt;0),S76*4/AVERAGE(R75,S75),"")</f>
        <v>0.188411361570812</v>
      </c>
      <c r="T78" s="27" t="n">
        <f aca="false">IF(AND(S75&gt;0,T75&gt;0),T76*4/AVERAGE(S75,T75),"")</f>
        <v>0.201139203623804</v>
      </c>
      <c r="U78" s="27" t="n">
        <f aca="false">IF(AND(T75&gt;0,U75&gt;0),U76*4/AVERAGE(T75,U75),"")</f>
        <v>0.207118997581993</v>
      </c>
      <c r="V78" s="27" t="n">
        <f aca="false">IF(AND(U75&gt;0,V75&gt;0),V76*4/AVERAGE(U75,V75),"")</f>
        <v>0.230744281732376</v>
      </c>
      <c r="W78" s="27" t="n">
        <f aca="false">IF(AND(V75&gt;0,W75&gt;0),W76*4/AVERAGE(V75,W75),"")</f>
        <v>0.203451894546852</v>
      </c>
      <c r="X78" s="27" t="n">
        <f aca="false">IF(AND(W75&gt;0,X75&gt;0),X76*4/AVERAGE(W75,X75),"")</f>
        <v>0.195918822674287</v>
      </c>
      <c r="Y78" s="27" t="n">
        <f aca="false">IF(AND(X75&gt;0,Y75&gt;0),Y76*4/AVERAGE(X75,Y75),"")</f>
        <v>0.182151251852661</v>
      </c>
      <c r="Z78" s="27" t="n">
        <f aca="false">IF(AND(Y75&gt;0,Z75&gt;0),Z76*4/AVERAGE(Y75,Z75),"")</f>
        <v>0.209692977662404</v>
      </c>
      <c r="AA78" s="27" t="n">
        <f aca="false">IF(AND(Z75&gt;0,AA75&gt;0),AA76*4/AVERAGE(Z75,AA75),"")</f>
        <v>0.189654646094217</v>
      </c>
      <c r="AB78" s="27" t="n">
        <f aca="false">IF(AND(AA75&gt;0,AB75&gt;0),AB76*4/AVERAGE(AA75,AB75),"")</f>
        <v>0.203896021900521</v>
      </c>
      <c r="AC78" s="27" t="n">
        <f aca="false">IF(AND(AB75&gt;0,AC75&gt;0),AC76*4/AVERAGE(AB75,AC75),"")</f>
        <v>0.188584077672649</v>
      </c>
      <c r="AD78" s="27" t="n">
        <f aca="false">IF(AND(AC75&gt;0,AD75&gt;0),AD76*4/AVERAGE(AC75,AD75),"")</f>
        <v>0.2092783547408</v>
      </c>
      <c r="AE78" s="27" t="n">
        <f aca="false">IF(AND(AD75&gt;0,AE75&gt;0),AE76*4/AVERAGE(AD75,AE75),"")</f>
        <v>0.186833749590734</v>
      </c>
      <c r="AF78" s="27" t="n">
        <f aca="false">IF(AND(AE75&gt;0,AF75&gt;0),AF76*4/AVERAGE(AE75,AF75),"")</f>
        <v>0.172011666007116</v>
      </c>
      <c r="AG78" s="27" t="n">
        <f aca="false">IF(AND(AF75&gt;0,AG75&gt;0),AG76*4/AVERAGE(AF75,AG75),"")</f>
        <v>0.17159665338314</v>
      </c>
    </row>
    <row r="79" customFormat="false" ht="15" hidden="false" customHeight="false" outlineLevel="0" collapsed="false">
      <c r="A79" s="3" t="s">
        <v>1992</v>
      </c>
      <c r="B79" s="20" t="s">
        <v>549</v>
      </c>
      <c r="C79" s="20" t="s">
        <v>495</v>
      </c>
      <c r="D79" s="20" t="s">
        <v>1993</v>
      </c>
      <c r="G79" s="129" t="str">
        <f aca="false">IF(AND(F75&gt;0,G75&gt;0),G77*4/AVERAGE(F75,G75),"")</f>
        <v/>
      </c>
      <c r="H79" s="129" t="str">
        <f aca="false">IF(AND(G75&gt;0,H75&gt;0),H77*4/AVERAGE(G75,H75),"")</f>
        <v/>
      </c>
      <c r="I79" s="129" t="str">
        <f aca="false">IF(AND(H75&gt;0,I75&gt;0),I77*4/AVERAGE(H75,I75),"")</f>
        <v/>
      </c>
      <c r="J79" s="129" t="str">
        <f aca="false">IF(AND(I75&gt;0,J75&gt;0),J77*4/AVERAGE(I75,J75),"")</f>
        <v/>
      </c>
      <c r="K79" s="129" t="str">
        <f aca="false">IF(AND(J75&gt;0,K75&gt;0),K77*4/AVERAGE(J75,K75),"")</f>
        <v/>
      </c>
      <c r="L79" s="129" t="str">
        <f aca="false">IF(AND(K75&gt;0,L75&gt;0),L77*4/AVERAGE(K75,L75),"")</f>
        <v/>
      </c>
      <c r="M79" s="129" t="str">
        <f aca="false">IF(AND(L75&gt;0,M75&gt;0),M77*4/AVERAGE(L75,M75),"")</f>
        <v/>
      </c>
      <c r="N79" s="129" t="n">
        <f aca="false">IF(AND(M75&gt;0,N75&gt;0),N77*4/AVERAGE(M75,N75),"")</f>
        <v>0.216186062478544</v>
      </c>
      <c r="O79" s="129" t="n">
        <f aca="false">IF(AND(N75&gt;0,O75&gt;0),O77*4/AVERAGE(N75,O75),"")</f>
        <v>0.200171980643747</v>
      </c>
      <c r="P79" s="65" t="n">
        <f aca="false">IF(AND(O75&gt;0,P75&gt;0),P77*4/AVERAGE(O75,P75),"")</f>
        <v>0.329595545716654</v>
      </c>
      <c r="Q79" s="65" t="n">
        <f aca="false">IF(AND(P75&gt;0,Q75&gt;0),Q77*4/AVERAGE(P75,Q75),"")</f>
        <v>0.228178648153371</v>
      </c>
      <c r="R79" s="65" t="n">
        <f aca="false">IF(AND(Q75&gt;0,R75&gt;0),R77*4/AVERAGE(Q75,R75),"")</f>
        <v>0.219989908820115</v>
      </c>
      <c r="S79" s="65" t="n">
        <f aca="false">IF(AND(R75&gt;0,S75&gt;0),S77*4/AVERAGE(R75,S75),"")</f>
        <v>0.231997115849066</v>
      </c>
      <c r="T79" s="65" t="n">
        <f aca="false">IF(AND(S75&gt;0,T75&gt;0),T77*4/AVERAGE(S75,T75),"")</f>
        <v>0.247623703952843</v>
      </c>
      <c r="U79" s="65" t="n">
        <f aca="false">IF(AND(T75&gt;0,U75&gt;0),U77*4/AVERAGE(T75,U75),"")</f>
        <v>0.25439519017501</v>
      </c>
      <c r="V79" s="65" t="n">
        <f aca="false">IF(AND(U75&gt;0,V75&gt;0),V77*4/AVERAGE(U75,V75),"")</f>
        <v>0.284048308105177</v>
      </c>
      <c r="W79" s="65" t="n">
        <f aca="false">IF(AND(V75&gt;0,W75&gt;0),W77*4/AVERAGE(V75,W75),"")</f>
        <v>0.249916299439028</v>
      </c>
      <c r="X79" s="65" t="n">
        <f aca="false">IF(AND(W75&gt;0,X75&gt;0),X77*4/AVERAGE(W75,X75),"")</f>
        <v>0.241008412380089</v>
      </c>
      <c r="Y79" s="65" t="n">
        <f aca="false">IF(AND(X75&gt;0,Y75&gt;0),Y77*4/AVERAGE(X75,Y75),"")</f>
        <v>0.223045641936649</v>
      </c>
      <c r="Z79" s="65" t="n">
        <f aca="false">IF(AND(Y75&gt;0,Z75&gt;0),Z77*4/AVERAGE(Y75,Z75),"")</f>
        <v>0.257566215182667</v>
      </c>
      <c r="AA79" s="65" t="n">
        <f aca="false">IF(AND(Z75&gt;0,AA75&gt;0),AA77*4/AVERAGE(Z75,AA75),"")</f>
        <v>0.23187534862966</v>
      </c>
      <c r="AB79" s="65" t="n">
        <f aca="false">IF(AND(AA75&gt;0,AB75&gt;0),AB77*4/AVERAGE(AA75,AB75),"")</f>
        <v>0.250016435607876</v>
      </c>
      <c r="AC79" s="65" t="n">
        <f aca="false">IF(AND(AB75&gt;0,AC75&gt;0),AC77*4/AVERAGE(AB75,AC75),"")</f>
        <v>0.230094426621864</v>
      </c>
      <c r="AD79" s="65" t="n">
        <f aca="false">IF(AND(AC75&gt;0,AD75&gt;0),AD77*4/AVERAGE(AC75,AD75),"")</f>
        <v>0.256212738754954</v>
      </c>
      <c r="AE79" s="65" t="n">
        <f aca="false">IF(AND(AD75&gt;0,AE75&gt;0),AE77*4/AVERAGE(AD75,AE75),"")</f>
        <v>0.228443242737945</v>
      </c>
      <c r="AF79" s="65" t="n">
        <f aca="false">IF(AND(AE75&gt;0,AF75&gt;0),AF77*4/AVERAGE(AE75,AF75),"")</f>
        <v>0.210056227090169</v>
      </c>
      <c r="AG79" s="65" t="n">
        <f aca="false">IF(AND(AF75&gt;0,AG75&gt;0),AG77*4/AVERAGE(AF75,AG75),"")</f>
        <v>0.209161577352708</v>
      </c>
    </row>
    <row r="80" customFormat="false" ht="15" hidden="false" customHeight="false" outlineLevel="0" collapsed="false">
      <c r="A80" s="104" t="s">
        <v>1994</v>
      </c>
      <c r="B80" s="20" t="s">
        <v>165</v>
      </c>
      <c r="C80" s="20" t="s">
        <v>495</v>
      </c>
      <c r="D80" s="20"/>
      <c r="H80" s="117" t="n">
        <f aca="false">IF(AND(H$5&lt;=LastHist,ISNUMBER(H79),ISNUMBER(G79),H79&lt;G79,OR(AND(H$5-AvailIdx_H200&gt;=0,H$5-AvailIdx_H200&lt;=2),AND(H$5-AvailIdx_B200&gt;=0,H$5-AvailIdx_B200&lt;=2),AND(H$5-AvailIdx_GB300&gt;=0,H$5-AvailIdx_GB300&lt;=2),AND(H$5-AvailIdx_VR&gt;=0,H$5-AvailIdx_VR&lt;=2))),1,0)</f>
        <v>0</v>
      </c>
      <c r="I80" s="117" t="n">
        <f aca="false">IF(AND(I$5&lt;=LastHist,ISNUMBER(I79),ISNUMBER(H79),I79&lt;H79,OR(AND(I$5-AvailIdx_H200&gt;=0,I$5-AvailIdx_H200&lt;=2),AND(I$5-AvailIdx_B200&gt;=0,I$5-AvailIdx_B200&lt;=2),AND(I$5-AvailIdx_GB300&gt;=0,I$5-AvailIdx_GB300&lt;=2),AND(I$5-AvailIdx_VR&gt;=0,I$5-AvailIdx_VR&lt;=2))),1,0)</f>
        <v>0</v>
      </c>
      <c r="J80" s="117" t="n">
        <f aca="false">IF(AND(J$5&lt;=LastHist,ISNUMBER(J79),ISNUMBER(I79),J79&lt;I79,OR(AND(J$5-AvailIdx_H200&gt;=0,J$5-AvailIdx_H200&lt;=2),AND(J$5-AvailIdx_B200&gt;=0,J$5-AvailIdx_B200&lt;=2),AND(J$5-AvailIdx_GB300&gt;=0,J$5-AvailIdx_GB300&lt;=2),AND(J$5-AvailIdx_VR&gt;=0,J$5-AvailIdx_VR&lt;=2))),1,0)</f>
        <v>0</v>
      </c>
      <c r="K80" s="117" t="n">
        <f aca="false">IF(AND(K$5&lt;=LastHist,ISNUMBER(K79),ISNUMBER(J79),K79&lt;J79,OR(AND(K$5-AvailIdx_H200&gt;=0,K$5-AvailIdx_H200&lt;=2),AND(K$5-AvailIdx_B200&gt;=0,K$5-AvailIdx_B200&lt;=2),AND(K$5-AvailIdx_GB300&gt;=0,K$5-AvailIdx_GB300&lt;=2),AND(K$5-AvailIdx_VR&gt;=0,K$5-AvailIdx_VR&lt;=2))),1,0)</f>
        <v>0</v>
      </c>
      <c r="L80" s="117" t="n">
        <f aca="false">IF(AND(L$5&lt;=LastHist,ISNUMBER(L79),ISNUMBER(K79),L79&lt;K79,OR(AND(L$5-AvailIdx_H200&gt;=0,L$5-AvailIdx_H200&lt;=2),AND(L$5-AvailIdx_B200&gt;=0,L$5-AvailIdx_B200&lt;=2),AND(L$5-AvailIdx_GB300&gt;=0,L$5-AvailIdx_GB300&lt;=2),AND(L$5-AvailIdx_VR&gt;=0,L$5-AvailIdx_VR&lt;=2))),1,0)</f>
        <v>0</v>
      </c>
      <c r="M80" s="117" t="n">
        <f aca="false">IF(AND(M$5&lt;=LastHist,ISNUMBER(M79),ISNUMBER(L79),M79&lt;L79,OR(AND(M$5-AvailIdx_H200&gt;=0,M$5-AvailIdx_H200&lt;=2),AND(M$5-AvailIdx_B200&gt;=0,M$5-AvailIdx_B200&lt;=2),AND(M$5-AvailIdx_GB300&gt;=0,M$5-AvailIdx_GB300&lt;=2),AND(M$5-AvailIdx_VR&gt;=0,M$5-AvailIdx_VR&lt;=2))),1,0)</f>
        <v>0</v>
      </c>
      <c r="N80" s="117" t="n">
        <f aca="false">IF(AND(N$5&lt;=LastHist,ISNUMBER(N79),ISNUMBER(M79),N79&lt;M79,OR(AND(N$5-AvailIdx_H200&gt;=0,N$5-AvailIdx_H200&lt;=2),AND(N$5-AvailIdx_B200&gt;=0,N$5-AvailIdx_B200&lt;=2),AND(N$5-AvailIdx_GB300&gt;=0,N$5-AvailIdx_GB300&lt;=2),AND(N$5-AvailIdx_VR&gt;=0,N$5-AvailIdx_VR&lt;=2))),1,0)</f>
        <v>0</v>
      </c>
      <c r="O80" s="117" t="n">
        <f aca="false">IF(AND(O$5&lt;=LastHist,ISNUMBER(O79),ISNUMBER(N79),O79&lt;N79,OR(AND(O$5-AvailIdx_H200&gt;=0,O$5-AvailIdx_H200&lt;=2),AND(O$5-AvailIdx_B200&gt;=0,O$5-AvailIdx_B200&lt;=2),AND(O$5-AvailIdx_GB300&gt;=0,O$5-AvailIdx_GB300&lt;=2),AND(O$5-AvailIdx_VR&gt;=0,O$5-AvailIdx_VR&lt;=2))),1,0)</f>
        <v>1</v>
      </c>
      <c r="P80" s="37" t="n">
        <f aca="false">IF(AND(P$5&lt;=LastHist,ISNUMBER(P79),ISNUMBER(O79),P79&lt;O79,OR(AND(P$5-AvailIdx_H200&gt;=0,P$5-AvailIdx_H200&lt;=2),AND(P$5-AvailIdx_B200&gt;=0,P$5-AvailIdx_B200&lt;=2),AND(P$5-AvailIdx_GB300&gt;=0,P$5-AvailIdx_GB300&lt;=2),AND(P$5-AvailIdx_VR&gt;=0,P$5-AvailIdx_VR&lt;=2))),1,0)</f>
        <v>0</v>
      </c>
      <c r="Q80" s="37" t="n">
        <f aca="false">IF(AND(Q$5&lt;=LastHist,ISNUMBER(Q79),ISNUMBER(P79),Q79&lt;P79,OR(AND(Q$5-AvailIdx_H200&gt;=0,Q$5-AvailIdx_H200&lt;=2),AND(Q$5-AvailIdx_B200&gt;=0,Q$5-AvailIdx_B200&lt;=2),AND(Q$5-AvailIdx_GB300&gt;=0,Q$5-AvailIdx_GB300&lt;=2),AND(Q$5-AvailIdx_VR&gt;=0,Q$5-AvailIdx_VR&lt;=2))),1,0)</f>
        <v>0</v>
      </c>
      <c r="R80" s="37" t="n">
        <f aca="false">IF(AND(R$5&lt;=LastHist,ISNUMBER(R79),ISNUMBER(Q79),R79&lt;Q79,OR(AND(R$5-AvailIdx_H200&gt;=0,R$5-AvailIdx_H200&lt;=2),AND(R$5-AvailIdx_B200&gt;=0,R$5-AvailIdx_B200&lt;=2),AND(R$5-AvailIdx_GB300&gt;=0,R$5-AvailIdx_GB300&lt;=2),AND(R$5-AvailIdx_VR&gt;=0,R$5-AvailIdx_VR&lt;=2))),1,0)</f>
        <v>0</v>
      </c>
      <c r="S80" s="37" t="n">
        <f aca="false">IF(AND(S$5&lt;=LastHist,ISNUMBER(S79),ISNUMBER(R79),S79&lt;R79,OR(AND(S$5-AvailIdx_H200&gt;=0,S$5-AvailIdx_H200&lt;=2),AND(S$5-AvailIdx_B200&gt;=0,S$5-AvailIdx_B200&lt;=2),AND(S$5-AvailIdx_GB300&gt;=0,S$5-AvailIdx_GB300&lt;=2),AND(S$5-AvailIdx_VR&gt;=0,S$5-AvailIdx_VR&lt;=2))),1,0)</f>
        <v>0</v>
      </c>
      <c r="T80" s="37" t="n">
        <f aca="false">IF(AND(T$5&lt;=LastHist,ISNUMBER(T79),ISNUMBER(S79),T79&lt;S79,OR(AND(T$5-AvailIdx_H200&gt;=0,T$5-AvailIdx_H200&lt;=2),AND(T$5-AvailIdx_B200&gt;=0,T$5-AvailIdx_B200&lt;=2),AND(T$5-AvailIdx_GB300&gt;=0,T$5-AvailIdx_GB300&lt;=2),AND(T$5-AvailIdx_VR&gt;=0,T$5-AvailIdx_VR&lt;=2))),1,0)</f>
        <v>0</v>
      </c>
      <c r="U80" s="37" t="n">
        <f aca="false">IF(AND(U$5&lt;=LastHist,ISNUMBER(U79),ISNUMBER(T79),U79&lt;T79,OR(AND(U$5-AvailIdx_H200&gt;=0,U$5-AvailIdx_H200&lt;=2),AND(U$5-AvailIdx_B200&gt;=0,U$5-AvailIdx_B200&lt;=2),AND(U$5-AvailIdx_GB300&gt;=0,U$5-AvailIdx_GB300&lt;=2),AND(U$5-AvailIdx_VR&gt;=0,U$5-AvailIdx_VR&lt;=2))),1,0)</f>
        <v>0</v>
      </c>
      <c r="V80" s="37" t="n">
        <f aca="false">IF(AND(V$5&lt;=LastHist,ISNUMBER(V79),ISNUMBER(U79),V79&lt;U79,OR(AND(V$5-AvailIdx_H200&gt;=0,V$5-AvailIdx_H200&lt;=2),AND(V$5-AvailIdx_B200&gt;=0,V$5-AvailIdx_B200&lt;=2),AND(V$5-AvailIdx_GB300&gt;=0,V$5-AvailIdx_GB300&lt;=2),AND(V$5-AvailIdx_VR&gt;=0,V$5-AvailIdx_VR&lt;=2))),1,0)</f>
        <v>0</v>
      </c>
      <c r="W80" s="37" t="n">
        <f aca="false">IF(AND(W$5&lt;=LastHist,ISNUMBER(W79),ISNUMBER(V79),W79&lt;V79,OR(AND(W$5-AvailIdx_H200&gt;=0,W$5-AvailIdx_H200&lt;=2),AND(W$5-AvailIdx_B200&gt;=0,W$5-AvailIdx_B200&lt;=2),AND(W$5-AvailIdx_GB300&gt;=0,W$5-AvailIdx_GB300&lt;=2),AND(W$5-AvailIdx_VR&gt;=0,W$5-AvailIdx_VR&lt;=2))),1,0)</f>
        <v>0</v>
      </c>
      <c r="X80" s="37" t="n">
        <f aca="false">IF(AND(X$5&lt;=LastHist,ISNUMBER(X79),ISNUMBER(W79),X79&lt;W79,OR(AND(X$5-AvailIdx_H200&gt;=0,X$5-AvailIdx_H200&lt;=2),AND(X$5-AvailIdx_B200&gt;=0,X$5-AvailIdx_B200&lt;=2),AND(X$5-AvailIdx_GB300&gt;=0,X$5-AvailIdx_GB300&lt;=2),AND(X$5-AvailIdx_VR&gt;=0,X$5-AvailIdx_VR&lt;=2))),1,0)</f>
        <v>0</v>
      </c>
      <c r="Y80" s="37" t="n">
        <f aca="false">IF(AND(Y$5&lt;=LastHist,ISNUMBER(Y79),ISNUMBER(X79),Y79&lt;X79,OR(AND(Y$5-AvailIdx_H200&gt;=0,Y$5-AvailIdx_H200&lt;=2),AND(Y$5-AvailIdx_B200&gt;=0,Y$5-AvailIdx_B200&lt;=2),AND(Y$5-AvailIdx_GB300&gt;=0,Y$5-AvailIdx_GB300&lt;=2),AND(Y$5-AvailIdx_VR&gt;=0,Y$5-AvailIdx_VR&lt;=2))),1,0)</f>
        <v>0</v>
      </c>
      <c r="Z80" s="37" t="n">
        <f aca="false">IF(AND(Z$5&lt;=LastHist,ISNUMBER(Z79),ISNUMBER(Y79),Z79&lt;Y79,OR(AND(Z$5-AvailIdx_H200&gt;=0,Z$5-AvailIdx_H200&lt;=2),AND(Z$5-AvailIdx_B200&gt;=0,Z$5-AvailIdx_B200&lt;=2),AND(Z$5-AvailIdx_GB300&gt;=0,Z$5-AvailIdx_GB300&lt;=2),AND(Z$5-AvailIdx_VR&gt;=0,Z$5-AvailIdx_VR&lt;=2))),1,0)</f>
        <v>0</v>
      </c>
      <c r="AA80" s="37" t="n">
        <f aca="false">IF(AND(AA$5&lt;=LastHist,ISNUMBER(AA79),ISNUMBER(Z79),AA79&lt;Z79,OR(AND(AA$5-AvailIdx_H200&gt;=0,AA$5-AvailIdx_H200&lt;=2),AND(AA$5-AvailIdx_B200&gt;=0,AA$5-AvailIdx_B200&lt;=2),AND(AA$5-AvailIdx_GB300&gt;=0,AA$5-AvailIdx_GB300&lt;=2),AND(AA$5-AvailIdx_VR&gt;=0,AA$5-AvailIdx_VR&lt;=2))),1,0)</f>
        <v>0</v>
      </c>
      <c r="AB80" s="37" t="n">
        <f aca="false">IF(AND(AB$5&lt;=LastHist,ISNUMBER(AB79),ISNUMBER(AA79),AB79&lt;AA79,OR(AND(AB$5-AvailIdx_H200&gt;=0,AB$5-AvailIdx_H200&lt;=2),AND(AB$5-AvailIdx_B200&gt;=0,AB$5-AvailIdx_B200&lt;=2),AND(AB$5-AvailIdx_GB300&gt;=0,AB$5-AvailIdx_GB300&lt;=2),AND(AB$5-AvailIdx_VR&gt;=0,AB$5-AvailIdx_VR&lt;=2))),1,0)</f>
        <v>0</v>
      </c>
      <c r="AC80" s="37" t="n">
        <f aca="false">IF(AND(AC$5&lt;=LastHist,ISNUMBER(AC79),ISNUMBER(AB79),AC79&lt;AB79,OR(AND(AC$5-AvailIdx_H200&gt;=0,AC$5-AvailIdx_H200&lt;=2),AND(AC$5-AvailIdx_B200&gt;=0,AC$5-AvailIdx_B200&lt;=2),AND(AC$5-AvailIdx_GB300&gt;=0,AC$5-AvailIdx_GB300&lt;=2),AND(AC$5-AvailIdx_VR&gt;=0,AC$5-AvailIdx_VR&lt;=2))),1,0)</f>
        <v>0</v>
      </c>
      <c r="AD80" s="37" t="n">
        <f aca="false">IF(AND(AD$5&lt;=LastHist,ISNUMBER(AD79),ISNUMBER(AC79),AD79&lt;AC79,OR(AND(AD$5-AvailIdx_H200&gt;=0,AD$5-AvailIdx_H200&lt;=2),AND(AD$5-AvailIdx_B200&gt;=0,AD$5-AvailIdx_B200&lt;=2),AND(AD$5-AvailIdx_GB300&gt;=0,AD$5-AvailIdx_GB300&lt;=2),AND(AD$5-AvailIdx_VR&gt;=0,AD$5-AvailIdx_VR&lt;=2))),1,0)</f>
        <v>0</v>
      </c>
      <c r="AE80" s="37" t="n">
        <f aca="false">IF(AND(AE$5&lt;=LastHist,ISNUMBER(AE79),ISNUMBER(AD79),AE79&lt;AD79,OR(AND(AE$5-AvailIdx_H200&gt;=0,AE$5-AvailIdx_H200&lt;=2),AND(AE$5-AvailIdx_B200&gt;=0,AE$5-AvailIdx_B200&lt;=2),AND(AE$5-AvailIdx_GB300&gt;=0,AE$5-AvailIdx_GB300&lt;=2),AND(AE$5-AvailIdx_VR&gt;=0,AE$5-AvailIdx_VR&lt;=2))),1,0)</f>
        <v>0</v>
      </c>
      <c r="AF80" s="37" t="n">
        <f aca="false">IF(AND(AF$5&lt;=LastHist,ISNUMBER(AF79),ISNUMBER(AE79),AF79&lt;AE79,OR(AND(AF$5-AvailIdx_H200&gt;=0,AF$5-AvailIdx_H200&lt;=2),AND(AF$5-AvailIdx_B200&gt;=0,AF$5-AvailIdx_B200&lt;=2),AND(AF$5-AvailIdx_GB300&gt;=0,AF$5-AvailIdx_GB300&lt;=2),AND(AF$5-AvailIdx_VR&gt;=0,AF$5-AvailIdx_VR&lt;=2))),1,0)</f>
        <v>0</v>
      </c>
      <c r="AG80" s="37" t="n">
        <f aca="false">IF(AND(AG$5&lt;=LastHist,ISNUMBER(AG79),ISNUMBER(AF79),AG79&lt;AF79,OR(AND(AG$5-AvailIdx_H200&gt;=0,AG$5-AvailIdx_H200&lt;=2),AND(AG$5-AvailIdx_B200&gt;=0,AG$5-AvailIdx_B200&lt;=2),AND(AG$5-AvailIdx_GB300&gt;=0,AG$5-AvailIdx_GB300&lt;=2),AND(AG$5-AvailIdx_VR&gt;=0,AG$5-AvailIdx_VR&lt;=2))),1,0)</f>
        <v>0</v>
      </c>
    </row>
    <row r="81" customFormat="false" ht="15" hidden="false" customHeight="false" outlineLevel="0" collapsed="false">
      <c r="A81" s="104" t="s">
        <v>1995</v>
      </c>
      <c r="B81" s="20" t="s">
        <v>1996</v>
      </c>
      <c r="C81" s="20" t="s">
        <v>550</v>
      </c>
      <c r="D81" s="20" t="s">
        <v>1997</v>
      </c>
      <c r="P81" s="26" t="str">
        <f aca="false">IF(Q3TransAct=0,"PENDING (model "&amp;TEXT(P73,"#,##0")&amp;")",IF(Q3TransAct&lt;Q3TransMin,"FLAG: small transfer","OK"))</f>
        <v>PENDING (model 4,702)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1998</v>
      </c>
    </row>
    <row r="2" customFormat="false" ht="15" hidden="false" customHeight="false" outlineLevel="0" collapsed="false">
      <c r="A2" s="20" t="s">
        <v>1999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2000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2001</v>
      </c>
      <c r="B11" s="3" t="s">
        <v>2002</v>
      </c>
      <c r="C11" s="3" t="s">
        <v>2003</v>
      </c>
      <c r="D11" s="3" t="s">
        <v>2004</v>
      </c>
      <c r="E11" s="3" t="s">
        <v>2005</v>
      </c>
      <c r="F11" s="3" t="s">
        <v>2006</v>
      </c>
      <c r="G11" s="3" t="s">
        <v>2007</v>
      </c>
      <c r="H11" s="3" t="s">
        <v>2008</v>
      </c>
      <c r="I11" s="3" t="s">
        <v>2009</v>
      </c>
      <c r="J11" s="3" t="s">
        <v>2010</v>
      </c>
      <c r="K11" s="3" t="s">
        <v>2011</v>
      </c>
      <c r="L11" s="3" t="s">
        <v>2012</v>
      </c>
      <c r="M11" s="3" t="s">
        <v>2013</v>
      </c>
      <c r="N11" s="3" t="s">
        <v>2014</v>
      </c>
      <c r="O11" s="3" t="s">
        <v>2015</v>
      </c>
      <c r="P11" s="3" t="s">
        <v>2016</v>
      </c>
      <c r="Q11" s="3" t="s">
        <v>1533</v>
      </c>
      <c r="R11" s="3" t="s">
        <v>490</v>
      </c>
    </row>
    <row r="12" customFormat="false" ht="15" hidden="false" customHeight="false" outlineLevel="0" collapsed="false">
      <c r="A12" s="0" t="s">
        <v>2017</v>
      </c>
      <c r="B12" s="55" t="n">
        <v>45813</v>
      </c>
      <c r="C12" s="130" t="n">
        <v>0.02</v>
      </c>
      <c r="D12" s="131" t="n">
        <v>47270</v>
      </c>
      <c r="E12" s="77" t="n">
        <v>500</v>
      </c>
      <c r="F12" s="77" t="n">
        <v>12.5</v>
      </c>
      <c r="G12" s="77" t="n">
        <v>400</v>
      </c>
      <c r="H12" s="23" t="n">
        <f aca="false">ExchIdx</f>
        <v>11</v>
      </c>
      <c r="I12" s="23" t="n">
        <f aca="false">ExchShares/2</f>
        <v>7.885</v>
      </c>
      <c r="J12" s="132" t="n">
        <f aca="false">587.5/(500-12.5)</f>
        <v>1.20512820512821</v>
      </c>
      <c r="K12" s="133" t="n">
        <v>19.4363</v>
      </c>
      <c r="L12" s="24" t="n">
        <f aca="false">1000/K12</f>
        <v>51.4501216795378</v>
      </c>
      <c r="M12" s="37" t="n">
        <f aca="false">IFERROR(MATCH(B12-1,Q_End,1),0)+1</f>
        <v>6</v>
      </c>
      <c r="N12" s="37" t="n">
        <f aca="false">IFERROR(MATCH(D12-1,Q_End,1),0)+1</f>
        <v>22</v>
      </c>
      <c r="O12" s="37" t="n">
        <f aca="false">IF(SharePx&gt;=L12*J12,1,0)</f>
        <v>1</v>
      </c>
      <c r="P12" s="37" t="n">
        <f aca="false">CHOOSE(DilMethod,1,IF(DilPx&gt;L12,1,0),0)</f>
        <v>0</v>
      </c>
      <c r="Q12" s="20" t="s">
        <v>2018</v>
      </c>
      <c r="R12" s="20" t="s">
        <v>2019</v>
      </c>
    </row>
    <row r="13" customFormat="false" ht="15" hidden="false" customHeight="false" outlineLevel="0" collapsed="false">
      <c r="A13" s="0" t="s">
        <v>2020</v>
      </c>
      <c r="B13" s="55" t="n">
        <v>45813</v>
      </c>
      <c r="C13" s="130" t="n">
        <v>0.03</v>
      </c>
      <c r="D13" s="131" t="n">
        <v>48000</v>
      </c>
      <c r="E13" s="77" t="n">
        <v>500</v>
      </c>
      <c r="F13" s="77" t="n">
        <v>12.5</v>
      </c>
      <c r="G13" s="77" t="n">
        <v>400</v>
      </c>
      <c r="H13" s="23" t="n">
        <f aca="false">ExchIdx</f>
        <v>11</v>
      </c>
      <c r="I13" s="23" t="n">
        <f aca="false">ExchShares/2</f>
        <v>7.885</v>
      </c>
      <c r="J13" s="132" t="n">
        <f aca="false">612.5/(500-12.5)</f>
        <v>1.25641025641026</v>
      </c>
      <c r="K13" s="133" t="n">
        <v>19.4363</v>
      </c>
      <c r="L13" s="24" t="n">
        <f aca="false">1000/K13</f>
        <v>51.4501216795378</v>
      </c>
      <c r="M13" s="37" t="n">
        <f aca="false">IFERROR(MATCH(B13-1,Q_End,1),0)+1</f>
        <v>6</v>
      </c>
      <c r="N13" s="37" t="n">
        <f aca="false">IFERROR(MATCH(D13-1,Q_End,1),0)+1</f>
        <v>29</v>
      </c>
      <c r="O13" s="37" t="n">
        <f aca="false">IF(SharePx&gt;=L13*J13,1,0)</f>
        <v>1</v>
      </c>
      <c r="P13" s="37" t="n">
        <f aca="false">CHOOSE(DilMethod,1,IF(DilPx&gt;L13,1,0),0)</f>
        <v>0</v>
      </c>
      <c r="Q13" s="20" t="s">
        <v>2018</v>
      </c>
      <c r="R13" s="20" t="s">
        <v>2021</v>
      </c>
    </row>
    <row r="14" customFormat="false" ht="15" hidden="false" customHeight="false" outlineLevel="0" collapsed="false">
      <c r="A14" s="0" t="s">
        <v>2022</v>
      </c>
      <c r="B14" s="55" t="n">
        <v>45915</v>
      </c>
      <c r="C14" s="130" t="n">
        <v>0.01</v>
      </c>
      <c r="D14" s="131" t="n">
        <v>47741</v>
      </c>
      <c r="E14" s="83" t="n">
        <v>1581.25</v>
      </c>
      <c r="F14" s="77" t="n">
        <v>0</v>
      </c>
      <c r="G14" s="77" t="n">
        <v>0</v>
      </c>
      <c r="H14" s="71" t="n">
        <v>0</v>
      </c>
      <c r="I14" s="71" t="n">
        <v>0</v>
      </c>
      <c r="J14" s="72" t="n">
        <v>1.15</v>
      </c>
      <c r="K14" s="133" t="n">
        <v>7.2072</v>
      </c>
      <c r="L14" s="24" t="n">
        <f aca="false">1000/K14</f>
        <v>138.750138750139</v>
      </c>
      <c r="M14" s="37" t="n">
        <f aca="false">IFERROR(MATCH(B14-1,Q_End,1),0)+1</f>
        <v>7</v>
      </c>
      <c r="N14" s="37" t="n">
        <f aca="false">IFERROR(MATCH(D14-1,Q_End,1),0)+1</f>
        <v>27</v>
      </c>
      <c r="O14" s="37" t="n">
        <f aca="false">IF(SharePx&gt;=L14*J14,1,0)</f>
        <v>1</v>
      </c>
      <c r="P14" s="37" t="n">
        <f aca="false">CHOOSE(DilMethod,1,IF(DilPx&gt;L14,1,0),0)</f>
        <v>0</v>
      </c>
      <c r="Q14" s="20" t="s">
        <v>2018</v>
      </c>
      <c r="R14" s="20" t="s">
        <v>2023</v>
      </c>
    </row>
    <row r="15" customFormat="false" ht="15" hidden="false" customHeight="false" outlineLevel="0" collapsed="false">
      <c r="A15" s="0" t="s">
        <v>2024</v>
      </c>
      <c r="B15" s="55" t="n">
        <v>45915</v>
      </c>
      <c r="C15" s="130" t="n">
        <v>0.0275</v>
      </c>
      <c r="D15" s="131" t="n">
        <v>48472</v>
      </c>
      <c r="E15" s="83" t="n">
        <v>1581.25</v>
      </c>
      <c r="F15" s="77" t="n">
        <v>0</v>
      </c>
      <c r="G15" s="77" t="n">
        <v>0</v>
      </c>
      <c r="H15" s="71" t="n">
        <v>0</v>
      </c>
      <c r="I15" s="71" t="n">
        <v>0</v>
      </c>
      <c r="J15" s="72" t="n">
        <v>1.15</v>
      </c>
      <c r="K15" s="133" t="n">
        <v>7.2072</v>
      </c>
      <c r="L15" s="24" t="n">
        <f aca="false">1000/K15</f>
        <v>138.750138750139</v>
      </c>
      <c r="M15" s="37" t="n">
        <f aca="false">IFERROR(MATCH(B15-1,Q_End,1),0)+1</f>
        <v>7</v>
      </c>
      <c r="N15" s="37" t="n">
        <f aca="false">IFERROR(MATCH(D15-1,Q_End,1),0)+1</f>
        <v>29</v>
      </c>
      <c r="O15" s="37" t="n">
        <f aca="false">IF(SharePx&gt;=L15*J15,1,0)</f>
        <v>1</v>
      </c>
      <c r="P15" s="37" t="n">
        <f aca="false">CHOOSE(DilMethod,1,IF(DilPx&gt;L15,1,0),0)</f>
        <v>0</v>
      </c>
      <c r="Q15" s="20" t="s">
        <v>2018</v>
      </c>
      <c r="R15" s="20" t="s">
        <v>1616</v>
      </c>
    </row>
    <row r="16" customFormat="false" ht="15" hidden="false" customHeight="false" outlineLevel="0" collapsed="false">
      <c r="A16" s="0" t="s">
        <v>2025</v>
      </c>
      <c r="B16" s="55" t="n">
        <v>46101</v>
      </c>
      <c r="C16" s="130" t="n">
        <v>0.0125</v>
      </c>
      <c r="D16" s="131" t="n">
        <v>47922</v>
      </c>
      <c r="E16" s="77" t="n">
        <v>2587.5</v>
      </c>
      <c r="F16" s="77" t="n">
        <v>0</v>
      </c>
      <c r="G16" s="77" t="n">
        <v>0</v>
      </c>
      <c r="H16" s="71" t="n">
        <v>0</v>
      </c>
      <c r="I16" s="71" t="n">
        <v>0</v>
      </c>
      <c r="J16" s="72" t="n">
        <v>1.2</v>
      </c>
      <c r="K16" s="133" t="n">
        <v>5.4579</v>
      </c>
      <c r="L16" s="24" t="n">
        <f aca="false">1000/K16</f>
        <v>183.220652631965</v>
      </c>
      <c r="M16" s="37" t="n">
        <f aca="false">IFERROR(MATCH(B16-1,Q_End,1),0)+1</f>
        <v>9</v>
      </c>
      <c r="N16" s="37" t="n">
        <f aca="false">IFERROR(MATCH(D16-1,Q_End,1),0)+1</f>
        <v>29</v>
      </c>
      <c r="O16" s="37" t="n">
        <f aca="false">IF(SharePx&gt;=L16*J16,1,0)</f>
        <v>1</v>
      </c>
      <c r="P16" s="37" t="n">
        <f aca="false">CHOOSE(DilMethod,1,IF(DilPx&gt;L16,1,0),0)</f>
        <v>0</v>
      </c>
      <c r="Q16" s="20" t="s">
        <v>2018</v>
      </c>
      <c r="R16" s="20" t="s">
        <v>2026</v>
      </c>
    </row>
    <row r="17" customFormat="false" ht="15" hidden="false" customHeight="false" outlineLevel="0" collapsed="false">
      <c r="A17" s="0" t="s">
        <v>2027</v>
      </c>
      <c r="B17" s="55" t="n">
        <v>46101</v>
      </c>
      <c r="C17" s="130" t="n">
        <v>0.02625</v>
      </c>
      <c r="D17" s="131" t="n">
        <v>48653</v>
      </c>
      <c r="E17" s="77" t="n">
        <v>1750</v>
      </c>
      <c r="F17" s="77" t="n">
        <v>0</v>
      </c>
      <c r="G17" s="77" t="n">
        <v>0</v>
      </c>
      <c r="H17" s="71" t="n">
        <v>0</v>
      </c>
      <c r="I17" s="71" t="n">
        <v>0</v>
      </c>
      <c r="J17" s="72" t="n">
        <v>1.2</v>
      </c>
      <c r="K17" s="133" t="n">
        <v>5.546</v>
      </c>
      <c r="L17" s="24" t="n">
        <f aca="false">1000/K17</f>
        <v>180.310133429499</v>
      </c>
      <c r="M17" s="37" t="n">
        <f aca="false">IFERROR(MATCH(B17-1,Q_End,1),0)+1</f>
        <v>9</v>
      </c>
      <c r="N17" s="37" t="n">
        <f aca="false">IFERROR(MATCH(D17-1,Q_End,1),0)+1</f>
        <v>29</v>
      </c>
      <c r="O17" s="37" t="n">
        <f aca="false">IF(SharePx&gt;=L17*J17,1,0)</f>
        <v>1</v>
      </c>
      <c r="P17" s="37" t="n">
        <f aca="false">CHOOSE(DilMethod,1,IF(DilPx&gt;L17,1,0),0)</f>
        <v>0</v>
      </c>
      <c r="Q17" s="20" t="s">
        <v>2018</v>
      </c>
      <c r="R17" s="20" t="s">
        <v>2028</v>
      </c>
    </row>
    <row r="18" customFormat="false" ht="15" hidden="false" customHeight="false" outlineLevel="0" collapsed="false">
      <c r="A18" s="0" t="s">
        <v>2029</v>
      </c>
      <c r="B18" s="55" t="n">
        <v>46258</v>
      </c>
      <c r="C18" s="130" t="n">
        <v>0.005</v>
      </c>
      <c r="D18" s="55" t="n">
        <v>47529</v>
      </c>
      <c r="E18" s="77" t="n">
        <v>3450</v>
      </c>
      <c r="F18" s="77" t="n">
        <v>0</v>
      </c>
      <c r="G18" s="77" t="n">
        <v>0</v>
      </c>
      <c r="H18" s="71" t="n">
        <v>0</v>
      </c>
      <c r="I18" s="71" t="n">
        <v>0</v>
      </c>
      <c r="J18" s="72" t="n">
        <v>1.1</v>
      </c>
      <c r="K18" s="133" t="n">
        <v>3.1902</v>
      </c>
      <c r="L18" s="24" t="n">
        <f aca="false">1000/K18</f>
        <v>313.459971161683</v>
      </c>
      <c r="M18" s="37" t="n">
        <f aca="false">IFERROR(MATCH(B18-1,Q_End,1),0)+1</f>
        <v>11</v>
      </c>
      <c r="N18" s="37" t="n">
        <f aca="false">IFERROR(MATCH(D18-1,Q_End,1),0)+1</f>
        <v>25</v>
      </c>
      <c r="O18" s="37" t="n">
        <f aca="false">IF(SharePx&gt;=L18*J18,1,0)</f>
        <v>0</v>
      </c>
      <c r="P18" s="37" t="n">
        <f aca="false">CHOOSE(DilMethod,1,IF(DilPx&gt;L18,1,0),0)</f>
        <v>0</v>
      </c>
      <c r="Q18" s="20" t="s">
        <v>2018</v>
      </c>
      <c r="R18" s="20" t="s">
        <v>2030</v>
      </c>
    </row>
    <row r="19" customFormat="false" ht="15" hidden="false" customHeight="false" outlineLevel="0" collapsed="false">
      <c r="A19" s="0" t="s">
        <v>2031</v>
      </c>
      <c r="B19" s="55" t="n">
        <v>46258</v>
      </c>
      <c r="C19" s="130" t="n">
        <v>0.045</v>
      </c>
      <c r="D19" s="55" t="n">
        <v>48990</v>
      </c>
      <c r="E19" s="77" t="n">
        <v>2300</v>
      </c>
      <c r="F19" s="77" t="n">
        <v>0</v>
      </c>
      <c r="G19" s="77" t="n">
        <v>0</v>
      </c>
      <c r="H19" s="71" t="n">
        <v>0</v>
      </c>
      <c r="I19" s="71" t="n">
        <v>0</v>
      </c>
      <c r="J19" s="72" t="n">
        <v>1.25</v>
      </c>
      <c r="K19" s="133" t="n">
        <v>3.0802</v>
      </c>
      <c r="L19" s="24" t="n">
        <f aca="false">1000/K19</f>
        <v>324.654243230959</v>
      </c>
      <c r="M19" s="37" t="n">
        <f aca="false">IFERROR(MATCH(B19-1,Q_End,1),0)+1</f>
        <v>11</v>
      </c>
      <c r="N19" s="37" t="n">
        <f aca="false">IFERROR(MATCH(D19-1,Q_End,1),0)+1</f>
        <v>29</v>
      </c>
      <c r="O19" s="37" t="n">
        <f aca="false">IF(SharePx&gt;=L19*J19,1,0)</f>
        <v>0</v>
      </c>
      <c r="P19" s="37" t="n">
        <f aca="false">CHOOSE(DilMethod,1,IF(DilPx&gt;L19,1,0),0)</f>
        <v>0</v>
      </c>
      <c r="Q19" s="20" t="s">
        <v>2018</v>
      </c>
      <c r="R19" s="20" t="s">
        <v>2032</v>
      </c>
    </row>
    <row r="20" customFormat="false" ht="15" hidden="false" customHeight="false" outlineLevel="0" collapsed="false">
      <c r="A20" s="0" t="s">
        <v>2033</v>
      </c>
      <c r="B20" s="134" t="n">
        <f aca="false">INDEX(Q_End,1,FP_CV1Idx-1)+45</f>
        <v>46432</v>
      </c>
      <c r="C20" s="135" t="n">
        <f aca="false">FP_CpnS</f>
        <v>0.005</v>
      </c>
      <c r="D20" s="134" t="n">
        <f aca="false">EDATE(B20,12*FP_TenS)</f>
        <v>47709</v>
      </c>
      <c r="E20" s="120" t="n">
        <f aca="false">FP_On*FP_CVOpen*FP_CV1Amt*FP_ShortSh</f>
        <v>3840</v>
      </c>
      <c r="F20" s="77" t="n">
        <v>0</v>
      </c>
      <c r="G20" s="77" t="n">
        <v>0</v>
      </c>
      <c r="H20" s="71" t="n">
        <v>0</v>
      </c>
      <c r="I20" s="71" t="n">
        <v>0</v>
      </c>
      <c r="J20" s="132" t="n">
        <f aca="false">FP_AccS</f>
        <v>1.1</v>
      </c>
      <c r="K20" s="136" t="n">
        <f aca="false">1000/(FP_RefPx*(1+FP_PremS))</f>
        <v>2.94174751569422</v>
      </c>
      <c r="L20" s="24" t="n">
        <f aca="false">1000/K20</f>
        <v>339.934</v>
      </c>
      <c r="M20" s="37" t="n">
        <f aca="false">IFERROR(MATCH(B20-1,Q_End,1),0)+1</f>
        <v>13</v>
      </c>
      <c r="N20" s="37" t="n">
        <f aca="false">IFERROR(MATCH(D20-1,Q_End,1),0)+1</f>
        <v>27</v>
      </c>
      <c r="O20" s="37" t="n">
        <f aca="false">IF(SharePx&gt;=L20*J20,1,0)</f>
        <v>0</v>
      </c>
      <c r="P20" s="37" t="n">
        <f aca="false">CHOOSE(DilMethod,1,IF(DilPx&gt;L20,1,0),0)</f>
        <v>0</v>
      </c>
      <c r="Q20" s="20" t="s">
        <v>2018</v>
      </c>
      <c r="R20" s="20" t="s">
        <v>2034</v>
      </c>
    </row>
    <row r="21" customFormat="false" ht="15" hidden="false" customHeight="false" outlineLevel="0" collapsed="false">
      <c r="A21" s="0" t="s">
        <v>2035</v>
      </c>
      <c r="B21" s="134" t="n">
        <f aca="false">INDEX(Q_End,1,FP_CV1Idx-1)+45</f>
        <v>46432</v>
      </c>
      <c r="C21" s="135" t="n">
        <f aca="false">FP_CpnL</f>
        <v>0.045</v>
      </c>
      <c r="D21" s="134" t="n">
        <f aca="false">EDATE(B21,12*FP_TenL)</f>
        <v>49170</v>
      </c>
      <c r="E21" s="120" t="n">
        <f aca="false">FP_On*FP_CVOpen*FP_CV1Amt*(1-FP_ShortSh)</f>
        <v>2560</v>
      </c>
      <c r="F21" s="77" t="n">
        <v>0</v>
      </c>
      <c r="G21" s="77" t="n">
        <v>0</v>
      </c>
      <c r="H21" s="71" t="n">
        <v>0</v>
      </c>
      <c r="I21" s="71" t="n">
        <v>0</v>
      </c>
      <c r="J21" s="132" t="n">
        <f aca="false">FP_AccL</f>
        <v>1.25</v>
      </c>
      <c r="K21" s="136" t="n">
        <f aca="false">1000/(FP_RefPx*(1+FP_PremL))</f>
        <v>2.84030794618753</v>
      </c>
      <c r="L21" s="24" t="n">
        <f aca="false">1000/K21</f>
        <v>352.0745</v>
      </c>
      <c r="M21" s="37" t="n">
        <f aca="false">IFERROR(MATCH(B21-1,Q_End,1),0)+1</f>
        <v>13</v>
      </c>
      <c r="N21" s="37" t="n">
        <f aca="false">IFERROR(MATCH(D21-1,Q_End,1),0)+1</f>
        <v>29</v>
      </c>
      <c r="O21" s="37" t="n">
        <f aca="false">IF(SharePx&gt;=L21*J21,1,0)</f>
        <v>0</v>
      </c>
      <c r="P21" s="37" t="n">
        <f aca="false">CHOOSE(DilMethod,1,IF(DilPx&gt;L21,1,0),0)</f>
        <v>0</v>
      </c>
      <c r="Q21" s="20" t="s">
        <v>2018</v>
      </c>
      <c r="R21" s="20" t="s">
        <v>2034</v>
      </c>
    </row>
    <row r="22" customFormat="false" ht="15" hidden="false" customHeight="false" outlineLevel="0" collapsed="false">
      <c r="A22" s="0" t="s">
        <v>2036</v>
      </c>
      <c r="B22" s="134" t="n">
        <f aca="false">INDEX(Q_End,1,FP_CV2Idx-1)+45</f>
        <v>46613</v>
      </c>
      <c r="C22" s="135" t="n">
        <f aca="false">FP_CpnS</f>
        <v>0.005</v>
      </c>
      <c r="D22" s="134" t="n">
        <f aca="false">EDATE(B22,12*FP_TenS)</f>
        <v>47893</v>
      </c>
      <c r="E22" s="120" t="n">
        <f aca="false">FP_On*FP_CVOpen*FP_CV2Amt*FP_ShortSh</f>
        <v>3840</v>
      </c>
      <c r="F22" s="77" t="n">
        <v>0</v>
      </c>
      <c r="G22" s="77" t="n">
        <v>0</v>
      </c>
      <c r="H22" s="71" t="n">
        <v>0</v>
      </c>
      <c r="I22" s="71" t="n">
        <v>0</v>
      </c>
      <c r="J22" s="132" t="n">
        <f aca="false">FP_AccS</f>
        <v>1.1</v>
      </c>
      <c r="K22" s="136" t="n">
        <f aca="false">1000/(FP_RefPx*(1+FP_PremS))</f>
        <v>2.94174751569422</v>
      </c>
      <c r="L22" s="24" t="n">
        <f aca="false">1000/K22</f>
        <v>339.934</v>
      </c>
      <c r="M22" s="37" t="n">
        <f aca="false">IFERROR(MATCH(B22-1,Q_End,1),0)+1</f>
        <v>15</v>
      </c>
      <c r="N22" s="37" t="n">
        <f aca="false">IFERROR(MATCH(D22-1,Q_End,1),0)+1</f>
        <v>29</v>
      </c>
      <c r="O22" s="37" t="n">
        <f aca="false">IF(SharePx&gt;=L22*J22,1,0)</f>
        <v>0</v>
      </c>
      <c r="P22" s="37" t="n">
        <f aca="false">CHOOSE(DilMethod,1,IF(DilPx&gt;L22,1,0),0)</f>
        <v>0</v>
      </c>
      <c r="Q22" s="20" t="s">
        <v>2018</v>
      </c>
      <c r="R22" s="20" t="s">
        <v>2034</v>
      </c>
    </row>
    <row r="23" customFormat="false" ht="15" hidden="false" customHeight="false" outlineLevel="0" collapsed="false">
      <c r="A23" s="0" t="s">
        <v>2037</v>
      </c>
      <c r="B23" s="134" t="n">
        <f aca="false">INDEX(Q_End,1,FP_CV2Idx-1)+45</f>
        <v>46613</v>
      </c>
      <c r="C23" s="135" t="n">
        <f aca="false">FP_CpnL</f>
        <v>0.045</v>
      </c>
      <c r="D23" s="134" t="n">
        <f aca="false">EDATE(B23,12*FP_TenL)</f>
        <v>49354</v>
      </c>
      <c r="E23" s="120" t="n">
        <f aca="false">FP_On*FP_CVOpen*FP_CV2Amt*(1-FP_ShortSh)</f>
        <v>2560</v>
      </c>
      <c r="F23" s="77" t="n">
        <v>0</v>
      </c>
      <c r="G23" s="77" t="n">
        <v>0</v>
      </c>
      <c r="H23" s="71" t="n">
        <v>0</v>
      </c>
      <c r="I23" s="71" t="n">
        <v>0</v>
      </c>
      <c r="J23" s="132" t="n">
        <f aca="false">FP_AccL</f>
        <v>1.25</v>
      </c>
      <c r="K23" s="136" t="n">
        <f aca="false">1000/(FP_RefPx*(1+FP_PremL))</f>
        <v>2.84030794618753</v>
      </c>
      <c r="L23" s="24" t="n">
        <f aca="false">1000/K23</f>
        <v>352.0745</v>
      </c>
      <c r="M23" s="37" t="n">
        <f aca="false">IFERROR(MATCH(B23-1,Q_End,1),0)+1</f>
        <v>15</v>
      </c>
      <c r="N23" s="37" t="n">
        <f aca="false">IFERROR(MATCH(D23-1,Q_End,1),0)+1</f>
        <v>29</v>
      </c>
      <c r="O23" s="37" t="n">
        <f aca="false">IF(SharePx&gt;=L23*J23,1,0)</f>
        <v>0</v>
      </c>
      <c r="P23" s="37" t="n">
        <f aca="false">CHOOSE(DilMethod,1,IF(DilPx&gt;L23,1,0),0)</f>
        <v>0</v>
      </c>
      <c r="Q23" s="20" t="s">
        <v>2018</v>
      </c>
      <c r="R23" s="20" t="s">
        <v>2034</v>
      </c>
    </row>
    <row r="24" customFormat="false" ht="15" hidden="false" customHeight="false" outlineLevel="0" collapsed="false">
      <c r="A24" s="3" t="s">
        <v>2038</v>
      </c>
      <c r="E24" s="78" t="n">
        <f aca="false">SUM(E12:E23)</f>
        <v>27050</v>
      </c>
      <c r="F24" s="78" t="n">
        <f aca="false">SUM(F12:F23)</f>
        <v>25</v>
      </c>
      <c r="G24" s="78" t="n">
        <f aca="false">SUM(G12:G23)</f>
        <v>800</v>
      </c>
      <c r="I24" s="78" t="n">
        <f aca="false">SUM(I12:I23)</f>
        <v>15.77</v>
      </c>
    </row>
    <row r="27" customFormat="false" ht="15" hidden="false" customHeight="false" outlineLevel="0" collapsed="false">
      <c r="A27" s="53" t="s">
        <v>2039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</row>
    <row r="28" customFormat="false" ht="15" hidden="false" customHeight="false" outlineLevel="0" collapsed="false">
      <c r="A28" s="104" t="s">
        <v>2040</v>
      </c>
      <c r="B28" s="20" t="s">
        <v>561</v>
      </c>
      <c r="C28" s="20" t="s">
        <v>550</v>
      </c>
      <c r="D28" s="20"/>
      <c r="F28" s="122" t="n">
        <f aca="false">IF(AND(F$5&gt;=$M$12,F$5&lt;$N$12),$E$12-$F$12-IF(F$5&gt;=$H$12,$G$12,0),0)*($H$12&lt;&gt;0)+IF(AND(F$5&gt;=$M$12,F$5&lt;$N$12),$E$12-$F$12,0)*($H$12=0)</f>
        <v>0</v>
      </c>
      <c r="G28" s="122" t="n">
        <f aca="false">IF(AND(G$5&gt;=$M$12,G$5&lt;$N$12),$E$12-$F$12-IF(G$5&gt;=$H$12,$G$12,0),0)*($H$12&lt;&gt;0)+IF(AND(G$5&gt;=$M$12,G$5&lt;$N$12),$E$12-$F$12,0)*($H$12=0)</f>
        <v>0</v>
      </c>
      <c r="H28" s="122" t="n">
        <f aca="false">IF(AND(H$5&gt;=$M$12,H$5&lt;$N$12),$E$12-$F$12-IF(H$5&gt;=$H$12,$G$12,0),0)*($H$12&lt;&gt;0)+IF(AND(H$5&gt;=$M$12,H$5&lt;$N$12),$E$12-$F$12,0)*($H$12=0)</f>
        <v>0</v>
      </c>
      <c r="I28" s="122" t="n">
        <f aca="false">IF(AND(I$5&gt;=$M$12,I$5&lt;$N$12),$E$12-$F$12-IF(I$5&gt;=$H$12,$G$12,0),0)*($H$12&lt;&gt;0)+IF(AND(I$5&gt;=$M$12,I$5&lt;$N$12),$E$12-$F$12,0)*($H$12=0)</f>
        <v>0</v>
      </c>
      <c r="J28" s="122" t="n">
        <f aca="false">IF(AND(J$5&gt;=$M$12,J$5&lt;$N$12),$E$12-$F$12-IF(J$5&gt;=$H$12,$G$12,0),0)*($H$12&lt;&gt;0)+IF(AND(J$5&gt;=$M$12,J$5&lt;$N$12),$E$12-$F$12,0)*($H$12=0)</f>
        <v>0</v>
      </c>
      <c r="K28" s="122" t="n">
        <f aca="false">IF(AND(K$5&gt;=$M$12,K$5&lt;$N$12),$E$12-$F$12-IF(K$5&gt;=$H$12,$G$12,0),0)*($H$12&lt;&gt;0)+IF(AND(K$5&gt;=$M$12,K$5&lt;$N$12),$E$12-$F$12,0)*($H$12=0)</f>
        <v>487.5</v>
      </c>
      <c r="L28" s="122" t="n">
        <f aca="false">IF(AND(L$5&gt;=$M$12,L$5&lt;$N$12),$E$12-$F$12-IF(L$5&gt;=$H$12,$G$12,0),0)*($H$12&lt;&gt;0)+IF(AND(L$5&gt;=$M$12,L$5&lt;$N$12),$E$12-$F$12,0)*($H$12=0)</f>
        <v>487.5</v>
      </c>
      <c r="M28" s="122" t="n">
        <f aca="false">IF(AND(M$5&gt;=$M$12,M$5&lt;$N$12),$E$12-$F$12-IF(M$5&gt;=$H$12,$G$12,0),0)*($H$12&lt;&gt;0)+IF(AND(M$5&gt;=$M$12,M$5&lt;$N$12),$E$12-$F$12,0)*($H$12=0)</f>
        <v>487.5</v>
      </c>
      <c r="N28" s="122" t="n">
        <f aca="false">IF(AND(N$5&gt;=$M$12,N$5&lt;$N$12),$E$12-$F$12-IF(N$5&gt;=$H$12,$G$12,0),0)*($H$12&lt;&gt;0)+IF(AND(N$5&gt;=$M$12,N$5&lt;$N$12),$E$12-$F$12,0)*($H$12=0)</f>
        <v>487.5</v>
      </c>
      <c r="O28" s="122" t="n">
        <f aca="false">IF(AND(O$5&gt;=$M$12,O$5&lt;$N$12),$E$12-$F$12-IF(O$5&gt;=$H$12,$G$12,0),0)*($H$12&lt;&gt;0)+IF(AND(O$5&gt;=$M$12,O$5&lt;$N$12),$E$12-$F$12,0)*($H$12=0)</f>
        <v>487.5</v>
      </c>
      <c r="P28" s="123" t="n">
        <f aca="false">IF(AND(P$5&gt;=$M$12,P$5&lt;$N$12),$E$12-$F$12-IF(P$5&gt;=$H$12,$G$12,0),0)*($H$12&lt;&gt;0)+IF(AND(P$5&gt;=$M$12,P$5&lt;$N$12),$E$12-$F$12,0)*($H$12=0)</f>
        <v>87.5</v>
      </c>
      <c r="Q28" s="123" t="n">
        <f aca="false">IF(AND(Q$5&gt;=$M$12,Q$5&lt;$N$12),$E$12-$F$12-IF(Q$5&gt;=$H$12,$G$12,0),0)*($H$12&lt;&gt;0)+IF(AND(Q$5&gt;=$M$12,Q$5&lt;$N$12),$E$12-$F$12,0)*($H$12=0)</f>
        <v>87.5</v>
      </c>
      <c r="R28" s="123" t="n">
        <f aca="false">IF(AND(R$5&gt;=$M$12,R$5&lt;$N$12),$E$12-$F$12-IF(R$5&gt;=$H$12,$G$12,0),0)*($H$12&lt;&gt;0)+IF(AND(R$5&gt;=$M$12,R$5&lt;$N$12),$E$12-$F$12,0)*($H$12=0)</f>
        <v>87.5</v>
      </c>
      <c r="S28" s="123" t="n">
        <f aca="false">IF(AND(S$5&gt;=$M$12,S$5&lt;$N$12),$E$12-$F$12-IF(S$5&gt;=$H$12,$G$12,0),0)*($H$12&lt;&gt;0)+IF(AND(S$5&gt;=$M$12,S$5&lt;$N$12),$E$12-$F$12,0)*($H$12=0)</f>
        <v>87.5</v>
      </c>
      <c r="T28" s="123" t="n">
        <f aca="false">IF(AND(T$5&gt;=$M$12,T$5&lt;$N$12),$E$12-$F$12-IF(T$5&gt;=$H$12,$G$12,0),0)*($H$12&lt;&gt;0)+IF(AND(T$5&gt;=$M$12,T$5&lt;$N$12),$E$12-$F$12,0)*($H$12=0)</f>
        <v>87.5</v>
      </c>
      <c r="U28" s="123" t="n">
        <f aca="false">IF(AND(U$5&gt;=$M$12,U$5&lt;$N$12),$E$12-$F$12-IF(U$5&gt;=$H$12,$G$12,0),0)*($H$12&lt;&gt;0)+IF(AND(U$5&gt;=$M$12,U$5&lt;$N$12),$E$12-$F$12,0)*($H$12=0)</f>
        <v>87.5</v>
      </c>
      <c r="V28" s="123" t="n">
        <f aca="false">IF(AND(V$5&gt;=$M$12,V$5&lt;$N$12),$E$12-$F$12-IF(V$5&gt;=$H$12,$G$12,0),0)*($H$12&lt;&gt;0)+IF(AND(V$5&gt;=$M$12,V$5&lt;$N$12),$E$12-$F$12,0)*($H$12=0)</f>
        <v>87.5</v>
      </c>
      <c r="W28" s="123" t="n">
        <f aca="false">IF(AND(W$5&gt;=$M$12,W$5&lt;$N$12),$E$12-$F$12-IF(W$5&gt;=$H$12,$G$12,0),0)*($H$12&lt;&gt;0)+IF(AND(W$5&gt;=$M$12,W$5&lt;$N$12),$E$12-$F$12,0)*($H$12=0)</f>
        <v>87.5</v>
      </c>
      <c r="X28" s="123" t="n">
        <f aca="false">IF(AND(X$5&gt;=$M$12,X$5&lt;$N$12),$E$12-$F$12-IF(X$5&gt;=$H$12,$G$12,0),0)*($H$12&lt;&gt;0)+IF(AND(X$5&gt;=$M$12,X$5&lt;$N$12),$E$12-$F$12,0)*($H$12=0)</f>
        <v>87.5</v>
      </c>
      <c r="Y28" s="123" t="n">
        <f aca="false">IF(AND(Y$5&gt;=$M$12,Y$5&lt;$N$12),$E$12-$F$12-IF(Y$5&gt;=$H$12,$G$12,0),0)*($H$12&lt;&gt;0)+IF(AND(Y$5&gt;=$M$12,Y$5&lt;$N$12),$E$12-$F$12,0)*($H$12=0)</f>
        <v>87.5</v>
      </c>
      <c r="Z28" s="123" t="n">
        <f aca="false">IF(AND(Z$5&gt;=$M$12,Z$5&lt;$N$12),$E$12-$F$12-IF(Z$5&gt;=$H$12,$G$12,0),0)*($H$12&lt;&gt;0)+IF(AND(Z$5&gt;=$M$12,Z$5&lt;$N$12),$E$12-$F$12,0)*($H$12=0)</f>
        <v>87.5</v>
      </c>
      <c r="AA28" s="123" t="n">
        <f aca="false">IF(AND(AA$5&gt;=$M$12,AA$5&lt;$N$12),$E$12-$F$12-IF(AA$5&gt;=$H$12,$G$12,0),0)*($H$12&lt;&gt;0)+IF(AND(AA$5&gt;=$M$12,AA$5&lt;$N$12),$E$12-$F$12,0)*($H$12=0)</f>
        <v>0</v>
      </c>
      <c r="AB28" s="123" t="n">
        <f aca="false">IF(AND(AB$5&gt;=$M$12,AB$5&lt;$N$12),$E$12-$F$12-IF(AB$5&gt;=$H$12,$G$12,0),0)*($H$12&lt;&gt;0)+IF(AND(AB$5&gt;=$M$12,AB$5&lt;$N$12),$E$12-$F$12,0)*($H$12=0)</f>
        <v>0</v>
      </c>
      <c r="AC28" s="123" t="n">
        <f aca="false">IF(AND(AC$5&gt;=$M$12,AC$5&lt;$N$12),$E$12-$F$12-IF(AC$5&gt;=$H$12,$G$12,0),0)*($H$12&lt;&gt;0)+IF(AND(AC$5&gt;=$M$12,AC$5&lt;$N$12),$E$12-$F$12,0)*($H$12=0)</f>
        <v>0</v>
      </c>
      <c r="AD28" s="123" t="n">
        <f aca="false">IF(AND(AD$5&gt;=$M$12,AD$5&lt;$N$12),$E$12-$F$12-IF(AD$5&gt;=$H$12,$G$12,0),0)*($H$12&lt;&gt;0)+IF(AND(AD$5&gt;=$M$12,AD$5&lt;$N$12),$E$12-$F$12,0)*($H$12=0)</f>
        <v>0</v>
      </c>
      <c r="AE28" s="123" t="n">
        <f aca="false">IF(AND(AE$5&gt;=$M$12,AE$5&lt;$N$12),$E$12-$F$12-IF(AE$5&gt;=$H$12,$G$12,0),0)*($H$12&lt;&gt;0)+IF(AND(AE$5&gt;=$M$12,AE$5&lt;$N$12),$E$12-$F$12,0)*($H$12=0)</f>
        <v>0</v>
      </c>
      <c r="AF28" s="123" t="n">
        <f aca="false">IF(AND(AF$5&gt;=$M$12,AF$5&lt;$N$12),$E$12-$F$12-IF(AF$5&gt;=$H$12,$G$12,0),0)*($H$12&lt;&gt;0)+IF(AND(AF$5&gt;=$M$12,AF$5&lt;$N$12),$E$12-$F$12,0)*($H$12=0)</f>
        <v>0</v>
      </c>
      <c r="AG28" s="123" t="n">
        <f aca="false">IF(AND(AG$5&gt;=$M$12,AG$5&lt;$N$12),$E$12-$F$12-IF(AG$5&gt;=$H$12,$G$12,0),0)*($H$12&lt;&gt;0)+IF(AND(AG$5&gt;=$M$12,AG$5&lt;$N$12),$E$12-$F$12,0)*($H$12=0)</f>
        <v>0</v>
      </c>
      <c r="AI28" s="123" t="n">
        <f aca="false">INDEX($F28:$AG28,1,MATCH(AI$7,$F$7:$AG$7,1))</f>
        <v>0</v>
      </c>
      <c r="AJ28" s="123" t="n">
        <f aca="false">INDEX($F28:$AG28,1,MATCH(AJ$7,$F$7:$AG$7,1))</f>
        <v>487.5</v>
      </c>
      <c r="AK28" s="123" t="n">
        <f aca="false">INDEX($F28:$AG28,1,MATCH(AK$7,$F$7:$AG$7,1))</f>
        <v>87.5</v>
      </c>
      <c r="AL28" s="123" t="n">
        <f aca="false">INDEX($F28:$AG28,1,MATCH(AL$7,$F$7:$AG$7,1))</f>
        <v>87.5</v>
      </c>
      <c r="AM28" s="123" t="n">
        <f aca="false">INDEX($F28:$AG28,1,MATCH(AM$7,$F$7:$AG$7,1))</f>
        <v>87.5</v>
      </c>
      <c r="AN28" s="123" t="n">
        <f aca="false">INDEX($F28:$AG28,1,MATCH(AN$7,$F$7:$AG$7,1))</f>
        <v>0</v>
      </c>
      <c r="AO28" s="123" t="n">
        <f aca="false">INDEX($F28:$AG28,1,MATCH(AO$7,$F$7:$AG$7,1))</f>
        <v>0</v>
      </c>
    </row>
    <row r="29" customFormat="false" ht="15" hidden="false" customHeight="false" outlineLevel="0" collapsed="false">
      <c r="A29" s="104" t="s">
        <v>2041</v>
      </c>
      <c r="B29" s="20" t="s">
        <v>561</v>
      </c>
      <c r="C29" s="20" t="s">
        <v>550</v>
      </c>
      <c r="D29" s="20"/>
      <c r="F29" s="122" t="n">
        <f aca="false">F28*$C$12/4</f>
        <v>0</v>
      </c>
      <c r="G29" s="122" t="n">
        <f aca="false">G28*$C$12/4</f>
        <v>0</v>
      </c>
      <c r="H29" s="122" t="n">
        <f aca="false">H28*$C$12/4</f>
        <v>0</v>
      </c>
      <c r="I29" s="122" t="n">
        <f aca="false">I28*$C$12/4</f>
        <v>0</v>
      </c>
      <c r="J29" s="122" t="n">
        <f aca="false">J28*$C$12/4</f>
        <v>0</v>
      </c>
      <c r="K29" s="122" t="n">
        <f aca="false">K28*$C$12/4</f>
        <v>2.4375</v>
      </c>
      <c r="L29" s="122" t="n">
        <f aca="false">L28*$C$12/4</f>
        <v>2.4375</v>
      </c>
      <c r="M29" s="122" t="n">
        <f aca="false">M28*$C$12/4</f>
        <v>2.4375</v>
      </c>
      <c r="N29" s="122" t="n">
        <f aca="false">N28*$C$12/4</f>
        <v>2.4375</v>
      </c>
      <c r="O29" s="122" t="n">
        <f aca="false">O28*$C$12/4</f>
        <v>2.4375</v>
      </c>
      <c r="P29" s="123" t="n">
        <f aca="false">P28*$C$12/4</f>
        <v>0.4375</v>
      </c>
      <c r="Q29" s="123" t="n">
        <f aca="false">Q28*$C$12/4</f>
        <v>0.4375</v>
      </c>
      <c r="R29" s="123" t="n">
        <f aca="false">R28*$C$12/4</f>
        <v>0.4375</v>
      </c>
      <c r="S29" s="123" t="n">
        <f aca="false">S28*$C$12/4</f>
        <v>0.4375</v>
      </c>
      <c r="T29" s="123" t="n">
        <f aca="false">T28*$C$12/4</f>
        <v>0.4375</v>
      </c>
      <c r="U29" s="123" t="n">
        <f aca="false">U28*$C$12/4</f>
        <v>0.4375</v>
      </c>
      <c r="V29" s="123" t="n">
        <f aca="false">V28*$C$12/4</f>
        <v>0.4375</v>
      </c>
      <c r="W29" s="123" t="n">
        <f aca="false">W28*$C$12/4</f>
        <v>0.4375</v>
      </c>
      <c r="X29" s="123" t="n">
        <f aca="false">X28*$C$12/4</f>
        <v>0.4375</v>
      </c>
      <c r="Y29" s="123" t="n">
        <f aca="false">Y28*$C$12/4</f>
        <v>0.4375</v>
      </c>
      <c r="Z29" s="123" t="n">
        <f aca="false">Z28*$C$12/4</f>
        <v>0.4375</v>
      </c>
      <c r="AA29" s="123" t="n">
        <f aca="false">AA28*$C$12/4</f>
        <v>0</v>
      </c>
      <c r="AB29" s="123" t="n">
        <f aca="false">AB28*$C$12/4</f>
        <v>0</v>
      </c>
      <c r="AC29" s="123" t="n">
        <f aca="false">AC28*$C$12/4</f>
        <v>0</v>
      </c>
      <c r="AD29" s="123" t="n">
        <f aca="false">AD28*$C$12/4</f>
        <v>0</v>
      </c>
      <c r="AE29" s="123" t="n">
        <f aca="false">AE28*$C$12/4</f>
        <v>0</v>
      </c>
      <c r="AF29" s="123" t="n">
        <f aca="false">AF28*$C$12/4</f>
        <v>0</v>
      </c>
      <c r="AG29" s="123" t="n">
        <f aca="false">AG28*$C$12/4</f>
        <v>0</v>
      </c>
      <c r="AI29" s="123" t="n">
        <f aca="false">SUMIF($F$7:$AG$7,AI$7,$F29:$AG29)</f>
        <v>0</v>
      </c>
      <c r="AJ29" s="123" t="n">
        <f aca="false">SUMIF($F$7:$AG$7,AJ$7,$F29:$AG29)</f>
        <v>7.3125</v>
      </c>
      <c r="AK29" s="123" t="n">
        <f aca="false">SUMIF($F$7:$AG$7,AK$7,$F29:$AG29)</f>
        <v>5.75</v>
      </c>
      <c r="AL29" s="123" t="n">
        <f aca="false">SUMIF($F$7:$AG$7,AL$7,$F29:$AG29)</f>
        <v>1.75</v>
      </c>
      <c r="AM29" s="123" t="n">
        <f aca="false">SUMIF($F$7:$AG$7,AM$7,$F29:$AG29)</f>
        <v>1.75</v>
      </c>
      <c r="AN29" s="123" t="n">
        <f aca="false">SUMIF($F$7:$AG$7,AN$7,$F29:$AG29)</f>
        <v>0.4375</v>
      </c>
      <c r="AO29" s="123" t="n">
        <f aca="false">SUMIF($F$7:$AG$7,AO$7,$F29:$AG29)</f>
        <v>0</v>
      </c>
    </row>
    <row r="30" customFormat="false" ht="15" hidden="false" customHeight="false" outlineLevel="0" collapsed="false">
      <c r="A30" s="104" t="s">
        <v>2042</v>
      </c>
      <c r="B30" s="20" t="s">
        <v>561</v>
      </c>
      <c r="C30" s="20" t="s">
        <v>550</v>
      </c>
      <c r="D30" s="20"/>
      <c r="F30" s="122" t="n">
        <f aca="false">F28*($J$12-1)/(($D$12-$B$12)/91.3125)</f>
        <v>0</v>
      </c>
      <c r="G30" s="122" t="n">
        <f aca="false">G28*($J$12-1)/(($D$12-$B$12)/91.3125)</f>
        <v>0</v>
      </c>
      <c r="H30" s="122" t="n">
        <f aca="false">H28*($J$12-1)/(($D$12-$B$12)/91.3125)</f>
        <v>0</v>
      </c>
      <c r="I30" s="122" t="n">
        <f aca="false">I28*($J$12-1)/(($D$12-$B$12)/91.3125)</f>
        <v>0</v>
      </c>
      <c r="J30" s="122" t="n">
        <f aca="false">J28*($J$12-1)/(($D$12-$B$12)/91.3125)</f>
        <v>0</v>
      </c>
      <c r="K30" s="122" t="n">
        <f aca="false">K28*($J$12-1)/(($D$12-$B$12)/91.3125)</f>
        <v>6.26715854495539</v>
      </c>
      <c r="L30" s="122" t="n">
        <f aca="false">L28*($J$12-1)/(($D$12-$B$12)/91.3125)</f>
        <v>6.26715854495539</v>
      </c>
      <c r="M30" s="122" t="n">
        <f aca="false">M28*($J$12-1)/(($D$12-$B$12)/91.3125)</f>
        <v>6.26715854495539</v>
      </c>
      <c r="N30" s="122" t="n">
        <f aca="false">N28*($J$12-1)/(($D$12-$B$12)/91.3125)</f>
        <v>6.26715854495539</v>
      </c>
      <c r="O30" s="122" t="n">
        <f aca="false">O28*($J$12-1)/(($D$12-$B$12)/91.3125)</f>
        <v>6.26715854495539</v>
      </c>
      <c r="P30" s="123" t="n">
        <f aca="false">P28*($J$12-1)/(($D$12-$B$12)/91.3125)</f>
        <v>1.12487461063302</v>
      </c>
      <c r="Q30" s="123" t="n">
        <f aca="false">Q28*($J$12-1)/(($D$12-$B$12)/91.3125)</f>
        <v>1.12487461063302</v>
      </c>
      <c r="R30" s="123" t="n">
        <f aca="false">R28*($J$12-1)/(($D$12-$B$12)/91.3125)</f>
        <v>1.12487461063302</v>
      </c>
      <c r="S30" s="123" t="n">
        <f aca="false">S28*($J$12-1)/(($D$12-$B$12)/91.3125)</f>
        <v>1.12487461063302</v>
      </c>
      <c r="T30" s="123" t="n">
        <f aca="false">T28*($J$12-1)/(($D$12-$B$12)/91.3125)</f>
        <v>1.12487461063302</v>
      </c>
      <c r="U30" s="123" t="n">
        <f aca="false">U28*($J$12-1)/(($D$12-$B$12)/91.3125)</f>
        <v>1.12487461063302</v>
      </c>
      <c r="V30" s="123" t="n">
        <f aca="false">V28*($J$12-1)/(($D$12-$B$12)/91.3125)</f>
        <v>1.12487461063302</v>
      </c>
      <c r="W30" s="123" t="n">
        <f aca="false">W28*($J$12-1)/(($D$12-$B$12)/91.3125)</f>
        <v>1.12487461063302</v>
      </c>
      <c r="X30" s="123" t="n">
        <f aca="false">X28*($J$12-1)/(($D$12-$B$12)/91.3125)</f>
        <v>1.12487461063302</v>
      </c>
      <c r="Y30" s="123" t="n">
        <f aca="false">Y28*($J$12-1)/(($D$12-$B$12)/91.3125)</f>
        <v>1.12487461063302</v>
      </c>
      <c r="Z30" s="123" t="n">
        <f aca="false">Z28*($J$12-1)/(($D$12-$B$12)/91.3125)</f>
        <v>1.12487461063302</v>
      </c>
      <c r="AA30" s="123" t="n">
        <f aca="false">AA28*($J$12-1)/(($D$12-$B$12)/91.3125)</f>
        <v>0</v>
      </c>
      <c r="AB30" s="123" t="n">
        <f aca="false">AB28*($J$12-1)/(($D$12-$B$12)/91.3125)</f>
        <v>0</v>
      </c>
      <c r="AC30" s="123" t="n">
        <f aca="false">AC28*($J$12-1)/(($D$12-$B$12)/91.3125)</f>
        <v>0</v>
      </c>
      <c r="AD30" s="123" t="n">
        <f aca="false">AD28*($J$12-1)/(($D$12-$B$12)/91.3125)</f>
        <v>0</v>
      </c>
      <c r="AE30" s="123" t="n">
        <f aca="false">AE28*($J$12-1)/(($D$12-$B$12)/91.3125)</f>
        <v>0</v>
      </c>
      <c r="AF30" s="123" t="n">
        <f aca="false">AF28*($J$12-1)/(($D$12-$B$12)/91.3125)</f>
        <v>0</v>
      </c>
      <c r="AG30" s="123" t="n">
        <f aca="false">AG28*($J$12-1)/(($D$12-$B$12)/91.3125)</f>
        <v>0</v>
      </c>
      <c r="AI30" s="123" t="n">
        <f aca="false">SUMIF($F$7:$AG$7,AI$7,$F30:$AG30)</f>
        <v>0</v>
      </c>
      <c r="AJ30" s="123" t="n">
        <f aca="false">SUMIF($F$7:$AG$7,AJ$7,$F30:$AG30)</f>
        <v>18.8014756348662</v>
      </c>
      <c r="AK30" s="123" t="n">
        <f aca="false">SUMIF($F$7:$AG$7,AK$7,$F30:$AG30)</f>
        <v>14.7840663111768</v>
      </c>
      <c r="AL30" s="123" t="n">
        <f aca="false">SUMIF($F$7:$AG$7,AL$7,$F30:$AG30)</f>
        <v>4.49949844253207</v>
      </c>
      <c r="AM30" s="123" t="n">
        <f aca="false">SUMIF($F$7:$AG$7,AM$7,$F30:$AG30)</f>
        <v>4.49949844253207</v>
      </c>
      <c r="AN30" s="123" t="n">
        <f aca="false">SUMIF($F$7:$AG$7,AN$7,$F30:$AG30)</f>
        <v>1.12487461063302</v>
      </c>
      <c r="AO30" s="123" t="n">
        <f aca="false">SUMIF($F$7:$AG$7,AO$7,$F30:$AG30)</f>
        <v>0</v>
      </c>
    </row>
    <row r="31" customFormat="false" ht="15" hidden="false" customHeight="false" outlineLevel="0" collapsed="false">
      <c r="A31" s="104" t="s">
        <v>2043</v>
      </c>
      <c r="B31" s="20" t="s">
        <v>561</v>
      </c>
      <c r="C31" s="20" t="s">
        <v>550</v>
      </c>
      <c r="D31" s="20"/>
      <c r="F31" s="122" t="n">
        <f aca="false">F28*(1+($J$12-1)*MIN(1,MAX(0,(F$4-$B$12)/($D$12-$B$12))))</f>
        <v>0</v>
      </c>
      <c r="G31" s="122" t="n">
        <f aca="false">G28*(1+($J$12-1)*MIN(1,MAX(0,(G$4-$B$12)/($D$12-$B$12))))</f>
        <v>0</v>
      </c>
      <c r="H31" s="122" t="n">
        <f aca="false">H28*(1+($J$12-1)*MIN(1,MAX(0,(H$4-$B$12)/($D$12-$B$12))))</f>
        <v>0</v>
      </c>
      <c r="I31" s="122" t="n">
        <f aca="false">I28*(1+($J$12-1)*MIN(1,MAX(0,(I$4-$B$12)/($D$12-$B$12))))</f>
        <v>0</v>
      </c>
      <c r="J31" s="122" t="n">
        <f aca="false">J28*(1+($J$12-1)*MIN(1,MAX(0,(J$4-$B$12)/($D$12-$B$12))))</f>
        <v>0</v>
      </c>
      <c r="K31" s="122" t="n">
        <f aca="false">K28*(1+($J$12-1)*MIN(1,MAX(0,(K$4-$B$12)/($D$12-$B$12))))</f>
        <v>489.215854495539</v>
      </c>
      <c r="L31" s="122" t="n">
        <f aca="false">L28*(1+($J$12-1)*MIN(1,MAX(0,(L$4-$B$12)/($D$12-$B$12))))</f>
        <v>495.530199039121</v>
      </c>
      <c r="M31" s="122" t="n">
        <f aca="false">M28*(1+($J$12-1)*MIN(1,MAX(0,(M$4-$B$12)/($D$12-$B$12))))</f>
        <v>501.844543582704</v>
      </c>
      <c r="N31" s="122" t="n">
        <f aca="false">N28*(1+($J$12-1)*MIN(1,MAX(0,(N$4-$B$12)/($D$12-$B$12))))</f>
        <v>508.021619766644</v>
      </c>
      <c r="O31" s="122" t="n">
        <f aca="false">O28*(1+($J$12-1)*MIN(1,MAX(0,(O$4-$B$12)/($D$12-$B$12))))</f>
        <v>514.267330130405</v>
      </c>
      <c r="P31" s="123" t="n">
        <f aca="false">P28*(1+($J$12-1)*MIN(1,MAX(0,(P$4-$B$12)/($D$12-$B$12))))</f>
        <v>93.4377364799465</v>
      </c>
      <c r="Q31" s="123" t="n">
        <f aca="false">Q28*(1+($J$12-1)*MIN(1,MAX(0,(Q$4-$B$12)/($D$12-$B$12))))</f>
        <v>94.5710803723844</v>
      </c>
      <c r="R31" s="123" t="n">
        <f aca="false">R28*(1+($J$12-1)*MIN(1,MAX(0,(R$4-$B$12)/($D$12-$B$12))))</f>
        <v>95.6797863541172</v>
      </c>
      <c r="S31" s="123" t="n">
        <f aca="false">S28*(1+($J$12-1)*MIN(1,MAX(0,(S$4-$B$12)/($D$12-$B$12))))</f>
        <v>96.8008112912025</v>
      </c>
      <c r="T31" s="123" t="n">
        <f aca="false">T28*(1+($J$12-1)*MIN(1,MAX(0,(T$4-$B$12)/($D$12-$B$12))))</f>
        <v>97.9341551836404</v>
      </c>
      <c r="U31" s="123" t="n">
        <f aca="false">U28*(1+($J$12-1)*MIN(1,MAX(0,(U$4-$B$12)/($D$12-$B$12))))</f>
        <v>99.0674990760784</v>
      </c>
      <c r="V31" s="123" t="n">
        <f aca="false">V28*(1+($J$12-1)*MIN(1,MAX(0,(V$4-$B$12)/($D$12-$B$12))))</f>
        <v>100.188524013164</v>
      </c>
      <c r="W31" s="123" t="n">
        <f aca="false">W28*(1+($J$12-1)*MIN(1,MAX(0,(W$4-$B$12)/($D$12-$B$12))))</f>
        <v>101.309548950249</v>
      </c>
      <c r="X31" s="123" t="n">
        <f aca="false">X28*(1+($J$12-1)*MIN(1,MAX(0,(X$4-$B$12)/($D$12-$B$12))))</f>
        <v>102.442892842687</v>
      </c>
      <c r="Y31" s="123" t="n">
        <f aca="false">Y28*(1+($J$12-1)*MIN(1,MAX(0,(Y$4-$B$12)/($D$12-$B$12))))</f>
        <v>103.576236735125</v>
      </c>
      <c r="Z31" s="123" t="n">
        <f aca="false">Z28*(1+($J$12-1)*MIN(1,MAX(0,(Z$4-$B$12)/($D$12-$B$12))))</f>
        <v>104.684942716858</v>
      </c>
      <c r="AA31" s="123" t="n">
        <f aca="false">AA28*(1+($J$12-1)*MIN(1,MAX(0,(AA$4-$B$12)/($D$12-$B$12))))</f>
        <v>0</v>
      </c>
      <c r="AB31" s="123" t="n">
        <f aca="false">AB28*(1+($J$12-1)*MIN(1,MAX(0,(AB$4-$B$12)/($D$12-$B$12))))</f>
        <v>0</v>
      </c>
      <c r="AC31" s="123" t="n">
        <f aca="false">AC28*(1+($J$12-1)*MIN(1,MAX(0,(AC$4-$B$12)/($D$12-$B$12))))</f>
        <v>0</v>
      </c>
      <c r="AD31" s="123" t="n">
        <f aca="false">AD28*(1+($J$12-1)*MIN(1,MAX(0,(AD$4-$B$12)/($D$12-$B$12))))</f>
        <v>0</v>
      </c>
      <c r="AE31" s="123" t="n">
        <f aca="false">AE28*(1+($J$12-1)*MIN(1,MAX(0,(AE$4-$B$12)/($D$12-$B$12))))</f>
        <v>0</v>
      </c>
      <c r="AF31" s="123" t="n">
        <f aca="false">AF28*(1+($J$12-1)*MIN(1,MAX(0,(AF$4-$B$12)/($D$12-$B$12))))</f>
        <v>0</v>
      </c>
      <c r="AG31" s="123" t="n">
        <f aca="false">AG28*(1+($J$12-1)*MIN(1,MAX(0,(AG$4-$B$12)/($D$12-$B$12))))</f>
        <v>0</v>
      </c>
      <c r="AI31" s="123" t="n">
        <f aca="false">INDEX($F31:$AG31,1,MATCH(AI$7,$F$7:$AG$7,1))</f>
        <v>0</v>
      </c>
      <c r="AJ31" s="123" t="n">
        <f aca="false">INDEX($F31:$AG31,1,MATCH(AJ$7,$F$7:$AG$7,1))</f>
        <v>501.844543582704</v>
      </c>
      <c r="AK31" s="123" t="n">
        <f aca="false">INDEX($F31:$AG31,1,MATCH(AK$7,$F$7:$AG$7,1))</f>
        <v>94.5710803723844</v>
      </c>
      <c r="AL31" s="123" t="n">
        <f aca="false">INDEX($F31:$AG31,1,MATCH(AL$7,$F$7:$AG$7,1))</f>
        <v>99.0674990760784</v>
      </c>
      <c r="AM31" s="123" t="n">
        <f aca="false">INDEX($F31:$AG31,1,MATCH(AM$7,$F$7:$AG$7,1))</f>
        <v>103.576236735125</v>
      </c>
      <c r="AN31" s="123" t="n">
        <f aca="false">INDEX($F31:$AG31,1,MATCH(AN$7,$F$7:$AG$7,1))</f>
        <v>0</v>
      </c>
      <c r="AO31" s="123" t="n">
        <f aca="false">INDEX($F31:$AG31,1,MATCH(AO$7,$F$7:$AG$7,1))</f>
        <v>0</v>
      </c>
    </row>
    <row r="32" customFormat="false" ht="15" hidden="false" customHeight="false" outlineLevel="0" collapsed="false">
      <c r="A32" s="104" t="s">
        <v>2044</v>
      </c>
      <c r="B32" s="20" t="s">
        <v>561</v>
      </c>
      <c r="C32" s="20" t="s">
        <v>550</v>
      </c>
      <c r="D32" s="20"/>
      <c r="F32" s="122" t="n">
        <f aca="false">IF(F$5=$N$12,E28*$J$12*(1-$O$12),0)</f>
        <v>0</v>
      </c>
      <c r="G32" s="122" t="n">
        <f aca="false">IF(G$5=$N$12,F28*$J$12*(1-$O$12),0)</f>
        <v>0</v>
      </c>
      <c r="H32" s="122" t="n">
        <f aca="false">IF(H$5=$N$12,G28*$J$12*(1-$O$12),0)</f>
        <v>0</v>
      </c>
      <c r="I32" s="122" t="n">
        <f aca="false">IF(I$5=$N$12,H28*$J$12*(1-$O$12),0)</f>
        <v>0</v>
      </c>
      <c r="J32" s="122" t="n">
        <f aca="false">IF(J$5=$N$12,I28*$J$12*(1-$O$12),0)</f>
        <v>0</v>
      </c>
      <c r="K32" s="122" t="n">
        <f aca="false">IF(K$5=$N$12,J28*$J$12*(1-$O$12),0)</f>
        <v>0</v>
      </c>
      <c r="L32" s="122" t="n">
        <f aca="false">IF(L$5=$N$12,K28*$J$12*(1-$O$12),0)</f>
        <v>0</v>
      </c>
      <c r="M32" s="122" t="n">
        <f aca="false">IF(M$5=$N$12,L28*$J$12*(1-$O$12),0)</f>
        <v>0</v>
      </c>
      <c r="N32" s="122" t="n">
        <f aca="false">IF(N$5=$N$12,M28*$J$12*(1-$O$12),0)</f>
        <v>0</v>
      </c>
      <c r="O32" s="122" t="n">
        <f aca="false">IF(O$5=$N$12,N28*$J$12*(1-$O$12),0)</f>
        <v>0</v>
      </c>
      <c r="P32" s="123" t="n">
        <f aca="false">IF(P$5=$N$12,O28*$J$12*(1-$O$12),0)</f>
        <v>0</v>
      </c>
      <c r="Q32" s="123" t="n">
        <f aca="false">IF(Q$5=$N$12,P28*$J$12*(1-$O$12),0)</f>
        <v>0</v>
      </c>
      <c r="R32" s="123" t="n">
        <f aca="false">IF(R$5=$N$12,Q28*$J$12*(1-$O$12),0)</f>
        <v>0</v>
      </c>
      <c r="S32" s="123" t="n">
        <f aca="false">IF(S$5=$N$12,R28*$J$12*(1-$O$12),0)</f>
        <v>0</v>
      </c>
      <c r="T32" s="123" t="n">
        <f aca="false">IF(T$5=$N$12,S28*$J$12*(1-$O$12),0)</f>
        <v>0</v>
      </c>
      <c r="U32" s="123" t="n">
        <f aca="false">IF(U$5=$N$12,T28*$J$12*(1-$O$12),0)</f>
        <v>0</v>
      </c>
      <c r="V32" s="123" t="n">
        <f aca="false">IF(V$5=$N$12,U28*$J$12*(1-$O$12),0)</f>
        <v>0</v>
      </c>
      <c r="W32" s="123" t="n">
        <f aca="false">IF(W$5=$N$12,V28*$J$12*(1-$O$12),0)</f>
        <v>0</v>
      </c>
      <c r="X32" s="123" t="n">
        <f aca="false">IF(X$5=$N$12,W28*$J$12*(1-$O$12),0)</f>
        <v>0</v>
      </c>
      <c r="Y32" s="123" t="n">
        <f aca="false">IF(Y$5=$N$12,X28*$J$12*(1-$O$12),0)</f>
        <v>0</v>
      </c>
      <c r="Z32" s="123" t="n">
        <f aca="false">IF(Z$5=$N$12,Y28*$J$12*(1-$O$12),0)</f>
        <v>0</v>
      </c>
      <c r="AA32" s="123" t="n">
        <f aca="false">IF(AA$5=$N$12,Z28*$J$12*(1-$O$12),0)</f>
        <v>0</v>
      </c>
      <c r="AB32" s="123" t="n">
        <f aca="false">IF(AB$5=$N$12,AA28*$J$12*(1-$O$12),0)</f>
        <v>0</v>
      </c>
      <c r="AC32" s="123" t="n">
        <f aca="false">IF(AC$5=$N$12,AB28*$J$12*(1-$O$12),0)</f>
        <v>0</v>
      </c>
      <c r="AD32" s="123" t="n">
        <f aca="false">IF(AD$5=$N$12,AC28*$J$12*(1-$O$12),0)</f>
        <v>0</v>
      </c>
      <c r="AE32" s="123" t="n">
        <f aca="false">IF(AE$5=$N$12,AD28*$J$12*(1-$O$12),0)</f>
        <v>0</v>
      </c>
      <c r="AF32" s="123" t="n">
        <f aca="false">IF(AF$5=$N$12,AE28*$J$12*(1-$O$12),0)</f>
        <v>0</v>
      </c>
      <c r="AG32" s="123" t="n">
        <f aca="false">IF(AG$5=$N$12,AF28*$J$12*(1-$O$12),0)</f>
        <v>0</v>
      </c>
      <c r="AI32" s="123" t="n">
        <f aca="false">SUMIF($F$7:$AG$7,AI$7,$F32:$AG32)</f>
        <v>0</v>
      </c>
      <c r="AJ32" s="123" t="n">
        <f aca="false">SUMIF($F$7:$AG$7,AJ$7,$F32:$AG32)</f>
        <v>0</v>
      </c>
      <c r="AK32" s="123" t="n">
        <f aca="false">SUMIF($F$7:$AG$7,AK$7,$F32:$AG32)</f>
        <v>0</v>
      </c>
      <c r="AL32" s="123" t="n">
        <f aca="false">SUMIF($F$7:$AG$7,AL$7,$F32:$AG32)</f>
        <v>0</v>
      </c>
      <c r="AM32" s="123" t="n">
        <f aca="false">SUMIF($F$7:$AG$7,AM$7,$F32:$AG32)</f>
        <v>0</v>
      </c>
      <c r="AN32" s="123" t="n">
        <f aca="false">SUMIF($F$7:$AG$7,AN$7,$F32:$AG32)</f>
        <v>0</v>
      </c>
      <c r="AO32" s="123" t="n">
        <f aca="false">SUMIF($F$7:$AG$7,AO$7,$F32:$AG32)</f>
        <v>0</v>
      </c>
    </row>
    <row r="33" customFormat="false" ht="15" hidden="false" customHeight="false" outlineLevel="0" collapsed="false">
      <c r="A33" s="104" t="s">
        <v>2045</v>
      </c>
      <c r="B33" s="20" t="s">
        <v>995</v>
      </c>
      <c r="C33" s="20" t="s">
        <v>550</v>
      </c>
      <c r="D33" s="20"/>
      <c r="F33" s="137" t="n">
        <f aca="false">IF(F$5=$N$12,E28*$K$12/1000*$O$12,0)</f>
        <v>0</v>
      </c>
      <c r="G33" s="137" t="n">
        <f aca="false">IF(G$5=$N$12,F28*$K$12/1000*$O$12,0)</f>
        <v>0</v>
      </c>
      <c r="H33" s="137" t="n">
        <f aca="false">IF(H$5=$N$12,G28*$K$12/1000*$O$12,0)</f>
        <v>0</v>
      </c>
      <c r="I33" s="137" t="n">
        <f aca="false">IF(I$5=$N$12,H28*$K$12/1000*$O$12,0)</f>
        <v>0</v>
      </c>
      <c r="J33" s="137" t="n">
        <f aca="false">IF(J$5=$N$12,I28*$K$12/1000*$O$12,0)</f>
        <v>0</v>
      </c>
      <c r="K33" s="137" t="n">
        <f aca="false">IF(K$5=$N$12,J28*$K$12/1000*$O$12,0)</f>
        <v>0</v>
      </c>
      <c r="L33" s="137" t="n">
        <f aca="false">IF(L$5=$N$12,K28*$K$12/1000*$O$12,0)</f>
        <v>0</v>
      </c>
      <c r="M33" s="137" t="n">
        <f aca="false">IF(M$5=$N$12,L28*$K$12/1000*$O$12,0)</f>
        <v>0</v>
      </c>
      <c r="N33" s="137" t="n">
        <f aca="false">IF(N$5=$N$12,M28*$K$12/1000*$O$12,0)</f>
        <v>0</v>
      </c>
      <c r="O33" s="137" t="n">
        <f aca="false">IF(O$5=$N$12,N28*$K$12/1000*$O$12,0)</f>
        <v>0</v>
      </c>
      <c r="P33" s="42" t="n">
        <f aca="false">IF(P$5=$N$12,O28*$K$12/1000*$O$12,0)</f>
        <v>0</v>
      </c>
      <c r="Q33" s="42" t="n">
        <f aca="false">IF(Q$5=$N$12,P28*$K$12/1000*$O$12,0)</f>
        <v>0</v>
      </c>
      <c r="R33" s="42" t="n">
        <f aca="false">IF(R$5=$N$12,Q28*$K$12/1000*$O$12,0)</f>
        <v>0</v>
      </c>
      <c r="S33" s="42" t="n">
        <f aca="false">IF(S$5=$N$12,R28*$K$12/1000*$O$12,0)</f>
        <v>0</v>
      </c>
      <c r="T33" s="42" t="n">
        <f aca="false">IF(T$5=$N$12,S28*$K$12/1000*$O$12,0)</f>
        <v>0</v>
      </c>
      <c r="U33" s="42" t="n">
        <f aca="false">IF(U$5=$N$12,T28*$K$12/1000*$O$12,0)</f>
        <v>0</v>
      </c>
      <c r="V33" s="42" t="n">
        <f aca="false">IF(V$5=$N$12,U28*$K$12/1000*$O$12,0)</f>
        <v>0</v>
      </c>
      <c r="W33" s="42" t="n">
        <f aca="false">IF(W$5=$N$12,V28*$K$12/1000*$O$12,0)</f>
        <v>0</v>
      </c>
      <c r="X33" s="42" t="n">
        <f aca="false">IF(X$5=$N$12,W28*$K$12/1000*$O$12,0)</f>
        <v>0</v>
      </c>
      <c r="Y33" s="42" t="n">
        <f aca="false">IF(Y$5=$N$12,X28*$K$12/1000*$O$12,0)</f>
        <v>0</v>
      </c>
      <c r="Z33" s="42" t="n">
        <f aca="false">IF(Z$5=$N$12,Y28*$K$12/1000*$O$12,0)</f>
        <v>0</v>
      </c>
      <c r="AA33" s="42" t="n">
        <f aca="false">IF(AA$5=$N$12,Z28*$K$12/1000*$O$12,0)</f>
        <v>1.70067625</v>
      </c>
      <c r="AB33" s="42" t="n">
        <f aca="false">IF(AB$5=$N$12,AA28*$K$12/1000*$O$12,0)</f>
        <v>0</v>
      </c>
      <c r="AC33" s="42" t="n">
        <f aca="false">IF(AC$5=$N$12,AB28*$K$12/1000*$O$12,0)</f>
        <v>0</v>
      </c>
      <c r="AD33" s="42" t="n">
        <f aca="false">IF(AD$5=$N$12,AC28*$K$12/1000*$O$12,0)</f>
        <v>0</v>
      </c>
      <c r="AE33" s="42" t="n">
        <f aca="false">IF(AE$5=$N$12,AD28*$K$12/1000*$O$12,0)</f>
        <v>0</v>
      </c>
      <c r="AF33" s="42" t="n">
        <f aca="false">IF(AF$5=$N$12,AE28*$K$12/1000*$O$12,0)</f>
        <v>0</v>
      </c>
      <c r="AG33" s="42" t="n">
        <f aca="false">IF(AG$5=$N$12,AF28*$K$12/1000*$O$12,0)</f>
        <v>0</v>
      </c>
      <c r="AI33" s="42" t="n">
        <f aca="false">SUMIF($F$7:$AG$7,AI$7,$F33:$AG33)</f>
        <v>0</v>
      </c>
      <c r="AJ33" s="42" t="n">
        <f aca="false">SUMIF($F$7:$AG$7,AJ$7,$F33:$AG33)</f>
        <v>0</v>
      </c>
      <c r="AK33" s="42" t="n">
        <f aca="false">SUMIF($F$7:$AG$7,AK$7,$F33:$AG33)</f>
        <v>0</v>
      </c>
      <c r="AL33" s="42" t="n">
        <f aca="false">SUMIF($F$7:$AG$7,AL$7,$F33:$AG33)</f>
        <v>0</v>
      </c>
      <c r="AM33" s="42" t="n">
        <f aca="false">SUMIF($F$7:$AG$7,AM$7,$F33:$AG33)</f>
        <v>0</v>
      </c>
      <c r="AN33" s="42" t="n">
        <f aca="false">SUMIF($F$7:$AG$7,AN$7,$F33:$AG33)</f>
        <v>1.70067625</v>
      </c>
      <c r="AO33" s="42" t="n">
        <f aca="false">SUMIF($F$7:$AG$7,AO$7,$F33:$AG33)</f>
        <v>0</v>
      </c>
    </row>
    <row r="34" customFormat="false" ht="15" hidden="false" customHeight="false" outlineLevel="0" collapsed="false">
      <c r="A34" s="104" t="s">
        <v>2046</v>
      </c>
      <c r="B34" s="20" t="s">
        <v>995</v>
      </c>
      <c r="C34" s="20" t="s">
        <v>495</v>
      </c>
      <c r="D34" s="20"/>
      <c r="F34" s="137" t="n">
        <f aca="false">IF(DilMethod=3,MAX(0,F28*$K$12/1000*DilPx-F31)/DilPx,F28*$K$12/1000*$P$12)</f>
        <v>0</v>
      </c>
      <c r="G34" s="137" t="n">
        <f aca="false">IF(DilMethod=3,MAX(0,G28*$K$12/1000*DilPx-G31)/DilPx,G28*$K$12/1000*$P$12)</f>
        <v>0</v>
      </c>
      <c r="H34" s="137" t="n">
        <f aca="false">IF(DilMethod=3,MAX(0,H28*$K$12/1000*DilPx-H31)/DilPx,H28*$K$12/1000*$P$12)</f>
        <v>0</v>
      </c>
      <c r="I34" s="137" t="n">
        <f aca="false">IF(DilMethod=3,MAX(0,I28*$K$12/1000*DilPx-I31)/DilPx,I28*$K$12/1000*$P$12)</f>
        <v>0</v>
      </c>
      <c r="J34" s="137" t="n">
        <f aca="false">IF(DilMethod=3,MAX(0,J28*$K$12/1000*DilPx-J31)/DilPx,J28*$K$12/1000*$P$12)</f>
        <v>0</v>
      </c>
      <c r="K34" s="137" t="n">
        <f aca="false">IF(DilMethod=3,MAX(0,K28*$K$12/1000*DilPx-K31)/DilPx,K28*$K$12/1000*$P$12)</f>
        <v>0</v>
      </c>
      <c r="L34" s="137" t="n">
        <f aca="false">IF(DilMethod=3,MAX(0,L28*$K$12/1000*DilPx-L31)/DilPx,L28*$K$12/1000*$P$12)</f>
        <v>0</v>
      </c>
      <c r="M34" s="137" t="n">
        <f aca="false">IF(DilMethod=3,MAX(0,M28*$K$12/1000*DilPx-M31)/DilPx,M28*$K$12/1000*$P$12)</f>
        <v>0</v>
      </c>
      <c r="N34" s="137" t="n">
        <f aca="false">IF(DilMethod=3,MAX(0,N28*$K$12/1000*DilPx-N31)/DilPx,N28*$K$12/1000*$P$12)</f>
        <v>0</v>
      </c>
      <c r="O34" s="137" t="n">
        <f aca="false">IF(DilMethod=3,MAX(0,O28*$K$12/1000*DilPx-O31)/DilPx,O28*$K$12/1000*$P$12)</f>
        <v>0</v>
      </c>
      <c r="P34" s="42" t="n">
        <f aca="false">IF(DilMethod=3,MAX(0,P28*$K$12/1000*DilPx-P31)/DilPx,P28*$K$12/1000*$P$12)</f>
        <v>0</v>
      </c>
      <c r="Q34" s="42" t="n">
        <f aca="false">IF(DilMethod=3,MAX(0,Q28*$K$12/1000*DilPx-Q31)/DilPx,Q28*$K$12/1000*$P$12)</f>
        <v>0</v>
      </c>
      <c r="R34" s="42" t="n">
        <f aca="false">IF(DilMethod=3,MAX(0,R28*$K$12/1000*DilPx-R31)/DilPx,R28*$K$12/1000*$P$12)</f>
        <v>0</v>
      </c>
      <c r="S34" s="42" t="n">
        <f aca="false">IF(DilMethod=3,MAX(0,S28*$K$12/1000*DilPx-S31)/DilPx,S28*$K$12/1000*$P$12)</f>
        <v>0</v>
      </c>
      <c r="T34" s="42" t="n">
        <f aca="false">IF(DilMethod=3,MAX(0,T28*$K$12/1000*DilPx-T31)/DilPx,T28*$K$12/1000*$P$12)</f>
        <v>0</v>
      </c>
      <c r="U34" s="42" t="n">
        <f aca="false">IF(DilMethod=3,MAX(0,U28*$K$12/1000*DilPx-U31)/DilPx,U28*$K$12/1000*$P$12)</f>
        <v>0</v>
      </c>
      <c r="V34" s="42" t="n">
        <f aca="false">IF(DilMethod=3,MAX(0,V28*$K$12/1000*DilPx-V31)/DilPx,V28*$K$12/1000*$P$12)</f>
        <v>0</v>
      </c>
      <c r="W34" s="42" t="n">
        <f aca="false">IF(DilMethod=3,MAX(0,W28*$K$12/1000*DilPx-W31)/DilPx,W28*$K$12/1000*$P$12)</f>
        <v>0</v>
      </c>
      <c r="X34" s="42" t="n">
        <f aca="false">IF(DilMethod=3,MAX(0,X28*$K$12/1000*DilPx-X31)/DilPx,X28*$K$12/1000*$P$12)</f>
        <v>0</v>
      </c>
      <c r="Y34" s="42" t="n">
        <f aca="false">IF(DilMethod=3,MAX(0,Y28*$K$12/1000*DilPx-Y31)/DilPx,Y28*$K$12/1000*$P$12)</f>
        <v>0</v>
      </c>
      <c r="Z34" s="42" t="n">
        <f aca="false">IF(DilMethod=3,MAX(0,Z28*$K$12/1000*DilPx-Z31)/DilPx,Z28*$K$12/1000*$P$12)</f>
        <v>0</v>
      </c>
      <c r="AA34" s="42" t="n">
        <f aca="false">IF(DilMethod=3,MAX(0,AA28*$K$12/1000*DilPx-AA31)/DilPx,AA28*$K$12/1000*$P$12)</f>
        <v>0</v>
      </c>
      <c r="AB34" s="42" t="n">
        <f aca="false">IF(DilMethod=3,MAX(0,AB28*$K$12/1000*DilPx-AB31)/DilPx,AB28*$K$12/1000*$P$12)</f>
        <v>0</v>
      </c>
      <c r="AC34" s="42" t="n">
        <f aca="false">IF(DilMethod=3,MAX(0,AC28*$K$12/1000*DilPx-AC31)/DilPx,AC28*$K$12/1000*$P$12)</f>
        <v>0</v>
      </c>
      <c r="AD34" s="42" t="n">
        <f aca="false">IF(DilMethod=3,MAX(0,AD28*$K$12/1000*DilPx-AD31)/DilPx,AD28*$K$12/1000*$P$12)</f>
        <v>0</v>
      </c>
      <c r="AE34" s="42" t="n">
        <f aca="false">IF(DilMethod=3,MAX(0,AE28*$K$12/1000*DilPx-AE31)/DilPx,AE28*$K$12/1000*$P$12)</f>
        <v>0</v>
      </c>
      <c r="AF34" s="42" t="n">
        <f aca="false">IF(DilMethod=3,MAX(0,AF28*$K$12/1000*DilPx-AF31)/DilPx,AF28*$K$12/1000*$P$12)</f>
        <v>0</v>
      </c>
      <c r="AG34" s="42" t="n">
        <f aca="false">IF(DilMethod=3,MAX(0,AG28*$K$12/1000*DilPx-AG31)/DilPx,AG28*$K$12/1000*$P$12)</f>
        <v>0</v>
      </c>
      <c r="AI34" s="42" t="n">
        <f aca="false">INDEX($F34:$AG34,1,MATCH(AI$7,$F$7:$AG$7,1))</f>
        <v>0</v>
      </c>
      <c r="AJ34" s="42" t="n">
        <f aca="false">INDEX($F34:$AG34,1,MATCH(AJ$7,$F$7:$AG$7,1))</f>
        <v>0</v>
      </c>
      <c r="AK34" s="42" t="n">
        <f aca="false">INDEX($F34:$AG34,1,MATCH(AK$7,$F$7:$AG$7,1))</f>
        <v>0</v>
      </c>
      <c r="AL34" s="42" t="n">
        <f aca="false">INDEX($F34:$AG34,1,MATCH(AL$7,$F$7:$AG$7,1))</f>
        <v>0</v>
      </c>
      <c r="AM34" s="42" t="n">
        <f aca="false">INDEX($F34:$AG34,1,MATCH(AM$7,$F$7:$AG$7,1))</f>
        <v>0</v>
      </c>
      <c r="AN34" s="42" t="n">
        <f aca="false">INDEX($F34:$AG34,1,MATCH(AN$7,$F$7:$AG$7,1))</f>
        <v>0</v>
      </c>
      <c r="AO34" s="42" t="n">
        <f aca="false">INDEX($F34:$AG34,1,MATCH(AO$7,$F$7:$AG$7,1))</f>
        <v>0</v>
      </c>
    </row>
    <row r="35" customFormat="false" ht="15" hidden="false" customHeight="false" outlineLevel="0" collapsed="false">
      <c r="A35" s="104" t="s">
        <v>2047</v>
      </c>
      <c r="B35" s="20" t="s">
        <v>561</v>
      </c>
      <c r="C35" s="20" t="s">
        <v>495</v>
      </c>
      <c r="D35" s="20"/>
      <c r="F35" s="122" t="n">
        <f aca="false">F31*IF(DilMethod=3,1,1-$P$12)</f>
        <v>0</v>
      </c>
      <c r="G35" s="122" t="n">
        <f aca="false">G31*IF(DilMethod=3,1,1-$P$12)</f>
        <v>0</v>
      </c>
      <c r="H35" s="122" t="n">
        <f aca="false">H31*IF(DilMethod=3,1,1-$P$12)</f>
        <v>0</v>
      </c>
      <c r="I35" s="122" t="n">
        <f aca="false">I31*IF(DilMethod=3,1,1-$P$12)</f>
        <v>0</v>
      </c>
      <c r="J35" s="122" t="n">
        <f aca="false">J31*IF(DilMethod=3,1,1-$P$12)</f>
        <v>0</v>
      </c>
      <c r="K35" s="122" t="n">
        <f aca="false">K31*IF(DilMethod=3,1,1-$P$12)</f>
        <v>489.215854495539</v>
      </c>
      <c r="L35" s="122" t="n">
        <f aca="false">L31*IF(DilMethod=3,1,1-$P$12)</f>
        <v>495.530199039121</v>
      </c>
      <c r="M35" s="122" t="n">
        <f aca="false">M31*IF(DilMethod=3,1,1-$P$12)</f>
        <v>501.844543582704</v>
      </c>
      <c r="N35" s="122" t="n">
        <f aca="false">N31*IF(DilMethod=3,1,1-$P$12)</f>
        <v>508.021619766644</v>
      </c>
      <c r="O35" s="122" t="n">
        <f aca="false">O31*IF(DilMethod=3,1,1-$P$12)</f>
        <v>514.267330130405</v>
      </c>
      <c r="P35" s="123" t="n">
        <f aca="false">P31*IF(DilMethod=3,1,1-$P$12)</f>
        <v>93.4377364799465</v>
      </c>
      <c r="Q35" s="123" t="n">
        <f aca="false">Q31*IF(DilMethod=3,1,1-$P$12)</f>
        <v>94.5710803723844</v>
      </c>
      <c r="R35" s="123" t="n">
        <f aca="false">R31*IF(DilMethod=3,1,1-$P$12)</f>
        <v>95.6797863541172</v>
      </c>
      <c r="S35" s="123" t="n">
        <f aca="false">S31*IF(DilMethod=3,1,1-$P$12)</f>
        <v>96.8008112912025</v>
      </c>
      <c r="T35" s="123" t="n">
        <f aca="false">T31*IF(DilMethod=3,1,1-$P$12)</f>
        <v>97.9341551836404</v>
      </c>
      <c r="U35" s="123" t="n">
        <f aca="false">U31*IF(DilMethod=3,1,1-$P$12)</f>
        <v>99.0674990760784</v>
      </c>
      <c r="V35" s="123" t="n">
        <f aca="false">V31*IF(DilMethod=3,1,1-$P$12)</f>
        <v>100.188524013164</v>
      </c>
      <c r="W35" s="123" t="n">
        <f aca="false">W31*IF(DilMethod=3,1,1-$P$12)</f>
        <v>101.309548950249</v>
      </c>
      <c r="X35" s="123" t="n">
        <f aca="false">X31*IF(DilMethod=3,1,1-$P$12)</f>
        <v>102.442892842687</v>
      </c>
      <c r="Y35" s="123" t="n">
        <f aca="false">Y31*IF(DilMethod=3,1,1-$P$12)</f>
        <v>103.576236735125</v>
      </c>
      <c r="Z35" s="123" t="n">
        <f aca="false">Z31*IF(DilMethod=3,1,1-$P$12)</f>
        <v>104.684942716858</v>
      </c>
      <c r="AA35" s="123" t="n">
        <f aca="false">AA31*IF(DilMethod=3,1,1-$P$12)</f>
        <v>0</v>
      </c>
      <c r="AB35" s="123" t="n">
        <f aca="false">AB31*IF(DilMethod=3,1,1-$P$12)</f>
        <v>0</v>
      </c>
      <c r="AC35" s="123" t="n">
        <f aca="false">AC31*IF(DilMethod=3,1,1-$P$12)</f>
        <v>0</v>
      </c>
      <c r="AD35" s="123" t="n">
        <f aca="false">AD31*IF(DilMethod=3,1,1-$P$12)</f>
        <v>0</v>
      </c>
      <c r="AE35" s="123" t="n">
        <f aca="false">AE31*IF(DilMethod=3,1,1-$P$12)</f>
        <v>0</v>
      </c>
      <c r="AF35" s="123" t="n">
        <f aca="false">AF31*IF(DilMethod=3,1,1-$P$12)</f>
        <v>0</v>
      </c>
      <c r="AG35" s="123" t="n">
        <f aca="false">AG31*IF(DilMethod=3,1,1-$P$12)</f>
        <v>0</v>
      </c>
      <c r="AI35" s="123" t="n">
        <f aca="false">INDEX($F35:$AG35,1,MATCH(AI$7,$F$7:$AG$7,1))</f>
        <v>0</v>
      </c>
      <c r="AJ35" s="123" t="n">
        <f aca="false">INDEX($F35:$AG35,1,MATCH(AJ$7,$F$7:$AG$7,1))</f>
        <v>501.844543582704</v>
      </c>
      <c r="AK35" s="123" t="n">
        <f aca="false">INDEX($F35:$AG35,1,MATCH(AK$7,$F$7:$AG$7,1))</f>
        <v>94.5710803723844</v>
      </c>
      <c r="AL35" s="123" t="n">
        <f aca="false">INDEX($F35:$AG35,1,MATCH(AL$7,$F$7:$AG$7,1))</f>
        <v>99.0674990760784</v>
      </c>
      <c r="AM35" s="123" t="n">
        <f aca="false">INDEX($F35:$AG35,1,MATCH(AM$7,$F$7:$AG$7,1))</f>
        <v>103.576236735125</v>
      </c>
      <c r="AN35" s="123" t="n">
        <f aca="false">INDEX($F35:$AG35,1,MATCH(AN$7,$F$7:$AG$7,1))</f>
        <v>0</v>
      </c>
      <c r="AO35" s="123" t="n">
        <f aca="false">INDEX($F35:$AG35,1,MATCH(AO$7,$F$7:$AG$7,1))</f>
        <v>0</v>
      </c>
    </row>
    <row r="36" customFormat="false" ht="15" hidden="false" customHeight="false" outlineLevel="0" collapsed="false">
      <c r="A36" s="104" t="s">
        <v>2048</v>
      </c>
      <c r="B36" s="20" t="s">
        <v>561</v>
      </c>
      <c r="C36" s="20" t="s">
        <v>550</v>
      </c>
      <c r="D36" s="20"/>
      <c r="F36" s="122" t="n">
        <f aca="false">IF(AND(F$5&gt;=$M$13,F$5&lt;$N$13),$E$13-$F$13-IF(F$5&gt;=$H$13,$G$13,0),0)*($H$13&lt;&gt;0)+IF(AND(F$5&gt;=$M$13,F$5&lt;$N$13),$E$13-$F$13,0)*($H$13=0)</f>
        <v>0</v>
      </c>
      <c r="G36" s="122" t="n">
        <f aca="false">IF(AND(G$5&gt;=$M$13,G$5&lt;$N$13),$E$13-$F$13-IF(G$5&gt;=$H$13,$G$13,0),0)*($H$13&lt;&gt;0)+IF(AND(G$5&gt;=$M$13,G$5&lt;$N$13),$E$13-$F$13,0)*($H$13=0)</f>
        <v>0</v>
      </c>
      <c r="H36" s="122" t="n">
        <f aca="false">IF(AND(H$5&gt;=$M$13,H$5&lt;$N$13),$E$13-$F$13-IF(H$5&gt;=$H$13,$G$13,0),0)*($H$13&lt;&gt;0)+IF(AND(H$5&gt;=$M$13,H$5&lt;$N$13),$E$13-$F$13,0)*($H$13=0)</f>
        <v>0</v>
      </c>
      <c r="I36" s="122" t="n">
        <f aca="false">IF(AND(I$5&gt;=$M$13,I$5&lt;$N$13),$E$13-$F$13-IF(I$5&gt;=$H$13,$G$13,0),0)*($H$13&lt;&gt;0)+IF(AND(I$5&gt;=$M$13,I$5&lt;$N$13),$E$13-$F$13,0)*($H$13=0)</f>
        <v>0</v>
      </c>
      <c r="J36" s="122" t="n">
        <f aca="false">IF(AND(J$5&gt;=$M$13,J$5&lt;$N$13),$E$13-$F$13-IF(J$5&gt;=$H$13,$G$13,0),0)*($H$13&lt;&gt;0)+IF(AND(J$5&gt;=$M$13,J$5&lt;$N$13),$E$13-$F$13,0)*($H$13=0)</f>
        <v>0</v>
      </c>
      <c r="K36" s="122" t="n">
        <f aca="false">IF(AND(K$5&gt;=$M$13,K$5&lt;$N$13),$E$13-$F$13-IF(K$5&gt;=$H$13,$G$13,0),0)*($H$13&lt;&gt;0)+IF(AND(K$5&gt;=$M$13,K$5&lt;$N$13),$E$13-$F$13,0)*($H$13=0)</f>
        <v>487.5</v>
      </c>
      <c r="L36" s="122" t="n">
        <f aca="false">IF(AND(L$5&gt;=$M$13,L$5&lt;$N$13),$E$13-$F$13-IF(L$5&gt;=$H$13,$G$13,0),0)*($H$13&lt;&gt;0)+IF(AND(L$5&gt;=$M$13,L$5&lt;$N$13),$E$13-$F$13,0)*($H$13=0)</f>
        <v>487.5</v>
      </c>
      <c r="M36" s="122" t="n">
        <f aca="false">IF(AND(M$5&gt;=$M$13,M$5&lt;$N$13),$E$13-$F$13-IF(M$5&gt;=$H$13,$G$13,0),0)*($H$13&lt;&gt;0)+IF(AND(M$5&gt;=$M$13,M$5&lt;$N$13),$E$13-$F$13,0)*($H$13=0)</f>
        <v>487.5</v>
      </c>
      <c r="N36" s="122" t="n">
        <f aca="false">IF(AND(N$5&gt;=$M$13,N$5&lt;$N$13),$E$13-$F$13-IF(N$5&gt;=$H$13,$G$13,0),0)*($H$13&lt;&gt;0)+IF(AND(N$5&gt;=$M$13,N$5&lt;$N$13),$E$13-$F$13,0)*($H$13=0)</f>
        <v>487.5</v>
      </c>
      <c r="O36" s="122" t="n">
        <f aca="false">IF(AND(O$5&gt;=$M$13,O$5&lt;$N$13),$E$13-$F$13-IF(O$5&gt;=$H$13,$G$13,0),0)*($H$13&lt;&gt;0)+IF(AND(O$5&gt;=$M$13,O$5&lt;$N$13),$E$13-$F$13,0)*($H$13=0)</f>
        <v>487.5</v>
      </c>
      <c r="P36" s="123" t="n">
        <f aca="false">IF(AND(P$5&gt;=$M$13,P$5&lt;$N$13),$E$13-$F$13-IF(P$5&gt;=$H$13,$G$13,0),0)*($H$13&lt;&gt;0)+IF(AND(P$5&gt;=$M$13,P$5&lt;$N$13),$E$13-$F$13,0)*($H$13=0)</f>
        <v>87.5</v>
      </c>
      <c r="Q36" s="123" t="n">
        <f aca="false">IF(AND(Q$5&gt;=$M$13,Q$5&lt;$N$13),$E$13-$F$13-IF(Q$5&gt;=$H$13,$G$13,0),0)*($H$13&lt;&gt;0)+IF(AND(Q$5&gt;=$M$13,Q$5&lt;$N$13),$E$13-$F$13,0)*($H$13=0)</f>
        <v>87.5</v>
      </c>
      <c r="R36" s="123" t="n">
        <f aca="false">IF(AND(R$5&gt;=$M$13,R$5&lt;$N$13),$E$13-$F$13-IF(R$5&gt;=$H$13,$G$13,0),0)*($H$13&lt;&gt;0)+IF(AND(R$5&gt;=$M$13,R$5&lt;$N$13),$E$13-$F$13,0)*($H$13=0)</f>
        <v>87.5</v>
      </c>
      <c r="S36" s="123" t="n">
        <f aca="false">IF(AND(S$5&gt;=$M$13,S$5&lt;$N$13),$E$13-$F$13-IF(S$5&gt;=$H$13,$G$13,0),0)*($H$13&lt;&gt;0)+IF(AND(S$5&gt;=$M$13,S$5&lt;$N$13),$E$13-$F$13,0)*($H$13=0)</f>
        <v>87.5</v>
      </c>
      <c r="T36" s="123" t="n">
        <f aca="false">IF(AND(T$5&gt;=$M$13,T$5&lt;$N$13),$E$13-$F$13-IF(T$5&gt;=$H$13,$G$13,0),0)*($H$13&lt;&gt;0)+IF(AND(T$5&gt;=$M$13,T$5&lt;$N$13),$E$13-$F$13,0)*($H$13=0)</f>
        <v>87.5</v>
      </c>
      <c r="U36" s="123" t="n">
        <f aca="false">IF(AND(U$5&gt;=$M$13,U$5&lt;$N$13),$E$13-$F$13-IF(U$5&gt;=$H$13,$G$13,0),0)*($H$13&lt;&gt;0)+IF(AND(U$5&gt;=$M$13,U$5&lt;$N$13),$E$13-$F$13,0)*($H$13=0)</f>
        <v>87.5</v>
      </c>
      <c r="V36" s="123" t="n">
        <f aca="false">IF(AND(V$5&gt;=$M$13,V$5&lt;$N$13),$E$13-$F$13-IF(V$5&gt;=$H$13,$G$13,0),0)*($H$13&lt;&gt;0)+IF(AND(V$5&gt;=$M$13,V$5&lt;$N$13),$E$13-$F$13,0)*($H$13=0)</f>
        <v>87.5</v>
      </c>
      <c r="W36" s="123" t="n">
        <f aca="false">IF(AND(W$5&gt;=$M$13,W$5&lt;$N$13),$E$13-$F$13-IF(W$5&gt;=$H$13,$G$13,0),0)*($H$13&lt;&gt;0)+IF(AND(W$5&gt;=$M$13,W$5&lt;$N$13),$E$13-$F$13,0)*($H$13=0)</f>
        <v>87.5</v>
      </c>
      <c r="X36" s="123" t="n">
        <f aca="false">IF(AND(X$5&gt;=$M$13,X$5&lt;$N$13),$E$13-$F$13-IF(X$5&gt;=$H$13,$G$13,0),0)*($H$13&lt;&gt;0)+IF(AND(X$5&gt;=$M$13,X$5&lt;$N$13),$E$13-$F$13,0)*($H$13=0)</f>
        <v>87.5</v>
      </c>
      <c r="Y36" s="123" t="n">
        <f aca="false">IF(AND(Y$5&gt;=$M$13,Y$5&lt;$N$13),$E$13-$F$13-IF(Y$5&gt;=$H$13,$G$13,0),0)*($H$13&lt;&gt;0)+IF(AND(Y$5&gt;=$M$13,Y$5&lt;$N$13),$E$13-$F$13,0)*($H$13=0)</f>
        <v>87.5</v>
      </c>
      <c r="Z36" s="123" t="n">
        <f aca="false">IF(AND(Z$5&gt;=$M$13,Z$5&lt;$N$13),$E$13-$F$13-IF(Z$5&gt;=$H$13,$G$13,0),0)*($H$13&lt;&gt;0)+IF(AND(Z$5&gt;=$M$13,Z$5&lt;$N$13),$E$13-$F$13,0)*($H$13=0)</f>
        <v>87.5</v>
      </c>
      <c r="AA36" s="123" t="n">
        <f aca="false">IF(AND(AA$5&gt;=$M$13,AA$5&lt;$N$13),$E$13-$F$13-IF(AA$5&gt;=$H$13,$G$13,0),0)*($H$13&lt;&gt;0)+IF(AND(AA$5&gt;=$M$13,AA$5&lt;$N$13),$E$13-$F$13,0)*($H$13=0)</f>
        <v>87.5</v>
      </c>
      <c r="AB36" s="123" t="n">
        <f aca="false">IF(AND(AB$5&gt;=$M$13,AB$5&lt;$N$13),$E$13-$F$13-IF(AB$5&gt;=$H$13,$G$13,0),0)*($H$13&lt;&gt;0)+IF(AND(AB$5&gt;=$M$13,AB$5&lt;$N$13),$E$13-$F$13,0)*($H$13=0)</f>
        <v>87.5</v>
      </c>
      <c r="AC36" s="123" t="n">
        <f aca="false">IF(AND(AC$5&gt;=$M$13,AC$5&lt;$N$13),$E$13-$F$13-IF(AC$5&gt;=$H$13,$G$13,0),0)*($H$13&lt;&gt;0)+IF(AND(AC$5&gt;=$M$13,AC$5&lt;$N$13),$E$13-$F$13,0)*($H$13=0)</f>
        <v>87.5</v>
      </c>
      <c r="AD36" s="123" t="n">
        <f aca="false">IF(AND(AD$5&gt;=$M$13,AD$5&lt;$N$13),$E$13-$F$13-IF(AD$5&gt;=$H$13,$G$13,0),0)*($H$13&lt;&gt;0)+IF(AND(AD$5&gt;=$M$13,AD$5&lt;$N$13),$E$13-$F$13,0)*($H$13=0)</f>
        <v>87.5</v>
      </c>
      <c r="AE36" s="123" t="n">
        <f aca="false">IF(AND(AE$5&gt;=$M$13,AE$5&lt;$N$13),$E$13-$F$13-IF(AE$5&gt;=$H$13,$G$13,0),0)*($H$13&lt;&gt;0)+IF(AND(AE$5&gt;=$M$13,AE$5&lt;$N$13),$E$13-$F$13,0)*($H$13=0)</f>
        <v>87.5</v>
      </c>
      <c r="AF36" s="123" t="n">
        <f aca="false">IF(AND(AF$5&gt;=$M$13,AF$5&lt;$N$13),$E$13-$F$13-IF(AF$5&gt;=$H$13,$G$13,0),0)*($H$13&lt;&gt;0)+IF(AND(AF$5&gt;=$M$13,AF$5&lt;$N$13),$E$13-$F$13,0)*($H$13=0)</f>
        <v>87.5</v>
      </c>
      <c r="AG36" s="123" t="n">
        <f aca="false">IF(AND(AG$5&gt;=$M$13,AG$5&lt;$N$13),$E$13-$F$13-IF(AG$5&gt;=$H$13,$G$13,0),0)*($H$13&lt;&gt;0)+IF(AND(AG$5&gt;=$M$13,AG$5&lt;$N$13),$E$13-$F$13,0)*($H$13=0)</f>
        <v>87.5</v>
      </c>
      <c r="AI36" s="123" t="n">
        <f aca="false">INDEX($F36:$AG36,1,MATCH(AI$7,$F$7:$AG$7,1))</f>
        <v>0</v>
      </c>
      <c r="AJ36" s="123" t="n">
        <f aca="false">INDEX($F36:$AG36,1,MATCH(AJ$7,$F$7:$AG$7,1))</f>
        <v>487.5</v>
      </c>
      <c r="AK36" s="123" t="n">
        <f aca="false">INDEX($F36:$AG36,1,MATCH(AK$7,$F$7:$AG$7,1))</f>
        <v>87.5</v>
      </c>
      <c r="AL36" s="123" t="n">
        <f aca="false">INDEX($F36:$AG36,1,MATCH(AL$7,$F$7:$AG$7,1))</f>
        <v>87.5</v>
      </c>
      <c r="AM36" s="123" t="n">
        <f aca="false">INDEX($F36:$AG36,1,MATCH(AM$7,$F$7:$AG$7,1))</f>
        <v>87.5</v>
      </c>
      <c r="AN36" s="123" t="n">
        <f aca="false">INDEX($F36:$AG36,1,MATCH(AN$7,$F$7:$AG$7,1))</f>
        <v>87.5</v>
      </c>
      <c r="AO36" s="123" t="n">
        <f aca="false">INDEX($F36:$AG36,1,MATCH(AO$7,$F$7:$AG$7,1))</f>
        <v>87.5</v>
      </c>
    </row>
    <row r="37" customFormat="false" ht="15" hidden="false" customHeight="false" outlineLevel="0" collapsed="false">
      <c r="A37" s="104" t="s">
        <v>2049</v>
      </c>
      <c r="B37" s="20" t="s">
        <v>561</v>
      </c>
      <c r="C37" s="20" t="s">
        <v>550</v>
      </c>
      <c r="D37" s="20"/>
      <c r="F37" s="122" t="n">
        <f aca="false">F36*$C$13/4</f>
        <v>0</v>
      </c>
      <c r="G37" s="122" t="n">
        <f aca="false">G36*$C$13/4</f>
        <v>0</v>
      </c>
      <c r="H37" s="122" t="n">
        <f aca="false">H36*$C$13/4</f>
        <v>0</v>
      </c>
      <c r="I37" s="122" t="n">
        <f aca="false">I36*$C$13/4</f>
        <v>0</v>
      </c>
      <c r="J37" s="122" t="n">
        <f aca="false">J36*$C$13/4</f>
        <v>0</v>
      </c>
      <c r="K37" s="122" t="n">
        <f aca="false">K36*$C$13/4</f>
        <v>3.65625</v>
      </c>
      <c r="L37" s="122" t="n">
        <f aca="false">L36*$C$13/4</f>
        <v>3.65625</v>
      </c>
      <c r="M37" s="122" t="n">
        <f aca="false">M36*$C$13/4</f>
        <v>3.65625</v>
      </c>
      <c r="N37" s="122" t="n">
        <f aca="false">N36*$C$13/4</f>
        <v>3.65625</v>
      </c>
      <c r="O37" s="122" t="n">
        <f aca="false">O36*$C$13/4</f>
        <v>3.65625</v>
      </c>
      <c r="P37" s="123" t="n">
        <f aca="false">P36*$C$13/4</f>
        <v>0.65625</v>
      </c>
      <c r="Q37" s="123" t="n">
        <f aca="false">Q36*$C$13/4</f>
        <v>0.65625</v>
      </c>
      <c r="R37" s="123" t="n">
        <f aca="false">R36*$C$13/4</f>
        <v>0.65625</v>
      </c>
      <c r="S37" s="123" t="n">
        <f aca="false">S36*$C$13/4</f>
        <v>0.65625</v>
      </c>
      <c r="T37" s="123" t="n">
        <f aca="false">T36*$C$13/4</f>
        <v>0.65625</v>
      </c>
      <c r="U37" s="123" t="n">
        <f aca="false">U36*$C$13/4</f>
        <v>0.65625</v>
      </c>
      <c r="V37" s="123" t="n">
        <f aca="false">V36*$C$13/4</f>
        <v>0.65625</v>
      </c>
      <c r="W37" s="123" t="n">
        <f aca="false">W36*$C$13/4</f>
        <v>0.65625</v>
      </c>
      <c r="X37" s="123" t="n">
        <f aca="false">X36*$C$13/4</f>
        <v>0.65625</v>
      </c>
      <c r="Y37" s="123" t="n">
        <f aca="false">Y36*$C$13/4</f>
        <v>0.65625</v>
      </c>
      <c r="Z37" s="123" t="n">
        <f aca="false">Z36*$C$13/4</f>
        <v>0.65625</v>
      </c>
      <c r="AA37" s="123" t="n">
        <f aca="false">AA36*$C$13/4</f>
        <v>0.65625</v>
      </c>
      <c r="AB37" s="123" t="n">
        <f aca="false">AB36*$C$13/4</f>
        <v>0.65625</v>
      </c>
      <c r="AC37" s="123" t="n">
        <f aca="false">AC36*$C$13/4</f>
        <v>0.65625</v>
      </c>
      <c r="AD37" s="123" t="n">
        <f aca="false">AD36*$C$13/4</f>
        <v>0.65625</v>
      </c>
      <c r="AE37" s="123" t="n">
        <f aca="false">AE36*$C$13/4</f>
        <v>0.65625</v>
      </c>
      <c r="AF37" s="123" t="n">
        <f aca="false">AF36*$C$13/4</f>
        <v>0.65625</v>
      </c>
      <c r="AG37" s="123" t="n">
        <f aca="false">AG36*$C$13/4</f>
        <v>0.65625</v>
      </c>
      <c r="AI37" s="123" t="n">
        <f aca="false">SUMIF($F$7:$AG$7,AI$7,$F37:$AG37)</f>
        <v>0</v>
      </c>
      <c r="AJ37" s="123" t="n">
        <f aca="false">SUMIF($F$7:$AG$7,AJ$7,$F37:$AG37)</f>
        <v>10.96875</v>
      </c>
      <c r="AK37" s="123" t="n">
        <f aca="false">SUMIF($F$7:$AG$7,AK$7,$F37:$AG37)</f>
        <v>8.625</v>
      </c>
      <c r="AL37" s="123" t="n">
        <f aca="false">SUMIF($F$7:$AG$7,AL$7,$F37:$AG37)</f>
        <v>2.625</v>
      </c>
      <c r="AM37" s="123" t="n">
        <f aca="false">SUMIF($F$7:$AG$7,AM$7,$F37:$AG37)</f>
        <v>2.625</v>
      </c>
      <c r="AN37" s="123" t="n">
        <f aca="false">SUMIF($F$7:$AG$7,AN$7,$F37:$AG37)</f>
        <v>2.625</v>
      </c>
      <c r="AO37" s="123" t="n">
        <f aca="false">SUMIF($F$7:$AG$7,AO$7,$F37:$AG37)</f>
        <v>2.625</v>
      </c>
    </row>
    <row r="38" customFormat="false" ht="15" hidden="false" customHeight="false" outlineLevel="0" collapsed="false">
      <c r="A38" s="104" t="s">
        <v>2050</v>
      </c>
      <c r="B38" s="20" t="s">
        <v>561</v>
      </c>
      <c r="C38" s="20" t="s">
        <v>550</v>
      </c>
      <c r="D38" s="20"/>
      <c r="F38" s="122" t="n">
        <f aca="false">F36*($J$13-1)/(($D$13-$B$13)/91.3125)</f>
        <v>0</v>
      </c>
      <c r="G38" s="122" t="n">
        <f aca="false">G36*($J$13-1)/(($D$13-$B$13)/91.3125)</f>
        <v>0</v>
      </c>
      <c r="H38" s="122" t="n">
        <f aca="false">H36*($J$13-1)/(($D$13-$B$13)/91.3125)</f>
        <v>0</v>
      </c>
      <c r="I38" s="122" t="n">
        <f aca="false">I36*($J$13-1)/(($D$13-$B$13)/91.3125)</f>
        <v>0</v>
      </c>
      <c r="J38" s="122" t="n">
        <f aca="false">J36*($J$13-1)/(($D$13-$B$13)/91.3125)</f>
        <v>0</v>
      </c>
      <c r="K38" s="122" t="n">
        <f aca="false">K36*($J$13-1)/(($D$13-$B$13)/91.3125)</f>
        <v>5.21905006858711</v>
      </c>
      <c r="L38" s="122" t="n">
        <f aca="false">L36*($J$13-1)/(($D$13-$B$13)/91.3125)</f>
        <v>5.21905006858711</v>
      </c>
      <c r="M38" s="122" t="n">
        <f aca="false">M36*($J$13-1)/(($D$13-$B$13)/91.3125)</f>
        <v>5.21905006858711</v>
      </c>
      <c r="N38" s="122" t="n">
        <f aca="false">N36*($J$13-1)/(($D$13-$B$13)/91.3125)</f>
        <v>5.21905006858711</v>
      </c>
      <c r="O38" s="122" t="n">
        <f aca="false">O36*($J$13-1)/(($D$13-$B$13)/91.3125)</f>
        <v>5.21905006858711</v>
      </c>
      <c r="P38" s="123" t="n">
        <f aca="false">P36*($J$13-1)/(($D$13-$B$13)/91.3125)</f>
        <v>0.93675257641307</v>
      </c>
      <c r="Q38" s="123" t="n">
        <f aca="false">Q36*($J$13-1)/(($D$13-$B$13)/91.3125)</f>
        <v>0.93675257641307</v>
      </c>
      <c r="R38" s="123" t="n">
        <f aca="false">R36*($J$13-1)/(($D$13-$B$13)/91.3125)</f>
        <v>0.93675257641307</v>
      </c>
      <c r="S38" s="123" t="n">
        <f aca="false">S36*($J$13-1)/(($D$13-$B$13)/91.3125)</f>
        <v>0.93675257641307</v>
      </c>
      <c r="T38" s="123" t="n">
        <f aca="false">T36*($J$13-1)/(($D$13-$B$13)/91.3125)</f>
        <v>0.93675257641307</v>
      </c>
      <c r="U38" s="123" t="n">
        <f aca="false">U36*($J$13-1)/(($D$13-$B$13)/91.3125)</f>
        <v>0.93675257641307</v>
      </c>
      <c r="V38" s="123" t="n">
        <f aca="false">V36*($J$13-1)/(($D$13-$B$13)/91.3125)</f>
        <v>0.93675257641307</v>
      </c>
      <c r="W38" s="123" t="n">
        <f aca="false">W36*($J$13-1)/(($D$13-$B$13)/91.3125)</f>
        <v>0.93675257641307</v>
      </c>
      <c r="X38" s="123" t="n">
        <f aca="false">X36*($J$13-1)/(($D$13-$B$13)/91.3125)</f>
        <v>0.93675257641307</v>
      </c>
      <c r="Y38" s="123" t="n">
        <f aca="false">Y36*($J$13-1)/(($D$13-$B$13)/91.3125)</f>
        <v>0.93675257641307</v>
      </c>
      <c r="Z38" s="123" t="n">
        <f aca="false">Z36*($J$13-1)/(($D$13-$B$13)/91.3125)</f>
        <v>0.93675257641307</v>
      </c>
      <c r="AA38" s="123" t="n">
        <f aca="false">AA36*($J$13-1)/(($D$13-$B$13)/91.3125)</f>
        <v>0.93675257641307</v>
      </c>
      <c r="AB38" s="123" t="n">
        <f aca="false">AB36*($J$13-1)/(($D$13-$B$13)/91.3125)</f>
        <v>0.93675257641307</v>
      </c>
      <c r="AC38" s="123" t="n">
        <f aca="false">AC36*($J$13-1)/(($D$13-$B$13)/91.3125)</f>
        <v>0.93675257641307</v>
      </c>
      <c r="AD38" s="123" t="n">
        <f aca="false">AD36*($J$13-1)/(($D$13-$B$13)/91.3125)</f>
        <v>0.93675257641307</v>
      </c>
      <c r="AE38" s="123" t="n">
        <f aca="false">AE36*($J$13-1)/(($D$13-$B$13)/91.3125)</f>
        <v>0.93675257641307</v>
      </c>
      <c r="AF38" s="123" t="n">
        <f aca="false">AF36*($J$13-1)/(($D$13-$B$13)/91.3125)</f>
        <v>0.93675257641307</v>
      </c>
      <c r="AG38" s="123" t="n">
        <f aca="false">AG36*($J$13-1)/(($D$13-$B$13)/91.3125)</f>
        <v>0.93675257641307</v>
      </c>
      <c r="AI38" s="123" t="n">
        <f aca="false">SUMIF($F$7:$AG$7,AI$7,$F38:$AG38)</f>
        <v>0</v>
      </c>
      <c r="AJ38" s="123" t="n">
        <f aca="false">SUMIF($F$7:$AG$7,AJ$7,$F38:$AG38)</f>
        <v>15.6571502057613</v>
      </c>
      <c r="AK38" s="123" t="n">
        <f aca="false">SUMIF($F$7:$AG$7,AK$7,$F38:$AG38)</f>
        <v>12.3116052900004</v>
      </c>
      <c r="AL38" s="123" t="n">
        <f aca="false">SUMIF($F$7:$AG$7,AL$7,$F38:$AG38)</f>
        <v>3.74701030565228</v>
      </c>
      <c r="AM38" s="123" t="n">
        <f aca="false">SUMIF($F$7:$AG$7,AM$7,$F38:$AG38)</f>
        <v>3.74701030565228</v>
      </c>
      <c r="AN38" s="123" t="n">
        <f aca="false">SUMIF($F$7:$AG$7,AN$7,$F38:$AG38)</f>
        <v>3.74701030565228</v>
      </c>
      <c r="AO38" s="123" t="n">
        <f aca="false">SUMIF($F$7:$AG$7,AO$7,$F38:$AG38)</f>
        <v>3.74701030565228</v>
      </c>
    </row>
    <row r="39" customFormat="false" ht="15" hidden="false" customHeight="false" outlineLevel="0" collapsed="false">
      <c r="A39" s="104" t="s">
        <v>2051</v>
      </c>
      <c r="B39" s="20" t="s">
        <v>561</v>
      </c>
      <c r="C39" s="20" t="s">
        <v>550</v>
      </c>
      <c r="D39" s="20"/>
      <c r="F39" s="122" t="n">
        <f aca="false">F36*(1+($J$13-1)*MIN(1,MAX(0,(F$4-$B$13)/($D$13-$B$13))))</f>
        <v>0</v>
      </c>
      <c r="G39" s="122" t="n">
        <f aca="false">G36*(1+($J$13-1)*MIN(1,MAX(0,(G$4-$B$13)/($D$13-$B$13))))</f>
        <v>0</v>
      </c>
      <c r="H39" s="122" t="n">
        <f aca="false">H36*(1+($J$13-1)*MIN(1,MAX(0,(H$4-$B$13)/($D$13-$B$13))))</f>
        <v>0</v>
      </c>
      <c r="I39" s="122" t="n">
        <f aca="false">I36*(1+($J$13-1)*MIN(1,MAX(0,(I$4-$B$13)/($D$13-$B$13))))</f>
        <v>0</v>
      </c>
      <c r="J39" s="122" t="n">
        <f aca="false">J36*(1+($J$13-1)*MIN(1,MAX(0,(J$4-$B$13)/($D$13-$B$13))))</f>
        <v>0</v>
      </c>
      <c r="K39" s="122" t="n">
        <f aca="false">K36*(1+($J$13-1)*MIN(1,MAX(0,(K$4-$B$13)/($D$13-$B$13))))</f>
        <v>488.928898033836</v>
      </c>
      <c r="L39" s="122" t="n">
        <f aca="false">L36*(1+($J$13-1)*MIN(1,MAX(0,(L$4-$B$13)/($D$13-$B$13))))</f>
        <v>494.187242798354</v>
      </c>
      <c r="M39" s="122" t="n">
        <f aca="false">M36*(1+($J$13-1)*MIN(1,MAX(0,(M$4-$B$13)/($D$13-$B$13))))</f>
        <v>499.445587562872</v>
      </c>
      <c r="N39" s="122" t="n">
        <f aca="false">N36*(1+($J$13-1)*MIN(1,MAX(0,(N$4-$B$13)/($D$13-$B$13))))</f>
        <v>504.589620484682</v>
      </c>
      <c r="O39" s="122" t="n">
        <f aca="false">O36*(1+($J$13-1)*MIN(1,MAX(0,(O$4-$B$13)/($D$13-$B$13))))</f>
        <v>509.790809327846</v>
      </c>
      <c r="P39" s="123" t="n">
        <f aca="false">P36*(1+($J$13-1)*MIN(1,MAX(0,(P$4-$B$13)/($D$13-$B$13))))</f>
        <v>92.4447199652961</v>
      </c>
      <c r="Q39" s="123" t="n">
        <f aca="false">Q36*(1+($J$13-1)*MIN(1,MAX(0,(Q$4-$B$13)/($D$13-$B$13))))</f>
        <v>93.3885254358505</v>
      </c>
      <c r="R39" s="123" t="n">
        <f aca="false">R36*(1+($J$13-1)*MIN(1,MAX(0,(R$4-$B$13)/($D$13-$B$13))))</f>
        <v>94.3118133961755</v>
      </c>
      <c r="S39" s="123" t="n">
        <f aca="false">S36*(1+($J$13-1)*MIN(1,MAX(0,(S$4-$B$13)/($D$13-$B$13))))</f>
        <v>95.2453601116153</v>
      </c>
      <c r="T39" s="123" t="n">
        <f aca="false">T36*(1+($J$13-1)*MIN(1,MAX(0,(T$4-$B$13)/($D$13-$B$13))))</f>
        <v>96.1891655821697</v>
      </c>
      <c r="U39" s="123" t="n">
        <f aca="false">U36*(1+($J$13-1)*MIN(1,MAX(0,(U$4-$B$13)/($D$13-$B$13))))</f>
        <v>97.1329710527241</v>
      </c>
      <c r="V39" s="123" t="n">
        <f aca="false">V36*(1+($J$13-1)*MIN(1,MAX(0,(V$4-$B$13)/($D$13-$B$13))))</f>
        <v>98.0665177681639</v>
      </c>
      <c r="W39" s="123" t="n">
        <f aca="false">W36*(1+($J$13-1)*MIN(1,MAX(0,(W$4-$B$13)/($D$13-$B$13))))</f>
        <v>99.0000644836036</v>
      </c>
      <c r="X39" s="123" t="n">
        <f aca="false">X36*(1+($J$13-1)*MIN(1,MAX(0,(X$4-$B$13)/($D$13-$B$13))))</f>
        <v>99.943869954158</v>
      </c>
      <c r="Y39" s="123" t="n">
        <f aca="false">Y36*(1+($J$13-1)*MIN(1,MAX(0,(Y$4-$B$13)/($D$13-$B$13))))</f>
        <v>100.887675424712</v>
      </c>
      <c r="Z39" s="123" t="n">
        <f aca="false">Z36*(1+($J$13-1)*MIN(1,MAX(0,(Z$4-$B$13)/($D$13-$B$13))))</f>
        <v>101.810963385037</v>
      </c>
      <c r="AA39" s="123" t="n">
        <f aca="false">AA36*(1+($J$13-1)*MIN(1,MAX(0,(AA$4-$B$13)/($D$13-$B$13))))</f>
        <v>102.744510100477</v>
      </c>
      <c r="AB39" s="123" t="n">
        <f aca="false">AB36*(1+($J$13-1)*MIN(1,MAX(0,(AB$4-$B$13)/($D$13-$B$13))))</f>
        <v>103.688315571032</v>
      </c>
      <c r="AC39" s="123" t="n">
        <f aca="false">AC36*(1+($J$13-1)*MIN(1,MAX(0,(AC$4-$B$13)/($D$13-$B$13))))</f>
        <v>104.632121041586</v>
      </c>
      <c r="AD39" s="123" t="n">
        <f aca="false">AD36*(1+($J$13-1)*MIN(1,MAX(0,(AD$4-$B$13)/($D$13-$B$13))))</f>
        <v>105.555409001911</v>
      </c>
      <c r="AE39" s="123" t="n">
        <f aca="false">AE36*(1+($J$13-1)*MIN(1,MAX(0,(AE$4-$B$13)/($D$13-$B$13))))</f>
        <v>106.488955717351</v>
      </c>
      <c r="AF39" s="123" t="n">
        <f aca="false">AF36*(1+($J$13-1)*MIN(1,MAX(0,(AF$4-$B$13)/($D$13-$B$13))))</f>
        <v>107.432761187905</v>
      </c>
      <c r="AG39" s="123" t="n">
        <f aca="false">AG36*(1+($J$13-1)*MIN(1,MAX(0,(AG$4-$B$13)/($D$13-$B$13))))</f>
        <v>108.37656665846</v>
      </c>
      <c r="AI39" s="123" t="n">
        <f aca="false">INDEX($F39:$AG39,1,MATCH(AI$7,$F$7:$AG$7,1))</f>
        <v>0</v>
      </c>
      <c r="AJ39" s="123" t="n">
        <f aca="false">INDEX($F39:$AG39,1,MATCH(AJ$7,$F$7:$AG$7,1))</f>
        <v>499.445587562872</v>
      </c>
      <c r="AK39" s="123" t="n">
        <f aca="false">INDEX($F39:$AG39,1,MATCH(AK$7,$F$7:$AG$7,1))</f>
        <v>93.3885254358505</v>
      </c>
      <c r="AL39" s="123" t="n">
        <f aca="false">INDEX($F39:$AG39,1,MATCH(AL$7,$F$7:$AG$7,1))</f>
        <v>97.1329710527241</v>
      </c>
      <c r="AM39" s="123" t="n">
        <f aca="false">INDEX($F39:$AG39,1,MATCH(AM$7,$F$7:$AG$7,1))</f>
        <v>100.887675424712</v>
      </c>
      <c r="AN39" s="123" t="n">
        <f aca="false">INDEX($F39:$AG39,1,MATCH(AN$7,$F$7:$AG$7,1))</f>
        <v>104.632121041586</v>
      </c>
      <c r="AO39" s="123" t="n">
        <f aca="false">INDEX($F39:$AG39,1,MATCH(AO$7,$F$7:$AG$7,1))</f>
        <v>108.37656665846</v>
      </c>
    </row>
    <row r="40" customFormat="false" ht="15" hidden="false" customHeight="false" outlineLevel="0" collapsed="false">
      <c r="A40" s="104" t="s">
        <v>2052</v>
      </c>
      <c r="B40" s="20" t="s">
        <v>561</v>
      </c>
      <c r="C40" s="20" t="s">
        <v>550</v>
      </c>
      <c r="D40" s="20"/>
      <c r="F40" s="122" t="n">
        <f aca="false">IF(F$5=$N$13,E36*$J$13*(1-$O$13),0)</f>
        <v>0</v>
      </c>
      <c r="G40" s="122" t="n">
        <f aca="false">IF(G$5=$N$13,F36*$J$13*(1-$O$13),0)</f>
        <v>0</v>
      </c>
      <c r="H40" s="122" t="n">
        <f aca="false">IF(H$5=$N$13,G36*$J$13*(1-$O$13),0)</f>
        <v>0</v>
      </c>
      <c r="I40" s="122" t="n">
        <f aca="false">IF(I$5=$N$13,H36*$J$13*(1-$O$13),0)</f>
        <v>0</v>
      </c>
      <c r="J40" s="122" t="n">
        <f aca="false">IF(J$5=$N$13,I36*$J$13*(1-$O$13),0)</f>
        <v>0</v>
      </c>
      <c r="K40" s="122" t="n">
        <f aca="false">IF(K$5=$N$13,J36*$J$13*(1-$O$13),0)</f>
        <v>0</v>
      </c>
      <c r="L40" s="122" t="n">
        <f aca="false">IF(L$5=$N$13,K36*$J$13*(1-$O$13),0)</f>
        <v>0</v>
      </c>
      <c r="M40" s="122" t="n">
        <f aca="false">IF(M$5=$N$13,L36*$J$13*(1-$O$13),0)</f>
        <v>0</v>
      </c>
      <c r="N40" s="122" t="n">
        <f aca="false">IF(N$5=$N$13,M36*$J$13*(1-$O$13),0)</f>
        <v>0</v>
      </c>
      <c r="O40" s="122" t="n">
        <f aca="false">IF(O$5=$N$13,N36*$J$13*(1-$O$13),0)</f>
        <v>0</v>
      </c>
      <c r="P40" s="123" t="n">
        <f aca="false">IF(P$5=$N$13,O36*$J$13*(1-$O$13),0)</f>
        <v>0</v>
      </c>
      <c r="Q40" s="123" t="n">
        <f aca="false">IF(Q$5=$N$13,P36*$J$13*(1-$O$13),0)</f>
        <v>0</v>
      </c>
      <c r="R40" s="123" t="n">
        <f aca="false">IF(R$5=$N$13,Q36*$J$13*(1-$O$13),0)</f>
        <v>0</v>
      </c>
      <c r="S40" s="123" t="n">
        <f aca="false">IF(S$5=$N$13,R36*$J$13*(1-$O$13),0)</f>
        <v>0</v>
      </c>
      <c r="T40" s="123" t="n">
        <f aca="false">IF(T$5=$N$13,S36*$J$13*(1-$O$13),0)</f>
        <v>0</v>
      </c>
      <c r="U40" s="123" t="n">
        <f aca="false">IF(U$5=$N$13,T36*$J$13*(1-$O$13),0)</f>
        <v>0</v>
      </c>
      <c r="V40" s="123" t="n">
        <f aca="false">IF(V$5=$N$13,U36*$J$13*(1-$O$13),0)</f>
        <v>0</v>
      </c>
      <c r="W40" s="123" t="n">
        <f aca="false">IF(W$5=$N$13,V36*$J$13*(1-$O$13),0)</f>
        <v>0</v>
      </c>
      <c r="X40" s="123" t="n">
        <f aca="false">IF(X$5=$N$13,W36*$J$13*(1-$O$13),0)</f>
        <v>0</v>
      </c>
      <c r="Y40" s="123" t="n">
        <f aca="false">IF(Y$5=$N$13,X36*$J$13*(1-$O$13),0)</f>
        <v>0</v>
      </c>
      <c r="Z40" s="123" t="n">
        <f aca="false">IF(Z$5=$N$13,Y36*$J$13*(1-$O$13),0)</f>
        <v>0</v>
      </c>
      <c r="AA40" s="123" t="n">
        <f aca="false">IF(AA$5=$N$13,Z36*$J$13*(1-$O$13),0)</f>
        <v>0</v>
      </c>
      <c r="AB40" s="123" t="n">
        <f aca="false">IF(AB$5=$N$13,AA36*$J$13*(1-$O$13),0)</f>
        <v>0</v>
      </c>
      <c r="AC40" s="123" t="n">
        <f aca="false">IF(AC$5=$N$13,AB36*$J$13*(1-$O$13),0)</f>
        <v>0</v>
      </c>
      <c r="AD40" s="123" t="n">
        <f aca="false">IF(AD$5=$N$13,AC36*$J$13*(1-$O$13),0)</f>
        <v>0</v>
      </c>
      <c r="AE40" s="123" t="n">
        <f aca="false">IF(AE$5=$N$13,AD36*$J$13*(1-$O$13),0)</f>
        <v>0</v>
      </c>
      <c r="AF40" s="123" t="n">
        <f aca="false">IF(AF$5=$N$13,AE36*$J$13*(1-$O$13),0)</f>
        <v>0</v>
      </c>
      <c r="AG40" s="123" t="n">
        <f aca="false">IF(AG$5=$N$13,AF36*$J$13*(1-$O$13),0)</f>
        <v>0</v>
      </c>
      <c r="AI40" s="123" t="n">
        <f aca="false">SUMIF($F$7:$AG$7,AI$7,$F40:$AG40)</f>
        <v>0</v>
      </c>
      <c r="AJ40" s="123" t="n">
        <f aca="false">SUMIF($F$7:$AG$7,AJ$7,$F40:$AG40)</f>
        <v>0</v>
      </c>
      <c r="AK40" s="123" t="n">
        <f aca="false">SUMIF($F$7:$AG$7,AK$7,$F40:$AG40)</f>
        <v>0</v>
      </c>
      <c r="AL40" s="123" t="n">
        <f aca="false">SUMIF($F$7:$AG$7,AL$7,$F40:$AG40)</f>
        <v>0</v>
      </c>
      <c r="AM40" s="123" t="n">
        <f aca="false">SUMIF($F$7:$AG$7,AM$7,$F40:$AG40)</f>
        <v>0</v>
      </c>
      <c r="AN40" s="123" t="n">
        <f aca="false">SUMIF($F$7:$AG$7,AN$7,$F40:$AG40)</f>
        <v>0</v>
      </c>
      <c r="AO40" s="123" t="n">
        <f aca="false">SUMIF($F$7:$AG$7,AO$7,$F40:$AG40)</f>
        <v>0</v>
      </c>
    </row>
    <row r="41" customFormat="false" ht="15" hidden="false" customHeight="false" outlineLevel="0" collapsed="false">
      <c r="A41" s="104" t="s">
        <v>2053</v>
      </c>
      <c r="B41" s="20" t="s">
        <v>995</v>
      </c>
      <c r="C41" s="20" t="s">
        <v>550</v>
      </c>
      <c r="D41" s="20"/>
      <c r="F41" s="137" t="n">
        <f aca="false">IF(F$5=$N$13,E36*$K$13/1000*$O$13,0)</f>
        <v>0</v>
      </c>
      <c r="G41" s="137" t="n">
        <f aca="false">IF(G$5=$N$13,F36*$K$13/1000*$O$13,0)</f>
        <v>0</v>
      </c>
      <c r="H41" s="137" t="n">
        <f aca="false">IF(H$5=$N$13,G36*$K$13/1000*$O$13,0)</f>
        <v>0</v>
      </c>
      <c r="I41" s="137" t="n">
        <f aca="false">IF(I$5=$N$13,H36*$K$13/1000*$O$13,0)</f>
        <v>0</v>
      </c>
      <c r="J41" s="137" t="n">
        <f aca="false">IF(J$5=$N$13,I36*$K$13/1000*$O$13,0)</f>
        <v>0</v>
      </c>
      <c r="K41" s="137" t="n">
        <f aca="false">IF(K$5=$N$13,J36*$K$13/1000*$O$13,0)</f>
        <v>0</v>
      </c>
      <c r="L41" s="137" t="n">
        <f aca="false">IF(L$5=$N$13,K36*$K$13/1000*$O$13,0)</f>
        <v>0</v>
      </c>
      <c r="M41" s="137" t="n">
        <f aca="false">IF(M$5=$N$13,L36*$K$13/1000*$O$13,0)</f>
        <v>0</v>
      </c>
      <c r="N41" s="137" t="n">
        <f aca="false">IF(N$5=$N$13,M36*$K$13/1000*$O$13,0)</f>
        <v>0</v>
      </c>
      <c r="O41" s="137" t="n">
        <f aca="false">IF(O$5=$N$13,N36*$K$13/1000*$O$13,0)</f>
        <v>0</v>
      </c>
      <c r="P41" s="42" t="n">
        <f aca="false">IF(P$5=$N$13,O36*$K$13/1000*$O$13,0)</f>
        <v>0</v>
      </c>
      <c r="Q41" s="42" t="n">
        <f aca="false">IF(Q$5=$N$13,P36*$K$13/1000*$O$13,0)</f>
        <v>0</v>
      </c>
      <c r="R41" s="42" t="n">
        <f aca="false">IF(R$5=$N$13,Q36*$K$13/1000*$O$13,0)</f>
        <v>0</v>
      </c>
      <c r="S41" s="42" t="n">
        <f aca="false">IF(S$5=$N$13,R36*$K$13/1000*$O$13,0)</f>
        <v>0</v>
      </c>
      <c r="T41" s="42" t="n">
        <f aca="false">IF(T$5=$N$13,S36*$K$13/1000*$O$13,0)</f>
        <v>0</v>
      </c>
      <c r="U41" s="42" t="n">
        <f aca="false">IF(U$5=$N$13,T36*$K$13/1000*$O$13,0)</f>
        <v>0</v>
      </c>
      <c r="V41" s="42" t="n">
        <f aca="false">IF(V$5=$N$13,U36*$K$13/1000*$O$13,0)</f>
        <v>0</v>
      </c>
      <c r="W41" s="42" t="n">
        <f aca="false">IF(W$5=$N$13,V36*$K$13/1000*$O$13,0)</f>
        <v>0</v>
      </c>
      <c r="X41" s="42" t="n">
        <f aca="false">IF(X$5=$N$13,W36*$K$13/1000*$O$13,0)</f>
        <v>0</v>
      </c>
      <c r="Y41" s="42" t="n">
        <f aca="false">IF(Y$5=$N$13,X36*$K$13/1000*$O$13,0)</f>
        <v>0</v>
      </c>
      <c r="Z41" s="42" t="n">
        <f aca="false">IF(Z$5=$N$13,Y36*$K$13/1000*$O$13,0)</f>
        <v>0</v>
      </c>
      <c r="AA41" s="42" t="n">
        <f aca="false">IF(AA$5=$N$13,Z36*$K$13/1000*$O$13,0)</f>
        <v>0</v>
      </c>
      <c r="AB41" s="42" t="n">
        <f aca="false">IF(AB$5=$N$13,AA36*$K$13/1000*$O$13,0)</f>
        <v>0</v>
      </c>
      <c r="AC41" s="42" t="n">
        <f aca="false">IF(AC$5=$N$13,AB36*$K$13/1000*$O$13,0)</f>
        <v>0</v>
      </c>
      <c r="AD41" s="42" t="n">
        <f aca="false">IF(AD$5=$N$13,AC36*$K$13/1000*$O$13,0)</f>
        <v>0</v>
      </c>
      <c r="AE41" s="42" t="n">
        <f aca="false">IF(AE$5=$N$13,AD36*$K$13/1000*$O$13,0)</f>
        <v>0</v>
      </c>
      <c r="AF41" s="42" t="n">
        <f aca="false">IF(AF$5=$N$13,AE36*$K$13/1000*$O$13,0)</f>
        <v>0</v>
      </c>
      <c r="AG41" s="42" t="n">
        <f aca="false">IF(AG$5=$N$13,AF36*$K$13/1000*$O$13,0)</f>
        <v>0</v>
      </c>
      <c r="AI41" s="42" t="n">
        <f aca="false">SUMIF($F$7:$AG$7,AI$7,$F41:$AG41)</f>
        <v>0</v>
      </c>
      <c r="AJ41" s="42" t="n">
        <f aca="false">SUMIF($F$7:$AG$7,AJ$7,$F41:$AG41)</f>
        <v>0</v>
      </c>
      <c r="AK41" s="42" t="n">
        <f aca="false">SUMIF($F$7:$AG$7,AK$7,$F41:$AG41)</f>
        <v>0</v>
      </c>
      <c r="AL41" s="42" t="n">
        <f aca="false">SUMIF($F$7:$AG$7,AL$7,$F41:$AG41)</f>
        <v>0</v>
      </c>
      <c r="AM41" s="42" t="n">
        <f aca="false">SUMIF($F$7:$AG$7,AM$7,$F41:$AG41)</f>
        <v>0</v>
      </c>
      <c r="AN41" s="42" t="n">
        <f aca="false">SUMIF($F$7:$AG$7,AN$7,$F41:$AG41)</f>
        <v>0</v>
      </c>
      <c r="AO41" s="42" t="n">
        <f aca="false">SUMIF($F$7:$AG$7,AO$7,$F41:$AG41)</f>
        <v>0</v>
      </c>
    </row>
    <row r="42" customFormat="false" ht="15" hidden="false" customHeight="false" outlineLevel="0" collapsed="false">
      <c r="A42" s="104" t="s">
        <v>2054</v>
      </c>
      <c r="B42" s="20" t="s">
        <v>995</v>
      </c>
      <c r="C42" s="20" t="s">
        <v>495</v>
      </c>
      <c r="D42" s="20"/>
      <c r="F42" s="137" t="n">
        <f aca="false">IF(DilMethod=3,MAX(0,F36*$K$13/1000*DilPx-F39)/DilPx,F36*$K$13/1000*$P$13)</f>
        <v>0</v>
      </c>
      <c r="G42" s="137" t="n">
        <f aca="false">IF(DilMethod=3,MAX(0,G36*$K$13/1000*DilPx-G39)/DilPx,G36*$K$13/1000*$P$13)</f>
        <v>0</v>
      </c>
      <c r="H42" s="137" t="n">
        <f aca="false">IF(DilMethod=3,MAX(0,H36*$K$13/1000*DilPx-H39)/DilPx,H36*$K$13/1000*$P$13)</f>
        <v>0</v>
      </c>
      <c r="I42" s="137" t="n">
        <f aca="false">IF(DilMethod=3,MAX(0,I36*$K$13/1000*DilPx-I39)/DilPx,I36*$K$13/1000*$P$13)</f>
        <v>0</v>
      </c>
      <c r="J42" s="137" t="n">
        <f aca="false">IF(DilMethod=3,MAX(0,J36*$K$13/1000*DilPx-J39)/DilPx,J36*$K$13/1000*$P$13)</f>
        <v>0</v>
      </c>
      <c r="K42" s="137" t="n">
        <f aca="false">IF(DilMethod=3,MAX(0,K36*$K$13/1000*DilPx-K39)/DilPx,K36*$K$13/1000*$P$13)</f>
        <v>0</v>
      </c>
      <c r="L42" s="137" t="n">
        <f aca="false">IF(DilMethod=3,MAX(0,L36*$K$13/1000*DilPx-L39)/DilPx,L36*$K$13/1000*$P$13)</f>
        <v>0</v>
      </c>
      <c r="M42" s="137" t="n">
        <f aca="false">IF(DilMethod=3,MAX(0,M36*$K$13/1000*DilPx-M39)/DilPx,M36*$K$13/1000*$P$13)</f>
        <v>0</v>
      </c>
      <c r="N42" s="137" t="n">
        <f aca="false">IF(DilMethod=3,MAX(0,N36*$K$13/1000*DilPx-N39)/DilPx,N36*$K$13/1000*$P$13)</f>
        <v>0</v>
      </c>
      <c r="O42" s="137" t="n">
        <f aca="false">IF(DilMethod=3,MAX(0,O36*$K$13/1000*DilPx-O39)/DilPx,O36*$K$13/1000*$P$13)</f>
        <v>0</v>
      </c>
      <c r="P42" s="42" t="n">
        <f aca="false">IF(DilMethod=3,MAX(0,P36*$K$13/1000*DilPx-P39)/DilPx,P36*$K$13/1000*$P$13)</f>
        <v>0</v>
      </c>
      <c r="Q42" s="42" t="n">
        <f aca="false">IF(DilMethod=3,MAX(0,Q36*$K$13/1000*DilPx-Q39)/DilPx,Q36*$K$13/1000*$P$13)</f>
        <v>0</v>
      </c>
      <c r="R42" s="42" t="n">
        <f aca="false">IF(DilMethod=3,MAX(0,R36*$K$13/1000*DilPx-R39)/DilPx,R36*$K$13/1000*$P$13)</f>
        <v>0</v>
      </c>
      <c r="S42" s="42" t="n">
        <f aca="false">IF(DilMethod=3,MAX(0,S36*$K$13/1000*DilPx-S39)/DilPx,S36*$K$13/1000*$P$13)</f>
        <v>0</v>
      </c>
      <c r="T42" s="42" t="n">
        <f aca="false">IF(DilMethod=3,MAX(0,T36*$K$13/1000*DilPx-T39)/DilPx,T36*$K$13/1000*$P$13)</f>
        <v>0</v>
      </c>
      <c r="U42" s="42" t="n">
        <f aca="false">IF(DilMethod=3,MAX(0,U36*$K$13/1000*DilPx-U39)/DilPx,U36*$K$13/1000*$P$13)</f>
        <v>0</v>
      </c>
      <c r="V42" s="42" t="n">
        <f aca="false">IF(DilMethod=3,MAX(0,V36*$K$13/1000*DilPx-V39)/DilPx,V36*$K$13/1000*$P$13)</f>
        <v>0</v>
      </c>
      <c r="W42" s="42" t="n">
        <f aca="false">IF(DilMethod=3,MAX(0,W36*$K$13/1000*DilPx-W39)/DilPx,W36*$K$13/1000*$P$13)</f>
        <v>0</v>
      </c>
      <c r="X42" s="42" t="n">
        <f aca="false">IF(DilMethod=3,MAX(0,X36*$K$13/1000*DilPx-X39)/DilPx,X36*$K$13/1000*$P$13)</f>
        <v>0</v>
      </c>
      <c r="Y42" s="42" t="n">
        <f aca="false">IF(DilMethod=3,MAX(0,Y36*$K$13/1000*DilPx-Y39)/DilPx,Y36*$K$13/1000*$P$13)</f>
        <v>0</v>
      </c>
      <c r="Z42" s="42" t="n">
        <f aca="false">IF(DilMethod=3,MAX(0,Z36*$K$13/1000*DilPx-Z39)/DilPx,Z36*$K$13/1000*$P$13)</f>
        <v>0</v>
      </c>
      <c r="AA42" s="42" t="n">
        <f aca="false">IF(DilMethod=3,MAX(0,AA36*$K$13/1000*DilPx-AA39)/DilPx,AA36*$K$13/1000*$P$13)</f>
        <v>0</v>
      </c>
      <c r="AB42" s="42" t="n">
        <f aca="false">IF(DilMethod=3,MAX(0,AB36*$K$13/1000*DilPx-AB39)/DilPx,AB36*$K$13/1000*$P$13)</f>
        <v>0</v>
      </c>
      <c r="AC42" s="42" t="n">
        <f aca="false">IF(DilMethod=3,MAX(0,AC36*$K$13/1000*DilPx-AC39)/DilPx,AC36*$K$13/1000*$P$13)</f>
        <v>0</v>
      </c>
      <c r="AD42" s="42" t="n">
        <f aca="false">IF(DilMethod=3,MAX(0,AD36*$K$13/1000*DilPx-AD39)/DilPx,AD36*$K$13/1000*$P$13)</f>
        <v>0</v>
      </c>
      <c r="AE42" s="42" t="n">
        <f aca="false">IF(DilMethod=3,MAX(0,AE36*$K$13/1000*DilPx-AE39)/DilPx,AE36*$K$13/1000*$P$13)</f>
        <v>0</v>
      </c>
      <c r="AF42" s="42" t="n">
        <f aca="false">IF(DilMethod=3,MAX(0,AF36*$K$13/1000*DilPx-AF39)/DilPx,AF36*$K$13/1000*$P$13)</f>
        <v>0</v>
      </c>
      <c r="AG42" s="42" t="n">
        <f aca="false">IF(DilMethod=3,MAX(0,AG36*$K$13/1000*DilPx-AG39)/DilPx,AG36*$K$13/1000*$P$13)</f>
        <v>0</v>
      </c>
      <c r="AI42" s="42" t="n">
        <f aca="false">INDEX($F42:$AG42,1,MATCH(AI$7,$F$7:$AG$7,1))</f>
        <v>0</v>
      </c>
      <c r="AJ42" s="42" t="n">
        <f aca="false">INDEX($F42:$AG42,1,MATCH(AJ$7,$F$7:$AG$7,1))</f>
        <v>0</v>
      </c>
      <c r="AK42" s="42" t="n">
        <f aca="false">INDEX($F42:$AG42,1,MATCH(AK$7,$F$7:$AG$7,1))</f>
        <v>0</v>
      </c>
      <c r="AL42" s="42" t="n">
        <f aca="false">INDEX($F42:$AG42,1,MATCH(AL$7,$F$7:$AG$7,1))</f>
        <v>0</v>
      </c>
      <c r="AM42" s="42" t="n">
        <f aca="false">INDEX($F42:$AG42,1,MATCH(AM$7,$F$7:$AG$7,1))</f>
        <v>0</v>
      </c>
      <c r="AN42" s="42" t="n">
        <f aca="false">INDEX($F42:$AG42,1,MATCH(AN$7,$F$7:$AG$7,1))</f>
        <v>0</v>
      </c>
      <c r="AO42" s="42" t="n">
        <f aca="false">INDEX($F42:$AG42,1,MATCH(AO$7,$F$7:$AG$7,1))</f>
        <v>0</v>
      </c>
    </row>
    <row r="43" customFormat="false" ht="15" hidden="false" customHeight="false" outlineLevel="0" collapsed="false">
      <c r="A43" s="104" t="s">
        <v>2055</v>
      </c>
      <c r="B43" s="20" t="s">
        <v>561</v>
      </c>
      <c r="C43" s="20" t="s">
        <v>495</v>
      </c>
      <c r="D43" s="20"/>
      <c r="F43" s="122" t="n">
        <f aca="false">F39*IF(DilMethod=3,1,1-$P$13)</f>
        <v>0</v>
      </c>
      <c r="G43" s="122" t="n">
        <f aca="false">G39*IF(DilMethod=3,1,1-$P$13)</f>
        <v>0</v>
      </c>
      <c r="H43" s="122" t="n">
        <f aca="false">H39*IF(DilMethod=3,1,1-$P$13)</f>
        <v>0</v>
      </c>
      <c r="I43" s="122" t="n">
        <f aca="false">I39*IF(DilMethod=3,1,1-$P$13)</f>
        <v>0</v>
      </c>
      <c r="J43" s="122" t="n">
        <f aca="false">J39*IF(DilMethod=3,1,1-$P$13)</f>
        <v>0</v>
      </c>
      <c r="K43" s="122" t="n">
        <f aca="false">K39*IF(DilMethod=3,1,1-$P$13)</f>
        <v>488.928898033836</v>
      </c>
      <c r="L43" s="122" t="n">
        <f aca="false">L39*IF(DilMethod=3,1,1-$P$13)</f>
        <v>494.187242798354</v>
      </c>
      <c r="M43" s="122" t="n">
        <f aca="false">M39*IF(DilMethod=3,1,1-$P$13)</f>
        <v>499.445587562872</v>
      </c>
      <c r="N43" s="122" t="n">
        <f aca="false">N39*IF(DilMethod=3,1,1-$P$13)</f>
        <v>504.589620484682</v>
      </c>
      <c r="O43" s="122" t="n">
        <f aca="false">O39*IF(DilMethod=3,1,1-$P$13)</f>
        <v>509.790809327846</v>
      </c>
      <c r="P43" s="123" t="n">
        <f aca="false">P39*IF(DilMethod=3,1,1-$P$13)</f>
        <v>92.4447199652961</v>
      </c>
      <c r="Q43" s="123" t="n">
        <f aca="false">Q39*IF(DilMethod=3,1,1-$P$13)</f>
        <v>93.3885254358505</v>
      </c>
      <c r="R43" s="123" t="n">
        <f aca="false">R39*IF(DilMethod=3,1,1-$P$13)</f>
        <v>94.3118133961755</v>
      </c>
      <c r="S43" s="123" t="n">
        <f aca="false">S39*IF(DilMethod=3,1,1-$P$13)</f>
        <v>95.2453601116153</v>
      </c>
      <c r="T43" s="123" t="n">
        <f aca="false">T39*IF(DilMethod=3,1,1-$P$13)</f>
        <v>96.1891655821697</v>
      </c>
      <c r="U43" s="123" t="n">
        <f aca="false">U39*IF(DilMethod=3,1,1-$P$13)</f>
        <v>97.1329710527241</v>
      </c>
      <c r="V43" s="123" t="n">
        <f aca="false">V39*IF(DilMethod=3,1,1-$P$13)</f>
        <v>98.0665177681639</v>
      </c>
      <c r="W43" s="123" t="n">
        <f aca="false">W39*IF(DilMethod=3,1,1-$P$13)</f>
        <v>99.0000644836036</v>
      </c>
      <c r="X43" s="123" t="n">
        <f aca="false">X39*IF(DilMethod=3,1,1-$P$13)</f>
        <v>99.943869954158</v>
      </c>
      <c r="Y43" s="123" t="n">
        <f aca="false">Y39*IF(DilMethod=3,1,1-$P$13)</f>
        <v>100.887675424712</v>
      </c>
      <c r="Z43" s="123" t="n">
        <f aca="false">Z39*IF(DilMethod=3,1,1-$P$13)</f>
        <v>101.810963385037</v>
      </c>
      <c r="AA43" s="123" t="n">
        <f aca="false">AA39*IF(DilMethod=3,1,1-$P$13)</f>
        <v>102.744510100477</v>
      </c>
      <c r="AB43" s="123" t="n">
        <f aca="false">AB39*IF(DilMethod=3,1,1-$P$13)</f>
        <v>103.688315571032</v>
      </c>
      <c r="AC43" s="123" t="n">
        <f aca="false">AC39*IF(DilMethod=3,1,1-$P$13)</f>
        <v>104.632121041586</v>
      </c>
      <c r="AD43" s="123" t="n">
        <f aca="false">AD39*IF(DilMethod=3,1,1-$P$13)</f>
        <v>105.555409001911</v>
      </c>
      <c r="AE43" s="123" t="n">
        <f aca="false">AE39*IF(DilMethod=3,1,1-$P$13)</f>
        <v>106.488955717351</v>
      </c>
      <c r="AF43" s="123" t="n">
        <f aca="false">AF39*IF(DilMethod=3,1,1-$P$13)</f>
        <v>107.432761187905</v>
      </c>
      <c r="AG43" s="123" t="n">
        <f aca="false">AG39*IF(DilMethod=3,1,1-$P$13)</f>
        <v>108.37656665846</v>
      </c>
      <c r="AI43" s="123" t="n">
        <f aca="false">INDEX($F43:$AG43,1,MATCH(AI$7,$F$7:$AG$7,1))</f>
        <v>0</v>
      </c>
      <c r="AJ43" s="123" t="n">
        <f aca="false">INDEX($F43:$AG43,1,MATCH(AJ$7,$F$7:$AG$7,1))</f>
        <v>499.445587562872</v>
      </c>
      <c r="AK43" s="123" t="n">
        <f aca="false">INDEX($F43:$AG43,1,MATCH(AK$7,$F$7:$AG$7,1))</f>
        <v>93.3885254358505</v>
      </c>
      <c r="AL43" s="123" t="n">
        <f aca="false">INDEX($F43:$AG43,1,MATCH(AL$7,$F$7:$AG$7,1))</f>
        <v>97.1329710527241</v>
      </c>
      <c r="AM43" s="123" t="n">
        <f aca="false">INDEX($F43:$AG43,1,MATCH(AM$7,$F$7:$AG$7,1))</f>
        <v>100.887675424712</v>
      </c>
      <c r="AN43" s="123" t="n">
        <f aca="false">INDEX($F43:$AG43,1,MATCH(AN$7,$F$7:$AG$7,1))</f>
        <v>104.632121041586</v>
      </c>
      <c r="AO43" s="123" t="n">
        <f aca="false">INDEX($F43:$AG43,1,MATCH(AO$7,$F$7:$AG$7,1))</f>
        <v>108.37656665846</v>
      </c>
    </row>
    <row r="44" customFormat="false" ht="15" hidden="false" customHeight="false" outlineLevel="0" collapsed="false">
      <c r="A44" s="104" t="s">
        <v>2056</v>
      </c>
      <c r="B44" s="20" t="s">
        <v>561</v>
      </c>
      <c r="C44" s="20" t="s">
        <v>550</v>
      </c>
      <c r="D44" s="20"/>
      <c r="F44" s="122" t="n">
        <f aca="false">IF(AND(F$5&gt;=$M$14,F$5&lt;$N$14),$E$14-$F$14-IF(F$5&gt;=$H$14,$G$14,0),0)*($H$14&lt;&gt;0)+IF(AND(F$5&gt;=$M$14,F$5&lt;$N$14),$E$14-$F$14,0)*($H$14=0)</f>
        <v>0</v>
      </c>
      <c r="G44" s="122" t="n">
        <f aca="false">IF(AND(G$5&gt;=$M$14,G$5&lt;$N$14),$E$14-$F$14-IF(G$5&gt;=$H$14,$G$14,0),0)*($H$14&lt;&gt;0)+IF(AND(G$5&gt;=$M$14,G$5&lt;$N$14),$E$14-$F$14,0)*($H$14=0)</f>
        <v>0</v>
      </c>
      <c r="H44" s="122" t="n">
        <f aca="false">IF(AND(H$5&gt;=$M$14,H$5&lt;$N$14),$E$14-$F$14-IF(H$5&gt;=$H$14,$G$14,0),0)*($H$14&lt;&gt;0)+IF(AND(H$5&gt;=$M$14,H$5&lt;$N$14),$E$14-$F$14,0)*($H$14=0)</f>
        <v>0</v>
      </c>
      <c r="I44" s="122" t="n">
        <f aca="false">IF(AND(I$5&gt;=$M$14,I$5&lt;$N$14),$E$14-$F$14-IF(I$5&gt;=$H$14,$G$14,0),0)*($H$14&lt;&gt;0)+IF(AND(I$5&gt;=$M$14,I$5&lt;$N$14),$E$14-$F$14,0)*($H$14=0)</f>
        <v>0</v>
      </c>
      <c r="J44" s="122" t="n">
        <f aca="false">IF(AND(J$5&gt;=$M$14,J$5&lt;$N$14),$E$14-$F$14-IF(J$5&gt;=$H$14,$G$14,0),0)*($H$14&lt;&gt;0)+IF(AND(J$5&gt;=$M$14,J$5&lt;$N$14),$E$14-$F$14,0)*($H$14=0)</f>
        <v>0</v>
      </c>
      <c r="K44" s="122" t="n">
        <f aca="false">IF(AND(K$5&gt;=$M$14,K$5&lt;$N$14),$E$14-$F$14-IF(K$5&gt;=$H$14,$G$14,0),0)*($H$14&lt;&gt;0)+IF(AND(K$5&gt;=$M$14,K$5&lt;$N$14),$E$14-$F$14,0)*($H$14=0)</f>
        <v>0</v>
      </c>
      <c r="L44" s="122" t="n">
        <f aca="false">IF(AND(L$5&gt;=$M$14,L$5&lt;$N$14),$E$14-$F$14-IF(L$5&gt;=$H$14,$G$14,0),0)*($H$14&lt;&gt;0)+IF(AND(L$5&gt;=$M$14,L$5&lt;$N$14),$E$14-$F$14,0)*($H$14=0)</f>
        <v>1581.25</v>
      </c>
      <c r="M44" s="122" t="n">
        <f aca="false">IF(AND(M$5&gt;=$M$14,M$5&lt;$N$14),$E$14-$F$14-IF(M$5&gt;=$H$14,$G$14,0),0)*($H$14&lt;&gt;0)+IF(AND(M$5&gt;=$M$14,M$5&lt;$N$14),$E$14-$F$14,0)*($H$14=0)</f>
        <v>1581.25</v>
      </c>
      <c r="N44" s="122" t="n">
        <f aca="false">IF(AND(N$5&gt;=$M$14,N$5&lt;$N$14),$E$14-$F$14-IF(N$5&gt;=$H$14,$G$14,0),0)*($H$14&lt;&gt;0)+IF(AND(N$5&gt;=$M$14,N$5&lt;$N$14),$E$14-$F$14,0)*($H$14=0)</f>
        <v>1581.25</v>
      </c>
      <c r="O44" s="122" t="n">
        <f aca="false">IF(AND(O$5&gt;=$M$14,O$5&lt;$N$14),$E$14-$F$14-IF(O$5&gt;=$H$14,$G$14,0),0)*($H$14&lt;&gt;0)+IF(AND(O$5&gt;=$M$14,O$5&lt;$N$14),$E$14-$F$14,0)*($H$14=0)</f>
        <v>1581.25</v>
      </c>
      <c r="P44" s="123" t="n">
        <f aca="false">IF(AND(P$5&gt;=$M$14,P$5&lt;$N$14),$E$14-$F$14-IF(P$5&gt;=$H$14,$G$14,0),0)*($H$14&lt;&gt;0)+IF(AND(P$5&gt;=$M$14,P$5&lt;$N$14),$E$14-$F$14,0)*($H$14=0)</f>
        <v>1581.25</v>
      </c>
      <c r="Q44" s="123" t="n">
        <f aca="false">IF(AND(Q$5&gt;=$M$14,Q$5&lt;$N$14),$E$14-$F$14-IF(Q$5&gt;=$H$14,$G$14,0),0)*($H$14&lt;&gt;0)+IF(AND(Q$5&gt;=$M$14,Q$5&lt;$N$14),$E$14-$F$14,0)*($H$14=0)</f>
        <v>1581.25</v>
      </c>
      <c r="R44" s="123" t="n">
        <f aca="false">IF(AND(R$5&gt;=$M$14,R$5&lt;$N$14),$E$14-$F$14-IF(R$5&gt;=$H$14,$G$14,0),0)*($H$14&lt;&gt;0)+IF(AND(R$5&gt;=$M$14,R$5&lt;$N$14),$E$14-$F$14,0)*($H$14=0)</f>
        <v>1581.25</v>
      </c>
      <c r="S44" s="123" t="n">
        <f aca="false">IF(AND(S$5&gt;=$M$14,S$5&lt;$N$14),$E$14-$F$14-IF(S$5&gt;=$H$14,$G$14,0),0)*($H$14&lt;&gt;0)+IF(AND(S$5&gt;=$M$14,S$5&lt;$N$14),$E$14-$F$14,0)*($H$14=0)</f>
        <v>1581.25</v>
      </c>
      <c r="T44" s="123" t="n">
        <f aca="false">IF(AND(T$5&gt;=$M$14,T$5&lt;$N$14),$E$14-$F$14-IF(T$5&gt;=$H$14,$G$14,0),0)*($H$14&lt;&gt;0)+IF(AND(T$5&gt;=$M$14,T$5&lt;$N$14),$E$14-$F$14,0)*($H$14=0)</f>
        <v>1581.25</v>
      </c>
      <c r="U44" s="123" t="n">
        <f aca="false">IF(AND(U$5&gt;=$M$14,U$5&lt;$N$14),$E$14-$F$14-IF(U$5&gt;=$H$14,$G$14,0),0)*($H$14&lt;&gt;0)+IF(AND(U$5&gt;=$M$14,U$5&lt;$N$14),$E$14-$F$14,0)*($H$14=0)</f>
        <v>1581.25</v>
      </c>
      <c r="V44" s="123" t="n">
        <f aca="false">IF(AND(V$5&gt;=$M$14,V$5&lt;$N$14),$E$14-$F$14-IF(V$5&gt;=$H$14,$G$14,0),0)*($H$14&lt;&gt;0)+IF(AND(V$5&gt;=$M$14,V$5&lt;$N$14),$E$14-$F$14,0)*($H$14=0)</f>
        <v>1581.25</v>
      </c>
      <c r="W44" s="123" t="n">
        <f aca="false">IF(AND(W$5&gt;=$M$14,W$5&lt;$N$14),$E$14-$F$14-IF(W$5&gt;=$H$14,$G$14,0),0)*($H$14&lt;&gt;0)+IF(AND(W$5&gt;=$M$14,W$5&lt;$N$14),$E$14-$F$14,0)*($H$14=0)</f>
        <v>1581.25</v>
      </c>
      <c r="X44" s="123" t="n">
        <f aca="false">IF(AND(X$5&gt;=$M$14,X$5&lt;$N$14),$E$14-$F$14-IF(X$5&gt;=$H$14,$G$14,0),0)*($H$14&lt;&gt;0)+IF(AND(X$5&gt;=$M$14,X$5&lt;$N$14),$E$14-$F$14,0)*($H$14=0)</f>
        <v>1581.25</v>
      </c>
      <c r="Y44" s="123" t="n">
        <f aca="false">IF(AND(Y$5&gt;=$M$14,Y$5&lt;$N$14),$E$14-$F$14-IF(Y$5&gt;=$H$14,$G$14,0),0)*($H$14&lt;&gt;0)+IF(AND(Y$5&gt;=$M$14,Y$5&lt;$N$14),$E$14-$F$14,0)*($H$14=0)</f>
        <v>1581.25</v>
      </c>
      <c r="Z44" s="123" t="n">
        <f aca="false">IF(AND(Z$5&gt;=$M$14,Z$5&lt;$N$14),$E$14-$F$14-IF(Z$5&gt;=$H$14,$G$14,0),0)*($H$14&lt;&gt;0)+IF(AND(Z$5&gt;=$M$14,Z$5&lt;$N$14),$E$14-$F$14,0)*($H$14=0)</f>
        <v>1581.25</v>
      </c>
      <c r="AA44" s="123" t="n">
        <f aca="false">IF(AND(AA$5&gt;=$M$14,AA$5&lt;$N$14),$E$14-$F$14-IF(AA$5&gt;=$H$14,$G$14,0),0)*($H$14&lt;&gt;0)+IF(AND(AA$5&gt;=$M$14,AA$5&lt;$N$14),$E$14-$F$14,0)*($H$14=0)</f>
        <v>1581.25</v>
      </c>
      <c r="AB44" s="123" t="n">
        <f aca="false">IF(AND(AB$5&gt;=$M$14,AB$5&lt;$N$14),$E$14-$F$14-IF(AB$5&gt;=$H$14,$G$14,0),0)*($H$14&lt;&gt;0)+IF(AND(AB$5&gt;=$M$14,AB$5&lt;$N$14),$E$14-$F$14,0)*($H$14=0)</f>
        <v>1581.25</v>
      </c>
      <c r="AC44" s="123" t="n">
        <f aca="false">IF(AND(AC$5&gt;=$M$14,AC$5&lt;$N$14),$E$14-$F$14-IF(AC$5&gt;=$H$14,$G$14,0),0)*($H$14&lt;&gt;0)+IF(AND(AC$5&gt;=$M$14,AC$5&lt;$N$14),$E$14-$F$14,0)*($H$14=0)</f>
        <v>1581.25</v>
      </c>
      <c r="AD44" s="123" t="n">
        <f aca="false">IF(AND(AD$5&gt;=$M$14,AD$5&lt;$N$14),$E$14-$F$14-IF(AD$5&gt;=$H$14,$G$14,0),0)*($H$14&lt;&gt;0)+IF(AND(AD$5&gt;=$M$14,AD$5&lt;$N$14),$E$14-$F$14,0)*($H$14=0)</f>
        <v>1581.25</v>
      </c>
      <c r="AE44" s="123" t="n">
        <f aca="false">IF(AND(AE$5&gt;=$M$14,AE$5&lt;$N$14),$E$14-$F$14-IF(AE$5&gt;=$H$14,$G$14,0),0)*($H$14&lt;&gt;0)+IF(AND(AE$5&gt;=$M$14,AE$5&lt;$N$14),$E$14-$F$14,0)*($H$14=0)</f>
        <v>1581.25</v>
      </c>
      <c r="AF44" s="123" t="n">
        <f aca="false">IF(AND(AF$5&gt;=$M$14,AF$5&lt;$N$14),$E$14-$F$14-IF(AF$5&gt;=$H$14,$G$14,0),0)*($H$14&lt;&gt;0)+IF(AND(AF$5&gt;=$M$14,AF$5&lt;$N$14),$E$14-$F$14,0)*($H$14=0)</f>
        <v>0</v>
      </c>
      <c r="AG44" s="123" t="n">
        <f aca="false">IF(AND(AG$5&gt;=$M$14,AG$5&lt;$N$14),$E$14-$F$14-IF(AG$5&gt;=$H$14,$G$14,0),0)*($H$14&lt;&gt;0)+IF(AND(AG$5&gt;=$M$14,AG$5&lt;$N$14),$E$14-$F$14,0)*($H$14=0)</f>
        <v>0</v>
      </c>
      <c r="AI44" s="123" t="n">
        <f aca="false">INDEX($F44:$AG44,1,MATCH(AI$7,$F$7:$AG$7,1))</f>
        <v>0</v>
      </c>
      <c r="AJ44" s="123" t="n">
        <f aca="false">INDEX($F44:$AG44,1,MATCH(AJ$7,$F$7:$AG$7,1))</f>
        <v>1581.25</v>
      </c>
      <c r="AK44" s="123" t="n">
        <f aca="false">INDEX($F44:$AG44,1,MATCH(AK$7,$F$7:$AG$7,1))</f>
        <v>1581.25</v>
      </c>
      <c r="AL44" s="123" t="n">
        <f aca="false">INDEX($F44:$AG44,1,MATCH(AL$7,$F$7:$AG$7,1))</f>
        <v>1581.25</v>
      </c>
      <c r="AM44" s="123" t="n">
        <f aca="false">INDEX($F44:$AG44,1,MATCH(AM$7,$F$7:$AG$7,1))</f>
        <v>1581.25</v>
      </c>
      <c r="AN44" s="123" t="n">
        <f aca="false">INDEX($F44:$AG44,1,MATCH(AN$7,$F$7:$AG$7,1))</f>
        <v>1581.25</v>
      </c>
      <c r="AO44" s="123" t="n">
        <f aca="false">INDEX($F44:$AG44,1,MATCH(AO$7,$F$7:$AG$7,1))</f>
        <v>0</v>
      </c>
    </row>
    <row r="45" customFormat="false" ht="15" hidden="false" customHeight="false" outlineLevel="0" collapsed="false">
      <c r="A45" s="104" t="s">
        <v>2057</v>
      </c>
      <c r="B45" s="20" t="s">
        <v>561</v>
      </c>
      <c r="C45" s="20" t="s">
        <v>550</v>
      </c>
      <c r="D45" s="20"/>
      <c r="F45" s="122" t="n">
        <f aca="false">F44*$C$14/4</f>
        <v>0</v>
      </c>
      <c r="G45" s="122" t="n">
        <f aca="false">G44*$C$14/4</f>
        <v>0</v>
      </c>
      <c r="H45" s="122" t="n">
        <f aca="false">H44*$C$14/4</f>
        <v>0</v>
      </c>
      <c r="I45" s="122" t="n">
        <f aca="false">I44*$C$14/4</f>
        <v>0</v>
      </c>
      <c r="J45" s="122" t="n">
        <f aca="false">J44*$C$14/4</f>
        <v>0</v>
      </c>
      <c r="K45" s="122" t="n">
        <f aca="false">K44*$C$14/4</f>
        <v>0</v>
      </c>
      <c r="L45" s="122" t="n">
        <f aca="false">L44*$C$14/4</f>
        <v>3.953125</v>
      </c>
      <c r="M45" s="122" t="n">
        <f aca="false">M44*$C$14/4</f>
        <v>3.953125</v>
      </c>
      <c r="N45" s="122" t="n">
        <f aca="false">N44*$C$14/4</f>
        <v>3.953125</v>
      </c>
      <c r="O45" s="122" t="n">
        <f aca="false">O44*$C$14/4</f>
        <v>3.953125</v>
      </c>
      <c r="P45" s="123" t="n">
        <f aca="false">P44*$C$14/4</f>
        <v>3.953125</v>
      </c>
      <c r="Q45" s="123" t="n">
        <f aca="false">Q44*$C$14/4</f>
        <v>3.953125</v>
      </c>
      <c r="R45" s="123" t="n">
        <f aca="false">R44*$C$14/4</f>
        <v>3.953125</v>
      </c>
      <c r="S45" s="123" t="n">
        <f aca="false">S44*$C$14/4</f>
        <v>3.953125</v>
      </c>
      <c r="T45" s="123" t="n">
        <f aca="false">T44*$C$14/4</f>
        <v>3.953125</v>
      </c>
      <c r="U45" s="123" t="n">
        <f aca="false">U44*$C$14/4</f>
        <v>3.953125</v>
      </c>
      <c r="V45" s="123" t="n">
        <f aca="false">V44*$C$14/4</f>
        <v>3.953125</v>
      </c>
      <c r="W45" s="123" t="n">
        <f aca="false">W44*$C$14/4</f>
        <v>3.953125</v>
      </c>
      <c r="X45" s="123" t="n">
        <f aca="false">X44*$C$14/4</f>
        <v>3.953125</v>
      </c>
      <c r="Y45" s="123" t="n">
        <f aca="false">Y44*$C$14/4</f>
        <v>3.953125</v>
      </c>
      <c r="Z45" s="123" t="n">
        <f aca="false">Z44*$C$14/4</f>
        <v>3.953125</v>
      </c>
      <c r="AA45" s="123" t="n">
        <f aca="false">AA44*$C$14/4</f>
        <v>3.953125</v>
      </c>
      <c r="AB45" s="123" t="n">
        <f aca="false">AB44*$C$14/4</f>
        <v>3.953125</v>
      </c>
      <c r="AC45" s="123" t="n">
        <f aca="false">AC44*$C$14/4</f>
        <v>3.953125</v>
      </c>
      <c r="AD45" s="123" t="n">
        <f aca="false">AD44*$C$14/4</f>
        <v>3.953125</v>
      </c>
      <c r="AE45" s="123" t="n">
        <f aca="false">AE44*$C$14/4</f>
        <v>3.953125</v>
      </c>
      <c r="AF45" s="123" t="n">
        <f aca="false">AF44*$C$14/4</f>
        <v>0</v>
      </c>
      <c r="AG45" s="123" t="n">
        <f aca="false">AG44*$C$14/4</f>
        <v>0</v>
      </c>
      <c r="AI45" s="123" t="n">
        <f aca="false">SUMIF($F$7:$AG$7,AI$7,$F45:$AG45)</f>
        <v>0</v>
      </c>
      <c r="AJ45" s="123" t="n">
        <f aca="false">SUMIF($F$7:$AG$7,AJ$7,$F45:$AG45)</f>
        <v>7.90625</v>
      </c>
      <c r="AK45" s="123" t="n">
        <f aca="false">SUMIF($F$7:$AG$7,AK$7,$F45:$AG45)</f>
        <v>15.8125</v>
      </c>
      <c r="AL45" s="123" t="n">
        <f aca="false">SUMIF($F$7:$AG$7,AL$7,$F45:$AG45)</f>
        <v>15.8125</v>
      </c>
      <c r="AM45" s="123" t="n">
        <f aca="false">SUMIF($F$7:$AG$7,AM$7,$F45:$AG45)</f>
        <v>15.8125</v>
      </c>
      <c r="AN45" s="123" t="n">
        <f aca="false">SUMIF($F$7:$AG$7,AN$7,$F45:$AG45)</f>
        <v>15.8125</v>
      </c>
      <c r="AO45" s="123" t="n">
        <f aca="false">SUMIF($F$7:$AG$7,AO$7,$F45:$AG45)</f>
        <v>7.90625</v>
      </c>
    </row>
    <row r="46" customFormat="false" ht="15" hidden="false" customHeight="false" outlineLevel="0" collapsed="false">
      <c r="A46" s="104" t="s">
        <v>2058</v>
      </c>
      <c r="B46" s="20" t="s">
        <v>561</v>
      </c>
      <c r="C46" s="20" t="s">
        <v>550</v>
      </c>
      <c r="D46" s="20"/>
      <c r="F46" s="122" t="n">
        <f aca="false">F44*($J$14-1)/(($D$14-$B$14)/91.3125)</f>
        <v>0</v>
      </c>
      <c r="G46" s="122" t="n">
        <f aca="false">G44*($J$14-1)/(($D$14-$B$14)/91.3125)</f>
        <v>0</v>
      </c>
      <c r="H46" s="122" t="n">
        <f aca="false">H44*($J$14-1)/(($D$14-$B$14)/91.3125)</f>
        <v>0</v>
      </c>
      <c r="I46" s="122" t="n">
        <f aca="false">I44*($J$14-1)/(($D$14-$B$14)/91.3125)</f>
        <v>0</v>
      </c>
      <c r="J46" s="122" t="n">
        <f aca="false">J44*($J$14-1)/(($D$14-$B$14)/91.3125)</f>
        <v>0</v>
      </c>
      <c r="K46" s="122" t="n">
        <f aca="false">K44*($J$14-1)/(($D$14-$B$14)/91.3125)</f>
        <v>0</v>
      </c>
      <c r="L46" s="122" t="n">
        <f aca="false">L44*($J$14-1)/(($D$14-$B$14)/91.3125)</f>
        <v>11.8609986822289</v>
      </c>
      <c r="M46" s="122" t="n">
        <f aca="false">M44*($J$14-1)/(($D$14-$B$14)/91.3125)</f>
        <v>11.8609986822289</v>
      </c>
      <c r="N46" s="122" t="n">
        <f aca="false">N44*($J$14-1)/(($D$14-$B$14)/91.3125)</f>
        <v>11.8609986822289</v>
      </c>
      <c r="O46" s="122" t="n">
        <f aca="false">O44*($J$14-1)/(($D$14-$B$14)/91.3125)</f>
        <v>11.8609986822289</v>
      </c>
      <c r="P46" s="123" t="n">
        <f aca="false">P44*($J$14-1)/(($D$14-$B$14)/91.3125)</f>
        <v>11.8609986822289</v>
      </c>
      <c r="Q46" s="123" t="n">
        <f aca="false">Q44*($J$14-1)/(($D$14-$B$14)/91.3125)</f>
        <v>11.8609986822289</v>
      </c>
      <c r="R46" s="123" t="n">
        <f aca="false">R44*($J$14-1)/(($D$14-$B$14)/91.3125)</f>
        <v>11.8609986822289</v>
      </c>
      <c r="S46" s="123" t="n">
        <f aca="false">S44*($J$14-1)/(($D$14-$B$14)/91.3125)</f>
        <v>11.8609986822289</v>
      </c>
      <c r="T46" s="123" t="n">
        <f aca="false">T44*($J$14-1)/(($D$14-$B$14)/91.3125)</f>
        <v>11.8609986822289</v>
      </c>
      <c r="U46" s="123" t="n">
        <f aca="false">U44*($J$14-1)/(($D$14-$B$14)/91.3125)</f>
        <v>11.8609986822289</v>
      </c>
      <c r="V46" s="123" t="n">
        <f aca="false">V44*($J$14-1)/(($D$14-$B$14)/91.3125)</f>
        <v>11.8609986822289</v>
      </c>
      <c r="W46" s="123" t="n">
        <f aca="false">W44*($J$14-1)/(($D$14-$B$14)/91.3125)</f>
        <v>11.8609986822289</v>
      </c>
      <c r="X46" s="123" t="n">
        <f aca="false">X44*($J$14-1)/(($D$14-$B$14)/91.3125)</f>
        <v>11.8609986822289</v>
      </c>
      <c r="Y46" s="123" t="n">
        <f aca="false">Y44*($J$14-1)/(($D$14-$B$14)/91.3125)</f>
        <v>11.8609986822289</v>
      </c>
      <c r="Z46" s="123" t="n">
        <f aca="false">Z44*($J$14-1)/(($D$14-$B$14)/91.3125)</f>
        <v>11.8609986822289</v>
      </c>
      <c r="AA46" s="123" t="n">
        <f aca="false">AA44*($J$14-1)/(($D$14-$B$14)/91.3125)</f>
        <v>11.8609986822289</v>
      </c>
      <c r="AB46" s="123" t="n">
        <f aca="false">AB44*($J$14-1)/(($D$14-$B$14)/91.3125)</f>
        <v>11.8609986822289</v>
      </c>
      <c r="AC46" s="123" t="n">
        <f aca="false">AC44*($J$14-1)/(($D$14-$B$14)/91.3125)</f>
        <v>11.8609986822289</v>
      </c>
      <c r="AD46" s="123" t="n">
        <f aca="false">AD44*($J$14-1)/(($D$14-$B$14)/91.3125)</f>
        <v>11.8609986822289</v>
      </c>
      <c r="AE46" s="123" t="n">
        <f aca="false">AE44*($J$14-1)/(($D$14-$B$14)/91.3125)</f>
        <v>11.8609986822289</v>
      </c>
      <c r="AF46" s="123" t="n">
        <f aca="false">AF44*($J$14-1)/(($D$14-$B$14)/91.3125)</f>
        <v>0</v>
      </c>
      <c r="AG46" s="123" t="n">
        <f aca="false">AG44*($J$14-1)/(($D$14-$B$14)/91.3125)</f>
        <v>0</v>
      </c>
      <c r="AI46" s="123" t="n">
        <f aca="false">SUMIF($F$7:$AG$7,AI$7,$F46:$AG46)</f>
        <v>0</v>
      </c>
      <c r="AJ46" s="123" t="n">
        <f aca="false">SUMIF($F$7:$AG$7,AJ$7,$F46:$AG46)</f>
        <v>23.7219973644578</v>
      </c>
      <c r="AK46" s="123" t="n">
        <f aca="false">SUMIF($F$7:$AG$7,AK$7,$F46:$AG46)</f>
        <v>47.4439947289156</v>
      </c>
      <c r="AL46" s="123" t="n">
        <f aca="false">SUMIF($F$7:$AG$7,AL$7,$F46:$AG46)</f>
        <v>47.4439947289156</v>
      </c>
      <c r="AM46" s="123" t="n">
        <f aca="false">SUMIF($F$7:$AG$7,AM$7,$F46:$AG46)</f>
        <v>47.4439947289156</v>
      </c>
      <c r="AN46" s="123" t="n">
        <f aca="false">SUMIF($F$7:$AG$7,AN$7,$F46:$AG46)</f>
        <v>47.4439947289156</v>
      </c>
      <c r="AO46" s="123" t="n">
        <f aca="false">SUMIF($F$7:$AG$7,AO$7,$F46:$AG46)</f>
        <v>23.7219973644578</v>
      </c>
    </row>
    <row r="47" customFormat="false" ht="15" hidden="false" customHeight="false" outlineLevel="0" collapsed="false">
      <c r="A47" s="104" t="s">
        <v>2059</v>
      </c>
      <c r="B47" s="20" t="s">
        <v>561</v>
      </c>
      <c r="C47" s="20" t="s">
        <v>550</v>
      </c>
      <c r="D47" s="20"/>
      <c r="F47" s="122" t="n">
        <f aca="false">F44*(1+($J$14-1)*MIN(1,MAX(0,(F$4-$B$14)/($D$14-$B$14))))</f>
        <v>0</v>
      </c>
      <c r="G47" s="122" t="n">
        <f aca="false">G44*(1+($J$14-1)*MIN(1,MAX(0,(G$4-$B$14)/($D$14-$B$14))))</f>
        <v>0</v>
      </c>
      <c r="H47" s="122" t="n">
        <f aca="false">H44*(1+($J$14-1)*MIN(1,MAX(0,(H$4-$B$14)/($D$14-$B$14))))</f>
        <v>0</v>
      </c>
      <c r="I47" s="122" t="n">
        <f aca="false">I44*(1+($J$14-1)*MIN(1,MAX(0,(I$4-$B$14)/($D$14-$B$14))))</f>
        <v>0</v>
      </c>
      <c r="J47" s="122" t="n">
        <f aca="false">J44*(1+($J$14-1)*MIN(1,MAX(0,(J$4-$B$14)/($D$14-$B$14))))</f>
        <v>0</v>
      </c>
      <c r="K47" s="122" t="n">
        <f aca="false">K44*(1+($J$14-1)*MIN(1,MAX(0,(K$4-$B$14)/($D$14-$B$14))))</f>
        <v>0</v>
      </c>
      <c r="L47" s="122" t="n">
        <f aca="false">L44*(1+($J$14-1)*MIN(1,MAX(0,(L$4-$B$14)/($D$14-$B$14))))</f>
        <v>1583.1984186747</v>
      </c>
      <c r="M47" s="122" t="n">
        <f aca="false">M44*(1+($J$14-1)*MIN(1,MAX(0,(M$4-$B$14)/($D$14-$B$14))))</f>
        <v>1595.14871987952</v>
      </c>
      <c r="N47" s="122" t="n">
        <f aca="false">N44*(1+($J$14-1)*MIN(1,MAX(0,(N$4-$B$14)/($D$14-$B$14))))</f>
        <v>1606.83923192771</v>
      </c>
      <c r="O47" s="122" t="n">
        <f aca="false">O44*(1+($J$14-1)*MIN(1,MAX(0,(O$4-$B$14)/($D$14-$B$14))))</f>
        <v>1618.65963855422</v>
      </c>
      <c r="P47" s="123" t="n">
        <f aca="false">P44*(1+($J$14-1)*MIN(1,MAX(0,(P$4-$B$14)/($D$14-$B$14))))</f>
        <v>1630.60993975904</v>
      </c>
      <c r="Q47" s="123" t="n">
        <f aca="false">Q44*(1+($J$14-1)*MIN(1,MAX(0,(Q$4-$B$14)/($D$14-$B$14))))</f>
        <v>1642.56024096386</v>
      </c>
      <c r="R47" s="123" t="n">
        <f aca="false">R44*(1+($J$14-1)*MIN(1,MAX(0,(R$4-$B$14)/($D$14-$B$14))))</f>
        <v>1654.25075301205</v>
      </c>
      <c r="S47" s="123" t="n">
        <f aca="false">S44*(1+($J$14-1)*MIN(1,MAX(0,(S$4-$B$14)/($D$14-$B$14))))</f>
        <v>1666.07115963855</v>
      </c>
      <c r="T47" s="123" t="n">
        <f aca="false">T44*(1+($J$14-1)*MIN(1,MAX(0,(T$4-$B$14)/($D$14-$B$14))))</f>
        <v>1678.02146084337</v>
      </c>
      <c r="U47" s="123" t="n">
        <f aca="false">U44*(1+($J$14-1)*MIN(1,MAX(0,(U$4-$B$14)/($D$14-$B$14))))</f>
        <v>1689.97176204819</v>
      </c>
      <c r="V47" s="123" t="n">
        <f aca="false">V44*(1+($J$14-1)*MIN(1,MAX(0,(V$4-$B$14)/($D$14-$B$14))))</f>
        <v>1701.7921686747</v>
      </c>
      <c r="W47" s="123" t="n">
        <f aca="false">W44*(1+($J$14-1)*MIN(1,MAX(0,(W$4-$B$14)/($D$14-$B$14))))</f>
        <v>1713.6125753012</v>
      </c>
      <c r="X47" s="123" t="n">
        <f aca="false">X44*(1+($J$14-1)*MIN(1,MAX(0,(X$4-$B$14)/($D$14-$B$14))))</f>
        <v>1725.56287650602</v>
      </c>
      <c r="Y47" s="123" t="n">
        <f aca="false">Y44*(1+($J$14-1)*MIN(1,MAX(0,(Y$4-$B$14)/($D$14-$B$14))))</f>
        <v>1737.51317771084</v>
      </c>
      <c r="Z47" s="123" t="n">
        <f aca="false">Z44*(1+($J$14-1)*MIN(1,MAX(0,(Z$4-$B$14)/($D$14-$B$14))))</f>
        <v>1749.20368975904</v>
      </c>
      <c r="AA47" s="123" t="n">
        <f aca="false">AA44*(1+($J$14-1)*MIN(1,MAX(0,(AA$4-$B$14)/($D$14-$B$14))))</f>
        <v>1761.02409638554</v>
      </c>
      <c r="AB47" s="123" t="n">
        <f aca="false">AB44*(1+($J$14-1)*MIN(1,MAX(0,(AB$4-$B$14)/($D$14-$B$14))))</f>
        <v>1772.97439759036</v>
      </c>
      <c r="AC47" s="123" t="n">
        <f aca="false">AC44*(1+($J$14-1)*MIN(1,MAX(0,(AC$4-$B$14)/($D$14-$B$14))))</f>
        <v>1784.92469879518</v>
      </c>
      <c r="AD47" s="123" t="n">
        <f aca="false">AD44*(1+($J$14-1)*MIN(1,MAX(0,(AD$4-$B$14)/($D$14-$B$14))))</f>
        <v>1796.61521084337</v>
      </c>
      <c r="AE47" s="123" t="n">
        <f aca="false">AE44*(1+($J$14-1)*MIN(1,MAX(0,(AE$4-$B$14)/($D$14-$B$14))))</f>
        <v>1808.43561746988</v>
      </c>
      <c r="AF47" s="123" t="n">
        <f aca="false">AF44*(1+($J$14-1)*MIN(1,MAX(0,(AF$4-$B$14)/($D$14-$B$14))))</f>
        <v>0</v>
      </c>
      <c r="AG47" s="123" t="n">
        <f aca="false">AG44*(1+($J$14-1)*MIN(1,MAX(0,(AG$4-$B$14)/($D$14-$B$14))))</f>
        <v>0</v>
      </c>
      <c r="AI47" s="123" t="n">
        <f aca="false">INDEX($F47:$AG47,1,MATCH(AI$7,$F$7:$AG$7,1))</f>
        <v>0</v>
      </c>
      <c r="AJ47" s="123" t="n">
        <f aca="false">INDEX($F47:$AG47,1,MATCH(AJ$7,$F$7:$AG$7,1))</f>
        <v>1595.14871987952</v>
      </c>
      <c r="AK47" s="123" t="n">
        <f aca="false">INDEX($F47:$AG47,1,MATCH(AK$7,$F$7:$AG$7,1))</f>
        <v>1642.56024096386</v>
      </c>
      <c r="AL47" s="123" t="n">
        <f aca="false">INDEX($F47:$AG47,1,MATCH(AL$7,$F$7:$AG$7,1))</f>
        <v>1689.97176204819</v>
      </c>
      <c r="AM47" s="123" t="n">
        <f aca="false">INDEX($F47:$AG47,1,MATCH(AM$7,$F$7:$AG$7,1))</f>
        <v>1737.51317771084</v>
      </c>
      <c r="AN47" s="123" t="n">
        <f aca="false">INDEX($F47:$AG47,1,MATCH(AN$7,$F$7:$AG$7,1))</f>
        <v>1784.92469879518</v>
      </c>
      <c r="AO47" s="123" t="n">
        <f aca="false">INDEX($F47:$AG47,1,MATCH(AO$7,$F$7:$AG$7,1))</f>
        <v>0</v>
      </c>
    </row>
    <row r="48" customFormat="false" ht="15" hidden="false" customHeight="false" outlineLevel="0" collapsed="false">
      <c r="A48" s="104" t="s">
        <v>2060</v>
      </c>
      <c r="B48" s="20" t="s">
        <v>561</v>
      </c>
      <c r="C48" s="20" t="s">
        <v>550</v>
      </c>
      <c r="D48" s="20"/>
      <c r="F48" s="122" t="n">
        <f aca="false">IF(F$5=$N$14,E44*$J$14*(1-$O$14),0)</f>
        <v>0</v>
      </c>
      <c r="G48" s="122" t="n">
        <f aca="false">IF(G$5=$N$14,F44*$J$14*(1-$O$14),0)</f>
        <v>0</v>
      </c>
      <c r="H48" s="122" t="n">
        <f aca="false">IF(H$5=$N$14,G44*$J$14*(1-$O$14),0)</f>
        <v>0</v>
      </c>
      <c r="I48" s="122" t="n">
        <f aca="false">IF(I$5=$N$14,H44*$J$14*(1-$O$14),0)</f>
        <v>0</v>
      </c>
      <c r="J48" s="122" t="n">
        <f aca="false">IF(J$5=$N$14,I44*$J$14*(1-$O$14),0)</f>
        <v>0</v>
      </c>
      <c r="K48" s="122" t="n">
        <f aca="false">IF(K$5=$N$14,J44*$J$14*(1-$O$14),0)</f>
        <v>0</v>
      </c>
      <c r="L48" s="122" t="n">
        <f aca="false">IF(L$5=$N$14,K44*$J$14*(1-$O$14),0)</f>
        <v>0</v>
      </c>
      <c r="M48" s="122" t="n">
        <f aca="false">IF(M$5=$N$14,L44*$J$14*(1-$O$14),0)</f>
        <v>0</v>
      </c>
      <c r="N48" s="122" t="n">
        <f aca="false">IF(N$5=$N$14,M44*$J$14*(1-$O$14),0)</f>
        <v>0</v>
      </c>
      <c r="O48" s="122" t="n">
        <f aca="false">IF(O$5=$N$14,N44*$J$14*(1-$O$14),0)</f>
        <v>0</v>
      </c>
      <c r="P48" s="123" t="n">
        <f aca="false">IF(P$5=$N$14,O44*$J$14*(1-$O$14),0)</f>
        <v>0</v>
      </c>
      <c r="Q48" s="123" t="n">
        <f aca="false">IF(Q$5=$N$14,P44*$J$14*(1-$O$14),0)</f>
        <v>0</v>
      </c>
      <c r="R48" s="123" t="n">
        <f aca="false">IF(R$5=$N$14,Q44*$J$14*(1-$O$14),0)</f>
        <v>0</v>
      </c>
      <c r="S48" s="123" t="n">
        <f aca="false">IF(S$5=$N$14,R44*$J$14*(1-$O$14),0)</f>
        <v>0</v>
      </c>
      <c r="T48" s="123" t="n">
        <f aca="false">IF(T$5=$N$14,S44*$J$14*(1-$O$14),0)</f>
        <v>0</v>
      </c>
      <c r="U48" s="123" t="n">
        <f aca="false">IF(U$5=$N$14,T44*$J$14*(1-$O$14),0)</f>
        <v>0</v>
      </c>
      <c r="V48" s="123" t="n">
        <f aca="false">IF(V$5=$N$14,U44*$J$14*(1-$O$14),0)</f>
        <v>0</v>
      </c>
      <c r="W48" s="123" t="n">
        <f aca="false">IF(W$5=$N$14,V44*$J$14*(1-$O$14),0)</f>
        <v>0</v>
      </c>
      <c r="X48" s="123" t="n">
        <f aca="false">IF(X$5=$N$14,W44*$J$14*(1-$O$14),0)</f>
        <v>0</v>
      </c>
      <c r="Y48" s="123" t="n">
        <f aca="false">IF(Y$5=$N$14,X44*$J$14*(1-$O$14),0)</f>
        <v>0</v>
      </c>
      <c r="Z48" s="123" t="n">
        <f aca="false">IF(Z$5=$N$14,Y44*$J$14*(1-$O$14),0)</f>
        <v>0</v>
      </c>
      <c r="AA48" s="123" t="n">
        <f aca="false">IF(AA$5=$N$14,Z44*$J$14*(1-$O$14),0)</f>
        <v>0</v>
      </c>
      <c r="AB48" s="123" t="n">
        <f aca="false">IF(AB$5=$N$14,AA44*$J$14*(1-$O$14),0)</f>
        <v>0</v>
      </c>
      <c r="AC48" s="123" t="n">
        <f aca="false">IF(AC$5=$N$14,AB44*$J$14*(1-$O$14),0)</f>
        <v>0</v>
      </c>
      <c r="AD48" s="123" t="n">
        <f aca="false">IF(AD$5=$N$14,AC44*$J$14*(1-$O$14),0)</f>
        <v>0</v>
      </c>
      <c r="AE48" s="123" t="n">
        <f aca="false">IF(AE$5=$N$14,AD44*$J$14*(1-$O$14),0)</f>
        <v>0</v>
      </c>
      <c r="AF48" s="123" t="n">
        <f aca="false">IF(AF$5=$N$14,AE44*$J$14*(1-$O$14),0)</f>
        <v>0</v>
      </c>
      <c r="AG48" s="123" t="n">
        <f aca="false">IF(AG$5=$N$14,AF44*$J$14*(1-$O$14),0)</f>
        <v>0</v>
      </c>
      <c r="AI48" s="123" t="n">
        <f aca="false">SUMIF($F$7:$AG$7,AI$7,$F48:$AG48)</f>
        <v>0</v>
      </c>
      <c r="AJ48" s="123" t="n">
        <f aca="false">SUMIF($F$7:$AG$7,AJ$7,$F48:$AG48)</f>
        <v>0</v>
      </c>
      <c r="AK48" s="123" t="n">
        <f aca="false">SUMIF($F$7:$AG$7,AK$7,$F48:$AG48)</f>
        <v>0</v>
      </c>
      <c r="AL48" s="123" t="n">
        <f aca="false">SUMIF($F$7:$AG$7,AL$7,$F48:$AG48)</f>
        <v>0</v>
      </c>
      <c r="AM48" s="123" t="n">
        <f aca="false">SUMIF($F$7:$AG$7,AM$7,$F48:$AG48)</f>
        <v>0</v>
      </c>
      <c r="AN48" s="123" t="n">
        <f aca="false">SUMIF($F$7:$AG$7,AN$7,$F48:$AG48)</f>
        <v>0</v>
      </c>
      <c r="AO48" s="123" t="n">
        <f aca="false">SUMIF($F$7:$AG$7,AO$7,$F48:$AG48)</f>
        <v>0</v>
      </c>
    </row>
    <row r="49" customFormat="false" ht="15" hidden="false" customHeight="false" outlineLevel="0" collapsed="false">
      <c r="A49" s="104" t="s">
        <v>2061</v>
      </c>
      <c r="B49" s="20" t="s">
        <v>995</v>
      </c>
      <c r="C49" s="20" t="s">
        <v>550</v>
      </c>
      <c r="D49" s="20"/>
      <c r="F49" s="137" t="n">
        <f aca="false">IF(F$5=$N$14,E44*$K$14/1000*$O$14,0)</f>
        <v>0</v>
      </c>
      <c r="G49" s="137" t="n">
        <f aca="false">IF(G$5=$N$14,F44*$K$14/1000*$O$14,0)</f>
        <v>0</v>
      </c>
      <c r="H49" s="137" t="n">
        <f aca="false">IF(H$5=$N$14,G44*$K$14/1000*$O$14,0)</f>
        <v>0</v>
      </c>
      <c r="I49" s="137" t="n">
        <f aca="false">IF(I$5=$N$14,H44*$K$14/1000*$O$14,0)</f>
        <v>0</v>
      </c>
      <c r="J49" s="137" t="n">
        <f aca="false">IF(J$5=$N$14,I44*$K$14/1000*$O$14,0)</f>
        <v>0</v>
      </c>
      <c r="K49" s="137" t="n">
        <f aca="false">IF(K$5=$N$14,J44*$K$14/1000*$O$14,0)</f>
        <v>0</v>
      </c>
      <c r="L49" s="137" t="n">
        <f aca="false">IF(L$5=$N$14,K44*$K$14/1000*$O$14,0)</f>
        <v>0</v>
      </c>
      <c r="M49" s="137" t="n">
        <f aca="false">IF(M$5=$N$14,L44*$K$14/1000*$O$14,0)</f>
        <v>0</v>
      </c>
      <c r="N49" s="137" t="n">
        <f aca="false">IF(N$5=$N$14,M44*$K$14/1000*$O$14,0)</f>
        <v>0</v>
      </c>
      <c r="O49" s="137" t="n">
        <f aca="false">IF(O$5=$N$14,N44*$K$14/1000*$O$14,0)</f>
        <v>0</v>
      </c>
      <c r="P49" s="42" t="n">
        <f aca="false">IF(P$5=$N$14,O44*$K$14/1000*$O$14,0)</f>
        <v>0</v>
      </c>
      <c r="Q49" s="42" t="n">
        <f aca="false">IF(Q$5=$N$14,P44*$K$14/1000*$O$14,0)</f>
        <v>0</v>
      </c>
      <c r="R49" s="42" t="n">
        <f aca="false">IF(R$5=$N$14,Q44*$K$14/1000*$O$14,0)</f>
        <v>0</v>
      </c>
      <c r="S49" s="42" t="n">
        <f aca="false">IF(S$5=$N$14,R44*$K$14/1000*$O$14,0)</f>
        <v>0</v>
      </c>
      <c r="T49" s="42" t="n">
        <f aca="false">IF(T$5=$N$14,S44*$K$14/1000*$O$14,0)</f>
        <v>0</v>
      </c>
      <c r="U49" s="42" t="n">
        <f aca="false">IF(U$5=$N$14,T44*$K$14/1000*$O$14,0)</f>
        <v>0</v>
      </c>
      <c r="V49" s="42" t="n">
        <f aca="false">IF(V$5=$N$14,U44*$K$14/1000*$O$14,0)</f>
        <v>0</v>
      </c>
      <c r="W49" s="42" t="n">
        <f aca="false">IF(W$5=$N$14,V44*$K$14/1000*$O$14,0)</f>
        <v>0</v>
      </c>
      <c r="X49" s="42" t="n">
        <f aca="false">IF(X$5=$N$14,W44*$K$14/1000*$O$14,0)</f>
        <v>0</v>
      </c>
      <c r="Y49" s="42" t="n">
        <f aca="false">IF(Y$5=$N$14,X44*$K$14/1000*$O$14,0)</f>
        <v>0</v>
      </c>
      <c r="Z49" s="42" t="n">
        <f aca="false">IF(Z$5=$N$14,Y44*$K$14/1000*$O$14,0)</f>
        <v>0</v>
      </c>
      <c r="AA49" s="42" t="n">
        <f aca="false">IF(AA$5=$N$14,Z44*$K$14/1000*$O$14,0)</f>
        <v>0</v>
      </c>
      <c r="AB49" s="42" t="n">
        <f aca="false">IF(AB$5=$N$14,AA44*$K$14/1000*$O$14,0)</f>
        <v>0</v>
      </c>
      <c r="AC49" s="42" t="n">
        <f aca="false">IF(AC$5=$N$14,AB44*$K$14/1000*$O$14,0)</f>
        <v>0</v>
      </c>
      <c r="AD49" s="42" t="n">
        <f aca="false">IF(AD$5=$N$14,AC44*$K$14/1000*$O$14,0)</f>
        <v>0</v>
      </c>
      <c r="AE49" s="42" t="n">
        <f aca="false">IF(AE$5=$N$14,AD44*$K$14/1000*$O$14,0)</f>
        <v>0</v>
      </c>
      <c r="AF49" s="42" t="n">
        <f aca="false">IF(AF$5=$N$14,AE44*$K$14/1000*$O$14,0)</f>
        <v>11.396385</v>
      </c>
      <c r="AG49" s="42" t="n">
        <f aca="false">IF(AG$5=$N$14,AF44*$K$14/1000*$O$14,0)</f>
        <v>0</v>
      </c>
      <c r="AI49" s="42" t="n">
        <f aca="false">SUMIF($F$7:$AG$7,AI$7,$F49:$AG49)</f>
        <v>0</v>
      </c>
      <c r="AJ49" s="42" t="n">
        <f aca="false">SUMIF($F$7:$AG$7,AJ$7,$F49:$AG49)</f>
        <v>0</v>
      </c>
      <c r="AK49" s="42" t="n">
        <f aca="false">SUMIF($F$7:$AG$7,AK$7,$F49:$AG49)</f>
        <v>0</v>
      </c>
      <c r="AL49" s="42" t="n">
        <f aca="false">SUMIF($F$7:$AG$7,AL$7,$F49:$AG49)</f>
        <v>0</v>
      </c>
      <c r="AM49" s="42" t="n">
        <f aca="false">SUMIF($F$7:$AG$7,AM$7,$F49:$AG49)</f>
        <v>0</v>
      </c>
      <c r="AN49" s="42" t="n">
        <f aca="false">SUMIF($F$7:$AG$7,AN$7,$F49:$AG49)</f>
        <v>0</v>
      </c>
      <c r="AO49" s="42" t="n">
        <f aca="false">SUMIF($F$7:$AG$7,AO$7,$F49:$AG49)</f>
        <v>11.396385</v>
      </c>
    </row>
    <row r="50" customFormat="false" ht="15" hidden="false" customHeight="false" outlineLevel="0" collapsed="false">
      <c r="A50" s="104" t="s">
        <v>2062</v>
      </c>
      <c r="B50" s="20" t="s">
        <v>995</v>
      </c>
      <c r="C50" s="20" t="s">
        <v>495</v>
      </c>
      <c r="D50" s="20"/>
      <c r="F50" s="137" t="n">
        <f aca="false">IF(DilMethod=3,MAX(0,F44*$K$14/1000*DilPx-F47)/DilPx,F44*$K$14/1000*$P$14)</f>
        <v>0</v>
      </c>
      <c r="G50" s="137" t="n">
        <f aca="false">IF(DilMethod=3,MAX(0,G44*$K$14/1000*DilPx-G47)/DilPx,G44*$K$14/1000*$P$14)</f>
        <v>0</v>
      </c>
      <c r="H50" s="137" t="n">
        <f aca="false">IF(DilMethod=3,MAX(0,H44*$K$14/1000*DilPx-H47)/DilPx,H44*$K$14/1000*$P$14)</f>
        <v>0</v>
      </c>
      <c r="I50" s="137" t="n">
        <f aca="false">IF(DilMethod=3,MAX(0,I44*$K$14/1000*DilPx-I47)/DilPx,I44*$K$14/1000*$P$14)</f>
        <v>0</v>
      </c>
      <c r="J50" s="137" t="n">
        <f aca="false">IF(DilMethod=3,MAX(0,J44*$K$14/1000*DilPx-J47)/DilPx,J44*$K$14/1000*$P$14)</f>
        <v>0</v>
      </c>
      <c r="K50" s="137" t="n">
        <f aca="false">IF(DilMethod=3,MAX(0,K44*$K$14/1000*DilPx-K47)/DilPx,K44*$K$14/1000*$P$14)</f>
        <v>0</v>
      </c>
      <c r="L50" s="137" t="n">
        <f aca="false">IF(DilMethod=3,MAX(0,L44*$K$14/1000*DilPx-L47)/DilPx,L44*$K$14/1000*$P$14)</f>
        <v>0</v>
      </c>
      <c r="M50" s="137" t="n">
        <f aca="false">IF(DilMethod=3,MAX(0,M44*$K$14/1000*DilPx-M47)/DilPx,M44*$K$14/1000*$P$14)</f>
        <v>0</v>
      </c>
      <c r="N50" s="137" t="n">
        <f aca="false">IF(DilMethod=3,MAX(0,N44*$K$14/1000*DilPx-N47)/DilPx,N44*$K$14/1000*$P$14)</f>
        <v>0</v>
      </c>
      <c r="O50" s="137" t="n">
        <f aca="false">IF(DilMethod=3,MAX(0,O44*$K$14/1000*DilPx-O47)/DilPx,O44*$K$14/1000*$P$14)</f>
        <v>0</v>
      </c>
      <c r="P50" s="42" t="n">
        <f aca="false">IF(DilMethod=3,MAX(0,P44*$K$14/1000*DilPx-P47)/DilPx,P44*$K$14/1000*$P$14)</f>
        <v>0</v>
      </c>
      <c r="Q50" s="42" t="n">
        <f aca="false">IF(DilMethod=3,MAX(0,Q44*$K$14/1000*DilPx-Q47)/DilPx,Q44*$K$14/1000*$P$14)</f>
        <v>0</v>
      </c>
      <c r="R50" s="42" t="n">
        <f aca="false">IF(DilMethod=3,MAX(0,R44*$K$14/1000*DilPx-R47)/DilPx,R44*$K$14/1000*$P$14)</f>
        <v>0</v>
      </c>
      <c r="S50" s="42" t="n">
        <f aca="false">IF(DilMethod=3,MAX(0,S44*$K$14/1000*DilPx-S47)/DilPx,S44*$K$14/1000*$P$14)</f>
        <v>0</v>
      </c>
      <c r="T50" s="42" t="n">
        <f aca="false">IF(DilMethod=3,MAX(0,T44*$K$14/1000*DilPx-T47)/DilPx,T44*$K$14/1000*$P$14)</f>
        <v>0</v>
      </c>
      <c r="U50" s="42" t="n">
        <f aca="false">IF(DilMethod=3,MAX(0,U44*$K$14/1000*DilPx-U47)/DilPx,U44*$K$14/1000*$P$14)</f>
        <v>0</v>
      </c>
      <c r="V50" s="42" t="n">
        <f aca="false">IF(DilMethod=3,MAX(0,V44*$K$14/1000*DilPx-V47)/DilPx,V44*$K$14/1000*$P$14)</f>
        <v>0</v>
      </c>
      <c r="W50" s="42" t="n">
        <f aca="false">IF(DilMethod=3,MAX(0,W44*$K$14/1000*DilPx-W47)/DilPx,W44*$K$14/1000*$P$14)</f>
        <v>0</v>
      </c>
      <c r="X50" s="42" t="n">
        <f aca="false">IF(DilMethod=3,MAX(0,X44*$K$14/1000*DilPx-X47)/DilPx,X44*$K$14/1000*$P$14)</f>
        <v>0</v>
      </c>
      <c r="Y50" s="42" t="n">
        <f aca="false">IF(DilMethod=3,MAX(0,Y44*$K$14/1000*DilPx-Y47)/DilPx,Y44*$K$14/1000*$P$14)</f>
        <v>0</v>
      </c>
      <c r="Z50" s="42" t="n">
        <f aca="false">IF(DilMethod=3,MAX(0,Z44*$K$14/1000*DilPx-Z47)/DilPx,Z44*$K$14/1000*$P$14)</f>
        <v>0</v>
      </c>
      <c r="AA50" s="42" t="n">
        <f aca="false">IF(DilMethod=3,MAX(0,AA44*$K$14/1000*DilPx-AA47)/DilPx,AA44*$K$14/1000*$P$14)</f>
        <v>0</v>
      </c>
      <c r="AB50" s="42" t="n">
        <f aca="false">IF(DilMethod=3,MAX(0,AB44*$K$14/1000*DilPx-AB47)/DilPx,AB44*$K$14/1000*$P$14)</f>
        <v>0</v>
      </c>
      <c r="AC50" s="42" t="n">
        <f aca="false">IF(DilMethod=3,MAX(0,AC44*$K$14/1000*DilPx-AC47)/DilPx,AC44*$K$14/1000*$P$14)</f>
        <v>0</v>
      </c>
      <c r="AD50" s="42" t="n">
        <f aca="false">IF(DilMethod=3,MAX(0,AD44*$K$14/1000*DilPx-AD47)/DilPx,AD44*$K$14/1000*$P$14)</f>
        <v>0</v>
      </c>
      <c r="AE50" s="42" t="n">
        <f aca="false">IF(DilMethod=3,MAX(0,AE44*$K$14/1000*DilPx-AE47)/DilPx,AE44*$K$14/1000*$P$14)</f>
        <v>0</v>
      </c>
      <c r="AF50" s="42" t="n">
        <f aca="false">IF(DilMethod=3,MAX(0,AF44*$K$14/1000*DilPx-AF47)/DilPx,AF44*$K$14/1000*$P$14)</f>
        <v>0</v>
      </c>
      <c r="AG50" s="42" t="n">
        <f aca="false">IF(DilMethod=3,MAX(0,AG44*$K$14/1000*DilPx-AG47)/DilPx,AG44*$K$14/1000*$P$14)</f>
        <v>0</v>
      </c>
      <c r="AI50" s="42" t="n">
        <f aca="false">INDEX($F50:$AG50,1,MATCH(AI$7,$F$7:$AG$7,1))</f>
        <v>0</v>
      </c>
      <c r="AJ50" s="42" t="n">
        <f aca="false">INDEX($F50:$AG50,1,MATCH(AJ$7,$F$7:$AG$7,1))</f>
        <v>0</v>
      </c>
      <c r="AK50" s="42" t="n">
        <f aca="false">INDEX($F50:$AG50,1,MATCH(AK$7,$F$7:$AG$7,1))</f>
        <v>0</v>
      </c>
      <c r="AL50" s="42" t="n">
        <f aca="false">INDEX($F50:$AG50,1,MATCH(AL$7,$F$7:$AG$7,1))</f>
        <v>0</v>
      </c>
      <c r="AM50" s="42" t="n">
        <f aca="false">INDEX($F50:$AG50,1,MATCH(AM$7,$F$7:$AG$7,1))</f>
        <v>0</v>
      </c>
      <c r="AN50" s="42" t="n">
        <f aca="false">INDEX($F50:$AG50,1,MATCH(AN$7,$F$7:$AG$7,1))</f>
        <v>0</v>
      </c>
      <c r="AO50" s="42" t="n">
        <f aca="false">INDEX($F50:$AG50,1,MATCH(AO$7,$F$7:$AG$7,1))</f>
        <v>0</v>
      </c>
    </row>
    <row r="51" customFormat="false" ht="15" hidden="false" customHeight="false" outlineLevel="0" collapsed="false">
      <c r="A51" s="104" t="s">
        <v>2063</v>
      </c>
      <c r="B51" s="20" t="s">
        <v>561</v>
      </c>
      <c r="C51" s="20" t="s">
        <v>495</v>
      </c>
      <c r="D51" s="20"/>
      <c r="F51" s="122" t="n">
        <f aca="false">F47*IF(DilMethod=3,1,1-$P$14)</f>
        <v>0</v>
      </c>
      <c r="G51" s="122" t="n">
        <f aca="false">G47*IF(DilMethod=3,1,1-$P$14)</f>
        <v>0</v>
      </c>
      <c r="H51" s="122" t="n">
        <f aca="false">H47*IF(DilMethod=3,1,1-$P$14)</f>
        <v>0</v>
      </c>
      <c r="I51" s="122" t="n">
        <f aca="false">I47*IF(DilMethod=3,1,1-$P$14)</f>
        <v>0</v>
      </c>
      <c r="J51" s="122" t="n">
        <f aca="false">J47*IF(DilMethod=3,1,1-$P$14)</f>
        <v>0</v>
      </c>
      <c r="K51" s="122" t="n">
        <f aca="false">K47*IF(DilMethod=3,1,1-$P$14)</f>
        <v>0</v>
      </c>
      <c r="L51" s="122" t="n">
        <f aca="false">L47*IF(DilMethod=3,1,1-$P$14)</f>
        <v>1583.1984186747</v>
      </c>
      <c r="M51" s="122" t="n">
        <f aca="false">M47*IF(DilMethod=3,1,1-$P$14)</f>
        <v>1595.14871987952</v>
      </c>
      <c r="N51" s="122" t="n">
        <f aca="false">N47*IF(DilMethod=3,1,1-$P$14)</f>
        <v>1606.83923192771</v>
      </c>
      <c r="O51" s="122" t="n">
        <f aca="false">O47*IF(DilMethod=3,1,1-$P$14)</f>
        <v>1618.65963855422</v>
      </c>
      <c r="P51" s="123" t="n">
        <f aca="false">P47*IF(DilMethod=3,1,1-$P$14)</f>
        <v>1630.60993975904</v>
      </c>
      <c r="Q51" s="123" t="n">
        <f aca="false">Q47*IF(DilMethod=3,1,1-$P$14)</f>
        <v>1642.56024096386</v>
      </c>
      <c r="R51" s="123" t="n">
        <f aca="false">R47*IF(DilMethod=3,1,1-$P$14)</f>
        <v>1654.25075301205</v>
      </c>
      <c r="S51" s="123" t="n">
        <f aca="false">S47*IF(DilMethod=3,1,1-$P$14)</f>
        <v>1666.07115963855</v>
      </c>
      <c r="T51" s="123" t="n">
        <f aca="false">T47*IF(DilMethod=3,1,1-$P$14)</f>
        <v>1678.02146084337</v>
      </c>
      <c r="U51" s="123" t="n">
        <f aca="false">U47*IF(DilMethod=3,1,1-$P$14)</f>
        <v>1689.97176204819</v>
      </c>
      <c r="V51" s="123" t="n">
        <f aca="false">V47*IF(DilMethod=3,1,1-$P$14)</f>
        <v>1701.7921686747</v>
      </c>
      <c r="W51" s="123" t="n">
        <f aca="false">W47*IF(DilMethod=3,1,1-$P$14)</f>
        <v>1713.6125753012</v>
      </c>
      <c r="X51" s="123" t="n">
        <f aca="false">X47*IF(DilMethod=3,1,1-$P$14)</f>
        <v>1725.56287650602</v>
      </c>
      <c r="Y51" s="123" t="n">
        <f aca="false">Y47*IF(DilMethod=3,1,1-$P$14)</f>
        <v>1737.51317771084</v>
      </c>
      <c r="Z51" s="123" t="n">
        <f aca="false">Z47*IF(DilMethod=3,1,1-$P$14)</f>
        <v>1749.20368975904</v>
      </c>
      <c r="AA51" s="123" t="n">
        <f aca="false">AA47*IF(DilMethod=3,1,1-$P$14)</f>
        <v>1761.02409638554</v>
      </c>
      <c r="AB51" s="123" t="n">
        <f aca="false">AB47*IF(DilMethod=3,1,1-$P$14)</f>
        <v>1772.97439759036</v>
      </c>
      <c r="AC51" s="123" t="n">
        <f aca="false">AC47*IF(DilMethod=3,1,1-$P$14)</f>
        <v>1784.92469879518</v>
      </c>
      <c r="AD51" s="123" t="n">
        <f aca="false">AD47*IF(DilMethod=3,1,1-$P$14)</f>
        <v>1796.61521084337</v>
      </c>
      <c r="AE51" s="123" t="n">
        <f aca="false">AE47*IF(DilMethod=3,1,1-$P$14)</f>
        <v>1808.43561746988</v>
      </c>
      <c r="AF51" s="123" t="n">
        <f aca="false">AF47*IF(DilMethod=3,1,1-$P$14)</f>
        <v>0</v>
      </c>
      <c r="AG51" s="123" t="n">
        <f aca="false">AG47*IF(DilMethod=3,1,1-$P$14)</f>
        <v>0</v>
      </c>
      <c r="AI51" s="123" t="n">
        <f aca="false">INDEX($F51:$AG51,1,MATCH(AI$7,$F$7:$AG$7,1))</f>
        <v>0</v>
      </c>
      <c r="AJ51" s="123" t="n">
        <f aca="false">INDEX($F51:$AG51,1,MATCH(AJ$7,$F$7:$AG$7,1))</f>
        <v>1595.14871987952</v>
      </c>
      <c r="AK51" s="123" t="n">
        <f aca="false">INDEX($F51:$AG51,1,MATCH(AK$7,$F$7:$AG$7,1))</f>
        <v>1642.56024096386</v>
      </c>
      <c r="AL51" s="123" t="n">
        <f aca="false">INDEX($F51:$AG51,1,MATCH(AL$7,$F$7:$AG$7,1))</f>
        <v>1689.97176204819</v>
      </c>
      <c r="AM51" s="123" t="n">
        <f aca="false">INDEX($F51:$AG51,1,MATCH(AM$7,$F$7:$AG$7,1))</f>
        <v>1737.51317771084</v>
      </c>
      <c r="AN51" s="123" t="n">
        <f aca="false">INDEX($F51:$AG51,1,MATCH(AN$7,$F$7:$AG$7,1))</f>
        <v>1784.92469879518</v>
      </c>
      <c r="AO51" s="123" t="n">
        <f aca="false">INDEX($F51:$AG51,1,MATCH(AO$7,$F$7:$AG$7,1))</f>
        <v>0</v>
      </c>
    </row>
    <row r="52" customFormat="false" ht="15" hidden="false" customHeight="false" outlineLevel="0" collapsed="false">
      <c r="A52" s="104" t="s">
        <v>2064</v>
      </c>
      <c r="B52" s="20" t="s">
        <v>561</v>
      </c>
      <c r="C52" s="20" t="s">
        <v>550</v>
      </c>
      <c r="D52" s="20"/>
      <c r="F52" s="122" t="n">
        <f aca="false">IF(AND(F$5&gt;=$M$15,F$5&lt;$N$15),$E$15-$F$15-IF(F$5&gt;=$H$15,$G$15,0),0)*($H$15&lt;&gt;0)+IF(AND(F$5&gt;=$M$15,F$5&lt;$N$15),$E$15-$F$15,0)*($H$15=0)</f>
        <v>0</v>
      </c>
      <c r="G52" s="122" t="n">
        <f aca="false">IF(AND(G$5&gt;=$M$15,G$5&lt;$N$15),$E$15-$F$15-IF(G$5&gt;=$H$15,$G$15,0),0)*($H$15&lt;&gt;0)+IF(AND(G$5&gt;=$M$15,G$5&lt;$N$15),$E$15-$F$15,0)*($H$15=0)</f>
        <v>0</v>
      </c>
      <c r="H52" s="122" t="n">
        <f aca="false">IF(AND(H$5&gt;=$M$15,H$5&lt;$N$15),$E$15-$F$15-IF(H$5&gt;=$H$15,$G$15,0),0)*($H$15&lt;&gt;0)+IF(AND(H$5&gt;=$M$15,H$5&lt;$N$15),$E$15-$F$15,0)*($H$15=0)</f>
        <v>0</v>
      </c>
      <c r="I52" s="122" t="n">
        <f aca="false">IF(AND(I$5&gt;=$M$15,I$5&lt;$N$15),$E$15-$F$15-IF(I$5&gt;=$H$15,$G$15,0),0)*($H$15&lt;&gt;0)+IF(AND(I$5&gt;=$M$15,I$5&lt;$N$15),$E$15-$F$15,0)*($H$15=0)</f>
        <v>0</v>
      </c>
      <c r="J52" s="122" t="n">
        <f aca="false">IF(AND(J$5&gt;=$M$15,J$5&lt;$N$15),$E$15-$F$15-IF(J$5&gt;=$H$15,$G$15,0),0)*($H$15&lt;&gt;0)+IF(AND(J$5&gt;=$M$15,J$5&lt;$N$15),$E$15-$F$15,0)*($H$15=0)</f>
        <v>0</v>
      </c>
      <c r="K52" s="122" t="n">
        <f aca="false">IF(AND(K$5&gt;=$M$15,K$5&lt;$N$15),$E$15-$F$15-IF(K$5&gt;=$H$15,$G$15,0),0)*($H$15&lt;&gt;0)+IF(AND(K$5&gt;=$M$15,K$5&lt;$N$15),$E$15-$F$15,0)*($H$15=0)</f>
        <v>0</v>
      </c>
      <c r="L52" s="122" t="n">
        <f aca="false">IF(AND(L$5&gt;=$M$15,L$5&lt;$N$15),$E$15-$F$15-IF(L$5&gt;=$H$15,$G$15,0),0)*($H$15&lt;&gt;0)+IF(AND(L$5&gt;=$M$15,L$5&lt;$N$15),$E$15-$F$15,0)*($H$15=0)</f>
        <v>1581.25</v>
      </c>
      <c r="M52" s="122" t="n">
        <f aca="false">IF(AND(M$5&gt;=$M$15,M$5&lt;$N$15),$E$15-$F$15-IF(M$5&gt;=$H$15,$G$15,0),0)*($H$15&lt;&gt;0)+IF(AND(M$5&gt;=$M$15,M$5&lt;$N$15),$E$15-$F$15,0)*($H$15=0)</f>
        <v>1581.25</v>
      </c>
      <c r="N52" s="122" t="n">
        <f aca="false">IF(AND(N$5&gt;=$M$15,N$5&lt;$N$15),$E$15-$F$15-IF(N$5&gt;=$H$15,$G$15,0),0)*($H$15&lt;&gt;0)+IF(AND(N$5&gt;=$M$15,N$5&lt;$N$15),$E$15-$F$15,0)*($H$15=0)</f>
        <v>1581.25</v>
      </c>
      <c r="O52" s="122" t="n">
        <f aca="false">IF(AND(O$5&gt;=$M$15,O$5&lt;$N$15),$E$15-$F$15-IF(O$5&gt;=$H$15,$G$15,0),0)*($H$15&lt;&gt;0)+IF(AND(O$5&gt;=$M$15,O$5&lt;$N$15),$E$15-$F$15,0)*($H$15=0)</f>
        <v>1581.25</v>
      </c>
      <c r="P52" s="123" t="n">
        <f aca="false">IF(AND(P$5&gt;=$M$15,P$5&lt;$N$15),$E$15-$F$15-IF(P$5&gt;=$H$15,$G$15,0),0)*($H$15&lt;&gt;0)+IF(AND(P$5&gt;=$M$15,P$5&lt;$N$15),$E$15-$F$15,0)*($H$15=0)</f>
        <v>1581.25</v>
      </c>
      <c r="Q52" s="123" t="n">
        <f aca="false">IF(AND(Q$5&gt;=$M$15,Q$5&lt;$N$15),$E$15-$F$15-IF(Q$5&gt;=$H$15,$G$15,0),0)*($H$15&lt;&gt;0)+IF(AND(Q$5&gt;=$M$15,Q$5&lt;$N$15),$E$15-$F$15,0)*($H$15=0)</f>
        <v>1581.25</v>
      </c>
      <c r="R52" s="123" t="n">
        <f aca="false">IF(AND(R$5&gt;=$M$15,R$5&lt;$N$15),$E$15-$F$15-IF(R$5&gt;=$H$15,$G$15,0),0)*($H$15&lt;&gt;0)+IF(AND(R$5&gt;=$M$15,R$5&lt;$N$15),$E$15-$F$15,0)*($H$15=0)</f>
        <v>1581.25</v>
      </c>
      <c r="S52" s="123" t="n">
        <f aca="false">IF(AND(S$5&gt;=$M$15,S$5&lt;$N$15),$E$15-$F$15-IF(S$5&gt;=$H$15,$G$15,0),0)*($H$15&lt;&gt;0)+IF(AND(S$5&gt;=$M$15,S$5&lt;$N$15),$E$15-$F$15,0)*($H$15=0)</f>
        <v>1581.25</v>
      </c>
      <c r="T52" s="123" t="n">
        <f aca="false">IF(AND(T$5&gt;=$M$15,T$5&lt;$N$15),$E$15-$F$15-IF(T$5&gt;=$H$15,$G$15,0),0)*($H$15&lt;&gt;0)+IF(AND(T$5&gt;=$M$15,T$5&lt;$N$15),$E$15-$F$15,0)*($H$15=0)</f>
        <v>1581.25</v>
      </c>
      <c r="U52" s="123" t="n">
        <f aca="false">IF(AND(U$5&gt;=$M$15,U$5&lt;$N$15),$E$15-$F$15-IF(U$5&gt;=$H$15,$G$15,0),0)*($H$15&lt;&gt;0)+IF(AND(U$5&gt;=$M$15,U$5&lt;$N$15),$E$15-$F$15,0)*($H$15=0)</f>
        <v>1581.25</v>
      </c>
      <c r="V52" s="123" t="n">
        <f aca="false">IF(AND(V$5&gt;=$M$15,V$5&lt;$N$15),$E$15-$F$15-IF(V$5&gt;=$H$15,$G$15,0),0)*($H$15&lt;&gt;0)+IF(AND(V$5&gt;=$M$15,V$5&lt;$N$15),$E$15-$F$15,0)*($H$15=0)</f>
        <v>1581.25</v>
      </c>
      <c r="W52" s="123" t="n">
        <f aca="false">IF(AND(W$5&gt;=$M$15,W$5&lt;$N$15),$E$15-$F$15-IF(W$5&gt;=$H$15,$G$15,0),0)*($H$15&lt;&gt;0)+IF(AND(W$5&gt;=$M$15,W$5&lt;$N$15),$E$15-$F$15,0)*($H$15=0)</f>
        <v>1581.25</v>
      </c>
      <c r="X52" s="123" t="n">
        <f aca="false">IF(AND(X$5&gt;=$M$15,X$5&lt;$N$15),$E$15-$F$15-IF(X$5&gt;=$H$15,$G$15,0),0)*($H$15&lt;&gt;0)+IF(AND(X$5&gt;=$M$15,X$5&lt;$N$15),$E$15-$F$15,0)*($H$15=0)</f>
        <v>1581.25</v>
      </c>
      <c r="Y52" s="123" t="n">
        <f aca="false">IF(AND(Y$5&gt;=$M$15,Y$5&lt;$N$15),$E$15-$F$15-IF(Y$5&gt;=$H$15,$G$15,0),0)*($H$15&lt;&gt;0)+IF(AND(Y$5&gt;=$M$15,Y$5&lt;$N$15),$E$15-$F$15,0)*($H$15=0)</f>
        <v>1581.25</v>
      </c>
      <c r="Z52" s="123" t="n">
        <f aca="false">IF(AND(Z$5&gt;=$M$15,Z$5&lt;$N$15),$E$15-$F$15-IF(Z$5&gt;=$H$15,$G$15,0),0)*($H$15&lt;&gt;0)+IF(AND(Z$5&gt;=$M$15,Z$5&lt;$N$15),$E$15-$F$15,0)*($H$15=0)</f>
        <v>1581.25</v>
      </c>
      <c r="AA52" s="123" t="n">
        <f aca="false">IF(AND(AA$5&gt;=$M$15,AA$5&lt;$N$15),$E$15-$F$15-IF(AA$5&gt;=$H$15,$G$15,0),0)*($H$15&lt;&gt;0)+IF(AND(AA$5&gt;=$M$15,AA$5&lt;$N$15),$E$15-$F$15,0)*($H$15=0)</f>
        <v>1581.25</v>
      </c>
      <c r="AB52" s="123" t="n">
        <f aca="false">IF(AND(AB$5&gt;=$M$15,AB$5&lt;$N$15),$E$15-$F$15-IF(AB$5&gt;=$H$15,$G$15,0),0)*($H$15&lt;&gt;0)+IF(AND(AB$5&gt;=$M$15,AB$5&lt;$N$15),$E$15-$F$15,0)*($H$15=0)</f>
        <v>1581.25</v>
      </c>
      <c r="AC52" s="123" t="n">
        <f aca="false">IF(AND(AC$5&gt;=$M$15,AC$5&lt;$N$15),$E$15-$F$15-IF(AC$5&gt;=$H$15,$G$15,0),0)*($H$15&lt;&gt;0)+IF(AND(AC$5&gt;=$M$15,AC$5&lt;$N$15),$E$15-$F$15,0)*($H$15=0)</f>
        <v>1581.25</v>
      </c>
      <c r="AD52" s="123" t="n">
        <f aca="false">IF(AND(AD$5&gt;=$M$15,AD$5&lt;$N$15),$E$15-$F$15-IF(AD$5&gt;=$H$15,$G$15,0),0)*($H$15&lt;&gt;0)+IF(AND(AD$5&gt;=$M$15,AD$5&lt;$N$15),$E$15-$F$15,0)*($H$15=0)</f>
        <v>1581.25</v>
      </c>
      <c r="AE52" s="123" t="n">
        <f aca="false">IF(AND(AE$5&gt;=$M$15,AE$5&lt;$N$15),$E$15-$F$15-IF(AE$5&gt;=$H$15,$G$15,0),0)*($H$15&lt;&gt;0)+IF(AND(AE$5&gt;=$M$15,AE$5&lt;$N$15),$E$15-$F$15,0)*($H$15=0)</f>
        <v>1581.25</v>
      </c>
      <c r="AF52" s="123" t="n">
        <f aca="false">IF(AND(AF$5&gt;=$M$15,AF$5&lt;$N$15),$E$15-$F$15-IF(AF$5&gt;=$H$15,$G$15,0),0)*($H$15&lt;&gt;0)+IF(AND(AF$5&gt;=$M$15,AF$5&lt;$N$15),$E$15-$F$15,0)*($H$15=0)</f>
        <v>1581.25</v>
      </c>
      <c r="AG52" s="123" t="n">
        <f aca="false">IF(AND(AG$5&gt;=$M$15,AG$5&lt;$N$15),$E$15-$F$15-IF(AG$5&gt;=$H$15,$G$15,0),0)*($H$15&lt;&gt;0)+IF(AND(AG$5&gt;=$M$15,AG$5&lt;$N$15),$E$15-$F$15,0)*($H$15=0)</f>
        <v>1581.25</v>
      </c>
      <c r="AI52" s="123" t="n">
        <f aca="false">INDEX($F52:$AG52,1,MATCH(AI$7,$F$7:$AG$7,1))</f>
        <v>0</v>
      </c>
      <c r="AJ52" s="123" t="n">
        <f aca="false">INDEX($F52:$AG52,1,MATCH(AJ$7,$F$7:$AG$7,1))</f>
        <v>1581.25</v>
      </c>
      <c r="AK52" s="123" t="n">
        <f aca="false">INDEX($F52:$AG52,1,MATCH(AK$7,$F$7:$AG$7,1))</f>
        <v>1581.25</v>
      </c>
      <c r="AL52" s="123" t="n">
        <f aca="false">INDEX($F52:$AG52,1,MATCH(AL$7,$F$7:$AG$7,1))</f>
        <v>1581.25</v>
      </c>
      <c r="AM52" s="123" t="n">
        <f aca="false">INDEX($F52:$AG52,1,MATCH(AM$7,$F$7:$AG$7,1))</f>
        <v>1581.25</v>
      </c>
      <c r="AN52" s="123" t="n">
        <f aca="false">INDEX($F52:$AG52,1,MATCH(AN$7,$F$7:$AG$7,1))</f>
        <v>1581.25</v>
      </c>
      <c r="AO52" s="123" t="n">
        <f aca="false">INDEX($F52:$AG52,1,MATCH(AO$7,$F$7:$AG$7,1))</f>
        <v>1581.25</v>
      </c>
    </row>
    <row r="53" customFormat="false" ht="15" hidden="false" customHeight="false" outlineLevel="0" collapsed="false">
      <c r="A53" s="104" t="s">
        <v>2065</v>
      </c>
      <c r="B53" s="20" t="s">
        <v>561</v>
      </c>
      <c r="C53" s="20" t="s">
        <v>550</v>
      </c>
      <c r="D53" s="20"/>
      <c r="F53" s="122" t="n">
        <f aca="false">F52*$C$15/4</f>
        <v>0</v>
      </c>
      <c r="G53" s="122" t="n">
        <f aca="false">G52*$C$15/4</f>
        <v>0</v>
      </c>
      <c r="H53" s="122" t="n">
        <f aca="false">H52*$C$15/4</f>
        <v>0</v>
      </c>
      <c r="I53" s="122" t="n">
        <f aca="false">I52*$C$15/4</f>
        <v>0</v>
      </c>
      <c r="J53" s="122" t="n">
        <f aca="false">J52*$C$15/4</f>
        <v>0</v>
      </c>
      <c r="K53" s="122" t="n">
        <f aca="false">K52*$C$15/4</f>
        <v>0</v>
      </c>
      <c r="L53" s="122" t="n">
        <f aca="false">L52*$C$15/4</f>
        <v>10.87109375</v>
      </c>
      <c r="M53" s="122" t="n">
        <f aca="false">M52*$C$15/4</f>
        <v>10.87109375</v>
      </c>
      <c r="N53" s="122" t="n">
        <f aca="false">N52*$C$15/4</f>
        <v>10.87109375</v>
      </c>
      <c r="O53" s="122" t="n">
        <f aca="false">O52*$C$15/4</f>
        <v>10.87109375</v>
      </c>
      <c r="P53" s="123" t="n">
        <f aca="false">P52*$C$15/4</f>
        <v>10.87109375</v>
      </c>
      <c r="Q53" s="123" t="n">
        <f aca="false">Q52*$C$15/4</f>
        <v>10.87109375</v>
      </c>
      <c r="R53" s="123" t="n">
        <f aca="false">R52*$C$15/4</f>
        <v>10.87109375</v>
      </c>
      <c r="S53" s="123" t="n">
        <f aca="false">S52*$C$15/4</f>
        <v>10.87109375</v>
      </c>
      <c r="T53" s="123" t="n">
        <f aca="false">T52*$C$15/4</f>
        <v>10.87109375</v>
      </c>
      <c r="U53" s="123" t="n">
        <f aca="false">U52*$C$15/4</f>
        <v>10.87109375</v>
      </c>
      <c r="V53" s="123" t="n">
        <f aca="false">V52*$C$15/4</f>
        <v>10.87109375</v>
      </c>
      <c r="W53" s="123" t="n">
        <f aca="false">W52*$C$15/4</f>
        <v>10.87109375</v>
      </c>
      <c r="X53" s="123" t="n">
        <f aca="false">X52*$C$15/4</f>
        <v>10.87109375</v>
      </c>
      <c r="Y53" s="123" t="n">
        <f aca="false">Y52*$C$15/4</f>
        <v>10.87109375</v>
      </c>
      <c r="Z53" s="123" t="n">
        <f aca="false">Z52*$C$15/4</f>
        <v>10.87109375</v>
      </c>
      <c r="AA53" s="123" t="n">
        <f aca="false">AA52*$C$15/4</f>
        <v>10.87109375</v>
      </c>
      <c r="AB53" s="123" t="n">
        <f aca="false">AB52*$C$15/4</f>
        <v>10.87109375</v>
      </c>
      <c r="AC53" s="123" t="n">
        <f aca="false">AC52*$C$15/4</f>
        <v>10.87109375</v>
      </c>
      <c r="AD53" s="123" t="n">
        <f aca="false">AD52*$C$15/4</f>
        <v>10.87109375</v>
      </c>
      <c r="AE53" s="123" t="n">
        <f aca="false">AE52*$C$15/4</f>
        <v>10.87109375</v>
      </c>
      <c r="AF53" s="123" t="n">
        <f aca="false">AF52*$C$15/4</f>
        <v>10.87109375</v>
      </c>
      <c r="AG53" s="123" t="n">
        <f aca="false">AG52*$C$15/4</f>
        <v>10.87109375</v>
      </c>
      <c r="AI53" s="123" t="n">
        <f aca="false">SUMIF($F$7:$AG$7,AI$7,$F53:$AG53)</f>
        <v>0</v>
      </c>
      <c r="AJ53" s="123" t="n">
        <f aca="false">SUMIF($F$7:$AG$7,AJ$7,$F53:$AG53)</f>
        <v>21.7421875</v>
      </c>
      <c r="AK53" s="123" t="n">
        <f aca="false">SUMIF($F$7:$AG$7,AK$7,$F53:$AG53)</f>
        <v>43.484375</v>
      </c>
      <c r="AL53" s="123" t="n">
        <f aca="false">SUMIF($F$7:$AG$7,AL$7,$F53:$AG53)</f>
        <v>43.484375</v>
      </c>
      <c r="AM53" s="123" t="n">
        <f aca="false">SUMIF($F$7:$AG$7,AM$7,$F53:$AG53)</f>
        <v>43.484375</v>
      </c>
      <c r="AN53" s="123" t="n">
        <f aca="false">SUMIF($F$7:$AG$7,AN$7,$F53:$AG53)</f>
        <v>43.484375</v>
      </c>
      <c r="AO53" s="123" t="n">
        <f aca="false">SUMIF($F$7:$AG$7,AO$7,$F53:$AG53)</f>
        <v>43.484375</v>
      </c>
    </row>
    <row r="54" customFormat="false" ht="15" hidden="false" customHeight="false" outlineLevel="0" collapsed="false">
      <c r="A54" s="104" t="s">
        <v>2066</v>
      </c>
      <c r="B54" s="20" t="s">
        <v>561</v>
      </c>
      <c r="C54" s="20" t="s">
        <v>550</v>
      </c>
      <c r="D54" s="20"/>
      <c r="F54" s="122" t="n">
        <f aca="false">F52*($J$15-1)/(($D$15-$B$15)/91.3125)</f>
        <v>0</v>
      </c>
      <c r="G54" s="122" t="n">
        <f aca="false">G52*($J$15-1)/(($D$15-$B$15)/91.3125)</f>
        <v>0</v>
      </c>
      <c r="H54" s="122" t="n">
        <f aca="false">H52*($J$15-1)/(($D$15-$B$15)/91.3125)</f>
        <v>0</v>
      </c>
      <c r="I54" s="122" t="n">
        <f aca="false">I52*($J$15-1)/(($D$15-$B$15)/91.3125)</f>
        <v>0</v>
      </c>
      <c r="J54" s="122" t="n">
        <f aca="false">J52*($J$15-1)/(($D$15-$B$15)/91.3125)</f>
        <v>0</v>
      </c>
      <c r="K54" s="122" t="n">
        <f aca="false">K52*($J$15-1)/(($D$15-$B$15)/91.3125)</f>
        <v>0</v>
      </c>
      <c r="L54" s="122" t="n">
        <f aca="false">L52*($J$15-1)/(($D$15-$B$15)/91.3125)</f>
        <v>8.4701539279429</v>
      </c>
      <c r="M54" s="122" t="n">
        <f aca="false">M52*($J$15-1)/(($D$15-$B$15)/91.3125)</f>
        <v>8.4701539279429</v>
      </c>
      <c r="N54" s="122" t="n">
        <f aca="false">N52*($J$15-1)/(($D$15-$B$15)/91.3125)</f>
        <v>8.4701539279429</v>
      </c>
      <c r="O54" s="122" t="n">
        <f aca="false">O52*($J$15-1)/(($D$15-$B$15)/91.3125)</f>
        <v>8.4701539279429</v>
      </c>
      <c r="P54" s="123" t="n">
        <f aca="false">P52*($J$15-1)/(($D$15-$B$15)/91.3125)</f>
        <v>8.4701539279429</v>
      </c>
      <c r="Q54" s="123" t="n">
        <f aca="false">Q52*($J$15-1)/(($D$15-$B$15)/91.3125)</f>
        <v>8.4701539279429</v>
      </c>
      <c r="R54" s="123" t="n">
        <f aca="false">R52*($J$15-1)/(($D$15-$B$15)/91.3125)</f>
        <v>8.4701539279429</v>
      </c>
      <c r="S54" s="123" t="n">
        <f aca="false">S52*($J$15-1)/(($D$15-$B$15)/91.3125)</f>
        <v>8.4701539279429</v>
      </c>
      <c r="T54" s="123" t="n">
        <f aca="false">T52*($J$15-1)/(($D$15-$B$15)/91.3125)</f>
        <v>8.4701539279429</v>
      </c>
      <c r="U54" s="123" t="n">
        <f aca="false">U52*($J$15-1)/(($D$15-$B$15)/91.3125)</f>
        <v>8.4701539279429</v>
      </c>
      <c r="V54" s="123" t="n">
        <f aca="false">V52*($J$15-1)/(($D$15-$B$15)/91.3125)</f>
        <v>8.4701539279429</v>
      </c>
      <c r="W54" s="123" t="n">
        <f aca="false">W52*($J$15-1)/(($D$15-$B$15)/91.3125)</f>
        <v>8.4701539279429</v>
      </c>
      <c r="X54" s="123" t="n">
        <f aca="false">X52*($J$15-1)/(($D$15-$B$15)/91.3125)</f>
        <v>8.4701539279429</v>
      </c>
      <c r="Y54" s="123" t="n">
        <f aca="false">Y52*($J$15-1)/(($D$15-$B$15)/91.3125)</f>
        <v>8.4701539279429</v>
      </c>
      <c r="Z54" s="123" t="n">
        <f aca="false">Z52*($J$15-1)/(($D$15-$B$15)/91.3125)</f>
        <v>8.4701539279429</v>
      </c>
      <c r="AA54" s="123" t="n">
        <f aca="false">AA52*($J$15-1)/(($D$15-$B$15)/91.3125)</f>
        <v>8.4701539279429</v>
      </c>
      <c r="AB54" s="123" t="n">
        <f aca="false">AB52*($J$15-1)/(($D$15-$B$15)/91.3125)</f>
        <v>8.4701539279429</v>
      </c>
      <c r="AC54" s="123" t="n">
        <f aca="false">AC52*($J$15-1)/(($D$15-$B$15)/91.3125)</f>
        <v>8.4701539279429</v>
      </c>
      <c r="AD54" s="123" t="n">
        <f aca="false">AD52*($J$15-1)/(($D$15-$B$15)/91.3125)</f>
        <v>8.4701539279429</v>
      </c>
      <c r="AE54" s="123" t="n">
        <f aca="false">AE52*($J$15-1)/(($D$15-$B$15)/91.3125)</f>
        <v>8.4701539279429</v>
      </c>
      <c r="AF54" s="123" t="n">
        <f aca="false">AF52*($J$15-1)/(($D$15-$B$15)/91.3125)</f>
        <v>8.4701539279429</v>
      </c>
      <c r="AG54" s="123" t="n">
        <f aca="false">AG52*($J$15-1)/(($D$15-$B$15)/91.3125)</f>
        <v>8.4701539279429</v>
      </c>
      <c r="AI54" s="123" t="n">
        <f aca="false">SUMIF($F$7:$AG$7,AI$7,$F54:$AG54)</f>
        <v>0</v>
      </c>
      <c r="AJ54" s="123" t="n">
        <f aca="false">SUMIF($F$7:$AG$7,AJ$7,$F54:$AG54)</f>
        <v>16.9403078558858</v>
      </c>
      <c r="AK54" s="123" t="n">
        <f aca="false">SUMIF($F$7:$AG$7,AK$7,$F54:$AG54)</f>
        <v>33.8806157117716</v>
      </c>
      <c r="AL54" s="123" t="n">
        <f aca="false">SUMIF($F$7:$AG$7,AL$7,$F54:$AG54)</f>
        <v>33.8806157117716</v>
      </c>
      <c r="AM54" s="123" t="n">
        <f aca="false">SUMIF($F$7:$AG$7,AM$7,$F54:$AG54)</f>
        <v>33.8806157117716</v>
      </c>
      <c r="AN54" s="123" t="n">
        <f aca="false">SUMIF($F$7:$AG$7,AN$7,$F54:$AG54)</f>
        <v>33.8806157117716</v>
      </c>
      <c r="AO54" s="123" t="n">
        <f aca="false">SUMIF($F$7:$AG$7,AO$7,$F54:$AG54)</f>
        <v>33.8806157117716</v>
      </c>
    </row>
    <row r="55" customFormat="false" ht="15" hidden="false" customHeight="false" outlineLevel="0" collapsed="false">
      <c r="A55" s="104" t="s">
        <v>2067</v>
      </c>
      <c r="B55" s="20" t="s">
        <v>561</v>
      </c>
      <c r="C55" s="20" t="s">
        <v>550</v>
      </c>
      <c r="D55" s="20"/>
      <c r="F55" s="122" t="n">
        <f aca="false">F52*(1+($J$15-1)*MIN(1,MAX(0,(F$4-$B$15)/($D$15-$B$15))))</f>
        <v>0</v>
      </c>
      <c r="G55" s="122" t="n">
        <f aca="false">G52*(1+($J$15-1)*MIN(1,MAX(0,(G$4-$B$15)/($D$15-$B$15))))</f>
        <v>0</v>
      </c>
      <c r="H55" s="122" t="n">
        <f aca="false">H52*(1+($J$15-1)*MIN(1,MAX(0,(H$4-$B$15)/($D$15-$B$15))))</f>
        <v>0</v>
      </c>
      <c r="I55" s="122" t="n">
        <f aca="false">I52*(1+($J$15-1)*MIN(1,MAX(0,(I$4-$B$15)/($D$15-$B$15))))</f>
        <v>0</v>
      </c>
      <c r="J55" s="122" t="n">
        <f aca="false">J52*(1+($J$15-1)*MIN(1,MAX(0,(J$4-$B$15)/($D$15-$B$15))))</f>
        <v>0</v>
      </c>
      <c r="K55" s="122" t="n">
        <f aca="false">K52*(1+($J$15-1)*MIN(1,MAX(0,(K$4-$B$15)/($D$15-$B$15))))</f>
        <v>0</v>
      </c>
      <c r="L55" s="122" t="n">
        <f aca="false">L52*(1+($J$15-1)*MIN(1,MAX(0,(L$4-$B$15)/($D$15-$B$15))))</f>
        <v>1582.64140105593</v>
      </c>
      <c r="M55" s="122" t="n">
        <f aca="false">M52*(1+($J$15-1)*MIN(1,MAX(0,(M$4-$B$15)/($D$15-$B$15))))</f>
        <v>1591.17532753226</v>
      </c>
      <c r="N55" s="122" t="n">
        <f aca="false">N52*(1+($J$15-1)*MIN(1,MAX(0,(N$4-$B$15)/($D$15-$B$15))))</f>
        <v>1599.52373386781</v>
      </c>
      <c r="O55" s="122" t="n">
        <f aca="false">O52*(1+($J$15-1)*MIN(1,MAX(0,(O$4-$B$15)/($D$15-$B$15))))</f>
        <v>1607.96490027376</v>
      </c>
      <c r="P55" s="123" t="n">
        <f aca="false">P52*(1+($J$15-1)*MIN(1,MAX(0,(P$4-$B$15)/($D$15-$B$15))))</f>
        <v>1616.4988267501</v>
      </c>
      <c r="Q55" s="123" t="n">
        <f aca="false">Q52*(1+($J$15-1)*MIN(1,MAX(0,(Q$4-$B$15)/($D$15-$B$15))))</f>
        <v>1625.03275322644</v>
      </c>
      <c r="R55" s="123" t="n">
        <f aca="false">R52*(1+($J$15-1)*MIN(1,MAX(0,(R$4-$B$15)/($D$15-$B$15))))</f>
        <v>1633.38115956199</v>
      </c>
      <c r="S55" s="123" t="n">
        <f aca="false">S52*(1+($J$15-1)*MIN(1,MAX(0,(S$4-$B$15)/($D$15-$B$15))))</f>
        <v>1641.82232596793</v>
      </c>
      <c r="T55" s="123" t="n">
        <f aca="false">T52*(1+($J$15-1)*MIN(1,MAX(0,(T$4-$B$15)/($D$15-$B$15))))</f>
        <v>1650.35625244427</v>
      </c>
      <c r="U55" s="123" t="n">
        <f aca="false">U52*(1+($J$15-1)*MIN(1,MAX(0,(U$4-$B$15)/($D$15-$B$15))))</f>
        <v>1658.89017892061</v>
      </c>
      <c r="V55" s="123" t="n">
        <f aca="false">V52*(1+($J$15-1)*MIN(1,MAX(0,(V$4-$B$15)/($D$15-$B$15))))</f>
        <v>1667.33134532655</v>
      </c>
      <c r="W55" s="123" t="n">
        <f aca="false">W52*(1+($J$15-1)*MIN(1,MAX(0,(W$4-$B$15)/($D$15-$B$15))))</f>
        <v>1675.7725117325</v>
      </c>
      <c r="X55" s="123" t="n">
        <f aca="false">X52*(1+($J$15-1)*MIN(1,MAX(0,(X$4-$B$15)/($D$15-$B$15))))</f>
        <v>1684.30643820884</v>
      </c>
      <c r="Y55" s="123" t="n">
        <f aca="false">Y52*(1+($J$15-1)*MIN(1,MAX(0,(Y$4-$B$15)/($D$15-$B$15))))</f>
        <v>1692.84036468518</v>
      </c>
      <c r="Z55" s="123" t="n">
        <f aca="false">Z52*(1+($J$15-1)*MIN(1,MAX(0,(Z$4-$B$15)/($D$15-$B$15))))</f>
        <v>1701.18877102073</v>
      </c>
      <c r="AA55" s="123" t="n">
        <f aca="false">AA52*(1+($J$15-1)*MIN(1,MAX(0,(AA$4-$B$15)/($D$15-$B$15))))</f>
        <v>1709.62993742667</v>
      </c>
      <c r="AB55" s="123" t="n">
        <f aca="false">AB52*(1+($J$15-1)*MIN(1,MAX(0,(AB$4-$B$15)/($D$15-$B$15))))</f>
        <v>1718.16386390301</v>
      </c>
      <c r="AC55" s="123" t="n">
        <f aca="false">AC52*(1+($J$15-1)*MIN(1,MAX(0,(AC$4-$B$15)/($D$15-$B$15))))</f>
        <v>1726.69779037935</v>
      </c>
      <c r="AD55" s="123" t="n">
        <f aca="false">AD52*(1+($J$15-1)*MIN(1,MAX(0,(AD$4-$B$15)/($D$15-$B$15))))</f>
        <v>1735.0461967149</v>
      </c>
      <c r="AE55" s="123" t="n">
        <f aca="false">AE52*(1+($J$15-1)*MIN(1,MAX(0,(AE$4-$B$15)/($D$15-$B$15))))</f>
        <v>1743.48736312084</v>
      </c>
      <c r="AF55" s="123" t="n">
        <f aca="false">AF52*(1+($J$15-1)*MIN(1,MAX(0,(AF$4-$B$15)/($D$15-$B$15))))</f>
        <v>1752.02128959718</v>
      </c>
      <c r="AG55" s="123" t="n">
        <f aca="false">AG52*(1+($J$15-1)*MIN(1,MAX(0,(AG$4-$B$15)/($D$15-$B$15))))</f>
        <v>1760.55521607352</v>
      </c>
      <c r="AI55" s="123" t="n">
        <f aca="false">INDEX($F55:$AG55,1,MATCH(AI$7,$F$7:$AG$7,1))</f>
        <v>0</v>
      </c>
      <c r="AJ55" s="123" t="n">
        <f aca="false">INDEX($F55:$AG55,1,MATCH(AJ$7,$F$7:$AG$7,1))</f>
        <v>1591.17532753226</v>
      </c>
      <c r="AK55" s="123" t="n">
        <f aca="false">INDEX($F55:$AG55,1,MATCH(AK$7,$F$7:$AG$7,1))</f>
        <v>1625.03275322644</v>
      </c>
      <c r="AL55" s="123" t="n">
        <f aca="false">INDEX($F55:$AG55,1,MATCH(AL$7,$F$7:$AG$7,1))</f>
        <v>1658.89017892061</v>
      </c>
      <c r="AM55" s="123" t="n">
        <f aca="false">INDEX($F55:$AG55,1,MATCH(AM$7,$F$7:$AG$7,1))</f>
        <v>1692.84036468518</v>
      </c>
      <c r="AN55" s="123" t="n">
        <f aca="false">INDEX($F55:$AG55,1,MATCH(AN$7,$F$7:$AG$7,1))</f>
        <v>1726.69779037935</v>
      </c>
      <c r="AO55" s="123" t="n">
        <f aca="false">INDEX($F55:$AG55,1,MATCH(AO$7,$F$7:$AG$7,1))</f>
        <v>1760.55521607352</v>
      </c>
    </row>
    <row r="56" customFormat="false" ht="15" hidden="false" customHeight="false" outlineLevel="0" collapsed="false">
      <c r="A56" s="104" t="s">
        <v>2068</v>
      </c>
      <c r="B56" s="20" t="s">
        <v>561</v>
      </c>
      <c r="C56" s="20" t="s">
        <v>550</v>
      </c>
      <c r="D56" s="20"/>
      <c r="F56" s="122" t="n">
        <f aca="false">IF(F$5=$N$15,E52*$J$15*(1-$O$15),0)</f>
        <v>0</v>
      </c>
      <c r="G56" s="122" t="n">
        <f aca="false">IF(G$5=$N$15,F52*$J$15*(1-$O$15),0)</f>
        <v>0</v>
      </c>
      <c r="H56" s="122" t="n">
        <f aca="false">IF(H$5=$N$15,G52*$J$15*(1-$O$15),0)</f>
        <v>0</v>
      </c>
      <c r="I56" s="122" t="n">
        <f aca="false">IF(I$5=$N$15,H52*$J$15*(1-$O$15),0)</f>
        <v>0</v>
      </c>
      <c r="J56" s="122" t="n">
        <f aca="false">IF(J$5=$N$15,I52*$J$15*(1-$O$15),0)</f>
        <v>0</v>
      </c>
      <c r="K56" s="122" t="n">
        <f aca="false">IF(K$5=$N$15,J52*$J$15*(1-$O$15),0)</f>
        <v>0</v>
      </c>
      <c r="L56" s="122" t="n">
        <f aca="false">IF(L$5=$N$15,K52*$J$15*(1-$O$15),0)</f>
        <v>0</v>
      </c>
      <c r="M56" s="122" t="n">
        <f aca="false">IF(M$5=$N$15,L52*$J$15*(1-$O$15),0)</f>
        <v>0</v>
      </c>
      <c r="N56" s="122" t="n">
        <f aca="false">IF(N$5=$N$15,M52*$J$15*(1-$O$15),0)</f>
        <v>0</v>
      </c>
      <c r="O56" s="122" t="n">
        <f aca="false">IF(O$5=$N$15,N52*$J$15*(1-$O$15),0)</f>
        <v>0</v>
      </c>
      <c r="P56" s="123" t="n">
        <f aca="false">IF(P$5=$N$15,O52*$J$15*(1-$O$15),0)</f>
        <v>0</v>
      </c>
      <c r="Q56" s="123" t="n">
        <f aca="false">IF(Q$5=$N$15,P52*$J$15*(1-$O$15),0)</f>
        <v>0</v>
      </c>
      <c r="R56" s="123" t="n">
        <f aca="false">IF(R$5=$N$15,Q52*$J$15*(1-$O$15),0)</f>
        <v>0</v>
      </c>
      <c r="S56" s="123" t="n">
        <f aca="false">IF(S$5=$N$15,R52*$J$15*(1-$O$15),0)</f>
        <v>0</v>
      </c>
      <c r="T56" s="123" t="n">
        <f aca="false">IF(T$5=$N$15,S52*$J$15*(1-$O$15),0)</f>
        <v>0</v>
      </c>
      <c r="U56" s="123" t="n">
        <f aca="false">IF(U$5=$N$15,T52*$J$15*(1-$O$15),0)</f>
        <v>0</v>
      </c>
      <c r="V56" s="123" t="n">
        <f aca="false">IF(V$5=$N$15,U52*$J$15*(1-$O$15),0)</f>
        <v>0</v>
      </c>
      <c r="W56" s="123" t="n">
        <f aca="false">IF(W$5=$N$15,V52*$J$15*(1-$O$15),0)</f>
        <v>0</v>
      </c>
      <c r="X56" s="123" t="n">
        <f aca="false">IF(X$5=$N$15,W52*$J$15*(1-$O$15),0)</f>
        <v>0</v>
      </c>
      <c r="Y56" s="123" t="n">
        <f aca="false">IF(Y$5=$N$15,X52*$J$15*(1-$O$15),0)</f>
        <v>0</v>
      </c>
      <c r="Z56" s="123" t="n">
        <f aca="false">IF(Z$5=$N$15,Y52*$J$15*(1-$O$15),0)</f>
        <v>0</v>
      </c>
      <c r="AA56" s="123" t="n">
        <f aca="false">IF(AA$5=$N$15,Z52*$J$15*(1-$O$15),0)</f>
        <v>0</v>
      </c>
      <c r="AB56" s="123" t="n">
        <f aca="false">IF(AB$5=$N$15,AA52*$J$15*(1-$O$15),0)</f>
        <v>0</v>
      </c>
      <c r="AC56" s="123" t="n">
        <f aca="false">IF(AC$5=$N$15,AB52*$J$15*(1-$O$15),0)</f>
        <v>0</v>
      </c>
      <c r="AD56" s="123" t="n">
        <f aca="false">IF(AD$5=$N$15,AC52*$J$15*(1-$O$15),0)</f>
        <v>0</v>
      </c>
      <c r="AE56" s="123" t="n">
        <f aca="false">IF(AE$5=$N$15,AD52*$J$15*(1-$O$15),0)</f>
        <v>0</v>
      </c>
      <c r="AF56" s="123" t="n">
        <f aca="false">IF(AF$5=$N$15,AE52*$J$15*(1-$O$15),0)</f>
        <v>0</v>
      </c>
      <c r="AG56" s="123" t="n">
        <f aca="false">IF(AG$5=$N$15,AF52*$J$15*(1-$O$15),0)</f>
        <v>0</v>
      </c>
      <c r="AI56" s="123" t="n">
        <f aca="false">SUMIF($F$7:$AG$7,AI$7,$F56:$AG56)</f>
        <v>0</v>
      </c>
      <c r="AJ56" s="123" t="n">
        <f aca="false">SUMIF($F$7:$AG$7,AJ$7,$F56:$AG56)</f>
        <v>0</v>
      </c>
      <c r="AK56" s="123" t="n">
        <f aca="false">SUMIF($F$7:$AG$7,AK$7,$F56:$AG56)</f>
        <v>0</v>
      </c>
      <c r="AL56" s="123" t="n">
        <f aca="false">SUMIF($F$7:$AG$7,AL$7,$F56:$AG56)</f>
        <v>0</v>
      </c>
      <c r="AM56" s="123" t="n">
        <f aca="false">SUMIF($F$7:$AG$7,AM$7,$F56:$AG56)</f>
        <v>0</v>
      </c>
      <c r="AN56" s="123" t="n">
        <f aca="false">SUMIF($F$7:$AG$7,AN$7,$F56:$AG56)</f>
        <v>0</v>
      </c>
      <c r="AO56" s="123" t="n">
        <f aca="false">SUMIF($F$7:$AG$7,AO$7,$F56:$AG56)</f>
        <v>0</v>
      </c>
    </row>
    <row r="57" customFormat="false" ht="15" hidden="false" customHeight="false" outlineLevel="0" collapsed="false">
      <c r="A57" s="104" t="s">
        <v>2069</v>
      </c>
      <c r="B57" s="20" t="s">
        <v>995</v>
      </c>
      <c r="C57" s="20" t="s">
        <v>550</v>
      </c>
      <c r="D57" s="20"/>
      <c r="F57" s="137" t="n">
        <f aca="false">IF(F$5=$N$15,E52*$K$15/1000*$O$15,0)</f>
        <v>0</v>
      </c>
      <c r="G57" s="137" t="n">
        <f aca="false">IF(G$5=$N$15,F52*$K$15/1000*$O$15,0)</f>
        <v>0</v>
      </c>
      <c r="H57" s="137" t="n">
        <f aca="false">IF(H$5=$N$15,G52*$K$15/1000*$O$15,0)</f>
        <v>0</v>
      </c>
      <c r="I57" s="137" t="n">
        <f aca="false">IF(I$5=$N$15,H52*$K$15/1000*$O$15,0)</f>
        <v>0</v>
      </c>
      <c r="J57" s="137" t="n">
        <f aca="false">IF(J$5=$N$15,I52*$K$15/1000*$O$15,0)</f>
        <v>0</v>
      </c>
      <c r="K57" s="137" t="n">
        <f aca="false">IF(K$5=$N$15,J52*$K$15/1000*$O$15,0)</f>
        <v>0</v>
      </c>
      <c r="L57" s="137" t="n">
        <f aca="false">IF(L$5=$N$15,K52*$K$15/1000*$O$15,0)</f>
        <v>0</v>
      </c>
      <c r="M57" s="137" t="n">
        <f aca="false">IF(M$5=$N$15,L52*$K$15/1000*$O$15,0)</f>
        <v>0</v>
      </c>
      <c r="N57" s="137" t="n">
        <f aca="false">IF(N$5=$N$15,M52*$K$15/1000*$O$15,0)</f>
        <v>0</v>
      </c>
      <c r="O57" s="137" t="n">
        <f aca="false">IF(O$5=$N$15,N52*$K$15/1000*$O$15,0)</f>
        <v>0</v>
      </c>
      <c r="P57" s="42" t="n">
        <f aca="false">IF(P$5=$N$15,O52*$K$15/1000*$O$15,0)</f>
        <v>0</v>
      </c>
      <c r="Q57" s="42" t="n">
        <f aca="false">IF(Q$5=$N$15,P52*$K$15/1000*$O$15,0)</f>
        <v>0</v>
      </c>
      <c r="R57" s="42" t="n">
        <f aca="false">IF(R$5=$N$15,Q52*$K$15/1000*$O$15,0)</f>
        <v>0</v>
      </c>
      <c r="S57" s="42" t="n">
        <f aca="false">IF(S$5=$N$15,R52*$K$15/1000*$O$15,0)</f>
        <v>0</v>
      </c>
      <c r="T57" s="42" t="n">
        <f aca="false">IF(T$5=$N$15,S52*$K$15/1000*$O$15,0)</f>
        <v>0</v>
      </c>
      <c r="U57" s="42" t="n">
        <f aca="false">IF(U$5=$N$15,T52*$K$15/1000*$O$15,0)</f>
        <v>0</v>
      </c>
      <c r="V57" s="42" t="n">
        <f aca="false">IF(V$5=$N$15,U52*$K$15/1000*$O$15,0)</f>
        <v>0</v>
      </c>
      <c r="W57" s="42" t="n">
        <f aca="false">IF(W$5=$N$15,V52*$K$15/1000*$O$15,0)</f>
        <v>0</v>
      </c>
      <c r="X57" s="42" t="n">
        <f aca="false">IF(X$5=$N$15,W52*$K$15/1000*$O$15,0)</f>
        <v>0</v>
      </c>
      <c r="Y57" s="42" t="n">
        <f aca="false">IF(Y$5=$N$15,X52*$K$15/1000*$O$15,0)</f>
        <v>0</v>
      </c>
      <c r="Z57" s="42" t="n">
        <f aca="false">IF(Z$5=$N$15,Y52*$K$15/1000*$O$15,0)</f>
        <v>0</v>
      </c>
      <c r="AA57" s="42" t="n">
        <f aca="false">IF(AA$5=$N$15,Z52*$K$15/1000*$O$15,0)</f>
        <v>0</v>
      </c>
      <c r="AB57" s="42" t="n">
        <f aca="false">IF(AB$5=$N$15,AA52*$K$15/1000*$O$15,0)</f>
        <v>0</v>
      </c>
      <c r="AC57" s="42" t="n">
        <f aca="false">IF(AC$5=$N$15,AB52*$K$15/1000*$O$15,0)</f>
        <v>0</v>
      </c>
      <c r="AD57" s="42" t="n">
        <f aca="false">IF(AD$5=$N$15,AC52*$K$15/1000*$O$15,0)</f>
        <v>0</v>
      </c>
      <c r="AE57" s="42" t="n">
        <f aca="false">IF(AE$5=$N$15,AD52*$K$15/1000*$O$15,0)</f>
        <v>0</v>
      </c>
      <c r="AF57" s="42" t="n">
        <f aca="false">IF(AF$5=$N$15,AE52*$K$15/1000*$O$15,0)</f>
        <v>0</v>
      </c>
      <c r="AG57" s="42" t="n">
        <f aca="false">IF(AG$5=$N$15,AF52*$K$15/1000*$O$15,0)</f>
        <v>0</v>
      </c>
      <c r="AI57" s="42" t="n">
        <f aca="false">SUMIF($F$7:$AG$7,AI$7,$F57:$AG57)</f>
        <v>0</v>
      </c>
      <c r="AJ57" s="42" t="n">
        <f aca="false">SUMIF($F$7:$AG$7,AJ$7,$F57:$AG57)</f>
        <v>0</v>
      </c>
      <c r="AK57" s="42" t="n">
        <f aca="false">SUMIF($F$7:$AG$7,AK$7,$F57:$AG57)</f>
        <v>0</v>
      </c>
      <c r="AL57" s="42" t="n">
        <f aca="false">SUMIF($F$7:$AG$7,AL$7,$F57:$AG57)</f>
        <v>0</v>
      </c>
      <c r="AM57" s="42" t="n">
        <f aca="false">SUMIF($F$7:$AG$7,AM$7,$F57:$AG57)</f>
        <v>0</v>
      </c>
      <c r="AN57" s="42" t="n">
        <f aca="false">SUMIF($F$7:$AG$7,AN$7,$F57:$AG57)</f>
        <v>0</v>
      </c>
      <c r="AO57" s="42" t="n">
        <f aca="false">SUMIF($F$7:$AG$7,AO$7,$F57:$AG57)</f>
        <v>0</v>
      </c>
    </row>
    <row r="58" customFormat="false" ht="15" hidden="false" customHeight="false" outlineLevel="0" collapsed="false">
      <c r="A58" s="104" t="s">
        <v>2070</v>
      </c>
      <c r="B58" s="20" t="s">
        <v>995</v>
      </c>
      <c r="C58" s="20" t="s">
        <v>495</v>
      </c>
      <c r="D58" s="20"/>
      <c r="F58" s="137" t="n">
        <f aca="false">IF(DilMethod=3,MAX(0,F52*$K$15/1000*DilPx-F55)/DilPx,F52*$K$15/1000*$P$15)</f>
        <v>0</v>
      </c>
      <c r="G58" s="137" t="n">
        <f aca="false">IF(DilMethod=3,MAX(0,G52*$K$15/1000*DilPx-G55)/DilPx,G52*$K$15/1000*$P$15)</f>
        <v>0</v>
      </c>
      <c r="H58" s="137" t="n">
        <f aca="false">IF(DilMethod=3,MAX(0,H52*$K$15/1000*DilPx-H55)/DilPx,H52*$K$15/1000*$P$15)</f>
        <v>0</v>
      </c>
      <c r="I58" s="137" t="n">
        <f aca="false">IF(DilMethod=3,MAX(0,I52*$K$15/1000*DilPx-I55)/DilPx,I52*$K$15/1000*$P$15)</f>
        <v>0</v>
      </c>
      <c r="J58" s="137" t="n">
        <f aca="false">IF(DilMethod=3,MAX(0,J52*$K$15/1000*DilPx-J55)/DilPx,J52*$K$15/1000*$P$15)</f>
        <v>0</v>
      </c>
      <c r="K58" s="137" t="n">
        <f aca="false">IF(DilMethod=3,MAX(0,K52*$K$15/1000*DilPx-K55)/DilPx,K52*$K$15/1000*$P$15)</f>
        <v>0</v>
      </c>
      <c r="L58" s="137" t="n">
        <f aca="false">IF(DilMethod=3,MAX(0,L52*$K$15/1000*DilPx-L55)/DilPx,L52*$K$15/1000*$P$15)</f>
        <v>0</v>
      </c>
      <c r="M58" s="137" t="n">
        <f aca="false">IF(DilMethod=3,MAX(0,M52*$K$15/1000*DilPx-M55)/DilPx,M52*$K$15/1000*$P$15)</f>
        <v>0</v>
      </c>
      <c r="N58" s="137" t="n">
        <f aca="false">IF(DilMethod=3,MAX(0,N52*$K$15/1000*DilPx-N55)/DilPx,N52*$K$15/1000*$P$15)</f>
        <v>0</v>
      </c>
      <c r="O58" s="137" t="n">
        <f aca="false">IF(DilMethod=3,MAX(0,O52*$K$15/1000*DilPx-O55)/DilPx,O52*$K$15/1000*$P$15)</f>
        <v>0</v>
      </c>
      <c r="P58" s="42" t="n">
        <f aca="false">IF(DilMethod=3,MAX(0,P52*$K$15/1000*DilPx-P55)/DilPx,P52*$K$15/1000*$P$15)</f>
        <v>0</v>
      </c>
      <c r="Q58" s="42" t="n">
        <f aca="false">IF(DilMethod=3,MAX(0,Q52*$K$15/1000*DilPx-Q55)/DilPx,Q52*$K$15/1000*$P$15)</f>
        <v>0</v>
      </c>
      <c r="R58" s="42" t="n">
        <f aca="false">IF(DilMethod=3,MAX(0,R52*$K$15/1000*DilPx-R55)/DilPx,R52*$K$15/1000*$P$15)</f>
        <v>0</v>
      </c>
      <c r="S58" s="42" t="n">
        <f aca="false">IF(DilMethod=3,MAX(0,S52*$K$15/1000*DilPx-S55)/DilPx,S52*$K$15/1000*$P$15)</f>
        <v>0</v>
      </c>
      <c r="T58" s="42" t="n">
        <f aca="false">IF(DilMethod=3,MAX(0,T52*$K$15/1000*DilPx-T55)/DilPx,T52*$K$15/1000*$P$15)</f>
        <v>0</v>
      </c>
      <c r="U58" s="42" t="n">
        <f aca="false">IF(DilMethod=3,MAX(0,U52*$K$15/1000*DilPx-U55)/DilPx,U52*$K$15/1000*$P$15)</f>
        <v>0</v>
      </c>
      <c r="V58" s="42" t="n">
        <f aca="false">IF(DilMethod=3,MAX(0,V52*$K$15/1000*DilPx-V55)/DilPx,V52*$K$15/1000*$P$15)</f>
        <v>0</v>
      </c>
      <c r="W58" s="42" t="n">
        <f aca="false">IF(DilMethod=3,MAX(0,W52*$K$15/1000*DilPx-W55)/DilPx,W52*$K$15/1000*$P$15)</f>
        <v>0</v>
      </c>
      <c r="X58" s="42" t="n">
        <f aca="false">IF(DilMethod=3,MAX(0,X52*$K$15/1000*DilPx-X55)/DilPx,X52*$K$15/1000*$P$15)</f>
        <v>0</v>
      </c>
      <c r="Y58" s="42" t="n">
        <f aca="false">IF(DilMethod=3,MAX(0,Y52*$K$15/1000*DilPx-Y55)/DilPx,Y52*$K$15/1000*$P$15)</f>
        <v>0</v>
      </c>
      <c r="Z58" s="42" t="n">
        <f aca="false">IF(DilMethod=3,MAX(0,Z52*$K$15/1000*DilPx-Z55)/DilPx,Z52*$K$15/1000*$P$15)</f>
        <v>0</v>
      </c>
      <c r="AA58" s="42" t="n">
        <f aca="false">IF(DilMethod=3,MAX(0,AA52*$K$15/1000*DilPx-AA55)/DilPx,AA52*$K$15/1000*$P$15)</f>
        <v>0</v>
      </c>
      <c r="AB58" s="42" t="n">
        <f aca="false">IF(DilMethod=3,MAX(0,AB52*$K$15/1000*DilPx-AB55)/DilPx,AB52*$K$15/1000*$P$15)</f>
        <v>0</v>
      </c>
      <c r="AC58" s="42" t="n">
        <f aca="false">IF(DilMethod=3,MAX(0,AC52*$K$15/1000*DilPx-AC55)/DilPx,AC52*$K$15/1000*$P$15)</f>
        <v>0</v>
      </c>
      <c r="AD58" s="42" t="n">
        <f aca="false">IF(DilMethod=3,MAX(0,AD52*$K$15/1000*DilPx-AD55)/DilPx,AD52*$K$15/1000*$P$15)</f>
        <v>0</v>
      </c>
      <c r="AE58" s="42" t="n">
        <f aca="false">IF(DilMethod=3,MAX(0,AE52*$K$15/1000*DilPx-AE55)/DilPx,AE52*$K$15/1000*$P$15)</f>
        <v>0</v>
      </c>
      <c r="AF58" s="42" t="n">
        <f aca="false">IF(DilMethod=3,MAX(0,AF52*$K$15/1000*DilPx-AF55)/DilPx,AF52*$K$15/1000*$P$15)</f>
        <v>0</v>
      </c>
      <c r="AG58" s="42" t="n">
        <f aca="false">IF(DilMethod=3,MAX(0,AG52*$K$15/1000*DilPx-AG55)/DilPx,AG52*$K$15/1000*$P$15)</f>
        <v>0</v>
      </c>
      <c r="AI58" s="42" t="n">
        <f aca="false">INDEX($F58:$AG58,1,MATCH(AI$7,$F$7:$AG$7,1))</f>
        <v>0</v>
      </c>
      <c r="AJ58" s="42" t="n">
        <f aca="false">INDEX($F58:$AG58,1,MATCH(AJ$7,$F$7:$AG$7,1))</f>
        <v>0</v>
      </c>
      <c r="AK58" s="42" t="n">
        <f aca="false">INDEX($F58:$AG58,1,MATCH(AK$7,$F$7:$AG$7,1))</f>
        <v>0</v>
      </c>
      <c r="AL58" s="42" t="n">
        <f aca="false">INDEX($F58:$AG58,1,MATCH(AL$7,$F$7:$AG$7,1))</f>
        <v>0</v>
      </c>
      <c r="AM58" s="42" t="n">
        <f aca="false">INDEX($F58:$AG58,1,MATCH(AM$7,$F$7:$AG$7,1))</f>
        <v>0</v>
      </c>
      <c r="AN58" s="42" t="n">
        <f aca="false">INDEX($F58:$AG58,1,MATCH(AN$7,$F$7:$AG$7,1))</f>
        <v>0</v>
      </c>
      <c r="AO58" s="42" t="n">
        <f aca="false">INDEX($F58:$AG58,1,MATCH(AO$7,$F$7:$AG$7,1))</f>
        <v>0</v>
      </c>
    </row>
    <row r="59" customFormat="false" ht="15" hidden="false" customHeight="false" outlineLevel="0" collapsed="false">
      <c r="A59" s="104" t="s">
        <v>2071</v>
      </c>
      <c r="B59" s="20" t="s">
        <v>561</v>
      </c>
      <c r="C59" s="20" t="s">
        <v>495</v>
      </c>
      <c r="D59" s="20"/>
      <c r="F59" s="122" t="n">
        <f aca="false">F55*IF(DilMethod=3,1,1-$P$15)</f>
        <v>0</v>
      </c>
      <c r="G59" s="122" t="n">
        <f aca="false">G55*IF(DilMethod=3,1,1-$P$15)</f>
        <v>0</v>
      </c>
      <c r="H59" s="122" t="n">
        <f aca="false">H55*IF(DilMethod=3,1,1-$P$15)</f>
        <v>0</v>
      </c>
      <c r="I59" s="122" t="n">
        <f aca="false">I55*IF(DilMethod=3,1,1-$P$15)</f>
        <v>0</v>
      </c>
      <c r="J59" s="122" t="n">
        <f aca="false">J55*IF(DilMethod=3,1,1-$P$15)</f>
        <v>0</v>
      </c>
      <c r="K59" s="122" t="n">
        <f aca="false">K55*IF(DilMethod=3,1,1-$P$15)</f>
        <v>0</v>
      </c>
      <c r="L59" s="122" t="n">
        <f aca="false">L55*IF(DilMethod=3,1,1-$P$15)</f>
        <v>1582.64140105593</v>
      </c>
      <c r="M59" s="122" t="n">
        <f aca="false">M55*IF(DilMethod=3,1,1-$P$15)</f>
        <v>1591.17532753226</v>
      </c>
      <c r="N59" s="122" t="n">
        <f aca="false">N55*IF(DilMethod=3,1,1-$P$15)</f>
        <v>1599.52373386781</v>
      </c>
      <c r="O59" s="122" t="n">
        <f aca="false">O55*IF(DilMethod=3,1,1-$P$15)</f>
        <v>1607.96490027376</v>
      </c>
      <c r="P59" s="123" t="n">
        <f aca="false">P55*IF(DilMethod=3,1,1-$P$15)</f>
        <v>1616.4988267501</v>
      </c>
      <c r="Q59" s="123" t="n">
        <f aca="false">Q55*IF(DilMethod=3,1,1-$P$15)</f>
        <v>1625.03275322644</v>
      </c>
      <c r="R59" s="123" t="n">
        <f aca="false">R55*IF(DilMethod=3,1,1-$P$15)</f>
        <v>1633.38115956199</v>
      </c>
      <c r="S59" s="123" t="n">
        <f aca="false">S55*IF(DilMethod=3,1,1-$P$15)</f>
        <v>1641.82232596793</v>
      </c>
      <c r="T59" s="123" t="n">
        <f aca="false">T55*IF(DilMethod=3,1,1-$P$15)</f>
        <v>1650.35625244427</v>
      </c>
      <c r="U59" s="123" t="n">
        <f aca="false">U55*IF(DilMethod=3,1,1-$P$15)</f>
        <v>1658.89017892061</v>
      </c>
      <c r="V59" s="123" t="n">
        <f aca="false">V55*IF(DilMethod=3,1,1-$P$15)</f>
        <v>1667.33134532655</v>
      </c>
      <c r="W59" s="123" t="n">
        <f aca="false">W55*IF(DilMethod=3,1,1-$P$15)</f>
        <v>1675.7725117325</v>
      </c>
      <c r="X59" s="123" t="n">
        <f aca="false">X55*IF(DilMethod=3,1,1-$P$15)</f>
        <v>1684.30643820884</v>
      </c>
      <c r="Y59" s="123" t="n">
        <f aca="false">Y55*IF(DilMethod=3,1,1-$P$15)</f>
        <v>1692.84036468518</v>
      </c>
      <c r="Z59" s="123" t="n">
        <f aca="false">Z55*IF(DilMethod=3,1,1-$P$15)</f>
        <v>1701.18877102073</v>
      </c>
      <c r="AA59" s="123" t="n">
        <f aca="false">AA55*IF(DilMethod=3,1,1-$P$15)</f>
        <v>1709.62993742667</v>
      </c>
      <c r="AB59" s="123" t="n">
        <f aca="false">AB55*IF(DilMethod=3,1,1-$P$15)</f>
        <v>1718.16386390301</v>
      </c>
      <c r="AC59" s="123" t="n">
        <f aca="false">AC55*IF(DilMethod=3,1,1-$P$15)</f>
        <v>1726.69779037935</v>
      </c>
      <c r="AD59" s="123" t="n">
        <f aca="false">AD55*IF(DilMethod=3,1,1-$P$15)</f>
        <v>1735.0461967149</v>
      </c>
      <c r="AE59" s="123" t="n">
        <f aca="false">AE55*IF(DilMethod=3,1,1-$P$15)</f>
        <v>1743.48736312084</v>
      </c>
      <c r="AF59" s="123" t="n">
        <f aca="false">AF55*IF(DilMethod=3,1,1-$P$15)</f>
        <v>1752.02128959718</v>
      </c>
      <c r="AG59" s="123" t="n">
        <f aca="false">AG55*IF(DilMethod=3,1,1-$P$15)</f>
        <v>1760.55521607352</v>
      </c>
      <c r="AI59" s="123" t="n">
        <f aca="false">INDEX($F59:$AG59,1,MATCH(AI$7,$F$7:$AG$7,1))</f>
        <v>0</v>
      </c>
      <c r="AJ59" s="123" t="n">
        <f aca="false">INDEX($F59:$AG59,1,MATCH(AJ$7,$F$7:$AG$7,1))</f>
        <v>1591.17532753226</v>
      </c>
      <c r="AK59" s="123" t="n">
        <f aca="false">INDEX($F59:$AG59,1,MATCH(AK$7,$F$7:$AG$7,1))</f>
        <v>1625.03275322644</v>
      </c>
      <c r="AL59" s="123" t="n">
        <f aca="false">INDEX($F59:$AG59,1,MATCH(AL$7,$F$7:$AG$7,1))</f>
        <v>1658.89017892061</v>
      </c>
      <c r="AM59" s="123" t="n">
        <f aca="false">INDEX($F59:$AG59,1,MATCH(AM$7,$F$7:$AG$7,1))</f>
        <v>1692.84036468518</v>
      </c>
      <c r="AN59" s="123" t="n">
        <f aca="false">INDEX($F59:$AG59,1,MATCH(AN$7,$F$7:$AG$7,1))</f>
        <v>1726.69779037935</v>
      </c>
      <c r="AO59" s="123" t="n">
        <f aca="false">INDEX($F59:$AG59,1,MATCH(AO$7,$F$7:$AG$7,1))</f>
        <v>1760.55521607352</v>
      </c>
    </row>
    <row r="60" customFormat="false" ht="15" hidden="false" customHeight="false" outlineLevel="0" collapsed="false">
      <c r="A60" s="104" t="s">
        <v>2072</v>
      </c>
      <c r="B60" s="20" t="s">
        <v>561</v>
      </c>
      <c r="C60" s="20" t="s">
        <v>550</v>
      </c>
      <c r="D60" s="20"/>
      <c r="F60" s="122" t="n">
        <f aca="false">IF(AND(F$5&gt;=$M$16,F$5&lt;$N$16),$E$16-$F$16-IF(F$5&gt;=$H$16,$G$16,0),0)*($H$16&lt;&gt;0)+IF(AND(F$5&gt;=$M$16,F$5&lt;$N$16),$E$16-$F$16,0)*($H$16=0)</f>
        <v>0</v>
      </c>
      <c r="G60" s="122" t="n">
        <f aca="false">IF(AND(G$5&gt;=$M$16,G$5&lt;$N$16),$E$16-$F$16-IF(G$5&gt;=$H$16,$G$16,0),0)*($H$16&lt;&gt;0)+IF(AND(G$5&gt;=$M$16,G$5&lt;$N$16),$E$16-$F$16,0)*($H$16=0)</f>
        <v>0</v>
      </c>
      <c r="H60" s="122" t="n">
        <f aca="false">IF(AND(H$5&gt;=$M$16,H$5&lt;$N$16),$E$16-$F$16-IF(H$5&gt;=$H$16,$G$16,0),0)*($H$16&lt;&gt;0)+IF(AND(H$5&gt;=$M$16,H$5&lt;$N$16),$E$16-$F$16,0)*($H$16=0)</f>
        <v>0</v>
      </c>
      <c r="I60" s="122" t="n">
        <f aca="false">IF(AND(I$5&gt;=$M$16,I$5&lt;$N$16),$E$16-$F$16-IF(I$5&gt;=$H$16,$G$16,0),0)*($H$16&lt;&gt;0)+IF(AND(I$5&gt;=$M$16,I$5&lt;$N$16),$E$16-$F$16,0)*($H$16=0)</f>
        <v>0</v>
      </c>
      <c r="J60" s="122" t="n">
        <f aca="false">IF(AND(J$5&gt;=$M$16,J$5&lt;$N$16),$E$16-$F$16-IF(J$5&gt;=$H$16,$G$16,0),0)*($H$16&lt;&gt;0)+IF(AND(J$5&gt;=$M$16,J$5&lt;$N$16),$E$16-$F$16,0)*($H$16=0)</f>
        <v>0</v>
      </c>
      <c r="K60" s="122" t="n">
        <f aca="false">IF(AND(K$5&gt;=$M$16,K$5&lt;$N$16),$E$16-$F$16-IF(K$5&gt;=$H$16,$G$16,0),0)*($H$16&lt;&gt;0)+IF(AND(K$5&gt;=$M$16,K$5&lt;$N$16),$E$16-$F$16,0)*($H$16=0)</f>
        <v>0</v>
      </c>
      <c r="L60" s="122" t="n">
        <f aca="false">IF(AND(L$5&gt;=$M$16,L$5&lt;$N$16),$E$16-$F$16-IF(L$5&gt;=$H$16,$G$16,0),0)*($H$16&lt;&gt;0)+IF(AND(L$5&gt;=$M$16,L$5&lt;$N$16),$E$16-$F$16,0)*($H$16=0)</f>
        <v>0</v>
      </c>
      <c r="M60" s="122" t="n">
        <f aca="false">IF(AND(M$5&gt;=$M$16,M$5&lt;$N$16),$E$16-$F$16-IF(M$5&gt;=$H$16,$G$16,0),0)*($H$16&lt;&gt;0)+IF(AND(M$5&gt;=$M$16,M$5&lt;$N$16),$E$16-$F$16,0)*($H$16=0)</f>
        <v>0</v>
      </c>
      <c r="N60" s="122" t="n">
        <f aca="false">IF(AND(N$5&gt;=$M$16,N$5&lt;$N$16),$E$16-$F$16-IF(N$5&gt;=$H$16,$G$16,0),0)*($H$16&lt;&gt;0)+IF(AND(N$5&gt;=$M$16,N$5&lt;$N$16),$E$16-$F$16,0)*($H$16=0)</f>
        <v>2587.5</v>
      </c>
      <c r="O60" s="122" t="n">
        <f aca="false">IF(AND(O$5&gt;=$M$16,O$5&lt;$N$16),$E$16-$F$16-IF(O$5&gt;=$H$16,$G$16,0),0)*($H$16&lt;&gt;0)+IF(AND(O$5&gt;=$M$16,O$5&lt;$N$16),$E$16-$F$16,0)*($H$16=0)</f>
        <v>2587.5</v>
      </c>
      <c r="P60" s="123" t="n">
        <f aca="false">IF(AND(P$5&gt;=$M$16,P$5&lt;$N$16),$E$16-$F$16-IF(P$5&gt;=$H$16,$G$16,0),0)*($H$16&lt;&gt;0)+IF(AND(P$5&gt;=$M$16,P$5&lt;$N$16),$E$16-$F$16,0)*($H$16=0)</f>
        <v>2587.5</v>
      </c>
      <c r="Q60" s="123" t="n">
        <f aca="false">IF(AND(Q$5&gt;=$M$16,Q$5&lt;$N$16),$E$16-$F$16-IF(Q$5&gt;=$H$16,$G$16,0),0)*($H$16&lt;&gt;0)+IF(AND(Q$5&gt;=$M$16,Q$5&lt;$N$16),$E$16-$F$16,0)*($H$16=0)</f>
        <v>2587.5</v>
      </c>
      <c r="R60" s="123" t="n">
        <f aca="false">IF(AND(R$5&gt;=$M$16,R$5&lt;$N$16),$E$16-$F$16-IF(R$5&gt;=$H$16,$G$16,0),0)*($H$16&lt;&gt;0)+IF(AND(R$5&gt;=$M$16,R$5&lt;$N$16),$E$16-$F$16,0)*($H$16=0)</f>
        <v>2587.5</v>
      </c>
      <c r="S60" s="123" t="n">
        <f aca="false">IF(AND(S$5&gt;=$M$16,S$5&lt;$N$16),$E$16-$F$16-IF(S$5&gt;=$H$16,$G$16,0),0)*($H$16&lt;&gt;0)+IF(AND(S$5&gt;=$M$16,S$5&lt;$N$16),$E$16-$F$16,0)*($H$16=0)</f>
        <v>2587.5</v>
      </c>
      <c r="T60" s="123" t="n">
        <f aca="false">IF(AND(T$5&gt;=$M$16,T$5&lt;$N$16),$E$16-$F$16-IF(T$5&gt;=$H$16,$G$16,0),0)*($H$16&lt;&gt;0)+IF(AND(T$5&gt;=$M$16,T$5&lt;$N$16),$E$16-$F$16,0)*($H$16=0)</f>
        <v>2587.5</v>
      </c>
      <c r="U60" s="123" t="n">
        <f aca="false">IF(AND(U$5&gt;=$M$16,U$5&lt;$N$16),$E$16-$F$16-IF(U$5&gt;=$H$16,$G$16,0),0)*($H$16&lt;&gt;0)+IF(AND(U$5&gt;=$M$16,U$5&lt;$N$16),$E$16-$F$16,0)*($H$16=0)</f>
        <v>2587.5</v>
      </c>
      <c r="V60" s="123" t="n">
        <f aca="false">IF(AND(V$5&gt;=$M$16,V$5&lt;$N$16),$E$16-$F$16-IF(V$5&gt;=$H$16,$G$16,0),0)*($H$16&lt;&gt;0)+IF(AND(V$5&gt;=$M$16,V$5&lt;$N$16),$E$16-$F$16,0)*($H$16=0)</f>
        <v>2587.5</v>
      </c>
      <c r="W60" s="123" t="n">
        <f aca="false">IF(AND(W$5&gt;=$M$16,W$5&lt;$N$16),$E$16-$F$16-IF(W$5&gt;=$H$16,$G$16,0),0)*($H$16&lt;&gt;0)+IF(AND(W$5&gt;=$M$16,W$5&lt;$N$16),$E$16-$F$16,0)*($H$16=0)</f>
        <v>2587.5</v>
      </c>
      <c r="X60" s="123" t="n">
        <f aca="false">IF(AND(X$5&gt;=$M$16,X$5&lt;$N$16),$E$16-$F$16-IF(X$5&gt;=$H$16,$G$16,0),0)*($H$16&lt;&gt;0)+IF(AND(X$5&gt;=$M$16,X$5&lt;$N$16),$E$16-$F$16,0)*($H$16=0)</f>
        <v>2587.5</v>
      </c>
      <c r="Y60" s="123" t="n">
        <f aca="false">IF(AND(Y$5&gt;=$M$16,Y$5&lt;$N$16),$E$16-$F$16-IF(Y$5&gt;=$H$16,$G$16,0),0)*($H$16&lt;&gt;0)+IF(AND(Y$5&gt;=$M$16,Y$5&lt;$N$16),$E$16-$F$16,0)*($H$16=0)</f>
        <v>2587.5</v>
      </c>
      <c r="Z60" s="123" t="n">
        <f aca="false">IF(AND(Z$5&gt;=$M$16,Z$5&lt;$N$16),$E$16-$F$16-IF(Z$5&gt;=$H$16,$G$16,0),0)*($H$16&lt;&gt;0)+IF(AND(Z$5&gt;=$M$16,Z$5&lt;$N$16),$E$16-$F$16,0)*($H$16=0)</f>
        <v>2587.5</v>
      </c>
      <c r="AA60" s="123" t="n">
        <f aca="false">IF(AND(AA$5&gt;=$M$16,AA$5&lt;$N$16),$E$16-$F$16-IF(AA$5&gt;=$H$16,$G$16,0),0)*($H$16&lt;&gt;0)+IF(AND(AA$5&gt;=$M$16,AA$5&lt;$N$16),$E$16-$F$16,0)*($H$16=0)</f>
        <v>2587.5</v>
      </c>
      <c r="AB60" s="123" t="n">
        <f aca="false">IF(AND(AB$5&gt;=$M$16,AB$5&lt;$N$16),$E$16-$F$16-IF(AB$5&gt;=$H$16,$G$16,0),0)*($H$16&lt;&gt;0)+IF(AND(AB$5&gt;=$M$16,AB$5&lt;$N$16),$E$16-$F$16,0)*($H$16=0)</f>
        <v>2587.5</v>
      </c>
      <c r="AC60" s="123" t="n">
        <f aca="false">IF(AND(AC$5&gt;=$M$16,AC$5&lt;$N$16),$E$16-$F$16-IF(AC$5&gt;=$H$16,$G$16,0),0)*($H$16&lt;&gt;0)+IF(AND(AC$5&gt;=$M$16,AC$5&lt;$N$16),$E$16-$F$16,0)*($H$16=0)</f>
        <v>2587.5</v>
      </c>
      <c r="AD60" s="123" t="n">
        <f aca="false">IF(AND(AD$5&gt;=$M$16,AD$5&lt;$N$16),$E$16-$F$16-IF(AD$5&gt;=$H$16,$G$16,0),0)*($H$16&lt;&gt;0)+IF(AND(AD$5&gt;=$M$16,AD$5&lt;$N$16),$E$16-$F$16,0)*($H$16=0)</f>
        <v>2587.5</v>
      </c>
      <c r="AE60" s="123" t="n">
        <f aca="false">IF(AND(AE$5&gt;=$M$16,AE$5&lt;$N$16),$E$16-$F$16-IF(AE$5&gt;=$H$16,$G$16,0),0)*($H$16&lt;&gt;0)+IF(AND(AE$5&gt;=$M$16,AE$5&lt;$N$16),$E$16-$F$16,0)*($H$16=0)</f>
        <v>2587.5</v>
      </c>
      <c r="AF60" s="123" t="n">
        <f aca="false">IF(AND(AF$5&gt;=$M$16,AF$5&lt;$N$16),$E$16-$F$16-IF(AF$5&gt;=$H$16,$G$16,0),0)*($H$16&lt;&gt;0)+IF(AND(AF$5&gt;=$M$16,AF$5&lt;$N$16),$E$16-$F$16,0)*($H$16=0)</f>
        <v>2587.5</v>
      </c>
      <c r="AG60" s="123" t="n">
        <f aca="false">IF(AND(AG$5&gt;=$M$16,AG$5&lt;$N$16),$E$16-$F$16-IF(AG$5&gt;=$H$16,$G$16,0),0)*($H$16&lt;&gt;0)+IF(AND(AG$5&gt;=$M$16,AG$5&lt;$N$16),$E$16-$F$16,0)*($H$16=0)</f>
        <v>2587.5</v>
      </c>
      <c r="AI60" s="123" t="n">
        <f aca="false">INDEX($F60:$AG60,1,MATCH(AI$7,$F$7:$AG$7,1))</f>
        <v>0</v>
      </c>
      <c r="AJ60" s="123" t="n">
        <f aca="false">INDEX($F60:$AG60,1,MATCH(AJ$7,$F$7:$AG$7,1))</f>
        <v>0</v>
      </c>
      <c r="AK60" s="123" t="n">
        <f aca="false">INDEX($F60:$AG60,1,MATCH(AK$7,$F$7:$AG$7,1))</f>
        <v>2587.5</v>
      </c>
      <c r="AL60" s="123" t="n">
        <f aca="false">INDEX($F60:$AG60,1,MATCH(AL$7,$F$7:$AG$7,1))</f>
        <v>2587.5</v>
      </c>
      <c r="AM60" s="123" t="n">
        <f aca="false">INDEX($F60:$AG60,1,MATCH(AM$7,$F$7:$AG$7,1))</f>
        <v>2587.5</v>
      </c>
      <c r="AN60" s="123" t="n">
        <f aca="false">INDEX($F60:$AG60,1,MATCH(AN$7,$F$7:$AG$7,1))</f>
        <v>2587.5</v>
      </c>
      <c r="AO60" s="123" t="n">
        <f aca="false">INDEX($F60:$AG60,1,MATCH(AO$7,$F$7:$AG$7,1))</f>
        <v>2587.5</v>
      </c>
    </row>
    <row r="61" customFormat="false" ht="15" hidden="false" customHeight="false" outlineLevel="0" collapsed="false">
      <c r="A61" s="104" t="s">
        <v>2073</v>
      </c>
      <c r="B61" s="20" t="s">
        <v>561</v>
      </c>
      <c r="C61" s="20" t="s">
        <v>550</v>
      </c>
      <c r="D61" s="20"/>
      <c r="F61" s="122" t="n">
        <f aca="false">F60*$C$16/4</f>
        <v>0</v>
      </c>
      <c r="G61" s="122" t="n">
        <f aca="false">G60*$C$16/4</f>
        <v>0</v>
      </c>
      <c r="H61" s="122" t="n">
        <f aca="false">H60*$C$16/4</f>
        <v>0</v>
      </c>
      <c r="I61" s="122" t="n">
        <f aca="false">I60*$C$16/4</f>
        <v>0</v>
      </c>
      <c r="J61" s="122" t="n">
        <f aca="false">J60*$C$16/4</f>
        <v>0</v>
      </c>
      <c r="K61" s="122" t="n">
        <f aca="false">K60*$C$16/4</f>
        <v>0</v>
      </c>
      <c r="L61" s="122" t="n">
        <f aca="false">L60*$C$16/4</f>
        <v>0</v>
      </c>
      <c r="M61" s="122" t="n">
        <f aca="false">M60*$C$16/4</f>
        <v>0</v>
      </c>
      <c r="N61" s="122" t="n">
        <f aca="false">N60*$C$16/4</f>
        <v>8.0859375</v>
      </c>
      <c r="O61" s="122" t="n">
        <f aca="false">O60*$C$16/4</f>
        <v>8.0859375</v>
      </c>
      <c r="P61" s="123" t="n">
        <f aca="false">P60*$C$16/4</f>
        <v>8.0859375</v>
      </c>
      <c r="Q61" s="123" t="n">
        <f aca="false">Q60*$C$16/4</f>
        <v>8.0859375</v>
      </c>
      <c r="R61" s="123" t="n">
        <f aca="false">R60*$C$16/4</f>
        <v>8.0859375</v>
      </c>
      <c r="S61" s="123" t="n">
        <f aca="false">S60*$C$16/4</f>
        <v>8.0859375</v>
      </c>
      <c r="T61" s="123" t="n">
        <f aca="false">T60*$C$16/4</f>
        <v>8.0859375</v>
      </c>
      <c r="U61" s="123" t="n">
        <f aca="false">U60*$C$16/4</f>
        <v>8.0859375</v>
      </c>
      <c r="V61" s="123" t="n">
        <f aca="false">V60*$C$16/4</f>
        <v>8.0859375</v>
      </c>
      <c r="W61" s="123" t="n">
        <f aca="false">W60*$C$16/4</f>
        <v>8.0859375</v>
      </c>
      <c r="X61" s="123" t="n">
        <f aca="false">X60*$C$16/4</f>
        <v>8.0859375</v>
      </c>
      <c r="Y61" s="123" t="n">
        <f aca="false">Y60*$C$16/4</f>
        <v>8.0859375</v>
      </c>
      <c r="Z61" s="123" t="n">
        <f aca="false">Z60*$C$16/4</f>
        <v>8.0859375</v>
      </c>
      <c r="AA61" s="123" t="n">
        <f aca="false">AA60*$C$16/4</f>
        <v>8.0859375</v>
      </c>
      <c r="AB61" s="123" t="n">
        <f aca="false">AB60*$C$16/4</f>
        <v>8.0859375</v>
      </c>
      <c r="AC61" s="123" t="n">
        <f aca="false">AC60*$C$16/4</f>
        <v>8.0859375</v>
      </c>
      <c r="AD61" s="123" t="n">
        <f aca="false">AD60*$C$16/4</f>
        <v>8.0859375</v>
      </c>
      <c r="AE61" s="123" t="n">
        <f aca="false">AE60*$C$16/4</f>
        <v>8.0859375</v>
      </c>
      <c r="AF61" s="123" t="n">
        <f aca="false">AF60*$C$16/4</f>
        <v>8.0859375</v>
      </c>
      <c r="AG61" s="123" t="n">
        <f aca="false">AG60*$C$16/4</f>
        <v>8.0859375</v>
      </c>
      <c r="AI61" s="123" t="n">
        <f aca="false">SUMIF($F$7:$AG$7,AI$7,$F61:$AG61)</f>
        <v>0</v>
      </c>
      <c r="AJ61" s="123" t="n">
        <f aca="false">SUMIF($F$7:$AG$7,AJ$7,$F61:$AG61)</f>
        <v>0</v>
      </c>
      <c r="AK61" s="123" t="n">
        <f aca="false">SUMIF($F$7:$AG$7,AK$7,$F61:$AG61)</f>
        <v>32.34375</v>
      </c>
      <c r="AL61" s="123" t="n">
        <f aca="false">SUMIF($F$7:$AG$7,AL$7,$F61:$AG61)</f>
        <v>32.34375</v>
      </c>
      <c r="AM61" s="123" t="n">
        <f aca="false">SUMIF($F$7:$AG$7,AM$7,$F61:$AG61)</f>
        <v>32.34375</v>
      </c>
      <c r="AN61" s="123" t="n">
        <f aca="false">SUMIF($F$7:$AG$7,AN$7,$F61:$AG61)</f>
        <v>32.34375</v>
      </c>
      <c r="AO61" s="123" t="n">
        <f aca="false">SUMIF($F$7:$AG$7,AO$7,$F61:$AG61)</f>
        <v>32.34375</v>
      </c>
    </row>
    <row r="62" customFormat="false" ht="15" hidden="false" customHeight="false" outlineLevel="0" collapsed="false">
      <c r="A62" s="104" t="s">
        <v>2074</v>
      </c>
      <c r="B62" s="20" t="s">
        <v>561</v>
      </c>
      <c r="C62" s="20" t="s">
        <v>550</v>
      </c>
      <c r="D62" s="20"/>
      <c r="F62" s="122" t="n">
        <f aca="false">F60*($J$16-1)/(($D$16-$B$16)/91.3125)</f>
        <v>0</v>
      </c>
      <c r="G62" s="122" t="n">
        <f aca="false">G60*($J$16-1)/(($D$16-$B$16)/91.3125)</f>
        <v>0</v>
      </c>
      <c r="H62" s="122" t="n">
        <f aca="false">H60*($J$16-1)/(($D$16-$B$16)/91.3125)</f>
        <v>0</v>
      </c>
      <c r="I62" s="122" t="n">
        <f aca="false">I60*($J$16-1)/(($D$16-$B$16)/91.3125)</f>
        <v>0</v>
      </c>
      <c r="J62" s="122" t="n">
        <f aca="false">J60*($J$16-1)/(($D$16-$B$16)/91.3125)</f>
        <v>0</v>
      </c>
      <c r="K62" s="122" t="n">
        <f aca="false">K60*($J$16-1)/(($D$16-$B$16)/91.3125)</f>
        <v>0</v>
      </c>
      <c r="L62" s="122" t="n">
        <f aca="false">L60*($J$16-1)/(($D$16-$B$16)/91.3125)</f>
        <v>0</v>
      </c>
      <c r="M62" s="122" t="n">
        <f aca="false">M60*($J$16-1)/(($D$16-$B$16)/91.3125)</f>
        <v>0</v>
      </c>
      <c r="N62" s="122" t="n">
        <f aca="false">N60*($J$16-1)/(($D$16-$B$16)/91.3125)</f>
        <v>25.9495984349259</v>
      </c>
      <c r="O62" s="122" t="n">
        <f aca="false">O60*($J$16-1)/(($D$16-$B$16)/91.3125)</f>
        <v>25.9495984349259</v>
      </c>
      <c r="P62" s="123" t="n">
        <f aca="false">P60*($J$16-1)/(($D$16-$B$16)/91.3125)</f>
        <v>25.9495984349259</v>
      </c>
      <c r="Q62" s="123" t="n">
        <f aca="false">Q60*($J$16-1)/(($D$16-$B$16)/91.3125)</f>
        <v>25.9495984349259</v>
      </c>
      <c r="R62" s="123" t="n">
        <f aca="false">R60*($J$16-1)/(($D$16-$B$16)/91.3125)</f>
        <v>25.9495984349259</v>
      </c>
      <c r="S62" s="123" t="n">
        <f aca="false">S60*($J$16-1)/(($D$16-$B$16)/91.3125)</f>
        <v>25.9495984349259</v>
      </c>
      <c r="T62" s="123" t="n">
        <f aca="false">T60*($J$16-1)/(($D$16-$B$16)/91.3125)</f>
        <v>25.9495984349259</v>
      </c>
      <c r="U62" s="123" t="n">
        <f aca="false">U60*($J$16-1)/(($D$16-$B$16)/91.3125)</f>
        <v>25.9495984349259</v>
      </c>
      <c r="V62" s="123" t="n">
        <f aca="false">V60*($J$16-1)/(($D$16-$B$16)/91.3125)</f>
        <v>25.9495984349259</v>
      </c>
      <c r="W62" s="123" t="n">
        <f aca="false">W60*($J$16-1)/(($D$16-$B$16)/91.3125)</f>
        <v>25.9495984349259</v>
      </c>
      <c r="X62" s="123" t="n">
        <f aca="false">X60*($J$16-1)/(($D$16-$B$16)/91.3125)</f>
        <v>25.9495984349259</v>
      </c>
      <c r="Y62" s="123" t="n">
        <f aca="false">Y60*($J$16-1)/(($D$16-$B$16)/91.3125)</f>
        <v>25.9495984349259</v>
      </c>
      <c r="Z62" s="123" t="n">
        <f aca="false">Z60*($J$16-1)/(($D$16-$B$16)/91.3125)</f>
        <v>25.9495984349259</v>
      </c>
      <c r="AA62" s="123" t="n">
        <f aca="false">AA60*($J$16-1)/(($D$16-$B$16)/91.3125)</f>
        <v>25.9495984349259</v>
      </c>
      <c r="AB62" s="123" t="n">
        <f aca="false">AB60*($J$16-1)/(($D$16-$B$16)/91.3125)</f>
        <v>25.9495984349259</v>
      </c>
      <c r="AC62" s="123" t="n">
        <f aca="false">AC60*($J$16-1)/(($D$16-$B$16)/91.3125)</f>
        <v>25.9495984349259</v>
      </c>
      <c r="AD62" s="123" t="n">
        <f aca="false">AD60*($J$16-1)/(($D$16-$B$16)/91.3125)</f>
        <v>25.9495984349259</v>
      </c>
      <c r="AE62" s="123" t="n">
        <f aca="false">AE60*($J$16-1)/(($D$16-$B$16)/91.3125)</f>
        <v>25.9495984349259</v>
      </c>
      <c r="AF62" s="123" t="n">
        <f aca="false">AF60*($J$16-1)/(($D$16-$B$16)/91.3125)</f>
        <v>25.9495984349259</v>
      </c>
      <c r="AG62" s="123" t="n">
        <f aca="false">AG60*($J$16-1)/(($D$16-$B$16)/91.3125)</f>
        <v>25.9495984349259</v>
      </c>
      <c r="AI62" s="123" t="n">
        <f aca="false">SUMIF($F$7:$AG$7,AI$7,$F62:$AG62)</f>
        <v>0</v>
      </c>
      <c r="AJ62" s="123" t="n">
        <f aca="false">SUMIF($F$7:$AG$7,AJ$7,$F62:$AG62)</f>
        <v>0</v>
      </c>
      <c r="AK62" s="123" t="n">
        <f aca="false">SUMIF($F$7:$AG$7,AK$7,$F62:$AG62)</f>
        <v>103.798393739703</v>
      </c>
      <c r="AL62" s="123" t="n">
        <f aca="false">SUMIF($F$7:$AG$7,AL$7,$F62:$AG62)</f>
        <v>103.798393739703</v>
      </c>
      <c r="AM62" s="123" t="n">
        <f aca="false">SUMIF($F$7:$AG$7,AM$7,$F62:$AG62)</f>
        <v>103.798393739703</v>
      </c>
      <c r="AN62" s="123" t="n">
        <f aca="false">SUMIF($F$7:$AG$7,AN$7,$F62:$AG62)</f>
        <v>103.798393739703</v>
      </c>
      <c r="AO62" s="123" t="n">
        <f aca="false">SUMIF($F$7:$AG$7,AO$7,$F62:$AG62)</f>
        <v>103.798393739703</v>
      </c>
    </row>
    <row r="63" customFormat="false" ht="15" hidden="false" customHeight="false" outlineLevel="0" collapsed="false">
      <c r="A63" s="104" t="s">
        <v>2075</v>
      </c>
      <c r="B63" s="20" t="s">
        <v>561</v>
      </c>
      <c r="C63" s="20" t="s">
        <v>550</v>
      </c>
      <c r="D63" s="20"/>
      <c r="F63" s="122" t="n">
        <f aca="false">F60*(1+($J$16-1)*MIN(1,MAX(0,(F$4-$B$16)/($D$16-$B$16))))</f>
        <v>0</v>
      </c>
      <c r="G63" s="122" t="n">
        <f aca="false">G60*(1+($J$16-1)*MIN(1,MAX(0,(G$4-$B$16)/($D$16-$B$16))))</f>
        <v>0</v>
      </c>
      <c r="H63" s="122" t="n">
        <f aca="false">H60*(1+($J$16-1)*MIN(1,MAX(0,(H$4-$B$16)/($D$16-$B$16))))</f>
        <v>0</v>
      </c>
      <c r="I63" s="122" t="n">
        <f aca="false">I60*(1+($J$16-1)*MIN(1,MAX(0,(I$4-$B$16)/($D$16-$B$16))))</f>
        <v>0</v>
      </c>
      <c r="J63" s="122" t="n">
        <f aca="false">J60*(1+($J$16-1)*MIN(1,MAX(0,(J$4-$B$16)/($D$16-$B$16))))</f>
        <v>0</v>
      </c>
      <c r="K63" s="122" t="n">
        <f aca="false">K60*(1+($J$16-1)*MIN(1,MAX(0,(K$4-$B$16)/($D$16-$B$16))))</f>
        <v>0</v>
      </c>
      <c r="L63" s="122" t="n">
        <f aca="false">L60*(1+($J$16-1)*MIN(1,MAX(0,(L$4-$B$16)/($D$16-$B$16))))</f>
        <v>0</v>
      </c>
      <c r="M63" s="122" t="n">
        <f aca="false">M60*(1+($J$16-1)*MIN(1,MAX(0,(M$4-$B$16)/($D$16-$B$16))))</f>
        <v>0</v>
      </c>
      <c r="N63" s="122" t="n">
        <f aca="false">N60*(1+($J$16-1)*MIN(1,MAX(0,(N$4-$B$16)/($D$16-$B$16))))</f>
        <v>2590.62602965404</v>
      </c>
      <c r="O63" s="122" t="n">
        <f aca="false">O60*(1+($J$16-1)*MIN(1,MAX(0,(O$4-$B$16)/($D$16-$B$16))))</f>
        <v>2616.48682042834</v>
      </c>
      <c r="P63" s="123" t="n">
        <f aca="false">P60*(1+($J$16-1)*MIN(1,MAX(0,(P$4-$B$16)/($D$16-$B$16))))</f>
        <v>2642.63179571664</v>
      </c>
      <c r="Q63" s="123" t="n">
        <f aca="false">Q60*(1+($J$16-1)*MIN(1,MAX(0,(Q$4-$B$16)/($D$16-$B$16))))</f>
        <v>2668.77677100494</v>
      </c>
      <c r="R63" s="123" t="n">
        <f aca="false">R60*(1+($J$16-1)*MIN(1,MAX(0,(R$4-$B$16)/($D$16-$B$16))))</f>
        <v>2694.35337726524</v>
      </c>
      <c r="S63" s="123" t="n">
        <f aca="false">S60*(1+($J$16-1)*MIN(1,MAX(0,(S$4-$B$16)/($D$16-$B$16))))</f>
        <v>2720.21416803954</v>
      </c>
      <c r="T63" s="123" t="n">
        <f aca="false">T60*(1+($J$16-1)*MIN(1,MAX(0,(T$4-$B$16)/($D$16-$B$16))))</f>
        <v>2746.35914332784</v>
      </c>
      <c r="U63" s="123" t="n">
        <f aca="false">U60*(1+($J$16-1)*MIN(1,MAX(0,(U$4-$B$16)/($D$16-$B$16))))</f>
        <v>2772.50411861614</v>
      </c>
      <c r="V63" s="123" t="n">
        <f aca="false">V60*(1+($J$16-1)*MIN(1,MAX(0,(V$4-$B$16)/($D$16-$B$16))))</f>
        <v>2798.36490939044</v>
      </c>
      <c r="W63" s="123" t="n">
        <f aca="false">W60*(1+($J$16-1)*MIN(1,MAX(0,(W$4-$B$16)/($D$16-$B$16))))</f>
        <v>2824.22570016474</v>
      </c>
      <c r="X63" s="123" t="n">
        <f aca="false">X60*(1+($J$16-1)*MIN(1,MAX(0,(X$4-$B$16)/($D$16-$B$16))))</f>
        <v>2850.37067545305</v>
      </c>
      <c r="Y63" s="123" t="n">
        <f aca="false">Y60*(1+($J$16-1)*MIN(1,MAX(0,(Y$4-$B$16)/($D$16-$B$16))))</f>
        <v>2876.51565074135</v>
      </c>
      <c r="Z63" s="123" t="n">
        <f aca="false">Z60*(1+($J$16-1)*MIN(1,MAX(0,(Z$4-$B$16)/($D$16-$B$16))))</f>
        <v>2902.09225700165</v>
      </c>
      <c r="AA63" s="123" t="n">
        <f aca="false">AA60*(1+($J$16-1)*MIN(1,MAX(0,(AA$4-$B$16)/($D$16-$B$16))))</f>
        <v>2927.95304777595</v>
      </c>
      <c r="AB63" s="123" t="n">
        <f aca="false">AB60*(1+($J$16-1)*MIN(1,MAX(0,(AB$4-$B$16)/($D$16-$B$16))))</f>
        <v>2954.09802306425</v>
      </c>
      <c r="AC63" s="123" t="n">
        <f aca="false">AC60*(1+($J$16-1)*MIN(1,MAX(0,(AC$4-$B$16)/($D$16-$B$16))))</f>
        <v>2980.24299835255</v>
      </c>
      <c r="AD63" s="123" t="n">
        <f aca="false">AD60*(1+($J$16-1)*MIN(1,MAX(0,(AD$4-$B$16)/($D$16-$B$16))))</f>
        <v>3005.81960461285</v>
      </c>
      <c r="AE63" s="123" t="n">
        <f aca="false">AE60*(1+($J$16-1)*MIN(1,MAX(0,(AE$4-$B$16)/($D$16-$B$16))))</f>
        <v>3031.68039538715</v>
      </c>
      <c r="AF63" s="123" t="n">
        <f aca="false">AF60*(1+($J$16-1)*MIN(1,MAX(0,(AF$4-$B$16)/($D$16-$B$16))))</f>
        <v>3057.82537067545</v>
      </c>
      <c r="AG63" s="123" t="n">
        <f aca="false">AG60*(1+($J$16-1)*MIN(1,MAX(0,(AG$4-$B$16)/($D$16-$B$16))))</f>
        <v>3083.97034596376</v>
      </c>
      <c r="AI63" s="123" t="n">
        <f aca="false">INDEX($F63:$AG63,1,MATCH(AI$7,$F$7:$AG$7,1))</f>
        <v>0</v>
      </c>
      <c r="AJ63" s="123" t="n">
        <f aca="false">INDEX($F63:$AG63,1,MATCH(AJ$7,$F$7:$AG$7,1))</f>
        <v>0</v>
      </c>
      <c r="AK63" s="123" t="n">
        <f aca="false">INDEX($F63:$AG63,1,MATCH(AK$7,$F$7:$AG$7,1))</f>
        <v>2668.77677100494</v>
      </c>
      <c r="AL63" s="123" t="n">
        <f aca="false">INDEX($F63:$AG63,1,MATCH(AL$7,$F$7:$AG$7,1))</f>
        <v>2772.50411861614</v>
      </c>
      <c r="AM63" s="123" t="n">
        <f aca="false">INDEX($F63:$AG63,1,MATCH(AM$7,$F$7:$AG$7,1))</f>
        <v>2876.51565074135</v>
      </c>
      <c r="AN63" s="123" t="n">
        <f aca="false">INDEX($F63:$AG63,1,MATCH(AN$7,$F$7:$AG$7,1))</f>
        <v>2980.24299835255</v>
      </c>
      <c r="AO63" s="123" t="n">
        <f aca="false">INDEX($F63:$AG63,1,MATCH(AO$7,$F$7:$AG$7,1))</f>
        <v>3083.97034596376</v>
      </c>
    </row>
    <row r="64" customFormat="false" ht="15" hidden="false" customHeight="false" outlineLevel="0" collapsed="false">
      <c r="A64" s="104" t="s">
        <v>2076</v>
      </c>
      <c r="B64" s="20" t="s">
        <v>561</v>
      </c>
      <c r="C64" s="20" t="s">
        <v>550</v>
      </c>
      <c r="D64" s="20"/>
      <c r="F64" s="122" t="n">
        <f aca="false">IF(F$5=$N$16,E60*$J$16*(1-$O$16),0)</f>
        <v>0</v>
      </c>
      <c r="G64" s="122" t="n">
        <f aca="false">IF(G$5=$N$16,F60*$J$16*(1-$O$16),0)</f>
        <v>0</v>
      </c>
      <c r="H64" s="122" t="n">
        <f aca="false">IF(H$5=$N$16,G60*$J$16*(1-$O$16),0)</f>
        <v>0</v>
      </c>
      <c r="I64" s="122" t="n">
        <f aca="false">IF(I$5=$N$16,H60*$J$16*(1-$O$16),0)</f>
        <v>0</v>
      </c>
      <c r="J64" s="122" t="n">
        <f aca="false">IF(J$5=$N$16,I60*$J$16*(1-$O$16),0)</f>
        <v>0</v>
      </c>
      <c r="K64" s="122" t="n">
        <f aca="false">IF(K$5=$N$16,J60*$J$16*(1-$O$16),0)</f>
        <v>0</v>
      </c>
      <c r="L64" s="122" t="n">
        <f aca="false">IF(L$5=$N$16,K60*$J$16*(1-$O$16),0)</f>
        <v>0</v>
      </c>
      <c r="M64" s="122" t="n">
        <f aca="false">IF(M$5=$N$16,L60*$J$16*(1-$O$16),0)</f>
        <v>0</v>
      </c>
      <c r="N64" s="122" t="n">
        <f aca="false">IF(N$5=$N$16,M60*$J$16*(1-$O$16),0)</f>
        <v>0</v>
      </c>
      <c r="O64" s="122" t="n">
        <f aca="false">IF(O$5=$N$16,N60*$J$16*(1-$O$16),0)</f>
        <v>0</v>
      </c>
      <c r="P64" s="123" t="n">
        <f aca="false">IF(P$5=$N$16,O60*$J$16*(1-$O$16),0)</f>
        <v>0</v>
      </c>
      <c r="Q64" s="123" t="n">
        <f aca="false">IF(Q$5=$N$16,P60*$J$16*(1-$O$16),0)</f>
        <v>0</v>
      </c>
      <c r="R64" s="123" t="n">
        <f aca="false">IF(R$5=$N$16,Q60*$J$16*(1-$O$16),0)</f>
        <v>0</v>
      </c>
      <c r="S64" s="123" t="n">
        <f aca="false">IF(S$5=$N$16,R60*$J$16*(1-$O$16),0)</f>
        <v>0</v>
      </c>
      <c r="T64" s="123" t="n">
        <f aca="false">IF(T$5=$N$16,S60*$J$16*(1-$O$16),0)</f>
        <v>0</v>
      </c>
      <c r="U64" s="123" t="n">
        <f aca="false">IF(U$5=$N$16,T60*$J$16*(1-$O$16),0)</f>
        <v>0</v>
      </c>
      <c r="V64" s="123" t="n">
        <f aca="false">IF(V$5=$N$16,U60*$J$16*(1-$O$16),0)</f>
        <v>0</v>
      </c>
      <c r="W64" s="123" t="n">
        <f aca="false">IF(W$5=$N$16,V60*$J$16*(1-$O$16),0)</f>
        <v>0</v>
      </c>
      <c r="X64" s="123" t="n">
        <f aca="false">IF(X$5=$N$16,W60*$J$16*(1-$O$16),0)</f>
        <v>0</v>
      </c>
      <c r="Y64" s="123" t="n">
        <f aca="false">IF(Y$5=$N$16,X60*$J$16*(1-$O$16),0)</f>
        <v>0</v>
      </c>
      <c r="Z64" s="123" t="n">
        <f aca="false">IF(Z$5=$N$16,Y60*$J$16*(1-$O$16),0)</f>
        <v>0</v>
      </c>
      <c r="AA64" s="123" t="n">
        <f aca="false">IF(AA$5=$N$16,Z60*$J$16*(1-$O$16),0)</f>
        <v>0</v>
      </c>
      <c r="AB64" s="123" t="n">
        <f aca="false">IF(AB$5=$N$16,AA60*$J$16*(1-$O$16),0)</f>
        <v>0</v>
      </c>
      <c r="AC64" s="123" t="n">
        <f aca="false">IF(AC$5=$N$16,AB60*$J$16*(1-$O$16),0)</f>
        <v>0</v>
      </c>
      <c r="AD64" s="123" t="n">
        <f aca="false">IF(AD$5=$N$16,AC60*$J$16*(1-$O$16),0)</f>
        <v>0</v>
      </c>
      <c r="AE64" s="123" t="n">
        <f aca="false">IF(AE$5=$N$16,AD60*$J$16*(1-$O$16),0)</f>
        <v>0</v>
      </c>
      <c r="AF64" s="123" t="n">
        <f aca="false">IF(AF$5=$N$16,AE60*$J$16*(1-$O$16),0)</f>
        <v>0</v>
      </c>
      <c r="AG64" s="123" t="n">
        <f aca="false">IF(AG$5=$N$16,AF60*$J$16*(1-$O$16),0)</f>
        <v>0</v>
      </c>
      <c r="AI64" s="123" t="n">
        <f aca="false">SUMIF($F$7:$AG$7,AI$7,$F64:$AG64)</f>
        <v>0</v>
      </c>
      <c r="AJ64" s="123" t="n">
        <f aca="false">SUMIF($F$7:$AG$7,AJ$7,$F64:$AG64)</f>
        <v>0</v>
      </c>
      <c r="AK64" s="123" t="n">
        <f aca="false">SUMIF($F$7:$AG$7,AK$7,$F64:$AG64)</f>
        <v>0</v>
      </c>
      <c r="AL64" s="123" t="n">
        <f aca="false">SUMIF($F$7:$AG$7,AL$7,$F64:$AG64)</f>
        <v>0</v>
      </c>
      <c r="AM64" s="123" t="n">
        <f aca="false">SUMIF($F$7:$AG$7,AM$7,$F64:$AG64)</f>
        <v>0</v>
      </c>
      <c r="AN64" s="123" t="n">
        <f aca="false">SUMIF($F$7:$AG$7,AN$7,$F64:$AG64)</f>
        <v>0</v>
      </c>
      <c r="AO64" s="123" t="n">
        <f aca="false">SUMIF($F$7:$AG$7,AO$7,$F64:$AG64)</f>
        <v>0</v>
      </c>
    </row>
    <row r="65" customFormat="false" ht="15" hidden="false" customHeight="false" outlineLevel="0" collapsed="false">
      <c r="A65" s="104" t="s">
        <v>2077</v>
      </c>
      <c r="B65" s="20" t="s">
        <v>995</v>
      </c>
      <c r="C65" s="20" t="s">
        <v>550</v>
      </c>
      <c r="D65" s="20"/>
      <c r="F65" s="137" t="n">
        <f aca="false">IF(F$5=$N$16,E60*$K$16/1000*$O$16,0)</f>
        <v>0</v>
      </c>
      <c r="G65" s="137" t="n">
        <f aca="false">IF(G$5=$N$16,F60*$K$16/1000*$O$16,0)</f>
        <v>0</v>
      </c>
      <c r="H65" s="137" t="n">
        <f aca="false">IF(H$5=$N$16,G60*$K$16/1000*$O$16,0)</f>
        <v>0</v>
      </c>
      <c r="I65" s="137" t="n">
        <f aca="false">IF(I$5=$N$16,H60*$K$16/1000*$O$16,0)</f>
        <v>0</v>
      </c>
      <c r="J65" s="137" t="n">
        <f aca="false">IF(J$5=$N$16,I60*$K$16/1000*$O$16,0)</f>
        <v>0</v>
      </c>
      <c r="K65" s="137" t="n">
        <f aca="false">IF(K$5=$N$16,J60*$K$16/1000*$O$16,0)</f>
        <v>0</v>
      </c>
      <c r="L65" s="137" t="n">
        <f aca="false">IF(L$5=$N$16,K60*$K$16/1000*$O$16,0)</f>
        <v>0</v>
      </c>
      <c r="M65" s="137" t="n">
        <f aca="false">IF(M$5=$N$16,L60*$K$16/1000*$O$16,0)</f>
        <v>0</v>
      </c>
      <c r="N65" s="137" t="n">
        <f aca="false">IF(N$5=$N$16,M60*$K$16/1000*$O$16,0)</f>
        <v>0</v>
      </c>
      <c r="O65" s="137" t="n">
        <f aca="false">IF(O$5=$N$16,N60*$K$16/1000*$O$16,0)</f>
        <v>0</v>
      </c>
      <c r="P65" s="42" t="n">
        <f aca="false">IF(P$5=$N$16,O60*$K$16/1000*$O$16,0)</f>
        <v>0</v>
      </c>
      <c r="Q65" s="42" t="n">
        <f aca="false">IF(Q$5=$N$16,P60*$K$16/1000*$O$16,0)</f>
        <v>0</v>
      </c>
      <c r="R65" s="42" t="n">
        <f aca="false">IF(R$5=$N$16,Q60*$K$16/1000*$O$16,0)</f>
        <v>0</v>
      </c>
      <c r="S65" s="42" t="n">
        <f aca="false">IF(S$5=$N$16,R60*$K$16/1000*$O$16,0)</f>
        <v>0</v>
      </c>
      <c r="T65" s="42" t="n">
        <f aca="false">IF(T$5=$N$16,S60*$K$16/1000*$O$16,0)</f>
        <v>0</v>
      </c>
      <c r="U65" s="42" t="n">
        <f aca="false">IF(U$5=$N$16,T60*$K$16/1000*$O$16,0)</f>
        <v>0</v>
      </c>
      <c r="V65" s="42" t="n">
        <f aca="false">IF(V$5=$N$16,U60*$K$16/1000*$O$16,0)</f>
        <v>0</v>
      </c>
      <c r="W65" s="42" t="n">
        <f aca="false">IF(W$5=$N$16,V60*$K$16/1000*$O$16,0)</f>
        <v>0</v>
      </c>
      <c r="X65" s="42" t="n">
        <f aca="false">IF(X$5=$N$16,W60*$K$16/1000*$O$16,0)</f>
        <v>0</v>
      </c>
      <c r="Y65" s="42" t="n">
        <f aca="false">IF(Y$5=$N$16,X60*$K$16/1000*$O$16,0)</f>
        <v>0</v>
      </c>
      <c r="Z65" s="42" t="n">
        <f aca="false">IF(Z$5=$N$16,Y60*$K$16/1000*$O$16,0)</f>
        <v>0</v>
      </c>
      <c r="AA65" s="42" t="n">
        <f aca="false">IF(AA$5=$N$16,Z60*$K$16/1000*$O$16,0)</f>
        <v>0</v>
      </c>
      <c r="AB65" s="42" t="n">
        <f aca="false">IF(AB$5=$N$16,AA60*$K$16/1000*$O$16,0)</f>
        <v>0</v>
      </c>
      <c r="AC65" s="42" t="n">
        <f aca="false">IF(AC$5=$N$16,AB60*$K$16/1000*$O$16,0)</f>
        <v>0</v>
      </c>
      <c r="AD65" s="42" t="n">
        <f aca="false">IF(AD$5=$N$16,AC60*$K$16/1000*$O$16,0)</f>
        <v>0</v>
      </c>
      <c r="AE65" s="42" t="n">
        <f aca="false">IF(AE$5=$N$16,AD60*$K$16/1000*$O$16,0)</f>
        <v>0</v>
      </c>
      <c r="AF65" s="42" t="n">
        <f aca="false">IF(AF$5=$N$16,AE60*$K$16/1000*$O$16,0)</f>
        <v>0</v>
      </c>
      <c r="AG65" s="42" t="n">
        <f aca="false">IF(AG$5=$N$16,AF60*$K$16/1000*$O$16,0)</f>
        <v>0</v>
      </c>
      <c r="AI65" s="42" t="n">
        <f aca="false">SUMIF($F$7:$AG$7,AI$7,$F65:$AG65)</f>
        <v>0</v>
      </c>
      <c r="AJ65" s="42" t="n">
        <f aca="false">SUMIF($F$7:$AG$7,AJ$7,$F65:$AG65)</f>
        <v>0</v>
      </c>
      <c r="AK65" s="42" t="n">
        <f aca="false">SUMIF($F$7:$AG$7,AK$7,$F65:$AG65)</f>
        <v>0</v>
      </c>
      <c r="AL65" s="42" t="n">
        <f aca="false">SUMIF($F$7:$AG$7,AL$7,$F65:$AG65)</f>
        <v>0</v>
      </c>
      <c r="AM65" s="42" t="n">
        <f aca="false">SUMIF($F$7:$AG$7,AM$7,$F65:$AG65)</f>
        <v>0</v>
      </c>
      <c r="AN65" s="42" t="n">
        <f aca="false">SUMIF($F$7:$AG$7,AN$7,$F65:$AG65)</f>
        <v>0</v>
      </c>
      <c r="AO65" s="42" t="n">
        <f aca="false">SUMIF($F$7:$AG$7,AO$7,$F65:$AG65)</f>
        <v>0</v>
      </c>
    </row>
    <row r="66" customFormat="false" ht="15" hidden="false" customHeight="false" outlineLevel="0" collapsed="false">
      <c r="A66" s="104" t="s">
        <v>2078</v>
      </c>
      <c r="B66" s="20" t="s">
        <v>995</v>
      </c>
      <c r="C66" s="20" t="s">
        <v>495</v>
      </c>
      <c r="D66" s="20"/>
      <c r="F66" s="137" t="n">
        <f aca="false">IF(DilMethod=3,MAX(0,F60*$K$16/1000*DilPx-F63)/DilPx,F60*$K$16/1000*$P$16)</f>
        <v>0</v>
      </c>
      <c r="G66" s="137" t="n">
        <f aca="false">IF(DilMethod=3,MAX(0,G60*$K$16/1000*DilPx-G63)/DilPx,G60*$K$16/1000*$P$16)</f>
        <v>0</v>
      </c>
      <c r="H66" s="137" t="n">
        <f aca="false">IF(DilMethod=3,MAX(0,H60*$K$16/1000*DilPx-H63)/DilPx,H60*$K$16/1000*$P$16)</f>
        <v>0</v>
      </c>
      <c r="I66" s="137" t="n">
        <f aca="false">IF(DilMethod=3,MAX(0,I60*$K$16/1000*DilPx-I63)/DilPx,I60*$K$16/1000*$P$16)</f>
        <v>0</v>
      </c>
      <c r="J66" s="137" t="n">
        <f aca="false">IF(DilMethod=3,MAX(0,J60*$K$16/1000*DilPx-J63)/DilPx,J60*$K$16/1000*$P$16)</f>
        <v>0</v>
      </c>
      <c r="K66" s="137" t="n">
        <f aca="false">IF(DilMethod=3,MAX(0,K60*$K$16/1000*DilPx-K63)/DilPx,K60*$K$16/1000*$P$16)</f>
        <v>0</v>
      </c>
      <c r="L66" s="137" t="n">
        <f aca="false">IF(DilMethod=3,MAX(0,L60*$K$16/1000*DilPx-L63)/DilPx,L60*$K$16/1000*$P$16)</f>
        <v>0</v>
      </c>
      <c r="M66" s="137" t="n">
        <f aca="false">IF(DilMethod=3,MAX(0,M60*$K$16/1000*DilPx-M63)/DilPx,M60*$K$16/1000*$P$16)</f>
        <v>0</v>
      </c>
      <c r="N66" s="137" t="n">
        <f aca="false">IF(DilMethod=3,MAX(0,N60*$K$16/1000*DilPx-N63)/DilPx,N60*$K$16/1000*$P$16)</f>
        <v>0</v>
      </c>
      <c r="O66" s="137" t="n">
        <f aca="false">IF(DilMethod=3,MAX(0,O60*$K$16/1000*DilPx-O63)/DilPx,O60*$K$16/1000*$P$16)</f>
        <v>0</v>
      </c>
      <c r="P66" s="42" t="n">
        <f aca="false">IF(DilMethod=3,MAX(0,P60*$K$16/1000*DilPx-P63)/DilPx,P60*$K$16/1000*$P$16)</f>
        <v>0</v>
      </c>
      <c r="Q66" s="42" t="n">
        <f aca="false">IF(DilMethod=3,MAX(0,Q60*$K$16/1000*DilPx-Q63)/DilPx,Q60*$K$16/1000*$P$16)</f>
        <v>0</v>
      </c>
      <c r="R66" s="42" t="n">
        <f aca="false">IF(DilMethod=3,MAX(0,R60*$K$16/1000*DilPx-R63)/DilPx,R60*$K$16/1000*$P$16)</f>
        <v>0</v>
      </c>
      <c r="S66" s="42" t="n">
        <f aca="false">IF(DilMethod=3,MAX(0,S60*$K$16/1000*DilPx-S63)/DilPx,S60*$K$16/1000*$P$16)</f>
        <v>0</v>
      </c>
      <c r="T66" s="42" t="n">
        <f aca="false">IF(DilMethod=3,MAX(0,T60*$K$16/1000*DilPx-T63)/DilPx,T60*$K$16/1000*$P$16)</f>
        <v>0</v>
      </c>
      <c r="U66" s="42" t="n">
        <f aca="false">IF(DilMethod=3,MAX(0,U60*$K$16/1000*DilPx-U63)/DilPx,U60*$K$16/1000*$P$16)</f>
        <v>0</v>
      </c>
      <c r="V66" s="42" t="n">
        <f aca="false">IF(DilMethod=3,MAX(0,V60*$K$16/1000*DilPx-V63)/DilPx,V60*$K$16/1000*$P$16)</f>
        <v>0</v>
      </c>
      <c r="W66" s="42" t="n">
        <f aca="false">IF(DilMethod=3,MAX(0,W60*$K$16/1000*DilPx-W63)/DilPx,W60*$K$16/1000*$P$16)</f>
        <v>0</v>
      </c>
      <c r="X66" s="42" t="n">
        <f aca="false">IF(DilMethod=3,MAX(0,X60*$K$16/1000*DilPx-X63)/DilPx,X60*$K$16/1000*$P$16)</f>
        <v>0</v>
      </c>
      <c r="Y66" s="42" t="n">
        <f aca="false">IF(DilMethod=3,MAX(0,Y60*$K$16/1000*DilPx-Y63)/DilPx,Y60*$K$16/1000*$P$16)</f>
        <v>0</v>
      </c>
      <c r="Z66" s="42" t="n">
        <f aca="false">IF(DilMethod=3,MAX(0,Z60*$K$16/1000*DilPx-Z63)/DilPx,Z60*$K$16/1000*$P$16)</f>
        <v>0</v>
      </c>
      <c r="AA66" s="42" t="n">
        <f aca="false">IF(DilMethod=3,MAX(0,AA60*$K$16/1000*DilPx-AA63)/DilPx,AA60*$K$16/1000*$P$16)</f>
        <v>0</v>
      </c>
      <c r="AB66" s="42" t="n">
        <f aca="false">IF(DilMethod=3,MAX(0,AB60*$K$16/1000*DilPx-AB63)/DilPx,AB60*$K$16/1000*$P$16)</f>
        <v>0</v>
      </c>
      <c r="AC66" s="42" t="n">
        <f aca="false">IF(DilMethod=3,MAX(0,AC60*$K$16/1000*DilPx-AC63)/DilPx,AC60*$K$16/1000*$P$16)</f>
        <v>0</v>
      </c>
      <c r="AD66" s="42" t="n">
        <f aca="false">IF(DilMethod=3,MAX(0,AD60*$K$16/1000*DilPx-AD63)/DilPx,AD60*$K$16/1000*$P$16)</f>
        <v>0</v>
      </c>
      <c r="AE66" s="42" t="n">
        <f aca="false">IF(DilMethod=3,MAX(0,AE60*$K$16/1000*DilPx-AE63)/DilPx,AE60*$K$16/1000*$P$16)</f>
        <v>0</v>
      </c>
      <c r="AF66" s="42" t="n">
        <f aca="false">IF(DilMethod=3,MAX(0,AF60*$K$16/1000*DilPx-AF63)/DilPx,AF60*$K$16/1000*$P$16)</f>
        <v>0</v>
      </c>
      <c r="AG66" s="42" t="n">
        <f aca="false">IF(DilMethod=3,MAX(0,AG60*$K$16/1000*DilPx-AG63)/DilPx,AG60*$K$16/1000*$P$16)</f>
        <v>0</v>
      </c>
      <c r="AI66" s="42" t="n">
        <f aca="false">INDEX($F66:$AG66,1,MATCH(AI$7,$F$7:$AG$7,1))</f>
        <v>0</v>
      </c>
      <c r="AJ66" s="42" t="n">
        <f aca="false">INDEX($F66:$AG66,1,MATCH(AJ$7,$F$7:$AG$7,1))</f>
        <v>0</v>
      </c>
      <c r="AK66" s="42" t="n">
        <f aca="false">INDEX($F66:$AG66,1,MATCH(AK$7,$F$7:$AG$7,1))</f>
        <v>0</v>
      </c>
      <c r="AL66" s="42" t="n">
        <f aca="false">INDEX($F66:$AG66,1,MATCH(AL$7,$F$7:$AG$7,1))</f>
        <v>0</v>
      </c>
      <c r="AM66" s="42" t="n">
        <f aca="false">INDEX($F66:$AG66,1,MATCH(AM$7,$F$7:$AG$7,1))</f>
        <v>0</v>
      </c>
      <c r="AN66" s="42" t="n">
        <f aca="false">INDEX($F66:$AG66,1,MATCH(AN$7,$F$7:$AG$7,1))</f>
        <v>0</v>
      </c>
      <c r="AO66" s="42" t="n">
        <f aca="false">INDEX($F66:$AG66,1,MATCH(AO$7,$F$7:$AG$7,1))</f>
        <v>0</v>
      </c>
    </row>
    <row r="67" customFormat="false" ht="15" hidden="false" customHeight="false" outlineLevel="0" collapsed="false">
      <c r="A67" s="104" t="s">
        <v>2079</v>
      </c>
      <c r="B67" s="20" t="s">
        <v>561</v>
      </c>
      <c r="C67" s="20" t="s">
        <v>495</v>
      </c>
      <c r="D67" s="20"/>
      <c r="F67" s="122" t="n">
        <f aca="false">F63*IF(DilMethod=3,1,1-$P$16)</f>
        <v>0</v>
      </c>
      <c r="G67" s="122" t="n">
        <f aca="false">G63*IF(DilMethod=3,1,1-$P$16)</f>
        <v>0</v>
      </c>
      <c r="H67" s="122" t="n">
        <f aca="false">H63*IF(DilMethod=3,1,1-$P$16)</f>
        <v>0</v>
      </c>
      <c r="I67" s="122" t="n">
        <f aca="false">I63*IF(DilMethod=3,1,1-$P$16)</f>
        <v>0</v>
      </c>
      <c r="J67" s="122" t="n">
        <f aca="false">J63*IF(DilMethod=3,1,1-$P$16)</f>
        <v>0</v>
      </c>
      <c r="K67" s="122" t="n">
        <f aca="false">K63*IF(DilMethod=3,1,1-$P$16)</f>
        <v>0</v>
      </c>
      <c r="L67" s="122" t="n">
        <f aca="false">L63*IF(DilMethod=3,1,1-$P$16)</f>
        <v>0</v>
      </c>
      <c r="M67" s="122" t="n">
        <f aca="false">M63*IF(DilMethod=3,1,1-$P$16)</f>
        <v>0</v>
      </c>
      <c r="N67" s="122" t="n">
        <f aca="false">N63*IF(DilMethod=3,1,1-$P$16)</f>
        <v>2590.62602965404</v>
      </c>
      <c r="O67" s="122" t="n">
        <f aca="false">O63*IF(DilMethod=3,1,1-$P$16)</f>
        <v>2616.48682042834</v>
      </c>
      <c r="P67" s="123" t="n">
        <f aca="false">P63*IF(DilMethod=3,1,1-$P$16)</f>
        <v>2642.63179571664</v>
      </c>
      <c r="Q67" s="123" t="n">
        <f aca="false">Q63*IF(DilMethod=3,1,1-$P$16)</f>
        <v>2668.77677100494</v>
      </c>
      <c r="R67" s="123" t="n">
        <f aca="false">R63*IF(DilMethod=3,1,1-$P$16)</f>
        <v>2694.35337726524</v>
      </c>
      <c r="S67" s="123" t="n">
        <f aca="false">S63*IF(DilMethod=3,1,1-$P$16)</f>
        <v>2720.21416803954</v>
      </c>
      <c r="T67" s="123" t="n">
        <f aca="false">T63*IF(DilMethod=3,1,1-$P$16)</f>
        <v>2746.35914332784</v>
      </c>
      <c r="U67" s="123" t="n">
        <f aca="false">U63*IF(DilMethod=3,1,1-$P$16)</f>
        <v>2772.50411861614</v>
      </c>
      <c r="V67" s="123" t="n">
        <f aca="false">V63*IF(DilMethod=3,1,1-$P$16)</f>
        <v>2798.36490939044</v>
      </c>
      <c r="W67" s="123" t="n">
        <f aca="false">W63*IF(DilMethod=3,1,1-$P$16)</f>
        <v>2824.22570016474</v>
      </c>
      <c r="X67" s="123" t="n">
        <f aca="false">X63*IF(DilMethod=3,1,1-$P$16)</f>
        <v>2850.37067545305</v>
      </c>
      <c r="Y67" s="123" t="n">
        <f aca="false">Y63*IF(DilMethod=3,1,1-$P$16)</f>
        <v>2876.51565074135</v>
      </c>
      <c r="Z67" s="123" t="n">
        <f aca="false">Z63*IF(DilMethod=3,1,1-$P$16)</f>
        <v>2902.09225700165</v>
      </c>
      <c r="AA67" s="123" t="n">
        <f aca="false">AA63*IF(DilMethod=3,1,1-$P$16)</f>
        <v>2927.95304777595</v>
      </c>
      <c r="AB67" s="123" t="n">
        <f aca="false">AB63*IF(DilMethod=3,1,1-$P$16)</f>
        <v>2954.09802306425</v>
      </c>
      <c r="AC67" s="123" t="n">
        <f aca="false">AC63*IF(DilMethod=3,1,1-$P$16)</f>
        <v>2980.24299835255</v>
      </c>
      <c r="AD67" s="123" t="n">
        <f aca="false">AD63*IF(DilMethod=3,1,1-$P$16)</f>
        <v>3005.81960461285</v>
      </c>
      <c r="AE67" s="123" t="n">
        <f aca="false">AE63*IF(DilMethod=3,1,1-$P$16)</f>
        <v>3031.68039538715</v>
      </c>
      <c r="AF67" s="123" t="n">
        <f aca="false">AF63*IF(DilMethod=3,1,1-$P$16)</f>
        <v>3057.82537067545</v>
      </c>
      <c r="AG67" s="123" t="n">
        <f aca="false">AG63*IF(DilMethod=3,1,1-$P$16)</f>
        <v>3083.97034596376</v>
      </c>
      <c r="AI67" s="123" t="n">
        <f aca="false">INDEX($F67:$AG67,1,MATCH(AI$7,$F$7:$AG$7,1))</f>
        <v>0</v>
      </c>
      <c r="AJ67" s="123" t="n">
        <f aca="false">INDEX($F67:$AG67,1,MATCH(AJ$7,$F$7:$AG$7,1))</f>
        <v>0</v>
      </c>
      <c r="AK67" s="123" t="n">
        <f aca="false">INDEX($F67:$AG67,1,MATCH(AK$7,$F$7:$AG$7,1))</f>
        <v>2668.77677100494</v>
      </c>
      <c r="AL67" s="123" t="n">
        <f aca="false">INDEX($F67:$AG67,1,MATCH(AL$7,$F$7:$AG$7,1))</f>
        <v>2772.50411861614</v>
      </c>
      <c r="AM67" s="123" t="n">
        <f aca="false">INDEX($F67:$AG67,1,MATCH(AM$7,$F$7:$AG$7,1))</f>
        <v>2876.51565074135</v>
      </c>
      <c r="AN67" s="123" t="n">
        <f aca="false">INDEX($F67:$AG67,1,MATCH(AN$7,$F$7:$AG$7,1))</f>
        <v>2980.24299835255</v>
      </c>
      <c r="AO67" s="123" t="n">
        <f aca="false">INDEX($F67:$AG67,1,MATCH(AO$7,$F$7:$AG$7,1))</f>
        <v>3083.97034596376</v>
      </c>
    </row>
    <row r="68" customFormat="false" ht="15" hidden="false" customHeight="false" outlineLevel="0" collapsed="false">
      <c r="A68" s="104" t="s">
        <v>2080</v>
      </c>
      <c r="B68" s="20" t="s">
        <v>561</v>
      </c>
      <c r="C68" s="20" t="s">
        <v>550</v>
      </c>
      <c r="D68" s="20"/>
      <c r="F68" s="122" t="n">
        <f aca="false">IF(AND(F$5&gt;=$M$17,F$5&lt;$N$17),$E$17-$F$17-IF(F$5&gt;=$H$17,$G$17,0),0)*($H$17&lt;&gt;0)+IF(AND(F$5&gt;=$M$17,F$5&lt;$N$17),$E$17-$F$17,0)*($H$17=0)</f>
        <v>0</v>
      </c>
      <c r="G68" s="122" t="n">
        <f aca="false">IF(AND(G$5&gt;=$M$17,G$5&lt;$N$17),$E$17-$F$17-IF(G$5&gt;=$H$17,$G$17,0),0)*($H$17&lt;&gt;0)+IF(AND(G$5&gt;=$M$17,G$5&lt;$N$17),$E$17-$F$17,0)*($H$17=0)</f>
        <v>0</v>
      </c>
      <c r="H68" s="122" t="n">
        <f aca="false">IF(AND(H$5&gt;=$M$17,H$5&lt;$N$17),$E$17-$F$17-IF(H$5&gt;=$H$17,$G$17,0),0)*($H$17&lt;&gt;0)+IF(AND(H$5&gt;=$M$17,H$5&lt;$N$17),$E$17-$F$17,0)*($H$17=0)</f>
        <v>0</v>
      </c>
      <c r="I68" s="122" t="n">
        <f aca="false">IF(AND(I$5&gt;=$M$17,I$5&lt;$N$17),$E$17-$F$17-IF(I$5&gt;=$H$17,$G$17,0),0)*($H$17&lt;&gt;0)+IF(AND(I$5&gt;=$M$17,I$5&lt;$N$17),$E$17-$F$17,0)*($H$17=0)</f>
        <v>0</v>
      </c>
      <c r="J68" s="122" t="n">
        <f aca="false">IF(AND(J$5&gt;=$M$17,J$5&lt;$N$17),$E$17-$F$17-IF(J$5&gt;=$H$17,$G$17,0),0)*($H$17&lt;&gt;0)+IF(AND(J$5&gt;=$M$17,J$5&lt;$N$17),$E$17-$F$17,0)*($H$17=0)</f>
        <v>0</v>
      </c>
      <c r="K68" s="122" t="n">
        <f aca="false">IF(AND(K$5&gt;=$M$17,K$5&lt;$N$17),$E$17-$F$17-IF(K$5&gt;=$H$17,$G$17,0),0)*($H$17&lt;&gt;0)+IF(AND(K$5&gt;=$M$17,K$5&lt;$N$17),$E$17-$F$17,0)*($H$17=0)</f>
        <v>0</v>
      </c>
      <c r="L68" s="122" t="n">
        <f aca="false">IF(AND(L$5&gt;=$M$17,L$5&lt;$N$17),$E$17-$F$17-IF(L$5&gt;=$H$17,$G$17,0),0)*($H$17&lt;&gt;0)+IF(AND(L$5&gt;=$M$17,L$5&lt;$N$17),$E$17-$F$17,0)*($H$17=0)</f>
        <v>0</v>
      </c>
      <c r="M68" s="122" t="n">
        <f aca="false">IF(AND(M$5&gt;=$M$17,M$5&lt;$N$17),$E$17-$F$17-IF(M$5&gt;=$H$17,$G$17,0),0)*($H$17&lt;&gt;0)+IF(AND(M$5&gt;=$M$17,M$5&lt;$N$17),$E$17-$F$17,0)*($H$17=0)</f>
        <v>0</v>
      </c>
      <c r="N68" s="122" t="n">
        <f aca="false">IF(AND(N$5&gt;=$M$17,N$5&lt;$N$17),$E$17-$F$17-IF(N$5&gt;=$H$17,$G$17,0),0)*($H$17&lt;&gt;0)+IF(AND(N$5&gt;=$M$17,N$5&lt;$N$17),$E$17-$F$17,0)*($H$17=0)</f>
        <v>1750</v>
      </c>
      <c r="O68" s="122" t="n">
        <f aca="false">IF(AND(O$5&gt;=$M$17,O$5&lt;$N$17),$E$17-$F$17-IF(O$5&gt;=$H$17,$G$17,0),0)*($H$17&lt;&gt;0)+IF(AND(O$5&gt;=$M$17,O$5&lt;$N$17),$E$17-$F$17,0)*($H$17=0)</f>
        <v>1750</v>
      </c>
      <c r="P68" s="123" t="n">
        <f aca="false">IF(AND(P$5&gt;=$M$17,P$5&lt;$N$17),$E$17-$F$17-IF(P$5&gt;=$H$17,$G$17,0),0)*($H$17&lt;&gt;0)+IF(AND(P$5&gt;=$M$17,P$5&lt;$N$17),$E$17-$F$17,0)*($H$17=0)</f>
        <v>1750</v>
      </c>
      <c r="Q68" s="123" t="n">
        <f aca="false">IF(AND(Q$5&gt;=$M$17,Q$5&lt;$N$17),$E$17-$F$17-IF(Q$5&gt;=$H$17,$G$17,0),0)*($H$17&lt;&gt;0)+IF(AND(Q$5&gt;=$M$17,Q$5&lt;$N$17),$E$17-$F$17,0)*($H$17=0)</f>
        <v>1750</v>
      </c>
      <c r="R68" s="123" t="n">
        <f aca="false">IF(AND(R$5&gt;=$M$17,R$5&lt;$N$17),$E$17-$F$17-IF(R$5&gt;=$H$17,$G$17,0),0)*($H$17&lt;&gt;0)+IF(AND(R$5&gt;=$M$17,R$5&lt;$N$17),$E$17-$F$17,0)*($H$17=0)</f>
        <v>1750</v>
      </c>
      <c r="S68" s="123" t="n">
        <f aca="false">IF(AND(S$5&gt;=$M$17,S$5&lt;$N$17),$E$17-$F$17-IF(S$5&gt;=$H$17,$G$17,0),0)*($H$17&lt;&gt;0)+IF(AND(S$5&gt;=$M$17,S$5&lt;$N$17),$E$17-$F$17,0)*($H$17=0)</f>
        <v>1750</v>
      </c>
      <c r="T68" s="123" t="n">
        <f aca="false">IF(AND(T$5&gt;=$M$17,T$5&lt;$N$17),$E$17-$F$17-IF(T$5&gt;=$H$17,$G$17,0),0)*($H$17&lt;&gt;0)+IF(AND(T$5&gt;=$M$17,T$5&lt;$N$17),$E$17-$F$17,0)*($H$17=0)</f>
        <v>1750</v>
      </c>
      <c r="U68" s="123" t="n">
        <f aca="false">IF(AND(U$5&gt;=$M$17,U$5&lt;$N$17),$E$17-$F$17-IF(U$5&gt;=$H$17,$G$17,0),0)*($H$17&lt;&gt;0)+IF(AND(U$5&gt;=$M$17,U$5&lt;$N$17),$E$17-$F$17,0)*($H$17=0)</f>
        <v>1750</v>
      </c>
      <c r="V68" s="123" t="n">
        <f aca="false">IF(AND(V$5&gt;=$M$17,V$5&lt;$N$17),$E$17-$F$17-IF(V$5&gt;=$H$17,$G$17,0),0)*($H$17&lt;&gt;0)+IF(AND(V$5&gt;=$M$17,V$5&lt;$N$17),$E$17-$F$17,0)*($H$17=0)</f>
        <v>1750</v>
      </c>
      <c r="W68" s="123" t="n">
        <f aca="false">IF(AND(W$5&gt;=$M$17,W$5&lt;$N$17),$E$17-$F$17-IF(W$5&gt;=$H$17,$G$17,0),0)*($H$17&lt;&gt;0)+IF(AND(W$5&gt;=$M$17,W$5&lt;$N$17),$E$17-$F$17,0)*($H$17=0)</f>
        <v>1750</v>
      </c>
      <c r="X68" s="123" t="n">
        <f aca="false">IF(AND(X$5&gt;=$M$17,X$5&lt;$N$17),$E$17-$F$17-IF(X$5&gt;=$H$17,$G$17,0),0)*($H$17&lt;&gt;0)+IF(AND(X$5&gt;=$M$17,X$5&lt;$N$17),$E$17-$F$17,0)*($H$17=0)</f>
        <v>1750</v>
      </c>
      <c r="Y68" s="123" t="n">
        <f aca="false">IF(AND(Y$5&gt;=$M$17,Y$5&lt;$N$17),$E$17-$F$17-IF(Y$5&gt;=$H$17,$G$17,0),0)*($H$17&lt;&gt;0)+IF(AND(Y$5&gt;=$M$17,Y$5&lt;$N$17),$E$17-$F$17,0)*($H$17=0)</f>
        <v>1750</v>
      </c>
      <c r="Z68" s="123" t="n">
        <f aca="false">IF(AND(Z$5&gt;=$M$17,Z$5&lt;$N$17),$E$17-$F$17-IF(Z$5&gt;=$H$17,$G$17,0),0)*($H$17&lt;&gt;0)+IF(AND(Z$5&gt;=$M$17,Z$5&lt;$N$17),$E$17-$F$17,0)*($H$17=0)</f>
        <v>1750</v>
      </c>
      <c r="AA68" s="123" t="n">
        <f aca="false">IF(AND(AA$5&gt;=$M$17,AA$5&lt;$N$17),$E$17-$F$17-IF(AA$5&gt;=$H$17,$G$17,0),0)*($H$17&lt;&gt;0)+IF(AND(AA$5&gt;=$M$17,AA$5&lt;$N$17),$E$17-$F$17,0)*($H$17=0)</f>
        <v>1750</v>
      </c>
      <c r="AB68" s="123" t="n">
        <f aca="false">IF(AND(AB$5&gt;=$M$17,AB$5&lt;$N$17),$E$17-$F$17-IF(AB$5&gt;=$H$17,$G$17,0),0)*($H$17&lt;&gt;0)+IF(AND(AB$5&gt;=$M$17,AB$5&lt;$N$17),$E$17-$F$17,0)*($H$17=0)</f>
        <v>1750</v>
      </c>
      <c r="AC68" s="123" t="n">
        <f aca="false">IF(AND(AC$5&gt;=$M$17,AC$5&lt;$N$17),$E$17-$F$17-IF(AC$5&gt;=$H$17,$G$17,0),0)*($H$17&lt;&gt;0)+IF(AND(AC$5&gt;=$M$17,AC$5&lt;$N$17),$E$17-$F$17,0)*($H$17=0)</f>
        <v>1750</v>
      </c>
      <c r="AD68" s="123" t="n">
        <f aca="false">IF(AND(AD$5&gt;=$M$17,AD$5&lt;$N$17),$E$17-$F$17-IF(AD$5&gt;=$H$17,$G$17,0),0)*($H$17&lt;&gt;0)+IF(AND(AD$5&gt;=$M$17,AD$5&lt;$N$17),$E$17-$F$17,0)*($H$17=0)</f>
        <v>1750</v>
      </c>
      <c r="AE68" s="123" t="n">
        <f aca="false">IF(AND(AE$5&gt;=$M$17,AE$5&lt;$N$17),$E$17-$F$17-IF(AE$5&gt;=$H$17,$G$17,0),0)*($H$17&lt;&gt;0)+IF(AND(AE$5&gt;=$M$17,AE$5&lt;$N$17),$E$17-$F$17,0)*($H$17=0)</f>
        <v>1750</v>
      </c>
      <c r="AF68" s="123" t="n">
        <f aca="false">IF(AND(AF$5&gt;=$M$17,AF$5&lt;$N$17),$E$17-$F$17-IF(AF$5&gt;=$H$17,$G$17,0),0)*($H$17&lt;&gt;0)+IF(AND(AF$5&gt;=$M$17,AF$5&lt;$N$17),$E$17-$F$17,0)*($H$17=0)</f>
        <v>1750</v>
      </c>
      <c r="AG68" s="123" t="n">
        <f aca="false">IF(AND(AG$5&gt;=$M$17,AG$5&lt;$N$17),$E$17-$F$17-IF(AG$5&gt;=$H$17,$G$17,0),0)*($H$17&lt;&gt;0)+IF(AND(AG$5&gt;=$M$17,AG$5&lt;$N$17),$E$17-$F$17,0)*($H$17=0)</f>
        <v>1750</v>
      </c>
      <c r="AI68" s="123" t="n">
        <f aca="false">INDEX($F68:$AG68,1,MATCH(AI$7,$F$7:$AG$7,1))</f>
        <v>0</v>
      </c>
      <c r="AJ68" s="123" t="n">
        <f aca="false">INDEX($F68:$AG68,1,MATCH(AJ$7,$F$7:$AG$7,1))</f>
        <v>0</v>
      </c>
      <c r="AK68" s="123" t="n">
        <f aca="false">INDEX($F68:$AG68,1,MATCH(AK$7,$F$7:$AG$7,1))</f>
        <v>1750</v>
      </c>
      <c r="AL68" s="123" t="n">
        <f aca="false">INDEX($F68:$AG68,1,MATCH(AL$7,$F$7:$AG$7,1))</f>
        <v>1750</v>
      </c>
      <c r="AM68" s="123" t="n">
        <f aca="false">INDEX($F68:$AG68,1,MATCH(AM$7,$F$7:$AG$7,1))</f>
        <v>1750</v>
      </c>
      <c r="AN68" s="123" t="n">
        <f aca="false">INDEX($F68:$AG68,1,MATCH(AN$7,$F$7:$AG$7,1))</f>
        <v>1750</v>
      </c>
      <c r="AO68" s="123" t="n">
        <f aca="false">INDEX($F68:$AG68,1,MATCH(AO$7,$F$7:$AG$7,1))</f>
        <v>1750</v>
      </c>
    </row>
    <row r="69" customFormat="false" ht="15" hidden="false" customHeight="false" outlineLevel="0" collapsed="false">
      <c r="A69" s="104" t="s">
        <v>2081</v>
      </c>
      <c r="B69" s="20" t="s">
        <v>561</v>
      </c>
      <c r="C69" s="20" t="s">
        <v>550</v>
      </c>
      <c r="D69" s="20"/>
      <c r="F69" s="122" t="n">
        <f aca="false">F68*$C$17/4</f>
        <v>0</v>
      </c>
      <c r="G69" s="122" t="n">
        <f aca="false">G68*$C$17/4</f>
        <v>0</v>
      </c>
      <c r="H69" s="122" t="n">
        <f aca="false">H68*$C$17/4</f>
        <v>0</v>
      </c>
      <c r="I69" s="122" t="n">
        <f aca="false">I68*$C$17/4</f>
        <v>0</v>
      </c>
      <c r="J69" s="122" t="n">
        <f aca="false">J68*$C$17/4</f>
        <v>0</v>
      </c>
      <c r="K69" s="122" t="n">
        <f aca="false">K68*$C$17/4</f>
        <v>0</v>
      </c>
      <c r="L69" s="122" t="n">
        <f aca="false">L68*$C$17/4</f>
        <v>0</v>
      </c>
      <c r="M69" s="122" t="n">
        <f aca="false">M68*$C$17/4</f>
        <v>0</v>
      </c>
      <c r="N69" s="122" t="n">
        <f aca="false">N68*$C$17/4</f>
        <v>11.484375</v>
      </c>
      <c r="O69" s="122" t="n">
        <f aca="false">O68*$C$17/4</f>
        <v>11.484375</v>
      </c>
      <c r="P69" s="123" t="n">
        <f aca="false">P68*$C$17/4</f>
        <v>11.484375</v>
      </c>
      <c r="Q69" s="123" t="n">
        <f aca="false">Q68*$C$17/4</f>
        <v>11.484375</v>
      </c>
      <c r="R69" s="123" t="n">
        <f aca="false">R68*$C$17/4</f>
        <v>11.484375</v>
      </c>
      <c r="S69" s="123" t="n">
        <f aca="false">S68*$C$17/4</f>
        <v>11.484375</v>
      </c>
      <c r="T69" s="123" t="n">
        <f aca="false">T68*$C$17/4</f>
        <v>11.484375</v>
      </c>
      <c r="U69" s="123" t="n">
        <f aca="false">U68*$C$17/4</f>
        <v>11.484375</v>
      </c>
      <c r="V69" s="123" t="n">
        <f aca="false">V68*$C$17/4</f>
        <v>11.484375</v>
      </c>
      <c r="W69" s="123" t="n">
        <f aca="false">W68*$C$17/4</f>
        <v>11.484375</v>
      </c>
      <c r="X69" s="123" t="n">
        <f aca="false">X68*$C$17/4</f>
        <v>11.484375</v>
      </c>
      <c r="Y69" s="123" t="n">
        <f aca="false">Y68*$C$17/4</f>
        <v>11.484375</v>
      </c>
      <c r="Z69" s="123" t="n">
        <f aca="false">Z68*$C$17/4</f>
        <v>11.484375</v>
      </c>
      <c r="AA69" s="123" t="n">
        <f aca="false">AA68*$C$17/4</f>
        <v>11.484375</v>
      </c>
      <c r="AB69" s="123" t="n">
        <f aca="false">AB68*$C$17/4</f>
        <v>11.484375</v>
      </c>
      <c r="AC69" s="123" t="n">
        <f aca="false">AC68*$C$17/4</f>
        <v>11.484375</v>
      </c>
      <c r="AD69" s="123" t="n">
        <f aca="false">AD68*$C$17/4</f>
        <v>11.484375</v>
      </c>
      <c r="AE69" s="123" t="n">
        <f aca="false">AE68*$C$17/4</f>
        <v>11.484375</v>
      </c>
      <c r="AF69" s="123" t="n">
        <f aca="false">AF68*$C$17/4</f>
        <v>11.484375</v>
      </c>
      <c r="AG69" s="123" t="n">
        <f aca="false">AG68*$C$17/4</f>
        <v>11.484375</v>
      </c>
      <c r="AI69" s="123" t="n">
        <f aca="false">SUMIF($F$7:$AG$7,AI$7,$F69:$AG69)</f>
        <v>0</v>
      </c>
      <c r="AJ69" s="123" t="n">
        <f aca="false">SUMIF($F$7:$AG$7,AJ$7,$F69:$AG69)</f>
        <v>0</v>
      </c>
      <c r="AK69" s="123" t="n">
        <f aca="false">SUMIF($F$7:$AG$7,AK$7,$F69:$AG69)</f>
        <v>45.9375</v>
      </c>
      <c r="AL69" s="123" t="n">
        <f aca="false">SUMIF($F$7:$AG$7,AL$7,$F69:$AG69)</f>
        <v>45.9375</v>
      </c>
      <c r="AM69" s="123" t="n">
        <f aca="false">SUMIF($F$7:$AG$7,AM$7,$F69:$AG69)</f>
        <v>45.9375</v>
      </c>
      <c r="AN69" s="123" t="n">
        <f aca="false">SUMIF($F$7:$AG$7,AN$7,$F69:$AG69)</f>
        <v>45.9375</v>
      </c>
      <c r="AO69" s="123" t="n">
        <f aca="false">SUMIF($F$7:$AG$7,AO$7,$F69:$AG69)</f>
        <v>45.9375</v>
      </c>
    </row>
    <row r="70" customFormat="false" ht="15" hidden="false" customHeight="false" outlineLevel="0" collapsed="false">
      <c r="A70" s="104" t="s">
        <v>2082</v>
      </c>
      <c r="B70" s="20" t="s">
        <v>561</v>
      </c>
      <c r="C70" s="20" t="s">
        <v>550</v>
      </c>
      <c r="D70" s="20"/>
      <c r="F70" s="122" t="n">
        <f aca="false">F68*($J$17-1)/(($D$17-$B$17)/91.3125)</f>
        <v>0</v>
      </c>
      <c r="G70" s="122" t="n">
        <f aca="false">G68*($J$17-1)/(($D$17-$B$17)/91.3125)</f>
        <v>0</v>
      </c>
      <c r="H70" s="122" t="n">
        <f aca="false">H68*($J$17-1)/(($D$17-$B$17)/91.3125)</f>
        <v>0</v>
      </c>
      <c r="I70" s="122" t="n">
        <f aca="false">I68*($J$17-1)/(($D$17-$B$17)/91.3125)</f>
        <v>0</v>
      </c>
      <c r="J70" s="122" t="n">
        <f aca="false">J68*($J$17-1)/(($D$17-$B$17)/91.3125)</f>
        <v>0</v>
      </c>
      <c r="K70" s="122" t="n">
        <f aca="false">K68*($J$17-1)/(($D$17-$B$17)/91.3125)</f>
        <v>0</v>
      </c>
      <c r="L70" s="122" t="n">
        <f aca="false">L68*($J$17-1)/(($D$17-$B$17)/91.3125)</f>
        <v>0</v>
      </c>
      <c r="M70" s="122" t="n">
        <f aca="false">M68*($J$17-1)/(($D$17-$B$17)/91.3125)</f>
        <v>0</v>
      </c>
      <c r="N70" s="122" t="n">
        <f aca="false">N68*($J$17-1)/(($D$17-$B$17)/91.3125)</f>
        <v>12.5232660658307</v>
      </c>
      <c r="O70" s="122" t="n">
        <f aca="false">O68*($J$17-1)/(($D$17-$B$17)/91.3125)</f>
        <v>12.5232660658307</v>
      </c>
      <c r="P70" s="123" t="n">
        <f aca="false">P68*($J$17-1)/(($D$17-$B$17)/91.3125)</f>
        <v>12.5232660658307</v>
      </c>
      <c r="Q70" s="123" t="n">
        <f aca="false">Q68*($J$17-1)/(($D$17-$B$17)/91.3125)</f>
        <v>12.5232660658307</v>
      </c>
      <c r="R70" s="123" t="n">
        <f aca="false">R68*($J$17-1)/(($D$17-$B$17)/91.3125)</f>
        <v>12.5232660658307</v>
      </c>
      <c r="S70" s="123" t="n">
        <f aca="false">S68*($J$17-1)/(($D$17-$B$17)/91.3125)</f>
        <v>12.5232660658307</v>
      </c>
      <c r="T70" s="123" t="n">
        <f aca="false">T68*($J$17-1)/(($D$17-$B$17)/91.3125)</f>
        <v>12.5232660658307</v>
      </c>
      <c r="U70" s="123" t="n">
        <f aca="false">U68*($J$17-1)/(($D$17-$B$17)/91.3125)</f>
        <v>12.5232660658307</v>
      </c>
      <c r="V70" s="123" t="n">
        <f aca="false">V68*($J$17-1)/(($D$17-$B$17)/91.3125)</f>
        <v>12.5232660658307</v>
      </c>
      <c r="W70" s="123" t="n">
        <f aca="false">W68*($J$17-1)/(($D$17-$B$17)/91.3125)</f>
        <v>12.5232660658307</v>
      </c>
      <c r="X70" s="123" t="n">
        <f aca="false">X68*($J$17-1)/(($D$17-$B$17)/91.3125)</f>
        <v>12.5232660658307</v>
      </c>
      <c r="Y70" s="123" t="n">
        <f aca="false">Y68*($J$17-1)/(($D$17-$B$17)/91.3125)</f>
        <v>12.5232660658307</v>
      </c>
      <c r="Z70" s="123" t="n">
        <f aca="false">Z68*($J$17-1)/(($D$17-$B$17)/91.3125)</f>
        <v>12.5232660658307</v>
      </c>
      <c r="AA70" s="123" t="n">
        <f aca="false">AA68*($J$17-1)/(($D$17-$B$17)/91.3125)</f>
        <v>12.5232660658307</v>
      </c>
      <c r="AB70" s="123" t="n">
        <f aca="false">AB68*($J$17-1)/(($D$17-$B$17)/91.3125)</f>
        <v>12.5232660658307</v>
      </c>
      <c r="AC70" s="123" t="n">
        <f aca="false">AC68*($J$17-1)/(($D$17-$B$17)/91.3125)</f>
        <v>12.5232660658307</v>
      </c>
      <c r="AD70" s="123" t="n">
        <f aca="false">AD68*($J$17-1)/(($D$17-$B$17)/91.3125)</f>
        <v>12.5232660658307</v>
      </c>
      <c r="AE70" s="123" t="n">
        <f aca="false">AE68*($J$17-1)/(($D$17-$B$17)/91.3125)</f>
        <v>12.5232660658307</v>
      </c>
      <c r="AF70" s="123" t="n">
        <f aca="false">AF68*($J$17-1)/(($D$17-$B$17)/91.3125)</f>
        <v>12.5232660658307</v>
      </c>
      <c r="AG70" s="123" t="n">
        <f aca="false">AG68*($J$17-1)/(($D$17-$B$17)/91.3125)</f>
        <v>12.5232660658307</v>
      </c>
      <c r="AI70" s="123" t="n">
        <f aca="false">SUMIF($F$7:$AG$7,AI$7,$F70:$AG70)</f>
        <v>0</v>
      </c>
      <c r="AJ70" s="123" t="n">
        <f aca="false">SUMIF($F$7:$AG$7,AJ$7,$F70:$AG70)</f>
        <v>0</v>
      </c>
      <c r="AK70" s="123" t="n">
        <f aca="false">SUMIF($F$7:$AG$7,AK$7,$F70:$AG70)</f>
        <v>50.0930642633229</v>
      </c>
      <c r="AL70" s="123" t="n">
        <f aca="false">SUMIF($F$7:$AG$7,AL$7,$F70:$AG70)</f>
        <v>50.0930642633229</v>
      </c>
      <c r="AM70" s="123" t="n">
        <f aca="false">SUMIF($F$7:$AG$7,AM$7,$F70:$AG70)</f>
        <v>50.0930642633229</v>
      </c>
      <c r="AN70" s="123" t="n">
        <f aca="false">SUMIF($F$7:$AG$7,AN$7,$F70:$AG70)</f>
        <v>50.0930642633229</v>
      </c>
      <c r="AO70" s="123" t="n">
        <f aca="false">SUMIF($F$7:$AG$7,AO$7,$F70:$AG70)</f>
        <v>50.0930642633229</v>
      </c>
    </row>
    <row r="71" customFormat="false" ht="15" hidden="false" customHeight="false" outlineLevel="0" collapsed="false">
      <c r="A71" s="104" t="s">
        <v>2083</v>
      </c>
      <c r="B71" s="20" t="s">
        <v>561</v>
      </c>
      <c r="C71" s="20" t="s">
        <v>550</v>
      </c>
      <c r="D71" s="20"/>
      <c r="F71" s="122" t="n">
        <f aca="false">F68*(1+($J$17-1)*MIN(1,MAX(0,(F$4-$B$17)/($D$17-$B$17))))</f>
        <v>0</v>
      </c>
      <c r="G71" s="122" t="n">
        <f aca="false">G68*(1+($J$17-1)*MIN(1,MAX(0,(G$4-$B$17)/($D$17-$B$17))))</f>
        <v>0</v>
      </c>
      <c r="H71" s="122" t="n">
        <f aca="false">H68*(1+($J$17-1)*MIN(1,MAX(0,(H$4-$B$17)/($D$17-$B$17))))</f>
        <v>0</v>
      </c>
      <c r="I71" s="122" t="n">
        <f aca="false">I68*(1+($J$17-1)*MIN(1,MAX(0,(I$4-$B$17)/($D$17-$B$17))))</f>
        <v>0</v>
      </c>
      <c r="J71" s="122" t="n">
        <f aca="false">J68*(1+($J$17-1)*MIN(1,MAX(0,(J$4-$B$17)/($D$17-$B$17))))</f>
        <v>0</v>
      </c>
      <c r="K71" s="122" t="n">
        <f aca="false">K68*(1+($J$17-1)*MIN(1,MAX(0,(K$4-$B$17)/($D$17-$B$17))))</f>
        <v>0</v>
      </c>
      <c r="L71" s="122" t="n">
        <f aca="false">L68*(1+($J$17-1)*MIN(1,MAX(0,(L$4-$B$17)/($D$17-$B$17))))</f>
        <v>0</v>
      </c>
      <c r="M71" s="122" t="n">
        <f aca="false">M68*(1+($J$17-1)*MIN(1,MAX(0,(M$4-$B$17)/($D$17-$B$17))))</f>
        <v>0</v>
      </c>
      <c r="N71" s="122" t="n">
        <f aca="false">N68*(1+($J$17-1)*MIN(1,MAX(0,(N$4-$B$17)/($D$17-$B$17))))</f>
        <v>1751.50862068966</v>
      </c>
      <c r="O71" s="122" t="n">
        <f aca="false">O68*(1+($J$17-1)*MIN(1,MAX(0,(O$4-$B$17)/($D$17-$B$17))))</f>
        <v>1763.98902821317</v>
      </c>
      <c r="P71" s="123" t="n">
        <f aca="false">P68*(1+($J$17-1)*MIN(1,MAX(0,(P$4-$B$17)/($D$17-$B$17))))</f>
        <v>1776.6065830721</v>
      </c>
      <c r="Q71" s="123" t="n">
        <f aca="false">Q68*(1+($J$17-1)*MIN(1,MAX(0,(Q$4-$B$17)/($D$17-$B$17))))</f>
        <v>1789.22413793103</v>
      </c>
      <c r="R71" s="123" t="n">
        <f aca="false">R68*(1+($J$17-1)*MIN(1,MAX(0,(R$4-$B$17)/($D$17-$B$17))))</f>
        <v>1801.56739811912</v>
      </c>
      <c r="S71" s="123" t="n">
        <f aca="false">S68*(1+($J$17-1)*MIN(1,MAX(0,(S$4-$B$17)/($D$17-$B$17))))</f>
        <v>1814.04780564263</v>
      </c>
      <c r="T71" s="123" t="n">
        <f aca="false">T68*(1+($J$17-1)*MIN(1,MAX(0,(T$4-$B$17)/($D$17-$B$17))))</f>
        <v>1826.66536050157</v>
      </c>
      <c r="U71" s="123" t="n">
        <f aca="false">U68*(1+($J$17-1)*MIN(1,MAX(0,(U$4-$B$17)/($D$17-$B$17))))</f>
        <v>1839.2829153605</v>
      </c>
      <c r="V71" s="123" t="n">
        <f aca="false">V68*(1+($J$17-1)*MIN(1,MAX(0,(V$4-$B$17)/($D$17-$B$17))))</f>
        <v>1851.76332288401</v>
      </c>
      <c r="W71" s="123" t="n">
        <f aca="false">W68*(1+($J$17-1)*MIN(1,MAX(0,(W$4-$B$17)/($D$17-$B$17))))</f>
        <v>1864.24373040752</v>
      </c>
      <c r="X71" s="123" t="n">
        <f aca="false">X68*(1+($J$17-1)*MIN(1,MAX(0,(X$4-$B$17)/($D$17-$B$17))))</f>
        <v>1876.86128526646</v>
      </c>
      <c r="Y71" s="123" t="n">
        <f aca="false">Y68*(1+($J$17-1)*MIN(1,MAX(0,(Y$4-$B$17)/($D$17-$B$17))))</f>
        <v>1889.47884012539</v>
      </c>
      <c r="Z71" s="123" t="n">
        <f aca="false">Z68*(1+($J$17-1)*MIN(1,MAX(0,(Z$4-$B$17)/($D$17-$B$17))))</f>
        <v>1901.82210031348</v>
      </c>
      <c r="AA71" s="123" t="n">
        <f aca="false">AA68*(1+($J$17-1)*MIN(1,MAX(0,(AA$4-$B$17)/($D$17-$B$17))))</f>
        <v>1914.30250783699</v>
      </c>
      <c r="AB71" s="123" t="n">
        <f aca="false">AB68*(1+($J$17-1)*MIN(1,MAX(0,(AB$4-$B$17)/($D$17-$B$17))))</f>
        <v>1926.92006269592</v>
      </c>
      <c r="AC71" s="123" t="n">
        <f aca="false">AC68*(1+($J$17-1)*MIN(1,MAX(0,(AC$4-$B$17)/($D$17-$B$17))))</f>
        <v>1939.53761755486</v>
      </c>
      <c r="AD71" s="123" t="n">
        <f aca="false">AD68*(1+($J$17-1)*MIN(1,MAX(0,(AD$4-$B$17)/($D$17-$B$17))))</f>
        <v>1951.88087774295</v>
      </c>
      <c r="AE71" s="123" t="n">
        <f aca="false">AE68*(1+($J$17-1)*MIN(1,MAX(0,(AE$4-$B$17)/($D$17-$B$17))))</f>
        <v>1964.36128526646</v>
      </c>
      <c r="AF71" s="123" t="n">
        <f aca="false">AF68*(1+($J$17-1)*MIN(1,MAX(0,(AF$4-$B$17)/($D$17-$B$17))))</f>
        <v>1976.97884012539</v>
      </c>
      <c r="AG71" s="123" t="n">
        <f aca="false">AG68*(1+($J$17-1)*MIN(1,MAX(0,(AG$4-$B$17)/($D$17-$B$17))))</f>
        <v>1989.59639498433</v>
      </c>
      <c r="AI71" s="123" t="n">
        <f aca="false">INDEX($F71:$AG71,1,MATCH(AI$7,$F$7:$AG$7,1))</f>
        <v>0</v>
      </c>
      <c r="AJ71" s="123" t="n">
        <f aca="false">INDEX($F71:$AG71,1,MATCH(AJ$7,$F$7:$AG$7,1))</f>
        <v>0</v>
      </c>
      <c r="AK71" s="123" t="n">
        <f aca="false">INDEX($F71:$AG71,1,MATCH(AK$7,$F$7:$AG$7,1))</f>
        <v>1789.22413793103</v>
      </c>
      <c r="AL71" s="123" t="n">
        <f aca="false">INDEX($F71:$AG71,1,MATCH(AL$7,$F$7:$AG$7,1))</f>
        <v>1839.2829153605</v>
      </c>
      <c r="AM71" s="123" t="n">
        <f aca="false">INDEX($F71:$AG71,1,MATCH(AM$7,$F$7:$AG$7,1))</f>
        <v>1889.47884012539</v>
      </c>
      <c r="AN71" s="123" t="n">
        <f aca="false">INDEX($F71:$AG71,1,MATCH(AN$7,$F$7:$AG$7,1))</f>
        <v>1939.53761755486</v>
      </c>
      <c r="AO71" s="123" t="n">
        <f aca="false">INDEX($F71:$AG71,1,MATCH(AO$7,$F$7:$AG$7,1))</f>
        <v>1989.59639498433</v>
      </c>
    </row>
    <row r="72" customFormat="false" ht="15" hidden="false" customHeight="false" outlineLevel="0" collapsed="false">
      <c r="A72" s="104" t="s">
        <v>2084</v>
      </c>
      <c r="B72" s="20" t="s">
        <v>561</v>
      </c>
      <c r="C72" s="20" t="s">
        <v>550</v>
      </c>
      <c r="D72" s="20"/>
      <c r="F72" s="122" t="n">
        <f aca="false">IF(F$5=$N$17,E68*$J$17*(1-$O$17),0)</f>
        <v>0</v>
      </c>
      <c r="G72" s="122" t="n">
        <f aca="false">IF(G$5=$N$17,F68*$J$17*(1-$O$17),0)</f>
        <v>0</v>
      </c>
      <c r="H72" s="122" t="n">
        <f aca="false">IF(H$5=$N$17,G68*$J$17*(1-$O$17),0)</f>
        <v>0</v>
      </c>
      <c r="I72" s="122" t="n">
        <f aca="false">IF(I$5=$N$17,H68*$J$17*(1-$O$17),0)</f>
        <v>0</v>
      </c>
      <c r="J72" s="122" t="n">
        <f aca="false">IF(J$5=$N$17,I68*$J$17*(1-$O$17),0)</f>
        <v>0</v>
      </c>
      <c r="K72" s="122" t="n">
        <f aca="false">IF(K$5=$N$17,J68*$J$17*(1-$O$17),0)</f>
        <v>0</v>
      </c>
      <c r="L72" s="122" t="n">
        <f aca="false">IF(L$5=$N$17,K68*$J$17*(1-$O$17),0)</f>
        <v>0</v>
      </c>
      <c r="M72" s="122" t="n">
        <f aca="false">IF(M$5=$N$17,L68*$J$17*(1-$O$17),0)</f>
        <v>0</v>
      </c>
      <c r="N72" s="122" t="n">
        <f aca="false">IF(N$5=$N$17,M68*$J$17*(1-$O$17),0)</f>
        <v>0</v>
      </c>
      <c r="O72" s="122" t="n">
        <f aca="false">IF(O$5=$N$17,N68*$J$17*(1-$O$17),0)</f>
        <v>0</v>
      </c>
      <c r="P72" s="123" t="n">
        <f aca="false">IF(P$5=$N$17,O68*$J$17*(1-$O$17),0)</f>
        <v>0</v>
      </c>
      <c r="Q72" s="123" t="n">
        <f aca="false">IF(Q$5=$N$17,P68*$J$17*(1-$O$17),0)</f>
        <v>0</v>
      </c>
      <c r="R72" s="123" t="n">
        <f aca="false">IF(R$5=$N$17,Q68*$J$17*(1-$O$17),0)</f>
        <v>0</v>
      </c>
      <c r="S72" s="123" t="n">
        <f aca="false">IF(S$5=$N$17,R68*$J$17*(1-$O$17),0)</f>
        <v>0</v>
      </c>
      <c r="T72" s="123" t="n">
        <f aca="false">IF(T$5=$N$17,S68*$J$17*(1-$O$17),0)</f>
        <v>0</v>
      </c>
      <c r="U72" s="123" t="n">
        <f aca="false">IF(U$5=$N$17,T68*$J$17*(1-$O$17),0)</f>
        <v>0</v>
      </c>
      <c r="V72" s="123" t="n">
        <f aca="false">IF(V$5=$N$17,U68*$J$17*(1-$O$17),0)</f>
        <v>0</v>
      </c>
      <c r="W72" s="123" t="n">
        <f aca="false">IF(W$5=$N$17,V68*$J$17*(1-$O$17),0)</f>
        <v>0</v>
      </c>
      <c r="X72" s="123" t="n">
        <f aca="false">IF(X$5=$N$17,W68*$J$17*(1-$O$17),0)</f>
        <v>0</v>
      </c>
      <c r="Y72" s="123" t="n">
        <f aca="false">IF(Y$5=$N$17,X68*$J$17*(1-$O$17),0)</f>
        <v>0</v>
      </c>
      <c r="Z72" s="123" t="n">
        <f aca="false">IF(Z$5=$N$17,Y68*$J$17*(1-$O$17),0)</f>
        <v>0</v>
      </c>
      <c r="AA72" s="123" t="n">
        <f aca="false">IF(AA$5=$N$17,Z68*$J$17*(1-$O$17),0)</f>
        <v>0</v>
      </c>
      <c r="AB72" s="123" t="n">
        <f aca="false">IF(AB$5=$N$17,AA68*$J$17*(1-$O$17),0)</f>
        <v>0</v>
      </c>
      <c r="AC72" s="123" t="n">
        <f aca="false">IF(AC$5=$N$17,AB68*$J$17*(1-$O$17),0)</f>
        <v>0</v>
      </c>
      <c r="AD72" s="123" t="n">
        <f aca="false">IF(AD$5=$N$17,AC68*$J$17*(1-$O$17),0)</f>
        <v>0</v>
      </c>
      <c r="AE72" s="123" t="n">
        <f aca="false">IF(AE$5=$N$17,AD68*$J$17*(1-$O$17),0)</f>
        <v>0</v>
      </c>
      <c r="AF72" s="123" t="n">
        <f aca="false">IF(AF$5=$N$17,AE68*$J$17*(1-$O$17),0)</f>
        <v>0</v>
      </c>
      <c r="AG72" s="123" t="n">
        <f aca="false">IF(AG$5=$N$17,AF68*$J$17*(1-$O$17),0)</f>
        <v>0</v>
      </c>
      <c r="AI72" s="123" t="n">
        <f aca="false">SUMIF($F$7:$AG$7,AI$7,$F72:$AG72)</f>
        <v>0</v>
      </c>
      <c r="AJ72" s="123" t="n">
        <f aca="false">SUMIF($F$7:$AG$7,AJ$7,$F72:$AG72)</f>
        <v>0</v>
      </c>
      <c r="AK72" s="123" t="n">
        <f aca="false">SUMIF($F$7:$AG$7,AK$7,$F72:$AG72)</f>
        <v>0</v>
      </c>
      <c r="AL72" s="123" t="n">
        <f aca="false">SUMIF($F$7:$AG$7,AL$7,$F72:$AG72)</f>
        <v>0</v>
      </c>
      <c r="AM72" s="123" t="n">
        <f aca="false">SUMIF($F$7:$AG$7,AM$7,$F72:$AG72)</f>
        <v>0</v>
      </c>
      <c r="AN72" s="123" t="n">
        <f aca="false">SUMIF($F$7:$AG$7,AN$7,$F72:$AG72)</f>
        <v>0</v>
      </c>
      <c r="AO72" s="123" t="n">
        <f aca="false">SUMIF($F$7:$AG$7,AO$7,$F72:$AG72)</f>
        <v>0</v>
      </c>
    </row>
    <row r="73" customFormat="false" ht="15" hidden="false" customHeight="false" outlineLevel="0" collapsed="false">
      <c r="A73" s="104" t="s">
        <v>2085</v>
      </c>
      <c r="B73" s="20" t="s">
        <v>995</v>
      </c>
      <c r="C73" s="20" t="s">
        <v>550</v>
      </c>
      <c r="D73" s="20"/>
      <c r="F73" s="137" t="n">
        <f aca="false">IF(F$5=$N$17,E68*$K$17/1000*$O$17,0)</f>
        <v>0</v>
      </c>
      <c r="G73" s="137" t="n">
        <f aca="false">IF(G$5=$N$17,F68*$K$17/1000*$O$17,0)</f>
        <v>0</v>
      </c>
      <c r="H73" s="137" t="n">
        <f aca="false">IF(H$5=$N$17,G68*$K$17/1000*$O$17,0)</f>
        <v>0</v>
      </c>
      <c r="I73" s="137" t="n">
        <f aca="false">IF(I$5=$N$17,H68*$K$17/1000*$O$17,0)</f>
        <v>0</v>
      </c>
      <c r="J73" s="137" t="n">
        <f aca="false">IF(J$5=$N$17,I68*$K$17/1000*$O$17,0)</f>
        <v>0</v>
      </c>
      <c r="K73" s="137" t="n">
        <f aca="false">IF(K$5=$N$17,J68*$K$17/1000*$O$17,0)</f>
        <v>0</v>
      </c>
      <c r="L73" s="137" t="n">
        <f aca="false">IF(L$5=$N$17,K68*$K$17/1000*$O$17,0)</f>
        <v>0</v>
      </c>
      <c r="M73" s="137" t="n">
        <f aca="false">IF(M$5=$N$17,L68*$K$17/1000*$O$17,0)</f>
        <v>0</v>
      </c>
      <c r="N73" s="137" t="n">
        <f aca="false">IF(N$5=$N$17,M68*$K$17/1000*$O$17,0)</f>
        <v>0</v>
      </c>
      <c r="O73" s="137" t="n">
        <f aca="false">IF(O$5=$N$17,N68*$K$17/1000*$O$17,0)</f>
        <v>0</v>
      </c>
      <c r="P73" s="42" t="n">
        <f aca="false">IF(P$5=$N$17,O68*$K$17/1000*$O$17,0)</f>
        <v>0</v>
      </c>
      <c r="Q73" s="42" t="n">
        <f aca="false">IF(Q$5=$N$17,P68*$K$17/1000*$O$17,0)</f>
        <v>0</v>
      </c>
      <c r="R73" s="42" t="n">
        <f aca="false">IF(R$5=$N$17,Q68*$K$17/1000*$O$17,0)</f>
        <v>0</v>
      </c>
      <c r="S73" s="42" t="n">
        <f aca="false">IF(S$5=$N$17,R68*$K$17/1000*$O$17,0)</f>
        <v>0</v>
      </c>
      <c r="T73" s="42" t="n">
        <f aca="false">IF(T$5=$N$17,S68*$K$17/1000*$O$17,0)</f>
        <v>0</v>
      </c>
      <c r="U73" s="42" t="n">
        <f aca="false">IF(U$5=$N$17,T68*$K$17/1000*$O$17,0)</f>
        <v>0</v>
      </c>
      <c r="V73" s="42" t="n">
        <f aca="false">IF(V$5=$N$17,U68*$K$17/1000*$O$17,0)</f>
        <v>0</v>
      </c>
      <c r="W73" s="42" t="n">
        <f aca="false">IF(W$5=$N$17,V68*$K$17/1000*$O$17,0)</f>
        <v>0</v>
      </c>
      <c r="X73" s="42" t="n">
        <f aca="false">IF(X$5=$N$17,W68*$K$17/1000*$O$17,0)</f>
        <v>0</v>
      </c>
      <c r="Y73" s="42" t="n">
        <f aca="false">IF(Y$5=$N$17,X68*$K$17/1000*$O$17,0)</f>
        <v>0</v>
      </c>
      <c r="Z73" s="42" t="n">
        <f aca="false">IF(Z$5=$N$17,Y68*$K$17/1000*$O$17,0)</f>
        <v>0</v>
      </c>
      <c r="AA73" s="42" t="n">
        <f aca="false">IF(AA$5=$N$17,Z68*$K$17/1000*$O$17,0)</f>
        <v>0</v>
      </c>
      <c r="AB73" s="42" t="n">
        <f aca="false">IF(AB$5=$N$17,AA68*$K$17/1000*$O$17,0)</f>
        <v>0</v>
      </c>
      <c r="AC73" s="42" t="n">
        <f aca="false">IF(AC$5=$N$17,AB68*$K$17/1000*$O$17,0)</f>
        <v>0</v>
      </c>
      <c r="AD73" s="42" t="n">
        <f aca="false">IF(AD$5=$N$17,AC68*$K$17/1000*$O$17,0)</f>
        <v>0</v>
      </c>
      <c r="AE73" s="42" t="n">
        <f aca="false">IF(AE$5=$N$17,AD68*$K$17/1000*$O$17,0)</f>
        <v>0</v>
      </c>
      <c r="AF73" s="42" t="n">
        <f aca="false">IF(AF$5=$N$17,AE68*$K$17/1000*$O$17,0)</f>
        <v>0</v>
      </c>
      <c r="AG73" s="42" t="n">
        <f aca="false">IF(AG$5=$N$17,AF68*$K$17/1000*$O$17,0)</f>
        <v>0</v>
      </c>
      <c r="AI73" s="42" t="n">
        <f aca="false">SUMIF($F$7:$AG$7,AI$7,$F73:$AG73)</f>
        <v>0</v>
      </c>
      <c r="AJ73" s="42" t="n">
        <f aca="false">SUMIF($F$7:$AG$7,AJ$7,$F73:$AG73)</f>
        <v>0</v>
      </c>
      <c r="AK73" s="42" t="n">
        <f aca="false">SUMIF($F$7:$AG$7,AK$7,$F73:$AG73)</f>
        <v>0</v>
      </c>
      <c r="AL73" s="42" t="n">
        <f aca="false">SUMIF($F$7:$AG$7,AL$7,$F73:$AG73)</f>
        <v>0</v>
      </c>
      <c r="AM73" s="42" t="n">
        <f aca="false">SUMIF($F$7:$AG$7,AM$7,$F73:$AG73)</f>
        <v>0</v>
      </c>
      <c r="AN73" s="42" t="n">
        <f aca="false">SUMIF($F$7:$AG$7,AN$7,$F73:$AG73)</f>
        <v>0</v>
      </c>
      <c r="AO73" s="42" t="n">
        <f aca="false">SUMIF($F$7:$AG$7,AO$7,$F73:$AG73)</f>
        <v>0</v>
      </c>
    </row>
    <row r="74" customFormat="false" ht="15" hidden="false" customHeight="false" outlineLevel="0" collapsed="false">
      <c r="A74" s="104" t="s">
        <v>2086</v>
      </c>
      <c r="B74" s="20" t="s">
        <v>995</v>
      </c>
      <c r="C74" s="20" t="s">
        <v>495</v>
      </c>
      <c r="D74" s="20"/>
      <c r="F74" s="137" t="n">
        <f aca="false">IF(DilMethod=3,MAX(0,F68*$K$17/1000*DilPx-F71)/DilPx,F68*$K$17/1000*$P$17)</f>
        <v>0</v>
      </c>
      <c r="G74" s="137" t="n">
        <f aca="false">IF(DilMethod=3,MAX(0,G68*$K$17/1000*DilPx-G71)/DilPx,G68*$K$17/1000*$P$17)</f>
        <v>0</v>
      </c>
      <c r="H74" s="137" t="n">
        <f aca="false">IF(DilMethod=3,MAX(0,H68*$K$17/1000*DilPx-H71)/DilPx,H68*$K$17/1000*$P$17)</f>
        <v>0</v>
      </c>
      <c r="I74" s="137" t="n">
        <f aca="false">IF(DilMethod=3,MAX(0,I68*$K$17/1000*DilPx-I71)/DilPx,I68*$K$17/1000*$P$17)</f>
        <v>0</v>
      </c>
      <c r="J74" s="137" t="n">
        <f aca="false">IF(DilMethod=3,MAX(0,J68*$K$17/1000*DilPx-J71)/DilPx,J68*$K$17/1000*$P$17)</f>
        <v>0</v>
      </c>
      <c r="K74" s="137" t="n">
        <f aca="false">IF(DilMethod=3,MAX(0,K68*$K$17/1000*DilPx-K71)/DilPx,K68*$K$17/1000*$P$17)</f>
        <v>0</v>
      </c>
      <c r="L74" s="137" t="n">
        <f aca="false">IF(DilMethod=3,MAX(0,L68*$K$17/1000*DilPx-L71)/DilPx,L68*$K$17/1000*$P$17)</f>
        <v>0</v>
      </c>
      <c r="M74" s="137" t="n">
        <f aca="false">IF(DilMethod=3,MAX(0,M68*$K$17/1000*DilPx-M71)/DilPx,M68*$K$17/1000*$P$17)</f>
        <v>0</v>
      </c>
      <c r="N74" s="137" t="n">
        <f aca="false">IF(DilMethod=3,MAX(0,N68*$K$17/1000*DilPx-N71)/DilPx,N68*$K$17/1000*$P$17)</f>
        <v>0</v>
      </c>
      <c r="O74" s="137" t="n">
        <f aca="false">IF(DilMethod=3,MAX(0,O68*$K$17/1000*DilPx-O71)/DilPx,O68*$K$17/1000*$P$17)</f>
        <v>0</v>
      </c>
      <c r="P74" s="42" t="n">
        <f aca="false">IF(DilMethod=3,MAX(0,P68*$K$17/1000*DilPx-P71)/DilPx,P68*$K$17/1000*$P$17)</f>
        <v>0</v>
      </c>
      <c r="Q74" s="42" t="n">
        <f aca="false">IF(DilMethod=3,MAX(0,Q68*$K$17/1000*DilPx-Q71)/DilPx,Q68*$K$17/1000*$P$17)</f>
        <v>0</v>
      </c>
      <c r="R74" s="42" t="n">
        <f aca="false">IF(DilMethod=3,MAX(0,R68*$K$17/1000*DilPx-R71)/DilPx,R68*$K$17/1000*$P$17)</f>
        <v>0</v>
      </c>
      <c r="S74" s="42" t="n">
        <f aca="false">IF(DilMethod=3,MAX(0,S68*$K$17/1000*DilPx-S71)/DilPx,S68*$K$17/1000*$P$17)</f>
        <v>0</v>
      </c>
      <c r="T74" s="42" t="n">
        <f aca="false">IF(DilMethod=3,MAX(0,T68*$K$17/1000*DilPx-T71)/DilPx,T68*$K$17/1000*$P$17)</f>
        <v>0</v>
      </c>
      <c r="U74" s="42" t="n">
        <f aca="false">IF(DilMethod=3,MAX(0,U68*$K$17/1000*DilPx-U71)/DilPx,U68*$K$17/1000*$P$17)</f>
        <v>0</v>
      </c>
      <c r="V74" s="42" t="n">
        <f aca="false">IF(DilMethod=3,MAX(0,V68*$K$17/1000*DilPx-V71)/DilPx,V68*$K$17/1000*$P$17)</f>
        <v>0</v>
      </c>
      <c r="W74" s="42" t="n">
        <f aca="false">IF(DilMethod=3,MAX(0,W68*$K$17/1000*DilPx-W71)/DilPx,W68*$K$17/1000*$P$17)</f>
        <v>0</v>
      </c>
      <c r="X74" s="42" t="n">
        <f aca="false">IF(DilMethod=3,MAX(0,X68*$K$17/1000*DilPx-X71)/DilPx,X68*$K$17/1000*$P$17)</f>
        <v>0</v>
      </c>
      <c r="Y74" s="42" t="n">
        <f aca="false">IF(DilMethod=3,MAX(0,Y68*$K$17/1000*DilPx-Y71)/DilPx,Y68*$K$17/1000*$P$17)</f>
        <v>0</v>
      </c>
      <c r="Z74" s="42" t="n">
        <f aca="false">IF(DilMethod=3,MAX(0,Z68*$K$17/1000*DilPx-Z71)/DilPx,Z68*$K$17/1000*$P$17)</f>
        <v>0</v>
      </c>
      <c r="AA74" s="42" t="n">
        <f aca="false">IF(DilMethod=3,MAX(0,AA68*$K$17/1000*DilPx-AA71)/DilPx,AA68*$K$17/1000*$P$17)</f>
        <v>0</v>
      </c>
      <c r="AB74" s="42" t="n">
        <f aca="false">IF(DilMethod=3,MAX(0,AB68*$K$17/1000*DilPx-AB71)/DilPx,AB68*$K$17/1000*$P$17)</f>
        <v>0</v>
      </c>
      <c r="AC74" s="42" t="n">
        <f aca="false">IF(DilMethod=3,MAX(0,AC68*$K$17/1000*DilPx-AC71)/DilPx,AC68*$K$17/1000*$P$17)</f>
        <v>0</v>
      </c>
      <c r="AD74" s="42" t="n">
        <f aca="false">IF(DilMethod=3,MAX(0,AD68*$K$17/1000*DilPx-AD71)/DilPx,AD68*$K$17/1000*$P$17)</f>
        <v>0</v>
      </c>
      <c r="AE74" s="42" t="n">
        <f aca="false">IF(DilMethod=3,MAX(0,AE68*$K$17/1000*DilPx-AE71)/DilPx,AE68*$K$17/1000*$P$17)</f>
        <v>0</v>
      </c>
      <c r="AF74" s="42" t="n">
        <f aca="false">IF(DilMethod=3,MAX(0,AF68*$K$17/1000*DilPx-AF71)/DilPx,AF68*$K$17/1000*$P$17)</f>
        <v>0</v>
      </c>
      <c r="AG74" s="42" t="n">
        <f aca="false">IF(DilMethod=3,MAX(0,AG68*$K$17/1000*DilPx-AG71)/DilPx,AG68*$K$17/1000*$P$17)</f>
        <v>0</v>
      </c>
      <c r="AI74" s="42" t="n">
        <f aca="false">INDEX($F74:$AG74,1,MATCH(AI$7,$F$7:$AG$7,1))</f>
        <v>0</v>
      </c>
      <c r="AJ74" s="42" t="n">
        <f aca="false">INDEX($F74:$AG74,1,MATCH(AJ$7,$F$7:$AG$7,1))</f>
        <v>0</v>
      </c>
      <c r="AK74" s="42" t="n">
        <f aca="false">INDEX($F74:$AG74,1,MATCH(AK$7,$F$7:$AG$7,1))</f>
        <v>0</v>
      </c>
      <c r="AL74" s="42" t="n">
        <f aca="false">INDEX($F74:$AG74,1,MATCH(AL$7,$F$7:$AG$7,1))</f>
        <v>0</v>
      </c>
      <c r="AM74" s="42" t="n">
        <f aca="false">INDEX($F74:$AG74,1,MATCH(AM$7,$F$7:$AG$7,1))</f>
        <v>0</v>
      </c>
      <c r="AN74" s="42" t="n">
        <f aca="false">INDEX($F74:$AG74,1,MATCH(AN$7,$F$7:$AG$7,1))</f>
        <v>0</v>
      </c>
      <c r="AO74" s="42" t="n">
        <f aca="false">INDEX($F74:$AG74,1,MATCH(AO$7,$F$7:$AG$7,1))</f>
        <v>0</v>
      </c>
    </row>
    <row r="75" customFormat="false" ht="15" hidden="false" customHeight="false" outlineLevel="0" collapsed="false">
      <c r="A75" s="104" t="s">
        <v>2087</v>
      </c>
      <c r="B75" s="20" t="s">
        <v>561</v>
      </c>
      <c r="C75" s="20" t="s">
        <v>495</v>
      </c>
      <c r="D75" s="20"/>
      <c r="F75" s="122" t="n">
        <f aca="false">F71*IF(DilMethod=3,1,1-$P$17)</f>
        <v>0</v>
      </c>
      <c r="G75" s="122" t="n">
        <f aca="false">G71*IF(DilMethod=3,1,1-$P$17)</f>
        <v>0</v>
      </c>
      <c r="H75" s="122" t="n">
        <f aca="false">H71*IF(DilMethod=3,1,1-$P$17)</f>
        <v>0</v>
      </c>
      <c r="I75" s="122" t="n">
        <f aca="false">I71*IF(DilMethod=3,1,1-$P$17)</f>
        <v>0</v>
      </c>
      <c r="J75" s="122" t="n">
        <f aca="false">J71*IF(DilMethod=3,1,1-$P$17)</f>
        <v>0</v>
      </c>
      <c r="K75" s="122" t="n">
        <f aca="false">K71*IF(DilMethod=3,1,1-$P$17)</f>
        <v>0</v>
      </c>
      <c r="L75" s="122" t="n">
        <f aca="false">L71*IF(DilMethod=3,1,1-$P$17)</f>
        <v>0</v>
      </c>
      <c r="M75" s="122" t="n">
        <f aca="false">M71*IF(DilMethod=3,1,1-$P$17)</f>
        <v>0</v>
      </c>
      <c r="N75" s="122" t="n">
        <f aca="false">N71*IF(DilMethod=3,1,1-$P$17)</f>
        <v>1751.50862068966</v>
      </c>
      <c r="O75" s="122" t="n">
        <f aca="false">O71*IF(DilMethod=3,1,1-$P$17)</f>
        <v>1763.98902821317</v>
      </c>
      <c r="P75" s="123" t="n">
        <f aca="false">P71*IF(DilMethod=3,1,1-$P$17)</f>
        <v>1776.6065830721</v>
      </c>
      <c r="Q75" s="123" t="n">
        <f aca="false">Q71*IF(DilMethod=3,1,1-$P$17)</f>
        <v>1789.22413793103</v>
      </c>
      <c r="R75" s="123" t="n">
        <f aca="false">R71*IF(DilMethod=3,1,1-$P$17)</f>
        <v>1801.56739811912</v>
      </c>
      <c r="S75" s="123" t="n">
        <f aca="false">S71*IF(DilMethod=3,1,1-$P$17)</f>
        <v>1814.04780564263</v>
      </c>
      <c r="T75" s="123" t="n">
        <f aca="false">T71*IF(DilMethod=3,1,1-$P$17)</f>
        <v>1826.66536050157</v>
      </c>
      <c r="U75" s="123" t="n">
        <f aca="false">U71*IF(DilMethod=3,1,1-$P$17)</f>
        <v>1839.2829153605</v>
      </c>
      <c r="V75" s="123" t="n">
        <f aca="false">V71*IF(DilMethod=3,1,1-$P$17)</f>
        <v>1851.76332288401</v>
      </c>
      <c r="W75" s="123" t="n">
        <f aca="false">W71*IF(DilMethod=3,1,1-$P$17)</f>
        <v>1864.24373040752</v>
      </c>
      <c r="X75" s="123" t="n">
        <f aca="false">X71*IF(DilMethod=3,1,1-$P$17)</f>
        <v>1876.86128526646</v>
      </c>
      <c r="Y75" s="123" t="n">
        <f aca="false">Y71*IF(DilMethod=3,1,1-$P$17)</f>
        <v>1889.47884012539</v>
      </c>
      <c r="Z75" s="123" t="n">
        <f aca="false">Z71*IF(DilMethod=3,1,1-$P$17)</f>
        <v>1901.82210031348</v>
      </c>
      <c r="AA75" s="123" t="n">
        <f aca="false">AA71*IF(DilMethod=3,1,1-$P$17)</f>
        <v>1914.30250783699</v>
      </c>
      <c r="AB75" s="123" t="n">
        <f aca="false">AB71*IF(DilMethod=3,1,1-$P$17)</f>
        <v>1926.92006269592</v>
      </c>
      <c r="AC75" s="123" t="n">
        <f aca="false">AC71*IF(DilMethod=3,1,1-$P$17)</f>
        <v>1939.53761755486</v>
      </c>
      <c r="AD75" s="123" t="n">
        <f aca="false">AD71*IF(DilMethod=3,1,1-$P$17)</f>
        <v>1951.88087774295</v>
      </c>
      <c r="AE75" s="123" t="n">
        <f aca="false">AE71*IF(DilMethod=3,1,1-$P$17)</f>
        <v>1964.36128526646</v>
      </c>
      <c r="AF75" s="123" t="n">
        <f aca="false">AF71*IF(DilMethod=3,1,1-$P$17)</f>
        <v>1976.97884012539</v>
      </c>
      <c r="AG75" s="123" t="n">
        <f aca="false">AG71*IF(DilMethod=3,1,1-$P$17)</f>
        <v>1989.59639498433</v>
      </c>
      <c r="AI75" s="123" t="n">
        <f aca="false">INDEX($F75:$AG75,1,MATCH(AI$7,$F$7:$AG$7,1))</f>
        <v>0</v>
      </c>
      <c r="AJ75" s="123" t="n">
        <f aca="false">INDEX($F75:$AG75,1,MATCH(AJ$7,$F$7:$AG$7,1))</f>
        <v>0</v>
      </c>
      <c r="AK75" s="123" t="n">
        <f aca="false">INDEX($F75:$AG75,1,MATCH(AK$7,$F$7:$AG$7,1))</f>
        <v>1789.22413793103</v>
      </c>
      <c r="AL75" s="123" t="n">
        <f aca="false">INDEX($F75:$AG75,1,MATCH(AL$7,$F$7:$AG$7,1))</f>
        <v>1839.2829153605</v>
      </c>
      <c r="AM75" s="123" t="n">
        <f aca="false">INDEX($F75:$AG75,1,MATCH(AM$7,$F$7:$AG$7,1))</f>
        <v>1889.47884012539</v>
      </c>
      <c r="AN75" s="123" t="n">
        <f aca="false">INDEX($F75:$AG75,1,MATCH(AN$7,$F$7:$AG$7,1))</f>
        <v>1939.53761755486</v>
      </c>
      <c r="AO75" s="123" t="n">
        <f aca="false">INDEX($F75:$AG75,1,MATCH(AO$7,$F$7:$AG$7,1))</f>
        <v>1989.59639498433</v>
      </c>
    </row>
    <row r="76" customFormat="false" ht="15" hidden="false" customHeight="false" outlineLevel="0" collapsed="false">
      <c r="A76" s="104" t="s">
        <v>2088</v>
      </c>
      <c r="B76" s="20" t="s">
        <v>561</v>
      </c>
      <c r="C76" s="20" t="s">
        <v>550</v>
      </c>
      <c r="D76" s="20"/>
      <c r="F76" s="122" t="n">
        <f aca="false">IF(AND(F$5&gt;=$M$18,F$5&lt;$N$18),$E$18-$F$18-IF(F$5&gt;=$H$18,$G$18,0),0)*($H$18&lt;&gt;0)+IF(AND(F$5&gt;=$M$18,F$5&lt;$N$18),$E$18-$F$18,0)*($H$18=0)</f>
        <v>0</v>
      </c>
      <c r="G76" s="122" t="n">
        <f aca="false">IF(AND(G$5&gt;=$M$18,G$5&lt;$N$18),$E$18-$F$18-IF(G$5&gt;=$H$18,$G$18,0),0)*($H$18&lt;&gt;0)+IF(AND(G$5&gt;=$M$18,G$5&lt;$N$18),$E$18-$F$18,0)*($H$18=0)</f>
        <v>0</v>
      </c>
      <c r="H76" s="122" t="n">
        <f aca="false">IF(AND(H$5&gt;=$M$18,H$5&lt;$N$18),$E$18-$F$18-IF(H$5&gt;=$H$18,$G$18,0),0)*($H$18&lt;&gt;0)+IF(AND(H$5&gt;=$M$18,H$5&lt;$N$18),$E$18-$F$18,0)*($H$18=0)</f>
        <v>0</v>
      </c>
      <c r="I76" s="122" t="n">
        <f aca="false">IF(AND(I$5&gt;=$M$18,I$5&lt;$N$18),$E$18-$F$18-IF(I$5&gt;=$H$18,$G$18,0),0)*($H$18&lt;&gt;0)+IF(AND(I$5&gt;=$M$18,I$5&lt;$N$18),$E$18-$F$18,0)*($H$18=0)</f>
        <v>0</v>
      </c>
      <c r="J76" s="122" t="n">
        <f aca="false">IF(AND(J$5&gt;=$M$18,J$5&lt;$N$18),$E$18-$F$18-IF(J$5&gt;=$H$18,$G$18,0),0)*($H$18&lt;&gt;0)+IF(AND(J$5&gt;=$M$18,J$5&lt;$N$18),$E$18-$F$18,0)*($H$18=0)</f>
        <v>0</v>
      </c>
      <c r="K76" s="122" t="n">
        <f aca="false">IF(AND(K$5&gt;=$M$18,K$5&lt;$N$18),$E$18-$F$18-IF(K$5&gt;=$H$18,$G$18,0),0)*($H$18&lt;&gt;0)+IF(AND(K$5&gt;=$M$18,K$5&lt;$N$18),$E$18-$F$18,0)*($H$18=0)</f>
        <v>0</v>
      </c>
      <c r="L76" s="122" t="n">
        <f aca="false">IF(AND(L$5&gt;=$M$18,L$5&lt;$N$18),$E$18-$F$18-IF(L$5&gt;=$H$18,$G$18,0),0)*($H$18&lt;&gt;0)+IF(AND(L$5&gt;=$M$18,L$5&lt;$N$18),$E$18-$F$18,0)*($H$18=0)</f>
        <v>0</v>
      </c>
      <c r="M76" s="122" t="n">
        <f aca="false">IF(AND(M$5&gt;=$M$18,M$5&lt;$N$18),$E$18-$F$18-IF(M$5&gt;=$H$18,$G$18,0),0)*($H$18&lt;&gt;0)+IF(AND(M$5&gt;=$M$18,M$5&lt;$N$18),$E$18-$F$18,0)*($H$18=0)</f>
        <v>0</v>
      </c>
      <c r="N76" s="122" t="n">
        <f aca="false">IF(AND(N$5&gt;=$M$18,N$5&lt;$N$18),$E$18-$F$18-IF(N$5&gt;=$H$18,$G$18,0),0)*($H$18&lt;&gt;0)+IF(AND(N$5&gt;=$M$18,N$5&lt;$N$18),$E$18-$F$18,0)*($H$18=0)</f>
        <v>0</v>
      </c>
      <c r="O76" s="122" t="n">
        <f aca="false">IF(AND(O$5&gt;=$M$18,O$5&lt;$N$18),$E$18-$F$18-IF(O$5&gt;=$H$18,$G$18,0),0)*($H$18&lt;&gt;0)+IF(AND(O$5&gt;=$M$18,O$5&lt;$N$18),$E$18-$F$18,0)*($H$18=0)</f>
        <v>0</v>
      </c>
      <c r="P76" s="123" t="n">
        <f aca="false">IF(AND(P$5&gt;=$M$18,P$5&lt;$N$18),$E$18-$F$18-IF(P$5&gt;=$H$18,$G$18,0),0)*($H$18&lt;&gt;0)+IF(AND(P$5&gt;=$M$18,P$5&lt;$N$18),$E$18-$F$18,0)*($H$18=0)</f>
        <v>3450</v>
      </c>
      <c r="Q76" s="123" t="n">
        <f aca="false">IF(AND(Q$5&gt;=$M$18,Q$5&lt;$N$18),$E$18-$F$18-IF(Q$5&gt;=$H$18,$G$18,0),0)*($H$18&lt;&gt;0)+IF(AND(Q$5&gt;=$M$18,Q$5&lt;$N$18),$E$18-$F$18,0)*($H$18=0)</f>
        <v>3450</v>
      </c>
      <c r="R76" s="123" t="n">
        <f aca="false">IF(AND(R$5&gt;=$M$18,R$5&lt;$N$18),$E$18-$F$18-IF(R$5&gt;=$H$18,$G$18,0),0)*($H$18&lt;&gt;0)+IF(AND(R$5&gt;=$M$18,R$5&lt;$N$18),$E$18-$F$18,0)*($H$18=0)</f>
        <v>3450</v>
      </c>
      <c r="S76" s="123" t="n">
        <f aca="false">IF(AND(S$5&gt;=$M$18,S$5&lt;$N$18),$E$18-$F$18-IF(S$5&gt;=$H$18,$G$18,0),0)*($H$18&lt;&gt;0)+IF(AND(S$5&gt;=$M$18,S$5&lt;$N$18),$E$18-$F$18,0)*($H$18=0)</f>
        <v>3450</v>
      </c>
      <c r="T76" s="123" t="n">
        <f aca="false">IF(AND(T$5&gt;=$M$18,T$5&lt;$N$18),$E$18-$F$18-IF(T$5&gt;=$H$18,$G$18,0),0)*($H$18&lt;&gt;0)+IF(AND(T$5&gt;=$M$18,T$5&lt;$N$18),$E$18-$F$18,0)*($H$18=0)</f>
        <v>3450</v>
      </c>
      <c r="U76" s="123" t="n">
        <f aca="false">IF(AND(U$5&gt;=$M$18,U$5&lt;$N$18),$E$18-$F$18-IF(U$5&gt;=$H$18,$G$18,0),0)*($H$18&lt;&gt;0)+IF(AND(U$5&gt;=$M$18,U$5&lt;$N$18),$E$18-$F$18,0)*($H$18=0)</f>
        <v>3450</v>
      </c>
      <c r="V76" s="123" t="n">
        <f aca="false">IF(AND(V$5&gt;=$M$18,V$5&lt;$N$18),$E$18-$F$18-IF(V$5&gt;=$H$18,$G$18,0),0)*($H$18&lt;&gt;0)+IF(AND(V$5&gt;=$M$18,V$5&lt;$N$18),$E$18-$F$18,0)*($H$18=0)</f>
        <v>3450</v>
      </c>
      <c r="W76" s="123" t="n">
        <f aca="false">IF(AND(W$5&gt;=$M$18,W$5&lt;$N$18),$E$18-$F$18-IF(W$5&gt;=$H$18,$G$18,0),0)*($H$18&lt;&gt;0)+IF(AND(W$5&gt;=$M$18,W$5&lt;$N$18),$E$18-$F$18,0)*($H$18=0)</f>
        <v>3450</v>
      </c>
      <c r="X76" s="123" t="n">
        <f aca="false">IF(AND(X$5&gt;=$M$18,X$5&lt;$N$18),$E$18-$F$18-IF(X$5&gt;=$H$18,$G$18,0),0)*($H$18&lt;&gt;0)+IF(AND(X$5&gt;=$M$18,X$5&lt;$N$18),$E$18-$F$18,0)*($H$18=0)</f>
        <v>3450</v>
      </c>
      <c r="Y76" s="123" t="n">
        <f aca="false">IF(AND(Y$5&gt;=$M$18,Y$5&lt;$N$18),$E$18-$F$18-IF(Y$5&gt;=$H$18,$G$18,0),0)*($H$18&lt;&gt;0)+IF(AND(Y$5&gt;=$M$18,Y$5&lt;$N$18),$E$18-$F$18,0)*($H$18=0)</f>
        <v>3450</v>
      </c>
      <c r="Z76" s="123" t="n">
        <f aca="false">IF(AND(Z$5&gt;=$M$18,Z$5&lt;$N$18),$E$18-$F$18-IF(Z$5&gt;=$H$18,$G$18,0),0)*($H$18&lt;&gt;0)+IF(AND(Z$5&gt;=$M$18,Z$5&lt;$N$18),$E$18-$F$18,0)*($H$18=0)</f>
        <v>3450</v>
      </c>
      <c r="AA76" s="123" t="n">
        <f aca="false">IF(AND(AA$5&gt;=$M$18,AA$5&lt;$N$18),$E$18-$F$18-IF(AA$5&gt;=$H$18,$G$18,0),0)*($H$18&lt;&gt;0)+IF(AND(AA$5&gt;=$M$18,AA$5&lt;$N$18),$E$18-$F$18,0)*($H$18=0)</f>
        <v>3450</v>
      </c>
      <c r="AB76" s="123" t="n">
        <f aca="false">IF(AND(AB$5&gt;=$M$18,AB$5&lt;$N$18),$E$18-$F$18-IF(AB$5&gt;=$H$18,$G$18,0),0)*($H$18&lt;&gt;0)+IF(AND(AB$5&gt;=$M$18,AB$5&lt;$N$18),$E$18-$F$18,0)*($H$18=0)</f>
        <v>3450</v>
      </c>
      <c r="AC76" s="123" t="n">
        <f aca="false">IF(AND(AC$5&gt;=$M$18,AC$5&lt;$N$18),$E$18-$F$18-IF(AC$5&gt;=$H$18,$G$18,0),0)*($H$18&lt;&gt;0)+IF(AND(AC$5&gt;=$M$18,AC$5&lt;$N$18),$E$18-$F$18,0)*($H$18=0)</f>
        <v>3450</v>
      </c>
      <c r="AD76" s="123" t="n">
        <f aca="false">IF(AND(AD$5&gt;=$M$18,AD$5&lt;$N$18),$E$18-$F$18-IF(AD$5&gt;=$H$18,$G$18,0),0)*($H$18&lt;&gt;0)+IF(AND(AD$5&gt;=$M$18,AD$5&lt;$N$18),$E$18-$F$18,0)*($H$18=0)</f>
        <v>0</v>
      </c>
      <c r="AE76" s="123" t="n">
        <f aca="false">IF(AND(AE$5&gt;=$M$18,AE$5&lt;$N$18),$E$18-$F$18-IF(AE$5&gt;=$H$18,$G$18,0),0)*($H$18&lt;&gt;0)+IF(AND(AE$5&gt;=$M$18,AE$5&lt;$N$18),$E$18-$F$18,0)*($H$18=0)</f>
        <v>0</v>
      </c>
      <c r="AF76" s="123" t="n">
        <f aca="false">IF(AND(AF$5&gt;=$M$18,AF$5&lt;$N$18),$E$18-$F$18-IF(AF$5&gt;=$H$18,$G$18,0),0)*($H$18&lt;&gt;0)+IF(AND(AF$5&gt;=$M$18,AF$5&lt;$N$18),$E$18-$F$18,0)*($H$18=0)</f>
        <v>0</v>
      </c>
      <c r="AG76" s="123" t="n">
        <f aca="false">IF(AND(AG$5&gt;=$M$18,AG$5&lt;$N$18),$E$18-$F$18-IF(AG$5&gt;=$H$18,$G$18,0),0)*($H$18&lt;&gt;0)+IF(AND(AG$5&gt;=$M$18,AG$5&lt;$N$18),$E$18-$F$18,0)*($H$18=0)</f>
        <v>0</v>
      </c>
      <c r="AI76" s="123" t="n">
        <f aca="false">INDEX($F76:$AG76,1,MATCH(AI$7,$F$7:$AG$7,1))</f>
        <v>0</v>
      </c>
      <c r="AJ76" s="123" t="n">
        <f aca="false">INDEX($F76:$AG76,1,MATCH(AJ$7,$F$7:$AG$7,1))</f>
        <v>0</v>
      </c>
      <c r="AK76" s="123" t="n">
        <f aca="false">INDEX($F76:$AG76,1,MATCH(AK$7,$F$7:$AG$7,1))</f>
        <v>3450</v>
      </c>
      <c r="AL76" s="123" t="n">
        <f aca="false">INDEX($F76:$AG76,1,MATCH(AL$7,$F$7:$AG$7,1))</f>
        <v>3450</v>
      </c>
      <c r="AM76" s="123" t="n">
        <f aca="false">INDEX($F76:$AG76,1,MATCH(AM$7,$F$7:$AG$7,1))</f>
        <v>3450</v>
      </c>
      <c r="AN76" s="123" t="n">
        <f aca="false">INDEX($F76:$AG76,1,MATCH(AN$7,$F$7:$AG$7,1))</f>
        <v>3450</v>
      </c>
      <c r="AO76" s="123" t="n">
        <f aca="false">INDEX($F76:$AG76,1,MATCH(AO$7,$F$7:$AG$7,1))</f>
        <v>0</v>
      </c>
    </row>
    <row r="77" customFormat="false" ht="15" hidden="false" customHeight="false" outlineLevel="0" collapsed="false">
      <c r="A77" s="104" t="s">
        <v>2089</v>
      </c>
      <c r="B77" s="20" t="s">
        <v>561</v>
      </c>
      <c r="C77" s="20" t="s">
        <v>550</v>
      </c>
      <c r="D77" s="20"/>
      <c r="F77" s="122" t="n">
        <f aca="false">F76*$C$18/4</f>
        <v>0</v>
      </c>
      <c r="G77" s="122" t="n">
        <f aca="false">G76*$C$18/4</f>
        <v>0</v>
      </c>
      <c r="H77" s="122" t="n">
        <f aca="false">H76*$C$18/4</f>
        <v>0</v>
      </c>
      <c r="I77" s="122" t="n">
        <f aca="false">I76*$C$18/4</f>
        <v>0</v>
      </c>
      <c r="J77" s="122" t="n">
        <f aca="false">J76*$C$18/4</f>
        <v>0</v>
      </c>
      <c r="K77" s="122" t="n">
        <f aca="false">K76*$C$18/4</f>
        <v>0</v>
      </c>
      <c r="L77" s="122" t="n">
        <f aca="false">L76*$C$18/4</f>
        <v>0</v>
      </c>
      <c r="M77" s="122" t="n">
        <f aca="false">M76*$C$18/4</f>
        <v>0</v>
      </c>
      <c r="N77" s="122" t="n">
        <f aca="false">N76*$C$18/4</f>
        <v>0</v>
      </c>
      <c r="O77" s="122" t="n">
        <f aca="false">O76*$C$18/4</f>
        <v>0</v>
      </c>
      <c r="P77" s="123" t="n">
        <f aca="false">P76*$C$18/4</f>
        <v>4.3125</v>
      </c>
      <c r="Q77" s="123" t="n">
        <f aca="false">Q76*$C$18/4</f>
        <v>4.3125</v>
      </c>
      <c r="R77" s="123" t="n">
        <f aca="false">R76*$C$18/4</f>
        <v>4.3125</v>
      </c>
      <c r="S77" s="123" t="n">
        <f aca="false">S76*$C$18/4</f>
        <v>4.3125</v>
      </c>
      <c r="T77" s="123" t="n">
        <f aca="false">T76*$C$18/4</f>
        <v>4.3125</v>
      </c>
      <c r="U77" s="123" t="n">
        <f aca="false">U76*$C$18/4</f>
        <v>4.3125</v>
      </c>
      <c r="V77" s="123" t="n">
        <f aca="false">V76*$C$18/4</f>
        <v>4.3125</v>
      </c>
      <c r="W77" s="123" t="n">
        <f aca="false">W76*$C$18/4</f>
        <v>4.3125</v>
      </c>
      <c r="X77" s="123" t="n">
        <f aca="false">X76*$C$18/4</f>
        <v>4.3125</v>
      </c>
      <c r="Y77" s="123" t="n">
        <f aca="false">Y76*$C$18/4</f>
        <v>4.3125</v>
      </c>
      <c r="Z77" s="123" t="n">
        <f aca="false">Z76*$C$18/4</f>
        <v>4.3125</v>
      </c>
      <c r="AA77" s="123" t="n">
        <f aca="false">AA76*$C$18/4</f>
        <v>4.3125</v>
      </c>
      <c r="AB77" s="123" t="n">
        <f aca="false">AB76*$C$18/4</f>
        <v>4.3125</v>
      </c>
      <c r="AC77" s="123" t="n">
        <f aca="false">AC76*$C$18/4</f>
        <v>4.3125</v>
      </c>
      <c r="AD77" s="123" t="n">
        <f aca="false">AD76*$C$18/4</f>
        <v>0</v>
      </c>
      <c r="AE77" s="123" t="n">
        <f aca="false">AE76*$C$18/4</f>
        <v>0</v>
      </c>
      <c r="AF77" s="123" t="n">
        <f aca="false">AF76*$C$18/4</f>
        <v>0</v>
      </c>
      <c r="AG77" s="123" t="n">
        <f aca="false">AG76*$C$18/4</f>
        <v>0</v>
      </c>
      <c r="AI77" s="123" t="n">
        <f aca="false">SUMIF($F$7:$AG$7,AI$7,$F77:$AG77)</f>
        <v>0</v>
      </c>
      <c r="AJ77" s="123" t="n">
        <f aca="false">SUMIF($F$7:$AG$7,AJ$7,$F77:$AG77)</f>
        <v>0</v>
      </c>
      <c r="AK77" s="123" t="n">
        <f aca="false">SUMIF($F$7:$AG$7,AK$7,$F77:$AG77)</f>
        <v>8.625</v>
      </c>
      <c r="AL77" s="123" t="n">
        <f aca="false">SUMIF($F$7:$AG$7,AL$7,$F77:$AG77)</f>
        <v>17.25</v>
      </c>
      <c r="AM77" s="123" t="n">
        <f aca="false">SUMIF($F$7:$AG$7,AM$7,$F77:$AG77)</f>
        <v>17.25</v>
      </c>
      <c r="AN77" s="123" t="n">
        <f aca="false">SUMIF($F$7:$AG$7,AN$7,$F77:$AG77)</f>
        <v>17.25</v>
      </c>
      <c r="AO77" s="123" t="n">
        <f aca="false">SUMIF($F$7:$AG$7,AO$7,$F77:$AG77)</f>
        <v>0</v>
      </c>
    </row>
    <row r="78" customFormat="false" ht="15" hidden="false" customHeight="false" outlineLevel="0" collapsed="false">
      <c r="A78" s="104" t="s">
        <v>2090</v>
      </c>
      <c r="B78" s="20" t="s">
        <v>561</v>
      </c>
      <c r="C78" s="20" t="s">
        <v>550</v>
      </c>
      <c r="D78" s="20"/>
      <c r="F78" s="122" t="n">
        <f aca="false">F76*($J$18-1)/(($D$18-$B$18)/91.3125)</f>
        <v>0</v>
      </c>
      <c r="G78" s="122" t="n">
        <f aca="false">G76*($J$18-1)/(($D$18-$B$18)/91.3125)</f>
        <v>0</v>
      </c>
      <c r="H78" s="122" t="n">
        <f aca="false">H76*($J$18-1)/(($D$18-$B$18)/91.3125)</f>
        <v>0</v>
      </c>
      <c r="I78" s="122" t="n">
        <f aca="false">I76*($J$18-1)/(($D$18-$B$18)/91.3125)</f>
        <v>0</v>
      </c>
      <c r="J78" s="122" t="n">
        <f aca="false">J76*($J$18-1)/(($D$18-$B$18)/91.3125)</f>
        <v>0</v>
      </c>
      <c r="K78" s="122" t="n">
        <f aca="false">K76*($J$18-1)/(($D$18-$B$18)/91.3125)</f>
        <v>0</v>
      </c>
      <c r="L78" s="122" t="n">
        <f aca="false">L76*($J$18-1)/(($D$18-$B$18)/91.3125)</f>
        <v>0</v>
      </c>
      <c r="M78" s="122" t="n">
        <f aca="false">M76*($J$18-1)/(($D$18-$B$18)/91.3125)</f>
        <v>0</v>
      </c>
      <c r="N78" s="122" t="n">
        <f aca="false">N76*($J$18-1)/(($D$18-$B$18)/91.3125)</f>
        <v>0</v>
      </c>
      <c r="O78" s="122" t="n">
        <f aca="false">O76*($J$18-1)/(($D$18-$B$18)/91.3125)</f>
        <v>0</v>
      </c>
      <c r="P78" s="123" t="n">
        <f aca="false">P76*($J$18-1)/(($D$18-$B$18)/91.3125)</f>
        <v>24.7858477576711</v>
      </c>
      <c r="Q78" s="123" t="n">
        <f aca="false">Q76*($J$18-1)/(($D$18-$B$18)/91.3125)</f>
        <v>24.7858477576711</v>
      </c>
      <c r="R78" s="123" t="n">
        <f aca="false">R76*($J$18-1)/(($D$18-$B$18)/91.3125)</f>
        <v>24.7858477576711</v>
      </c>
      <c r="S78" s="123" t="n">
        <f aca="false">S76*($J$18-1)/(($D$18-$B$18)/91.3125)</f>
        <v>24.7858477576711</v>
      </c>
      <c r="T78" s="123" t="n">
        <f aca="false">T76*($J$18-1)/(($D$18-$B$18)/91.3125)</f>
        <v>24.7858477576711</v>
      </c>
      <c r="U78" s="123" t="n">
        <f aca="false">U76*($J$18-1)/(($D$18-$B$18)/91.3125)</f>
        <v>24.7858477576711</v>
      </c>
      <c r="V78" s="123" t="n">
        <f aca="false">V76*($J$18-1)/(($D$18-$B$18)/91.3125)</f>
        <v>24.7858477576711</v>
      </c>
      <c r="W78" s="123" t="n">
        <f aca="false">W76*($J$18-1)/(($D$18-$B$18)/91.3125)</f>
        <v>24.7858477576711</v>
      </c>
      <c r="X78" s="123" t="n">
        <f aca="false">X76*($J$18-1)/(($D$18-$B$18)/91.3125)</f>
        <v>24.7858477576711</v>
      </c>
      <c r="Y78" s="123" t="n">
        <f aca="false">Y76*($J$18-1)/(($D$18-$B$18)/91.3125)</f>
        <v>24.7858477576711</v>
      </c>
      <c r="Z78" s="123" t="n">
        <f aca="false">Z76*($J$18-1)/(($D$18-$B$18)/91.3125)</f>
        <v>24.7858477576711</v>
      </c>
      <c r="AA78" s="123" t="n">
        <f aca="false">AA76*($J$18-1)/(($D$18-$B$18)/91.3125)</f>
        <v>24.7858477576711</v>
      </c>
      <c r="AB78" s="123" t="n">
        <f aca="false">AB76*($J$18-1)/(($D$18-$B$18)/91.3125)</f>
        <v>24.7858477576711</v>
      </c>
      <c r="AC78" s="123" t="n">
        <f aca="false">AC76*($J$18-1)/(($D$18-$B$18)/91.3125)</f>
        <v>24.7858477576711</v>
      </c>
      <c r="AD78" s="123" t="n">
        <f aca="false">AD76*($J$18-1)/(($D$18-$B$18)/91.3125)</f>
        <v>0</v>
      </c>
      <c r="AE78" s="123" t="n">
        <f aca="false">AE76*($J$18-1)/(($D$18-$B$18)/91.3125)</f>
        <v>0</v>
      </c>
      <c r="AF78" s="123" t="n">
        <f aca="false">AF76*($J$18-1)/(($D$18-$B$18)/91.3125)</f>
        <v>0</v>
      </c>
      <c r="AG78" s="123" t="n">
        <f aca="false">AG76*($J$18-1)/(($D$18-$B$18)/91.3125)</f>
        <v>0</v>
      </c>
      <c r="AI78" s="123" t="n">
        <f aca="false">SUMIF($F$7:$AG$7,AI$7,$F78:$AG78)</f>
        <v>0</v>
      </c>
      <c r="AJ78" s="123" t="n">
        <f aca="false">SUMIF($F$7:$AG$7,AJ$7,$F78:$AG78)</f>
        <v>0</v>
      </c>
      <c r="AK78" s="123" t="n">
        <f aca="false">SUMIF($F$7:$AG$7,AK$7,$F78:$AG78)</f>
        <v>49.5716955153423</v>
      </c>
      <c r="AL78" s="123" t="n">
        <f aca="false">SUMIF($F$7:$AG$7,AL$7,$F78:$AG78)</f>
        <v>99.1433910306846</v>
      </c>
      <c r="AM78" s="123" t="n">
        <f aca="false">SUMIF($F$7:$AG$7,AM$7,$F78:$AG78)</f>
        <v>99.1433910306846</v>
      </c>
      <c r="AN78" s="123" t="n">
        <f aca="false">SUMIF($F$7:$AG$7,AN$7,$F78:$AG78)</f>
        <v>99.1433910306846</v>
      </c>
      <c r="AO78" s="123" t="n">
        <f aca="false">SUMIF($F$7:$AG$7,AO$7,$F78:$AG78)</f>
        <v>0</v>
      </c>
    </row>
    <row r="79" customFormat="false" ht="15" hidden="false" customHeight="false" outlineLevel="0" collapsed="false">
      <c r="A79" s="104" t="s">
        <v>2091</v>
      </c>
      <c r="B79" s="20" t="s">
        <v>561</v>
      </c>
      <c r="C79" s="20" t="s">
        <v>550</v>
      </c>
      <c r="D79" s="20"/>
      <c r="F79" s="122" t="n">
        <f aca="false">F76*(1+($J$18-1)*MIN(1,MAX(0,(F$4-$B$18)/($D$18-$B$18))))</f>
        <v>0</v>
      </c>
      <c r="G79" s="122" t="n">
        <f aca="false">G76*(1+($J$18-1)*MIN(1,MAX(0,(G$4-$B$18)/($D$18-$B$18))))</f>
        <v>0</v>
      </c>
      <c r="H79" s="122" t="n">
        <f aca="false">H76*(1+($J$18-1)*MIN(1,MAX(0,(H$4-$B$18)/($D$18-$B$18))))</f>
        <v>0</v>
      </c>
      <c r="I79" s="122" t="n">
        <f aca="false">I76*(1+($J$18-1)*MIN(1,MAX(0,(I$4-$B$18)/($D$18-$B$18))))</f>
        <v>0</v>
      </c>
      <c r="J79" s="122" t="n">
        <f aca="false">J76*(1+($J$18-1)*MIN(1,MAX(0,(J$4-$B$18)/($D$18-$B$18))))</f>
        <v>0</v>
      </c>
      <c r="K79" s="122" t="n">
        <f aca="false">K76*(1+($J$18-1)*MIN(1,MAX(0,(K$4-$B$18)/($D$18-$B$18))))</f>
        <v>0</v>
      </c>
      <c r="L79" s="122" t="n">
        <f aca="false">L76*(1+($J$18-1)*MIN(1,MAX(0,(L$4-$B$18)/($D$18-$B$18))))</f>
        <v>0</v>
      </c>
      <c r="M79" s="122" t="n">
        <f aca="false">M76*(1+($J$18-1)*MIN(1,MAX(0,(M$4-$B$18)/($D$18-$B$18))))</f>
        <v>0</v>
      </c>
      <c r="N79" s="122" t="n">
        <f aca="false">N76*(1+($J$18-1)*MIN(1,MAX(0,(N$4-$B$18)/($D$18-$B$18))))</f>
        <v>0</v>
      </c>
      <c r="O79" s="122" t="n">
        <f aca="false">O76*(1+($J$18-1)*MIN(1,MAX(0,(O$4-$B$18)/($D$18-$B$18))))</f>
        <v>0</v>
      </c>
      <c r="P79" s="123" t="n">
        <f aca="false">P76*(1+($J$18-1)*MIN(1,MAX(0,(P$4-$B$18)/($D$18-$B$18))))</f>
        <v>3460.04327301338</v>
      </c>
      <c r="Q79" s="123" t="n">
        <f aca="false">Q76*(1+($J$18-1)*MIN(1,MAX(0,(Q$4-$B$18)/($D$18-$B$18))))</f>
        <v>3485.01573564123</v>
      </c>
      <c r="R79" s="123" t="n">
        <f aca="false">R76*(1+($J$18-1)*MIN(1,MAX(0,(R$4-$B$18)/($D$18-$B$18))))</f>
        <v>3509.44531864674</v>
      </c>
      <c r="S79" s="123" t="n">
        <f aca="false">S76*(1+($J$18-1)*MIN(1,MAX(0,(S$4-$B$18)/($D$18-$B$18))))</f>
        <v>3534.14634146341</v>
      </c>
      <c r="T79" s="123" t="n">
        <f aca="false">T76*(1+($J$18-1)*MIN(1,MAX(0,(T$4-$B$18)/($D$18-$B$18))))</f>
        <v>3559.11880409127</v>
      </c>
      <c r="U79" s="123" t="n">
        <f aca="false">U76*(1+($J$18-1)*MIN(1,MAX(0,(U$4-$B$18)/($D$18-$B$18))))</f>
        <v>3584.09126671912</v>
      </c>
      <c r="V79" s="123" t="n">
        <f aca="false">V76*(1+($J$18-1)*MIN(1,MAX(0,(V$4-$B$18)/($D$18-$B$18))))</f>
        <v>3608.7922895358</v>
      </c>
      <c r="W79" s="123" t="n">
        <f aca="false">W76*(1+($J$18-1)*MIN(1,MAX(0,(W$4-$B$18)/($D$18-$B$18))))</f>
        <v>3633.49331235248</v>
      </c>
      <c r="X79" s="123" t="n">
        <f aca="false">X76*(1+($J$18-1)*MIN(1,MAX(0,(X$4-$B$18)/($D$18-$B$18))))</f>
        <v>3658.46577498033</v>
      </c>
      <c r="Y79" s="123" t="n">
        <f aca="false">Y76*(1+($J$18-1)*MIN(1,MAX(0,(Y$4-$B$18)/($D$18-$B$18))))</f>
        <v>3683.43823760818</v>
      </c>
      <c r="Z79" s="123" t="n">
        <f aca="false">Z76*(1+($J$18-1)*MIN(1,MAX(0,(Z$4-$B$18)/($D$18-$B$18))))</f>
        <v>3707.86782061369</v>
      </c>
      <c r="AA79" s="123" t="n">
        <f aca="false">AA76*(1+($J$18-1)*MIN(1,MAX(0,(AA$4-$B$18)/($D$18-$B$18))))</f>
        <v>3732.56884343037</v>
      </c>
      <c r="AB79" s="123" t="n">
        <f aca="false">AB76*(1+($J$18-1)*MIN(1,MAX(0,(AB$4-$B$18)/($D$18-$B$18))))</f>
        <v>3757.54130605822</v>
      </c>
      <c r="AC79" s="123" t="n">
        <f aca="false">AC76*(1+($J$18-1)*MIN(1,MAX(0,(AC$4-$B$18)/($D$18-$B$18))))</f>
        <v>3782.51376868607</v>
      </c>
      <c r="AD79" s="123" t="n">
        <f aca="false">AD76*(1+($J$18-1)*MIN(1,MAX(0,(AD$4-$B$18)/($D$18-$B$18))))</f>
        <v>0</v>
      </c>
      <c r="AE79" s="123" t="n">
        <f aca="false">AE76*(1+($J$18-1)*MIN(1,MAX(0,(AE$4-$B$18)/($D$18-$B$18))))</f>
        <v>0</v>
      </c>
      <c r="AF79" s="123" t="n">
        <f aca="false">AF76*(1+($J$18-1)*MIN(1,MAX(0,(AF$4-$B$18)/($D$18-$B$18))))</f>
        <v>0</v>
      </c>
      <c r="AG79" s="123" t="n">
        <f aca="false">AG76*(1+($J$18-1)*MIN(1,MAX(0,(AG$4-$B$18)/($D$18-$B$18))))</f>
        <v>0</v>
      </c>
      <c r="AI79" s="123" t="n">
        <f aca="false">INDEX($F79:$AG79,1,MATCH(AI$7,$F$7:$AG$7,1))</f>
        <v>0</v>
      </c>
      <c r="AJ79" s="123" t="n">
        <f aca="false">INDEX($F79:$AG79,1,MATCH(AJ$7,$F$7:$AG$7,1))</f>
        <v>0</v>
      </c>
      <c r="AK79" s="123" t="n">
        <f aca="false">INDEX($F79:$AG79,1,MATCH(AK$7,$F$7:$AG$7,1))</f>
        <v>3485.01573564123</v>
      </c>
      <c r="AL79" s="123" t="n">
        <f aca="false">INDEX($F79:$AG79,1,MATCH(AL$7,$F$7:$AG$7,1))</f>
        <v>3584.09126671912</v>
      </c>
      <c r="AM79" s="123" t="n">
        <f aca="false">INDEX($F79:$AG79,1,MATCH(AM$7,$F$7:$AG$7,1))</f>
        <v>3683.43823760818</v>
      </c>
      <c r="AN79" s="123" t="n">
        <f aca="false">INDEX($F79:$AG79,1,MATCH(AN$7,$F$7:$AG$7,1))</f>
        <v>3782.51376868607</v>
      </c>
      <c r="AO79" s="123" t="n">
        <f aca="false">INDEX($F79:$AG79,1,MATCH(AO$7,$F$7:$AG$7,1))</f>
        <v>0</v>
      </c>
    </row>
    <row r="80" customFormat="false" ht="15" hidden="false" customHeight="false" outlineLevel="0" collapsed="false">
      <c r="A80" s="104" t="s">
        <v>2092</v>
      </c>
      <c r="B80" s="20" t="s">
        <v>561</v>
      </c>
      <c r="C80" s="20" t="s">
        <v>550</v>
      </c>
      <c r="D80" s="20"/>
      <c r="F80" s="122" t="n">
        <f aca="false">IF(F$5=$N$18,E76*$J$18*(1-$O$18),0)</f>
        <v>0</v>
      </c>
      <c r="G80" s="122" t="n">
        <f aca="false">IF(G$5=$N$18,F76*$J$18*(1-$O$18),0)</f>
        <v>0</v>
      </c>
      <c r="H80" s="122" t="n">
        <f aca="false">IF(H$5=$N$18,G76*$J$18*(1-$O$18),0)</f>
        <v>0</v>
      </c>
      <c r="I80" s="122" t="n">
        <f aca="false">IF(I$5=$N$18,H76*$J$18*(1-$O$18),0)</f>
        <v>0</v>
      </c>
      <c r="J80" s="122" t="n">
        <f aca="false">IF(J$5=$N$18,I76*$J$18*(1-$O$18),0)</f>
        <v>0</v>
      </c>
      <c r="K80" s="122" t="n">
        <f aca="false">IF(K$5=$N$18,J76*$J$18*(1-$O$18),0)</f>
        <v>0</v>
      </c>
      <c r="L80" s="122" t="n">
        <f aca="false">IF(L$5=$N$18,K76*$J$18*(1-$O$18),0)</f>
        <v>0</v>
      </c>
      <c r="M80" s="122" t="n">
        <f aca="false">IF(M$5=$N$18,L76*$J$18*(1-$O$18),0)</f>
        <v>0</v>
      </c>
      <c r="N80" s="122" t="n">
        <f aca="false">IF(N$5=$N$18,M76*$J$18*(1-$O$18),0)</f>
        <v>0</v>
      </c>
      <c r="O80" s="122" t="n">
        <f aca="false">IF(O$5=$N$18,N76*$J$18*(1-$O$18),0)</f>
        <v>0</v>
      </c>
      <c r="P80" s="123" t="n">
        <f aca="false">IF(P$5=$N$18,O76*$J$18*(1-$O$18),0)</f>
        <v>0</v>
      </c>
      <c r="Q80" s="123" t="n">
        <f aca="false">IF(Q$5=$N$18,P76*$J$18*(1-$O$18),0)</f>
        <v>0</v>
      </c>
      <c r="R80" s="123" t="n">
        <f aca="false">IF(R$5=$N$18,Q76*$J$18*(1-$O$18),0)</f>
        <v>0</v>
      </c>
      <c r="S80" s="123" t="n">
        <f aca="false">IF(S$5=$N$18,R76*$J$18*(1-$O$18),0)</f>
        <v>0</v>
      </c>
      <c r="T80" s="123" t="n">
        <f aca="false">IF(T$5=$N$18,S76*$J$18*(1-$O$18),0)</f>
        <v>0</v>
      </c>
      <c r="U80" s="123" t="n">
        <f aca="false">IF(U$5=$N$18,T76*$J$18*(1-$O$18),0)</f>
        <v>0</v>
      </c>
      <c r="V80" s="123" t="n">
        <f aca="false">IF(V$5=$N$18,U76*$J$18*(1-$O$18),0)</f>
        <v>0</v>
      </c>
      <c r="W80" s="123" t="n">
        <f aca="false">IF(W$5=$N$18,V76*$J$18*(1-$O$18),0)</f>
        <v>0</v>
      </c>
      <c r="X80" s="123" t="n">
        <f aca="false">IF(X$5=$N$18,W76*$J$18*(1-$O$18),0)</f>
        <v>0</v>
      </c>
      <c r="Y80" s="123" t="n">
        <f aca="false">IF(Y$5=$N$18,X76*$J$18*(1-$O$18),0)</f>
        <v>0</v>
      </c>
      <c r="Z80" s="123" t="n">
        <f aca="false">IF(Z$5=$N$18,Y76*$J$18*(1-$O$18),0)</f>
        <v>0</v>
      </c>
      <c r="AA80" s="123" t="n">
        <f aca="false">IF(AA$5=$N$18,Z76*$J$18*(1-$O$18),0)</f>
        <v>0</v>
      </c>
      <c r="AB80" s="123" t="n">
        <f aca="false">IF(AB$5=$N$18,AA76*$J$18*(1-$O$18),0)</f>
        <v>0</v>
      </c>
      <c r="AC80" s="123" t="n">
        <f aca="false">IF(AC$5=$N$18,AB76*$J$18*(1-$O$18),0)</f>
        <v>0</v>
      </c>
      <c r="AD80" s="123" t="n">
        <f aca="false">IF(AD$5=$N$18,AC76*$J$18*(1-$O$18),0)</f>
        <v>3795</v>
      </c>
      <c r="AE80" s="123" t="n">
        <f aca="false">IF(AE$5=$N$18,AD76*$J$18*(1-$O$18),0)</f>
        <v>0</v>
      </c>
      <c r="AF80" s="123" t="n">
        <f aca="false">IF(AF$5=$N$18,AE76*$J$18*(1-$O$18),0)</f>
        <v>0</v>
      </c>
      <c r="AG80" s="123" t="n">
        <f aca="false">IF(AG$5=$N$18,AF76*$J$18*(1-$O$18),0)</f>
        <v>0</v>
      </c>
      <c r="AI80" s="123" t="n">
        <f aca="false">SUMIF($F$7:$AG$7,AI$7,$F80:$AG80)</f>
        <v>0</v>
      </c>
      <c r="AJ80" s="123" t="n">
        <f aca="false">SUMIF($F$7:$AG$7,AJ$7,$F80:$AG80)</f>
        <v>0</v>
      </c>
      <c r="AK80" s="123" t="n">
        <f aca="false">SUMIF($F$7:$AG$7,AK$7,$F80:$AG80)</f>
        <v>0</v>
      </c>
      <c r="AL80" s="123" t="n">
        <f aca="false">SUMIF($F$7:$AG$7,AL$7,$F80:$AG80)</f>
        <v>0</v>
      </c>
      <c r="AM80" s="123" t="n">
        <f aca="false">SUMIF($F$7:$AG$7,AM$7,$F80:$AG80)</f>
        <v>0</v>
      </c>
      <c r="AN80" s="123" t="n">
        <f aca="false">SUMIF($F$7:$AG$7,AN$7,$F80:$AG80)</f>
        <v>0</v>
      </c>
      <c r="AO80" s="123" t="n">
        <f aca="false">SUMIF($F$7:$AG$7,AO$7,$F80:$AG80)</f>
        <v>3795</v>
      </c>
    </row>
    <row r="81" customFormat="false" ht="15" hidden="false" customHeight="false" outlineLevel="0" collapsed="false">
      <c r="A81" s="104" t="s">
        <v>2093</v>
      </c>
      <c r="B81" s="20" t="s">
        <v>995</v>
      </c>
      <c r="C81" s="20" t="s">
        <v>550</v>
      </c>
      <c r="D81" s="20"/>
      <c r="F81" s="137" t="n">
        <f aca="false">IF(F$5=$N$18,E76*$K$18/1000*$O$18,0)</f>
        <v>0</v>
      </c>
      <c r="G81" s="137" t="n">
        <f aca="false">IF(G$5=$N$18,F76*$K$18/1000*$O$18,0)</f>
        <v>0</v>
      </c>
      <c r="H81" s="137" t="n">
        <f aca="false">IF(H$5=$N$18,G76*$K$18/1000*$O$18,0)</f>
        <v>0</v>
      </c>
      <c r="I81" s="137" t="n">
        <f aca="false">IF(I$5=$N$18,H76*$K$18/1000*$O$18,0)</f>
        <v>0</v>
      </c>
      <c r="J81" s="137" t="n">
        <f aca="false">IF(J$5=$N$18,I76*$K$18/1000*$O$18,0)</f>
        <v>0</v>
      </c>
      <c r="K81" s="137" t="n">
        <f aca="false">IF(K$5=$N$18,J76*$K$18/1000*$O$18,0)</f>
        <v>0</v>
      </c>
      <c r="L81" s="137" t="n">
        <f aca="false">IF(L$5=$N$18,K76*$K$18/1000*$O$18,0)</f>
        <v>0</v>
      </c>
      <c r="M81" s="137" t="n">
        <f aca="false">IF(M$5=$N$18,L76*$K$18/1000*$O$18,0)</f>
        <v>0</v>
      </c>
      <c r="N81" s="137" t="n">
        <f aca="false">IF(N$5=$N$18,M76*$K$18/1000*$O$18,0)</f>
        <v>0</v>
      </c>
      <c r="O81" s="137" t="n">
        <f aca="false">IF(O$5=$N$18,N76*$K$18/1000*$O$18,0)</f>
        <v>0</v>
      </c>
      <c r="P81" s="42" t="n">
        <f aca="false">IF(P$5=$N$18,O76*$K$18/1000*$O$18,0)</f>
        <v>0</v>
      </c>
      <c r="Q81" s="42" t="n">
        <f aca="false">IF(Q$5=$N$18,P76*$K$18/1000*$O$18,0)</f>
        <v>0</v>
      </c>
      <c r="R81" s="42" t="n">
        <f aca="false">IF(R$5=$N$18,Q76*$K$18/1000*$O$18,0)</f>
        <v>0</v>
      </c>
      <c r="S81" s="42" t="n">
        <f aca="false">IF(S$5=$N$18,R76*$K$18/1000*$O$18,0)</f>
        <v>0</v>
      </c>
      <c r="T81" s="42" t="n">
        <f aca="false">IF(T$5=$N$18,S76*$K$18/1000*$O$18,0)</f>
        <v>0</v>
      </c>
      <c r="U81" s="42" t="n">
        <f aca="false">IF(U$5=$N$18,T76*$K$18/1000*$O$18,0)</f>
        <v>0</v>
      </c>
      <c r="V81" s="42" t="n">
        <f aca="false">IF(V$5=$N$18,U76*$K$18/1000*$O$18,0)</f>
        <v>0</v>
      </c>
      <c r="W81" s="42" t="n">
        <f aca="false">IF(W$5=$N$18,V76*$K$18/1000*$O$18,0)</f>
        <v>0</v>
      </c>
      <c r="X81" s="42" t="n">
        <f aca="false">IF(X$5=$N$18,W76*$K$18/1000*$O$18,0)</f>
        <v>0</v>
      </c>
      <c r="Y81" s="42" t="n">
        <f aca="false">IF(Y$5=$N$18,X76*$K$18/1000*$O$18,0)</f>
        <v>0</v>
      </c>
      <c r="Z81" s="42" t="n">
        <f aca="false">IF(Z$5=$N$18,Y76*$K$18/1000*$O$18,0)</f>
        <v>0</v>
      </c>
      <c r="AA81" s="42" t="n">
        <f aca="false">IF(AA$5=$N$18,Z76*$K$18/1000*$O$18,0)</f>
        <v>0</v>
      </c>
      <c r="AB81" s="42" t="n">
        <f aca="false">IF(AB$5=$N$18,AA76*$K$18/1000*$O$18,0)</f>
        <v>0</v>
      </c>
      <c r="AC81" s="42" t="n">
        <f aca="false">IF(AC$5=$N$18,AB76*$K$18/1000*$O$18,0)</f>
        <v>0</v>
      </c>
      <c r="AD81" s="42" t="n">
        <f aca="false">IF(AD$5=$N$18,AC76*$K$18/1000*$O$18,0)</f>
        <v>0</v>
      </c>
      <c r="AE81" s="42" t="n">
        <f aca="false">IF(AE$5=$N$18,AD76*$K$18/1000*$O$18,0)</f>
        <v>0</v>
      </c>
      <c r="AF81" s="42" t="n">
        <f aca="false">IF(AF$5=$N$18,AE76*$K$18/1000*$O$18,0)</f>
        <v>0</v>
      </c>
      <c r="AG81" s="42" t="n">
        <f aca="false">IF(AG$5=$N$18,AF76*$K$18/1000*$O$18,0)</f>
        <v>0</v>
      </c>
      <c r="AI81" s="42" t="n">
        <f aca="false">SUMIF($F$7:$AG$7,AI$7,$F81:$AG81)</f>
        <v>0</v>
      </c>
      <c r="AJ81" s="42" t="n">
        <f aca="false">SUMIF($F$7:$AG$7,AJ$7,$F81:$AG81)</f>
        <v>0</v>
      </c>
      <c r="AK81" s="42" t="n">
        <f aca="false">SUMIF($F$7:$AG$7,AK$7,$F81:$AG81)</f>
        <v>0</v>
      </c>
      <c r="AL81" s="42" t="n">
        <f aca="false">SUMIF($F$7:$AG$7,AL$7,$F81:$AG81)</f>
        <v>0</v>
      </c>
      <c r="AM81" s="42" t="n">
        <f aca="false">SUMIF($F$7:$AG$7,AM$7,$F81:$AG81)</f>
        <v>0</v>
      </c>
      <c r="AN81" s="42" t="n">
        <f aca="false">SUMIF($F$7:$AG$7,AN$7,$F81:$AG81)</f>
        <v>0</v>
      </c>
      <c r="AO81" s="42" t="n">
        <f aca="false">SUMIF($F$7:$AG$7,AO$7,$F81:$AG81)</f>
        <v>0</v>
      </c>
    </row>
    <row r="82" customFormat="false" ht="15" hidden="false" customHeight="false" outlineLevel="0" collapsed="false">
      <c r="A82" s="104" t="s">
        <v>2094</v>
      </c>
      <c r="B82" s="20" t="s">
        <v>995</v>
      </c>
      <c r="C82" s="20" t="s">
        <v>495</v>
      </c>
      <c r="D82" s="20"/>
      <c r="F82" s="137" t="n">
        <f aca="false">IF(DilMethod=3,MAX(0,F76*$K$18/1000*DilPx-F79)/DilPx,F76*$K$18/1000*$P$18)</f>
        <v>0</v>
      </c>
      <c r="G82" s="137" t="n">
        <f aca="false">IF(DilMethod=3,MAX(0,G76*$K$18/1000*DilPx-G79)/DilPx,G76*$K$18/1000*$P$18)</f>
        <v>0</v>
      </c>
      <c r="H82" s="137" t="n">
        <f aca="false">IF(DilMethod=3,MAX(0,H76*$K$18/1000*DilPx-H79)/DilPx,H76*$K$18/1000*$P$18)</f>
        <v>0</v>
      </c>
      <c r="I82" s="137" t="n">
        <f aca="false">IF(DilMethod=3,MAX(0,I76*$K$18/1000*DilPx-I79)/DilPx,I76*$K$18/1000*$P$18)</f>
        <v>0</v>
      </c>
      <c r="J82" s="137" t="n">
        <f aca="false">IF(DilMethod=3,MAX(0,J76*$K$18/1000*DilPx-J79)/DilPx,J76*$K$18/1000*$P$18)</f>
        <v>0</v>
      </c>
      <c r="K82" s="137" t="n">
        <f aca="false">IF(DilMethod=3,MAX(0,K76*$K$18/1000*DilPx-K79)/DilPx,K76*$K$18/1000*$P$18)</f>
        <v>0</v>
      </c>
      <c r="L82" s="137" t="n">
        <f aca="false">IF(DilMethod=3,MAX(0,L76*$K$18/1000*DilPx-L79)/DilPx,L76*$K$18/1000*$P$18)</f>
        <v>0</v>
      </c>
      <c r="M82" s="137" t="n">
        <f aca="false">IF(DilMethod=3,MAX(0,M76*$K$18/1000*DilPx-M79)/DilPx,M76*$K$18/1000*$P$18)</f>
        <v>0</v>
      </c>
      <c r="N82" s="137" t="n">
        <f aca="false">IF(DilMethod=3,MAX(0,N76*$K$18/1000*DilPx-N79)/DilPx,N76*$K$18/1000*$P$18)</f>
        <v>0</v>
      </c>
      <c r="O82" s="137" t="n">
        <f aca="false">IF(DilMethod=3,MAX(0,O76*$K$18/1000*DilPx-O79)/DilPx,O76*$K$18/1000*$P$18)</f>
        <v>0</v>
      </c>
      <c r="P82" s="42" t="n">
        <f aca="false">IF(DilMethod=3,MAX(0,P76*$K$18/1000*DilPx-P79)/DilPx,P76*$K$18/1000*$P$18)</f>
        <v>0</v>
      </c>
      <c r="Q82" s="42" t="n">
        <f aca="false">IF(DilMethod=3,MAX(0,Q76*$K$18/1000*DilPx-Q79)/DilPx,Q76*$K$18/1000*$P$18)</f>
        <v>0</v>
      </c>
      <c r="R82" s="42" t="n">
        <f aca="false">IF(DilMethod=3,MAX(0,R76*$K$18/1000*DilPx-R79)/DilPx,R76*$K$18/1000*$P$18)</f>
        <v>0</v>
      </c>
      <c r="S82" s="42" t="n">
        <f aca="false">IF(DilMethod=3,MAX(0,S76*$K$18/1000*DilPx-S79)/DilPx,S76*$K$18/1000*$P$18)</f>
        <v>0</v>
      </c>
      <c r="T82" s="42" t="n">
        <f aca="false">IF(DilMethod=3,MAX(0,T76*$K$18/1000*DilPx-T79)/DilPx,T76*$K$18/1000*$P$18)</f>
        <v>0</v>
      </c>
      <c r="U82" s="42" t="n">
        <f aca="false">IF(DilMethod=3,MAX(0,U76*$K$18/1000*DilPx-U79)/DilPx,U76*$K$18/1000*$P$18)</f>
        <v>0</v>
      </c>
      <c r="V82" s="42" t="n">
        <f aca="false">IF(DilMethod=3,MAX(0,V76*$K$18/1000*DilPx-V79)/DilPx,V76*$K$18/1000*$P$18)</f>
        <v>0</v>
      </c>
      <c r="W82" s="42" t="n">
        <f aca="false">IF(DilMethod=3,MAX(0,W76*$K$18/1000*DilPx-W79)/DilPx,W76*$K$18/1000*$P$18)</f>
        <v>0</v>
      </c>
      <c r="X82" s="42" t="n">
        <f aca="false">IF(DilMethod=3,MAX(0,X76*$K$18/1000*DilPx-X79)/DilPx,X76*$K$18/1000*$P$18)</f>
        <v>0</v>
      </c>
      <c r="Y82" s="42" t="n">
        <f aca="false">IF(DilMethod=3,MAX(0,Y76*$K$18/1000*DilPx-Y79)/DilPx,Y76*$K$18/1000*$P$18)</f>
        <v>0</v>
      </c>
      <c r="Z82" s="42" t="n">
        <f aca="false">IF(DilMethod=3,MAX(0,Z76*$K$18/1000*DilPx-Z79)/DilPx,Z76*$K$18/1000*$P$18)</f>
        <v>0</v>
      </c>
      <c r="AA82" s="42" t="n">
        <f aca="false">IF(DilMethod=3,MAX(0,AA76*$K$18/1000*DilPx-AA79)/DilPx,AA76*$K$18/1000*$P$18)</f>
        <v>0</v>
      </c>
      <c r="AB82" s="42" t="n">
        <f aca="false">IF(DilMethod=3,MAX(0,AB76*$K$18/1000*DilPx-AB79)/DilPx,AB76*$K$18/1000*$P$18)</f>
        <v>0</v>
      </c>
      <c r="AC82" s="42" t="n">
        <f aca="false">IF(DilMethod=3,MAX(0,AC76*$K$18/1000*DilPx-AC79)/DilPx,AC76*$K$18/1000*$P$18)</f>
        <v>0</v>
      </c>
      <c r="AD82" s="42" t="n">
        <f aca="false">IF(DilMethod=3,MAX(0,AD76*$K$18/1000*DilPx-AD79)/DilPx,AD76*$K$18/1000*$P$18)</f>
        <v>0</v>
      </c>
      <c r="AE82" s="42" t="n">
        <f aca="false">IF(DilMethod=3,MAX(0,AE76*$K$18/1000*DilPx-AE79)/DilPx,AE76*$K$18/1000*$P$18)</f>
        <v>0</v>
      </c>
      <c r="AF82" s="42" t="n">
        <f aca="false">IF(DilMethod=3,MAX(0,AF76*$K$18/1000*DilPx-AF79)/DilPx,AF76*$K$18/1000*$P$18)</f>
        <v>0</v>
      </c>
      <c r="AG82" s="42" t="n">
        <f aca="false">IF(DilMethod=3,MAX(0,AG76*$K$18/1000*DilPx-AG79)/DilPx,AG76*$K$18/1000*$P$18)</f>
        <v>0</v>
      </c>
      <c r="AI82" s="42" t="n">
        <f aca="false">INDEX($F82:$AG82,1,MATCH(AI$7,$F$7:$AG$7,1))</f>
        <v>0</v>
      </c>
      <c r="AJ82" s="42" t="n">
        <f aca="false">INDEX($F82:$AG82,1,MATCH(AJ$7,$F$7:$AG$7,1))</f>
        <v>0</v>
      </c>
      <c r="AK82" s="42" t="n">
        <f aca="false">INDEX($F82:$AG82,1,MATCH(AK$7,$F$7:$AG$7,1))</f>
        <v>0</v>
      </c>
      <c r="AL82" s="42" t="n">
        <f aca="false">INDEX($F82:$AG82,1,MATCH(AL$7,$F$7:$AG$7,1))</f>
        <v>0</v>
      </c>
      <c r="AM82" s="42" t="n">
        <f aca="false">INDEX($F82:$AG82,1,MATCH(AM$7,$F$7:$AG$7,1))</f>
        <v>0</v>
      </c>
      <c r="AN82" s="42" t="n">
        <f aca="false">INDEX($F82:$AG82,1,MATCH(AN$7,$F$7:$AG$7,1))</f>
        <v>0</v>
      </c>
      <c r="AO82" s="42" t="n">
        <f aca="false">INDEX($F82:$AG82,1,MATCH(AO$7,$F$7:$AG$7,1))</f>
        <v>0</v>
      </c>
    </row>
    <row r="83" customFormat="false" ht="15" hidden="false" customHeight="false" outlineLevel="0" collapsed="false">
      <c r="A83" s="104" t="s">
        <v>2095</v>
      </c>
      <c r="B83" s="20" t="s">
        <v>561</v>
      </c>
      <c r="C83" s="20" t="s">
        <v>495</v>
      </c>
      <c r="D83" s="20"/>
      <c r="F83" s="122" t="n">
        <f aca="false">F79*IF(DilMethod=3,1,1-$P$18)</f>
        <v>0</v>
      </c>
      <c r="G83" s="122" t="n">
        <f aca="false">G79*IF(DilMethod=3,1,1-$P$18)</f>
        <v>0</v>
      </c>
      <c r="H83" s="122" t="n">
        <f aca="false">H79*IF(DilMethod=3,1,1-$P$18)</f>
        <v>0</v>
      </c>
      <c r="I83" s="122" t="n">
        <f aca="false">I79*IF(DilMethod=3,1,1-$P$18)</f>
        <v>0</v>
      </c>
      <c r="J83" s="122" t="n">
        <f aca="false">J79*IF(DilMethod=3,1,1-$P$18)</f>
        <v>0</v>
      </c>
      <c r="K83" s="122" t="n">
        <f aca="false">K79*IF(DilMethod=3,1,1-$P$18)</f>
        <v>0</v>
      </c>
      <c r="L83" s="122" t="n">
        <f aca="false">L79*IF(DilMethod=3,1,1-$P$18)</f>
        <v>0</v>
      </c>
      <c r="M83" s="122" t="n">
        <f aca="false">M79*IF(DilMethod=3,1,1-$P$18)</f>
        <v>0</v>
      </c>
      <c r="N83" s="122" t="n">
        <f aca="false">N79*IF(DilMethod=3,1,1-$P$18)</f>
        <v>0</v>
      </c>
      <c r="O83" s="122" t="n">
        <f aca="false">O79*IF(DilMethod=3,1,1-$P$18)</f>
        <v>0</v>
      </c>
      <c r="P83" s="123" t="n">
        <f aca="false">P79*IF(DilMethod=3,1,1-$P$18)</f>
        <v>3460.04327301338</v>
      </c>
      <c r="Q83" s="123" t="n">
        <f aca="false">Q79*IF(DilMethod=3,1,1-$P$18)</f>
        <v>3485.01573564123</v>
      </c>
      <c r="R83" s="123" t="n">
        <f aca="false">R79*IF(DilMethod=3,1,1-$P$18)</f>
        <v>3509.44531864674</v>
      </c>
      <c r="S83" s="123" t="n">
        <f aca="false">S79*IF(DilMethod=3,1,1-$P$18)</f>
        <v>3534.14634146341</v>
      </c>
      <c r="T83" s="123" t="n">
        <f aca="false">T79*IF(DilMethod=3,1,1-$P$18)</f>
        <v>3559.11880409127</v>
      </c>
      <c r="U83" s="123" t="n">
        <f aca="false">U79*IF(DilMethod=3,1,1-$P$18)</f>
        <v>3584.09126671912</v>
      </c>
      <c r="V83" s="123" t="n">
        <f aca="false">V79*IF(DilMethod=3,1,1-$P$18)</f>
        <v>3608.7922895358</v>
      </c>
      <c r="W83" s="123" t="n">
        <f aca="false">W79*IF(DilMethod=3,1,1-$P$18)</f>
        <v>3633.49331235248</v>
      </c>
      <c r="X83" s="123" t="n">
        <f aca="false">X79*IF(DilMethod=3,1,1-$P$18)</f>
        <v>3658.46577498033</v>
      </c>
      <c r="Y83" s="123" t="n">
        <f aca="false">Y79*IF(DilMethod=3,1,1-$P$18)</f>
        <v>3683.43823760818</v>
      </c>
      <c r="Z83" s="123" t="n">
        <f aca="false">Z79*IF(DilMethod=3,1,1-$P$18)</f>
        <v>3707.86782061369</v>
      </c>
      <c r="AA83" s="123" t="n">
        <f aca="false">AA79*IF(DilMethod=3,1,1-$P$18)</f>
        <v>3732.56884343037</v>
      </c>
      <c r="AB83" s="123" t="n">
        <f aca="false">AB79*IF(DilMethod=3,1,1-$P$18)</f>
        <v>3757.54130605822</v>
      </c>
      <c r="AC83" s="123" t="n">
        <f aca="false">AC79*IF(DilMethod=3,1,1-$P$18)</f>
        <v>3782.51376868607</v>
      </c>
      <c r="AD83" s="123" t="n">
        <f aca="false">AD79*IF(DilMethod=3,1,1-$P$18)</f>
        <v>0</v>
      </c>
      <c r="AE83" s="123" t="n">
        <f aca="false">AE79*IF(DilMethod=3,1,1-$P$18)</f>
        <v>0</v>
      </c>
      <c r="AF83" s="123" t="n">
        <f aca="false">AF79*IF(DilMethod=3,1,1-$P$18)</f>
        <v>0</v>
      </c>
      <c r="AG83" s="123" t="n">
        <f aca="false">AG79*IF(DilMethod=3,1,1-$P$18)</f>
        <v>0</v>
      </c>
      <c r="AI83" s="123" t="n">
        <f aca="false">INDEX($F83:$AG83,1,MATCH(AI$7,$F$7:$AG$7,1))</f>
        <v>0</v>
      </c>
      <c r="AJ83" s="123" t="n">
        <f aca="false">INDEX($F83:$AG83,1,MATCH(AJ$7,$F$7:$AG$7,1))</f>
        <v>0</v>
      </c>
      <c r="AK83" s="123" t="n">
        <f aca="false">INDEX($F83:$AG83,1,MATCH(AK$7,$F$7:$AG$7,1))</f>
        <v>3485.01573564123</v>
      </c>
      <c r="AL83" s="123" t="n">
        <f aca="false">INDEX($F83:$AG83,1,MATCH(AL$7,$F$7:$AG$7,1))</f>
        <v>3584.09126671912</v>
      </c>
      <c r="AM83" s="123" t="n">
        <f aca="false">INDEX($F83:$AG83,1,MATCH(AM$7,$F$7:$AG$7,1))</f>
        <v>3683.43823760818</v>
      </c>
      <c r="AN83" s="123" t="n">
        <f aca="false">INDEX($F83:$AG83,1,MATCH(AN$7,$F$7:$AG$7,1))</f>
        <v>3782.51376868607</v>
      </c>
      <c r="AO83" s="123" t="n">
        <f aca="false">INDEX($F83:$AG83,1,MATCH(AO$7,$F$7:$AG$7,1))</f>
        <v>0</v>
      </c>
    </row>
    <row r="84" customFormat="false" ht="15" hidden="false" customHeight="false" outlineLevel="0" collapsed="false">
      <c r="A84" s="104" t="s">
        <v>2096</v>
      </c>
      <c r="B84" s="20" t="s">
        <v>561</v>
      </c>
      <c r="C84" s="20" t="s">
        <v>550</v>
      </c>
      <c r="D84" s="20"/>
      <c r="F84" s="122" t="n">
        <f aca="false">IF(AND(F$5&gt;=$M$19,F$5&lt;$N$19),$E$19-$F$19-IF(F$5&gt;=$H$19,$G$19,0),0)*($H$19&lt;&gt;0)+IF(AND(F$5&gt;=$M$19,F$5&lt;$N$19),$E$19-$F$19,0)*($H$19=0)</f>
        <v>0</v>
      </c>
      <c r="G84" s="122" t="n">
        <f aca="false">IF(AND(G$5&gt;=$M$19,G$5&lt;$N$19),$E$19-$F$19-IF(G$5&gt;=$H$19,$G$19,0),0)*($H$19&lt;&gt;0)+IF(AND(G$5&gt;=$M$19,G$5&lt;$N$19),$E$19-$F$19,0)*($H$19=0)</f>
        <v>0</v>
      </c>
      <c r="H84" s="122" t="n">
        <f aca="false">IF(AND(H$5&gt;=$M$19,H$5&lt;$N$19),$E$19-$F$19-IF(H$5&gt;=$H$19,$G$19,0),0)*($H$19&lt;&gt;0)+IF(AND(H$5&gt;=$M$19,H$5&lt;$N$19),$E$19-$F$19,0)*($H$19=0)</f>
        <v>0</v>
      </c>
      <c r="I84" s="122" t="n">
        <f aca="false">IF(AND(I$5&gt;=$M$19,I$5&lt;$N$19),$E$19-$F$19-IF(I$5&gt;=$H$19,$G$19,0),0)*($H$19&lt;&gt;0)+IF(AND(I$5&gt;=$M$19,I$5&lt;$N$19),$E$19-$F$19,0)*($H$19=0)</f>
        <v>0</v>
      </c>
      <c r="J84" s="122" t="n">
        <f aca="false">IF(AND(J$5&gt;=$M$19,J$5&lt;$N$19),$E$19-$F$19-IF(J$5&gt;=$H$19,$G$19,0),0)*($H$19&lt;&gt;0)+IF(AND(J$5&gt;=$M$19,J$5&lt;$N$19),$E$19-$F$19,0)*($H$19=0)</f>
        <v>0</v>
      </c>
      <c r="K84" s="122" t="n">
        <f aca="false">IF(AND(K$5&gt;=$M$19,K$5&lt;$N$19),$E$19-$F$19-IF(K$5&gt;=$H$19,$G$19,0),0)*($H$19&lt;&gt;0)+IF(AND(K$5&gt;=$M$19,K$5&lt;$N$19),$E$19-$F$19,0)*($H$19=0)</f>
        <v>0</v>
      </c>
      <c r="L84" s="122" t="n">
        <f aca="false">IF(AND(L$5&gt;=$M$19,L$5&lt;$N$19),$E$19-$F$19-IF(L$5&gt;=$H$19,$G$19,0),0)*($H$19&lt;&gt;0)+IF(AND(L$5&gt;=$M$19,L$5&lt;$N$19),$E$19-$F$19,0)*($H$19=0)</f>
        <v>0</v>
      </c>
      <c r="M84" s="122" t="n">
        <f aca="false">IF(AND(M$5&gt;=$M$19,M$5&lt;$N$19),$E$19-$F$19-IF(M$5&gt;=$H$19,$G$19,0),0)*($H$19&lt;&gt;0)+IF(AND(M$5&gt;=$M$19,M$5&lt;$N$19),$E$19-$F$19,0)*($H$19=0)</f>
        <v>0</v>
      </c>
      <c r="N84" s="122" t="n">
        <f aca="false">IF(AND(N$5&gt;=$M$19,N$5&lt;$N$19),$E$19-$F$19-IF(N$5&gt;=$H$19,$G$19,0),0)*($H$19&lt;&gt;0)+IF(AND(N$5&gt;=$M$19,N$5&lt;$N$19),$E$19-$F$19,0)*($H$19=0)</f>
        <v>0</v>
      </c>
      <c r="O84" s="122" t="n">
        <f aca="false">IF(AND(O$5&gt;=$M$19,O$5&lt;$N$19),$E$19-$F$19-IF(O$5&gt;=$H$19,$G$19,0),0)*($H$19&lt;&gt;0)+IF(AND(O$5&gt;=$M$19,O$5&lt;$N$19),$E$19-$F$19,0)*($H$19=0)</f>
        <v>0</v>
      </c>
      <c r="P84" s="123" t="n">
        <f aca="false">IF(AND(P$5&gt;=$M$19,P$5&lt;$N$19),$E$19-$F$19-IF(P$5&gt;=$H$19,$G$19,0),0)*($H$19&lt;&gt;0)+IF(AND(P$5&gt;=$M$19,P$5&lt;$N$19),$E$19-$F$19,0)*($H$19=0)</f>
        <v>2300</v>
      </c>
      <c r="Q84" s="123" t="n">
        <f aca="false">IF(AND(Q$5&gt;=$M$19,Q$5&lt;$N$19),$E$19-$F$19-IF(Q$5&gt;=$H$19,$G$19,0),0)*($H$19&lt;&gt;0)+IF(AND(Q$5&gt;=$M$19,Q$5&lt;$N$19),$E$19-$F$19,0)*($H$19=0)</f>
        <v>2300</v>
      </c>
      <c r="R84" s="123" t="n">
        <f aca="false">IF(AND(R$5&gt;=$M$19,R$5&lt;$N$19),$E$19-$F$19-IF(R$5&gt;=$H$19,$G$19,0),0)*($H$19&lt;&gt;0)+IF(AND(R$5&gt;=$M$19,R$5&lt;$N$19),$E$19-$F$19,0)*($H$19=0)</f>
        <v>2300</v>
      </c>
      <c r="S84" s="123" t="n">
        <f aca="false">IF(AND(S$5&gt;=$M$19,S$5&lt;$N$19),$E$19-$F$19-IF(S$5&gt;=$H$19,$G$19,0),0)*($H$19&lt;&gt;0)+IF(AND(S$5&gt;=$M$19,S$5&lt;$N$19),$E$19-$F$19,0)*($H$19=0)</f>
        <v>2300</v>
      </c>
      <c r="T84" s="123" t="n">
        <f aca="false">IF(AND(T$5&gt;=$M$19,T$5&lt;$N$19),$E$19-$F$19-IF(T$5&gt;=$H$19,$G$19,0),0)*($H$19&lt;&gt;0)+IF(AND(T$5&gt;=$M$19,T$5&lt;$N$19),$E$19-$F$19,0)*($H$19=0)</f>
        <v>2300</v>
      </c>
      <c r="U84" s="123" t="n">
        <f aca="false">IF(AND(U$5&gt;=$M$19,U$5&lt;$N$19),$E$19-$F$19-IF(U$5&gt;=$H$19,$G$19,0),0)*($H$19&lt;&gt;0)+IF(AND(U$5&gt;=$M$19,U$5&lt;$N$19),$E$19-$F$19,0)*($H$19=0)</f>
        <v>2300</v>
      </c>
      <c r="V84" s="123" t="n">
        <f aca="false">IF(AND(V$5&gt;=$M$19,V$5&lt;$N$19),$E$19-$F$19-IF(V$5&gt;=$H$19,$G$19,0),0)*($H$19&lt;&gt;0)+IF(AND(V$5&gt;=$M$19,V$5&lt;$N$19),$E$19-$F$19,0)*($H$19=0)</f>
        <v>2300</v>
      </c>
      <c r="W84" s="123" t="n">
        <f aca="false">IF(AND(W$5&gt;=$M$19,W$5&lt;$N$19),$E$19-$F$19-IF(W$5&gt;=$H$19,$G$19,0),0)*($H$19&lt;&gt;0)+IF(AND(W$5&gt;=$M$19,W$5&lt;$N$19),$E$19-$F$19,0)*($H$19=0)</f>
        <v>2300</v>
      </c>
      <c r="X84" s="123" t="n">
        <f aca="false">IF(AND(X$5&gt;=$M$19,X$5&lt;$N$19),$E$19-$F$19-IF(X$5&gt;=$H$19,$G$19,0),0)*($H$19&lt;&gt;0)+IF(AND(X$5&gt;=$M$19,X$5&lt;$N$19),$E$19-$F$19,0)*($H$19=0)</f>
        <v>2300</v>
      </c>
      <c r="Y84" s="123" t="n">
        <f aca="false">IF(AND(Y$5&gt;=$M$19,Y$5&lt;$N$19),$E$19-$F$19-IF(Y$5&gt;=$H$19,$G$19,0),0)*($H$19&lt;&gt;0)+IF(AND(Y$5&gt;=$M$19,Y$5&lt;$N$19),$E$19-$F$19,0)*($H$19=0)</f>
        <v>2300</v>
      </c>
      <c r="Z84" s="123" t="n">
        <f aca="false">IF(AND(Z$5&gt;=$M$19,Z$5&lt;$N$19),$E$19-$F$19-IF(Z$5&gt;=$H$19,$G$19,0),0)*($H$19&lt;&gt;0)+IF(AND(Z$5&gt;=$M$19,Z$5&lt;$N$19),$E$19-$F$19,0)*($H$19=0)</f>
        <v>2300</v>
      </c>
      <c r="AA84" s="123" t="n">
        <f aca="false">IF(AND(AA$5&gt;=$M$19,AA$5&lt;$N$19),$E$19-$F$19-IF(AA$5&gt;=$H$19,$G$19,0),0)*($H$19&lt;&gt;0)+IF(AND(AA$5&gt;=$M$19,AA$5&lt;$N$19),$E$19-$F$19,0)*($H$19=0)</f>
        <v>2300</v>
      </c>
      <c r="AB84" s="123" t="n">
        <f aca="false">IF(AND(AB$5&gt;=$M$19,AB$5&lt;$N$19),$E$19-$F$19-IF(AB$5&gt;=$H$19,$G$19,0),0)*($H$19&lt;&gt;0)+IF(AND(AB$5&gt;=$M$19,AB$5&lt;$N$19),$E$19-$F$19,0)*($H$19=0)</f>
        <v>2300</v>
      </c>
      <c r="AC84" s="123" t="n">
        <f aca="false">IF(AND(AC$5&gt;=$M$19,AC$5&lt;$N$19),$E$19-$F$19-IF(AC$5&gt;=$H$19,$G$19,0),0)*($H$19&lt;&gt;0)+IF(AND(AC$5&gt;=$M$19,AC$5&lt;$N$19),$E$19-$F$19,0)*($H$19=0)</f>
        <v>2300</v>
      </c>
      <c r="AD84" s="123" t="n">
        <f aca="false">IF(AND(AD$5&gt;=$M$19,AD$5&lt;$N$19),$E$19-$F$19-IF(AD$5&gt;=$H$19,$G$19,0),0)*($H$19&lt;&gt;0)+IF(AND(AD$5&gt;=$M$19,AD$5&lt;$N$19),$E$19-$F$19,0)*($H$19=0)</f>
        <v>2300</v>
      </c>
      <c r="AE84" s="123" t="n">
        <f aca="false">IF(AND(AE$5&gt;=$M$19,AE$5&lt;$N$19),$E$19-$F$19-IF(AE$5&gt;=$H$19,$G$19,0),0)*($H$19&lt;&gt;0)+IF(AND(AE$5&gt;=$M$19,AE$5&lt;$N$19),$E$19-$F$19,0)*($H$19=0)</f>
        <v>2300</v>
      </c>
      <c r="AF84" s="123" t="n">
        <f aca="false">IF(AND(AF$5&gt;=$M$19,AF$5&lt;$N$19),$E$19-$F$19-IF(AF$5&gt;=$H$19,$G$19,0),0)*($H$19&lt;&gt;0)+IF(AND(AF$5&gt;=$M$19,AF$5&lt;$N$19),$E$19-$F$19,0)*($H$19=0)</f>
        <v>2300</v>
      </c>
      <c r="AG84" s="123" t="n">
        <f aca="false">IF(AND(AG$5&gt;=$M$19,AG$5&lt;$N$19),$E$19-$F$19-IF(AG$5&gt;=$H$19,$G$19,0),0)*($H$19&lt;&gt;0)+IF(AND(AG$5&gt;=$M$19,AG$5&lt;$N$19),$E$19-$F$19,0)*($H$19=0)</f>
        <v>2300</v>
      </c>
      <c r="AI84" s="123" t="n">
        <f aca="false">INDEX($F84:$AG84,1,MATCH(AI$7,$F$7:$AG$7,1))</f>
        <v>0</v>
      </c>
      <c r="AJ84" s="123" t="n">
        <f aca="false">INDEX($F84:$AG84,1,MATCH(AJ$7,$F$7:$AG$7,1))</f>
        <v>0</v>
      </c>
      <c r="AK84" s="123" t="n">
        <f aca="false">INDEX($F84:$AG84,1,MATCH(AK$7,$F$7:$AG$7,1))</f>
        <v>2300</v>
      </c>
      <c r="AL84" s="123" t="n">
        <f aca="false">INDEX($F84:$AG84,1,MATCH(AL$7,$F$7:$AG$7,1))</f>
        <v>2300</v>
      </c>
      <c r="AM84" s="123" t="n">
        <f aca="false">INDEX($F84:$AG84,1,MATCH(AM$7,$F$7:$AG$7,1))</f>
        <v>2300</v>
      </c>
      <c r="AN84" s="123" t="n">
        <f aca="false">INDEX($F84:$AG84,1,MATCH(AN$7,$F$7:$AG$7,1))</f>
        <v>2300</v>
      </c>
      <c r="AO84" s="123" t="n">
        <f aca="false">INDEX($F84:$AG84,1,MATCH(AO$7,$F$7:$AG$7,1))</f>
        <v>2300</v>
      </c>
    </row>
    <row r="85" customFormat="false" ht="15" hidden="false" customHeight="false" outlineLevel="0" collapsed="false">
      <c r="A85" s="104" t="s">
        <v>2097</v>
      </c>
      <c r="B85" s="20" t="s">
        <v>561</v>
      </c>
      <c r="C85" s="20" t="s">
        <v>550</v>
      </c>
      <c r="D85" s="20"/>
      <c r="F85" s="122" t="n">
        <f aca="false">F84*$C$19/4</f>
        <v>0</v>
      </c>
      <c r="G85" s="122" t="n">
        <f aca="false">G84*$C$19/4</f>
        <v>0</v>
      </c>
      <c r="H85" s="122" t="n">
        <f aca="false">H84*$C$19/4</f>
        <v>0</v>
      </c>
      <c r="I85" s="122" t="n">
        <f aca="false">I84*$C$19/4</f>
        <v>0</v>
      </c>
      <c r="J85" s="122" t="n">
        <f aca="false">J84*$C$19/4</f>
        <v>0</v>
      </c>
      <c r="K85" s="122" t="n">
        <f aca="false">K84*$C$19/4</f>
        <v>0</v>
      </c>
      <c r="L85" s="122" t="n">
        <f aca="false">L84*$C$19/4</f>
        <v>0</v>
      </c>
      <c r="M85" s="122" t="n">
        <f aca="false">M84*$C$19/4</f>
        <v>0</v>
      </c>
      <c r="N85" s="122" t="n">
        <f aca="false">N84*$C$19/4</f>
        <v>0</v>
      </c>
      <c r="O85" s="122" t="n">
        <f aca="false">O84*$C$19/4</f>
        <v>0</v>
      </c>
      <c r="P85" s="123" t="n">
        <f aca="false">P84*$C$19/4</f>
        <v>25.875</v>
      </c>
      <c r="Q85" s="123" t="n">
        <f aca="false">Q84*$C$19/4</f>
        <v>25.875</v>
      </c>
      <c r="R85" s="123" t="n">
        <f aca="false">R84*$C$19/4</f>
        <v>25.875</v>
      </c>
      <c r="S85" s="123" t="n">
        <f aca="false">S84*$C$19/4</f>
        <v>25.875</v>
      </c>
      <c r="T85" s="123" t="n">
        <f aca="false">T84*$C$19/4</f>
        <v>25.875</v>
      </c>
      <c r="U85" s="123" t="n">
        <f aca="false">U84*$C$19/4</f>
        <v>25.875</v>
      </c>
      <c r="V85" s="123" t="n">
        <f aca="false">V84*$C$19/4</f>
        <v>25.875</v>
      </c>
      <c r="W85" s="123" t="n">
        <f aca="false">W84*$C$19/4</f>
        <v>25.875</v>
      </c>
      <c r="X85" s="123" t="n">
        <f aca="false">X84*$C$19/4</f>
        <v>25.875</v>
      </c>
      <c r="Y85" s="123" t="n">
        <f aca="false">Y84*$C$19/4</f>
        <v>25.875</v>
      </c>
      <c r="Z85" s="123" t="n">
        <f aca="false">Z84*$C$19/4</f>
        <v>25.875</v>
      </c>
      <c r="AA85" s="123" t="n">
        <f aca="false">AA84*$C$19/4</f>
        <v>25.875</v>
      </c>
      <c r="AB85" s="123" t="n">
        <f aca="false">AB84*$C$19/4</f>
        <v>25.875</v>
      </c>
      <c r="AC85" s="123" t="n">
        <f aca="false">AC84*$C$19/4</f>
        <v>25.875</v>
      </c>
      <c r="AD85" s="123" t="n">
        <f aca="false">AD84*$C$19/4</f>
        <v>25.875</v>
      </c>
      <c r="AE85" s="123" t="n">
        <f aca="false">AE84*$C$19/4</f>
        <v>25.875</v>
      </c>
      <c r="AF85" s="123" t="n">
        <f aca="false">AF84*$C$19/4</f>
        <v>25.875</v>
      </c>
      <c r="AG85" s="123" t="n">
        <f aca="false">AG84*$C$19/4</f>
        <v>25.875</v>
      </c>
      <c r="AI85" s="123" t="n">
        <f aca="false">SUMIF($F$7:$AG$7,AI$7,$F85:$AG85)</f>
        <v>0</v>
      </c>
      <c r="AJ85" s="123" t="n">
        <f aca="false">SUMIF($F$7:$AG$7,AJ$7,$F85:$AG85)</f>
        <v>0</v>
      </c>
      <c r="AK85" s="123" t="n">
        <f aca="false">SUMIF($F$7:$AG$7,AK$7,$F85:$AG85)</f>
        <v>51.75</v>
      </c>
      <c r="AL85" s="123" t="n">
        <f aca="false">SUMIF($F$7:$AG$7,AL$7,$F85:$AG85)</f>
        <v>103.5</v>
      </c>
      <c r="AM85" s="123" t="n">
        <f aca="false">SUMIF($F$7:$AG$7,AM$7,$F85:$AG85)</f>
        <v>103.5</v>
      </c>
      <c r="AN85" s="123" t="n">
        <f aca="false">SUMIF($F$7:$AG$7,AN$7,$F85:$AG85)</f>
        <v>103.5</v>
      </c>
      <c r="AO85" s="123" t="n">
        <f aca="false">SUMIF($F$7:$AG$7,AO$7,$F85:$AG85)</f>
        <v>103.5</v>
      </c>
    </row>
    <row r="86" customFormat="false" ht="15" hidden="false" customHeight="false" outlineLevel="0" collapsed="false">
      <c r="A86" s="104" t="s">
        <v>2098</v>
      </c>
      <c r="B86" s="20" t="s">
        <v>561</v>
      </c>
      <c r="C86" s="20" t="s">
        <v>550</v>
      </c>
      <c r="D86" s="20"/>
      <c r="F86" s="122" t="n">
        <f aca="false">F84*($J$19-1)/(($D$19-$B$19)/91.3125)</f>
        <v>0</v>
      </c>
      <c r="G86" s="122" t="n">
        <f aca="false">G84*($J$19-1)/(($D$19-$B$19)/91.3125)</f>
        <v>0</v>
      </c>
      <c r="H86" s="122" t="n">
        <f aca="false">H84*($J$19-1)/(($D$19-$B$19)/91.3125)</f>
        <v>0</v>
      </c>
      <c r="I86" s="122" t="n">
        <f aca="false">I84*($J$19-1)/(($D$19-$B$19)/91.3125)</f>
        <v>0</v>
      </c>
      <c r="J86" s="122" t="n">
        <f aca="false">J84*($J$19-1)/(($D$19-$B$19)/91.3125)</f>
        <v>0</v>
      </c>
      <c r="K86" s="122" t="n">
        <f aca="false">K84*($J$19-1)/(($D$19-$B$19)/91.3125)</f>
        <v>0</v>
      </c>
      <c r="L86" s="122" t="n">
        <f aca="false">L84*($J$19-1)/(($D$19-$B$19)/91.3125)</f>
        <v>0</v>
      </c>
      <c r="M86" s="122" t="n">
        <f aca="false">M84*($J$19-1)/(($D$19-$B$19)/91.3125)</f>
        <v>0</v>
      </c>
      <c r="N86" s="122" t="n">
        <f aca="false">N84*($J$19-1)/(($D$19-$B$19)/91.3125)</f>
        <v>0</v>
      </c>
      <c r="O86" s="122" t="n">
        <f aca="false">O84*($J$19-1)/(($D$19-$B$19)/91.3125)</f>
        <v>0</v>
      </c>
      <c r="P86" s="123" t="n">
        <f aca="false">P84*($J$19-1)/(($D$19-$B$19)/91.3125)</f>
        <v>19.2184068448023</v>
      </c>
      <c r="Q86" s="123" t="n">
        <f aca="false">Q84*($J$19-1)/(($D$19-$B$19)/91.3125)</f>
        <v>19.2184068448023</v>
      </c>
      <c r="R86" s="123" t="n">
        <f aca="false">R84*($J$19-1)/(($D$19-$B$19)/91.3125)</f>
        <v>19.2184068448023</v>
      </c>
      <c r="S86" s="123" t="n">
        <f aca="false">S84*($J$19-1)/(($D$19-$B$19)/91.3125)</f>
        <v>19.2184068448023</v>
      </c>
      <c r="T86" s="123" t="n">
        <f aca="false">T84*($J$19-1)/(($D$19-$B$19)/91.3125)</f>
        <v>19.2184068448023</v>
      </c>
      <c r="U86" s="123" t="n">
        <f aca="false">U84*($J$19-1)/(($D$19-$B$19)/91.3125)</f>
        <v>19.2184068448023</v>
      </c>
      <c r="V86" s="123" t="n">
        <f aca="false">V84*($J$19-1)/(($D$19-$B$19)/91.3125)</f>
        <v>19.2184068448023</v>
      </c>
      <c r="W86" s="123" t="n">
        <f aca="false">W84*($J$19-1)/(($D$19-$B$19)/91.3125)</f>
        <v>19.2184068448023</v>
      </c>
      <c r="X86" s="123" t="n">
        <f aca="false">X84*($J$19-1)/(($D$19-$B$19)/91.3125)</f>
        <v>19.2184068448023</v>
      </c>
      <c r="Y86" s="123" t="n">
        <f aca="false">Y84*($J$19-1)/(($D$19-$B$19)/91.3125)</f>
        <v>19.2184068448023</v>
      </c>
      <c r="Z86" s="123" t="n">
        <f aca="false">Z84*($J$19-1)/(($D$19-$B$19)/91.3125)</f>
        <v>19.2184068448023</v>
      </c>
      <c r="AA86" s="123" t="n">
        <f aca="false">AA84*($J$19-1)/(($D$19-$B$19)/91.3125)</f>
        <v>19.2184068448023</v>
      </c>
      <c r="AB86" s="123" t="n">
        <f aca="false">AB84*($J$19-1)/(($D$19-$B$19)/91.3125)</f>
        <v>19.2184068448023</v>
      </c>
      <c r="AC86" s="123" t="n">
        <f aca="false">AC84*($J$19-1)/(($D$19-$B$19)/91.3125)</f>
        <v>19.2184068448023</v>
      </c>
      <c r="AD86" s="123" t="n">
        <f aca="false">AD84*($J$19-1)/(($D$19-$B$19)/91.3125)</f>
        <v>19.2184068448023</v>
      </c>
      <c r="AE86" s="123" t="n">
        <f aca="false">AE84*($J$19-1)/(($D$19-$B$19)/91.3125)</f>
        <v>19.2184068448023</v>
      </c>
      <c r="AF86" s="123" t="n">
        <f aca="false">AF84*($J$19-1)/(($D$19-$B$19)/91.3125)</f>
        <v>19.2184068448023</v>
      </c>
      <c r="AG86" s="123" t="n">
        <f aca="false">AG84*($J$19-1)/(($D$19-$B$19)/91.3125)</f>
        <v>19.2184068448023</v>
      </c>
      <c r="AI86" s="123" t="n">
        <f aca="false">SUMIF($F$7:$AG$7,AI$7,$F86:$AG86)</f>
        <v>0</v>
      </c>
      <c r="AJ86" s="123" t="n">
        <f aca="false">SUMIF($F$7:$AG$7,AJ$7,$F86:$AG86)</f>
        <v>0</v>
      </c>
      <c r="AK86" s="123" t="n">
        <f aca="false">SUMIF($F$7:$AG$7,AK$7,$F86:$AG86)</f>
        <v>38.4368136896047</v>
      </c>
      <c r="AL86" s="123" t="n">
        <f aca="false">SUMIF($F$7:$AG$7,AL$7,$F86:$AG86)</f>
        <v>76.8736273792094</v>
      </c>
      <c r="AM86" s="123" t="n">
        <f aca="false">SUMIF($F$7:$AG$7,AM$7,$F86:$AG86)</f>
        <v>76.8736273792094</v>
      </c>
      <c r="AN86" s="123" t="n">
        <f aca="false">SUMIF($F$7:$AG$7,AN$7,$F86:$AG86)</f>
        <v>76.8736273792094</v>
      </c>
      <c r="AO86" s="123" t="n">
        <f aca="false">SUMIF($F$7:$AG$7,AO$7,$F86:$AG86)</f>
        <v>76.8736273792094</v>
      </c>
    </row>
    <row r="87" customFormat="false" ht="15" hidden="false" customHeight="false" outlineLevel="0" collapsed="false">
      <c r="A87" s="104" t="s">
        <v>2099</v>
      </c>
      <c r="B87" s="20" t="s">
        <v>561</v>
      </c>
      <c r="C87" s="20" t="s">
        <v>550</v>
      </c>
      <c r="D87" s="20"/>
      <c r="F87" s="122" t="n">
        <f aca="false">F84*(1+($J$19-1)*MIN(1,MAX(0,(F$4-$B$19)/($D$19-$B$19))))</f>
        <v>0</v>
      </c>
      <c r="G87" s="122" t="n">
        <f aca="false">G84*(1+($J$19-1)*MIN(1,MAX(0,(G$4-$B$19)/($D$19-$B$19))))</f>
        <v>0</v>
      </c>
      <c r="H87" s="122" t="n">
        <f aca="false">H84*(1+($J$19-1)*MIN(1,MAX(0,(H$4-$B$19)/($D$19-$B$19))))</f>
        <v>0</v>
      </c>
      <c r="I87" s="122" t="n">
        <f aca="false">I84*(1+($J$19-1)*MIN(1,MAX(0,(I$4-$B$19)/($D$19-$B$19))))</f>
        <v>0</v>
      </c>
      <c r="J87" s="122" t="n">
        <f aca="false">J84*(1+($J$19-1)*MIN(1,MAX(0,(J$4-$B$19)/($D$19-$B$19))))</f>
        <v>0</v>
      </c>
      <c r="K87" s="122" t="n">
        <f aca="false">K84*(1+($J$19-1)*MIN(1,MAX(0,(K$4-$B$19)/($D$19-$B$19))))</f>
        <v>0</v>
      </c>
      <c r="L87" s="122" t="n">
        <f aca="false">L84*(1+($J$19-1)*MIN(1,MAX(0,(L$4-$B$19)/($D$19-$B$19))))</f>
        <v>0</v>
      </c>
      <c r="M87" s="122" t="n">
        <f aca="false">M84*(1+($J$19-1)*MIN(1,MAX(0,(M$4-$B$19)/($D$19-$B$19))))</f>
        <v>0</v>
      </c>
      <c r="N87" s="122" t="n">
        <f aca="false">N84*(1+($J$19-1)*MIN(1,MAX(0,(N$4-$B$19)/($D$19-$B$19))))</f>
        <v>0</v>
      </c>
      <c r="O87" s="122" t="n">
        <f aca="false">O84*(1+($J$19-1)*MIN(1,MAX(0,(O$4-$B$19)/($D$19-$B$19))))</f>
        <v>0</v>
      </c>
      <c r="P87" s="123" t="n">
        <f aca="false">P84*(1+($J$19-1)*MIN(1,MAX(0,(P$4-$B$19)/($D$19-$B$19))))</f>
        <v>2307.78733528551</v>
      </c>
      <c r="Q87" s="123" t="n">
        <f aca="false">Q84*(1+($J$19-1)*MIN(1,MAX(0,(Q$4-$B$19)/($D$19-$B$19))))</f>
        <v>2327.15043923865</v>
      </c>
      <c r="R87" s="123" t="n">
        <f aca="false">R84*(1+($J$19-1)*MIN(1,MAX(0,(R$4-$B$19)/($D$19-$B$19))))</f>
        <v>2346.09260614934</v>
      </c>
      <c r="S87" s="123" t="n">
        <f aca="false">S84*(1+($J$19-1)*MIN(1,MAX(0,(S$4-$B$19)/($D$19-$B$19))))</f>
        <v>2365.24524158126</v>
      </c>
      <c r="T87" s="123" t="n">
        <f aca="false">T84*(1+($J$19-1)*MIN(1,MAX(0,(T$4-$B$19)/($D$19-$B$19))))</f>
        <v>2384.60834553441</v>
      </c>
      <c r="U87" s="123" t="n">
        <f aca="false">U84*(1+($J$19-1)*MIN(1,MAX(0,(U$4-$B$19)/($D$19-$B$19))))</f>
        <v>2403.97144948756</v>
      </c>
      <c r="V87" s="123" t="n">
        <f aca="false">V84*(1+($J$19-1)*MIN(1,MAX(0,(V$4-$B$19)/($D$19-$B$19))))</f>
        <v>2423.12408491947</v>
      </c>
      <c r="W87" s="123" t="n">
        <f aca="false">W84*(1+($J$19-1)*MIN(1,MAX(0,(W$4-$B$19)/($D$19-$B$19))))</f>
        <v>2442.27672035139</v>
      </c>
      <c r="X87" s="123" t="n">
        <f aca="false">X84*(1+($J$19-1)*MIN(1,MAX(0,(X$4-$B$19)/($D$19-$B$19))))</f>
        <v>2461.63982430454</v>
      </c>
      <c r="Y87" s="123" t="n">
        <f aca="false">Y84*(1+($J$19-1)*MIN(1,MAX(0,(Y$4-$B$19)/($D$19-$B$19))))</f>
        <v>2481.00292825769</v>
      </c>
      <c r="Z87" s="123" t="n">
        <f aca="false">Z84*(1+($J$19-1)*MIN(1,MAX(0,(Z$4-$B$19)/($D$19-$B$19))))</f>
        <v>2499.94509516838</v>
      </c>
      <c r="AA87" s="123" t="n">
        <f aca="false">AA84*(1+($J$19-1)*MIN(1,MAX(0,(AA$4-$B$19)/($D$19-$B$19))))</f>
        <v>2519.09773060029</v>
      </c>
      <c r="AB87" s="123" t="n">
        <f aca="false">AB84*(1+($J$19-1)*MIN(1,MAX(0,(AB$4-$B$19)/($D$19-$B$19))))</f>
        <v>2538.46083455344</v>
      </c>
      <c r="AC87" s="123" t="n">
        <f aca="false">AC84*(1+($J$19-1)*MIN(1,MAX(0,(AC$4-$B$19)/($D$19-$B$19))))</f>
        <v>2557.82393850659</v>
      </c>
      <c r="AD87" s="123" t="n">
        <f aca="false">AD84*(1+($J$19-1)*MIN(1,MAX(0,(AD$4-$B$19)/($D$19-$B$19))))</f>
        <v>2576.76610541728</v>
      </c>
      <c r="AE87" s="123" t="n">
        <f aca="false">AE84*(1+($J$19-1)*MIN(1,MAX(0,(AE$4-$B$19)/($D$19-$B$19))))</f>
        <v>2595.9187408492</v>
      </c>
      <c r="AF87" s="123" t="n">
        <f aca="false">AF84*(1+($J$19-1)*MIN(1,MAX(0,(AF$4-$B$19)/($D$19-$B$19))))</f>
        <v>2615.28184480234</v>
      </c>
      <c r="AG87" s="123" t="n">
        <f aca="false">AG84*(1+($J$19-1)*MIN(1,MAX(0,(AG$4-$B$19)/($D$19-$B$19))))</f>
        <v>2634.64494875549</v>
      </c>
      <c r="AI87" s="123" t="n">
        <f aca="false">INDEX($F87:$AG87,1,MATCH(AI$7,$F$7:$AG$7,1))</f>
        <v>0</v>
      </c>
      <c r="AJ87" s="123" t="n">
        <f aca="false">INDEX($F87:$AG87,1,MATCH(AJ$7,$F$7:$AG$7,1))</f>
        <v>0</v>
      </c>
      <c r="AK87" s="123" t="n">
        <f aca="false">INDEX($F87:$AG87,1,MATCH(AK$7,$F$7:$AG$7,1))</f>
        <v>2327.15043923865</v>
      </c>
      <c r="AL87" s="123" t="n">
        <f aca="false">INDEX($F87:$AG87,1,MATCH(AL$7,$F$7:$AG$7,1))</f>
        <v>2403.97144948756</v>
      </c>
      <c r="AM87" s="123" t="n">
        <f aca="false">INDEX($F87:$AG87,1,MATCH(AM$7,$F$7:$AG$7,1))</f>
        <v>2481.00292825769</v>
      </c>
      <c r="AN87" s="123" t="n">
        <f aca="false">INDEX($F87:$AG87,1,MATCH(AN$7,$F$7:$AG$7,1))</f>
        <v>2557.82393850659</v>
      </c>
      <c r="AO87" s="123" t="n">
        <f aca="false">INDEX($F87:$AG87,1,MATCH(AO$7,$F$7:$AG$7,1))</f>
        <v>2634.64494875549</v>
      </c>
    </row>
    <row r="88" customFormat="false" ht="15" hidden="false" customHeight="false" outlineLevel="0" collapsed="false">
      <c r="A88" s="104" t="s">
        <v>2100</v>
      </c>
      <c r="B88" s="20" t="s">
        <v>561</v>
      </c>
      <c r="C88" s="20" t="s">
        <v>550</v>
      </c>
      <c r="D88" s="20"/>
      <c r="F88" s="122" t="n">
        <f aca="false">IF(F$5=$N$19,E84*$J$19*(1-$O$19),0)</f>
        <v>0</v>
      </c>
      <c r="G88" s="122" t="n">
        <f aca="false">IF(G$5=$N$19,F84*$J$19*(1-$O$19),0)</f>
        <v>0</v>
      </c>
      <c r="H88" s="122" t="n">
        <f aca="false">IF(H$5=$N$19,G84*$J$19*(1-$O$19),0)</f>
        <v>0</v>
      </c>
      <c r="I88" s="122" t="n">
        <f aca="false">IF(I$5=$N$19,H84*$J$19*(1-$O$19),0)</f>
        <v>0</v>
      </c>
      <c r="J88" s="122" t="n">
        <f aca="false">IF(J$5=$N$19,I84*$J$19*(1-$O$19),0)</f>
        <v>0</v>
      </c>
      <c r="K88" s="122" t="n">
        <f aca="false">IF(K$5=$N$19,J84*$J$19*(1-$O$19),0)</f>
        <v>0</v>
      </c>
      <c r="L88" s="122" t="n">
        <f aca="false">IF(L$5=$N$19,K84*$J$19*(1-$O$19),0)</f>
        <v>0</v>
      </c>
      <c r="M88" s="122" t="n">
        <f aca="false">IF(M$5=$N$19,L84*$J$19*(1-$O$19),0)</f>
        <v>0</v>
      </c>
      <c r="N88" s="122" t="n">
        <f aca="false">IF(N$5=$N$19,M84*$J$19*(1-$O$19),0)</f>
        <v>0</v>
      </c>
      <c r="O88" s="122" t="n">
        <f aca="false">IF(O$5=$N$19,N84*$J$19*(1-$O$19),0)</f>
        <v>0</v>
      </c>
      <c r="P88" s="123" t="n">
        <f aca="false">IF(P$5=$N$19,O84*$J$19*(1-$O$19),0)</f>
        <v>0</v>
      </c>
      <c r="Q88" s="123" t="n">
        <f aca="false">IF(Q$5=$N$19,P84*$J$19*(1-$O$19),0)</f>
        <v>0</v>
      </c>
      <c r="R88" s="123" t="n">
        <f aca="false">IF(R$5=$N$19,Q84*$J$19*(1-$O$19),0)</f>
        <v>0</v>
      </c>
      <c r="S88" s="123" t="n">
        <f aca="false">IF(S$5=$N$19,R84*$J$19*(1-$O$19),0)</f>
        <v>0</v>
      </c>
      <c r="T88" s="123" t="n">
        <f aca="false">IF(T$5=$N$19,S84*$J$19*(1-$O$19),0)</f>
        <v>0</v>
      </c>
      <c r="U88" s="123" t="n">
        <f aca="false">IF(U$5=$N$19,T84*$J$19*(1-$O$19),0)</f>
        <v>0</v>
      </c>
      <c r="V88" s="123" t="n">
        <f aca="false">IF(V$5=$N$19,U84*$J$19*(1-$O$19),0)</f>
        <v>0</v>
      </c>
      <c r="W88" s="123" t="n">
        <f aca="false">IF(W$5=$N$19,V84*$J$19*(1-$O$19),0)</f>
        <v>0</v>
      </c>
      <c r="X88" s="123" t="n">
        <f aca="false">IF(X$5=$N$19,W84*$J$19*(1-$O$19),0)</f>
        <v>0</v>
      </c>
      <c r="Y88" s="123" t="n">
        <f aca="false">IF(Y$5=$N$19,X84*$J$19*(1-$O$19),0)</f>
        <v>0</v>
      </c>
      <c r="Z88" s="123" t="n">
        <f aca="false">IF(Z$5=$N$19,Y84*$J$19*(1-$O$19),0)</f>
        <v>0</v>
      </c>
      <c r="AA88" s="123" t="n">
        <f aca="false">IF(AA$5=$N$19,Z84*$J$19*(1-$O$19),0)</f>
        <v>0</v>
      </c>
      <c r="AB88" s="123" t="n">
        <f aca="false">IF(AB$5=$N$19,AA84*$J$19*(1-$O$19),0)</f>
        <v>0</v>
      </c>
      <c r="AC88" s="123" t="n">
        <f aca="false">IF(AC$5=$N$19,AB84*$J$19*(1-$O$19),0)</f>
        <v>0</v>
      </c>
      <c r="AD88" s="123" t="n">
        <f aca="false">IF(AD$5=$N$19,AC84*$J$19*(1-$O$19),0)</f>
        <v>0</v>
      </c>
      <c r="AE88" s="123" t="n">
        <f aca="false">IF(AE$5=$N$19,AD84*$J$19*(1-$O$19),0)</f>
        <v>0</v>
      </c>
      <c r="AF88" s="123" t="n">
        <f aca="false">IF(AF$5=$N$19,AE84*$J$19*(1-$O$19),0)</f>
        <v>0</v>
      </c>
      <c r="AG88" s="123" t="n">
        <f aca="false">IF(AG$5=$N$19,AF84*$J$19*(1-$O$19),0)</f>
        <v>0</v>
      </c>
      <c r="AI88" s="123" t="n">
        <f aca="false">SUMIF($F$7:$AG$7,AI$7,$F88:$AG88)</f>
        <v>0</v>
      </c>
      <c r="AJ88" s="123" t="n">
        <f aca="false">SUMIF($F$7:$AG$7,AJ$7,$F88:$AG88)</f>
        <v>0</v>
      </c>
      <c r="AK88" s="123" t="n">
        <f aca="false">SUMIF($F$7:$AG$7,AK$7,$F88:$AG88)</f>
        <v>0</v>
      </c>
      <c r="AL88" s="123" t="n">
        <f aca="false">SUMIF($F$7:$AG$7,AL$7,$F88:$AG88)</f>
        <v>0</v>
      </c>
      <c r="AM88" s="123" t="n">
        <f aca="false">SUMIF($F$7:$AG$7,AM$7,$F88:$AG88)</f>
        <v>0</v>
      </c>
      <c r="AN88" s="123" t="n">
        <f aca="false">SUMIF($F$7:$AG$7,AN$7,$F88:$AG88)</f>
        <v>0</v>
      </c>
      <c r="AO88" s="123" t="n">
        <f aca="false">SUMIF($F$7:$AG$7,AO$7,$F88:$AG88)</f>
        <v>0</v>
      </c>
    </row>
    <row r="89" customFormat="false" ht="15" hidden="false" customHeight="false" outlineLevel="0" collapsed="false">
      <c r="A89" s="104" t="s">
        <v>2101</v>
      </c>
      <c r="B89" s="20" t="s">
        <v>995</v>
      </c>
      <c r="C89" s="20" t="s">
        <v>550</v>
      </c>
      <c r="D89" s="20"/>
      <c r="F89" s="137" t="n">
        <f aca="false">IF(F$5=$N$19,E84*$K$19/1000*$O$19,0)</f>
        <v>0</v>
      </c>
      <c r="G89" s="137" t="n">
        <f aca="false">IF(G$5=$N$19,F84*$K$19/1000*$O$19,0)</f>
        <v>0</v>
      </c>
      <c r="H89" s="137" t="n">
        <f aca="false">IF(H$5=$N$19,G84*$K$19/1000*$O$19,0)</f>
        <v>0</v>
      </c>
      <c r="I89" s="137" t="n">
        <f aca="false">IF(I$5=$N$19,H84*$K$19/1000*$O$19,0)</f>
        <v>0</v>
      </c>
      <c r="J89" s="137" t="n">
        <f aca="false">IF(J$5=$N$19,I84*$K$19/1000*$O$19,0)</f>
        <v>0</v>
      </c>
      <c r="K89" s="137" t="n">
        <f aca="false">IF(K$5=$N$19,J84*$K$19/1000*$O$19,0)</f>
        <v>0</v>
      </c>
      <c r="L89" s="137" t="n">
        <f aca="false">IF(L$5=$N$19,K84*$K$19/1000*$O$19,0)</f>
        <v>0</v>
      </c>
      <c r="M89" s="137" t="n">
        <f aca="false">IF(M$5=$N$19,L84*$K$19/1000*$O$19,0)</f>
        <v>0</v>
      </c>
      <c r="N89" s="137" t="n">
        <f aca="false">IF(N$5=$N$19,M84*$K$19/1000*$O$19,0)</f>
        <v>0</v>
      </c>
      <c r="O89" s="137" t="n">
        <f aca="false">IF(O$5=$N$19,N84*$K$19/1000*$O$19,0)</f>
        <v>0</v>
      </c>
      <c r="P89" s="42" t="n">
        <f aca="false">IF(P$5=$N$19,O84*$K$19/1000*$O$19,0)</f>
        <v>0</v>
      </c>
      <c r="Q89" s="42" t="n">
        <f aca="false">IF(Q$5=$N$19,P84*$K$19/1000*$O$19,0)</f>
        <v>0</v>
      </c>
      <c r="R89" s="42" t="n">
        <f aca="false">IF(R$5=$N$19,Q84*$K$19/1000*$O$19,0)</f>
        <v>0</v>
      </c>
      <c r="S89" s="42" t="n">
        <f aca="false">IF(S$5=$N$19,R84*$K$19/1000*$O$19,0)</f>
        <v>0</v>
      </c>
      <c r="T89" s="42" t="n">
        <f aca="false">IF(T$5=$N$19,S84*$K$19/1000*$O$19,0)</f>
        <v>0</v>
      </c>
      <c r="U89" s="42" t="n">
        <f aca="false">IF(U$5=$N$19,T84*$K$19/1000*$O$19,0)</f>
        <v>0</v>
      </c>
      <c r="V89" s="42" t="n">
        <f aca="false">IF(V$5=$N$19,U84*$K$19/1000*$O$19,0)</f>
        <v>0</v>
      </c>
      <c r="W89" s="42" t="n">
        <f aca="false">IF(W$5=$N$19,V84*$K$19/1000*$O$19,0)</f>
        <v>0</v>
      </c>
      <c r="X89" s="42" t="n">
        <f aca="false">IF(X$5=$N$19,W84*$K$19/1000*$O$19,0)</f>
        <v>0</v>
      </c>
      <c r="Y89" s="42" t="n">
        <f aca="false">IF(Y$5=$N$19,X84*$K$19/1000*$O$19,0)</f>
        <v>0</v>
      </c>
      <c r="Z89" s="42" t="n">
        <f aca="false">IF(Z$5=$N$19,Y84*$K$19/1000*$O$19,0)</f>
        <v>0</v>
      </c>
      <c r="AA89" s="42" t="n">
        <f aca="false">IF(AA$5=$N$19,Z84*$K$19/1000*$O$19,0)</f>
        <v>0</v>
      </c>
      <c r="AB89" s="42" t="n">
        <f aca="false">IF(AB$5=$N$19,AA84*$K$19/1000*$O$19,0)</f>
        <v>0</v>
      </c>
      <c r="AC89" s="42" t="n">
        <f aca="false">IF(AC$5=$N$19,AB84*$K$19/1000*$O$19,0)</f>
        <v>0</v>
      </c>
      <c r="AD89" s="42" t="n">
        <f aca="false">IF(AD$5=$N$19,AC84*$K$19/1000*$O$19,0)</f>
        <v>0</v>
      </c>
      <c r="AE89" s="42" t="n">
        <f aca="false">IF(AE$5=$N$19,AD84*$K$19/1000*$O$19,0)</f>
        <v>0</v>
      </c>
      <c r="AF89" s="42" t="n">
        <f aca="false">IF(AF$5=$N$19,AE84*$K$19/1000*$O$19,0)</f>
        <v>0</v>
      </c>
      <c r="AG89" s="42" t="n">
        <f aca="false">IF(AG$5=$N$19,AF84*$K$19/1000*$O$19,0)</f>
        <v>0</v>
      </c>
      <c r="AI89" s="42" t="n">
        <f aca="false">SUMIF($F$7:$AG$7,AI$7,$F89:$AG89)</f>
        <v>0</v>
      </c>
      <c r="AJ89" s="42" t="n">
        <f aca="false">SUMIF($F$7:$AG$7,AJ$7,$F89:$AG89)</f>
        <v>0</v>
      </c>
      <c r="AK89" s="42" t="n">
        <f aca="false">SUMIF($F$7:$AG$7,AK$7,$F89:$AG89)</f>
        <v>0</v>
      </c>
      <c r="AL89" s="42" t="n">
        <f aca="false">SUMIF($F$7:$AG$7,AL$7,$F89:$AG89)</f>
        <v>0</v>
      </c>
      <c r="AM89" s="42" t="n">
        <f aca="false">SUMIF($F$7:$AG$7,AM$7,$F89:$AG89)</f>
        <v>0</v>
      </c>
      <c r="AN89" s="42" t="n">
        <f aca="false">SUMIF($F$7:$AG$7,AN$7,$F89:$AG89)</f>
        <v>0</v>
      </c>
      <c r="AO89" s="42" t="n">
        <f aca="false">SUMIF($F$7:$AG$7,AO$7,$F89:$AG89)</f>
        <v>0</v>
      </c>
    </row>
    <row r="90" customFormat="false" ht="15" hidden="false" customHeight="false" outlineLevel="0" collapsed="false">
      <c r="A90" s="104" t="s">
        <v>2102</v>
      </c>
      <c r="B90" s="20" t="s">
        <v>995</v>
      </c>
      <c r="C90" s="20" t="s">
        <v>495</v>
      </c>
      <c r="D90" s="20"/>
      <c r="F90" s="137" t="n">
        <f aca="false">IF(DilMethod=3,MAX(0,F84*$K$19/1000*DilPx-F87)/DilPx,F84*$K$19/1000*$P$19)</f>
        <v>0</v>
      </c>
      <c r="G90" s="137" t="n">
        <f aca="false">IF(DilMethod=3,MAX(0,G84*$K$19/1000*DilPx-G87)/DilPx,G84*$K$19/1000*$P$19)</f>
        <v>0</v>
      </c>
      <c r="H90" s="137" t="n">
        <f aca="false">IF(DilMethod=3,MAX(0,H84*$K$19/1000*DilPx-H87)/DilPx,H84*$K$19/1000*$P$19)</f>
        <v>0</v>
      </c>
      <c r="I90" s="137" t="n">
        <f aca="false">IF(DilMethod=3,MAX(0,I84*$K$19/1000*DilPx-I87)/DilPx,I84*$K$19/1000*$P$19)</f>
        <v>0</v>
      </c>
      <c r="J90" s="137" t="n">
        <f aca="false">IF(DilMethod=3,MAX(0,J84*$K$19/1000*DilPx-J87)/DilPx,J84*$K$19/1000*$P$19)</f>
        <v>0</v>
      </c>
      <c r="K90" s="137" t="n">
        <f aca="false">IF(DilMethod=3,MAX(0,K84*$K$19/1000*DilPx-K87)/DilPx,K84*$K$19/1000*$P$19)</f>
        <v>0</v>
      </c>
      <c r="L90" s="137" t="n">
        <f aca="false">IF(DilMethod=3,MAX(0,L84*$K$19/1000*DilPx-L87)/DilPx,L84*$K$19/1000*$P$19)</f>
        <v>0</v>
      </c>
      <c r="M90" s="137" t="n">
        <f aca="false">IF(DilMethod=3,MAX(0,M84*$K$19/1000*DilPx-M87)/DilPx,M84*$K$19/1000*$P$19)</f>
        <v>0</v>
      </c>
      <c r="N90" s="137" t="n">
        <f aca="false">IF(DilMethod=3,MAX(0,N84*$K$19/1000*DilPx-N87)/DilPx,N84*$K$19/1000*$P$19)</f>
        <v>0</v>
      </c>
      <c r="O90" s="137" t="n">
        <f aca="false">IF(DilMethod=3,MAX(0,O84*$K$19/1000*DilPx-O87)/DilPx,O84*$K$19/1000*$P$19)</f>
        <v>0</v>
      </c>
      <c r="P90" s="42" t="n">
        <f aca="false">IF(DilMethod=3,MAX(0,P84*$K$19/1000*DilPx-P87)/DilPx,P84*$K$19/1000*$P$19)</f>
        <v>0</v>
      </c>
      <c r="Q90" s="42" t="n">
        <f aca="false">IF(DilMethod=3,MAX(0,Q84*$K$19/1000*DilPx-Q87)/DilPx,Q84*$K$19/1000*$P$19)</f>
        <v>0</v>
      </c>
      <c r="R90" s="42" t="n">
        <f aca="false">IF(DilMethod=3,MAX(0,R84*$K$19/1000*DilPx-R87)/DilPx,R84*$K$19/1000*$P$19)</f>
        <v>0</v>
      </c>
      <c r="S90" s="42" t="n">
        <f aca="false">IF(DilMethod=3,MAX(0,S84*$K$19/1000*DilPx-S87)/DilPx,S84*$K$19/1000*$P$19)</f>
        <v>0</v>
      </c>
      <c r="T90" s="42" t="n">
        <f aca="false">IF(DilMethod=3,MAX(0,T84*$K$19/1000*DilPx-T87)/DilPx,T84*$K$19/1000*$P$19)</f>
        <v>0</v>
      </c>
      <c r="U90" s="42" t="n">
        <f aca="false">IF(DilMethod=3,MAX(0,U84*$K$19/1000*DilPx-U87)/DilPx,U84*$K$19/1000*$P$19)</f>
        <v>0</v>
      </c>
      <c r="V90" s="42" t="n">
        <f aca="false">IF(DilMethod=3,MAX(0,V84*$K$19/1000*DilPx-V87)/DilPx,V84*$K$19/1000*$P$19)</f>
        <v>0</v>
      </c>
      <c r="W90" s="42" t="n">
        <f aca="false">IF(DilMethod=3,MAX(0,W84*$K$19/1000*DilPx-W87)/DilPx,W84*$K$19/1000*$P$19)</f>
        <v>0</v>
      </c>
      <c r="X90" s="42" t="n">
        <f aca="false">IF(DilMethod=3,MAX(0,X84*$K$19/1000*DilPx-X87)/DilPx,X84*$K$19/1000*$P$19)</f>
        <v>0</v>
      </c>
      <c r="Y90" s="42" t="n">
        <f aca="false">IF(DilMethod=3,MAX(0,Y84*$K$19/1000*DilPx-Y87)/DilPx,Y84*$K$19/1000*$P$19)</f>
        <v>0</v>
      </c>
      <c r="Z90" s="42" t="n">
        <f aca="false">IF(DilMethod=3,MAX(0,Z84*$K$19/1000*DilPx-Z87)/DilPx,Z84*$K$19/1000*$P$19)</f>
        <v>0</v>
      </c>
      <c r="AA90" s="42" t="n">
        <f aca="false">IF(DilMethod=3,MAX(0,AA84*$K$19/1000*DilPx-AA87)/DilPx,AA84*$K$19/1000*$P$19)</f>
        <v>0</v>
      </c>
      <c r="AB90" s="42" t="n">
        <f aca="false">IF(DilMethod=3,MAX(0,AB84*$K$19/1000*DilPx-AB87)/DilPx,AB84*$K$19/1000*$P$19)</f>
        <v>0</v>
      </c>
      <c r="AC90" s="42" t="n">
        <f aca="false">IF(DilMethod=3,MAX(0,AC84*$K$19/1000*DilPx-AC87)/DilPx,AC84*$K$19/1000*$P$19)</f>
        <v>0</v>
      </c>
      <c r="AD90" s="42" t="n">
        <f aca="false">IF(DilMethod=3,MAX(0,AD84*$K$19/1000*DilPx-AD87)/DilPx,AD84*$K$19/1000*$P$19)</f>
        <v>0</v>
      </c>
      <c r="AE90" s="42" t="n">
        <f aca="false">IF(DilMethod=3,MAX(0,AE84*$K$19/1000*DilPx-AE87)/DilPx,AE84*$K$19/1000*$P$19)</f>
        <v>0</v>
      </c>
      <c r="AF90" s="42" t="n">
        <f aca="false">IF(DilMethod=3,MAX(0,AF84*$K$19/1000*DilPx-AF87)/DilPx,AF84*$K$19/1000*$P$19)</f>
        <v>0</v>
      </c>
      <c r="AG90" s="42" t="n">
        <f aca="false">IF(DilMethod=3,MAX(0,AG84*$K$19/1000*DilPx-AG87)/DilPx,AG84*$K$19/1000*$P$19)</f>
        <v>0</v>
      </c>
      <c r="AI90" s="42" t="n">
        <f aca="false">INDEX($F90:$AG90,1,MATCH(AI$7,$F$7:$AG$7,1))</f>
        <v>0</v>
      </c>
      <c r="AJ90" s="42" t="n">
        <f aca="false">INDEX($F90:$AG90,1,MATCH(AJ$7,$F$7:$AG$7,1))</f>
        <v>0</v>
      </c>
      <c r="AK90" s="42" t="n">
        <f aca="false">INDEX($F90:$AG90,1,MATCH(AK$7,$F$7:$AG$7,1))</f>
        <v>0</v>
      </c>
      <c r="AL90" s="42" t="n">
        <f aca="false">INDEX($F90:$AG90,1,MATCH(AL$7,$F$7:$AG$7,1))</f>
        <v>0</v>
      </c>
      <c r="AM90" s="42" t="n">
        <f aca="false">INDEX($F90:$AG90,1,MATCH(AM$7,$F$7:$AG$7,1))</f>
        <v>0</v>
      </c>
      <c r="AN90" s="42" t="n">
        <f aca="false">INDEX($F90:$AG90,1,MATCH(AN$7,$F$7:$AG$7,1))</f>
        <v>0</v>
      </c>
      <c r="AO90" s="42" t="n">
        <f aca="false">INDEX($F90:$AG90,1,MATCH(AO$7,$F$7:$AG$7,1))</f>
        <v>0</v>
      </c>
    </row>
    <row r="91" customFormat="false" ht="15" hidden="false" customHeight="false" outlineLevel="0" collapsed="false">
      <c r="A91" s="104" t="s">
        <v>2103</v>
      </c>
      <c r="B91" s="20" t="s">
        <v>561</v>
      </c>
      <c r="C91" s="20" t="s">
        <v>495</v>
      </c>
      <c r="D91" s="20"/>
      <c r="F91" s="122" t="n">
        <f aca="false">F87*IF(DilMethod=3,1,1-$P$19)</f>
        <v>0</v>
      </c>
      <c r="G91" s="122" t="n">
        <f aca="false">G87*IF(DilMethod=3,1,1-$P$19)</f>
        <v>0</v>
      </c>
      <c r="H91" s="122" t="n">
        <f aca="false">H87*IF(DilMethod=3,1,1-$P$19)</f>
        <v>0</v>
      </c>
      <c r="I91" s="122" t="n">
        <f aca="false">I87*IF(DilMethod=3,1,1-$P$19)</f>
        <v>0</v>
      </c>
      <c r="J91" s="122" t="n">
        <f aca="false">J87*IF(DilMethod=3,1,1-$P$19)</f>
        <v>0</v>
      </c>
      <c r="K91" s="122" t="n">
        <f aca="false">K87*IF(DilMethod=3,1,1-$P$19)</f>
        <v>0</v>
      </c>
      <c r="L91" s="122" t="n">
        <f aca="false">L87*IF(DilMethod=3,1,1-$P$19)</f>
        <v>0</v>
      </c>
      <c r="M91" s="122" t="n">
        <f aca="false">M87*IF(DilMethod=3,1,1-$P$19)</f>
        <v>0</v>
      </c>
      <c r="N91" s="122" t="n">
        <f aca="false">N87*IF(DilMethod=3,1,1-$P$19)</f>
        <v>0</v>
      </c>
      <c r="O91" s="122" t="n">
        <f aca="false">O87*IF(DilMethod=3,1,1-$P$19)</f>
        <v>0</v>
      </c>
      <c r="P91" s="123" t="n">
        <f aca="false">P87*IF(DilMethod=3,1,1-$P$19)</f>
        <v>2307.78733528551</v>
      </c>
      <c r="Q91" s="123" t="n">
        <f aca="false">Q87*IF(DilMethod=3,1,1-$P$19)</f>
        <v>2327.15043923865</v>
      </c>
      <c r="R91" s="123" t="n">
        <f aca="false">R87*IF(DilMethod=3,1,1-$P$19)</f>
        <v>2346.09260614934</v>
      </c>
      <c r="S91" s="123" t="n">
        <f aca="false">S87*IF(DilMethod=3,1,1-$P$19)</f>
        <v>2365.24524158126</v>
      </c>
      <c r="T91" s="123" t="n">
        <f aca="false">T87*IF(DilMethod=3,1,1-$P$19)</f>
        <v>2384.60834553441</v>
      </c>
      <c r="U91" s="123" t="n">
        <f aca="false">U87*IF(DilMethod=3,1,1-$P$19)</f>
        <v>2403.97144948756</v>
      </c>
      <c r="V91" s="123" t="n">
        <f aca="false">V87*IF(DilMethod=3,1,1-$P$19)</f>
        <v>2423.12408491947</v>
      </c>
      <c r="W91" s="123" t="n">
        <f aca="false">W87*IF(DilMethod=3,1,1-$P$19)</f>
        <v>2442.27672035139</v>
      </c>
      <c r="X91" s="123" t="n">
        <f aca="false">X87*IF(DilMethod=3,1,1-$P$19)</f>
        <v>2461.63982430454</v>
      </c>
      <c r="Y91" s="123" t="n">
        <f aca="false">Y87*IF(DilMethod=3,1,1-$P$19)</f>
        <v>2481.00292825769</v>
      </c>
      <c r="Z91" s="123" t="n">
        <f aca="false">Z87*IF(DilMethod=3,1,1-$P$19)</f>
        <v>2499.94509516838</v>
      </c>
      <c r="AA91" s="123" t="n">
        <f aca="false">AA87*IF(DilMethod=3,1,1-$P$19)</f>
        <v>2519.09773060029</v>
      </c>
      <c r="AB91" s="123" t="n">
        <f aca="false">AB87*IF(DilMethod=3,1,1-$P$19)</f>
        <v>2538.46083455344</v>
      </c>
      <c r="AC91" s="123" t="n">
        <f aca="false">AC87*IF(DilMethod=3,1,1-$P$19)</f>
        <v>2557.82393850659</v>
      </c>
      <c r="AD91" s="123" t="n">
        <f aca="false">AD87*IF(DilMethod=3,1,1-$P$19)</f>
        <v>2576.76610541728</v>
      </c>
      <c r="AE91" s="123" t="n">
        <f aca="false">AE87*IF(DilMethod=3,1,1-$P$19)</f>
        <v>2595.9187408492</v>
      </c>
      <c r="AF91" s="123" t="n">
        <f aca="false">AF87*IF(DilMethod=3,1,1-$P$19)</f>
        <v>2615.28184480234</v>
      </c>
      <c r="AG91" s="123" t="n">
        <f aca="false">AG87*IF(DilMethod=3,1,1-$P$19)</f>
        <v>2634.64494875549</v>
      </c>
      <c r="AI91" s="123" t="n">
        <f aca="false">INDEX($F91:$AG91,1,MATCH(AI$7,$F$7:$AG$7,1))</f>
        <v>0</v>
      </c>
      <c r="AJ91" s="123" t="n">
        <f aca="false">INDEX($F91:$AG91,1,MATCH(AJ$7,$F$7:$AG$7,1))</f>
        <v>0</v>
      </c>
      <c r="AK91" s="123" t="n">
        <f aca="false">INDEX($F91:$AG91,1,MATCH(AK$7,$F$7:$AG$7,1))</f>
        <v>2327.15043923865</v>
      </c>
      <c r="AL91" s="123" t="n">
        <f aca="false">INDEX($F91:$AG91,1,MATCH(AL$7,$F$7:$AG$7,1))</f>
        <v>2403.97144948756</v>
      </c>
      <c r="AM91" s="123" t="n">
        <f aca="false">INDEX($F91:$AG91,1,MATCH(AM$7,$F$7:$AG$7,1))</f>
        <v>2481.00292825769</v>
      </c>
      <c r="AN91" s="123" t="n">
        <f aca="false">INDEX($F91:$AG91,1,MATCH(AN$7,$F$7:$AG$7,1))</f>
        <v>2557.82393850659</v>
      </c>
      <c r="AO91" s="123" t="n">
        <f aca="false">INDEX($F91:$AG91,1,MATCH(AO$7,$F$7:$AG$7,1))</f>
        <v>2634.64494875549</v>
      </c>
    </row>
    <row r="92" customFormat="false" ht="15" hidden="false" customHeight="false" outlineLevel="0" collapsed="false">
      <c r="A92" s="104" t="s">
        <v>2104</v>
      </c>
      <c r="B92" s="20" t="s">
        <v>561</v>
      </c>
      <c r="C92" s="20" t="s">
        <v>550</v>
      </c>
      <c r="D92" s="20"/>
      <c r="F92" s="122" t="n">
        <f aca="false">IF(AND(F$5&gt;=$M$20,F$5&lt;$N$20),$E$20-$F$20-IF(F$5&gt;=$H$20,$G$20,0),0)*($H$20&lt;&gt;0)+IF(AND(F$5&gt;=$M$20,F$5&lt;$N$20),$E$20-$F$20,0)*($H$20=0)</f>
        <v>0</v>
      </c>
      <c r="G92" s="122" t="n">
        <f aca="false">IF(AND(G$5&gt;=$M$20,G$5&lt;$N$20),$E$20-$F$20-IF(G$5&gt;=$H$20,$G$20,0),0)*($H$20&lt;&gt;0)+IF(AND(G$5&gt;=$M$20,G$5&lt;$N$20),$E$20-$F$20,0)*($H$20=0)</f>
        <v>0</v>
      </c>
      <c r="H92" s="122" t="n">
        <f aca="false">IF(AND(H$5&gt;=$M$20,H$5&lt;$N$20),$E$20-$F$20-IF(H$5&gt;=$H$20,$G$20,0),0)*($H$20&lt;&gt;0)+IF(AND(H$5&gt;=$M$20,H$5&lt;$N$20),$E$20-$F$20,0)*($H$20=0)</f>
        <v>0</v>
      </c>
      <c r="I92" s="122" t="n">
        <f aca="false">IF(AND(I$5&gt;=$M$20,I$5&lt;$N$20),$E$20-$F$20-IF(I$5&gt;=$H$20,$G$20,0),0)*($H$20&lt;&gt;0)+IF(AND(I$5&gt;=$M$20,I$5&lt;$N$20),$E$20-$F$20,0)*($H$20=0)</f>
        <v>0</v>
      </c>
      <c r="J92" s="122" t="n">
        <f aca="false">IF(AND(J$5&gt;=$M$20,J$5&lt;$N$20),$E$20-$F$20-IF(J$5&gt;=$H$20,$G$20,0),0)*($H$20&lt;&gt;0)+IF(AND(J$5&gt;=$M$20,J$5&lt;$N$20),$E$20-$F$20,0)*($H$20=0)</f>
        <v>0</v>
      </c>
      <c r="K92" s="122" t="n">
        <f aca="false">IF(AND(K$5&gt;=$M$20,K$5&lt;$N$20),$E$20-$F$20-IF(K$5&gt;=$H$20,$G$20,0),0)*($H$20&lt;&gt;0)+IF(AND(K$5&gt;=$M$20,K$5&lt;$N$20),$E$20-$F$20,0)*($H$20=0)</f>
        <v>0</v>
      </c>
      <c r="L92" s="122" t="n">
        <f aca="false">IF(AND(L$5&gt;=$M$20,L$5&lt;$N$20),$E$20-$F$20-IF(L$5&gt;=$H$20,$G$20,0),0)*($H$20&lt;&gt;0)+IF(AND(L$5&gt;=$M$20,L$5&lt;$N$20),$E$20-$F$20,0)*($H$20=0)</f>
        <v>0</v>
      </c>
      <c r="M92" s="122" t="n">
        <f aca="false">IF(AND(M$5&gt;=$M$20,M$5&lt;$N$20),$E$20-$F$20-IF(M$5&gt;=$H$20,$G$20,0),0)*($H$20&lt;&gt;0)+IF(AND(M$5&gt;=$M$20,M$5&lt;$N$20),$E$20-$F$20,0)*($H$20=0)</f>
        <v>0</v>
      </c>
      <c r="N92" s="122" t="n">
        <f aca="false">IF(AND(N$5&gt;=$M$20,N$5&lt;$N$20),$E$20-$F$20-IF(N$5&gt;=$H$20,$G$20,0),0)*($H$20&lt;&gt;0)+IF(AND(N$5&gt;=$M$20,N$5&lt;$N$20),$E$20-$F$20,0)*($H$20=0)</f>
        <v>0</v>
      </c>
      <c r="O92" s="122" t="n">
        <f aca="false">IF(AND(O$5&gt;=$M$20,O$5&lt;$N$20),$E$20-$F$20-IF(O$5&gt;=$H$20,$G$20,0),0)*($H$20&lt;&gt;0)+IF(AND(O$5&gt;=$M$20,O$5&lt;$N$20),$E$20-$F$20,0)*($H$20=0)</f>
        <v>0</v>
      </c>
      <c r="P92" s="123" t="n">
        <f aca="false">IF(AND(P$5&gt;=$M$20,P$5&lt;$N$20),$E$20-$F$20-IF(P$5&gt;=$H$20,$G$20,0),0)*($H$20&lt;&gt;0)+IF(AND(P$5&gt;=$M$20,P$5&lt;$N$20),$E$20-$F$20,0)*($H$20=0)</f>
        <v>0</v>
      </c>
      <c r="Q92" s="123" t="n">
        <f aca="false">IF(AND(Q$5&gt;=$M$20,Q$5&lt;$N$20),$E$20-$F$20-IF(Q$5&gt;=$H$20,$G$20,0),0)*($H$20&lt;&gt;0)+IF(AND(Q$5&gt;=$M$20,Q$5&lt;$N$20),$E$20-$F$20,0)*($H$20=0)</f>
        <v>0</v>
      </c>
      <c r="R92" s="123" t="n">
        <f aca="false">IF(AND(R$5&gt;=$M$20,R$5&lt;$N$20),$E$20-$F$20-IF(R$5&gt;=$H$20,$G$20,0),0)*($H$20&lt;&gt;0)+IF(AND(R$5&gt;=$M$20,R$5&lt;$N$20),$E$20-$F$20,0)*($H$20=0)</f>
        <v>3840</v>
      </c>
      <c r="S92" s="123" t="n">
        <f aca="false">IF(AND(S$5&gt;=$M$20,S$5&lt;$N$20),$E$20-$F$20-IF(S$5&gt;=$H$20,$G$20,0),0)*($H$20&lt;&gt;0)+IF(AND(S$5&gt;=$M$20,S$5&lt;$N$20),$E$20-$F$20,0)*($H$20=0)</f>
        <v>3840</v>
      </c>
      <c r="T92" s="123" t="n">
        <f aca="false">IF(AND(T$5&gt;=$M$20,T$5&lt;$N$20),$E$20-$F$20-IF(T$5&gt;=$H$20,$G$20,0),0)*($H$20&lt;&gt;0)+IF(AND(T$5&gt;=$M$20,T$5&lt;$N$20),$E$20-$F$20,0)*($H$20=0)</f>
        <v>3840</v>
      </c>
      <c r="U92" s="123" t="n">
        <f aca="false">IF(AND(U$5&gt;=$M$20,U$5&lt;$N$20),$E$20-$F$20-IF(U$5&gt;=$H$20,$G$20,0),0)*($H$20&lt;&gt;0)+IF(AND(U$5&gt;=$M$20,U$5&lt;$N$20),$E$20-$F$20,0)*($H$20=0)</f>
        <v>3840</v>
      </c>
      <c r="V92" s="123" t="n">
        <f aca="false">IF(AND(V$5&gt;=$M$20,V$5&lt;$N$20),$E$20-$F$20-IF(V$5&gt;=$H$20,$G$20,0),0)*($H$20&lt;&gt;0)+IF(AND(V$5&gt;=$M$20,V$5&lt;$N$20),$E$20-$F$20,0)*($H$20=0)</f>
        <v>3840</v>
      </c>
      <c r="W92" s="123" t="n">
        <f aca="false">IF(AND(W$5&gt;=$M$20,W$5&lt;$N$20),$E$20-$F$20-IF(W$5&gt;=$H$20,$G$20,0),0)*($H$20&lt;&gt;0)+IF(AND(W$5&gt;=$M$20,W$5&lt;$N$20),$E$20-$F$20,0)*($H$20=0)</f>
        <v>3840</v>
      </c>
      <c r="X92" s="123" t="n">
        <f aca="false">IF(AND(X$5&gt;=$M$20,X$5&lt;$N$20),$E$20-$F$20-IF(X$5&gt;=$H$20,$G$20,0),0)*($H$20&lt;&gt;0)+IF(AND(X$5&gt;=$M$20,X$5&lt;$N$20),$E$20-$F$20,0)*($H$20=0)</f>
        <v>3840</v>
      </c>
      <c r="Y92" s="123" t="n">
        <f aca="false">IF(AND(Y$5&gt;=$M$20,Y$5&lt;$N$20),$E$20-$F$20-IF(Y$5&gt;=$H$20,$G$20,0),0)*($H$20&lt;&gt;0)+IF(AND(Y$5&gt;=$M$20,Y$5&lt;$N$20),$E$20-$F$20,0)*($H$20=0)</f>
        <v>3840</v>
      </c>
      <c r="Z92" s="123" t="n">
        <f aca="false">IF(AND(Z$5&gt;=$M$20,Z$5&lt;$N$20),$E$20-$F$20-IF(Z$5&gt;=$H$20,$G$20,0),0)*($H$20&lt;&gt;0)+IF(AND(Z$5&gt;=$M$20,Z$5&lt;$N$20),$E$20-$F$20,0)*($H$20=0)</f>
        <v>3840</v>
      </c>
      <c r="AA92" s="123" t="n">
        <f aca="false">IF(AND(AA$5&gt;=$M$20,AA$5&lt;$N$20),$E$20-$F$20-IF(AA$5&gt;=$H$20,$G$20,0),0)*($H$20&lt;&gt;0)+IF(AND(AA$5&gt;=$M$20,AA$5&lt;$N$20),$E$20-$F$20,0)*($H$20=0)</f>
        <v>3840</v>
      </c>
      <c r="AB92" s="123" t="n">
        <f aca="false">IF(AND(AB$5&gt;=$M$20,AB$5&lt;$N$20),$E$20-$F$20-IF(AB$5&gt;=$H$20,$G$20,0),0)*($H$20&lt;&gt;0)+IF(AND(AB$5&gt;=$M$20,AB$5&lt;$N$20),$E$20-$F$20,0)*($H$20=0)</f>
        <v>3840</v>
      </c>
      <c r="AC92" s="123" t="n">
        <f aca="false">IF(AND(AC$5&gt;=$M$20,AC$5&lt;$N$20),$E$20-$F$20-IF(AC$5&gt;=$H$20,$G$20,0),0)*($H$20&lt;&gt;0)+IF(AND(AC$5&gt;=$M$20,AC$5&lt;$N$20),$E$20-$F$20,0)*($H$20=0)</f>
        <v>3840</v>
      </c>
      <c r="AD92" s="123" t="n">
        <f aca="false">IF(AND(AD$5&gt;=$M$20,AD$5&lt;$N$20),$E$20-$F$20-IF(AD$5&gt;=$H$20,$G$20,0),0)*($H$20&lt;&gt;0)+IF(AND(AD$5&gt;=$M$20,AD$5&lt;$N$20),$E$20-$F$20,0)*($H$20=0)</f>
        <v>3840</v>
      </c>
      <c r="AE92" s="123" t="n">
        <f aca="false">IF(AND(AE$5&gt;=$M$20,AE$5&lt;$N$20),$E$20-$F$20-IF(AE$5&gt;=$H$20,$G$20,0),0)*($H$20&lt;&gt;0)+IF(AND(AE$5&gt;=$M$20,AE$5&lt;$N$20),$E$20-$F$20,0)*($H$20=0)</f>
        <v>3840</v>
      </c>
      <c r="AF92" s="123" t="n">
        <f aca="false">IF(AND(AF$5&gt;=$M$20,AF$5&lt;$N$20),$E$20-$F$20-IF(AF$5&gt;=$H$20,$G$20,0),0)*($H$20&lt;&gt;0)+IF(AND(AF$5&gt;=$M$20,AF$5&lt;$N$20),$E$20-$F$20,0)*($H$20=0)</f>
        <v>0</v>
      </c>
      <c r="AG92" s="123" t="n">
        <f aca="false">IF(AND(AG$5&gt;=$M$20,AG$5&lt;$N$20),$E$20-$F$20-IF(AG$5&gt;=$H$20,$G$20,0),0)*($H$20&lt;&gt;0)+IF(AND(AG$5&gt;=$M$20,AG$5&lt;$N$20),$E$20-$F$20,0)*($H$20=0)</f>
        <v>0</v>
      </c>
      <c r="AI92" s="123" t="n">
        <f aca="false">INDEX($F92:$AG92,1,MATCH(AI$7,$F$7:$AG$7,1))</f>
        <v>0</v>
      </c>
      <c r="AJ92" s="123" t="n">
        <f aca="false">INDEX($F92:$AG92,1,MATCH(AJ$7,$F$7:$AG$7,1))</f>
        <v>0</v>
      </c>
      <c r="AK92" s="123" t="n">
        <f aca="false">INDEX($F92:$AG92,1,MATCH(AK$7,$F$7:$AG$7,1))</f>
        <v>0</v>
      </c>
      <c r="AL92" s="123" t="n">
        <f aca="false">INDEX($F92:$AG92,1,MATCH(AL$7,$F$7:$AG$7,1))</f>
        <v>3840</v>
      </c>
      <c r="AM92" s="123" t="n">
        <f aca="false">INDEX($F92:$AG92,1,MATCH(AM$7,$F$7:$AG$7,1))</f>
        <v>3840</v>
      </c>
      <c r="AN92" s="123" t="n">
        <f aca="false">INDEX($F92:$AG92,1,MATCH(AN$7,$F$7:$AG$7,1))</f>
        <v>3840</v>
      </c>
      <c r="AO92" s="123" t="n">
        <f aca="false">INDEX($F92:$AG92,1,MATCH(AO$7,$F$7:$AG$7,1))</f>
        <v>0</v>
      </c>
    </row>
    <row r="93" customFormat="false" ht="15" hidden="false" customHeight="false" outlineLevel="0" collapsed="false">
      <c r="A93" s="104" t="s">
        <v>2105</v>
      </c>
      <c r="B93" s="20" t="s">
        <v>561</v>
      </c>
      <c r="C93" s="20" t="s">
        <v>550</v>
      </c>
      <c r="D93" s="20"/>
      <c r="F93" s="122" t="n">
        <f aca="false">F92*$C$20/4</f>
        <v>0</v>
      </c>
      <c r="G93" s="122" t="n">
        <f aca="false">G92*$C$20/4</f>
        <v>0</v>
      </c>
      <c r="H93" s="122" t="n">
        <f aca="false">H92*$C$20/4</f>
        <v>0</v>
      </c>
      <c r="I93" s="122" t="n">
        <f aca="false">I92*$C$20/4</f>
        <v>0</v>
      </c>
      <c r="J93" s="122" t="n">
        <f aca="false">J92*$C$20/4</f>
        <v>0</v>
      </c>
      <c r="K93" s="122" t="n">
        <f aca="false">K92*$C$20/4</f>
        <v>0</v>
      </c>
      <c r="L93" s="122" t="n">
        <f aca="false">L92*$C$20/4</f>
        <v>0</v>
      </c>
      <c r="M93" s="122" t="n">
        <f aca="false">M92*$C$20/4</f>
        <v>0</v>
      </c>
      <c r="N93" s="122" t="n">
        <f aca="false">N92*$C$20/4</f>
        <v>0</v>
      </c>
      <c r="O93" s="122" t="n">
        <f aca="false">O92*$C$20/4</f>
        <v>0</v>
      </c>
      <c r="P93" s="123" t="n">
        <f aca="false">P92*$C$20/4</f>
        <v>0</v>
      </c>
      <c r="Q93" s="123" t="n">
        <f aca="false">Q92*$C$20/4</f>
        <v>0</v>
      </c>
      <c r="R93" s="123" t="n">
        <f aca="false">R92*$C$20/4</f>
        <v>4.8</v>
      </c>
      <c r="S93" s="123" t="n">
        <f aca="false">S92*$C$20/4</f>
        <v>4.8</v>
      </c>
      <c r="T93" s="123" t="n">
        <f aca="false">T92*$C$20/4</f>
        <v>4.8</v>
      </c>
      <c r="U93" s="123" t="n">
        <f aca="false">U92*$C$20/4</f>
        <v>4.8</v>
      </c>
      <c r="V93" s="123" t="n">
        <f aca="false">V92*$C$20/4</f>
        <v>4.8</v>
      </c>
      <c r="W93" s="123" t="n">
        <f aca="false">W92*$C$20/4</f>
        <v>4.8</v>
      </c>
      <c r="X93" s="123" t="n">
        <f aca="false">X92*$C$20/4</f>
        <v>4.8</v>
      </c>
      <c r="Y93" s="123" t="n">
        <f aca="false">Y92*$C$20/4</f>
        <v>4.8</v>
      </c>
      <c r="Z93" s="123" t="n">
        <f aca="false">Z92*$C$20/4</f>
        <v>4.8</v>
      </c>
      <c r="AA93" s="123" t="n">
        <f aca="false">AA92*$C$20/4</f>
        <v>4.8</v>
      </c>
      <c r="AB93" s="123" t="n">
        <f aca="false">AB92*$C$20/4</f>
        <v>4.8</v>
      </c>
      <c r="AC93" s="123" t="n">
        <f aca="false">AC92*$C$20/4</f>
        <v>4.8</v>
      </c>
      <c r="AD93" s="123" t="n">
        <f aca="false">AD92*$C$20/4</f>
        <v>4.8</v>
      </c>
      <c r="AE93" s="123" t="n">
        <f aca="false">AE92*$C$20/4</f>
        <v>4.8</v>
      </c>
      <c r="AF93" s="123" t="n">
        <f aca="false">AF92*$C$20/4</f>
        <v>0</v>
      </c>
      <c r="AG93" s="123" t="n">
        <f aca="false">AG92*$C$20/4</f>
        <v>0</v>
      </c>
      <c r="AI93" s="123" t="n">
        <f aca="false">SUMIF($F$7:$AG$7,AI$7,$F93:$AG93)</f>
        <v>0</v>
      </c>
      <c r="AJ93" s="123" t="n">
        <f aca="false">SUMIF($F$7:$AG$7,AJ$7,$F93:$AG93)</f>
        <v>0</v>
      </c>
      <c r="AK93" s="123" t="n">
        <f aca="false">SUMIF($F$7:$AG$7,AK$7,$F93:$AG93)</f>
        <v>0</v>
      </c>
      <c r="AL93" s="123" t="n">
        <f aca="false">SUMIF($F$7:$AG$7,AL$7,$F93:$AG93)</f>
        <v>19.2</v>
      </c>
      <c r="AM93" s="123" t="n">
        <f aca="false">SUMIF($F$7:$AG$7,AM$7,$F93:$AG93)</f>
        <v>19.2</v>
      </c>
      <c r="AN93" s="123" t="n">
        <f aca="false">SUMIF($F$7:$AG$7,AN$7,$F93:$AG93)</f>
        <v>19.2</v>
      </c>
      <c r="AO93" s="123" t="n">
        <f aca="false">SUMIF($F$7:$AG$7,AO$7,$F93:$AG93)</f>
        <v>9.6</v>
      </c>
    </row>
    <row r="94" customFormat="false" ht="15" hidden="false" customHeight="false" outlineLevel="0" collapsed="false">
      <c r="A94" s="104" t="s">
        <v>2106</v>
      </c>
      <c r="B94" s="20" t="s">
        <v>561</v>
      </c>
      <c r="C94" s="20" t="s">
        <v>550</v>
      </c>
      <c r="D94" s="20"/>
      <c r="F94" s="122" t="n">
        <f aca="false">F92*($J$20-1)/(($D$20-$B$20)/91.3125)</f>
        <v>0</v>
      </c>
      <c r="G94" s="122" t="n">
        <f aca="false">G92*($J$20-1)/(($D$20-$B$20)/91.3125)</f>
        <v>0</v>
      </c>
      <c r="H94" s="122" t="n">
        <f aca="false">H92*($J$20-1)/(($D$20-$B$20)/91.3125)</f>
        <v>0</v>
      </c>
      <c r="I94" s="122" t="n">
        <f aca="false">I92*($J$20-1)/(($D$20-$B$20)/91.3125)</f>
        <v>0</v>
      </c>
      <c r="J94" s="122" t="n">
        <f aca="false">J92*($J$20-1)/(($D$20-$B$20)/91.3125)</f>
        <v>0</v>
      </c>
      <c r="K94" s="122" t="n">
        <f aca="false">K92*($J$20-1)/(($D$20-$B$20)/91.3125)</f>
        <v>0</v>
      </c>
      <c r="L94" s="122" t="n">
        <f aca="false">L92*($J$20-1)/(($D$20-$B$20)/91.3125)</f>
        <v>0</v>
      </c>
      <c r="M94" s="122" t="n">
        <f aca="false">M92*($J$20-1)/(($D$20-$B$20)/91.3125)</f>
        <v>0</v>
      </c>
      <c r="N94" s="122" t="n">
        <f aca="false">N92*($J$20-1)/(($D$20-$B$20)/91.3125)</f>
        <v>0</v>
      </c>
      <c r="O94" s="122" t="n">
        <f aca="false">O92*($J$20-1)/(($D$20-$B$20)/91.3125)</f>
        <v>0</v>
      </c>
      <c r="P94" s="123" t="n">
        <f aca="false">P92*($J$20-1)/(($D$20-$B$20)/91.3125)</f>
        <v>0</v>
      </c>
      <c r="Q94" s="123" t="n">
        <f aca="false">Q92*($J$20-1)/(($D$20-$B$20)/91.3125)</f>
        <v>0</v>
      </c>
      <c r="R94" s="123" t="n">
        <f aca="false">R92*($J$20-1)/(($D$20-$B$20)/91.3125)</f>
        <v>27.4581049334378</v>
      </c>
      <c r="S94" s="123" t="n">
        <f aca="false">S92*($J$20-1)/(($D$20-$B$20)/91.3125)</f>
        <v>27.4581049334378</v>
      </c>
      <c r="T94" s="123" t="n">
        <f aca="false">T92*($J$20-1)/(($D$20-$B$20)/91.3125)</f>
        <v>27.4581049334378</v>
      </c>
      <c r="U94" s="123" t="n">
        <f aca="false">U92*($J$20-1)/(($D$20-$B$20)/91.3125)</f>
        <v>27.4581049334378</v>
      </c>
      <c r="V94" s="123" t="n">
        <f aca="false">V92*($J$20-1)/(($D$20-$B$20)/91.3125)</f>
        <v>27.4581049334378</v>
      </c>
      <c r="W94" s="123" t="n">
        <f aca="false">W92*($J$20-1)/(($D$20-$B$20)/91.3125)</f>
        <v>27.4581049334378</v>
      </c>
      <c r="X94" s="123" t="n">
        <f aca="false">X92*($J$20-1)/(($D$20-$B$20)/91.3125)</f>
        <v>27.4581049334378</v>
      </c>
      <c r="Y94" s="123" t="n">
        <f aca="false">Y92*($J$20-1)/(($D$20-$B$20)/91.3125)</f>
        <v>27.4581049334378</v>
      </c>
      <c r="Z94" s="123" t="n">
        <f aca="false">Z92*($J$20-1)/(($D$20-$B$20)/91.3125)</f>
        <v>27.4581049334378</v>
      </c>
      <c r="AA94" s="123" t="n">
        <f aca="false">AA92*($J$20-1)/(($D$20-$B$20)/91.3125)</f>
        <v>27.4581049334378</v>
      </c>
      <c r="AB94" s="123" t="n">
        <f aca="false">AB92*($J$20-1)/(($D$20-$B$20)/91.3125)</f>
        <v>27.4581049334378</v>
      </c>
      <c r="AC94" s="123" t="n">
        <f aca="false">AC92*($J$20-1)/(($D$20-$B$20)/91.3125)</f>
        <v>27.4581049334378</v>
      </c>
      <c r="AD94" s="123" t="n">
        <f aca="false">AD92*($J$20-1)/(($D$20-$B$20)/91.3125)</f>
        <v>27.4581049334378</v>
      </c>
      <c r="AE94" s="123" t="n">
        <f aca="false">AE92*($J$20-1)/(($D$20-$B$20)/91.3125)</f>
        <v>27.4581049334378</v>
      </c>
      <c r="AF94" s="123" t="n">
        <f aca="false">AF92*($J$20-1)/(($D$20-$B$20)/91.3125)</f>
        <v>0</v>
      </c>
      <c r="AG94" s="123" t="n">
        <f aca="false">AG92*($J$20-1)/(($D$20-$B$20)/91.3125)</f>
        <v>0</v>
      </c>
      <c r="AI94" s="123" t="n">
        <f aca="false">SUMIF($F$7:$AG$7,AI$7,$F94:$AG94)</f>
        <v>0</v>
      </c>
      <c r="AJ94" s="123" t="n">
        <f aca="false">SUMIF($F$7:$AG$7,AJ$7,$F94:$AG94)</f>
        <v>0</v>
      </c>
      <c r="AK94" s="123" t="n">
        <f aca="false">SUMIF($F$7:$AG$7,AK$7,$F94:$AG94)</f>
        <v>0</v>
      </c>
      <c r="AL94" s="123" t="n">
        <f aca="false">SUMIF($F$7:$AG$7,AL$7,$F94:$AG94)</f>
        <v>109.832419733751</v>
      </c>
      <c r="AM94" s="123" t="n">
        <f aca="false">SUMIF($F$7:$AG$7,AM$7,$F94:$AG94)</f>
        <v>109.832419733751</v>
      </c>
      <c r="AN94" s="123" t="n">
        <f aca="false">SUMIF($F$7:$AG$7,AN$7,$F94:$AG94)</f>
        <v>109.832419733751</v>
      </c>
      <c r="AO94" s="123" t="n">
        <f aca="false">SUMIF($F$7:$AG$7,AO$7,$F94:$AG94)</f>
        <v>54.9162098668755</v>
      </c>
    </row>
    <row r="95" customFormat="false" ht="15" hidden="false" customHeight="false" outlineLevel="0" collapsed="false">
      <c r="A95" s="104" t="s">
        <v>2107</v>
      </c>
      <c r="B95" s="20" t="s">
        <v>561</v>
      </c>
      <c r="C95" s="20" t="s">
        <v>550</v>
      </c>
      <c r="D95" s="20"/>
      <c r="F95" s="122" t="n">
        <f aca="false">F92*(1+($J$20-1)*MIN(1,MAX(0,(F$4-$B$20)/($D$20-$B$20))))</f>
        <v>0</v>
      </c>
      <c r="G95" s="122" t="n">
        <f aca="false">G92*(1+($J$20-1)*MIN(1,MAX(0,(G$4-$B$20)/($D$20-$B$20))))</f>
        <v>0</v>
      </c>
      <c r="H95" s="122" t="n">
        <f aca="false">H92*(1+($J$20-1)*MIN(1,MAX(0,(H$4-$B$20)/($D$20-$B$20))))</f>
        <v>0</v>
      </c>
      <c r="I95" s="122" t="n">
        <f aca="false">I92*(1+($J$20-1)*MIN(1,MAX(0,(I$4-$B$20)/($D$20-$B$20))))</f>
        <v>0</v>
      </c>
      <c r="J95" s="122" t="n">
        <f aca="false">J92*(1+($J$20-1)*MIN(1,MAX(0,(J$4-$B$20)/($D$20-$B$20))))</f>
        <v>0</v>
      </c>
      <c r="K95" s="122" t="n">
        <f aca="false">K92*(1+($J$20-1)*MIN(1,MAX(0,(K$4-$B$20)/($D$20-$B$20))))</f>
        <v>0</v>
      </c>
      <c r="L95" s="122" t="n">
        <f aca="false">L92*(1+($J$20-1)*MIN(1,MAX(0,(L$4-$B$20)/($D$20-$B$20))))</f>
        <v>0</v>
      </c>
      <c r="M95" s="122" t="n">
        <f aca="false">M92*(1+($J$20-1)*MIN(1,MAX(0,(M$4-$B$20)/($D$20-$B$20))))</f>
        <v>0</v>
      </c>
      <c r="N95" s="122" t="n">
        <f aca="false">N92*(1+($J$20-1)*MIN(1,MAX(0,(N$4-$B$20)/($D$20-$B$20))))</f>
        <v>0</v>
      </c>
      <c r="O95" s="122" t="n">
        <f aca="false">O92*(1+($J$20-1)*MIN(1,MAX(0,(O$4-$B$20)/($D$20-$B$20))))</f>
        <v>0</v>
      </c>
      <c r="P95" s="123" t="n">
        <f aca="false">P92*(1+($J$20-1)*MIN(1,MAX(0,(P$4-$B$20)/($D$20-$B$20))))</f>
        <v>0</v>
      </c>
      <c r="Q95" s="123" t="n">
        <f aca="false">Q92*(1+($J$20-1)*MIN(1,MAX(0,(Q$4-$B$20)/($D$20-$B$20))))</f>
        <v>0</v>
      </c>
      <c r="R95" s="123" t="n">
        <f aca="false">R92*(1+($J$20-1)*MIN(1,MAX(0,(R$4-$B$20)/($D$20-$B$20))))</f>
        <v>3853.53171495693</v>
      </c>
      <c r="S95" s="123" t="n">
        <f aca="false">S92*(1+($J$20-1)*MIN(1,MAX(0,(S$4-$B$20)/($D$20-$B$20))))</f>
        <v>3880.89584964761</v>
      </c>
      <c r="T95" s="123" t="n">
        <f aca="false">T92*(1+($J$20-1)*MIN(1,MAX(0,(T$4-$B$20)/($D$20-$B$20))))</f>
        <v>3908.56068911511</v>
      </c>
      <c r="U95" s="123" t="n">
        <f aca="false">U92*(1+($J$20-1)*MIN(1,MAX(0,(U$4-$B$20)/($D$20-$B$20))))</f>
        <v>3936.22552858262</v>
      </c>
      <c r="V95" s="123" t="n">
        <f aca="false">V92*(1+($J$20-1)*MIN(1,MAX(0,(V$4-$B$20)/($D$20-$B$20))))</f>
        <v>3963.5896632733</v>
      </c>
      <c r="W95" s="123" t="n">
        <f aca="false">W92*(1+($J$20-1)*MIN(1,MAX(0,(W$4-$B$20)/($D$20-$B$20))))</f>
        <v>3990.95379796398</v>
      </c>
      <c r="X95" s="123" t="n">
        <f aca="false">X92*(1+($J$20-1)*MIN(1,MAX(0,(X$4-$B$20)/($D$20-$B$20))))</f>
        <v>4018.61863743148</v>
      </c>
      <c r="Y95" s="123" t="n">
        <f aca="false">Y92*(1+($J$20-1)*MIN(1,MAX(0,(Y$4-$B$20)/($D$20-$B$20))))</f>
        <v>4046.28347689898</v>
      </c>
      <c r="Z95" s="123" t="n">
        <f aca="false">Z92*(1+($J$20-1)*MIN(1,MAX(0,(Z$4-$B$20)/($D$20-$B$20))))</f>
        <v>4073.34690681284</v>
      </c>
      <c r="AA95" s="123" t="n">
        <f aca="false">AA92*(1+($J$20-1)*MIN(1,MAX(0,(AA$4-$B$20)/($D$20-$B$20))))</f>
        <v>4100.71104150352</v>
      </c>
      <c r="AB95" s="123" t="n">
        <f aca="false">AB92*(1+($J$20-1)*MIN(1,MAX(0,(AB$4-$B$20)/($D$20-$B$20))))</f>
        <v>4128.37588097103</v>
      </c>
      <c r="AC95" s="123" t="n">
        <f aca="false">AC92*(1+($J$20-1)*MIN(1,MAX(0,(AC$4-$B$20)/($D$20-$B$20))))</f>
        <v>4156.04072043853</v>
      </c>
      <c r="AD95" s="123" t="n">
        <f aca="false">AD92*(1+($J$20-1)*MIN(1,MAX(0,(AD$4-$B$20)/($D$20-$B$20))))</f>
        <v>4183.10415035239</v>
      </c>
      <c r="AE95" s="123" t="n">
        <f aca="false">AE92*(1+($J$20-1)*MIN(1,MAX(0,(AE$4-$B$20)/($D$20-$B$20))))</f>
        <v>4210.46828504307</v>
      </c>
      <c r="AF95" s="123" t="n">
        <f aca="false">AF92*(1+($J$20-1)*MIN(1,MAX(0,(AF$4-$B$20)/($D$20-$B$20))))</f>
        <v>0</v>
      </c>
      <c r="AG95" s="123" t="n">
        <f aca="false">AG92*(1+($J$20-1)*MIN(1,MAX(0,(AG$4-$B$20)/($D$20-$B$20))))</f>
        <v>0</v>
      </c>
      <c r="AI95" s="123" t="n">
        <f aca="false">INDEX($F95:$AG95,1,MATCH(AI$7,$F$7:$AG$7,1))</f>
        <v>0</v>
      </c>
      <c r="AJ95" s="123" t="n">
        <f aca="false">INDEX($F95:$AG95,1,MATCH(AJ$7,$F$7:$AG$7,1))</f>
        <v>0</v>
      </c>
      <c r="AK95" s="123" t="n">
        <f aca="false">INDEX($F95:$AG95,1,MATCH(AK$7,$F$7:$AG$7,1))</f>
        <v>0</v>
      </c>
      <c r="AL95" s="123" t="n">
        <f aca="false">INDEX($F95:$AG95,1,MATCH(AL$7,$F$7:$AG$7,1))</f>
        <v>3936.22552858262</v>
      </c>
      <c r="AM95" s="123" t="n">
        <f aca="false">INDEX($F95:$AG95,1,MATCH(AM$7,$F$7:$AG$7,1))</f>
        <v>4046.28347689898</v>
      </c>
      <c r="AN95" s="123" t="n">
        <f aca="false">INDEX($F95:$AG95,1,MATCH(AN$7,$F$7:$AG$7,1))</f>
        <v>4156.04072043853</v>
      </c>
      <c r="AO95" s="123" t="n">
        <f aca="false">INDEX($F95:$AG95,1,MATCH(AO$7,$F$7:$AG$7,1))</f>
        <v>0</v>
      </c>
    </row>
    <row r="96" customFormat="false" ht="15" hidden="false" customHeight="false" outlineLevel="0" collapsed="false">
      <c r="A96" s="104" t="s">
        <v>2108</v>
      </c>
      <c r="B96" s="20" t="s">
        <v>561</v>
      </c>
      <c r="C96" s="20" t="s">
        <v>550</v>
      </c>
      <c r="D96" s="20"/>
      <c r="F96" s="122" t="n">
        <f aca="false">IF(F$5=$N$20,E92*$J$20*(1-$O$20),0)</f>
        <v>0</v>
      </c>
      <c r="G96" s="122" t="n">
        <f aca="false">IF(G$5=$N$20,F92*$J$20*(1-$O$20),0)</f>
        <v>0</v>
      </c>
      <c r="H96" s="122" t="n">
        <f aca="false">IF(H$5=$N$20,G92*$J$20*(1-$O$20),0)</f>
        <v>0</v>
      </c>
      <c r="I96" s="122" t="n">
        <f aca="false">IF(I$5=$N$20,H92*$J$20*(1-$O$20),0)</f>
        <v>0</v>
      </c>
      <c r="J96" s="122" t="n">
        <f aca="false">IF(J$5=$N$20,I92*$J$20*(1-$O$20),0)</f>
        <v>0</v>
      </c>
      <c r="K96" s="122" t="n">
        <f aca="false">IF(K$5=$N$20,J92*$J$20*(1-$O$20),0)</f>
        <v>0</v>
      </c>
      <c r="L96" s="122" t="n">
        <f aca="false">IF(L$5=$N$20,K92*$J$20*(1-$O$20),0)</f>
        <v>0</v>
      </c>
      <c r="M96" s="122" t="n">
        <f aca="false">IF(M$5=$N$20,L92*$J$20*(1-$O$20),0)</f>
        <v>0</v>
      </c>
      <c r="N96" s="122" t="n">
        <f aca="false">IF(N$5=$N$20,M92*$J$20*(1-$O$20),0)</f>
        <v>0</v>
      </c>
      <c r="O96" s="122" t="n">
        <f aca="false">IF(O$5=$N$20,N92*$J$20*(1-$O$20),0)</f>
        <v>0</v>
      </c>
      <c r="P96" s="123" t="n">
        <f aca="false">IF(P$5=$N$20,O92*$J$20*(1-$O$20),0)</f>
        <v>0</v>
      </c>
      <c r="Q96" s="123" t="n">
        <f aca="false">IF(Q$5=$N$20,P92*$J$20*(1-$O$20),0)</f>
        <v>0</v>
      </c>
      <c r="R96" s="123" t="n">
        <f aca="false">IF(R$5=$N$20,Q92*$J$20*(1-$O$20),0)</f>
        <v>0</v>
      </c>
      <c r="S96" s="123" t="n">
        <f aca="false">IF(S$5=$N$20,R92*$J$20*(1-$O$20),0)</f>
        <v>0</v>
      </c>
      <c r="T96" s="123" t="n">
        <f aca="false">IF(T$5=$N$20,S92*$J$20*(1-$O$20),0)</f>
        <v>0</v>
      </c>
      <c r="U96" s="123" t="n">
        <f aca="false">IF(U$5=$N$20,T92*$J$20*(1-$O$20),0)</f>
        <v>0</v>
      </c>
      <c r="V96" s="123" t="n">
        <f aca="false">IF(V$5=$N$20,U92*$J$20*(1-$O$20),0)</f>
        <v>0</v>
      </c>
      <c r="W96" s="123" t="n">
        <f aca="false">IF(W$5=$N$20,V92*$J$20*(1-$O$20),0)</f>
        <v>0</v>
      </c>
      <c r="X96" s="123" t="n">
        <f aca="false">IF(X$5=$N$20,W92*$J$20*(1-$O$20),0)</f>
        <v>0</v>
      </c>
      <c r="Y96" s="123" t="n">
        <f aca="false">IF(Y$5=$N$20,X92*$J$20*(1-$O$20),0)</f>
        <v>0</v>
      </c>
      <c r="Z96" s="123" t="n">
        <f aca="false">IF(Z$5=$N$20,Y92*$J$20*(1-$O$20),0)</f>
        <v>0</v>
      </c>
      <c r="AA96" s="123" t="n">
        <f aca="false">IF(AA$5=$N$20,Z92*$J$20*(1-$O$20),0)</f>
        <v>0</v>
      </c>
      <c r="AB96" s="123" t="n">
        <f aca="false">IF(AB$5=$N$20,AA92*$J$20*(1-$O$20),0)</f>
        <v>0</v>
      </c>
      <c r="AC96" s="123" t="n">
        <f aca="false">IF(AC$5=$N$20,AB92*$J$20*(1-$O$20),0)</f>
        <v>0</v>
      </c>
      <c r="AD96" s="123" t="n">
        <f aca="false">IF(AD$5=$N$20,AC92*$J$20*(1-$O$20),0)</f>
        <v>0</v>
      </c>
      <c r="AE96" s="123" t="n">
        <f aca="false">IF(AE$5=$N$20,AD92*$J$20*(1-$O$20),0)</f>
        <v>0</v>
      </c>
      <c r="AF96" s="123" t="n">
        <f aca="false">IF(AF$5=$N$20,AE92*$J$20*(1-$O$20),0)</f>
        <v>4224</v>
      </c>
      <c r="AG96" s="123" t="n">
        <f aca="false">IF(AG$5=$N$20,AF92*$J$20*(1-$O$20),0)</f>
        <v>0</v>
      </c>
      <c r="AI96" s="123" t="n">
        <f aca="false">SUMIF($F$7:$AG$7,AI$7,$F96:$AG96)</f>
        <v>0</v>
      </c>
      <c r="AJ96" s="123" t="n">
        <f aca="false">SUMIF($F$7:$AG$7,AJ$7,$F96:$AG96)</f>
        <v>0</v>
      </c>
      <c r="AK96" s="123" t="n">
        <f aca="false">SUMIF($F$7:$AG$7,AK$7,$F96:$AG96)</f>
        <v>0</v>
      </c>
      <c r="AL96" s="123" t="n">
        <f aca="false">SUMIF($F$7:$AG$7,AL$7,$F96:$AG96)</f>
        <v>0</v>
      </c>
      <c r="AM96" s="123" t="n">
        <f aca="false">SUMIF($F$7:$AG$7,AM$7,$F96:$AG96)</f>
        <v>0</v>
      </c>
      <c r="AN96" s="123" t="n">
        <f aca="false">SUMIF($F$7:$AG$7,AN$7,$F96:$AG96)</f>
        <v>0</v>
      </c>
      <c r="AO96" s="123" t="n">
        <f aca="false">SUMIF($F$7:$AG$7,AO$7,$F96:$AG96)</f>
        <v>4224</v>
      </c>
    </row>
    <row r="97" customFormat="false" ht="15" hidden="false" customHeight="false" outlineLevel="0" collapsed="false">
      <c r="A97" s="104" t="s">
        <v>2109</v>
      </c>
      <c r="B97" s="20" t="s">
        <v>995</v>
      </c>
      <c r="C97" s="20" t="s">
        <v>550</v>
      </c>
      <c r="D97" s="20"/>
      <c r="F97" s="137" t="n">
        <f aca="false">IF(F$5=$N$20,E92*$K$20/1000*$O$20,0)</f>
        <v>0</v>
      </c>
      <c r="G97" s="137" t="n">
        <f aca="false">IF(G$5=$N$20,F92*$K$20/1000*$O$20,0)</f>
        <v>0</v>
      </c>
      <c r="H97" s="137" t="n">
        <f aca="false">IF(H$5=$N$20,G92*$K$20/1000*$O$20,0)</f>
        <v>0</v>
      </c>
      <c r="I97" s="137" t="n">
        <f aca="false">IF(I$5=$N$20,H92*$K$20/1000*$O$20,0)</f>
        <v>0</v>
      </c>
      <c r="J97" s="137" t="n">
        <f aca="false">IF(J$5=$N$20,I92*$K$20/1000*$O$20,0)</f>
        <v>0</v>
      </c>
      <c r="K97" s="137" t="n">
        <f aca="false">IF(K$5=$N$20,J92*$K$20/1000*$O$20,0)</f>
        <v>0</v>
      </c>
      <c r="L97" s="137" t="n">
        <f aca="false">IF(L$5=$N$20,K92*$K$20/1000*$O$20,0)</f>
        <v>0</v>
      </c>
      <c r="M97" s="137" t="n">
        <f aca="false">IF(M$5=$N$20,L92*$K$20/1000*$O$20,0)</f>
        <v>0</v>
      </c>
      <c r="N97" s="137" t="n">
        <f aca="false">IF(N$5=$N$20,M92*$K$20/1000*$O$20,0)</f>
        <v>0</v>
      </c>
      <c r="O97" s="137" t="n">
        <f aca="false">IF(O$5=$N$20,N92*$K$20/1000*$O$20,0)</f>
        <v>0</v>
      </c>
      <c r="P97" s="42" t="n">
        <f aca="false">IF(P$5=$N$20,O92*$K$20/1000*$O$20,0)</f>
        <v>0</v>
      </c>
      <c r="Q97" s="42" t="n">
        <f aca="false">IF(Q$5=$N$20,P92*$K$20/1000*$O$20,0)</f>
        <v>0</v>
      </c>
      <c r="R97" s="42" t="n">
        <f aca="false">IF(R$5=$N$20,Q92*$K$20/1000*$O$20,0)</f>
        <v>0</v>
      </c>
      <c r="S97" s="42" t="n">
        <f aca="false">IF(S$5=$N$20,R92*$K$20/1000*$O$20,0)</f>
        <v>0</v>
      </c>
      <c r="T97" s="42" t="n">
        <f aca="false">IF(T$5=$N$20,S92*$K$20/1000*$O$20,0)</f>
        <v>0</v>
      </c>
      <c r="U97" s="42" t="n">
        <f aca="false">IF(U$5=$N$20,T92*$K$20/1000*$O$20,0)</f>
        <v>0</v>
      </c>
      <c r="V97" s="42" t="n">
        <f aca="false">IF(V$5=$N$20,U92*$K$20/1000*$O$20,0)</f>
        <v>0</v>
      </c>
      <c r="W97" s="42" t="n">
        <f aca="false">IF(W$5=$N$20,V92*$K$20/1000*$O$20,0)</f>
        <v>0</v>
      </c>
      <c r="X97" s="42" t="n">
        <f aca="false">IF(X$5=$N$20,W92*$K$20/1000*$O$20,0)</f>
        <v>0</v>
      </c>
      <c r="Y97" s="42" t="n">
        <f aca="false">IF(Y$5=$N$20,X92*$K$20/1000*$O$20,0)</f>
        <v>0</v>
      </c>
      <c r="Z97" s="42" t="n">
        <f aca="false">IF(Z$5=$N$20,Y92*$K$20/1000*$O$20,0)</f>
        <v>0</v>
      </c>
      <c r="AA97" s="42" t="n">
        <f aca="false">IF(AA$5=$N$20,Z92*$K$20/1000*$O$20,0)</f>
        <v>0</v>
      </c>
      <c r="AB97" s="42" t="n">
        <f aca="false">IF(AB$5=$N$20,AA92*$K$20/1000*$O$20,0)</f>
        <v>0</v>
      </c>
      <c r="AC97" s="42" t="n">
        <f aca="false">IF(AC$5=$N$20,AB92*$K$20/1000*$O$20,0)</f>
        <v>0</v>
      </c>
      <c r="AD97" s="42" t="n">
        <f aca="false">IF(AD$5=$N$20,AC92*$K$20/1000*$O$20,0)</f>
        <v>0</v>
      </c>
      <c r="AE97" s="42" t="n">
        <f aca="false">IF(AE$5=$N$20,AD92*$K$20/1000*$O$20,0)</f>
        <v>0</v>
      </c>
      <c r="AF97" s="42" t="n">
        <f aca="false">IF(AF$5=$N$20,AE92*$K$20/1000*$O$20,0)</f>
        <v>0</v>
      </c>
      <c r="AG97" s="42" t="n">
        <f aca="false">IF(AG$5=$N$20,AF92*$K$20/1000*$O$20,0)</f>
        <v>0</v>
      </c>
      <c r="AI97" s="42" t="n">
        <f aca="false">SUMIF($F$7:$AG$7,AI$7,$F97:$AG97)</f>
        <v>0</v>
      </c>
      <c r="AJ97" s="42" t="n">
        <f aca="false">SUMIF($F$7:$AG$7,AJ$7,$F97:$AG97)</f>
        <v>0</v>
      </c>
      <c r="AK97" s="42" t="n">
        <f aca="false">SUMIF($F$7:$AG$7,AK$7,$F97:$AG97)</f>
        <v>0</v>
      </c>
      <c r="AL97" s="42" t="n">
        <f aca="false">SUMIF($F$7:$AG$7,AL$7,$F97:$AG97)</f>
        <v>0</v>
      </c>
      <c r="AM97" s="42" t="n">
        <f aca="false">SUMIF($F$7:$AG$7,AM$7,$F97:$AG97)</f>
        <v>0</v>
      </c>
      <c r="AN97" s="42" t="n">
        <f aca="false">SUMIF($F$7:$AG$7,AN$7,$F97:$AG97)</f>
        <v>0</v>
      </c>
      <c r="AO97" s="42" t="n">
        <f aca="false">SUMIF($F$7:$AG$7,AO$7,$F97:$AG97)</f>
        <v>0</v>
      </c>
    </row>
    <row r="98" customFormat="false" ht="15" hidden="false" customHeight="false" outlineLevel="0" collapsed="false">
      <c r="A98" s="104" t="s">
        <v>2110</v>
      </c>
      <c r="B98" s="20" t="s">
        <v>995</v>
      </c>
      <c r="C98" s="20" t="s">
        <v>495</v>
      </c>
      <c r="D98" s="20"/>
      <c r="F98" s="137" t="n">
        <f aca="false">IF(DilMethod=3,MAX(0,F92*$K$20/1000*DilPx-F95)/DilPx,F92*$K$20/1000*$P$20)</f>
        <v>0</v>
      </c>
      <c r="G98" s="137" t="n">
        <f aca="false">IF(DilMethod=3,MAX(0,G92*$K$20/1000*DilPx-G95)/DilPx,G92*$K$20/1000*$P$20)</f>
        <v>0</v>
      </c>
      <c r="H98" s="137" t="n">
        <f aca="false">IF(DilMethod=3,MAX(0,H92*$K$20/1000*DilPx-H95)/DilPx,H92*$K$20/1000*$P$20)</f>
        <v>0</v>
      </c>
      <c r="I98" s="137" t="n">
        <f aca="false">IF(DilMethod=3,MAX(0,I92*$K$20/1000*DilPx-I95)/DilPx,I92*$K$20/1000*$P$20)</f>
        <v>0</v>
      </c>
      <c r="J98" s="137" t="n">
        <f aca="false">IF(DilMethod=3,MAX(0,J92*$K$20/1000*DilPx-J95)/DilPx,J92*$K$20/1000*$P$20)</f>
        <v>0</v>
      </c>
      <c r="K98" s="137" t="n">
        <f aca="false">IF(DilMethod=3,MAX(0,K92*$K$20/1000*DilPx-K95)/DilPx,K92*$K$20/1000*$P$20)</f>
        <v>0</v>
      </c>
      <c r="L98" s="137" t="n">
        <f aca="false">IF(DilMethod=3,MAX(0,L92*$K$20/1000*DilPx-L95)/DilPx,L92*$K$20/1000*$P$20)</f>
        <v>0</v>
      </c>
      <c r="M98" s="137" t="n">
        <f aca="false">IF(DilMethod=3,MAX(0,M92*$K$20/1000*DilPx-M95)/DilPx,M92*$K$20/1000*$P$20)</f>
        <v>0</v>
      </c>
      <c r="N98" s="137" t="n">
        <f aca="false">IF(DilMethod=3,MAX(0,N92*$K$20/1000*DilPx-N95)/DilPx,N92*$K$20/1000*$P$20)</f>
        <v>0</v>
      </c>
      <c r="O98" s="137" t="n">
        <f aca="false">IF(DilMethod=3,MAX(0,O92*$K$20/1000*DilPx-O95)/DilPx,O92*$K$20/1000*$P$20)</f>
        <v>0</v>
      </c>
      <c r="P98" s="42" t="n">
        <f aca="false">IF(DilMethod=3,MAX(0,P92*$K$20/1000*DilPx-P95)/DilPx,P92*$K$20/1000*$P$20)</f>
        <v>0</v>
      </c>
      <c r="Q98" s="42" t="n">
        <f aca="false">IF(DilMethod=3,MAX(0,Q92*$K$20/1000*DilPx-Q95)/DilPx,Q92*$K$20/1000*$P$20)</f>
        <v>0</v>
      </c>
      <c r="R98" s="42" t="n">
        <f aca="false">IF(DilMethod=3,MAX(0,R92*$K$20/1000*DilPx-R95)/DilPx,R92*$K$20/1000*$P$20)</f>
        <v>0</v>
      </c>
      <c r="S98" s="42" t="n">
        <f aca="false">IF(DilMethod=3,MAX(0,S92*$K$20/1000*DilPx-S95)/DilPx,S92*$K$20/1000*$P$20)</f>
        <v>0</v>
      </c>
      <c r="T98" s="42" t="n">
        <f aca="false">IF(DilMethod=3,MAX(0,T92*$K$20/1000*DilPx-T95)/DilPx,T92*$K$20/1000*$P$20)</f>
        <v>0</v>
      </c>
      <c r="U98" s="42" t="n">
        <f aca="false">IF(DilMethod=3,MAX(0,U92*$K$20/1000*DilPx-U95)/DilPx,U92*$K$20/1000*$P$20)</f>
        <v>0</v>
      </c>
      <c r="V98" s="42" t="n">
        <f aca="false">IF(DilMethod=3,MAX(0,V92*$K$20/1000*DilPx-V95)/DilPx,V92*$K$20/1000*$P$20)</f>
        <v>0</v>
      </c>
      <c r="W98" s="42" t="n">
        <f aca="false">IF(DilMethod=3,MAX(0,W92*$K$20/1000*DilPx-W95)/DilPx,W92*$K$20/1000*$P$20)</f>
        <v>0</v>
      </c>
      <c r="X98" s="42" t="n">
        <f aca="false">IF(DilMethod=3,MAX(0,X92*$K$20/1000*DilPx-X95)/DilPx,X92*$K$20/1000*$P$20)</f>
        <v>0</v>
      </c>
      <c r="Y98" s="42" t="n">
        <f aca="false">IF(DilMethod=3,MAX(0,Y92*$K$20/1000*DilPx-Y95)/DilPx,Y92*$K$20/1000*$P$20)</f>
        <v>0</v>
      </c>
      <c r="Z98" s="42" t="n">
        <f aca="false">IF(DilMethod=3,MAX(0,Z92*$K$20/1000*DilPx-Z95)/DilPx,Z92*$K$20/1000*$P$20)</f>
        <v>0</v>
      </c>
      <c r="AA98" s="42" t="n">
        <f aca="false">IF(DilMethod=3,MAX(0,AA92*$K$20/1000*DilPx-AA95)/DilPx,AA92*$K$20/1000*$P$20)</f>
        <v>0</v>
      </c>
      <c r="AB98" s="42" t="n">
        <f aca="false">IF(DilMethod=3,MAX(0,AB92*$K$20/1000*DilPx-AB95)/DilPx,AB92*$K$20/1000*$P$20)</f>
        <v>0</v>
      </c>
      <c r="AC98" s="42" t="n">
        <f aca="false">IF(DilMethod=3,MAX(0,AC92*$K$20/1000*DilPx-AC95)/DilPx,AC92*$K$20/1000*$P$20)</f>
        <v>0</v>
      </c>
      <c r="AD98" s="42" t="n">
        <f aca="false">IF(DilMethod=3,MAX(0,AD92*$K$20/1000*DilPx-AD95)/DilPx,AD92*$K$20/1000*$P$20)</f>
        <v>0</v>
      </c>
      <c r="AE98" s="42" t="n">
        <f aca="false">IF(DilMethod=3,MAX(0,AE92*$K$20/1000*DilPx-AE95)/DilPx,AE92*$K$20/1000*$P$20)</f>
        <v>0</v>
      </c>
      <c r="AF98" s="42" t="n">
        <f aca="false">IF(DilMethod=3,MAX(0,AF92*$K$20/1000*DilPx-AF95)/DilPx,AF92*$K$20/1000*$P$20)</f>
        <v>0</v>
      </c>
      <c r="AG98" s="42" t="n">
        <f aca="false">IF(DilMethod=3,MAX(0,AG92*$K$20/1000*DilPx-AG95)/DilPx,AG92*$K$20/1000*$P$20)</f>
        <v>0</v>
      </c>
      <c r="AI98" s="42" t="n">
        <f aca="false">INDEX($F98:$AG98,1,MATCH(AI$7,$F$7:$AG$7,1))</f>
        <v>0</v>
      </c>
      <c r="AJ98" s="42" t="n">
        <f aca="false">INDEX($F98:$AG98,1,MATCH(AJ$7,$F$7:$AG$7,1))</f>
        <v>0</v>
      </c>
      <c r="AK98" s="42" t="n">
        <f aca="false">INDEX($F98:$AG98,1,MATCH(AK$7,$F$7:$AG$7,1))</f>
        <v>0</v>
      </c>
      <c r="AL98" s="42" t="n">
        <f aca="false">INDEX($F98:$AG98,1,MATCH(AL$7,$F$7:$AG$7,1))</f>
        <v>0</v>
      </c>
      <c r="AM98" s="42" t="n">
        <f aca="false">INDEX($F98:$AG98,1,MATCH(AM$7,$F$7:$AG$7,1))</f>
        <v>0</v>
      </c>
      <c r="AN98" s="42" t="n">
        <f aca="false">INDEX($F98:$AG98,1,MATCH(AN$7,$F$7:$AG$7,1))</f>
        <v>0</v>
      </c>
      <c r="AO98" s="42" t="n">
        <f aca="false">INDEX($F98:$AG98,1,MATCH(AO$7,$F$7:$AG$7,1))</f>
        <v>0</v>
      </c>
    </row>
    <row r="99" customFormat="false" ht="15" hidden="false" customHeight="false" outlineLevel="0" collapsed="false">
      <c r="A99" s="104" t="s">
        <v>2111</v>
      </c>
      <c r="B99" s="20" t="s">
        <v>561</v>
      </c>
      <c r="C99" s="20" t="s">
        <v>495</v>
      </c>
      <c r="D99" s="20"/>
      <c r="F99" s="122" t="n">
        <f aca="false">F95*IF(DilMethod=3,1,1-$P$20)</f>
        <v>0</v>
      </c>
      <c r="G99" s="122" t="n">
        <f aca="false">G95*IF(DilMethod=3,1,1-$P$20)</f>
        <v>0</v>
      </c>
      <c r="H99" s="122" t="n">
        <f aca="false">H95*IF(DilMethod=3,1,1-$P$20)</f>
        <v>0</v>
      </c>
      <c r="I99" s="122" t="n">
        <f aca="false">I95*IF(DilMethod=3,1,1-$P$20)</f>
        <v>0</v>
      </c>
      <c r="J99" s="122" t="n">
        <f aca="false">J95*IF(DilMethod=3,1,1-$P$20)</f>
        <v>0</v>
      </c>
      <c r="K99" s="122" t="n">
        <f aca="false">K95*IF(DilMethod=3,1,1-$P$20)</f>
        <v>0</v>
      </c>
      <c r="L99" s="122" t="n">
        <f aca="false">L95*IF(DilMethod=3,1,1-$P$20)</f>
        <v>0</v>
      </c>
      <c r="M99" s="122" t="n">
        <f aca="false">M95*IF(DilMethod=3,1,1-$P$20)</f>
        <v>0</v>
      </c>
      <c r="N99" s="122" t="n">
        <f aca="false">N95*IF(DilMethod=3,1,1-$P$20)</f>
        <v>0</v>
      </c>
      <c r="O99" s="122" t="n">
        <f aca="false">O95*IF(DilMethod=3,1,1-$P$20)</f>
        <v>0</v>
      </c>
      <c r="P99" s="123" t="n">
        <f aca="false">P95*IF(DilMethod=3,1,1-$P$20)</f>
        <v>0</v>
      </c>
      <c r="Q99" s="123" t="n">
        <f aca="false">Q95*IF(DilMethod=3,1,1-$P$20)</f>
        <v>0</v>
      </c>
      <c r="R99" s="123" t="n">
        <f aca="false">R95*IF(DilMethod=3,1,1-$P$20)</f>
        <v>3853.53171495693</v>
      </c>
      <c r="S99" s="123" t="n">
        <f aca="false">S95*IF(DilMethod=3,1,1-$P$20)</f>
        <v>3880.89584964761</v>
      </c>
      <c r="T99" s="123" t="n">
        <f aca="false">T95*IF(DilMethod=3,1,1-$P$20)</f>
        <v>3908.56068911511</v>
      </c>
      <c r="U99" s="123" t="n">
        <f aca="false">U95*IF(DilMethod=3,1,1-$P$20)</f>
        <v>3936.22552858262</v>
      </c>
      <c r="V99" s="123" t="n">
        <f aca="false">V95*IF(DilMethod=3,1,1-$P$20)</f>
        <v>3963.5896632733</v>
      </c>
      <c r="W99" s="123" t="n">
        <f aca="false">W95*IF(DilMethod=3,1,1-$P$20)</f>
        <v>3990.95379796398</v>
      </c>
      <c r="X99" s="123" t="n">
        <f aca="false">X95*IF(DilMethod=3,1,1-$P$20)</f>
        <v>4018.61863743148</v>
      </c>
      <c r="Y99" s="123" t="n">
        <f aca="false">Y95*IF(DilMethod=3,1,1-$P$20)</f>
        <v>4046.28347689898</v>
      </c>
      <c r="Z99" s="123" t="n">
        <f aca="false">Z95*IF(DilMethod=3,1,1-$P$20)</f>
        <v>4073.34690681284</v>
      </c>
      <c r="AA99" s="123" t="n">
        <f aca="false">AA95*IF(DilMethod=3,1,1-$P$20)</f>
        <v>4100.71104150352</v>
      </c>
      <c r="AB99" s="123" t="n">
        <f aca="false">AB95*IF(DilMethod=3,1,1-$P$20)</f>
        <v>4128.37588097103</v>
      </c>
      <c r="AC99" s="123" t="n">
        <f aca="false">AC95*IF(DilMethod=3,1,1-$P$20)</f>
        <v>4156.04072043853</v>
      </c>
      <c r="AD99" s="123" t="n">
        <f aca="false">AD95*IF(DilMethod=3,1,1-$P$20)</f>
        <v>4183.10415035239</v>
      </c>
      <c r="AE99" s="123" t="n">
        <f aca="false">AE95*IF(DilMethod=3,1,1-$P$20)</f>
        <v>4210.46828504307</v>
      </c>
      <c r="AF99" s="123" t="n">
        <f aca="false">AF95*IF(DilMethod=3,1,1-$P$20)</f>
        <v>0</v>
      </c>
      <c r="AG99" s="123" t="n">
        <f aca="false">AG95*IF(DilMethod=3,1,1-$P$20)</f>
        <v>0</v>
      </c>
      <c r="AI99" s="123" t="n">
        <f aca="false">INDEX($F99:$AG99,1,MATCH(AI$7,$F$7:$AG$7,1))</f>
        <v>0</v>
      </c>
      <c r="AJ99" s="123" t="n">
        <f aca="false">INDEX($F99:$AG99,1,MATCH(AJ$7,$F$7:$AG$7,1))</f>
        <v>0</v>
      </c>
      <c r="AK99" s="123" t="n">
        <f aca="false">INDEX($F99:$AG99,1,MATCH(AK$7,$F$7:$AG$7,1))</f>
        <v>0</v>
      </c>
      <c r="AL99" s="123" t="n">
        <f aca="false">INDEX($F99:$AG99,1,MATCH(AL$7,$F$7:$AG$7,1))</f>
        <v>3936.22552858262</v>
      </c>
      <c r="AM99" s="123" t="n">
        <f aca="false">INDEX($F99:$AG99,1,MATCH(AM$7,$F$7:$AG$7,1))</f>
        <v>4046.28347689898</v>
      </c>
      <c r="AN99" s="123" t="n">
        <f aca="false">INDEX($F99:$AG99,1,MATCH(AN$7,$F$7:$AG$7,1))</f>
        <v>4156.04072043853</v>
      </c>
      <c r="AO99" s="123" t="n">
        <f aca="false">INDEX($F99:$AG99,1,MATCH(AO$7,$F$7:$AG$7,1))</f>
        <v>0</v>
      </c>
    </row>
    <row r="100" customFormat="false" ht="15" hidden="false" customHeight="false" outlineLevel="0" collapsed="false">
      <c r="A100" s="104" t="s">
        <v>2112</v>
      </c>
      <c r="B100" s="20" t="s">
        <v>561</v>
      </c>
      <c r="C100" s="20" t="s">
        <v>550</v>
      </c>
      <c r="D100" s="20"/>
      <c r="F100" s="122" t="n">
        <f aca="false">IF(AND(F$5&gt;=$M$21,F$5&lt;$N$21),$E$21-$F$21-IF(F$5&gt;=$H$21,$G$21,0),0)*($H$21&lt;&gt;0)+IF(AND(F$5&gt;=$M$21,F$5&lt;$N$21),$E$21-$F$21,0)*($H$21=0)</f>
        <v>0</v>
      </c>
      <c r="G100" s="122" t="n">
        <f aca="false">IF(AND(G$5&gt;=$M$21,G$5&lt;$N$21),$E$21-$F$21-IF(G$5&gt;=$H$21,$G$21,0),0)*($H$21&lt;&gt;0)+IF(AND(G$5&gt;=$M$21,G$5&lt;$N$21),$E$21-$F$21,0)*($H$21=0)</f>
        <v>0</v>
      </c>
      <c r="H100" s="122" t="n">
        <f aca="false">IF(AND(H$5&gt;=$M$21,H$5&lt;$N$21),$E$21-$F$21-IF(H$5&gt;=$H$21,$G$21,0),0)*($H$21&lt;&gt;0)+IF(AND(H$5&gt;=$M$21,H$5&lt;$N$21),$E$21-$F$21,0)*($H$21=0)</f>
        <v>0</v>
      </c>
      <c r="I100" s="122" t="n">
        <f aca="false">IF(AND(I$5&gt;=$M$21,I$5&lt;$N$21),$E$21-$F$21-IF(I$5&gt;=$H$21,$G$21,0),0)*($H$21&lt;&gt;0)+IF(AND(I$5&gt;=$M$21,I$5&lt;$N$21),$E$21-$F$21,0)*($H$21=0)</f>
        <v>0</v>
      </c>
      <c r="J100" s="122" t="n">
        <f aca="false">IF(AND(J$5&gt;=$M$21,J$5&lt;$N$21),$E$21-$F$21-IF(J$5&gt;=$H$21,$G$21,0),0)*($H$21&lt;&gt;0)+IF(AND(J$5&gt;=$M$21,J$5&lt;$N$21),$E$21-$F$21,0)*($H$21=0)</f>
        <v>0</v>
      </c>
      <c r="K100" s="122" t="n">
        <f aca="false">IF(AND(K$5&gt;=$M$21,K$5&lt;$N$21),$E$21-$F$21-IF(K$5&gt;=$H$21,$G$21,0),0)*($H$21&lt;&gt;0)+IF(AND(K$5&gt;=$M$21,K$5&lt;$N$21),$E$21-$F$21,0)*($H$21=0)</f>
        <v>0</v>
      </c>
      <c r="L100" s="122" t="n">
        <f aca="false">IF(AND(L$5&gt;=$M$21,L$5&lt;$N$21),$E$21-$F$21-IF(L$5&gt;=$H$21,$G$21,0),0)*($H$21&lt;&gt;0)+IF(AND(L$5&gt;=$M$21,L$5&lt;$N$21),$E$21-$F$21,0)*($H$21=0)</f>
        <v>0</v>
      </c>
      <c r="M100" s="122" t="n">
        <f aca="false">IF(AND(M$5&gt;=$M$21,M$5&lt;$N$21),$E$21-$F$21-IF(M$5&gt;=$H$21,$G$21,0),0)*($H$21&lt;&gt;0)+IF(AND(M$5&gt;=$M$21,M$5&lt;$N$21),$E$21-$F$21,0)*($H$21=0)</f>
        <v>0</v>
      </c>
      <c r="N100" s="122" t="n">
        <f aca="false">IF(AND(N$5&gt;=$M$21,N$5&lt;$N$21),$E$21-$F$21-IF(N$5&gt;=$H$21,$G$21,0),0)*($H$21&lt;&gt;0)+IF(AND(N$5&gt;=$M$21,N$5&lt;$N$21),$E$21-$F$21,0)*($H$21=0)</f>
        <v>0</v>
      </c>
      <c r="O100" s="122" t="n">
        <f aca="false">IF(AND(O$5&gt;=$M$21,O$5&lt;$N$21),$E$21-$F$21-IF(O$5&gt;=$H$21,$G$21,0),0)*($H$21&lt;&gt;0)+IF(AND(O$5&gt;=$M$21,O$5&lt;$N$21),$E$21-$F$21,0)*($H$21=0)</f>
        <v>0</v>
      </c>
      <c r="P100" s="123" t="n">
        <f aca="false">IF(AND(P$5&gt;=$M$21,P$5&lt;$N$21),$E$21-$F$21-IF(P$5&gt;=$H$21,$G$21,0),0)*($H$21&lt;&gt;0)+IF(AND(P$5&gt;=$M$21,P$5&lt;$N$21),$E$21-$F$21,0)*($H$21=0)</f>
        <v>0</v>
      </c>
      <c r="Q100" s="123" t="n">
        <f aca="false">IF(AND(Q$5&gt;=$M$21,Q$5&lt;$N$21),$E$21-$F$21-IF(Q$5&gt;=$H$21,$G$21,0),0)*($H$21&lt;&gt;0)+IF(AND(Q$5&gt;=$M$21,Q$5&lt;$N$21),$E$21-$F$21,0)*($H$21=0)</f>
        <v>0</v>
      </c>
      <c r="R100" s="123" t="n">
        <f aca="false">IF(AND(R$5&gt;=$M$21,R$5&lt;$N$21),$E$21-$F$21-IF(R$5&gt;=$H$21,$G$21,0),0)*($H$21&lt;&gt;0)+IF(AND(R$5&gt;=$M$21,R$5&lt;$N$21),$E$21-$F$21,0)*($H$21=0)</f>
        <v>2560</v>
      </c>
      <c r="S100" s="123" t="n">
        <f aca="false">IF(AND(S$5&gt;=$M$21,S$5&lt;$N$21),$E$21-$F$21-IF(S$5&gt;=$H$21,$G$21,0),0)*($H$21&lt;&gt;0)+IF(AND(S$5&gt;=$M$21,S$5&lt;$N$21),$E$21-$F$21,0)*($H$21=0)</f>
        <v>2560</v>
      </c>
      <c r="T100" s="123" t="n">
        <f aca="false">IF(AND(T$5&gt;=$M$21,T$5&lt;$N$21),$E$21-$F$21-IF(T$5&gt;=$H$21,$G$21,0),0)*($H$21&lt;&gt;0)+IF(AND(T$5&gt;=$M$21,T$5&lt;$N$21),$E$21-$F$21,0)*($H$21=0)</f>
        <v>2560</v>
      </c>
      <c r="U100" s="123" t="n">
        <f aca="false">IF(AND(U$5&gt;=$M$21,U$5&lt;$N$21),$E$21-$F$21-IF(U$5&gt;=$H$21,$G$21,0),0)*($H$21&lt;&gt;0)+IF(AND(U$5&gt;=$M$21,U$5&lt;$N$21),$E$21-$F$21,0)*($H$21=0)</f>
        <v>2560</v>
      </c>
      <c r="V100" s="123" t="n">
        <f aca="false">IF(AND(V$5&gt;=$M$21,V$5&lt;$N$21),$E$21-$F$21-IF(V$5&gt;=$H$21,$G$21,0),0)*($H$21&lt;&gt;0)+IF(AND(V$5&gt;=$M$21,V$5&lt;$N$21),$E$21-$F$21,0)*($H$21=0)</f>
        <v>2560</v>
      </c>
      <c r="W100" s="123" t="n">
        <f aca="false">IF(AND(W$5&gt;=$M$21,W$5&lt;$N$21),$E$21-$F$21-IF(W$5&gt;=$H$21,$G$21,0),0)*($H$21&lt;&gt;0)+IF(AND(W$5&gt;=$M$21,W$5&lt;$N$21),$E$21-$F$21,0)*($H$21=0)</f>
        <v>2560</v>
      </c>
      <c r="X100" s="123" t="n">
        <f aca="false">IF(AND(X$5&gt;=$M$21,X$5&lt;$N$21),$E$21-$F$21-IF(X$5&gt;=$H$21,$G$21,0),0)*($H$21&lt;&gt;0)+IF(AND(X$5&gt;=$M$21,X$5&lt;$N$21),$E$21-$F$21,0)*($H$21=0)</f>
        <v>2560</v>
      </c>
      <c r="Y100" s="123" t="n">
        <f aca="false">IF(AND(Y$5&gt;=$M$21,Y$5&lt;$N$21),$E$21-$F$21-IF(Y$5&gt;=$H$21,$G$21,0),0)*($H$21&lt;&gt;0)+IF(AND(Y$5&gt;=$M$21,Y$5&lt;$N$21),$E$21-$F$21,0)*($H$21=0)</f>
        <v>2560</v>
      </c>
      <c r="Z100" s="123" t="n">
        <f aca="false">IF(AND(Z$5&gt;=$M$21,Z$5&lt;$N$21),$E$21-$F$21-IF(Z$5&gt;=$H$21,$G$21,0),0)*($H$21&lt;&gt;0)+IF(AND(Z$5&gt;=$M$21,Z$5&lt;$N$21),$E$21-$F$21,0)*($H$21=0)</f>
        <v>2560</v>
      </c>
      <c r="AA100" s="123" t="n">
        <f aca="false">IF(AND(AA$5&gt;=$M$21,AA$5&lt;$N$21),$E$21-$F$21-IF(AA$5&gt;=$H$21,$G$21,0),0)*($H$21&lt;&gt;0)+IF(AND(AA$5&gt;=$M$21,AA$5&lt;$N$21),$E$21-$F$21,0)*($H$21=0)</f>
        <v>2560</v>
      </c>
      <c r="AB100" s="123" t="n">
        <f aca="false">IF(AND(AB$5&gt;=$M$21,AB$5&lt;$N$21),$E$21-$F$21-IF(AB$5&gt;=$H$21,$G$21,0),0)*($H$21&lt;&gt;0)+IF(AND(AB$5&gt;=$M$21,AB$5&lt;$N$21),$E$21-$F$21,0)*($H$21=0)</f>
        <v>2560</v>
      </c>
      <c r="AC100" s="123" t="n">
        <f aca="false">IF(AND(AC$5&gt;=$M$21,AC$5&lt;$N$21),$E$21-$F$21-IF(AC$5&gt;=$H$21,$G$21,0),0)*($H$21&lt;&gt;0)+IF(AND(AC$5&gt;=$M$21,AC$5&lt;$N$21),$E$21-$F$21,0)*($H$21=0)</f>
        <v>2560</v>
      </c>
      <c r="AD100" s="123" t="n">
        <f aca="false">IF(AND(AD$5&gt;=$M$21,AD$5&lt;$N$21),$E$21-$F$21-IF(AD$5&gt;=$H$21,$G$21,0),0)*($H$21&lt;&gt;0)+IF(AND(AD$5&gt;=$M$21,AD$5&lt;$N$21),$E$21-$F$21,0)*($H$21=0)</f>
        <v>2560</v>
      </c>
      <c r="AE100" s="123" t="n">
        <f aca="false">IF(AND(AE$5&gt;=$M$21,AE$5&lt;$N$21),$E$21-$F$21-IF(AE$5&gt;=$H$21,$G$21,0),0)*($H$21&lt;&gt;0)+IF(AND(AE$5&gt;=$M$21,AE$5&lt;$N$21),$E$21-$F$21,0)*($H$21=0)</f>
        <v>2560</v>
      </c>
      <c r="AF100" s="123" t="n">
        <f aca="false">IF(AND(AF$5&gt;=$M$21,AF$5&lt;$N$21),$E$21-$F$21-IF(AF$5&gt;=$H$21,$G$21,0),0)*($H$21&lt;&gt;0)+IF(AND(AF$5&gt;=$M$21,AF$5&lt;$N$21),$E$21-$F$21,0)*($H$21=0)</f>
        <v>2560</v>
      </c>
      <c r="AG100" s="123" t="n">
        <f aca="false">IF(AND(AG$5&gt;=$M$21,AG$5&lt;$N$21),$E$21-$F$21-IF(AG$5&gt;=$H$21,$G$21,0),0)*($H$21&lt;&gt;0)+IF(AND(AG$5&gt;=$M$21,AG$5&lt;$N$21),$E$21-$F$21,0)*($H$21=0)</f>
        <v>2560</v>
      </c>
      <c r="AI100" s="123" t="n">
        <f aca="false">INDEX($F100:$AG100,1,MATCH(AI$7,$F$7:$AG$7,1))</f>
        <v>0</v>
      </c>
      <c r="AJ100" s="123" t="n">
        <f aca="false">INDEX($F100:$AG100,1,MATCH(AJ$7,$F$7:$AG$7,1))</f>
        <v>0</v>
      </c>
      <c r="AK100" s="123" t="n">
        <f aca="false">INDEX($F100:$AG100,1,MATCH(AK$7,$F$7:$AG$7,1))</f>
        <v>0</v>
      </c>
      <c r="AL100" s="123" t="n">
        <f aca="false">INDEX($F100:$AG100,1,MATCH(AL$7,$F$7:$AG$7,1))</f>
        <v>2560</v>
      </c>
      <c r="AM100" s="123" t="n">
        <f aca="false">INDEX($F100:$AG100,1,MATCH(AM$7,$F$7:$AG$7,1))</f>
        <v>2560</v>
      </c>
      <c r="AN100" s="123" t="n">
        <f aca="false">INDEX($F100:$AG100,1,MATCH(AN$7,$F$7:$AG$7,1))</f>
        <v>2560</v>
      </c>
      <c r="AO100" s="123" t="n">
        <f aca="false">INDEX($F100:$AG100,1,MATCH(AO$7,$F$7:$AG$7,1))</f>
        <v>2560</v>
      </c>
    </row>
    <row r="101" customFormat="false" ht="15" hidden="false" customHeight="false" outlineLevel="0" collapsed="false">
      <c r="A101" s="104" t="s">
        <v>2113</v>
      </c>
      <c r="B101" s="20" t="s">
        <v>561</v>
      </c>
      <c r="C101" s="20" t="s">
        <v>550</v>
      </c>
      <c r="D101" s="20"/>
      <c r="F101" s="122" t="n">
        <f aca="false">F100*$C$21/4</f>
        <v>0</v>
      </c>
      <c r="G101" s="122" t="n">
        <f aca="false">G100*$C$21/4</f>
        <v>0</v>
      </c>
      <c r="H101" s="122" t="n">
        <f aca="false">H100*$C$21/4</f>
        <v>0</v>
      </c>
      <c r="I101" s="122" t="n">
        <f aca="false">I100*$C$21/4</f>
        <v>0</v>
      </c>
      <c r="J101" s="122" t="n">
        <f aca="false">J100*$C$21/4</f>
        <v>0</v>
      </c>
      <c r="K101" s="122" t="n">
        <f aca="false">K100*$C$21/4</f>
        <v>0</v>
      </c>
      <c r="L101" s="122" t="n">
        <f aca="false">L100*$C$21/4</f>
        <v>0</v>
      </c>
      <c r="M101" s="122" t="n">
        <f aca="false">M100*$C$21/4</f>
        <v>0</v>
      </c>
      <c r="N101" s="122" t="n">
        <f aca="false">N100*$C$21/4</f>
        <v>0</v>
      </c>
      <c r="O101" s="122" t="n">
        <f aca="false">O100*$C$21/4</f>
        <v>0</v>
      </c>
      <c r="P101" s="123" t="n">
        <f aca="false">P100*$C$21/4</f>
        <v>0</v>
      </c>
      <c r="Q101" s="123" t="n">
        <f aca="false">Q100*$C$21/4</f>
        <v>0</v>
      </c>
      <c r="R101" s="123" t="n">
        <f aca="false">R100*$C$21/4</f>
        <v>28.8</v>
      </c>
      <c r="S101" s="123" t="n">
        <f aca="false">S100*$C$21/4</f>
        <v>28.8</v>
      </c>
      <c r="T101" s="123" t="n">
        <f aca="false">T100*$C$21/4</f>
        <v>28.8</v>
      </c>
      <c r="U101" s="123" t="n">
        <f aca="false">U100*$C$21/4</f>
        <v>28.8</v>
      </c>
      <c r="V101" s="123" t="n">
        <f aca="false">V100*$C$21/4</f>
        <v>28.8</v>
      </c>
      <c r="W101" s="123" t="n">
        <f aca="false">W100*$C$21/4</f>
        <v>28.8</v>
      </c>
      <c r="X101" s="123" t="n">
        <f aca="false">X100*$C$21/4</f>
        <v>28.8</v>
      </c>
      <c r="Y101" s="123" t="n">
        <f aca="false">Y100*$C$21/4</f>
        <v>28.8</v>
      </c>
      <c r="Z101" s="123" t="n">
        <f aca="false">Z100*$C$21/4</f>
        <v>28.8</v>
      </c>
      <c r="AA101" s="123" t="n">
        <f aca="false">AA100*$C$21/4</f>
        <v>28.8</v>
      </c>
      <c r="AB101" s="123" t="n">
        <f aca="false">AB100*$C$21/4</f>
        <v>28.8</v>
      </c>
      <c r="AC101" s="123" t="n">
        <f aca="false">AC100*$C$21/4</f>
        <v>28.8</v>
      </c>
      <c r="AD101" s="123" t="n">
        <f aca="false">AD100*$C$21/4</f>
        <v>28.8</v>
      </c>
      <c r="AE101" s="123" t="n">
        <f aca="false">AE100*$C$21/4</f>
        <v>28.8</v>
      </c>
      <c r="AF101" s="123" t="n">
        <f aca="false">AF100*$C$21/4</f>
        <v>28.8</v>
      </c>
      <c r="AG101" s="123" t="n">
        <f aca="false">AG100*$C$21/4</f>
        <v>28.8</v>
      </c>
      <c r="AI101" s="123" t="n">
        <f aca="false">SUMIF($F$7:$AG$7,AI$7,$F101:$AG101)</f>
        <v>0</v>
      </c>
      <c r="AJ101" s="123" t="n">
        <f aca="false">SUMIF($F$7:$AG$7,AJ$7,$F101:$AG101)</f>
        <v>0</v>
      </c>
      <c r="AK101" s="123" t="n">
        <f aca="false">SUMIF($F$7:$AG$7,AK$7,$F101:$AG101)</f>
        <v>0</v>
      </c>
      <c r="AL101" s="123" t="n">
        <f aca="false">SUMIF($F$7:$AG$7,AL$7,$F101:$AG101)</f>
        <v>115.2</v>
      </c>
      <c r="AM101" s="123" t="n">
        <f aca="false">SUMIF($F$7:$AG$7,AM$7,$F101:$AG101)</f>
        <v>115.2</v>
      </c>
      <c r="AN101" s="123" t="n">
        <f aca="false">SUMIF($F$7:$AG$7,AN$7,$F101:$AG101)</f>
        <v>115.2</v>
      </c>
      <c r="AO101" s="123" t="n">
        <f aca="false">SUMIF($F$7:$AG$7,AO$7,$F101:$AG101)</f>
        <v>115.2</v>
      </c>
    </row>
    <row r="102" customFormat="false" ht="15" hidden="false" customHeight="false" outlineLevel="0" collapsed="false">
      <c r="A102" s="104" t="s">
        <v>2114</v>
      </c>
      <c r="B102" s="20" t="s">
        <v>561</v>
      </c>
      <c r="C102" s="20" t="s">
        <v>550</v>
      </c>
      <c r="D102" s="20"/>
      <c r="F102" s="122" t="n">
        <f aca="false">F100*($J$21-1)/(($D$21-$B$21)/91.3125)</f>
        <v>0</v>
      </c>
      <c r="G102" s="122" t="n">
        <f aca="false">G100*($J$21-1)/(($D$21-$B$21)/91.3125)</f>
        <v>0</v>
      </c>
      <c r="H102" s="122" t="n">
        <f aca="false">H100*($J$21-1)/(($D$21-$B$21)/91.3125)</f>
        <v>0</v>
      </c>
      <c r="I102" s="122" t="n">
        <f aca="false">I100*($J$21-1)/(($D$21-$B$21)/91.3125)</f>
        <v>0</v>
      </c>
      <c r="J102" s="122" t="n">
        <f aca="false">J100*($J$21-1)/(($D$21-$B$21)/91.3125)</f>
        <v>0</v>
      </c>
      <c r="K102" s="122" t="n">
        <f aca="false">K100*($J$21-1)/(($D$21-$B$21)/91.3125)</f>
        <v>0</v>
      </c>
      <c r="L102" s="122" t="n">
        <f aca="false">L100*($J$21-1)/(($D$21-$B$21)/91.3125)</f>
        <v>0</v>
      </c>
      <c r="M102" s="122" t="n">
        <f aca="false">M100*($J$21-1)/(($D$21-$B$21)/91.3125)</f>
        <v>0</v>
      </c>
      <c r="N102" s="122" t="n">
        <f aca="false">N100*($J$21-1)/(($D$21-$B$21)/91.3125)</f>
        <v>0</v>
      </c>
      <c r="O102" s="122" t="n">
        <f aca="false">O100*($J$21-1)/(($D$21-$B$21)/91.3125)</f>
        <v>0</v>
      </c>
      <c r="P102" s="123" t="n">
        <f aca="false">P100*($J$21-1)/(($D$21-$B$21)/91.3125)</f>
        <v>0</v>
      </c>
      <c r="Q102" s="123" t="n">
        <f aca="false">Q100*($J$21-1)/(($D$21-$B$21)/91.3125)</f>
        <v>0</v>
      </c>
      <c r="R102" s="123" t="n">
        <f aca="false">R100*($J$21-1)/(($D$21-$B$21)/91.3125)</f>
        <v>21.3440467494522</v>
      </c>
      <c r="S102" s="123" t="n">
        <f aca="false">S100*($J$21-1)/(($D$21-$B$21)/91.3125)</f>
        <v>21.3440467494522</v>
      </c>
      <c r="T102" s="123" t="n">
        <f aca="false">T100*($J$21-1)/(($D$21-$B$21)/91.3125)</f>
        <v>21.3440467494522</v>
      </c>
      <c r="U102" s="123" t="n">
        <f aca="false">U100*($J$21-1)/(($D$21-$B$21)/91.3125)</f>
        <v>21.3440467494522</v>
      </c>
      <c r="V102" s="123" t="n">
        <f aca="false">V100*($J$21-1)/(($D$21-$B$21)/91.3125)</f>
        <v>21.3440467494522</v>
      </c>
      <c r="W102" s="123" t="n">
        <f aca="false">W100*($J$21-1)/(($D$21-$B$21)/91.3125)</f>
        <v>21.3440467494522</v>
      </c>
      <c r="X102" s="123" t="n">
        <f aca="false">X100*($J$21-1)/(($D$21-$B$21)/91.3125)</f>
        <v>21.3440467494522</v>
      </c>
      <c r="Y102" s="123" t="n">
        <f aca="false">Y100*($J$21-1)/(($D$21-$B$21)/91.3125)</f>
        <v>21.3440467494522</v>
      </c>
      <c r="Z102" s="123" t="n">
        <f aca="false">Z100*($J$21-1)/(($D$21-$B$21)/91.3125)</f>
        <v>21.3440467494522</v>
      </c>
      <c r="AA102" s="123" t="n">
        <f aca="false">AA100*($J$21-1)/(($D$21-$B$21)/91.3125)</f>
        <v>21.3440467494522</v>
      </c>
      <c r="AB102" s="123" t="n">
        <f aca="false">AB100*($J$21-1)/(($D$21-$B$21)/91.3125)</f>
        <v>21.3440467494522</v>
      </c>
      <c r="AC102" s="123" t="n">
        <f aca="false">AC100*($J$21-1)/(($D$21-$B$21)/91.3125)</f>
        <v>21.3440467494522</v>
      </c>
      <c r="AD102" s="123" t="n">
        <f aca="false">AD100*($J$21-1)/(($D$21-$B$21)/91.3125)</f>
        <v>21.3440467494522</v>
      </c>
      <c r="AE102" s="123" t="n">
        <f aca="false">AE100*($J$21-1)/(($D$21-$B$21)/91.3125)</f>
        <v>21.3440467494522</v>
      </c>
      <c r="AF102" s="123" t="n">
        <f aca="false">AF100*($J$21-1)/(($D$21-$B$21)/91.3125)</f>
        <v>21.3440467494522</v>
      </c>
      <c r="AG102" s="123" t="n">
        <f aca="false">AG100*($J$21-1)/(($D$21-$B$21)/91.3125)</f>
        <v>21.3440467494522</v>
      </c>
      <c r="AI102" s="123" t="n">
        <f aca="false">SUMIF($F$7:$AG$7,AI$7,$F102:$AG102)</f>
        <v>0</v>
      </c>
      <c r="AJ102" s="123" t="n">
        <f aca="false">SUMIF($F$7:$AG$7,AJ$7,$F102:$AG102)</f>
        <v>0</v>
      </c>
      <c r="AK102" s="123" t="n">
        <f aca="false">SUMIF($F$7:$AG$7,AK$7,$F102:$AG102)</f>
        <v>0</v>
      </c>
      <c r="AL102" s="123" t="n">
        <f aca="false">SUMIF($F$7:$AG$7,AL$7,$F102:$AG102)</f>
        <v>85.3761869978086</v>
      </c>
      <c r="AM102" s="123" t="n">
        <f aca="false">SUMIF($F$7:$AG$7,AM$7,$F102:$AG102)</f>
        <v>85.3761869978086</v>
      </c>
      <c r="AN102" s="123" t="n">
        <f aca="false">SUMIF($F$7:$AG$7,AN$7,$F102:$AG102)</f>
        <v>85.3761869978086</v>
      </c>
      <c r="AO102" s="123" t="n">
        <f aca="false">SUMIF($F$7:$AG$7,AO$7,$F102:$AG102)</f>
        <v>85.3761869978086</v>
      </c>
    </row>
    <row r="103" customFormat="false" ht="15" hidden="false" customHeight="false" outlineLevel="0" collapsed="false">
      <c r="A103" s="104" t="s">
        <v>2115</v>
      </c>
      <c r="B103" s="20" t="s">
        <v>561</v>
      </c>
      <c r="C103" s="20" t="s">
        <v>550</v>
      </c>
      <c r="D103" s="20"/>
      <c r="F103" s="122" t="n">
        <f aca="false">F100*(1+($J$21-1)*MIN(1,MAX(0,(F$4-$B$21)/($D$21-$B$21))))</f>
        <v>0</v>
      </c>
      <c r="G103" s="122" t="n">
        <f aca="false">G100*(1+($J$21-1)*MIN(1,MAX(0,(G$4-$B$21)/($D$21-$B$21))))</f>
        <v>0</v>
      </c>
      <c r="H103" s="122" t="n">
        <f aca="false">H100*(1+($J$21-1)*MIN(1,MAX(0,(H$4-$B$21)/($D$21-$B$21))))</f>
        <v>0</v>
      </c>
      <c r="I103" s="122" t="n">
        <f aca="false">I100*(1+($J$21-1)*MIN(1,MAX(0,(I$4-$B$21)/($D$21-$B$21))))</f>
        <v>0</v>
      </c>
      <c r="J103" s="122" t="n">
        <f aca="false">J100*(1+($J$21-1)*MIN(1,MAX(0,(J$4-$B$21)/($D$21-$B$21))))</f>
        <v>0</v>
      </c>
      <c r="K103" s="122" t="n">
        <f aca="false">K100*(1+($J$21-1)*MIN(1,MAX(0,(K$4-$B$21)/($D$21-$B$21))))</f>
        <v>0</v>
      </c>
      <c r="L103" s="122" t="n">
        <f aca="false">L100*(1+($J$21-1)*MIN(1,MAX(0,(L$4-$B$21)/($D$21-$B$21))))</f>
        <v>0</v>
      </c>
      <c r="M103" s="122" t="n">
        <f aca="false">M100*(1+($J$21-1)*MIN(1,MAX(0,(M$4-$B$21)/($D$21-$B$21))))</f>
        <v>0</v>
      </c>
      <c r="N103" s="122" t="n">
        <f aca="false">N100*(1+($J$21-1)*MIN(1,MAX(0,(N$4-$B$21)/($D$21-$B$21))))</f>
        <v>0</v>
      </c>
      <c r="O103" s="122" t="n">
        <f aca="false">O100*(1+($J$21-1)*MIN(1,MAX(0,(O$4-$B$21)/($D$21-$B$21))))</f>
        <v>0</v>
      </c>
      <c r="P103" s="123" t="n">
        <f aca="false">P100*(1+($J$21-1)*MIN(1,MAX(0,(P$4-$B$21)/($D$21-$B$21))))</f>
        <v>0</v>
      </c>
      <c r="Q103" s="123" t="n">
        <f aca="false">Q100*(1+($J$21-1)*MIN(1,MAX(0,(Q$4-$B$21)/($D$21-$B$21))))</f>
        <v>0</v>
      </c>
      <c r="R103" s="123" t="n">
        <f aca="false">R100*(1+($J$21-1)*MIN(1,MAX(0,(R$4-$B$21)/($D$21-$B$21))))</f>
        <v>2570.51862673484</v>
      </c>
      <c r="S103" s="123" t="n">
        <f aca="false">S100*(1+($J$21-1)*MIN(1,MAX(0,(S$4-$B$21)/($D$21-$B$21))))</f>
        <v>2591.7896274653</v>
      </c>
      <c r="T103" s="123" t="n">
        <f aca="false">T100*(1+($J$21-1)*MIN(1,MAX(0,(T$4-$B$21)/($D$21-$B$21))))</f>
        <v>2613.29437545654</v>
      </c>
      <c r="U103" s="123" t="n">
        <f aca="false">U100*(1+($J$21-1)*MIN(1,MAX(0,(U$4-$B$21)/($D$21-$B$21))))</f>
        <v>2634.79912344777</v>
      </c>
      <c r="V103" s="123" t="n">
        <f aca="false">V100*(1+($J$21-1)*MIN(1,MAX(0,(V$4-$B$21)/($D$21-$B$21))))</f>
        <v>2656.07012417823</v>
      </c>
      <c r="W103" s="123" t="n">
        <f aca="false">W100*(1+($J$21-1)*MIN(1,MAX(0,(W$4-$B$21)/($D$21-$B$21))))</f>
        <v>2677.34112490869</v>
      </c>
      <c r="X103" s="123" t="n">
        <f aca="false">X100*(1+($J$21-1)*MIN(1,MAX(0,(X$4-$B$21)/($D$21-$B$21))))</f>
        <v>2698.84587289993</v>
      </c>
      <c r="Y103" s="123" t="n">
        <f aca="false">Y100*(1+($J$21-1)*MIN(1,MAX(0,(Y$4-$B$21)/($D$21-$B$21))))</f>
        <v>2720.35062089116</v>
      </c>
      <c r="Z103" s="123" t="n">
        <f aca="false">Z100*(1+($J$21-1)*MIN(1,MAX(0,(Z$4-$B$21)/($D$21-$B$21))))</f>
        <v>2741.38787436085</v>
      </c>
      <c r="AA103" s="123" t="n">
        <f aca="false">AA100*(1+($J$21-1)*MIN(1,MAX(0,(AA$4-$B$21)/($D$21-$B$21))))</f>
        <v>2762.65887509131</v>
      </c>
      <c r="AB103" s="123" t="n">
        <f aca="false">AB100*(1+($J$21-1)*MIN(1,MAX(0,(AB$4-$B$21)/($D$21-$B$21))))</f>
        <v>2784.16362308254</v>
      </c>
      <c r="AC103" s="123" t="n">
        <f aca="false">AC100*(1+($J$21-1)*MIN(1,MAX(0,(AC$4-$B$21)/($D$21-$B$21))))</f>
        <v>2805.66837107378</v>
      </c>
      <c r="AD103" s="123" t="n">
        <f aca="false">AD100*(1+($J$21-1)*MIN(1,MAX(0,(AD$4-$B$21)/($D$21-$B$21))))</f>
        <v>2826.70562454346</v>
      </c>
      <c r="AE103" s="123" t="n">
        <f aca="false">AE100*(1+($J$21-1)*MIN(1,MAX(0,(AE$4-$B$21)/($D$21-$B$21))))</f>
        <v>2847.97662527392</v>
      </c>
      <c r="AF103" s="123" t="n">
        <f aca="false">AF100*(1+($J$21-1)*MIN(1,MAX(0,(AF$4-$B$21)/($D$21-$B$21))))</f>
        <v>2869.48137326516</v>
      </c>
      <c r="AG103" s="123" t="n">
        <f aca="false">AG100*(1+($J$21-1)*MIN(1,MAX(0,(AG$4-$B$21)/($D$21-$B$21))))</f>
        <v>2890.98612125639</v>
      </c>
      <c r="AI103" s="123" t="n">
        <f aca="false">INDEX($F103:$AG103,1,MATCH(AI$7,$F$7:$AG$7,1))</f>
        <v>0</v>
      </c>
      <c r="AJ103" s="123" t="n">
        <f aca="false">INDEX($F103:$AG103,1,MATCH(AJ$7,$F$7:$AG$7,1))</f>
        <v>0</v>
      </c>
      <c r="AK103" s="123" t="n">
        <f aca="false">INDEX($F103:$AG103,1,MATCH(AK$7,$F$7:$AG$7,1))</f>
        <v>0</v>
      </c>
      <c r="AL103" s="123" t="n">
        <f aca="false">INDEX($F103:$AG103,1,MATCH(AL$7,$F$7:$AG$7,1))</f>
        <v>2634.79912344777</v>
      </c>
      <c r="AM103" s="123" t="n">
        <f aca="false">INDEX($F103:$AG103,1,MATCH(AM$7,$F$7:$AG$7,1))</f>
        <v>2720.35062089116</v>
      </c>
      <c r="AN103" s="123" t="n">
        <f aca="false">INDEX($F103:$AG103,1,MATCH(AN$7,$F$7:$AG$7,1))</f>
        <v>2805.66837107378</v>
      </c>
      <c r="AO103" s="123" t="n">
        <f aca="false">INDEX($F103:$AG103,1,MATCH(AO$7,$F$7:$AG$7,1))</f>
        <v>2890.98612125639</v>
      </c>
    </row>
    <row r="104" customFormat="false" ht="15" hidden="false" customHeight="false" outlineLevel="0" collapsed="false">
      <c r="A104" s="104" t="s">
        <v>2116</v>
      </c>
      <c r="B104" s="20" t="s">
        <v>561</v>
      </c>
      <c r="C104" s="20" t="s">
        <v>550</v>
      </c>
      <c r="D104" s="20"/>
      <c r="F104" s="122" t="n">
        <f aca="false">IF(F$5=$N$21,E100*$J$21*(1-$O$21),0)</f>
        <v>0</v>
      </c>
      <c r="G104" s="122" t="n">
        <f aca="false">IF(G$5=$N$21,F100*$J$21*(1-$O$21),0)</f>
        <v>0</v>
      </c>
      <c r="H104" s="122" t="n">
        <f aca="false">IF(H$5=$N$21,G100*$J$21*(1-$O$21),0)</f>
        <v>0</v>
      </c>
      <c r="I104" s="122" t="n">
        <f aca="false">IF(I$5=$N$21,H100*$J$21*(1-$O$21),0)</f>
        <v>0</v>
      </c>
      <c r="J104" s="122" t="n">
        <f aca="false">IF(J$5=$N$21,I100*$J$21*(1-$O$21),0)</f>
        <v>0</v>
      </c>
      <c r="K104" s="122" t="n">
        <f aca="false">IF(K$5=$N$21,J100*$J$21*(1-$O$21),0)</f>
        <v>0</v>
      </c>
      <c r="L104" s="122" t="n">
        <f aca="false">IF(L$5=$N$21,K100*$J$21*(1-$O$21),0)</f>
        <v>0</v>
      </c>
      <c r="M104" s="122" t="n">
        <f aca="false">IF(M$5=$N$21,L100*$J$21*(1-$O$21),0)</f>
        <v>0</v>
      </c>
      <c r="N104" s="122" t="n">
        <f aca="false">IF(N$5=$N$21,M100*$J$21*(1-$O$21),0)</f>
        <v>0</v>
      </c>
      <c r="O104" s="122" t="n">
        <f aca="false">IF(O$5=$N$21,N100*$J$21*(1-$O$21),0)</f>
        <v>0</v>
      </c>
      <c r="P104" s="123" t="n">
        <f aca="false">IF(P$5=$N$21,O100*$J$21*(1-$O$21),0)</f>
        <v>0</v>
      </c>
      <c r="Q104" s="123" t="n">
        <f aca="false">IF(Q$5=$N$21,P100*$J$21*(1-$O$21),0)</f>
        <v>0</v>
      </c>
      <c r="R104" s="123" t="n">
        <f aca="false">IF(R$5=$N$21,Q100*$J$21*(1-$O$21),0)</f>
        <v>0</v>
      </c>
      <c r="S104" s="123" t="n">
        <f aca="false">IF(S$5=$N$21,R100*$J$21*(1-$O$21),0)</f>
        <v>0</v>
      </c>
      <c r="T104" s="123" t="n">
        <f aca="false">IF(T$5=$N$21,S100*$J$21*(1-$O$21),0)</f>
        <v>0</v>
      </c>
      <c r="U104" s="123" t="n">
        <f aca="false">IF(U$5=$N$21,T100*$J$21*(1-$O$21),0)</f>
        <v>0</v>
      </c>
      <c r="V104" s="123" t="n">
        <f aca="false">IF(V$5=$N$21,U100*$J$21*(1-$O$21),0)</f>
        <v>0</v>
      </c>
      <c r="W104" s="123" t="n">
        <f aca="false">IF(W$5=$N$21,V100*$J$21*(1-$O$21),0)</f>
        <v>0</v>
      </c>
      <c r="X104" s="123" t="n">
        <f aca="false">IF(X$5=$N$21,W100*$J$21*(1-$O$21),0)</f>
        <v>0</v>
      </c>
      <c r="Y104" s="123" t="n">
        <f aca="false">IF(Y$5=$N$21,X100*$J$21*(1-$O$21),0)</f>
        <v>0</v>
      </c>
      <c r="Z104" s="123" t="n">
        <f aca="false">IF(Z$5=$N$21,Y100*$J$21*(1-$O$21),0)</f>
        <v>0</v>
      </c>
      <c r="AA104" s="123" t="n">
        <f aca="false">IF(AA$5=$N$21,Z100*$J$21*(1-$O$21),0)</f>
        <v>0</v>
      </c>
      <c r="AB104" s="123" t="n">
        <f aca="false">IF(AB$5=$N$21,AA100*$J$21*(1-$O$21),0)</f>
        <v>0</v>
      </c>
      <c r="AC104" s="123" t="n">
        <f aca="false">IF(AC$5=$N$21,AB100*$J$21*(1-$O$21),0)</f>
        <v>0</v>
      </c>
      <c r="AD104" s="123" t="n">
        <f aca="false">IF(AD$5=$N$21,AC100*$J$21*(1-$O$21),0)</f>
        <v>0</v>
      </c>
      <c r="AE104" s="123" t="n">
        <f aca="false">IF(AE$5=$N$21,AD100*$J$21*(1-$O$21),0)</f>
        <v>0</v>
      </c>
      <c r="AF104" s="123" t="n">
        <f aca="false">IF(AF$5=$N$21,AE100*$J$21*(1-$O$21),0)</f>
        <v>0</v>
      </c>
      <c r="AG104" s="123" t="n">
        <f aca="false">IF(AG$5=$N$21,AF100*$J$21*(1-$O$21),0)</f>
        <v>0</v>
      </c>
      <c r="AI104" s="123" t="n">
        <f aca="false">SUMIF($F$7:$AG$7,AI$7,$F104:$AG104)</f>
        <v>0</v>
      </c>
      <c r="AJ104" s="123" t="n">
        <f aca="false">SUMIF($F$7:$AG$7,AJ$7,$F104:$AG104)</f>
        <v>0</v>
      </c>
      <c r="AK104" s="123" t="n">
        <f aca="false">SUMIF($F$7:$AG$7,AK$7,$F104:$AG104)</f>
        <v>0</v>
      </c>
      <c r="AL104" s="123" t="n">
        <f aca="false">SUMIF($F$7:$AG$7,AL$7,$F104:$AG104)</f>
        <v>0</v>
      </c>
      <c r="AM104" s="123" t="n">
        <f aca="false">SUMIF($F$7:$AG$7,AM$7,$F104:$AG104)</f>
        <v>0</v>
      </c>
      <c r="AN104" s="123" t="n">
        <f aca="false">SUMIF($F$7:$AG$7,AN$7,$F104:$AG104)</f>
        <v>0</v>
      </c>
      <c r="AO104" s="123" t="n">
        <f aca="false">SUMIF($F$7:$AG$7,AO$7,$F104:$AG104)</f>
        <v>0</v>
      </c>
    </row>
    <row r="105" customFormat="false" ht="15" hidden="false" customHeight="false" outlineLevel="0" collapsed="false">
      <c r="A105" s="104" t="s">
        <v>2117</v>
      </c>
      <c r="B105" s="20" t="s">
        <v>995</v>
      </c>
      <c r="C105" s="20" t="s">
        <v>550</v>
      </c>
      <c r="D105" s="20"/>
      <c r="F105" s="137" t="n">
        <f aca="false">IF(F$5=$N$21,E100*$K$21/1000*$O$21,0)</f>
        <v>0</v>
      </c>
      <c r="G105" s="137" t="n">
        <f aca="false">IF(G$5=$N$21,F100*$K$21/1000*$O$21,0)</f>
        <v>0</v>
      </c>
      <c r="H105" s="137" t="n">
        <f aca="false">IF(H$5=$N$21,G100*$K$21/1000*$O$21,0)</f>
        <v>0</v>
      </c>
      <c r="I105" s="137" t="n">
        <f aca="false">IF(I$5=$N$21,H100*$K$21/1000*$O$21,0)</f>
        <v>0</v>
      </c>
      <c r="J105" s="137" t="n">
        <f aca="false">IF(J$5=$N$21,I100*$K$21/1000*$O$21,0)</f>
        <v>0</v>
      </c>
      <c r="K105" s="137" t="n">
        <f aca="false">IF(K$5=$N$21,J100*$K$21/1000*$O$21,0)</f>
        <v>0</v>
      </c>
      <c r="L105" s="137" t="n">
        <f aca="false">IF(L$5=$N$21,K100*$K$21/1000*$O$21,0)</f>
        <v>0</v>
      </c>
      <c r="M105" s="137" t="n">
        <f aca="false">IF(M$5=$N$21,L100*$K$21/1000*$O$21,0)</f>
        <v>0</v>
      </c>
      <c r="N105" s="137" t="n">
        <f aca="false">IF(N$5=$N$21,M100*$K$21/1000*$O$21,0)</f>
        <v>0</v>
      </c>
      <c r="O105" s="137" t="n">
        <f aca="false">IF(O$5=$N$21,N100*$K$21/1000*$O$21,0)</f>
        <v>0</v>
      </c>
      <c r="P105" s="42" t="n">
        <f aca="false">IF(P$5=$N$21,O100*$K$21/1000*$O$21,0)</f>
        <v>0</v>
      </c>
      <c r="Q105" s="42" t="n">
        <f aca="false">IF(Q$5=$N$21,P100*$K$21/1000*$O$21,0)</f>
        <v>0</v>
      </c>
      <c r="R105" s="42" t="n">
        <f aca="false">IF(R$5=$N$21,Q100*$K$21/1000*$O$21,0)</f>
        <v>0</v>
      </c>
      <c r="S105" s="42" t="n">
        <f aca="false">IF(S$5=$N$21,R100*$K$21/1000*$O$21,0)</f>
        <v>0</v>
      </c>
      <c r="T105" s="42" t="n">
        <f aca="false">IF(T$5=$N$21,S100*$K$21/1000*$O$21,0)</f>
        <v>0</v>
      </c>
      <c r="U105" s="42" t="n">
        <f aca="false">IF(U$5=$N$21,T100*$K$21/1000*$O$21,0)</f>
        <v>0</v>
      </c>
      <c r="V105" s="42" t="n">
        <f aca="false">IF(V$5=$N$21,U100*$K$21/1000*$O$21,0)</f>
        <v>0</v>
      </c>
      <c r="W105" s="42" t="n">
        <f aca="false">IF(W$5=$N$21,V100*$K$21/1000*$O$21,0)</f>
        <v>0</v>
      </c>
      <c r="X105" s="42" t="n">
        <f aca="false">IF(X$5=$N$21,W100*$K$21/1000*$O$21,0)</f>
        <v>0</v>
      </c>
      <c r="Y105" s="42" t="n">
        <f aca="false">IF(Y$5=$N$21,X100*$K$21/1000*$O$21,0)</f>
        <v>0</v>
      </c>
      <c r="Z105" s="42" t="n">
        <f aca="false">IF(Z$5=$N$21,Y100*$K$21/1000*$O$21,0)</f>
        <v>0</v>
      </c>
      <c r="AA105" s="42" t="n">
        <f aca="false">IF(AA$5=$N$21,Z100*$K$21/1000*$O$21,0)</f>
        <v>0</v>
      </c>
      <c r="AB105" s="42" t="n">
        <f aca="false">IF(AB$5=$N$21,AA100*$K$21/1000*$O$21,0)</f>
        <v>0</v>
      </c>
      <c r="AC105" s="42" t="n">
        <f aca="false">IF(AC$5=$N$21,AB100*$K$21/1000*$O$21,0)</f>
        <v>0</v>
      </c>
      <c r="AD105" s="42" t="n">
        <f aca="false">IF(AD$5=$N$21,AC100*$K$21/1000*$O$21,0)</f>
        <v>0</v>
      </c>
      <c r="AE105" s="42" t="n">
        <f aca="false">IF(AE$5=$N$21,AD100*$K$21/1000*$O$21,0)</f>
        <v>0</v>
      </c>
      <c r="AF105" s="42" t="n">
        <f aca="false">IF(AF$5=$N$21,AE100*$K$21/1000*$O$21,0)</f>
        <v>0</v>
      </c>
      <c r="AG105" s="42" t="n">
        <f aca="false">IF(AG$5=$N$21,AF100*$K$21/1000*$O$21,0)</f>
        <v>0</v>
      </c>
      <c r="AI105" s="42" t="n">
        <f aca="false">SUMIF($F$7:$AG$7,AI$7,$F105:$AG105)</f>
        <v>0</v>
      </c>
      <c r="AJ105" s="42" t="n">
        <f aca="false">SUMIF($F$7:$AG$7,AJ$7,$F105:$AG105)</f>
        <v>0</v>
      </c>
      <c r="AK105" s="42" t="n">
        <f aca="false">SUMIF($F$7:$AG$7,AK$7,$F105:$AG105)</f>
        <v>0</v>
      </c>
      <c r="AL105" s="42" t="n">
        <f aca="false">SUMIF($F$7:$AG$7,AL$7,$F105:$AG105)</f>
        <v>0</v>
      </c>
      <c r="AM105" s="42" t="n">
        <f aca="false">SUMIF($F$7:$AG$7,AM$7,$F105:$AG105)</f>
        <v>0</v>
      </c>
      <c r="AN105" s="42" t="n">
        <f aca="false">SUMIF($F$7:$AG$7,AN$7,$F105:$AG105)</f>
        <v>0</v>
      </c>
      <c r="AO105" s="42" t="n">
        <f aca="false">SUMIF($F$7:$AG$7,AO$7,$F105:$AG105)</f>
        <v>0</v>
      </c>
    </row>
    <row r="106" customFormat="false" ht="15" hidden="false" customHeight="false" outlineLevel="0" collapsed="false">
      <c r="A106" s="104" t="s">
        <v>2118</v>
      </c>
      <c r="B106" s="20" t="s">
        <v>995</v>
      </c>
      <c r="C106" s="20" t="s">
        <v>495</v>
      </c>
      <c r="D106" s="20"/>
      <c r="F106" s="137" t="n">
        <f aca="false">IF(DilMethod=3,MAX(0,F100*$K$21/1000*DilPx-F103)/DilPx,F100*$K$21/1000*$P$21)</f>
        <v>0</v>
      </c>
      <c r="G106" s="137" t="n">
        <f aca="false">IF(DilMethod=3,MAX(0,G100*$K$21/1000*DilPx-G103)/DilPx,G100*$K$21/1000*$P$21)</f>
        <v>0</v>
      </c>
      <c r="H106" s="137" t="n">
        <f aca="false">IF(DilMethod=3,MAX(0,H100*$K$21/1000*DilPx-H103)/DilPx,H100*$K$21/1000*$P$21)</f>
        <v>0</v>
      </c>
      <c r="I106" s="137" t="n">
        <f aca="false">IF(DilMethod=3,MAX(0,I100*$K$21/1000*DilPx-I103)/DilPx,I100*$K$21/1000*$P$21)</f>
        <v>0</v>
      </c>
      <c r="J106" s="137" t="n">
        <f aca="false">IF(DilMethod=3,MAX(0,J100*$K$21/1000*DilPx-J103)/DilPx,J100*$K$21/1000*$P$21)</f>
        <v>0</v>
      </c>
      <c r="K106" s="137" t="n">
        <f aca="false">IF(DilMethod=3,MAX(0,K100*$K$21/1000*DilPx-K103)/DilPx,K100*$K$21/1000*$P$21)</f>
        <v>0</v>
      </c>
      <c r="L106" s="137" t="n">
        <f aca="false">IF(DilMethod=3,MAX(0,L100*$K$21/1000*DilPx-L103)/DilPx,L100*$K$21/1000*$P$21)</f>
        <v>0</v>
      </c>
      <c r="M106" s="137" t="n">
        <f aca="false">IF(DilMethod=3,MAX(0,M100*$K$21/1000*DilPx-M103)/DilPx,M100*$K$21/1000*$P$21)</f>
        <v>0</v>
      </c>
      <c r="N106" s="137" t="n">
        <f aca="false">IF(DilMethod=3,MAX(0,N100*$K$21/1000*DilPx-N103)/DilPx,N100*$K$21/1000*$P$21)</f>
        <v>0</v>
      </c>
      <c r="O106" s="137" t="n">
        <f aca="false">IF(DilMethod=3,MAX(0,O100*$K$21/1000*DilPx-O103)/DilPx,O100*$K$21/1000*$P$21)</f>
        <v>0</v>
      </c>
      <c r="P106" s="42" t="n">
        <f aca="false">IF(DilMethod=3,MAX(0,P100*$K$21/1000*DilPx-P103)/DilPx,P100*$K$21/1000*$P$21)</f>
        <v>0</v>
      </c>
      <c r="Q106" s="42" t="n">
        <f aca="false">IF(DilMethod=3,MAX(0,Q100*$K$21/1000*DilPx-Q103)/DilPx,Q100*$K$21/1000*$P$21)</f>
        <v>0</v>
      </c>
      <c r="R106" s="42" t="n">
        <f aca="false">IF(DilMethod=3,MAX(0,R100*$K$21/1000*DilPx-R103)/DilPx,R100*$K$21/1000*$P$21)</f>
        <v>0</v>
      </c>
      <c r="S106" s="42" t="n">
        <f aca="false">IF(DilMethod=3,MAX(0,S100*$K$21/1000*DilPx-S103)/DilPx,S100*$K$21/1000*$P$21)</f>
        <v>0</v>
      </c>
      <c r="T106" s="42" t="n">
        <f aca="false">IF(DilMethod=3,MAX(0,T100*$K$21/1000*DilPx-T103)/DilPx,T100*$K$21/1000*$P$21)</f>
        <v>0</v>
      </c>
      <c r="U106" s="42" t="n">
        <f aca="false">IF(DilMethod=3,MAX(0,U100*$K$21/1000*DilPx-U103)/DilPx,U100*$K$21/1000*$P$21)</f>
        <v>0</v>
      </c>
      <c r="V106" s="42" t="n">
        <f aca="false">IF(DilMethod=3,MAX(0,V100*$K$21/1000*DilPx-V103)/DilPx,V100*$K$21/1000*$P$21)</f>
        <v>0</v>
      </c>
      <c r="W106" s="42" t="n">
        <f aca="false">IF(DilMethod=3,MAX(0,W100*$K$21/1000*DilPx-W103)/DilPx,W100*$K$21/1000*$P$21)</f>
        <v>0</v>
      </c>
      <c r="X106" s="42" t="n">
        <f aca="false">IF(DilMethod=3,MAX(0,X100*$K$21/1000*DilPx-X103)/DilPx,X100*$K$21/1000*$P$21)</f>
        <v>0</v>
      </c>
      <c r="Y106" s="42" t="n">
        <f aca="false">IF(DilMethod=3,MAX(0,Y100*$K$21/1000*DilPx-Y103)/DilPx,Y100*$K$21/1000*$P$21)</f>
        <v>0</v>
      </c>
      <c r="Z106" s="42" t="n">
        <f aca="false">IF(DilMethod=3,MAX(0,Z100*$K$21/1000*DilPx-Z103)/DilPx,Z100*$K$21/1000*$P$21)</f>
        <v>0</v>
      </c>
      <c r="AA106" s="42" t="n">
        <f aca="false">IF(DilMethod=3,MAX(0,AA100*$K$21/1000*DilPx-AA103)/DilPx,AA100*$K$21/1000*$P$21)</f>
        <v>0</v>
      </c>
      <c r="AB106" s="42" t="n">
        <f aca="false">IF(DilMethod=3,MAX(0,AB100*$K$21/1000*DilPx-AB103)/DilPx,AB100*$K$21/1000*$P$21)</f>
        <v>0</v>
      </c>
      <c r="AC106" s="42" t="n">
        <f aca="false">IF(DilMethod=3,MAX(0,AC100*$K$21/1000*DilPx-AC103)/DilPx,AC100*$K$21/1000*$P$21)</f>
        <v>0</v>
      </c>
      <c r="AD106" s="42" t="n">
        <f aca="false">IF(DilMethod=3,MAX(0,AD100*$K$21/1000*DilPx-AD103)/DilPx,AD100*$K$21/1000*$P$21)</f>
        <v>0</v>
      </c>
      <c r="AE106" s="42" t="n">
        <f aca="false">IF(DilMethod=3,MAX(0,AE100*$K$21/1000*DilPx-AE103)/DilPx,AE100*$K$21/1000*$P$21)</f>
        <v>0</v>
      </c>
      <c r="AF106" s="42" t="n">
        <f aca="false">IF(DilMethod=3,MAX(0,AF100*$K$21/1000*DilPx-AF103)/DilPx,AF100*$K$21/1000*$P$21)</f>
        <v>0</v>
      </c>
      <c r="AG106" s="42" t="n">
        <f aca="false">IF(DilMethod=3,MAX(0,AG100*$K$21/1000*DilPx-AG103)/DilPx,AG100*$K$21/1000*$P$21)</f>
        <v>0</v>
      </c>
      <c r="AI106" s="42" t="n">
        <f aca="false">INDEX($F106:$AG106,1,MATCH(AI$7,$F$7:$AG$7,1))</f>
        <v>0</v>
      </c>
      <c r="AJ106" s="42" t="n">
        <f aca="false">INDEX($F106:$AG106,1,MATCH(AJ$7,$F$7:$AG$7,1))</f>
        <v>0</v>
      </c>
      <c r="AK106" s="42" t="n">
        <f aca="false">INDEX($F106:$AG106,1,MATCH(AK$7,$F$7:$AG$7,1))</f>
        <v>0</v>
      </c>
      <c r="AL106" s="42" t="n">
        <f aca="false">INDEX($F106:$AG106,1,MATCH(AL$7,$F$7:$AG$7,1))</f>
        <v>0</v>
      </c>
      <c r="AM106" s="42" t="n">
        <f aca="false">INDEX($F106:$AG106,1,MATCH(AM$7,$F$7:$AG$7,1))</f>
        <v>0</v>
      </c>
      <c r="AN106" s="42" t="n">
        <f aca="false">INDEX($F106:$AG106,1,MATCH(AN$7,$F$7:$AG$7,1))</f>
        <v>0</v>
      </c>
      <c r="AO106" s="42" t="n">
        <f aca="false">INDEX($F106:$AG106,1,MATCH(AO$7,$F$7:$AG$7,1))</f>
        <v>0</v>
      </c>
    </row>
    <row r="107" customFormat="false" ht="15" hidden="false" customHeight="false" outlineLevel="0" collapsed="false">
      <c r="A107" s="104" t="s">
        <v>2119</v>
      </c>
      <c r="B107" s="20" t="s">
        <v>561</v>
      </c>
      <c r="C107" s="20" t="s">
        <v>495</v>
      </c>
      <c r="D107" s="20"/>
      <c r="F107" s="122" t="n">
        <f aca="false">F103*IF(DilMethod=3,1,1-$P$21)</f>
        <v>0</v>
      </c>
      <c r="G107" s="122" t="n">
        <f aca="false">G103*IF(DilMethod=3,1,1-$P$21)</f>
        <v>0</v>
      </c>
      <c r="H107" s="122" t="n">
        <f aca="false">H103*IF(DilMethod=3,1,1-$P$21)</f>
        <v>0</v>
      </c>
      <c r="I107" s="122" t="n">
        <f aca="false">I103*IF(DilMethod=3,1,1-$P$21)</f>
        <v>0</v>
      </c>
      <c r="J107" s="122" t="n">
        <f aca="false">J103*IF(DilMethod=3,1,1-$P$21)</f>
        <v>0</v>
      </c>
      <c r="K107" s="122" t="n">
        <f aca="false">K103*IF(DilMethod=3,1,1-$P$21)</f>
        <v>0</v>
      </c>
      <c r="L107" s="122" t="n">
        <f aca="false">L103*IF(DilMethod=3,1,1-$P$21)</f>
        <v>0</v>
      </c>
      <c r="M107" s="122" t="n">
        <f aca="false">M103*IF(DilMethod=3,1,1-$P$21)</f>
        <v>0</v>
      </c>
      <c r="N107" s="122" t="n">
        <f aca="false">N103*IF(DilMethod=3,1,1-$P$21)</f>
        <v>0</v>
      </c>
      <c r="O107" s="122" t="n">
        <f aca="false">O103*IF(DilMethod=3,1,1-$P$21)</f>
        <v>0</v>
      </c>
      <c r="P107" s="123" t="n">
        <f aca="false">P103*IF(DilMethod=3,1,1-$P$21)</f>
        <v>0</v>
      </c>
      <c r="Q107" s="123" t="n">
        <f aca="false">Q103*IF(DilMethod=3,1,1-$P$21)</f>
        <v>0</v>
      </c>
      <c r="R107" s="123" t="n">
        <f aca="false">R103*IF(DilMethod=3,1,1-$P$21)</f>
        <v>2570.51862673484</v>
      </c>
      <c r="S107" s="123" t="n">
        <f aca="false">S103*IF(DilMethod=3,1,1-$P$21)</f>
        <v>2591.7896274653</v>
      </c>
      <c r="T107" s="123" t="n">
        <f aca="false">T103*IF(DilMethod=3,1,1-$P$21)</f>
        <v>2613.29437545654</v>
      </c>
      <c r="U107" s="123" t="n">
        <f aca="false">U103*IF(DilMethod=3,1,1-$P$21)</f>
        <v>2634.79912344777</v>
      </c>
      <c r="V107" s="123" t="n">
        <f aca="false">V103*IF(DilMethod=3,1,1-$P$21)</f>
        <v>2656.07012417823</v>
      </c>
      <c r="W107" s="123" t="n">
        <f aca="false">W103*IF(DilMethod=3,1,1-$P$21)</f>
        <v>2677.34112490869</v>
      </c>
      <c r="X107" s="123" t="n">
        <f aca="false">X103*IF(DilMethod=3,1,1-$P$21)</f>
        <v>2698.84587289993</v>
      </c>
      <c r="Y107" s="123" t="n">
        <f aca="false">Y103*IF(DilMethod=3,1,1-$P$21)</f>
        <v>2720.35062089116</v>
      </c>
      <c r="Z107" s="123" t="n">
        <f aca="false">Z103*IF(DilMethod=3,1,1-$P$21)</f>
        <v>2741.38787436085</v>
      </c>
      <c r="AA107" s="123" t="n">
        <f aca="false">AA103*IF(DilMethod=3,1,1-$P$21)</f>
        <v>2762.65887509131</v>
      </c>
      <c r="AB107" s="123" t="n">
        <f aca="false">AB103*IF(DilMethod=3,1,1-$P$21)</f>
        <v>2784.16362308254</v>
      </c>
      <c r="AC107" s="123" t="n">
        <f aca="false">AC103*IF(DilMethod=3,1,1-$P$21)</f>
        <v>2805.66837107378</v>
      </c>
      <c r="AD107" s="123" t="n">
        <f aca="false">AD103*IF(DilMethod=3,1,1-$P$21)</f>
        <v>2826.70562454346</v>
      </c>
      <c r="AE107" s="123" t="n">
        <f aca="false">AE103*IF(DilMethod=3,1,1-$P$21)</f>
        <v>2847.97662527392</v>
      </c>
      <c r="AF107" s="123" t="n">
        <f aca="false">AF103*IF(DilMethod=3,1,1-$P$21)</f>
        <v>2869.48137326516</v>
      </c>
      <c r="AG107" s="123" t="n">
        <f aca="false">AG103*IF(DilMethod=3,1,1-$P$21)</f>
        <v>2890.98612125639</v>
      </c>
      <c r="AI107" s="123" t="n">
        <f aca="false">INDEX($F107:$AG107,1,MATCH(AI$7,$F$7:$AG$7,1))</f>
        <v>0</v>
      </c>
      <c r="AJ107" s="123" t="n">
        <f aca="false">INDEX($F107:$AG107,1,MATCH(AJ$7,$F$7:$AG$7,1))</f>
        <v>0</v>
      </c>
      <c r="AK107" s="123" t="n">
        <f aca="false">INDEX($F107:$AG107,1,MATCH(AK$7,$F$7:$AG$7,1))</f>
        <v>0</v>
      </c>
      <c r="AL107" s="123" t="n">
        <f aca="false">INDEX($F107:$AG107,1,MATCH(AL$7,$F$7:$AG$7,1))</f>
        <v>2634.79912344777</v>
      </c>
      <c r="AM107" s="123" t="n">
        <f aca="false">INDEX($F107:$AG107,1,MATCH(AM$7,$F$7:$AG$7,1))</f>
        <v>2720.35062089116</v>
      </c>
      <c r="AN107" s="123" t="n">
        <f aca="false">INDEX($F107:$AG107,1,MATCH(AN$7,$F$7:$AG$7,1))</f>
        <v>2805.66837107378</v>
      </c>
      <c r="AO107" s="123" t="n">
        <f aca="false">INDEX($F107:$AG107,1,MATCH(AO$7,$F$7:$AG$7,1))</f>
        <v>2890.98612125639</v>
      </c>
    </row>
    <row r="108" customFormat="false" ht="15" hidden="false" customHeight="false" outlineLevel="0" collapsed="false">
      <c r="A108" s="104" t="s">
        <v>2120</v>
      </c>
      <c r="B108" s="20" t="s">
        <v>561</v>
      </c>
      <c r="C108" s="20" t="s">
        <v>550</v>
      </c>
      <c r="D108" s="20"/>
      <c r="F108" s="122" t="n">
        <f aca="false">IF(AND(F$5&gt;=$M$22,F$5&lt;$N$22),$E$22-$F$22-IF(F$5&gt;=$H$22,$G$22,0),0)*($H$22&lt;&gt;0)+IF(AND(F$5&gt;=$M$22,F$5&lt;$N$22),$E$22-$F$22,0)*($H$22=0)</f>
        <v>0</v>
      </c>
      <c r="G108" s="122" t="n">
        <f aca="false">IF(AND(G$5&gt;=$M$22,G$5&lt;$N$22),$E$22-$F$22-IF(G$5&gt;=$H$22,$G$22,0),0)*($H$22&lt;&gt;0)+IF(AND(G$5&gt;=$M$22,G$5&lt;$N$22),$E$22-$F$22,0)*($H$22=0)</f>
        <v>0</v>
      </c>
      <c r="H108" s="122" t="n">
        <f aca="false">IF(AND(H$5&gt;=$M$22,H$5&lt;$N$22),$E$22-$F$22-IF(H$5&gt;=$H$22,$G$22,0),0)*($H$22&lt;&gt;0)+IF(AND(H$5&gt;=$M$22,H$5&lt;$N$22),$E$22-$F$22,0)*($H$22=0)</f>
        <v>0</v>
      </c>
      <c r="I108" s="122" t="n">
        <f aca="false">IF(AND(I$5&gt;=$M$22,I$5&lt;$N$22),$E$22-$F$22-IF(I$5&gt;=$H$22,$G$22,0),0)*($H$22&lt;&gt;0)+IF(AND(I$5&gt;=$M$22,I$5&lt;$N$22),$E$22-$F$22,0)*($H$22=0)</f>
        <v>0</v>
      </c>
      <c r="J108" s="122" t="n">
        <f aca="false">IF(AND(J$5&gt;=$M$22,J$5&lt;$N$22),$E$22-$F$22-IF(J$5&gt;=$H$22,$G$22,0),0)*($H$22&lt;&gt;0)+IF(AND(J$5&gt;=$M$22,J$5&lt;$N$22),$E$22-$F$22,0)*($H$22=0)</f>
        <v>0</v>
      </c>
      <c r="K108" s="122" t="n">
        <f aca="false">IF(AND(K$5&gt;=$M$22,K$5&lt;$N$22),$E$22-$F$22-IF(K$5&gt;=$H$22,$G$22,0),0)*($H$22&lt;&gt;0)+IF(AND(K$5&gt;=$M$22,K$5&lt;$N$22),$E$22-$F$22,0)*($H$22=0)</f>
        <v>0</v>
      </c>
      <c r="L108" s="122" t="n">
        <f aca="false">IF(AND(L$5&gt;=$M$22,L$5&lt;$N$22),$E$22-$F$22-IF(L$5&gt;=$H$22,$G$22,0),0)*($H$22&lt;&gt;0)+IF(AND(L$5&gt;=$M$22,L$5&lt;$N$22),$E$22-$F$22,0)*($H$22=0)</f>
        <v>0</v>
      </c>
      <c r="M108" s="122" t="n">
        <f aca="false">IF(AND(M$5&gt;=$M$22,M$5&lt;$N$22),$E$22-$F$22-IF(M$5&gt;=$H$22,$G$22,0),0)*($H$22&lt;&gt;0)+IF(AND(M$5&gt;=$M$22,M$5&lt;$N$22),$E$22-$F$22,0)*($H$22=0)</f>
        <v>0</v>
      </c>
      <c r="N108" s="122" t="n">
        <f aca="false">IF(AND(N$5&gt;=$M$22,N$5&lt;$N$22),$E$22-$F$22-IF(N$5&gt;=$H$22,$G$22,0),0)*($H$22&lt;&gt;0)+IF(AND(N$5&gt;=$M$22,N$5&lt;$N$22),$E$22-$F$22,0)*($H$22=0)</f>
        <v>0</v>
      </c>
      <c r="O108" s="122" t="n">
        <f aca="false">IF(AND(O$5&gt;=$M$22,O$5&lt;$N$22),$E$22-$F$22-IF(O$5&gt;=$H$22,$G$22,0),0)*($H$22&lt;&gt;0)+IF(AND(O$5&gt;=$M$22,O$5&lt;$N$22),$E$22-$F$22,0)*($H$22=0)</f>
        <v>0</v>
      </c>
      <c r="P108" s="123" t="n">
        <f aca="false">IF(AND(P$5&gt;=$M$22,P$5&lt;$N$22),$E$22-$F$22-IF(P$5&gt;=$H$22,$G$22,0),0)*($H$22&lt;&gt;0)+IF(AND(P$5&gt;=$M$22,P$5&lt;$N$22),$E$22-$F$22,0)*($H$22=0)</f>
        <v>0</v>
      </c>
      <c r="Q108" s="123" t="n">
        <f aca="false">IF(AND(Q$5&gt;=$M$22,Q$5&lt;$N$22),$E$22-$F$22-IF(Q$5&gt;=$H$22,$G$22,0),0)*($H$22&lt;&gt;0)+IF(AND(Q$5&gt;=$M$22,Q$5&lt;$N$22),$E$22-$F$22,0)*($H$22=0)</f>
        <v>0</v>
      </c>
      <c r="R108" s="123" t="n">
        <f aca="false">IF(AND(R$5&gt;=$M$22,R$5&lt;$N$22),$E$22-$F$22-IF(R$5&gt;=$H$22,$G$22,0),0)*($H$22&lt;&gt;0)+IF(AND(R$5&gt;=$M$22,R$5&lt;$N$22),$E$22-$F$22,0)*($H$22=0)</f>
        <v>0</v>
      </c>
      <c r="S108" s="123" t="n">
        <f aca="false">IF(AND(S$5&gt;=$M$22,S$5&lt;$N$22),$E$22-$F$22-IF(S$5&gt;=$H$22,$G$22,0),0)*($H$22&lt;&gt;0)+IF(AND(S$5&gt;=$M$22,S$5&lt;$N$22),$E$22-$F$22,0)*($H$22=0)</f>
        <v>0</v>
      </c>
      <c r="T108" s="123" t="n">
        <f aca="false">IF(AND(T$5&gt;=$M$22,T$5&lt;$N$22),$E$22-$F$22-IF(T$5&gt;=$H$22,$G$22,0),0)*($H$22&lt;&gt;0)+IF(AND(T$5&gt;=$M$22,T$5&lt;$N$22),$E$22-$F$22,0)*($H$22=0)</f>
        <v>3840</v>
      </c>
      <c r="U108" s="123" t="n">
        <f aca="false">IF(AND(U$5&gt;=$M$22,U$5&lt;$N$22),$E$22-$F$22-IF(U$5&gt;=$H$22,$G$22,0),0)*($H$22&lt;&gt;0)+IF(AND(U$5&gt;=$M$22,U$5&lt;$N$22),$E$22-$F$22,0)*($H$22=0)</f>
        <v>3840</v>
      </c>
      <c r="V108" s="123" t="n">
        <f aca="false">IF(AND(V$5&gt;=$M$22,V$5&lt;$N$22),$E$22-$F$22-IF(V$5&gt;=$H$22,$G$22,0),0)*($H$22&lt;&gt;0)+IF(AND(V$5&gt;=$M$22,V$5&lt;$N$22),$E$22-$F$22,0)*($H$22=0)</f>
        <v>3840</v>
      </c>
      <c r="W108" s="123" t="n">
        <f aca="false">IF(AND(W$5&gt;=$M$22,W$5&lt;$N$22),$E$22-$F$22-IF(W$5&gt;=$H$22,$G$22,0),0)*($H$22&lt;&gt;0)+IF(AND(W$5&gt;=$M$22,W$5&lt;$N$22),$E$22-$F$22,0)*($H$22=0)</f>
        <v>3840</v>
      </c>
      <c r="X108" s="123" t="n">
        <f aca="false">IF(AND(X$5&gt;=$M$22,X$5&lt;$N$22),$E$22-$F$22-IF(X$5&gt;=$H$22,$G$22,0),0)*($H$22&lt;&gt;0)+IF(AND(X$5&gt;=$M$22,X$5&lt;$N$22),$E$22-$F$22,0)*($H$22=0)</f>
        <v>3840</v>
      </c>
      <c r="Y108" s="123" t="n">
        <f aca="false">IF(AND(Y$5&gt;=$M$22,Y$5&lt;$N$22),$E$22-$F$22-IF(Y$5&gt;=$H$22,$G$22,0),0)*($H$22&lt;&gt;0)+IF(AND(Y$5&gt;=$M$22,Y$5&lt;$N$22),$E$22-$F$22,0)*($H$22=0)</f>
        <v>3840</v>
      </c>
      <c r="Z108" s="123" t="n">
        <f aca="false">IF(AND(Z$5&gt;=$M$22,Z$5&lt;$N$22),$E$22-$F$22-IF(Z$5&gt;=$H$22,$G$22,0),0)*($H$22&lt;&gt;0)+IF(AND(Z$5&gt;=$M$22,Z$5&lt;$N$22),$E$22-$F$22,0)*($H$22=0)</f>
        <v>3840</v>
      </c>
      <c r="AA108" s="123" t="n">
        <f aca="false">IF(AND(AA$5&gt;=$M$22,AA$5&lt;$N$22),$E$22-$F$22-IF(AA$5&gt;=$H$22,$G$22,0),0)*($H$22&lt;&gt;0)+IF(AND(AA$5&gt;=$M$22,AA$5&lt;$N$22),$E$22-$F$22,0)*($H$22=0)</f>
        <v>3840</v>
      </c>
      <c r="AB108" s="123" t="n">
        <f aca="false">IF(AND(AB$5&gt;=$M$22,AB$5&lt;$N$22),$E$22-$F$22-IF(AB$5&gt;=$H$22,$G$22,0),0)*($H$22&lt;&gt;0)+IF(AND(AB$5&gt;=$M$22,AB$5&lt;$N$22),$E$22-$F$22,0)*($H$22=0)</f>
        <v>3840</v>
      </c>
      <c r="AC108" s="123" t="n">
        <f aca="false">IF(AND(AC$5&gt;=$M$22,AC$5&lt;$N$22),$E$22-$F$22-IF(AC$5&gt;=$H$22,$G$22,0),0)*($H$22&lt;&gt;0)+IF(AND(AC$5&gt;=$M$22,AC$5&lt;$N$22),$E$22-$F$22,0)*($H$22=0)</f>
        <v>3840</v>
      </c>
      <c r="AD108" s="123" t="n">
        <f aca="false">IF(AND(AD$5&gt;=$M$22,AD$5&lt;$N$22),$E$22-$F$22-IF(AD$5&gt;=$H$22,$G$22,0),0)*($H$22&lt;&gt;0)+IF(AND(AD$5&gt;=$M$22,AD$5&lt;$N$22),$E$22-$F$22,0)*($H$22=0)</f>
        <v>3840</v>
      </c>
      <c r="AE108" s="123" t="n">
        <f aca="false">IF(AND(AE$5&gt;=$M$22,AE$5&lt;$N$22),$E$22-$F$22-IF(AE$5&gt;=$H$22,$G$22,0),0)*($H$22&lt;&gt;0)+IF(AND(AE$5&gt;=$M$22,AE$5&lt;$N$22),$E$22-$F$22,0)*($H$22=0)</f>
        <v>3840</v>
      </c>
      <c r="AF108" s="123" t="n">
        <f aca="false">IF(AND(AF$5&gt;=$M$22,AF$5&lt;$N$22),$E$22-$F$22-IF(AF$5&gt;=$H$22,$G$22,0),0)*($H$22&lt;&gt;0)+IF(AND(AF$5&gt;=$M$22,AF$5&lt;$N$22),$E$22-$F$22,0)*($H$22=0)</f>
        <v>3840</v>
      </c>
      <c r="AG108" s="123" t="n">
        <f aca="false">IF(AND(AG$5&gt;=$M$22,AG$5&lt;$N$22),$E$22-$F$22-IF(AG$5&gt;=$H$22,$G$22,0),0)*($H$22&lt;&gt;0)+IF(AND(AG$5&gt;=$M$22,AG$5&lt;$N$22),$E$22-$F$22,0)*($H$22=0)</f>
        <v>3840</v>
      </c>
      <c r="AI108" s="123" t="n">
        <f aca="false">INDEX($F108:$AG108,1,MATCH(AI$7,$F$7:$AG$7,1))</f>
        <v>0</v>
      </c>
      <c r="AJ108" s="123" t="n">
        <f aca="false">INDEX($F108:$AG108,1,MATCH(AJ$7,$F$7:$AG$7,1))</f>
        <v>0</v>
      </c>
      <c r="AK108" s="123" t="n">
        <f aca="false">INDEX($F108:$AG108,1,MATCH(AK$7,$F$7:$AG$7,1))</f>
        <v>0</v>
      </c>
      <c r="AL108" s="123" t="n">
        <f aca="false">INDEX($F108:$AG108,1,MATCH(AL$7,$F$7:$AG$7,1))</f>
        <v>3840</v>
      </c>
      <c r="AM108" s="123" t="n">
        <f aca="false">INDEX($F108:$AG108,1,MATCH(AM$7,$F$7:$AG$7,1))</f>
        <v>3840</v>
      </c>
      <c r="AN108" s="123" t="n">
        <f aca="false">INDEX($F108:$AG108,1,MATCH(AN$7,$F$7:$AG$7,1))</f>
        <v>3840</v>
      </c>
      <c r="AO108" s="123" t="n">
        <f aca="false">INDEX($F108:$AG108,1,MATCH(AO$7,$F$7:$AG$7,1))</f>
        <v>3840</v>
      </c>
    </row>
    <row r="109" customFormat="false" ht="15" hidden="false" customHeight="false" outlineLevel="0" collapsed="false">
      <c r="A109" s="104" t="s">
        <v>2121</v>
      </c>
      <c r="B109" s="20" t="s">
        <v>561</v>
      </c>
      <c r="C109" s="20" t="s">
        <v>550</v>
      </c>
      <c r="D109" s="20"/>
      <c r="F109" s="122" t="n">
        <f aca="false">F108*$C$22/4</f>
        <v>0</v>
      </c>
      <c r="G109" s="122" t="n">
        <f aca="false">G108*$C$22/4</f>
        <v>0</v>
      </c>
      <c r="H109" s="122" t="n">
        <f aca="false">H108*$C$22/4</f>
        <v>0</v>
      </c>
      <c r="I109" s="122" t="n">
        <f aca="false">I108*$C$22/4</f>
        <v>0</v>
      </c>
      <c r="J109" s="122" t="n">
        <f aca="false">J108*$C$22/4</f>
        <v>0</v>
      </c>
      <c r="K109" s="122" t="n">
        <f aca="false">K108*$C$22/4</f>
        <v>0</v>
      </c>
      <c r="L109" s="122" t="n">
        <f aca="false">L108*$C$22/4</f>
        <v>0</v>
      </c>
      <c r="M109" s="122" t="n">
        <f aca="false">M108*$C$22/4</f>
        <v>0</v>
      </c>
      <c r="N109" s="122" t="n">
        <f aca="false">N108*$C$22/4</f>
        <v>0</v>
      </c>
      <c r="O109" s="122" t="n">
        <f aca="false">O108*$C$22/4</f>
        <v>0</v>
      </c>
      <c r="P109" s="123" t="n">
        <f aca="false">P108*$C$22/4</f>
        <v>0</v>
      </c>
      <c r="Q109" s="123" t="n">
        <f aca="false">Q108*$C$22/4</f>
        <v>0</v>
      </c>
      <c r="R109" s="123" t="n">
        <f aca="false">R108*$C$22/4</f>
        <v>0</v>
      </c>
      <c r="S109" s="123" t="n">
        <f aca="false">S108*$C$22/4</f>
        <v>0</v>
      </c>
      <c r="T109" s="123" t="n">
        <f aca="false">T108*$C$22/4</f>
        <v>4.8</v>
      </c>
      <c r="U109" s="123" t="n">
        <f aca="false">U108*$C$22/4</f>
        <v>4.8</v>
      </c>
      <c r="V109" s="123" t="n">
        <f aca="false">V108*$C$22/4</f>
        <v>4.8</v>
      </c>
      <c r="W109" s="123" t="n">
        <f aca="false">W108*$C$22/4</f>
        <v>4.8</v>
      </c>
      <c r="X109" s="123" t="n">
        <f aca="false">X108*$C$22/4</f>
        <v>4.8</v>
      </c>
      <c r="Y109" s="123" t="n">
        <f aca="false">Y108*$C$22/4</f>
        <v>4.8</v>
      </c>
      <c r="Z109" s="123" t="n">
        <f aca="false">Z108*$C$22/4</f>
        <v>4.8</v>
      </c>
      <c r="AA109" s="123" t="n">
        <f aca="false">AA108*$C$22/4</f>
        <v>4.8</v>
      </c>
      <c r="AB109" s="123" t="n">
        <f aca="false">AB108*$C$22/4</f>
        <v>4.8</v>
      </c>
      <c r="AC109" s="123" t="n">
        <f aca="false">AC108*$C$22/4</f>
        <v>4.8</v>
      </c>
      <c r="AD109" s="123" t="n">
        <f aca="false">AD108*$C$22/4</f>
        <v>4.8</v>
      </c>
      <c r="AE109" s="123" t="n">
        <f aca="false">AE108*$C$22/4</f>
        <v>4.8</v>
      </c>
      <c r="AF109" s="123" t="n">
        <f aca="false">AF108*$C$22/4</f>
        <v>4.8</v>
      </c>
      <c r="AG109" s="123" t="n">
        <f aca="false">AG108*$C$22/4</f>
        <v>4.8</v>
      </c>
      <c r="AI109" s="123" t="n">
        <f aca="false">SUMIF($F$7:$AG$7,AI$7,$F109:$AG109)</f>
        <v>0</v>
      </c>
      <c r="AJ109" s="123" t="n">
        <f aca="false">SUMIF($F$7:$AG$7,AJ$7,$F109:$AG109)</f>
        <v>0</v>
      </c>
      <c r="AK109" s="123" t="n">
        <f aca="false">SUMIF($F$7:$AG$7,AK$7,$F109:$AG109)</f>
        <v>0</v>
      </c>
      <c r="AL109" s="123" t="n">
        <f aca="false">SUMIF($F$7:$AG$7,AL$7,$F109:$AG109)</f>
        <v>9.6</v>
      </c>
      <c r="AM109" s="123" t="n">
        <f aca="false">SUMIF($F$7:$AG$7,AM$7,$F109:$AG109)</f>
        <v>19.2</v>
      </c>
      <c r="AN109" s="123" t="n">
        <f aca="false">SUMIF($F$7:$AG$7,AN$7,$F109:$AG109)</f>
        <v>19.2</v>
      </c>
      <c r="AO109" s="123" t="n">
        <f aca="false">SUMIF($F$7:$AG$7,AO$7,$F109:$AG109)</f>
        <v>19.2</v>
      </c>
    </row>
    <row r="110" customFormat="false" ht="15" hidden="false" customHeight="false" outlineLevel="0" collapsed="false">
      <c r="A110" s="104" t="s">
        <v>2122</v>
      </c>
      <c r="B110" s="20" t="s">
        <v>561</v>
      </c>
      <c r="C110" s="20" t="s">
        <v>550</v>
      </c>
      <c r="D110" s="20"/>
      <c r="F110" s="122" t="n">
        <f aca="false">F108*($J$22-1)/(($D$22-$B$22)/91.3125)</f>
        <v>0</v>
      </c>
      <c r="G110" s="122" t="n">
        <f aca="false">G108*($J$22-1)/(($D$22-$B$22)/91.3125)</f>
        <v>0</v>
      </c>
      <c r="H110" s="122" t="n">
        <f aca="false">H108*($J$22-1)/(($D$22-$B$22)/91.3125)</f>
        <v>0</v>
      </c>
      <c r="I110" s="122" t="n">
        <f aca="false">I108*($J$22-1)/(($D$22-$B$22)/91.3125)</f>
        <v>0</v>
      </c>
      <c r="J110" s="122" t="n">
        <f aca="false">J108*($J$22-1)/(($D$22-$B$22)/91.3125)</f>
        <v>0</v>
      </c>
      <c r="K110" s="122" t="n">
        <f aca="false">K108*($J$22-1)/(($D$22-$B$22)/91.3125)</f>
        <v>0</v>
      </c>
      <c r="L110" s="122" t="n">
        <f aca="false">L108*($J$22-1)/(($D$22-$B$22)/91.3125)</f>
        <v>0</v>
      </c>
      <c r="M110" s="122" t="n">
        <f aca="false">M108*($J$22-1)/(($D$22-$B$22)/91.3125)</f>
        <v>0</v>
      </c>
      <c r="N110" s="122" t="n">
        <f aca="false">N108*($J$22-1)/(($D$22-$B$22)/91.3125)</f>
        <v>0</v>
      </c>
      <c r="O110" s="122" t="n">
        <f aca="false">O108*($J$22-1)/(($D$22-$B$22)/91.3125)</f>
        <v>0</v>
      </c>
      <c r="P110" s="123" t="n">
        <f aca="false">P108*($J$22-1)/(($D$22-$B$22)/91.3125)</f>
        <v>0</v>
      </c>
      <c r="Q110" s="123" t="n">
        <f aca="false">Q108*($J$22-1)/(($D$22-$B$22)/91.3125)</f>
        <v>0</v>
      </c>
      <c r="R110" s="123" t="n">
        <f aca="false">R108*($J$22-1)/(($D$22-$B$22)/91.3125)</f>
        <v>0</v>
      </c>
      <c r="S110" s="123" t="n">
        <f aca="false">S108*($J$22-1)/(($D$22-$B$22)/91.3125)</f>
        <v>0</v>
      </c>
      <c r="T110" s="123" t="n">
        <f aca="false">T108*($J$22-1)/(($D$22-$B$22)/91.3125)</f>
        <v>27.39375</v>
      </c>
      <c r="U110" s="123" t="n">
        <f aca="false">U108*($J$22-1)/(($D$22-$B$22)/91.3125)</f>
        <v>27.39375</v>
      </c>
      <c r="V110" s="123" t="n">
        <f aca="false">V108*($J$22-1)/(($D$22-$B$22)/91.3125)</f>
        <v>27.39375</v>
      </c>
      <c r="W110" s="123" t="n">
        <f aca="false">W108*($J$22-1)/(($D$22-$B$22)/91.3125)</f>
        <v>27.39375</v>
      </c>
      <c r="X110" s="123" t="n">
        <f aca="false">X108*($J$22-1)/(($D$22-$B$22)/91.3125)</f>
        <v>27.39375</v>
      </c>
      <c r="Y110" s="123" t="n">
        <f aca="false">Y108*($J$22-1)/(($D$22-$B$22)/91.3125)</f>
        <v>27.39375</v>
      </c>
      <c r="Z110" s="123" t="n">
        <f aca="false">Z108*($J$22-1)/(($D$22-$B$22)/91.3125)</f>
        <v>27.39375</v>
      </c>
      <c r="AA110" s="123" t="n">
        <f aca="false">AA108*($J$22-1)/(($D$22-$B$22)/91.3125)</f>
        <v>27.39375</v>
      </c>
      <c r="AB110" s="123" t="n">
        <f aca="false">AB108*($J$22-1)/(($D$22-$B$22)/91.3125)</f>
        <v>27.39375</v>
      </c>
      <c r="AC110" s="123" t="n">
        <f aca="false">AC108*($J$22-1)/(($D$22-$B$22)/91.3125)</f>
        <v>27.39375</v>
      </c>
      <c r="AD110" s="123" t="n">
        <f aca="false">AD108*($J$22-1)/(($D$22-$B$22)/91.3125)</f>
        <v>27.39375</v>
      </c>
      <c r="AE110" s="123" t="n">
        <f aca="false">AE108*($J$22-1)/(($D$22-$B$22)/91.3125)</f>
        <v>27.39375</v>
      </c>
      <c r="AF110" s="123" t="n">
        <f aca="false">AF108*($J$22-1)/(($D$22-$B$22)/91.3125)</f>
        <v>27.39375</v>
      </c>
      <c r="AG110" s="123" t="n">
        <f aca="false">AG108*($J$22-1)/(($D$22-$B$22)/91.3125)</f>
        <v>27.39375</v>
      </c>
      <c r="AI110" s="123" t="n">
        <f aca="false">SUMIF($F$7:$AG$7,AI$7,$F110:$AG110)</f>
        <v>0</v>
      </c>
      <c r="AJ110" s="123" t="n">
        <f aca="false">SUMIF($F$7:$AG$7,AJ$7,$F110:$AG110)</f>
        <v>0</v>
      </c>
      <c r="AK110" s="123" t="n">
        <f aca="false">SUMIF($F$7:$AG$7,AK$7,$F110:$AG110)</f>
        <v>0</v>
      </c>
      <c r="AL110" s="123" t="n">
        <f aca="false">SUMIF($F$7:$AG$7,AL$7,$F110:$AG110)</f>
        <v>54.7875000000001</v>
      </c>
      <c r="AM110" s="123" t="n">
        <f aca="false">SUMIF($F$7:$AG$7,AM$7,$F110:$AG110)</f>
        <v>109.575</v>
      </c>
      <c r="AN110" s="123" t="n">
        <f aca="false">SUMIF($F$7:$AG$7,AN$7,$F110:$AG110)</f>
        <v>109.575</v>
      </c>
      <c r="AO110" s="123" t="n">
        <f aca="false">SUMIF($F$7:$AG$7,AO$7,$F110:$AG110)</f>
        <v>109.575</v>
      </c>
    </row>
    <row r="111" customFormat="false" ht="15" hidden="false" customHeight="false" outlineLevel="0" collapsed="false">
      <c r="A111" s="104" t="s">
        <v>2123</v>
      </c>
      <c r="B111" s="20" t="s">
        <v>561</v>
      </c>
      <c r="C111" s="20" t="s">
        <v>550</v>
      </c>
      <c r="D111" s="20"/>
      <c r="F111" s="122" t="n">
        <f aca="false">F108*(1+($J$22-1)*MIN(1,MAX(0,(F$4-$B$22)/($D$22-$B$22))))</f>
        <v>0</v>
      </c>
      <c r="G111" s="122" t="n">
        <f aca="false">G108*(1+($J$22-1)*MIN(1,MAX(0,(G$4-$B$22)/($D$22-$B$22))))</f>
        <v>0</v>
      </c>
      <c r="H111" s="122" t="n">
        <f aca="false">H108*(1+($J$22-1)*MIN(1,MAX(0,(H$4-$B$22)/($D$22-$B$22))))</f>
        <v>0</v>
      </c>
      <c r="I111" s="122" t="n">
        <f aca="false">I108*(1+($J$22-1)*MIN(1,MAX(0,(I$4-$B$22)/($D$22-$B$22))))</f>
        <v>0</v>
      </c>
      <c r="J111" s="122" t="n">
        <f aca="false">J108*(1+($J$22-1)*MIN(1,MAX(0,(J$4-$B$22)/($D$22-$B$22))))</f>
        <v>0</v>
      </c>
      <c r="K111" s="122" t="n">
        <f aca="false">K108*(1+($J$22-1)*MIN(1,MAX(0,(K$4-$B$22)/($D$22-$B$22))))</f>
        <v>0</v>
      </c>
      <c r="L111" s="122" t="n">
        <f aca="false">L108*(1+($J$22-1)*MIN(1,MAX(0,(L$4-$B$22)/($D$22-$B$22))))</f>
        <v>0</v>
      </c>
      <c r="M111" s="122" t="n">
        <f aca="false">M108*(1+($J$22-1)*MIN(1,MAX(0,(M$4-$B$22)/($D$22-$B$22))))</f>
        <v>0</v>
      </c>
      <c r="N111" s="122" t="n">
        <f aca="false">N108*(1+($J$22-1)*MIN(1,MAX(0,(N$4-$B$22)/($D$22-$B$22))))</f>
        <v>0</v>
      </c>
      <c r="O111" s="122" t="n">
        <f aca="false">O108*(1+($J$22-1)*MIN(1,MAX(0,(O$4-$B$22)/($D$22-$B$22))))</f>
        <v>0</v>
      </c>
      <c r="P111" s="123" t="n">
        <f aca="false">P108*(1+($J$22-1)*MIN(1,MAX(0,(P$4-$B$22)/($D$22-$B$22))))</f>
        <v>0</v>
      </c>
      <c r="Q111" s="123" t="n">
        <f aca="false">Q108*(1+($J$22-1)*MIN(1,MAX(0,(Q$4-$B$22)/($D$22-$B$22))))</f>
        <v>0</v>
      </c>
      <c r="R111" s="123" t="n">
        <f aca="false">R108*(1+($J$22-1)*MIN(1,MAX(0,(R$4-$B$22)/($D$22-$B$22))))</f>
        <v>0</v>
      </c>
      <c r="S111" s="123" t="n">
        <f aca="false">S108*(1+($J$22-1)*MIN(1,MAX(0,(S$4-$B$22)/($D$22-$B$22))))</f>
        <v>0</v>
      </c>
      <c r="T111" s="123" t="n">
        <f aca="false">T108*(1+($J$22-1)*MIN(1,MAX(0,(T$4-$B$22)/($D$22-$B$22))))</f>
        <v>3854.1</v>
      </c>
      <c r="U111" s="123" t="n">
        <f aca="false">U108*(1+($J$22-1)*MIN(1,MAX(0,(U$4-$B$22)/($D$22-$B$22))))</f>
        <v>3881.7</v>
      </c>
      <c r="V111" s="123" t="n">
        <f aca="false">V108*(1+($J$22-1)*MIN(1,MAX(0,(V$4-$B$22)/($D$22-$B$22))))</f>
        <v>3909</v>
      </c>
      <c r="W111" s="123" t="n">
        <f aca="false">W108*(1+($J$22-1)*MIN(1,MAX(0,(W$4-$B$22)/($D$22-$B$22))))</f>
        <v>3936.3</v>
      </c>
      <c r="X111" s="123" t="n">
        <f aca="false">X108*(1+($J$22-1)*MIN(1,MAX(0,(X$4-$B$22)/($D$22-$B$22))))</f>
        <v>3963.9</v>
      </c>
      <c r="Y111" s="123" t="n">
        <f aca="false">Y108*(1+($J$22-1)*MIN(1,MAX(0,(Y$4-$B$22)/($D$22-$B$22))))</f>
        <v>3991.5</v>
      </c>
      <c r="Z111" s="123" t="n">
        <f aca="false">Z108*(1+($J$22-1)*MIN(1,MAX(0,(Z$4-$B$22)/($D$22-$B$22))))</f>
        <v>4018.5</v>
      </c>
      <c r="AA111" s="123" t="n">
        <f aca="false">AA108*(1+($J$22-1)*MIN(1,MAX(0,(AA$4-$B$22)/($D$22-$B$22))))</f>
        <v>4045.8</v>
      </c>
      <c r="AB111" s="123" t="n">
        <f aca="false">AB108*(1+($J$22-1)*MIN(1,MAX(0,(AB$4-$B$22)/($D$22-$B$22))))</f>
        <v>4073.4</v>
      </c>
      <c r="AC111" s="123" t="n">
        <f aca="false">AC108*(1+($J$22-1)*MIN(1,MAX(0,(AC$4-$B$22)/($D$22-$B$22))))</f>
        <v>4101</v>
      </c>
      <c r="AD111" s="123" t="n">
        <f aca="false">AD108*(1+($J$22-1)*MIN(1,MAX(0,(AD$4-$B$22)/($D$22-$B$22))))</f>
        <v>4128</v>
      </c>
      <c r="AE111" s="123" t="n">
        <f aca="false">AE108*(1+($J$22-1)*MIN(1,MAX(0,(AE$4-$B$22)/($D$22-$B$22))))</f>
        <v>4155.3</v>
      </c>
      <c r="AF111" s="123" t="n">
        <f aca="false">AF108*(1+($J$22-1)*MIN(1,MAX(0,(AF$4-$B$22)/($D$22-$B$22))))</f>
        <v>4182.9</v>
      </c>
      <c r="AG111" s="123" t="n">
        <f aca="false">AG108*(1+($J$22-1)*MIN(1,MAX(0,(AG$4-$B$22)/($D$22-$B$22))))</f>
        <v>4210.5</v>
      </c>
      <c r="AI111" s="123" t="n">
        <f aca="false">INDEX($F111:$AG111,1,MATCH(AI$7,$F$7:$AG$7,1))</f>
        <v>0</v>
      </c>
      <c r="AJ111" s="123" t="n">
        <f aca="false">INDEX($F111:$AG111,1,MATCH(AJ$7,$F$7:$AG$7,1))</f>
        <v>0</v>
      </c>
      <c r="AK111" s="123" t="n">
        <f aca="false">INDEX($F111:$AG111,1,MATCH(AK$7,$F$7:$AG$7,1))</f>
        <v>0</v>
      </c>
      <c r="AL111" s="123" t="n">
        <f aca="false">INDEX($F111:$AG111,1,MATCH(AL$7,$F$7:$AG$7,1))</f>
        <v>3881.7</v>
      </c>
      <c r="AM111" s="123" t="n">
        <f aca="false">INDEX($F111:$AG111,1,MATCH(AM$7,$F$7:$AG$7,1))</f>
        <v>3991.5</v>
      </c>
      <c r="AN111" s="123" t="n">
        <f aca="false">INDEX($F111:$AG111,1,MATCH(AN$7,$F$7:$AG$7,1))</f>
        <v>4101</v>
      </c>
      <c r="AO111" s="123" t="n">
        <f aca="false">INDEX($F111:$AG111,1,MATCH(AO$7,$F$7:$AG$7,1))</f>
        <v>4210.5</v>
      </c>
    </row>
    <row r="112" customFormat="false" ht="15" hidden="false" customHeight="false" outlineLevel="0" collapsed="false">
      <c r="A112" s="104" t="s">
        <v>2124</v>
      </c>
      <c r="B112" s="20" t="s">
        <v>561</v>
      </c>
      <c r="C112" s="20" t="s">
        <v>550</v>
      </c>
      <c r="D112" s="20"/>
      <c r="F112" s="122" t="n">
        <f aca="false">IF(F$5=$N$22,E108*$J$22*(1-$O$22),0)</f>
        <v>0</v>
      </c>
      <c r="G112" s="122" t="n">
        <f aca="false">IF(G$5=$N$22,F108*$J$22*(1-$O$22),0)</f>
        <v>0</v>
      </c>
      <c r="H112" s="122" t="n">
        <f aca="false">IF(H$5=$N$22,G108*$J$22*(1-$O$22),0)</f>
        <v>0</v>
      </c>
      <c r="I112" s="122" t="n">
        <f aca="false">IF(I$5=$N$22,H108*$J$22*(1-$O$22),0)</f>
        <v>0</v>
      </c>
      <c r="J112" s="122" t="n">
        <f aca="false">IF(J$5=$N$22,I108*$J$22*(1-$O$22),0)</f>
        <v>0</v>
      </c>
      <c r="K112" s="122" t="n">
        <f aca="false">IF(K$5=$N$22,J108*$J$22*(1-$O$22),0)</f>
        <v>0</v>
      </c>
      <c r="L112" s="122" t="n">
        <f aca="false">IF(L$5=$N$22,K108*$J$22*(1-$O$22),0)</f>
        <v>0</v>
      </c>
      <c r="M112" s="122" t="n">
        <f aca="false">IF(M$5=$N$22,L108*$J$22*(1-$O$22),0)</f>
        <v>0</v>
      </c>
      <c r="N112" s="122" t="n">
        <f aca="false">IF(N$5=$N$22,M108*$J$22*(1-$O$22),0)</f>
        <v>0</v>
      </c>
      <c r="O112" s="122" t="n">
        <f aca="false">IF(O$5=$N$22,N108*$J$22*(1-$O$22),0)</f>
        <v>0</v>
      </c>
      <c r="P112" s="123" t="n">
        <f aca="false">IF(P$5=$N$22,O108*$J$22*(1-$O$22),0)</f>
        <v>0</v>
      </c>
      <c r="Q112" s="123" t="n">
        <f aca="false">IF(Q$5=$N$22,P108*$J$22*(1-$O$22),0)</f>
        <v>0</v>
      </c>
      <c r="R112" s="123" t="n">
        <f aca="false">IF(R$5=$N$22,Q108*$J$22*(1-$O$22),0)</f>
        <v>0</v>
      </c>
      <c r="S112" s="123" t="n">
        <f aca="false">IF(S$5=$N$22,R108*$J$22*(1-$O$22),0)</f>
        <v>0</v>
      </c>
      <c r="T112" s="123" t="n">
        <f aca="false">IF(T$5=$N$22,S108*$J$22*(1-$O$22),0)</f>
        <v>0</v>
      </c>
      <c r="U112" s="123" t="n">
        <f aca="false">IF(U$5=$N$22,T108*$J$22*(1-$O$22),0)</f>
        <v>0</v>
      </c>
      <c r="V112" s="123" t="n">
        <f aca="false">IF(V$5=$N$22,U108*$J$22*(1-$O$22),0)</f>
        <v>0</v>
      </c>
      <c r="W112" s="123" t="n">
        <f aca="false">IF(W$5=$N$22,V108*$J$22*(1-$O$22),0)</f>
        <v>0</v>
      </c>
      <c r="X112" s="123" t="n">
        <f aca="false">IF(X$5=$N$22,W108*$J$22*(1-$O$22),0)</f>
        <v>0</v>
      </c>
      <c r="Y112" s="123" t="n">
        <f aca="false">IF(Y$5=$N$22,X108*$J$22*(1-$O$22),0)</f>
        <v>0</v>
      </c>
      <c r="Z112" s="123" t="n">
        <f aca="false">IF(Z$5=$N$22,Y108*$J$22*(1-$O$22),0)</f>
        <v>0</v>
      </c>
      <c r="AA112" s="123" t="n">
        <f aca="false">IF(AA$5=$N$22,Z108*$J$22*(1-$O$22),0)</f>
        <v>0</v>
      </c>
      <c r="AB112" s="123" t="n">
        <f aca="false">IF(AB$5=$N$22,AA108*$J$22*(1-$O$22),0)</f>
        <v>0</v>
      </c>
      <c r="AC112" s="123" t="n">
        <f aca="false">IF(AC$5=$N$22,AB108*$J$22*(1-$O$22),0)</f>
        <v>0</v>
      </c>
      <c r="AD112" s="123" t="n">
        <f aca="false">IF(AD$5=$N$22,AC108*$J$22*(1-$O$22),0)</f>
        <v>0</v>
      </c>
      <c r="AE112" s="123" t="n">
        <f aca="false">IF(AE$5=$N$22,AD108*$J$22*(1-$O$22),0)</f>
        <v>0</v>
      </c>
      <c r="AF112" s="123" t="n">
        <f aca="false">IF(AF$5=$N$22,AE108*$J$22*(1-$O$22),0)</f>
        <v>0</v>
      </c>
      <c r="AG112" s="123" t="n">
        <f aca="false">IF(AG$5=$N$22,AF108*$J$22*(1-$O$22),0)</f>
        <v>0</v>
      </c>
      <c r="AI112" s="123" t="n">
        <f aca="false">SUMIF($F$7:$AG$7,AI$7,$F112:$AG112)</f>
        <v>0</v>
      </c>
      <c r="AJ112" s="123" t="n">
        <f aca="false">SUMIF($F$7:$AG$7,AJ$7,$F112:$AG112)</f>
        <v>0</v>
      </c>
      <c r="AK112" s="123" t="n">
        <f aca="false">SUMIF($F$7:$AG$7,AK$7,$F112:$AG112)</f>
        <v>0</v>
      </c>
      <c r="AL112" s="123" t="n">
        <f aca="false">SUMIF($F$7:$AG$7,AL$7,$F112:$AG112)</f>
        <v>0</v>
      </c>
      <c r="AM112" s="123" t="n">
        <f aca="false">SUMIF($F$7:$AG$7,AM$7,$F112:$AG112)</f>
        <v>0</v>
      </c>
      <c r="AN112" s="123" t="n">
        <f aca="false">SUMIF($F$7:$AG$7,AN$7,$F112:$AG112)</f>
        <v>0</v>
      </c>
      <c r="AO112" s="123" t="n">
        <f aca="false">SUMIF($F$7:$AG$7,AO$7,$F112:$AG112)</f>
        <v>0</v>
      </c>
    </row>
    <row r="113" customFormat="false" ht="15" hidden="false" customHeight="false" outlineLevel="0" collapsed="false">
      <c r="A113" s="104" t="s">
        <v>2125</v>
      </c>
      <c r="B113" s="20" t="s">
        <v>995</v>
      </c>
      <c r="C113" s="20" t="s">
        <v>550</v>
      </c>
      <c r="D113" s="20"/>
      <c r="F113" s="137" t="n">
        <f aca="false">IF(F$5=$N$22,E108*$K$22/1000*$O$22,0)</f>
        <v>0</v>
      </c>
      <c r="G113" s="137" t="n">
        <f aca="false">IF(G$5=$N$22,F108*$K$22/1000*$O$22,0)</f>
        <v>0</v>
      </c>
      <c r="H113" s="137" t="n">
        <f aca="false">IF(H$5=$N$22,G108*$K$22/1000*$O$22,0)</f>
        <v>0</v>
      </c>
      <c r="I113" s="137" t="n">
        <f aca="false">IF(I$5=$N$22,H108*$K$22/1000*$O$22,0)</f>
        <v>0</v>
      </c>
      <c r="J113" s="137" t="n">
        <f aca="false">IF(J$5=$N$22,I108*$K$22/1000*$O$22,0)</f>
        <v>0</v>
      </c>
      <c r="K113" s="137" t="n">
        <f aca="false">IF(K$5=$N$22,J108*$K$22/1000*$O$22,0)</f>
        <v>0</v>
      </c>
      <c r="L113" s="137" t="n">
        <f aca="false">IF(L$5=$N$22,K108*$K$22/1000*$O$22,0)</f>
        <v>0</v>
      </c>
      <c r="M113" s="137" t="n">
        <f aca="false">IF(M$5=$N$22,L108*$K$22/1000*$O$22,0)</f>
        <v>0</v>
      </c>
      <c r="N113" s="137" t="n">
        <f aca="false">IF(N$5=$N$22,M108*$K$22/1000*$O$22,0)</f>
        <v>0</v>
      </c>
      <c r="O113" s="137" t="n">
        <f aca="false">IF(O$5=$N$22,N108*$K$22/1000*$O$22,0)</f>
        <v>0</v>
      </c>
      <c r="P113" s="42" t="n">
        <f aca="false">IF(P$5=$N$22,O108*$K$22/1000*$O$22,0)</f>
        <v>0</v>
      </c>
      <c r="Q113" s="42" t="n">
        <f aca="false">IF(Q$5=$N$22,P108*$K$22/1000*$O$22,0)</f>
        <v>0</v>
      </c>
      <c r="R113" s="42" t="n">
        <f aca="false">IF(R$5=$N$22,Q108*$K$22/1000*$O$22,0)</f>
        <v>0</v>
      </c>
      <c r="S113" s="42" t="n">
        <f aca="false">IF(S$5=$N$22,R108*$K$22/1000*$O$22,0)</f>
        <v>0</v>
      </c>
      <c r="T113" s="42" t="n">
        <f aca="false">IF(T$5=$N$22,S108*$K$22/1000*$O$22,0)</f>
        <v>0</v>
      </c>
      <c r="U113" s="42" t="n">
        <f aca="false">IF(U$5=$N$22,T108*$K$22/1000*$O$22,0)</f>
        <v>0</v>
      </c>
      <c r="V113" s="42" t="n">
        <f aca="false">IF(V$5=$N$22,U108*$K$22/1000*$O$22,0)</f>
        <v>0</v>
      </c>
      <c r="W113" s="42" t="n">
        <f aca="false">IF(W$5=$N$22,V108*$K$22/1000*$O$22,0)</f>
        <v>0</v>
      </c>
      <c r="X113" s="42" t="n">
        <f aca="false">IF(X$5=$N$22,W108*$K$22/1000*$O$22,0)</f>
        <v>0</v>
      </c>
      <c r="Y113" s="42" t="n">
        <f aca="false">IF(Y$5=$N$22,X108*$K$22/1000*$O$22,0)</f>
        <v>0</v>
      </c>
      <c r="Z113" s="42" t="n">
        <f aca="false">IF(Z$5=$N$22,Y108*$K$22/1000*$O$22,0)</f>
        <v>0</v>
      </c>
      <c r="AA113" s="42" t="n">
        <f aca="false">IF(AA$5=$N$22,Z108*$K$22/1000*$O$22,0)</f>
        <v>0</v>
      </c>
      <c r="AB113" s="42" t="n">
        <f aca="false">IF(AB$5=$N$22,AA108*$K$22/1000*$O$22,0)</f>
        <v>0</v>
      </c>
      <c r="AC113" s="42" t="n">
        <f aca="false">IF(AC$5=$N$22,AB108*$K$22/1000*$O$22,0)</f>
        <v>0</v>
      </c>
      <c r="AD113" s="42" t="n">
        <f aca="false">IF(AD$5=$N$22,AC108*$K$22/1000*$O$22,0)</f>
        <v>0</v>
      </c>
      <c r="AE113" s="42" t="n">
        <f aca="false">IF(AE$5=$N$22,AD108*$K$22/1000*$O$22,0)</f>
        <v>0</v>
      </c>
      <c r="AF113" s="42" t="n">
        <f aca="false">IF(AF$5=$N$22,AE108*$K$22/1000*$O$22,0)</f>
        <v>0</v>
      </c>
      <c r="AG113" s="42" t="n">
        <f aca="false">IF(AG$5=$N$22,AF108*$K$22/1000*$O$22,0)</f>
        <v>0</v>
      </c>
      <c r="AI113" s="42" t="n">
        <f aca="false">SUMIF($F$7:$AG$7,AI$7,$F113:$AG113)</f>
        <v>0</v>
      </c>
      <c r="AJ113" s="42" t="n">
        <f aca="false">SUMIF($F$7:$AG$7,AJ$7,$F113:$AG113)</f>
        <v>0</v>
      </c>
      <c r="AK113" s="42" t="n">
        <f aca="false">SUMIF($F$7:$AG$7,AK$7,$F113:$AG113)</f>
        <v>0</v>
      </c>
      <c r="AL113" s="42" t="n">
        <f aca="false">SUMIF($F$7:$AG$7,AL$7,$F113:$AG113)</f>
        <v>0</v>
      </c>
      <c r="AM113" s="42" t="n">
        <f aca="false">SUMIF($F$7:$AG$7,AM$7,$F113:$AG113)</f>
        <v>0</v>
      </c>
      <c r="AN113" s="42" t="n">
        <f aca="false">SUMIF($F$7:$AG$7,AN$7,$F113:$AG113)</f>
        <v>0</v>
      </c>
      <c r="AO113" s="42" t="n">
        <f aca="false">SUMIF($F$7:$AG$7,AO$7,$F113:$AG113)</f>
        <v>0</v>
      </c>
    </row>
    <row r="114" customFormat="false" ht="15" hidden="false" customHeight="false" outlineLevel="0" collapsed="false">
      <c r="A114" s="104" t="s">
        <v>2126</v>
      </c>
      <c r="B114" s="20" t="s">
        <v>995</v>
      </c>
      <c r="C114" s="20" t="s">
        <v>495</v>
      </c>
      <c r="D114" s="20"/>
      <c r="F114" s="137" t="n">
        <f aca="false">IF(DilMethod=3,MAX(0,F108*$K$22/1000*DilPx-F111)/DilPx,F108*$K$22/1000*$P$22)</f>
        <v>0</v>
      </c>
      <c r="G114" s="137" t="n">
        <f aca="false">IF(DilMethod=3,MAX(0,G108*$K$22/1000*DilPx-G111)/DilPx,G108*$K$22/1000*$P$22)</f>
        <v>0</v>
      </c>
      <c r="H114" s="137" t="n">
        <f aca="false">IF(DilMethod=3,MAX(0,H108*$K$22/1000*DilPx-H111)/DilPx,H108*$K$22/1000*$P$22)</f>
        <v>0</v>
      </c>
      <c r="I114" s="137" t="n">
        <f aca="false">IF(DilMethod=3,MAX(0,I108*$K$22/1000*DilPx-I111)/DilPx,I108*$K$22/1000*$P$22)</f>
        <v>0</v>
      </c>
      <c r="J114" s="137" t="n">
        <f aca="false">IF(DilMethod=3,MAX(0,J108*$K$22/1000*DilPx-J111)/DilPx,J108*$K$22/1000*$P$22)</f>
        <v>0</v>
      </c>
      <c r="K114" s="137" t="n">
        <f aca="false">IF(DilMethod=3,MAX(0,K108*$K$22/1000*DilPx-K111)/DilPx,K108*$K$22/1000*$P$22)</f>
        <v>0</v>
      </c>
      <c r="L114" s="137" t="n">
        <f aca="false">IF(DilMethod=3,MAX(0,L108*$K$22/1000*DilPx-L111)/DilPx,L108*$K$22/1000*$P$22)</f>
        <v>0</v>
      </c>
      <c r="M114" s="137" t="n">
        <f aca="false">IF(DilMethod=3,MAX(0,M108*$K$22/1000*DilPx-M111)/DilPx,M108*$K$22/1000*$P$22)</f>
        <v>0</v>
      </c>
      <c r="N114" s="137" t="n">
        <f aca="false">IF(DilMethod=3,MAX(0,N108*$K$22/1000*DilPx-N111)/DilPx,N108*$K$22/1000*$P$22)</f>
        <v>0</v>
      </c>
      <c r="O114" s="137" t="n">
        <f aca="false">IF(DilMethod=3,MAX(0,O108*$K$22/1000*DilPx-O111)/DilPx,O108*$K$22/1000*$P$22)</f>
        <v>0</v>
      </c>
      <c r="P114" s="42" t="n">
        <f aca="false">IF(DilMethod=3,MAX(0,P108*$K$22/1000*DilPx-P111)/DilPx,P108*$K$22/1000*$P$22)</f>
        <v>0</v>
      </c>
      <c r="Q114" s="42" t="n">
        <f aca="false">IF(DilMethod=3,MAX(0,Q108*$K$22/1000*DilPx-Q111)/DilPx,Q108*$K$22/1000*$P$22)</f>
        <v>0</v>
      </c>
      <c r="R114" s="42" t="n">
        <f aca="false">IF(DilMethod=3,MAX(0,R108*$K$22/1000*DilPx-R111)/DilPx,R108*$K$22/1000*$P$22)</f>
        <v>0</v>
      </c>
      <c r="S114" s="42" t="n">
        <f aca="false">IF(DilMethod=3,MAX(0,S108*$K$22/1000*DilPx-S111)/DilPx,S108*$K$22/1000*$P$22)</f>
        <v>0</v>
      </c>
      <c r="T114" s="42" t="n">
        <f aca="false">IF(DilMethod=3,MAX(0,T108*$K$22/1000*DilPx-T111)/DilPx,T108*$K$22/1000*$P$22)</f>
        <v>0</v>
      </c>
      <c r="U114" s="42" t="n">
        <f aca="false">IF(DilMethod=3,MAX(0,U108*$K$22/1000*DilPx-U111)/DilPx,U108*$K$22/1000*$P$22)</f>
        <v>0</v>
      </c>
      <c r="V114" s="42" t="n">
        <f aca="false">IF(DilMethod=3,MAX(0,V108*$K$22/1000*DilPx-V111)/DilPx,V108*$K$22/1000*$P$22)</f>
        <v>0</v>
      </c>
      <c r="W114" s="42" t="n">
        <f aca="false">IF(DilMethod=3,MAX(0,W108*$K$22/1000*DilPx-W111)/DilPx,W108*$K$22/1000*$P$22)</f>
        <v>0</v>
      </c>
      <c r="X114" s="42" t="n">
        <f aca="false">IF(DilMethod=3,MAX(0,X108*$K$22/1000*DilPx-X111)/DilPx,X108*$K$22/1000*$P$22)</f>
        <v>0</v>
      </c>
      <c r="Y114" s="42" t="n">
        <f aca="false">IF(DilMethod=3,MAX(0,Y108*$K$22/1000*DilPx-Y111)/DilPx,Y108*$K$22/1000*$P$22)</f>
        <v>0</v>
      </c>
      <c r="Z114" s="42" t="n">
        <f aca="false">IF(DilMethod=3,MAX(0,Z108*$K$22/1000*DilPx-Z111)/DilPx,Z108*$K$22/1000*$P$22)</f>
        <v>0</v>
      </c>
      <c r="AA114" s="42" t="n">
        <f aca="false">IF(DilMethod=3,MAX(0,AA108*$K$22/1000*DilPx-AA111)/DilPx,AA108*$K$22/1000*$P$22)</f>
        <v>0</v>
      </c>
      <c r="AB114" s="42" t="n">
        <f aca="false">IF(DilMethod=3,MAX(0,AB108*$K$22/1000*DilPx-AB111)/DilPx,AB108*$K$22/1000*$P$22)</f>
        <v>0</v>
      </c>
      <c r="AC114" s="42" t="n">
        <f aca="false">IF(DilMethod=3,MAX(0,AC108*$K$22/1000*DilPx-AC111)/DilPx,AC108*$K$22/1000*$P$22)</f>
        <v>0</v>
      </c>
      <c r="AD114" s="42" t="n">
        <f aca="false">IF(DilMethod=3,MAX(0,AD108*$K$22/1000*DilPx-AD111)/DilPx,AD108*$K$22/1000*$P$22)</f>
        <v>0</v>
      </c>
      <c r="AE114" s="42" t="n">
        <f aca="false">IF(DilMethod=3,MAX(0,AE108*$K$22/1000*DilPx-AE111)/DilPx,AE108*$K$22/1000*$P$22)</f>
        <v>0</v>
      </c>
      <c r="AF114" s="42" t="n">
        <f aca="false">IF(DilMethod=3,MAX(0,AF108*$K$22/1000*DilPx-AF111)/DilPx,AF108*$K$22/1000*$P$22)</f>
        <v>0</v>
      </c>
      <c r="AG114" s="42" t="n">
        <f aca="false">IF(DilMethod=3,MAX(0,AG108*$K$22/1000*DilPx-AG111)/DilPx,AG108*$K$22/1000*$P$22)</f>
        <v>0</v>
      </c>
      <c r="AI114" s="42" t="n">
        <f aca="false">INDEX($F114:$AG114,1,MATCH(AI$7,$F$7:$AG$7,1))</f>
        <v>0</v>
      </c>
      <c r="AJ114" s="42" t="n">
        <f aca="false">INDEX($F114:$AG114,1,MATCH(AJ$7,$F$7:$AG$7,1))</f>
        <v>0</v>
      </c>
      <c r="AK114" s="42" t="n">
        <f aca="false">INDEX($F114:$AG114,1,MATCH(AK$7,$F$7:$AG$7,1))</f>
        <v>0</v>
      </c>
      <c r="AL114" s="42" t="n">
        <f aca="false">INDEX($F114:$AG114,1,MATCH(AL$7,$F$7:$AG$7,1))</f>
        <v>0</v>
      </c>
      <c r="AM114" s="42" t="n">
        <f aca="false">INDEX($F114:$AG114,1,MATCH(AM$7,$F$7:$AG$7,1))</f>
        <v>0</v>
      </c>
      <c r="AN114" s="42" t="n">
        <f aca="false">INDEX($F114:$AG114,1,MATCH(AN$7,$F$7:$AG$7,1))</f>
        <v>0</v>
      </c>
      <c r="AO114" s="42" t="n">
        <f aca="false">INDEX($F114:$AG114,1,MATCH(AO$7,$F$7:$AG$7,1))</f>
        <v>0</v>
      </c>
    </row>
    <row r="115" customFormat="false" ht="15" hidden="false" customHeight="false" outlineLevel="0" collapsed="false">
      <c r="A115" s="104" t="s">
        <v>2127</v>
      </c>
      <c r="B115" s="20" t="s">
        <v>561</v>
      </c>
      <c r="C115" s="20" t="s">
        <v>495</v>
      </c>
      <c r="D115" s="20"/>
      <c r="F115" s="122" t="n">
        <f aca="false">F111*IF(DilMethod=3,1,1-$P$22)</f>
        <v>0</v>
      </c>
      <c r="G115" s="122" t="n">
        <f aca="false">G111*IF(DilMethod=3,1,1-$P$22)</f>
        <v>0</v>
      </c>
      <c r="H115" s="122" t="n">
        <f aca="false">H111*IF(DilMethod=3,1,1-$P$22)</f>
        <v>0</v>
      </c>
      <c r="I115" s="122" t="n">
        <f aca="false">I111*IF(DilMethod=3,1,1-$P$22)</f>
        <v>0</v>
      </c>
      <c r="J115" s="122" t="n">
        <f aca="false">J111*IF(DilMethod=3,1,1-$P$22)</f>
        <v>0</v>
      </c>
      <c r="K115" s="122" t="n">
        <f aca="false">K111*IF(DilMethod=3,1,1-$P$22)</f>
        <v>0</v>
      </c>
      <c r="L115" s="122" t="n">
        <f aca="false">L111*IF(DilMethod=3,1,1-$P$22)</f>
        <v>0</v>
      </c>
      <c r="M115" s="122" t="n">
        <f aca="false">M111*IF(DilMethod=3,1,1-$P$22)</f>
        <v>0</v>
      </c>
      <c r="N115" s="122" t="n">
        <f aca="false">N111*IF(DilMethod=3,1,1-$P$22)</f>
        <v>0</v>
      </c>
      <c r="O115" s="122" t="n">
        <f aca="false">O111*IF(DilMethod=3,1,1-$P$22)</f>
        <v>0</v>
      </c>
      <c r="P115" s="123" t="n">
        <f aca="false">P111*IF(DilMethod=3,1,1-$P$22)</f>
        <v>0</v>
      </c>
      <c r="Q115" s="123" t="n">
        <f aca="false">Q111*IF(DilMethod=3,1,1-$P$22)</f>
        <v>0</v>
      </c>
      <c r="R115" s="123" t="n">
        <f aca="false">R111*IF(DilMethod=3,1,1-$P$22)</f>
        <v>0</v>
      </c>
      <c r="S115" s="123" t="n">
        <f aca="false">S111*IF(DilMethod=3,1,1-$P$22)</f>
        <v>0</v>
      </c>
      <c r="T115" s="123" t="n">
        <f aca="false">T111*IF(DilMethod=3,1,1-$P$22)</f>
        <v>3854.1</v>
      </c>
      <c r="U115" s="123" t="n">
        <f aca="false">U111*IF(DilMethod=3,1,1-$P$22)</f>
        <v>3881.7</v>
      </c>
      <c r="V115" s="123" t="n">
        <f aca="false">V111*IF(DilMethod=3,1,1-$P$22)</f>
        <v>3909</v>
      </c>
      <c r="W115" s="123" t="n">
        <f aca="false">W111*IF(DilMethod=3,1,1-$P$22)</f>
        <v>3936.3</v>
      </c>
      <c r="X115" s="123" t="n">
        <f aca="false">X111*IF(DilMethod=3,1,1-$P$22)</f>
        <v>3963.9</v>
      </c>
      <c r="Y115" s="123" t="n">
        <f aca="false">Y111*IF(DilMethod=3,1,1-$P$22)</f>
        <v>3991.5</v>
      </c>
      <c r="Z115" s="123" t="n">
        <f aca="false">Z111*IF(DilMethod=3,1,1-$P$22)</f>
        <v>4018.5</v>
      </c>
      <c r="AA115" s="123" t="n">
        <f aca="false">AA111*IF(DilMethod=3,1,1-$P$22)</f>
        <v>4045.8</v>
      </c>
      <c r="AB115" s="123" t="n">
        <f aca="false">AB111*IF(DilMethod=3,1,1-$P$22)</f>
        <v>4073.4</v>
      </c>
      <c r="AC115" s="123" t="n">
        <f aca="false">AC111*IF(DilMethod=3,1,1-$P$22)</f>
        <v>4101</v>
      </c>
      <c r="AD115" s="123" t="n">
        <f aca="false">AD111*IF(DilMethod=3,1,1-$P$22)</f>
        <v>4128</v>
      </c>
      <c r="AE115" s="123" t="n">
        <f aca="false">AE111*IF(DilMethod=3,1,1-$P$22)</f>
        <v>4155.3</v>
      </c>
      <c r="AF115" s="123" t="n">
        <f aca="false">AF111*IF(DilMethod=3,1,1-$P$22)</f>
        <v>4182.9</v>
      </c>
      <c r="AG115" s="123" t="n">
        <f aca="false">AG111*IF(DilMethod=3,1,1-$P$22)</f>
        <v>4210.5</v>
      </c>
      <c r="AI115" s="123" t="n">
        <f aca="false">INDEX($F115:$AG115,1,MATCH(AI$7,$F$7:$AG$7,1))</f>
        <v>0</v>
      </c>
      <c r="AJ115" s="123" t="n">
        <f aca="false">INDEX($F115:$AG115,1,MATCH(AJ$7,$F$7:$AG$7,1))</f>
        <v>0</v>
      </c>
      <c r="AK115" s="123" t="n">
        <f aca="false">INDEX($F115:$AG115,1,MATCH(AK$7,$F$7:$AG$7,1))</f>
        <v>0</v>
      </c>
      <c r="AL115" s="123" t="n">
        <f aca="false">INDEX($F115:$AG115,1,MATCH(AL$7,$F$7:$AG$7,1))</f>
        <v>3881.7</v>
      </c>
      <c r="AM115" s="123" t="n">
        <f aca="false">INDEX($F115:$AG115,1,MATCH(AM$7,$F$7:$AG$7,1))</f>
        <v>3991.5</v>
      </c>
      <c r="AN115" s="123" t="n">
        <f aca="false">INDEX($F115:$AG115,1,MATCH(AN$7,$F$7:$AG$7,1))</f>
        <v>4101</v>
      </c>
      <c r="AO115" s="123" t="n">
        <f aca="false">INDEX($F115:$AG115,1,MATCH(AO$7,$F$7:$AG$7,1))</f>
        <v>4210.5</v>
      </c>
    </row>
    <row r="116" customFormat="false" ht="15" hidden="false" customHeight="false" outlineLevel="0" collapsed="false">
      <c r="A116" s="104" t="s">
        <v>2128</v>
      </c>
      <c r="B116" s="20" t="s">
        <v>561</v>
      </c>
      <c r="C116" s="20" t="s">
        <v>550</v>
      </c>
      <c r="D116" s="20"/>
      <c r="F116" s="122" t="n">
        <f aca="false">IF(AND(F$5&gt;=$M$23,F$5&lt;$N$23),$E$23-$F$23-IF(F$5&gt;=$H$23,$G$23,0),0)*($H$23&lt;&gt;0)+IF(AND(F$5&gt;=$M$23,F$5&lt;$N$23),$E$23-$F$23,0)*($H$23=0)</f>
        <v>0</v>
      </c>
      <c r="G116" s="122" t="n">
        <f aca="false">IF(AND(G$5&gt;=$M$23,G$5&lt;$N$23),$E$23-$F$23-IF(G$5&gt;=$H$23,$G$23,0),0)*($H$23&lt;&gt;0)+IF(AND(G$5&gt;=$M$23,G$5&lt;$N$23),$E$23-$F$23,0)*($H$23=0)</f>
        <v>0</v>
      </c>
      <c r="H116" s="122" t="n">
        <f aca="false">IF(AND(H$5&gt;=$M$23,H$5&lt;$N$23),$E$23-$F$23-IF(H$5&gt;=$H$23,$G$23,0),0)*($H$23&lt;&gt;0)+IF(AND(H$5&gt;=$M$23,H$5&lt;$N$23),$E$23-$F$23,0)*($H$23=0)</f>
        <v>0</v>
      </c>
      <c r="I116" s="122" t="n">
        <f aca="false">IF(AND(I$5&gt;=$M$23,I$5&lt;$N$23),$E$23-$F$23-IF(I$5&gt;=$H$23,$G$23,0),0)*($H$23&lt;&gt;0)+IF(AND(I$5&gt;=$M$23,I$5&lt;$N$23),$E$23-$F$23,0)*($H$23=0)</f>
        <v>0</v>
      </c>
      <c r="J116" s="122" t="n">
        <f aca="false">IF(AND(J$5&gt;=$M$23,J$5&lt;$N$23),$E$23-$F$23-IF(J$5&gt;=$H$23,$G$23,0),0)*($H$23&lt;&gt;0)+IF(AND(J$5&gt;=$M$23,J$5&lt;$N$23),$E$23-$F$23,0)*($H$23=0)</f>
        <v>0</v>
      </c>
      <c r="K116" s="122" t="n">
        <f aca="false">IF(AND(K$5&gt;=$M$23,K$5&lt;$N$23),$E$23-$F$23-IF(K$5&gt;=$H$23,$G$23,0),0)*($H$23&lt;&gt;0)+IF(AND(K$5&gt;=$M$23,K$5&lt;$N$23),$E$23-$F$23,0)*($H$23=0)</f>
        <v>0</v>
      </c>
      <c r="L116" s="122" t="n">
        <f aca="false">IF(AND(L$5&gt;=$M$23,L$5&lt;$N$23),$E$23-$F$23-IF(L$5&gt;=$H$23,$G$23,0),0)*($H$23&lt;&gt;0)+IF(AND(L$5&gt;=$M$23,L$5&lt;$N$23),$E$23-$F$23,0)*($H$23=0)</f>
        <v>0</v>
      </c>
      <c r="M116" s="122" t="n">
        <f aca="false">IF(AND(M$5&gt;=$M$23,M$5&lt;$N$23),$E$23-$F$23-IF(M$5&gt;=$H$23,$G$23,0),0)*($H$23&lt;&gt;0)+IF(AND(M$5&gt;=$M$23,M$5&lt;$N$23),$E$23-$F$23,0)*($H$23=0)</f>
        <v>0</v>
      </c>
      <c r="N116" s="122" t="n">
        <f aca="false">IF(AND(N$5&gt;=$M$23,N$5&lt;$N$23),$E$23-$F$23-IF(N$5&gt;=$H$23,$G$23,0),0)*($H$23&lt;&gt;0)+IF(AND(N$5&gt;=$M$23,N$5&lt;$N$23),$E$23-$F$23,0)*($H$23=0)</f>
        <v>0</v>
      </c>
      <c r="O116" s="122" t="n">
        <f aca="false">IF(AND(O$5&gt;=$M$23,O$5&lt;$N$23),$E$23-$F$23-IF(O$5&gt;=$H$23,$G$23,0),0)*($H$23&lt;&gt;0)+IF(AND(O$5&gt;=$M$23,O$5&lt;$N$23),$E$23-$F$23,0)*($H$23=0)</f>
        <v>0</v>
      </c>
      <c r="P116" s="123" t="n">
        <f aca="false">IF(AND(P$5&gt;=$M$23,P$5&lt;$N$23),$E$23-$F$23-IF(P$5&gt;=$H$23,$G$23,0),0)*($H$23&lt;&gt;0)+IF(AND(P$5&gt;=$M$23,P$5&lt;$N$23),$E$23-$F$23,0)*($H$23=0)</f>
        <v>0</v>
      </c>
      <c r="Q116" s="123" t="n">
        <f aca="false">IF(AND(Q$5&gt;=$M$23,Q$5&lt;$N$23),$E$23-$F$23-IF(Q$5&gt;=$H$23,$G$23,0),0)*($H$23&lt;&gt;0)+IF(AND(Q$5&gt;=$M$23,Q$5&lt;$N$23),$E$23-$F$23,0)*($H$23=0)</f>
        <v>0</v>
      </c>
      <c r="R116" s="123" t="n">
        <f aca="false">IF(AND(R$5&gt;=$M$23,R$5&lt;$N$23),$E$23-$F$23-IF(R$5&gt;=$H$23,$G$23,0),0)*($H$23&lt;&gt;0)+IF(AND(R$5&gt;=$M$23,R$5&lt;$N$23),$E$23-$F$23,0)*($H$23=0)</f>
        <v>0</v>
      </c>
      <c r="S116" s="123" t="n">
        <f aca="false">IF(AND(S$5&gt;=$M$23,S$5&lt;$N$23),$E$23-$F$23-IF(S$5&gt;=$H$23,$G$23,0),0)*($H$23&lt;&gt;0)+IF(AND(S$5&gt;=$M$23,S$5&lt;$N$23),$E$23-$F$23,0)*($H$23=0)</f>
        <v>0</v>
      </c>
      <c r="T116" s="123" t="n">
        <f aca="false">IF(AND(T$5&gt;=$M$23,T$5&lt;$N$23),$E$23-$F$23-IF(T$5&gt;=$H$23,$G$23,0),0)*($H$23&lt;&gt;0)+IF(AND(T$5&gt;=$M$23,T$5&lt;$N$23),$E$23-$F$23,0)*($H$23=0)</f>
        <v>2560</v>
      </c>
      <c r="U116" s="123" t="n">
        <f aca="false">IF(AND(U$5&gt;=$M$23,U$5&lt;$N$23),$E$23-$F$23-IF(U$5&gt;=$H$23,$G$23,0),0)*($H$23&lt;&gt;0)+IF(AND(U$5&gt;=$M$23,U$5&lt;$N$23),$E$23-$F$23,0)*($H$23=0)</f>
        <v>2560</v>
      </c>
      <c r="V116" s="123" t="n">
        <f aca="false">IF(AND(V$5&gt;=$M$23,V$5&lt;$N$23),$E$23-$F$23-IF(V$5&gt;=$H$23,$G$23,0),0)*($H$23&lt;&gt;0)+IF(AND(V$5&gt;=$M$23,V$5&lt;$N$23),$E$23-$F$23,0)*($H$23=0)</f>
        <v>2560</v>
      </c>
      <c r="W116" s="123" t="n">
        <f aca="false">IF(AND(W$5&gt;=$M$23,W$5&lt;$N$23),$E$23-$F$23-IF(W$5&gt;=$H$23,$G$23,0),0)*($H$23&lt;&gt;0)+IF(AND(W$5&gt;=$M$23,W$5&lt;$N$23),$E$23-$F$23,0)*($H$23=0)</f>
        <v>2560</v>
      </c>
      <c r="X116" s="123" t="n">
        <f aca="false">IF(AND(X$5&gt;=$M$23,X$5&lt;$N$23),$E$23-$F$23-IF(X$5&gt;=$H$23,$G$23,0),0)*($H$23&lt;&gt;0)+IF(AND(X$5&gt;=$M$23,X$5&lt;$N$23),$E$23-$F$23,0)*($H$23=0)</f>
        <v>2560</v>
      </c>
      <c r="Y116" s="123" t="n">
        <f aca="false">IF(AND(Y$5&gt;=$M$23,Y$5&lt;$N$23),$E$23-$F$23-IF(Y$5&gt;=$H$23,$G$23,0),0)*($H$23&lt;&gt;0)+IF(AND(Y$5&gt;=$M$23,Y$5&lt;$N$23),$E$23-$F$23,0)*($H$23=0)</f>
        <v>2560</v>
      </c>
      <c r="Z116" s="123" t="n">
        <f aca="false">IF(AND(Z$5&gt;=$M$23,Z$5&lt;$N$23),$E$23-$F$23-IF(Z$5&gt;=$H$23,$G$23,0),0)*($H$23&lt;&gt;0)+IF(AND(Z$5&gt;=$M$23,Z$5&lt;$N$23),$E$23-$F$23,0)*($H$23=0)</f>
        <v>2560</v>
      </c>
      <c r="AA116" s="123" t="n">
        <f aca="false">IF(AND(AA$5&gt;=$M$23,AA$5&lt;$N$23),$E$23-$F$23-IF(AA$5&gt;=$H$23,$G$23,0),0)*($H$23&lt;&gt;0)+IF(AND(AA$5&gt;=$M$23,AA$5&lt;$N$23),$E$23-$F$23,0)*($H$23=0)</f>
        <v>2560</v>
      </c>
      <c r="AB116" s="123" t="n">
        <f aca="false">IF(AND(AB$5&gt;=$M$23,AB$5&lt;$N$23),$E$23-$F$23-IF(AB$5&gt;=$H$23,$G$23,0),0)*($H$23&lt;&gt;0)+IF(AND(AB$5&gt;=$M$23,AB$5&lt;$N$23),$E$23-$F$23,0)*($H$23=0)</f>
        <v>2560</v>
      </c>
      <c r="AC116" s="123" t="n">
        <f aca="false">IF(AND(AC$5&gt;=$M$23,AC$5&lt;$N$23),$E$23-$F$23-IF(AC$5&gt;=$H$23,$G$23,0),0)*($H$23&lt;&gt;0)+IF(AND(AC$5&gt;=$M$23,AC$5&lt;$N$23),$E$23-$F$23,0)*($H$23=0)</f>
        <v>2560</v>
      </c>
      <c r="AD116" s="123" t="n">
        <f aca="false">IF(AND(AD$5&gt;=$M$23,AD$5&lt;$N$23),$E$23-$F$23-IF(AD$5&gt;=$H$23,$G$23,0),0)*($H$23&lt;&gt;0)+IF(AND(AD$5&gt;=$M$23,AD$5&lt;$N$23),$E$23-$F$23,0)*($H$23=0)</f>
        <v>2560</v>
      </c>
      <c r="AE116" s="123" t="n">
        <f aca="false">IF(AND(AE$5&gt;=$M$23,AE$5&lt;$N$23),$E$23-$F$23-IF(AE$5&gt;=$H$23,$G$23,0),0)*($H$23&lt;&gt;0)+IF(AND(AE$5&gt;=$M$23,AE$5&lt;$N$23),$E$23-$F$23,0)*($H$23=0)</f>
        <v>2560</v>
      </c>
      <c r="AF116" s="123" t="n">
        <f aca="false">IF(AND(AF$5&gt;=$M$23,AF$5&lt;$N$23),$E$23-$F$23-IF(AF$5&gt;=$H$23,$G$23,0),0)*($H$23&lt;&gt;0)+IF(AND(AF$5&gt;=$M$23,AF$5&lt;$N$23),$E$23-$F$23,0)*($H$23=0)</f>
        <v>2560</v>
      </c>
      <c r="AG116" s="123" t="n">
        <f aca="false">IF(AND(AG$5&gt;=$M$23,AG$5&lt;$N$23),$E$23-$F$23-IF(AG$5&gt;=$H$23,$G$23,0),0)*($H$23&lt;&gt;0)+IF(AND(AG$5&gt;=$M$23,AG$5&lt;$N$23),$E$23-$F$23,0)*($H$23=0)</f>
        <v>2560</v>
      </c>
      <c r="AI116" s="123" t="n">
        <f aca="false">INDEX($F116:$AG116,1,MATCH(AI$7,$F$7:$AG$7,1))</f>
        <v>0</v>
      </c>
      <c r="AJ116" s="123" t="n">
        <f aca="false">INDEX($F116:$AG116,1,MATCH(AJ$7,$F$7:$AG$7,1))</f>
        <v>0</v>
      </c>
      <c r="AK116" s="123" t="n">
        <f aca="false">INDEX($F116:$AG116,1,MATCH(AK$7,$F$7:$AG$7,1))</f>
        <v>0</v>
      </c>
      <c r="AL116" s="123" t="n">
        <f aca="false">INDEX($F116:$AG116,1,MATCH(AL$7,$F$7:$AG$7,1))</f>
        <v>2560</v>
      </c>
      <c r="AM116" s="123" t="n">
        <f aca="false">INDEX($F116:$AG116,1,MATCH(AM$7,$F$7:$AG$7,1))</f>
        <v>2560</v>
      </c>
      <c r="AN116" s="123" t="n">
        <f aca="false">INDEX($F116:$AG116,1,MATCH(AN$7,$F$7:$AG$7,1))</f>
        <v>2560</v>
      </c>
      <c r="AO116" s="123" t="n">
        <f aca="false">INDEX($F116:$AG116,1,MATCH(AO$7,$F$7:$AG$7,1))</f>
        <v>2560</v>
      </c>
    </row>
    <row r="117" customFormat="false" ht="15" hidden="false" customHeight="false" outlineLevel="0" collapsed="false">
      <c r="A117" s="104" t="s">
        <v>2129</v>
      </c>
      <c r="B117" s="20" t="s">
        <v>561</v>
      </c>
      <c r="C117" s="20" t="s">
        <v>550</v>
      </c>
      <c r="D117" s="20"/>
      <c r="F117" s="122" t="n">
        <f aca="false">F116*$C$23/4</f>
        <v>0</v>
      </c>
      <c r="G117" s="122" t="n">
        <f aca="false">G116*$C$23/4</f>
        <v>0</v>
      </c>
      <c r="H117" s="122" t="n">
        <f aca="false">H116*$C$23/4</f>
        <v>0</v>
      </c>
      <c r="I117" s="122" t="n">
        <f aca="false">I116*$C$23/4</f>
        <v>0</v>
      </c>
      <c r="J117" s="122" t="n">
        <f aca="false">J116*$C$23/4</f>
        <v>0</v>
      </c>
      <c r="K117" s="122" t="n">
        <f aca="false">K116*$C$23/4</f>
        <v>0</v>
      </c>
      <c r="L117" s="122" t="n">
        <f aca="false">L116*$C$23/4</f>
        <v>0</v>
      </c>
      <c r="M117" s="122" t="n">
        <f aca="false">M116*$C$23/4</f>
        <v>0</v>
      </c>
      <c r="N117" s="122" t="n">
        <f aca="false">N116*$C$23/4</f>
        <v>0</v>
      </c>
      <c r="O117" s="122" t="n">
        <f aca="false">O116*$C$23/4</f>
        <v>0</v>
      </c>
      <c r="P117" s="123" t="n">
        <f aca="false">P116*$C$23/4</f>
        <v>0</v>
      </c>
      <c r="Q117" s="123" t="n">
        <f aca="false">Q116*$C$23/4</f>
        <v>0</v>
      </c>
      <c r="R117" s="123" t="n">
        <f aca="false">R116*$C$23/4</f>
        <v>0</v>
      </c>
      <c r="S117" s="123" t="n">
        <f aca="false">S116*$C$23/4</f>
        <v>0</v>
      </c>
      <c r="T117" s="123" t="n">
        <f aca="false">T116*$C$23/4</f>
        <v>28.8</v>
      </c>
      <c r="U117" s="123" t="n">
        <f aca="false">U116*$C$23/4</f>
        <v>28.8</v>
      </c>
      <c r="V117" s="123" t="n">
        <f aca="false">V116*$C$23/4</f>
        <v>28.8</v>
      </c>
      <c r="W117" s="123" t="n">
        <f aca="false">W116*$C$23/4</f>
        <v>28.8</v>
      </c>
      <c r="X117" s="123" t="n">
        <f aca="false">X116*$C$23/4</f>
        <v>28.8</v>
      </c>
      <c r="Y117" s="123" t="n">
        <f aca="false">Y116*$C$23/4</f>
        <v>28.8</v>
      </c>
      <c r="Z117" s="123" t="n">
        <f aca="false">Z116*$C$23/4</f>
        <v>28.8</v>
      </c>
      <c r="AA117" s="123" t="n">
        <f aca="false">AA116*$C$23/4</f>
        <v>28.8</v>
      </c>
      <c r="AB117" s="123" t="n">
        <f aca="false">AB116*$C$23/4</f>
        <v>28.8</v>
      </c>
      <c r="AC117" s="123" t="n">
        <f aca="false">AC116*$C$23/4</f>
        <v>28.8</v>
      </c>
      <c r="AD117" s="123" t="n">
        <f aca="false">AD116*$C$23/4</f>
        <v>28.8</v>
      </c>
      <c r="AE117" s="123" t="n">
        <f aca="false">AE116*$C$23/4</f>
        <v>28.8</v>
      </c>
      <c r="AF117" s="123" t="n">
        <f aca="false">AF116*$C$23/4</f>
        <v>28.8</v>
      </c>
      <c r="AG117" s="123" t="n">
        <f aca="false">AG116*$C$23/4</f>
        <v>28.8</v>
      </c>
      <c r="AI117" s="123" t="n">
        <f aca="false">SUMIF($F$7:$AG$7,AI$7,$F117:$AG117)</f>
        <v>0</v>
      </c>
      <c r="AJ117" s="123" t="n">
        <f aca="false">SUMIF($F$7:$AG$7,AJ$7,$F117:$AG117)</f>
        <v>0</v>
      </c>
      <c r="AK117" s="123" t="n">
        <f aca="false">SUMIF($F$7:$AG$7,AK$7,$F117:$AG117)</f>
        <v>0</v>
      </c>
      <c r="AL117" s="123" t="n">
        <f aca="false">SUMIF($F$7:$AG$7,AL$7,$F117:$AG117)</f>
        <v>57.6</v>
      </c>
      <c r="AM117" s="123" t="n">
        <f aca="false">SUMIF($F$7:$AG$7,AM$7,$F117:$AG117)</f>
        <v>115.2</v>
      </c>
      <c r="AN117" s="123" t="n">
        <f aca="false">SUMIF($F$7:$AG$7,AN$7,$F117:$AG117)</f>
        <v>115.2</v>
      </c>
      <c r="AO117" s="123" t="n">
        <f aca="false">SUMIF($F$7:$AG$7,AO$7,$F117:$AG117)</f>
        <v>115.2</v>
      </c>
    </row>
    <row r="118" customFormat="false" ht="15" hidden="false" customHeight="false" outlineLevel="0" collapsed="false">
      <c r="A118" s="104" t="s">
        <v>2130</v>
      </c>
      <c r="B118" s="20" t="s">
        <v>561</v>
      </c>
      <c r="C118" s="20" t="s">
        <v>550</v>
      </c>
      <c r="D118" s="20"/>
      <c r="F118" s="122" t="n">
        <f aca="false">F116*($J$23-1)/(($D$23-$B$23)/91.3125)</f>
        <v>0</v>
      </c>
      <c r="G118" s="122" t="n">
        <f aca="false">G116*($J$23-1)/(($D$23-$B$23)/91.3125)</f>
        <v>0</v>
      </c>
      <c r="H118" s="122" t="n">
        <f aca="false">H116*($J$23-1)/(($D$23-$B$23)/91.3125)</f>
        <v>0</v>
      </c>
      <c r="I118" s="122" t="n">
        <f aca="false">I116*($J$23-1)/(($D$23-$B$23)/91.3125)</f>
        <v>0</v>
      </c>
      <c r="J118" s="122" t="n">
        <f aca="false">J116*($J$23-1)/(($D$23-$B$23)/91.3125)</f>
        <v>0</v>
      </c>
      <c r="K118" s="122" t="n">
        <f aca="false">K116*($J$23-1)/(($D$23-$B$23)/91.3125)</f>
        <v>0</v>
      </c>
      <c r="L118" s="122" t="n">
        <f aca="false">L116*($J$23-1)/(($D$23-$B$23)/91.3125)</f>
        <v>0</v>
      </c>
      <c r="M118" s="122" t="n">
        <f aca="false">M116*($J$23-1)/(($D$23-$B$23)/91.3125)</f>
        <v>0</v>
      </c>
      <c r="N118" s="122" t="n">
        <f aca="false">N116*($J$23-1)/(($D$23-$B$23)/91.3125)</f>
        <v>0</v>
      </c>
      <c r="O118" s="122" t="n">
        <f aca="false">O116*($J$23-1)/(($D$23-$B$23)/91.3125)</f>
        <v>0</v>
      </c>
      <c r="P118" s="123" t="n">
        <f aca="false">P116*($J$23-1)/(($D$23-$B$23)/91.3125)</f>
        <v>0</v>
      </c>
      <c r="Q118" s="123" t="n">
        <f aca="false">Q116*($J$23-1)/(($D$23-$B$23)/91.3125)</f>
        <v>0</v>
      </c>
      <c r="R118" s="123" t="n">
        <f aca="false">R116*($J$23-1)/(($D$23-$B$23)/91.3125)</f>
        <v>0</v>
      </c>
      <c r="S118" s="123" t="n">
        <f aca="false">S116*($J$23-1)/(($D$23-$B$23)/91.3125)</f>
        <v>0</v>
      </c>
      <c r="T118" s="123" t="n">
        <f aca="false">T116*($J$23-1)/(($D$23-$B$23)/91.3125)</f>
        <v>21.3206858810653</v>
      </c>
      <c r="U118" s="123" t="n">
        <f aca="false">U116*($J$23-1)/(($D$23-$B$23)/91.3125)</f>
        <v>21.3206858810653</v>
      </c>
      <c r="V118" s="123" t="n">
        <f aca="false">V116*($J$23-1)/(($D$23-$B$23)/91.3125)</f>
        <v>21.3206858810653</v>
      </c>
      <c r="W118" s="123" t="n">
        <f aca="false">W116*($J$23-1)/(($D$23-$B$23)/91.3125)</f>
        <v>21.3206858810653</v>
      </c>
      <c r="X118" s="123" t="n">
        <f aca="false">X116*($J$23-1)/(($D$23-$B$23)/91.3125)</f>
        <v>21.3206858810653</v>
      </c>
      <c r="Y118" s="123" t="n">
        <f aca="false">Y116*($J$23-1)/(($D$23-$B$23)/91.3125)</f>
        <v>21.3206858810653</v>
      </c>
      <c r="Z118" s="123" t="n">
        <f aca="false">Z116*($J$23-1)/(($D$23-$B$23)/91.3125)</f>
        <v>21.3206858810653</v>
      </c>
      <c r="AA118" s="123" t="n">
        <f aca="false">AA116*($J$23-1)/(($D$23-$B$23)/91.3125)</f>
        <v>21.3206858810653</v>
      </c>
      <c r="AB118" s="123" t="n">
        <f aca="false">AB116*($J$23-1)/(($D$23-$B$23)/91.3125)</f>
        <v>21.3206858810653</v>
      </c>
      <c r="AC118" s="123" t="n">
        <f aca="false">AC116*($J$23-1)/(($D$23-$B$23)/91.3125)</f>
        <v>21.3206858810653</v>
      </c>
      <c r="AD118" s="123" t="n">
        <f aca="false">AD116*($J$23-1)/(($D$23-$B$23)/91.3125)</f>
        <v>21.3206858810653</v>
      </c>
      <c r="AE118" s="123" t="n">
        <f aca="false">AE116*($J$23-1)/(($D$23-$B$23)/91.3125)</f>
        <v>21.3206858810653</v>
      </c>
      <c r="AF118" s="123" t="n">
        <f aca="false">AF116*($J$23-1)/(($D$23-$B$23)/91.3125)</f>
        <v>21.3206858810653</v>
      </c>
      <c r="AG118" s="123" t="n">
        <f aca="false">AG116*($J$23-1)/(($D$23-$B$23)/91.3125)</f>
        <v>21.3206858810653</v>
      </c>
      <c r="AI118" s="123" t="n">
        <f aca="false">SUMIF($F$7:$AG$7,AI$7,$F118:$AG118)</f>
        <v>0</v>
      </c>
      <c r="AJ118" s="123" t="n">
        <f aca="false">SUMIF($F$7:$AG$7,AJ$7,$F118:$AG118)</f>
        <v>0</v>
      </c>
      <c r="AK118" s="123" t="n">
        <f aca="false">SUMIF($F$7:$AG$7,AK$7,$F118:$AG118)</f>
        <v>0</v>
      </c>
      <c r="AL118" s="123" t="n">
        <f aca="false">SUMIF($F$7:$AG$7,AL$7,$F118:$AG118)</f>
        <v>42.6413717621306</v>
      </c>
      <c r="AM118" s="123" t="n">
        <f aca="false">SUMIF($F$7:$AG$7,AM$7,$F118:$AG118)</f>
        <v>85.2827435242612</v>
      </c>
      <c r="AN118" s="123" t="n">
        <f aca="false">SUMIF($F$7:$AG$7,AN$7,$F118:$AG118)</f>
        <v>85.2827435242612</v>
      </c>
      <c r="AO118" s="123" t="n">
        <f aca="false">SUMIF($F$7:$AG$7,AO$7,$F118:$AG118)</f>
        <v>85.2827435242612</v>
      </c>
    </row>
    <row r="119" customFormat="false" ht="15" hidden="false" customHeight="false" outlineLevel="0" collapsed="false">
      <c r="A119" s="104" t="s">
        <v>2131</v>
      </c>
      <c r="B119" s="20" t="s">
        <v>561</v>
      </c>
      <c r="C119" s="20" t="s">
        <v>550</v>
      </c>
      <c r="D119" s="20"/>
      <c r="F119" s="122" t="n">
        <f aca="false">F116*(1+($J$23-1)*MIN(1,MAX(0,(F$4-$B$23)/($D$23-$B$23))))</f>
        <v>0</v>
      </c>
      <c r="G119" s="122" t="n">
        <f aca="false">G116*(1+($J$23-1)*MIN(1,MAX(0,(G$4-$B$23)/($D$23-$B$23))))</f>
        <v>0</v>
      </c>
      <c r="H119" s="122" t="n">
        <f aca="false">H116*(1+($J$23-1)*MIN(1,MAX(0,(H$4-$B$23)/($D$23-$B$23))))</f>
        <v>0</v>
      </c>
      <c r="I119" s="122" t="n">
        <f aca="false">I116*(1+($J$23-1)*MIN(1,MAX(0,(I$4-$B$23)/($D$23-$B$23))))</f>
        <v>0</v>
      </c>
      <c r="J119" s="122" t="n">
        <f aca="false">J116*(1+($J$23-1)*MIN(1,MAX(0,(J$4-$B$23)/($D$23-$B$23))))</f>
        <v>0</v>
      </c>
      <c r="K119" s="122" t="n">
        <f aca="false">K116*(1+($J$23-1)*MIN(1,MAX(0,(K$4-$B$23)/($D$23-$B$23))))</f>
        <v>0</v>
      </c>
      <c r="L119" s="122" t="n">
        <f aca="false">L116*(1+($J$23-1)*MIN(1,MAX(0,(L$4-$B$23)/($D$23-$B$23))))</f>
        <v>0</v>
      </c>
      <c r="M119" s="122" t="n">
        <f aca="false">M116*(1+($J$23-1)*MIN(1,MAX(0,(M$4-$B$23)/($D$23-$B$23))))</f>
        <v>0</v>
      </c>
      <c r="N119" s="122" t="n">
        <f aca="false">N116*(1+($J$23-1)*MIN(1,MAX(0,(N$4-$B$23)/($D$23-$B$23))))</f>
        <v>0</v>
      </c>
      <c r="O119" s="122" t="n">
        <f aca="false">O116*(1+($J$23-1)*MIN(1,MAX(0,(O$4-$B$23)/($D$23-$B$23))))</f>
        <v>0</v>
      </c>
      <c r="P119" s="123" t="n">
        <f aca="false">P116*(1+($J$23-1)*MIN(1,MAX(0,(P$4-$B$23)/($D$23-$B$23))))</f>
        <v>0</v>
      </c>
      <c r="Q119" s="123" t="n">
        <f aca="false">Q116*(1+($J$23-1)*MIN(1,MAX(0,(Q$4-$B$23)/($D$23-$B$23))))</f>
        <v>0</v>
      </c>
      <c r="R119" s="123" t="n">
        <f aca="false">R116*(1+($J$23-1)*MIN(1,MAX(0,(R$4-$B$23)/($D$23-$B$23))))</f>
        <v>0</v>
      </c>
      <c r="S119" s="123" t="n">
        <f aca="false">S116*(1+($J$23-1)*MIN(1,MAX(0,(S$4-$B$23)/($D$23-$B$23))))</f>
        <v>0</v>
      </c>
      <c r="T119" s="123" t="n">
        <f aca="false">T116*(1+($J$23-1)*MIN(1,MAX(0,(T$4-$B$23)/($D$23-$B$23))))</f>
        <v>2570.97409704487</v>
      </c>
      <c r="U119" s="123" t="n">
        <f aca="false">U116*(1+($J$23-1)*MIN(1,MAX(0,(U$4-$B$23)/($D$23-$B$23))))</f>
        <v>2592.45530828165</v>
      </c>
      <c r="V119" s="123" t="n">
        <f aca="false">V116*(1+($J$23-1)*MIN(1,MAX(0,(V$4-$B$23)/($D$23-$B$23))))</f>
        <v>2613.70302809194</v>
      </c>
      <c r="W119" s="123" t="n">
        <f aca="false">W116*(1+($J$23-1)*MIN(1,MAX(0,(W$4-$B$23)/($D$23-$B$23))))</f>
        <v>2634.95074790223</v>
      </c>
      <c r="X119" s="123" t="n">
        <f aca="false">X116*(1+($J$23-1)*MIN(1,MAX(0,(X$4-$B$23)/($D$23-$B$23))))</f>
        <v>2656.431959139</v>
      </c>
      <c r="Y119" s="123" t="n">
        <f aca="false">Y116*(1+($J$23-1)*MIN(1,MAX(0,(Y$4-$B$23)/($D$23-$B$23))))</f>
        <v>2677.91317037578</v>
      </c>
      <c r="Z119" s="123" t="n">
        <f aca="false">Z116*(1+($J$23-1)*MIN(1,MAX(0,(Z$4-$B$23)/($D$23-$B$23))))</f>
        <v>2698.92739875958</v>
      </c>
      <c r="AA119" s="123" t="n">
        <f aca="false">AA116*(1+($J$23-1)*MIN(1,MAX(0,(AA$4-$B$23)/($D$23-$B$23))))</f>
        <v>2720.17511856987</v>
      </c>
      <c r="AB119" s="123" t="n">
        <f aca="false">AB116*(1+($J$23-1)*MIN(1,MAX(0,(AB$4-$B$23)/($D$23-$B$23))))</f>
        <v>2741.65632980664</v>
      </c>
      <c r="AC119" s="123" t="n">
        <f aca="false">AC116*(1+($J$23-1)*MIN(1,MAX(0,(AC$4-$B$23)/($D$23-$B$23))))</f>
        <v>2763.13754104342</v>
      </c>
      <c r="AD119" s="123" t="n">
        <f aca="false">AD116*(1+($J$23-1)*MIN(1,MAX(0,(AD$4-$B$23)/($D$23-$B$23))))</f>
        <v>2784.15176942722</v>
      </c>
      <c r="AE119" s="123" t="n">
        <f aca="false">AE116*(1+($J$23-1)*MIN(1,MAX(0,(AE$4-$B$23)/($D$23-$B$23))))</f>
        <v>2805.3994892375</v>
      </c>
      <c r="AF119" s="123" t="n">
        <f aca="false">AF116*(1+($J$23-1)*MIN(1,MAX(0,(AF$4-$B$23)/($D$23-$B$23))))</f>
        <v>2826.88070047428</v>
      </c>
      <c r="AG119" s="123" t="n">
        <f aca="false">AG116*(1+($J$23-1)*MIN(1,MAX(0,(AG$4-$B$23)/($D$23-$B$23))))</f>
        <v>2848.36191171105</v>
      </c>
      <c r="AI119" s="123" t="n">
        <f aca="false">INDEX($F119:$AG119,1,MATCH(AI$7,$F$7:$AG$7,1))</f>
        <v>0</v>
      </c>
      <c r="AJ119" s="123" t="n">
        <f aca="false">INDEX($F119:$AG119,1,MATCH(AJ$7,$F$7:$AG$7,1))</f>
        <v>0</v>
      </c>
      <c r="AK119" s="123" t="n">
        <f aca="false">INDEX($F119:$AG119,1,MATCH(AK$7,$F$7:$AG$7,1))</f>
        <v>0</v>
      </c>
      <c r="AL119" s="123" t="n">
        <f aca="false">INDEX($F119:$AG119,1,MATCH(AL$7,$F$7:$AG$7,1))</f>
        <v>2592.45530828165</v>
      </c>
      <c r="AM119" s="123" t="n">
        <f aca="false">INDEX($F119:$AG119,1,MATCH(AM$7,$F$7:$AG$7,1))</f>
        <v>2677.91317037578</v>
      </c>
      <c r="AN119" s="123" t="n">
        <f aca="false">INDEX($F119:$AG119,1,MATCH(AN$7,$F$7:$AG$7,1))</f>
        <v>2763.13754104342</v>
      </c>
      <c r="AO119" s="123" t="n">
        <f aca="false">INDEX($F119:$AG119,1,MATCH(AO$7,$F$7:$AG$7,1))</f>
        <v>2848.36191171105</v>
      </c>
    </row>
    <row r="120" customFormat="false" ht="15" hidden="false" customHeight="false" outlineLevel="0" collapsed="false">
      <c r="A120" s="104" t="s">
        <v>2132</v>
      </c>
      <c r="B120" s="20" t="s">
        <v>561</v>
      </c>
      <c r="C120" s="20" t="s">
        <v>550</v>
      </c>
      <c r="D120" s="20"/>
      <c r="F120" s="122" t="n">
        <f aca="false">IF(F$5=$N$23,E116*$J$23*(1-$O$23),0)</f>
        <v>0</v>
      </c>
      <c r="G120" s="122" t="n">
        <f aca="false">IF(G$5=$N$23,F116*$J$23*(1-$O$23),0)</f>
        <v>0</v>
      </c>
      <c r="H120" s="122" t="n">
        <f aca="false">IF(H$5=$N$23,G116*$J$23*(1-$O$23),0)</f>
        <v>0</v>
      </c>
      <c r="I120" s="122" t="n">
        <f aca="false">IF(I$5=$N$23,H116*$J$23*(1-$O$23),0)</f>
        <v>0</v>
      </c>
      <c r="J120" s="122" t="n">
        <f aca="false">IF(J$5=$N$23,I116*$J$23*(1-$O$23),0)</f>
        <v>0</v>
      </c>
      <c r="K120" s="122" t="n">
        <f aca="false">IF(K$5=$N$23,J116*$J$23*(1-$O$23),0)</f>
        <v>0</v>
      </c>
      <c r="L120" s="122" t="n">
        <f aca="false">IF(L$5=$N$23,K116*$J$23*(1-$O$23),0)</f>
        <v>0</v>
      </c>
      <c r="M120" s="122" t="n">
        <f aca="false">IF(M$5=$N$23,L116*$J$23*(1-$O$23),0)</f>
        <v>0</v>
      </c>
      <c r="N120" s="122" t="n">
        <f aca="false">IF(N$5=$N$23,M116*$J$23*(1-$O$23),0)</f>
        <v>0</v>
      </c>
      <c r="O120" s="122" t="n">
        <f aca="false">IF(O$5=$N$23,N116*$J$23*(1-$O$23),0)</f>
        <v>0</v>
      </c>
      <c r="P120" s="123" t="n">
        <f aca="false">IF(P$5=$N$23,O116*$J$23*(1-$O$23),0)</f>
        <v>0</v>
      </c>
      <c r="Q120" s="123" t="n">
        <f aca="false">IF(Q$5=$N$23,P116*$J$23*(1-$O$23),0)</f>
        <v>0</v>
      </c>
      <c r="R120" s="123" t="n">
        <f aca="false">IF(R$5=$N$23,Q116*$J$23*(1-$O$23),0)</f>
        <v>0</v>
      </c>
      <c r="S120" s="123" t="n">
        <f aca="false">IF(S$5=$N$23,R116*$J$23*(1-$O$23),0)</f>
        <v>0</v>
      </c>
      <c r="T120" s="123" t="n">
        <f aca="false">IF(T$5=$N$23,S116*$J$23*(1-$O$23),0)</f>
        <v>0</v>
      </c>
      <c r="U120" s="123" t="n">
        <f aca="false">IF(U$5=$N$23,T116*$J$23*(1-$O$23),0)</f>
        <v>0</v>
      </c>
      <c r="V120" s="123" t="n">
        <f aca="false">IF(V$5=$N$23,U116*$J$23*(1-$O$23),0)</f>
        <v>0</v>
      </c>
      <c r="W120" s="123" t="n">
        <f aca="false">IF(W$5=$N$23,V116*$J$23*(1-$O$23),0)</f>
        <v>0</v>
      </c>
      <c r="X120" s="123" t="n">
        <f aca="false">IF(X$5=$N$23,W116*$J$23*(1-$O$23),0)</f>
        <v>0</v>
      </c>
      <c r="Y120" s="123" t="n">
        <f aca="false">IF(Y$5=$N$23,X116*$J$23*(1-$O$23),0)</f>
        <v>0</v>
      </c>
      <c r="Z120" s="123" t="n">
        <f aca="false">IF(Z$5=$N$23,Y116*$J$23*(1-$O$23),0)</f>
        <v>0</v>
      </c>
      <c r="AA120" s="123" t="n">
        <f aca="false">IF(AA$5=$N$23,Z116*$J$23*(1-$O$23),0)</f>
        <v>0</v>
      </c>
      <c r="AB120" s="123" t="n">
        <f aca="false">IF(AB$5=$N$23,AA116*$J$23*(1-$O$23),0)</f>
        <v>0</v>
      </c>
      <c r="AC120" s="123" t="n">
        <f aca="false">IF(AC$5=$N$23,AB116*$J$23*(1-$O$23),0)</f>
        <v>0</v>
      </c>
      <c r="AD120" s="123" t="n">
        <f aca="false">IF(AD$5=$N$23,AC116*$J$23*(1-$O$23),0)</f>
        <v>0</v>
      </c>
      <c r="AE120" s="123" t="n">
        <f aca="false">IF(AE$5=$N$23,AD116*$J$23*(1-$O$23),0)</f>
        <v>0</v>
      </c>
      <c r="AF120" s="123" t="n">
        <f aca="false">IF(AF$5=$N$23,AE116*$J$23*(1-$O$23),0)</f>
        <v>0</v>
      </c>
      <c r="AG120" s="123" t="n">
        <f aca="false">IF(AG$5=$N$23,AF116*$J$23*(1-$O$23),0)</f>
        <v>0</v>
      </c>
      <c r="AI120" s="123" t="n">
        <f aca="false">SUMIF($F$7:$AG$7,AI$7,$F120:$AG120)</f>
        <v>0</v>
      </c>
      <c r="AJ120" s="123" t="n">
        <f aca="false">SUMIF($F$7:$AG$7,AJ$7,$F120:$AG120)</f>
        <v>0</v>
      </c>
      <c r="AK120" s="123" t="n">
        <f aca="false">SUMIF($F$7:$AG$7,AK$7,$F120:$AG120)</f>
        <v>0</v>
      </c>
      <c r="AL120" s="123" t="n">
        <f aca="false">SUMIF($F$7:$AG$7,AL$7,$F120:$AG120)</f>
        <v>0</v>
      </c>
      <c r="AM120" s="123" t="n">
        <f aca="false">SUMIF($F$7:$AG$7,AM$7,$F120:$AG120)</f>
        <v>0</v>
      </c>
      <c r="AN120" s="123" t="n">
        <f aca="false">SUMIF($F$7:$AG$7,AN$7,$F120:$AG120)</f>
        <v>0</v>
      </c>
      <c r="AO120" s="123" t="n">
        <f aca="false">SUMIF($F$7:$AG$7,AO$7,$F120:$AG120)</f>
        <v>0</v>
      </c>
    </row>
    <row r="121" customFormat="false" ht="15" hidden="false" customHeight="false" outlineLevel="0" collapsed="false">
      <c r="A121" s="104" t="s">
        <v>2133</v>
      </c>
      <c r="B121" s="20" t="s">
        <v>995</v>
      </c>
      <c r="C121" s="20" t="s">
        <v>550</v>
      </c>
      <c r="D121" s="20"/>
      <c r="F121" s="137" t="n">
        <f aca="false">IF(F$5=$N$23,E116*$K$23/1000*$O$23,0)</f>
        <v>0</v>
      </c>
      <c r="G121" s="137" t="n">
        <f aca="false">IF(G$5=$N$23,F116*$K$23/1000*$O$23,0)</f>
        <v>0</v>
      </c>
      <c r="H121" s="137" t="n">
        <f aca="false">IF(H$5=$N$23,G116*$K$23/1000*$O$23,0)</f>
        <v>0</v>
      </c>
      <c r="I121" s="137" t="n">
        <f aca="false">IF(I$5=$N$23,H116*$K$23/1000*$O$23,0)</f>
        <v>0</v>
      </c>
      <c r="J121" s="137" t="n">
        <f aca="false">IF(J$5=$N$23,I116*$K$23/1000*$O$23,0)</f>
        <v>0</v>
      </c>
      <c r="K121" s="137" t="n">
        <f aca="false">IF(K$5=$N$23,J116*$K$23/1000*$O$23,0)</f>
        <v>0</v>
      </c>
      <c r="L121" s="137" t="n">
        <f aca="false">IF(L$5=$N$23,K116*$K$23/1000*$O$23,0)</f>
        <v>0</v>
      </c>
      <c r="M121" s="137" t="n">
        <f aca="false">IF(M$5=$N$23,L116*$K$23/1000*$O$23,0)</f>
        <v>0</v>
      </c>
      <c r="N121" s="137" t="n">
        <f aca="false">IF(N$5=$N$23,M116*$K$23/1000*$O$23,0)</f>
        <v>0</v>
      </c>
      <c r="O121" s="137" t="n">
        <f aca="false">IF(O$5=$N$23,N116*$K$23/1000*$O$23,0)</f>
        <v>0</v>
      </c>
      <c r="P121" s="42" t="n">
        <f aca="false">IF(P$5=$N$23,O116*$K$23/1000*$O$23,0)</f>
        <v>0</v>
      </c>
      <c r="Q121" s="42" t="n">
        <f aca="false">IF(Q$5=$N$23,P116*$K$23/1000*$O$23,0)</f>
        <v>0</v>
      </c>
      <c r="R121" s="42" t="n">
        <f aca="false">IF(R$5=$N$23,Q116*$K$23/1000*$O$23,0)</f>
        <v>0</v>
      </c>
      <c r="S121" s="42" t="n">
        <f aca="false">IF(S$5=$N$23,R116*$K$23/1000*$O$23,0)</f>
        <v>0</v>
      </c>
      <c r="T121" s="42" t="n">
        <f aca="false">IF(T$5=$N$23,S116*$K$23/1000*$O$23,0)</f>
        <v>0</v>
      </c>
      <c r="U121" s="42" t="n">
        <f aca="false">IF(U$5=$N$23,T116*$K$23/1000*$O$23,0)</f>
        <v>0</v>
      </c>
      <c r="V121" s="42" t="n">
        <f aca="false">IF(V$5=$N$23,U116*$K$23/1000*$O$23,0)</f>
        <v>0</v>
      </c>
      <c r="W121" s="42" t="n">
        <f aca="false">IF(W$5=$N$23,V116*$K$23/1000*$O$23,0)</f>
        <v>0</v>
      </c>
      <c r="X121" s="42" t="n">
        <f aca="false">IF(X$5=$N$23,W116*$K$23/1000*$O$23,0)</f>
        <v>0</v>
      </c>
      <c r="Y121" s="42" t="n">
        <f aca="false">IF(Y$5=$N$23,X116*$K$23/1000*$O$23,0)</f>
        <v>0</v>
      </c>
      <c r="Z121" s="42" t="n">
        <f aca="false">IF(Z$5=$N$23,Y116*$K$23/1000*$O$23,0)</f>
        <v>0</v>
      </c>
      <c r="AA121" s="42" t="n">
        <f aca="false">IF(AA$5=$N$23,Z116*$K$23/1000*$O$23,0)</f>
        <v>0</v>
      </c>
      <c r="AB121" s="42" t="n">
        <f aca="false">IF(AB$5=$N$23,AA116*$K$23/1000*$O$23,0)</f>
        <v>0</v>
      </c>
      <c r="AC121" s="42" t="n">
        <f aca="false">IF(AC$5=$N$23,AB116*$K$23/1000*$O$23,0)</f>
        <v>0</v>
      </c>
      <c r="AD121" s="42" t="n">
        <f aca="false">IF(AD$5=$N$23,AC116*$K$23/1000*$O$23,0)</f>
        <v>0</v>
      </c>
      <c r="AE121" s="42" t="n">
        <f aca="false">IF(AE$5=$N$23,AD116*$K$23/1000*$O$23,0)</f>
        <v>0</v>
      </c>
      <c r="AF121" s="42" t="n">
        <f aca="false">IF(AF$5=$N$23,AE116*$K$23/1000*$O$23,0)</f>
        <v>0</v>
      </c>
      <c r="AG121" s="42" t="n">
        <f aca="false">IF(AG$5=$N$23,AF116*$K$23/1000*$O$23,0)</f>
        <v>0</v>
      </c>
      <c r="AI121" s="42" t="n">
        <f aca="false">SUMIF($F$7:$AG$7,AI$7,$F121:$AG121)</f>
        <v>0</v>
      </c>
      <c r="AJ121" s="42" t="n">
        <f aca="false">SUMIF($F$7:$AG$7,AJ$7,$F121:$AG121)</f>
        <v>0</v>
      </c>
      <c r="AK121" s="42" t="n">
        <f aca="false">SUMIF($F$7:$AG$7,AK$7,$F121:$AG121)</f>
        <v>0</v>
      </c>
      <c r="AL121" s="42" t="n">
        <f aca="false">SUMIF($F$7:$AG$7,AL$7,$F121:$AG121)</f>
        <v>0</v>
      </c>
      <c r="AM121" s="42" t="n">
        <f aca="false">SUMIF($F$7:$AG$7,AM$7,$F121:$AG121)</f>
        <v>0</v>
      </c>
      <c r="AN121" s="42" t="n">
        <f aca="false">SUMIF($F$7:$AG$7,AN$7,$F121:$AG121)</f>
        <v>0</v>
      </c>
      <c r="AO121" s="42" t="n">
        <f aca="false">SUMIF($F$7:$AG$7,AO$7,$F121:$AG121)</f>
        <v>0</v>
      </c>
    </row>
    <row r="122" customFormat="false" ht="15" hidden="false" customHeight="false" outlineLevel="0" collapsed="false">
      <c r="A122" s="104" t="s">
        <v>2134</v>
      </c>
      <c r="B122" s="20" t="s">
        <v>995</v>
      </c>
      <c r="C122" s="20" t="s">
        <v>495</v>
      </c>
      <c r="D122" s="20"/>
      <c r="F122" s="137" t="n">
        <f aca="false">IF(DilMethod=3,MAX(0,F116*$K$23/1000*DilPx-F119)/DilPx,F116*$K$23/1000*$P$23)</f>
        <v>0</v>
      </c>
      <c r="G122" s="137" t="n">
        <f aca="false">IF(DilMethod=3,MAX(0,G116*$K$23/1000*DilPx-G119)/DilPx,G116*$K$23/1000*$P$23)</f>
        <v>0</v>
      </c>
      <c r="H122" s="137" t="n">
        <f aca="false">IF(DilMethod=3,MAX(0,H116*$K$23/1000*DilPx-H119)/DilPx,H116*$K$23/1000*$P$23)</f>
        <v>0</v>
      </c>
      <c r="I122" s="137" t="n">
        <f aca="false">IF(DilMethod=3,MAX(0,I116*$K$23/1000*DilPx-I119)/DilPx,I116*$K$23/1000*$P$23)</f>
        <v>0</v>
      </c>
      <c r="J122" s="137" t="n">
        <f aca="false">IF(DilMethod=3,MAX(0,J116*$K$23/1000*DilPx-J119)/DilPx,J116*$K$23/1000*$P$23)</f>
        <v>0</v>
      </c>
      <c r="K122" s="137" t="n">
        <f aca="false">IF(DilMethod=3,MAX(0,K116*$K$23/1000*DilPx-K119)/DilPx,K116*$K$23/1000*$P$23)</f>
        <v>0</v>
      </c>
      <c r="L122" s="137" t="n">
        <f aca="false">IF(DilMethod=3,MAX(0,L116*$K$23/1000*DilPx-L119)/DilPx,L116*$K$23/1000*$P$23)</f>
        <v>0</v>
      </c>
      <c r="M122" s="137" t="n">
        <f aca="false">IF(DilMethod=3,MAX(0,M116*$K$23/1000*DilPx-M119)/DilPx,M116*$K$23/1000*$P$23)</f>
        <v>0</v>
      </c>
      <c r="N122" s="137" t="n">
        <f aca="false">IF(DilMethod=3,MAX(0,N116*$K$23/1000*DilPx-N119)/DilPx,N116*$K$23/1000*$P$23)</f>
        <v>0</v>
      </c>
      <c r="O122" s="137" t="n">
        <f aca="false">IF(DilMethod=3,MAX(0,O116*$K$23/1000*DilPx-O119)/DilPx,O116*$K$23/1000*$P$23)</f>
        <v>0</v>
      </c>
      <c r="P122" s="42" t="n">
        <f aca="false">IF(DilMethod=3,MAX(0,P116*$K$23/1000*DilPx-P119)/DilPx,P116*$K$23/1000*$P$23)</f>
        <v>0</v>
      </c>
      <c r="Q122" s="42" t="n">
        <f aca="false">IF(DilMethod=3,MAX(0,Q116*$K$23/1000*DilPx-Q119)/DilPx,Q116*$K$23/1000*$P$23)</f>
        <v>0</v>
      </c>
      <c r="R122" s="42" t="n">
        <f aca="false">IF(DilMethod=3,MAX(0,R116*$K$23/1000*DilPx-R119)/DilPx,R116*$K$23/1000*$P$23)</f>
        <v>0</v>
      </c>
      <c r="S122" s="42" t="n">
        <f aca="false">IF(DilMethod=3,MAX(0,S116*$K$23/1000*DilPx-S119)/DilPx,S116*$K$23/1000*$P$23)</f>
        <v>0</v>
      </c>
      <c r="T122" s="42" t="n">
        <f aca="false">IF(DilMethod=3,MAX(0,T116*$K$23/1000*DilPx-T119)/DilPx,T116*$K$23/1000*$P$23)</f>
        <v>0</v>
      </c>
      <c r="U122" s="42" t="n">
        <f aca="false">IF(DilMethod=3,MAX(0,U116*$K$23/1000*DilPx-U119)/DilPx,U116*$K$23/1000*$P$23)</f>
        <v>0</v>
      </c>
      <c r="V122" s="42" t="n">
        <f aca="false">IF(DilMethod=3,MAX(0,V116*$K$23/1000*DilPx-V119)/DilPx,V116*$K$23/1000*$P$23)</f>
        <v>0</v>
      </c>
      <c r="W122" s="42" t="n">
        <f aca="false">IF(DilMethod=3,MAX(0,W116*$K$23/1000*DilPx-W119)/DilPx,W116*$K$23/1000*$P$23)</f>
        <v>0</v>
      </c>
      <c r="X122" s="42" t="n">
        <f aca="false">IF(DilMethod=3,MAX(0,X116*$K$23/1000*DilPx-X119)/DilPx,X116*$K$23/1000*$P$23)</f>
        <v>0</v>
      </c>
      <c r="Y122" s="42" t="n">
        <f aca="false">IF(DilMethod=3,MAX(0,Y116*$K$23/1000*DilPx-Y119)/DilPx,Y116*$K$23/1000*$P$23)</f>
        <v>0</v>
      </c>
      <c r="Z122" s="42" t="n">
        <f aca="false">IF(DilMethod=3,MAX(0,Z116*$K$23/1000*DilPx-Z119)/DilPx,Z116*$K$23/1000*$P$23)</f>
        <v>0</v>
      </c>
      <c r="AA122" s="42" t="n">
        <f aca="false">IF(DilMethod=3,MAX(0,AA116*$K$23/1000*DilPx-AA119)/DilPx,AA116*$K$23/1000*$P$23)</f>
        <v>0</v>
      </c>
      <c r="AB122" s="42" t="n">
        <f aca="false">IF(DilMethod=3,MAX(0,AB116*$K$23/1000*DilPx-AB119)/DilPx,AB116*$K$23/1000*$P$23)</f>
        <v>0</v>
      </c>
      <c r="AC122" s="42" t="n">
        <f aca="false">IF(DilMethod=3,MAX(0,AC116*$K$23/1000*DilPx-AC119)/DilPx,AC116*$K$23/1000*$P$23)</f>
        <v>0</v>
      </c>
      <c r="AD122" s="42" t="n">
        <f aca="false">IF(DilMethod=3,MAX(0,AD116*$K$23/1000*DilPx-AD119)/DilPx,AD116*$K$23/1000*$P$23)</f>
        <v>0</v>
      </c>
      <c r="AE122" s="42" t="n">
        <f aca="false">IF(DilMethod=3,MAX(0,AE116*$K$23/1000*DilPx-AE119)/DilPx,AE116*$K$23/1000*$P$23)</f>
        <v>0</v>
      </c>
      <c r="AF122" s="42" t="n">
        <f aca="false">IF(DilMethod=3,MAX(0,AF116*$K$23/1000*DilPx-AF119)/DilPx,AF116*$K$23/1000*$P$23)</f>
        <v>0</v>
      </c>
      <c r="AG122" s="42" t="n">
        <f aca="false">IF(DilMethod=3,MAX(0,AG116*$K$23/1000*DilPx-AG119)/DilPx,AG116*$K$23/1000*$P$23)</f>
        <v>0</v>
      </c>
      <c r="AI122" s="42" t="n">
        <f aca="false">INDEX($F122:$AG122,1,MATCH(AI$7,$F$7:$AG$7,1))</f>
        <v>0</v>
      </c>
      <c r="AJ122" s="42" t="n">
        <f aca="false">INDEX($F122:$AG122,1,MATCH(AJ$7,$F$7:$AG$7,1))</f>
        <v>0</v>
      </c>
      <c r="AK122" s="42" t="n">
        <f aca="false">INDEX($F122:$AG122,1,MATCH(AK$7,$F$7:$AG$7,1))</f>
        <v>0</v>
      </c>
      <c r="AL122" s="42" t="n">
        <f aca="false">INDEX($F122:$AG122,1,MATCH(AL$7,$F$7:$AG$7,1))</f>
        <v>0</v>
      </c>
      <c r="AM122" s="42" t="n">
        <f aca="false">INDEX($F122:$AG122,1,MATCH(AM$7,$F$7:$AG$7,1))</f>
        <v>0</v>
      </c>
      <c r="AN122" s="42" t="n">
        <f aca="false">INDEX($F122:$AG122,1,MATCH(AN$7,$F$7:$AG$7,1))</f>
        <v>0</v>
      </c>
      <c r="AO122" s="42" t="n">
        <f aca="false">INDEX($F122:$AG122,1,MATCH(AO$7,$F$7:$AG$7,1))</f>
        <v>0</v>
      </c>
    </row>
    <row r="123" customFormat="false" ht="15" hidden="false" customHeight="false" outlineLevel="0" collapsed="false">
      <c r="A123" s="104" t="s">
        <v>2135</v>
      </c>
      <c r="B123" s="20" t="s">
        <v>561</v>
      </c>
      <c r="C123" s="20" t="s">
        <v>495</v>
      </c>
      <c r="D123" s="20"/>
      <c r="F123" s="122" t="n">
        <f aca="false">F119*IF(DilMethod=3,1,1-$P$23)</f>
        <v>0</v>
      </c>
      <c r="G123" s="122" t="n">
        <f aca="false">G119*IF(DilMethod=3,1,1-$P$23)</f>
        <v>0</v>
      </c>
      <c r="H123" s="122" t="n">
        <f aca="false">H119*IF(DilMethod=3,1,1-$P$23)</f>
        <v>0</v>
      </c>
      <c r="I123" s="122" t="n">
        <f aca="false">I119*IF(DilMethod=3,1,1-$P$23)</f>
        <v>0</v>
      </c>
      <c r="J123" s="122" t="n">
        <f aca="false">J119*IF(DilMethod=3,1,1-$P$23)</f>
        <v>0</v>
      </c>
      <c r="K123" s="122" t="n">
        <f aca="false">K119*IF(DilMethod=3,1,1-$P$23)</f>
        <v>0</v>
      </c>
      <c r="L123" s="122" t="n">
        <f aca="false">L119*IF(DilMethod=3,1,1-$P$23)</f>
        <v>0</v>
      </c>
      <c r="M123" s="122" t="n">
        <f aca="false">M119*IF(DilMethod=3,1,1-$P$23)</f>
        <v>0</v>
      </c>
      <c r="N123" s="122" t="n">
        <f aca="false">N119*IF(DilMethod=3,1,1-$P$23)</f>
        <v>0</v>
      </c>
      <c r="O123" s="122" t="n">
        <f aca="false">O119*IF(DilMethod=3,1,1-$P$23)</f>
        <v>0</v>
      </c>
      <c r="P123" s="123" t="n">
        <f aca="false">P119*IF(DilMethod=3,1,1-$P$23)</f>
        <v>0</v>
      </c>
      <c r="Q123" s="123" t="n">
        <f aca="false">Q119*IF(DilMethod=3,1,1-$P$23)</f>
        <v>0</v>
      </c>
      <c r="R123" s="123" t="n">
        <f aca="false">R119*IF(DilMethod=3,1,1-$P$23)</f>
        <v>0</v>
      </c>
      <c r="S123" s="123" t="n">
        <f aca="false">S119*IF(DilMethod=3,1,1-$P$23)</f>
        <v>0</v>
      </c>
      <c r="T123" s="123" t="n">
        <f aca="false">T119*IF(DilMethod=3,1,1-$P$23)</f>
        <v>2570.97409704487</v>
      </c>
      <c r="U123" s="123" t="n">
        <f aca="false">U119*IF(DilMethod=3,1,1-$P$23)</f>
        <v>2592.45530828165</v>
      </c>
      <c r="V123" s="123" t="n">
        <f aca="false">V119*IF(DilMethod=3,1,1-$P$23)</f>
        <v>2613.70302809194</v>
      </c>
      <c r="W123" s="123" t="n">
        <f aca="false">W119*IF(DilMethod=3,1,1-$P$23)</f>
        <v>2634.95074790223</v>
      </c>
      <c r="X123" s="123" t="n">
        <f aca="false">X119*IF(DilMethod=3,1,1-$P$23)</f>
        <v>2656.431959139</v>
      </c>
      <c r="Y123" s="123" t="n">
        <f aca="false">Y119*IF(DilMethod=3,1,1-$P$23)</f>
        <v>2677.91317037578</v>
      </c>
      <c r="Z123" s="123" t="n">
        <f aca="false">Z119*IF(DilMethod=3,1,1-$P$23)</f>
        <v>2698.92739875958</v>
      </c>
      <c r="AA123" s="123" t="n">
        <f aca="false">AA119*IF(DilMethod=3,1,1-$P$23)</f>
        <v>2720.17511856987</v>
      </c>
      <c r="AB123" s="123" t="n">
        <f aca="false">AB119*IF(DilMethod=3,1,1-$P$23)</f>
        <v>2741.65632980664</v>
      </c>
      <c r="AC123" s="123" t="n">
        <f aca="false">AC119*IF(DilMethod=3,1,1-$P$23)</f>
        <v>2763.13754104342</v>
      </c>
      <c r="AD123" s="123" t="n">
        <f aca="false">AD119*IF(DilMethod=3,1,1-$P$23)</f>
        <v>2784.15176942722</v>
      </c>
      <c r="AE123" s="123" t="n">
        <f aca="false">AE119*IF(DilMethod=3,1,1-$P$23)</f>
        <v>2805.3994892375</v>
      </c>
      <c r="AF123" s="123" t="n">
        <f aca="false">AF119*IF(DilMethod=3,1,1-$P$23)</f>
        <v>2826.88070047428</v>
      </c>
      <c r="AG123" s="123" t="n">
        <f aca="false">AG119*IF(DilMethod=3,1,1-$P$23)</f>
        <v>2848.36191171105</v>
      </c>
      <c r="AI123" s="123" t="n">
        <f aca="false">INDEX($F123:$AG123,1,MATCH(AI$7,$F$7:$AG$7,1))</f>
        <v>0</v>
      </c>
      <c r="AJ123" s="123" t="n">
        <f aca="false">INDEX($F123:$AG123,1,MATCH(AJ$7,$F$7:$AG$7,1))</f>
        <v>0</v>
      </c>
      <c r="AK123" s="123" t="n">
        <f aca="false">INDEX($F123:$AG123,1,MATCH(AK$7,$F$7:$AG$7,1))</f>
        <v>0</v>
      </c>
      <c r="AL123" s="123" t="n">
        <f aca="false">INDEX($F123:$AG123,1,MATCH(AL$7,$F$7:$AG$7,1))</f>
        <v>2592.45530828165</v>
      </c>
      <c r="AM123" s="123" t="n">
        <f aca="false">INDEX($F123:$AG123,1,MATCH(AM$7,$F$7:$AG$7,1))</f>
        <v>2677.91317037578</v>
      </c>
      <c r="AN123" s="123" t="n">
        <f aca="false">INDEX($F123:$AG123,1,MATCH(AN$7,$F$7:$AG$7,1))</f>
        <v>2763.13754104342</v>
      </c>
      <c r="AO123" s="123" t="n">
        <f aca="false">INDEX($F123:$AG123,1,MATCH(AO$7,$F$7:$AG$7,1))</f>
        <v>2848.36191171105</v>
      </c>
    </row>
    <row r="125" customFormat="false" ht="15" hidden="false" customHeight="false" outlineLevel="0" collapsed="false">
      <c r="A125" s="53" t="s">
        <v>2136</v>
      </c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</row>
    <row r="126" customFormat="false" ht="15" hidden="false" customHeight="false" outlineLevel="0" collapsed="false">
      <c r="A126" s="3" t="s">
        <v>2137</v>
      </c>
      <c r="B126" s="20" t="s">
        <v>561</v>
      </c>
      <c r="C126" s="20" t="s">
        <v>495</v>
      </c>
      <c r="D126" s="20"/>
      <c r="F126" s="124" t="n">
        <f aca="false">F28+F36+F44+F52+F60+F68+F76+F84+F92+F100+F108+F116</f>
        <v>0</v>
      </c>
      <c r="G126" s="124" t="n">
        <f aca="false">G28+G36+G44+G52+G60+G68+G76+G84+G92+G100+G108+G116</f>
        <v>0</v>
      </c>
      <c r="H126" s="124" t="n">
        <f aca="false">H28+H36+H44+H52+H60+H68+H76+H84+H92+H100+H108+H116</f>
        <v>0</v>
      </c>
      <c r="I126" s="124" t="n">
        <f aca="false">I28+I36+I44+I52+I60+I68+I76+I84+I92+I100+I108+I116</f>
        <v>0</v>
      </c>
      <c r="J126" s="124" t="n">
        <f aca="false">J28+J36+J44+J52+J60+J68+J76+J84+J92+J100+J108+J116</f>
        <v>0</v>
      </c>
      <c r="K126" s="124" t="n">
        <f aca="false">K28+K36+K44+K52+K60+K68+K76+K84+K92+K100+K108+K116</f>
        <v>975</v>
      </c>
      <c r="L126" s="124" t="n">
        <f aca="false">L28+L36+L44+L52+L60+L68+L76+L84+L92+L100+L108+L116</f>
        <v>4137.5</v>
      </c>
      <c r="M126" s="124" t="n">
        <f aca="false">M28+M36+M44+M52+M60+M68+M76+M84+M92+M100+M108+M116</f>
        <v>4137.5</v>
      </c>
      <c r="N126" s="124" t="n">
        <f aca="false">N28+N36+N44+N52+N60+N68+N76+N84+N92+N100+N108+N116</f>
        <v>8475</v>
      </c>
      <c r="O126" s="124" t="n">
        <f aca="false">O28+O36+O44+O52+O60+O68+O76+O84+O92+O100+O108+O116</f>
        <v>8475</v>
      </c>
      <c r="P126" s="96" t="n">
        <f aca="false">P28+P36+P44+P52+P60+P68+P76+P84+P92+P100+P108+P116</f>
        <v>13425</v>
      </c>
      <c r="Q126" s="96" t="n">
        <f aca="false">Q28+Q36+Q44+Q52+Q60+Q68+Q76+Q84+Q92+Q100+Q108+Q116</f>
        <v>13425</v>
      </c>
      <c r="R126" s="96" t="n">
        <f aca="false">R28+R36+R44+R52+R60+R68+R76+R84+R92+R100+R108+R116</f>
        <v>19825</v>
      </c>
      <c r="S126" s="96" t="n">
        <f aca="false">S28+S36+S44+S52+S60+S68+S76+S84+S92+S100+S108+S116</f>
        <v>19825</v>
      </c>
      <c r="T126" s="96" t="n">
        <f aca="false">T28+T36+T44+T52+T60+T68+T76+T84+T92+T100+T108+T116</f>
        <v>26225</v>
      </c>
      <c r="U126" s="96" t="n">
        <f aca="false">U28+U36+U44+U52+U60+U68+U76+U84+U92+U100+U108+U116</f>
        <v>26225</v>
      </c>
      <c r="V126" s="96" t="n">
        <f aca="false">V28+V36+V44+V52+V60+V68+V76+V84+V92+V100+V108+V116</f>
        <v>26225</v>
      </c>
      <c r="W126" s="96" t="n">
        <f aca="false">W28+W36+W44+W52+W60+W68+W76+W84+W92+W100+W108+W116</f>
        <v>26225</v>
      </c>
      <c r="X126" s="96" t="n">
        <f aca="false">X28+X36+X44+X52+X60+X68+X76+X84+X92+X100+X108+X116</f>
        <v>26225</v>
      </c>
      <c r="Y126" s="96" t="n">
        <f aca="false">Y28+Y36+Y44+Y52+Y60+Y68+Y76+Y84+Y92+Y100+Y108+Y116</f>
        <v>26225</v>
      </c>
      <c r="Z126" s="96" t="n">
        <f aca="false">Z28+Z36+Z44+Z52+Z60+Z68+Z76+Z84+Z92+Z100+Z108+Z116</f>
        <v>26225</v>
      </c>
      <c r="AA126" s="96" t="n">
        <f aca="false">AA28+AA36+AA44+AA52+AA60+AA68+AA76+AA84+AA92+AA100+AA108+AA116</f>
        <v>26137.5</v>
      </c>
      <c r="AB126" s="96" t="n">
        <f aca="false">AB28+AB36+AB44+AB52+AB60+AB68+AB76+AB84+AB92+AB100+AB108+AB116</f>
        <v>26137.5</v>
      </c>
      <c r="AC126" s="96" t="n">
        <f aca="false">AC28+AC36+AC44+AC52+AC60+AC68+AC76+AC84+AC92+AC100+AC108+AC116</f>
        <v>26137.5</v>
      </c>
      <c r="AD126" s="96" t="n">
        <f aca="false">AD28+AD36+AD44+AD52+AD60+AD68+AD76+AD84+AD92+AD100+AD108+AD116</f>
        <v>22687.5</v>
      </c>
      <c r="AE126" s="96" t="n">
        <f aca="false">AE28+AE36+AE44+AE52+AE60+AE68+AE76+AE84+AE92+AE100+AE108+AE116</f>
        <v>22687.5</v>
      </c>
      <c r="AF126" s="96" t="n">
        <f aca="false">AF28+AF36+AF44+AF52+AF60+AF68+AF76+AF84+AF92+AF100+AF108+AF116</f>
        <v>17266.25</v>
      </c>
      <c r="AG126" s="96" t="n">
        <f aca="false">AG28+AG36+AG44+AG52+AG60+AG68+AG76+AG84+AG92+AG100+AG108+AG116</f>
        <v>17266.25</v>
      </c>
      <c r="AI126" s="96" t="n">
        <f aca="false">INDEX($F126:$AG126,1,MATCH(AI$7,$F$7:$AG$7,1))</f>
        <v>0</v>
      </c>
      <c r="AJ126" s="96" t="n">
        <f aca="false">INDEX($F126:$AG126,1,MATCH(AJ$7,$F$7:$AG$7,1))</f>
        <v>4137.5</v>
      </c>
      <c r="AK126" s="96" t="n">
        <f aca="false">INDEX($F126:$AG126,1,MATCH(AK$7,$F$7:$AG$7,1))</f>
        <v>13425</v>
      </c>
      <c r="AL126" s="96" t="n">
        <f aca="false">INDEX($F126:$AG126,1,MATCH(AL$7,$F$7:$AG$7,1))</f>
        <v>26225</v>
      </c>
      <c r="AM126" s="96" t="n">
        <f aca="false">INDEX($F126:$AG126,1,MATCH(AM$7,$F$7:$AG$7,1))</f>
        <v>26225</v>
      </c>
      <c r="AN126" s="96" t="n">
        <f aca="false">INDEX($F126:$AG126,1,MATCH(AN$7,$F$7:$AG$7,1))</f>
        <v>26137.5</v>
      </c>
      <c r="AO126" s="96" t="n">
        <f aca="false">INDEX($F126:$AG126,1,MATCH(AO$7,$F$7:$AG$7,1))</f>
        <v>17266.25</v>
      </c>
    </row>
    <row r="127" customFormat="false" ht="15" hidden="false" customHeight="false" outlineLevel="0" collapsed="false">
      <c r="A127" s="3" t="s">
        <v>2138</v>
      </c>
      <c r="B127" s="20" t="s">
        <v>561</v>
      </c>
      <c r="C127" s="20" t="s">
        <v>495</v>
      </c>
      <c r="D127" s="20"/>
      <c r="F127" s="124" t="n">
        <f aca="false">F29+F37+F45+F53+F61+F69+F77+F85+F93+F101+F109+F117</f>
        <v>0</v>
      </c>
      <c r="G127" s="124" t="n">
        <f aca="false">G29+G37+G45+G53+G61+G69+G77+G85+G93+G101+G109+G117</f>
        <v>0</v>
      </c>
      <c r="H127" s="124" t="n">
        <f aca="false">H29+H37+H45+H53+H61+H69+H77+H85+H93+H101+H109+H117</f>
        <v>0</v>
      </c>
      <c r="I127" s="124" t="n">
        <f aca="false">I29+I37+I45+I53+I61+I69+I77+I85+I93+I101+I109+I117</f>
        <v>0</v>
      </c>
      <c r="J127" s="124" t="n">
        <f aca="false">J29+J37+J45+J53+J61+J69+J77+J85+J93+J101+J109+J117</f>
        <v>0</v>
      </c>
      <c r="K127" s="124" t="n">
        <f aca="false">K29+K37+K45+K53+K61+K69+K77+K85+K93+K101+K109+K117</f>
        <v>6.09375</v>
      </c>
      <c r="L127" s="124" t="n">
        <f aca="false">L29+L37+L45+L53+L61+L69+L77+L85+L93+L101+L109+L117</f>
        <v>20.91796875</v>
      </c>
      <c r="M127" s="124" t="n">
        <f aca="false">M29+M37+M45+M53+M61+M69+M77+M85+M93+M101+M109+M117</f>
        <v>20.91796875</v>
      </c>
      <c r="N127" s="124" t="n">
        <f aca="false">N29+N37+N45+N53+N61+N69+N77+N85+N93+N101+N109+N117</f>
        <v>40.48828125</v>
      </c>
      <c r="O127" s="124" t="n">
        <f aca="false">O29+O37+O45+O53+O61+O69+O77+O85+O93+O101+O109+O117</f>
        <v>40.48828125</v>
      </c>
      <c r="P127" s="96" t="n">
        <f aca="false">P29+P37+P45+P53+P61+P69+P77+P85+P93+P101+P109+P117</f>
        <v>65.67578125</v>
      </c>
      <c r="Q127" s="96" t="n">
        <f aca="false">Q29+Q37+Q45+Q53+Q61+Q69+Q77+Q85+Q93+Q101+Q109+Q117</f>
        <v>65.67578125</v>
      </c>
      <c r="R127" s="96" t="n">
        <f aca="false">R29+R37+R45+R53+R61+R69+R77+R85+R93+R101+R109+R117</f>
        <v>99.27578125</v>
      </c>
      <c r="S127" s="96" t="n">
        <f aca="false">S29+S37+S45+S53+S61+S69+S77+S85+S93+S101+S109+S117</f>
        <v>99.27578125</v>
      </c>
      <c r="T127" s="96" t="n">
        <f aca="false">T29+T37+T45+T53+T61+T69+T77+T85+T93+T101+T109+T117</f>
        <v>132.87578125</v>
      </c>
      <c r="U127" s="96" t="n">
        <f aca="false">U29+U37+U45+U53+U61+U69+U77+U85+U93+U101+U109+U117</f>
        <v>132.87578125</v>
      </c>
      <c r="V127" s="96" t="n">
        <f aca="false">V29+V37+V45+V53+V61+V69+V77+V85+V93+V101+V109+V117</f>
        <v>132.87578125</v>
      </c>
      <c r="W127" s="96" t="n">
        <f aca="false">W29+W37+W45+W53+W61+W69+W77+W85+W93+W101+W109+W117</f>
        <v>132.87578125</v>
      </c>
      <c r="X127" s="96" t="n">
        <f aca="false">X29+X37+X45+X53+X61+X69+X77+X85+X93+X101+X109+X117</f>
        <v>132.87578125</v>
      </c>
      <c r="Y127" s="96" t="n">
        <f aca="false">Y29+Y37+Y45+Y53+Y61+Y69+Y77+Y85+Y93+Y101+Y109+Y117</f>
        <v>132.87578125</v>
      </c>
      <c r="Z127" s="96" t="n">
        <f aca="false">Z29+Z37+Z45+Z53+Z61+Z69+Z77+Z85+Z93+Z101+Z109+Z117</f>
        <v>132.87578125</v>
      </c>
      <c r="AA127" s="96" t="n">
        <f aca="false">AA29+AA37+AA45+AA53+AA61+AA69+AA77+AA85+AA93+AA101+AA109+AA117</f>
        <v>132.43828125</v>
      </c>
      <c r="AB127" s="96" t="n">
        <f aca="false">AB29+AB37+AB45+AB53+AB61+AB69+AB77+AB85+AB93+AB101+AB109+AB117</f>
        <v>132.43828125</v>
      </c>
      <c r="AC127" s="96" t="n">
        <f aca="false">AC29+AC37+AC45+AC53+AC61+AC69+AC77+AC85+AC93+AC101+AC109+AC117</f>
        <v>132.43828125</v>
      </c>
      <c r="AD127" s="96" t="n">
        <f aca="false">AD29+AD37+AD45+AD53+AD61+AD69+AD77+AD85+AD93+AD101+AD109+AD117</f>
        <v>128.12578125</v>
      </c>
      <c r="AE127" s="96" t="n">
        <f aca="false">AE29+AE37+AE45+AE53+AE61+AE69+AE77+AE85+AE93+AE101+AE109+AE117</f>
        <v>128.12578125</v>
      </c>
      <c r="AF127" s="96" t="n">
        <f aca="false">AF29+AF37+AF45+AF53+AF61+AF69+AF77+AF85+AF93+AF101+AF109+AF117</f>
        <v>119.37265625</v>
      </c>
      <c r="AG127" s="96" t="n">
        <f aca="false">AG29+AG37+AG45+AG53+AG61+AG69+AG77+AG85+AG93+AG101+AG109+AG117</f>
        <v>119.37265625</v>
      </c>
      <c r="AI127" s="96" t="n">
        <f aca="false">SUMIF($F$7:$AG$7,AI$7,$F127:$AG127)</f>
        <v>0</v>
      </c>
      <c r="AJ127" s="96" t="n">
        <f aca="false">SUMIF($F$7:$AG$7,AJ$7,$F127:$AG127)</f>
        <v>47.9296875</v>
      </c>
      <c r="AK127" s="96" t="n">
        <f aca="false">SUMIF($F$7:$AG$7,AK$7,$F127:$AG127)</f>
        <v>212.328125</v>
      </c>
      <c r="AL127" s="96" t="n">
        <f aca="false">SUMIF($F$7:$AG$7,AL$7,$F127:$AG127)</f>
        <v>464.303125</v>
      </c>
      <c r="AM127" s="96" t="n">
        <f aca="false">SUMIF($F$7:$AG$7,AM$7,$F127:$AG127)</f>
        <v>531.503125</v>
      </c>
      <c r="AN127" s="96" t="n">
        <f aca="false">SUMIF($F$7:$AG$7,AN$7,$F127:$AG127)</f>
        <v>530.190625</v>
      </c>
      <c r="AO127" s="96" t="n">
        <f aca="false">SUMIF($F$7:$AG$7,AO$7,$F127:$AG127)</f>
        <v>494.996875</v>
      </c>
    </row>
    <row r="128" customFormat="false" ht="15" hidden="false" customHeight="false" outlineLevel="0" collapsed="false">
      <c r="A128" s="3" t="s">
        <v>2139</v>
      </c>
      <c r="B128" s="20" t="s">
        <v>561</v>
      </c>
      <c r="C128" s="20" t="s">
        <v>495</v>
      </c>
      <c r="D128" s="20"/>
      <c r="F128" s="124" t="n">
        <f aca="false">F30+F38+F46+F54+F62+F70+F78+F86+F94+F102+F110+F118</f>
        <v>0</v>
      </c>
      <c r="G128" s="124" t="n">
        <f aca="false">G30+G38+G46+G54+G62+G70+G78+G86+G94+G102+G110+G118</f>
        <v>0</v>
      </c>
      <c r="H128" s="124" t="n">
        <f aca="false">H30+H38+H46+H54+H62+H70+H78+H86+H94+H102+H110+H118</f>
        <v>0</v>
      </c>
      <c r="I128" s="124" t="n">
        <f aca="false">I30+I38+I46+I54+I62+I70+I78+I86+I94+I102+I110+I118</f>
        <v>0</v>
      </c>
      <c r="J128" s="124" t="n">
        <f aca="false">J30+J38+J46+J54+J62+J70+J78+J86+J94+J102+J110+J118</f>
        <v>0</v>
      </c>
      <c r="K128" s="124" t="n">
        <f aca="false">K30+K38+K46+K54+K62+K70+K78+K86+K94+K102+K110+K118</f>
        <v>11.4862086135425</v>
      </c>
      <c r="L128" s="124" t="n">
        <f aca="false">L30+L38+L46+L54+L62+L70+L78+L86+L94+L102+L110+L118</f>
        <v>31.8173612237143</v>
      </c>
      <c r="M128" s="124" t="n">
        <f aca="false">M30+M38+M46+M54+M62+M70+M78+M86+M94+M102+M110+M118</f>
        <v>31.8173612237143</v>
      </c>
      <c r="N128" s="124" t="n">
        <f aca="false">N30+N38+N46+N54+N62+N70+N78+N86+N94+N102+N110+N118</f>
        <v>70.2902257244709</v>
      </c>
      <c r="O128" s="124" t="n">
        <f aca="false">O30+O38+O46+O54+O62+O70+O78+O86+O94+O102+O110+O118</f>
        <v>70.2902257244709</v>
      </c>
      <c r="P128" s="96" t="n">
        <f aca="false">P30+P38+P46+P54+P62+P70+P78+P86+P94+P102+P110+P118</f>
        <v>104.869898900448</v>
      </c>
      <c r="Q128" s="96" t="n">
        <f aca="false">Q30+Q38+Q46+Q54+Q62+Q70+Q78+Q86+Q94+Q102+Q110+Q118</f>
        <v>104.869898900448</v>
      </c>
      <c r="R128" s="96" t="n">
        <f aca="false">R30+R38+R46+R54+R62+R70+R78+R86+R94+R102+R110+R118</f>
        <v>153.672050583338</v>
      </c>
      <c r="S128" s="96" t="n">
        <f aca="false">S30+S38+S46+S54+S62+S70+S78+S86+S94+S102+S110+S118</f>
        <v>153.672050583338</v>
      </c>
      <c r="T128" s="96" t="n">
        <f aca="false">T30+T38+T46+T54+T62+T70+T78+T86+T94+T102+T110+T118</f>
        <v>202.386486464403</v>
      </c>
      <c r="U128" s="96" t="n">
        <f aca="false">U30+U38+U46+U54+U62+U70+U78+U86+U94+U102+U110+U118</f>
        <v>202.386486464403</v>
      </c>
      <c r="V128" s="96" t="n">
        <f aca="false">V30+V38+V46+V54+V62+V70+V78+V86+V94+V102+V110+V118</f>
        <v>202.386486464403</v>
      </c>
      <c r="W128" s="96" t="n">
        <f aca="false">W30+W38+W46+W54+W62+W70+W78+W86+W94+W102+W110+W118</f>
        <v>202.386486464403</v>
      </c>
      <c r="X128" s="96" t="n">
        <f aca="false">X30+X38+X46+X54+X62+X70+X78+X86+X94+X102+X110+X118</f>
        <v>202.386486464403</v>
      </c>
      <c r="Y128" s="96" t="n">
        <f aca="false">Y30+Y38+Y46+Y54+Y62+Y70+Y78+Y86+Y94+Y102+Y110+Y118</f>
        <v>202.386486464403</v>
      </c>
      <c r="Z128" s="96" t="n">
        <f aca="false">Z30+Z38+Z46+Z54+Z62+Z70+Z78+Z86+Z94+Z102+Z110+Z118</f>
        <v>202.386486464403</v>
      </c>
      <c r="AA128" s="96" t="n">
        <f aca="false">AA30+AA38+AA46+AA54+AA62+AA70+AA78+AA86+AA94+AA102+AA110+AA118</f>
        <v>201.26161185377</v>
      </c>
      <c r="AB128" s="96" t="n">
        <f aca="false">AB30+AB38+AB46+AB54+AB62+AB70+AB78+AB86+AB94+AB102+AB110+AB118</f>
        <v>201.26161185377</v>
      </c>
      <c r="AC128" s="96" t="n">
        <f aca="false">AC30+AC38+AC46+AC54+AC62+AC70+AC78+AC86+AC94+AC102+AC110+AC118</f>
        <v>201.26161185377</v>
      </c>
      <c r="AD128" s="96" t="n">
        <f aca="false">AD30+AD38+AD46+AD54+AD62+AD70+AD78+AD86+AD94+AD102+AD110+AD118</f>
        <v>176.475764096099</v>
      </c>
      <c r="AE128" s="96" t="n">
        <f aca="false">AE30+AE38+AE46+AE54+AE62+AE70+AE78+AE86+AE94+AE102+AE110+AE118</f>
        <v>176.475764096099</v>
      </c>
      <c r="AF128" s="96" t="n">
        <f aca="false">AF30+AF38+AF46+AF54+AF62+AF70+AF78+AF86+AF94+AF102+AF110+AF118</f>
        <v>137.156660480432</v>
      </c>
      <c r="AG128" s="96" t="n">
        <f aca="false">AG30+AG38+AG46+AG54+AG62+AG70+AG78+AG86+AG94+AG102+AG110+AG118</f>
        <v>137.156660480432</v>
      </c>
      <c r="AI128" s="96" t="n">
        <f aca="false">SUMIF($F$7:$AG$7,AI$7,$F128:$AG128)</f>
        <v>0</v>
      </c>
      <c r="AJ128" s="96" t="n">
        <f aca="false">SUMIF($F$7:$AG$7,AJ$7,$F128:$AG128)</f>
        <v>75.1209310609711</v>
      </c>
      <c r="AK128" s="96" t="n">
        <f aca="false">SUMIF($F$7:$AG$7,AK$7,$F128:$AG128)</f>
        <v>350.320249249838</v>
      </c>
      <c r="AL128" s="96" t="n">
        <f aca="false">SUMIF($F$7:$AG$7,AL$7,$F128:$AG128)</f>
        <v>712.117074095482</v>
      </c>
      <c r="AM128" s="96" t="n">
        <f aca="false">SUMIF($F$7:$AG$7,AM$7,$F128:$AG128)</f>
        <v>809.545945857613</v>
      </c>
      <c r="AN128" s="96" t="n">
        <f aca="false">SUMIF($F$7:$AG$7,AN$7,$F128:$AG128)</f>
        <v>806.171322025714</v>
      </c>
      <c r="AO128" s="96" t="n">
        <f aca="false">SUMIF($F$7:$AG$7,AO$7,$F128:$AG128)</f>
        <v>627.264849153063</v>
      </c>
    </row>
    <row r="129" customFormat="false" ht="15" hidden="false" customHeight="false" outlineLevel="0" collapsed="false">
      <c r="A129" s="3" t="s">
        <v>2140</v>
      </c>
      <c r="B129" s="20" t="s">
        <v>561</v>
      </c>
      <c r="C129" s="20" t="s">
        <v>495</v>
      </c>
      <c r="D129" s="20"/>
      <c r="F129" s="124" t="n">
        <f aca="false">F31+F39+F47+F55+F63+F71+F79+F87+F95+F103+F111+F119</f>
        <v>0</v>
      </c>
      <c r="G129" s="124" t="n">
        <f aca="false">G31+G39+G47+G55+G63+G71+G79+G87+G95+G103+G111+G119</f>
        <v>0</v>
      </c>
      <c r="H129" s="124" t="n">
        <f aca="false">H31+H39+H47+H55+H63+H71+H79+H87+H95+H103+H111+H119</f>
        <v>0</v>
      </c>
      <c r="I129" s="124" t="n">
        <f aca="false">I31+I39+I47+I55+I63+I71+I79+I87+I95+I103+I111+I119</f>
        <v>0</v>
      </c>
      <c r="J129" s="124" t="n">
        <f aca="false">J31+J39+J47+J55+J63+J71+J79+J87+J95+J103+J111+J119</f>
        <v>0</v>
      </c>
      <c r="K129" s="124" t="n">
        <f aca="false">K31+K39+K47+K55+K63+K71+K79+K87+K95+K103+K111+K119</f>
        <v>978.144752529375</v>
      </c>
      <c r="L129" s="124" t="n">
        <f aca="false">L31+L39+L47+L55+L63+L71+L79+L87+L95+L103+L111+L119</f>
        <v>4155.5572615681</v>
      </c>
      <c r="M129" s="124" t="n">
        <f aca="false">M31+M39+M47+M55+M63+M71+M79+M87+M95+M103+M111+M119</f>
        <v>4187.61417855736</v>
      </c>
      <c r="N129" s="124" t="n">
        <f aca="false">N31+N39+N47+N55+N63+N71+N79+N87+N95+N103+N111+N119</f>
        <v>8561.10885639054</v>
      </c>
      <c r="O129" s="124" t="n">
        <f aca="false">O31+O39+O47+O55+O63+O71+O79+O87+O95+O103+O111+O119</f>
        <v>8631.15852692773</v>
      </c>
      <c r="P129" s="96" t="n">
        <f aca="false">P31+P39+P47+P55+P63+P71+P79+P87+P95+P103+P111+P119</f>
        <v>13620.060210042</v>
      </c>
      <c r="Q129" s="96" t="n">
        <f aca="false">Q31+Q39+Q47+Q55+Q63+Q71+Q79+Q87+Q95+Q103+Q111+Q119</f>
        <v>13725.7196838144</v>
      </c>
      <c r="R129" s="96" t="n">
        <f aca="false">R31+R39+R47+R55+R63+R71+R79+R87+R95+R103+R111+R119</f>
        <v>20253.1325541965</v>
      </c>
      <c r="S129" s="96" t="n">
        <f aca="false">S31+S39+S47+S55+S63+S71+S79+S87+S95+S103+S111+S119</f>
        <v>20406.2786908491</v>
      </c>
      <c r="T129" s="96" t="n">
        <f aca="false">T31+T39+T47+T55+T63+T71+T79+T87+T95+T103+T111+T119</f>
        <v>26986.1818491251</v>
      </c>
      <c r="U129" s="96" t="n">
        <f aca="false">U31+U39+U47+U55+U63+U71+U79+U87+U95+U103+U111+U119</f>
        <v>27190.092121593</v>
      </c>
      <c r="V129" s="96" t="n">
        <f aca="false">V31+V39+V47+V55+V63+V71+V79+V87+V95+V103+V111+V119</f>
        <v>27391.7859780558</v>
      </c>
      <c r="W129" s="96" t="n">
        <f aca="false">W31+W39+W47+W55+W63+W71+W79+W87+W95+W103+W111+W119</f>
        <v>27593.4798345186</v>
      </c>
      <c r="X129" s="96" t="n">
        <f aca="false">X31+X39+X47+X55+X63+X71+X79+X87+X95+X103+X111+X119</f>
        <v>27797.3901069865</v>
      </c>
      <c r="Y129" s="96" t="n">
        <f aca="false">Y31+Y39+Y47+Y55+Y63+Y71+Y79+Y87+Y95+Y103+Y111+Y119</f>
        <v>28001.3003794544</v>
      </c>
      <c r="Z129" s="96" t="n">
        <f aca="false">Z31+Z39+Z47+Z55+Z63+Z71+Z79+Z87+Z95+Z103+Z111+Z119</f>
        <v>28200.7778199121</v>
      </c>
      <c r="AA129" s="96" t="n">
        <f aca="false">AA31+AA39+AA47+AA55+AA63+AA71+AA79+AA87+AA95+AA103+AA111+AA119</f>
        <v>28296.665708721</v>
      </c>
      <c r="AB129" s="96" t="n">
        <f aca="false">AB31+AB39+AB47+AB55+AB63+AB71+AB79+AB87+AB95+AB103+AB111+AB119</f>
        <v>28499.4426372965</v>
      </c>
      <c r="AC129" s="96" t="n">
        <f aca="false">AC31+AC39+AC47+AC55+AC63+AC71+AC79+AC87+AC95+AC103+AC111+AC119</f>
        <v>28702.2195658719</v>
      </c>
      <c r="AD129" s="96" t="n">
        <f aca="false">AD31+AD39+AD47+AD55+AD63+AD71+AD79+AD87+AD95+AD103+AD111+AD119</f>
        <v>25093.6449486563</v>
      </c>
      <c r="AE129" s="96" t="n">
        <f aca="false">AE31+AE39+AE47+AE55+AE63+AE71+AE79+AE87+AE95+AE103+AE111+AE119</f>
        <v>25269.5167573654</v>
      </c>
      <c r="AF129" s="96" t="n">
        <f aca="false">AF31+AF39+AF47+AF55+AF63+AF71+AF79+AF87+AF95+AF103+AF111+AF119</f>
        <v>19388.8021801277</v>
      </c>
      <c r="AG129" s="96" t="n">
        <f aca="false">AG31+AG39+AG47+AG55+AG63+AG71+AG79+AG87+AG95+AG103+AG111+AG119</f>
        <v>19526.991505403</v>
      </c>
      <c r="AI129" s="96" t="n">
        <f aca="false">INDEX($F129:$AG129,1,MATCH(AI$7,$F$7:$AG$7,1))</f>
        <v>0</v>
      </c>
      <c r="AJ129" s="96" t="n">
        <f aca="false">INDEX($F129:$AG129,1,MATCH(AJ$7,$F$7:$AG$7,1))</f>
        <v>4187.61417855736</v>
      </c>
      <c r="AK129" s="96" t="n">
        <f aca="false">INDEX($F129:$AG129,1,MATCH(AK$7,$F$7:$AG$7,1))</f>
        <v>13725.7196838144</v>
      </c>
      <c r="AL129" s="96" t="n">
        <f aca="false">INDEX($F129:$AG129,1,MATCH(AL$7,$F$7:$AG$7,1))</f>
        <v>27190.092121593</v>
      </c>
      <c r="AM129" s="96" t="n">
        <f aca="false">INDEX($F129:$AG129,1,MATCH(AM$7,$F$7:$AG$7,1))</f>
        <v>28001.3003794544</v>
      </c>
      <c r="AN129" s="96" t="n">
        <f aca="false">INDEX($F129:$AG129,1,MATCH(AN$7,$F$7:$AG$7,1))</f>
        <v>28702.2195658719</v>
      </c>
      <c r="AO129" s="96" t="n">
        <f aca="false">INDEX($F129:$AG129,1,MATCH(AO$7,$F$7:$AG$7,1))</f>
        <v>19526.991505403</v>
      </c>
    </row>
    <row r="130" customFormat="false" ht="15" hidden="false" customHeight="false" outlineLevel="0" collapsed="false">
      <c r="A130" s="3" t="s">
        <v>2141</v>
      </c>
      <c r="B130" s="20" t="s">
        <v>561</v>
      </c>
      <c r="C130" s="20" t="s">
        <v>495</v>
      </c>
      <c r="D130" s="20"/>
      <c r="F130" s="124" t="n">
        <f aca="false">F32+F40+F48+F56+F64+F72+F80+F88+F96+F104+F112+F120</f>
        <v>0</v>
      </c>
      <c r="G130" s="124" t="n">
        <f aca="false">G32+G40+G48+G56+G64+G72+G80+G88+G96+G104+G112+G120</f>
        <v>0</v>
      </c>
      <c r="H130" s="124" t="n">
        <f aca="false">H32+H40+H48+H56+H64+H72+H80+H88+H96+H104+H112+H120</f>
        <v>0</v>
      </c>
      <c r="I130" s="124" t="n">
        <f aca="false">I32+I40+I48+I56+I64+I72+I80+I88+I96+I104+I112+I120</f>
        <v>0</v>
      </c>
      <c r="J130" s="124" t="n">
        <f aca="false">J32+J40+J48+J56+J64+J72+J80+J88+J96+J104+J112+J120</f>
        <v>0</v>
      </c>
      <c r="K130" s="124" t="n">
        <f aca="false">K32+K40+K48+K56+K64+K72+K80+K88+K96+K104+K112+K120</f>
        <v>0</v>
      </c>
      <c r="L130" s="124" t="n">
        <f aca="false">L32+L40+L48+L56+L64+L72+L80+L88+L96+L104+L112+L120</f>
        <v>0</v>
      </c>
      <c r="M130" s="124" t="n">
        <f aca="false">M32+M40+M48+M56+M64+M72+M80+M88+M96+M104+M112+M120</f>
        <v>0</v>
      </c>
      <c r="N130" s="124" t="n">
        <f aca="false">N32+N40+N48+N56+N64+N72+N80+N88+N96+N104+N112+N120</f>
        <v>0</v>
      </c>
      <c r="O130" s="124" t="n">
        <f aca="false">O32+O40+O48+O56+O64+O72+O80+O88+O96+O104+O112+O120</f>
        <v>0</v>
      </c>
      <c r="P130" s="96" t="n">
        <f aca="false">P32+P40+P48+P56+P64+P72+P80+P88+P96+P104+P112+P120</f>
        <v>0</v>
      </c>
      <c r="Q130" s="96" t="n">
        <f aca="false">Q32+Q40+Q48+Q56+Q64+Q72+Q80+Q88+Q96+Q104+Q112+Q120</f>
        <v>0</v>
      </c>
      <c r="R130" s="96" t="n">
        <f aca="false">R32+R40+R48+R56+R64+R72+R80+R88+R96+R104+R112+R120</f>
        <v>0</v>
      </c>
      <c r="S130" s="96" t="n">
        <f aca="false">S32+S40+S48+S56+S64+S72+S80+S88+S96+S104+S112+S120</f>
        <v>0</v>
      </c>
      <c r="T130" s="96" t="n">
        <f aca="false">T32+T40+T48+T56+T64+T72+T80+T88+T96+T104+T112+T120</f>
        <v>0</v>
      </c>
      <c r="U130" s="96" t="n">
        <f aca="false">U32+U40+U48+U56+U64+U72+U80+U88+U96+U104+U112+U120</f>
        <v>0</v>
      </c>
      <c r="V130" s="96" t="n">
        <f aca="false">V32+V40+V48+V56+V64+V72+V80+V88+V96+V104+V112+V120</f>
        <v>0</v>
      </c>
      <c r="W130" s="96" t="n">
        <f aca="false">W32+W40+W48+W56+W64+W72+W80+W88+W96+W104+W112+W120</f>
        <v>0</v>
      </c>
      <c r="X130" s="96" t="n">
        <f aca="false">X32+X40+X48+X56+X64+X72+X80+X88+X96+X104+X112+X120</f>
        <v>0</v>
      </c>
      <c r="Y130" s="96" t="n">
        <f aca="false">Y32+Y40+Y48+Y56+Y64+Y72+Y80+Y88+Y96+Y104+Y112+Y120</f>
        <v>0</v>
      </c>
      <c r="Z130" s="96" t="n">
        <f aca="false">Z32+Z40+Z48+Z56+Z64+Z72+Z80+Z88+Z96+Z104+Z112+Z120</f>
        <v>0</v>
      </c>
      <c r="AA130" s="96" t="n">
        <f aca="false">AA32+AA40+AA48+AA56+AA64+AA72+AA80+AA88+AA96+AA104+AA112+AA120</f>
        <v>0</v>
      </c>
      <c r="AB130" s="96" t="n">
        <f aca="false">AB32+AB40+AB48+AB56+AB64+AB72+AB80+AB88+AB96+AB104+AB112+AB120</f>
        <v>0</v>
      </c>
      <c r="AC130" s="96" t="n">
        <f aca="false">AC32+AC40+AC48+AC56+AC64+AC72+AC80+AC88+AC96+AC104+AC112+AC120</f>
        <v>0</v>
      </c>
      <c r="AD130" s="96" t="n">
        <f aca="false">AD32+AD40+AD48+AD56+AD64+AD72+AD80+AD88+AD96+AD104+AD112+AD120</f>
        <v>3795</v>
      </c>
      <c r="AE130" s="96" t="n">
        <f aca="false">AE32+AE40+AE48+AE56+AE64+AE72+AE80+AE88+AE96+AE104+AE112+AE120</f>
        <v>0</v>
      </c>
      <c r="AF130" s="96" t="n">
        <f aca="false">AF32+AF40+AF48+AF56+AF64+AF72+AF80+AF88+AF96+AF104+AF112+AF120</f>
        <v>4224</v>
      </c>
      <c r="AG130" s="96" t="n">
        <f aca="false">AG32+AG40+AG48+AG56+AG64+AG72+AG80+AG88+AG96+AG104+AG112+AG120</f>
        <v>0</v>
      </c>
      <c r="AI130" s="96" t="n">
        <f aca="false">SUMIF($F$7:$AG$7,AI$7,$F130:$AG130)</f>
        <v>0</v>
      </c>
      <c r="AJ130" s="96" t="n">
        <f aca="false">SUMIF($F$7:$AG$7,AJ$7,$F130:$AG130)</f>
        <v>0</v>
      </c>
      <c r="AK130" s="96" t="n">
        <f aca="false">SUMIF($F$7:$AG$7,AK$7,$F130:$AG130)</f>
        <v>0</v>
      </c>
      <c r="AL130" s="96" t="n">
        <f aca="false">SUMIF($F$7:$AG$7,AL$7,$F130:$AG130)</f>
        <v>0</v>
      </c>
      <c r="AM130" s="96" t="n">
        <f aca="false">SUMIF($F$7:$AG$7,AM$7,$F130:$AG130)</f>
        <v>0</v>
      </c>
      <c r="AN130" s="96" t="n">
        <f aca="false">SUMIF($F$7:$AG$7,AN$7,$F130:$AG130)</f>
        <v>0</v>
      </c>
      <c r="AO130" s="96" t="n">
        <f aca="false">SUMIF($F$7:$AG$7,AO$7,$F130:$AG130)</f>
        <v>8019</v>
      </c>
    </row>
    <row r="131" customFormat="false" ht="15" hidden="false" customHeight="false" outlineLevel="0" collapsed="false">
      <c r="A131" s="3" t="s">
        <v>2142</v>
      </c>
      <c r="B131" s="20" t="s">
        <v>995</v>
      </c>
      <c r="C131" s="20" t="s">
        <v>495</v>
      </c>
      <c r="D131" s="20"/>
      <c r="F131" s="138" t="n">
        <f aca="false">F33+F41+F49+F57+F65+F73+F81+F89+F97+F105+F113+F121</f>
        <v>0</v>
      </c>
      <c r="G131" s="138" t="n">
        <f aca="false">G33+G41+G49+G57+G65+G73+G81+G89+G97+G105+G113+G121</f>
        <v>0</v>
      </c>
      <c r="H131" s="138" t="n">
        <f aca="false">H33+H41+H49+H57+H65+H73+H81+H89+H97+H105+H113+H121</f>
        <v>0</v>
      </c>
      <c r="I131" s="138" t="n">
        <f aca="false">I33+I41+I49+I57+I65+I73+I81+I89+I97+I105+I113+I121</f>
        <v>0</v>
      </c>
      <c r="J131" s="138" t="n">
        <f aca="false">J33+J41+J49+J57+J65+J73+J81+J89+J97+J105+J113+J121</f>
        <v>0</v>
      </c>
      <c r="K131" s="138" t="n">
        <f aca="false">K33+K41+K49+K57+K65+K73+K81+K89+K97+K105+K113+K121</f>
        <v>0</v>
      </c>
      <c r="L131" s="138" t="n">
        <f aca="false">L33+L41+L49+L57+L65+L73+L81+L89+L97+L105+L113+L121</f>
        <v>0</v>
      </c>
      <c r="M131" s="138" t="n">
        <f aca="false">M33+M41+M49+M57+M65+M73+M81+M89+M97+M105+M113+M121</f>
        <v>0</v>
      </c>
      <c r="N131" s="138" t="n">
        <f aca="false">N33+N41+N49+N57+N65+N73+N81+N89+N97+N105+N113+N121</f>
        <v>0</v>
      </c>
      <c r="O131" s="138" t="n">
        <f aca="false">O33+O41+O49+O57+O65+O73+O81+O89+O97+O105+O113+O121</f>
        <v>0</v>
      </c>
      <c r="P131" s="59" t="n">
        <f aca="false">P33+P41+P49+P57+P65+P73+P81+P89+P97+P105+P113+P121</f>
        <v>0</v>
      </c>
      <c r="Q131" s="59" t="n">
        <f aca="false">Q33+Q41+Q49+Q57+Q65+Q73+Q81+Q89+Q97+Q105+Q113+Q121</f>
        <v>0</v>
      </c>
      <c r="R131" s="59" t="n">
        <f aca="false">R33+R41+R49+R57+R65+R73+R81+R89+R97+R105+R113+R121</f>
        <v>0</v>
      </c>
      <c r="S131" s="59" t="n">
        <f aca="false">S33+S41+S49+S57+S65+S73+S81+S89+S97+S105+S113+S121</f>
        <v>0</v>
      </c>
      <c r="T131" s="59" t="n">
        <f aca="false">T33+T41+T49+T57+T65+T73+T81+T89+T97+T105+T113+T121</f>
        <v>0</v>
      </c>
      <c r="U131" s="59" t="n">
        <f aca="false">U33+U41+U49+U57+U65+U73+U81+U89+U97+U105+U113+U121</f>
        <v>0</v>
      </c>
      <c r="V131" s="59" t="n">
        <f aca="false">V33+V41+V49+V57+V65+V73+V81+V89+V97+V105+V113+V121</f>
        <v>0</v>
      </c>
      <c r="W131" s="59" t="n">
        <f aca="false">W33+W41+W49+W57+W65+W73+W81+W89+W97+W105+W113+W121</f>
        <v>0</v>
      </c>
      <c r="X131" s="59" t="n">
        <f aca="false">X33+X41+X49+X57+X65+X73+X81+X89+X97+X105+X113+X121</f>
        <v>0</v>
      </c>
      <c r="Y131" s="59" t="n">
        <f aca="false">Y33+Y41+Y49+Y57+Y65+Y73+Y81+Y89+Y97+Y105+Y113+Y121</f>
        <v>0</v>
      </c>
      <c r="Z131" s="59" t="n">
        <f aca="false">Z33+Z41+Z49+Z57+Z65+Z73+Z81+Z89+Z97+Z105+Z113+Z121</f>
        <v>0</v>
      </c>
      <c r="AA131" s="59" t="n">
        <f aca="false">AA33+AA41+AA49+AA57+AA65+AA73+AA81+AA89+AA97+AA105+AA113+AA121</f>
        <v>1.70067625</v>
      </c>
      <c r="AB131" s="59" t="n">
        <f aca="false">AB33+AB41+AB49+AB57+AB65+AB73+AB81+AB89+AB97+AB105+AB113+AB121</f>
        <v>0</v>
      </c>
      <c r="AC131" s="59" t="n">
        <f aca="false">AC33+AC41+AC49+AC57+AC65+AC73+AC81+AC89+AC97+AC105+AC113+AC121</f>
        <v>0</v>
      </c>
      <c r="AD131" s="59" t="n">
        <f aca="false">AD33+AD41+AD49+AD57+AD65+AD73+AD81+AD89+AD97+AD105+AD113+AD121</f>
        <v>0</v>
      </c>
      <c r="AE131" s="59" t="n">
        <f aca="false">AE33+AE41+AE49+AE57+AE65+AE73+AE81+AE89+AE97+AE105+AE113+AE121</f>
        <v>0</v>
      </c>
      <c r="AF131" s="59" t="n">
        <f aca="false">AF33+AF41+AF49+AF57+AF65+AF73+AF81+AF89+AF97+AF105+AF113+AF121</f>
        <v>11.396385</v>
      </c>
      <c r="AG131" s="59" t="n">
        <f aca="false">AG33+AG41+AG49+AG57+AG65+AG73+AG81+AG89+AG97+AG105+AG113+AG121</f>
        <v>0</v>
      </c>
      <c r="AI131" s="59" t="n">
        <f aca="false">SUMIF($F$7:$AG$7,AI$7,$F131:$AG131)</f>
        <v>0</v>
      </c>
      <c r="AJ131" s="59" t="n">
        <f aca="false">SUMIF($F$7:$AG$7,AJ$7,$F131:$AG131)</f>
        <v>0</v>
      </c>
      <c r="AK131" s="59" t="n">
        <f aca="false">SUMIF($F$7:$AG$7,AK$7,$F131:$AG131)</f>
        <v>0</v>
      </c>
      <c r="AL131" s="59" t="n">
        <f aca="false">SUMIF($F$7:$AG$7,AL$7,$F131:$AG131)</f>
        <v>0</v>
      </c>
      <c r="AM131" s="59" t="n">
        <f aca="false">SUMIF($F$7:$AG$7,AM$7,$F131:$AG131)</f>
        <v>0</v>
      </c>
      <c r="AN131" s="59" t="n">
        <f aca="false">SUMIF($F$7:$AG$7,AN$7,$F131:$AG131)</f>
        <v>1.70067625</v>
      </c>
      <c r="AO131" s="59" t="n">
        <f aca="false">SUMIF($F$7:$AG$7,AO$7,$F131:$AG131)</f>
        <v>11.396385</v>
      </c>
    </row>
    <row r="132" customFormat="false" ht="15" hidden="false" customHeight="false" outlineLevel="0" collapsed="false">
      <c r="A132" s="3" t="s">
        <v>2143</v>
      </c>
      <c r="B132" s="20" t="s">
        <v>995</v>
      </c>
      <c r="C132" s="20" t="s">
        <v>495</v>
      </c>
      <c r="D132" s="20"/>
      <c r="F132" s="138" t="n">
        <f aca="false">F34+F42+F50+F58+F66+F74+F82+F90+F98+F106+F114+F122</f>
        <v>0</v>
      </c>
      <c r="G132" s="138" t="n">
        <f aca="false">G34+G42+G50+G58+G66+G74+G82+G90+G98+G106+G114+G122</f>
        <v>0</v>
      </c>
      <c r="H132" s="138" t="n">
        <f aca="false">H34+H42+H50+H58+H66+H74+H82+H90+H98+H106+H114+H122</f>
        <v>0</v>
      </c>
      <c r="I132" s="138" t="n">
        <f aca="false">I34+I42+I50+I58+I66+I74+I82+I90+I98+I106+I114+I122</f>
        <v>0</v>
      </c>
      <c r="J132" s="138" t="n">
        <f aca="false">J34+J42+J50+J58+J66+J74+J82+J90+J98+J106+J114+J122</f>
        <v>0</v>
      </c>
      <c r="K132" s="138" t="n">
        <f aca="false">K34+K42+K50+K58+K66+K74+K82+K90+K98+K106+K114+K122</f>
        <v>0</v>
      </c>
      <c r="L132" s="138" t="n">
        <f aca="false">L34+L42+L50+L58+L66+L74+L82+L90+L98+L106+L114+L122</f>
        <v>0</v>
      </c>
      <c r="M132" s="138" t="n">
        <f aca="false">M34+M42+M50+M58+M66+M74+M82+M90+M98+M106+M114+M122</f>
        <v>0</v>
      </c>
      <c r="N132" s="138" t="n">
        <f aca="false">N34+N42+N50+N58+N66+N74+N82+N90+N98+N106+N114+N122</f>
        <v>0</v>
      </c>
      <c r="O132" s="138" t="n">
        <f aca="false">O34+O42+O50+O58+O66+O74+O82+O90+O98+O106+O114+O122</f>
        <v>0</v>
      </c>
      <c r="P132" s="59" t="n">
        <f aca="false">P34+P42+P50+P58+P66+P74+P82+P90+P98+P106+P114+P122</f>
        <v>0</v>
      </c>
      <c r="Q132" s="59" t="n">
        <f aca="false">Q34+Q42+Q50+Q58+Q66+Q74+Q82+Q90+Q98+Q106+Q114+Q122</f>
        <v>0</v>
      </c>
      <c r="R132" s="59" t="n">
        <f aca="false">R34+R42+R50+R58+R66+R74+R82+R90+R98+R106+R114+R122</f>
        <v>0</v>
      </c>
      <c r="S132" s="59" t="n">
        <f aca="false">S34+S42+S50+S58+S66+S74+S82+S90+S98+S106+S114+S122</f>
        <v>0</v>
      </c>
      <c r="T132" s="59" t="n">
        <f aca="false">T34+T42+T50+T58+T66+T74+T82+T90+T98+T106+T114+T122</f>
        <v>0</v>
      </c>
      <c r="U132" s="59" t="n">
        <f aca="false">U34+U42+U50+U58+U66+U74+U82+U90+U98+U106+U114+U122</f>
        <v>0</v>
      </c>
      <c r="V132" s="59" t="n">
        <f aca="false">V34+V42+V50+V58+V66+V74+V82+V90+V98+V106+V114+V122</f>
        <v>0</v>
      </c>
      <c r="W132" s="59" t="n">
        <f aca="false">W34+W42+W50+W58+W66+W74+W82+W90+W98+W106+W114+W122</f>
        <v>0</v>
      </c>
      <c r="X132" s="59" t="n">
        <f aca="false">X34+X42+X50+X58+X66+X74+X82+X90+X98+X106+X114+X122</f>
        <v>0</v>
      </c>
      <c r="Y132" s="59" t="n">
        <f aca="false">Y34+Y42+Y50+Y58+Y66+Y74+Y82+Y90+Y98+Y106+Y114+Y122</f>
        <v>0</v>
      </c>
      <c r="Z132" s="59" t="n">
        <f aca="false">Z34+Z42+Z50+Z58+Z66+Z74+Z82+Z90+Z98+Z106+Z114+Z122</f>
        <v>0</v>
      </c>
      <c r="AA132" s="59" t="n">
        <f aca="false">AA34+AA42+AA50+AA58+AA66+AA74+AA82+AA90+AA98+AA106+AA114+AA122</f>
        <v>0</v>
      </c>
      <c r="AB132" s="59" t="n">
        <f aca="false">AB34+AB42+AB50+AB58+AB66+AB74+AB82+AB90+AB98+AB106+AB114+AB122</f>
        <v>0</v>
      </c>
      <c r="AC132" s="59" t="n">
        <f aca="false">AC34+AC42+AC50+AC58+AC66+AC74+AC82+AC90+AC98+AC106+AC114+AC122</f>
        <v>0</v>
      </c>
      <c r="AD132" s="59" t="n">
        <f aca="false">AD34+AD42+AD50+AD58+AD66+AD74+AD82+AD90+AD98+AD106+AD114+AD122</f>
        <v>0</v>
      </c>
      <c r="AE132" s="59" t="n">
        <f aca="false">AE34+AE42+AE50+AE58+AE66+AE74+AE82+AE90+AE98+AE106+AE114+AE122</f>
        <v>0</v>
      </c>
      <c r="AF132" s="59" t="n">
        <f aca="false">AF34+AF42+AF50+AF58+AF66+AF74+AF82+AF90+AF98+AF106+AF114+AF122</f>
        <v>0</v>
      </c>
      <c r="AG132" s="59" t="n">
        <f aca="false">AG34+AG42+AG50+AG58+AG66+AG74+AG82+AG90+AG98+AG106+AG114+AG122</f>
        <v>0</v>
      </c>
      <c r="AI132" s="59" t="n">
        <f aca="false">INDEX($F132:$AG132,1,MATCH(AI$7,$F$7:$AG$7,1))</f>
        <v>0</v>
      </c>
      <c r="AJ132" s="59" t="n">
        <f aca="false">INDEX($F132:$AG132,1,MATCH(AJ$7,$F$7:$AG$7,1))</f>
        <v>0</v>
      </c>
      <c r="AK132" s="59" t="n">
        <f aca="false">INDEX($F132:$AG132,1,MATCH(AK$7,$F$7:$AG$7,1))</f>
        <v>0</v>
      </c>
      <c r="AL132" s="59" t="n">
        <f aca="false">INDEX($F132:$AG132,1,MATCH(AL$7,$F$7:$AG$7,1))</f>
        <v>0</v>
      </c>
      <c r="AM132" s="59" t="n">
        <f aca="false">INDEX($F132:$AG132,1,MATCH(AM$7,$F$7:$AG$7,1))</f>
        <v>0</v>
      </c>
      <c r="AN132" s="59" t="n">
        <f aca="false">INDEX($F132:$AG132,1,MATCH(AN$7,$F$7:$AG$7,1))</f>
        <v>0</v>
      </c>
      <c r="AO132" s="59" t="n">
        <f aca="false">INDEX($F132:$AG132,1,MATCH(AO$7,$F$7:$AG$7,1))</f>
        <v>0</v>
      </c>
    </row>
    <row r="133" customFormat="false" ht="15" hidden="false" customHeight="false" outlineLevel="0" collapsed="false">
      <c r="A133" s="3" t="s">
        <v>2144</v>
      </c>
      <c r="B133" s="20" t="s">
        <v>561</v>
      </c>
      <c r="C133" s="20" t="s">
        <v>495</v>
      </c>
      <c r="D133" s="20"/>
      <c r="F133" s="124" t="n">
        <f aca="false">F35+F43+F51+F59+F67+F75+F83+F91+F99+F107+F115+F123</f>
        <v>0</v>
      </c>
      <c r="G133" s="124" t="n">
        <f aca="false">G35+G43+G51+G59+G67+G75+G83+G91+G99+G107+G115+G123</f>
        <v>0</v>
      </c>
      <c r="H133" s="124" t="n">
        <f aca="false">H35+H43+H51+H59+H67+H75+H83+H91+H99+H107+H115+H123</f>
        <v>0</v>
      </c>
      <c r="I133" s="124" t="n">
        <f aca="false">I35+I43+I51+I59+I67+I75+I83+I91+I99+I107+I115+I123</f>
        <v>0</v>
      </c>
      <c r="J133" s="124" t="n">
        <f aca="false">J35+J43+J51+J59+J67+J75+J83+J91+J99+J107+J115+J123</f>
        <v>0</v>
      </c>
      <c r="K133" s="124" t="n">
        <f aca="false">K35+K43+K51+K59+K67+K75+K83+K91+K99+K107+K115+K123</f>
        <v>978.144752529375</v>
      </c>
      <c r="L133" s="124" t="n">
        <f aca="false">L35+L43+L51+L59+L67+L75+L83+L91+L99+L107+L115+L123</f>
        <v>4155.5572615681</v>
      </c>
      <c r="M133" s="124" t="n">
        <f aca="false">M35+M43+M51+M59+M67+M75+M83+M91+M99+M107+M115+M123</f>
        <v>4187.61417855736</v>
      </c>
      <c r="N133" s="124" t="n">
        <f aca="false">N35+N43+N51+N59+N67+N75+N83+N91+N99+N107+N115+N123</f>
        <v>8561.10885639054</v>
      </c>
      <c r="O133" s="124" t="n">
        <f aca="false">O35+O43+O51+O59+O67+O75+O83+O91+O99+O107+O115+O123</f>
        <v>8631.15852692773</v>
      </c>
      <c r="P133" s="96" t="n">
        <f aca="false">P35+P43+P51+P59+P67+P75+P83+P91+P99+P107+P115+P123</f>
        <v>13620.060210042</v>
      </c>
      <c r="Q133" s="96" t="n">
        <f aca="false">Q35+Q43+Q51+Q59+Q67+Q75+Q83+Q91+Q99+Q107+Q115+Q123</f>
        <v>13725.7196838144</v>
      </c>
      <c r="R133" s="96" t="n">
        <f aca="false">R35+R43+R51+R59+R67+R75+R83+R91+R99+R107+R115+R123</f>
        <v>20253.1325541965</v>
      </c>
      <c r="S133" s="96" t="n">
        <f aca="false">S35+S43+S51+S59+S67+S75+S83+S91+S99+S107+S115+S123</f>
        <v>20406.2786908491</v>
      </c>
      <c r="T133" s="96" t="n">
        <f aca="false">T35+T43+T51+T59+T67+T75+T83+T91+T99+T107+T115+T123</f>
        <v>26986.1818491251</v>
      </c>
      <c r="U133" s="96" t="n">
        <f aca="false">U35+U43+U51+U59+U67+U75+U83+U91+U99+U107+U115+U123</f>
        <v>27190.092121593</v>
      </c>
      <c r="V133" s="96" t="n">
        <f aca="false">V35+V43+V51+V59+V67+V75+V83+V91+V99+V107+V115+V123</f>
        <v>27391.7859780558</v>
      </c>
      <c r="W133" s="96" t="n">
        <f aca="false">W35+W43+W51+W59+W67+W75+W83+W91+W99+W107+W115+W123</f>
        <v>27593.4798345186</v>
      </c>
      <c r="X133" s="96" t="n">
        <f aca="false">X35+X43+X51+X59+X67+X75+X83+X91+X99+X107+X115+X123</f>
        <v>27797.3901069865</v>
      </c>
      <c r="Y133" s="96" t="n">
        <f aca="false">Y35+Y43+Y51+Y59+Y67+Y75+Y83+Y91+Y99+Y107+Y115+Y123</f>
        <v>28001.3003794544</v>
      </c>
      <c r="Z133" s="96" t="n">
        <f aca="false">Z35+Z43+Z51+Z59+Z67+Z75+Z83+Z91+Z99+Z107+Z115+Z123</f>
        <v>28200.7778199121</v>
      </c>
      <c r="AA133" s="96" t="n">
        <f aca="false">AA35+AA43+AA51+AA59+AA67+AA75+AA83+AA91+AA99+AA107+AA115+AA123</f>
        <v>28296.665708721</v>
      </c>
      <c r="AB133" s="96" t="n">
        <f aca="false">AB35+AB43+AB51+AB59+AB67+AB75+AB83+AB91+AB99+AB107+AB115+AB123</f>
        <v>28499.4426372965</v>
      </c>
      <c r="AC133" s="96" t="n">
        <f aca="false">AC35+AC43+AC51+AC59+AC67+AC75+AC83+AC91+AC99+AC107+AC115+AC123</f>
        <v>28702.2195658719</v>
      </c>
      <c r="AD133" s="96" t="n">
        <f aca="false">AD35+AD43+AD51+AD59+AD67+AD75+AD83+AD91+AD99+AD107+AD115+AD123</f>
        <v>25093.6449486563</v>
      </c>
      <c r="AE133" s="96" t="n">
        <f aca="false">AE35+AE43+AE51+AE59+AE67+AE75+AE83+AE91+AE99+AE107+AE115+AE123</f>
        <v>25269.5167573654</v>
      </c>
      <c r="AF133" s="96" t="n">
        <f aca="false">AF35+AF43+AF51+AF59+AF67+AF75+AF83+AF91+AF99+AF107+AF115+AF123</f>
        <v>19388.8021801277</v>
      </c>
      <c r="AG133" s="96" t="n">
        <f aca="false">AG35+AG43+AG51+AG59+AG67+AG75+AG83+AG91+AG99+AG107+AG115+AG123</f>
        <v>19526.991505403</v>
      </c>
      <c r="AI133" s="96" t="n">
        <f aca="false">INDEX($F133:$AG133,1,MATCH(AI$7,$F$7:$AG$7,1))</f>
        <v>0</v>
      </c>
      <c r="AJ133" s="96" t="n">
        <f aca="false">INDEX($F133:$AG133,1,MATCH(AJ$7,$F$7:$AG$7,1))</f>
        <v>4187.61417855736</v>
      </c>
      <c r="AK133" s="96" t="n">
        <f aca="false">INDEX($F133:$AG133,1,MATCH(AK$7,$F$7:$AG$7,1))</f>
        <v>13725.7196838144</v>
      </c>
      <c r="AL133" s="96" t="n">
        <f aca="false">INDEX($F133:$AG133,1,MATCH(AL$7,$F$7:$AG$7,1))</f>
        <v>27190.092121593</v>
      </c>
      <c r="AM133" s="96" t="n">
        <f aca="false">INDEX($F133:$AG133,1,MATCH(AM$7,$F$7:$AG$7,1))</f>
        <v>28001.3003794544</v>
      </c>
      <c r="AN133" s="96" t="n">
        <f aca="false">INDEX($F133:$AG133,1,MATCH(AN$7,$F$7:$AG$7,1))</f>
        <v>28702.2195658719</v>
      </c>
      <c r="AO133" s="96" t="n">
        <f aca="false">INDEX($F133:$AG133,1,MATCH(AO$7,$F$7:$AG$7,1))</f>
        <v>19526.991505403</v>
      </c>
    </row>
    <row r="135" customFormat="false" ht="15" hidden="false" customHeight="false" outlineLevel="0" collapsed="false">
      <c r="A135" s="53" t="s">
        <v>2145</v>
      </c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</row>
    <row r="136" customFormat="false" ht="15" hidden="false" customHeight="false" outlineLevel="0" collapsed="false">
      <c r="A136" s="104" t="s">
        <v>2146</v>
      </c>
      <c r="B136" s="20" t="s">
        <v>561</v>
      </c>
      <c r="C136" s="20" t="s">
        <v>550</v>
      </c>
      <c r="D136" s="20" t="s">
        <v>2147</v>
      </c>
      <c r="F136" s="122" t="n">
        <f aca="false">IF(AND(F$5&gt;=SecIdx,F$5&lt;SecMatIdx),SecAmt,0)*LoanOn</f>
        <v>0</v>
      </c>
      <c r="G136" s="122" t="n">
        <f aca="false">IF(AND(G$5&gt;=SecIdx,G$5&lt;SecMatIdx),SecAmt,0)*LoanOn</f>
        <v>0</v>
      </c>
      <c r="H136" s="122" t="n">
        <f aca="false">IF(AND(H$5&gt;=SecIdx,H$5&lt;SecMatIdx),SecAmt,0)*LoanOn</f>
        <v>0</v>
      </c>
      <c r="I136" s="122" t="n">
        <f aca="false">IF(AND(I$5&gt;=SecIdx,I$5&lt;SecMatIdx),SecAmt,0)*LoanOn</f>
        <v>0</v>
      </c>
      <c r="J136" s="122" t="n">
        <f aca="false">IF(AND(J$5&gt;=SecIdx,J$5&lt;SecMatIdx),SecAmt,0)*LoanOn</f>
        <v>0</v>
      </c>
      <c r="K136" s="122" t="n">
        <f aca="false">IF(AND(K$5&gt;=SecIdx,K$5&lt;SecMatIdx),SecAmt,0)*LoanOn</f>
        <v>0</v>
      </c>
      <c r="L136" s="122" t="n">
        <f aca="false">IF(AND(L$5&gt;=SecIdx,L$5&lt;SecMatIdx),SecAmt,0)*LoanOn</f>
        <v>0</v>
      </c>
      <c r="M136" s="122" t="n">
        <f aca="false">IF(AND(M$5&gt;=SecIdx,M$5&lt;SecMatIdx),SecAmt,0)*LoanOn</f>
        <v>0</v>
      </c>
      <c r="N136" s="122" t="n">
        <f aca="false">IF(AND(N$5&gt;=SecIdx,N$5&lt;SecMatIdx),SecAmt,0)*LoanOn</f>
        <v>0</v>
      </c>
      <c r="O136" s="122" t="n">
        <f aca="false">IF(AND(O$5&gt;=SecIdx,O$5&lt;SecMatIdx),SecAmt,0)*LoanOn</f>
        <v>0</v>
      </c>
      <c r="P136" s="123" t="n">
        <f aca="false">IF(AND(P$5&gt;=SecIdx,P$5&lt;SecMatIdx),SecAmt,0)*LoanOn</f>
        <v>0</v>
      </c>
      <c r="Q136" s="123" t="n">
        <f aca="false">IF(AND(Q$5&gt;=SecIdx,Q$5&lt;SecMatIdx),SecAmt,0)*LoanOn</f>
        <v>0</v>
      </c>
      <c r="R136" s="123" t="n">
        <f aca="false">IF(AND(R$5&gt;=SecIdx,R$5&lt;SecMatIdx),SecAmt,0)*LoanOn</f>
        <v>0</v>
      </c>
      <c r="S136" s="123" t="n">
        <f aca="false">IF(AND(S$5&gt;=SecIdx,S$5&lt;SecMatIdx),SecAmt,0)*LoanOn</f>
        <v>0</v>
      </c>
      <c r="T136" s="123" t="n">
        <f aca="false">IF(AND(T$5&gt;=SecIdx,T$5&lt;SecMatIdx),SecAmt,0)*LoanOn</f>
        <v>0</v>
      </c>
      <c r="U136" s="123" t="n">
        <f aca="false">IF(AND(U$5&gt;=SecIdx,U$5&lt;SecMatIdx),SecAmt,0)*LoanOn</f>
        <v>0</v>
      </c>
      <c r="V136" s="123" t="n">
        <f aca="false">IF(AND(V$5&gt;=SecIdx,V$5&lt;SecMatIdx),SecAmt,0)*LoanOn</f>
        <v>0</v>
      </c>
      <c r="W136" s="123" t="n">
        <f aca="false">IF(AND(W$5&gt;=SecIdx,W$5&lt;SecMatIdx),SecAmt,0)*LoanOn</f>
        <v>0</v>
      </c>
      <c r="X136" s="123" t="n">
        <f aca="false">IF(AND(X$5&gt;=SecIdx,X$5&lt;SecMatIdx),SecAmt,0)*LoanOn</f>
        <v>0</v>
      </c>
      <c r="Y136" s="123" t="n">
        <f aca="false">IF(AND(Y$5&gt;=SecIdx,Y$5&lt;SecMatIdx),SecAmt,0)*LoanOn</f>
        <v>0</v>
      </c>
      <c r="Z136" s="123" t="n">
        <f aca="false">IF(AND(Z$5&gt;=SecIdx,Z$5&lt;SecMatIdx),SecAmt,0)*LoanOn</f>
        <v>0</v>
      </c>
      <c r="AA136" s="123" t="n">
        <f aca="false">IF(AND(AA$5&gt;=SecIdx,AA$5&lt;SecMatIdx),SecAmt,0)*LoanOn</f>
        <v>0</v>
      </c>
      <c r="AB136" s="123" t="n">
        <f aca="false">IF(AND(AB$5&gt;=SecIdx,AB$5&lt;SecMatIdx),SecAmt,0)*LoanOn</f>
        <v>0</v>
      </c>
      <c r="AC136" s="123" t="n">
        <f aca="false">IF(AND(AC$5&gt;=SecIdx,AC$5&lt;SecMatIdx),SecAmt,0)*LoanOn</f>
        <v>0</v>
      </c>
      <c r="AD136" s="123" t="n">
        <f aca="false">IF(AND(AD$5&gt;=SecIdx,AD$5&lt;SecMatIdx),SecAmt,0)*LoanOn</f>
        <v>0</v>
      </c>
      <c r="AE136" s="123" t="n">
        <f aca="false">IF(AND(AE$5&gt;=SecIdx,AE$5&lt;SecMatIdx),SecAmt,0)*LoanOn</f>
        <v>0</v>
      </c>
      <c r="AF136" s="123" t="n">
        <f aca="false">IF(AND(AF$5&gt;=SecIdx,AF$5&lt;SecMatIdx),SecAmt,0)*LoanOn</f>
        <v>0</v>
      </c>
      <c r="AG136" s="123" t="n">
        <f aca="false">IF(AND(AG$5&gt;=SecIdx,AG$5&lt;SecMatIdx),SecAmt,0)*LoanOn</f>
        <v>0</v>
      </c>
      <c r="AI136" s="123" t="n">
        <f aca="false">INDEX($F136:$AG136,1,MATCH(AI$7,$F$7:$AG$7,1))</f>
        <v>0</v>
      </c>
      <c r="AJ136" s="123" t="n">
        <f aca="false">INDEX($F136:$AG136,1,MATCH(AJ$7,$F$7:$AG$7,1))</f>
        <v>0</v>
      </c>
      <c r="AK136" s="123" t="n">
        <f aca="false">INDEX($F136:$AG136,1,MATCH(AK$7,$F$7:$AG$7,1))</f>
        <v>0</v>
      </c>
      <c r="AL136" s="123" t="n">
        <f aca="false">INDEX($F136:$AG136,1,MATCH(AL$7,$F$7:$AG$7,1))</f>
        <v>0</v>
      </c>
      <c r="AM136" s="123" t="n">
        <f aca="false">INDEX($F136:$AG136,1,MATCH(AM$7,$F$7:$AG$7,1))</f>
        <v>0</v>
      </c>
      <c r="AN136" s="123" t="n">
        <f aca="false">INDEX($F136:$AG136,1,MATCH(AN$7,$F$7:$AG$7,1))</f>
        <v>0</v>
      </c>
      <c r="AO136" s="123" t="n">
        <f aca="false">INDEX($F136:$AG136,1,MATCH(AO$7,$F$7:$AG$7,1))</f>
        <v>0</v>
      </c>
    </row>
    <row r="137" customFormat="false" ht="15" hidden="false" customHeight="false" outlineLevel="0" collapsed="false">
      <c r="A137" s="104" t="s">
        <v>2148</v>
      </c>
      <c r="B137" s="20" t="s">
        <v>561</v>
      </c>
      <c r="C137" s="20" t="s">
        <v>550</v>
      </c>
      <c r="D137" s="20"/>
      <c r="F137" s="122" t="n">
        <f aca="false">F136*(SOFR+SecSpread)/4</f>
        <v>0</v>
      </c>
      <c r="G137" s="122" t="n">
        <f aca="false">G136*(SOFR+SecSpread)/4</f>
        <v>0</v>
      </c>
      <c r="H137" s="122" t="n">
        <f aca="false">H136*(SOFR+SecSpread)/4</f>
        <v>0</v>
      </c>
      <c r="I137" s="122" t="n">
        <f aca="false">I136*(SOFR+SecSpread)/4</f>
        <v>0</v>
      </c>
      <c r="J137" s="122" t="n">
        <f aca="false">J136*(SOFR+SecSpread)/4</f>
        <v>0</v>
      </c>
      <c r="K137" s="122" t="n">
        <f aca="false">K136*(SOFR+SecSpread)/4</f>
        <v>0</v>
      </c>
      <c r="L137" s="122" t="n">
        <f aca="false">L136*(SOFR+SecSpread)/4</f>
        <v>0</v>
      </c>
      <c r="M137" s="122" t="n">
        <f aca="false">M136*(SOFR+SecSpread)/4</f>
        <v>0</v>
      </c>
      <c r="N137" s="122" t="n">
        <f aca="false">N136*(SOFR+SecSpread)/4</f>
        <v>0</v>
      </c>
      <c r="O137" s="122" t="n">
        <f aca="false">O136*(SOFR+SecSpread)/4</f>
        <v>0</v>
      </c>
      <c r="P137" s="123" t="n">
        <f aca="false">P136*(SOFR+SecSpread)/4</f>
        <v>0</v>
      </c>
      <c r="Q137" s="123" t="n">
        <f aca="false">Q136*(SOFR+SecSpread)/4</f>
        <v>0</v>
      </c>
      <c r="R137" s="123" t="n">
        <f aca="false">R136*(SOFR+SecSpread)/4</f>
        <v>0</v>
      </c>
      <c r="S137" s="123" t="n">
        <f aca="false">S136*(SOFR+SecSpread)/4</f>
        <v>0</v>
      </c>
      <c r="T137" s="123" t="n">
        <f aca="false">T136*(SOFR+SecSpread)/4</f>
        <v>0</v>
      </c>
      <c r="U137" s="123" t="n">
        <f aca="false">U136*(SOFR+SecSpread)/4</f>
        <v>0</v>
      </c>
      <c r="V137" s="123" t="n">
        <f aca="false">V136*(SOFR+SecSpread)/4</f>
        <v>0</v>
      </c>
      <c r="W137" s="123" t="n">
        <f aca="false">W136*(SOFR+SecSpread)/4</f>
        <v>0</v>
      </c>
      <c r="X137" s="123" t="n">
        <f aca="false">X136*(SOFR+SecSpread)/4</f>
        <v>0</v>
      </c>
      <c r="Y137" s="123" t="n">
        <f aca="false">Y136*(SOFR+SecSpread)/4</f>
        <v>0</v>
      </c>
      <c r="Z137" s="123" t="n">
        <f aca="false">Z136*(SOFR+SecSpread)/4</f>
        <v>0</v>
      </c>
      <c r="AA137" s="123" t="n">
        <f aca="false">AA136*(SOFR+SecSpread)/4</f>
        <v>0</v>
      </c>
      <c r="AB137" s="123" t="n">
        <f aca="false">AB136*(SOFR+SecSpread)/4</f>
        <v>0</v>
      </c>
      <c r="AC137" s="123" t="n">
        <f aca="false">AC136*(SOFR+SecSpread)/4</f>
        <v>0</v>
      </c>
      <c r="AD137" s="123" t="n">
        <f aca="false">AD136*(SOFR+SecSpread)/4</f>
        <v>0</v>
      </c>
      <c r="AE137" s="123" t="n">
        <f aca="false">AE136*(SOFR+SecSpread)/4</f>
        <v>0</v>
      </c>
      <c r="AF137" s="123" t="n">
        <f aca="false">AF136*(SOFR+SecSpread)/4</f>
        <v>0</v>
      </c>
      <c r="AG137" s="123" t="n">
        <f aca="false">AG136*(SOFR+SecSpread)/4</f>
        <v>0</v>
      </c>
      <c r="AI137" s="123" t="n">
        <f aca="false">SUMIF($F$7:$AG$7,AI$7,$F137:$AG137)</f>
        <v>0</v>
      </c>
      <c r="AJ137" s="123" t="n">
        <f aca="false">SUMIF($F$7:$AG$7,AJ$7,$F137:$AG137)</f>
        <v>0</v>
      </c>
      <c r="AK137" s="123" t="n">
        <f aca="false">SUMIF($F$7:$AG$7,AK$7,$F137:$AG137)</f>
        <v>0</v>
      </c>
      <c r="AL137" s="123" t="n">
        <f aca="false">SUMIF($F$7:$AG$7,AL$7,$F137:$AG137)</f>
        <v>0</v>
      </c>
      <c r="AM137" s="123" t="n">
        <f aca="false">SUMIF($F$7:$AG$7,AM$7,$F137:$AG137)</f>
        <v>0</v>
      </c>
      <c r="AN137" s="123" t="n">
        <f aca="false">SUMIF($F$7:$AG$7,AN$7,$F137:$AG137)</f>
        <v>0</v>
      </c>
      <c r="AO137" s="123" t="n">
        <f aca="false">SUMIF($F$7:$AG$7,AO$7,$F137:$AG137)</f>
        <v>0</v>
      </c>
    </row>
    <row r="138" customFormat="false" ht="15" hidden="false" customHeight="false" outlineLevel="0" collapsed="false">
      <c r="A138" s="104" t="s">
        <v>2149</v>
      </c>
      <c r="B138" s="20" t="s">
        <v>561</v>
      </c>
      <c r="C138" s="20" t="s">
        <v>550</v>
      </c>
      <c r="D138" s="20"/>
      <c r="F138" s="122" t="n">
        <f aca="false">(IF(F$5=SecIdx,SecAmt,0)-IF(F$5=SecMatIdx,SecAmt,0))*LoanOn</f>
        <v>0</v>
      </c>
      <c r="G138" s="122" t="n">
        <f aca="false">(IF(G$5=SecIdx,SecAmt,0)-IF(G$5=SecMatIdx,SecAmt,0))*LoanOn</f>
        <v>0</v>
      </c>
      <c r="H138" s="122" t="n">
        <f aca="false">(IF(H$5=SecIdx,SecAmt,0)-IF(H$5=SecMatIdx,SecAmt,0))*LoanOn</f>
        <v>0</v>
      </c>
      <c r="I138" s="122" t="n">
        <f aca="false">(IF(I$5=SecIdx,SecAmt,0)-IF(I$5=SecMatIdx,SecAmt,0))*LoanOn</f>
        <v>0</v>
      </c>
      <c r="J138" s="122" t="n">
        <f aca="false">(IF(J$5=SecIdx,SecAmt,0)-IF(J$5=SecMatIdx,SecAmt,0))*LoanOn</f>
        <v>0</v>
      </c>
      <c r="K138" s="122" t="n">
        <f aca="false">(IF(K$5=SecIdx,SecAmt,0)-IF(K$5=SecMatIdx,SecAmt,0))*LoanOn</f>
        <v>0</v>
      </c>
      <c r="L138" s="122" t="n">
        <f aca="false">(IF(L$5=SecIdx,SecAmt,0)-IF(L$5=SecMatIdx,SecAmt,0))*LoanOn</f>
        <v>0</v>
      </c>
      <c r="M138" s="122" t="n">
        <f aca="false">(IF(M$5=SecIdx,SecAmt,0)-IF(M$5=SecMatIdx,SecAmt,0))*LoanOn</f>
        <v>0</v>
      </c>
      <c r="N138" s="122" t="n">
        <f aca="false">(IF(N$5=SecIdx,SecAmt,0)-IF(N$5=SecMatIdx,SecAmt,0))*LoanOn</f>
        <v>0</v>
      </c>
      <c r="O138" s="122" t="n">
        <f aca="false">(IF(O$5=SecIdx,SecAmt,0)-IF(O$5=SecMatIdx,SecAmt,0))*LoanOn</f>
        <v>0</v>
      </c>
      <c r="P138" s="123" t="n">
        <f aca="false">(IF(P$5=SecIdx,SecAmt,0)-IF(P$5=SecMatIdx,SecAmt,0))*LoanOn</f>
        <v>0</v>
      </c>
      <c r="Q138" s="123" t="n">
        <f aca="false">(IF(Q$5=SecIdx,SecAmt,0)-IF(Q$5=SecMatIdx,SecAmt,0))*LoanOn</f>
        <v>0</v>
      </c>
      <c r="R138" s="123" t="n">
        <f aca="false">(IF(R$5=SecIdx,SecAmt,0)-IF(R$5=SecMatIdx,SecAmt,0))*LoanOn</f>
        <v>0</v>
      </c>
      <c r="S138" s="123" t="n">
        <f aca="false">(IF(S$5=SecIdx,SecAmt,0)-IF(S$5=SecMatIdx,SecAmt,0))*LoanOn</f>
        <v>0</v>
      </c>
      <c r="T138" s="123" t="n">
        <f aca="false">(IF(T$5=SecIdx,SecAmt,0)-IF(T$5=SecMatIdx,SecAmt,0))*LoanOn</f>
        <v>0</v>
      </c>
      <c r="U138" s="123" t="n">
        <f aca="false">(IF(U$5=SecIdx,SecAmt,0)-IF(U$5=SecMatIdx,SecAmt,0))*LoanOn</f>
        <v>0</v>
      </c>
      <c r="V138" s="123" t="n">
        <f aca="false">(IF(V$5=SecIdx,SecAmt,0)-IF(V$5=SecMatIdx,SecAmt,0))*LoanOn</f>
        <v>0</v>
      </c>
      <c r="W138" s="123" t="n">
        <f aca="false">(IF(W$5=SecIdx,SecAmt,0)-IF(W$5=SecMatIdx,SecAmt,0))*LoanOn</f>
        <v>0</v>
      </c>
      <c r="X138" s="123" t="n">
        <f aca="false">(IF(X$5=SecIdx,SecAmt,0)-IF(X$5=SecMatIdx,SecAmt,0))*LoanOn</f>
        <v>0</v>
      </c>
      <c r="Y138" s="123" t="n">
        <f aca="false">(IF(Y$5=SecIdx,SecAmt,0)-IF(Y$5=SecMatIdx,SecAmt,0))*LoanOn</f>
        <v>0</v>
      </c>
      <c r="Z138" s="123" t="n">
        <f aca="false">(IF(Z$5=SecIdx,SecAmt,0)-IF(Z$5=SecMatIdx,SecAmt,0))*LoanOn</f>
        <v>0</v>
      </c>
      <c r="AA138" s="123" t="n">
        <f aca="false">(IF(AA$5=SecIdx,SecAmt,0)-IF(AA$5=SecMatIdx,SecAmt,0))*LoanOn</f>
        <v>0</v>
      </c>
      <c r="AB138" s="123" t="n">
        <f aca="false">(IF(AB$5=SecIdx,SecAmt,0)-IF(AB$5=SecMatIdx,SecAmt,0))*LoanOn</f>
        <v>0</v>
      </c>
      <c r="AC138" s="123" t="n">
        <f aca="false">(IF(AC$5=SecIdx,SecAmt,0)-IF(AC$5=SecMatIdx,SecAmt,0))*LoanOn</f>
        <v>0</v>
      </c>
      <c r="AD138" s="123" t="n">
        <f aca="false">(IF(AD$5=SecIdx,SecAmt,0)-IF(AD$5=SecMatIdx,SecAmt,0))*LoanOn</f>
        <v>0</v>
      </c>
      <c r="AE138" s="123" t="n">
        <f aca="false">(IF(AE$5=SecIdx,SecAmt,0)-IF(AE$5=SecMatIdx,SecAmt,0))*LoanOn</f>
        <v>0</v>
      </c>
      <c r="AF138" s="123" t="n">
        <f aca="false">(IF(AF$5=SecIdx,SecAmt,0)-IF(AF$5=SecMatIdx,SecAmt,0))*LoanOn</f>
        <v>0</v>
      </c>
      <c r="AG138" s="123" t="n">
        <f aca="false">(IF(AG$5=SecIdx,SecAmt,0)-IF(AG$5=SecMatIdx,SecAmt,0))*LoanOn</f>
        <v>-0</v>
      </c>
      <c r="AI138" s="123" t="n">
        <f aca="false">SUMIF($F$7:$AG$7,AI$7,$F138:$AG138)</f>
        <v>0</v>
      </c>
      <c r="AJ138" s="123" t="n">
        <f aca="false">SUMIF($F$7:$AG$7,AJ$7,$F138:$AG138)</f>
        <v>0</v>
      </c>
      <c r="AK138" s="123" t="n">
        <f aca="false">SUMIF($F$7:$AG$7,AK$7,$F138:$AG138)</f>
        <v>0</v>
      </c>
      <c r="AL138" s="123" t="n">
        <f aca="false">SUMIF($F$7:$AG$7,AL$7,$F138:$AG138)</f>
        <v>0</v>
      </c>
      <c r="AM138" s="123" t="n">
        <f aca="false">SUMIF($F$7:$AG$7,AM$7,$F138:$AG138)</f>
        <v>0</v>
      </c>
      <c r="AN138" s="123" t="n">
        <f aca="false">SUMIF($F$7:$AG$7,AN$7,$F138:$AG138)</f>
        <v>0</v>
      </c>
      <c r="AO138" s="123" t="n">
        <f aca="false">SUMIF($F$7:$AG$7,AO$7,$F138:$AG138)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2150</v>
      </c>
    </row>
    <row r="2" customFormat="false" ht="15" hidden="false" customHeight="false" outlineLevel="0" collapsed="false">
      <c r="A2" s="20" t="s">
        <v>2151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1782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3" t="s">
        <v>1205</v>
      </c>
      <c r="B11" s="20" t="s">
        <v>561</v>
      </c>
      <c r="C11" s="20" t="s">
        <v>1782</v>
      </c>
      <c r="D11" s="20"/>
      <c r="F11" s="124" t="n">
        <f aca="false">INDEX(Rev,1,1)</f>
        <v>11.4</v>
      </c>
      <c r="G11" s="124" t="n">
        <f aca="false">INDEX(Rev,1,2)</f>
        <v>14.5</v>
      </c>
      <c r="H11" s="124" t="n">
        <f aca="false">INDEX(Rev,1,3)</f>
        <v>32.1</v>
      </c>
      <c r="I11" s="124" t="n">
        <f aca="false">INDEX(Rev,1,4)</f>
        <v>35.2</v>
      </c>
      <c r="J11" s="124" t="n">
        <f aca="false">INDEX(Rev,1,5)</f>
        <v>50.9</v>
      </c>
      <c r="K11" s="124" t="n">
        <f aca="false">INDEX(Rev,1,6)</f>
        <v>105.1</v>
      </c>
      <c r="L11" s="124" t="n">
        <f aca="false">INDEX(Rev,1,7)</f>
        <v>146.1</v>
      </c>
      <c r="M11" s="124" t="n">
        <f aca="false">INDEX(Rev,1,8)</f>
        <v>227.7</v>
      </c>
      <c r="N11" s="124" t="n">
        <f aca="false">INDEX(Rev,1,9)</f>
        <v>399</v>
      </c>
      <c r="O11" s="124" t="n">
        <f aca="false">INDEX(Rev,1,10)</f>
        <v>582.3</v>
      </c>
      <c r="P11" s="96" t="n">
        <f aca="false">INDEX(Rev,1,11)</f>
        <v>653.683373262198</v>
      </c>
      <c r="Q11" s="96" t="n">
        <f aca="false">INDEX(Rev,1,12)</f>
        <v>788.424963351483</v>
      </c>
      <c r="R11" s="96" t="n">
        <f aca="false">INDEX(Rev,1,13)</f>
        <v>1059.38833607719</v>
      </c>
      <c r="S11" s="96" t="n">
        <f aca="false">INDEX(Rev,1,14)</f>
        <v>1557.27618036635</v>
      </c>
      <c r="T11" s="96" t="n">
        <f aca="false">INDEX(Rev,1,15)</f>
        <v>2170.78198117659</v>
      </c>
      <c r="U11" s="96" t="n">
        <f aca="false">INDEX(Rev,1,16)</f>
        <v>2834.2708461691</v>
      </c>
      <c r="V11" s="96" t="n">
        <f aca="false">INDEX(Rev,1,17)</f>
        <v>3844.77743460942</v>
      </c>
      <c r="W11" s="96" t="n">
        <f aca="false">INDEX(Rev,1,18)</f>
        <v>4721.86749361364</v>
      </c>
      <c r="X11" s="96" t="n">
        <f aca="false">INDEX(Rev,1,19)</f>
        <v>5317.77875367465</v>
      </c>
      <c r="Y11" s="96" t="n">
        <f aca="false">INDEX(Rev,1,20)</f>
        <v>5722.47096616332</v>
      </c>
      <c r="Z11" s="96" t="n">
        <f aca="false">INDEX(Rev,1,21)</f>
        <v>6539.48507702425</v>
      </c>
      <c r="AA11" s="96" t="n">
        <f aca="false">INDEX(Rev,1,22)</f>
        <v>7347.04110998905</v>
      </c>
      <c r="AB11" s="96" t="n">
        <f aca="false">INDEX(Rev,1,23)</f>
        <v>8123.46618438278</v>
      </c>
      <c r="AC11" s="96" t="n">
        <f aca="false">INDEX(Rev,1,24)</f>
        <v>8913.50619046553</v>
      </c>
      <c r="AD11" s="96" t="n">
        <f aca="false">INDEX(Rev,1,25)</f>
        <v>9976.13610714307</v>
      </c>
      <c r="AE11" s="96" t="n">
        <f aca="false">INDEX(Rev,1,26)</f>
        <v>11063.0329551739</v>
      </c>
      <c r="AF11" s="96" t="n">
        <f aca="false">INDEX(Rev,1,27)</f>
        <v>11029.6639770676</v>
      </c>
      <c r="AG11" s="96" t="n">
        <f aca="false">INDEX(Rev,1,28)</f>
        <v>11146.7175395899</v>
      </c>
      <c r="AI11" s="96" t="n">
        <f aca="false">SUMIF($F$7:$AG$7,AI$7,$F11:$AG11)</f>
        <v>93.2</v>
      </c>
      <c r="AJ11" s="96" t="n">
        <f aca="false">SUMIF($F$7:$AG$7,AJ$7,$F11:$AG11)</f>
        <v>529.8</v>
      </c>
      <c r="AK11" s="96" t="n">
        <f aca="false">SUMIF($F$7:$AG$7,AK$7,$F11:$AG11)</f>
        <v>2423.40833661368</v>
      </c>
      <c r="AL11" s="96" t="n">
        <f aca="false">SUMIF($F$7:$AG$7,AL$7,$F11:$AG11)</f>
        <v>7621.71734378923</v>
      </c>
      <c r="AM11" s="96" t="n">
        <f aca="false">SUMIF($F$7:$AG$7,AM$7,$F11:$AG11)</f>
        <v>19606.894648061</v>
      </c>
      <c r="AN11" s="96" t="n">
        <f aca="false">SUMIF($F$7:$AG$7,AN$7,$F11:$AG11)</f>
        <v>30923.4985618616</v>
      </c>
      <c r="AO11" s="96" t="n">
        <f aca="false">SUMIF($F$7:$AG$7,AO$7,$F11:$AG11)</f>
        <v>43215.5505789744</v>
      </c>
    </row>
    <row r="12" customFormat="false" ht="15" hidden="false" customHeight="false" outlineLevel="0" collapsed="false">
      <c r="A12" s="104" t="s">
        <v>2152</v>
      </c>
      <c r="B12" s="20" t="s">
        <v>561</v>
      </c>
      <c r="C12" s="20" t="s">
        <v>1782</v>
      </c>
      <c r="D12" s="20"/>
      <c r="F12" s="122" t="n">
        <f aca="false">INDEX(AIRev,1,1)</f>
        <v>10.3</v>
      </c>
      <c r="G12" s="122" t="n">
        <f aca="false">INDEX(AIRev,1,2)</f>
        <v>13.1</v>
      </c>
      <c r="H12" s="122" t="n">
        <f aca="false">INDEX(AIRev,1,3)</f>
        <v>28.9</v>
      </c>
      <c r="I12" s="122" t="n">
        <f aca="false">INDEX(AIRev,1,4)</f>
        <v>31.7</v>
      </c>
      <c r="J12" s="122" t="n">
        <f aca="false">INDEX(AIRev,1,5)</f>
        <v>41.4</v>
      </c>
      <c r="K12" s="122" t="n">
        <f aca="false">INDEX(AIRev,1,6)</f>
        <v>93.6</v>
      </c>
      <c r="L12" s="122" t="n">
        <f aca="false">INDEX(AIRev,1,7)</f>
        <v>138.8</v>
      </c>
      <c r="M12" s="122" t="n">
        <f aca="false">INDEX(AIRev,1,8)</f>
        <v>214.2</v>
      </c>
      <c r="N12" s="122" t="n">
        <f aca="false">INDEX(AIRev,1,9)</f>
        <v>389.7</v>
      </c>
      <c r="O12" s="122" t="n">
        <f aca="false">INDEX(AIRev,1,10)</f>
        <v>574.9</v>
      </c>
      <c r="P12" s="123" t="n">
        <f aca="false">INDEX(AIRev,1,11)</f>
        <v>646.135373262198</v>
      </c>
      <c r="Q12" s="123" t="n">
        <f aca="false">INDEX(AIRev,1,12)</f>
        <v>780.726003351483</v>
      </c>
      <c r="R12" s="123" t="n">
        <f aca="false">INDEX(AIRev,1,13)</f>
        <v>1051.53539687719</v>
      </c>
      <c r="S12" s="123" t="n">
        <f aca="false">INDEX(AIRev,1,14)</f>
        <v>1549.26618238235</v>
      </c>
      <c r="T12" s="123" t="n">
        <f aca="false">INDEX(AIRev,1,15)</f>
        <v>2162.61178323291</v>
      </c>
      <c r="U12" s="123" t="n">
        <f aca="false">INDEX(AIRev,1,16)</f>
        <v>2825.93724426654</v>
      </c>
      <c r="V12" s="123" t="n">
        <f aca="false">INDEX(AIRev,1,17)</f>
        <v>3836.27716066881</v>
      </c>
      <c r="W12" s="123" t="n">
        <f aca="false">INDEX(AIRev,1,18)</f>
        <v>4713.19721419422</v>
      </c>
      <c r="X12" s="123" t="n">
        <f aca="false">INDEX(AIRev,1,19)</f>
        <v>5308.93506866684</v>
      </c>
      <c r="Y12" s="123" t="n">
        <f aca="false">INDEX(AIRev,1,20)</f>
        <v>5713.45040745536</v>
      </c>
      <c r="Z12" s="123" t="n">
        <f aca="false">INDEX(AIRev,1,21)</f>
        <v>6530.28410714213</v>
      </c>
      <c r="AA12" s="123" t="n">
        <f aca="false">INDEX(AIRev,1,22)</f>
        <v>7337.65612070929</v>
      </c>
      <c r="AB12" s="123" t="n">
        <f aca="false">INDEX(AIRev,1,23)</f>
        <v>8113.89349531743</v>
      </c>
      <c r="AC12" s="123" t="n">
        <f aca="false">INDEX(AIRev,1,24)</f>
        <v>8903.74204761886</v>
      </c>
      <c r="AD12" s="123" t="n">
        <f aca="false">INDEX(AIRev,1,25)</f>
        <v>9966.17668143947</v>
      </c>
      <c r="AE12" s="123" t="n">
        <f aca="false">INDEX(AIRev,1,26)</f>
        <v>11052.8743409562</v>
      </c>
      <c r="AF12" s="123" t="n">
        <f aca="false">INDEX(AIRev,1,27)</f>
        <v>11019.3021905655</v>
      </c>
      <c r="AG12" s="123" t="n">
        <f aca="false">INDEX(AIRev,1,28)</f>
        <v>11136.1485173578</v>
      </c>
      <c r="AI12" s="123" t="n">
        <f aca="false">SUMIF($F$7:$AG$7,AI$7,$F12:$AG12)</f>
        <v>84</v>
      </c>
      <c r="AJ12" s="123" t="n">
        <f aca="false">SUMIF($F$7:$AG$7,AJ$7,$F12:$AG12)</f>
        <v>488</v>
      </c>
      <c r="AK12" s="123" t="n">
        <f aca="false">SUMIF($F$7:$AG$7,AK$7,$F12:$AG12)</f>
        <v>2391.46137661368</v>
      </c>
      <c r="AL12" s="123" t="n">
        <f aca="false">SUMIF($F$7:$AG$7,AL$7,$F12:$AG12)</f>
        <v>7589.35060675899</v>
      </c>
      <c r="AM12" s="123" t="n">
        <f aca="false">SUMIF($F$7:$AG$7,AM$7,$F12:$AG12)</f>
        <v>19571.8598509852</v>
      </c>
      <c r="AN12" s="123" t="n">
        <f aca="false">SUMIF($F$7:$AG$7,AN$7,$F12:$AG12)</f>
        <v>30885.5757707877</v>
      </c>
      <c r="AO12" s="123" t="n">
        <f aca="false">SUMIF($F$7:$AG$7,AO$7,$F12:$AG12)</f>
        <v>43174.5017303191</v>
      </c>
    </row>
    <row r="13" customFormat="false" ht="15" hidden="false" customHeight="false" outlineLevel="0" collapsed="false">
      <c r="A13" s="104" t="s">
        <v>2153</v>
      </c>
      <c r="B13" s="20" t="s">
        <v>549</v>
      </c>
      <c r="C13" s="20"/>
      <c r="D13" s="20"/>
      <c r="J13" s="116" t="n">
        <f aca="false">IF(F11&gt;0,J11/F11-1,"")</f>
        <v>3.46491228070175</v>
      </c>
      <c r="K13" s="116" t="n">
        <f aca="false">IF(G11&gt;0,K11/G11-1,"")</f>
        <v>6.24827586206897</v>
      </c>
      <c r="L13" s="116" t="n">
        <f aca="false">IF(H11&gt;0,L11/H11-1,"")</f>
        <v>3.55140186915888</v>
      </c>
      <c r="M13" s="116" t="n">
        <f aca="false">IF(I11&gt;0,M11/I11-1,"")</f>
        <v>5.46875</v>
      </c>
      <c r="N13" s="116" t="n">
        <f aca="false">IF(J11&gt;0,N11/J11-1,"")</f>
        <v>6.83889980353635</v>
      </c>
      <c r="O13" s="116" t="n">
        <f aca="false">IF(K11&gt;0,O11/K11-1,"")</f>
        <v>4.54043767840152</v>
      </c>
      <c r="P13" s="25" t="n">
        <f aca="false">IF(L11&gt;0,P11/L11-1,"")</f>
        <v>3.47421884505269</v>
      </c>
      <c r="Q13" s="25" t="n">
        <f aca="false">IF(M11&gt;0,Q11/M11-1,"")</f>
        <v>2.46256022552254</v>
      </c>
      <c r="R13" s="25" t="n">
        <f aca="false">IF(N11&gt;0,R11/N11-1,"")</f>
        <v>1.65510861172229</v>
      </c>
      <c r="S13" s="25" t="n">
        <f aca="false">IF(O11&gt;0,S11/O11-1,"")</f>
        <v>1.67435373581719</v>
      </c>
      <c r="T13" s="25" t="n">
        <f aca="false">IF(P11&gt;0,T11/P11-1,"")</f>
        <v>2.32084625365845</v>
      </c>
      <c r="U13" s="25" t="n">
        <f aca="false">IF(Q11&gt;0,U11/Q11-1,"")</f>
        <v>2.59485173341165</v>
      </c>
      <c r="V13" s="25" t="n">
        <f aca="false">IF(R11&gt;0,V11/R11-1,"")</f>
        <v>2.62924274666478</v>
      </c>
      <c r="W13" s="25" t="n">
        <f aca="false">IF(S11&gt;0,W11/S11-1,"")</f>
        <v>2.03213235593369</v>
      </c>
      <c r="X13" s="25" t="n">
        <f aca="false">IF(T11&gt;0,X11/T11-1,"")</f>
        <v>1.44970651119573</v>
      </c>
      <c r="Y13" s="25" t="n">
        <f aca="false">IF(U11&gt;0,Y11/U11-1,"")</f>
        <v>1.01902756537824</v>
      </c>
      <c r="Z13" s="25" t="n">
        <f aca="false">IF(V11&gt;0,Z11/V11-1,"")</f>
        <v>0.700874806993498</v>
      </c>
      <c r="AA13" s="25" t="n">
        <f aca="false">IF(W11&gt;0,AA11/W11-1,"")</f>
        <v>0.555960881987047</v>
      </c>
      <c r="AB13" s="25" t="n">
        <f aca="false">IF(X11&gt;0,AB11/X11-1,"")</f>
        <v>0.527605145055984</v>
      </c>
      <c r="AC13" s="25" t="n">
        <f aca="false">IF(Y11&gt;0,AC11/Y11-1,"")</f>
        <v>0.557632400962913</v>
      </c>
      <c r="AD13" s="25" t="n">
        <f aca="false">IF(Z11&gt;0,AD11/Z11-1,"")</f>
        <v>0.525523185639358</v>
      </c>
      <c r="AE13" s="25" t="n">
        <f aca="false">IF(AA11&gt;0,AE11/AA11-1,"")</f>
        <v>0.505780733979095</v>
      </c>
      <c r="AF13" s="25" t="n">
        <f aca="false">IF(AB11&gt;0,AF11/AB11-1,"")</f>
        <v>0.357753417903294</v>
      </c>
      <c r="AG13" s="25" t="n">
        <f aca="false">IF(AC11&gt;0,AG11/AC11-1,"")</f>
        <v>0.250542412985943</v>
      </c>
      <c r="AJ13" s="25" t="n">
        <f aca="false">IF(AI11&gt;0,AJ11/AI11-1,"")</f>
        <v>4.68454935622318</v>
      </c>
      <c r="AK13" s="25" t="n">
        <f aca="false">IF(AJ11&gt;0,AK11/AJ11-1,"")</f>
        <v>3.574194670845</v>
      </c>
      <c r="AL13" s="25" t="n">
        <f aca="false">IF(AK11&gt;0,AL11/AK11-1,"")</f>
        <v>2.14504049055115</v>
      </c>
      <c r="AM13" s="25" t="n">
        <f aca="false">IF(AL11&gt;0,AM11/AL11-1,"")</f>
        <v>1.57250351379644</v>
      </c>
      <c r="AN13" s="25" t="n">
        <f aca="false">IF(AM11&gt;0,AN11/AM11-1,"")</f>
        <v>0.577174719247024</v>
      </c>
      <c r="AO13" s="25" t="n">
        <f aca="false">IF(AN11&gt;0,AO11/AN11-1,"")</f>
        <v>0.397498749778357</v>
      </c>
    </row>
    <row r="15" customFormat="false" ht="15" hidden="false" customHeight="false" outlineLevel="0" collapsed="false">
      <c r="A15" s="53" t="s">
        <v>2154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customFormat="false" ht="15" hidden="false" customHeight="false" outlineLevel="0" collapsed="false">
      <c r="A16" s="104" t="s">
        <v>2155</v>
      </c>
      <c r="B16" s="20" t="s">
        <v>561</v>
      </c>
      <c r="C16" s="20" t="s">
        <v>513</v>
      </c>
      <c r="D16" s="20" t="s">
        <v>2156</v>
      </c>
      <c r="F16" s="122" t="n">
        <f aca="false">IF(FixMgmt=1,MIN(INDEX(MS_BillMW,1,1),INDEX(VinEnIT,1,MAX(1,1-IF(1&gt;LastHist,EnLag,0)))),INDEX(MS_BillMW,1,1))*IF(F$5&lt;=LastHist,PUE_B,PUE)*VinPower/4</f>
        <v>0</v>
      </c>
      <c r="G16" s="122" t="n">
        <f aca="false">IF(FixMgmt=1,MIN(INDEX(MS_BillMW,1,2),INDEX(VinEnIT,1,MAX(1,2-IF(2&gt;LastHist,EnLag,0)))),INDEX(MS_BillMW,1,2))*IF(G$5&lt;=LastHist,PUE_B,PUE)*VinPower/4</f>
        <v>0</v>
      </c>
      <c r="H16" s="122" t="n">
        <f aca="false">IF(FixMgmt=1,MIN(INDEX(MS_BillMW,1,3),INDEX(VinEnIT,1,MAX(1,3-IF(3&gt;LastHist,EnLag,0)))),INDEX(MS_BillMW,1,3))*IF(H$5&lt;=LastHist,PUE_B,PUE)*VinPower/4</f>
        <v>0</v>
      </c>
      <c r="I16" s="122" t="n">
        <f aca="false">IF(FixMgmt=1,MIN(INDEX(MS_BillMW,1,4),INDEX(VinEnIT,1,MAX(1,4-IF(4&gt;LastHist,EnLag,0)))),INDEX(MS_BillMW,1,4))*IF(I$5&lt;=LastHist,PUE_B,PUE)*VinPower/4</f>
        <v>0</v>
      </c>
      <c r="J16" s="122" t="n">
        <f aca="false">IF(FixMgmt=1,MIN(INDEX(MS_BillMW,1,5),INDEX(VinEnIT,1,MAX(1,5-IF(5&gt;LastHist,EnLag,0)))),INDEX(MS_BillMW,1,5))*IF(J$5&lt;=LastHist,PUE_B,PUE)*VinPower/4</f>
        <v>0</v>
      </c>
      <c r="K16" s="122" t="n">
        <f aca="false">IF(FixMgmt=1,MIN(INDEX(MS_BillMW,1,6),INDEX(VinEnIT,1,MAX(1,6-IF(6&gt;LastHist,EnLag,0)))),INDEX(MS_BillMW,1,6))*IF(K$5&lt;=LastHist,PUE_B,PUE)*VinPower/4</f>
        <v>0</v>
      </c>
      <c r="L16" s="122" t="n">
        <f aca="false">IF(FixMgmt=1,MIN(INDEX(MS_BillMW,1,7),INDEX(VinEnIT,1,MAX(1,7-IF(7&gt;LastHist,EnLag,0)))),INDEX(MS_BillMW,1,7))*IF(L$5&lt;=LastHist,PUE_B,PUE)*VinPower/4</f>
        <v>0</v>
      </c>
      <c r="M16" s="122" t="n">
        <f aca="false">IF(FixMgmt=1,MIN(INDEX(MS_BillMW,1,8),INDEX(VinEnIT,1,MAX(1,8-IF(8&gt;LastHist,EnLag,0)))),INDEX(MS_BillMW,1,8))*IF(M$5&lt;=LastHist,PUE_B,PUE)*VinPower/4</f>
        <v>9.00625</v>
      </c>
      <c r="N16" s="122" t="n">
        <f aca="false">IF(FixMgmt=1,MIN(INDEX(MS_BillMW,1,9),INDEX(VinEnIT,1,MAX(1,9-IF(9&gt;LastHist,EnLag,0)))),INDEX(MS_BillMW,1,9))*IF(N$5&lt;=LastHist,PUE_B,PUE)*VinPower/4</f>
        <v>12.890625</v>
      </c>
      <c r="O16" s="122" t="n">
        <f aca="false">IF(FixMgmt=1,MIN(INDEX(MS_BillMW,1,10),INDEX(VinEnIT,1,MAX(1,10-IF(10&gt;LastHist,EnLag,0)))),INDEX(MS_BillMW,1,10))*IF(O$5&lt;=LastHist,PUE_B,PUE)*VinPower/4</f>
        <v>13.40625</v>
      </c>
      <c r="P16" s="123" t="n">
        <f aca="false">IF(FixMgmt=1,MIN(INDEX(MS_BillMW,1,11),INDEX(VinEnIT,1,MAX(1,11-IF(11&gt;LastHist,EnLag,0)))),INDEX(MS_BillMW,1,11))*IF(P$5&lt;=LastHist,PUE_B,PUE)*VinPower/4</f>
        <v>13.40625</v>
      </c>
      <c r="Q16" s="123" t="n">
        <f aca="false">IF(FixMgmt=1,MIN(INDEX(MS_BillMW,1,12),INDEX(VinEnIT,1,MAX(1,12-IF(12&gt;LastHist,EnLag,0)))),INDEX(MS_BillMW,1,12))*IF(Q$5&lt;=LastHist,PUE_B,PUE)*VinPower/4</f>
        <v>22.6875</v>
      </c>
      <c r="R16" s="123" t="n">
        <f aca="false">IF(FixMgmt=1,MIN(INDEX(MS_BillMW,1,13),INDEX(VinEnIT,1,MAX(1,13-IF(13&gt;LastHist,EnLag,0)))),INDEX(MS_BillMW,1,13))*IF(R$5&lt;=LastHist,PUE_B,PUE)*VinPower/4</f>
        <v>28.11875</v>
      </c>
      <c r="S16" s="123" t="n">
        <f aca="false">IF(FixMgmt=1,MIN(INDEX(MS_BillMW,1,14),INDEX(VinEnIT,1,MAX(1,14-IF(14&gt;LastHist,EnLag,0)))),INDEX(MS_BillMW,1,14))*IF(S$5&lt;=LastHist,PUE_B,PUE)*VinPower/4</f>
        <v>40.734375</v>
      </c>
      <c r="T16" s="123" t="n">
        <f aca="false">IF(FixMgmt=1,MIN(INDEX(MS_BillMW,1,15),INDEX(VinEnIT,1,MAX(1,15-IF(15&gt;LastHist,EnLag,0)))),INDEX(MS_BillMW,1,15))*IF(T$5&lt;=LastHist,PUE_B,PUE)*VinPower/4</f>
        <v>57.921875</v>
      </c>
      <c r="U16" s="123" t="n">
        <f aca="false">IF(FixMgmt=1,MIN(INDEX(MS_BillMW,1,16),INDEX(VinEnIT,1,MAX(1,16-IF(16&gt;LastHist,EnLag,0)))),INDEX(MS_BillMW,1,16))*IF(U$5&lt;=LastHist,PUE_B,PUE)*VinPower/4</f>
        <v>70.46875</v>
      </c>
      <c r="V16" s="123" t="n">
        <f aca="false">IF(FixMgmt=1,MIN(INDEX(MS_BillMW,1,17),INDEX(VinEnIT,1,MAX(1,17-IF(17&gt;LastHist,EnLag,0)))),INDEX(MS_BillMW,1,17))*IF(V$5&lt;=LastHist,PUE_B,PUE)*VinPower/4</f>
        <v>82.5</v>
      </c>
      <c r="W16" s="123" t="n">
        <f aca="false">IF(FixMgmt=1,MIN(INDEX(MS_BillMW,1,18),INDEX(VinEnIT,1,MAX(1,18-IF(18&gt;LastHist,EnLag,0)))),INDEX(MS_BillMW,1,18))*IF(W$5&lt;=LastHist,PUE_B,PUE)*VinPower/4</f>
        <v>82.5</v>
      </c>
      <c r="X16" s="123" t="n">
        <f aca="false">IF(FixMgmt=1,MIN(INDEX(MS_BillMW,1,19),INDEX(VinEnIT,1,MAX(1,19-IF(19&gt;LastHist,EnLag,0)))),INDEX(MS_BillMW,1,19))*IF(X$5&lt;=LastHist,PUE_B,PUE)*VinPower/4</f>
        <v>82.5</v>
      </c>
      <c r="Y16" s="123" t="n">
        <f aca="false">IF(FixMgmt=1,MIN(INDEX(MS_BillMW,1,20),INDEX(VinEnIT,1,MAX(1,20-IF(20&gt;LastHist,EnLag,0)))),INDEX(MS_BillMW,1,20))*IF(Y$5&lt;=LastHist,PUE_B,PUE)*VinPower/4</f>
        <v>82.5</v>
      </c>
      <c r="Z16" s="123" t="n">
        <f aca="false">IF(FixMgmt=1,MIN(INDEX(MS_BillMW,1,21),INDEX(VinEnIT,1,MAX(1,21-IF(21&gt;LastHist,EnLag,0)))),INDEX(MS_BillMW,1,21))*IF(Z$5&lt;=LastHist,PUE_B,PUE)*VinPower/4</f>
        <v>82.5</v>
      </c>
      <c r="AA16" s="123" t="n">
        <f aca="false">IF(FixMgmt=1,MIN(INDEX(MS_BillMW,1,22),INDEX(VinEnIT,1,MAX(1,22-IF(22&gt;LastHist,EnLag,0)))),INDEX(MS_BillMW,1,22))*IF(AA$5&lt;=LastHist,PUE_B,PUE)*VinPower/4</f>
        <v>82.5</v>
      </c>
      <c r="AB16" s="123" t="n">
        <f aca="false">IF(FixMgmt=1,MIN(INDEX(MS_BillMW,1,23),INDEX(VinEnIT,1,MAX(1,23-IF(23&gt;LastHist,EnLag,0)))),INDEX(MS_BillMW,1,23))*IF(AB$5&lt;=LastHist,PUE_B,PUE)*VinPower/4</f>
        <v>82.5</v>
      </c>
      <c r="AC16" s="123" t="n">
        <f aca="false">IF(FixMgmt=1,MIN(INDEX(MS_BillMW,1,24),INDEX(VinEnIT,1,MAX(1,24-IF(24&gt;LastHist,EnLag,0)))),INDEX(MS_BillMW,1,24))*IF(AC$5&lt;=LastHist,PUE_B,PUE)*VinPower/4</f>
        <v>82.5</v>
      </c>
      <c r="AD16" s="123" t="n">
        <f aca="false">IF(FixMgmt=1,MIN(INDEX(MS_BillMW,1,25),INDEX(VinEnIT,1,MAX(1,25-IF(25&gt;LastHist,EnLag,0)))),INDEX(MS_BillMW,1,25))*IF(AD$5&lt;=LastHist,PUE_B,PUE)*VinPower/4</f>
        <v>82.5</v>
      </c>
      <c r="AE16" s="123" t="n">
        <f aca="false">IF(FixMgmt=1,MIN(INDEX(MS_BillMW,1,26),INDEX(VinEnIT,1,MAX(1,26-IF(26&gt;LastHist,EnLag,0)))),INDEX(MS_BillMW,1,26))*IF(AE$5&lt;=LastHist,PUE_B,PUE)*VinPower/4</f>
        <v>82.5</v>
      </c>
      <c r="AF16" s="123" t="n">
        <f aca="false">IF(FixMgmt=1,MIN(INDEX(MS_BillMW,1,27),INDEX(VinEnIT,1,MAX(1,27-IF(27&gt;LastHist,EnLag,0)))),INDEX(MS_BillMW,1,27))*IF(AF$5&lt;=LastHist,PUE_B,PUE)*VinPower/4</f>
        <v>82.5</v>
      </c>
      <c r="AG16" s="123" t="n">
        <f aca="false">IF(FixMgmt=1,MIN(INDEX(MS_BillMW,1,28),INDEX(VinEnIT,1,MAX(1,28-IF(28&gt;LastHist,EnLag,0)))),INDEX(MS_BillMW,1,28))*IF(AG$5&lt;=LastHist,PUE_B,PUE)*VinPower/4</f>
        <v>73.3333333333333</v>
      </c>
      <c r="AI16" s="123" t="n">
        <f aca="false">SUMIF($F$7:$AG$7,AI$7,$F16:$AG16)</f>
        <v>0</v>
      </c>
      <c r="AJ16" s="123" t="n">
        <f aca="false">SUMIF($F$7:$AG$7,AJ$7,$F16:$AG16)</f>
        <v>9.00625</v>
      </c>
      <c r="AK16" s="123" t="n">
        <f aca="false">SUMIF($F$7:$AG$7,AK$7,$F16:$AG16)</f>
        <v>62.390625</v>
      </c>
      <c r="AL16" s="123" t="n">
        <f aca="false">SUMIF($F$7:$AG$7,AL$7,$F16:$AG16)</f>
        <v>197.24375</v>
      </c>
      <c r="AM16" s="123" t="n">
        <f aca="false">SUMIF($F$7:$AG$7,AM$7,$F16:$AG16)</f>
        <v>330</v>
      </c>
      <c r="AN16" s="123" t="n">
        <f aca="false">SUMIF($F$7:$AG$7,AN$7,$F16:$AG16)</f>
        <v>330</v>
      </c>
      <c r="AO16" s="123" t="n">
        <f aca="false">SUMIF($F$7:$AG$7,AO$7,$F16:$AG16)</f>
        <v>320.833333333333</v>
      </c>
    </row>
    <row r="17" customFormat="false" ht="15" hidden="false" customHeight="false" outlineLevel="0" collapsed="false">
      <c r="A17" s="104" t="s">
        <v>2157</v>
      </c>
      <c r="B17" s="20" t="s">
        <v>561</v>
      </c>
      <c r="C17" s="20" t="s">
        <v>513</v>
      </c>
      <c r="D17" s="20" t="s">
        <v>2158</v>
      </c>
      <c r="F17" s="122" t="n">
        <f aca="false">MAX(0,INDEX(MW_Avg,1,1)-IF(FixMgmt=1,MIN(INDEX(MS_BillMW,1,1),INDEX(VinEnIT,1,MAX(1,1-IF(1&gt;LastHist,EnLag,0)))),INDEX(MS_BillMW,1,1)))*LoadFactor*IF(F$5&lt;=LastHist,PUE_B,PUE)*Timeline!F$9*PowerPx/1000000</f>
        <v>4.095</v>
      </c>
      <c r="G17" s="122" t="n">
        <f aca="false">MAX(0,INDEX(MW_Avg,1,2)-IF(FixMgmt=1,MIN(INDEX(MS_BillMW,1,2),INDEX(VinEnIT,1,MAX(1,2-IF(2&gt;LastHist,EnLag,0)))),INDEX(MS_BillMW,1,2)))*LoadFactor*IF(G$5&lt;=LastHist,PUE_B,PUE)*Timeline!G$9*PowerPx/1000000</f>
        <v>4.095</v>
      </c>
      <c r="H17" s="122" t="n">
        <f aca="false">MAX(0,INDEX(MW_Avg,1,3)-IF(FixMgmt=1,MIN(INDEX(MS_BillMW,1,3),INDEX(VinEnIT,1,MAX(1,3-IF(3&gt;LastHist,EnLag,0)))),INDEX(MS_BillMW,1,3)))*LoadFactor*IF(H$5&lt;=LastHist,PUE_B,PUE)*Timeline!H$9*PowerPx/1000000</f>
        <v>4.14</v>
      </c>
      <c r="I17" s="122" t="n">
        <f aca="false">MAX(0,INDEX(MW_Avg,1,4)-IF(FixMgmt=1,MIN(INDEX(MS_BillMW,1,4),INDEX(VinEnIT,1,MAX(1,4-IF(4&gt;LastHist,EnLag,0)))),INDEX(MS_BillMW,1,4)))*LoadFactor*IF(I$5&lt;=LastHist,PUE_B,PUE)*Timeline!I$9*PowerPx/1000000</f>
        <v>4.554</v>
      </c>
      <c r="J17" s="122" t="n">
        <f aca="false">MAX(0,INDEX(MW_Avg,1,5)-IF(FixMgmt=1,MIN(INDEX(MS_BillMW,1,5),INDEX(VinEnIT,1,MAX(1,5-IF(5&gt;LastHist,EnLag,0)))),INDEX(MS_BillMW,1,5)))*LoadFactor*IF(J$5&lt;=LastHist,PUE_B,PUE)*Timeline!J$9*PowerPx/1000000</f>
        <v>5.67</v>
      </c>
      <c r="K17" s="122" t="n">
        <f aca="false">MAX(0,INDEX(MW_Avg,1,6)-IF(FixMgmt=1,MIN(INDEX(MS_BillMW,1,6),INDEX(VinEnIT,1,MAX(1,6-IF(6&gt;LastHist,EnLag,0)))),INDEX(MS_BillMW,1,6)))*LoadFactor*IF(K$5&lt;=LastHist,PUE_B,PUE)*Timeline!K$9*PowerPx/1000000</f>
        <v>6.9615</v>
      </c>
      <c r="L17" s="122" t="n">
        <f aca="false">MAX(0,INDEX(MW_Avg,1,7)-IF(FixMgmt=1,MIN(INDEX(MS_BillMW,1,7),INDEX(VinEnIT,1,MAX(1,7-IF(7&gt;LastHist,EnLag,0)))),INDEX(MS_BillMW,1,7)))*LoadFactor*IF(L$5&lt;=LastHist,PUE_B,PUE)*Timeline!L$9*PowerPx/1000000</f>
        <v>8.901</v>
      </c>
      <c r="M17" s="122" t="n">
        <f aca="false">MAX(0,INDEX(MW_Avg,1,8)-IF(FixMgmt=1,MIN(INDEX(MS_BillMW,1,8),INDEX(VinEnIT,1,MAX(1,8-IF(8&gt;LastHist,EnLag,0)))),INDEX(MS_BillMW,1,8)))*LoadFactor*IF(M$5&lt;=LastHist,PUE_B,PUE)*Timeline!M$9*PowerPx/1000000</f>
        <v>13.06584</v>
      </c>
      <c r="N17" s="122" t="n">
        <f aca="false">MAX(0,INDEX(MW_Avg,1,9)-IF(FixMgmt=1,MIN(INDEX(MS_BillMW,1,9),INDEX(VinEnIT,1,MAX(1,9-IF(9&gt;LastHist,EnLag,0)))),INDEX(MS_BillMW,1,9)))*LoadFactor*IF(N$5&lt;=LastHist,PUE_B,PUE)*Timeline!N$9*PowerPx/1000000</f>
        <v>19.7802</v>
      </c>
      <c r="O17" s="122" t="n">
        <f aca="false">MAX(0,INDEX(MW_Avg,1,10)-IF(FixMgmt=1,MIN(INDEX(MS_BillMW,1,10),INDEX(VinEnIT,1,MAX(1,10-IF(10&gt;LastHist,EnLag,0)))),INDEX(MS_BillMW,1,10)))*LoadFactor*IF(O$5&lt;=LastHist,PUE_B,PUE)*Timeline!O$9*PowerPx/1000000</f>
        <v>21.82635</v>
      </c>
      <c r="P17" s="123" t="n">
        <f aca="false">MAX(0,INDEX(MW_Avg,1,11)-IF(FixMgmt=1,MIN(INDEX(MS_BillMW,1,11),INDEX(VinEnIT,1,MAX(1,11-IF(11&gt;LastHist,EnLag,0)))),INDEX(MS_BillMW,1,11)))*LoadFactor*IF(P$5&lt;=LastHist,PUE_B,PUE)*Timeline!P$9*PowerPx/1000000</f>
        <v>22.1904</v>
      </c>
      <c r="Q17" s="123" t="n">
        <f aca="false">MAX(0,INDEX(MW_Avg,1,12)-IF(FixMgmt=1,MIN(INDEX(MS_BillMW,1,12),INDEX(VinEnIT,1,MAX(1,12-IF(12&gt;LastHist,EnLag,0)))),INDEX(MS_BillMW,1,12)))*LoadFactor*IF(Q$5&lt;=LastHist,PUE_B,PUE)*Timeline!Q$9*PowerPx/1000000</f>
        <v>20.5758</v>
      </c>
      <c r="R17" s="123" t="n">
        <f aca="false">MAX(0,INDEX(MW_Avg,1,13)-IF(FixMgmt=1,MIN(INDEX(MS_BillMW,1,13),INDEX(VinEnIT,1,MAX(1,13-IF(13&gt;LastHist,EnLag,0)))),INDEX(MS_BillMW,1,13)))*LoadFactor*IF(R$5&lt;=LastHist,PUE_B,PUE)*Timeline!R$9*PowerPx/1000000</f>
        <v>27.2403</v>
      </c>
      <c r="S17" s="123" t="n">
        <f aca="false">MAX(0,INDEX(MW_Avg,1,14)-IF(FixMgmt=1,MIN(INDEX(MS_BillMW,1,14),INDEX(VinEnIT,1,MAX(1,14-IF(14&gt;LastHist,EnLag,0)))),INDEX(MS_BillMW,1,14)))*LoadFactor*IF(S$5&lt;=LastHist,PUE_B,PUE)*Timeline!S$9*PowerPx/1000000</f>
        <v>38.64042</v>
      </c>
      <c r="T17" s="123" t="n">
        <f aca="false">MAX(0,INDEX(MW_Avg,1,15)-IF(FixMgmt=1,MIN(INDEX(MS_BillMW,1,15),INDEX(VinEnIT,1,MAX(1,15-IF(15&gt;LastHist,EnLag,0)))),INDEX(MS_BillMW,1,15)))*LoadFactor*IF(T$5&lt;=LastHist,PUE_B,PUE)*Timeline!T$9*PowerPx/1000000</f>
        <v>51.7086</v>
      </c>
      <c r="U17" s="123" t="n">
        <f aca="false">MAX(0,INDEX(MW_Avg,1,16)-IF(FixMgmt=1,MIN(INDEX(MS_BillMW,1,16),INDEX(VinEnIT,1,MAX(1,16-IF(16&gt;LastHist,EnLag,0)))),INDEX(MS_BillMW,1,16)))*LoadFactor*IF(U$5&lt;=LastHist,PUE_B,PUE)*Timeline!U$9*PowerPx/1000000</f>
        <v>67.86288</v>
      </c>
      <c r="V17" s="123" t="n">
        <f aca="false">MAX(0,INDEX(MW_Avg,1,17)-IF(FixMgmt=1,MIN(INDEX(MS_BillMW,1,17),INDEX(VinEnIT,1,MAX(1,17-IF(17&gt;LastHist,EnLag,0)))),INDEX(MS_BillMW,1,17)))*LoadFactor*IF(V$5&lt;=LastHist,PUE_B,PUE)*Timeline!V$9*PowerPx/1000000</f>
        <v>94.55355</v>
      </c>
      <c r="W17" s="123" t="n">
        <f aca="false">MAX(0,INDEX(MW_Avg,1,18)-IF(FixMgmt=1,MIN(INDEX(MS_BillMW,1,18),INDEX(VinEnIT,1,MAX(1,18-IF(18&gt;LastHist,EnLag,0)))),INDEX(MS_BillMW,1,18)))*LoadFactor*IF(W$5&lt;=LastHist,PUE_B,PUE)*Timeline!W$9*PowerPx/1000000</f>
        <v>123.87375</v>
      </c>
      <c r="X17" s="123" t="n">
        <f aca="false">MAX(0,INDEX(MW_Avg,1,19)-IF(FixMgmt=1,MIN(INDEX(MS_BillMW,1,19),INDEX(VinEnIT,1,MAX(1,19-IF(19&gt;LastHist,EnLag,0)))),INDEX(MS_BillMW,1,19)))*LoadFactor*IF(X$5&lt;=LastHist,PUE_B,PUE)*Timeline!X$9*PowerPx/1000000</f>
        <v>145.8108</v>
      </c>
      <c r="Y17" s="123" t="n">
        <f aca="false">MAX(0,INDEX(MW_Avg,1,20)-IF(FixMgmt=1,MIN(INDEX(MS_BillMW,1,20),INDEX(VinEnIT,1,MAX(1,20-IF(20&gt;LastHist,EnLag,0)))),INDEX(MS_BillMW,1,20)))*LoadFactor*IF(Y$5&lt;=LastHist,PUE_B,PUE)*Timeline!Y$9*PowerPx/1000000</f>
        <v>159.7626</v>
      </c>
      <c r="Z17" s="123" t="n">
        <f aca="false">MAX(0,INDEX(MW_Avg,1,21)-IF(FixMgmt=1,MIN(INDEX(MS_BillMW,1,21),INDEX(VinEnIT,1,MAX(1,21-IF(21&gt;LastHist,EnLag,0)))),INDEX(MS_BillMW,1,21)))*LoadFactor*IF(Z$5&lt;=LastHist,PUE_B,PUE)*Timeline!Z$9*PowerPx/1000000</f>
        <v>183.87</v>
      </c>
      <c r="AA17" s="123" t="n">
        <f aca="false">MAX(0,INDEX(MW_Avg,1,22)-IF(FixMgmt=1,MIN(INDEX(MS_BillMW,1,22),INDEX(VinEnIT,1,MAX(1,22-IF(22&gt;LastHist,EnLag,0)))),INDEX(MS_BillMW,1,22)))*LoadFactor*IF(AA$5&lt;=LastHist,PUE_B,PUE)*Timeline!AA$9*PowerPx/1000000</f>
        <v>212.7762</v>
      </c>
      <c r="AB17" s="123" t="n">
        <f aca="false">MAX(0,INDEX(MW_Avg,1,23)-IF(FixMgmt=1,MIN(INDEX(MS_BillMW,1,23),INDEX(VinEnIT,1,MAX(1,23-IF(23&gt;LastHist,EnLag,0)))),INDEX(MS_BillMW,1,23)))*LoadFactor*IF(AB$5&lt;=LastHist,PUE_B,PUE)*Timeline!AB$9*PowerPx/1000000</f>
        <v>242.9352</v>
      </c>
      <c r="AC17" s="123" t="n">
        <f aca="false">MAX(0,INDEX(MW_Avg,1,24)-IF(FixMgmt=1,MIN(INDEX(MS_BillMW,1,24),INDEX(VinEnIT,1,MAX(1,24-IF(24&gt;LastHist,EnLag,0)))),INDEX(MS_BillMW,1,24)))*LoadFactor*IF(AC$5&lt;=LastHist,PUE_B,PUE)*Timeline!AC$9*PowerPx/1000000</f>
        <v>270.756</v>
      </c>
      <c r="AD17" s="123" t="n">
        <f aca="false">MAX(0,INDEX(MW_Avg,1,25)-IF(FixMgmt=1,MIN(INDEX(MS_BillMW,1,25),INDEX(VinEnIT,1,MAX(1,25-IF(25&gt;LastHist,EnLag,0)))),INDEX(MS_BillMW,1,25)))*LoadFactor*IF(AD$5&lt;=LastHist,PUE_B,PUE)*Timeline!AD$9*PowerPx/1000000</f>
        <v>302.778</v>
      </c>
      <c r="AE17" s="123" t="n">
        <f aca="false">MAX(0,INDEX(MW_Avg,1,26)-IF(FixMgmt=1,MIN(INDEX(MS_BillMW,1,26),INDEX(VinEnIT,1,MAX(1,26-IF(26&gt;LastHist,EnLag,0)))),INDEX(MS_BillMW,1,26)))*LoadFactor*IF(AE$5&lt;=LastHist,PUE_B,PUE)*Timeline!AE$9*PowerPx/1000000</f>
        <v>344.4714</v>
      </c>
      <c r="AF17" s="123" t="n">
        <f aca="false">MAX(0,INDEX(MW_Avg,1,27)-IF(FixMgmt=1,MIN(INDEX(MS_BillMW,1,27),INDEX(VinEnIT,1,MAX(1,27-IF(27&gt;LastHist,EnLag,0)))),INDEX(MS_BillMW,1,27)))*LoadFactor*IF(AF$5&lt;=LastHist,PUE_B,PUE)*Timeline!AF$9*PowerPx/1000000</f>
        <v>348.2568</v>
      </c>
      <c r="AG17" s="123" t="n">
        <f aca="false">MAX(0,INDEX(MW_Avg,1,28)-IF(FixMgmt=1,MIN(INDEX(MS_BillMW,1,28),INDEX(VinEnIT,1,MAX(1,28-IF(28&gt;LastHist,EnLag,0)))),INDEX(MS_BillMW,1,28)))*LoadFactor*IF(AG$5&lt;=LastHist,PUE_B,PUE)*Timeline!AG$9*PowerPx/1000000</f>
        <v>352.6728</v>
      </c>
      <c r="AI17" s="123" t="n">
        <f aca="false">SUMIF($F$7:$AG$7,AI$7,$F17:$AG17)</f>
        <v>16.884</v>
      </c>
      <c r="AJ17" s="123" t="n">
        <f aca="false">SUMIF($F$7:$AG$7,AJ$7,$F17:$AG17)</f>
        <v>34.59834</v>
      </c>
      <c r="AK17" s="123" t="n">
        <f aca="false">SUMIF($F$7:$AG$7,AK$7,$F17:$AG17)</f>
        <v>84.37275</v>
      </c>
      <c r="AL17" s="123" t="n">
        <f aca="false">SUMIF($F$7:$AG$7,AL$7,$F17:$AG17)</f>
        <v>185.4522</v>
      </c>
      <c r="AM17" s="123" t="n">
        <f aca="false">SUMIF($F$7:$AG$7,AM$7,$F17:$AG17)</f>
        <v>524.0007</v>
      </c>
      <c r="AN17" s="123" t="n">
        <f aca="false">SUMIF($F$7:$AG$7,AN$7,$F17:$AG17)</f>
        <v>910.3374</v>
      </c>
      <c r="AO17" s="123" t="n">
        <f aca="false">SUMIF($F$7:$AG$7,AO$7,$F17:$AG17)</f>
        <v>1348.179</v>
      </c>
    </row>
    <row r="18" customFormat="false" ht="15" hidden="false" customHeight="false" outlineLevel="0" collapsed="false">
      <c r="A18" s="104" t="s">
        <v>2159</v>
      </c>
      <c r="B18" s="20" t="s">
        <v>561</v>
      </c>
      <c r="C18" s="20" t="s">
        <v>513</v>
      </c>
      <c r="D18" s="20" t="s">
        <v>2160</v>
      </c>
      <c r="F18" s="122" t="n">
        <f aca="false">INDEX(MW_Avg,1,1)*(1-INDEX(MW_OwnSh,1,1))*IF(F$5&lt;=LastHist,PUE_B,PUE)*RentMW/4</f>
        <v>0</v>
      </c>
      <c r="G18" s="122" t="n">
        <f aca="false">INDEX(MW_Avg,1,2)*(1-INDEX(MW_OwnSh,1,2))*IF(G$5&lt;=LastHist,PUE_B,PUE)*RentMW/4</f>
        <v>0</v>
      </c>
      <c r="H18" s="122" t="n">
        <f aca="false">INDEX(MW_Avg,1,3)*(1-INDEX(MW_OwnSh,1,3))*IF(H$5&lt;=LastHist,PUE_B,PUE)*RentMW/4</f>
        <v>0</v>
      </c>
      <c r="I18" s="122" t="n">
        <f aca="false">INDEX(MW_Avg,1,4)*(1-INDEX(MW_OwnSh,1,4))*IF(I$5&lt;=LastHist,PUE_B,PUE)*RentMW/4</f>
        <v>3.22265625</v>
      </c>
      <c r="J18" s="122" t="n">
        <f aca="false">INDEX(MW_Avg,1,5)*(1-INDEX(MW_OwnSh,1,5))*IF(J$5&lt;=LastHist,PUE_B,PUE)*RentMW/4</f>
        <v>9.228515625</v>
      </c>
      <c r="K18" s="122" t="n">
        <f aca="false">INDEX(MW_Avg,1,6)*(1-INDEX(MW_OwnSh,1,6))*IF(K$5&lt;=LastHist,PUE_B,PUE)*RentMW/4</f>
        <v>13.28125</v>
      </c>
      <c r="L18" s="122" t="n">
        <f aca="false">INDEX(MW_Avg,1,7)*(1-INDEX(MW_OwnSh,1,7))*IF(L$5&lt;=LastHist,PUE_B,PUE)*RentMW/4</f>
        <v>15.1171875</v>
      </c>
      <c r="M18" s="122" t="n">
        <f aca="false">INDEX(MW_Avg,1,8)*(1-INDEX(MW_OwnSh,1,8))*IF(M$5&lt;=LastHist,PUE_B,PUE)*RentMW/4</f>
        <v>42.6279409275559</v>
      </c>
      <c r="N18" s="122" t="n">
        <f aca="false">INDEX(MW_Avg,1,9)*(1-INDEX(MW_OwnSh,1,9))*IF(N$5&lt;=LastHist,PUE_B,PUE)*RentMW/4</f>
        <v>63.1434948979592</v>
      </c>
      <c r="O18" s="122" t="n">
        <f aca="false">INDEX(MW_Avg,1,10)*(1-INDEX(MW_OwnSh,1,10))*IF(O$5&lt;=LastHist,PUE_B,PUE)*RentMW/4</f>
        <v>68.607523482659</v>
      </c>
      <c r="P18" s="123" t="n">
        <f aca="false">INDEX(MW_Avg,1,11)*(1-INDEX(MW_OwnSh,1,11))*IF(P$5&lt;=LastHist,PUE_B,PUE)*RentMW/4</f>
        <v>77.6741340361446</v>
      </c>
      <c r="Q18" s="123" t="n">
        <f aca="false">INDEX(MW_Avg,1,12)*(1-INDEX(MW_OwnSh,1,12))*IF(Q$5&lt;=LastHist,PUE_B,PUE)*RentMW/4</f>
        <v>99.4579209772572</v>
      </c>
      <c r="R18" s="123" t="n">
        <f aca="false">INDEX(MW_Avg,1,13)*(1-INDEX(MW_OwnSh,1,13))*IF(R$5&lt;=LastHist,PUE_B,PUE)*RentMW/4</f>
        <v>139.870930520533</v>
      </c>
      <c r="S18" s="123" t="n">
        <f aca="false">INDEX(MW_Avg,1,14)*(1-INDEX(MW_OwnSh,1,14))*IF(S$5&lt;=LastHist,PUE_B,PUE)*RentMW/4</f>
        <v>199.359142817832</v>
      </c>
      <c r="T18" s="123" t="n">
        <f aca="false">INDEX(MW_Avg,1,15)*(1-INDEX(MW_OwnSh,1,15))*IF(T$5&lt;=LastHist,PUE_B,PUE)*RentMW/4</f>
        <v>247.656264266801</v>
      </c>
      <c r="U18" s="123" t="n">
        <f aca="false">INDEX(MW_Avg,1,16)*(1-INDEX(MW_OwnSh,1,16))*IF(U$5&lt;=LastHist,PUE_B,PUE)*RentMW/4</f>
        <v>276.204967105263</v>
      </c>
      <c r="V18" s="123" t="n">
        <f aca="false">INDEX(MW_Avg,1,17)*(1-INDEX(MW_OwnSh,1,17))*IF(V$5&lt;=LastHist,PUE_B,PUE)*RentMW/4</f>
        <v>341.470127023381</v>
      </c>
      <c r="W18" s="123" t="n">
        <f aca="false">INDEX(MW_Avg,1,18)*(1-INDEX(MW_OwnSh,1,18))*IF(W$5&lt;=LastHist,PUE_B,PUE)*RentMW/4</f>
        <v>362.079674788798</v>
      </c>
      <c r="X18" s="123" t="n">
        <f aca="false">INDEX(MW_Avg,1,19)*(1-INDEX(MW_OwnSh,1,19))*IF(X$5&lt;=LastHist,PUE_B,PUE)*RentMW/4</f>
        <v>411.166133360859</v>
      </c>
      <c r="Y18" s="123" t="n">
        <f aca="false">INDEX(MW_Avg,1,20)*(1-INDEX(MW_OwnSh,1,20))*IF(Y$5&lt;=LastHist,PUE_B,PUE)*RentMW/4</f>
        <v>374.282711988304</v>
      </c>
      <c r="Z18" s="123" t="n">
        <f aca="false">INDEX(MW_Avg,1,21)*(1-INDEX(MW_OwnSh,1,21))*IF(Z$5&lt;=LastHist,PUE_B,PUE)*RentMW/4</f>
        <v>427.174707602339</v>
      </c>
      <c r="AA18" s="123" t="n">
        <f aca="false">INDEX(MW_Avg,1,22)*(1-INDEX(MW_OwnSh,1,22))*IF(AA$5&lt;=LastHist,PUE_B,PUE)*RentMW/4</f>
        <v>392.445</v>
      </c>
      <c r="AB18" s="123" t="n">
        <f aca="false">INDEX(MW_Avg,1,23)*(1-INDEX(MW_OwnSh,1,23))*IF(AB$5&lt;=LastHist,PUE_B,PUE)*RentMW/4</f>
        <v>435.285</v>
      </c>
      <c r="AC18" s="123" t="n">
        <f aca="false">INDEX(MW_Avg,1,24)*(1-INDEX(MW_OwnSh,1,24))*IF(AC$5&lt;=LastHist,PUE_B,PUE)*RentMW/4</f>
        <v>382.622439180538</v>
      </c>
      <c r="AD18" s="123" t="n">
        <f aca="false">INDEX(MW_Avg,1,25)*(1-INDEX(MW_OwnSh,1,25))*IF(AD$5&lt;=LastHist,PUE_B,PUE)*RentMW/4</f>
        <v>430.373719590269</v>
      </c>
      <c r="AE18" s="123" t="n">
        <f aca="false">INDEX(MW_Avg,1,26)*(1-INDEX(MW_OwnSh,1,26))*IF(AE$5&lt;=LastHist,PUE_B,PUE)*RentMW/4</f>
        <v>478.125</v>
      </c>
      <c r="AF18" s="123" t="n">
        <f aca="false">INDEX(MW_Avg,1,27)*(1-INDEX(MW_OwnSh,1,27))*IF(AF$5&lt;=LastHist,PUE_B,PUE)*RentMW/4</f>
        <v>478.125</v>
      </c>
      <c r="AG18" s="123" t="n">
        <f aca="false">INDEX(MW_Avg,1,28)*(1-INDEX(MW_OwnSh,1,28))*IF(AG$5&lt;=LastHist,PUE_B,PUE)*RentMW/4</f>
        <v>399.659962540136</v>
      </c>
      <c r="AI18" s="123" t="n">
        <f aca="false">SUMIF($F$7:$AG$7,AI$7,$F18:$AG18)</f>
        <v>3.22265625</v>
      </c>
      <c r="AJ18" s="123" t="n">
        <f aca="false">SUMIF($F$7:$AG$7,AJ$7,$F18:$AG18)</f>
        <v>80.2548940525558</v>
      </c>
      <c r="AK18" s="123" t="n">
        <f aca="false">SUMIF($F$7:$AG$7,AK$7,$F18:$AG18)</f>
        <v>308.88307339402</v>
      </c>
      <c r="AL18" s="123" t="n">
        <f aca="false">SUMIF($F$7:$AG$7,AL$7,$F18:$AG18)</f>
        <v>863.091304710428</v>
      </c>
      <c r="AM18" s="123" t="n">
        <f aca="false">SUMIF($F$7:$AG$7,AM$7,$F18:$AG18)</f>
        <v>1488.99864716134</v>
      </c>
      <c r="AN18" s="123" t="n">
        <f aca="false">SUMIF($F$7:$AG$7,AN$7,$F18:$AG18)</f>
        <v>1637.52714678288</v>
      </c>
      <c r="AO18" s="123" t="n">
        <f aca="false">SUMIF($F$7:$AG$7,AO$7,$F18:$AG18)</f>
        <v>1786.2836821304</v>
      </c>
    </row>
    <row r="19" customFormat="false" ht="15" hidden="false" customHeight="false" outlineLevel="0" collapsed="false">
      <c r="A19" s="104" t="s">
        <v>2161</v>
      </c>
      <c r="B19" s="20" t="s">
        <v>561</v>
      </c>
      <c r="C19" s="20" t="s">
        <v>513</v>
      </c>
      <c r="D19" s="20" t="s">
        <v>2162</v>
      </c>
      <c r="F19" s="122" t="n">
        <f aca="false">IF(F$5&lt;=LastHist,0,INDEX(CLT1_En,1,MAX(1,1-EnLag))*(CLT1Rent-RentMW*PUE)/4)</f>
        <v>0</v>
      </c>
      <c r="G19" s="122" t="n">
        <f aca="false">IF(G$5&lt;=LastHist,0,INDEX(CLT1_En,1,MAX(1,2-EnLag))*(CLT1Rent-RentMW*PUE)/4)</f>
        <v>0</v>
      </c>
      <c r="H19" s="122" t="n">
        <f aca="false">IF(H$5&lt;=LastHist,0,INDEX(CLT1_En,1,MAX(1,3-EnLag))*(CLT1Rent-RentMW*PUE)/4)</f>
        <v>0</v>
      </c>
      <c r="I19" s="122" t="n">
        <f aca="false">IF(I$5&lt;=LastHist,0,INDEX(CLT1_En,1,MAX(1,4-EnLag))*(CLT1Rent-RentMW*PUE)/4)</f>
        <v>0</v>
      </c>
      <c r="J19" s="122" t="n">
        <f aca="false">IF(J$5&lt;=LastHist,0,INDEX(CLT1_En,1,MAX(1,5-EnLag))*(CLT1Rent-RentMW*PUE)/4)</f>
        <v>0</v>
      </c>
      <c r="K19" s="122" t="n">
        <f aca="false">IF(K$5&lt;=LastHist,0,INDEX(CLT1_En,1,MAX(1,6-EnLag))*(CLT1Rent-RentMW*PUE)/4)</f>
        <v>0</v>
      </c>
      <c r="L19" s="122" t="n">
        <f aca="false">IF(L$5&lt;=LastHist,0,INDEX(CLT1_En,1,MAX(1,7-EnLag))*(CLT1Rent-RentMW*PUE)/4)</f>
        <v>0</v>
      </c>
      <c r="M19" s="122" t="n">
        <f aca="false">IF(M$5&lt;=LastHist,0,INDEX(CLT1_En,1,MAX(1,8-EnLag))*(CLT1Rent-RentMW*PUE)/4)</f>
        <v>0</v>
      </c>
      <c r="N19" s="122" t="n">
        <f aca="false">IF(N$5&lt;=LastHist,0,INDEX(CLT1_En,1,MAX(1,9-EnLag))*(CLT1Rent-RentMW*PUE)/4)</f>
        <v>0</v>
      </c>
      <c r="O19" s="122" t="n">
        <f aca="false">IF(O$5&lt;=LastHist,0,INDEX(CLT1_En,1,MAX(1,10-EnLag))*(CLT1Rent-RentMW*PUE)/4)</f>
        <v>0</v>
      </c>
      <c r="P19" s="123" t="n">
        <f aca="false">IF(P$5&lt;=LastHist,0,INDEX(CLT1_En,1,MAX(1,11-EnLag))*(CLT1Rent-RentMW*PUE)/4)</f>
        <v>-0</v>
      </c>
      <c r="Q19" s="123" t="n">
        <f aca="false">IF(Q$5&lt;=LastHist,0,INDEX(CLT1_En,1,MAX(1,12-EnLag))*(CLT1Rent-RentMW*PUE)/4)</f>
        <v>-0</v>
      </c>
      <c r="R19" s="123" t="n">
        <f aca="false">IF(R$5&lt;=LastHist,0,INDEX(CLT1_En,1,MAX(1,13-EnLag))*(CLT1Rent-RentMW*PUE)/4)</f>
        <v>-0</v>
      </c>
      <c r="S19" s="123" t="n">
        <f aca="false">IF(S$5&lt;=LastHist,0,INDEX(CLT1_En,1,MAX(1,14-EnLag))*(CLT1Rent-RentMW*PUE)/4)</f>
        <v>-0</v>
      </c>
      <c r="T19" s="123" t="n">
        <f aca="false">IF(T$5&lt;=LastHist,0,INDEX(CLT1_En,1,MAX(1,15-EnLag))*(CLT1Rent-RentMW*PUE)/4)</f>
        <v>-0</v>
      </c>
      <c r="U19" s="123" t="n">
        <f aca="false">IF(U$5&lt;=LastHist,0,INDEX(CLT1_En,1,MAX(1,16-EnLag))*(CLT1Rent-RentMW*PUE)/4)</f>
        <v>-1.9140625</v>
      </c>
      <c r="V19" s="123" t="n">
        <f aca="false">IF(V$5&lt;=LastHist,0,INDEX(CLT1_En,1,MAX(1,17-EnLag))*(CLT1Rent-RentMW*PUE)/4)</f>
        <v>-3.828125</v>
      </c>
      <c r="W19" s="123" t="n">
        <f aca="false">IF(W$5&lt;=LastHist,0,INDEX(CLT1_En,1,MAX(1,18-EnLag))*(CLT1Rent-RentMW*PUE)/4)</f>
        <v>-5.7421875</v>
      </c>
      <c r="X19" s="123" t="n">
        <f aca="false">IF(X$5&lt;=LastHist,0,INDEX(CLT1_En,1,MAX(1,19-EnLag))*(CLT1Rent-RentMW*PUE)/4)</f>
        <v>-5.7421875</v>
      </c>
      <c r="Y19" s="123" t="n">
        <f aca="false">IF(Y$5&lt;=LastHist,0,INDEX(CLT1_En,1,MAX(1,20-EnLag))*(CLT1Rent-RentMW*PUE)/4)</f>
        <v>-7.65625</v>
      </c>
      <c r="Z19" s="123" t="n">
        <f aca="false">IF(Z$5&lt;=LastHist,0,INDEX(CLT1_En,1,MAX(1,21-EnLag))*(CLT1Rent-RentMW*PUE)/4)</f>
        <v>-7.65625</v>
      </c>
      <c r="AA19" s="123" t="n">
        <f aca="false">IF(AA$5&lt;=LastHist,0,INDEX(CLT1_En,1,MAX(1,22-EnLag))*(CLT1Rent-RentMW*PUE)/4)</f>
        <v>-7.65625</v>
      </c>
      <c r="AB19" s="123" t="n">
        <f aca="false">IF(AB$5&lt;=LastHist,0,INDEX(CLT1_En,1,MAX(1,23-EnLag))*(CLT1Rent-RentMW*PUE)/4)</f>
        <v>-7.65625</v>
      </c>
      <c r="AC19" s="123" t="n">
        <f aca="false">IF(AC$5&lt;=LastHist,0,INDEX(CLT1_En,1,MAX(1,24-EnLag))*(CLT1Rent-RentMW*PUE)/4)</f>
        <v>-7.65625</v>
      </c>
      <c r="AD19" s="123" t="n">
        <f aca="false">IF(AD$5&lt;=LastHist,0,INDEX(CLT1_En,1,MAX(1,25-EnLag))*(CLT1Rent-RentMW*PUE)/4)</f>
        <v>-7.65625</v>
      </c>
      <c r="AE19" s="123" t="n">
        <f aca="false">IF(AE$5&lt;=LastHist,0,INDEX(CLT1_En,1,MAX(1,26-EnLag))*(CLT1Rent-RentMW*PUE)/4)</f>
        <v>-7.65625</v>
      </c>
      <c r="AF19" s="123" t="n">
        <f aca="false">IF(AF$5&lt;=LastHist,0,INDEX(CLT1_En,1,MAX(1,27-EnLag))*(CLT1Rent-RentMW*PUE)/4)</f>
        <v>-7.65625</v>
      </c>
      <c r="AG19" s="123" t="n">
        <f aca="false">IF(AG$5&lt;=LastHist,0,INDEX(CLT1_En,1,MAX(1,28-EnLag))*(CLT1Rent-RentMW*PUE)/4)</f>
        <v>-7.65625</v>
      </c>
      <c r="AI19" s="123" t="n">
        <f aca="false">SUMIF($F$7:$AG$7,AI$7,$F19:$AG19)</f>
        <v>0</v>
      </c>
      <c r="AJ19" s="123" t="n">
        <f aca="false">SUMIF($F$7:$AG$7,AJ$7,$F19:$AG19)</f>
        <v>0</v>
      </c>
      <c r="AK19" s="123" t="n">
        <f aca="false">SUMIF($F$7:$AG$7,AK$7,$F19:$AG19)</f>
        <v>0</v>
      </c>
      <c r="AL19" s="123" t="n">
        <f aca="false">SUMIF($F$7:$AG$7,AL$7,$F19:$AG19)</f>
        <v>-1.9140625</v>
      </c>
      <c r="AM19" s="123" t="n">
        <f aca="false">SUMIF($F$7:$AG$7,AM$7,$F19:$AG19)</f>
        <v>-22.96875</v>
      </c>
      <c r="AN19" s="123" t="n">
        <f aca="false">SUMIF($F$7:$AG$7,AN$7,$F19:$AG19)</f>
        <v>-30.625</v>
      </c>
      <c r="AO19" s="123" t="n">
        <f aca="false">SUMIF($F$7:$AG$7,AO$7,$F19:$AG19)</f>
        <v>-30.625</v>
      </c>
    </row>
    <row r="20" customFormat="false" ht="15" hidden="false" customHeight="false" outlineLevel="0" collapsed="false">
      <c r="A20" s="104" t="s">
        <v>2163</v>
      </c>
      <c r="B20" s="20" t="s">
        <v>561</v>
      </c>
      <c r="C20" s="20" t="s">
        <v>495</v>
      </c>
      <c r="D20" s="20"/>
      <c r="F20" s="122" t="n">
        <f aca="false">OtherCOR*F11</f>
        <v>0.684</v>
      </c>
      <c r="G20" s="122" t="n">
        <f aca="false">OtherCOR*G11</f>
        <v>0.87</v>
      </c>
      <c r="H20" s="122" t="n">
        <f aca="false">OtherCOR*H11</f>
        <v>1.926</v>
      </c>
      <c r="I20" s="122" t="n">
        <f aca="false">OtherCOR*I11</f>
        <v>2.112</v>
      </c>
      <c r="J20" s="122" t="n">
        <f aca="false">OtherCOR*J11</f>
        <v>3.054</v>
      </c>
      <c r="K20" s="122" t="n">
        <f aca="false">OtherCOR*K11</f>
        <v>6.306</v>
      </c>
      <c r="L20" s="122" t="n">
        <f aca="false">OtherCOR*L11</f>
        <v>8.766</v>
      </c>
      <c r="M20" s="122" t="n">
        <f aca="false">OtherCOR*M11</f>
        <v>13.662</v>
      </c>
      <c r="N20" s="122" t="n">
        <f aca="false">OtherCOR*N11</f>
        <v>23.94</v>
      </c>
      <c r="O20" s="122" t="n">
        <f aca="false">OtherCOR*O11</f>
        <v>34.938</v>
      </c>
      <c r="P20" s="123" t="n">
        <f aca="false">OtherCOR*P11</f>
        <v>39.2210023957319</v>
      </c>
      <c r="Q20" s="123" t="n">
        <f aca="false">OtherCOR*Q11</f>
        <v>47.305497801089</v>
      </c>
      <c r="R20" s="123" t="n">
        <f aca="false">OtherCOR*R11</f>
        <v>63.5633001646315</v>
      </c>
      <c r="S20" s="123" t="n">
        <f aca="false">OtherCOR*S11</f>
        <v>93.4365708219811</v>
      </c>
      <c r="T20" s="123" t="n">
        <f aca="false">OtherCOR*T11</f>
        <v>130.246918870595</v>
      </c>
      <c r="U20" s="123" t="n">
        <f aca="false">OtherCOR*U11</f>
        <v>170.056250770146</v>
      </c>
      <c r="V20" s="123" t="n">
        <f aca="false">OtherCOR*V11</f>
        <v>230.686646076565</v>
      </c>
      <c r="W20" s="123" t="n">
        <f aca="false">OtherCOR*W11</f>
        <v>283.312049616818</v>
      </c>
      <c r="X20" s="123" t="n">
        <f aca="false">OtherCOR*X11</f>
        <v>319.066725220479</v>
      </c>
      <c r="Y20" s="123" t="n">
        <f aca="false">OtherCOR*Y11</f>
        <v>343.348257969799</v>
      </c>
      <c r="Z20" s="123" t="n">
        <f aca="false">OtherCOR*Z11</f>
        <v>392.369104621455</v>
      </c>
      <c r="AA20" s="123" t="n">
        <f aca="false">OtherCOR*AA11</f>
        <v>440.822466599343</v>
      </c>
      <c r="AB20" s="123" t="n">
        <f aca="false">OtherCOR*AB11</f>
        <v>487.407971062967</v>
      </c>
      <c r="AC20" s="123" t="n">
        <f aca="false">OtherCOR*AC11</f>
        <v>534.810371427932</v>
      </c>
      <c r="AD20" s="123" t="n">
        <f aca="false">OtherCOR*AD11</f>
        <v>598.568166428584</v>
      </c>
      <c r="AE20" s="123" t="n">
        <f aca="false">OtherCOR*AE11</f>
        <v>663.781977310434</v>
      </c>
      <c r="AF20" s="123" t="n">
        <f aca="false">OtherCOR*AF11</f>
        <v>661.779838624053</v>
      </c>
      <c r="AG20" s="123" t="n">
        <f aca="false">OtherCOR*AG11</f>
        <v>668.803052375394</v>
      </c>
      <c r="AI20" s="123" t="n">
        <f aca="false">SUMIF($F$7:$AG$7,AI$7,$F20:$AG20)</f>
        <v>5.592</v>
      </c>
      <c r="AJ20" s="123" t="n">
        <f aca="false">SUMIF($F$7:$AG$7,AJ$7,$F20:$AG20)</f>
        <v>31.788</v>
      </c>
      <c r="AK20" s="123" t="n">
        <f aca="false">SUMIF($F$7:$AG$7,AK$7,$F20:$AG20)</f>
        <v>145.404500196821</v>
      </c>
      <c r="AL20" s="123" t="n">
        <f aca="false">SUMIF($F$7:$AG$7,AL$7,$F20:$AG20)</f>
        <v>457.303040627354</v>
      </c>
      <c r="AM20" s="123" t="n">
        <f aca="false">SUMIF($F$7:$AG$7,AM$7,$F20:$AG20)</f>
        <v>1176.41367888366</v>
      </c>
      <c r="AN20" s="123" t="n">
        <f aca="false">SUMIF($F$7:$AG$7,AN$7,$F20:$AG20)</f>
        <v>1855.4099137117</v>
      </c>
      <c r="AO20" s="123" t="n">
        <f aca="false">SUMIF($F$7:$AG$7,AO$7,$F20:$AG20)</f>
        <v>2592.93303473847</v>
      </c>
    </row>
    <row r="21" customFormat="false" ht="15" hidden="false" customHeight="false" outlineLevel="0" collapsed="false">
      <c r="A21" s="104" t="s">
        <v>2164</v>
      </c>
      <c r="B21" s="20" t="s">
        <v>561</v>
      </c>
      <c r="C21" s="20" t="s">
        <v>513</v>
      </c>
      <c r="D21" s="20" t="s">
        <v>2165</v>
      </c>
      <c r="F21" s="122" t="n">
        <f aca="false">IF(F$5&lt;=LastHist,0,INDEX(MW_Avg,1,1)*INDEX(MW_OwnSh,1,1)*OM_MW/4)</f>
        <v>0</v>
      </c>
      <c r="G21" s="122" t="n">
        <f aca="false">IF(G$5&lt;=LastHist,0,INDEX(MW_Avg,1,2)*INDEX(MW_OwnSh,1,2)*OM_MW/4)</f>
        <v>0</v>
      </c>
      <c r="H21" s="122" t="n">
        <f aca="false">IF(H$5&lt;=LastHist,0,INDEX(MW_Avg,1,3)*INDEX(MW_OwnSh,1,3)*OM_MW/4)</f>
        <v>0</v>
      </c>
      <c r="I21" s="122" t="n">
        <f aca="false">IF(I$5&lt;=LastHist,0,INDEX(MW_Avg,1,4)*INDEX(MW_OwnSh,1,4)*OM_MW/4)</f>
        <v>0</v>
      </c>
      <c r="J21" s="122" t="n">
        <f aca="false">IF(J$5&lt;=LastHist,0,INDEX(MW_Avg,1,5)*INDEX(MW_OwnSh,1,5)*OM_MW/4)</f>
        <v>0</v>
      </c>
      <c r="K21" s="122" t="n">
        <f aca="false">IF(K$5&lt;=LastHist,0,INDEX(MW_Avg,1,6)*INDEX(MW_OwnSh,1,6)*OM_MW/4)</f>
        <v>0</v>
      </c>
      <c r="L21" s="122" t="n">
        <f aca="false">IF(L$5&lt;=LastHist,0,INDEX(MW_Avg,1,7)*INDEX(MW_OwnSh,1,7)*OM_MW/4)</f>
        <v>0</v>
      </c>
      <c r="M21" s="122" t="n">
        <f aca="false">IF(M$5&lt;=LastHist,0,INDEX(MW_Avg,1,8)*INDEX(MW_OwnSh,1,8)*OM_MW/4)</f>
        <v>0</v>
      </c>
      <c r="N21" s="122" t="n">
        <f aca="false">IF(N$5&lt;=LastHist,0,INDEX(MW_Avg,1,9)*INDEX(MW_OwnSh,1,9)*OM_MW/4)</f>
        <v>0</v>
      </c>
      <c r="O21" s="122" t="n">
        <f aca="false">IF(O$5&lt;=LastHist,0,INDEX(MW_Avg,1,10)*INDEX(MW_OwnSh,1,10)*OM_MW/4)</f>
        <v>0</v>
      </c>
      <c r="P21" s="123" t="n">
        <f aca="false">IF(P$5&lt;=LastHist,0,INDEX(MW_Avg,1,11)*INDEX(MW_OwnSh,1,11)*OM_MW/4)</f>
        <v>11.7243975903614</v>
      </c>
      <c r="Q21" s="123" t="n">
        <f aca="false">IF(Q$5&lt;=LastHist,0,INDEX(MW_Avg,1,12)*INDEX(MW_OwnSh,1,12)*OM_MW/4)</f>
        <v>9.14976273939809</v>
      </c>
      <c r="R21" s="123" t="n">
        <f aca="false">IF(R$5&lt;=LastHist,0,INDEX(MW_Avg,1,13)*INDEX(MW_OwnSh,1,13)*OM_MW/4)</f>
        <v>9.5667101945245</v>
      </c>
      <c r="S21" s="123" t="n">
        <f aca="false">IF(S$5&lt;=LastHist,0,INDEX(MW_Avg,1,14)*INDEX(MW_OwnSh,1,14)*OM_MW/4)</f>
        <v>13.2875619152449</v>
      </c>
      <c r="T21" s="123" t="n">
        <f aca="false">IF(T$5&lt;=LastHist,0,INDEX(MW_Avg,1,15)*INDEX(MW_OwnSh,1,15)*OM_MW/4)</f>
        <v>24.0989545288532</v>
      </c>
      <c r="U21" s="123" t="n">
        <f aca="false">IF(U$5&lt;=LastHist,0,INDEX(MW_Avg,1,16)*INDEX(MW_OwnSh,1,16)*OM_MW/4)</f>
        <v>41.6203421052632</v>
      </c>
      <c r="V21" s="123" t="n">
        <f aca="false">IF(V$5&lt;=LastHist,0,INDEX(MW_Avg,1,17)*INDEX(MW_OwnSh,1,17)*OM_MW/4)</f>
        <v>62.1756744604317</v>
      </c>
      <c r="W21" s="123" t="n">
        <f aca="false">IF(W$5&lt;=LastHist,0,INDEX(MW_Avg,1,18)*INDEX(MW_OwnSh,1,18)*OM_MW/4)</f>
        <v>90.2422950563204</v>
      </c>
      <c r="X21" s="123" t="n">
        <f aca="false">IF(X$5&lt;=LastHist,0,INDEX(MW_Avg,1,19)*INDEX(MW_OwnSh,1,19)*OM_MW/4)</f>
        <v>100.449447770438</v>
      </c>
      <c r="Y21" s="123" t="n">
        <f aca="false">IF(Y$5&lt;=LastHist,0,INDEX(MW_Avg,1,20)*INDEX(MW_OwnSh,1,20)*OM_MW/4)</f>
        <v>126.081901803119</v>
      </c>
      <c r="Z21" s="123" t="n">
        <f aca="false">IF(Z$5&lt;=LastHist,0,INDEX(MW_Avg,1,21)*INDEX(MW_OwnSh,1,21)*OM_MW/4)</f>
        <v>143.899244639376</v>
      </c>
      <c r="AA21" s="123" t="n">
        <f aca="false">IF(AA$5&lt;=LastHist,0,INDEX(MW_Avg,1,22)*INDEX(MW_OwnSh,1,22)*OM_MW/4)</f>
        <v>183.9105</v>
      </c>
      <c r="AB21" s="123" t="n">
        <f aca="false">IF(AB$5&lt;=LastHist,0,INDEX(MW_Avg,1,23)*INDEX(MW_OwnSh,1,23)*OM_MW/4)</f>
        <v>203.9865</v>
      </c>
      <c r="AC21" s="123" t="n">
        <f aca="false">IF(AC$5&lt;=LastHist,0,INDEX(MW_Avg,1,24)*INDEX(MW_OwnSh,1,24)*OM_MW/4)</f>
        <v>249.529849551857</v>
      </c>
      <c r="AD21" s="123" t="n">
        <f aca="false">IF(AD$5&lt;=LastHist,0,INDEX(MW_Avg,1,25)*INDEX(MW_OwnSh,1,25)*OM_MW/4)</f>
        <v>280.671174775928</v>
      </c>
      <c r="AE21" s="123" t="n">
        <f aca="false">IF(AE$5&lt;=LastHist,0,INDEX(MW_Avg,1,26)*INDEX(MW_OwnSh,1,26)*OM_MW/4)</f>
        <v>311.8125</v>
      </c>
      <c r="AF21" s="123" t="n">
        <f aca="false">IF(AF$5&lt;=LastHist,0,INDEX(MW_Avg,1,27)*INDEX(MW_OwnSh,1,27)*OM_MW/4)</f>
        <v>311.8125</v>
      </c>
      <c r="AG21" s="123" t="n">
        <f aca="false">IF(AG$5&lt;=LastHist,0,INDEX(MW_Avg,1,28)*INDEX(MW_OwnSh,1,28)*OM_MW/4)</f>
        <v>332.736509989297</v>
      </c>
      <c r="AI21" s="123" t="n">
        <f aca="false">SUMIF($F$7:$AG$7,AI$7,$F21:$AG21)</f>
        <v>0</v>
      </c>
      <c r="AJ21" s="123" t="n">
        <f aca="false">SUMIF($F$7:$AG$7,AJ$7,$F21:$AG21)</f>
        <v>0</v>
      </c>
      <c r="AK21" s="123" t="n">
        <f aca="false">SUMIF($F$7:$AG$7,AK$7,$F21:$AG21)</f>
        <v>20.8741603297595</v>
      </c>
      <c r="AL21" s="123" t="n">
        <f aca="false">SUMIF($F$7:$AG$7,AL$7,$F21:$AG21)</f>
        <v>88.5735687438857</v>
      </c>
      <c r="AM21" s="123" t="n">
        <f aca="false">SUMIF($F$7:$AG$7,AM$7,$F21:$AG21)</f>
        <v>378.949319090309</v>
      </c>
      <c r="AN21" s="123" t="n">
        <f aca="false">SUMIF($F$7:$AG$7,AN$7,$F21:$AG21)</f>
        <v>781.326094191233</v>
      </c>
      <c r="AO21" s="123" t="n">
        <f aca="false">SUMIF($F$7:$AG$7,AO$7,$F21:$AG21)</f>
        <v>1237.03268476523</v>
      </c>
    </row>
    <row r="22" customFormat="false" ht="15" hidden="false" customHeight="false" outlineLevel="0" collapsed="false">
      <c r="A22" s="3" t="s">
        <v>2166</v>
      </c>
      <c r="B22" s="20" t="s">
        <v>561</v>
      </c>
      <c r="C22" s="20" t="s">
        <v>495</v>
      </c>
      <c r="D22" s="20"/>
      <c r="F22" s="124" t="n">
        <f aca="false">IF(F$5&lt;=LastHist,INDEX(H_COR,1,F$5),F16+F17+F18+F19+F20+F21)</f>
        <v>9.1</v>
      </c>
      <c r="G22" s="124" t="n">
        <f aca="false">IF(G$5&lt;=LastHist,INDEX(H_COR,1,G$5),G16+G17+G18+G19+G20+G21)</f>
        <v>8.1</v>
      </c>
      <c r="H22" s="124" t="n">
        <f aca="false">IF(H$5&lt;=LastHist,INDEX(H_COR,1,H$5),H16+H17+H18+H19+H20+H21)</f>
        <v>9.9</v>
      </c>
      <c r="I22" s="124" t="n">
        <f aca="false">IF(I$5&lt;=LastHist,INDEX(H_COR,1,I$5),I16+I17+I18+I19+I20+I21)</f>
        <v>21.1</v>
      </c>
      <c r="J22" s="124" t="n">
        <f aca="false">IF(J$5&lt;=LastHist,INDEX(H_COR,1,J$5),J16+J17+J18+J19+J20+J21)</f>
        <v>24.7</v>
      </c>
      <c r="K22" s="124" t="n">
        <f aca="false">IF(K$5&lt;=LastHist,INDEX(H_COR,1,K$5),K16+K17+K18+K19+K20+K21)</f>
        <v>30.1</v>
      </c>
      <c r="L22" s="124" t="n">
        <f aca="false">IF(L$5&lt;=LastHist,INDEX(H_COR,1,L$5),L16+L17+L18+L19+L20+L21)</f>
        <v>42.9</v>
      </c>
      <c r="M22" s="124" t="n">
        <f aca="false">IF(M$5&lt;=LastHist,INDEX(H_COR,1,M$5),M16+M17+M18+M19+M20+M21)</f>
        <v>68.5</v>
      </c>
      <c r="N22" s="124" t="n">
        <f aca="false">IF(N$5&lt;=LastHist,INDEX(H_COR,1,N$5),N16+N17+N18+N19+N20+N21)</f>
        <v>103.8</v>
      </c>
      <c r="O22" s="124" t="n">
        <f aca="false">IF(O$5&lt;=LastHist,INDEX(H_COR,1,O$5),O16+O17+O18+O19+O20+O21)</f>
        <v>133.6</v>
      </c>
      <c r="P22" s="96" t="n">
        <f aca="false">IF(P$5&lt;=LastHist,INDEX(H_COR,1,P$5),P16+P17+P18+P19+P20+P21)</f>
        <v>164.216184022238</v>
      </c>
      <c r="Q22" s="96" t="n">
        <f aca="false">IF(Q$5&lt;=LastHist,INDEX(H_COR,1,Q$5),Q16+Q17+Q18+Q19+Q20+Q21)</f>
        <v>199.176481517744</v>
      </c>
      <c r="R22" s="96" t="n">
        <f aca="false">IF(R$5&lt;=LastHist,INDEX(H_COR,1,R$5),R16+R17+R18+R19+R20+R21)</f>
        <v>268.359990879689</v>
      </c>
      <c r="S22" s="96" t="n">
        <f aca="false">IF(S$5&lt;=LastHist,INDEX(H_COR,1,S$5),S16+S17+S18+S19+S20+S21)</f>
        <v>385.458070555058</v>
      </c>
      <c r="T22" s="96" t="n">
        <f aca="false">IF(T$5&lt;=LastHist,INDEX(H_COR,1,T$5),T16+T17+T18+T19+T20+T21)</f>
        <v>511.632612666249</v>
      </c>
      <c r="U22" s="96" t="n">
        <f aca="false">IF(U$5&lt;=LastHist,INDEX(H_COR,1,U$5),U16+U17+U18+U19+U20+U21)</f>
        <v>624.299127480672</v>
      </c>
      <c r="V22" s="96" t="n">
        <f aca="false">IF(V$5&lt;=LastHist,INDEX(H_COR,1,V$5),V16+V17+V18+V19+V20+V21)</f>
        <v>807.557872560378</v>
      </c>
      <c r="W22" s="96" t="n">
        <f aca="false">IF(W$5&lt;=LastHist,INDEX(H_COR,1,W$5),W16+W17+W18+W19+W20+W21)</f>
        <v>936.265581961937</v>
      </c>
      <c r="X22" s="96" t="n">
        <f aca="false">IF(X$5&lt;=LastHist,INDEX(H_COR,1,X$5),X16+X17+X18+X19+X20+X21)</f>
        <v>1053.25091885178</v>
      </c>
      <c r="Y22" s="96" t="n">
        <f aca="false">IF(Y$5&lt;=LastHist,INDEX(H_COR,1,Y$5),Y16+Y17+Y18+Y19+Y20+Y21)</f>
        <v>1078.31922176122</v>
      </c>
      <c r="Z22" s="96" t="n">
        <f aca="false">IF(Z$5&lt;=LastHist,INDEX(H_COR,1,Z$5),Z16+Z17+Z18+Z19+Z20+Z21)</f>
        <v>1222.15680686317</v>
      </c>
      <c r="AA22" s="96" t="n">
        <f aca="false">IF(AA$5&lt;=LastHist,INDEX(H_COR,1,AA$5),AA16+AA17+AA18+AA19+AA20+AA21)</f>
        <v>1304.79791659934</v>
      </c>
      <c r="AB22" s="96" t="n">
        <f aca="false">IF(AB$5&lt;=LastHist,INDEX(H_COR,1,AB$5),AB16+AB17+AB18+AB19+AB20+AB21)</f>
        <v>1444.45842106297</v>
      </c>
      <c r="AC22" s="96" t="n">
        <f aca="false">IF(AC$5&lt;=LastHist,INDEX(H_COR,1,AC$5),AC16+AC17+AC18+AC19+AC20+AC21)</f>
        <v>1512.56241016033</v>
      </c>
      <c r="AD22" s="96" t="n">
        <f aca="false">IF(AD$5&lt;=LastHist,INDEX(H_COR,1,AD$5),AD16+AD17+AD18+AD19+AD20+AD21)</f>
        <v>1687.23481079478</v>
      </c>
      <c r="AE22" s="96" t="n">
        <f aca="false">IF(AE$5&lt;=LastHist,INDEX(H_COR,1,AE$5),AE16+AE17+AE18+AE19+AE20+AE21)</f>
        <v>1873.03462731043</v>
      </c>
      <c r="AF22" s="96" t="n">
        <f aca="false">IF(AF$5&lt;=LastHist,INDEX(H_COR,1,AF$5),AF16+AF17+AF18+AF19+AF20+AF21)</f>
        <v>1874.81788862405</v>
      </c>
      <c r="AG22" s="96" t="n">
        <f aca="false">IF(AG$5&lt;=LastHist,INDEX(H_COR,1,AG$5),AG16+AG17+AG18+AG19+AG20+AG21)</f>
        <v>1819.54940823816</v>
      </c>
      <c r="AI22" s="96" t="n">
        <f aca="false">SUMIF($F$7:$AG$7,AI$7,$F22:$AG22)</f>
        <v>48.2</v>
      </c>
      <c r="AJ22" s="96" t="n">
        <f aca="false">SUMIF($F$7:$AG$7,AJ$7,$F22:$AG22)</f>
        <v>166.2</v>
      </c>
      <c r="AK22" s="96" t="n">
        <f aca="false">SUMIF($F$7:$AG$7,AK$7,$F22:$AG22)</f>
        <v>600.792665539982</v>
      </c>
      <c r="AL22" s="96" t="n">
        <f aca="false">SUMIF($F$7:$AG$7,AL$7,$F22:$AG22)</f>
        <v>1789.74980158167</v>
      </c>
      <c r="AM22" s="96" t="n">
        <f aca="false">SUMIF($F$7:$AG$7,AM$7,$F22:$AG22)</f>
        <v>3875.39359513531</v>
      </c>
      <c r="AN22" s="96" t="n">
        <f aca="false">SUMIF($F$7:$AG$7,AN$7,$F22:$AG22)</f>
        <v>5483.97555468581</v>
      </c>
      <c r="AO22" s="96" t="n">
        <f aca="false">SUMIF($F$7:$AG$7,AO$7,$F22:$AG22)</f>
        <v>7254.63673496743</v>
      </c>
    </row>
    <row r="23" customFormat="false" ht="15" hidden="false" customHeight="false" outlineLevel="0" collapsed="false">
      <c r="A23" s="104" t="s">
        <v>2167</v>
      </c>
      <c r="B23" s="20" t="s">
        <v>561</v>
      </c>
      <c r="C23" s="20" t="s">
        <v>495</v>
      </c>
      <c r="D23" s="20"/>
      <c r="F23" s="122" t="n">
        <f aca="false">IF(F$5&lt;=LastHist,INDEX(H_PD,1,F$5),IF(AND(OpexHold=1,F$7&gt;2028),INDEX(PDpct,1,2028-FYBase),INDEX(PDpct,1,F$7-FYBase))*F11)</f>
        <v>29</v>
      </c>
      <c r="G23" s="122" t="n">
        <f aca="false">IF(G$5&lt;=LastHist,INDEX(H_PD,1,G$5),IF(AND(OpexHold=1,G$7&gt;2028),INDEX(PDpct,1,2028-FYBase),INDEX(PDpct,1,G$7-FYBase))*G11)</f>
        <v>25.6</v>
      </c>
      <c r="H23" s="122" t="n">
        <f aca="false">IF(H$5&lt;=LastHist,INDEX(H_PD,1,H$5),IF(AND(OpexHold=1,H$7&gt;2028),INDEX(PDpct,1,2028-FYBase),INDEX(PDpct,1,H$7-FYBase))*H11)</f>
        <v>31.4</v>
      </c>
      <c r="I23" s="122" t="n">
        <f aca="false">IF(I$5&lt;=LastHist,INDEX(H_PD,1,I$5),IF(AND(OpexHold=1,I$7&gt;2028),INDEX(PDpct,1,2028-FYBase),INDEX(PDpct,1,I$7-FYBase))*I11)</f>
        <v>31.9</v>
      </c>
      <c r="J23" s="122" t="n">
        <f aca="false">IF(J$5&lt;=LastHist,INDEX(H_PD,1,J$5),IF(AND(OpexHold=1,J$7&gt;2028),INDEX(PDpct,1,2028-FYBase),INDEX(PDpct,1,J$7-FYBase))*J11)</f>
        <v>36.5</v>
      </c>
      <c r="K23" s="122" t="n">
        <f aca="false">IF(K$5&lt;=LastHist,INDEX(H_PD,1,K$5),IF(AND(OpexHold=1,K$7&gt;2028),INDEX(PDpct,1,2028-FYBase),INDEX(PDpct,1,K$7-FYBase))*K11)</f>
        <v>42.8</v>
      </c>
      <c r="L23" s="122" t="n">
        <f aca="false">IF(L$5&lt;=LastHist,INDEX(H_PD,1,L$5),IF(AND(OpexHold=1,L$7&gt;2028),INDEX(PDpct,1,2028-FYBase),INDEX(PDpct,1,L$7-FYBase))*L11)</f>
        <v>44.9</v>
      </c>
      <c r="M23" s="122" t="n">
        <f aca="false">IF(M$5&lt;=LastHist,INDEX(H_PD,1,M$5),IF(AND(OpexHold=1,M$7&gt;2028),INDEX(PDpct,1,2028-FYBase),INDEX(PDpct,1,M$7-FYBase))*M11)</f>
        <v>53.1</v>
      </c>
      <c r="N23" s="122" t="n">
        <f aca="false">IF(N$5&lt;=LastHist,INDEX(H_PD,1,N$5),IF(AND(OpexHold=1,N$7&gt;2028),INDEX(PDpct,1,2028-FYBase),INDEX(PDpct,1,N$7-FYBase))*N11)</f>
        <v>67.4</v>
      </c>
      <c r="O23" s="122" t="n">
        <f aca="false">IF(O$5&lt;=LastHist,INDEX(H_PD,1,O$5),IF(AND(OpexHold=1,O$7&gt;2028),INDEX(PDpct,1,2028-FYBase),INDEX(PDpct,1,O$7-FYBase))*O11)</f>
        <v>191</v>
      </c>
      <c r="P23" s="123" t="n">
        <f aca="false">IF(P$5&lt;=LastHist,INDEX(H_PD,1,P$5),IF(AND(OpexHold=1,P$7&gt;2028),INDEX(PDpct,1,2028-FYBase),INDEX(PDpct,1,P$7-FYBase))*P11)</f>
        <v>71.9051710588418</v>
      </c>
      <c r="Q23" s="123" t="n">
        <f aca="false">IF(Q$5&lt;=LastHist,INDEX(H_PD,1,Q$5),IF(AND(OpexHold=1,Q$7&gt;2028),INDEX(PDpct,1,2028-FYBase),INDEX(PDpct,1,Q$7-FYBase))*Q11)</f>
        <v>86.7267459686631</v>
      </c>
      <c r="R23" s="123" t="n">
        <f aca="false">IF(R$5&lt;=LastHist,INDEX(H_PD,1,R$5),IF(AND(OpexHold=1,R$7&gt;2028),INDEX(PDpct,1,2028-FYBase),INDEX(PDpct,1,R$7-FYBase))*R11)</f>
        <v>95.3449502469473</v>
      </c>
      <c r="S23" s="123" t="n">
        <f aca="false">IF(S$5&lt;=LastHist,INDEX(H_PD,1,S$5),IF(AND(OpexHold=1,S$7&gt;2028),INDEX(PDpct,1,2028-FYBase),INDEX(PDpct,1,S$7-FYBase))*S11)</f>
        <v>140.154856232972</v>
      </c>
      <c r="T23" s="123" t="n">
        <f aca="false">IF(T$5&lt;=LastHist,INDEX(H_PD,1,T$5),IF(AND(OpexHold=1,T$7&gt;2028),INDEX(PDpct,1,2028-FYBase),INDEX(PDpct,1,T$7-FYBase))*T11)</f>
        <v>195.370378305893</v>
      </c>
      <c r="U23" s="123" t="n">
        <f aca="false">IF(U$5&lt;=LastHist,INDEX(H_PD,1,U$5),IF(AND(OpexHold=1,U$7&gt;2028),INDEX(PDpct,1,2028-FYBase),INDEX(PDpct,1,U$7-FYBase))*U11)</f>
        <v>255.084376155219</v>
      </c>
      <c r="V23" s="123" t="n">
        <f aca="false">IF(V$5&lt;=LastHist,INDEX(H_PD,1,V$5),IF(AND(OpexHold=1,V$7&gt;2028),INDEX(PDpct,1,2028-FYBase),INDEX(PDpct,1,V$7-FYBase))*V11)</f>
        <v>307.582194768753</v>
      </c>
      <c r="W23" s="123" t="n">
        <f aca="false">IF(W$5&lt;=LastHist,INDEX(H_PD,1,W$5),IF(AND(OpexHold=1,W$7&gt;2028),INDEX(PDpct,1,2028-FYBase),INDEX(PDpct,1,W$7-FYBase))*W11)</f>
        <v>377.749399489091</v>
      </c>
      <c r="X23" s="123" t="n">
        <f aca="false">IF(X$5&lt;=LastHist,INDEX(H_PD,1,X$5),IF(AND(OpexHold=1,X$7&gt;2028),INDEX(PDpct,1,2028-FYBase),INDEX(PDpct,1,X$7-FYBase))*X11)</f>
        <v>425.422300293972</v>
      </c>
      <c r="Y23" s="123" t="n">
        <f aca="false">IF(Y$5&lt;=LastHist,INDEX(H_PD,1,Y$5),IF(AND(OpexHold=1,Y$7&gt;2028),INDEX(PDpct,1,2028-FYBase),INDEX(PDpct,1,Y$7-FYBase))*Y11)</f>
        <v>457.797677293065</v>
      </c>
      <c r="Z23" s="123" t="n">
        <f aca="false">IF(Z$5&lt;=LastHist,INDEX(H_PD,1,Z$5),IF(AND(OpexHold=1,Z$7&gt;2028),INDEX(PDpct,1,2028-FYBase),INDEX(PDpct,1,Z$7-FYBase))*Z11)</f>
        <v>457.763955391698</v>
      </c>
      <c r="AA23" s="123" t="n">
        <f aca="false">IF(AA$5&lt;=LastHist,INDEX(H_PD,1,AA$5),IF(AND(OpexHold=1,AA$7&gt;2028),INDEX(PDpct,1,2028-FYBase),INDEX(PDpct,1,AA$7-FYBase))*AA11)</f>
        <v>514.292877699234</v>
      </c>
      <c r="AB23" s="123" t="n">
        <f aca="false">IF(AB$5&lt;=LastHist,INDEX(H_PD,1,AB$5),IF(AND(OpexHold=1,AB$7&gt;2028),INDEX(PDpct,1,2028-FYBase),INDEX(PDpct,1,AB$7-FYBase))*AB11)</f>
        <v>568.642632906795</v>
      </c>
      <c r="AC23" s="123" t="n">
        <f aca="false">IF(AC$5&lt;=LastHist,INDEX(H_PD,1,AC$5),IF(AND(OpexHold=1,AC$7&gt;2028),INDEX(PDpct,1,2028-FYBase),INDEX(PDpct,1,AC$7-FYBase))*AC11)</f>
        <v>623.945433332587</v>
      </c>
      <c r="AD23" s="123" t="n">
        <f aca="false">IF(AD$5&lt;=LastHist,INDEX(H_PD,1,AD$5),IF(AND(OpexHold=1,AD$7&gt;2028),INDEX(PDpct,1,2028-FYBase),INDEX(PDpct,1,AD$7-FYBase))*AD11)</f>
        <v>598.568166428584</v>
      </c>
      <c r="AE23" s="123" t="n">
        <f aca="false">IF(AE$5&lt;=LastHist,INDEX(H_PD,1,AE$5),IF(AND(OpexHold=1,AE$7&gt;2028),INDEX(PDpct,1,2028-FYBase),INDEX(PDpct,1,AE$7-FYBase))*AE11)</f>
        <v>663.781977310434</v>
      </c>
      <c r="AF23" s="123" t="n">
        <f aca="false">IF(AF$5&lt;=LastHist,INDEX(H_PD,1,AF$5),IF(AND(OpexHold=1,AF$7&gt;2028),INDEX(PDpct,1,2028-FYBase),INDEX(PDpct,1,AF$7-FYBase))*AF11)</f>
        <v>661.779838624053</v>
      </c>
      <c r="AG23" s="123" t="n">
        <f aca="false">IF(AG$5&lt;=LastHist,INDEX(H_PD,1,AG$5),IF(AND(OpexHold=1,AG$7&gt;2028),INDEX(PDpct,1,2028-FYBase),INDEX(PDpct,1,AG$7-FYBase))*AG11)</f>
        <v>668.803052375394</v>
      </c>
      <c r="AI23" s="123" t="n">
        <f aca="false">SUMIF($F$7:$AG$7,AI$7,$F23:$AG23)</f>
        <v>117.9</v>
      </c>
      <c r="AJ23" s="123" t="n">
        <f aca="false">SUMIF($F$7:$AG$7,AJ$7,$F23:$AG23)</f>
        <v>177.3</v>
      </c>
      <c r="AK23" s="123" t="n">
        <f aca="false">SUMIF($F$7:$AG$7,AK$7,$F23:$AG23)</f>
        <v>417.031917027505</v>
      </c>
      <c r="AL23" s="123" t="n">
        <f aca="false">SUMIF($F$7:$AG$7,AL$7,$F23:$AG23)</f>
        <v>685.95456094103</v>
      </c>
      <c r="AM23" s="123" t="n">
        <f aca="false">SUMIF($F$7:$AG$7,AM$7,$F23:$AG23)</f>
        <v>1568.55157184488</v>
      </c>
      <c r="AN23" s="123" t="n">
        <f aca="false">SUMIF($F$7:$AG$7,AN$7,$F23:$AG23)</f>
        <v>2164.64489933031</v>
      </c>
      <c r="AO23" s="123" t="n">
        <f aca="false">SUMIF($F$7:$AG$7,AO$7,$F23:$AG23)</f>
        <v>2592.93303473847</v>
      </c>
    </row>
    <row r="24" customFormat="false" ht="15" hidden="false" customHeight="false" outlineLevel="0" collapsed="false">
      <c r="A24" s="104" t="s">
        <v>2168</v>
      </c>
      <c r="B24" s="20" t="s">
        <v>561</v>
      </c>
      <c r="C24" s="20" t="s">
        <v>495</v>
      </c>
      <c r="D24" s="20"/>
      <c r="F24" s="122" t="n">
        <f aca="false">IF(F$5&lt;=LastHist,INDEX(H_SGA,1,F$5),IF(AND(OpexHold=1,F$7&gt;2028),INDEX(SGApct,1,2028-FYBase),INDEX(SGApct,1,F$7-FYBase))*F11)</f>
        <v>44.2</v>
      </c>
      <c r="G24" s="122" t="n">
        <f aca="false">IF(G$5&lt;=LastHist,INDEX(H_SGA,1,G$5),IF(AND(OpexHold=1,G$7&gt;2028),INDEX(SGApct,1,2028-FYBase),INDEX(SGApct,1,G$7-FYBase))*G11)</f>
        <v>39</v>
      </c>
      <c r="H24" s="122" t="n">
        <f aca="false">IF(H$5&lt;=LastHist,INDEX(H_SGA,1,H$5),IF(AND(OpexHold=1,H$7&gt;2028),INDEX(SGApct,1,2028-FYBase),INDEX(SGApct,1,H$7-FYBase))*H11)</f>
        <v>47.9</v>
      </c>
      <c r="I24" s="122" t="n">
        <f aca="false">IF(I$5&lt;=LastHist,INDEX(H_SGA,1,I$5),IF(AND(OpexHold=1,I$7&gt;2028),INDEX(SGApct,1,2028-FYBase),INDEX(SGApct,1,I$7-FYBase))*I11)</f>
        <v>85.4</v>
      </c>
      <c r="J24" s="122" t="n">
        <f aca="false">IF(J$5&lt;=LastHist,INDEX(H_SGA,1,J$5),IF(AND(OpexHold=1,J$7&gt;2028),INDEX(SGApct,1,2028-FYBase),INDEX(SGApct,1,J$7-FYBase))*J11)</f>
        <v>60.9</v>
      </c>
      <c r="K24" s="122" t="n">
        <f aca="false">IF(K$5&lt;=LastHist,INDEX(H_SGA,1,K$5),IF(AND(OpexHold=1,K$7&gt;2028),INDEX(SGApct,1,2028-FYBase),INDEX(SGApct,1,K$7-FYBase))*K11)</f>
        <v>68.2</v>
      </c>
      <c r="L24" s="122" t="n">
        <f aca="false">IF(L$5&lt;=LastHist,INDEX(H_SGA,1,L$5),IF(AND(OpexHold=1,L$7&gt;2028),INDEX(SGApct,1,2028-FYBase),INDEX(SGApct,1,L$7-FYBase))*L11)</f>
        <v>89.5</v>
      </c>
      <c r="M24" s="122" t="n">
        <f aca="false">IF(M$5&lt;=LastHist,INDEX(H_SGA,1,M$5),IF(AND(OpexHold=1,M$7&gt;2028),INDEX(SGApct,1,2028-FYBase),INDEX(SGApct,1,M$7-FYBase))*M11)</f>
        <v>159.9</v>
      </c>
      <c r="N24" s="122" t="n">
        <f aca="false">IF(N$5&lt;=LastHist,INDEX(H_SGA,1,N$5),IF(AND(OpexHold=1,N$7&gt;2028),INDEX(SGApct,1,2028-FYBase),INDEX(SGApct,1,N$7-FYBase))*N11)</f>
        <v>143.8</v>
      </c>
      <c r="O24" s="122" t="n">
        <f aca="false">IF(O$5&lt;=LastHist,INDEX(H_SGA,1,O$5),IF(AND(OpexHold=1,O$7&gt;2028),INDEX(SGApct,1,2028-FYBase),INDEX(SGApct,1,O$7-FYBase))*O11)</f>
        <v>173.9</v>
      </c>
      <c r="P24" s="123" t="n">
        <f aca="false">IF(P$5&lt;=LastHist,INDEX(H_SGA,1,P$5),IF(AND(OpexHold=1,P$7&gt;2028),INDEX(SGApct,1,2028-FYBase),INDEX(SGApct,1,P$7-FYBase))*P11)</f>
        <v>143.810342117684</v>
      </c>
      <c r="Q24" s="123" t="n">
        <f aca="false">IF(Q$5&lt;=LastHist,INDEX(H_SGA,1,Q$5),IF(AND(OpexHold=1,Q$7&gt;2028),INDEX(SGApct,1,2028-FYBase),INDEX(SGApct,1,Q$7-FYBase))*Q11)</f>
        <v>173.453491937326</v>
      </c>
      <c r="R24" s="123" t="n">
        <f aca="false">IF(R$5&lt;=LastHist,INDEX(H_SGA,1,R$5),IF(AND(OpexHold=1,R$7&gt;2028),INDEX(SGApct,1,2028-FYBase),INDEX(SGApct,1,R$7-FYBase))*R11)</f>
        <v>148.314367050807</v>
      </c>
      <c r="S24" s="123" t="n">
        <f aca="false">IF(S$5&lt;=LastHist,INDEX(H_SGA,1,S$5),IF(AND(OpexHold=1,S$7&gt;2028),INDEX(SGApct,1,2028-FYBase),INDEX(SGApct,1,S$7-FYBase))*S11)</f>
        <v>218.018665251289</v>
      </c>
      <c r="T24" s="123" t="n">
        <f aca="false">IF(T$5&lt;=LastHist,INDEX(H_SGA,1,T$5),IF(AND(OpexHold=1,T$7&gt;2028),INDEX(SGApct,1,2028-FYBase),INDEX(SGApct,1,T$7-FYBase))*T11)</f>
        <v>303.909477364722</v>
      </c>
      <c r="U24" s="123" t="n">
        <f aca="false">IF(U$5&lt;=LastHist,INDEX(H_SGA,1,U$5),IF(AND(OpexHold=1,U$7&gt;2028),INDEX(SGApct,1,2028-FYBase),INDEX(SGApct,1,U$7-FYBase))*U11)</f>
        <v>396.797918463674</v>
      </c>
      <c r="V24" s="123" t="n">
        <f aca="false">IF(V$5&lt;=LastHist,INDEX(H_SGA,1,V$5),IF(AND(OpexHold=1,V$7&gt;2028),INDEX(SGApct,1,2028-FYBase),INDEX(SGApct,1,V$7-FYBase))*V11)</f>
        <v>384.477743460942</v>
      </c>
      <c r="W24" s="123" t="n">
        <f aca="false">IF(W$5&lt;=LastHist,INDEX(H_SGA,1,W$5),IF(AND(OpexHold=1,W$7&gt;2028),INDEX(SGApct,1,2028-FYBase),INDEX(SGApct,1,W$7-FYBase))*W11)</f>
        <v>472.186749361364</v>
      </c>
      <c r="X24" s="123" t="n">
        <f aca="false">IF(X$5&lt;=LastHist,INDEX(H_SGA,1,X$5),IF(AND(OpexHold=1,X$7&gt;2028),INDEX(SGApct,1,2028-FYBase),INDEX(SGApct,1,X$7-FYBase))*X11)</f>
        <v>531.777875367465</v>
      </c>
      <c r="Y24" s="123" t="n">
        <f aca="false">IF(Y$5&lt;=LastHist,INDEX(H_SGA,1,Y$5),IF(AND(OpexHold=1,Y$7&gt;2028),INDEX(SGApct,1,2028-FYBase),INDEX(SGApct,1,Y$7-FYBase))*Y11)</f>
        <v>572.247096616332</v>
      </c>
      <c r="Z24" s="123" t="n">
        <f aca="false">IF(Z$5&lt;=LastHist,INDEX(H_SGA,1,Z$5),IF(AND(OpexHold=1,Z$7&gt;2028),INDEX(SGApct,1,2028-FYBase),INDEX(SGApct,1,Z$7-FYBase))*Z11)</f>
        <v>523.15880616194</v>
      </c>
      <c r="AA24" s="123" t="n">
        <f aca="false">IF(AA$5&lt;=LastHist,INDEX(H_SGA,1,AA$5),IF(AND(OpexHold=1,AA$7&gt;2028),INDEX(SGApct,1,2028-FYBase),INDEX(SGApct,1,AA$7-FYBase))*AA11)</f>
        <v>587.763288799124</v>
      </c>
      <c r="AB24" s="123" t="n">
        <f aca="false">IF(AB$5&lt;=LastHist,INDEX(H_SGA,1,AB$5),IF(AND(OpexHold=1,AB$7&gt;2028),INDEX(SGApct,1,2028-FYBase),INDEX(SGApct,1,AB$7-FYBase))*AB11)</f>
        <v>649.877294750623</v>
      </c>
      <c r="AC24" s="123" t="n">
        <f aca="false">IF(AC$5&lt;=LastHist,INDEX(H_SGA,1,AC$5),IF(AND(OpexHold=1,AC$7&gt;2028),INDEX(SGApct,1,2028-FYBase),INDEX(SGApct,1,AC$7-FYBase))*AC11)</f>
        <v>713.080495237242</v>
      </c>
      <c r="AD24" s="123" t="n">
        <f aca="false">IF(AD$5&lt;=LastHist,INDEX(H_SGA,1,AD$5),IF(AND(OpexHold=1,AD$7&gt;2028),INDEX(SGApct,1,2028-FYBase),INDEX(SGApct,1,AD$7-FYBase))*AD11)</f>
        <v>698.329527500015</v>
      </c>
      <c r="AE24" s="123" t="n">
        <f aca="false">IF(AE$5&lt;=LastHist,INDEX(H_SGA,1,AE$5),IF(AND(OpexHold=1,AE$7&gt;2028),INDEX(SGApct,1,2028-FYBase),INDEX(SGApct,1,AE$7-FYBase))*AE11)</f>
        <v>774.412306862173</v>
      </c>
      <c r="AF24" s="123" t="n">
        <f aca="false">IF(AF$5&lt;=LastHist,INDEX(H_SGA,1,AF$5),IF(AND(OpexHold=1,AF$7&gt;2028),INDEX(SGApct,1,2028-FYBase),INDEX(SGApct,1,AF$7-FYBase))*AF11)</f>
        <v>772.076478394729</v>
      </c>
      <c r="AG24" s="123" t="n">
        <f aca="false">IF(AG$5&lt;=LastHist,INDEX(H_SGA,1,AG$5),IF(AND(OpexHold=1,AG$7&gt;2028),INDEX(SGApct,1,2028-FYBase),INDEX(SGApct,1,AG$7-FYBase))*AG11)</f>
        <v>780.270227771293</v>
      </c>
      <c r="AI24" s="123" t="n">
        <f aca="false">SUMIF($F$7:$AG$7,AI$7,$F24:$AG24)</f>
        <v>216.5</v>
      </c>
      <c r="AJ24" s="123" t="n">
        <f aca="false">SUMIF($F$7:$AG$7,AJ$7,$F24:$AG24)</f>
        <v>378.5</v>
      </c>
      <c r="AK24" s="123" t="n">
        <f aca="false">SUMIF($F$7:$AG$7,AK$7,$F24:$AG24)</f>
        <v>634.96383405501</v>
      </c>
      <c r="AL24" s="123" t="n">
        <f aca="false">SUMIF($F$7:$AG$7,AL$7,$F24:$AG24)</f>
        <v>1067.04042813049</v>
      </c>
      <c r="AM24" s="123" t="n">
        <f aca="false">SUMIF($F$7:$AG$7,AM$7,$F24:$AG24)</f>
        <v>1960.6894648061</v>
      </c>
      <c r="AN24" s="123" t="n">
        <f aca="false">SUMIF($F$7:$AG$7,AN$7,$F24:$AG24)</f>
        <v>2473.87988494893</v>
      </c>
      <c r="AO24" s="123" t="n">
        <f aca="false">SUMIF($F$7:$AG$7,AO$7,$F24:$AG24)</f>
        <v>3025.08854052821</v>
      </c>
    </row>
    <row r="26" customFormat="false" ht="15" hidden="false" customHeight="false" outlineLevel="0" collapsed="false">
      <c r="A26" s="53" t="s">
        <v>2169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</row>
    <row r="27" customFormat="false" ht="15" hidden="false" customHeight="false" outlineLevel="0" collapsed="false">
      <c r="A27" s="104" t="s">
        <v>2170</v>
      </c>
      <c r="B27" s="20" t="s">
        <v>561</v>
      </c>
      <c r="C27" s="20" t="s">
        <v>546</v>
      </c>
      <c r="D27" s="20"/>
      <c r="F27" s="122" t="n">
        <f aca="false">IF(F$5&lt;=LastHist,0,PeerMarginOn*(F$7&gt;=PeerMarginYr)*MAX(0,F11-F22-F23-F24-MarginPeer*F11))</f>
        <v>0</v>
      </c>
      <c r="G27" s="122" t="n">
        <f aca="false">IF(G$5&lt;=LastHist,0,PeerMarginOn*(G$7&gt;=PeerMarginYr)*MAX(0,G11-G22-G23-G24-MarginPeer*G11))</f>
        <v>0</v>
      </c>
      <c r="H27" s="122" t="n">
        <f aca="false">IF(H$5&lt;=LastHist,0,PeerMarginOn*(H$7&gt;=PeerMarginYr)*MAX(0,H11-H22-H23-H24-MarginPeer*H11))</f>
        <v>0</v>
      </c>
      <c r="I27" s="122" t="n">
        <f aca="false">IF(I$5&lt;=LastHist,0,PeerMarginOn*(I$7&gt;=PeerMarginYr)*MAX(0,I11-I22-I23-I24-MarginPeer*I11))</f>
        <v>0</v>
      </c>
      <c r="J27" s="122" t="n">
        <f aca="false">IF(J$5&lt;=LastHist,0,PeerMarginOn*(J$7&gt;=PeerMarginYr)*MAX(0,J11-J22-J23-J24-MarginPeer*J11))</f>
        <v>0</v>
      </c>
      <c r="K27" s="122" t="n">
        <f aca="false">IF(K$5&lt;=LastHist,0,PeerMarginOn*(K$7&gt;=PeerMarginYr)*MAX(0,K11-K22-K23-K24-MarginPeer*K11))</f>
        <v>0</v>
      </c>
      <c r="L27" s="122" t="n">
        <f aca="false">IF(L$5&lt;=LastHist,0,PeerMarginOn*(L$7&gt;=PeerMarginYr)*MAX(0,L11-L22-L23-L24-MarginPeer*L11))</f>
        <v>0</v>
      </c>
      <c r="M27" s="122" t="n">
        <f aca="false">IF(M$5&lt;=LastHist,0,PeerMarginOn*(M$7&gt;=PeerMarginYr)*MAX(0,M11-M22-M23-M24-MarginPeer*M11))</f>
        <v>0</v>
      </c>
      <c r="N27" s="122" t="n">
        <f aca="false">IF(N$5&lt;=LastHist,0,PeerMarginOn*(N$7&gt;=PeerMarginYr)*MAX(0,N11-N22-N23-N24-MarginPeer*N11))</f>
        <v>0</v>
      </c>
      <c r="O27" s="122" t="n">
        <f aca="false">IF(O$5&lt;=LastHist,0,PeerMarginOn*(O$7&gt;=PeerMarginYr)*MAX(0,O11-O22-O23-O24-MarginPeer*O11))</f>
        <v>0</v>
      </c>
      <c r="P27" s="123" t="n">
        <f aca="false">IF(P$5&lt;=LastHist,0,PeerMarginOn*(P$7&gt;=PeerMarginYr)*MAX(0,P11-P22-P23-P24-MarginPeer*P11))</f>
        <v>0</v>
      </c>
      <c r="Q27" s="123" t="n">
        <f aca="false">IF(Q$5&lt;=LastHist,0,PeerMarginOn*(Q$7&gt;=PeerMarginYr)*MAX(0,Q11-Q22-Q23-Q24-MarginPeer*Q11))</f>
        <v>0</v>
      </c>
      <c r="R27" s="123" t="n">
        <f aca="false">IF(R$5&lt;=LastHist,0,PeerMarginOn*(R$7&gt;=PeerMarginYr)*MAX(0,R11-R22-R23-R24-MarginPeer*R11))</f>
        <v>0</v>
      </c>
      <c r="S27" s="123" t="n">
        <f aca="false">IF(S$5&lt;=LastHist,0,PeerMarginOn*(S$7&gt;=PeerMarginYr)*MAX(0,S11-S22-S23-S24-MarginPeer*S11))</f>
        <v>0</v>
      </c>
      <c r="T27" s="123" t="n">
        <f aca="false">IF(T$5&lt;=LastHist,0,PeerMarginOn*(T$7&gt;=PeerMarginYr)*MAX(0,T11-T22-T23-T24-MarginPeer*T11))</f>
        <v>0</v>
      </c>
      <c r="U27" s="123" t="n">
        <f aca="false">IF(U$5&lt;=LastHist,0,PeerMarginOn*(U$7&gt;=PeerMarginYr)*MAX(0,U11-U22-U23-U24-MarginPeer*U11))</f>
        <v>0</v>
      </c>
      <c r="V27" s="123" t="n">
        <f aca="false">IF(V$5&lt;=LastHist,0,PeerMarginOn*(V$7&gt;=PeerMarginYr)*MAX(0,V11-V22-V23-V24-MarginPeer*V11))</f>
        <v>0</v>
      </c>
      <c r="W27" s="123" t="n">
        <f aca="false">IF(W$5&lt;=LastHist,0,PeerMarginOn*(W$7&gt;=PeerMarginYr)*MAX(0,W11-W22-W23-W24-MarginPeer*W11))</f>
        <v>0</v>
      </c>
      <c r="X27" s="123" t="n">
        <f aca="false">IF(X$5&lt;=LastHist,0,PeerMarginOn*(X$7&gt;=PeerMarginYr)*MAX(0,X11-X22-X23-X24-MarginPeer*X11))</f>
        <v>0</v>
      </c>
      <c r="Y27" s="123" t="n">
        <f aca="false">IF(Y$5&lt;=LastHist,0,PeerMarginOn*(Y$7&gt;=PeerMarginYr)*MAX(0,Y11-Y22-Y23-Y24-MarginPeer*Y11))</f>
        <v>0</v>
      </c>
      <c r="Z27" s="123" t="n">
        <f aca="false">IF(Z$5&lt;=LastHist,0,PeerMarginOn*(Z$7&gt;=PeerMarginYr)*MAX(0,Z11-Z22-Z23-Z24-MarginPeer*Z11))</f>
        <v>0</v>
      </c>
      <c r="AA27" s="123" t="n">
        <f aca="false">IF(AA$5&lt;=LastHist,0,PeerMarginOn*(AA$7&gt;=PeerMarginYr)*MAX(0,AA11-AA22-AA23-AA24-MarginPeer*AA11))</f>
        <v>0</v>
      </c>
      <c r="AB27" s="123" t="n">
        <f aca="false">IF(AB$5&lt;=LastHist,0,PeerMarginOn*(AB$7&gt;=PeerMarginYr)*MAX(0,AB11-AB22-AB23-AB24-MarginPeer*AB11))</f>
        <v>0</v>
      </c>
      <c r="AC27" s="123" t="n">
        <f aca="false">IF(AC$5&lt;=LastHist,0,PeerMarginOn*(AC$7&gt;=PeerMarginYr)*MAX(0,AC11-AC22-AC23-AC24-MarginPeer*AC11))</f>
        <v>0</v>
      </c>
      <c r="AD27" s="123" t="n">
        <f aca="false">IF(AD$5&lt;=LastHist,0,PeerMarginOn*(AD$7&gt;=PeerMarginYr)*MAX(0,AD11-AD22-AD23-AD24-MarginPeer*AD11))</f>
        <v>0</v>
      </c>
      <c r="AE27" s="123" t="n">
        <f aca="false">IF(AE$5&lt;=LastHist,0,PeerMarginOn*(AE$7&gt;=PeerMarginYr)*MAX(0,AE11-AE22-AE23-AE24-MarginPeer*AE11))</f>
        <v>0</v>
      </c>
      <c r="AF27" s="123" t="n">
        <f aca="false">IF(AF$5&lt;=LastHist,0,PeerMarginOn*(AF$7&gt;=PeerMarginYr)*MAX(0,AF11-AF22-AF23-AF24-MarginPeer*AF11))</f>
        <v>0</v>
      </c>
      <c r="AG27" s="123" t="n">
        <f aca="false">IF(AG$5&lt;=LastHist,0,PeerMarginOn*(AG$7&gt;=PeerMarginYr)*MAX(0,AG11-AG22-AG23-AG24-MarginPeer*AG11))</f>
        <v>0</v>
      </c>
      <c r="AI27" s="123" t="n">
        <f aca="false">SUMIF($F$7:$AG$7,AI$7,$F27:$AG27)</f>
        <v>0</v>
      </c>
      <c r="AJ27" s="123" t="n">
        <f aca="false">SUMIF($F$7:$AG$7,AJ$7,$F27:$AG27)</f>
        <v>0</v>
      </c>
      <c r="AK27" s="123" t="n">
        <f aca="false">SUMIF($F$7:$AG$7,AK$7,$F27:$AG27)</f>
        <v>0</v>
      </c>
      <c r="AL27" s="123" t="n">
        <f aca="false">SUMIF($F$7:$AG$7,AL$7,$F27:$AG27)</f>
        <v>0</v>
      </c>
      <c r="AM27" s="123" t="n">
        <f aca="false">SUMIF($F$7:$AG$7,AM$7,$F27:$AG27)</f>
        <v>0</v>
      </c>
      <c r="AN27" s="123" t="n">
        <f aca="false">SUMIF($F$7:$AG$7,AN$7,$F27:$AG27)</f>
        <v>0</v>
      </c>
      <c r="AO27" s="123" t="n">
        <f aca="false">SUMIF($F$7:$AG$7,AO$7,$F27:$AG27)</f>
        <v>0</v>
      </c>
    </row>
    <row r="28" customFormat="false" ht="15" hidden="false" customHeight="false" outlineLevel="0" collapsed="false">
      <c r="A28" s="3" t="s">
        <v>2171</v>
      </c>
      <c r="B28" s="20" t="s">
        <v>561</v>
      </c>
      <c r="C28" s="20" t="s">
        <v>495</v>
      </c>
      <c r="D28" s="20" t="s">
        <v>2172</v>
      </c>
      <c r="F28" s="124" t="n">
        <f aca="false">IF(F$5&lt;=LastHist,INDEX(H_EBITDA,1,F$5),F11-F22-F23-F24-F27)</f>
        <v>-70.9</v>
      </c>
      <c r="G28" s="124" t="n">
        <f aca="false">IF(G$5&lt;=LastHist,INDEX(H_EBITDA,1,G$5),G11-G22-G23-G24-G27)</f>
        <v>-58.1</v>
      </c>
      <c r="H28" s="124" t="n">
        <f aca="false">IF(H$5&lt;=LastHist,INDEX(H_EBITDA,1,H$5),H11-H22-H23-H24-H27)</f>
        <v>-45.9</v>
      </c>
      <c r="I28" s="124" t="n">
        <f aca="false">IF(I$5&lt;=LastHist,INDEX(H_EBITDA,1,I$5),I11-I22-I23-I24-I27)</f>
        <v>-63.9</v>
      </c>
      <c r="J28" s="124" t="n">
        <f aca="false">IF(J$5&lt;=LastHist,INDEX(H_EBITDA,1,J$5),J11-J22-J23-J24-J27)</f>
        <v>-53.7</v>
      </c>
      <c r="K28" s="124" t="n">
        <f aca="false">IF(K$5&lt;=LastHist,INDEX(H_EBITDA,1,K$5),K11-K22-K23-K24-K27)</f>
        <v>-21</v>
      </c>
      <c r="L28" s="124" t="n">
        <f aca="false">IF(L$5&lt;=LastHist,INDEX(H_EBITDA,1,L$5),L11-L22-L23-L24-L27)</f>
        <v>-5.2</v>
      </c>
      <c r="M28" s="124" t="n">
        <f aca="false">IF(M$5&lt;=LastHist,INDEX(H_EBITDA,1,M$5),M11-M22-M23-M24-M27)</f>
        <v>15</v>
      </c>
      <c r="N28" s="124" t="n">
        <f aca="false">IF(N$5&lt;=LastHist,INDEX(H_EBITDA,1,N$5),N11-N22-N23-N24-N27)</f>
        <v>129.5</v>
      </c>
      <c r="O28" s="124" t="n">
        <f aca="false">IF(O$5&lt;=LastHist,INDEX(H_EBITDA,1,O$5),O11-O22-O23-O24-O27)</f>
        <v>236.2</v>
      </c>
      <c r="P28" s="96" t="n">
        <f aca="false">IF(P$5&lt;=LastHist,INDEX(H_EBITDA,1,P$5),P11-P22-P23-P24-P27)</f>
        <v>273.751676063435</v>
      </c>
      <c r="Q28" s="96" t="n">
        <f aca="false">IF(Q$5&lt;=LastHist,INDEX(H_EBITDA,1,Q$5),Q11-Q22-Q23-Q24-Q27)</f>
        <v>329.068243927749</v>
      </c>
      <c r="R28" s="96" t="n">
        <f aca="false">IF(R$5&lt;=LastHist,INDEX(H_EBITDA,1,R$5),R11-R22-R23-R24-R27)</f>
        <v>547.369027899749</v>
      </c>
      <c r="S28" s="96" t="n">
        <f aca="false">IF(S$5&lt;=LastHist,INDEX(H_EBITDA,1,S$5),S11-S22-S23-S24-S27)</f>
        <v>813.644588327033</v>
      </c>
      <c r="T28" s="96" t="n">
        <f aca="false">IF(T$5&lt;=LastHist,INDEX(H_EBITDA,1,T$5),T11-T22-T23-T24-T27)</f>
        <v>1159.86951283972</v>
      </c>
      <c r="U28" s="96" t="n">
        <f aca="false">IF(U$5&lt;=LastHist,INDEX(H_EBITDA,1,U$5),U11-U22-U23-U24-U27)</f>
        <v>1558.08942406953</v>
      </c>
      <c r="V28" s="96" t="n">
        <f aca="false">IF(V$5&lt;=LastHist,INDEX(H_EBITDA,1,V$5),V11-V22-V23-V24-V27)</f>
        <v>2345.15962381934</v>
      </c>
      <c r="W28" s="96" t="n">
        <f aca="false">IF(W$5&lt;=LastHist,INDEX(H_EBITDA,1,W$5),W11-W22-W23-W24-W27)</f>
        <v>2935.66576280125</v>
      </c>
      <c r="X28" s="96" t="n">
        <f aca="false">IF(X$5&lt;=LastHist,INDEX(H_EBITDA,1,X$5),X11-X22-X23-X24-X27)</f>
        <v>3307.32765916143</v>
      </c>
      <c r="Y28" s="96" t="n">
        <f aca="false">IF(Y$5&lt;=LastHist,INDEX(H_EBITDA,1,Y$5),Y11-Y22-Y23-Y24-Y27)</f>
        <v>3614.1069704927</v>
      </c>
      <c r="Z28" s="96" t="n">
        <f aca="false">IF(Z$5&lt;=LastHist,INDEX(H_EBITDA,1,Z$5),Z11-Z22-Z23-Z24-Z27)</f>
        <v>4336.40550860744</v>
      </c>
      <c r="AA28" s="96" t="n">
        <f aca="false">IF(AA$5&lt;=LastHist,INDEX(H_EBITDA,1,AA$5),AA11-AA22-AA23-AA24-AA27)</f>
        <v>4940.18702689135</v>
      </c>
      <c r="AB28" s="96" t="n">
        <f aca="false">IF(AB$5&lt;=LastHist,INDEX(H_EBITDA,1,AB$5),AB11-AB22-AB23-AB24-AB27)</f>
        <v>5460.4878356624</v>
      </c>
      <c r="AC28" s="96" t="n">
        <f aca="false">IF(AC$5&lt;=LastHist,INDEX(H_EBITDA,1,AC$5),AC11-AC22-AC23-AC24-AC27)</f>
        <v>6063.91785173537</v>
      </c>
      <c r="AD28" s="96" t="n">
        <f aca="false">IF(AD$5&lt;=LastHist,INDEX(H_EBITDA,1,AD$5),AD11-AD22-AD23-AD24-AD27)</f>
        <v>6992.00360241969</v>
      </c>
      <c r="AE28" s="96" t="n">
        <f aca="false">IF(AE$5&lt;=LastHist,INDEX(H_EBITDA,1,AE$5),AE11-AE22-AE23-AE24-AE27)</f>
        <v>7751.80404369086</v>
      </c>
      <c r="AF28" s="96" t="n">
        <f aca="false">IF(AF$5&lt;=LastHist,INDEX(H_EBITDA,1,AF$5),AF11-AF22-AF23-AF24-AF27)</f>
        <v>7720.98977142472</v>
      </c>
      <c r="AG28" s="96" t="n">
        <f aca="false">IF(AG$5&lt;=LastHist,INDEX(H_EBITDA,1,AG$5),AG11-AG22-AG23-AG24-AG27)</f>
        <v>7878.09485120505</v>
      </c>
      <c r="AI28" s="96" t="n">
        <f aca="false">SUMIF($F$7:$AG$7,AI$7,$F28:$AG28)</f>
        <v>-238.8</v>
      </c>
      <c r="AJ28" s="96" t="n">
        <f aca="false">SUMIF($F$7:$AG$7,AJ$7,$F28:$AG28)</f>
        <v>-64.9</v>
      </c>
      <c r="AK28" s="96" t="n">
        <f aca="false">SUMIF($F$7:$AG$7,AK$7,$F28:$AG28)</f>
        <v>968.519919991184</v>
      </c>
      <c r="AL28" s="96" t="n">
        <f aca="false">SUMIF($F$7:$AG$7,AL$7,$F28:$AG28)</f>
        <v>4078.97255313604</v>
      </c>
      <c r="AM28" s="96" t="n">
        <f aca="false">SUMIF($F$7:$AG$7,AM$7,$F28:$AG28)</f>
        <v>12202.2600162747</v>
      </c>
      <c r="AN28" s="96" t="n">
        <f aca="false">SUMIF($F$7:$AG$7,AN$7,$F28:$AG28)</f>
        <v>20800.9982228966</v>
      </c>
      <c r="AO28" s="96" t="n">
        <f aca="false">SUMIF($F$7:$AG$7,AO$7,$F28:$AG28)</f>
        <v>30342.8922687403</v>
      </c>
    </row>
    <row r="29" customFormat="false" ht="15" hidden="false" customHeight="false" outlineLevel="0" collapsed="false">
      <c r="A29" s="104" t="s">
        <v>2173</v>
      </c>
      <c r="B29" s="20" t="s">
        <v>549</v>
      </c>
      <c r="C29" s="20"/>
      <c r="D29" s="20"/>
      <c r="F29" s="116" t="n">
        <f aca="false">IF(F11&lt;&gt;0,F28/F11,0)</f>
        <v>-6.21929824561404</v>
      </c>
      <c r="G29" s="116" t="n">
        <f aca="false">IF(G11&lt;&gt;0,G28/G11,0)</f>
        <v>-4.00689655172414</v>
      </c>
      <c r="H29" s="116" t="n">
        <f aca="false">IF(H11&lt;&gt;0,H28/H11,0)</f>
        <v>-1.42990654205607</v>
      </c>
      <c r="I29" s="116" t="n">
        <f aca="false">IF(I11&lt;&gt;0,I28/I11,0)</f>
        <v>-1.81534090909091</v>
      </c>
      <c r="J29" s="116" t="n">
        <f aca="false">IF(J11&lt;&gt;0,J28/J11,0)</f>
        <v>-1.05500982318271</v>
      </c>
      <c r="K29" s="116" t="n">
        <f aca="false">IF(K11&lt;&gt;0,K28/K11,0)</f>
        <v>-0.199809705042816</v>
      </c>
      <c r="L29" s="116" t="n">
        <f aca="false">IF(L11&lt;&gt;0,L28/L11,0)</f>
        <v>-0.0355920602327173</v>
      </c>
      <c r="M29" s="116" t="n">
        <f aca="false">IF(M11&lt;&gt;0,M28/M11,0)</f>
        <v>0.0658761528326746</v>
      </c>
      <c r="N29" s="116" t="n">
        <f aca="false">IF(N11&lt;&gt;0,N28/N11,0)</f>
        <v>0.324561403508772</v>
      </c>
      <c r="O29" s="116" t="n">
        <f aca="false">IF(O11&lt;&gt;0,O28/O11,0)</f>
        <v>0.40563283530826</v>
      </c>
      <c r="P29" s="25" t="n">
        <f aca="false">IF(P11&lt;&gt;0,P28/P11,0)</f>
        <v>0.418783293656806</v>
      </c>
      <c r="Q29" s="25" t="n">
        <f aca="false">IF(Q11&lt;&gt;0,Q28/Q11,0)</f>
        <v>0.417374207088683</v>
      </c>
      <c r="R29" s="25" t="n">
        <f aca="false">IF(R11&lt;&gt;0,R28/R11,0)</f>
        <v>0.516684023468298</v>
      </c>
      <c r="S29" s="25" t="n">
        <f aca="false">IF(S11&lt;&gt;0,S28/S11,0)</f>
        <v>0.522479312651929</v>
      </c>
      <c r="T29" s="25" t="n">
        <f aca="false">IF(T11&lt;&gt;0,T28/T11,0)</f>
        <v>0.53430953587106</v>
      </c>
      <c r="U29" s="25" t="n">
        <f aca="false">IF(U11&lt;&gt;0,U28/U11,0)</f>
        <v>0.54973201526435</v>
      </c>
      <c r="V29" s="25" t="n">
        <f aca="false">IF(V11&lt;&gt;0,V28/V11,0)</f>
        <v>0.609959786672953</v>
      </c>
      <c r="W29" s="25" t="n">
        <f aca="false">IF(W11&lt;&gt;0,W28/W11,0)</f>
        <v>0.621717099594971</v>
      </c>
      <c r="X29" s="25" t="n">
        <f aca="false">IF(X11&lt;&gt;0,X28/X11,0)</f>
        <v>0.621937807562233</v>
      </c>
      <c r="Y29" s="25" t="n">
        <f aca="false">IF(Y11&lt;&gt;0,Y28/Y11,0)</f>
        <v>0.631564055433873</v>
      </c>
      <c r="Z29" s="25" t="n">
        <f aca="false">IF(Z11&lt;&gt;0,Z28/Z11,0)</f>
        <v>0.663111155929221</v>
      </c>
      <c r="AA29" s="25" t="n">
        <f aca="false">IF(AA11&lt;&gt;0,AA28/AA11,0)</f>
        <v>0.672404979492311</v>
      </c>
      <c r="AB29" s="25" t="n">
        <f aca="false">IF(AB11&lt;&gt;0,AB28/AB11,0)</f>
        <v>0.672186934951498</v>
      </c>
      <c r="AC29" s="25" t="n">
        <f aca="false">IF(AC11&lt;&gt;0,AC28/AC11,0)</f>
        <v>0.680306685400829</v>
      </c>
      <c r="AD29" s="25" t="n">
        <f aca="false">IF(AD11&lt;&gt;0,AD28/AD11,0)</f>
        <v>0.700872915859007</v>
      </c>
      <c r="AE29" s="25" t="n">
        <f aca="false">IF(AE11&lt;&gt;0,AE28/AE11,0)</f>
        <v>0.700694291981254</v>
      </c>
      <c r="AF29" s="25" t="n">
        <f aca="false">IF(AF11&lt;&gt;0,AF28/AF11,0)</f>
        <v>0.700020398398165</v>
      </c>
      <c r="AG29" s="25" t="n">
        <f aca="false">IF(AG11&lt;&gt;0,AG28/AG11,0)</f>
        <v>0.70676365694424</v>
      </c>
      <c r="AI29" s="25" t="n">
        <f aca="false">IF(AI11&lt;&gt;0,AI28/AI11,0)</f>
        <v>-2.56223175965665</v>
      </c>
      <c r="AJ29" s="25" t="n">
        <f aca="false">IF(AJ11&lt;&gt;0,AJ28/AJ11,0)</f>
        <v>-0.122499056247641</v>
      </c>
      <c r="AK29" s="25" t="n">
        <f aca="false">IF(AK11&lt;&gt;0,AK28/AK11,0)</f>
        <v>0.399651971712094</v>
      </c>
      <c r="AL29" s="25" t="n">
        <f aca="false">IF(AL11&lt;&gt;0,AL28/AL11,0)</f>
        <v>0.535177620626394</v>
      </c>
      <c r="AM29" s="25" t="n">
        <f aca="false">IF(AM11&lt;&gt;0,AM28/AM11,0)</f>
        <v>0.622345365510567</v>
      </c>
      <c r="AN29" s="25" t="n">
        <f aca="false">IF(AN11&lt;&gt;0,AN28/AN11,0)</f>
        <v>0.672659924985032</v>
      </c>
      <c r="AO29" s="25" t="n">
        <f aca="false">IF(AO11&lt;&gt;0,AO28/AO11,0)</f>
        <v>0.702129022128044</v>
      </c>
    </row>
    <row r="30" customFormat="false" ht="15" hidden="false" customHeight="false" outlineLevel="0" collapsed="false">
      <c r="A30" s="104" t="s">
        <v>2174</v>
      </c>
      <c r="B30" s="20" t="s">
        <v>561</v>
      </c>
      <c r="C30" s="20" t="s">
        <v>550</v>
      </c>
      <c r="D30" s="20" t="s">
        <v>2175</v>
      </c>
      <c r="F30" s="122" t="n">
        <f aca="false">IF(F$5&lt;=LastHist,F28-(F11-F22-F23-F24),SBCpct*F11)</f>
        <v>0</v>
      </c>
      <c r="G30" s="122" t="n">
        <f aca="false">IF(G$5&lt;=LastHist,G28-(G11-G22-G23-G24),SBCpct*G11)</f>
        <v>0.100000000000001</v>
      </c>
      <c r="H30" s="122" t="n">
        <f aca="false">IF(H$5&lt;=LastHist,H28-(H11-H22-H23-H24),SBCpct*H11)</f>
        <v>11.2</v>
      </c>
      <c r="I30" s="122" t="n">
        <f aca="false">IF(I$5&lt;=LastHist,I28-(I11-I22-I23-I24),SBCpct*I11)</f>
        <v>39.3</v>
      </c>
      <c r="J30" s="122" t="n">
        <f aca="false">IF(J$5&lt;=LastHist,J28-(J11-J22-J23-J24),SBCpct*J11)</f>
        <v>17.5</v>
      </c>
      <c r="K30" s="122" t="n">
        <f aca="false">IF(K$5&lt;=LastHist,K28-(K11-K22-K23-K24),SBCpct*K11)</f>
        <v>15</v>
      </c>
      <c r="L30" s="122" t="n">
        <f aca="false">IF(L$5&lt;=LastHist,L28-(L11-L22-L23-L24),SBCpct*L11)</f>
        <v>26</v>
      </c>
      <c r="M30" s="122" t="n">
        <f aca="false">IF(M$5&lt;=LastHist,M28-(M11-M22-M23-M24),SBCpct*M11)</f>
        <v>68.8</v>
      </c>
      <c r="N30" s="122" t="n">
        <f aca="false">IF(N$5&lt;=LastHist,N28-(N11-N22-N23-N24),SBCpct*N11)</f>
        <v>45.5</v>
      </c>
      <c r="O30" s="122" t="n">
        <f aca="false">IF(O$5&lt;=LastHist,O28-(O11-O22-O23-O24),SBCpct*O11)</f>
        <v>152.4</v>
      </c>
      <c r="P30" s="123" t="n">
        <f aca="false">IF(P$5&lt;=LastHist,P28-(P11-P22-P23-P24),SBCpct*P11)</f>
        <v>26.1473349304879</v>
      </c>
      <c r="Q30" s="123" t="n">
        <f aca="false">IF(Q$5&lt;=LastHist,Q28-(Q11-Q22-Q23-Q24),SBCpct*Q11)</f>
        <v>31.5369985340593</v>
      </c>
      <c r="R30" s="123" t="n">
        <f aca="false">IF(R$5&lt;=LastHist,R28-(R11-R22-R23-R24),SBCpct*R11)</f>
        <v>42.3755334430877</v>
      </c>
      <c r="S30" s="123" t="n">
        <f aca="false">IF(S$5&lt;=LastHist,S28-(S11-S22-S23-S24),SBCpct*S11)</f>
        <v>62.2910472146541</v>
      </c>
      <c r="T30" s="123" t="n">
        <f aca="false">IF(T$5&lt;=LastHist,T28-(T11-T22-T23-T24),SBCpct*T11)</f>
        <v>86.8312792470635</v>
      </c>
      <c r="U30" s="123" t="n">
        <f aca="false">IF(U$5&lt;=LastHist,U28-(U11-U22-U23-U24),SBCpct*U11)</f>
        <v>113.370833846764</v>
      </c>
      <c r="V30" s="123" t="n">
        <f aca="false">IF(V$5&lt;=LastHist,V28-(V11-V22-V23-V24),SBCpct*V11)</f>
        <v>153.791097384377</v>
      </c>
      <c r="W30" s="123" t="n">
        <f aca="false">IF(W$5&lt;=LastHist,W28-(W11-W22-W23-W24),SBCpct*W11)</f>
        <v>188.874699744546</v>
      </c>
      <c r="X30" s="123" t="n">
        <f aca="false">IF(X$5&lt;=LastHist,X28-(X11-X22-X23-X24),SBCpct*X11)</f>
        <v>212.711150146986</v>
      </c>
      <c r="Y30" s="123" t="n">
        <f aca="false">IF(Y$5&lt;=LastHist,Y28-(Y11-Y22-Y23-Y24),SBCpct*Y11)</f>
        <v>228.898838646533</v>
      </c>
      <c r="Z30" s="123" t="n">
        <f aca="false">IF(Z$5&lt;=LastHist,Z28-(Z11-Z22-Z23-Z24),SBCpct*Z11)</f>
        <v>261.57940308097</v>
      </c>
      <c r="AA30" s="123" t="n">
        <f aca="false">IF(AA$5&lt;=LastHist,AA28-(AA11-AA22-AA23-AA24),SBCpct*AA11)</f>
        <v>293.881644399562</v>
      </c>
      <c r="AB30" s="123" t="n">
        <f aca="false">IF(AB$5&lt;=LastHist,AB28-(AB11-AB22-AB23-AB24),SBCpct*AB11)</f>
        <v>324.938647375311</v>
      </c>
      <c r="AC30" s="123" t="n">
        <f aca="false">IF(AC$5&lt;=LastHist,AC28-(AC11-AC22-AC23-AC24),SBCpct*AC11)</f>
        <v>356.540247618621</v>
      </c>
      <c r="AD30" s="123" t="n">
        <f aca="false">IF(AD$5&lt;=LastHist,AD28-(AD11-AD22-AD23-AD24),SBCpct*AD11)</f>
        <v>399.045444285723</v>
      </c>
      <c r="AE30" s="123" t="n">
        <f aca="false">IF(AE$5&lt;=LastHist,AE28-(AE11-AE22-AE23-AE24),SBCpct*AE11)</f>
        <v>442.521318206956</v>
      </c>
      <c r="AF30" s="123" t="n">
        <f aca="false">IF(AF$5&lt;=LastHist,AF28-(AF11-AF22-AF23-AF24),SBCpct*AF11)</f>
        <v>441.186559082702</v>
      </c>
      <c r="AG30" s="123" t="n">
        <f aca="false">IF(AG$5&lt;=LastHist,AG28-(AG11-AG22-AG23-AG24),SBCpct*AG11)</f>
        <v>445.868701583596</v>
      </c>
      <c r="AI30" s="123" t="n">
        <f aca="false">SUMIF($F$7:$AG$7,AI$7,$F30:$AG30)</f>
        <v>50.6</v>
      </c>
      <c r="AJ30" s="123" t="n">
        <f aca="false">SUMIF($F$7:$AG$7,AJ$7,$F30:$AG30)</f>
        <v>127.3</v>
      </c>
      <c r="AK30" s="123" t="n">
        <f aca="false">SUMIF($F$7:$AG$7,AK$7,$F30:$AG30)</f>
        <v>255.584333464547</v>
      </c>
      <c r="AL30" s="123" t="n">
        <f aca="false">SUMIF($F$7:$AG$7,AL$7,$F30:$AG30)</f>
        <v>304.868693751569</v>
      </c>
      <c r="AM30" s="123" t="n">
        <f aca="false">SUMIF($F$7:$AG$7,AM$7,$F30:$AG30)</f>
        <v>784.275785922441</v>
      </c>
      <c r="AN30" s="123" t="n">
        <f aca="false">SUMIF($F$7:$AG$7,AN$7,$F30:$AG30)</f>
        <v>1236.93994247446</v>
      </c>
      <c r="AO30" s="123" t="n">
        <f aca="false">SUMIF($F$7:$AG$7,AO$7,$F30:$AG30)</f>
        <v>1728.62202315898</v>
      </c>
    </row>
    <row r="31" customFormat="false" ht="15" hidden="false" customHeight="false" outlineLevel="0" collapsed="false">
      <c r="A31" s="104" t="s">
        <v>1247</v>
      </c>
      <c r="B31" s="20" t="s">
        <v>561</v>
      </c>
      <c r="C31" s="20" t="s">
        <v>1913</v>
      </c>
      <c r="D31" s="20"/>
      <c r="F31" s="122" t="n">
        <f aca="false">INDEX(DA,1,1)</f>
        <v>8.9</v>
      </c>
      <c r="G31" s="122" t="n">
        <f aca="false">INDEX(DA,1,2)</f>
        <v>11.4</v>
      </c>
      <c r="H31" s="122" t="n">
        <f aca="false">INDEX(DA,1,3)</f>
        <v>23.5</v>
      </c>
      <c r="I31" s="122" t="n">
        <f aca="false">INDEX(DA,1,4)</f>
        <v>33.3</v>
      </c>
      <c r="J31" s="122" t="n">
        <f aca="false">INDEX(DA,1,5)</f>
        <v>49.1</v>
      </c>
      <c r="K31" s="122" t="n">
        <f aca="false">INDEX(DA,1,6)</f>
        <v>75.2</v>
      </c>
      <c r="L31" s="122" t="n">
        <f aca="false">INDEX(DA,1,7)</f>
        <v>99</v>
      </c>
      <c r="M31" s="122" t="n">
        <f aca="false">INDEX(DA,1,8)</f>
        <v>180.7</v>
      </c>
      <c r="N31" s="122" t="n">
        <f aca="false">INDEX(DA,1,9)</f>
        <v>212</v>
      </c>
      <c r="O31" s="122" t="n">
        <f aca="false">INDEX(DA,1,10)</f>
        <v>259.7</v>
      </c>
      <c r="P31" s="123" t="n">
        <f aca="false">INDEX(DA,1,11)</f>
        <v>587.0866</v>
      </c>
      <c r="Q31" s="123" t="n">
        <f aca="false">INDEX(DA,1,12)</f>
        <v>590.929487592076</v>
      </c>
      <c r="R31" s="123" t="n">
        <f aca="false">INDEX(DA,1,13)</f>
        <v>765.867116774241</v>
      </c>
      <c r="S31" s="123" t="n">
        <f aca="false">INDEX(DA,1,14)</f>
        <v>1023.7816295656</v>
      </c>
      <c r="T31" s="123" t="n">
        <f aca="false">INDEX(DA,1,15)</f>
        <v>1315.05403020125</v>
      </c>
      <c r="U31" s="123" t="n">
        <f aca="false">INDEX(DA,1,16)</f>
        <v>1654.29921658869</v>
      </c>
      <c r="V31" s="123" t="n">
        <f aca="false">INDEX(DA,1,17)</f>
        <v>2250.17789184112</v>
      </c>
      <c r="W31" s="123" t="n">
        <f aca="false">INDEX(DA,1,18)</f>
        <v>2500.01707368198</v>
      </c>
      <c r="X31" s="123" t="n">
        <f aca="false">INDEX(DA,1,19)</f>
        <v>2860.05834558186</v>
      </c>
      <c r="Y31" s="123" t="n">
        <f aca="false">INDEX(DA,1,20)</f>
        <v>2960.27052874179</v>
      </c>
      <c r="Z31" s="123" t="n">
        <f aca="false">INDEX(DA,1,21)</f>
        <v>3697.16240411422</v>
      </c>
      <c r="AA31" s="123" t="n">
        <f aca="false">INDEX(DA,1,22)</f>
        <v>3785.5712935975</v>
      </c>
      <c r="AB31" s="123" t="n">
        <f aca="false">INDEX(DA,1,23)</f>
        <v>4550.95852270853</v>
      </c>
      <c r="AC31" s="123" t="n">
        <f aca="false">INDEX(DA,1,24)</f>
        <v>4670.62217689395</v>
      </c>
      <c r="AD31" s="123" t="n">
        <f aca="false">INDEX(DA,1,25)</f>
        <v>5732.92587108546</v>
      </c>
      <c r="AE31" s="123" t="n">
        <f aca="false">INDEX(DA,1,26)</f>
        <v>5748.59805609057</v>
      </c>
      <c r="AF31" s="123" t="n">
        <f aca="false">INDEX(DA,1,27)</f>
        <v>5765.35713794372</v>
      </c>
      <c r="AG31" s="123" t="n">
        <f aca="false">INDEX(DA,1,28)</f>
        <v>5781.18390014365</v>
      </c>
      <c r="AI31" s="123" t="n">
        <f aca="false">SUMIF($F$7:$AG$7,AI$7,$F31:$AG31)</f>
        <v>77.1</v>
      </c>
      <c r="AJ31" s="123" t="n">
        <f aca="false">SUMIF($F$7:$AG$7,AJ$7,$F31:$AG31)</f>
        <v>404</v>
      </c>
      <c r="AK31" s="123" t="n">
        <f aca="false">SUMIF($F$7:$AG$7,AK$7,$F31:$AG31)</f>
        <v>1649.71608759208</v>
      </c>
      <c r="AL31" s="123" t="n">
        <f aca="false">SUMIF($F$7:$AG$7,AL$7,$F31:$AG31)</f>
        <v>4759.00199312978</v>
      </c>
      <c r="AM31" s="123" t="n">
        <f aca="false">SUMIF($F$7:$AG$7,AM$7,$F31:$AG31)</f>
        <v>10570.5238398467</v>
      </c>
      <c r="AN31" s="123" t="n">
        <f aca="false">SUMIF($F$7:$AG$7,AN$7,$F31:$AG31)</f>
        <v>16704.3143973142</v>
      </c>
      <c r="AO31" s="123" t="n">
        <f aca="false">SUMIF($F$7:$AG$7,AO$7,$F31:$AG31)</f>
        <v>23028.0649652634</v>
      </c>
    </row>
    <row r="32" customFormat="false" ht="15" hidden="false" customHeight="false" outlineLevel="0" collapsed="false">
      <c r="A32" s="104" t="s">
        <v>2176</v>
      </c>
      <c r="B32" s="20" t="s">
        <v>561</v>
      </c>
      <c r="C32" s="20" t="s">
        <v>506</v>
      </c>
      <c r="D32" s="20"/>
      <c r="F32" s="122" t="n">
        <f aca="false">INDEX(Imp,1,1)</f>
        <v>0</v>
      </c>
      <c r="G32" s="122" t="n">
        <f aca="false">INDEX(Imp,1,2)</f>
        <v>0</v>
      </c>
      <c r="H32" s="122" t="n">
        <f aca="false">INDEX(Imp,1,3)</f>
        <v>0</v>
      </c>
      <c r="I32" s="122" t="n">
        <f aca="false">INDEX(Imp,1,4)</f>
        <v>0</v>
      </c>
      <c r="J32" s="122" t="n">
        <f aca="false">INDEX(Imp,1,5)</f>
        <v>0</v>
      </c>
      <c r="K32" s="122" t="n">
        <f aca="false">INDEX(Imp,1,6)</f>
        <v>0</v>
      </c>
      <c r="L32" s="122" t="n">
        <f aca="false">INDEX(Imp,1,7)</f>
        <v>0</v>
      </c>
      <c r="M32" s="122" t="n">
        <f aca="false">INDEX(Imp,1,8)</f>
        <v>0</v>
      </c>
      <c r="N32" s="122" t="n">
        <f aca="false">INDEX(Imp,1,9)</f>
        <v>0</v>
      </c>
      <c r="O32" s="122" t="n">
        <f aca="false">INDEX(Imp,1,10)</f>
        <v>0</v>
      </c>
      <c r="P32" s="123" t="n">
        <f aca="false">INDEX(Imp,1,11)</f>
        <v>0</v>
      </c>
      <c r="Q32" s="123" t="n">
        <f aca="false">INDEX(Imp,1,12)</f>
        <v>0</v>
      </c>
      <c r="R32" s="123" t="n">
        <f aca="false">INDEX(Imp,1,13)</f>
        <v>0</v>
      </c>
      <c r="S32" s="123" t="n">
        <f aca="false">INDEX(Imp,1,14)</f>
        <v>0</v>
      </c>
      <c r="T32" s="123" t="n">
        <f aca="false">INDEX(Imp,1,15)</f>
        <v>0</v>
      </c>
      <c r="U32" s="123" t="n">
        <f aca="false">INDEX(Imp,1,16)</f>
        <v>0</v>
      </c>
      <c r="V32" s="123" t="n">
        <f aca="false">INDEX(Imp,1,17)</f>
        <v>0</v>
      </c>
      <c r="W32" s="123" t="n">
        <f aca="false">INDEX(Imp,1,18)</f>
        <v>0</v>
      </c>
      <c r="X32" s="123" t="n">
        <f aca="false">INDEX(Imp,1,19)</f>
        <v>0</v>
      </c>
      <c r="Y32" s="123" t="n">
        <f aca="false">INDEX(Imp,1,20)</f>
        <v>0</v>
      </c>
      <c r="Z32" s="123" t="n">
        <f aca="false">INDEX(Imp,1,21)</f>
        <v>0</v>
      </c>
      <c r="AA32" s="123" t="n">
        <f aca="false">INDEX(Imp,1,22)</f>
        <v>0</v>
      </c>
      <c r="AB32" s="123" t="n">
        <f aca="false">INDEX(Imp,1,23)</f>
        <v>0</v>
      </c>
      <c r="AC32" s="123" t="n">
        <f aca="false">INDEX(Imp,1,24)</f>
        <v>0</v>
      </c>
      <c r="AD32" s="123" t="n">
        <f aca="false">INDEX(Imp,1,25)</f>
        <v>0</v>
      </c>
      <c r="AE32" s="123" t="n">
        <f aca="false">INDEX(Imp,1,26)</f>
        <v>0</v>
      </c>
      <c r="AF32" s="123" t="n">
        <f aca="false">INDEX(Imp,1,27)</f>
        <v>0</v>
      </c>
      <c r="AG32" s="123" t="n">
        <f aca="false">INDEX(Imp,1,28)</f>
        <v>0</v>
      </c>
      <c r="AI32" s="123" t="n">
        <f aca="false">SUMIF($F$7:$AG$7,AI$7,$F32:$AG32)</f>
        <v>0</v>
      </c>
      <c r="AJ32" s="123" t="n">
        <f aca="false">SUMIF($F$7:$AG$7,AJ$7,$F32:$AG32)</f>
        <v>0</v>
      </c>
      <c r="AK32" s="123" t="n">
        <f aca="false">SUMIF($F$7:$AG$7,AK$7,$F32:$AG32)</f>
        <v>0</v>
      </c>
      <c r="AL32" s="123" t="n">
        <f aca="false">SUMIF($F$7:$AG$7,AL$7,$F32:$AG32)</f>
        <v>0</v>
      </c>
      <c r="AM32" s="123" t="n">
        <f aca="false">SUMIF($F$7:$AG$7,AM$7,$F32:$AG32)</f>
        <v>0</v>
      </c>
      <c r="AN32" s="123" t="n">
        <f aca="false">SUMIF($F$7:$AG$7,AN$7,$F32:$AG32)</f>
        <v>0</v>
      </c>
      <c r="AO32" s="123" t="n">
        <f aca="false">SUMIF($F$7:$AG$7,AO$7,$F32:$AG32)</f>
        <v>0</v>
      </c>
    </row>
    <row r="33" customFormat="false" ht="15" hidden="false" customHeight="false" outlineLevel="0" collapsed="false">
      <c r="A33" s="3" t="s">
        <v>2177</v>
      </c>
      <c r="B33" s="20" t="s">
        <v>561</v>
      </c>
      <c r="C33" s="20" t="s">
        <v>495</v>
      </c>
      <c r="D33" s="20"/>
      <c r="F33" s="124" t="n">
        <f aca="false">F28-F30-F31-F32</f>
        <v>-79.8</v>
      </c>
      <c r="G33" s="124" t="n">
        <f aca="false">G28-G30-G31-G32</f>
        <v>-69.6</v>
      </c>
      <c r="H33" s="124" t="n">
        <f aca="false">H28-H30-H31-H32</f>
        <v>-80.6</v>
      </c>
      <c r="I33" s="124" t="n">
        <f aca="false">I28-I30-I31-I32</f>
        <v>-136.5</v>
      </c>
      <c r="J33" s="124" t="n">
        <f aca="false">J28-J30-J31-J32</f>
        <v>-120.3</v>
      </c>
      <c r="K33" s="124" t="n">
        <f aca="false">K28-K30-K31-K32</f>
        <v>-111.2</v>
      </c>
      <c r="L33" s="124" t="n">
        <f aca="false">L28-L30-L31-L32</f>
        <v>-130.2</v>
      </c>
      <c r="M33" s="124" t="n">
        <f aca="false">M28-M30-M31-M32</f>
        <v>-234.5</v>
      </c>
      <c r="N33" s="124" t="n">
        <f aca="false">N28-N30-N31-N32</f>
        <v>-128</v>
      </c>
      <c r="O33" s="124" t="n">
        <f aca="false">O28-O30-O31-O32</f>
        <v>-175.9</v>
      </c>
      <c r="P33" s="96" t="n">
        <f aca="false">P28-P30-P31-P32</f>
        <v>-339.482258867053</v>
      </c>
      <c r="Q33" s="96" t="n">
        <f aca="false">Q28-Q30-Q31-Q32</f>
        <v>-293.398242198386</v>
      </c>
      <c r="R33" s="96" t="n">
        <f aca="false">R28-R30-R31-R32</f>
        <v>-260.87362231758</v>
      </c>
      <c r="S33" s="96" t="n">
        <f aca="false">S28-S30-S31-S32</f>
        <v>-272.428088453223</v>
      </c>
      <c r="T33" s="96" t="n">
        <f aca="false">T28-T30-T31-T32</f>
        <v>-242.015796608591</v>
      </c>
      <c r="U33" s="96" t="n">
        <f aca="false">U28-U30-U31-U32</f>
        <v>-209.580626365919</v>
      </c>
      <c r="V33" s="96" t="n">
        <f aca="false">V28-V30-V31-V32</f>
        <v>-58.8093654061481</v>
      </c>
      <c r="W33" s="96" t="n">
        <f aca="false">W28-W30-W31-W32</f>
        <v>246.773989374718</v>
      </c>
      <c r="X33" s="96" t="n">
        <f aca="false">X28-X30-X31-X32</f>
        <v>234.558163432589</v>
      </c>
      <c r="Y33" s="96" t="n">
        <f aca="false">Y28-Y30-Y31-Y32</f>
        <v>424.937603104375</v>
      </c>
      <c r="Z33" s="96" t="n">
        <f aca="false">Z28-Z30-Z31-Z32</f>
        <v>377.663701412255</v>
      </c>
      <c r="AA33" s="96" t="n">
        <f aca="false">AA28-AA30-AA31-AA32</f>
        <v>860.734088894288</v>
      </c>
      <c r="AB33" s="96" t="n">
        <f aca="false">AB28-AB30-AB31-AB32</f>
        <v>584.59066557856</v>
      </c>
      <c r="AC33" s="96" t="n">
        <f aca="false">AC28-AC30-AC31-AC32</f>
        <v>1036.7554272228</v>
      </c>
      <c r="AD33" s="96" t="n">
        <f aca="false">AD28-AD30-AD31-AD32</f>
        <v>860.032287048511</v>
      </c>
      <c r="AE33" s="96" t="n">
        <f aca="false">AE28-AE30-AE31-AE32</f>
        <v>1560.68466939333</v>
      </c>
      <c r="AF33" s="96" t="n">
        <f aca="false">AF28-AF30-AF31-AF32</f>
        <v>1514.4460743983</v>
      </c>
      <c r="AG33" s="96" t="n">
        <f aca="false">AG28-AG30-AG31-AG32</f>
        <v>1651.04224947781</v>
      </c>
      <c r="AI33" s="96" t="n">
        <f aca="false">SUMIF($F$7:$AG$7,AI$7,$F33:$AG33)</f>
        <v>-366.5</v>
      </c>
      <c r="AJ33" s="96" t="n">
        <f aca="false">SUMIF($F$7:$AG$7,AJ$7,$F33:$AG33)</f>
        <v>-596.2</v>
      </c>
      <c r="AK33" s="96" t="n">
        <f aca="false">SUMIF($F$7:$AG$7,AK$7,$F33:$AG33)</f>
        <v>-936.780501065439</v>
      </c>
      <c r="AL33" s="96" t="n">
        <f aca="false">SUMIF($F$7:$AG$7,AL$7,$F33:$AG33)</f>
        <v>-984.898133745312</v>
      </c>
      <c r="AM33" s="96" t="n">
        <f aca="false">SUMIF($F$7:$AG$7,AM$7,$F33:$AG33)</f>
        <v>847.460390505534</v>
      </c>
      <c r="AN33" s="96" t="n">
        <f aca="false">SUMIF($F$7:$AG$7,AN$7,$F33:$AG33)</f>
        <v>2859.7438831079</v>
      </c>
      <c r="AO33" s="96" t="n">
        <f aca="false">SUMIF($F$7:$AG$7,AO$7,$F33:$AG33)</f>
        <v>5586.20528031795</v>
      </c>
    </row>
    <row r="34" customFormat="false" ht="15" hidden="false" customHeight="false" outlineLevel="0" collapsed="false">
      <c r="A34" s="104" t="s">
        <v>2178</v>
      </c>
      <c r="B34" s="20" t="s">
        <v>549</v>
      </c>
      <c r="C34" s="20"/>
      <c r="D34" s="20"/>
      <c r="F34" s="116" t="n">
        <f aca="false">IF(F11&lt;&gt;0,F33/F11,0)</f>
        <v>-7</v>
      </c>
      <c r="G34" s="116" t="n">
        <f aca="false">IF(G11&lt;&gt;0,G33/G11,0)</f>
        <v>-4.8</v>
      </c>
      <c r="H34" s="116" t="n">
        <f aca="false">IF(H11&lt;&gt;0,H33/H11,0)</f>
        <v>-2.51090342679128</v>
      </c>
      <c r="I34" s="116" t="n">
        <f aca="false">IF(I11&lt;&gt;0,I33/I11,0)</f>
        <v>-3.87784090909091</v>
      </c>
      <c r="J34" s="116" t="n">
        <f aca="false">IF(J11&lt;&gt;0,J33/J11,0)</f>
        <v>-2.36345776031434</v>
      </c>
      <c r="K34" s="116" t="n">
        <f aca="false">IF(K11&lt;&gt;0,K33/K11,0)</f>
        <v>-1.05803996194101</v>
      </c>
      <c r="L34" s="116" t="n">
        <f aca="false">IF(L11&lt;&gt;0,L33/L11,0)</f>
        <v>-0.891170431211499</v>
      </c>
      <c r="M34" s="116" t="n">
        <f aca="false">IF(M11&lt;&gt;0,M33/M11,0)</f>
        <v>-1.02986385595081</v>
      </c>
      <c r="N34" s="116" t="n">
        <f aca="false">IF(N11&lt;&gt;0,N33/N11,0)</f>
        <v>-0.320802005012531</v>
      </c>
      <c r="O34" s="116" t="n">
        <f aca="false">IF(O11&lt;&gt;0,O33/O11,0)</f>
        <v>-0.30207796668384</v>
      </c>
      <c r="P34" s="25" t="n">
        <f aca="false">IF(P11&lt;&gt;0,P33/P11,0)</f>
        <v>-0.51933745411463</v>
      </c>
      <c r="Q34" s="25" t="n">
        <f aca="false">IF(Q11&lt;&gt;0,Q33/Q11,0)</f>
        <v>-0.372132106207281</v>
      </c>
      <c r="R34" s="25" t="n">
        <f aca="false">IF(R11&lt;&gt;0,R33/R11,0)</f>
        <v>-0.246249286907923</v>
      </c>
      <c r="S34" s="25" t="n">
        <f aca="false">IF(S11&lt;&gt;0,S33/S11,0)</f>
        <v>-0.174938839935979</v>
      </c>
      <c r="T34" s="25" t="n">
        <f aca="false">IF(T11&lt;&gt;0,T33/T11,0)</f>
        <v>-0.111487841113098</v>
      </c>
      <c r="U34" s="25" t="n">
        <f aca="false">IF(U11&lt;&gt;0,U33/U11,0)</f>
        <v>-0.0739451653497391</v>
      </c>
      <c r="V34" s="25" t="n">
        <f aca="false">IF(V11&lt;&gt;0,V33/V11,0)</f>
        <v>-0.0152959089066549</v>
      </c>
      <c r="W34" s="25" t="n">
        <f aca="false">IF(W11&lt;&gt;0,W33/W11,0)</f>
        <v>0.0522619471445316</v>
      </c>
      <c r="X34" s="25" t="n">
        <f aca="false">IF(X11&lt;&gt;0,X33/X11,0)</f>
        <v>0.0441082967715622</v>
      </c>
      <c r="Y34" s="25" t="n">
        <f aca="false">IF(Y11&lt;&gt;0,Y33/Y11,0)</f>
        <v>0.0742577123793217</v>
      </c>
      <c r="Z34" s="25" t="n">
        <f aca="false">IF(Z11&lt;&gt;0,Z33/Z11,0)</f>
        <v>0.0577512903483998</v>
      </c>
      <c r="AA34" s="25" t="n">
        <f aca="false">IF(AA11&lt;&gt;0,AA33/AA11,0)</f>
        <v>0.117153841391201</v>
      </c>
      <c r="AB34" s="25" t="n">
        <f aca="false">IF(AB11&lt;&gt;0,AB33/AB11,0)</f>
        <v>0.0719632053989989</v>
      </c>
      <c r="AC34" s="25" t="n">
        <f aca="false">IF(AC11&lt;&gt;0,AC33/AC11,0)</f>
        <v>0.116312863318789</v>
      </c>
      <c r="AD34" s="25" t="n">
        <f aca="false">IF(AD11&lt;&gt;0,AD33/AD11,0)</f>
        <v>0.0862089568357747</v>
      </c>
      <c r="AE34" s="25" t="n">
        <f aca="false">IF(AE11&lt;&gt;0,AE33/AE11,0)</f>
        <v>0.141072043780131</v>
      </c>
      <c r="AF34" s="25" t="n">
        <f aca="false">IF(AF11&lt;&gt;0,AF33/AF11,0)</f>
        <v>0.137306637586338</v>
      </c>
      <c r="AG34" s="25" t="n">
        <f aca="false">IF(AG11&lt;&gt;0,AG33/AG11,0)</f>
        <v>0.14811914302249</v>
      </c>
      <c r="AI34" s="25" t="n">
        <f aca="false">IF(AI11&lt;&gt;0,AI33/AI11,0)</f>
        <v>-3.93240343347639</v>
      </c>
      <c r="AJ34" s="25" t="n">
        <f aca="false">IF(AJ11&lt;&gt;0,AJ33/AJ11,0)</f>
        <v>-1.12533031332578</v>
      </c>
      <c r="AK34" s="25" t="n">
        <f aca="false">IF(AK11&lt;&gt;0,AK33/AK11,0)</f>
        <v>-0.386554955230713</v>
      </c>
      <c r="AL34" s="25" t="n">
        <f aca="false">IF(AL11&lt;&gt;0,AL33/AL11,0)</f>
        <v>-0.129222600277598</v>
      </c>
      <c r="AM34" s="25" t="n">
        <f aca="false">IF(AM11&lt;&gt;0,AM33/AM11,0)</f>
        <v>0.0432225707189864</v>
      </c>
      <c r="AN34" s="25" t="n">
        <f aca="false">IF(AN11&lt;&gt;0,AN33/AN11,0)</f>
        <v>0.0924780188563421</v>
      </c>
      <c r="AO34" s="25" t="n">
        <f aca="false">IF(AO11&lt;&gt;0,AO33/AO11,0)</f>
        <v>0.12926377670717</v>
      </c>
    </row>
    <row r="36" customFormat="false" ht="15" hidden="false" customHeight="false" outlineLevel="0" collapsed="false">
      <c r="A36" s="53" t="s">
        <v>2179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</row>
    <row r="37" customFormat="false" ht="15" hidden="false" customHeight="false" outlineLevel="0" collapsed="false">
      <c r="A37" s="104" t="s">
        <v>2180</v>
      </c>
      <c r="B37" s="20" t="s">
        <v>561</v>
      </c>
      <c r="C37" s="20" t="s">
        <v>1998</v>
      </c>
      <c r="D37" s="20"/>
      <c r="F37" s="122" t="n">
        <f aca="false">IF(F$5&lt;=LastHist,0,INDEX(CV_cpn,1,1))</f>
        <v>0</v>
      </c>
      <c r="G37" s="122" t="n">
        <f aca="false">IF(G$5&lt;=LastHist,0,INDEX(CV_cpn,1,2))</f>
        <v>0</v>
      </c>
      <c r="H37" s="122" t="n">
        <f aca="false">IF(H$5&lt;=LastHist,0,INDEX(CV_cpn,1,3))</f>
        <v>0</v>
      </c>
      <c r="I37" s="122" t="n">
        <f aca="false">IF(I$5&lt;=LastHist,0,INDEX(CV_cpn,1,4))</f>
        <v>0</v>
      </c>
      <c r="J37" s="122" t="n">
        <f aca="false">IF(J$5&lt;=LastHist,0,INDEX(CV_cpn,1,5))</f>
        <v>0</v>
      </c>
      <c r="K37" s="122" t="n">
        <f aca="false">IF(K$5&lt;=LastHist,0,INDEX(CV_cpn,1,6))</f>
        <v>0</v>
      </c>
      <c r="L37" s="122" t="n">
        <f aca="false">IF(L$5&lt;=LastHist,0,INDEX(CV_cpn,1,7))</f>
        <v>0</v>
      </c>
      <c r="M37" s="122" t="n">
        <f aca="false">IF(M$5&lt;=LastHist,0,INDEX(CV_cpn,1,8))</f>
        <v>0</v>
      </c>
      <c r="N37" s="122" t="n">
        <f aca="false">IF(N$5&lt;=LastHist,0,INDEX(CV_cpn,1,9))</f>
        <v>0</v>
      </c>
      <c r="O37" s="122" t="n">
        <f aca="false">IF(O$5&lt;=LastHist,0,INDEX(CV_cpn,1,10))</f>
        <v>0</v>
      </c>
      <c r="P37" s="123" t="n">
        <f aca="false">IF(P$5&lt;=LastHist,0,INDEX(CV_cpn,1,11))</f>
        <v>65.67578125</v>
      </c>
      <c r="Q37" s="123" t="n">
        <f aca="false">IF(Q$5&lt;=LastHist,0,INDEX(CV_cpn,1,12))</f>
        <v>65.67578125</v>
      </c>
      <c r="R37" s="123" t="n">
        <f aca="false">IF(R$5&lt;=LastHist,0,INDEX(CV_cpn,1,13))</f>
        <v>99.27578125</v>
      </c>
      <c r="S37" s="123" t="n">
        <f aca="false">IF(S$5&lt;=LastHist,0,INDEX(CV_cpn,1,14))</f>
        <v>99.27578125</v>
      </c>
      <c r="T37" s="123" t="n">
        <f aca="false">IF(T$5&lt;=LastHist,0,INDEX(CV_cpn,1,15))</f>
        <v>132.87578125</v>
      </c>
      <c r="U37" s="123" t="n">
        <f aca="false">IF(U$5&lt;=LastHist,0,INDEX(CV_cpn,1,16))</f>
        <v>132.87578125</v>
      </c>
      <c r="V37" s="123" t="n">
        <f aca="false">IF(V$5&lt;=LastHist,0,INDEX(CV_cpn,1,17))</f>
        <v>132.87578125</v>
      </c>
      <c r="W37" s="123" t="n">
        <f aca="false">IF(W$5&lt;=LastHist,0,INDEX(CV_cpn,1,18))</f>
        <v>132.87578125</v>
      </c>
      <c r="X37" s="123" t="n">
        <f aca="false">IF(X$5&lt;=LastHist,0,INDEX(CV_cpn,1,19))</f>
        <v>132.87578125</v>
      </c>
      <c r="Y37" s="123" t="n">
        <f aca="false">IF(Y$5&lt;=LastHist,0,INDEX(CV_cpn,1,20))</f>
        <v>132.87578125</v>
      </c>
      <c r="Z37" s="123" t="n">
        <f aca="false">IF(Z$5&lt;=LastHist,0,INDEX(CV_cpn,1,21))</f>
        <v>132.87578125</v>
      </c>
      <c r="AA37" s="123" t="n">
        <f aca="false">IF(AA$5&lt;=LastHist,0,INDEX(CV_cpn,1,22))</f>
        <v>132.43828125</v>
      </c>
      <c r="AB37" s="123" t="n">
        <f aca="false">IF(AB$5&lt;=LastHist,0,INDEX(CV_cpn,1,23))</f>
        <v>132.43828125</v>
      </c>
      <c r="AC37" s="123" t="n">
        <f aca="false">IF(AC$5&lt;=LastHist,0,INDEX(CV_cpn,1,24))</f>
        <v>132.43828125</v>
      </c>
      <c r="AD37" s="123" t="n">
        <f aca="false">IF(AD$5&lt;=LastHist,0,INDEX(CV_cpn,1,25))</f>
        <v>128.12578125</v>
      </c>
      <c r="AE37" s="123" t="n">
        <f aca="false">IF(AE$5&lt;=LastHist,0,INDEX(CV_cpn,1,26))</f>
        <v>128.12578125</v>
      </c>
      <c r="AF37" s="123" t="n">
        <f aca="false">IF(AF$5&lt;=LastHist,0,INDEX(CV_cpn,1,27))</f>
        <v>119.37265625</v>
      </c>
      <c r="AG37" s="123" t="n">
        <f aca="false">IF(AG$5&lt;=LastHist,0,INDEX(CV_cpn,1,28))</f>
        <v>119.37265625</v>
      </c>
      <c r="AI37" s="123" t="n">
        <f aca="false">SUMIF($F$7:$AG$7,AI$7,$F37:$AG37)</f>
        <v>0</v>
      </c>
      <c r="AJ37" s="123" t="n">
        <f aca="false">SUMIF($F$7:$AG$7,AJ$7,$F37:$AG37)</f>
        <v>0</v>
      </c>
      <c r="AK37" s="123" t="n">
        <f aca="false">SUMIF($F$7:$AG$7,AK$7,$F37:$AG37)</f>
        <v>131.3515625</v>
      </c>
      <c r="AL37" s="123" t="n">
        <f aca="false">SUMIF($F$7:$AG$7,AL$7,$F37:$AG37)</f>
        <v>464.303125</v>
      </c>
      <c r="AM37" s="123" t="n">
        <f aca="false">SUMIF($F$7:$AG$7,AM$7,$F37:$AG37)</f>
        <v>531.503125</v>
      </c>
      <c r="AN37" s="123" t="n">
        <f aca="false">SUMIF($F$7:$AG$7,AN$7,$F37:$AG37)</f>
        <v>530.190625</v>
      </c>
      <c r="AO37" s="123" t="n">
        <f aca="false">SUMIF($F$7:$AG$7,AO$7,$F37:$AG37)</f>
        <v>494.996875</v>
      </c>
    </row>
    <row r="38" customFormat="false" ht="15" hidden="false" customHeight="false" outlineLevel="0" collapsed="false">
      <c r="A38" s="104" t="s">
        <v>2181</v>
      </c>
      <c r="B38" s="20" t="s">
        <v>561</v>
      </c>
      <c r="C38" s="20" t="s">
        <v>1998</v>
      </c>
      <c r="D38" s="20"/>
      <c r="F38" s="122" t="n">
        <f aca="false">IF(F$5&lt;=LastHist,0,INDEX(CV_acc,1,1))</f>
        <v>0</v>
      </c>
      <c r="G38" s="122" t="n">
        <f aca="false">IF(G$5&lt;=LastHist,0,INDEX(CV_acc,1,2))</f>
        <v>0</v>
      </c>
      <c r="H38" s="122" t="n">
        <f aca="false">IF(H$5&lt;=LastHist,0,INDEX(CV_acc,1,3))</f>
        <v>0</v>
      </c>
      <c r="I38" s="122" t="n">
        <f aca="false">IF(I$5&lt;=LastHist,0,INDEX(CV_acc,1,4))</f>
        <v>0</v>
      </c>
      <c r="J38" s="122" t="n">
        <f aca="false">IF(J$5&lt;=LastHist,0,INDEX(CV_acc,1,5))</f>
        <v>0</v>
      </c>
      <c r="K38" s="122" t="n">
        <f aca="false">IF(K$5&lt;=LastHist,0,INDEX(CV_acc,1,6))</f>
        <v>0</v>
      </c>
      <c r="L38" s="122" t="n">
        <f aca="false">IF(L$5&lt;=LastHist,0,INDEX(CV_acc,1,7))</f>
        <v>0</v>
      </c>
      <c r="M38" s="122" t="n">
        <f aca="false">IF(M$5&lt;=LastHist,0,INDEX(CV_acc,1,8))</f>
        <v>0</v>
      </c>
      <c r="N38" s="122" t="n">
        <f aca="false">IF(N$5&lt;=LastHist,0,INDEX(CV_acc,1,9))</f>
        <v>0</v>
      </c>
      <c r="O38" s="122" t="n">
        <f aca="false">IF(O$5&lt;=LastHist,0,INDEX(CV_acc,1,10))</f>
        <v>0</v>
      </c>
      <c r="P38" s="123" t="n">
        <f aca="false">IF(P$5&lt;=LastHist,0,INDEX(CV_acc,1,11))</f>
        <v>104.869898900448</v>
      </c>
      <c r="Q38" s="123" t="n">
        <f aca="false">IF(Q$5&lt;=LastHist,0,INDEX(CV_acc,1,12))</f>
        <v>104.869898900448</v>
      </c>
      <c r="R38" s="123" t="n">
        <f aca="false">IF(R$5&lt;=LastHist,0,INDEX(CV_acc,1,13))</f>
        <v>153.672050583338</v>
      </c>
      <c r="S38" s="123" t="n">
        <f aca="false">IF(S$5&lt;=LastHist,0,INDEX(CV_acc,1,14))</f>
        <v>153.672050583338</v>
      </c>
      <c r="T38" s="123" t="n">
        <f aca="false">IF(T$5&lt;=LastHist,0,INDEX(CV_acc,1,15))</f>
        <v>202.386486464403</v>
      </c>
      <c r="U38" s="123" t="n">
        <f aca="false">IF(U$5&lt;=LastHist,0,INDEX(CV_acc,1,16))</f>
        <v>202.386486464403</v>
      </c>
      <c r="V38" s="123" t="n">
        <f aca="false">IF(V$5&lt;=LastHist,0,INDEX(CV_acc,1,17))</f>
        <v>202.386486464403</v>
      </c>
      <c r="W38" s="123" t="n">
        <f aca="false">IF(W$5&lt;=LastHist,0,INDEX(CV_acc,1,18))</f>
        <v>202.386486464403</v>
      </c>
      <c r="X38" s="123" t="n">
        <f aca="false">IF(X$5&lt;=LastHist,0,INDEX(CV_acc,1,19))</f>
        <v>202.386486464403</v>
      </c>
      <c r="Y38" s="123" t="n">
        <f aca="false">IF(Y$5&lt;=LastHist,0,INDEX(CV_acc,1,20))</f>
        <v>202.386486464403</v>
      </c>
      <c r="Z38" s="123" t="n">
        <f aca="false">IF(Z$5&lt;=LastHist,0,INDEX(CV_acc,1,21))</f>
        <v>202.386486464403</v>
      </c>
      <c r="AA38" s="123" t="n">
        <f aca="false">IF(AA$5&lt;=LastHist,0,INDEX(CV_acc,1,22))</f>
        <v>201.26161185377</v>
      </c>
      <c r="AB38" s="123" t="n">
        <f aca="false">IF(AB$5&lt;=LastHist,0,INDEX(CV_acc,1,23))</f>
        <v>201.26161185377</v>
      </c>
      <c r="AC38" s="123" t="n">
        <f aca="false">IF(AC$5&lt;=LastHist,0,INDEX(CV_acc,1,24))</f>
        <v>201.26161185377</v>
      </c>
      <c r="AD38" s="123" t="n">
        <f aca="false">IF(AD$5&lt;=LastHist,0,INDEX(CV_acc,1,25))</f>
        <v>176.475764096099</v>
      </c>
      <c r="AE38" s="123" t="n">
        <f aca="false">IF(AE$5&lt;=LastHist,0,INDEX(CV_acc,1,26))</f>
        <v>176.475764096099</v>
      </c>
      <c r="AF38" s="123" t="n">
        <f aca="false">IF(AF$5&lt;=LastHist,0,INDEX(CV_acc,1,27))</f>
        <v>137.156660480432</v>
      </c>
      <c r="AG38" s="123" t="n">
        <f aca="false">IF(AG$5&lt;=LastHist,0,INDEX(CV_acc,1,28))</f>
        <v>137.156660480432</v>
      </c>
      <c r="AI38" s="123" t="n">
        <f aca="false">SUMIF($F$7:$AG$7,AI$7,$F38:$AG38)</f>
        <v>0</v>
      </c>
      <c r="AJ38" s="123" t="n">
        <f aca="false">SUMIF($F$7:$AG$7,AJ$7,$F38:$AG38)</f>
        <v>0</v>
      </c>
      <c r="AK38" s="123" t="n">
        <f aca="false">SUMIF($F$7:$AG$7,AK$7,$F38:$AG38)</f>
        <v>209.739797800896</v>
      </c>
      <c r="AL38" s="123" t="n">
        <f aca="false">SUMIF($F$7:$AG$7,AL$7,$F38:$AG38)</f>
        <v>712.117074095482</v>
      </c>
      <c r="AM38" s="123" t="n">
        <f aca="false">SUMIF($F$7:$AG$7,AM$7,$F38:$AG38)</f>
        <v>809.545945857613</v>
      </c>
      <c r="AN38" s="123" t="n">
        <f aca="false">SUMIF($F$7:$AG$7,AN$7,$F38:$AG38)</f>
        <v>806.171322025714</v>
      </c>
      <c r="AO38" s="123" t="n">
        <f aca="false">SUMIF($F$7:$AG$7,AO$7,$F38:$AG38)</f>
        <v>627.264849153063</v>
      </c>
    </row>
    <row r="39" customFormat="false" ht="15" hidden="false" customHeight="false" outlineLevel="0" collapsed="false">
      <c r="A39" s="104" t="s">
        <v>2148</v>
      </c>
      <c r="B39" s="20" t="s">
        <v>561</v>
      </c>
      <c r="C39" s="20" t="s">
        <v>1998</v>
      </c>
      <c r="D39" s="20"/>
      <c r="F39" s="122" t="n">
        <f aca="false">IF(F$5&lt;=LastHist,0,INDEX(Sec_Int,1,1))</f>
        <v>0</v>
      </c>
      <c r="G39" s="122" t="n">
        <f aca="false">IF(G$5&lt;=LastHist,0,INDEX(Sec_Int,1,2))</f>
        <v>0</v>
      </c>
      <c r="H39" s="122" t="n">
        <f aca="false">IF(H$5&lt;=LastHist,0,INDEX(Sec_Int,1,3))</f>
        <v>0</v>
      </c>
      <c r="I39" s="122" t="n">
        <f aca="false">IF(I$5&lt;=LastHist,0,INDEX(Sec_Int,1,4))</f>
        <v>0</v>
      </c>
      <c r="J39" s="122" t="n">
        <f aca="false">IF(J$5&lt;=LastHist,0,INDEX(Sec_Int,1,5))</f>
        <v>0</v>
      </c>
      <c r="K39" s="122" t="n">
        <f aca="false">IF(K$5&lt;=LastHist,0,INDEX(Sec_Int,1,6))</f>
        <v>0</v>
      </c>
      <c r="L39" s="122" t="n">
        <f aca="false">IF(L$5&lt;=LastHist,0,INDEX(Sec_Int,1,7))</f>
        <v>0</v>
      </c>
      <c r="M39" s="122" t="n">
        <f aca="false">IF(M$5&lt;=LastHist,0,INDEX(Sec_Int,1,8))</f>
        <v>0</v>
      </c>
      <c r="N39" s="122" t="n">
        <f aca="false">IF(N$5&lt;=LastHist,0,INDEX(Sec_Int,1,9))</f>
        <v>0</v>
      </c>
      <c r="O39" s="122" t="n">
        <f aca="false">IF(O$5&lt;=LastHist,0,INDEX(Sec_Int,1,10))</f>
        <v>0</v>
      </c>
      <c r="P39" s="123" t="n">
        <f aca="false">IF(P$5&lt;=LastHist,0,INDEX(Sec_Int,1,11))</f>
        <v>0</v>
      </c>
      <c r="Q39" s="123" t="n">
        <f aca="false">IF(Q$5&lt;=LastHist,0,INDEX(Sec_Int,1,12))</f>
        <v>0</v>
      </c>
      <c r="R39" s="123" t="n">
        <f aca="false">IF(R$5&lt;=LastHist,0,INDEX(Sec_Int,1,13))</f>
        <v>0</v>
      </c>
      <c r="S39" s="123" t="n">
        <f aca="false">IF(S$5&lt;=LastHist,0,INDEX(Sec_Int,1,14))</f>
        <v>0</v>
      </c>
      <c r="T39" s="123" t="n">
        <f aca="false">IF(T$5&lt;=LastHist,0,INDEX(Sec_Int,1,15))</f>
        <v>0</v>
      </c>
      <c r="U39" s="123" t="n">
        <f aca="false">IF(U$5&lt;=LastHist,0,INDEX(Sec_Int,1,16))</f>
        <v>0</v>
      </c>
      <c r="V39" s="123" t="n">
        <f aca="false">IF(V$5&lt;=LastHist,0,INDEX(Sec_Int,1,17))</f>
        <v>0</v>
      </c>
      <c r="W39" s="123" t="n">
        <f aca="false">IF(W$5&lt;=LastHist,0,INDEX(Sec_Int,1,18))</f>
        <v>0</v>
      </c>
      <c r="X39" s="123" t="n">
        <f aca="false">IF(X$5&lt;=LastHist,0,INDEX(Sec_Int,1,19))</f>
        <v>0</v>
      </c>
      <c r="Y39" s="123" t="n">
        <f aca="false">IF(Y$5&lt;=LastHist,0,INDEX(Sec_Int,1,20))</f>
        <v>0</v>
      </c>
      <c r="Z39" s="123" t="n">
        <f aca="false">IF(Z$5&lt;=LastHist,0,INDEX(Sec_Int,1,21))</f>
        <v>0</v>
      </c>
      <c r="AA39" s="123" t="n">
        <f aca="false">IF(AA$5&lt;=LastHist,0,INDEX(Sec_Int,1,22))</f>
        <v>0</v>
      </c>
      <c r="AB39" s="123" t="n">
        <f aca="false">IF(AB$5&lt;=LastHist,0,INDEX(Sec_Int,1,23))</f>
        <v>0</v>
      </c>
      <c r="AC39" s="123" t="n">
        <f aca="false">IF(AC$5&lt;=LastHist,0,INDEX(Sec_Int,1,24))</f>
        <v>0</v>
      </c>
      <c r="AD39" s="123" t="n">
        <f aca="false">IF(AD$5&lt;=LastHist,0,INDEX(Sec_Int,1,25))</f>
        <v>0</v>
      </c>
      <c r="AE39" s="123" t="n">
        <f aca="false">IF(AE$5&lt;=LastHist,0,INDEX(Sec_Int,1,26))</f>
        <v>0</v>
      </c>
      <c r="AF39" s="123" t="n">
        <f aca="false">IF(AF$5&lt;=LastHist,0,INDEX(Sec_Int,1,27))</f>
        <v>0</v>
      </c>
      <c r="AG39" s="123" t="n">
        <f aca="false">IF(AG$5&lt;=LastHist,0,INDEX(Sec_Int,1,28))</f>
        <v>0</v>
      </c>
      <c r="AI39" s="123" t="n">
        <f aca="false">SUMIF($F$7:$AG$7,AI$7,$F39:$AG39)</f>
        <v>0</v>
      </c>
      <c r="AJ39" s="123" t="n">
        <f aca="false">SUMIF($F$7:$AG$7,AJ$7,$F39:$AG39)</f>
        <v>0</v>
      </c>
      <c r="AK39" s="123" t="n">
        <f aca="false">SUMIF($F$7:$AG$7,AK$7,$F39:$AG39)</f>
        <v>0</v>
      </c>
      <c r="AL39" s="123" t="n">
        <f aca="false">SUMIF($F$7:$AG$7,AL$7,$F39:$AG39)</f>
        <v>0</v>
      </c>
      <c r="AM39" s="123" t="n">
        <f aca="false">SUMIF($F$7:$AG$7,AM$7,$F39:$AG39)</f>
        <v>0</v>
      </c>
      <c r="AN39" s="123" t="n">
        <f aca="false">SUMIF($F$7:$AG$7,AN$7,$F39:$AG39)</f>
        <v>0</v>
      </c>
      <c r="AO39" s="123" t="n">
        <f aca="false">SUMIF($F$7:$AG$7,AO$7,$F39:$AG39)</f>
        <v>0</v>
      </c>
    </row>
    <row r="40" customFormat="false" ht="15" hidden="false" customHeight="false" outlineLevel="0" collapsed="false">
      <c r="A40" s="104" t="s">
        <v>2182</v>
      </c>
      <c r="B40" s="20" t="s">
        <v>561</v>
      </c>
      <c r="C40" s="20" t="s">
        <v>2183</v>
      </c>
      <c r="D40" s="20"/>
      <c r="F40" s="122" t="n">
        <f aca="false">IF(F$5&lt;=LastHist,0,INDEX(CF_PlugInt,1,1))</f>
        <v>0</v>
      </c>
      <c r="G40" s="122" t="n">
        <f aca="false">IF(G$5&lt;=LastHist,0,INDEX(CF_PlugInt,1,2))</f>
        <v>0</v>
      </c>
      <c r="H40" s="122" t="n">
        <f aca="false">IF(H$5&lt;=LastHist,0,INDEX(CF_PlugInt,1,3))</f>
        <v>0</v>
      </c>
      <c r="I40" s="122" t="n">
        <f aca="false">IF(I$5&lt;=LastHist,0,INDEX(CF_PlugInt,1,4))</f>
        <v>0</v>
      </c>
      <c r="J40" s="122" t="n">
        <f aca="false">IF(J$5&lt;=LastHist,0,INDEX(CF_PlugInt,1,5))</f>
        <v>0</v>
      </c>
      <c r="K40" s="122" t="n">
        <f aca="false">IF(K$5&lt;=LastHist,0,INDEX(CF_PlugInt,1,6))</f>
        <v>0</v>
      </c>
      <c r="L40" s="122" t="n">
        <f aca="false">IF(L$5&lt;=LastHist,0,INDEX(CF_PlugInt,1,7))</f>
        <v>0</v>
      </c>
      <c r="M40" s="122" t="n">
        <f aca="false">IF(M$5&lt;=LastHist,0,INDEX(CF_PlugInt,1,8))</f>
        <v>0</v>
      </c>
      <c r="N40" s="122" t="n">
        <f aca="false">IF(N$5&lt;=LastHist,0,INDEX(CF_PlugInt,1,9))</f>
        <v>0</v>
      </c>
      <c r="O40" s="122" t="n">
        <f aca="false">IF(O$5&lt;=LastHist,0,INDEX(CF_PlugInt,1,10))</f>
        <v>0</v>
      </c>
      <c r="P40" s="123" t="n">
        <f aca="false">IF(P$5&lt;=LastHist,0,INDEX(CF_PlugInt,1,11))</f>
        <v>0</v>
      </c>
      <c r="Q40" s="123" t="n">
        <f aca="false">IF(Q$5&lt;=LastHist,0,INDEX(CF_PlugInt,1,12))</f>
        <v>0</v>
      </c>
      <c r="R40" s="123" t="n">
        <f aca="false">IF(R$5&lt;=LastHist,0,INDEX(CF_PlugInt,1,13))</f>
        <v>0</v>
      </c>
      <c r="S40" s="123" t="n">
        <f aca="false">IF(S$5&lt;=LastHist,0,INDEX(CF_PlugInt,1,14))</f>
        <v>0</v>
      </c>
      <c r="T40" s="123" t="n">
        <f aca="false">IF(T$5&lt;=LastHist,0,INDEX(CF_PlugInt,1,15))</f>
        <v>0</v>
      </c>
      <c r="U40" s="123" t="n">
        <f aca="false">IF(U$5&lt;=LastHist,0,INDEX(CF_PlugInt,1,16))</f>
        <v>0</v>
      </c>
      <c r="V40" s="123" t="n">
        <f aca="false">IF(V$5&lt;=LastHist,0,INDEX(CF_PlugInt,1,17))</f>
        <v>0</v>
      </c>
      <c r="W40" s="123" t="n">
        <f aca="false">IF(W$5&lt;=LastHist,0,INDEX(CF_PlugInt,1,18))</f>
        <v>36.1969091364662</v>
      </c>
      <c r="X40" s="123" t="n">
        <f aca="false">IF(X$5&lt;=LastHist,0,INDEX(CF_PlugInt,1,19))</f>
        <v>46.4940597346852</v>
      </c>
      <c r="Y40" s="123" t="n">
        <f aca="false">IF(Y$5&lt;=LastHist,0,INDEX(CF_PlugInt,1,20))</f>
        <v>127.966393172491</v>
      </c>
      <c r="Z40" s="123" t="n">
        <f aca="false">IF(Z$5&lt;=LastHist,0,INDEX(CF_PlugInt,1,21))</f>
        <v>136.7894611666</v>
      </c>
      <c r="AA40" s="123" t="n">
        <f aca="false">IF(AA$5&lt;=LastHist,0,INDEX(CF_PlugInt,1,22))</f>
        <v>217.163640951238</v>
      </c>
      <c r="AB40" s="123" t="n">
        <f aca="false">IF(AB$5&lt;=LastHist,0,INDEX(CF_PlugInt,1,23))</f>
        <v>228.212318771141</v>
      </c>
      <c r="AC40" s="123" t="n">
        <f aca="false">IF(AC$5&lt;=LastHist,0,INDEX(CF_PlugInt,1,24))</f>
        <v>342.458448977426</v>
      </c>
      <c r="AD40" s="123" t="n">
        <f aca="false">IF(AD$5&lt;=LastHist,0,INDEX(CF_PlugInt,1,25))</f>
        <v>342.458448977426</v>
      </c>
      <c r="AE40" s="123" t="n">
        <f aca="false">IF(AE$5&lt;=LastHist,0,INDEX(CF_PlugInt,1,26))</f>
        <v>342.458448977426</v>
      </c>
      <c r="AF40" s="123" t="n">
        <f aca="false">IF(AF$5&lt;=LastHist,0,INDEX(CF_PlugInt,1,27))</f>
        <v>342.458448977426</v>
      </c>
      <c r="AG40" s="123" t="n">
        <f aca="false">IF(AG$5&lt;=LastHist,0,INDEX(CF_PlugInt,1,28))</f>
        <v>342.458448977426</v>
      </c>
      <c r="AI40" s="123" t="n">
        <f aca="false">SUMIF($F$7:$AG$7,AI$7,$F40:$AG40)</f>
        <v>0</v>
      </c>
      <c r="AJ40" s="123" t="n">
        <f aca="false">SUMIF($F$7:$AG$7,AJ$7,$F40:$AG40)</f>
        <v>0</v>
      </c>
      <c r="AK40" s="123" t="n">
        <f aca="false">SUMIF($F$7:$AG$7,AK$7,$F40:$AG40)</f>
        <v>0</v>
      </c>
      <c r="AL40" s="123" t="n">
        <f aca="false">SUMIF($F$7:$AG$7,AL$7,$F40:$AG40)</f>
        <v>0</v>
      </c>
      <c r="AM40" s="123" t="n">
        <f aca="false">SUMIF($F$7:$AG$7,AM$7,$F40:$AG40)</f>
        <v>210.657362043642</v>
      </c>
      <c r="AN40" s="123" t="n">
        <f aca="false">SUMIF($F$7:$AG$7,AN$7,$F40:$AG40)</f>
        <v>924.623869866406</v>
      </c>
      <c r="AO40" s="123" t="n">
        <f aca="false">SUMIF($F$7:$AG$7,AO$7,$F40:$AG40)</f>
        <v>1369.83379590971</v>
      </c>
    </row>
    <row r="41" customFormat="false" ht="15" hidden="false" customHeight="false" outlineLevel="0" collapsed="false">
      <c r="A41" s="104" t="s">
        <v>2184</v>
      </c>
      <c r="B41" s="20" t="s">
        <v>561</v>
      </c>
      <c r="C41" s="20" t="s">
        <v>2183</v>
      </c>
      <c r="D41" s="20"/>
      <c r="F41" s="122" t="n">
        <f aca="false">IF(F$5&lt;=LastHist,0,INDEX(CF_IntInc,1,1))</f>
        <v>0</v>
      </c>
      <c r="G41" s="122" t="n">
        <f aca="false">IF(G$5&lt;=LastHist,0,INDEX(CF_IntInc,1,2))</f>
        <v>0</v>
      </c>
      <c r="H41" s="122" t="n">
        <f aca="false">IF(H$5&lt;=LastHist,0,INDEX(CF_IntInc,1,3))</f>
        <v>0</v>
      </c>
      <c r="I41" s="122" t="n">
        <f aca="false">IF(I$5&lt;=LastHist,0,INDEX(CF_IntInc,1,4))</f>
        <v>0</v>
      </c>
      <c r="J41" s="122" t="n">
        <f aca="false">IF(J$5&lt;=LastHist,0,INDEX(CF_IntInc,1,5))</f>
        <v>0</v>
      </c>
      <c r="K41" s="122" t="n">
        <f aca="false">IF(K$5&lt;=LastHist,0,INDEX(CF_IntInc,1,6))</f>
        <v>0</v>
      </c>
      <c r="L41" s="122" t="n">
        <f aca="false">IF(L$5&lt;=LastHist,0,INDEX(CF_IntInc,1,7))</f>
        <v>0</v>
      </c>
      <c r="M41" s="122" t="n">
        <f aca="false">IF(M$5&lt;=LastHist,0,INDEX(CF_IntInc,1,8))</f>
        <v>0</v>
      </c>
      <c r="N41" s="122" t="n">
        <f aca="false">IF(N$5&lt;=LastHist,0,INDEX(CF_IntInc,1,9))</f>
        <v>0</v>
      </c>
      <c r="O41" s="122" t="n">
        <f aca="false">IF(O$5&lt;=LastHist,0,INDEX(CF_IntInc,1,10))</f>
        <v>0</v>
      </c>
      <c r="P41" s="123" t="n">
        <f aca="false">IF(P$5&lt;=LastHist,0,INDEX(CF_IntInc,1,11))</f>
        <v>70.368375</v>
      </c>
      <c r="Q41" s="123" t="n">
        <f aca="false">IF(Q$5&lt;=LastHist,0,INDEX(CF_IntInc,1,12))</f>
        <v>101.485125895547</v>
      </c>
      <c r="R41" s="123" t="n">
        <f aca="false">IF(R$5&lt;=LastHist,0,INDEX(CF_IntInc,1,13))</f>
        <v>92.9195143293982</v>
      </c>
      <c r="S41" s="123" t="n">
        <f aca="false">IF(S$5&lt;=LastHist,0,INDEX(CF_IntInc,1,14))</f>
        <v>95.6666926096549</v>
      </c>
      <c r="T41" s="123" t="n">
        <f aca="false">IF(T$5&lt;=LastHist,0,INDEX(CF_IntInc,1,15))</f>
        <v>47.6471349175168</v>
      </c>
      <c r="U41" s="123" t="n">
        <f aca="false">IF(U$5&lt;=LastHist,0,INDEX(CF_IntInc,1,16))</f>
        <v>41.7930476950295</v>
      </c>
      <c r="V41" s="123" t="n">
        <f aca="false">IF(V$5&lt;=LastHist,0,INDEX(CF_IntInc,1,17))</f>
        <v>17.5280234823266</v>
      </c>
      <c r="W41" s="123" t="n">
        <f aca="false">IF(W$5&lt;=LastHist,0,INDEX(CF_IntInc,1,18))</f>
        <v>17.5</v>
      </c>
      <c r="X41" s="123" t="n">
        <f aca="false">IF(X$5&lt;=LastHist,0,INDEX(CF_IntInc,1,19))</f>
        <v>17.5</v>
      </c>
      <c r="Y41" s="123" t="n">
        <f aca="false">IF(Y$5&lt;=LastHist,0,INDEX(CF_IntInc,1,20))</f>
        <v>17.5</v>
      </c>
      <c r="Z41" s="123" t="n">
        <f aca="false">IF(Z$5&lt;=LastHist,0,INDEX(CF_IntInc,1,21))</f>
        <v>17.5</v>
      </c>
      <c r="AA41" s="123" t="n">
        <f aca="false">IF(AA$5&lt;=LastHist,0,INDEX(CF_IntInc,1,22))</f>
        <v>17.5</v>
      </c>
      <c r="AB41" s="123" t="n">
        <f aca="false">IF(AB$5&lt;=LastHist,0,INDEX(CF_IntInc,1,23))</f>
        <v>17.5</v>
      </c>
      <c r="AC41" s="123" t="n">
        <f aca="false">IF(AC$5&lt;=LastHist,0,INDEX(CF_IntInc,1,24))</f>
        <v>17.5</v>
      </c>
      <c r="AD41" s="123" t="n">
        <f aca="false">IF(AD$5&lt;=LastHist,0,INDEX(CF_IntInc,1,25))</f>
        <v>45.9910974366374</v>
      </c>
      <c r="AE41" s="123" t="n">
        <f aca="false">IF(AE$5&lt;=LastHist,0,INDEX(CF_IntInc,1,26))</f>
        <v>46.3295079277104</v>
      </c>
      <c r="AF41" s="123" t="n">
        <f aca="false">IF(AF$5&lt;=LastHist,0,INDEX(CF_IntInc,1,27))</f>
        <v>84.9864897084705</v>
      </c>
      <c r="AG41" s="123" t="n">
        <f aca="false">IF(AG$5&lt;=LastHist,0,INDEX(CF_IntInc,1,28))</f>
        <v>83.669404671115</v>
      </c>
      <c r="AI41" s="123" t="n">
        <f aca="false">SUMIF($F$7:$AG$7,AI$7,$F41:$AG41)</f>
        <v>0</v>
      </c>
      <c r="AJ41" s="123" t="n">
        <f aca="false">SUMIF($F$7:$AG$7,AJ$7,$F41:$AG41)</f>
        <v>0</v>
      </c>
      <c r="AK41" s="123" t="n">
        <f aca="false">SUMIF($F$7:$AG$7,AK$7,$F41:$AG41)</f>
        <v>171.853500895547</v>
      </c>
      <c r="AL41" s="123" t="n">
        <f aca="false">SUMIF($F$7:$AG$7,AL$7,$F41:$AG41)</f>
        <v>278.026389551599</v>
      </c>
      <c r="AM41" s="123" t="n">
        <f aca="false">SUMIF($F$7:$AG$7,AM$7,$F41:$AG41)</f>
        <v>70.0280234823266</v>
      </c>
      <c r="AN41" s="123" t="n">
        <f aca="false">SUMIF($F$7:$AG$7,AN$7,$F41:$AG41)</f>
        <v>70</v>
      </c>
      <c r="AO41" s="123" t="n">
        <f aca="false">SUMIF($F$7:$AG$7,AO$7,$F41:$AG41)</f>
        <v>260.976499743933</v>
      </c>
    </row>
    <row r="42" customFormat="false" ht="15" hidden="false" customHeight="false" outlineLevel="0" collapsed="false">
      <c r="A42" s="104" t="s">
        <v>2185</v>
      </c>
      <c r="B42" s="20" t="s">
        <v>561</v>
      </c>
      <c r="C42" s="20" t="s">
        <v>1913</v>
      </c>
      <c r="D42" s="20"/>
      <c r="F42" s="122" t="n">
        <f aca="false">IF(F$5&lt;=LastHist,0,INDEX(CapInt,1,1))</f>
        <v>0</v>
      </c>
      <c r="G42" s="122" t="n">
        <f aca="false">IF(G$5&lt;=LastHist,0,INDEX(CapInt,1,2))</f>
        <v>0</v>
      </c>
      <c r="H42" s="122" t="n">
        <f aca="false">IF(H$5&lt;=LastHist,0,INDEX(CapInt,1,3))</f>
        <v>0</v>
      </c>
      <c r="I42" s="122" t="n">
        <f aca="false">IF(I$5&lt;=LastHist,0,INDEX(CapInt,1,4))</f>
        <v>0</v>
      </c>
      <c r="J42" s="122" t="n">
        <f aca="false">IF(J$5&lt;=LastHist,0,INDEX(CapInt,1,5))</f>
        <v>0</v>
      </c>
      <c r="K42" s="122" t="n">
        <f aca="false">IF(K$5&lt;=LastHist,0,INDEX(CapInt,1,6))</f>
        <v>0</v>
      </c>
      <c r="L42" s="122" t="n">
        <f aca="false">IF(L$5&lt;=LastHist,0,INDEX(CapInt,1,7))</f>
        <v>0</v>
      </c>
      <c r="M42" s="122" t="n">
        <f aca="false">IF(M$5&lt;=LastHist,0,INDEX(CapInt,1,8))</f>
        <v>0</v>
      </c>
      <c r="N42" s="122" t="n">
        <f aca="false">IF(N$5&lt;=LastHist,0,INDEX(CapInt,1,9))</f>
        <v>0</v>
      </c>
      <c r="O42" s="122" t="n">
        <f aca="false">IF(O$5&lt;=LastHist,0,INDEX(CapInt,1,10))</f>
        <v>0</v>
      </c>
      <c r="P42" s="123" t="n">
        <f aca="false">IF(P$5&lt;=LastHist,0,INDEX(CapInt,1,11))</f>
        <v>63.7840843762675</v>
      </c>
      <c r="Q42" s="123" t="n">
        <f aca="false">IF(Q$5&lt;=LastHist,0,INDEX(CapInt,1,12))</f>
        <v>63.7840843762675</v>
      </c>
      <c r="R42" s="123" t="n">
        <f aca="false">IF(R$5&lt;=LastHist,0,INDEX(CapInt,1,13))</f>
        <v>94.6024891056684</v>
      </c>
      <c r="S42" s="123" t="n">
        <f aca="false">IF(S$5&lt;=LastHist,0,INDEX(CapInt,1,14))</f>
        <v>94.6024891056684</v>
      </c>
      <c r="T42" s="123" t="n">
        <f aca="false">IF(T$5&lt;=LastHist,0,INDEX(CapInt,1,15))</f>
        <v>125.388088125187</v>
      </c>
      <c r="U42" s="123" t="n">
        <f aca="false">IF(U$5&lt;=LastHist,0,INDEX(CapInt,1,16))</f>
        <v>125.388088125187</v>
      </c>
      <c r="V42" s="123" t="n">
        <f aca="false">IF(V$5&lt;=LastHist,0,INDEX(CapInt,1,17))</f>
        <v>125.388088125187</v>
      </c>
      <c r="W42" s="123" t="n">
        <f aca="false">IF(W$5&lt;=LastHist,0,INDEX(CapInt,1,18))</f>
        <v>125.388088125187</v>
      </c>
      <c r="X42" s="123" t="n">
        <f aca="false">IF(X$5&lt;=LastHist,0,INDEX(CapInt,1,19))</f>
        <v>125.388088125187</v>
      </c>
      <c r="Y42" s="123" t="n">
        <f aca="false">IF(Y$5&lt;=LastHist,0,INDEX(CapInt,1,20))</f>
        <v>125.388088125187</v>
      </c>
      <c r="Z42" s="123" t="n">
        <f aca="false">IF(Z$5&lt;=LastHist,0,INDEX(CapInt,1,21))</f>
        <v>125.388088125187</v>
      </c>
      <c r="AA42" s="123" t="n">
        <f aca="false">IF(AA$5&lt;=LastHist,0,INDEX(CapInt,1,22))</f>
        <v>124.80376002081</v>
      </c>
      <c r="AB42" s="123" t="n">
        <f aca="false">IF(AB$5&lt;=LastHist,0,INDEX(CapInt,1,23))</f>
        <v>124.80376002081</v>
      </c>
      <c r="AC42" s="123" t="n">
        <f aca="false">IF(AC$5&lt;=LastHist,0,INDEX(CapInt,1,24))</f>
        <v>124.80376002081</v>
      </c>
      <c r="AD42" s="123" t="n">
        <f aca="false">IF(AD$5&lt;=LastHist,0,INDEX(CapInt,1,25))</f>
        <v>113.920977959441</v>
      </c>
      <c r="AE42" s="123" t="n">
        <f aca="false">IF(AE$5&lt;=LastHist,0,INDEX(CapInt,1,26))</f>
        <v>113.920977959441</v>
      </c>
      <c r="AF42" s="123" t="n">
        <f aca="false">IF(AF$5&lt;=LastHist,0,INDEX(CapInt,1,27))</f>
        <v>95.9419644571817</v>
      </c>
      <c r="AG42" s="123" t="n">
        <f aca="false">IF(AG$5&lt;=LastHist,0,INDEX(CapInt,1,28))</f>
        <v>95.9419644571817</v>
      </c>
      <c r="AI42" s="123" t="n">
        <f aca="false">SUMIF($F$7:$AG$7,AI$7,$F42:$AG42)</f>
        <v>0</v>
      </c>
      <c r="AJ42" s="123" t="n">
        <f aca="false">SUMIF($F$7:$AG$7,AJ$7,$F42:$AG42)</f>
        <v>0</v>
      </c>
      <c r="AK42" s="123" t="n">
        <f aca="false">SUMIF($F$7:$AG$7,AK$7,$F42:$AG42)</f>
        <v>127.568168752535</v>
      </c>
      <c r="AL42" s="123" t="n">
        <f aca="false">SUMIF($F$7:$AG$7,AL$7,$F42:$AG42)</f>
        <v>439.98115446171</v>
      </c>
      <c r="AM42" s="123" t="n">
        <f aca="false">SUMIF($F$7:$AG$7,AM$7,$F42:$AG42)</f>
        <v>501.552352500747</v>
      </c>
      <c r="AN42" s="123" t="n">
        <f aca="false">SUMIF($F$7:$AG$7,AN$7,$F42:$AG42)</f>
        <v>499.799368187617</v>
      </c>
      <c r="AO42" s="123" t="n">
        <f aca="false">SUMIF($F$7:$AG$7,AO$7,$F42:$AG42)</f>
        <v>419.725884833245</v>
      </c>
    </row>
    <row r="43" customFormat="false" ht="15" hidden="false" customHeight="false" outlineLevel="0" collapsed="false">
      <c r="A43" s="3" t="s">
        <v>2186</v>
      </c>
      <c r="B43" s="20" t="s">
        <v>561</v>
      </c>
      <c r="C43" s="20" t="s">
        <v>495</v>
      </c>
      <c r="D43" s="20"/>
      <c r="F43" s="124" t="n">
        <f aca="false">IF(F$5&lt;=LastHist,0,F33-F37-F38-F39-F40+F41+F42)</f>
        <v>0</v>
      </c>
      <c r="G43" s="124" t="n">
        <f aca="false">IF(G$5&lt;=LastHist,0,G33-G37-G38-G39-G40+G41+G42)</f>
        <v>0</v>
      </c>
      <c r="H43" s="124" t="n">
        <f aca="false">IF(H$5&lt;=LastHist,0,H33-H37-H38-H39-H40+H41+H42)</f>
        <v>0</v>
      </c>
      <c r="I43" s="124" t="n">
        <f aca="false">IF(I$5&lt;=LastHist,0,I33-I37-I38-I39-I40+I41+I42)</f>
        <v>0</v>
      </c>
      <c r="J43" s="124" t="n">
        <f aca="false">IF(J$5&lt;=LastHist,0,J33-J37-J38-J39-J40+J41+J42)</f>
        <v>0</v>
      </c>
      <c r="K43" s="124" t="n">
        <f aca="false">IF(K$5&lt;=LastHist,0,K33-K37-K38-K39-K40+K41+K42)</f>
        <v>0</v>
      </c>
      <c r="L43" s="124" t="n">
        <f aca="false">IF(L$5&lt;=LastHist,0,L33-L37-L38-L39-L40+L41+L42)</f>
        <v>0</v>
      </c>
      <c r="M43" s="124" t="n">
        <f aca="false">IF(M$5&lt;=LastHist,0,M33-M37-M38-M39-M40+M41+M42)</f>
        <v>0</v>
      </c>
      <c r="N43" s="124" t="n">
        <f aca="false">IF(N$5&lt;=LastHist,0,N33-N37-N38-N39-N40+N41+N42)</f>
        <v>0</v>
      </c>
      <c r="O43" s="124" t="n">
        <f aca="false">IF(O$5&lt;=LastHist,0,O33-O37-O38-O39-O40+O41+O42)</f>
        <v>0</v>
      </c>
      <c r="P43" s="96" t="n">
        <f aca="false">IF(P$5&lt;=LastHist,0,P33-P37-P38-P39-P40+P41+P42)</f>
        <v>-375.875479641234</v>
      </c>
      <c r="Q43" s="96" t="n">
        <f aca="false">IF(Q$5&lt;=LastHist,0,Q33-Q37-Q38-Q39-Q40+Q41+Q42)</f>
        <v>-298.67471207702</v>
      </c>
      <c r="R43" s="96" t="n">
        <f aca="false">IF(R$5&lt;=LastHist,0,R33-R37-R38-R39-R40+R41+R42)</f>
        <v>-326.299450715851</v>
      </c>
      <c r="S43" s="96" t="n">
        <f aca="false">IF(S$5&lt;=LastHist,0,S33-S37-S38-S39-S40+S41+S42)</f>
        <v>-335.106738571237</v>
      </c>
      <c r="T43" s="96" t="n">
        <f aca="false">IF(T$5&lt;=LastHist,0,T33-T37-T38-T39-T40+T41+T42)</f>
        <v>-404.242841280291</v>
      </c>
      <c r="U43" s="96" t="n">
        <f aca="false">IF(U$5&lt;=LastHist,0,U33-U37-U38-U39-U40+U41+U42)</f>
        <v>-377.661758260106</v>
      </c>
      <c r="V43" s="96" t="n">
        <f aca="false">IF(V$5&lt;=LastHist,0,V33-V37-V38-V39-V40+V41+V42)</f>
        <v>-251.155521513038</v>
      </c>
      <c r="W43" s="96" t="n">
        <f aca="false">IF(W$5&lt;=LastHist,0,W33-W37-W38-W39-W40+W41+W42)</f>
        <v>18.2029006490354</v>
      </c>
      <c r="X43" s="96" t="n">
        <f aca="false">IF(X$5&lt;=LastHist,0,X33-X37-X38-X39-X40+X41+X42)</f>
        <v>-4.31007589131211</v>
      </c>
      <c r="Y43" s="96" t="n">
        <f aca="false">IF(Y$5&lt;=LastHist,0,Y33-Y37-Y38-Y39-Y40+Y41+Y42)</f>
        <v>104.597030342668</v>
      </c>
      <c r="Z43" s="96" t="n">
        <f aca="false">IF(Z$5&lt;=LastHist,0,Z33-Z37-Z38-Z39-Z40+Z41+Z42)</f>
        <v>48.5000606564387</v>
      </c>
      <c r="AA43" s="96" t="n">
        <f aca="false">IF(AA$5&lt;=LastHist,0,AA33-AA37-AA38-AA39-AA40+AA41+AA42)</f>
        <v>452.17431486009</v>
      </c>
      <c r="AB43" s="96" t="n">
        <f aca="false">IF(AB$5&lt;=LastHist,0,AB33-AB37-AB38-AB39-AB40+AB41+AB42)</f>
        <v>164.982213724459</v>
      </c>
      <c r="AC43" s="96" t="n">
        <f aca="false">IF(AC$5&lt;=LastHist,0,AC33-AC37-AC38-AC39-AC40+AC41+AC42)</f>
        <v>502.900845162414</v>
      </c>
      <c r="AD43" s="96" t="n">
        <f aca="false">IF(AD$5&lt;=LastHist,0,AD33-AD37-AD38-AD39-AD40+AD41+AD42)</f>
        <v>372.884368121063</v>
      </c>
      <c r="AE43" s="96" t="n">
        <f aca="false">IF(AE$5&lt;=LastHist,0,AE33-AE37-AE38-AE39-AE40+AE41+AE42)</f>
        <v>1073.87516095695</v>
      </c>
      <c r="AF43" s="96" t="n">
        <f aca="false">IF(AF$5&lt;=LastHist,0,AF33-AF37-AF38-AF39-AF40+AF41+AF42)</f>
        <v>1096.38676285609</v>
      </c>
      <c r="AG43" s="96" t="n">
        <f aca="false">IF(AG$5&lt;=LastHist,0,AG33-AG37-AG38-AG39-AG40+AG41+AG42)</f>
        <v>1231.66585289825</v>
      </c>
      <c r="AI43" s="96" t="n">
        <f aca="false">SUMIF($F$7:$AG$7,AI$7,$F43:$AG43)</f>
        <v>0</v>
      </c>
      <c r="AJ43" s="96" t="n">
        <f aca="false">SUMIF($F$7:$AG$7,AJ$7,$F43:$AG43)</f>
        <v>0</v>
      </c>
      <c r="AK43" s="96" t="n">
        <f aca="false">SUMIF($F$7:$AG$7,AK$7,$F43:$AG43)</f>
        <v>-674.550191718253</v>
      </c>
      <c r="AL43" s="96" t="n">
        <f aca="false">SUMIF($F$7:$AG$7,AL$7,$F43:$AG43)</f>
        <v>-1443.31078882748</v>
      </c>
      <c r="AM43" s="96" t="n">
        <f aca="false">SUMIF($F$7:$AG$7,AM$7,$F43:$AG43)</f>
        <v>-132.665666412647</v>
      </c>
      <c r="AN43" s="96" t="n">
        <f aca="false">SUMIF($F$7:$AG$7,AN$7,$F43:$AG43)</f>
        <v>1168.5574344034</v>
      </c>
      <c r="AO43" s="96" t="n">
        <f aca="false">SUMIF($F$7:$AG$7,AO$7,$F43:$AG43)</f>
        <v>3774.81214483236</v>
      </c>
    </row>
    <row r="44" customFormat="false" ht="15" hidden="false" customHeight="false" outlineLevel="0" collapsed="false">
      <c r="A44" s="104" t="s">
        <v>2187</v>
      </c>
      <c r="B44" s="20" t="s">
        <v>561</v>
      </c>
      <c r="C44" s="20" t="s">
        <v>495</v>
      </c>
      <c r="D44" s="20" t="s">
        <v>2188</v>
      </c>
      <c r="F44" s="122" t="n">
        <f aca="false">MAX(0,F43)*TaxRate</f>
        <v>0</v>
      </c>
      <c r="G44" s="122" t="n">
        <f aca="false">MAX(0,G43)*TaxRate</f>
        <v>0</v>
      </c>
      <c r="H44" s="122" t="n">
        <f aca="false">MAX(0,H43)*TaxRate</f>
        <v>0</v>
      </c>
      <c r="I44" s="122" t="n">
        <f aca="false">MAX(0,I43)*TaxRate</f>
        <v>0</v>
      </c>
      <c r="J44" s="122" t="n">
        <f aca="false">MAX(0,J43)*TaxRate</f>
        <v>0</v>
      </c>
      <c r="K44" s="122" t="n">
        <f aca="false">MAX(0,K43)*TaxRate</f>
        <v>0</v>
      </c>
      <c r="L44" s="122" t="n">
        <f aca="false">MAX(0,L43)*TaxRate</f>
        <v>0</v>
      </c>
      <c r="M44" s="122" t="n">
        <f aca="false">MAX(0,M43)*TaxRate</f>
        <v>0</v>
      </c>
      <c r="N44" s="122" t="n">
        <f aca="false">MAX(0,N43)*TaxRate</f>
        <v>0</v>
      </c>
      <c r="O44" s="122" t="n">
        <f aca="false">MAX(0,O43)*TaxRate</f>
        <v>0</v>
      </c>
      <c r="P44" s="123" t="n">
        <f aca="false">MAX(0,P43)*TaxRate</f>
        <v>0</v>
      </c>
      <c r="Q44" s="123" t="n">
        <f aca="false">MAX(0,Q43)*TaxRate</f>
        <v>0</v>
      </c>
      <c r="R44" s="123" t="n">
        <f aca="false">MAX(0,R43)*TaxRate</f>
        <v>0</v>
      </c>
      <c r="S44" s="123" t="n">
        <f aca="false">MAX(0,S43)*TaxRate</f>
        <v>0</v>
      </c>
      <c r="T44" s="123" t="n">
        <f aca="false">MAX(0,T43)*TaxRate</f>
        <v>0</v>
      </c>
      <c r="U44" s="123" t="n">
        <f aca="false">MAX(0,U43)*TaxRate</f>
        <v>0</v>
      </c>
      <c r="V44" s="123" t="n">
        <f aca="false">MAX(0,V43)*TaxRate</f>
        <v>0</v>
      </c>
      <c r="W44" s="123" t="n">
        <f aca="false">MAX(0,W43)*TaxRate</f>
        <v>4.69634836745113</v>
      </c>
      <c r="X44" s="123" t="n">
        <f aca="false">MAX(0,X43)*TaxRate</f>
        <v>0</v>
      </c>
      <c r="Y44" s="123" t="n">
        <f aca="false">MAX(0,Y43)*TaxRate</f>
        <v>26.9860338284083</v>
      </c>
      <c r="Z44" s="123" t="n">
        <f aca="false">MAX(0,Z43)*TaxRate</f>
        <v>12.5130156493612</v>
      </c>
      <c r="AA44" s="123" t="n">
        <f aca="false">MAX(0,AA43)*TaxRate</f>
        <v>116.660973233903</v>
      </c>
      <c r="AB44" s="123" t="n">
        <f aca="false">MAX(0,AB43)*TaxRate</f>
        <v>42.5654111409105</v>
      </c>
      <c r="AC44" s="123" t="n">
        <f aca="false">MAX(0,AC43)*TaxRate</f>
        <v>129.748418051903</v>
      </c>
      <c r="AD44" s="123" t="n">
        <f aca="false">MAX(0,AD43)*TaxRate</f>
        <v>96.2041669752344</v>
      </c>
      <c r="AE44" s="123" t="n">
        <f aca="false">MAX(0,AE43)*TaxRate</f>
        <v>277.059791526894</v>
      </c>
      <c r="AF44" s="123" t="n">
        <f aca="false">MAX(0,AF43)*TaxRate</f>
        <v>282.867784816872</v>
      </c>
      <c r="AG44" s="123" t="n">
        <f aca="false">MAX(0,AG43)*TaxRate</f>
        <v>317.769790047749</v>
      </c>
      <c r="AI44" s="123" t="n">
        <f aca="false">SUMIF($F$7:$AG$7,AI$7,$F44:$AG44)</f>
        <v>0</v>
      </c>
      <c r="AJ44" s="123" t="n">
        <f aca="false">SUMIF($F$7:$AG$7,AJ$7,$F44:$AG44)</f>
        <v>0</v>
      </c>
      <c r="AK44" s="123" t="n">
        <f aca="false">SUMIF($F$7:$AG$7,AK$7,$F44:$AG44)</f>
        <v>0</v>
      </c>
      <c r="AL44" s="123" t="n">
        <f aca="false">SUMIF($F$7:$AG$7,AL$7,$F44:$AG44)</f>
        <v>0</v>
      </c>
      <c r="AM44" s="123" t="n">
        <f aca="false">SUMIF($F$7:$AG$7,AM$7,$F44:$AG44)</f>
        <v>31.6823821958594</v>
      </c>
      <c r="AN44" s="123" t="n">
        <f aca="false">SUMIF($F$7:$AG$7,AN$7,$F44:$AG44)</f>
        <v>301.487818076078</v>
      </c>
      <c r="AO44" s="123" t="n">
        <f aca="false">SUMIF($F$7:$AG$7,AO$7,$F44:$AG44)</f>
        <v>973.901533366748</v>
      </c>
    </row>
    <row r="45" customFormat="false" ht="15" hidden="false" customHeight="false" outlineLevel="0" collapsed="false">
      <c r="A45" s="3" t="s">
        <v>2189</v>
      </c>
      <c r="B45" s="20" t="s">
        <v>561</v>
      </c>
      <c r="C45" s="20" t="s">
        <v>495</v>
      </c>
      <c r="D45" s="20"/>
      <c r="F45" s="124" t="n">
        <f aca="false">F43-F44</f>
        <v>0</v>
      </c>
      <c r="G45" s="124" t="n">
        <f aca="false">G43-G44</f>
        <v>0</v>
      </c>
      <c r="H45" s="124" t="n">
        <f aca="false">H43-H44</f>
        <v>0</v>
      </c>
      <c r="I45" s="124" t="n">
        <f aca="false">I43-I44</f>
        <v>0</v>
      </c>
      <c r="J45" s="124" t="n">
        <f aca="false">J43-J44</f>
        <v>0</v>
      </c>
      <c r="K45" s="124" t="n">
        <f aca="false">K43-K44</f>
        <v>0</v>
      </c>
      <c r="L45" s="124" t="n">
        <f aca="false">L43-L44</f>
        <v>0</v>
      </c>
      <c r="M45" s="124" t="n">
        <f aca="false">M43-M44</f>
        <v>0</v>
      </c>
      <c r="N45" s="124" t="n">
        <f aca="false">N43-N44</f>
        <v>0</v>
      </c>
      <c r="O45" s="124" t="n">
        <f aca="false">O43-O44</f>
        <v>0</v>
      </c>
      <c r="P45" s="96" t="n">
        <f aca="false">P43-P44</f>
        <v>-375.875479641234</v>
      </c>
      <c r="Q45" s="96" t="n">
        <f aca="false">Q43-Q44</f>
        <v>-298.67471207702</v>
      </c>
      <c r="R45" s="96" t="n">
        <f aca="false">R43-R44</f>
        <v>-326.299450715851</v>
      </c>
      <c r="S45" s="96" t="n">
        <f aca="false">S43-S44</f>
        <v>-335.106738571237</v>
      </c>
      <c r="T45" s="96" t="n">
        <f aca="false">T43-T44</f>
        <v>-404.242841280291</v>
      </c>
      <c r="U45" s="96" t="n">
        <f aca="false">U43-U44</f>
        <v>-377.661758260106</v>
      </c>
      <c r="V45" s="96" t="n">
        <f aca="false">V43-V44</f>
        <v>-251.155521513038</v>
      </c>
      <c r="W45" s="96" t="n">
        <f aca="false">W43-W44</f>
        <v>13.5065522815842</v>
      </c>
      <c r="X45" s="96" t="n">
        <f aca="false">X43-X44</f>
        <v>-4.31007589131211</v>
      </c>
      <c r="Y45" s="96" t="n">
        <f aca="false">Y43-Y44</f>
        <v>77.6109965142594</v>
      </c>
      <c r="Z45" s="96" t="n">
        <f aca="false">Z43-Z44</f>
        <v>35.9870450070775</v>
      </c>
      <c r="AA45" s="96" t="n">
        <f aca="false">AA43-AA44</f>
        <v>335.513341626187</v>
      </c>
      <c r="AB45" s="96" t="n">
        <f aca="false">AB43-AB44</f>
        <v>122.416802583549</v>
      </c>
      <c r="AC45" s="96" t="n">
        <f aca="false">AC43-AC44</f>
        <v>373.152427110511</v>
      </c>
      <c r="AD45" s="96" t="n">
        <f aca="false">AD43-AD44</f>
        <v>276.680201145829</v>
      </c>
      <c r="AE45" s="96" t="n">
        <f aca="false">AE43-AE44</f>
        <v>796.815369430059</v>
      </c>
      <c r="AF45" s="96" t="n">
        <f aca="false">AF43-AF44</f>
        <v>813.51897803922</v>
      </c>
      <c r="AG45" s="96" t="n">
        <f aca="false">AG43-AG44</f>
        <v>913.896062850501</v>
      </c>
      <c r="AI45" s="96" t="n">
        <f aca="false">SUMIF($F$7:$AG$7,AI$7,$F45:$AG45)</f>
        <v>0</v>
      </c>
      <c r="AJ45" s="96" t="n">
        <f aca="false">SUMIF($F$7:$AG$7,AJ$7,$F45:$AG45)</f>
        <v>0</v>
      </c>
      <c r="AK45" s="96" t="n">
        <f aca="false">SUMIF($F$7:$AG$7,AK$7,$F45:$AG45)</f>
        <v>-674.550191718253</v>
      </c>
      <c r="AL45" s="96" t="n">
        <f aca="false">SUMIF($F$7:$AG$7,AL$7,$F45:$AG45)</f>
        <v>-1443.31078882748</v>
      </c>
      <c r="AM45" s="96" t="n">
        <f aca="false">SUMIF($F$7:$AG$7,AM$7,$F45:$AG45)</f>
        <v>-164.348048608507</v>
      </c>
      <c r="AN45" s="96" t="n">
        <f aca="false">SUMIF($F$7:$AG$7,AN$7,$F45:$AG45)</f>
        <v>867.069616327324</v>
      </c>
      <c r="AO45" s="96" t="n">
        <f aca="false">SUMIF($F$7:$AG$7,AO$7,$F45:$AG45)</f>
        <v>2800.91061146561</v>
      </c>
    </row>
    <row r="46" customFormat="false" ht="15" hidden="false" customHeight="false" outlineLevel="0" collapsed="false">
      <c r="A46" s="104" t="s">
        <v>2190</v>
      </c>
      <c r="B46" s="20" t="s">
        <v>995</v>
      </c>
      <c r="C46" s="20" t="s">
        <v>2191</v>
      </c>
      <c r="D46" s="20"/>
      <c r="F46" s="113" t="n">
        <f aca="false">INDEX(Sh_Dil,1,1)</f>
        <v>205.574091</v>
      </c>
      <c r="G46" s="113" t="n">
        <f aca="false">INDEX(Sh_Dil,1,2)</f>
        <v>205.574091</v>
      </c>
      <c r="H46" s="113" t="n">
        <f aca="false">INDEX(Sh_Dil,1,3)</f>
        <v>205.574209</v>
      </c>
      <c r="I46" s="113" t="n">
        <f aca="false">INDEX(Sh_Dil,1,4)</f>
        <v>241.987691</v>
      </c>
      <c r="J46" s="113" t="n">
        <f aca="false">INDEX(Sh_Dil,1,5)</f>
        <v>244.342922</v>
      </c>
      <c r="K46" s="113" t="n">
        <f aca="false">INDEX(Sh_Dil,1,6)</f>
        <v>244.939183</v>
      </c>
      <c r="L46" s="113" t="n">
        <f aca="false">INDEX(Sh_Dil,1,7)</f>
        <v>258.041313</v>
      </c>
      <c r="M46" s="113" t="n">
        <f aca="false">INDEX(Sh_Dil,1,8)</f>
        <v>259.251062</v>
      </c>
      <c r="N46" s="113" t="n">
        <f aca="false">INDEX(Sh_Dil,1,9)</f>
        <v>281.198221</v>
      </c>
      <c r="O46" s="113" t="n">
        <f aca="false">INDEX(Sh_Dil,1,10)</f>
        <v>299.155245</v>
      </c>
      <c r="P46" s="31" t="n">
        <f aca="false">INDEX(Sh_Dil,1,11)</f>
        <v>314.925245</v>
      </c>
      <c r="Q46" s="31" t="n">
        <f aca="false">INDEX(Sh_Dil,1,12)</f>
        <v>327.195752</v>
      </c>
      <c r="R46" s="31" t="n">
        <f aca="false">INDEX(Sh_Dil,1,13)</f>
        <v>327.195752</v>
      </c>
      <c r="S46" s="31" t="n">
        <f aca="false">INDEX(Sh_Dil,1,14)</f>
        <v>327.195752</v>
      </c>
      <c r="T46" s="31" t="n">
        <f aca="false">INDEX(Sh_Dil,1,15)</f>
        <v>327.195752</v>
      </c>
      <c r="U46" s="31" t="n">
        <f aca="false">INDEX(Sh_Dil,1,16)</f>
        <v>327.195752</v>
      </c>
      <c r="V46" s="31" t="n">
        <f aca="false">INDEX(Sh_Dil,1,17)</f>
        <v>335.9777864353</v>
      </c>
      <c r="W46" s="31" t="n">
        <f aca="false">INDEX(Sh_Dil,1,18)</f>
        <v>338.476064141777</v>
      </c>
      <c r="X46" s="31" t="n">
        <f aca="false">INDEX(Sh_Dil,1,19)</f>
        <v>358.242747398559</v>
      </c>
      <c r="Y46" s="31" t="n">
        <f aca="false">INDEX(Sh_Dil,1,20)</f>
        <v>360.383385613196</v>
      </c>
      <c r="Z46" s="31" t="n">
        <f aca="false">INDEX(Sh_Dil,1,21)</f>
        <v>379.883636640612</v>
      </c>
      <c r="AA46" s="31" t="n">
        <f aca="false">INDEX(Sh_Dil,1,22)</f>
        <v>384.264924892954</v>
      </c>
      <c r="AB46" s="31" t="n">
        <f aca="false">INDEX(Sh_Dil,1,23)</f>
        <v>411.983132704255</v>
      </c>
      <c r="AC46" s="31" t="n">
        <f aca="false">INDEX(Sh_Dil,1,24)</f>
        <v>411.983132704255</v>
      </c>
      <c r="AD46" s="31" t="n">
        <f aca="false">INDEX(Sh_Dil,1,25)</f>
        <v>411.983132704255</v>
      </c>
      <c r="AE46" s="31" t="n">
        <f aca="false">INDEX(Sh_Dil,1,26)</f>
        <v>411.983132704255</v>
      </c>
      <c r="AF46" s="31" t="n">
        <f aca="false">INDEX(Sh_Dil,1,27)</f>
        <v>423.379517704255</v>
      </c>
      <c r="AG46" s="31" t="n">
        <f aca="false">INDEX(Sh_Dil,1,28)</f>
        <v>423.379517704255</v>
      </c>
      <c r="AI46" s="31" t="n">
        <f aca="false">INDEX($F46:$AG46,1,MATCH(AI$7,$F$7:$AG$7,1))</f>
        <v>241.987691</v>
      </c>
      <c r="AJ46" s="31" t="n">
        <f aca="false">INDEX($F46:$AG46,1,MATCH(AJ$7,$F$7:$AG$7,1))</f>
        <v>259.251062</v>
      </c>
      <c r="AK46" s="31" t="n">
        <f aca="false">INDEX($F46:$AG46,1,MATCH(AK$7,$F$7:$AG$7,1))</f>
        <v>327.195752</v>
      </c>
      <c r="AL46" s="31" t="n">
        <f aca="false">INDEX($F46:$AG46,1,MATCH(AL$7,$F$7:$AG$7,1))</f>
        <v>327.195752</v>
      </c>
      <c r="AM46" s="31" t="n">
        <f aca="false">INDEX($F46:$AG46,1,MATCH(AM$7,$F$7:$AG$7,1))</f>
        <v>360.383385613196</v>
      </c>
      <c r="AN46" s="31" t="n">
        <f aca="false">INDEX($F46:$AG46,1,MATCH(AN$7,$F$7:$AG$7,1))</f>
        <v>411.983132704255</v>
      </c>
      <c r="AO46" s="31" t="n">
        <f aca="false">INDEX($F46:$AG46,1,MATCH(AO$7,$F$7:$AG$7,1))</f>
        <v>423.379517704255</v>
      </c>
    </row>
    <row r="47" customFormat="false" ht="15" hidden="false" customHeight="false" outlineLevel="0" collapsed="false">
      <c r="A47" s="104" t="s">
        <v>2192</v>
      </c>
      <c r="B47" s="20" t="s">
        <v>505</v>
      </c>
      <c r="C47" s="20" t="s">
        <v>495</v>
      </c>
      <c r="D47" s="20"/>
      <c r="F47" s="139" t="n">
        <f aca="false">IF(F$5&lt;=LastHist,0,F45/INDEX(Sh_Dil,1,1))</f>
        <v>0</v>
      </c>
      <c r="G47" s="139" t="n">
        <f aca="false">IF(G$5&lt;=LastHist,0,G45/INDEX(Sh_Dil,1,2))</f>
        <v>0</v>
      </c>
      <c r="H47" s="139" t="n">
        <f aca="false">IF(H$5&lt;=LastHist,0,H45/INDEX(Sh_Dil,1,3))</f>
        <v>0</v>
      </c>
      <c r="I47" s="139" t="n">
        <f aca="false">IF(I$5&lt;=LastHist,0,I45/INDEX(Sh_Dil,1,4))</f>
        <v>0</v>
      </c>
      <c r="J47" s="139" t="n">
        <f aca="false">IF(J$5&lt;=LastHist,0,J45/INDEX(Sh_Dil,1,5))</f>
        <v>0</v>
      </c>
      <c r="K47" s="139" t="n">
        <f aca="false">IF(K$5&lt;=LastHist,0,K45/INDEX(Sh_Dil,1,6))</f>
        <v>0</v>
      </c>
      <c r="L47" s="139" t="n">
        <f aca="false">IF(L$5&lt;=LastHist,0,L45/INDEX(Sh_Dil,1,7))</f>
        <v>0</v>
      </c>
      <c r="M47" s="139" t="n">
        <f aca="false">IF(M$5&lt;=LastHist,0,M45/INDEX(Sh_Dil,1,8))</f>
        <v>0</v>
      </c>
      <c r="N47" s="139" t="n">
        <f aca="false">IF(N$5&lt;=LastHist,0,N45/INDEX(Sh_Dil,1,9))</f>
        <v>0</v>
      </c>
      <c r="O47" s="139" t="n">
        <f aca="false">IF(O$5&lt;=LastHist,0,O45/INDEX(Sh_Dil,1,10))</f>
        <v>0</v>
      </c>
      <c r="P47" s="140" t="n">
        <f aca="false">IF(P$5&lt;=LastHist,0,P45/INDEX(Sh_Dil,1,11))</f>
        <v>-1.19353873850676</v>
      </c>
      <c r="Q47" s="140" t="n">
        <f aca="false">IF(Q$5&lt;=LastHist,0,Q45/INDEX(Sh_Dil,1,12))</f>
        <v>-0.912831875876614</v>
      </c>
      <c r="R47" s="140" t="n">
        <f aca="false">IF(R$5&lt;=LastHist,0,R45/INDEX(Sh_Dil,1,13))</f>
        <v>-0.997260657332284</v>
      </c>
      <c r="S47" s="140" t="n">
        <f aca="false">IF(S$5&lt;=LastHist,0,S45/INDEX(Sh_Dil,1,14))</f>
        <v>-1.02417814572127</v>
      </c>
      <c r="T47" s="140" t="n">
        <f aca="false">IF(T$5&lt;=LastHist,0,T45/INDEX(Sh_Dil,1,15))</f>
        <v>-1.23547704641438</v>
      </c>
      <c r="U47" s="140" t="n">
        <f aca="false">IF(U$5&lt;=LastHist,0,U45/INDEX(Sh_Dil,1,16))</f>
        <v>-1.15423796290639</v>
      </c>
      <c r="V47" s="140" t="n">
        <f aca="false">IF(V$5&lt;=LastHist,0,V45/INDEX(Sh_Dil,1,17))</f>
        <v>-0.74753609212615</v>
      </c>
      <c r="W47" s="140" t="n">
        <f aca="false">IF(W$5&lt;=LastHist,0,W45/INDEX(Sh_Dil,1,18))</f>
        <v>0.0399040100984121</v>
      </c>
      <c r="X47" s="140" t="n">
        <f aca="false">IF(X$5&lt;=LastHist,0,X45/INDEX(Sh_Dil,1,19))</f>
        <v>-0.0120311602191823</v>
      </c>
      <c r="Y47" s="140" t="n">
        <f aca="false">IF(Y$5&lt;=LastHist,0,Y45/INDEX(Sh_Dil,1,20))</f>
        <v>0.215356755090703</v>
      </c>
      <c r="Z47" s="140" t="n">
        <f aca="false">IF(Z$5&lt;=LastHist,0,Z45/INDEX(Sh_Dil,1,21))</f>
        <v>0.0947317587177965</v>
      </c>
      <c r="AA47" s="140" t="n">
        <f aca="false">IF(AA$5&lt;=LastHist,0,AA45/INDEX(Sh_Dil,1,22))</f>
        <v>0.873130280416959</v>
      </c>
      <c r="AB47" s="140" t="n">
        <f aca="false">IF(AB$5&lt;=LastHist,0,AB45/INDEX(Sh_Dil,1,23))</f>
        <v>0.29714032654688</v>
      </c>
      <c r="AC47" s="140" t="n">
        <f aca="false">IF(AC$5&lt;=LastHist,0,AC45/INDEX(Sh_Dil,1,24))</f>
        <v>0.905746855850969</v>
      </c>
      <c r="AD47" s="140" t="n">
        <f aca="false">IF(AD$5&lt;=LastHist,0,AD45/INDEX(Sh_Dil,1,25))</f>
        <v>0.671581380843681</v>
      </c>
      <c r="AE47" s="140" t="n">
        <f aca="false">IF(AE$5&lt;=LastHist,0,AE45/INDEX(Sh_Dil,1,26))</f>
        <v>1.93409706897408</v>
      </c>
      <c r="AF47" s="140" t="n">
        <f aca="false">IF(AF$5&lt;=LastHist,0,AF45/INDEX(Sh_Dil,1,27))</f>
        <v>1.92148874478026</v>
      </c>
      <c r="AG47" s="140" t="n">
        <f aca="false">IF(AG$5&lt;=LastHist,0,AG45/INDEX(Sh_Dil,1,28))</f>
        <v>2.15857410345696</v>
      </c>
      <c r="AI47" s="140" t="n">
        <f aca="false">IFERROR(AI45/INDEX(Sh_Dil,1,MATCH(AI$7,Q_Yr,1)),0)</f>
        <v>0</v>
      </c>
      <c r="AJ47" s="140" t="n">
        <f aca="false">IFERROR(AJ45/INDEX(Sh_Dil,1,MATCH(AJ$7,Q_Yr,1)),0)</f>
        <v>0</v>
      </c>
      <c r="AK47" s="140" t="n">
        <f aca="false">IFERROR(AK45/INDEX(Sh_Dil,1,MATCH(AK$7,Q_Yr,1)),0)</f>
        <v>-2.0616104811723</v>
      </c>
      <c r="AL47" s="140" t="n">
        <f aca="false">IFERROR(AL45/INDEX(Sh_Dil,1,MATCH(AL$7,Q_Yr,1)),0)</f>
        <v>-4.41115381237433</v>
      </c>
      <c r="AM47" s="140" t="n">
        <f aca="false">IFERROR(AM45/INDEX(Sh_Dil,1,MATCH(AM$7,Q_Yr,1)),0)</f>
        <v>-0.456036696388949</v>
      </c>
      <c r="AN47" s="140" t="n">
        <f aca="false">IFERROR(AN45/INDEX(Sh_Dil,1,MATCH(AN$7,Q_Yr,1)),0)</f>
        <v>2.10462406709684</v>
      </c>
      <c r="AO47" s="140" t="n">
        <f aca="false">IFERROR(AO45/INDEX(Sh_Dil,1,MATCH(AO$7,Q_Yr,1)),0)</f>
        <v>6.61560253706497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2183</v>
      </c>
    </row>
    <row r="2" customFormat="false" ht="15" hidden="false" customHeight="false" outlineLevel="0" collapsed="false">
      <c r="A2" s="20" t="s">
        <v>2193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2194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2195</v>
      </c>
      <c r="B11" s="20" t="s">
        <v>561</v>
      </c>
      <c r="C11" s="20" t="s">
        <v>2150</v>
      </c>
      <c r="D11" s="20"/>
      <c r="F11" s="122" t="n">
        <f aca="false">IF(F$5&lt;=LastHist,0,INDEX(PL_EBITDA,1,1))</f>
        <v>0</v>
      </c>
      <c r="G11" s="122" t="n">
        <f aca="false">IF(G$5&lt;=LastHist,0,INDEX(PL_EBITDA,1,2))</f>
        <v>0</v>
      </c>
      <c r="H11" s="122" t="n">
        <f aca="false">IF(H$5&lt;=LastHist,0,INDEX(PL_EBITDA,1,3))</f>
        <v>0</v>
      </c>
      <c r="I11" s="122" t="n">
        <f aca="false">IF(I$5&lt;=LastHist,0,INDEX(PL_EBITDA,1,4))</f>
        <v>0</v>
      </c>
      <c r="J11" s="122" t="n">
        <f aca="false">IF(J$5&lt;=LastHist,0,INDEX(PL_EBITDA,1,5))</f>
        <v>0</v>
      </c>
      <c r="K11" s="122" t="n">
        <f aca="false">IF(K$5&lt;=LastHist,0,INDEX(PL_EBITDA,1,6))</f>
        <v>0</v>
      </c>
      <c r="L11" s="122" t="n">
        <f aca="false">IF(L$5&lt;=LastHist,0,INDEX(PL_EBITDA,1,7))</f>
        <v>0</v>
      </c>
      <c r="M11" s="122" t="n">
        <f aca="false">IF(M$5&lt;=LastHist,0,INDEX(PL_EBITDA,1,8))</f>
        <v>0</v>
      </c>
      <c r="N11" s="122" t="n">
        <f aca="false">IF(N$5&lt;=LastHist,0,INDEX(PL_EBITDA,1,9))</f>
        <v>0</v>
      </c>
      <c r="O11" s="122" t="n">
        <f aca="false">IF(O$5&lt;=LastHist,0,INDEX(PL_EBITDA,1,10))</f>
        <v>0</v>
      </c>
      <c r="P11" s="123" t="n">
        <f aca="false">IF(P$5&lt;=LastHist,0,INDEX(PL_EBITDA,1,11))</f>
        <v>273.751676063435</v>
      </c>
      <c r="Q11" s="123" t="n">
        <f aca="false">IF(Q$5&lt;=LastHist,0,INDEX(PL_EBITDA,1,12))</f>
        <v>329.068243927749</v>
      </c>
      <c r="R11" s="123" t="n">
        <f aca="false">IF(R$5&lt;=LastHist,0,INDEX(PL_EBITDA,1,13))</f>
        <v>547.369027899749</v>
      </c>
      <c r="S11" s="123" t="n">
        <f aca="false">IF(S$5&lt;=LastHist,0,INDEX(PL_EBITDA,1,14))</f>
        <v>813.644588327033</v>
      </c>
      <c r="T11" s="123" t="n">
        <f aca="false">IF(T$5&lt;=LastHist,0,INDEX(PL_EBITDA,1,15))</f>
        <v>1159.86951283972</v>
      </c>
      <c r="U11" s="123" t="n">
        <f aca="false">IF(U$5&lt;=LastHist,0,INDEX(PL_EBITDA,1,16))</f>
        <v>1558.08942406953</v>
      </c>
      <c r="V11" s="123" t="n">
        <f aca="false">IF(V$5&lt;=LastHist,0,INDEX(PL_EBITDA,1,17))</f>
        <v>2345.15962381934</v>
      </c>
      <c r="W11" s="123" t="n">
        <f aca="false">IF(W$5&lt;=LastHist,0,INDEX(PL_EBITDA,1,18))</f>
        <v>2935.66576280125</v>
      </c>
      <c r="X11" s="123" t="n">
        <f aca="false">IF(X$5&lt;=LastHist,0,INDEX(PL_EBITDA,1,19))</f>
        <v>3307.32765916143</v>
      </c>
      <c r="Y11" s="123" t="n">
        <f aca="false">IF(Y$5&lt;=LastHist,0,INDEX(PL_EBITDA,1,20))</f>
        <v>3614.1069704927</v>
      </c>
      <c r="Z11" s="123" t="n">
        <f aca="false">IF(Z$5&lt;=LastHist,0,INDEX(PL_EBITDA,1,21))</f>
        <v>4336.40550860744</v>
      </c>
      <c r="AA11" s="123" t="n">
        <f aca="false">IF(AA$5&lt;=LastHist,0,INDEX(PL_EBITDA,1,22))</f>
        <v>4940.18702689135</v>
      </c>
      <c r="AB11" s="123" t="n">
        <f aca="false">IF(AB$5&lt;=LastHist,0,INDEX(PL_EBITDA,1,23))</f>
        <v>5460.4878356624</v>
      </c>
      <c r="AC11" s="123" t="n">
        <f aca="false">IF(AC$5&lt;=LastHist,0,INDEX(PL_EBITDA,1,24))</f>
        <v>6063.91785173537</v>
      </c>
      <c r="AD11" s="123" t="n">
        <f aca="false">IF(AD$5&lt;=LastHist,0,INDEX(PL_EBITDA,1,25))</f>
        <v>6992.00360241969</v>
      </c>
      <c r="AE11" s="123" t="n">
        <f aca="false">IF(AE$5&lt;=LastHist,0,INDEX(PL_EBITDA,1,26))</f>
        <v>7751.80404369086</v>
      </c>
      <c r="AF11" s="123" t="n">
        <f aca="false">IF(AF$5&lt;=LastHist,0,INDEX(PL_EBITDA,1,27))</f>
        <v>7720.98977142472</v>
      </c>
      <c r="AG11" s="123" t="n">
        <f aca="false">IF(AG$5&lt;=LastHist,0,INDEX(PL_EBITDA,1,28))</f>
        <v>7878.09485120505</v>
      </c>
      <c r="AI11" s="123" t="n">
        <f aca="false">SUMIF($F$7:$AG$7,AI$7,$F11:$AG11)</f>
        <v>0</v>
      </c>
      <c r="AJ11" s="123" t="n">
        <f aca="false">SUMIF($F$7:$AG$7,AJ$7,$F11:$AG11)</f>
        <v>0</v>
      </c>
      <c r="AK11" s="123" t="n">
        <f aca="false">SUMIF($F$7:$AG$7,AK$7,$F11:$AG11)</f>
        <v>602.819919991184</v>
      </c>
      <c r="AL11" s="123" t="n">
        <f aca="false">SUMIF($F$7:$AG$7,AL$7,$F11:$AG11)</f>
        <v>4078.97255313604</v>
      </c>
      <c r="AM11" s="123" t="n">
        <f aca="false">SUMIF($F$7:$AG$7,AM$7,$F11:$AG11)</f>
        <v>12202.2600162747</v>
      </c>
      <c r="AN11" s="123" t="n">
        <f aca="false">SUMIF($F$7:$AG$7,AN$7,$F11:$AG11)</f>
        <v>20800.9982228966</v>
      </c>
      <c r="AO11" s="123" t="n">
        <f aca="false">SUMIF($F$7:$AG$7,AO$7,$F11:$AG11)</f>
        <v>30342.8922687403</v>
      </c>
    </row>
    <row r="12" customFormat="false" ht="15" hidden="false" customHeight="false" outlineLevel="0" collapsed="false">
      <c r="A12" s="104" t="s">
        <v>2196</v>
      </c>
      <c r="B12" s="20" t="s">
        <v>561</v>
      </c>
      <c r="C12" s="20" t="s">
        <v>2150</v>
      </c>
      <c r="D12" s="20"/>
      <c r="F12" s="122" t="n">
        <f aca="false">IF(F$5&lt;=LastHist,0,-INDEX(PL_Tax,1,1))</f>
        <v>0</v>
      </c>
      <c r="G12" s="122" t="n">
        <f aca="false">IF(G$5&lt;=LastHist,0,-INDEX(PL_Tax,1,2))</f>
        <v>0</v>
      </c>
      <c r="H12" s="122" t="n">
        <f aca="false">IF(H$5&lt;=LastHist,0,-INDEX(PL_Tax,1,3))</f>
        <v>0</v>
      </c>
      <c r="I12" s="122" t="n">
        <f aca="false">IF(I$5&lt;=LastHist,0,-INDEX(PL_Tax,1,4))</f>
        <v>0</v>
      </c>
      <c r="J12" s="122" t="n">
        <f aca="false">IF(J$5&lt;=LastHist,0,-INDEX(PL_Tax,1,5))</f>
        <v>0</v>
      </c>
      <c r="K12" s="122" t="n">
        <f aca="false">IF(K$5&lt;=LastHist,0,-INDEX(PL_Tax,1,6))</f>
        <v>0</v>
      </c>
      <c r="L12" s="122" t="n">
        <f aca="false">IF(L$5&lt;=LastHist,0,-INDEX(PL_Tax,1,7))</f>
        <v>0</v>
      </c>
      <c r="M12" s="122" t="n">
        <f aca="false">IF(M$5&lt;=LastHist,0,-INDEX(PL_Tax,1,8))</f>
        <v>0</v>
      </c>
      <c r="N12" s="122" t="n">
        <f aca="false">IF(N$5&lt;=LastHist,0,-INDEX(PL_Tax,1,9))</f>
        <v>0</v>
      </c>
      <c r="O12" s="122" t="n">
        <f aca="false">IF(O$5&lt;=LastHist,0,-INDEX(PL_Tax,1,10))</f>
        <v>0</v>
      </c>
      <c r="P12" s="123" t="n">
        <f aca="false">IF(P$5&lt;=LastHist,0,-INDEX(PL_Tax,1,11))</f>
        <v>-0</v>
      </c>
      <c r="Q12" s="123" t="n">
        <f aca="false">IF(Q$5&lt;=LastHist,0,-INDEX(PL_Tax,1,12))</f>
        <v>-0</v>
      </c>
      <c r="R12" s="123" t="n">
        <f aca="false">IF(R$5&lt;=LastHist,0,-INDEX(PL_Tax,1,13))</f>
        <v>-0</v>
      </c>
      <c r="S12" s="123" t="n">
        <f aca="false">IF(S$5&lt;=LastHist,0,-INDEX(PL_Tax,1,14))</f>
        <v>-0</v>
      </c>
      <c r="T12" s="123" t="n">
        <f aca="false">IF(T$5&lt;=LastHist,0,-INDEX(PL_Tax,1,15))</f>
        <v>-0</v>
      </c>
      <c r="U12" s="123" t="n">
        <f aca="false">IF(U$5&lt;=LastHist,0,-INDEX(PL_Tax,1,16))</f>
        <v>-0</v>
      </c>
      <c r="V12" s="123" t="n">
        <f aca="false">IF(V$5&lt;=LastHist,0,-INDEX(PL_Tax,1,17))</f>
        <v>-0</v>
      </c>
      <c r="W12" s="123" t="n">
        <f aca="false">IF(W$5&lt;=LastHist,0,-INDEX(PL_Tax,1,18))</f>
        <v>-4.69634836745113</v>
      </c>
      <c r="X12" s="123" t="n">
        <f aca="false">IF(X$5&lt;=LastHist,0,-INDEX(PL_Tax,1,19))</f>
        <v>-0</v>
      </c>
      <c r="Y12" s="123" t="n">
        <f aca="false">IF(Y$5&lt;=LastHist,0,-INDEX(PL_Tax,1,20))</f>
        <v>-26.9860338284083</v>
      </c>
      <c r="Z12" s="123" t="n">
        <f aca="false">IF(Z$5&lt;=LastHist,0,-INDEX(PL_Tax,1,21))</f>
        <v>-12.5130156493612</v>
      </c>
      <c r="AA12" s="123" t="n">
        <f aca="false">IF(AA$5&lt;=LastHist,0,-INDEX(PL_Tax,1,22))</f>
        <v>-116.660973233903</v>
      </c>
      <c r="AB12" s="123" t="n">
        <f aca="false">IF(AB$5&lt;=LastHist,0,-INDEX(PL_Tax,1,23))</f>
        <v>-42.5654111409105</v>
      </c>
      <c r="AC12" s="123" t="n">
        <f aca="false">IF(AC$5&lt;=LastHist,0,-INDEX(PL_Tax,1,24))</f>
        <v>-129.748418051903</v>
      </c>
      <c r="AD12" s="123" t="n">
        <f aca="false">IF(AD$5&lt;=LastHist,0,-INDEX(PL_Tax,1,25))</f>
        <v>-96.2041669752344</v>
      </c>
      <c r="AE12" s="123" t="n">
        <f aca="false">IF(AE$5&lt;=LastHist,0,-INDEX(PL_Tax,1,26))</f>
        <v>-277.059791526894</v>
      </c>
      <c r="AF12" s="123" t="n">
        <f aca="false">IF(AF$5&lt;=LastHist,0,-INDEX(PL_Tax,1,27))</f>
        <v>-282.867784816872</v>
      </c>
      <c r="AG12" s="123" t="n">
        <f aca="false">IF(AG$5&lt;=LastHist,0,-INDEX(PL_Tax,1,28))</f>
        <v>-317.769790047749</v>
      </c>
      <c r="AI12" s="123" t="n">
        <f aca="false">SUMIF($F$7:$AG$7,AI$7,$F12:$AG12)</f>
        <v>0</v>
      </c>
      <c r="AJ12" s="123" t="n">
        <f aca="false">SUMIF($F$7:$AG$7,AJ$7,$F12:$AG12)</f>
        <v>0</v>
      </c>
      <c r="AK12" s="123" t="n">
        <f aca="false">SUMIF($F$7:$AG$7,AK$7,$F12:$AG12)</f>
        <v>0</v>
      </c>
      <c r="AL12" s="123" t="n">
        <f aca="false">SUMIF($F$7:$AG$7,AL$7,$F12:$AG12)</f>
        <v>0</v>
      </c>
      <c r="AM12" s="123" t="n">
        <f aca="false">SUMIF($F$7:$AG$7,AM$7,$F12:$AG12)</f>
        <v>-31.6823821958594</v>
      </c>
      <c r="AN12" s="123" t="n">
        <f aca="false">SUMIF($F$7:$AG$7,AN$7,$F12:$AG12)</f>
        <v>-301.487818076078</v>
      </c>
      <c r="AO12" s="123" t="n">
        <f aca="false">SUMIF($F$7:$AG$7,AO$7,$F12:$AG12)</f>
        <v>-973.901533366748</v>
      </c>
    </row>
    <row r="14" customFormat="false" ht="15" hidden="false" customHeight="false" outlineLevel="0" collapsed="false">
      <c r="A14" s="53" t="s">
        <v>2197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6" customFormat="false" ht="15" hidden="false" customHeight="false" outlineLevel="0" collapsed="false">
      <c r="A16" s="53" t="s">
        <v>2198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customFormat="false" ht="15" hidden="false" customHeight="false" outlineLevel="0" collapsed="false">
      <c r="A17" s="104" t="s">
        <v>2199</v>
      </c>
      <c r="B17" s="20" t="s">
        <v>549</v>
      </c>
      <c r="C17" s="20" t="s">
        <v>495</v>
      </c>
      <c r="D17" s="20"/>
      <c r="F17" s="116" t="n">
        <f aca="false">IF(IFERROR(INDEX(MW_New,1,MIN(28,1+GPULead)),0)&gt;0,MIN(1,MAX(0,IFERROR(INDEX(SigMW,1,MIN(28,1+GPULead))-INDEX(SigMW,1,MIN(28,1+GPULead)-1),0))/IFERROR(INDEX(MW_New,1,MIN(28,1+GPULead)),0)),0)</f>
        <v>0</v>
      </c>
      <c r="G17" s="116" t="n">
        <f aca="false">IF(IFERROR(INDEX(MW_New,1,MIN(28,2+GPULead)),0)&gt;0,MIN(1,MAX(0,IFERROR(INDEX(SigMW,1,MIN(28,2+GPULead))-INDEX(SigMW,1,MIN(28,2+GPULead)-1),0))/IFERROR(INDEX(MW_New,1,MIN(28,2+GPULead)),0)),0)</f>
        <v>0</v>
      </c>
      <c r="H17" s="116" t="n">
        <f aca="false">IF(IFERROR(INDEX(MW_New,1,MIN(28,3+GPULead)),0)&gt;0,MIN(1,MAX(0,IFERROR(INDEX(SigMW,1,MIN(28,3+GPULead))-INDEX(SigMW,1,MIN(28,3+GPULead)-1),0))/IFERROR(INDEX(MW_New,1,MIN(28,3+GPULead)),0)),0)</f>
        <v>0</v>
      </c>
      <c r="I17" s="116" t="n">
        <f aca="false">IF(IFERROR(INDEX(MW_New,1,MIN(28,4+GPULead)),0)&gt;0,MIN(1,MAX(0,IFERROR(INDEX(SigMW,1,MIN(28,4+GPULead))-INDEX(SigMW,1,MIN(28,4+GPULead)-1),0))/IFERROR(INDEX(MW_New,1,MIN(28,4+GPULead)),0)),0)</f>
        <v>0</v>
      </c>
      <c r="J17" s="116" t="n">
        <f aca="false">IF(IFERROR(INDEX(MW_New,1,MIN(28,5+GPULead)),0)&gt;0,MIN(1,MAX(0,IFERROR(INDEX(SigMW,1,MIN(28,5+GPULead))-INDEX(SigMW,1,MIN(28,5+GPULead)-1),0))/IFERROR(INDEX(MW_New,1,MIN(28,5+GPULead)),0)),0)</f>
        <v>0</v>
      </c>
      <c r="K17" s="116" t="n">
        <f aca="false">IF(IFERROR(INDEX(MW_New,1,MIN(28,6+GPULead)),0)&gt;0,MIN(1,MAX(0,IFERROR(INDEX(SigMW,1,MIN(28,6+GPULead))-INDEX(SigMW,1,MIN(28,6+GPULead)-1),0))/IFERROR(INDEX(MW_New,1,MIN(28,6+GPULead)),0)),0)</f>
        <v>0.59474765258216</v>
      </c>
      <c r="L17" s="116" t="n">
        <f aca="false">IF(IFERROR(INDEX(MW_New,1,MIN(28,7+GPULead)),0)&gt;0,MIN(1,MAX(0,IFERROR(INDEX(SigMW,1,MIN(28,7+GPULead))-INDEX(SigMW,1,MIN(28,7+GPULead)-1),0))/IFERROR(INDEX(MW_New,1,MIN(28,7+GPULead)),0)),0)</f>
        <v>1</v>
      </c>
      <c r="M17" s="116" t="n">
        <f aca="false">IF(IFERROR(INDEX(MW_New,1,MIN(28,8+GPULead)),0)&gt;0,MIN(1,MAX(0,IFERROR(INDEX(SigMW,1,MIN(28,8+GPULead))-INDEX(SigMW,1,MIN(28,8+GPULead)-1),0))/IFERROR(INDEX(MW_New,1,MIN(28,8+GPULead)),0)),0)</f>
        <v>0</v>
      </c>
      <c r="N17" s="116" t="n">
        <f aca="false">IF(IFERROR(INDEX(MW_New,1,MIN(28,9+GPULead)),0)&gt;0,MIN(1,MAX(0,IFERROR(INDEX(SigMW,1,MIN(28,9+GPULead))-INDEX(SigMW,1,MIN(28,9+GPULead)-1),0))/IFERROR(INDEX(MW_New,1,MIN(28,9+GPULead)),0)),0)</f>
        <v>0</v>
      </c>
      <c r="O17" s="116" t="n">
        <f aca="false">IF(IFERROR(INDEX(MW_New,1,MIN(28,10+GPULead)),0)&gt;0,MIN(1,MAX(0,IFERROR(INDEX(SigMW,1,MIN(28,10+GPULead))-INDEX(SigMW,1,MIN(28,10+GPULead)-1),0))/IFERROR(INDEX(MW_New,1,MIN(28,10+GPULead)),0)),0)</f>
        <v>0</v>
      </c>
      <c r="P17" s="25" t="n">
        <f aca="false">IF(IFERROR(INDEX(MW_New,1,MIN(28,11+GPULead)),0)&gt;0,MIN(1,MAX(0,IFERROR(INDEX(SigMW,1,MIN(28,11+GPULead))-INDEX(SigMW,1,MIN(28,11+GPULead)-1),0))/IFERROR(INDEX(MW_New,1,MIN(28,11+GPULead)),0)),0)</f>
        <v>0</v>
      </c>
      <c r="Q17" s="25" t="n">
        <f aca="false">IF(IFERROR(INDEX(MW_New,1,MIN(28,12+GPULead)),0)&gt;0,MIN(1,MAX(0,IFERROR(INDEX(SigMW,1,MIN(28,12+GPULead))-INDEX(SigMW,1,MIN(28,12+GPULead)-1),0))/IFERROR(INDEX(MW_New,1,MIN(28,12+GPULead)),0)),0)</f>
        <v>0.43010752688172</v>
      </c>
      <c r="R17" s="25" t="n">
        <f aca="false">IF(IFERROR(INDEX(MW_New,1,MIN(28,13+GPULead)),0)&gt;0,MIN(1,MAX(0,IFERROR(INDEX(SigMW,1,MIN(28,13+GPULead))-INDEX(SigMW,1,MIN(28,13+GPULead)-1),0))/IFERROR(INDEX(MW_New,1,MIN(28,13+GPULead)),0)),0)</f>
        <v>1</v>
      </c>
      <c r="S17" s="25" t="n">
        <f aca="false">IF(IFERROR(INDEX(MW_New,1,MIN(28,14+GPULead)),0)&gt;0,MIN(1,MAX(0,IFERROR(INDEX(SigMW,1,MIN(28,14+GPULead))-INDEX(SigMW,1,MIN(28,14+GPULead)-1),0))/IFERROR(INDEX(MW_New,1,MIN(28,14+GPULead)),0)),0)</f>
        <v>0.38259206121473</v>
      </c>
      <c r="T17" s="25" t="n">
        <f aca="false">IF(IFERROR(INDEX(MW_New,1,MIN(28,15+GPULead)),0)&gt;0,MIN(1,MAX(0,IFERROR(INDEX(SigMW,1,MIN(28,15+GPULead))-INDEX(SigMW,1,MIN(28,15+GPULead)-1),0))/IFERROR(INDEX(MW_New,1,MIN(28,15+GPULead)),0)),0)</f>
        <v>0</v>
      </c>
      <c r="U17" s="25" t="n">
        <f aca="false">IF(IFERROR(INDEX(MW_New,1,MIN(28,16+GPULead)),0)&gt;0,MIN(1,MAX(0,IFERROR(INDEX(SigMW,1,MIN(28,16+GPULead))-INDEX(SigMW,1,MIN(28,16+GPULead)-1),0))/IFERROR(INDEX(MW_New,1,MIN(28,16+GPULead)),0)),0)</f>
        <v>0</v>
      </c>
      <c r="V17" s="25" t="n">
        <f aca="false">IF(IFERROR(INDEX(MW_New,1,MIN(28,17+GPULead)),0)&gt;0,MIN(1,MAX(0,IFERROR(INDEX(SigMW,1,MIN(28,17+GPULead))-INDEX(SigMW,1,MIN(28,17+GPULead)-1),0))/IFERROR(INDEX(MW_New,1,MIN(28,17+GPULead)),0)),0)</f>
        <v>0</v>
      </c>
      <c r="W17" s="25" t="n">
        <f aca="false">IF(IFERROR(INDEX(MW_New,1,MIN(28,18+GPULead)),0)&gt;0,MIN(1,MAX(0,IFERROR(INDEX(SigMW,1,MIN(28,18+GPULead))-INDEX(SigMW,1,MIN(28,18+GPULead)-1),0))/IFERROR(INDEX(MW_New,1,MIN(28,18+GPULead)),0)),0)</f>
        <v>0</v>
      </c>
      <c r="X17" s="25" t="n">
        <f aca="false">IF(IFERROR(INDEX(MW_New,1,MIN(28,19+GPULead)),0)&gt;0,MIN(1,MAX(0,IFERROR(INDEX(SigMW,1,MIN(28,19+GPULead))-INDEX(SigMW,1,MIN(28,19+GPULead)-1),0))/IFERROR(INDEX(MW_New,1,MIN(28,19+GPULead)),0)),0)</f>
        <v>0</v>
      </c>
      <c r="Y17" s="25" t="n">
        <f aca="false">IF(IFERROR(INDEX(MW_New,1,MIN(28,20+GPULead)),0)&gt;0,MIN(1,MAX(0,IFERROR(INDEX(SigMW,1,MIN(28,20+GPULead))-INDEX(SigMW,1,MIN(28,20+GPULead)-1),0))/IFERROR(INDEX(MW_New,1,MIN(28,20+GPULead)),0)),0)</f>
        <v>0</v>
      </c>
      <c r="Z17" s="25" t="n">
        <f aca="false">IF(IFERROR(INDEX(MW_New,1,MIN(28,21+GPULead)),0)&gt;0,MIN(1,MAX(0,IFERROR(INDEX(SigMW,1,MIN(28,21+GPULead))-INDEX(SigMW,1,MIN(28,21+GPULead)-1),0))/IFERROR(INDEX(MW_New,1,MIN(28,21+GPULead)),0)),0)</f>
        <v>0</v>
      </c>
      <c r="AA17" s="25" t="n">
        <f aca="false">IF(IFERROR(INDEX(MW_New,1,MIN(28,22+GPULead)),0)&gt;0,MIN(1,MAX(0,IFERROR(INDEX(SigMW,1,MIN(28,22+GPULead))-INDEX(SigMW,1,MIN(28,22+GPULead)-1),0))/IFERROR(INDEX(MW_New,1,MIN(28,22+GPULead)),0)),0)</f>
        <v>0</v>
      </c>
      <c r="AB17" s="25" t="n">
        <f aca="false">IF(IFERROR(INDEX(MW_New,1,MIN(28,23+GPULead)),0)&gt;0,MIN(1,MAX(0,IFERROR(INDEX(SigMW,1,MIN(28,23+GPULead))-INDEX(SigMW,1,MIN(28,23+GPULead)-1),0))/IFERROR(INDEX(MW_New,1,MIN(28,23+GPULead)),0)),0)</f>
        <v>0</v>
      </c>
      <c r="AC17" s="25" t="n">
        <f aca="false">IF(IFERROR(INDEX(MW_New,1,MIN(28,24+GPULead)),0)&gt;0,MIN(1,MAX(0,IFERROR(INDEX(SigMW,1,MIN(28,24+GPULead))-INDEX(SigMW,1,MIN(28,24+GPULead)-1),0))/IFERROR(INDEX(MW_New,1,MIN(28,24+GPULead)),0)),0)</f>
        <v>0</v>
      </c>
      <c r="AD17" s="25" t="n">
        <f aca="false">IF(IFERROR(INDEX(MW_New,1,MIN(28,25+GPULead)),0)&gt;0,MIN(1,MAX(0,IFERROR(INDEX(SigMW,1,MIN(28,25+GPULead))-INDEX(SigMW,1,MIN(28,25+GPULead)-1),0))/IFERROR(INDEX(MW_New,1,MIN(28,25+GPULead)),0)),0)</f>
        <v>0</v>
      </c>
      <c r="AE17" s="25" t="n">
        <f aca="false">IF(IFERROR(INDEX(MW_New,1,MIN(28,26+GPULead)),0)&gt;0,MIN(1,MAX(0,IFERROR(INDEX(SigMW,1,MIN(28,26+GPULead))-INDEX(SigMW,1,MIN(28,26+GPULead)-1),0))/IFERROR(INDEX(MW_New,1,MIN(28,26+GPULead)),0)),0)</f>
        <v>0</v>
      </c>
      <c r="AF17" s="25" t="n">
        <f aca="false">IF(IFERROR(INDEX(MW_New,1,MIN(28,27+GPULead)),0)&gt;0,MIN(1,MAX(0,IFERROR(INDEX(SigMW,1,MIN(28,27+GPULead))-INDEX(SigMW,1,MIN(28,27+GPULead)-1),0))/IFERROR(INDEX(MW_New,1,MIN(28,27+GPULead)),0)),0)</f>
        <v>0</v>
      </c>
      <c r="AG17" s="25" t="n">
        <f aca="false">IF(IFERROR(INDEX(MW_New,1,MIN(28,28+GPULead)),0)&gt;0,MIN(1,MAX(0,IFERROR(INDEX(SigMW,1,MIN(28,28+GPULead))-INDEX(SigMW,1,MIN(28,28+GPULead)-1),0))/IFERROR(INDEX(MW_New,1,MIN(28,28+GPULead)),0)),0)</f>
        <v>0</v>
      </c>
      <c r="AI17" s="25" t="n">
        <f aca="false">AVERAGEIF($F$7:$AG$7,AI$7,$F17:$AG17)</f>
        <v>0</v>
      </c>
      <c r="AJ17" s="25" t="n">
        <f aca="false">AVERAGEIF($F$7:$AG$7,AJ$7,$F17:$AG17)</f>
        <v>0.39868691314554</v>
      </c>
      <c r="AK17" s="25" t="n">
        <f aca="false">AVERAGEIF($F$7:$AG$7,AK$7,$F17:$AG17)</f>
        <v>0.10752688172043</v>
      </c>
      <c r="AL17" s="25" t="n">
        <f aca="false">AVERAGEIF($F$7:$AG$7,AL$7,$F17:$AG17)</f>
        <v>0.345648015303682</v>
      </c>
      <c r="AM17" s="25" t="n">
        <f aca="false">AVERAGEIF($F$7:$AG$7,AM$7,$F17:$AG17)</f>
        <v>0</v>
      </c>
      <c r="AN17" s="25" t="n">
        <f aca="false">AVERAGEIF($F$7:$AG$7,AN$7,$F17:$AG17)</f>
        <v>0</v>
      </c>
      <c r="AO17" s="25" t="n">
        <f aca="false">AVERAGEIF($F$7:$AG$7,AO$7,$F17:$AG17)</f>
        <v>0</v>
      </c>
    </row>
    <row r="18" customFormat="false" ht="15" hidden="false" customHeight="false" outlineLevel="0" collapsed="false">
      <c r="A18" s="104" t="s">
        <v>2200</v>
      </c>
      <c r="B18" s="20" t="s">
        <v>549</v>
      </c>
      <c r="C18" s="20" t="s">
        <v>495</v>
      </c>
      <c r="D18" s="20"/>
      <c r="F18" s="116" t="n">
        <f aca="false">IF(IFERROR(INDEX(MW_New,1,MIN(28,1+GPULead)),0)&gt;0,MIN(1-F17,MAX(0,IFERROR(INDEX(IGMW,1,MIN(28,1+GPULead))-INDEX(IGMW,1,MIN(28,1+GPULead)-1),0))/IFERROR(INDEX(MW_New,1,MIN(28,1+GPULead)),0)),0)</f>
        <v>0</v>
      </c>
      <c r="G18" s="116" t="n">
        <f aca="false">IF(IFERROR(INDEX(MW_New,1,MIN(28,2+GPULead)),0)&gt;0,MIN(1-G17,MAX(0,IFERROR(INDEX(IGMW,1,MIN(28,2+GPULead))-INDEX(IGMW,1,MIN(28,2+GPULead)-1),0))/IFERROR(INDEX(MW_New,1,MIN(28,2+GPULead)),0)),0)</f>
        <v>0</v>
      </c>
      <c r="H18" s="116" t="n">
        <f aca="false">IF(IFERROR(INDEX(MW_New,1,MIN(28,3+GPULead)),0)&gt;0,MIN(1-H17,MAX(0,IFERROR(INDEX(IGMW,1,MIN(28,3+GPULead))-INDEX(IGMW,1,MIN(28,3+GPULead)-1),0))/IFERROR(INDEX(MW_New,1,MIN(28,3+GPULead)),0)),0)</f>
        <v>0</v>
      </c>
      <c r="I18" s="116" t="n">
        <f aca="false">IF(IFERROR(INDEX(MW_New,1,MIN(28,4+GPULead)),0)&gt;0,MIN(1-I17,MAX(0,IFERROR(INDEX(IGMW,1,MIN(28,4+GPULead))-INDEX(IGMW,1,MIN(28,4+GPULead)-1),0))/IFERROR(INDEX(MW_New,1,MIN(28,4+GPULead)),0)),0)</f>
        <v>0</v>
      </c>
      <c r="J18" s="116" t="n">
        <f aca="false">IF(IFERROR(INDEX(MW_New,1,MIN(28,5+GPULead)),0)&gt;0,MIN(1-J17,MAX(0,IFERROR(INDEX(IGMW,1,MIN(28,5+GPULead))-INDEX(IGMW,1,MIN(28,5+GPULead)-1),0))/IFERROR(INDEX(MW_New,1,MIN(28,5+GPULead)),0)),0)</f>
        <v>0</v>
      </c>
      <c r="K18" s="116" t="n">
        <f aca="false">IF(IFERROR(INDEX(MW_New,1,MIN(28,6+GPULead)),0)&gt;0,MIN(1-K17,MAX(0,IFERROR(INDEX(IGMW,1,MIN(28,6+GPULead))-INDEX(IGMW,1,MIN(28,6+GPULead)-1),0))/IFERROR(INDEX(MW_New,1,MIN(28,6+GPULead)),0)),0)</f>
        <v>0</v>
      </c>
      <c r="L18" s="116" t="n">
        <f aca="false">IF(IFERROR(INDEX(MW_New,1,MIN(28,7+GPULead)),0)&gt;0,MIN(1-L17,MAX(0,IFERROR(INDEX(IGMW,1,MIN(28,7+GPULead))-INDEX(IGMW,1,MIN(28,7+GPULead)-1),0))/IFERROR(INDEX(MW_New,1,MIN(28,7+GPULead)),0)),0)</f>
        <v>0</v>
      </c>
      <c r="M18" s="116" t="n">
        <f aca="false">IF(IFERROR(INDEX(MW_New,1,MIN(28,8+GPULead)),0)&gt;0,MIN(1-M17,MAX(0,IFERROR(INDEX(IGMW,1,MIN(28,8+GPULead))-INDEX(IGMW,1,MIN(28,8+GPULead)-1),0))/IFERROR(INDEX(MW_New,1,MIN(28,8+GPULead)),0)),0)</f>
        <v>0</v>
      </c>
      <c r="N18" s="116" t="n">
        <f aca="false">IF(IFERROR(INDEX(MW_New,1,MIN(28,9+GPULead)),0)&gt;0,MIN(1-N17,MAX(0,IFERROR(INDEX(IGMW,1,MIN(28,9+GPULead))-INDEX(IGMW,1,MIN(28,9+GPULead)-1),0))/IFERROR(INDEX(MW_New,1,MIN(28,9+GPULead)),0)),0)</f>
        <v>0</v>
      </c>
      <c r="O18" s="116" t="n">
        <f aca="false">IF(IFERROR(INDEX(MW_New,1,MIN(28,10+GPULead)),0)&gt;0,MIN(1-O17,MAX(0,IFERROR(INDEX(IGMW,1,MIN(28,10+GPULead))-INDEX(IGMW,1,MIN(28,10+GPULead)-1),0))/IFERROR(INDEX(MW_New,1,MIN(28,10+GPULead)),0)),0)</f>
        <v>0</v>
      </c>
      <c r="P18" s="25" t="n">
        <f aca="false">IF(IFERROR(INDEX(MW_New,1,MIN(28,11+GPULead)),0)&gt;0,MIN(1-P17,MAX(0,IFERROR(INDEX(IGMW,1,MIN(28,11+GPULead))-INDEX(IGMW,1,MIN(28,11+GPULead)-1),0))/IFERROR(INDEX(MW_New,1,MIN(28,11+GPULead)),0)),0)</f>
        <v>0</v>
      </c>
      <c r="Q18" s="25" t="n">
        <f aca="false">IF(IFERROR(INDEX(MW_New,1,MIN(28,12+GPULead)),0)&gt;0,MIN(1-Q17,MAX(0,IFERROR(INDEX(IGMW,1,MIN(28,12+GPULead))-INDEX(IGMW,1,MIN(28,12+GPULead)-1),0))/IFERROR(INDEX(MW_New,1,MIN(28,12+GPULead)),0)),0)</f>
        <v>0</v>
      </c>
      <c r="R18" s="25" t="n">
        <f aca="false">IF(IFERROR(INDEX(MW_New,1,MIN(28,13+GPULead)),0)&gt;0,MIN(1-R17,MAX(0,IFERROR(INDEX(IGMW,1,MIN(28,13+GPULead))-INDEX(IGMW,1,MIN(28,13+GPULead)-1),0))/IFERROR(INDEX(MW_New,1,MIN(28,13+GPULead)),0)),0)</f>
        <v>0</v>
      </c>
      <c r="S18" s="25" t="n">
        <f aca="false">IF(IFERROR(INDEX(MW_New,1,MIN(28,14+GPULead)),0)&gt;0,MIN(1-S17,MAX(0,IFERROR(INDEX(IGMW,1,MIN(28,14+GPULead))-INDEX(IGMW,1,MIN(28,14+GPULead)-1),0))/IFERROR(INDEX(MW_New,1,MIN(28,14+GPULead)),0)),0)</f>
        <v>0</v>
      </c>
      <c r="T18" s="25" t="n">
        <f aca="false">IF(IFERROR(INDEX(MW_New,1,MIN(28,15+GPULead)),0)&gt;0,MIN(1-T17,MAX(0,IFERROR(INDEX(IGMW,1,MIN(28,15+GPULead))-INDEX(IGMW,1,MIN(28,15+GPULead)-1),0))/IFERROR(INDEX(MW_New,1,MIN(28,15+GPULead)),0)),0)</f>
        <v>0</v>
      </c>
      <c r="U18" s="25" t="n">
        <f aca="false">IF(IFERROR(INDEX(MW_New,1,MIN(28,16+GPULead)),0)&gt;0,MIN(1-U17,MAX(0,IFERROR(INDEX(IGMW,1,MIN(28,16+GPULead))-INDEX(IGMW,1,MIN(28,16+GPULead)-1),0))/IFERROR(INDEX(MW_New,1,MIN(28,16+GPULead)),0)),0)</f>
        <v>0</v>
      </c>
      <c r="V18" s="25" t="n">
        <f aca="false">IF(IFERROR(INDEX(MW_New,1,MIN(28,17+GPULead)),0)&gt;0,MIN(1-V17,MAX(0,IFERROR(INDEX(IGMW,1,MIN(28,17+GPULead))-INDEX(IGMW,1,MIN(28,17+GPULead)-1),0))/IFERROR(INDEX(MW_New,1,MIN(28,17+GPULead)),0)),0)</f>
        <v>0</v>
      </c>
      <c r="W18" s="25" t="n">
        <f aca="false">IF(IFERROR(INDEX(MW_New,1,MIN(28,18+GPULead)),0)&gt;0,MIN(1-W17,MAX(0,IFERROR(INDEX(IGMW,1,MIN(28,18+GPULead))-INDEX(IGMW,1,MIN(28,18+GPULead)-1),0))/IFERROR(INDEX(MW_New,1,MIN(28,18+GPULead)),0)),0)</f>
        <v>0</v>
      </c>
      <c r="X18" s="25" t="n">
        <f aca="false">IF(IFERROR(INDEX(MW_New,1,MIN(28,19+GPULead)),0)&gt;0,MIN(1-X17,MAX(0,IFERROR(INDEX(IGMW,1,MIN(28,19+GPULead))-INDEX(IGMW,1,MIN(28,19+GPULead)-1),0))/IFERROR(INDEX(MW_New,1,MIN(28,19+GPULead)),0)),0)</f>
        <v>0</v>
      </c>
      <c r="Y18" s="25" t="n">
        <f aca="false">IF(IFERROR(INDEX(MW_New,1,MIN(28,20+GPULead)),0)&gt;0,MIN(1-Y17,MAX(0,IFERROR(INDEX(IGMW,1,MIN(28,20+GPULead))-INDEX(IGMW,1,MIN(28,20+GPULead)-1),0))/IFERROR(INDEX(MW_New,1,MIN(28,20+GPULead)),0)),0)</f>
        <v>0</v>
      </c>
      <c r="Z18" s="25" t="n">
        <f aca="false">IF(IFERROR(INDEX(MW_New,1,MIN(28,21+GPULead)),0)&gt;0,MIN(1-Z17,MAX(0,IFERROR(INDEX(IGMW,1,MIN(28,21+GPULead))-INDEX(IGMW,1,MIN(28,21+GPULead)-1),0))/IFERROR(INDEX(MW_New,1,MIN(28,21+GPULead)),0)),0)</f>
        <v>0</v>
      </c>
      <c r="AA18" s="25" t="n">
        <f aca="false">IF(IFERROR(INDEX(MW_New,1,MIN(28,22+GPULead)),0)&gt;0,MIN(1-AA17,MAX(0,IFERROR(INDEX(IGMW,1,MIN(28,22+GPULead))-INDEX(IGMW,1,MIN(28,22+GPULead)-1),0))/IFERROR(INDEX(MW_New,1,MIN(28,22+GPULead)),0)),0)</f>
        <v>0</v>
      </c>
      <c r="AB18" s="25" t="n">
        <f aca="false">IF(IFERROR(INDEX(MW_New,1,MIN(28,23+GPULead)),0)&gt;0,MIN(1-AB17,MAX(0,IFERROR(INDEX(IGMW,1,MIN(28,23+GPULead))-INDEX(IGMW,1,MIN(28,23+GPULead)-1),0))/IFERROR(INDEX(MW_New,1,MIN(28,23+GPULead)),0)),0)</f>
        <v>0</v>
      </c>
      <c r="AC18" s="25" t="n">
        <f aca="false">IF(IFERROR(INDEX(MW_New,1,MIN(28,24+GPULead)),0)&gt;0,MIN(1-AC17,MAX(0,IFERROR(INDEX(IGMW,1,MIN(28,24+GPULead))-INDEX(IGMW,1,MIN(28,24+GPULead)-1),0))/IFERROR(INDEX(MW_New,1,MIN(28,24+GPULead)),0)),0)</f>
        <v>0</v>
      </c>
      <c r="AD18" s="25" t="n">
        <f aca="false">IF(IFERROR(INDEX(MW_New,1,MIN(28,25+GPULead)),0)&gt;0,MIN(1-AD17,MAX(0,IFERROR(INDEX(IGMW,1,MIN(28,25+GPULead))-INDEX(IGMW,1,MIN(28,25+GPULead)-1),0))/IFERROR(INDEX(MW_New,1,MIN(28,25+GPULead)),0)),0)</f>
        <v>0</v>
      </c>
      <c r="AE18" s="25" t="n">
        <f aca="false">IF(IFERROR(INDEX(MW_New,1,MIN(28,26+GPULead)),0)&gt;0,MIN(1-AE17,MAX(0,IFERROR(INDEX(IGMW,1,MIN(28,26+GPULead))-INDEX(IGMW,1,MIN(28,26+GPULead)-1),0))/IFERROR(INDEX(MW_New,1,MIN(28,26+GPULead)),0)),0)</f>
        <v>0</v>
      </c>
      <c r="AF18" s="25" t="n">
        <f aca="false">IF(IFERROR(INDEX(MW_New,1,MIN(28,27+GPULead)),0)&gt;0,MIN(1-AF17,MAX(0,IFERROR(INDEX(IGMW,1,MIN(28,27+GPULead))-INDEX(IGMW,1,MIN(28,27+GPULead)-1),0))/IFERROR(INDEX(MW_New,1,MIN(28,27+GPULead)),0)),0)</f>
        <v>0</v>
      </c>
      <c r="AG18" s="25" t="n">
        <f aca="false">IF(IFERROR(INDEX(MW_New,1,MIN(28,28+GPULead)),0)&gt;0,MIN(1-AG17,MAX(0,IFERROR(INDEX(IGMW,1,MIN(28,28+GPULead))-INDEX(IGMW,1,MIN(28,28+GPULead)-1),0))/IFERROR(INDEX(MW_New,1,MIN(28,28+GPULead)),0)),0)</f>
        <v>0</v>
      </c>
      <c r="AI18" s="25" t="n">
        <f aca="false">AVERAGEIF($F$7:$AG$7,AI$7,$F18:$AG18)</f>
        <v>0</v>
      </c>
      <c r="AJ18" s="25" t="n">
        <f aca="false">AVERAGEIF($F$7:$AG$7,AJ$7,$F18:$AG18)</f>
        <v>0</v>
      </c>
      <c r="AK18" s="25" t="n">
        <f aca="false">AVERAGEIF($F$7:$AG$7,AK$7,$F18:$AG18)</f>
        <v>0</v>
      </c>
      <c r="AL18" s="25" t="n">
        <f aca="false">AVERAGEIF($F$7:$AG$7,AL$7,$F18:$AG18)</f>
        <v>0</v>
      </c>
      <c r="AM18" s="25" t="n">
        <f aca="false">AVERAGEIF($F$7:$AG$7,AM$7,$F18:$AG18)</f>
        <v>0</v>
      </c>
      <c r="AN18" s="25" t="n">
        <f aca="false">AVERAGEIF($F$7:$AG$7,AN$7,$F18:$AG18)</f>
        <v>0</v>
      </c>
      <c r="AO18" s="25" t="n">
        <f aca="false">AVERAGEIF($F$7:$AG$7,AO$7,$F18:$AG18)</f>
        <v>0</v>
      </c>
    </row>
    <row r="19" customFormat="false" ht="15" hidden="false" customHeight="false" outlineLevel="0" collapsed="false">
      <c r="A19" s="104" t="s">
        <v>2201</v>
      </c>
      <c r="B19" s="20" t="s">
        <v>549</v>
      </c>
      <c r="C19" s="20" t="s">
        <v>495</v>
      </c>
      <c r="D19" s="20"/>
      <c r="F19" s="116" t="n">
        <f aca="false">1-F17-F18</f>
        <v>1</v>
      </c>
      <c r="G19" s="116" t="n">
        <f aca="false">1-G17-G18</f>
        <v>1</v>
      </c>
      <c r="H19" s="116" t="n">
        <f aca="false">1-H17-H18</f>
        <v>1</v>
      </c>
      <c r="I19" s="116" t="n">
        <f aca="false">1-I17-I18</f>
        <v>1</v>
      </c>
      <c r="J19" s="116" t="n">
        <f aca="false">1-J17-J18</f>
        <v>1</v>
      </c>
      <c r="K19" s="116" t="n">
        <f aca="false">1-K17-K18</f>
        <v>0.40525234741784</v>
      </c>
      <c r="L19" s="116" t="n">
        <f aca="false">1-L17-L18</f>
        <v>0</v>
      </c>
      <c r="M19" s="116" t="n">
        <f aca="false">1-M17-M18</f>
        <v>1</v>
      </c>
      <c r="N19" s="116" t="n">
        <f aca="false">1-N17-N18</f>
        <v>1</v>
      </c>
      <c r="O19" s="116" t="n">
        <f aca="false">1-O17-O18</f>
        <v>1</v>
      </c>
      <c r="P19" s="25" t="n">
        <f aca="false">1-P17-P18</f>
        <v>1</v>
      </c>
      <c r="Q19" s="25" t="n">
        <f aca="false">1-Q17-Q18</f>
        <v>0.56989247311828</v>
      </c>
      <c r="R19" s="25" t="n">
        <f aca="false">1-R17-R18</f>
        <v>0</v>
      </c>
      <c r="S19" s="25" t="n">
        <f aca="false">1-S17-S18</f>
        <v>0.61740793878527</v>
      </c>
      <c r="T19" s="25" t="n">
        <f aca="false">1-T17-T18</f>
        <v>1</v>
      </c>
      <c r="U19" s="25" t="n">
        <f aca="false">1-U17-U18</f>
        <v>1</v>
      </c>
      <c r="V19" s="25" t="n">
        <f aca="false">1-V17-V18</f>
        <v>1</v>
      </c>
      <c r="W19" s="25" t="n">
        <f aca="false">1-W17-W18</f>
        <v>1</v>
      </c>
      <c r="X19" s="25" t="n">
        <f aca="false">1-X17-X18</f>
        <v>1</v>
      </c>
      <c r="Y19" s="25" t="n">
        <f aca="false">1-Y17-Y18</f>
        <v>1</v>
      </c>
      <c r="Z19" s="25" t="n">
        <f aca="false">1-Z17-Z18</f>
        <v>1</v>
      </c>
      <c r="AA19" s="25" t="n">
        <f aca="false">1-AA17-AA18</f>
        <v>1</v>
      </c>
      <c r="AB19" s="25" t="n">
        <f aca="false">1-AB17-AB18</f>
        <v>1</v>
      </c>
      <c r="AC19" s="25" t="n">
        <f aca="false">1-AC17-AC18</f>
        <v>1</v>
      </c>
      <c r="AD19" s="25" t="n">
        <f aca="false">1-AD17-AD18</f>
        <v>1</v>
      </c>
      <c r="AE19" s="25" t="n">
        <f aca="false">1-AE17-AE18</f>
        <v>1</v>
      </c>
      <c r="AF19" s="25" t="n">
        <f aca="false">1-AF17-AF18</f>
        <v>1</v>
      </c>
      <c r="AG19" s="25" t="n">
        <f aca="false">1-AG17-AG18</f>
        <v>1</v>
      </c>
      <c r="AI19" s="25" t="n">
        <f aca="false">AVERAGEIF($F$7:$AG$7,AI$7,$F19:$AG19)</f>
        <v>1</v>
      </c>
      <c r="AJ19" s="25" t="n">
        <f aca="false">AVERAGEIF($F$7:$AG$7,AJ$7,$F19:$AG19)</f>
        <v>0.60131308685446</v>
      </c>
      <c r="AK19" s="25" t="n">
        <f aca="false">AVERAGEIF($F$7:$AG$7,AK$7,$F19:$AG19)</f>
        <v>0.89247311827957</v>
      </c>
      <c r="AL19" s="25" t="n">
        <f aca="false">AVERAGEIF($F$7:$AG$7,AL$7,$F19:$AG19)</f>
        <v>0.654351984696318</v>
      </c>
      <c r="AM19" s="25" t="n">
        <f aca="false">AVERAGEIF($F$7:$AG$7,AM$7,$F19:$AG19)</f>
        <v>1</v>
      </c>
      <c r="AN19" s="25" t="n">
        <f aca="false">AVERAGEIF($F$7:$AG$7,AN$7,$F19:$AG19)</f>
        <v>1</v>
      </c>
      <c r="AO19" s="25" t="n">
        <f aca="false">AVERAGEIF($F$7:$AG$7,AO$7,$F19:$AG19)</f>
        <v>1</v>
      </c>
    </row>
    <row r="20" customFormat="false" ht="15" hidden="false" customHeight="false" outlineLevel="0" collapsed="false">
      <c r="A20" s="104" t="s">
        <v>2202</v>
      </c>
      <c r="B20" s="20" t="s">
        <v>549</v>
      </c>
      <c r="C20" s="20" t="s">
        <v>506</v>
      </c>
      <c r="D20" s="20"/>
      <c r="F20" s="126" t="n">
        <f aca="false">IF(PrepayDecayOn=0,PrepayPct,IF(F$5&lt;PxCycIdx,PrepayPct,IF(F$5&lt;PrepayIdx28,PrepayPct27,PrepayPct28)))</f>
        <v>0.385</v>
      </c>
      <c r="G20" s="126" t="n">
        <f aca="false">IF(PrepayDecayOn=0,PrepayPct,IF(G$5&lt;PxCycIdx,PrepayPct,IF(G$5&lt;PrepayIdx28,PrepayPct27,PrepayPct28)))</f>
        <v>0.385</v>
      </c>
      <c r="H20" s="126" t="n">
        <f aca="false">IF(PrepayDecayOn=0,PrepayPct,IF(H$5&lt;PxCycIdx,PrepayPct,IF(H$5&lt;PrepayIdx28,PrepayPct27,PrepayPct28)))</f>
        <v>0.385</v>
      </c>
      <c r="I20" s="126" t="n">
        <f aca="false">IF(PrepayDecayOn=0,PrepayPct,IF(I$5&lt;PxCycIdx,PrepayPct,IF(I$5&lt;PrepayIdx28,PrepayPct27,PrepayPct28)))</f>
        <v>0.385</v>
      </c>
      <c r="J20" s="126" t="n">
        <f aca="false">IF(PrepayDecayOn=0,PrepayPct,IF(J$5&lt;PxCycIdx,PrepayPct,IF(J$5&lt;PrepayIdx28,PrepayPct27,PrepayPct28)))</f>
        <v>0.385</v>
      </c>
      <c r="K20" s="126" t="n">
        <f aca="false">IF(PrepayDecayOn=0,PrepayPct,IF(K$5&lt;PxCycIdx,PrepayPct,IF(K$5&lt;PrepayIdx28,PrepayPct27,PrepayPct28)))</f>
        <v>0.385</v>
      </c>
      <c r="L20" s="126" t="n">
        <f aca="false">IF(PrepayDecayOn=0,PrepayPct,IF(L$5&lt;PxCycIdx,PrepayPct,IF(L$5&lt;PrepayIdx28,PrepayPct27,PrepayPct28)))</f>
        <v>0.385</v>
      </c>
      <c r="M20" s="126" t="n">
        <f aca="false">IF(PrepayDecayOn=0,PrepayPct,IF(M$5&lt;PxCycIdx,PrepayPct,IF(M$5&lt;PrepayIdx28,PrepayPct27,PrepayPct28)))</f>
        <v>0.385</v>
      </c>
      <c r="N20" s="126" t="n">
        <f aca="false">IF(PrepayDecayOn=0,PrepayPct,IF(N$5&lt;PxCycIdx,PrepayPct,IF(N$5&lt;PrepayIdx28,PrepayPct27,PrepayPct28)))</f>
        <v>0.385</v>
      </c>
      <c r="O20" s="126" t="n">
        <f aca="false">IF(PrepayDecayOn=0,PrepayPct,IF(O$5&lt;PxCycIdx,PrepayPct,IF(O$5&lt;PrepayIdx28,PrepayPct27,PrepayPct28)))</f>
        <v>0.385</v>
      </c>
      <c r="P20" s="27" t="n">
        <f aca="false">IF(PrepayDecayOn=0,PrepayPct,IF(P$5&lt;PxCycIdx,PrepayPct,IF(P$5&lt;PrepayIdx28,PrepayPct27,PrepayPct28)))</f>
        <v>0.385</v>
      </c>
      <c r="Q20" s="27" t="n">
        <f aca="false">IF(PrepayDecayOn=0,PrepayPct,IF(Q$5&lt;PxCycIdx,PrepayPct,IF(Q$5&lt;PrepayIdx28,PrepayPct27,PrepayPct28)))</f>
        <v>0.385</v>
      </c>
      <c r="R20" s="27" t="n">
        <f aca="false">IF(PrepayDecayOn=0,PrepayPct,IF(R$5&lt;PxCycIdx,PrepayPct,IF(R$5&lt;PrepayIdx28,PrepayPct27,PrepayPct28)))</f>
        <v>0.385</v>
      </c>
      <c r="S20" s="27" t="n">
        <f aca="false">IF(PrepayDecayOn=0,PrepayPct,IF(S$5&lt;PxCycIdx,PrepayPct,IF(S$5&lt;PrepayIdx28,PrepayPct27,PrepayPct28)))</f>
        <v>0.385</v>
      </c>
      <c r="T20" s="27" t="n">
        <f aca="false">IF(PrepayDecayOn=0,PrepayPct,IF(T$5&lt;PxCycIdx,PrepayPct,IF(T$5&lt;PrepayIdx28,PrepayPct27,PrepayPct28)))</f>
        <v>0.385</v>
      </c>
      <c r="U20" s="27" t="n">
        <f aca="false">IF(PrepayDecayOn=0,PrepayPct,IF(U$5&lt;PxCycIdx,PrepayPct,IF(U$5&lt;PrepayIdx28,PrepayPct27,PrepayPct28)))</f>
        <v>0.385</v>
      </c>
      <c r="V20" s="27" t="n">
        <f aca="false">IF(PrepayDecayOn=0,PrepayPct,IF(V$5&lt;PxCycIdx,PrepayPct,IF(V$5&lt;PrepayIdx28,PrepayPct27,PrepayPct28)))</f>
        <v>0.225</v>
      </c>
      <c r="W20" s="27" t="n">
        <f aca="false">IF(PrepayDecayOn=0,PrepayPct,IF(W$5&lt;PxCycIdx,PrepayPct,IF(W$5&lt;PrepayIdx28,PrepayPct27,PrepayPct28)))</f>
        <v>0.225</v>
      </c>
      <c r="X20" s="27" t="n">
        <f aca="false">IF(PrepayDecayOn=0,PrepayPct,IF(X$5&lt;PxCycIdx,PrepayPct,IF(X$5&lt;PrepayIdx28,PrepayPct27,PrepayPct28)))</f>
        <v>0.225</v>
      </c>
      <c r="Y20" s="27" t="n">
        <f aca="false">IF(PrepayDecayOn=0,PrepayPct,IF(Y$5&lt;PxCycIdx,PrepayPct,IF(Y$5&lt;PrepayIdx28,PrepayPct27,PrepayPct28)))</f>
        <v>0.225</v>
      </c>
      <c r="Z20" s="27" t="n">
        <f aca="false">IF(PrepayDecayOn=0,PrepayPct,IF(Z$5&lt;PxCycIdx,PrepayPct,IF(Z$5&lt;PrepayIdx28,PrepayPct27,PrepayPct28)))</f>
        <v>0.225</v>
      </c>
      <c r="AA20" s="27" t="n">
        <f aca="false">IF(PrepayDecayOn=0,PrepayPct,IF(AA$5&lt;PxCycIdx,PrepayPct,IF(AA$5&lt;PrepayIdx28,PrepayPct27,PrepayPct28)))</f>
        <v>0.225</v>
      </c>
      <c r="AB20" s="27" t="n">
        <f aca="false">IF(PrepayDecayOn=0,PrepayPct,IF(AB$5&lt;PxCycIdx,PrepayPct,IF(AB$5&lt;PrepayIdx28,PrepayPct27,PrepayPct28)))</f>
        <v>0.225</v>
      </c>
      <c r="AC20" s="27" t="n">
        <f aca="false">IF(PrepayDecayOn=0,PrepayPct,IF(AC$5&lt;PxCycIdx,PrepayPct,IF(AC$5&lt;PrepayIdx28,PrepayPct27,PrepayPct28)))</f>
        <v>0.225</v>
      </c>
      <c r="AD20" s="27" t="n">
        <f aca="false">IF(PrepayDecayOn=0,PrepayPct,IF(AD$5&lt;PxCycIdx,PrepayPct,IF(AD$5&lt;PrepayIdx28,PrepayPct27,PrepayPct28)))</f>
        <v>0.225</v>
      </c>
      <c r="AE20" s="27" t="n">
        <f aca="false">IF(PrepayDecayOn=0,PrepayPct,IF(AE$5&lt;PxCycIdx,PrepayPct,IF(AE$5&lt;PrepayIdx28,PrepayPct27,PrepayPct28)))</f>
        <v>0.225</v>
      </c>
      <c r="AF20" s="27" t="n">
        <f aca="false">IF(PrepayDecayOn=0,PrepayPct,IF(AF$5&lt;PxCycIdx,PrepayPct,IF(AF$5&lt;PrepayIdx28,PrepayPct27,PrepayPct28)))</f>
        <v>0.225</v>
      </c>
      <c r="AG20" s="27" t="n">
        <f aca="false">IF(PrepayDecayOn=0,PrepayPct,IF(AG$5&lt;PxCycIdx,PrepayPct,IF(AG$5&lt;PrepayIdx28,PrepayPct27,PrepayPct28)))</f>
        <v>0.225</v>
      </c>
      <c r="AI20" s="27" t="n">
        <f aca="false">AVERAGEIF($F$7:$AG$7,AI$7,$F20:$AG20)</f>
        <v>0.385</v>
      </c>
      <c r="AJ20" s="27" t="n">
        <f aca="false">AVERAGEIF($F$7:$AG$7,AJ$7,$F20:$AG20)</f>
        <v>0.385</v>
      </c>
      <c r="AK20" s="27" t="n">
        <f aca="false">AVERAGEIF($F$7:$AG$7,AK$7,$F20:$AG20)</f>
        <v>0.385</v>
      </c>
      <c r="AL20" s="27" t="n">
        <f aca="false">AVERAGEIF($F$7:$AG$7,AL$7,$F20:$AG20)</f>
        <v>0.385</v>
      </c>
      <c r="AM20" s="27" t="n">
        <f aca="false">AVERAGEIF($F$7:$AG$7,AM$7,$F20:$AG20)</f>
        <v>0.225</v>
      </c>
      <c r="AN20" s="27" t="n">
        <f aca="false">AVERAGEIF($F$7:$AG$7,AN$7,$F20:$AG20)</f>
        <v>0.225</v>
      </c>
      <c r="AO20" s="27" t="n">
        <f aca="false">AVERAGEIF($F$7:$AG$7,AO$7,$F20:$AG20)</f>
        <v>0.225</v>
      </c>
    </row>
    <row r="21" customFormat="false" ht="15" hidden="false" customHeight="false" outlineLevel="0" collapsed="false">
      <c r="A21" s="104" t="s">
        <v>2203</v>
      </c>
      <c r="B21" s="20" t="s">
        <v>561</v>
      </c>
      <c r="C21" s="20" t="s">
        <v>550</v>
      </c>
      <c r="D21" s="20" t="s">
        <v>2204</v>
      </c>
      <c r="F21" s="122" t="n">
        <f aca="false">IF(F$5&lt;=LastHist,0,PrepayOn*IF(PrepayBase=1,INDEX(CapNew,1,1)*IF(PrepayByCust=1,F18*HSPre+F19*F20,PrepayPct),PrepayPct*INDEX(Capex,1,1)))</f>
        <v>0</v>
      </c>
      <c r="G21" s="122" t="n">
        <f aca="false">IF(G$5&lt;=LastHist,0,PrepayOn*IF(PrepayBase=1,INDEX(CapNew,1,2)*IF(PrepayByCust=1,G18*HSPre+G19*G20,PrepayPct),PrepayPct*INDEX(Capex,1,2)))</f>
        <v>0</v>
      </c>
      <c r="H21" s="122" t="n">
        <f aca="false">IF(H$5&lt;=LastHist,0,PrepayOn*IF(PrepayBase=1,INDEX(CapNew,1,3)*IF(PrepayByCust=1,H18*HSPre+H19*H20,PrepayPct),PrepayPct*INDEX(Capex,1,3)))</f>
        <v>0</v>
      </c>
      <c r="I21" s="122" t="n">
        <f aca="false">IF(I$5&lt;=LastHist,0,PrepayOn*IF(PrepayBase=1,INDEX(CapNew,1,4)*IF(PrepayByCust=1,I18*HSPre+I19*I20,PrepayPct),PrepayPct*INDEX(Capex,1,4)))</f>
        <v>0</v>
      </c>
      <c r="J21" s="122" t="n">
        <f aca="false">IF(J$5&lt;=LastHist,0,PrepayOn*IF(PrepayBase=1,INDEX(CapNew,1,5)*IF(PrepayByCust=1,J18*HSPre+J19*J20,PrepayPct),PrepayPct*INDEX(Capex,1,5)))</f>
        <v>0</v>
      </c>
      <c r="K21" s="122" t="n">
        <f aca="false">IF(K$5&lt;=LastHist,0,PrepayOn*IF(PrepayBase=1,INDEX(CapNew,1,6)*IF(PrepayByCust=1,K18*HSPre+K19*K20,PrepayPct),PrepayPct*INDEX(Capex,1,6)))</f>
        <v>0</v>
      </c>
      <c r="L21" s="122" t="n">
        <f aca="false">IF(L$5&lt;=LastHist,0,PrepayOn*IF(PrepayBase=1,INDEX(CapNew,1,7)*IF(PrepayByCust=1,L18*HSPre+L19*L20,PrepayPct),PrepayPct*INDEX(Capex,1,7)))</f>
        <v>0</v>
      </c>
      <c r="M21" s="122" t="n">
        <f aca="false">IF(M$5&lt;=LastHist,0,PrepayOn*IF(PrepayBase=1,INDEX(CapNew,1,8)*IF(PrepayByCust=1,M18*HSPre+M19*M20,PrepayPct),PrepayPct*INDEX(Capex,1,8)))</f>
        <v>0</v>
      </c>
      <c r="N21" s="122" t="n">
        <f aca="false">IF(N$5&lt;=LastHist,0,PrepayOn*IF(PrepayBase=1,INDEX(CapNew,1,9)*IF(PrepayByCust=1,N18*HSPre+N19*N20,PrepayPct),PrepayPct*INDEX(Capex,1,9)))</f>
        <v>0</v>
      </c>
      <c r="O21" s="122" t="n">
        <f aca="false">IF(O$5&lt;=LastHist,0,PrepayOn*IF(PrepayBase=1,INDEX(CapNew,1,10)*IF(PrepayByCust=1,O18*HSPre+O19*O20,PrepayPct),PrepayPct*INDEX(Capex,1,10)))</f>
        <v>0</v>
      </c>
      <c r="P21" s="123" t="n">
        <f aca="false">IF(P$5&lt;=LastHist,0,PrepayOn*IF(PrepayBase=1,INDEX(CapNew,1,11)*IF(PrepayByCust=1,P18*HSPre+P19*P20,PrepayPct),PrepayPct*INDEX(Capex,1,11)))</f>
        <v>1342.3795</v>
      </c>
      <c r="Q21" s="123" t="n">
        <f aca="false">IF(Q$5&lt;=LastHist,0,PrepayOn*IF(PrepayBase=1,INDEX(CapNew,1,12)*IF(PrepayByCust=1,Q18*HSPre+Q19*Q20,PrepayPct),PrepayPct*INDEX(Capex,1,12)))</f>
        <v>1141.91206989247</v>
      </c>
      <c r="R21" s="123" t="n">
        <f aca="false">IF(R$5&lt;=LastHist,0,PrepayOn*IF(PrepayBase=1,INDEX(CapNew,1,13)*IF(PrepayByCust=1,R18*HSPre+R19*R20,PrepayPct),PrepayPct*INDEX(Capex,1,13)))</f>
        <v>0</v>
      </c>
      <c r="S21" s="123" t="n">
        <f aca="false">IF(S$5&lt;=LastHist,0,PrepayOn*IF(PrepayBase=1,INDEX(CapNew,1,14)*IF(PrepayByCust=1,S18*HSPre+S19*S20,PrepayPct),PrepayPct*INDEX(Capex,1,14)))</f>
        <v>1829.37879650885</v>
      </c>
      <c r="T21" s="123" t="n">
        <f aca="false">IF(T$5&lt;=LastHist,0,PrepayOn*IF(PrepayBase=1,INDEX(CapNew,1,15)*IF(PrepayByCust=1,T18*HSPre+T19*T20,PrepayPct),PrepayPct*INDEX(Capex,1,15)))</f>
        <v>4726.0675</v>
      </c>
      <c r="U21" s="123" t="n">
        <f aca="false">IF(U$5&lt;=LastHist,0,PrepayOn*IF(PrepayBase=1,INDEX(CapNew,1,16)*IF(PrepayByCust=1,U18*HSPre+U19*U20,PrepayPct),PrepayPct*INDEX(Capex,1,16)))</f>
        <v>2251.2875</v>
      </c>
      <c r="V21" s="123" t="n">
        <f aca="false">IF(V$5&lt;=LastHist,0,PrepayOn*IF(PrepayBase=1,INDEX(CapNew,1,17)*IF(PrepayByCust=1,V18*HSPre+V19*V20,PrepayPct),PrepayPct*INDEX(Capex,1,17)))</f>
        <v>1570.725</v>
      </c>
      <c r="W21" s="123" t="n">
        <f aca="false">IF(W$5&lt;=LastHist,0,PrepayOn*IF(PrepayBase=1,INDEX(CapNew,1,18)*IF(PrepayByCust=1,W18*HSPre+W19*W20,PrepayPct),PrepayPct*INDEX(Capex,1,18)))</f>
        <v>824.0625</v>
      </c>
      <c r="X21" s="123" t="n">
        <f aca="false">IF(X$5&lt;=LastHist,0,PrepayOn*IF(PrepayBase=1,INDEX(CapNew,1,19)*IF(PrepayByCust=1,X18*HSPre+X19*X20,PrepayPct),PrepayPct*INDEX(Capex,1,19)))</f>
        <v>3262.05</v>
      </c>
      <c r="Y21" s="123" t="n">
        <f aca="false">IF(Y$5&lt;=LastHist,0,PrepayOn*IF(PrepayBase=1,INDEX(CapNew,1,20)*IF(PrepayByCust=1,Y18*HSPre+Y19*Y20,PrepayPct),PrepayPct*INDEX(Capex,1,20)))</f>
        <v>850.5</v>
      </c>
      <c r="Z21" s="123" t="n">
        <f aca="false">IF(Z$5&lt;=LastHist,0,PrepayOn*IF(PrepayBase=1,INDEX(CapNew,1,21)*IF(PrepayByCust=1,Z18*HSPre+Z19*Z20,PrepayPct),PrepayPct*INDEX(Capex,1,21)))</f>
        <v>3383.1</v>
      </c>
      <c r="AA21" s="123" t="n">
        <f aca="false">IF(AA$5&lt;=LastHist,0,PrepayOn*IF(PrepayBase=1,INDEX(CapNew,1,22)*IF(PrepayByCust=1,AA18*HSPre+AA19*AA20,PrepayPct),PrepayPct*INDEX(Capex,1,22)))</f>
        <v>1184.625</v>
      </c>
      <c r="AB21" s="123" t="n">
        <f aca="false">IF(AB$5&lt;=LastHist,0,PrepayOn*IF(PrepayBase=1,INDEX(CapNew,1,23)*IF(PrepayByCust=1,AB18*HSPre+AB19*AB20,PrepayPct),PrepayPct*INDEX(Capex,1,23)))</f>
        <v>4712.175</v>
      </c>
      <c r="AC21" s="123" t="n">
        <f aca="false">IF(AC$5&lt;=LastHist,0,PrepayOn*IF(PrepayBase=1,INDEX(CapNew,1,24)*IF(PrepayByCust=1,AC18*HSPre+AC19*AC20,PrepayPct),PrepayPct*INDEX(Capex,1,24)))</f>
        <v>0</v>
      </c>
      <c r="AD21" s="123" t="n">
        <f aca="false">IF(AD$5&lt;=LastHist,0,PrepayOn*IF(PrepayBase=1,INDEX(CapNew,1,25)*IF(PrepayByCust=1,AD18*HSPre+AD19*AD20,PrepayPct),PrepayPct*INDEX(Capex,1,25)))</f>
        <v>0</v>
      </c>
      <c r="AE21" s="123" t="n">
        <f aca="false">IF(AE$5&lt;=LastHist,0,PrepayOn*IF(PrepayBase=1,INDEX(CapNew,1,26)*IF(PrepayByCust=1,AE18*HSPre+AE19*AE20,PrepayPct),PrepayPct*INDEX(Capex,1,26)))</f>
        <v>0</v>
      </c>
      <c r="AF21" s="123" t="n">
        <f aca="false">IF(AF$5&lt;=LastHist,0,PrepayOn*IF(PrepayBase=1,INDEX(CapNew,1,27)*IF(PrepayByCust=1,AF18*HSPre+AF19*AF20,PrepayPct),PrepayPct*INDEX(Capex,1,27)))</f>
        <v>0</v>
      </c>
      <c r="AG21" s="123" t="n">
        <f aca="false">IF(AG$5&lt;=LastHist,0,PrepayOn*IF(PrepayBase=1,INDEX(CapNew,1,28)*IF(PrepayByCust=1,AG18*HSPre+AG19*AG20,PrepayPct),PrepayPct*INDEX(Capex,1,28)))</f>
        <v>0</v>
      </c>
      <c r="AI21" s="123" t="n">
        <f aca="false">SUMIF($F$7:$AG$7,AI$7,$F21:$AG21)</f>
        <v>0</v>
      </c>
      <c r="AJ21" s="123" t="n">
        <f aca="false">SUMIF($F$7:$AG$7,AJ$7,$F21:$AG21)</f>
        <v>0</v>
      </c>
      <c r="AK21" s="123" t="n">
        <f aca="false">SUMIF($F$7:$AG$7,AK$7,$F21:$AG21)</f>
        <v>2484.29156989247</v>
      </c>
      <c r="AL21" s="123" t="n">
        <f aca="false">SUMIF($F$7:$AG$7,AL$7,$F21:$AG21)</f>
        <v>8806.73379650885</v>
      </c>
      <c r="AM21" s="123" t="n">
        <f aca="false">SUMIF($F$7:$AG$7,AM$7,$F21:$AG21)</f>
        <v>6507.3375</v>
      </c>
      <c r="AN21" s="123" t="n">
        <f aca="false">SUMIF($F$7:$AG$7,AN$7,$F21:$AG21)</f>
        <v>9279.9</v>
      </c>
      <c r="AO21" s="123" t="n">
        <f aca="false">SUMIF($F$7:$AG$7,AO$7,$F21:$AG21)</f>
        <v>0</v>
      </c>
    </row>
    <row r="22" customFormat="false" ht="15" hidden="false" customHeight="false" outlineLevel="0" collapsed="false">
      <c r="A22" s="104" t="s">
        <v>2205</v>
      </c>
      <c r="B22" s="20" t="s">
        <v>561</v>
      </c>
      <c r="C22" s="20" t="s">
        <v>550</v>
      </c>
      <c r="D22" s="20" t="s">
        <v>2206</v>
      </c>
      <c r="F22" s="122" t="n">
        <f aca="false">IF(F$5&lt;=LastHist,0,IF(F$5&lt;=LastHist+4,DR_Cur/4,IF(F$5&lt;=LastHist+8,(DR_24-DR_Cur)/4,IF(F$5&lt;=LastHist+8+DR_TailQ,(INDEX(H_DR,1,LastHist)-DR_24)/DR_TailQ,0))))</f>
        <v>0</v>
      </c>
      <c r="G22" s="122" t="n">
        <f aca="false">IF(G$5&lt;=LastHist,0,IF(G$5&lt;=LastHist+4,DR_Cur/4,IF(G$5&lt;=LastHist+8,(DR_24-DR_Cur)/4,IF(G$5&lt;=LastHist+8+DR_TailQ,(INDEX(H_DR,1,LastHist)-DR_24)/DR_TailQ,0))))</f>
        <v>0</v>
      </c>
      <c r="H22" s="122" t="n">
        <f aca="false">IF(H$5&lt;=LastHist,0,IF(H$5&lt;=LastHist+4,DR_Cur/4,IF(H$5&lt;=LastHist+8,(DR_24-DR_Cur)/4,IF(H$5&lt;=LastHist+8+DR_TailQ,(INDEX(H_DR,1,LastHist)-DR_24)/DR_TailQ,0))))</f>
        <v>0</v>
      </c>
      <c r="I22" s="122" t="n">
        <f aca="false">IF(I$5&lt;=LastHist,0,IF(I$5&lt;=LastHist+4,DR_Cur/4,IF(I$5&lt;=LastHist+8,(DR_24-DR_Cur)/4,IF(I$5&lt;=LastHist+8+DR_TailQ,(INDEX(H_DR,1,LastHist)-DR_24)/DR_TailQ,0))))</f>
        <v>0</v>
      </c>
      <c r="J22" s="122" t="n">
        <f aca="false">IF(J$5&lt;=LastHist,0,IF(J$5&lt;=LastHist+4,DR_Cur/4,IF(J$5&lt;=LastHist+8,(DR_24-DR_Cur)/4,IF(J$5&lt;=LastHist+8+DR_TailQ,(INDEX(H_DR,1,LastHist)-DR_24)/DR_TailQ,0))))</f>
        <v>0</v>
      </c>
      <c r="K22" s="122" t="n">
        <f aca="false">IF(K$5&lt;=LastHist,0,IF(K$5&lt;=LastHist+4,DR_Cur/4,IF(K$5&lt;=LastHist+8,(DR_24-DR_Cur)/4,IF(K$5&lt;=LastHist+8+DR_TailQ,(INDEX(H_DR,1,LastHist)-DR_24)/DR_TailQ,0))))</f>
        <v>0</v>
      </c>
      <c r="L22" s="122" t="n">
        <f aca="false">IF(L$5&lt;=LastHist,0,IF(L$5&lt;=LastHist+4,DR_Cur/4,IF(L$5&lt;=LastHist+8,(DR_24-DR_Cur)/4,IF(L$5&lt;=LastHist+8+DR_TailQ,(INDEX(H_DR,1,LastHist)-DR_24)/DR_TailQ,0))))</f>
        <v>0</v>
      </c>
      <c r="M22" s="122" t="n">
        <f aca="false">IF(M$5&lt;=LastHist,0,IF(M$5&lt;=LastHist+4,DR_Cur/4,IF(M$5&lt;=LastHist+8,(DR_24-DR_Cur)/4,IF(M$5&lt;=LastHist+8+DR_TailQ,(INDEX(H_DR,1,LastHist)-DR_24)/DR_TailQ,0))))</f>
        <v>0</v>
      </c>
      <c r="N22" s="122" t="n">
        <f aca="false">IF(N$5&lt;=LastHist,0,IF(N$5&lt;=LastHist+4,DR_Cur/4,IF(N$5&lt;=LastHist+8,(DR_24-DR_Cur)/4,IF(N$5&lt;=LastHist+8+DR_TailQ,(INDEX(H_DR,1,LastHist)-DR_24)/DR_TailQ,0))))</f>
        <v>0</v>
      </c>
      <c r="O22" s="122" t="n">
        <f aca="false">IF(O$5&lt;=LastHist,0,IF(O$5&lt;=LastHist+4,DR_Cur/4,IF(O$5&lt;=LastHist+8,(DR_24-DR_Cur)/4,IF(O$5&lt;=LastHist+8+DR_TailQ,(INDEX(H_DR,1,LastHist)-DR_24)/DR_TailQ,0))))</f>
        <v>0</v>
      </c>
      <c r="P22" s="123" t="n">
        <f aca="false">IF(P$5&lt;=LastHist,0,IF(P$5&lt;=LastHist+4,DR_Cur/4,IF(P$5&lt;=LastHist+8,(DR_24-DR_Cur)/4,IF(P$5&lt;=LastHist+8+DR_TailQ,(INDEX(H_DR,1,LastHist)-DR_24)/DR_TailQ,0))))</f>
        <v>244.85</v>
      </c>
      <c r="Q22" s="123" t="n">
        <f aca="false">IF(Q$5&lt;=LastHist,0,IF(Q$5&lt;=LastHist+4,DR_Cur/4,IF(Q$5&lt;=LastHist+8,(DR_24-DR_Cur)/4,IF(Q$5&lt;=LastHist+8+DR_TailQ,(INDEX(H_DR,1,LastHist)-DR_24)/DR_TailQ,0))))</f>
        <v>244.85</v>
      </c>
      <c r="R22" s="123" t="n">
        <f aca="false">IF(R$5&lt;=LastHist,0,IF(R$5&lt;=LastHist+4,DR_Cur/4,IF(R$5&lt;=LastHist+8,(DR_24-DR_Cur)/4,IF(R$5&lt;=LastHist+8+DR_TailQ,(INDEX(H_DR,1,LastHist)-DR_24)/DR_TailQ,0))))</f>
        <v>244.85</v>
      </c>
      <c r="S22" s="123" t="n">
        <f aca="false">IF(S$5&lt;=LastHist,0,IF(S$5&lt;=LastHist+4,DR_Cur/4,IF(S$5&lt;=LastHist+8,(DR_24-DR_Cur)/4,IF(S$5&lt;=LastHist+8+DR_TailQ,(INDEX(H_DR,1,LastHist)-DR_24)/DR_TailQ,0))))</f>
        <v>244.85</v>
      </c>
      <c r="T22" s="123" t="n">
        <f aca="false">IF(T$5&lt;=LastHist,0,IF(T$5&lt;=LastHist+4,DR_Cur/4,IF(T$5&lt;=LastHist+8,(DR_24-DR_Cur)/4,IF(T$5&lt;=LastHist+8+DR_TailQ,(INDEX(H_DR,1,LastHist)-DR_24)/DR_TailQ,0))))</f>
        <v>317.65</v>
      </c>
      <c r="U22" s="123" t="n">
        <f aca="false">IF(U$5&lt;=LastHist,0,IF(U$5&lt;=LastHist+4,DR_Cur/4,IF(U$5&lt;=LastHist+8,(DR_24-DR_Cur)/4,IF(U$5&lt;=LastHist+8+DR_TailQ,(INDEX(H_DR,1,LastHist)-DR_24)/DR_TailQ,0))))</f>
        <v>317.65</v>
      </c>
      <c r="V22" s="123" t="n">
        <f aca="false">IF(V$5&lt;=LastHist,0,IF(V$5&lt;=LastHist+4,DR_Cur/4,IF(V$5&lt;=LastHist+8,(DR_24-DR_Cur)/4,IF(V$5&lt;=LastHist+8+DR_TailQ,(INDEX(H_DR,1,LastHist)-DR_24)/DR_TailQ,0))))</f>
        <v>317.65</v>
      </c>
      <c r="W22" s="123" t="n">
        <f aca="false">IF(W$5&lt;=LastHist,0,IF(W$5&lt;=LastHist+4,DR_Cur/4,IF(W$5&lt;=LastHist+8,(DR_24-DR_Cur)/4,IF(W$5&lt;=LastHist+8+DR_TailQ,(INDEX(H_DR,1,LastHist)-DR_24)/DR_TailQ,0))))</f>
        <v>317.65</v>
      </c>
      <c r="X22" s="123" t="n">
        <f aca="false">IF(X$5&lt;=LastHist,0,IF(X$5&lt;=LastHist+4,DR_Cur/4,IF(X$5&lt;=LastHist+8,(DR_24-DR_Cur)/4,IF(X$5&lt;=LastHist+8+DR_TailQ,(INDEX(H_DR,1,LastHist)-DR_24)/DR_TailQ,0))))</f>
        <v>310.416666666667</v>
      </c>
      <c r="Y22" s="123" t="n">
        <f aca="false">IF(Y$5&lt;=LastHist,0,IF(Y$5&lt;=LastHist+4,DR_Cur/4,IF(Y$5&lt;=LastHist+8,(DR_24-DR_Cur)/4,IF(Y$5&lt;=LastHist+8+DR_TailQ,(INDEX(H_DR,1,LastHist)-DR_24)/DR_TailQ,0))))</f>
        <v>310.416666666667</v>
      </c>
      <c r="Z22" s="123" t="n">
        <f aca="false">IF(Z$5&lt;=LastHist,0,IF(Z$5&lt;=LastHist+4,DR_Cur/4,IF(Z$5&lt;=LastHist+8,(DR_24-DR_Cur)/4,IF(Z$5&lt;=LastHist+8+DR_TailQ,(INDEX(H_DR,1,LastHist)-DR_24)/DR_TailQ,0))))</f>
        <v>310.416666666667</v>
      </c>
      <c r="AA22" s="123" t="n">
        <f aca="false">IF(AA$5&lt;=LastHist,0,IF(AA$5&lt;=LastHist+4,DR_Cur/4,IF(AA$5&lt;=LastHist+8,(DR_24-DR_Cur)/4,IF(AA$5&lt;=LastHist+8+DR_TailQ,(INDEX(H_DR,1,LastHist)-DR_24)/DR_TailQ,0))))</f>
        <v>310.416666666667</v>
      </c>
      <c r="AB22" s="123" t="n">
        <f aca="false">IF(AB$5&lt;=LastHist,0,IF(AB$5&lt;=LastHist+4,DR_Cur/4,IF(AB$5&lt;=LastHist+8,(DR_24-DR_Cur)/4,IF(AB$5&lt;=LastHist+8+DR_TailQ,(INDEX(H_DR,1,LastHist)-DR_24)/DR_TailQ,0))))</f>
        <v>310.416666666667</v>
      </c>
      <c r="AC22" s="123" t="n">
        <f aca="false">IF(AC$5&lt;=LastHist,0,IF(AC$5&lt;=LastHist+4,DR_Cur/4,IF(AC$5&lt;=LastHist+8,(DR_24-DR_Cur)/4,IF(AC$5&lt;=LastHist+8+DR_TailQ,(INDEX(H_DR,1,LastHist)-DR_24)/DR_TailQ,0))))</f>
        <v>310.416666666667</v>
      </c>
      <c r="AD22" s="123" t="n">
        <f aca="false">IF(AD$5&lt;=LastHist,0,IF(AD$5&lt;=LastHist+4,DR_Cur/4,IF(AD$5&lt;=LastHist+8,(DR_24-DR_Cur)/4,IF(AD$5&lt;=LastHist+8+DR_TailQ,(INDEX(H_DR,1,LastHist)-DR_24)/DR_TailQ,0))))</f>
        <v>310.416666666667</v>
      </c>
      <c r="AE22" s="123" t="n">
        <f aca="false">IF(AE$5&lt;=LastHist,0,IF(AE$5&lt;=LastHist+4,DR_Cur/4,IF(AE$5&lt;=LastHist+8,(DR_24-DR_Cur)/4,IF(AE$5&lt;=LastHist+8+DR_TailQ,(INDEX(H_DR,1,LastHist)-DR_24)/DR_TailQ,0))))</f>
        <v>310.416666666667</v>
      </c>
      <c r="AF22" s="123" t="n">
        <f aca="false">IF(AF$5&lt;=LastHist,0,IF(AF$5&lt;=LastHist+4,DR_Cur/4,IF(AF$5&lt;=LastHist+8,(DR_24-DR_Cur)/4,IF(AF$5&lt;=LastHist+8+DR_TailQ,(INDEX(H_DR,1,LastHist)-DR_24)/DR_TailQ,0))))</f>
        <v>310.416666666667</v>
      </c>
      <c r="AG22" s="123" t="n">
        <f aca="false">IF(AG$5&lt;=LastHist,0,IF(AG$5&lt;=LastHist+4,DR_Cur/4,IF(AG$5&lt;=LastHist+8,(DR_24-DR_Cur)/4,IF(AG$5&lt;=LastHist+8+DR_TailQ,(INDEX(H_DR,1,LastHist)-DR_24)/DR_TailQ,0))))</f>
        <v>310.416666666667</v>
      </c>
      <c r="AI22" s="123" t="n">
        <f aca="false">SUMIF($F$7:$AG$7,AI$7,$F22:$AG22)</f>
        <v>0</v>
      </c>
      <c r="AJ22" s="123" t="n">
        <f aca="false">SUMIF($F$7:$AG$7,AJ$7,$F22:$AG22)</f>
        <v>0</v>
      </c>
      <c r="AK22" s="123" t="n">
        <f aca="false">SUMIF($F$7:$AG$7,AK$7,$F22:$AG22)</f>
        <v>489.7</v>
      </c>
      <c r="AL22" s="123" t="n">
        <f aca="false">SUMIF($F$7:$AG$7,AL$7,$F22:$AG22)</f>
        <v>1125</v>
      </c>
      <c r="AM22" s="123" t="n">
        <f aca="false">SUMIF($F$7:$AG$7,AM$7,$F22:$AG22)</f>
        <v>1256.13333333333</v>
      </c>
      <c r="AN22" s="123" t="n">
        <f aca="false">SUMIF($F$7:$AG$7,AN$7,$F22:$AG22)</f>
        <v>1241.66666666667</v>
      </c>
      <c r="AO22" s="123" t="n">
        <f aca="false">SUMIF($F$7:$AG$7,AO$7,$F22:$AG22)</f>
        <v>1241.66666666667</v>
      </c>
    </row>
    <row r="23" customFormat="false" ht="15" hidden="false" customHeight="false" outlineLevel="0" collapsed="false">
      <c r="A23" s="104" t="s">
        <v>2207</v>
      </c>
      <c r="B23" s="20" t="s">
        <v>561</v>
      </c>
      <c r="C23" s="20" t="s">
        <v>495</v>
      </c>
      <c r="D23" s="20" t="s">
        <v>2208</v>
      </c>
      <c r="F23" s="122" t="n">
        <f aca="false">IF(F$5&lt;=LastHist,0,SUMPRODUCT(($F$5:$AG$5+GPULead&lt;=F$5)*($F$5:$AG$5+GPULead+DR_AmortQ&gt;F$5)*$F$21:$AG$21)/DR_AmortQ)</f>
        <v>0</v>
      </c>
      <c r="G23" s="122" t="n">
        <f aca="false">IF(G$5&lt;=LastHist,0,SUMPRODUCT(($F$5:$AG$5+GPULead&lt;=G$5)*($F$5:$AG$5+GPULead+DR_AmortQ&gt;G$5)*$F$21:$AG$21)/DR_AmortQ)</f>
        <v>0</v>
      </c>
      <c r="H23" s="122" t="n">
        <f aca="false">IF(H$5&lt;=LastHist,0,SUMPRODUCT(($F$5:$AG$5+GPULead&lt;=H$5)*($F$5:$AG$5+GPULead+DR_AmortQ&gt;H$5)*$F$21:$AG$21)/DR_AmortQ)</f>
        <v>0</v>
      </c>
      <c r="I23" s="122" t="n">
        <f aca="false">IF(I$5&lt;=LastHist,0,SUMPRODUCT(($F$5:$AG$5+GPULead&lt;=I$5)*($F$5:$AG$5+GPULead+DR_AmortQ&gt;I$5)*$F$21:$AG$21)/DR_AmortQ)</f>
        <v>0</v>
      </c>
      <c r="J23" s="122" t="n">
        <f aca="false">IF(J$5&lt;=LastHist,0,SUMPRODUCT(($F$5:$AG$5+GPULead&lt;=J$5)*($F$5:$AG$5+GPULead+DR_AmortQ&gt;J$5)*$F$21:$AG$21)/DR_AmortQ)</f>
        <v>0</v>
      </c>
      <c r="K23" s="122" t="n">
        <f aca="false">IF(K$5&lt;=LastHist,0,SUMPRODUCT(($F$5:$AG$5+GPULead&lt;=K$5)*($F$5:$AG$5+GPULead+DR_AmortQ&gt;K$5)*$F$21:$AG$21)/DR_AmortQ)</f>
        <v>0</v>
      </c>
      <c r="L23" s="122" t="n">
        <f aca="false">IF(L$5&lt;=LastHist,0,SUMPRODUCT(($F$5:$AG$5+GPULead&lt;=L$5)*($F$5:$AG$5+GPULead+DR_AmortQ&gt;L$5)*$F$21:$AG$21)/DR_AmortQ)</f>
        <v>0</v>
      </c>
      <c r="M23" s="122" t="n">
        <f aca="false">IF(M$5&lt;=LastHist,0,SUMPRODUCT(($F$5:$AG$5+GPULead&lt;=M$5)*($F$5:$AG$5+GPULead+DR_AmortQ&gt;M$5)*$F$21:$AG$21)/DR_AmortQ)</f>
        <v>0</v>
      </c>
      <c r="N23" s="122" t="n">
        <f aca="false">IF(N$5&lt;=LastHist,0,SUMPRODUCT(($F$5:$AG$5+GPULead&lt;=N$5)*($F$5:$AG$5+GPULead+DR_AmortQ&gt;N$5)*$F$21:$AG$21)/DR_AmortQ)</f>
        <v>0</v>
      </c>
      <c r="O23" s="122" t="n">
        <f aca="false">IF(O$5&lt;=LastHist,0,SUMPRODUCT(($F$5:$AG$5+GPULead&lt;=O$5)*($F$5:$AG$5+GPULead+DR_AmortQ&gt;O$5)*$F$21:$AG$21)/DR_AmortQ)</f>
        <v>0</v>
      </c>
      <c r="P23" s="123" t="n">
        <f aca="false">IF(P$5&lt;=LastHist,0,SUMPRODUCT(($F$5:$AG$5+GPULead&lt;=P$5)*($F$5:$AG$5+GPULead+DR_AmortQ&gt;P$5)*$F$21:$AG$21)/DR_AmortQ)</f>
        <v>0</v>
      </c>
      <c r="Q23" s="123" t="n">
        <f aca="false">IF(Q$5&lt;=LastHist,0,SUMPRODUCT(($F$5:$AG$5+GPULead&lt;=Q$5)*($F$5:$AG$5+GPULead+DR_AmortQ&gt;Q$5)*$F$21:$AG$21)/DR_AmortQ)</f>
        <v>0</v>
      </c>
      <c r="R23" s="123" t="n">
        <f aca="false">IF(R$5&lt;=LastHist,0,SUMPRODUCT(($F$5:$AG$5+GPULead&lt;=R$5)*($F$5:$AG$5+GPULead+DR_AmortQ&gt;R$5)*$F$21:$AG$21)/DR_AmortQ)</f>
        <v>83.89871875</v>
      </c>
      <c r="S23" s="123" t="n">
        <f aca="false">IF(S$5&lt;=LastHist,0,SUMPRODUCT(($F$5:$AG$5+GPULead&lt;=S$5)*($F$5:$AG$5+GPULead+DR_AmortQ&gt;S$5)*$F$21:$AG$21)/DR_AmortQ)</f>
        <v>155.26822311828</v>
      </c>
      <c r="T23" s="123" t="n">
        <f aca="false">IF(T$5&lt;=LastHist,0,SUMPRODUCT(($F$5:$AG$5+GPULead&lt;=T$5)*($F$5:$AG$5+GPULead+DR_AmortQ&gt;T$5)*$F$21:$AG$21)/DR_AmortQ)</f>
        <v>155.26822311828</v>
      </c>
      <c r="U23" s="123" t="n">
        <f aca="false">IF(U$5&lt;=LastHist,0,SUMPRODUCT(($F$5:$AG$5+GPULead&lt;=U$5)*($F$5:$AG$5+GPULead+DR_AmortQ&gt;U$5)*$F$21:$AG$21)/DR_AmortQ)</f>
        <v>269.604397900083</v>
      </c>
      <c r="V23" s="123" t="n">
        <f aca="false">IF(V$5&lt;=LastHist,0,SUMPRODUCT(($F$5:$AG$5+GPULead&lt;=V$5)*($F$5:$AG$5+GPULead+DR_AmortQ&gt;V$5)*$F$21:$AG$21)/DR_AmortQ)</f>
        <v>564.983616650083</v>
      </c>
      <c r="W23" s="123" t="n">
        <f aca="false">IF(W$5&lt;=LastHist,0,SUMPRODUCT(($F$5:$AG$5+GPULead&lt;=W$5)*($F$5:$AG$5+GPULead+DR_AmortQ&gt;W$5)*$F$21:$AG$21)/DR_AmortQ)</f>
        <v>705.689085400083</v>
      </c>
      <c r="X23" s="123" t="n">
        <f aca="false">IF(X$5&lt;=LastHist,0,SUMPRODUCT(($F$5:$AG$5+GPULead&lt;=X$5)*($F$5:$AG$5+GPULead+DR_AmortQ&gt;X$5)*$F$21:$AG$21)/DR_AmortQ)</f>
        <v>803.859397900083</v>
      </c>
      <c r="Y23" s="123" t="n">
        <f aca="false">IF(Y$5&lt;=LastHist,0,SUMPRODUCT(($F$5:$AG$5+GPULead&lt;=Y$5)*($F$5:$AG$5+GPULead+DR_AmortQ&gt;Y$5)*$F$21:$AG$21)/DR_AmortQ)</f>
        <v>855.363304150083</v>
      </c>
      <c r="Z23" s="123" t="n">
        <f aca="false">IF(Z$5&lt;=LastHist,0,SUMPRODUCT(($F$5:$AG$5+GPULead&lt;=Z$5)*($F$5:$AG$5+GPULead+DR_AmortQ&gt;Z$5)*$F$21:$AG$21)/DR_AmortQ)</f>
        <v>1059.24142915008</v>
      </c>
      <c r="AA23" s="123" t="n">
        <f aca="false">IF(AA$5&lt;=LastHist,0,SUMPRODUCT(($F$5:$AG$5+GPULead&lt;=AA$5)*($F$5:$AG$5+GPULead+DR_AmortQ&gt;AA$5)*$F$21:$AG$21)/DR_AmortQ)</f>
        <v>1112.39767915008</v>
      </c>
      <c r="AB23" s="123" t="n">
        <f aca="false">IF(AB$5&lt;=LastHist,0,SUMPRODUCT(($F$5:$AG$5+GPULead&lt;=AB$5)*($F$5:$AG$5+GPULead+DR_AmortQ&gt;AB$5)*$F$21:$AG$21)/DR_AmortQ)</f>
        <v>1323.84142915008</v>
      </c>
      <c r="AC23" s="123" t="n">
        <f aca="false">IF(AC$5&lt;=LastHist,0,SUMPRODUCT(($F$5:$AG$5+GPULead&lt;=AC$5)*($F$5:$AG$5+GPULead+DR_AmortQ&gt;AC$5)*$F$21:$AG$21)/DR_AmortQ)</f>
        <v>1397.88049165008</v>
      </c>
      <c r="AD23" s="123" t="n">
        <f aca="false">IF(AD$5&lt;=LastHist,0,SUMPRODUCT(($F$5:$AG$5+GPULead&lt;=AD$5)*($F$5:$AG$5+GPULead+DR_AmortQ&gt;AD$5)*$F$21:$AG$21)/DR_AmortQ)</f>
        <v>1692.39142915008</v>
      </c>
      <c r="AE23" s="123" t="n">
        <f aca="false">IF(AE$5&lt;=LastHist,0,SUMPRODUCT(($F$5:$AG$5+GPULead&lt;=AE$5)*($F$5:$AG$5+GPULead+DR_AmortQ&gt;AE$5)*$F$21:$AG$21)/DR_AmortQ)</f>
        <v>1692.39142915008</v>
      </c>
      <c r="AF23" s="123" t="n">
        <f aca="false">IF(AF$5&lt;=LastHist,0,SUMPRODUCT(($F$5:$AG$5+GPULead&lt;=AF$5)*($F$5:$AG$5+GPULead+DR_AmortQ&gt;AF$5)*$F$21:$AG$21)/DR_AmortQ)</f>
        <v>1692.39142915008</v>
      </c>
      <c r="AG23" s="123" t="n">
        <f aca="false">IF(AG$5&lt;=LastHist,0,SUMPRODUCT(($F$5:$AG$5+GPULead&lt;=AG$5)*($F$5:$AG$5+GPULead+DR_AmortQ&gt;AG$5)*$F$21:$AG$21)/DR_AmortQ)</f>
        <v>1692.39142915008</v>
      </c>
      <c r="AI23" s="123" t="n">
        <f aca="false">SUMIF($F$7:$AG$7,AI$7,$F23:$AG23)</f>
        <v>0</v>
      </c>
      <c r="AJ23" s="123" t="n">
        <f aca="false">SUMIF($F$7:$AG$7,AJ$7,$F23:$AG23)</f>
        <v>0</v>
      </c>
      <c r="AK23" s="123" t="n">
        <f aca="false">SUMIF($F$7:$AG$7,AK$7,$F23:$AG23)</f>
        <v>0</v>
      </c>
      <c r="AL23" s="123" t="n">
        <f aca="false">SUMIF($F$7:$AG$7,AL$7,$F23:$AG23)</f>
        <v>664.039562886642</v>
      </c>
      <c r="AM23" s="123" t="n">
        <f aca="false">SUMIF($F$7:$AG$7,AM$7,$F23:$AG23)</f>
        <v>2929.89540410033</v>
      </c>
      <c r="AN23" s="123" t="n">
        <f aca="false">SUMIF($F$7:$AG$7,AN$7,$F23:$AG23)</f>
        <v>4893.36102910033</v>
      </c>
      <c r="AO23" s="123" t="n">
        <f aca="false">SUMIF($F$7:$AG$7,AO$7,$F23:$AG23)</f>
        <v>6769.56571660033</v>
      </c>
    </row>
    <row r="24" customFormat="false" ht="15" hidden="false" customHeight="false" outlineLevel="0" collapsed="false">
      <c r="A24" s="104" t="s">
        <v>2209</v>
      </c>
      <c r="B24" s="20" t="s">
        <v>561</v>
      </c>
      <c r="C24" s="20" t="s">
        <v>495</v>
      </c>
      <c r="D24" s="20" t="s">
        <v>2210</v>
      </c>
      <c r="F24" s="122" t="n">
        <f aca="false">IF(DRSchedMode=1,F22+F23,IF(F$5&lt;=LastHist,0,E25/DR_AmortQ))</f>
        <v>0</v>
      </c>
      <c r="G24" s="122" t="n">
        <f aca="false">IF(DRSchedMode=1,G22+G23,IF(G$5&lt;=LastHist,0,F25/DR_AmortQ))</f>
        <v>0</v>
      </c>
      <c r="H24" s="122" t="n">
        <f aca="false">IF(DRSchedMode=1,H22+H23,IF(H$5&lt;=LastHist,0,G25/DR_AmortQ))</f>
        <v>0</v>
      </c>
      <c r="I24" s="122" t="n">
        <f aca="false">IF(DRSchedMode=1,I22+I23,IF(I$5&lt;=LastHist,0,H25/DR_AmortQ))</f>
        <v>0</v>
      </c>
      <c r="J24" s="122" t="n">
        <f aca="false">IF(DRSchedMode=1,J22+J23,IF(J$5&lt;=LastHist,0,I25/DR_AmortQ))</f>
        <v>0</v>
      </c>
      <c r="K24" s="122" t="n">
        <f aca="false">IF(DRSchedMode=1,K22+K23,IF(K$5&lt;=LastHist,0,J25/DR_AmortQ))</f>
        <v>0</v>
      </c>
      <c r="L24" s="122" t="n">
        <f aca="false">IF(DRSchedMode=1,L22+L23,IF(L$5&lt;=LastHist,0,K25/DR_AmortQ))</f>
        <v>0</v>
      </c>
      <c r="M24" s="122" t="n">
        <f aca="false">IF(DRSchedMode=1,M22+M23,IF(M$5&lt;=LastHist,0,L25/DR_AmortQ))</f>
        <v>0</v>
      </c>
      <c r="N24" s="122" t="n">
        <f aca="false">IF(DRSchedMode=1,N22+N23,IF(N$5&lt;=LastHist,0,M25/DR_AmortQ))</f>
        <v>0</v>
      </c>
      <c r="O24" s="122" t="n">
        <f aca="false">IF(DRSchedMode=1,O22+O23,IF(O$5&lt;=LastHist,0,N25/DR_AmortQ))</f>
        <v>0</v>
      </c>
      <c r="P24" s="123" t="n">
        <f aca="false">IF(DRSchedMode=1,P22+P23,IF(P$5&lt;=LastHist,0,O25/DR_AmortQ))</f>
        <v>244.85</v>
      </c>
      <c r="Q24" s="123" t="n">
        <f aca="false">IF(DRSchedMode=1,Q22+Q23,IF(Q$5&lt;=LastHist,0,P25/DR_AmortQ))</f>
        <v>244.85</v>
      </c>
      <c r="R24" s="123" t="n">
        <f aca="false">IF(DRSchedMode=1,R22+R23,IF(R$5&lt;=LastHist,0,Q25/DR_AmortQ))</f>
        <v>328.74871875</v>
      </c>
      <c r="S24" s="123" t="n">
        <f aca="false">IF(DRSchedMode=1,S22+S23,IF(S$5&lt;=LastHist,0,R25/DR_AmortQ))</f>
        <v>400.11822311828</v>
      </c>
      <c r="T24" s="123" t="n">
        <f aca="false">IF(DRSchedMode=1,T22+T23,IF(T$5&lt;=LastHist,0,S25/DR_AmortQ))</f>
        <v>472.91822311828</v>
      </c>
      <c r="U24" s="123" t="n">
        <f aca="false">IF(DRSchedMode=1,U22+U23,IF(U$5&lt;=LastHist,0,T25/DR_AmortQ))</f>
        <v>587.254397900083</v>
      </c>
      <c r="V24" s="123" t="n">
        <f aca="false">IF(DRSchedMode=1,V22+V23,IF(V$5&lt;=LastHist,0,U25/DR_AmortQ))</f>
        <v>882.633616650083</v>
      </c>
      <c r="W24" s="123" t="n">
        <f aca="false">IF(DRSchedMode=1,W22+W23,IF(W$5&lt;=LastHist,0,V25/DR_AmortQ))</f>
        <v>1023.33908540008</v>
      </c>
      <c r="X24" s="123" t="n">
        <f aca="false">IF(DRSchedMode=1,X22+X23,IF(X$5&lt;=LastHist,0,W25/DR_AmortQ))</f>
        <v>1114.27606456675</v>
      </c>
      <c r="Y24" s="123" t="n">
        <f aca="false">IF(DRSchedMode=1,Y22+Y23,IF(Y$5&lt;=LastHist,0,X25/DR_AmortQ))</f>
        <v>1165.77997081675</v>
      </c>
      <c r="Z24" s="123" t="n">
        <f aca="false">IF(DRSchedMode=1,Z22+Z23,IF(Z$5&lt;=LastHist,0,Y25/DR_AmortQ))</f>
        <v>1369.65809581675</v>
      </c>
      <c r="AA24" s="123" t="n">
        <f aca="false">IF(DRSchedMode=1,AA22+AA23,IF(AA$5&lt;=LastHist,0,Z25/DR_AmortQ))</f>
        <v>1422.81434581675</v>
      </c>
      <c r="AB24" s="123" t="n">
        <f aca="false">IF(DRSchedMode=1,AB22+AB23,IF(AB$5&lt;=LastHist,0,AA25/DR_AmortQ))</f>
        <v>1634.25809581675</v>
      </c>
      <c r="AC24" s="123" t="n">
        <f aca="false">IF(DRSchedMode=1,AC22+AC23,IF(AC$5&lt;=LastHist,0,AB25/DR_AmortQ))</f>
        <v>1708.29715831675</v>
      </c>
      <c r="AD24" s="123" t="n">
        <f aca="false">IF(DRSchedMode=1,AD22+AD23,IF(AD$5&lt;=LastHist,0,AC25/DR_AmortQ))</f>
        <v>2002.80809581675</v>
      </c>
      <c r="AE24" s="123" t="n">
        <f aca="false">IF(DRSchedMode=1,AE22+AE23,IF(AE$5&lt;=LastHist,0,AD25/DR_AmortQ))</f>
        <v>2002.80809581675</v>
      </c>
      <c r="AF24" s="123" t="n">
        <f aca="false">IF(DRSchedMode=1,AF22+AF23,IF(AF$5&lt;=LastHist,0,AE25/DR_AmortQ))</f>
        <v>2002.80809581675</v>
      </c>
      <c r="AG24" s="123" t="n">
        <f aca="false">IF(DRSchedMode=1,AG22+AG23,IF(AG$5&lt;=LastHist,0,AF25/DR_AmortQ))</f>
        <v>2002.80809581675</v>
      </c>
      <c r="AI24" s="123" t="n">
        <f aca="false">SUMIF($F$7:$AG$7,AI$7,$F24:$AG24)</f>
        <v>0</v>
      </c>
      <c r="AJ24" s="123" t="n">
        <f aca="false">SUMIF($F$7:$AG$7,AJ$7,$F24:$AG24)</f>
        <v>0</v>
      </c>
      <c r="AK24" s="123" t="n">
        <f aca="false">SUMIF($F$7:$AG$7,AK$7,$F24:$AG24)</f>
        <v>489.7</v>
      </c>
      <c r="AL24" s="123" t="n">
        <f aca="false">SUMIF($F$7:$AG$7,AL$7,$F24:$AG24)</f>
        <v>1789.03956288664</v>
      </c>
      <c r="AM24" s="123" t="n">
        <f aca="false">SUMIF($F$7:$AG$7,AM$7,$F24:$AG24)</f>
        <v>4186.02873743366</v>
      </c>
      <c r="AN24" s="123" t="n">
        <f aca="false">SUMIF($F$7:$AG$7,AN$7,$F24:$AG24)</f>
        <v>6135.027695767</v>
      </c>
      <c r="AO24" s="123" t="n">
        <f aca="false">SUMIF($F$7:$AG$7,AO$7,$F24:$AG24)</f>
        <v>8011.232383267</v>
      </c>
    </row>
    <row r="25" customFormat="false" ht="15" hidden="false" customHeight="false" outlineLevel="0" collapsed="false">
      <c r="A25" s="104" t="s">
        <v>2211</v>
      </c>
      <c r="B25" s="20" t="s">
        <v>561</v>
      </c>
      <c r="C25" s="20" t="s">
        <v>550</v>
      </c>
      <c r="D25" s="20" t="s">
        <v>2212</v>
      </c>
      <c r="F25" s="122" t="n">
        <f aca="false">IF(F$5&lt;=LastHist,INDEX(H_DR,1,F$5),E25+F21-F24)</f>
        <v>0</v>
      </c>
      <c r="G25" s="122" t="n">
        <f aca="false">IF(G$5&lt;=LastHist,INDEX(H_DR,1,G$5),F25+G21-G24)</f>
        <v>0</v>
      </c>
      <c r="H25" s="122" t="n">
        <f aca="false">IF(H$5&lt;=LastHist,INDEX(H_DR,1,H$5),G25+H21-H24)</f>
        <v>0</v>
      </c>
      <c r="I25" s="122" t="n">
        <f aca="false">IF(I$5&lt;=LastHist,INDEX(H_DR,1,I$5),H25+I21-I24)</f>
        <v>0</v>
      </c>
      <c r="J25" s="122" t="n">
        <f aca="false">IF(J$5&lt;=LastHist,INDEX(H_DR,1,J$5),I25+J21-J24)</f>
        <v>0</v>
      </c>
      <c r="K25" s="122" t="n">
        <f aca="false">IF(K$5&lt;=LastHist,INDEX(H_DR,1,K$5),J25+K21-K24)</f>
        <v>0</v>
      </c>
      <c r="L25" s="122" t="n">
        <f aca="false">IF(L$5&lt;=LastHist,INDEX(H_DR,1,L$5),K25+L21-L24)</f>
        <v>0</v>
      </c>
      <c r="M25" s="122" t="n">
        <f aca="false">IF(M$5&lt;=LastHist,INDEX(H_DR,1,M$5),L25+M21-M24)</f>
        <v>1578</v>
      </c>
      <c r="N25" s="122" t="n">
        <f aca="false">IF(N$5&lt;=LastHist,INDEX(H_DR,1,N$5),M25+N21-N24)</f>
        <v>4778</v>
      </c>
      <c r="O25" s="122" t="n">
        <f aca="false">IF(O$5&lt;=LastHist,INDEX(H_DR,1,O$5),N25+O21-O24)</f>
        <v>5975</v>
      </c>
      <c r="P25" s="123" t="n">
        <f aca="false">IF(P$5&lt;=LastHist,INDEX(H_DR,1,P$5),O25+P21-P24)</f>
        <v>7072.5295</v>
      </c>
      <c r="Q25" s="123" t="n">
        <f aca="false">IF(Q$5&lt;=LastHist,INDEX(H_DR,1,Q$5),P25+Q21-Q24)</f>
        <v>7969.59156989247</v>
      </c>
      <c r="R25" s="123" t="n">
        <f aca="false">IF(R$5&lt;=LastHist,INDEX(H_DR,1,R$5),Q25+R21-R24)</f>
        <v>7640.84285114247</v>
      </c>
      <c r="S25" s="123" t="n">
        <f aca="false">IF(S$5&lt;=LastHist,INDEX(H_DR,1,S$5),R25+S21-S24)</f>
        <v>9070.10342453304</v>
      </c>
      <c r="T25" s="123" t="n">
        <f aca="false">IF(T$5&lt;=LastHist,INDEX(H_DR,1,T$5),S25+T21-T24)</f>
        <v>13323.2527014148</v>
      </c>
      <c r="U25" s="123" t="n">
        <f aca="false">IF(U$5&lt;=LastHist,INDEX(H_DR,1,U$5),T25+U21-U24)</f>
        <v>14987.2858035147</v>
      </c>
      <c r="V25" s="123" t="n">
        <f aca="false">IF(V$5&lt;=LastHist,INDEX(H_DR,1,V$5),U25+V21-V24)</f>
        <v>15675.3771868646</v>
      </c>
      <c r="W25" s="123" t="n">
        <f aca="false">IF(W$5&lt;=LastHist,INDEX(H_DR,1,W$5),V25+W21-W24)</f>
        <v>15476.1006014645</v>
      </c>
      <c r="X25" s="123" t="n">
        <f aca="false">IF(X$5&lt;=LastHist,INDEX(H_DR,1,X$5),W25+X21-X24)</f>
        <v>17623.8745368978</v>
      </c>
      <c r="Y25" s="123" t="n">
        <f aca="false">IF(Y$5&lt;=LastHist,INDEX(H_DR,1,Y$5),X25+Y21-Y24)</f>
        <v>17308.594566081</v>
      </c>
      <c r="Z25" s="123" t="n">
        <f aca="false">IF(Z$5&lt;=LastHist,INDEX(H_DR,1,Z$5),Y25+Z21-Z24)</f>
        <v>19322.0364702643</v>
      </c>
      <c r="AA25" s="123" t="n">
        <f aca="false">IF(AA$5&lt;=LastHist,INDEX(H_DR,1,AA$5),Z25+AA21-AA24)</f>
        <v>19083.8471244475</v>
      </c>
      <c r="AB25" s="123" t="n">
        <f aca="false">IF(AB$5&lt;=LastHist,INDEX(H_DR,1,AB$5),AA25+AB21-AB24)</f>
        <v>22161.7640286308</v>
      </c>
      <c r="AC25" s="123" t="n">
        <f aca="false">IF(AC$5&lt;=LastHist,INDEX(H_DR,1,AC$5),AB25+AC21-AC24)</f>
        <v>20453.466870314</v>
      </c>
      <c r="AD25" s="123" t="n">
        <f aca="false">IF(AD$5&lt;=LastHist,INDEX(H_DR,1,AD$5),AC25+AD21-AD24)</f>
        <v>18450.6587744973</v>
      </c>
      <c r="AE25" s="123" t="n">
        <f aca="false">IF(AE$5&lt;=LastHist,INDEX(H_DR,1,AE$5),AD25+AE21-AE24)</f>
        <v>16447.8506786805</v>
      </c>
      <c r="AF25" s="123" t="n">
        <f aca="false">IF(AF$5&lt;=LastHist,INDEX(H_DR,1,AF$5),AE25+AF21-AF24)</f>
        <v>14445.0425828638</v>
      </c>
      <c r="AG25" s="123" t="n">
        <f aca="false">IF(AG$5&lt;=LastHist,INDEX(H_DR,1,AG$5),AF25+AG21-AG24)</f>
        <v>12442.234487047</v>
      </c>
      <c r="AI25" s="123" t="n">
        <f aca="false">INDEX($F25:$AG25,1,MATCH(AI$7,$F$7:$AG$7,1))</f>
        <v>0</v>
      </c>
      <c r="AJ25" s="123" t="n">
        <f aca="false">INDEX($F25:$AG25,1,MATCH(AJ$7,$F$7:$AG$7,1))</f>
        <v>1578</v>
      </c>
      <c r="AK25" s="123" t="n">
        <f aca="false">INDEX($F25:$AG25,1,MATCH(AK$7,$F$7:$AG$7,1))</f>
        <v>7969.59156989247</v>
      </c>
      <c r="AL25" s="123" t="n">
        <f aca="false">INDEX($F25:$AG25,1,MATCH(AL$7,$F$7:$AG$7,1))</f>
        <v>14987.2858035147</v>
      </c>
      <c r="AM25" s="123" t="n">
        <f aca="false">INDEX($F25:$AG25,1,MATCH(AM$7,$F$7:$AG$7,1))</f>
        <v>17308.594566081</v>
      </c>
      <c r="AN25" s="123" t="n">
        <f aca="false">INDEX($F25:$AG25,1,MATCH(AN$7,$F$7:$AG$7,1))</f>
        <v>20453.466870314</v>
      </c>
      <c r="AO25" s="123" t="n">
        <f aca="false">INDEX($F25:$AG25,1,MATCH(AO$7,$F$7:$AG$7,1))</f>
        <v>12442.234487047</v>
      </c>
    </row>
    <row r="26" customFormat="false" ht="15" hidden="false" customHeight="false" outlineLevel="0" collapsed="false">
      <c r="A26" s="104" t="s">
        <v>2213</v>
      </c>
      <c r="B26" s="20" t="s">
        <v>561</v>
      </c>
      <c r="C26" s="20" t="s">
        <v>495</v>
      </c>
      <c r="D26" s="20"/>
      <c r="F26" s="122" t="n">
        <f aca="false">F21-F24</f>
        <v>0</v>
      </c>
      <c r="G26" s="122" t="n">
        <f aca="false">G21-G24</f>
        <v>0</v>
      </c>
      <c r="H26" s="122" t="n">
        <f aca="false">H21-H24</f>
        <v>0</v>
      </c>
      <c r="I26" s="122" t="n">
        <f aca="false">I21-I24</f>
        <v>0</v>
      </c>
      <c r="J26" s="122" t="n">
        <f aca="false">J21-J24</f>
        <v>0</v>
      </c>
      <c r="K26" s="122" t="n">
        <f aca="false">K21-K24</f>
        <v>0</v>
      </c>
      <c r="L26" s="122" t="n">
        <f aca="false">L21-L24</f>
        <v>0</v>
      </c>
      <c r="M26" s="122" t="n">
        <f aca="false">M21-M24</f>
        <v>0</v>
      </c>
      <c r="N26" s="122" t="n">
        <f aca="false">N21-N24</f>
        <v>0</v>
      </c>
      <c r="O26" s="122" t="n">
        <f aca="false">O21-O24</f>
        <v>0</v>
      </c>
      <c r="P26" s="123" t="n">
        <f aca="false">P21-P24</f>
        <v>1097.5295</v>
      </c>
      <c r="Q26" s="123" t="n">
        <f aca="false">Q21-Q24</f>
        <v>897.062069892474</v>
      </c>
      <c r="R26" s="123" t="n">
        <f aca="false">R21-R24</f>
        <v>-328.74871875</v>
      </c>
      <c r="S26" s="123" t="n">
        <f aca="false">S21-S24</f>
        <v>1429.26057339057</v>
      </c>
      <c r="T26" s="123" t="n">
        <f aca="false">T21-T24</f>
        <v>4253.14927688172</v>
      </c>
      <c r="U26" s="123" t="n">
        <f aca="false">U21-U24</f>
        <v>1664.03310209992</v>
      </c>
      <c r="V26" s="123" t="n">
        <f aca="false">V21-V24</f>
        <v>688.091383349918</v>
      </c>
      <c r="W26" s="123" t="n">
        <f aca="false">W21-W24</f>
        <v>-199.276585400083</v>
      </c>
      <c r="X26" s="123" t="n">
        <f aca="false">X21-X24</f>
        <v>2147.77393543325</v>
      </c>
      <c r="Y26" s="123" t="n">
        <f aca="false">Y21-Y24</f>
        <v>-315.27997081675</v>
      </c>
      <c r="Z26" s="123" t="n">
        <f aca="false">Z21-Z24</f>
        <v>2013.44190418325</v>
      </c>
      <c r="AA26" s="123" t="n">
        <f aca="false">AA21-AA24</f>
        <v>-238.18934581675</v>
      </c>
      <c r="AB26" s="123" t="n">
        <f aca="false">AB21-AB24</f>
        <v>3077.91690418325</v>
      </c>
      <c r="AC26" s="123" t="n">
        <f aca="false">AC21-AC24</f>
        <v>-1708.29715831675</v>
      </c>
      <c r="AD26" s="123" t="n">
        <f aca="false">AD21-AD24</f>
        <v>-2002.80809581675</v>
      </c>
      <c r="AE26" s="123" t="n">
        <f aca="false">AE21-AE24</f>
        <v>-2002.80809581675</v>
      </c>
      <c r="AF26" s="123" t="n">
        <f aca="false">AF21-AF24</f>
        <v>-2002.80809581675</v>
      </c>
      <c r="AG26" s="123" t="n">
        <f aca="false">AG21-AG24</f>
        <v>-2002.80809581675</v>
      </c>
      <c r="AI26" s="123" t="n">
        <f aca="false">SUMIF($F$7:$AG$7,AI$7,$F26:$AG26)</f>
        <v>0</v>
      </c>
      <c r="AJ26" s="123" t="n">
        <f aca="false">SUMIF($F$7:$AG$7,AJ$7,$F26:$AG26)</f>
        <v>0</v>
      </c>
      <c r="AK26" s="123" t="n">
        <f aca="false">SUMIF($F$7:$AG$7,AK$7,$F26:$AG26)</f>
        <v>1994.59156989247</v>
      </c>
      <c r="AL26" s="123" t="n">
        <f aca="false">SUMIF($F$7:$AG$7,AL$7,$F26:$AG26)</f>
        <v>7017.69423362221</v>
      </c>
      <c r="AM26" s="123" t="n">
        <f aca="false">SUMIF($F$7:$AG$7,AM$7,$F26:$AG26)</f>
        <v>2321.30876256634</v>
      </c>
      <c r="AN26" s="123" t="n">
        <f aca="false">SUMIF($F$7:$AG$7,AN$7,$F26:$AG26)</f>
        <v>3144.872304233</v>
      </c>
      <c r="AO26" s="123" t="n">
        <f aca="false">SUMIF($F$7:$AG$7,AO$7,$F26:$AG26)</f>
        <v>-8011.232383267</v>
      </c>
    </row>
    <row r="28" customFormat="false" ht="15" hidden="false" customHeight="false" outlineLevel="0" collapsed="false">
      <c r="A28" s="53" t="s">
        <v>2214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</row>
    <row r="29" customFormat="false" ht="15" hidden="false" customHeight="false" outlineLevel="0" collapsed="false">
      <c r="A29" s="104" t="s">
        <v>2215</v>
      </c>
      <c r="B29" s="20" t="s">
        <v>561</v>
      </c>
      <c r="C29" s="20" t="s">
        <v>495</v>
      </c>
      <c r="D29" s="20"/>
      <c r="F29" s="122" t="n">
        <f aca="false">0</f>
        <v>0</v>
      </c>
      <c r="G29" s="122" t="n">
        <f aca="false">IF(G$5&lt;=LastHist,0,INDEX(CF_Cash,1,1)*CashYield/4)</f>
        <v>0</v>
      </c>
      <c r="H29" s="122" t="n">
        <f aca="false">IF(H$5&lt;=LastHist,0,INDEX(CF_Cash,1,2)*CashYield/4)</f>
        <v>0</v>
      </c>
      <c r="I29" s="122" t="n">
        <f aca="false">IF(I$5&lt;=LastHist,0,INDEX(CF_Cash,1,3)*CashYield/4)</f>
        <v>0</v>
      </c>
      <c r="J29" s="122" t="n">
        <f aca="false">IF(J$5&lt;=LastHist,0,INDEX(CF_Cash,1,4)*CashYield/4)</f>
        <v>0</v>
      </c>
      <c r="K29" s="122" t="n">
        <f aca="false">IF(K$5&lt;=LastHist,0,INDEX(CF_Cash,1,5)*CashYield/4)</f>
        <v>0</v>
      </c>
      <c r="L29" s="122" t="n">
        <f aca="false">IF(L$5&lt;=LastHist,0,INDEX(CF_Cash,1,6)*CashYield/4)</f>
        <v>0</v>
      </c>
      <c r="M29" s="122" t="n">
        <f aca="false">IF(M$5&lt;=LastHist,0,INDEX(CF_Cash,1,7)*CashYield/4)</f>
        <v>0</v>
      </c>
      <c r="N29" s="122" t="n">
        <f aca="false">IF(N$5&lt;=LastHist,0,INDEX(CF_Cash,1,8)*CashYield/4)</f>
        <v>0</v>
      </c>
      <c r="O29" s="122" t="n">
        <f aca="false">IF(O$5&lt;=LastHist,0,INDEX(CF_Cash,1,9)*CashYield/4)</f>
        <v>0</v>
      </c>
      <c r="P29" s="123" t="n">
        <f aca="false">IF(P$5&lt;=LastHist,0,INDEX(CF_Cash,1,10)*CashYield/4)</f>
        <v>70.368375</v>
      </c>
      <c r="Q29" s="123" t="n">
        <f aca="false">IF(Q$5&lt;=LastHist,0,INDEX(CF_Cash,1,11)*CashYield/4)</f>
        <v>101.485125895547</v>
      </c>
      <c r="R29" s="123" t="n">
        <f aca="false">IF(R$5&lt;=LastHist,0,INDEX(CF_Cash,1,12)*CashYield/4)</f>
        <v>92.9195143293982</v>
      </c>
      <c r="S29" s="123" t="n">
        <f aca="false">IF(S$5&lt;=LastHist,0,INDEX(CF_Cash,1,13)*CashYield/4)</f>
        <v>95.6666926096549</v>
      </c>
      <c r="T29" s="123" t="n">
        <f aca="false">IF(T$5&lt;=LastHist,0,INDEX(CF_Cash,1,14)*CashYield/4)</f>
        <v>47.6471349175168</v>
      </c>
      <c r="U29" s="123" t="n">
        <f aca="false">IF(U$5&lt;=LastHist,0,INDEX(CF_Cash,1,15)*CashYield/4)</f>
        <v>41.7930476950295</v>
      </c>
      <c r="V29" s="123" t="n">
        <f aca="false">IF(V$5&lt;=LastHist,0,INDEX(CF_Cash,1,16)*CashYield/4)</f>
        <v>17.5280234823266</v>
      </c>
      <c r="W29" s="123" t="n">
        <f aca="false">IF(W$5&lt;=LastHist,0,INDEX(CF_Cash,1,17)*CashYield/4)</f>
        <v>17.5</v>
      </c>
      <c r="X29" s="123" t="n">
        <f aca="false">IF(X$5&lt;=LastHist,0,INDEX(CF_Cash,1,18)*CashYield/4)</f>
        <v>17.5</v>
      </c>
      <c r="Y29" s="123" t="n">
        <f aca="false">IF(Y$5&lt;=LastHist,0,INDEX(CF_Cash,1,19)*CashYield/4)</f>
        <v>17.5</v>
      </c>
      <c r="Z29" s="123" t="n">
        <f aca="false">IF(Z$5&lt;=LastHist,0,INDEX(CF_Cash,1,20)*CashYield/4)</f>
        <v>17.5</v>
      </c>
      <c r="AA29" s="123" t="n">
        <f aca="false">IF(AA$5&lt;=LastHist,0,INDEX(CF_Cash,1,21)*CashYield/4)</f>
        <v>17.5</v>
      </c>
      <c r="AB29" s="123" t="n">
        <f aca="false">IF(AB$5&lt;=LastHist,0,INDEX(CF_Cash,1,22)*CashYield/4)</f>
        <v>17.5</v>
      </c>
      <c r="AC29" s="123" t="n">
        <f aca="false">IF(AC$5&lt;=LastHist,0,INDEX(CF_Cash,1,23)*CashYield/4)</f>
        <v>17.5</v>
      </c>
      <c r="AD29" s="123" t="n">
        <f aca="false">IF(AD$5&lt;=LastHist,0,INDEX(CF_Cash,1,24)*CashYield/4)</f>
        <v>45.9910974366374</v>
      </c>
      <c r="AE29" s="123" t="n">
        <f aca="false">IF(AE$5&lt;=LastHist,0,INDEX(CF_Cash,1,25)*CashYield/4)</f>
        <v>46.3295079277104</v>
      </c>
      <c r="AF29" s="123" t="n">
        <f aca="false">IF(AF$5&lt;=LastHist,0,INDEX(CF_Cash,1,26)*CashYield/4)</f>
        <v>84.9864897084705</v>
      </c>
      <c r="AG29" s="123" t="n">
        <f aca="false">IF(AG$5&lt;=LastHist,0,INDEX(CF_Cash,1,27)*CashYield/4)</f>
        <v>83.669404671115</v>
      </c>
      <c r="AI29" s="123" t="n">
        <f aca="false">SUMIF($F$7:$AG$7,AI$7,$F29:$AG29)</f>
        <v>0</v>
      </c>
      <c r="AJ29" s="123" t="n">
        <f aca="false">SUMIF($F$7:$AG$7,AJ$7,$F29:$AG29)</f>
        <v>0</v>
      </c>
      <c r="AK29" s="123" t="n">
        <f aca="false">SUMIF($F$7:$AG$7,AK$7,$F29:$AG29)</f>
        <v>171.853500895547</v>
      </c>
      <c r="AL29" s="123" t="n">
        <f aca="false">SUMIF($F$7:$AG$7,AL$7,$F29:$AG29)</f>
        <v>278.026389551599</v>
      </c>
      <c r="AM29" s="123" t="n">
        <f aca="false">SUMIF($F$7:$AG$7,AM$7,$F29:$AG29)</f>
        <v>70.0280234823266</v>
      </c>
      <c r="AN29" s="123" t="n">
        <f aca="false">SUMIF($F$7:$AG$7,AN$7,$F29:$AG29)</f>
        <v>70</v>
      </c>
      <c r="AO29" s="123" t="n">
        <f aca="false">SUMIF($F$7:$AG$7,AO$7,$F29:$AG29)</f>
        <v>260.976499743933</v>
      </c>
    </row>
    <row r="30" customFormat="false" ht="15" hidden="false" customHeight="false" outlineLevel="0" collapsed="false">
      <c r="A30" s="104" t="s">
        <v>2216</v>
      </c>
      <c r="B30" s="20" t="s">
        <v>561</v>
      </c>
      <c r="C30" s="20" t="s">
        <v>495</v>
      </c>
      <c r="D30" s="20"/>
      <c r="F30" s="122" t="n">
        <f aca="false">0</f>
        <v>0</v>
      </c>
      <c r="G30" s="122" t="n">
        <f aca="false">IF(G$5&lt;=LastHist,0,INDEX(CF_PlugBal,1,1)*(SOFR+PlugSpread)/4)</f>
        <v>0</v>
      </c>
      <c r="H30" s="122" t="n">
        <f aca="false">IF(H$5&lt;=LastHist,0,INDEX(CF_PlugBal,1,2)*(SOFR+PlugSpread)/4)</f>
        <v>0</v>
      </c>
      <c r="I30" s="122" t="n">
        <f aca="false">IF(I$5&lt;=LastHist,0,INDEX(CF_PlugBal,1,3)*(SOFR+PlugSpread)/4)</f>
        <v>0</v>
      </c>
      <c r="J30" s="122" t="n">
        <f aca="false">IF(J$5&lt;=LastHist,0,INDEX(CF_PlugBal,1,4)*(SOFR+PlugSpread)/4)</f>
        <v>0</v>
      </c>
      <c r="K30" s="122" t="n">
        <f aca="false">IF(K$5&lt;=LastHist,0,INDEX(CF_PlugBal,1,5)*(SOFR+PlugSpread)/4)</f>
        <v>0</v>
      </c>
      <c r="L30" s="122" t="n">
        <f aca="false">IF(L$5&lt;=LastHist,0,INDEX(CF_PlugBal,1,6)*(SOFR+PlugSpread)/4)</f>
        <v>0</v>
      </c>
      <c r="M30" s="122" t="n">
        <f aca="false">IF(M$5&lt;=LastHist,0,INDEX(CF_PlugBal,1,7)*(SOFR+PlugSpread)/4)</f>
        <v>0</v>
      </c>
      <c r="N30" s="122" t="n">
        <f aca="false">IF(N$5&lt;=LastHist,0,INDEX(CF_PlugBal,1,8)*(SOFR+PlugSpread)/4)</f>
        <v>0</v>
      </c>
      <c r="O30" s="122" t="n">
        <f aca="false">IF(O$5&lt;=LastHist,0,INDEX(CF_PlugBal,1,9)*(SOFR+PlugSpread)/4)</f>
        <v>0</v>
      </c>
      <c r="P30" s="123" t="n">
        <f aca="false">IF(P$5&lt;=LastHist,0,INDEX(CF_PlugBal,1,10)*(SOFR+PlugSpread)/4)</f>
        <v>0</v>
      </c>
      <c r="Q30" s="123" t="n">
        <f aca="false">IF(Q$5&lt;=LastHist,0,INDEX(CF_PlugBal,1,11)*(SOFR+PlugSpread)/4)</f>
        <v>0</v>
      </c>
      <c r="R30" s="123" t="n">
        <f aca="false">IF(R$5&lt;=LastHist,0,INDEX(CF_PlugBal,1,12)*(SOFR+PlugSpread)/4)</f>
        <v>0</v>
      </c>
      <c r="S30" s="123" t="n">
        <f aca="false">IF(S$5&lt;=LastHist,0,INDEX(CF_PlugBal,1,13)*(SOFR+PlugSpread)/4)</f>
        <v>0</v>
      </c>
      <c r="T30" s="123" t="n">
        <f aca="false">IF(T$5&lt;=LastHist,0,INDEX(CF_PlugBal,1,14)*(SOFR+PlugSpread)/4)</f>
        <v>0</v>
      </c>
      <c r="U30" s="123" t="n">
        <f aca="false">IF(U$5&lt;=LastHist,0,INDEX(CF_PlugBal,1,15)*(SOFR+PlugSpread)/4)</f>
        <v>0</v>
      </c>
      <c r="V30" s="123" t="n">
        <f aca="false">IF(V$5&lt;=LastHist,0,INDEX(CF_PlugBal,1,16)*(SOFR+PlugSpread)/4)</f>
        <v>0</v>
      </c>
      <c r="W30" s="123" t="n">
        <f aca="false">IF(W$5&lt;=LastHist,0,INDEX(CF_PlugBal,1,17)*(SOFR+PlugSpread)/4)</f>
        <v>36.1969091364662</v>
      </c>
      <c r="X30" s="123" t="n">
        <f aca="false">IF(X$5&lt;=LastHist,0,INDEX(CF_PlugBal,1,18)*(SOFR+PlugSpread)/4)</f>
        <v>46.4940597346852</v>
      </c>
      <c r="Y30" s="123" t="n">
        <f aca="false">IF(Y$5&lt;=LastHist,0,INDEX(CF_PlugBal,1,19)*(SOFR+PlugSpread)/4)</f>
        <v>127.966393172491</v>
      </c>
      <c r="Z30" s="123" t="n">
        <f aca="false">IF(Z$5&lt;=LastHist,0,INDEX(CF_PlugBal,1,20)*(SOFR+PlugSpread)/4)</f>
        <v>136.7894611666</v>
      </c>
      <c r="AA30" s="123" t="n">
        <f aca="false">IF(AA$5&lt;=LastHist,0,INDEX(CF_PlugBal,1,21)*(SOFR+PlugSpread)/4)</f>
        <v>217.163640951238</v>
      </c>
      <c r="AB30" s="123" t="n">
        <f aca="false">IF(AB$5&lt;=LastHist,0,INDEX(CF_PlugBal,1,22)*(SOFR+PlugSpread)/4)</f>
        <v>228.212318771141</v>
      </c>
      <c r="AC30" s="123" t="n">
        <f aca="false">IF(AC$5&lt;=LastHist,0,INDEX(CF_PlugBal,1,23)*(SOFR+PlugSpread)/4)</f>
        <v>342.458448977426</v>
      </c>
      <c r="AD30" s="123" t="n">
        <f aca="false">IF(AD$5&lt;=LastHist,0,INDEX(CF_PlugBal,1,24)*(SOFR+PlugSpread)/4)</f>
        <v>342.458448977426</v>
      </c>
      <c r="AE30" s="123" t="n">
        <f aca="false">IF(AE$5&lt;=LastHist,0,INDEX(CF_PlugBal,1,25)*(SOFR+PlugSpread)/4)</f>
        <v>342.458448977426</v>
      </c>
      <c r="AF30" s="123" t="n">
        <f aca="false">IF(AF$5&lt;=LastHist,0,INDEX(CF_PlugBal,1,26)*(SOFR+PlugSpread)/4)</f>
        <v>342.458448977426</v>
      </c>
      <c r="AG30" s="123" t="n">
        <f aca="false">IF(AG$5&lt;=LastHist,0,INDEX(CF_PlugBal,1,27)*(SOFR+PlugSpread)/4)</f>
        <v>342.458448977426</v>
      </c>
      <c r="AI30" s="123" t="n">
        <f aca="false">SUMIF($F$7:$AG$7,AI$7,$F30:$AG30)</f>
        <v>0</v>
      </c>
      <c r="AJ30" s="123" t="n">
        <f aca="false">SUMIF($F$7:$AG$7,AJ$7,$F30:$AG30)</f>
        <v>0</v>
      </c>
      <c r="AK30" s="123" t="n">
        <f aca="false">SUMIF($F$7:$AG$7,AK$7,$F30:$AG30)</f>
        <v>0</v>
      </c>
      <c r="AL30" s="123" t="n">
        <f aca="false">SUMIF($F$7:$AG$7,AL$7,$F30:$AG30)</f>
        <v>0</v>
      </c>
      <c r="AM30" s="123" t="n">
        <f aca="false">SUMIF($F$7:$AG$7,AM$7,$F30:$AG30)</f>
        <v>210.657362043642</v>
      </c>
      <c r="AN30" s="123" t="n">
        <f aca="false">SUMIF($F$7:$AG$7,AN$7,$F30:$AG30)</f>
        <v>924.623869866406</v>
      </c>
      <c r="AO30" s="123" t="n">
        <f aca="false">SUMIF($F$7:$AG$7,AO$7,$F30:$AG30)</f>
        <v>1369.83379590971</v>
      </c>
    </row>
    <row r="31" customFormat="false" ht="15" hidden="false" customHeight="false" outlineLevel="0" collapsed="false">
      <c r="A31" s="104" t="s">
        <v>2217</v>
      </c>
      <c r="B31" s="20" t="s">
        <v>561</v>
      </c>
      <c r="C31" s="20" t="s">
        <v>495</v>
      </c>
      <c r="D31" s="20" t="s">
        <v>2218</v>
      </c>
      <c r="F31" s="122" t="n">
        <f aca="false">IF(F$5&lt;=LastHist,0,-INDEX(CV_cpn,1,1)-INDEX(Sec_Int,1,1)-F30+F29)</f>
        <v>0</v>
      </c>
      <c r="G31" s="122" t="n">
        <f aca="false">IF(G$5&lt;=LastHist,0,-INDEX(CV_cpn,1,2)-INDEX(Sec_Int,1,2)-G30+G29)</f>
        <v>0</v>
      </c>
      <c r="H31" s="122" t="n">
        <f aca="false">IF(H$5&lt;=LastHist,0,-INDEX(CV_cpn,1,3)-INDEX(Sec_Int,1,3)-H30+H29)</f>
        <v>0</v>
      </c>
      <c r="I31" s="122" t="n">
        <f aca="false">IF(I$5&lt;=LastHist,0,-INDEX(CV_cpn,1,4)-INDEX(Sec_Int,1,4)-I30+I29)</f>
        <v>0</v>
      </c>
      <c r="J31" s="122" t="n">
        <f aca="false">IF(J$5&lt;=LastHist,0,-INDEX(CV_cpn,1,5)-INDEX(Sec_Int,1,5)-J30+J29)</f>
        <v>0</v>
      </c>
      <c r="K31" s="122" t="n">
        <f aca="false">IF(K$5&lt;=LastHist,0,-INDEX(CV_cpn,1,6)-INDEX(Sec_Int,1,6)-K30+K29)</f>
        <v>0</v>
      </c>
      <c r="L31" s="122" t="n">
        <f aca="false">IF(L$5&lt;=LastHist,0,-INDEX(CV_cpn,1,7)-INDEX(Sec_Int,1,7)-L30+L29)</f>
        <v>0</v>
      </c>
      <c r="M31" s="122" t="n">
        <f aca="false">IF(M$5&lt;=LastHist,0,-INDEX(CV_cpn,1,8)-INDEX(Sec_Int,1,8)-M30+M29)</f>
        <v>0</v>
      </c>
      <c r="N31" s="122" t="n">
        <f aca="false">IF(N$5&lt;=LastHist,0,-INDEX(CV_cpn,1,9)-INDEX(Sec_Int,1,9)-N30+N29)</f>
        <v>0</v>
      </c>
      <c r="O31" s="122" t="n">
        <f aca="false">IF(O$5&lt;=LastHist,0,-INDEX(CV_cpn,1,10)-INDEX(Sec_Int,1,10)-O30+O29)</f>
        <v>0</v>
      </c>
      <c r="P31" s="123" t="n">
        <f aca="false">IF(P$5&lt;=LastHist,0,-INDEX(CV_cpn,1,11)-INDEX(Sec_Int,1,11)-P30+P29)</f>
        <v>4.69259375000001</v>
      </c>
      <c r="Q31" s="123" t="n">
        <f aca="false">IF(Q$5&lt;=LastHist,0,-INDEX(CV_cpn,1,12)-INDEX(Sec_Int,1,12)-Q30+Q29)</f>
        <v>35.8093446455467</v>
      </c>
      <c r="R31" s="123" t="n">
        <f aca="false">IF(R$5&lt;=LastHist,0,-INDEX(CV_cpn,1,13)-INDEX(Sec_Int,1,13)-R30+R29)</f>
        <v>-6.35626692060183</v>
      </c>
      <c r="S31" s="123" t="n">
        <f aca="false">IF(S$5&lt;=LastHist,0,-INDEX(CV_cpn,1,14)-INDEX(Sec_Int,1,14)-S30+S29)</f>
        <v>-3.60908864034508</v>
      </c>
      <c r="T31" s="123" t="n">
        <f aca="false">IF(T$5&lt;=LastHist,0,-INDEX(CV_cpn,1,15)-INDEX(Sec_Int,1,15)-T30+T29)</f>
        <v>-85.2286463324832</v>
      </c>
      <c r="U31" s="123" t="n">
        <f aca="false">IF(U$5&lt;=LastHist,0,-INDEX(CV_cpn,1,16)-INDEX(Sec_Int,1,16)-U30+U29)</f>
        <v>-91.0827335549705</v>
      </c>
      <c r="V31" s="123" t="n">
        <f aca="false">IF(V$5&lt;=LastHist,0,-INDEX(CV_cpn,1,17)-INDEX(Sec_Int,1,17)-V30+V29)</f>
        <v>-115.347757767673</v>
      </c>
      <c r="W31" s="123" t="n">
        <f aca="false">IF(W$5&lt;=LastHist,0,-INDEX(CV_cpn,1,18)-INDEX(Sec_Int,1,18)-W30+W29)</f>
        <v>-151.572690386466</v>
      </c>
      <c r="X31" s="123" t="n">
        <f aca="false">IF(X$5&lt;=LastHist,0,-INDEX(CV_cpn,1,19)-INDEX(Sec_Int,1,19)-X30+X29)</f>
        <v>-161.869840984685</v>
      </c>
      <c r="Y31" s="123" t="n">
        <f aca="false">IF(Y$5&lt;=LastHist,0,-INDEX(CV_cpn,1,20)-INDEX(Sec_Int,1,20)-Y30+Y29)</f>
        <v>-243.342174422491</v>
      </c>
      <c r="Z31" s="123" t="n">
        <f aca="false">IF(Z$5&lt;=LastHist,0,-INDEX(CV_cpn,1,21)-INDEX(Sec_Int,1,21)-Z30+Z29)</f>
        <v>-252.1652424166</v>
      </c>
      <c r="AA31" s="123" t="n">
        <f aca="false">IF(AA$5&lt;=LastHist,0,-INDEX(CV_cpn,1,22)-INDEX(Sec_Int,1,22)-AA30+AA29)</f>
        <v>-332.101922201238</v>
      </c>
      <c r="AB31" s="123" t="n">
        <f aca="false">IF(AB$5&lt;=LastHist,0,-INDEX(CV_cpn,1,23)-INDEX(Sec_Int,1,23)-AB30+AB29)</f>
        <v>-343.150600021141</v>
      </c>
      <c r="AC31" s="123" t="n">
        <f aca="false">IF(AC$5&lt;=LastHist,0,-INDEX(CV_cpn,1,24)-INDEX(Sec_Int,1,24)-AC30+AC29)</f>
        <v>-457.396730227426</v>
      </c>
      <c r="AD31" s="123" t="n">
        <f aca="false">IF(AD$5&lt;=LastHist,0,-INDEX(CV_cpn,1,25)-INDEX(Sec_Int,1,25)-AD30+AD29)</f>
        <v>-424.593132790789</v>
      </c>
      <c r="AE31" s="123" t="n">
        <f aca="false">IF(AE$5&lt;=LastHist,0,-INDEX(CV_cpn,1,26)-INDEX(Sec_Int,1,26)-AE30+AE29)</f>
        <v>-424.254722299716</v>
      </c>
      <c r="AF31" s="123" t="n">
        <f aca="false">IF(AF$5&lt;=LastHist,0,-INDEX(CV_cpn,1,27)-INDEX(Sec_Int,1,27)-AF30+AF29)</f>
        <v>-376.844615518956</v>
      </c>
      <c r="AG31" s="123" t="n">
        <f aca="false">IF(AG$5&lt;=LastHist,0,-INDEX(CV_cpn,1,28)-INDEX(Sec_Int,1,28)-AG30+AG29)</f>
        <v>-378.161700556312</v>
      </c>
      <c r="AI31" s="123" t="n">
        <f aca="false">SUMIF($F$7:$AG$7,AI$7,$F31:$AG31)</f>
        <v>0</v>
      </c>
      <c r="AJ31" s="123" t="n">
        <f aca="false">SUMIF($F$7:$AG$7,AJ$7,$F31:$AG31)</f>
        <v>0</v>
      </c>
      <c r="AK31" s="123" t="n">
        <f aca="false">SUMIF($F$7:$AG$7,AK$7,$F31:$AG31)</f>
        <v>40.5019383955467</v>
      </c>
      <c r="AL31" s="123" t="n">
        <f aca="false">SUMIF($F$7:$AG$7,AL$7,$F31:$AG31)</f>
        <v>-186.276735448401</v>
      </c>
      <c r="AM31" s="123" t="n">
        <f aca="false">SUMIF($F$7:$AG$7,AM$7,$F31:$AG31)</f>
        <v>-672.132463561316</v>
      </c>
      <c r="AN31" s="123" t="n">
        <f aca="false">SUMIF($F$7:$AG$7,AN$7,$F31:$AG31)</f>
        <v>-1384.81449486641</v>
      </c>
      <c r="AO31" s="123" t="n">
        <f aca="false">SUMIF($F$7:$AG$7,AO$7,$F31:$AG31)</f>
        <v>-1603.85417116577</v>
      </c>
    </row>
    <row r="32" customFormat="false" ht="15" hidden="false" customHeight="false" outlineLevel="0" collapsed="false">
      <c r="A32" s="3" t="s">
        <v>2219</v>
      </c>
      <c r="B32" s="20" t="s">
        <v>561</v>
      </c>
      <c r="C32" s="20" t="s">
        <v>495</v>
      </c>
      <c r="D32" s="20"/>
      <c r="F32" s="124" t="n">
        <f aca="false">F11+F12+F31+F26</f>
        <v>0</v>
      </c>
      <c r="G32" s="124" t="n">
        <f aca="false">G11+G12+G31+G26</f>
        <v>0</v>
      </c>
      <c r="H32" s="124" t="n">
        <f aca="false">H11+H12+H31+H26</f>
        <v>0</v>
      </c>
      <c r="I32" s="124" t="n">
        <f aca="false">I11+I12+I31+I26</f>
        <v>0</v>
      </c>
      <c r="J32" s="124" t="n">
        <f aca="false">J11+J12+J31+J26</f>
        <v>0</v>
      </c>
      <c r="K32" s="124" t="n">
        <f aca="false">K11+K12+K31+K26</f>
        <v>0</v>
      </c>
      <c r="L32" s="124" t="n">
        <f aca="false">L11+L12+L31+L26</f>
        <v>0</v>
      </c>
      <c r="M32" s="124" t="n">
        <f aca="false">M11+M12+M31+M26</f>
        <v>0</v>
      </c>
      <c r="N32" s="124" t="n">
        <f aca="false">N11+N12+N31+N26</f>
        <v>0</v>
      </c>
      <c r="O32" s="124" t="n">
        <f aca="false">O11+O12+O31+O26</f>
        <v>0</v>
      </c>
      <c r="P32" s="96" t="n">
        <f aca="false">P11+P12+P31+P26</f>
        <v>1375.97376981343</v>
      </c>
      <c r="Q32" s="96" t="n">
        <f aca="false">Q11+Q12+Q31+Q26</f>
        <v>1261.93965846577</v>
      </c>
      <c r="R32" s="96" t="n">
        <f aca="false">R11+R12+R31+R26</f>
        <v>212.264042229147</v>
      </c>
      <c r="S32" s="96" t="n">
        <f aca="false">S11+S12+S31+S26</f>
        <v>2239.29607307726</v>
      </c>
      <c r="T32" s="96" t="n">
        <f aca="false">T11+T12+T31+T26</f>
        <v>5327.79014338896</v>
      </c>
      <c r="U32" s="96" t="n">
        <f aca="false">U11+U12+U31+U26</f>
        <v>3131.03979261448</v>
      </c>
      <c r="V32" s="96" t="n">
        <f aca="false">V11+V12+V31+V26</f>
        <v>2917.90324940159</v>
      </c>
      <c r="W32" s="96" t="n">
        <f aca="false">W11+W12+W31+W26</f>
        <v>2580.12013864725</v>
      </c>
      <c r="X32" s="96" t="n">
        <f aca="false">X11+X12+X31+X26</f>
        <v>5293.23175361</v>
      </c>
      <c r="Y32" s="96" t="n">
        <f aca="false">Y11+Y12+Y31+Y26</f>
        <v>3028.49879142505</v>
      </c>
      <c r="Z32" s="96" t="n">
        <f aca="false">Z11+Z12+Z31+Z26</f>
        <v>6085.16915472473</v>
      </c>
      <c r="AA32" s="96" t="n">
        <f aca="false">AA11+AA12+AA31+AA26</f>
        <v>4253.23478563946</v>
      </c>
      <c r="AB32" s="96" t="n">
        <f aca="false">AB11+AB12+AB31+AB26</f>
        <v>8152.6887286836</v>
      </c>
      <c r="AC32" s="96" t="n">
        <f aca="false">AC11+AC12+AC31+AC26</f>
        <v>3768.47554513929</v>
      </c>
      <c r="AD32" s="96" t="n">
        <f aca="false">AD11+AD12+AD31+AD26</f>
        <v>4468.39820683692</v>
      </c>
      <c r="AE32" s="96" t="n">
        <f aca="false">AE11+AE12+AE31+AE26</f>
        <v>5047.6814340475</v>
      </c>
      <c r="AF32" s="96" t="n">
        <f aca="false">AF11+AF12+AF31+AF26</f>
        <v>5058.46927527214</v>
      </c>
      <c r="AG32" s="96" t="n">
        <f aca="false">AG11+AG12+AG31+AG26</f>
        <v>5179.35526478424</v>
      </c>
      <c r="AI32" s="96" t="n">
        <f aca="false">SUMIF($F$7:$AG$7,AI$7,$F32:$AG32)</f>
        <v>0</v>
      </c>
      <c r="AJ32" s="96" t="n">
        <f aca="false">SUMIF($F$7:$AG$7,AJ$7,$F32:$AG32)</f>
        <v>0</v>
      </c>
      <c r="AK32" s="96" t="n">
        <f aca="false">SUMIF($F$7:$AG$7,AK$7,$F32:$AG32)</f>
        <v>2637.9134282792</v>
      </c>
      <c r="AL32" s="96" t="n">
        <f aca="false">SUMIF($F$7:$AG$7,AL$7,$F32:$AG32)</f>
        <v>10910.3900513098</v>
      </c>
      <c r="AM32" s="96" t="n">
        <f aca="false">SUMIF($F$7:$AG$7,AM$7,$F32:$AG32)</f>
        <v>13819.7539330839</v>
      </c>
      <c r="AN32" s="96" t="n">
        <f aca="false">SUMIF($F$7:$AG$7,AN$7,$F32:$AG32)</f>
        <v>22259.5682141871</v>
      </c>
      <c r="AO32" s="96" t="n">
        <f aca="false">SUMIF($F$7:$AG$7,AO$7,$F32:$AG32)</f>
        <v>19753.9041809408</v>
      </c>
    </row>
    <row r="33" customFormat="false" ht="15" hidden="false" customHeight="false" outlineLevel="0" collapsed="false">
      <c r="A33" s="104" t="s">
        <v>2220</v>
      </c>
      <c r="B33" s="20" t="s">
        <v>561</v>
      </c>
      <c r="C33" s="20" t="s">
        <v>1913</v>
      </c>
      <c r="D33" s="20"/>
      <c r="F33" s="122" t="n">
        <f aca="false">IF(F$5&lt;=LastHist,0,-INDEX(Capex,1,1))</f>
        <v>0</v>
      </c>
      <c r="G33" s="122" t="n">
        <f aca="false">IF(G$5&lt;=LastHist,0,-INDEX(Capex,1,2))</f>
        <v>0</v>
      </c>
      <c r="H33" s="122" t="n">
        <f aca="false">IF(H$5&lt;=LastHist,0,-INDEX(Capex,1,3))</f>
        <v>0</v>
      </c>
      <c r="I33" s="122" t="n">
        <f aca="false">IF(I$5&lt;=LastHist,0,-INDEX(Capex,1,4))</f>
        <v>0</v>
      </c>
      <c r="J33" s="122" t="n">
        <f aca="false">IF(J$5&lt;=LastHist,0,-INDEX(Capex,1,5))</f>
        <v>0</v>
      </c>
      <c r="K33" s="122" t="n">
        <f aca="false">IF(K$5&lt;=LastHist,0,-INDEX(Capex,1,6))</f>
        <v>0</v>
      </c>
      <c r="L33" s="122" t="n">
        <f aca="false">IF(L$5&lt;=LastHist,0,-INDEX(Capex,1,7))</f>
        <v>0</v>
      </c>
      <c r="M33" s="122" t="n">
        <f aca="false">IF(M$5&lt;=LastHist,0,-INDEX(Capex,1,8))</f>
        <v>0</v>
      </c>
      <c r="N33" s="122" t="n">
        <f aca="false">IF(N$5&lt;=LastHist,0,-INDEX(Capex,1,9))</f>
        <v>0</v>
      </c>
      <c r="O33" s="122" t="n">
        <f aca="false">IF(O$5&lt;=LastHist,0,-INDEX(Capex,1,10))</f>
        <v>0</v>
      </c>
      <c r="P33" s="123" t="n">
        <f aca="false">IF(P$5&lt;=LastHist,0,-INDEX(Capex,1,11))</f>
        <v>-3499.77366746524</v>
      </c>
      <c r="Q33" s="123" t="n">
        <f aca="false">IF(Q$5&lt;=LastHist,0,-INDEX(Capex,1,12))</f>
        <v>-5220.26849926703</v>
      </c>
      <c r="R33" s="123" t="n">
        <f aca="false">IF(R$5&lt;=LastHist,0,-INDEX(Capex,1,13))</f>
        <v>-6220.38776672155</v>
      </c>
      <c r="S33" s="123" t="n">
        <f aca="false">IF(S$5&lt;=LastHist,0,-INDEX(Capex,1,14))</f>
        <v>-7727.24552360733</v>
      </c>
      <c r="T33" s="123" t="n">
        <f aca="false">IF(T$5&lt;=LastHist,0,-INDEX(Capex,1,15))</f>
        <v>-12318.9156396235</v>
      </c>
      <c r="U33" s="123" t="n">
        <f aca="false">IF(U$5&lt;=LastHist,0,-INDEX(Capex,1,16))</f>
        <v>-5904.18541692338</v>
      </c>
      <c r="V33" s="123" t="n">
        <f aca="false">IF(V$5&lt;=LastHist,0,-INDEX(Capex,1,17))</f>
        <v>-7057.89554869219</v>
      </c>
      <c r="W33" s="123" t="n">
        <f aca="false">IF(W$5&lt;=LastHist,0,-INDEX(Capex,1,18))</f>
        <v>-3756.93734987227</v>
      </c>
      <c r="X33" s="123" t="n">
        <f aca="false">IF(X$5&lt;=LastHist,0,-INDEX(Capex,1,19))</f>
        <v>-14604.3555750735</v>
      </c>
      <c r="Y33" s="123" t="n">
        <f aca="false">IF(Y$5&lt;=LastHist,0,-INDEX(Capex,1,20))</f>
        <v>-4036.84941932327</v>
      </c>
      <c r="Z33" s="123" t="n">
        <f aca="false">IF(Z$5&lt;=LastHist,0,-INDEX(Capex,1,21))</f>
        <v>-15270.7897015405</v>
      </c>
      <c r="AA33" s="123" t="n">
        <f aca="false">IF(AA$5&lt;=LastHist,0,-INDEX(Capex,1,22))</f>
        <v>-5515.94082219978</v>
      </c>
      <c r="AB33" s="123" t="n">
        <f aca="false">IF(AB$5&lt;=LastHist,0,-INDEX(Capex,1,23))</f>
        <v>-21209.3893236877</v>
      </c>
      <c r="AC33" s="123" t="n">
        <f aca="false">IF(AC$5&lt;=LastHist,0,-INDEX(Capex,1,24))</f>
        <v>-512.350123809311</v>
      </c>
      <c r="AD33" s="123" t="n">
        <f aca="false">IF(AD$5&lt;=LastHist,0,-INDEX(Capex,1,25))</f>
        <v>-634.722722142862</v>
      </c>
      <c r="AE33" s="123" t="n">
        <f aca="false">IF(AE$5&lt;=LastHist,0,-INDEX(Capex,1,26))</f>
        <v>-629.740659103478</v>
      </c>
      <c r="AF33" s="123" t="n">
        <f aca="false">IF(AF$5&lt;=LastHist,0,-INDEX(Capex,1,27))</f>
        <v>-984.993279541351</v>
      </c>
      <c r="AG33" s="123" t="n">
        <f aca="false">IF(AG$5&lt;=LastHist,0,-INDEX(Capex,1,28))</f>
        <v>-1867.7343507918</v>
      </c>
      <c r="AI33" s="123" t="n">
        <f aca="false">SUMIF($F$7:$AG$7,AI$7,$F33:$AG33)</f>
        <v>0</v>
      </c>
      <c r="AJ33" s="123" t="n">
        <f aca="false">SUMIF($F$7:$AG$7,AJ$7,$F33:$AG33)</f>
        <v>0</v>
      </c>
      <c r="AK33" s="123" t="n">
        <f aca="false">SUMIF($F$7:$AG$7,AK$7,$F33:$AG33)</f>
        <v>-8720.04216673227</v>
      </c>
      <c r="AL33" s="123" t="n">
        <f aca="false">SUMIF($F$7:$AG$7,AL$7,$F33:$AG33)</f>
        <v>-32170.7343468758</v>
      </c>
      <c r="AM33" s="123" t="n">
        <f aca="false">SUMIF($F$7:$AG$7,AM$7,$F33:$AG33)</f>
        <v>-29456.0378929612</v>
      </c>
      <c r="AN33" s="123" t="n">
        <f aca="false">SUMIF($F$7:$AG$7,AN$7,$F33:$AG33)</f>
        <v>-42508.4699712372</v>
      </c>
      <c r="AO33" s="123" t="n">
        <f aca="false">SUMIF($F$7:$AG$7,AO$7,$F33:$AG33)</f>
        <v>-4117.19101157949</v>
      </c>
    </row>
    <row r="34" customFormat="false" ht="15" hidden="false" customHeight="false" outlineLevel="0" collapsed="false">
      <c r="A34" s="104" t="s">
        <v>2221</v>
      </c>
      <c r="B34" s="20" t="s">
        <v>561</v>
      </c>
      <c r="C34" s="20" t="s">
        <v>550</v>
      </c>
      <c r="D34" s="20"/>
      <c r="F34" s="122" t="n">
        <f aca="false">IF(F$5&lt;=LastHist,0,-CLT1Prepay/3*AND(F$5&gt;=12,F$5&lt;=14)-InferizeOn*InferizeAmt*(F$5=12))</f>
        <v>0</v>
      </c>
      <c r="G34" s="122" t="n">
        <f aca="false">IF(G$5&lt;=LastHist,0,-CLT1Prepay/3*AND(G$5&gt;=12,G$5&lt;=14)-InferizeOn*InferizeAmt*(G$5=12))</f>
        <v>0</v>
      </c>
      <c r="H34" s="122" t="n">
        <f aca="false">IF(H$5&lt;=LastHist,0,-CLT1Prepay/3*AND(H$5&gt;=12,H$5&lt;=14)-InferizeOn*InferizeAmt*(H$5=12))</f>
        <v>0</v>
      </c>
      <c r="I34" s="122" t="n">
        <f aca="false">IF(I$5&lt;=LastHist,0,-CLT1Prepay/3*AND(I$5&gt;=12,I$5&lt;=14)-InferizeOn*InferizeAmt*(I$5=12))</f>
        <v>0</v>
      </c>
      <c r="J34" s="122" t="n">
        <f aca="false">IF(J$5&lt;=LastHist,0,-CLT1Prepay/3*AND(J$5&gt;=12,J$5&lt;=14)-InferizeOn*InferizeAmt*(J$5=12))</f>
        <v>0</v>
      </c>
      <c r="K34" s="122" t="n">
        <f aca="false">IF(K$5&lt;=LastHist,0,-CLT1Prepay/3*AND(K$5&gt;=12,K$5&lt;=14)-InferizeOn*InferizeAmt*(K$5=12))</f>
        <v>0</v>
      </c>
      <c r="L34" s="122" t="n">
        <f aca="false">IF(L$5&lt;=LastHist,0,-CLT1Prepay/3*AND(L$5&gt;=12,L$5&lt;=14)-InferizeOn*InferizeAmt*(L$5=12))</f>
        <v>0</v>
      </c>
      <c r="M34" s="122" t="n">
        <f aca="false">IF(M$5&lt;=LastHist,0,-CLT1Prepay/3*AND(M$5&gt;=12,M$5&lt;=14)-InferizeOn*InferizeAmt*(M$5=12))</f>
        <v>0</v>
      </c>
      <c r="N34" s="122" t="n">
        <f aca="false">IF(N$5&lt;=LastHist,0,-CLT1Prepay/3*AND(N$5&gt;=12,N$5&lt;=14)-InferizeOn*InferizeAmt*(N$5=12))</f>
        <v>0</v>
      </c>
      <c r="O34" s="122" t="n">
        <f aca="false">IF(O$5&lt;=LastHist,0,-CLT1Prepay/3*AND(O$5&gt;=12,O$5&lt;=14)-InferizeOn*InferizeAmt*(O$5=12))</f>
        <v>0</v>
      </c>
      <c r="P34" s="123" t="n">
        <f aca="false">IF(P$5&lt;=LastHist,0,-CLT1Prepay/3*AND(P$5&gt;=12,P$5&lt;=14)-InferizeOn*InferizeAmt*(P$5=12))</f>
        <v>-0</v>
      </c>
      <c r="Q34" s="123" t="n">
        <f aca="false">IF(Q$5&lt;=LastHist,0,-CLT1Prepay/3*AND(Q$5&gt;=12,Q$5&lt;=14)-InferizeOn*InferizeAmt*(Q$5=12))</f>
        <v>-0</v>
      </c>
      <c r="R34" s="123" t="n">
        <f aca="false">IF(R$5&lt;=LastHist,0,-CLT1Prepay/3*AND(R$5&gt;=12,R$5&lt;=14)-InferizeOn*InferizeAmt*(R$5=12))</f>
        <v>-0</v>
      </c>
      <c r="S34" s="123" t="n">
        <f aca="false">IF(S$5&lt;=LastHist,0,-CLT1Prepay/3*AND(S$5&gt;=12,S$5&lt;=14)-InferizeOn*InferizeAmt*(S$5=12))</f>
        <v>-0</v>
      </c>
      <c r="T34" s="123" t="n">
        <f aca="false">IF(T$5&lt;=LastHist,0,-CLT1Prepay/3*AND(T$5&gt;=12,T$5&lt;=14)-InferizeOn*InferizeAmt*(T$5=12))</f>
        <v>-0</v>
      </c>
      <c r="U34" s="123" t="n">
        <f aca="false">IF(U$5&lt;=LastHist,0,-CLT1Prepay/3*AND(U$5&gt;=12,U$5&lt;=14)-InferizeOn*InferizeAmt*(U$5=12))</f>
        <v>-0</v>
      </c>
      <c r="V34" s="123" t="n">
        <f aca="false">IF(V$5&lt;=LastHist,0,-CLT1Prepay/3*AND(V$5&gt;=12,V$5&lt;=14)-InferizeOn*InferizeAmt*(V$5=12))</f>
        <v>-0</v>
      </c>
      <c r="W34" s="123" t="n">
        <f aca="false">IF(W$5&lt;=LastHist,0,-CLT1Prepay/3*AND(W$5&gt;=12,W$5&lt;=14)-InferizeOn*InferizeAmt*(W$5=12))</f>
        <v>-0</v>
      </c>
      <c r="X34" s="123" t="n">
        <f aca="false">IF(X$5&lt;=LastHist,0,-CLT1Prepay/3*AND(X$5&gt;=12,X$5&lt;=14)-InferizeOn*InferizeAmt*(X$5=12))</f>
        <v>-0</v>
      </c>
      <c r="Y34" s="123" t="n">
        <f aca="false">IF(Y$5&lt;=LastHist,0,-CLT1Prepay/3*AND(Y$5&gt;=12,Y$5&lt;=14)-InferizeOn*InferizeAmt*(Y$5=12))</f>
        <v>-0</v>
      </c>
      <c r="Z34" s="123" t="n">
        <f aca="false">IF(Z$5&lt;=LastHist,0,-CLT1Prepay/3*AND(Z$5&gt;=12,Z$5&lt;=14)-InferizeOn*InferizeAmt*(Z$5=12))</f>
        <v>-0</v>
      </c>
      <c r="AA34" s="123" t="n">
        <f aca="false">IF(AA$5&lt;=LastHist,0,-CLT1Prepay/3*AND(AA$5&gt;=12,AA$5&lt;=14)-InferizeOn*InferizeAmt*(AA$5=12))</f>
        <v>-0</v>
      </c>
      <c r="AB34" s="123" t="n">
        <f aca="false">IF(AB$5&lt;=LastHist,0,-CLT1Prepay/3*AND(AB$5&gt;=12,AB$5&lt;=14)-InferizeOn*InferizeAmt*(AB$5=12))</f>
        <v>-0</v>
      </c>
      <c r="AC34" s="123" t="n">
        <f aca="false">IF(AC$5&lt;=LastHist,0,-CLT1Prepay/3*AND(AC$5&gt;=12,AC$5&lt;=14)-InferizeOn*InferizeAmt*(AC$5=12))</f>
        <v>-0</v>
      </c>
      <c r="AD34" s="123" t="n">
        <f aca="false">IF(AD$5&lt;=LastHist,0,-CLT1Prepay/3*AND(AD$5&gt;=12,AD$5&lt;=14)-InferizeOn*InferizeAmt*(AD$5=12))</f>
        <v>-0</v>
      </c>
      <c r="AE34" s="123" t="n">
        <f aca="false">IF(AE$5&lt;=LastHist,0,-CLT1Prepay/3*AND(AE$5&gt;=12,AE$5&lt;=14)-InferizeOn*InferizeAmt*(AE$5=12))</f>
        <v>-0</v>
      </c>
      <c r="AF34" s="123" t="n">
        <f aca="false">IF(AF$5&lt;=LastHist,0,-CLT1Prepay/3*AND(AF$5&gt;=12,AF$5&lt;=14)-InferizeOn*InferizeAmt*(AF$5=12))</f>
        <v>-0</v>
      </c>
      <c r="AG34" s="123" t="n">
        <f aca="false">IF(AG$5&lt;=LastHist,0,-CLT1Prepay/3*AND(AG$5&gt;=12,AG$5&lt;=14)-InferizeOn*InferizeAmt*(AG$5=12))</f>
        <v>-0</v>
      </c>
      <c r="AI34" s="123" t="n">
        <f aca="false">SUMIF($F$7:$AG$7,AI$7,$F34:$AG34)</f>
        <v>0</v>
      </c>
      <c r="AJ34" s="123" t="n">
        <f aca="false">SUMIF($F$7:$AG$7,AJ$7,$F34:$AG34)</f>
        <v>0</v>
      </c>
      <c r="AK34" s="123" t="n">
        <f aca="false">SUMIF($F$7:$AG$7,AK$7,$F34:$AG34)</f>
        <v>0</v>
      </c>
      <c r="AL34" s="123" t="n">
        <f aca="false">SUMIF($F$7:$AG$7,AL$7,$F34:$AG34)</f>
        <v>0</v>
      </c>
      <c r="AM34" s="123" t="n">
        <f aca="false">SUMIF($F$7:$AG$7,AM$7,$F34:$AG34)</f>
        <v>0</v>
      </c>
      <c r="AN34" s="123" t="n">
        <f aca="false">SUMIF($F$7:$AG$7,AN$7,$F34:$AG34)</f>
        <v>0</v>
      </c>
      <c r="AO34" s="123" t="n">
        <f aca="false">SUMIF($F$7:$AG$7,AO$7,$F34:$AG34)</f>
        <v>0</v>
      </c>
    </row>
    <row r="35" customFormat="false" ht="15" hidden="false" customHeight="false" outlineLevel="0" collapsed="false">
      <c r="A35" s="3" t="s">
        <v>2222</v>
      </c>
      <c r="B35" s="20" t="s">
        <v>561</v>
      </c>
      <c r="C35" s="20" t="s">
        <v>495</v>
      </c>
      <c r="D35" s="20"/>
      <c r="F35" s="124" t="n">
        <f aca="false">F32+F33+F34</f>
        <v>0</v>
      </c>
      <c r="G35" s="124" t="n">
        <f aca="false">G32+G33+G34</f>
        <v>0</v>
      </c>
      <c r="H35" s="124" t="n">
        <f aca="false">H32+H33+H34</f>
        <v>0</v>
      </c>
      <c r="I35" s="124" t="n">
        <f aca="false">I32+I33+I34</f>
        <v>0</v>
      </c>
      <c r="J35" s="124" t="n">
        <f aca="false">J32+J33+J34</f>
        <v>0</v>
      </c>
      <c r="K35" s="124" t="n">
        <f aca="false">K32+K33+K34</f>
        <v>0</v>
      </c>
      <c r="L35" s="124" t="n">
        <f aca="false">L32+L33+L34</f>
        <v>0</v>
      </c>
      <c r="M35" s="124" t="n">
        <f aca="false">M32+M33+M34</f>
        <v>0</v>
      </c>
      <c r="N35" s="124" t="n">
        <f aca="false">N32+N33+N34</f>
        <v>0</v>
      </c>
      <c r="O35" s="124" t="n">
        <f aca="false">O32+O33+O34</f>
        <v>0</v>
      </c>
      <c r="P35" s="96" t="n">
        <f aca="false">P32+P33+P34</f>
        <v>-2123.79989765181</v>
      </c>
      <c r="Q35" s="96" t="n">
        <f aca="false">Q32+Q33+Q34</f>
        <v>-3958.32884080126</v>
      </c>
      <c r="R35" s="96" t="n">
        <f aca="false">R32+R33+R34</f>
        <v>-6008.1237244924</v>
      </c>
      <c r="S35" s="96" t="n">
        <f aca="false">S32+S33+S34</f>
        <v>-5487.94945053007</v>
      </c>
      <c r="T35" s="96" t="n">
        <f aca="false">T32+T33+T34</f>
        <v>-6991.12549623457</v>
      </c>
      <c r="U35" s="96" t="n">
        <f aca="false">U32+U33+U34</f>
        <v>-2773.1456243089</v>
      </c>
      <c r="V35" s="96" t="n">
        <f aca="false">V32+V33+V34</f>
        <v>-4139.9922992906</v>
      </c>
      <c r="W35" s="96" t="n">
        <f aca="false">W32+W33+W34</f>
        <v>-1176.81721122503</v>
      </c>
      <c r="X35" s="96" t="n">
        <f aca="false">X32+X33+X34</f>
        <v>-9311.1238214635</v>
      </c>
      <c r="Y35" s="96" t="n">
        <f aca="false">Y32+Y33+Y34</f>
        <v>-1008.35062789822</v>
      </c>
      <c r="Z35" s="96" t="n">
        <f aca="false">Z32+Z33+Z34</f>
        <v>-9185.62054681576</v>
      </c>
      <c r="AA35" s="96" t="n">
        <f aca="false">AA32+AA33+AA34</f>
        <v>-1262.70603656032</v>
      </c>
      <c r="AB35" s="96" t="n">
        <f aca="false">AB32+AB33+AB34</f>
        <v>-13056.7005950041</v>
      </c>
      <c r="AC35" s="96" t="n">
        <f aca="false">AC32+AC33+AC34</f>
        <v>3256.12542132998</v>
      </c>
      <c r="AD35" s="96" t="n">
        <f aca="false">AD32+AD33+AD34</f>
        <v>3833.67548469406</v>
      </c>
      <c r="AE35" s="96" t="n">
        <f aca="false">AE32+AE33+AE34</f>
        <v>4417.94077494402</v>
      </c>
      <c r="AF35" s="96" t="n">
        <f aca="false">AF32+AF33+AF34</f>
        <v>4073.47599573079</v>
      </c>
      <c r="AG35" s="96" t="n">
        <f aca="false">AG32+AG33+AG34</f>
        <v>3311.62091399245</v>
      </c>
      <c r="AI35" s="96" t="n">
        <f aca="false">SUMIF($F$7:$AG$7,AI$7,$F35:$AG35)</f>
        <v>0</v>
      </c>
      <c r="AJ35" s="96" t="n">
        <f aca="false">SUMIF($F$7:$AG$7,AJ$7,$F35:$AG35)</f>
        <v>0</v>
      </c>
      <c r="AK35" s="96" t="n">
        <f aca="false">SUMIF($F$7:$AG$7,AK$7,$F35:$AG35)</f>
        <v>-6082.12873845307</v>
      </c>
      <c r="AL35" s="96" t="n">
        <f aca="false">SUMIF($F$7:$AG$7,AL$7,$F35:$AG35)</f>
        <v>-21260.344295566</v>
      </c>
      <c r="AM35" s="96" t="n">
        <f aca="false">SUMIF($F$7:$AG$7,AM$7,$F35:$AG35)</f>
        <v>-15636.2839598773</v>
      </c>
      <c r="AN35" s="96" t="n">
        <f aca="false">SUMIF($F$7:$AG$7,AN$7,$F35:$AG35)</f>
        <v>-20248.9017570502</v>
      </c>
      <c r="AO35" s="96" t="n">
        <f aca="false">SUMIF($F$7:$AG$7,AO$7,$F35:$AG35)</f>
        <v>15636.7131693613</v>
      </c>
    </row>
    <row r="36" customFormat="false" ht="15" hidden="false" customHeight="false" outlineLevel="0" collapsed="false">
      <c r="A36" s="104" t="s">
        <v>2223</v>
      </c>
      <c r="B36" s="20" t="s">
        <v>561</v>
      </c>
      <c r="C36" s="20" t="s">
        <v>495</v>
      </c>
      <c r="D36" s="20" t="s">
        <v>2224</v>
      </c>
      <c r="F36" s="122" t="n">
        <f aca="false">IF(F$5&lt;=LastHist,0,INDEX(PL_EBITDA,1,1)-MAX(0,INDEX(PL_EBIT,1,1))*TaxRate+F26-INDEX(Capex,1,1))</f>
        <v>0</v>
      </c>
      <c r="G36" s="122" t="n">
        <f aca="false">IF(G$5&lt;=LastHist,0,INDEX(PL_EBITDA,1,2)-MAX(0,INDEX(PL_EBIT,1,2))*TaxRate+G26-INDEX(Capex,1,2))</f>
        <v>0</v>
      </c>
      <c r="H36" s="122" t="n">
        <f aca="false">IF(H$5&lt;=LastHist,0,INDEX(PL_EBITDA,1,3)-MAX(0,INDEX(PL_EBIT,1,3))*TaxRate+H26-INDEX(Capex,1,3))</f>
        <v>0</v>
      </c>
      <c r="I36" s="122" t="n">
        <f aca="false">IF(I$5&lt;=LastHist,0,INDEX(PL_EBITDA,1,4)-MAX(0,INDEX(PL_EBIT,1,4))*TaxRate+I26-INDEX(Capex,1,4))</f>
        <v>0</v>
      </c>
      <c r="J36" s="122" t="n">
        <f aca="false">IF(J$5&lt;=LastHist,0,INDEX(PL_EBITDA,1,5)-MAX(0,INDEX(PL_EBIT,1,5))*TaxRate+J26-INDEX(Capex,1,5))</f>
        <v>0</v>
      </c>
      <c r="K36" s="122" t="n">
        <f aca="false">IF(K$5&lt;=LastHist,0,INDEX(PL_EBITDA,1,6)-MAX(0,INDEX(PL_EBIT,1,6))*TaxRate+K26-INDEX(Capex,1,6))</f>
        <v>0</v>
      </c>
      <c r="L36" s="122" t="n">
        <f aca="false">IF(L$5&lt;=LastHist,0,INDEX(PL_EBITDA,1,7)-MAX(0,INDEX(PL_EBIT,1,7))*TaxRate+L26-INDEX(Capex,1,7))</f>
        <v>0</v>
      </c>
      <c r="M36" s="122" t="n">
        <f aca="false">IF(M$5&lt;=LastHist,0,INDEX(PL_EBITDA,1,8)-MAX(0,INDEX(PL_EBIT,1,8))*TaxRate+M26-INDEX(Capex,1,8))</f>
        <v>0</v>
      </c>
      <c r="N36" s="122" t="n">
        <f aca="false">IF(N$5&lt;=LastHist,0,INDEX(PL_EBITDA,1,9)-MAX(0,INDEX(PL_EBIT,1,9))*TaxRate+N26-INDEX(Capex,1,9))</f>
        <v>0</v>
      </c>
      <c r="O36" s="122" t="n">
        <f aca="false">IF(O$5&lt;=LastHist,0,INDEX(PL_EBITDA,1,10)-MAX(0,INDEX(PL_EBIT,1,10))*TaxRate+O26-INDEX(Capex,1,10))</f>
        <v>0</v>
      </c>
      <c r="P36" s="123" t="n">
        <f aca="false">IF(P$5&lt;=LastHist,0,INDEX(PL_EBITDA,1,11)-MAX(0,INDEX(PL_EBIT,1,11))*TaxRate+P26-INDEX(Capex,1,11))</f>
        <v>-2128.49249140181</v>
      </c>
      <c r="Q36" s="123" t="n">
        <f aca="false">IF(Q$5&lt;=LastHist,0,INDEX(PL_EBITDA,1,12)-MAX(0,INDEX(PL_EBIT,1,12))*TaxRate+Q26-INDEX(Capex,1,12))</f>
        <v>-3994.13818544681</v>
      </c>
      <c r="R36" s="123" t="n">
        <f aca="false">IF(R$5&lt;=LastHist,0,INDEX(PL_EBITDA,1,13)-MAX(0,INDEX(PL_EBIT,1,13))*TaxRate+R26-INDEX(Capex,1,13))</f>
        <v>-6001.7674575718</v>
      </c>
      <c r="S36" s="123" t="n">
        <f aca="false">IF(S$5&lt;=LastHist,0,INDEX(PL_EBITDA,1,14)-MAX(0,INDEX(PL_EBIT,1,14))*TaxRate+S26-INDEX(Capex,1,14))</f>
        <v>-5484.34036188973</v>
      </c>
      <c r="T36" s="123" t="n">
        <f aca="false">IF(T$5&lt;=LastHist,0,INDEX(PL_EBITDA,1,15)-MAX(0,INDEX(PL_EBIT,1,15))*TaxRate+T26-INDEX(Capex,1,15))</f>
        <v>-6905.89684990209</v>
      </c>
      <c r="U36" s="123" t="n">
        <f aca="false">IF(U$5&lt;=LastHist,0,INDEX(PL_EBITDA,1,16)-MAX(0,INDEX(PL_EBIT,1,16))*TaxRate+U26-INDEX(Capex,1,16))</f>
        <v>-2682.06289075393</v>
      </c>
      <c r="V36" s="123" t="n">
        <f aca="false">IF(V$5&lt;=LastHist,0,INDEX(PL_EBITDA,1,17)-MAX(0,INDEX(PL_EBIT,1,17))*TaxRate+V26-INDEX(Capex,1,17))</f>
        <v>-4024.64454152293</v>
      </c>
      <c r="W36" s="123" t="n">
        <f aca="false">IF(W$5&lt;=LastHist,0,INDEX(PL_EBITDA,1,18)-MAX(0,INDEX(PL_EBIT,1,18))*TaxRate+W26-INDEX(Capex,1,18))</f>
        <v>-1084.21586172979</v>
      </c>
      <c r="X36" s="123" t="n">
        <f aca="false">IF(X$5&lt;=LastHist,0,INDEX(PL_EBITDA,1,19)-MAX(0,INDEX(PL_EBIT,1,19))*TaxRate+X26-INDEX(Capex,1,19))</f>
        <v>-9209.76998664442</v>
      </c>
      <c r="Y36" s="123" t="n">
        <f aca="false">IF(Y$5&lt;=LastHist,0,INDEX(PL_EBITDA,1,20)-MAX(0,INDEX(PL_EBIT,1,20))*TaxRate+Y26-INDEX(Capex,1,20))</f>
        <v>-847.656321248246</v>
      </c>
      <c r="Z36" s="123" t="n">
        <f aca="false">IF(Z$5&lt;=LastHist,0,INDEX(PL_EBITDA,1,21)-MAX(0,INDEX(PL_EBIT,1,21))*TaxRate+Z26-INDEX(Capex,1,21))</f>
        <v>-9018.37952371416</v>
      </c>
      <c r="AA36" s="123" t="n">
        <f aca="false">IF(AA$5&lt;=LastHist,0,INDEX(PL_EBITDA,1,22)-MAX(0,INDEX(PL_EBIT,1,22))*TaxRate+AA26-INDEX(Capex,1,22))</f>
        <v>-1036.01253605991</v>
      </c>
      <c r="AB36" s="123" t="n">
        <f aca="false">IF(AB$5&lt;=LastHist,0,INDEX(PL_EBITDA,1,23)-MAX(0,INDEX(PL_EBIT,1,23))*TaxRate+AB26-INDEX(Capex,1,23))</f>
        <v>-12821.8089755613</v>
      </c>
      <c r="AC36" s="123" t="n">
        <f aca="false">IF(AC$5&lt;=LastHist,0,INDEX(PL_EBITDA,1,24)-MAX(0,INDEX(PL_EBIT,1,24))*TaxRate+AC26-INDEX(Capex,1,24))</f>
        <v>3575.78766938583</v>
      </c>
      <c r="AD36" s="123" t="n">
        <f aca="false">IF(AD$5&lt;=LastHist,0,INDEX(PL_EBITDA,1,25)-MAX(0,INDEX(PL_EBIT,1,25))*TaxRate+AD26-INDEX(Capex,1,25))</f>
        <v>4132.58445440156</v>
      </c>
      <c r="AE36" s="123" t="n">
        <f aca="false">IF(AE$5&lt;=LastHist,0,INDEX(PL_EBITDA,1,26)-MAX(0,INDEX(PL_EBIT,1,26))*TaxRate+AE26-INDEX(Capex,1,26))</f>
        <v>4716.59864406715</v>
      </c>
      <c r="AF36" s="123" t="n">
        <f aca="false">IF(AF$5&lt;=LastHist,0,INDEX(PL_EBITDA,1,27)-MAX(0,INDEX(PL_EBIT,1,27))*TaxRate+AF26-INDEX(Capex,1,27))</f>
        <v>4342.46130887186</v>
      </c>
      <c r="AG36" s="123" t="n">
        <f aca="false">IF(AG$5&lt;=LastHist,0,INDEX(PL_EBITDA,1,28)-MAX(0,INDEX(PL_EBIT,1,28))*TaxRate+AG26-INDEX(Capex,1,28))</f>
        <v>3581.58350423123</v>
      </c>
      <c r="AI36" s="123" t="n">
        <f aca="false">SUMIF($F$7:$AG$7,AI$7,$F36:$AG36)</f>
        <v>0</v>
      </c>
      <c r="AJ36" s="123" t="n">
        <f aca="false">SUMIF($F$7:$AG$7,AJ$7,$F36:$AG36)</f>
        <v>0</v>
      </c>
      <c r="AK36" s="123" t="n">
        <f aca="false">SUMIF($F$7:$AG$7,AK$7,$F36:$AG36)</f>
        <v>-6122.63067684862</v>
      </c>
      <c r="AL36" s="123" t="n">
        <f aca="false">SUMIF($F$7:$AG$7,AL$7,$F36:$AG36)</f>
        <v>-21074.0675601175</v>
      </c>
      <c r="AM36" s="123" t="n">
        <f aca="false">SUMIF($F$7:$AG$7,AM$7,$F36:$AG36)</f>
        <v>-15166.2867111454</v>
      </c>
      <c r="AN36" s="123" t="n">
        <f aca="false">SUMIF($F$7:$AG$7,AN$7,$F36:$AG36)</f>
        <v>-19300.4133659495</v>
      </c>
      <c r="AO36" s="123" t="n">
        <f aca="false">SUMIF($F$7:$AG$7,AO$7,$F36:$AG36)</f>
        <v>16773.2279115718</v>
      </c>
    </row>
    <row r="38" customFormat="false" ht="15" hidden="false" customHeight="false" outlineLevel="0" collapsed="false">
      <c r="A38" s="53" t="s">
        <v>2225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</row>
    <row r="39" customFormat="false" ht="15" hidden="false" customHeight="false" outlineLevel="0" collapsed="false">
      <c r="A39" s="104" t="s">
        <v>2226</v>
      </c>
      <c r="B39" s="20" t="s">
        <v>561</v>
      </c>
      <c r="C39" s="20" t="s">
        <v>1998</v>
      </c>
      <c r="D39" s="20" t="s">
        <v>2227</v>
      </c>
      <c r="F39" s="122" t="n">
        <f aca="false">(IF(F$5=11,AugNet,0)+(1-FP_Fee)*(MAX(0,INDEX(CVo_8,1,1)-CVo_8_E)+MAX(0,INDEX(CVo_9,1,1)-CVo_9_E)+MAX(0,INDEX(CVo_10,1,1)-CVo_10_E)+MAX(0,INDEX(CVo_11,1,1)-CVo_11_E)))*(F$5&gt;LastHist)</f>
        <v>0</v>
      </c>
      <c r="G39" s="122" t="n">
        <f aca="false">(IF(G$5=11,AugNet,0)+(1-FP_Fee)*(MAX(0,INDEX(CVo_8,1,2)-INDEX(CVo_8,1,1))+MAX(0,INDEX(CVo_9,1,2)-INDEX(CVo_9,1,1))+MAX(0,INDEX(CVo_10,1,2)-INDEX(CVo_10,1,1))+MAX(0,INDEX(CVo_11,1,2)-INDEX(CVo_11,1,1))))*(G$5&gt;LastHist)</f>
        <v>0</v>
      </c>
      <c r="H39" s="122" t="n">
        <f aca="false">(IF(H$5=11,AugNet,0)+(1-FP_Fee)*(MAX(0,INDEX(CVo_8,1,3)-INDEX(CVo_8,1,2))+MAX(0,INDEX(CVo_9,1,3)-INDEX(CVo_9,1,2))+MAX(0,INDEX(CVo_10,1,3)-INDEX(CVo_10,1,2))+MAX(0,INDEX(CVo_11,1,3)-INDEX(CVo_11,1,2))))*(H$5&gt;LastHist)</f>
        <v>0</v>
      </c>
      <c r="I39" s="122" t="n">
        <f aca="false">(IF(I$5=11,AugNet,0)+(1-FP_Fee)*(MAX(0,INDEX(CVo_8,1,4)-INDEX(CVo_8,1,3))+MAX(0,INDEX(CVo_9,1,4)-INDEX(CVo_9,1,3))+MAX(0,INDEX(CVo_10,1,4)-INDEX(CVo_10,1,3))+MAX(0,INDEX(CVo_11,1,4)-INDEX(CVo_11,1,3))))*(I$5&gt;LastHist)</f>
        <v>0</v>
      </c>
      <c r="J39" s="122" t="n">
        <f aca="false">(IF(J$5=11,AugNet,0)+(1-FP_Fee)*(MAX(0,INDEX(CVo_8,1,5)-INDEX(CVo_8,1,4))+MAX(0,INDEX(CVo_9,1,5)-INDEX(CVo_9,1,4))+MAX(0,INDEX(CVo_10,1,5)-INDEX(CVo_10,1,4))+MAX(0,INDEX(CVo_11,1,5)-INDEX(CVo_11,1,4))))*(J$5&gt;LastHist)</f>
        <v>0</v>
      </c>
      <c r="K39" s="122" t="n">
        <f aca="false">(IF(K$5=11,AugNet,0)+(1-FP_Fee)*(MAX(0,INDEX(CVo_8,1,6)-INDEX(CVo_8,1,5))+MAX(0,INDEX(CVo_9,1,6)-INDEX(CVo_9,1,5))+MAX(0,INDEX(CVo_10,1,6)-INDEX(CVo_10,1,5))+MAX(0,INDEX(CVo_11,1,6)-INDEX(CVo_11,1,5))))*(K$5&gt;LastHist)</f>
        <v>0</v>
      </c>
      <c r="L39" s="122" t="n">
        <f aca="false">(IF(L$5=11,AugNet,0)+(1-FP_Fee)*(MAX(0,INDEX(CVo_8,1,7)-INDEX(CVo_8,1,6))+MAX(0,INDEX(CVo_9,1,7)-INDEX(CVo_9,1,6))+MAX(0,INDEX(CVo_10,1,7)-INDEX(CVo_10,1,6))+MAX(0,INDEX(CVo_11,1,7)-INDEX(CVo_11,1,6))))*(L$5&gt;LastHist)</f>
        <v>0</v>
      </c>
      <c r="M39" s="122" t="n">
        <f aca="false">(IF(M$5=11,AugNet,0)+(1-FP_Fee)*(MAX(0,INDEX(CVo_8,1,8)-INDEX(CVo_8,1,7))+MAX(0,INDEX(CVo_9,1,8)-INDEX(CVo_9,1,7))+MAX(0,INDEX(CVo_10,1,8)-INDEX(CVo_10,1,7))+MAX(0,INDEX(CVo_11,1,8)-INDEX(CVo_11,1,7))))*(M$5&gt;LastHist)</f>
        <v>0</v>
      </c>
      <c r="N39" s="122" t="n">
        <f aca="false">(IF(N$5=11,AugNet,0)+(1-FP_Fee)*(MAX(0,INDEX(CVo_8,1,9)-INDEX(CVo_8,1,8))+MAX(0,INDEX(CVo_9,1,9)-INDEX(CVo_9,1,8))+MAX(0,INDEX(CVo_10,1,9)-INDEX(CVo_10,1,8))+MAX(0,INDEX(CVo_11,1,9)-INDEX(CVo_11,1,8))))*(N$5&gt;LastHist)</f>
        <v>0</v>
      </c>
      <c r="O39" s="122" t="n">
        <f aca="false">(IF(O$5=11,AugNet,0)+(1-FP_Fee)*(MAX(0,INDEX(CVo_8,1,10)-INDEX(CVo_8,1,9))+MAX(0,INDEX(CVo_9,1,10)-INDEX(CVo_9,1,9))+MAX(0,INDEX(CVo_10,1,10)-INDEX(CVo_10,1,9))+MAX(0,INDEX(CVo_11,1,10)-INDEX(CVo_11,1,9))))*(O$5&gt;LastHist)</f>
        <v>0</v>
      </c>
      <c r="P39" s="123" t="n">
        <f aca="false">(IF(P$5=11,AugNet,0)+(1-FP_Fee)*(MAX(0,INDEX(CVo_8,1,11)-INDEX(CVo_8,1,10))+MAX(0,INDEX(CVo_9,1,11)-INDEX(CVo_9,1,10))+MAX(0,INDEX(CVo_10,1,11)-INDEX(CVo_10,1,10))+MAX(0,INDEX(CVo_11,1,11)-INDEX(CVo_11,1,10))))*(P$5&gt;LastHist)</f>
        <v>5680</v>
      </c>
      <c r="Q39" s="123" t="n">
        <f aca="false">(IF(Q$5=11,AugNet,0)+(1-FP_Fee)*(MAX(0,INDEX(CVo_8,1,12)-INDEX(CVo_8,1,11))+MAX(0,INDEX(CVo_9,1,12)-INDEX(CVo_9,1,11))+MAX(0,INDEX(CVo_10,1,12)-INDEX(CVo_10,1,11))+MAX(0,INDEX(CVo_11,1,12)-INDEX(CVo_11,1,11))))*(Q$5&gt;LastHist)</f>
        <v>0</v>
      </c>
      <c r="R39" s="123" t="n">
        <f aca="false">(IF(R$5=11,AugNet,0)+(1-FP_Fee)*(MAX(0,INDEX(CVo_8,1,13)-INDEX(CVo_8,1,12))+MAX(0,INDEX(CVo_9,1,13)-INDEX(CVo_9,1,12))+MAX(0,INDEX(CVo_10,1,13)-INDEX(CVo_10,1,12))+MAX(0,INDEX(CVo_11,1,13)-INDEX(CVo_11,1,12))))*(R$5&gt;LastHist)</f>
        <v>6322.08695652174</v>
      </c>
      <c r="S39" s="123" t="n">
        <f aca="false">(IF(S$5=11,AugNet,0)+(1-FP_Fee)*(MAX(0,INDEX(CVo_8,1,14)-INDEX(CVo_8,1,13))+MAX(0,INDEX(CVo_9,1,14)-INDEX(CVo_9,1,13))+MAX(0,INDEX(CVo_10,1,14)-INDEX(CVo_10,1,13))+MAX(0,INDEX(CVo_11,1,14)-INDEX(CVo_11,1,13))))*(S$5&gt;LastHist)</f>
        <v>0</v>
      </c>
      <c r="T39" s="123" t="n">
        <f aca="false">(IF(T$5=11,AugNet,0)+(1-FP_Fee)*(MAX(0,INDEX(CVo_8,1,15)-INDEX(CVo_8,1,14))+MAX(0,INDEX(CVo_9,1,15)-INDEX(CVo_9,1,14))+MAX(0,INDEX(CVo_10,1,15)-INDEX(CVo_10,1,14))+MAX(0,INDEX(CVo_11,1,15)-INDEX(CVo_11,1,14))))*(T$5&gt;LastHist)</f>
        <v>6322.08695652174</v>
      </c>
      <c r="U39" s="123" t="n">
        <f aca="false">(IF(U$5=11,AugNet,0)+(1-FP_Fee)*(MAX(0,INDEX(CVo_8,1,16)-INDEX(CVo_8,1,15))+MAX(0,INDEX(CVo_9,1,16)-INDEX(CVo_9,1,15))+MAX(0,INDEX(CVo_10,1,16)-INDEX(CVo_10,1,15))+MAX(0,INDEX(CVo_11,1,16)-INDEX(CVo_11,1,15))))*(U$5&gt;LastHist)</f>
        <v>0</v>
      </c>
      <c r="V39" s="123" t="n">
        <f aca="false">(IF(V$5=11,AugNet,0)+(1-FP_Fee)*(MAX(0,INDEX(CVo_8,1,17)-INDEX(CVo_8,1,16))+MAX(0,INDEX(CVo_9,1,17)-INDEX(CVo_9,1,16))+MAX(0,INDEX(CVo_10,1,17)-INDEX(CVo_10,1,16))+MAX(0,INDEX(CVo_11,1,17)-INDEX(CVo_11,1,16))))*(V$5&gt;LastHist)</f>
        <v>0</v>
      </c>
      <c r="W39" s="123" t="n">
        <f aca="false">(IF(W$5=11,AugNet,0)+(1-FP_Fee)*(MAX(0,INDEX(CVo_8,1,18)-INDEX(CVo_8,1,17))+MAX(0,INDEX(CVo_9,1,18)-INDEX(CVo_9,1,17))+MAX(0,INDEX(CVo_10,1,18)-INDEX(CVo_10,1,17))+MAX(0,INDEX(CVo_11,1,18)-INDEX(CVo_11,1,17))))*(W$5&gt;LastHist)</f>
        <v>0</v>
      </c>
      <c r="X39" s="123" t="n">
        <f aca="false">(IF(X$5=11,AugNet,0)+(1-FP_Fee)*(MAX(0,INDEX(CVo_8,1,19)-INDEX(CVo_8,1,18))+MAX(0,INDEX(CVo_9,1,19)-INDEX(CVo_9,1,18))+MAX(0,INDEX(CVo_10,1,19)-INDEX(CVo_10,1,18))+MAX(0,INDEX(CVo_11,1,19)-INDEX(CVo_11,1,18))))*(X$5&gt;LastHist)</f>
        <v>0</v>
      </c>
      <c r="Y39" s="123" t="n">
        <f aca="false">(IF(Y$5=11,AugNet,0)+(1-FP_Fee)*(MAX(0,INDEX(CVo_8,1,20)-INDEX(CVo_8,1,19))+MAX(0,INDEX(CVo_9,1,20)-INDEX(CVo_9,1,19))+MAX(0,INDEX(CVo_10,1,20)-INDEX(CVo_10,1,19))+MAX(0,INDEX(CVo_11,1,20)-INDEX(CVo_11,1,19))))*(Y$5&gt;LastHist)</f>
        <v>0</v>
      </c>
      <c r="Z39" s="123" t="n">
        <f aca="false">(IF(Z$5=11,AugNet,0)+(1-FP_Fee)*(MAX(0,INDEX(CVo_8,1,21)-INDEX(CVo_8,1,20))+MAX(0,INDEX(CVo_9,1,21)-INDEX(CVo_9,1,20))+MAX(0,INDEX(CVo_10,1,21)-INDEX(CVo_10,1,20))+MAX(0,INDEX(CVo_11,1,21)-INDEX(CVo_11,1,20))))*(Z$5&gt;LastHist)</f>
        <v>0</v>
      </c>
      <c r="AA39" s="123" t="n">
        <f aca="false">(IF(AA$5=11,AugNet,0)+(1-FP_Fee)*(MAX(0,INDEX(CVo_8,1,22)-INDEX(CVo_8,1,21))+MAX(0,INDEX(CVo_9,1,22)-INDEX(CVo_9,1,21))+MAX(0,INDEX(CVo_10,1,22)-INDEX(CVo_10,1,21))+MAX(0,INDEX(CVo_11,1,22)-INDEX(CVo_11,1,21))))*(AA$5&gt;LastHist)</f>
        <v>0</v>
      </c>
      <c r="AB39" s="123" t="n">
        <f aca="false">(IF(AB$5=11,AugNet,0)+(1-FP_Fee)*(MAX(0,INDEX(CVo_8,1,23)-INDEX(CVo_8,1,22))+MAX(0,INDEX(CVo_9,1,23)-INDEX(CVo_9,1,22))+MAX(0,INDEX(CVo_10,1,23)-INDEX(CVo_10,1,22))+MAX(0,INDEX(CVo_11,1,23)-INDEX(CVo_11,1,22))))*(AB$5&gt;LastHist)</f>
        <v>0</v>
      </c>
      <c r="AC39" s="123" t="n">
        <f aca="false">(IF(AC$5=11,AugNet,0)+(1-FP_Fee)*(MAX(0,INDEX(CVo_8,1,24)-INDEX(CVo_8,1,23))+MAX(0,INDEX(CVo_9,1,24)-INDEX(CVo_9,1,23))+MAX(0,INDEX(CVo_10,1,24)-INDEX(CVo_10,1,23))+MAX(0,INDEX(CVo_11,1,24)-INDEX(CVo_11,1,23))))*(AC$5&gt;LastHist)</f>
        <v>0</v>
      </c>
      <c r="AD39" s="123" t="n">
        <f aca="false">(IF(AD$5=11,AugNet,0)+(1-FP_Fee)*(MAX(0,INDEX(CVo_8,1,25)-INDEX(CVo_8,1,24))+MAX(0,INDEX(CVo_9,1,25)-INDEX(CVo_9,1,24))+MAX(0,INDEX(CVo_10,1,25)-INDEX(CVo_10,1,24))+MAX(0,INDEX(CVo_11,1,25)-INDEX(CVo_11,1,24))))*(AD$5&gt;LastHist)</f>
        <v>0</v>
      </c>
      <c r="AE39" s="123" t="n">
        <f aca="false">(IF(AE$5=11,AugNet,0)+(1-FP_Fee)*(MAX(0,INDEX(CVo_8,1,26)-INDEX(CVo_8,1,25))+MAX(0,INDEX(CVo_9,1,26)-INDEX(CVo_9,1,25))+MAX(0,INDEX(CVo_10,1,26)-INDEX(CVo_10,1,25))+MAX(0,INDEX(CVo_11,1,26)-INDEX(CVo_11,1,25))))*(AE$5&gt;LastHist)</f>
        <v>0</v>
      </c>
      <c r="AF39" s="123" t="n">
        <f aca="false">(IF(AF$5=11,AugNet,0)+(1-FP_Fee)*(MAX(0,INDEX(CVo_8,1,27)-INDEX(CVo_8,1,26))+MAX(0,INDEX(CVo_9,1,27)-INDEX(CVo_9,1,26))+MAX(0,INDEX(CVo_10,1,27)-INDEX(CVo_10,1,26))+MAX(0,INDEX(CVo_11,1,27)-INDEX(CVo_11,1,26))))*(AF$5&gt;LastHist)</f>
        <v>0</v>
      </c>
      <c r="AG39" s="123" t="n">
        <f aca="false">(IF(AG$5=11,AugNet,0)+(1-FP_Fee)*(MAX(0,INDEX(CVo_8,1,28)-INDEX(CVo_8,1,27))+MAX(0,INDEX(CVo_9,1,28)-INDEX(CVo_9,1,27))+MAX(0,INDEX(CVo_10,1,28)-INDEX(CVo_10,1,27))+MAX(0,INDEX(CVo_11,1,28)-INDEX(CVo_11,1,27))))*(AG$5&gt;LastHist)</f>
        <v>0</v>
      </c>
      <c r="AI39" s="123" t="n">
        <f aca="false">SUMIF($F$7:$AG$7,AI$7,$F39:$AG39)</f>
        <v>0</v>
      </c>
      <c r="AJ39" s="123" t="n">
        <f aca="false">SUMIF($F$7:$AG$7,AJ$7,$F39:$AG39)</f>
        <v>0</v>
      </c>
      <c r="AK39" s="123" t="n">
        <f aca="false">SUMIF($F$7:$AG$7,AK$7,$F39:$AG39)</f>
        <v>5680</v>
      </c>
      <c r="AL39" s="123" t="n">
        <f aca="false">SUMIF($F$7:$AG$7,AL$7,$F39:$AG39)</f>
        <v>12644.1739130435</v>
      </c>
      <c r="AM39" s="123" t="n">
        <f aca="false">SUMIF($F$7:$AG$7,AM$7,$F39:$AG39)</f>
        <v>0</v>
      </c>
      <c r="AN39" s="123" t="n">
        <f aca="false">SUMIF($F$7:$AG$7,AN$7,$F39:$AG39)</f>
        <v>0</v>
      </c>
      <c r="AO39" s="123" t="n">
        <f aca="false">SUMIF($F$7:$AG$7,AO$7,$F39:$AG39)</f>
        <v>0</v>
      </c>
    </row>
    <row r="40" customFormat="false" ht="15" hidden="false" customHeight="false" outlineLevel="0" collapsed="false">
      <c r="A40" s="104" t="s">
        <v>2228</v>
      </c>
      <c r="B40" s="20" t="s">
        <v>561</v>
      </c>
      <c r="C40" s="20" t="s">
        <v>495</v>
      </c>
      <c r="D40" s="20"/>
      <c r="F40" s="122" t="n">
        <f aca="false">(1-FP_Fee)*(MAX(0,INDEX(CVo_8,1,1)-CVo_8_E)+MAX(0,INDEX(CVo_9,1,1)-CVo_9_E)+MAX(0,INDEX(CVo_10,1,1)-CVo_10_E)+MAX(0,INDEX(CVo_11,1,1)-CVo_11_E))*(F$5&gt;LastHist)</f>
        <v>0</v>
      </c>
      <c r="G40" s="122" t="n">
        <f aca="false">(1-FP_Fee)*(MAX(0,INDEX(CVo_8,1,2)-INDEX(CVo_8,1,1))+MAX(0,INDEX(CVo_9,1,2)-INDEX(CVo_9,1,1))+MAX(0,INDEX(CVo_10,1,2)-INDEX(CVo_10,1,1))+MAX(0,INDEX(CVo_11,1,2)-INDEX(CVo_11,1,1)))*(G$5&gt;LastHist)</f>
        <v>0</v>
      </c>
      <c r="H40" s="122" t="n">
        <f aca="false">(1-FP_Fee)*(MAX(0,INDEX(CVo_8,1,3)-INDEX(CVo_8,1,2))+MAX(0,INDEX(CVo_9,1,3)-INDEX(CVo_9,1,2))+MAX(0,INDEX(CVo_10,1,3)-INDEX(CVo_10,1,2))+MAX(0,INDEX(CVo_11,1,3)-INDEX(CVo_11,1,2)))*(H$5&gt;LastHist)</f>
        <v>0</v>
      </c>
      <c r="I40" s="122" t="n">
        <f aca="false">(1-FP_Fee)*(MAX(0,INDEX(CVo_8,1,4)-INDEX(CVo_8,1,3))+MAX(0,INDEX(CVo_9,1,4)-INDEX(CVo_9,1,3))+MAX(0,INDEX(CVo_10,1,4)-INDEX(CVo_10,1,3))+MAX(0,INDEX(CVo_11,1,4)-INDEX(CVo_11,1,3)))*(I$5&gt;LastHist)</f>
        <v>0</v>
      </c>
      <c r="J40" s="122" t="n">
        <f aca="false">(1-FP_Fee)*(MAX(0,INDEX(CVo_8,1,5)-INDEX(CVo_8,1,4))+MAX(0,INDEX(CVo_9,1,5)-INDEX(CVo_9,1,4))+MAX(0,INDEX(CVo_10,1,5)-INDEX(CVo_10,1,4))+MAX(0,INDEX(CVo_11,1,5)-INDEX(CVo_11,1,4)))*(J$5&gt;LastHist)</f>
        <v>0</v>
      </c>
      <c r="K40" s="122" t="n">
        <f aca="false">(1-FP_Fee)*(MAX(0,INDEX(CVo_8,1,6)-INDEX(CVo_8,1,5))+MAX(0,INDEX(CVo_9,1,6)-INDEX(CVo_9,1,5))+MAX(0,INDEX(CVo_10,1,6)-INDEX(CVo_10,1,5))+MAX(0,INDEX(CVo_11,1,6)-INDEX(CVo_11,1,5)))*(K$5&gt;LastHist)</f>
        <v>0</v>
      </c>
      <c r="L40" s="122" t="n">
        <f aca="false">(1-FP_Fee)*(MAX(0,INDEX(CVo_8,1,7)-INDEX(CVo_8,1,6))+MAX(0,INDEX(CVo_9,1,7)-INDEX(CVo_9,1,6))+MAX(0,INDEX(CVo_10,1,7)-INDEX(CVo_10,1,6))+MAX(0,INDEX(CVo_11,1,7)-INDEX(CVo_11,1,6)))*(L$5&gt;LastHist)</f>
        <v>0</v>
      </c>
      <c r="M40" s="122" t="n">
        <f aca="false">(1-FP_Fee)*(MAX(0,INDEX(CVo_8,1,8)-INDEX(CVo_8,1,7))+MAX(0,INDEX(CVo_9,1,8)-INDEX(CVo_9,1,7))+MAX(0,INDEX(CVo_10,1,8)-INDEX(CVo_10,1,7))+MAX(0,INDEX(CVo_11,1,8)-INDEX(CVo_11,1,7)))*(M$5&gt;LastHist)</f>
        <v>0</v>
      </c>
      <c r="N40" s="122" t="n">
        <f aca="false">(1-FP_Fee)*(MAX(0,INDEX(CVo_8,1,9)-INDEX(CVo_8,1,8))+MAX(0,INDEX(CVo_9,1,9)-INDEX(CVo_9,1,8))+MAX(0,INDEX(CVo_10,1,9)-INDEX(CVo_10,1,8))+MAX(0,INDEX(CVo_11,1,9)-INDEX(CVo_11,1,8)))*(N$5&gt;LastHist)</f>
        <v>0</v>
      </c>
      <c r="O40" s="122" t="n">
        <f aca="false">(1-FP_Fee)*(MAX(0,INDEX(CVo_8,1,10)-INDEX(CVo_8,1,9))+MAX(0,INDEX(CVo_9,1,10)-INDEX(CVo_9,1,9))+MAX(0,INDEX(CVo_10,1,10)-INDEX(CVo_10,1,9))+MAX(0,INDEX(CVo_11,1,10)-INDEX(CVo_11,1,9)))*(O$5&gt;LastHist)</f>
        <v>0</v>
      </c>
      <c r="P40" s="123" t="n">
        <f aca="false">(1-FP_Fee)*(MAX(0,INDEX(CVo_8,1,11)-INDEX(CVo_8,1,10))+MAX(0,INDEX(CVo_9,1,11)-INDEX(CVo_9,1,10))+MAX(0,INDEX(CVo_10,1,11)-INDEX(CVo_10,1,10))+MAX(0,INDEX(CVo_11,1,11)-INDEX(CVo_11,1,10)))*(P$5&gt;LastHist)</f>
        <v>0</v>
      </c>
      <c r="Q40" s="123" t="n">
        <f aca="false">(1-FP_Fee)*(MAX(0,INDEX(CVo_8,1,12)-INDEX(CVo_8,1,11))+MAX(0,INDEX(CVo_9,1,12)-INDEX(CVo_9,1,11))+MAX(0,INDEX(CVo_10,1,12)-INDEX(CVo_10,1,11))+MAX(0,INDEX(CVo_11,1,12)-INDEX(CVo_11,1,11)))*(Q$5&gt;LastHist)</f>
        <v>0</v>
      </c>
      <c r="R40" s="123" t="n">
        <f aca="false">(1-FP_Fee)*(MAX(0,INDEX(CVo_8,1,13)-INDEX(CVo_8,1,12))+MAX(0,INDEX(CVo_9,1,13)-INDEX(CVo_9,1,12))+MAX(0,INDEX(CVo_10,1,13)-INDEX(CVo_10,1,12))+MAX(0,INDEX(CVo_11,1,13)-INDEX(CVo_11,1,12)))*(R$5&gt;LastHist)</f>
        <v>6322.08695652174</v>
      </c>
      <c r="S40" s="123" t="n">
        <f aca="false">(1-FP_Fee)*(MAX(0,INDEX(CVo_8,1,14)-INDEX(CVo_8,1,13))+MAX(0,INDEX(CVo_9,1,14)-INDEX(CVo_9,1,13))+MAX(0,INDEX(CVo_10,1,14)-INDEX(CVo_10,1,13))+MAX(0,INDEX(CVo_11,1,14)-INDEX(CVo_11,1,13)))*(S$5&gt;LastHist)</f>
        <v>0</v>
      </c>
      <c r="T40" s="123" t="n">
        <f aca="false">(1-FP_Fee)*(MAX(0,INDEX(CVo_8,1,15)-INDEX(CVo_8,1,14))+MAX(0,INDEX(CVo_9,1,15)-INDEX(CVo_9,1,14))+MAX(0,INDEX(CVo_10,1,15)-INDEX(CVo_10,1,14))+MAX(0,INDEX(CVo_11,1,15)-INDEX(CVo_11,1,14)))*(T$5&gt;LastHist)</f>
        <v>6322.08695652174</v>
      </c>
      <c r="U40" s="123" t="n">
        <f aca="false">(1-FP_Fee)*(MAX(0,INDEX(CVo_8,1,16)-INDEX(CVo_8,1,15))+MAX(0,INDEX(CVo_9,1,16)-INDEX(CVo_9,1,15))+MAX(0,INDEX(CVo_10,1,16)-INDEX(CVo_10,1,15))+MAX(0,INDEX(CVo_11,1,16)-INDEX(CVo_11,1,15)))*(U$5&gt;LastHist)</f>
        <v>0</v>
      </c>
      <c r="V40" s="123" t="n">
        <f aca="false">(1-FP_Fee)*(MAX(0,INDEX(CVo_8,1,17)-INDEX(CVo_8,1,16))+MAX(0,INDEX(CVo_9,1,17)-INDEX(CVo_9,1,16))+MAX(0,INDEX(CVo_10,1,17)-INDEX(CVo_10,1,16))+MAX(0,INDEX(CVo_11,1,17)-INDEX(CVo_11,1,16)))*(V$5&gt;LastHist)</f>
        <v>0</v>
      </c>
      <c r="W40" s="123" t="n">
        <f aca="false">(1-FP_Fee)*(MAX(0,INDEX(CVo_8,1,18)-INDEX(CVo_8,1,17))+MAX(0,INDEX(CVo_9,1,18)-INDEX(CVo_9,1,17))+MAX(0,INDEX(CVo_10,1,18)-INDEX(CVo_10,1,17))+MAX(0,INDEX(CVo_11,1,18)-INDEX(CVo_11,1,17)))*(W$5&gt;LastHist)</f>
        <v>0</v>
      </c>
      <c r="X40" s="123" t="n">
        <f aca="false">(1-FP_Fee)*(MAX(0,INDEX(CVo_8,1,19)-INDEX(CVo_8,1,18))+MAX(0,INDEX(CVo_9,1,19)-INDEX(CVo_9,1,18))+MAX(0,INDEX(CVo_10,1,19)-INDEX(CVo_10,1,18))+MAX(0,INDEX(CVo_11,1,19)-INDEX(CVo_11,1,18)))*(X$5&gt;LastHist)</f>
        <v>0</v>
      </c>
      <c r="Y40" s="123" t="n">
        <f aca="false">(1-FP_Fee)*(MAX(0,INDEX(CVo_8,1,20)-INDEX(CVo_8,1,19))+MAX(0,INDEX(CVo_9,1,20)-INDEX(CVo_9,1,19))+MAX(0,INDEX(CVo_10,1,20)-INDEX(CVo_10,1,19))+MAX(0,INDEX(CVo_11,1,20)-INDEX(CVo_11,1,19)))*(Y$5&gt;LastHist)</f>
        <v>0</v>
      </c>
      <c r="Z40" s="123" t="n">
        <f aca="false">(1-FP_Fee)*(MAX(0,INDEX(CVo_8,1,21)-INDEX(CVo_8,1,20))+MAX(0,INDEX(CVo_9,1,21)-INDEX(CVo_9,1,20))+MAX(0,INDEX(CVo_10,1,21)-INDEX(CVo_10,1,20))+MAX(0,INDEX(CVo_11,1,21)-INDEX(CVo_11,1,20)))*(Z$5&gt;LastHist)</f>
        <v>0</v>
      </c>
      <c r="AA40" s="123" t="n">
        <f aca="false">(1-FP_Fee)*(MAX(0,INDEX(CVo_8,1,22)-INDEX(CVo_8,1,21))+MAX(0,INDEX(CVo_9,1,22)-INDEX(CVo_9,1,21))+MAX(0,INDEX(CVo_10,1,22)-INDEX(CVo_10,1,21))+MAX(0,INDEX(CVo_11,1,22)-INDEX(CVo_11,1,21)))*(AA$5&gt;LastHist)</f>
        <v>0</v>
      </c>
      <c r="AB40" s="123" t="n">
        <f aca="false">(1-FP_Fee)*(MAX(0,INDEX(CVo_8,1,23)-INDEX(CVo_8,1,22))+MAX(0,INDEX(CVo_9,1,23)-INDEX(CVo_9,1,22))+MAX(0,INDEX(CVo_10,1,23)-INDEX(CVo_10,1,22))+MAX(0,INDEX(CVo_11,1,23)-INDEX(CVo_11,1,22)))*(AB$5&gt;LastHist)</f>
        <v>0</v>
      </c>
      <c r="AC40" s="123" t="n">
        <f aca="false">(1-FP_Fee)*(MAX(0,INDEX(CVo_8,1,24)-INDEX(CVo_8,1,23))+MAX(0,INDEX(CVo_9,1,24)-INDEX(CVo_9,1,23))+MAX(0,INDEX(CVo_10,1,24)-INDEX(CVo_10,1,23))+MAX(0,INDEX(CVo_11,1,24)-INDEX(CVo_11,1,23)))*(AC$5&gt;LastHist)</f>
        <v>0</v>
      </c>
      <c r="AD40" s="123" t="n">
        <f aca="false">(1-FP_Fee)*(MAX(0,INDEX(CVo_8,1,25)-INDEX(CVo_8,1,24))+MAX(0,INDEX(CVo_9,1,25)-INDEX(CVo_9,1,24))+MAX(0,INDEX(CVo_10,1,25)-INDEX(CVo_10,1,24))+MAX(0,INDEX(CVo_11,1,25)-INDEX(CVo_11,1,24)))*(AD$5&gt;LastHist)</f>
        <v>0</v>
      </c>
      <c r="AE40" s="123" t="n">
        <f aca="false">(1-FP_Fee)*(MAX(0,INDEX(CVo_8,1,26)-INDEX(CVo_8,1,25))+MAX(0,INDEX(CVo_9,1,26)-INDEX(CVo_9,1,25))+MAX(0,INDEX(CVo_10,1,26)-INDEX(CVo_10,1,25))+MAX(0,INDEX(CVo_11,1,26)-INDEX(CVo_11,1,25)))*(AE$5&gt;LastHist)</f>
        <v>0</v>
      </c>
      <c r="AF40" s="123" t="n">
        <f aca="false">(1-FP_Fee)*(MAX(0,INDEX(CVo_8,1,27)-INDEX(CVo_8,1,26))+MAX(0,INDEX(CVo_9,1,27)-INDEX(CVo_9,1,26))+MAX(0,INDEX(CVo_10,1,27)-INDEX(CVo_10,1,26))+MAX(0,INDEX(CVo_11,1,27)-INDEX(CVo_11,1,26)))*(AF$5&gt;LastHist)</f>
        <v>0</v>
      </c>
      <c r="AG40" s="123" t="n">
        <f aca="false">(1-FP_Fee)*(MAX(0,INDEX(CVo_8,1,28)-INDEX(CVo_8,1,27))+MAX(0,INDEX(CVo_9,1,28)-INDEX(CVo_9,1,27))+MAX(0,INDEX(CVo_10,1,28)-INDEX(CVo_10,1,27))+MAX(0,INDEX(CVo_11,1,28)-INDEX(CVo_11,1,27)))*(AG$5&gt;LastHist)</f>
        <v>0</v>
      </c>
      <c r="AI40" s="123" t="n">
        <f aca="false">SUMIF($F$7:$AG$7,AI$7,$F40:$AG40)</f>
        <v>0</v>
      </c>
      <c r="AJ40" s="123" t="n">
        <f aca="false">SUMIF($F$7:$AG$7,AJ$7,$F40:$AG40)</f>
        <v>0</v>
      </c>
      <c r="AK40" s="123" t="n">
        <f aca="false">SUMIF($F$7:$AG$7,AK$7,$F40:$AG40)</f>
        <v>0</v>
      </c>
      <c r="AL40" s="123" t="n">
        <f aca="false">SUMIF($F$7:$AG$7,AL$7,$F40:$AG40)</f>
        <v>12644.1739130435</v>
      </c>
      <c r="AM40" s="123" t="n">
        <f aca="false">SUMIF($F$7:$AG$7,AM$7,$F40:$AG40)</f>
        <v>0</v>
      </c>
      <c r="AN40" s="123" t="n">
        <f aca="false">SUMIF($F$7:$AG$7,AN$7,$F40:$AG40)</f>
        <v>0</v>
      </c>
      <c r="AO40" s="123" t="n">
        <f aca="false">SUMIF($F$7:$AG$7,AO$7,$F40:$AG40)</f>
        <v>0</v>
      </c>
    </row>
    <row r="41" customFormat="false" ht="15" hidden="false" customHeight="false" outlineLevel="0" collapsed="false">
      <c r="A41" s="104" t="s">
        <v>2229</v>
      </c>
      <c r="B41" s="20" t="s">
        <v>561</v>
      </c>
      <c r="C41" s="20" t="s">
        <v>1998</v>
      </c>
      <c r="D41" s="20"/>
      <c r="F41" s="122" t="n">
        <f aca="false">IF(F$5&lt;=LastHist,0,-INDEX(CV_rep,1,1))</f>
        <v>0</v>
      </c>
      <c r="G41" s="122" t="n">
        <f aca="false">IF(G$5&lt;=LastHist,0,-INDEX(CV_rep,1,2))</f>
        <v>0</v>
      </c>
      <c r="H41" s="122" t="n">
        <f aca="false">IF(H$5&lt;=LastHist,0,-INDEX(CV_rep,1,3))</f>
        <v>0</v>
      </c>
      <c r="I41" s="122" t="n">
        <f aca="false">IF(I$5&lt;=LastHist,0,-INDEX(CV_rep,1,4))</f>
        <v>0</v>
      </c>
      <c r="J41" s="122" t="n">
        <f aca="false">IF(J$5&lt;=LastHist,0,-INDEX(CV_rep,1,5))</f>
        <v>0</v>
      </c>
      <c r="K41" s="122" t="n">
        <f aca="false">IF(K$5&lt;=LastHist,0,-INDEX(CV_rep,1,6))</f>
        <v>0</v>
      </c>
      <c r="L41" s="122" t="n">
        <f aca="false">IF(L$5&lt;=LastHist,0,-INDEX(CV_rep,1,7))</f>
        <v>0</v>
      </c>
      <c r="M41" s="122" t="n">
        <f aca="false">IF(M$5&lt;=LastHist,0,-INDEX(CV_rep,1,8))</f>
        <v>0</v>
      </c>
      <c r="N41" s="122" t="n">
        <f aca="false">IF(N$5&lt;=LastHist,0,-INDEX(CV_rep,1,9))</f>
        <v>0</v>
      </c>
      <c r="O41" s="122" t="n">
        <f aca="false">IF(O$5&lt;=LastHist,0,-INDEX(CV_rep,1,10))</f>
        <v>0</v>
      </c>
      <c r="P41" s="123" t="n">
        <f aca="false">IF(P$5&lt;=LastHist,0,-INDEX(CV_rep,1,11))</f>
        <v>-0</v>
      </c>
      <c r="Q41" s="123" t="n">
        <f aca="false">IF(Q$5&lt;=LastHist,0,-INDEX(CV_rep,1,12))</f>
        <v>-0</v>
      </c>
      <c r="R41" s="123" t="n">
        <f aca="false">IF(R$5&lt;=LastHist,0,-INDEX(CV_rep,1,13))</f>
        <v>-0</v>
      </c>
      <c r="S41" s="123" t="n">
        <f aca="false">IF(S$5&lt;=LastHist,0,-INDEX(CV_rep,1,14))</f>
        <v>-0</v>
      </c>
      <c r="T41" s="123" t="n">
        <f aca="false">IF(T$5&lt;=LastHist,0,-INDEX(CV_rep,1,15))</f>
        <v>-0</v>
      </c>
      <c r="U41" s="123" t="n">
        <f aca="false">IF(U$5&lt;=LastHist,0,-INDEX(CV_rep,1,16))</f>
        <v>-0</v>
      </c>
      <c r="V41" s="123" t="n">
        <f aca="false">IF(V$5&lt;=LastHist,0,-INDEX(CV_rep,1,17))</f>
        <v>-0</v>
      </c>
      <c r="W41" s="123" t="n">
        <f aca="false">IF(W$5&lt;=LastHist,0,-INDEX(CV_rep,1,18))</f>
        <v>-0</v>
      </c>
      <c r="X41" s="123" t="n">
        <f aca="false">IF(X$5&lt;=LastHist,0,-INDEX(CV_rep,1,19))</f>
        <v>-0</v>
      </c>
      <c r="Y41" s="123" t="n">
        <f aca="false">IF(Y$5&lt;=LastHist,0,-INDEX(CV_rep,1,20))</f>
        <v>-0</v>
      </c>
      <c r="Z41" s="123" t="n">
        <f aca="false">IF(Z$5&lt;=LastHist,0,-INDEX(CV_rep,1,21))</f>
        <v>-0</v>
      </c>
      <c r="AA41" s="123" t="n">
        <f aca="false">IF(AA$5&lt;=LastHist,0,-INDEX(CV_rep,1,22))</f>
        <v>-0</v>
      </c>
      <c r="AB41" s="123" t="n">
        <f aca="false">IF(AB$5&lt;=LastHist,0,-INDEX(CV_rep,1,23))</f>
        <v>-0</v>
      </c>
      <c r="AC41" s="123" t="n">
        <f aca="false">IF(AC$5&lt;=LastHist,0,-INDEX(CV_rep,1,24))</f>
        <v>-0</v>
      </c>
      <c r="AD41" s="123" t="n">
        <f aca="false">IF(AD$5&lt;=LastHist,0,-INDEX(CV_rep,1,25))</f>
        <v>-3795</v>
      </c>
      <c r="AE41" s="123" t="n">
        <f aca="false">IF(AE$5&lt;=LastHist,0,-INDEX(CV_rep,1,26))</f>
        <v>-0</v>
      </c>
      <c r="AF41" s="123" t="n">
        <f aca="false">IF(AF$5&lt;=LastHist,0,-INDEX(CV_rep,1,27))</f>
        <v>-4224</v>
      </c>
      <c r="AG41" s="123" t="n">
        <f aca="false">IF(AG$5&lt;=LastHist,0,-INDEX(CV_rep,1,28))</f>
        <v>-0</v>
      </c>
      <c r="AI41" s="123" t="n">
        <f aca="false">SUMIF($F$7:$AG$7,AI$7,$F41:$AG41)</f>
        <v>0</v>
      </c>
      <c r="AJ41" s="123" t="n">
        <f aca="false">SUMIF($F$7:$AG$7,AJ$7,$F41:$AG41)</f>
        <v>0</v>
      </c>
      <c r="AK41" s="123" t="n">
        <f aca="false">SUMIF($F$7:$AG$7,AK$7,$F41:$AG41)</f>
        <v>0</v>
      </c>
      <c r="AL41" s="123" t="n">
        <f aca="false">SUMIF($F$7:$AG$7,AL$7,$F41:$AG41)</f>
        <v>0</v>
      </c>
      <c r="AM41" s="123" t="n">
        <f aca="false">SUMIF($F$7:$AG$7,AM$7,$F41:$AG41)</f>
        <v>0</v>
      </c>
      <c r="AN41" s="123" t="n">
        <f aca="false">SUMIF($F$7:$AG$7,AN$7,$F41:$AG41)</f>
        <v>0</v>
      </c>
      <c r="AO41" s="123" t="n">
        <f aca="false">SUMIF($F$7:$AG$7,AO$7,$F41:$AG41)</f>
        <v>-8019</v>
      </c>
    </row>
    <row r="42" customFormat="false" ht="15" hidden="false" customHeight="false" outlineLevel="0" collapsed="false">
      <c r="A42" s="104" t="s">
        <v>2230</v>
      </c>
      <c r="B42" s="20" t="s">
        <v>561</v>
      </c>
      <c r="C42" s="20" t="s">
        <v>1998</v>
      </c>
      <c r="D42" s="20"/>
      <c r="F42" s="122" t="n">
        <f aca="false">IF(F$5&lt;=LastHist,0,INDEX(Sec_Flow,1,1))</f>
        <v>0</v>
      </c>
      <c r="G42" s="122" t="n">
        <f aca="false">IF(G$5&lt;=LastHist,0,INDEX(Sec_Flow,1,2))</f>
        <v>0</v>
      </c>
      <c r="H42" s="122" t="n">
        <f aca="false">IF(H$5&lt;=LastHist,0,INDEX(Sec_Flow,1,3))</f>
        <v>0</v>
      </c>
      <c r="I42" s="122" t="n">
        <f aca="false">IF(I$5&lt;=LastHist,0,INDEX(Sec_Flow,1,4))</f>
        <v>0</v>
      </c>
      <c r="J42" s="122" t="n">
        <f aca="false">IF(J$5&lt;=LastHist,0,INDEX(Sec_Flow,1,5))</f>
        <v>0</v>
      </c>
      <c r="K42" s="122" t="n">
        <f aca="false">IF(K$5&lt;=LastHist,0,INDEX(Sec_Flow,1,6))</f>
        <v>0</v>
      </c>
      <c r="L42" s="122" t="n">
        <f aca="false">IF(L$5&lt;=LastHist,0,INDEX(Sec_Flow,1,7))</f>
        <v>0</v>
      </c>
      <c r="M42" s="122" t="n">
        <f aca="false">IF(M$5&lt;=LastHist,0,INDEX(Sec_Flow,1,8))</f>
        <v>0</v>
      </c>
      <c r="N42" s="122" t="n">
        <f aca="false">IF(N$5&lt;=LastHist,0,INDEX(Sec_Flow,1,9))</f>
        <v>0</v>
      </c>
      <c r="O42" s="122" t="n">
        <f aca="false">IF(O$5&lt;=LastHist,0,INDEX(Sec_Flow,1,10))</f>
        <v>0</v>
      </c>
      <c r="P42" s="123" t="n">
        <f aca="false">IF(P$5&lt;=LastHist,0,INDEX(Sec_Flow,1,11))</f>
        <v>0</v>
      </c>
      <c r="Q42" s="123" t="n">
        <f aca="false">IF(Q$5&lt;=LastHist,0,INDEX(Sec_Flow,1,12))</f>
        <v>0</v>
      </c>
      <c r="R42" s="123" t="n">
        <f aca="false">IF(R$5&lt;=LastHist,0,INDEX(Sec_Flow,1,13))</f>
        <v>0</v>
      </c>
      <c r="S42" s="123" t="n">
        <f aca="false">IF(S$5&lt;=LastHist,0,INDEX(Sec_Flow,1,14))</f>
        <v>0</v>
      </c>
      <c r="T42" s="123" t="n">
        <f aca="false">IF(T$5&lt;=LastHist,0,INDEX(Sec_Flow,1,15))</f>
        <v>0</v>
      </c>
      <c r="U42" s="123" t="n">
        <f aca="false">IF(U$5&lt;=LastHist,0,INDEX(Sec_Flow,1,16))</f>
        <v>0</v>
      </c>
      <c r="V42" s="123" t="n">
        <f aca="false">IF(V$5&lt;=LastHist,0,INDEX(Sec_Flow,1,17))</f>
        <v>0</v>
      </c>
      <c r="W42" s="123" t="n">
        <f aca="false">IF(W$5&lt;=LastHist,0,INDEX(Sec_Flow,1,18))</f>
        <v>0</v>
      </c>
      <c r="X42" s="123" t="n">
        <f aca="false">IF(X$5&lt;=LastHist,0,INDEX(Sec_Flow,1,19))</f>
        <v>0</v>
      </c>
      <c r="Y42" s="123" t="n">
        <f aca="false">IF(Y$5&lt;=LastHist,0,INDEX(Sec_Flow,1,20))</f>
        <v>0</v>
      </c>
      <c r="Z42" s="123" t="n">
        <f aca="false">IF(Z$5&lt;=LastHist,0,INDEX(Sec_Flow,1,21))</f>
        <v>0</v>
      </c>
      <c r="AA42" s="123" t="n">
        <f aca="false">IF(AA$5&lt;=LastHist,0,INDEX(Sec_Flow,1,22))</f>
        <v>0</v>
      </c>
      <c r="AB42" s="123" t="n">
        <f aca="false">IF(AB$5&lt;=LastHist,0,INDEX(Sec_Flow,1,23))</f>
        <v>0</v>
      </c>
      <c r="AC42" s="123" t="n">
        <f aca="false">IF(AC$5&lt;=LastHist,0,INDEX(Sec_Flow,1,24))</f>
        <v>0</v>
      </c>
      <c r="AD42" s="123" t="n">
        <f aca="false">IF(AD$5&lt;=LastHist,0,INDEX(Sec_Flow,1,25))</f>
        <v>0</v>
      </c>
      <c r="AE42" s="123" t="n">
        <f aca="false">IF(AE$5&lt;=LastHist,0,INDEX(Sec_Flow,1,26))</f>
        <v>0</v>
      </c>
      <c r="AF42" s="123" t="n">
        <f aca="false">IF(AF$5&lt;=LastHist,0,INDEX(Sec_Flow,1,27))</f>
        <v>0</v>
      </c>
      <c r="AG42" s="123" t="n">
        <f aca="false">IF(AG$5&lt;=LastHist,0,INDEX(Sec_Flow,1,28))</f>
        <v>-0</v>
      </c>
      <c r="AI42" s="123" t="n">
        <f aca="false">SUMIF($F$7:$AG$7,AI$7,$F42:$AG42)</f>
        <v>0</v>
      </c>
      <c r="AJ42" s="123" t="n">
        <f aca="false">SUMIF($F$7:$AG$7,AJ$7,$F42:$AG42)</f>
        <v>0</v>
      </c>
      <c r="AK42" s="123" t="n">
        <f aca="false">SUMIF($F$7:$AG$7,AK$7,$F42:$AG42)</f>
        <v>0</v>
      </c>
      <c r="AL42" s="123" t="n">
        <f aca="false">SUMIF($F$7:$AG$7,AL$7,$F42:$AG42)</f>
        <v>0</v>
      </c>
      <c r="AM42" s="123" t="n">
        <f aca="false">SUMIF($F$7:$AG$7,AM$7,$F42:$AG42)</f>
        <v>0</v>
      </c>
      <c r="AN42" s="123" t="n">
        <f aca="false">SUMIF($F$7:$AG$7,AN$7,$F42:$AG42)</f>
        <v>0</v>
      </c>
      <c r="AO42" s="123" t="n">
        <f aca="false">SUMIF($F$7:$AG$7,AO$7,$F42:$AG42)</f>
        <v>0</v>
      </c>
    </row>
    <row r="43" customFormat="false" ht="15" hidden="false" customHeight="false" outlineLevel="0" collapsed="false">
      <c r="A43" s="104" t="s">
        <v>2231</v>
      </c>
      <c r="B43" s="20" t="s">
        <v>561</v>
      </c>
      <c r="C43" s="20" t="s">
        <v>550</v>
      </c>
      <c r="D43" s="20"/>
      <c r="F43" s="122" t="n">
        <f aca="false">(IF(F$5=11,ATM_Q3*SharePx,0)+IF(F$5=FP_ATMIdx,FP_ATMProc,0))*(F$5&gt;LastHist)</f>
        <v>0</v>
      </c>
      <c r="G43" s="122" t="n">
        <f aca="false">(IF(G$5=11,ATM_Q3*SharePx,0)+IF(G$5=FP_ATMIdx,FP_ATMProc,0))*(G$5&gt;LastHist)</f>
        <v>0</v>
      </c>
      <c r="H43" s="122" t="n">
        <f aca="false">(IF(H$5=11,ATM_Q3*SharePx,0)+IF(H$5=FP_ATMIdx,FP_ATMProc,0))*(H$5&gt;LastHist)</f>
        <v>0</v>
      </c>
      <c r="I43" s="122" t="n">
        <f aca="false">(IF(I$5=11,ATM_Q3*SharePx,0)+IF(I$5=FP_ATMIdx,FP_ATMProc,0))*(I$5&gt;LastHist)</f>
        <v>0</v>
      </c>
      <c r="J43" s="122" t="n">
        <f aca="false">(IF(J$5=11,ATM_Q3*SharePx,0)+IF(J$5=FP_ATMIdx,FP_ATMProc,0))*(J$5&gt;LastHist)</f>
        <v>0</v>
      </c>
      <c r="K43" s="122" t="n">
        <f aca="false">(IF(K$5=11,ATM_Q3*SharePx,0)+IF(K$5=FP_ATMIdx,FP_ATMProc,0))*(K$5&gt;LastHist)</f>
        <v>0</v>
      </c>
      <c r="L43" s="122" t="n">
        <f aca="false">(IF(L$5=11,ATM_Q3*SharePx,0)+IF(L$5=FP_ATMIdx,FP_ATMProc,0))*(L$5&gt;LastHist)</f>
        <v>0</v>
      </c>
      <c r="M43" s="122" t="n">
        <f aca="false">(IF(M$5=11,ATM_Q3*SharePx,0)+IF(M$5=FP_ATMIdx,FP_ATMProc,0))*(M$5&gt;LastHist)</f>
        <v>0</v>
      </c>
      <c r="N43" s="122" t="n">
        <f aca="false">(IF(N$5=11,ATM_Q3*SharePx,0)+IF(N$5=FP_ATMIdx,FP_ATMProc,0))*(N$5&gt;LastHist)</f>
        <v>0</v>
      </c>
      <c r="O43" s="122" t="n">
        <f aca="false">(IF(O$5=11,ATM_Q3*SharePx,0)+IF(O$5=FP_ATMIdx,FP_ATMProc,0))*(O$5&gt;LastHist)</f>
        <v>0</v>
      </c>
      <c r="P43" s="123" t="n">
        <f aca="false">(IF(P$5=11,ATM_Q3*SharePx,0)+IF(P$5=FP_ATMIdx,FP_ATMProc,0))*(P$5&gt;LastHist)</f>
        <v>0</v>
      </c>
      <c r="Q43" s="123" t="n">
        <f aca="false">(IF(Q$5=11,ATM_Q3*SharePx,0)+IF(Q$5=FP_ATMIdx,FP_ATMProc,0))*(Q$5&gt;LastHist)</f>
        <v>2979.40180467</v>
      </c>
      <c r="R43" s="123" t="n">
        <f aca="false">(IF(R$5=11,ATM_Q3*SharePx,0)+IF(R$5=FP_ATMIdx,FP_ATMProc,0))*(R$5&gt;LastHist)</f>
        <v>0</v>
      </c>
      <c r="S43" s="123" t="n">
        <f aca="false">(IF(S$5=11,ATM_Q3*SharePx,0)+IF(S$5=FP_ATMIdx,FP_ATMProc,0))*(S$5&gt;LastHist)</f>
        <v>0</v>
      </c>
      <c r="T43" s="123" t="n">
        <f aca="false">(IF(T$5=11,ATM_Q3*SharePx,0)+IF(T$5=FP_ATMIdx,FP_ATMProc,0))*(T$5&gt;LastHist)</f>
        <v>0</v>
      </c>
      <c r="U43" s="123" t="n">
        <f aca="false">(IF(U$5=11,ATM_Q3*SharePx,0)+IF(U$5=FP_ATMIdx,FP_ATMProc,0))*(U$5&gt;LastHist)</f>
        <v>0</v>
      </c>
      <c r="V43" s="123" t="n">
        <f aca="false">(IF(V$5=11,ATM_Q3*SharePx,0)+IF(V$5=FP_ATMIdx,FP_ATMProc,0))*(V$5&gt;LastHist)</f>
        <v>0</v>
      </c>
      <c r="W43" s="123" t="n">
        <f aca="false">(IF(W$5=11,ATM_Q3*SharePx,0)+IF(W$5=FP_ATMIdx,FP_ATMProc,0))*(W$5&gt;LastHist)</f>
        <v>0</v>
      </c>
      <c r="X43" s="123" t="n">
        <f aca="false">(IF(X$5=11,ATM_Q3*SharePx,0)+IF(X$5=FP_ATMIdx,FP_ATMProc,0))*(X$5&gt;LastHist)</f>
        <v>0</v>
      </c>
      <c r="Y43" s="123" t="n">
        <f aca="false">(IF(Y$5=11,ATM_Q3*SharePx,0)+IF(Y$5=FP_ATMIdx,FP_ATMProc,0))*(Y$5&gt;LastHist)</f>
        <v>0</v>
      </c>
      <c r="Z43" s="123" t="n">
        <f aca="false">(IF(Z$5=11,ATM_Q3*SharePx,0)+IF(Z$5=FP_ATMIdx,FP_ATMProc,0))*(Z$5&gt;LastHist)</f>
        <v>0</v>
      </c>
      <c r="AA43" s="123" t="n">
        <f aca="false">(IF(AA$5=11,ATM_Q3*SharePx,0)+IF(AA$5=FP_ATMIdx,FP_ATMProc,0))*(AA$5&gt;LastHist)</f>
        <v>0</v>
      </c>
      <c r="AB43" s="123" t="n">
        <f aca="false">(IF(AB$5=11,ATM_Q3*SharePx,0)+IF(AB$5=FP_ATMIdx,FP_ATMProc,0))*(AB$5&gt;LastHist)</f>
        <v>0</v>
      </c>
      <c r="AC43" s="123" t="n">
        <f aca="false">(IF(AC$5=11,ATM_Q3*SharePx,0)+IF(AC$5=FP_ATMIdx,FP_ATMProc,0))*(AC$5&gt;LastHist)</f>
        <v>0</v>
      </c>
      <c r="AD43" s="123" t="n">
        <f aca="false">(IF(AD$5=11,ATM_Q3*SharePx,0)+IF(AD$5=FP_ATMIdx,FP_ATMProc,0))*(AD$5&gt;LastHist)</f>
        <v>0</v>
      </c>
      <c r="AE43" s="123" t="n">
        <f aca="false">(IF(AE$5=11,ATM_Q3*SharePx,0)+IF(AE$5=FP_ATMIdx,FP_ATMProc,0))*(AE$5&gt;LastHist)</f>
        <v>0</v>
      </c>
      <c r="AF43" s="123" t="n">
        <f aca="false">(IF(AF$5=11,ATM_Q3*SharePx,0)+IF(AF$5=FP_ATMIdx,FP_ATMProc,0))*(AF$5&gt;LastHist)</f>
        <v>0</v>
      </c>
      <c r="AG43" s="123" t="n">
        <f aca="false">(IF(AG$5=11,ATM_Q3*SharePx,0)+IF(AG$5=FP_ATMIdx,FP_ATMProc,0))*(AG$5&gt;LastHist)</f>
        <v>0</v>
      </c>
      <c r="AI43" s="123" t="n">
        <f aca="false">SUMIF($F$7:$AG$7,AI$7,$F43:$AG43)</f>
        <v>0</v>
      </c>
      <c r="AJ43" s="123" t="n">
        <f aca="false">SUMIF($F$7:$AG$7,AJ$7,$F43:$AG43)</f>
        <v>0</v>
      </c>
      <c r="AK43" s="123" t="n">
        <f aca="false">SUMIF($F$7:$AG$7,AK$7,$F43:$AG43)</f>
        <v>2979.40180467</v>
      </c>
      <c r="AL43" s="123" t="n">
        <f aca="false">SUMIF($F$7:$AG$7,AL$7,$F43:$AG43)</f>
        <v>0</v>
      </c>
      <c r="AM43" s="123" t="n">
        <f aca="false">SUMIF($F$7:$AG$7,AM$7,$F43:$AG43)</f>
        <v>0</v>
      </c>
      <c r="AN43" s="123" t="n">
        <f aca="false">SUMIF($F$7:$AG$7,AN$7,$F43:$AG43)</f>
        <v>0</v>
      </c>
      <c r="AO43" s="123" t="n">
        <f aca="false">SUMIF($F$7:$AG$7,AO$7,$F43:$AG43)</f>
        <v>0</v>
      </c>
    </row>
    <row r="44" customFormat="false" ht="15" hidden="false" customHeight="false" outlineLevel="0" collapsed="false">
      <c r="A44" s="104" t="s">
        <v>2232</v>
      </c>
      <c r="B44" s="20" t="s">
        <v>561</v>
      </c>
      <c r="C44" s="20" t="s">
        <v>495</v>
      </c>
      <c r="D44" s="20"/>
      <c r="F44" s="122" t="n">
        <f aca="false">IF(F$5&lt;=LastHist,0,E49+F35+F39+F41+F42+F43)</f>
        <v>0</v>
      </c>
      <c r="G44" s="122" t="n">
        <f aca="false">IF(G$5&lt;=LastHist,0,F49+G35+G39+G41+G42+G43)</f>
        <v>0</v>
      </c>
      <c r="H44" s="122" t="n">
        <f aca="false">IF(H$5&lt;=LastHist,0,G49+H35+H39+H41+H42+H43)</f>
        <v>0</v>
      </c>
      <c r="I44" s="122" t="n">
        <f aca="false">IF(I$5&lt;=LastHist,0,H49+I35+I39+I41+I42+I43)</f>
        <v>0</v>
      </c>
      <c r="J44" s="122" t="n">
        <f aca="false">IF(J$5&lt;=LastHist,0,I49+J35+J39+J41+J42+J43)</f>
        <v>0</v>
      </c>
      <c r="K44" s="122" t="n">
        <f aca="false">IF(K$5&lt;=LastHist,0,J49+K35+K39+K41+K42+K43)</f>
        <v>0</v>
      </c>
      <c r="L44" s="122" t="n">
        <f aca="false">IF(L$5&lt;=LastHist,0,K49+L35+L39+L41+L42+L43)</f>
        <v>0</v>
      </c>
      <c r="M44" s="122" t="n">
        <f aca="false">IF(M$5&lt;=LastHist,0,L49+M35+M39+M41+M42+M43)</f>
        <v>0</v>
      </c>
      <c r="N44" s="122" t="n">
        <f aca="false">IF(N$5&lt;=LastHist,0,M49+N35+N39+N41+N42+N43)</f>
        <v>0</v>
      </c>
      <c r="O44" s="122" t="n">
        <f aca="false">IF(O$5&lt;=LastHist,0,N49+O35+O39+O41+O42+O43)</f>
        <v>0</v>
      </c>
      <c r="P44" s="123" t="n">
        <f aca="false">IF(P$5&lt;=LastHist,0,O49+P35+P39+P41+P42+P43)</f>
        <v>11598.3001023482</v>
      </c>
      <c r="Q44" s="123" t="n">
        <f aca="false">IF(Q$5&lt;=LastHist,0,P49+Q35+Q39+Q41+Q42+Q43)</f>
        <v>10619.3730662169</v>
      </c>
      <c r="R44" s="123" t="n">
        <f aca="false">IF(R$5&lt;=LastHist,0,Q49+R35+R39+R41+R42+R43)</f>
        <v>10933.3362982463</v>
      </c>
      <c r="S44" s="123" t="n">
        <f aca="false">IF(S$5&lt;=LastHist,0,R49+S35+S39+S41+S42+S43)</f>
        <v>5445.3868477162</v>
      </c>
      <c r="T44" s="123" t="n">
        <f aca="false">IF(T$5&lt;=LastHist,0,S49+T35+T39+T41+T42+T43)</f>
        <v>4776.34830800337</v>
      </c>
      <c r="U44" s="123" t="n">
        <f aca="false">IF(U$5&lt;=LastHist,0,T49+U35+U39+U41+U42+U43)</f>
        <v>2003.20268369446</v>
      </c>
      <c r="V44" s="123" t="n">
        <f aca="false">IF(V$5&lt;=LastHist,0,U49+V35+V39+V41+V42+V43)</f>
        <v>-2136.78961559614</v>
      </c>
      <c r="W44" s="123" t="n">
        <f aca="false">IF(W$5&lt;=LastHist,0,V49+W35+W39+W41+W42+W43)</f>
        <v>823.182788774975</v>
      </c>
      <c r="X44" s="123" t="n">
        <f aca="false">IF(X$5&lt;=LastHist,0,W49+X35+X39+X41+X42+X43)</f>
        <v>-7311.1238214635</v>
      </c>
      <c r="Y44" s="123" t="n">
        <f aca="false">IF(Y$5&lt;=LastHist,0,X49+Y35+Y39+Y41+Y42+Y43)</f>
        <v>991.649372101784</v>
      </c>
      <c r="Z44" s="123" t="n">
        <f aca="false">IF(Z$5&lt;=LastHist,0,Y49+Z35+Z39+Z41+Z42+Z43)</f>
        <v>-7185.62054681576</v>
      </c>
      <c r="AA44" s="123" t="n">
        <f aca="false">IF(AA$5&lt;=LastHist,0,Z49+AA35+AA39+AA41+AA42+AA43)</f>
        <v>737.293963439676</v>
      </c>
      <c r="AB44" s="123" t="n">
        <f aca="false">IF(AB$5&lt;=LastHist,0,AA49+AB35+AB39+AB41+AB42+AB43)</f>
        <v>-11056.7005950041</v>
      </c>
      <c r="AC44" s="123" t="n">
        <f aca="false">IF(AC$5&lt;=LastHist,0,AB49+AC35+AC39+AC41+AC42+AC43)</f>
        <v>5256.12542132998</v>
      </c>
      <c r="AD44" s="123" t="n">
        <f aca="false">IF(AD$5&lt;=LastHist,0,AC49+AD35+AD39+AD41+AD42+AD43)</f>
        <v>5294.80090602404</v>
      </c>
      <c r="AE44" s="123" t="n">
        <f aca="false">IF(AE$5&lt;=LastHist,0,AD49+AE35+AE39+AE41+AE42+AE43)</f>
        <v>9712.74168096806</v>
      </c>
      <c r="AF44" s="123" t="n">
        <f aca="false">IF(AF$5&lt;=LastHist,0,AE49+AF35+AF39+AF41+AF42+AF43)</f>
        <v>9562.21767669885</v>
      </c>
      <c r="AG44" s="123" t="n">
        <f aca="false">IF(AG$5&lt;=LastHist,0,AF49+AG35+AG39+AG41+AG42+AG43)</f>
        <v>12873.8385906913</v>
      </c>
      <c r="AI44" s="123" t="n">
        <f aca="false">SUMIF($F$7:$AG$7,AI$7,$F44:$AG44)</f>
        <v>0</v>
      </c>
      <c r="AJ44" s="123" t="n">
        <f aca="false">SUMIF($F$7:$AG$7,AJ$7,$F44:$AG44)</f>
        <v>0</v>
      </c>
      <c r="AK44" s="123" t="n">
        <f aca="false">SUMIF($F$7:$AG$7,AK$7,$F44:$AG44)</f>
        <v>22217.6731685651</v>
      </c>
      <c r="AL44" s="123" t="n">
        <f aca="false">SUMIF($F$7:$AG$7,AL$7,$F44:$AG44)</f>
        <v>23158.2741376603</v>
      </c>
      <c r="AM44" s="123" t="n">
        <f aca="false">SUMIF($F$7:$AG$7,AM$7,$F44:$AG44)</f>
        <v>-7633.08127618288</v>
      </c>
      <c r="AN44" s="123" t="n">
        <f aca="false">SUMIF($F$7:$AG$7,AN$7,$F44:$AG44)</f>
        <v>-12248.9017570502</v>
      </c>
      <c r="AO44" s="123" t="n">
        <f aca="false">SUMIF($F$7:$AG$7,AO$7,$F44:$AG44)</f>
        <v>37443.5988543822</v>
      </c>
    </row>
    <row r="45" customFormat="false" ht="15" hidden="false" customHeight="false" outlineLevel="0" collapsed="false">
      <c r="A45" s="104" t="s">
        <v>2233</v>
      </c>
      <c r="B45" s="20" t="s">
        <v>561</v>
      </c>
      <c r="C45" s="20" t="s">
        <v>495</v>
      </c>
      <c r="D45" s="20"/>
      <c r="F45" s="122" t="n">
        <f aca="false">IF(F$5&lt;=LastHist,0,MAX(0,MinCash-F44))</f>
        <v>0</v>
      </c>
      <c r="G45" s="122" t="n">
        <f aca="false">IF(G$5&lt;=LastHist,0,MAX(0,MinCash-G44))</f>
        <v>0</v>
      </c>
      <c r="H45" s="122" t="n">
        <f aca="false">IF(H$5&lt;=LastHist,0,MAX(0,MinCash-H44))</f>
        <v>0</v>
      </c>
      <c r="I45" s="122" t="n">
        <f aca="false">IF(I$5&lt;=LastHist,0,MAX(0,MinCash-I44))</f>
        <v>0</v>
      </c>
      <c r="J45" s="122" t="n">
        <f aca="false">IF(J$5&lt;=LastHist,0,MAX(0,MinCash-J44))</f>
        <v>0</v>
      </c>
      <c r="K45" s="122" t="n">
        <f aca="false">IF(K$5&lt;=LastHist,0,MAX(0,MinCash-K44))</f>
        <v>0</v>
      </c>
      <c r="L45" s="122" t="n">
        <f aca="false">IF(L$5&lt;=LastHist,0,MAX(0,MinCash-L44))</f>
        <v>0</v>
      </c>
      <c r="M45" s="122" t="n">
        <f aca="false">IF(M$5&lt;=LastHist,0,MAX(0,MinCash-M44))</f>
        <v>0</v>
      </c>
      <c r="N45" s="122" t="n">
        <f aca="false">IF(N$5&lt;=LastHist,0,MAX(0,MinCash-N44))</f>
        <v>0</v>
      </c>
      <c r="O45" s="122" t="n">
        <f aca="false">IF(O$5&lt;=LastHist,0,MAX(0,MinCash-O44))</f>
        <v>0</v>
      </c>
      <c r="P45" s="123" t="n">
        <f aca="false">IF(P$5&lt;=LastHist,0,MAX(0,MinCash-P44))</f>
        <v>0</v>
      </c>
      <c r="Q45" s="123" t="n">
        <f aca="false">IF(Q$5&lt;=LastHist,0,MAX(0,MinCash-Q44))</f>
        <v>0</v>
      </c>
      <c r="R45" s="123" t="n">
        <f aca="false">IF(R$5&lt;=LastHist,0,MAX(0,MinCash-R44))</f>
        <v>0</v>
      </c>
      <c r="S45" s="123" t="n">
        <f aca="false">IF(S$5&lt;=LastHist,0,MAX(0,MinCash-S44))</f>
        <v>0</v>
      </c>
      <c r="T45" s="123" t="n">
        <f aca="false">IF(T$5&lt;=LastHist,0,MAX(0,MinCash-T44))</f>
        <v>0</v>
      </c>
      <c r="U45" s="123" t="n">
        <f aca="false">IF(U$5&lt;=LastHist,0,MAX(0,MinCash-U44))</f>
        <v>0</v>
      </c>
      <c r="V45" s="123" t="n">
        <f aca="false">IF(V$5&lt;=LastHist,0,MAX(0,MinCash-V44))</f>
        <v>4136.78961559614</v>
      </c>
      <c r="W45" s="123" t="n">
        <f aca="false">IF(W$5&lt;=LastHist,0,MAX(0,MinCash-W44))</f>
        <v>1176.81721122503</v>
      </c>
      <c r="X45" s="123" t="n">
        <f aca="false">IF(X$5&lt;=LastHist,0,MAX(0,MinCash-X44))</f>
        <v>9311.1238214635</v>
      </c>
      <c r="Y45" s="123" t="n">
        <f aca="false">IF(Y$5&lt;=LastHist,0,MAX(0,MinCash-Y44))</f>
        <v>1008.35062789822</v>
      </c>
      <c r="Z45" s="123" t="n">
        <f aca="false">IF(Z$5&lt;=LastHist,0,MAX(0,MinCash-Z44))</f>
        <v>9185.62054681576</v>
      </c>
      <c r="AA45" s="123" t="n">
        <f aca="false">IF(AA$5&lt;=LastHist,0,MAX(0,MinCash-AA44))</f>
        <v>1262.70603656032</v>
      </c>
      <c r="AB45" s="123" t="n">
        <f aca="false">IF(AB$5&lt;=LastHist,0,MAX(0,MinCash-AB44))</f>
        <v>13056.7005950041</v>
      </c>
      <c r="AC45" s="123" t="n">
        <f aca="false">IF(AC$5&lt;=LastHist,0,MAX(0,MinCash-AC44))</f>
        <v>0</v>
      </c>
      <c r="AD45" s="123" t="n">
        <f aca="false">IF(AD$5&lt;=LastHist,0,MAX(0,MinCash-AD44))</f>
        <v>0</v>
      </c>
      <c r="AE45" s="123" t="n">
        <f aca="false">IF(AE$5&lt;=LastHist,0,MAX(0,MinCash-AE44))</f>
        <v>0</v>
      </c>
      <c r="AF45" s="123" t="n">
        <f aca="false">IF(AF$5&lt;=LastHist,0,MAX(0,MinCash-AF44))</f>
        <v>0</v>
      </c>
      <c r="AG45" s="123" t="n">
        <f aca="false">IF(AG$5&lt;=LastHist,0,MAX(0,MinCash-AG44))</f>
        <v>0</v>
      </c>
      <c r="AI45" s="123" t="n">
        <f aca="false">SUMIF($F$7:$AG$7,AI$7,$F45:$AG45)</f>
        <v>0</v>
      </c>
      <c r="AJ45" s="123" t="n">
        <f aca="false">SUMIF($F$7:$AG$7,AJ$7,$F45:$AG45)</f>
        <v>0</v>
      </c>
      <c r="AK45" s="123" t="n">
        <f aca="false">SUMIF($F$7:$AG$7,AK$7,$F45:$AG45)</f>
        <v>0</v>
      </c>
      <c r="AL45" s="123" t="n">
        <f aca="false">SUMIF($F$7:$AG$7,AL$7,$F45:$AG45)</f>
        <v>0</v>
      </c>
      <c r="AM45" s="123" t="n">
        <f aca="false">SUMIF($F$7:$AG$7,AM$7,$F45:$AG45)</f>
        <v>15633.0812761829</v>
      </c>
      <c r="AN45" s="123" t="n">
        <f aca="false">SUMIF($F$7:$AG$7,AN$7,$F45:$AG45)</f>
        <v>23505.0271783801</v>
      </c>
      <c r="AO45" s="123" t="n">
        <f aca="false">SUMIF($F$7:$AG$7,AO$7,$F45:$AG45)</f>
        <v>0</v>
      </c>
    </row>
    <row r="46" customFormat="false" ht="15" hidden="false" customHeight="false" outlineLevel="0" collapsed="false">
      <c r="A46" s="104" t="s">
        <v>2234</v>
      </c>
      <c r="B46" s="20" t="s">
        <v>561</v>
      </c>
      <c r="C46" s="20" t="s">
        <v>495</v>
      </c>
      <c r="D46" s="20"/>
      <c r="F46" s="122" t="n">
        <f aca="false">F45*PlugDebtSh</f>
        <v>0</v>
      </c>
      <c r="G46" s="122" t="n">
        <f aca="false">G45*PlugDebtSh</f>
        <v>0</v>
      </c>
      <c r="H46" s="122" t="n">
        <f aca="false">H45*PlugDebtSh</f>
        <v>0</v>
      </c>
      <c r="I46" s="122" t="n">
        <f aca="false">I45*PlugDebtSh</f>
        <v>0</v>
      </c>
      <c r="J46" s="122" t="n">
        <f aca="false">J45*PlugDebtSh</f>
        <v>0</v>
      </c>
      <c r="K46" s="122" t="n">
        <f aca="false">K45*PlugDebtSh</f>
        <v>0</v>
      </c>
      <c r="L46" s="122" t="n">
        <f aca="false">L45*PlugDebtSh</f>
        <v>0</v>
      </c>
      <c r="M46" s="122" t="n">
        <f aca="false">M45*PlugDebtSh</f>
        <v>0</v>
      </c>
      <c r="N46" s="122" t="n">
        <f aca="false">N45*PlugDebtSh</f>
        <v>0</v>
      </c>
      <c r="O46" s="122" t="n">
        <f aca="false">O45*PlugDebtSh</f>
        <v>0</v>
      </c>
      <c r="P46" s="123" t="n">
        <f aca="false">P45*PlugDebtSh</f>
        <v>0</v>
      </c>
      <c r="Q46" s="123" t="n">
        <f aca="false">Q45*PlugDebtSh</f>
        <v>0</v>
      </c>
      <c r="R46" s="123" t="n">
        <f aca="false">R45*PlugDebtSh</f>
        <v>0</v>
      </c>
      <c r="S46" s="123" t="n">
        <f aca="false">S45*PlugDebtSh</f>
        <v>0</v>
      </c>
      <c r="T46" s="123" t="n">
        <f aca="false">T45*PlugDebtSh</f>
        <v>0</v>
      </c>
      <c r="U46" s="123" t="n">
        <f aca="false">U45*PlugDebtSh</f>
        <v>0</v>
      </c>
      <c r="V46" s="123" t="n">
        <f aca="false">V45*PlugDebtSh</f>
        <v>2068.39480779807</v>
      </c>
      <c r="W46" s="123" t="n">
        <f aca="false">W45*PlugDebtSh</f>
        <v>588.408605612513</v>
      </c>
      <c r="X46" s="123" t="n">
        <f aca="false">X45*PlugDebtSh</f>
        <v>4655.56191073175</v>
      </c>
      <c r="Y46" s="123" t="n">
        <f aca="false">Y45*PlugDebtSh</f>
        <v>504.175313949108</v>
      </c>
      <c r="Z46" s="123" t="n">
        <f aca="false">Z45*PlugDebtSh</f>
        <v>4592.81027340788</v>
      </c>
      <c r="AA46" s="123" t="n">
        <f aca="false">AA45*PlugDebtSh</f>
        <v>631.353018280162</v>
      </c>
      <c r="AB46" s="123" t="n">
        <f aca="false">AB45*PlugDebtSh</f>
        <v>6528.35029750203</v>
      </c>
      <c r="AC46" s="123" t="n">
        <f aca="false">AC45*PlugDebtSh</f>
        <v>0</v>
      </c>
      <c r="AD46" s="123" t="n">
        <f aca="false">AD45*PlugDebtSh</f>
        <v>0</v>
      </c>
      <c r="AE46" s="123" t="n">
        <f aca="false">AE45*PlugDebtSh</f>
        <v>0</v>
      </c>
      <c r="AF46" s="123" t="n">
        <f aca="false">AF45*PlugDebtSh</f>
        <v>0</v>
      </c>
      <c r="AG46" s="123" t="n">
        <f aca="false">AG45*PlugDebtSh</f>
        <v>0</v>
      </c>
      <c r="AI46" s="123" t="n">
        <f aca="false">SUMIF($F$7:$AG$7,AI$7,$F46:$AG46)</f>
        <v>0</v>
      </c>
      <c r="AJ46" s="123" t="n">
        <f aca="false">SUMIF($F$7:$AG$7,AJ$7,$F46:$AG46)</f>
        <v>0</v>
      </c>
      <c r="AK46" s="123" t="n">
        <f aca="false">SUMIF($F$7:$AG$7,AK$7,$F46:$AG46)</f>
        <v>0</v>
      </c>
      <c r="AL46" s="123" t="n">
        <f aca="false">SUMIF($F$7:$AG$7,AL$7,$F46:$AG46)</f>
        <v>0</v>
      </c>
      <c r="AM46" s="123" t="n">
        <f aca="false">SUMIF($F$7:$AG$7,AM$7,$F46:$AG46)</f>
        <v>7816.54063809144</v>
      </c>
      <c r="AN46" s="123" t="n">
        <f aca="false">SUMIF($F$7:$AG$7,AN$7,$F46:$AG46)</f>
        <v>11752.5135891901</v>
      </c>
      <c r="AO46" s="123" t="n">
        <f aca="false">SUMIF($F$7:$AG$7,AO$7,$F46:$AG46)</f>
        <v>0</v>
      </c>
    </row>
    <row r="47" customFormat="false" ht="15" hidden="false" customHeight="false" outlineLevel="0" collapsed="false">
      <c r="A47" s="104" t="s">
        <v>2235</v>
      </c>
      <c r="B47" s="20" t="s">
        <v>561</v>
      </c>
      <c r="C47" s="20" t="s">
        <v>495</v>
      </c>
      <c r="D47" s="20"/>
      <c r="F47" s="122" t="n">
        <f aca="false">F45*(1-PlugDebtSh)</f>
        <v>0</v>
      </c>
      <c r="G47" s="122" t="n">
        <f aca="false">G45*(1-PlugDebtSh)</f>
        <v>0</v>
      </c>
      <c r="H47" s="122" t="n">
        <f aca="false">H45*(1-PlugDebtSh)</f>
        <v>0</v>
      </c>
      <c r="I47" s="122" t="n">
        <f aca="false">I45*(1-PlugDebtSh)</f>
        <v>0</v>
      </c>
      <c r="J47" s="122" t="n">
        <f aca="false">J45*(1-PlugDebtSh)</f>
        <v>0</v>
      </c>
      <c r="K47" s="122" t="n">
        <f aca="false">K45*(1-PlugDebtSh)</f>
        <v>0</v>
      </c>
      <c r="L47" s="122" t="n">
        <f aca="false">L45*(1-PlugDebtSh)</f>
        <v>0</v>
      </c>
      <c r="M47" s="122" t="n">
        <f aca="false">M45*(1-PlugDebtSh)</f>
        <v>0</v>
      </c>
      <c r="N47" s="122" t="n">
        <f aca="false">N45*(1-PlugDebtSh)</f>
        <v>0</v>
      </c>
      <c r="O47" s="122" t="n">
        <f aca="false">O45*(1-PlugDebtSh)</f>
        <v>0</v>
      </c>
      <c r="P47" s="123" t="n">
        <f aca="false">P45*(1-PlugDebtSh)</f>
        <v>0</v>
      </c>
      <c r="Q47" s="123" t="n">
        <f aca="false">Q45*(1-PlugDebtSh)</f>
        <v>0</v>
      </c>
      <c r="R47" s="123" t="n">
        <f aca="false">R45*(1-PlugDebtSh)</f>
        <v>0</v>
      </c>
      <c r="S47" s="123" t="n">
        <f aca="false">S45*(1-PlugDebtSh)</f>
        <v>0</v>
      </c>
      <c r="T47" s="123" t="n">
        <f aca="false">T45*(1-PlugDebtSh)</f>
        <v>0</v>
      </c>
      <c r="U47" s="123" t="n">
        <f aca="false">U45*(1-PlugDebtSh)</f>
        <v>0</v>
      </c>
      <c r="V47" s="123" t="n">
        <f aca="false">V45*(1-PlugDebtSh)</f>
        <v>2068.39480779807</v>
      </c>
      <c r="W47" s="123" t="n">
        <f aca="false">W45*(1-PlugDebtSh)</f>
        <v>588.408605612513</v>
      </c>
      <c r="X47" s="123" t="n">
        <f aca="false">X45*(1-PlugDebtSh)</f>
        <v>4655.56191073175</v>
      </c>
      <c r="Y47" s="123" t="n">
        <f aca="false">Y45*(1-PlugDebtSh)</f>
        <v>504.175313949108</v>
      </c>
      <c r="Z47" s="123" t="n">
        <f aca="false">Z45*(1-PlugDebtSh)</f>
        <v>4592.81027340788</v>
      </c>
      <c r="AA47" s="123" t="n">
        <f aca="false">AA45*(1-PlugDebtSh)</f>
        <v>631.353018280162</v>
      </c>
      <c r="AB47" s="123" t="n">
        <f aca="false">AB45*(1-PlugDebtSh)</f>
        <v>6528.35029750203</v>
      </c>
      <c r="AC47" s="123" t="n">
        <f aca="false">AC45*(1-PlugDebtSh)</f>
        <v>0</v>
      </c>
      <c r="AD47" s="123" t="n">
        <f aca="false">AD45*(1-PlugDebtSh)</f>
        <v>0</v>
      </c>
      <c r="AE47" s="123" t="n">
        <f aca="false">AE45*(1-PlugDebtSh)</f>
        <v>0</v>
      </c>
      <c r="AF47" s="123" t="n">
        <f aca="false">AF45*(1-PlugDebtSh)</f>
        <v>0</v>
      </c>
      <c r="AG47" s="123" t="n">
        <f aca="false">AG45*(1-PlugDebtSh)</f>
        <v>0</v>
      </c>
      <c r="AI47" s="123" t="n">
        <f aca="false">SUMIF($F$7:$AG$7,AI$7,$F47:$AG47)</f>
        <v>0</v>
      </c>
      <c r="AJ47" s="123" t="n">
        <f aca="false">SUMIF($F$7:$AG$7,AJ$7,$F47:$AG47)</f>
        <v>0</v>
      </c>
      <c r="AK47" s="123" t="n">
        <f aca="false">SUMIF($F$7:$AG$7,AK$7,$F47:$AG47)</f>
        <v>0</v>
      </c>
      <c r="AL47" s="123" t="n">
        <f aca="false">SUMIF($F$7:$AG$7,AL$7,$F47:$AG47)</f>
        <v>0</v>
      </c>
      <c r="AM47" s="123" t="n">
        <f aca="false">SUMIF($F$7:$AG$7,AM$7,$F47:$AG47)</f>
        <v>7816.54063809144</v>
      </c>
      <c r="AN47" s="123" t="n">
        <f aca="false">SUMIF($F$7:$AG$7,AN$7,$F47:$AG47)</f>
        <v>11752.5135891901</v>
      </c>
      <c r="AO47" s="123" t="n">
        <f aca="false">SUMIF($F$7:$AG$7,AO$7,$F47:$AG47)</f>
        <v>0</v>
      </c>
    </row>
    <row r="48" customFormat="false" ht="15" hidden="false" customHeight="false" outlineLevel="0" collapsed="false">
      <c r="A48" s="104" t="s">
        <v>2236</v>
      </c>
      <c r="B48" s="20" t="s">
        <v>995</v>
      </c>
      <c r="C48" s="20" t="s">
        <v>495</v>
      </c>
      <c r="D48" s="20" t="s">
        <v>2237</v>
      </c>
      <c r="F48" s="137" t="n">
        <f aca="false">F47/(SharePx*(1-EqDisc))</f>
        <v>0</v>
      </c>
      <c r="G48" s="137" t="n">
        <f aca="false">G47/(SharePx*(1-EqDisc))</f>
        <v>0</v>
      </c>
      <c r="H48" s="137" t="n">
        <f aca="false">H47/(SharePx*(1-EqDisc))</f>
        <v>0</v>
      </c>
      <c r="I48" s="137" t="n">
        <f aca="false">I47/(SharePx*(1-EqDisc))</f>
        <v>0</v>
      </c>
      <c r="J48" s="137" t="n">
        <f aca="false">J47/(SharePx*(1-EqDisc))</f>
        <v>0</v>
      </c>
      <c r="K48" s="137" t="n">
        <f aca="false">K47/(SharePx*(1-EqDisc))</f>
        <v>0</v>
      </c>
      <c r="L48" s="137" t="n">
        <f aca="false">L47/(SharePx*(1-EqDisc))</f>
        <v>0</v>
      </c>
      <c r="M48" s="137" t="n">
        <f aca="false">M47/(SharePx*(1-EqDisc))</f>
        <v>0</v>
      </c>
      <c r="N48" s="137" t="n">
        <f aca="false">N47/(SharePx*(1-EqDisc))</f>
        <v>0</v>
      </c>
      <c r="O48" s="137" t="n">
        <f aca="false">O47/(SharePx*(1-EqDisc))</f>
        <v>0</v>
      </c>
      <c r="P48" s="42" t="n">
        <f aca="false">P47/(SharePx*(1-EqDisc))</f>
        <v>0</v>
      </c>
      <c r="Q48" s="42" t="n">
        <f aca="false">Q47/(SharePx*(1-EqDisc))</f>
        <v>0</v>
      </c>
      <c r="R48" s="42" t="n">
        <f aca="false">R47/(SharePx*(1-EqDisc))</f>
        <v>0</v>
      </c>
      <c r="S48" s="42" t="n">
        <f aca="false">S47/(SharePx*(1-EqDisc))</f>
        <v>0</v>
      </c>
      <c r="T48" s="42" t="n">
        <f aca="false">T47/(SharePx*(1-EqDisc))</f>
        <v>0</v>
      </c>
      <c r="U48" s="42" t="n">
        <f aca="false">U47/(SharePx*(1-EqDisc))</f>
        <v>0</v>
      </c>
      <c r="V48" s="42" t="n">
        <f aca="false">V47/(SharePx*(1-EqDisc))</f>
        <v>8.78203443529971</v>
      </c>
      <c r="W48" s="42" t="n">
        <f aca="false">W47/(SharePx*(1-EqDisc))</f>
        <v>2.49827770647752</v>
      </c>
      <c r="X48" s="42" t="n">
        <f aca="false">X47/(SharePx*(1-EqDisc))</f>
        <v>19.7666832567815</v>
      </c>
      <c r="Y48" s="42" t="n">
        <f aca="false">Y47/(SharePx*(1-EqDisc))</f>
        <v>2.14063821463691</v>
      </c>
      <c r="Z48" s="42" t="n">
        <f aca="false">Z47/(SharePx*(1-EqDisc))</f>
        <v>19.500251027416</v>
      </c>
      <c r="AA48" s="42" t="n">
        <f aca="false">AA47/(SharePx*(1-EqDisc))</f>
        <v>2.68061200234268</v>
      </c>
      <c r="AB48" s="42" t="n">
        <f aca="false">AB47/(SharePx*(1-EqDisc))</f>
        <v>27.7182078113005</v>
      </c>
      <c r="AC48" s="42" t="n">
        <f aca="false">AC47/(SharePx*(1-EqDisc))</f>
        <v>0</v>
      </c>
      <c r="AD48" s="42" t="n">
        <f aca="false">AD47/(SharePx*(1-EqDisc))</f>
        <v>0</v>
      </c>
      <c r="AE48" s="42" t="n">
        <f aca="false">AE47/(SharePx*(1-EqDisc))</f>
        <v>0</v>
      </c>
      <c r="AF48" s="42" t="n">
        <f aca="false">AF47/(SharePx*(1-EqDisc))</f>
        <v>0</v>
      </c>
      <c r="AG48" s="42" t="n">
        <f aca="false">AG47/(SharePx*(1-EqDisc))</f>
        <v>0</v>
      </c>
      <c r="AI48" s="42" t="n">
        <f aca="false">SUMIF($F$7:$AG$7,AI$7,$F48:$AG48)</f>
        <v>0</v>
      </c>
      <c r="AJ48" s="42" t="n">
        <f aca="false">SUMIF($F$7:$AG$7,AJ$7,$F48:$AG48)</f>
        <v>0</v>
      </c>
      <c r="AK48" s="42" t="n">
        <f aca="false">SUMIF($F$7:$AG$7,AK$7,$F48:$AG48)</f>
        <v>0</v>
      </c>
      <c r="AL48" s="42" t="n">
        <f aca="false">SUMIF($F$7:$AG$7,AL$7,$F48:$AG48)</f>
        <v>0</v>
      </c>
      <c r="AM48" s="42" t="n">
        <f aca="false">SUMIF($F$7:$AG$7,AM$7,$F48:$AG48)</f>
        <v>33.1876336131957</v>
      </c>
      <c r="AN48" s="42" t="n">
        <f aca="false">SUMIF($F$7:$AG$7,AN$7,$F48:$AG48)</f>
        <v>49.8990708410593</v>
      </c>
      <c r="AO48" s="42" t="n">
        <f aca="false">SUMIF($F$7:$AG$7,AO$7,$F48:$AG48)</f>
        <v>0</v>
      </c>
    </row>
    <row r="49" customFormat="false" ht="15" hidden="false" customHeight="false" outlineLevel="0" collapsed="false">
      <c r="A49" s="3" t="s">
        <v>2238</v>
      </c>
      <c r="B49" s="20" t="s">
        <v>561</v>
      </c>
      <c r="C49" s="20" t="s">
        <v>2239</v>
      </c>
      <c r="D49" s="20" t="s">
        <v>2240</v>
      </c>
      <c r="E49" s="0" t="n">
        <f aca="false">0</f>
        <v>0</v>
      </c>
      <c r="F49" s="124" t="n">
        <f aca="false">IF(F$5&lt;=LastHist,INDEX(H_Cash,1,F$5),F44+F45)</f>
        <v>2288.2</v>
      </c>
      <c r="G49" s="124" t="n">
        <f aca="false">IF(G$5&lt;=LastHist,INDEX(H_Cash,1,G$5),G44+G45)</f>
        <v>2288.2</v>
      </c>
      <c r="H49" s="124" t="n">
        <f aca="false">IF(H$5&lt;=LastHist,INDEX(H_Cash,1,H$5),H44+H45)</f>
        <v>2288.2</v>
      </c>
      <c r="I49" s="124" t="n">
        <f aca="false">IF(I$5&lt;=LastHist,INDEX(H_Cash,1,I$5),I44+I45)</f>
        <v>2434.7</v>
      </c>
      <c r="J49" s="124" t="n">
        <f aca="false">IF(J$5&lt;=LastHist,INDEX(H_Cash,1,J$5),J44+J45)</f>
        <v>1447</v>
      </c>
      <c r="K49" s="124" t="n">
        <f aca="false">IF(K$5&lt;=LastHist,INDEX(H_Cash,1,K$5),K44+K45)</f>
        <v>1679.3</v>
      </c>
      <c r="L49" s="124" t="n">
        <f aca="false">IF(L$5&lt;=LastHist,INDEX(H_Cash,1,L$5),L44+L45)</f>
        <v>4794.8</v>
      </c>
      <c r="M49" s="124" t="n">
        <f aca="false">IF(M$5&lt;=LastHist,INDEX(H_Cash,1,M$5),M44+M45)</f>
        <v>3678.1</v>
      </c>
      <c r="N49" s="124" t="n">
        <f aca="false">IF(N$5&lt;=LastHist,INDEX(H_Cash,1,N$5),N44+N45)</f>
        <v>9298.2</v>
      </c>
      <c r="O49" s="124" t="n">
        <f aca="false">IF(O$5&lt;=LastHist,INDEX(H_Cash,1,O$5),O44+O45)</f>
        <v>8042.1</v>
      </c>
      <c r="P49" s="96" t="n">
        <f aca="false">IF(P$5&lt;=LastHist,INDEX(H_Cash,1,P$5),P44+P45)</f>
        <v>11598.3001023482</v>
      </c>
      <c r="Q49" s="96" t="n">
        <f aca="false">IF(Q$5&lt;=LastHist,INDEX(H_Cash,1,Q$5),Q44+Q45)</f>
        <v>10619.3730662169</v>
      </c>
      <c r="R49" s="96" t="n">
        <f aca="false">IF(R$5&lt;=LastHist,INDEX(H_Cash,1,R$5),R44+R45)</f>
        <v>10933.3362982463</v>
      </c>
      <c r="S49" s="96" t="n">
        <f aca="false">IF(S$5&lt;=LastHist,INDEX(H_Cash,1,S$5),S44+S45)</f>
        <v>5445.3868477162</v>
      </c>
      <c r="T49" s="96" t="n">
        <f aca="false">IF(T$5&lt;=LastHist,INDEX(H_Cash,1,T$5),T44+T45)</f>
        <v>4776.34830800337</v>
      </c>
      <c r="U49" s="96" t="n">
        <f aca="false">IF(U$5&lt;=LastHist,INDEX(H_Cash,1,U$5),U44+U45)</f>
        <v>2003.20268369446</v>
      </c>
      <c r="V49" s="96" t="n">
        <f aca="false">IF(V$5&lt;=LastHist,INDEX(H_Cash,1,V$5),V44+V45)</f>
        <v>2000</v>
      </c>
      <c r="W49" s="96" t="n">
        <f aca="false">IF(W$5&lt;=LastHist,INDEX(H_Cash,1,W$5),W44+W45)</f>
        <v>2000</v>
      </c>
      <c r="X49" s="96" t="n">
        <f aca="false">IF(X$5&lt;=LastHist,INDEX(H_Cash,1,X$5),X44+X45)</f>
        <v>2000</v>
      </c>
      <c r="Y49" s="96" t="n">
        <f aca="false">IF(Y$5&lt;=LastHist,INDEX(H_Cash,1,Y$5),Y44+Y45)</f>
        <v>2000</v>
      </c>
      <c r="Z49" s="96" t="n">
        <f aca="false">IF(Z$5&lt;=LastHist,INDEX(H_Cash,1,Z$5),Z44+Z45)</f>
        <v>2000</v>
      </c>
      <c r="AA49" s="96" t="n">
        <f aca="false">IF(AA$5&lt;=LastHist,INDEX(H_Cash,1,AA$5),AA44+AA45)</f>
        <v>2000</v>
      </c>
      <c r="AB49" s="96" t="n">
        <f aca="false">IF(AB$5&lt;=LastHist,INDEX(H_Cash,1,AB$5),AB44+AB45)</f>
        <v>2000</v>
      </c>
      <c r="AC49" s="96" t="n">
        <f aca="false">IF(AC$5&lt;=LastHist,INDEX(H_Cash,1,AC$5),AC44+AC45)</f>
        <v>5256.12542132998</v>
      </c>
      <c r="AD49" s="96" t="n">
        <f aca="false">IF(AD$5&lt;=LastHist,INDEX(H_Cash,1,AD$5),AD44+AD45)</f>
        <v>5294.80090602404</v>
      </c>
      <c r="AE49" s="96" t="n">
        <f aca="false">IF(AE$5&lt;=LastHist,INDEX(H_Cash,1,AE$5),AE44+AE45)</f>
        <v>9712.74168096806</v>
      </c>
      <c r="AF49" s="96" t="n">
        <f aca="false">IF(AF$5&lt;=LastHist,INDEX(H_Cash,1,AF$5),AF44+AF45)</f>
        <v>9562.21767669885</v>
      </c>
      <c r="AG49" s="96" t="n">
        <f aca="false">IF(AG$5&lt;=LastHist,INDEX(H_Cash,1,AG$5),AG44+AG45)</f>
        <v>12873.8385906913</v>
      </c>
      <c r="AI49" s="96" t="n">
        <f aca="false">INDEX($F49:$AG49,1,MATCH(AI$7,$F$7:$AG$7,1))</f>
        <v>2434.7</v>
      </c>
      <c r="AJ49" s="96" t="n">
        <f aca="false">INDEX($F49:$AG49,1,MATCH(AJ$7,$F$7:$AG$7,1))</f>
        <v>3678.1</v>
      </c>
      <c r="AK49" s="96" t="n">
        <f aca="false">INDEX($F49:$AG49,1,MATCH(AK$7,$F$7:$AG$7,1))</f>
        <v>10619.3730662169</v>
      </c>
      <c r="AL49" s="96" t="n">
        <f aca="false">INDEX($F49:$AG49,1,MATCH(AL$7,$F$7:$AG$7,1))</f>
        <v>2003.20268369446</v>
      </c>
      <c r="AM49" s="96" t="n">
        <f aca="false">INDEX($F49:$AG49,1,MATCH(AM$7,$F$7:$AG$7,1))</f>
        <v>2000</v>
      </c>
      <c r="AN49" s="96" t="n">
        <f aca="false">INDEX($F49:$AG49,1,MATCH(AN$7,$F$7:$AG$7,1))</f>
        <v>5256.12542132998</v>
      </c>
      <c r="AO49" s="96" t="n">
        <f aca="false">INDEX($F49:$AG49,1,MATCH(AO$7,$F$7:$AG$7,1))</f>
        <v>12873.8385906913</v>
      </c>
    </row>
    <row r="51" customFormat="false" ht="15" hidden="false" customHeight="false" outlineLevel="0" collapsed="false">
      <c r="A51" s="53" t="s">
        <v>2241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</row>
    <row r="52" customFormat="false" ht="15" hidden="false" customHeight="false" outlineLevel="0" collapsed="false">
      <c r="A52" s="104" t="s">
        <v>2242</v>
      </c>
      <c r="B52" s="20" t="s">
        <v>561</v>
      </c>
      <c r="C52" s="20" t="s">
        <v>495</v>
      </c>
      <c r="D52" s="20"/>
      <c r="E52" s="123" t="n">
        <f aca="false">0</f>
        <v>0</v>
      </c>
      <c r="F52" s="122" t="n">
        <f aca="false">E52+F46</f>
        <v>0</v>
      </c>
      <c r="G52" s="122" t="n">
        <f aca="false">F52+G46</f>
        <v>0</v>
      </c>
      <c r="H52" s="122" t="n">
        <f aca="false">G52+H46</f>
        <v>0</v>
      </c>
      <c r="I52" s="122" t="n">
        <f aca="false">H52+I46</f>
        <v>0</v>
      </c>
      <c r="J52" s="122" t="n">
        <f aca="false">I52+J46</f>
        <v>0</v>
      </c>
      <c r="K52" s="122" t="n">
        <f aca="false">J52+K46</f>
        <v>0</v>
      </c>
      <c r="L52" s="122" t="n">
        <f aca="false">K52+L46</f>
        <v>0</v>
      </c>
      <c r="M52" s="122" t="n">
        <f aca="false">L52+M46</f>
        <v>0</v>
      </c>
      <c r="N52" s="122" t="n">
        <f aca="false">M52+N46</f>
        <v>0</v>
      </c>
      <c r="O52" s="122" t="n">
        <f aca="false">N52+O46</f>
        <v>0</v>
      </c>
      <c r="P52" s="123" t="n">
        <f aca="false">O52+P46</f>
        <v>0</v>
      </c>
      <c r="Q52" s="123" t="n">
        <f aca="false">P52+Q46</f>
        <v>0</v>
      </c>
      <c r="R52" s="123" t="n">
        <f aca="false">Q52+R46</f>
        <v>0</v>
      </c>
      <c r="S52" s="123" t="n">
        <f aca="false">R52+S46</f>
        <v>0</v>
      </c>
      <c r="T52" s="123" t="n">
        <f aca="false">S52+T46</f>
        <v>0</v>
      </c>
      <c r="U52" s="123" t="n">
        <f aca="false">T52+U46</f>
        <v>0</v>
      </c>
      <c r="V52" s="123" t="n">
        <f aca="false">U52+V46</f>
        <v>2068.39480779807</v>
      </c>
      <c r="W52" s="123" t="n">
        <f aca="false">V52+W46</f>
        <v>2656.80341341058</v>
      </c>
      <c r="X52" s="123" t="n">
        <f aca="false">W52+X46</f>
        <v>7312.36532414233</v>
      </c>
      <c r="Y52" s="123" t="n">
        <f aca="false">X52+Y46</f>
        <v>7816.54063809144</v>
      </c>
      <c r="Z52" s="123" t="n">
        <f aca="false">Y52+Z46</f>
        <v>12409.3509114993</v>
      </c>
      <c r="AA52" s="123" t="n">
        <f aca="false">Z52+AA46</f>
        <v>13040.7039297795</v>
      </c>
      <c r="AB52" s="123" t="n">
        <f aca="false">AA52+AB46</f>
        <v>19569.0542272815</v>
      </c>
      <c r="AC52" s="123" t="n">
        <f aca="false">AB52+AC46</f>
        <v>19569.0542272815</v>
      </c>
      <c r="AD52" s="123" t="n">
        <f aca="false">AC52+AD46</f>
        <v>19569.0542272815</v>
      </c>
      <c r="AE52" s="123" t="n">
        <f aca="false">AD52+AE46</f>
        <v>19569.0542272815</v>
      </c>
      <c r="AF52" s="123" t="n">
        <f aca="false">AE52+AF46</f>
        <v>19569.0542272815</v>
      </c>
      <c r="AG52" s="123" t="n">
        <f aca="false">AF52+AG46</f>
        <v>19569.0542272815</v>
      </c>
      <c r="AI52" s="123" t="n">
        <f aca="false">INDEX($F52:$AG52,1,MATCH(AI$7,$F$7:$AG$7,1))</f>
        <v>0</v>
      </c>
      <c r="AJ52" s="123" t="n">
        <f aca="false">INDEX($F52:$AG52,1,MATCH(AJ$7,$F$7:$AG$7,1))</f>
        <v>0</v>
      </c>
      <c r="AK52" s="123" t="n">
        <f aca="false">INDEX($F52:$AG52,1,MATCH(AK$7,$F$7:$AG$7,1))</f>
        <v>0</v>
      </c>
      <c r="AL52" s="123" t="n">
        <f aca="false">INDEX($F52:$AG52,1,MATCH(AL$7,$F$7:$AG$7,1))</f>
        <v>0</v>
      </c>
      <c r="AM52" s="123" t="n">
        <f aca="false">INDEX($F52:$AG52,1,MATCH(AM$7,$F$7:$AG$7,1))</f>
        <v>7816.54063809144</v>
      </c>
      <c r="AN52" s="123" t="n">
        <f aca="false">INDEX($F52:$AG52,1,MATCH(AN$7,$F$7:$AG$7,1))</f>
        <v>19569.0542272815</v>
      </c>
      <c r="AO52" s="123" t="n">
        <f aca="false">INDEX($F52:$AG52,1,MATCH(AO$7,$F$7:$AG$7,1))</f>
        <v>19569.0542272815</v>
      </c>
    </row>
    <row r="53" customFormat="false" ht="15" hidden="false" customHeight="false" outlineLevel="0" collapsed="false">
      <c r="A53" s="104" t="s">
        <v>2243</v>
      </c>
      <c r="B53" s="20" t="s">
        <v>561</v>
      </c>
      <c r="C53" s="20" t="s">
        <v>495</v>
      </c>
      <c r="D53" s="20"/>
      <c r="F53" s="122" t="n">
        <f aca="false">INDEX(CV_bal,1,1)+INDEX(Sec_Bal,1,1)+F52</f>
        <v>0</v>
      </c>
      <c r="G53" s="122" t="n">
        <f aca="false">INDEX(CV_bal,1,2)+INDEX(Sec_Bal,1,2)+G52</f>
        <v>0</v>
      </c>
      <c r="H53" s="122" t="n">
        <f aca="false">INDEX(CV_bal,1,3)+INDEX(Sec_Bal,1,3)+H52</f>
        <v>0</v>
      </c>
      <c r="I53" s="122" t="n">
        <f aca="false">INDEX(CV_bal,1,4)+INDEX(Sec_Bal,1,4)+I52</f>
        <v>0</v>
      </c>
      <c r="J53" s="122" t="n">
        <f aca="false">INDEX(CV_bal,1,5)+INDEX(Sec_Bal,1,5)+J52</f>
        <v>0</v>
      </c>
      <c r="K53" s="122" t="n">
        <f aca="false">INDEX(CV_bal,1,6)+INDEX(Sec_Bal,1,6)+K52</f>
        <v>978.144752529375</v>
      </c>
      <c r="L53" s="122" t="n">
        <f aca="false">INDEX(CV_bal,1,7)+INDEX(Sec_Bal,1,7)+L52</f>
        <v>4155.5572615681</v>
      </c>
      <c r="M53" s="122" t="n">
        <f aca="false">INDEX(CV_bal,1,8)+INDEX(Sec_Bal,1,8)+M52</f>
        <v>4187.61417855736</v>
      </c>
      <c r="N53" s="122" t="n">
        <f aca="false">INDEX(CV_bal,1,9)+INDEX(Sec_Bal,1,9)+N52</f>
        <v>8561.10885639054</v>
      </c>
      <c r="O53" s="122" t="n">
        <f aca="false">INDEX(CV_bal,1,10)+INDEX(Sec_Bal,1,10)+O52</f>
        <v>8631.15852692773</v>
      </c>
      <c r="P53" s="123" t="n">
        <f aca="false">INDEX(CV_bal,1,11)+INDEX(Sec_Bal,1,11)+P52</f>
        <v>13620.060210042</v>
      </c>
      <c r="Q53" s="123" t="n">
        <f aca="false">INDEX(CV_bal,1,12)+INDEX(Sec_Bal,1,12)+Q52</f>
        <v>13725.7196838144</v>
      </c>
      <c r="R53" s="123" t="n">
        <f aca="false">INDEX(CV_bal,1,13)+INDEX(Sec_Bal,1,13)+R52</f>
        <v>20253.1325541965</v>
      </c>
      <c r="S53" s="123" t="n">
        <f aca="false">INDEX(CV_bal,1,14)+INDEX(Sec_Bal,1,14)+S52</f>
        <v>20406.2786908491</v>
      </c>
      <c r="T53" s="123" t="n">
        <f aca="false">INDEX(CV_bal,1,15)+INDEX(Sec_Bal,1,15)+T52</f>
        <v>26986.1818491251</v>
      </c>
      <c r="U53" s="123" t="n">
        <f aca="false">INDEX(CV_bal,1,16)+INDEX(Sec_Bal,1,16)+U52</f>
        <v>27190.092121593</v>
      </c>
      <c r="V53" s="123" t="n">
        <f aca="false">INDEX(CV_bal,1,17)+INDEX(Sec_Bal,1,17)+V52</f>
        <v>29460.1807858538</v>
      </c>
      <c r="W53" s="123" t="n">
        <f aca="false">INDEX(CV_bal,1,18)+INDEX(Sec_Bal,1,18)+W52</f>
        <v>30250.2832479292</v>
      </c>
      <c r="X53" s="123" t="n">
        <f aca="false">INDEX(CV_bal,1,19)+INDEX(Sec_Bal,1,19)+X52</f>
        <v>35109.7554311288</v>
      </c>
      <c r="Y53" s="123" t="n">
        <f aca="false">INDEX(CV_bal,1,20)+INDEX(Sec_Bal,1,20)+Y52</f>
        <v>35817.8410175458</v>
      </c>
      <c r="Z53" s="123" t="n">
        <f aca="false">INDEX(CV_bal,1,21)+INDEX(Sec_Bal,1,21)+Z52</f>
        <v>40610.1287314114</v>
      </c>
      <c r="AA53" s="123" t="n">
        <f aca="false">INDEX(CV_bal,1,22)+INDEX(Sec_Bal,1,22)+AA52</f>
        <v>41337.3696385005</v>
      </c>
      <c r="AB53" s="123" t="n">
        <f aca="false">INDEX(CV_bal,1,23)+INDEX(Sec_Bal,1,23)+AB52</f>
        <v>48068.496864578</v>
      </c>
      <c r="AC53" s="123" t="n">
        <f aca="false">INDEX(CV_bal,1,24)+INDEX(Sec_Bal,1,24)+AC52</f>
        <v>48271.2737931534</v>
      </c>
      <c r="AD53" s="123" t="n">
        <f aca="false">INDEX(CV_bal,1,25)+INDEX(Sec_Bal,1,25)+AD52</f>
        <v>44662.6991759378</v>
      </c>
      <c r="AE53" s="123" t="n">
        <f aca="false">INDEX(CV_bal,1,26)+INDEX(Sec_Bal,1,26)+AE52</f>
        <v>44838.5709846469</v>
      </c>
      <c r="AF53" s="123" t="n">
        <f aca="false">INDEX(CV_bal,1,27)+INDEX(Sec_Bal,1,27)+AF52</f>
        <v>38957.8564074092</v>
      </c>
      <c r="AG53" s="123" t="n">
        <f aca="false">INDEX(CV_bal,1,28)+INDEX(Sec_Bal,1,28)+AG52</f>
        <v>39096.0457326845</v>
      </c>
      <c r="AI53" s="123" t="n">
        <f aca="false">INDEX($F53:$AG53,1,MATCH(AI$7,$F$7:$AG$7,1))</f>
        <v>0</v>
      </c>
      <c r="AJ53" s="123" t="n">
        <f aca="false">INDEX($F53:$AG53,1,MATCH(AJ$7,$F$7:$AG$7,1))</f>
        <v>4187.61417855736</v>
      </c>
      <c r="AK53" s="123" t="n">
        <f aca="false">INDEX($F53:$AG53,1,MATCH(AK$7,$F$7:$AG$7,1))</f>
        <v>13725.7196838144</v>
      </c>
      <c r="AL53" s="123" t="n">
        <f aca="false">INDEX($F53:$AG53,1,MATCH(AL$7,$F$7:$AG$7,1))</f>
        <v>27190.092121593</v>
      </c>
      <c r="AM53" s="123" t="n">
        <f aca="false">INDEX($F53:$AG53,1,MATCH(AM$7,$F$7:$AG$7,1))</f>
        <v>35817.8410175458</v>
      </c>
      <c r="AN53" s="123" t="n">
        <f aca="false">INDEX($F53:$AG53,1,MATCH(AN$7,$F$7:$AG$7,1))</f>
        <v>48271.2737931534</v>
      </c>
      <c r="AO53" s="123" t="n">
        <f aca="false">INDEX($F53:$AG53,1,MATCH(AO$7,$F$7:$AG$7,1))</f>
        <v>39096.0457326845</v>
      </c>
    </row>
    <row r="54" customFormat="false" ht="15" hidden="false" customHeight="false" outlineLevel="0" collapsed="false">
      <c r="A54" s="104" t="s">
        <v>2244</v>
      </c>
      <c r="B54" s="20" t="s">
        <v>561</v>
      </c>
      <c r="C54" s="20" t="s">
        <v>495</v>
      </c>
      <c r="D54" s="20"/>
      <c r="F54" s="122" t="n">
        <f aca="false">INDEX(CV_debt,1,1)+INDEX(Sec_Bal,1,1)+F52</f>
        <v>0</v>
      </c>
      <c r="G54" s="122" t="n">
        <f aca="false">INDEX(CV_debt,1,2)+INDEX(Sec_Bal,1,2)+G52</f>
        <v>0</v>
      </c>
      <c r="H54" s="122" t="n">
        <f aca="false">INDEX(CV_debt,1,3)+INDEX(Sec_Bal,1,3)+H52</f>
        <v>0</v>
      </c>
      <c r="I54" s="122" t="n">
        <f aca="false">INDEX(CV_debt,1,4)+INDEX(Sec_Bal,1,4)+I52</f>
        <v>0</v>
      </c>
      <c r="J54" s="122" t="n">
        <f aca="false">INDEX(CV_debt,1,5)+INDEX(Sec_Bal,1,5)+J52</f>
        <v>0</v>
      </c>
      <c r="K54" s="122" t="n">
        <f aca="false">INDEX(CV_debt,1,6)+INDEX(Sec_Bal,1,6)+K52</f>
        <v>978.144752529375</v>
      </c>
      <c r="L54" s="122" t="n">
        <f aca="false">INDEX(CV_debt,1,7)+INDEX(Sec_Bal,1,7)+L52</f>
        <v>4155.5572615681</v>
      </c>
      <c r="M54" s="122" t="n">
        <f aca="false">INDEX(CV_debt,1,8)+INDEX(Sec_Bal,1,8)+M52</f>
        <v>4187.61417855736</v>
      </c>
      <c r="N54" s="122" t="n">
        <f aca="false">INDEX(CV_debt,1,9)+INDEX(Sec_Bal,1,9)+N52</f>
        <v>8561.10885639054</v>
      </c>
      <c r="O54" s="122" t="n">
        <f aca="false">INDEX(CV_debt,1,10)+INDEX(Sec_Bal,1,10)+O52</f>
        <v>8631.15852692773</v>
      </c>
      <c r="P54" s="123" t="n">
        <f aca="false">INDEX(CV_debt,1,11)+INDEX(Sec_Bal,1,11)+P52</f>
        <v>13620.060210042</v>
      </c>
      <c r="Q54" s="123" t="n">
        <f aca="false">INDEX(CV_debt,1,12)+INDEX(Sec_Bal,1,12)+Q52</f>
        <v>13725.7196838144</v>
      </c>
      <c r="R54" s="123" t="n">
        <f aca="false">INDEX(CV_debt,1,13)+INDEX(Sec_Bal,1,13)+R52</f>
        <v>20253.1325541965</v>
      </c>
      <c r="S54" s="123" t="n">
        <f aca="false">INDEX(CV_debt,1,14)+INDEX(Sec_Bal,1,14)+S52</f>
        <v>20406.2786908491</v>
      </c>
      <c r="T54" s="123" t="n">
        <f aca="false">INDEX(CV_debt,1,15)+INDEX(Sec_Bal,1,15)+T52</f>
        <v>26986.1818491251</v>
      </c>
      <c r="U54" s="123" t="n">
        <f aca="false">INDEX(CV_debt,1,16)+INDEX(Sec_Bal,1,16)+U52</f>
        <v>27190.092121593</v>
      </c>
      <c r="V54" s="123" t="n">
        <f aca="false">INDEX(CV_debt,1,17)+INDEX(Sec_Bal,1,17)+V52</f>
        <v>29460.1807858538</v>
      </c>
      <c r="W54" s="123" t="n">
        <f aca="false">INDEX(CV_debt,1,18)+INDEX(Sec_Bal,1,18)+W52</f>
        <v>30250.2832479292</v>
      </c>
      <c r="X54" s="123" t="n">
        <f aca="false">INDEX(CV_debt,1,19)+INDEX(Sec_Bal,1,19)+X52</f>
        <v>35109.7554311288</v>
      </c>
      <c r="Y54" s="123" t="n">
        <f aca="false">INDEX(CV_debt,1,20)+INDEX(Sec_Bal,1,20)+Y52</f>
        <v>35817.8410175458</v>
      </c>
      <c r="Z54" s="123" t="n">
        <f aca="false">INDEX(CV_debt,1,21)+INDEX(Sec_Bal,1,21)+Z52</f>
        <v>40610.1287314114</v>
      </c>
      <c r="AA54" s="123" t="n">
        <f aca="false">INDEX(CV_debt,1,22)+INDEX(Sec_Bal,1,22)+AA52</f>
        <v>41337.3696385005</v>
      </c>
      <c r="AB54" s="123" t="n">
        <f aca="false">INDEX(CV_debt,1,23)+INDEX(Sec_Bal,1,23)+AB52</f>
        <v>48068.496864578</v>
      </c>
      <c r="AC54" s="123" t="n">
        <f aca="false">INDEX(CV_debt,1,24)+INDEX(Sec_Bal,1,24)+AC52</f>
        <v>48271.2737931534</v>
      </c>
      <c r="AD54" s="123" t="n">
        <f aca="false">INDEX(CV_debt,1,25)+INDEX(Sec_Bal,1,25)+AD52</f>
        <v>44662.6991759378</v>
      </c>
      <c r="AE54" s="123" t="n">
        <f aca="false">INDEX(CV_debt,1,26)+INDEX(Sec_Bal,1,26)+AE52</f>
        <v>44838.5709846469</v>
      </c>
      <c r="AF54" s="123" t="n">
        <f aca="false">INDEX(CV_debt,1,27)+INDEX(Sec_Bal,1,27)+AF52</f>
        <v>38957.8564074092</v>
      </c>
      <c r="AG54" s="123" t="n">
        <f aca="false">INDEX(CV_debt,1,28)+INDEX(Sec_Bal,1,28)+AG52</f>
        <v>39096.0457326845</v>
      </c>
      <c r="AI54" s="123" t="n">
        <f aca="false">INDEX($F54:$AG54,1,MATCH(AI$7,$F$7:$AG$7,1))</f>
        <v>0</v>
      </c>
      <c r="AJ54" s="123" t="n">
        <f aca="false">INDEX($F54:$AG54,1,MATCH(AJ$7,$F$7:$AG$7,1))</f>
        <v>4187.61417855736</v>
      </c>
      <c r="AK54" s="123" t="n">
        <f aca="false">INDEX($F54:$AG54,1,MATCH(AK$7,$F$7:$AG$7,1))</f>
        <v>13725.7196838144</v>
      </c>
      <c r="AL54" s="123" t="n">
        <f aca="false">INDEX($F54:$AG54,1,MATCH(AL$7,$F$7:$AG$7,1))</f>
        <v>27190.092121593</v>
      </c>
      <c r="AM54" s="123" t="n">
        <f aca="false">INDEX($F54:$AG54,1,MATCH(AM$7,$F$7:$AG$7,1))</f>
        <v>35817.8410175458</v>
      </c>
      <c r="AN54" s="123" t="n">
        <f aca="false">INDEX($F54:$AG54,1,MATCH(AN$7,$F$7:$AG$7,1))</f>
        <v>48271.2737931534</v>
      </c>
      <c r="AO54" s="123" t="n">
        <f aca="false">INDEX($F54:$AG54,1,MATCH(AO$7,$F$7:$AG$7,1))</f>
        <v>39096.0457326845</v>
      </c>
    </row>
    <row r="55" customFormat="false" ht="15" hidden="false" customHeight="false" outlineLevel="0" collapsed="false">
      <c r="A55" s="3" t="s">
        <v>2245</v>
      </c>
      <c r="B55" s="20" t="s">
        <v>561</v>
      </c>
      <c r="C55" s="20" t="s">
        <v>495</v>
      </c>
      <c r="D55" s="20"/>
      <c r="F55" s="124" t="n">
        <f aca="false">F54-F49</f>
        <v>-2288.2</v>
      </c>
      <c r="G55" s="124" t="n">
        <f aca="false">G54-G49</f>
        <v>-2288.2</v>
      </c>
      <c r="H55" s="124" t="n">
        <f aca="false">H54-H49</f>
        <v>-2288.2</v>
      </c>
      <c r="I55" s="124" t="n">
        <f aca="false">I54-I49</f>
        <v>-2434.7</v>
      </c>
      <c r="J55" s="124" t="n">
        <f aca="false">J54-J49</f>
        <v>-1447</v>
      </c>
      <c r="K55" s="124" t="n">
        <f aca="false">K54-K49</f>
        <v>-701.155247470625</v>
      </c>
      <c r="L55" s="124" t="n">
        <f aca="false">L54-L49</f>
        <v>-639.242738431901</v>
      </c>
      <c r="M55" s="124" t="n">
        <f aca="false">M54-M49</f>
        <v>509.514178557358</v>
      </c>
      <c r="N55" s="124" t="n">
        <f aca="false">N54-N49</f>
        <v>-737.091143609458</v>
      </c>
      <c r="O55" s="124" t="n">
        <f aca="false">O54-O49</f>
        <v>589.058526927729</v>
      </c>
      <c r="P55" s="96" t="n">
        <f aca="false">P54-P49</f>
        <v>2021.7601076938</v>
      </c>
      <c r="Q55" s="96" t="n">
        <f aca="false">Q54-Q49</f>
        <v>3106.34661759745</v>
      </c>
      <c r="R55" s="96" t="n">
        <f aca="false">R54-R49</f>
        <v>9319.79625595026</v>
      </c>
      <c r="S55" s="96" t="n">
        <f aca="false">S54-S49</f>
        <v>14960.8918431329</v>
      </c>
      <c r="T55" s="96" t="n">
        <f aca="false">T54-T49</f>
        <v>22209.8335411217</v>
      </c>
      <c r="U55" s="96" t="n">
        <f aca="false">U54-U49</f>
        <v>25186.8894378985</v>
      </c>
      <c r="V55" s="96" t="n">
        <f aca="false">V54-V49</f>
        <v>27460.1807858538</v>
      </c>
      <c r="W55" s="96" t="n">
        <f aca="false">W54-W49</f>
        <v>28250.2832479292</v>
      </c>
      <c r="X55" s="96" t="n">
        <f aca="false">X54-X49</f>
        <v>33109.7554311288</v>
      </c>
      <c r="Y55" s="96" t="n">
        <f aca="false">Y54-Y49</f>
        <v>33817.8410175458</v>
      </c>
      <c r="Z55" s="96" t="n">
        <f aca="false">Z54-Z49</f>
        <v>38610.1287314114</v>
      </c>
      <c r="AA55" s="96" t="n">
        <f aca="false">AA54-AA49</f>
        <v>39337.3696385005</v>
      </c>
      <c r="AB55" s="96" t="n">
        <f aca="false">AB54-AB49</f>
        <v>46068.496864578</v>
      </c>
      <c r="AC55" s="96" t="n">
        <f aca="false">AC54-AC49</f>
        <v>43015.1483718234</v>
      </c>
      <c r="AD55" s="96" t="n">
        <f aca="false">AD54-AD49</f>
        <v>39367.8982699138</v>
      </c>
      <c r="AE55" s="96" t="n">
        <f aca="false">AE54-AE49</f>
        <v>35125.8293036788</v>
      </c>
      <c r="AF55" s="96" t="n">
        <f aca="false">AF54-AF49</f>
        <v>29395.6387307104</v>
      </c>
      <c r="AG55" s="96" t="n">
        <f aca="false">AG54-AG49</f>
        <v>26222.2071419932</v>
      </c>
      <c r="AI55" s="96" t="n">
        <f aca="false">INDEX($F55:$AG55,1,MATCH(AI$7,$F$7:$AG$7,1))</f>
        <v>-2434.7</v>
      </c>
      <c r="AJ55" s="96" t="n">
        <f aca="false">INDEX($F55:$AG55,1,MATCH(AJ$7,$F$7:$AG$7,1))</f>
        <v>509.514178557358</v>
      </c>
      <c r="AK55" s="96" t="n">
        <f aca="false">INDEX($F55:$AG55,1,MATCH(AK$7,$F$7:$AG$7,1))</f>
        <v>3106.34661759745</v>
      </c>
      <c r="AL55" s="96" t="n">
        <f aca="false">INDEX($F55:$AG55,1,MATCH(AL$7,$F$7:$AG$7,1))</f>
        <v>25186.8894378985</v>
      </c>
      <c r="AM55" s="96" t="n">
        <f aca="false">INDEX($F55:$AG55,1,MATCH(AM$7,$F$7:$AG$7,1))</f>
        <v>33817.8410175458</v>
      </c>
      <c r="AN55" s="96" t="n">
        <f aca="false">INDEX($F55:$AG55,1,MATCH(AN$7,$F$7:$AG$7,1))</f>
        <v>43015.1483718234</v>
      </c>
      <c r="AO55" s="96" t="n">
        <f aca="false">INDEX($F55:$AG55,1,MATCH(AO$7,$F$7:$AG$7,1))</f>
        <v>26222.2071419932</v>
      </c>
    </row>
    <row r="57" customFormat="false" ht="15" hidden="false" customHeight="false" outlineLevel="0" collapsed="false">
      <c r="A57" s="53" t="s">
        <v>2246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</row>
    <row r="58" customFormat="false" ht="15" hidden="false" customHeight="false" outlineLevel="0" collapsed="false">
      <c r="A58" s="104" t="s">
        <v>2247</v>
      </c>
      <c r="B58" s="20" t="s">
        <v>561</v>
      </c>
      <c r="C58" s="20" t="s">
        <v>495</v>
      </c>
      <c r="D58" s="20" t="s">
        <v>951</v>
      </c>
      <c r="O58" s="109" t="n">
        <f aca="false">CS_Cash</f>
        <v>8042.1</v>
      </c>
    </row>
    <row r="59" customFormat="false" ht="15" hidden="false" customHeight="false" outlineLevel="0" collapsed="false">
      <c r="A59" s="104" t="s">
        <v>2248</v>
      </c>
      <c r="B59" s="20" t="s">
        <v>561</v>
      </c>
      <c r="C59" s="20" t="s">
        <v>495</v>
      </c>
      <c r="D59" s="20"/>
      <c r="P59" s="106" t="n">
        <f aca="false">AugGross</f>
        <v>5750</v>
      </c>
      <c r="Q59" s="106" t="n">
        <f aca="false">0</f>
        <v>0</v>
      </c>
      <c r="R59" s="106" t="n">
        <f aca="false">0</f>
        <v>0</v>
      </c>
      <c r="S59" s="106" t="n">
        <f aca="false">0</f>
        <v>0</v>
      </c>
      <c r="T59" s="106" t="n">
        <f aca="false">0</f>
        <v>0</v>
      </c>
      <c r="U59" s="106" t="n">
        <f aca="false">0</f>
        <v>0</v>
      </c>
      <c r="V59" s="106" t="n">
        <f aca="false">0</f>
        <v>0</v>
      </c>
      <c r="W59" s="106" t="n">
        <f aca="false">0</f>
        <v>0</v>
      </c>
      <c r="X59" s="106" t="n">
        <f aca="false">0</f>
        <v>0</v>
      </c>
      <c r="Y59" s="106" t="n">
        <f aca="false">0</f>
        <v>0</v>
      </c>
      <c r="Z59" s="106" t="n">
        <f aca="false">0</f>
        <v>0</v>
      </c>
      <c r="AA59" s="106" t="n">
        <f aca="false">0</f>
        <v>0</v>
      </c>
      <c r="AB59" s="106" t="n">
        <f aca="false">0</f>
        <v>0</v>
      </c>
      <c r="AC59" s="106" t="n">
        <f aca="false">0</f>
        <v>0</v>
      </c>
      <c r="AD59" s="106" t="n">
        <f aca="false">0</f>
        <v>0</v>
      </c>
      <c r="AE59" s="106" t="n">
        <f aca="false">0</f>
        <v>0</v>
      </c>
      <c r="AF59" s="106" t="n">
        <f aca="false">0</f>
        <v>0</v>
      </c>
      <c r="AG59" s="106" t="n">
        <f aca="false">0</f>
        <v>0</v>
      </c>
      <c r="AI59" s="106" t="n">
        <f aca="false">SUMIF($F$7:$AG$7,AI$7,$F59:$AG59)</f>
        <v>0</v>
      </c>
      <c r="AJ59" s="106" t="n">
        <f aca="false">SUMIF($F$7:$AG$7,AJ$7,$F59:$AG59)</f>
        <v>0</v>
      </c>
      <c r="AK59" s="106" t="n">
        <f aca="false">SUMIF($F$7:$AG$7,AK$7,$F59:$AG59)</f>
        <v>5750</v>
      </c>
      <c r="AL59" s="106" t="n">
        <f aca="false">SUMIF($F$7:$AG$7,AL$7,$F59:$AG59)</f>
        <v>0</v>
      </c>
      <c r="AM59" s="106" t="n">
        <f aca="false">SUMIF($F$7:$AG$7,AM$7,$F59:$AG59)</f>
        <v>0</v>
      </c>
      <c r="AN59" s="106" t="n">
        <f aca="false">SUMIF($F$7:$AG$7,AN$7,$F59:$AG59)</f>
        <v>0</v>
      </c>
      <c r="AO59" s="106" t="n">
        <f aca="false">SUMIF($F$7:$AG$7,AO$7,$F59:$AG59)</f>
        <v>0</v>
      </c>
    </row>
    <row r="60" customFormat="false" ht="15" hidden="false" customHeight="false" outlineLevel="0" collapsed="false">
      <c r="A60" s="104" t="s">
        <v>2249</v>
      </c>
      <c r="B60" s="20" t="s">
        <v>561</v>
      </c>
      <c r="C60" s="20" t="s">
        <v>495</v>
      </c>
      <c r="D60" s="20"/>
      <c r="P60" s="106" t="n">
        <f aca="false">SecAmt*LoanOn</f>
        <v>0</v>
      </c>
      <c r="Q60" s="106" t="n">
        <f aca="false">0</f>
        <v>0</v>
      </c>
      <c r="R60" s="106" t="n">
        <f aca="false">0</f>
        <v>0</v>
      </c>
      <c r="S60" s="106" t="n">
        <f aca="false">0</f>
        <v>0</v>
      </c>
      <c r="T60" s="106" t="n">
        <f aca="false">0</f>
        <v>0</v>
      </c>
      <c r="U60" s="106" t="n">
        <f aca="false">0</f>
        <v>0</v>
      </c>
      <c r="V60" s="106" t="n">
        <f aca="false">0</f>
        <v>0</v>
      </c>
      <c r="W60" s="106" t="n">
        <f aca="false">0</f>
        <v>0</v>
      </c>
      <c r="X60" s="106" t="n">
        <f aca="false">0</f>
        <v>0</v>
      </c>
      <c r="Y60" s="106" t="n">
        <f aca="false">0</f>
        <v>0</v>
      </c>
      <c r="Z60" s="106" t="n">
        <f aca="false">0</f>
        <v>0</v>
      </c>
      <c r="AA60" s="106" t="n">
        <f aca="false">0</f>
        <v>0</v>
      </c>
      <c r="AB60" s="106" t="n">
        <f aca="false">0</f>
        <v>0</v>
      </c>
      <c r="AC60" s="106" t="n">
        <f aca="false">0</f>
        <v>0</v>
      </c>
      <c r="AD60" s="106" t="n">
        <f aca="false">0</f>
        <v>0</v>
      </c>
      <c r="AE60" s="106" t="n">
        <f aca="false">0</f>
        <v>0</v>
      </c>
      <c r="AF60" s="106" t="n">
        <f aca="false">0</f>
        <v>0</v>
      </c>
      <c r="AG60" s="106" t="n">
        <f aca="false">0</f>
        <v>0</v>
      </c>
      <c r="AI60" s="106" t="n">
        <f aca="false">SUMIF($F$7:$AG$7,AI$7,$F60:$AG60)</f>
        <v>0</v>
      </c>
      <c r="AJ60" s="106" t="n">
        <f aca="false">SUMIF($F$7:$AG$7,AJ$7,$F60:$AG60)</f>
        <v>0</v>
      </c>
      <c r="AK60" s="106" t="n">
        <f aca="false">SUMIF($F$7:$AG$7,AK$7,$F60:$AG60)</f>
        <v>0</v>
      </c>
      <c r="AL60" s="106" t="n">
        <f aca="false">SUMIF($F$7:$AG$7,AL$7,$F60:$AG60)</f>
        <v>0</v>
      </c>
      <c r="AM60" s="106" t="n">
        <f aca="false">SUMIF($F$7:$AG$7,AM$7,$F60:$AG60)</f>
        <v>0</v>
      </c>
      <c r="AN60" s="106" t="n">
        <f aca="false">SUMIF($F$7:$AG$7,AN$7,$F60:$AG60)</f>
        <v>0</v>
      </c>
      <c r="AO60" s="106" t="n">
        <f aca="false">SUMIF($F$7:$AG$7,AO$7,$F60:$AG60)</f>
        <v>0</v>
      </c>
    </row>
    <row r="61" customFormat="false" ht="15" hidden="false" customHeight="false" outlineLevel="0" collapsed="false">
      <c r="A61" s="104" t="s">
        <v>2250</v>
      </c>
      <c r="B61" s="20" t="s">
        <v>561</v>
      </c>
      <c r="C61" s="20" t="s">
        <v>495</v>
      </c>
      <c r="D61" s="20"/>
      <c r="P61" s="106" t="n">
        <f aca="false">IF(FP_On=0,ATMOn*ATM_Rem*SharePx*(P$5=11),0)+INDEX(CF_ATM,1,11)</f>
        <v>0</v>
      </c>
      <c r="Q61" s="106" t="n">
        <f aca="false">IF(FP_On=0,ATMOn*ATM_Rem*SharePx*(Q$5=11),0)+INDEX(CF_ATM,1,12)</f>
        <v>2979.40180467</v>
      </c>
      <c r="R61" s="106" t="n">
        <f aca="false">IF(FP_On=0,ATMOn*ATM_Rem*SharePx*(R$5=11),0)+INDEX(CF_ATM,1,13)</f>
        <v>0</v>
      </c>
      <c r="S61" s="106" t="n">
        <f aca="false">IF(FP_On=0,ATMOn*ATM_Rem*SharePx*(S$5=11),0)+INDEX(CF_ATM,1,14)</f>
        <v>0</v>
      </c>
      <c r="T61" s="106" t="n">
        <f aca="false">IF(FP_On=0,ATMOn*ATM_Rem*SharePx*(T$5=11),0)+INDEX(CF_ATM,1,15)</f>
        <v>0</v>
      </c>
      <c r="U61" s="106" t="n">
        <f aca="false">IF(FP_On=0,ATMOn*ATM_Rem*SharePx*(U$5=11),0)+INDEX(CF_ATM,1,16)</f>
        <v>0</v>
      </c>
      <c r="V61" s="106" t="n">
        <f aca="false">IF(FP_On=0,ATMOn*ATM_Rem*SharePx*(V$5=11),0)+INDEX(CF_ATM,1,17)</f>
        <v>0</v>
      </c>
      <c r="W61" s="106" t="n">
        <f aca="false">IF(FP_On=0,ATMOn*ATM_Rem*SharePx*(W$5=11),0)+INDEX(CF_ATM,1,18)</f>
        <v>0</v>
      </c>
      <c r="X61" s="106" t="n">
        <f aca="false">IF(FP_On=0,ATMOn*ATM_Rem*SharePx*(X$5=11),0)+INDEX(CF_ATM,1,19)</f>
        <v>0</v>
      </c>
      <c r="Y61" s="106" t="n">
        <f aca="false">IF(FP_On=0,ATMOn*ATM_Rem*SharePx*(Y$5=11),0)+INDEX(CF_ATM,1,20)</f>
        <v>0</v>
      </c>
      <c r="Z61" s="106" t="n">
        <f aca="false">IF(FP_On=0,ATMOn*ATM_Rem*SharePx*(Z$5=11),0)+INDEX(CF_ATM,1,21)</f>
        <v>0</v>
      </c>
      <c r="AA61" s="106" t="n">
        <f aca="false">IF(FP_On=0,ATMOn*ATM_Rem*SharePx*(AA$5=11),0)+INDEX(CF_ATM,1,22)</f>
        <v>0</v>
      </c>
      <c r="AB61" s="106" t="n">
        <f aca="false">IF(FP_On=0,ATMOn*ATM_Rem*SharePx*(AB$5=11),0)+INDEX(CF_ATM,1,23)</f>
        <v>0</v>
      </c>
      <c r="AC61" s="106" t="n">
        <f aca="false">IF(FP_On=0,ATMOn*ATM_Rem*SharePx*(AC$5=11),0)+INDEX(CF_ATM,1,24)</f>
        <v>0</v>
      </c>
      <c r="AD61" s="106" t="n">
        <f aca="false">IF(FP_On=0,ATMOn*ATM_Rem*SharePx*(AD$5=11),0)+INDEX(CF_ATM,1,25)</f>
        <v>0</v>
      </c>
      <c r="AE61" s="106" t="n">
        <f aca="false">IF(FP_On=0,ATMOn*ATM_Rem*SharePx*(AE$5=11),0)+INDEX(CF_ATM,1,26)</f>
        <v>0</v>
      </c>
      <c r="AF61" s="106" t="n">
        <f aca="false">IF(FP_On=0,ATMOn*ATM_Rem*SharePx*(AF$5=11),0)+INDEX(CF_ATM,1,27)</f>
        <v>0</v>
      </c>
      <c r="AG61" s="106" t="n">
        <f aca="false">IF(FP_On=0,ATMOn*ATM_Rem*SharePx*(AG$5=11),0)+INDEX(CF_ATM,1,28)</f>
        <v>0</v>
      </c>
      <c r="AI61" s="106" t="n">
        <f aca="false">SUMIF($F$7:$AG$7,AI$7,$F61:$AG61)</f>
        <v>0</v>
      </c>
      <c r="AJ61" s="106" t="n">
        <f aca="false">SUMIF($F$7:$AG$7,AJ$7,$F61:$AG61)</f>
        <v>0</v>
      </c>
      <c r="AK61" s="106" t="n">
        <f aca="false">SUMIF($F$7:$AG$7,AK$7,$F61:$AG61)</f>
        <v>2979.40180467</v>
      </c>
      <c r="AL61" s="106" t="n">
        <f aca="false">SUMIF($F$7:$AG$7,AL$7,$F61:$AG61)</f>
        <v>0</v>
      </c>
      <c r="AM61" s="106" t="n">
        <f aca="false">SUMIF($F$7:$AG$7,AM$7,$F61:$AG61)</f>
        <v>0</v>
      </c>
      <c r="AN61" s="106" t="n">
        <f aca="false">SUMIF($F$7:$AG$7,AN$7,$F61:$AG61)</f>
        <v>0</v>
      </c>
      <c r="AO61" s="106" t="n">
        <f aca="false">SUMIF($F$7:$AG$7,AO$7,$F61:$AG61)</f>
        <v>0</v>
      </c>
    </row>
    <row r="62" customFormat="false" ht="15" hidden="false" customHeight="false" outlineLevel="0" collapsed="false">
      <c r="A62" s="104" t="s">
        <v>2251</v>
      </c>
      <c r="B62" s="20" t="s">
        <v>561</v>
      </c>
      <c r="C62" s="20" t="s">
        <v>495</v>
      </c>
      <c r="D62" s="20"/>
      <c r="P62" s="106" t="n">
        <f aca="false">INDEX(CF_FPConv,1,11)</f>
        <v>0</v>
      </c>
      <c r="Q62" s="106" t="n">
        <f aca="false">INDEX(CF_FPConv,1,12)</f>
        <v>0</v>
      </c>
      <c r="R62" s="106" t="n">
        <f aca="false">INDEX(CF_FPConv,1,13)</f>
        <v>6322.08695652174</v>
      </c>
      <c r="S62" s="106" t="n">
        <f aca="false">INDEX(CF_FPConv,1,14)</f>
        <v>0</v>
      </c>
      <c r="T62" s="106" t="n">
        <f aca="false">INDEX(CF_FPConv,1,15)</f>
        <v>6322.08695652174</v>
      </c>
      <c r="U62" s="106" t="n">
        <f aca="false">INDEX(CF_FPConv,1,16)</f>
        <v>0</v>
      </c>
      <c r="V62" s="106" t="n">
        <f aca="false">INDEX(CF_FPConv,1,17)</f>
        <v>0</v>
      </c>
      <c r="W62" s="106" t="n">
        <f aca="false">INDEX(CF_FPConv,1,18)</f>
        <v>0</v>
      </c>
      <c r="X62" s="106" t="n">
        <f aca="false">INDEX(CF_FPConv,1,19)</f>
        <v>0</v>
      </c>
      <c r="Y62" s="106" t="n">
        <f aca="false">INDEX(CF_FPConv,1,20)</f>
        <v>0</v>
      </c>
      <c r="Z62" s="106" t="n">
        <f aca="false">INDEX(CF_FPConv,1,21)</f>
        <v>0</v>
      </c>
      <c r="AA62" s="106" t="n">
        <f aca="false">INDEX(CF_FPConv,1,22)</f>
        <v>0</v>
      </c>
      <c r="AB62" s="106" t="n">
        <f aca="false">INDEX(CF_FPConv,1,23)</f>
        <v>0</v>
      </c>
      <c r="AC62" s="106" t="n">
        <f aca="false">INDEX(CF_FPConv,1,24)</f>
        <v>0</v>
      </c>
      <c r="AD62" s="106" t="n">
        <f aca="false">INDEX(CF_FPConv,1,25)</f>
        <v>0</v>
      </c>
      <c r="AE62" s="106" t="n">
        <f aca="false">INDEX(CF_FPConv,1,26)</f>
        <v>0</v>
      </c>
      <c r="AF62" s="106" t="n">
        <f aca="false">INDEX(CF_FPConv,1,27)</f>
        <v>0</v>
      </c>
      <c r="AG62" s="106" t="n">
        <f aca="false">INDEX(CF_FPConv,1,28)</f>
        <v>0</v>
      </c>
      <c r="AI62" s="106" t="n">
        <f aca="false">SUMIF($F$7:$AG$7,AI$7,$F62:$AG62)</f>
        <v>0</v>
      </c>
      <c r="AJ62" s="106" t="n">
        <f aca="false">SUMIF($F$7:$AG$7,AJ$7,$F62:$AG62)</f>
        <v>0</v>
      </c>
      <c r="AK62" s="106" t="n">
        <f aca="false">SUMIF($F$7:$AG$7,AK$7,$F62:$AG62)</f>
        <v>0</v>
      </c>
      <c r="AL62" s="106" t="n">
        <f aca="false">SUMIF($F$7:$AG$7,AL$7,$F62:$AG62)</f>
        <v>12644.1739130435</v>
      </c>
      <c r="AM62" s="106" t="n">
        <f aca="false">SUMIF($F$7:$AG$7,AM$7,$F62:$AG62)</f>
        <v>0</v>
      </c>
      <c r="AN62" s="106" t="n">
        <f aca="false">SUMIF($F$7:$AG$7,AN$7,$F62:$AG62)</f>
        <v>0</v>
      </c>
      <c r="AO62" s="106" t="n">
        <f aca="false">SUMIF($F$7:$AG$7,AO$7,$F62:$AG62)</f>
        <v>0</v>
      </c>
    </row>
    <row r="63" customFormat="false" ht="15" hidden="false" customHeight="false" outlineLevel="0" collapsed="false">
      <c r="A63" s="104" t="s">
        <v>2252</v>
      </c>
      <c r="B63" s="20" t="s">
        <v>561</v>
      </c>
      <c r="C63" s="20" t="s">
        <v>495</v>
      </c>
      <c r="D63" s="20"/>
      <c r="P63" s="106" t="n">
        <f aca="false">INDEX(CF_FCF,1,11)+INDEX(CF_PlugIntRow,1,11)</f>
        <v>-2123.79989765181</v>
      </c>
      <c r="Q63" s="106" t="n">
        <f aca="false">INDEX(CF_FCF,1,12)+INDEX(CF_PlugIntRow,1,12)</f>
        <v>-3958.32884080126</v>
      </c>
      <c r="R63" s="106" t="n">
        <f aca="false">INDEX(CF_FCF,1,13)+INDEX(CF_PlugIntRow,1,13)</f>
        <v>-6008.1237244924</v>
      </c>
      <c r="S63" s="106" t="n">
        <f aca="false">INDEX(CF_FCF,1,14)+INDEX(CF_PlugIntRow,1,14)</f>
        <v>-5487.94945053007</v>
      </c>
      <c r="T63" s="106" t="n">
        <f aca="false">INDEX(CF_FCF,1,15)+INDEX(CF_PlugIntRow,1,15)</f>
        <v>-6991.12549623457</v>
      </c>
      <c r="U63" s="106" t="n">
        <f aca="false">INDEX(CF_FCF,1,16)+INDEX(CF_PlugIntRow,1,16)</f>
        <v>-2773.1456243089</v>
      </c>
      <c r="V63" s="106" t="n">
        <f aca="false">INDEX(CF_FCF,1,17)+INDEX(CF_PlugIntRow,1,17)</f>
        <v>-4139.9922992906</v>
      </c>
      <c r="W63" s="106" t="n">
        <f aca="false">INDEX(CF_FCF,1,18)+INDEX(CF_PlugIntRow,1,18)</f>
        <v>-1140.62030208856</v>
      </c>
      <c r="X63" s="106" t="n">
        <f aca="false">INDEX(CF_FCF,1,19)+INDEX(CF_PlugIntRow,1,19)</f>
        <v>-9264.62976172881</v>
      </c>
      <c r="Y63" s="106" t="n">
        <f aca="false">INDEX(CF_FCF,1,20)+INDEX(CF_PlugIntRow,1,20)</f>
        <v>-880.384234725726</v>
      </c>
      <c r="Z63" s="106" t="n">
        <f aca="false">INDEX(CF_FCF,1,21)+INDEX(CF_PlugIntRow,1,21)</f>
        <v>-9048.83108564916</v>
      </c>
      <c r="AA63" s="106" t="n">
        <f aca="false">INDEX(CF_FCF,1,22)+INDEX(CF_PlugIntRow,1,22)</f>
        <v>-1045.54239560909</v>
      </c>
      <c r="AB63" s="106" t="n">
        <f aca="false">INDEX(CF_FCF,1,23)+INDEX(CF_PlugIntRow,1,23)</f>
        <v>-12828.4882762329</v>
      </c>
      <c r="AC63" s="106" t="n">
        <f aca="false">INDEX(CF_FCF,1,24)+INDEX(CF_PlugIntRow,1,24)</f>
        <v>3598.58387030741</v>
      </c>
      <c r="AD63" s="106" t="n">
        <f aca="false">INDEX(CF_FCF,1,25)+INDEX(CF_PlugIntRow,1,25)</f>
        <v>4176.13393367148</v>
      </c>
      <c r="AE63" s="106" t="n">
        <f aca="false">INDEX(CF_FCF,1,26)+INDEX(CF_PlugIntRow,1,26)</f>
        <v>4760.39922392145</v>
      </c>
      <c r="AF63" s="106" t="n">
        <f aca="false">INDEX(CF_FCF,1,27)+INDEX(CF_PlugIntRow,1,27)</f>
        <v>4415.93444470822</v>
      </c>
      <c r="AG63" s="106" t="n">
        <f aca="false">INDEX(CF_FCF,1,28)+INDEX(CF_PlugIntRow,1,28)</f>
        <v>3654.07936296987</v>
      </c>
      <c r="AI63" s="106" t="n">
        <f aca="false">SUMIF($F$7:$AG$7,AI$7,$F63:$AG63)</f>
        <v>0</v>
      </c>
      <c r="AJ63" s="106" t="n">
        <f aca="false">SUMIF($F$7:$AG$7,AJ$7,$F63:$AG63)</f>
        <v>0</v>
      </c>
      <c r="AK63" s="106" t="n">
        <f aca="false">SUMIF($F$7:$AG$7,AK$7,$F63:$AG63)</f>
        <v>-6082.12873845307</v>
      </c>
      <c r="AL63" s="106" t="n">
        <f aca="false">SUMIF($F$7:$AG$7,AL$7,$F63:$AG63)</f>
        <v>-21260.344295566</v>
      </c>
      <c r="AM63" s="106" t="n">
        <f aca="false">SUMIF($F$7:$AG$7,AM$7,$F63:$AG63)</f>
        <v>-15425.6265978337</v>
      </c>
      <c r="AN63" s="106" t="n">
        <f aca="false">SUMIF($F$7:$AG$7,AN$7,$F63:$AG63)</f>
        <v>-19324.2778871838</v>
      </c>
      <c r="AO63" s="106" t="n">
        <f aca="false">SUMIF($F$7:$AG$7,AO$7,$F63:$AG63)</f>
        <v>17006.546965271</v>
      </c>
    </row>
    <row r="64" customFormat="false" ht="15" hidden="false" customHeight="false" outlineLevel="0" collapsed="false">
      <c r="A64" s="104" t="s">
        <v>2253</v>
      </c>
      <c r="B64" s="20" t="s">
        <v>561</v>
      </c>
      <c r="C64" s="20" t="s">
        <v>495</v>
      </c>
      <c r="D64" s="20"/>
      <c r="P64" s="106" t="n">
        <f aca="false">0</f>
        <v>0</v>
      </c>
      <c r="Q64" s="106" t="n">
        <f aca="false">-INDEX(CV_rep,1,12)+MIN(0,INDEX(Sec_Flow,1,12))</f>
        <v>0</v>
      </c>
      <c r="R64" s="106" t="n">
        <f aca="false">-INDEX(CV_rep,1,13)+MIN(0,INDEX(Sec_Flow,1,13))</f>
        <v>0</v>
      </c>
      <c r="S64" s="106" t="n">
        <f aca="false">-INDEX(CV_rep,1,14)+MIN(0,INDEX(Sec_Flow,1,14))</f>
        <v>0</v>
      </c>
      <c r="T64" s="106" t="n">
        <f aca="false">-INDEX(CV_rep,1,15)+MIN(0,INDEX(Sec_Flow,1,15))</f>
        <v>0</v>
      </c>
      <c r="U64" s="106" t="n">
        <f aca="false">-INDEX(CV_rep,1,16)+MIN(0,INDEX(Sec_Flow,1,16))</f>
        <v>0</v>
      </c>
      <c r="V64" s="106" t="n">
        <f aca="false">-INDEX(CV_rep,1,17)+MIN(0,INDEX(Sec_Flow,1,17))</f>
        <v>0</v>
      </c>
      <c r="W64" s="106" t="n">
        <f aca="false">-INDEX(CV_rep,1,18)+MIN(0,INDEX(Sec_Flow,1,18))</f>
        <v>0</v>
      </c>
      <c r="X64" s="106" t="n">
        <f aca="false">-INDEX(CV_rep,1,19)+MIN(0,INDEX(Sec_Flow,1,19))</f>
        <v>0</v>
      </c>
      <c r="Y64" s="106" t="n">
        <f aca="false">-INDEX(CV_rep,1,20)+MIN(0,INDEX(Sec_Flow,1,20))</f>
        <v>0</v>
      </c>
      <c r="Z64" s="106" t="n">
        <f aca="false">-INDEX(CV_rep,1,21)+MIN(0,INDEX(Sec_Flow,1,21))</f>
        <v>0</v>
      </c>
      <c r="AA64" s="106" t="n">
        <f aca="false">-INDEX(CV_rep,1,22)+MIN(0,INDEX(Sec_Flow,1,22))</f>
        <v>0</v>
      </c>
      <c r="AB64" s="106" t="n">
        <f aca="false">-INDEX(CV_rep,1,23)+MIN(0,INDEX(Sec_Flow,1,23))</f>
        <v>0</v>
      </c>
      <c r="AC64" s="106" t="n">
        <f aca="false">-INDEX(CV_rep,1,24)+MIN(0,INDEX(Sec_Flow,1,24))</f>
        <v>0</v>
      </c>
      <c r="AD64" s="106" t="n">
        <f aca="false">-INDEX(CV_rep,1,25)+MIN(0,INDEX(Sec_Flow,1,25))</f>
        <v>-3795</v>
      </c>
      <c r="AE64" s="106" t="n">
        <f aca="false">-INDEX(CV_rep,1,26)+MIN(0,INDEX(Sec_Flow,1,26))</f>
        <v>0</v>
      </c>
      <c r="AF64" s="106" t="n">
        <f aca="false">-INDEX(CV_rep,1,27)+MIN(0,INDEX(Sec_Flow,1,27))</f>
        <v>-4224</v>
      </c>
      <c r="AG64" s="106" t="n">
        <f aca="false">-INDEX(CV_rep,1,28)+MIN(0,INDEX(Sec_Flow,1,28))</f>
        <v>-0</v>
      </c>
      <c r="AI64" s="106" t="n">
        <f aca="false">SUMIF($F$7:$AG$7,AI$7,$F64:$AG64)</f>
        <v>0</v>
      </c>
      <c r="AJ64" s="106" t="n">
        <f aca="false">SUMIF($F$7:$AG$7,AJ$7,$F64:$AG64)</f>
        <v>0</v>
      </c>
      <c r="AK64" s="106" t="n">
        <f aca="false">SUMIF($F$7:$AG$7,AK$7,$F64:$AG64)</f>
        <v>0</v>
      </c>
      <c r="AL64" s="106" t="n">
        <f aca="false">SUMIF($F$7:$AG$7,AL$7,$F64:$AG64)</f>
        <v>0</v>
      </c>
      <c r="AM64" s="106" t="n">
        <f aca="false">SUMIF($F$7:$AG$7,AM$7,$F64:$AG64)</f>
        <v>0</v>
      </c>
      <c r="AN64" s="106" t="n">
        <f aca="false">SUMIF($F$7:$AG$7,AN$7,$F64:$AG64)</f>
        <v>0</v>
      </c>
      <c r="AO64" s="106" t="n">
        <f aca="false">SUMIF($F$7:$AG$7,AO$7,$F64:$AG64)</f>
        <v>-8019</v>
      </c>
    </row>
    <row r="65" customFormat="false" ht="15" hidden="false" customHeight="false" outlineLevel="0" collapsed="false">
      <c r="A65" s="3" t="s">
        <v>2254</v>
      </c>
      <c r="B65" s="20" t="s">
        <v>561</v>
      </c>
      <c r="C65" s="20" t="s">
        <v>495</v>
      </c>
      <c r="D65" s="20"/>
      <c r="O65" s="111" t="n">
        <f aca="false">CS_Cash</f>
        <v>8042.1</v>
      </c>
      <c r="P65" s="112" t="n">
        <f aca="false">O65+P59+P60+P61+P62+P63+P64</f>
        <v>11668.3001023482</v>
      </c>
      <c r="Q65" s="112" t="n">
        <f aca="false">P65+Q59+Q60+Q61+Q62+Q63+Q64</f>
        <v>10689.3730662169</v>
      </c>
      <c r="R65" s="112" t="n">
        <f aca="false">Q65+R59+R60+R61+R62+R63+R64</f>
        <v>11003.3362982463</v>
      </c>
      <c r="S65" s="112" t="n">
        <f aca="false">R65+S59+S60+S61+S62+S63+S64</f>
        <v>5515.3868477162</v>
      </c>
      <c r="T65" s="112" t="n">
        <f aca="false">S65+T59+T60+T61+T62+T63+T64</f>
        <v>4846.34830800337</v>
      </c>
      <c r="U65" s="112" t="n">
        <f aca="false">T65+U59+U60+U61+U62+U63+U64</f>
        <v>2073.20268369447</v>
      </c>
      <c r="V65" s="112" t="n">
        <f aca="false">U65+V59+V60+V61+V62+V63+V64</f>
        <v>-2066.78961559614</v>
      </c>
      <c r="W65" s="112" t="n">
        <f aca="false">V65+W59+W60+W61+W62+W63+W64</f>
        <v>-3207.4099176847</v>
      </c>
      <c r="X65" s="112" t="n">
        <f aca="false">W65+X59+X60+X61+X62+X63+X64</f>
        <v>-12472.0396794135</v>
      </c>
      <c r="Y65" s="112" t="n">
        <f aca="false">X65+Y59+Y60+Y61+Y62+Y63+Y64</f>
        <v>-13352.4239141392</v>
      </c>
      <c r="Z65" s="112" t="n">
        <f aca="false">Y65+Z59+Z60+Z61+Z62+Z63+Z64</f>
        <v>-22401.2549997884</v>
      </c>
      <c r="AA65" s="112" t="n">
        <f aca="false">Z65+AA59+AA60+AA61+AA62+AA63+AA64</f>
        <v>-23446.7973953975</v>
      </c>
      <c r="AB65" s="112" t="n">
        <f aca="false">AA65+AB59+AB60+AB61+AB62+AB63+AB64</f>
        <v>-36275.2856716304</v>
      </c>
      <c r="AC65" s="112" t="n">
        <f aca="false">AB65+AC59+AC60+AC61+AC62+AC63+AC64</f>
        <v>-32676.701801323</v>
      </c>
      <c r="AD65" s="112" t="n">
        <f aca="false">AC65+AD59+AD60+AD61+AD62+AD63+AD64</f>
        <v>-32295.5678676515</v>
      </c>
      <c r="AE65" s="112" t="n">
        <f aca="false">AD65+AE59+AE60+AE61+AE62+AE63+AE64</f>
        <v>-27535.1686437301</v>
      </c>
      <c r="AF65" s="112" t="n">
        <f aca="false">AE65+AF59+AF60+AF61+AF62+AF63+AF64</f>
        <v>-27343.2341990218</v>
      </c>
      <c r="AG65" s="112" t="n">
        <f aca="false">AF65+AG59+AG60+AG61+AG62+AG63+AG64</f>
        <v>-23689.154836052</v>
      </c>
      <c r="AI65" s="112" t="n">
        <f aca="false">INDEX($F65:$AG65,1,MATCH(AI$7,$F$7:$AG$7,1))</f>
        <v>0</v>
      </c>
      <c r="AJ65" s="112" t="n">
        <f aca="false">INDEX($F65:$AG65,1,MATCH(AJ$7,$F$7:$AG$7,1))</f>
        <v>0</v>
      </c>
      <c r="AK65" s="112" t="n">
        <f aca="false">INDEX($F65:$AG65,1,MATCH(AK$7,$F$7:$AG$7,1))</f>
        <v>10689.3730662169</v>
      </c>
      <c r="AL65" s="112" t="n">
        <f aca="false">INDEX($F65:$AG65,1,MATCH(AL$7,$F$7:$AG$7,1))</f>
        <v>2073.20268369447</v>
      </c>
      <c r="AM65" s="112" t="n">
        <f aca="false">INDEX($F65:$AG65,1,MATCH(AM$7,$F$7:$AG$7,1))</f>
        <v>-13352.4239141392</v>
      </c>
      <c r="AN65" s="112" t="n">
        <f aca="false">INDEX($F65:$AG65,1,MATCH(AN$7,$F$7:$AG$7,1))</f>
        <v>-32676.701801323</v>
      </c>
      <c r="AO65" s="112" t="n">
        <f aca="false">INDEX($F65:$AG65,1,MATCH(AO$7,$F$7:$AG$7,1))</f>
        <v>-23689.154836052</v>
      </c>
    </row>
    <row r="66" customFormat="false" ht="15" hidden="false" customHeight="false" outlineLevel="0" collapsed="false">
      <c r="A66" s="0" t="s">
        <v>2255</v>
      </c>
      <c r="E66" s="5" t="n">
        <f aca="false">CS_Cash+AugGross+SecAmt*LoanOn+ATMOn*ATM_Rem*SharePx*(FP_On=0)</f>
        <v>13792.1</v>
      </c>
    </row>
    <row r="67" customFormat="false" ht="15" hidden="false" customHeight="false" outlineLevel="0" collapsed="false">
      <c r="A67" s="0" t="s">
        <v>9</v>
      </c>
      <c r="E67" s="4" t="str">
        <f aca="false">IFERROR(INDEX(Q_Lab,1,MATCH(TRUE(),INDEX($F$65:$AG$65&lt;0,0),0)),"none to Q4'30")</f>
        <v>Q1'28</v>
      </c>
    </row>
    <row r="68" customFormat="false" ht="15" hidden="false" customHeight="false" outlineLevel="0" collapsed="false">
      <c r="A68" s="0" t="s">
        <v>2256</v>
      </c>
      <c r="E68" s="29" t="n">
        <f aca="false">SUMPRODUCT((Q_Yr=2026)*(Q_Idx&gt;LastHist)*CF_Prepay)</f>
        <v>2484.29156989247</v>
      </c>
      <c r="F68" s="29" t="n">
        <f aca="false">Prepay26-(DR_Open-DR_YE25)</f>
        <v>4602.3</v>
      </c>
    </row>
    <row r="70" customFormat="false" ht="15" hidden="false" customHeight="false" outlineLevel="0" collapsed="false">
      <c r="A70" s="3" t="s">
        <v>2257</v>
      </c>
      <c r="E70" s="3" t="s">
        <v>2258</v>
      </c>
      <c r="F70" s="3" t="s">
        <v>2259</v>
      </c>
      <c r="G70" s="3" t="s">
        <v>2260</v>
      </c>
      <c r="H70" s="3" t="s">
        <v>2261</v>
      </c>
    </row>
    <row r="71" customFormat="false" ht="15" hidden="false" customHeight="false" outlineLevel="0" collapsed="false">
      <c r="A71" s="0" t="s">
        <v>308</v>
      </c>
      <c r="E71" s="23" t="n">
        <f aca="false">Liq_Start/1000</f>
        <v>13.7921</v>
      </c>
      <c r="F71" s="23" t="n">
        <f aca="false">INDEX(Liq,1,13)/1000</f>
        <v>11.0033362982463</v>
      </c>
      <c r="G71" s="23" t="n">
        <f aca="false">INDEX(Liq,1,14)/1000</f>
        <v>5.5153868477162</v>
      </c>
      <c r="H71" s="23" t="n">
        <f aca="false">INDEX(Liq,1,16)/1000</f>
        <v>2.07320268369447</v>
      </c>
    </row>
    <row r="72" customFormat="false" ht="15" hidden="false" customHeight="false" outlineLevel="0" collapsed="false">
      <c r="A72" s="0" t="s">
        <v>2262</v>
      </c>
      <c r="E72" s="23" t="n">
        <f aca="false">Sk_Start</f>
        <v>14.6</v>
      </c>
      <c r="F72" s="23" t="n">
        <f aca="false">Sk_Q127</f>
        <v>1.1</v>
      </c>
      <c r="G72" s="23" t="n">
        <f aca="false">Sk_Q227</f>
        <v>-2.7</v>
      </c>
      <c r="H72" s="23" t="n">
        <f aca="false">Sk_YE27</f>
        <v>-9.9</v>
      </c>
    </row>
    <row r="73" customFormat="false" ht="15" hidden="false" customHeight="false" outlineLevel="0" collapsed="false">
      <c r="A73" s="0" t="s">
        <v>2263</v>
      </c>
      <c r="E73" s="141" t="n">
        <f aca="false">E71-E72</f>
        <v>-0.8079</v>
      </c>
      <c r="F73" s="141" t="n">
        <f aca="false">F71-F72</f>
        <v>9.90333629824628</v>
      </c>
      <c r="G73" s="141" t="n">
        <f aca="false">G71-G72</f>
        <v>8.2153868477162</v>
      </c>
      <c r="H73" s="141" t="n">
        <f aca="false">H71-H72</f>
        <v>11.9732026836945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2191</v>
      </c>
    </row>
    <row r="2" customFormat="false" ht="15" hidden="false" customHeight="false" outlineLevel="0" collapsed="false">
      <c r="A2" s="20" t="s">
        <v>2264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9" customFormat="false" ht="15" hidden="false" customHeight="false" outlineLevel="0" collapsed="false">
      <c r="A9" s="104" t="s">
        <v>2265</v>
      </c>
      <c r="B9" s="20" t="s">
        <v>995</v>
      </c>
      <c r="C9" s="20" t="s">
        <v>550</v>
      </c>
      <c r="D9" s="20" t="s">
        <v>2266</v>
      </c>
      <c r="F9" s="137" t="n">
        <f aca="false">IF(F$5&lt;=LastHist,INDEX(H_Shares,1,F$5),E9*(1+SBCsh)+IF(F$5=ExchIdx,ExchShares,0)+IF(F$5=11,ATM_Q3,0)+IF(F$5=FP_ATMIdx,FP_ATMSh,0)+INDEX(CF_EqSh,1,1)+INDEX(CV_csh,1,1))</f>
        <v>199.34</v>
      </c>
      <c r="G9" s="137" t="n">
        <f aca="false">IF(G$5&lt;=LastHist,INDEX(H_Shares,1,G$5),F9*(1+SBCsh)+IF(G$5=ExchIdx,ExchShares,0)+IF(G$5=11,ATM_Q3,0)+IF(G$5=FP_ATMIdx,FP_ATMSh,0)+INDEX(CF_EqSh,1,2)+INDEX(CV_csh,1,2))</f>
        <v>199.34</v>
      </c>
      <c r="H9" s="137" t="n">
        <f aca="false">IF(H$5&lt;=LastHist,INDEX(H_Shares,1,H$5),G9*(1+SBCsh)+IF(H$5=ExchIdx,ExchShares,0)+IF(H$5=11,ATM_Q3,0)+IF(H$5=FP_ATMIdx,FP_ATMSh,0)+INDEX(CF_EqSh,1,3)+INDEX(CV_csh,1,3))</f>
        <v>199.340118</v>
      </c>
      <c r="I9" s="137" t="n">
        <f aca="false">IF(I$5&lt;=LastHist,INDEX(H_Shares,1,I$5),H9*(1+SBCsh)+IF(I$5=ExchIdx,ExchShares,0)+IF(I$5=11,ATM_Q3,0)+IF(I$5=FP_ATMIdx,FP_ATMSh,0)+INDEX(CF_EqSh,1,4)+INDEX(CV_csh,1,4))</f>
        <v>235.7536</v>
      </c>
      <c r="J9" s="137" t="n">
        <f aca="false">IF(J$5&lt;=LastHist,INDEX(H_Shares,1,J$5),I9*(1+SBCsh)+IF(J$5=ExchIdx,ExchShares,0)+IF(J$5=11,ATM_Q3,0)+IF(J$5=FP_ATMIdx,FP_ATMSh,0)+INDEX(CF_EqSh,1,5)+INDEX(CV_csh,1,5))</f>
        <v>238.108831</v>
      </c>
      <c r="K9" s="137" t="n">
        <f aca="false">IF(K$5&lt;=LastHist,INDEX(H_Shares,1,K$5),J9*(1+SBCsh)+IF(K$5=ExchIdx,ExchShares,0)+IF(K$5=11,ATM_Q3,0)+IF(K$5=FP_ATMIdx,FP_ATMSh,0)+INDEX(CF_EqSh,1,6)+INDEX(CV_csh,1,6))</f>
        <v>238.705092</v>
      </c>
      <c r="L9" s="137" t="n">
        <f aca="false">IF(L$5&lt;=LastHist,INDEX(H_Shares,1,L$5),K9*(1+SBCsh)+IF(L$5=ExchIdx,ExchShares,0)+IF(L$5=11,ATM_Q3,0)+IF(L$5=FP_ATMIdx,FP_ATMSh,0)+INDEX(CF_EqSh,1,7)+INDEX(CV_csh,1,7))</f>
        <v>251.807222</v>
      </c>
      <c r="M9" s="137" t="n">
        <f aca="false">IF(M$5&lt;=LastHist,INDEX(H_Shares,1,M$5),L9*(1+SBCsh)+IF(M$5=ExchIdx,ExchShares,0)+IF(M$5=11,ATM_Q3,0)+IF(M$5=FP_ATMIdx,FP_ATMSh,0)+INDEX(CF_EqSh,1,8)+INDEX(CV_csh,1,8))</f>
        <v>253.016971</v>
      </c>
      <c r="N9" s="137" t="n">
        <f aca="false">IF(N$5&lt;=LastHist,INDEX(H_Shares,1,N$5),M9*(1+SBCsh)+IF(N$5=ExchIdx,ExchShares,0)+IF(N$5=11,ATM_Q3,0)+IF(N$5=FP_ATMIdx,FP_ATMSh,0)+INDEX(CF_EqSh,1,9)+INDEX(CV_csh,1,9))</f>
        <v>253.898194</v>
      </c>
      <c r="O9" s="137" t="n">
        <f aca="false">IF(O$5&lt;=LastHist,INDEX(H_Shares,1,O$5),N9*(1+SBCsh)+IF(O$5=ExchIdx,ExchShares,0)+IF(O$5=11,ATM_Q3,0)+IF(O$5=FP_ATMIdx,FP_ATMSh,0)+INDEX(CF_EqSh,1,10)+INDEX(CV_csh,1,10))</f>
        <v>271.855218</v>
      </c>
      <c r="P9" s="42" t="n">
        <f aca="false">IF(P$5&lt;=LastHist,INDEX(H_Shares,1,P$5),O9*(1+SBCsh)+IF(P$5=ExchIdx,ExchShares,0)+IF(P$5=11,ATM_Q3,0)+IF(P$5=FP_ATMIdx,FP_ATMSh,0)+INDEX(CF_EqSh,1,11)+INDEX(CV_csh,1,11))</f>
        <v>287.625218</v>
      </c>
      <c r="Q9" s="42" t="n">
        <f aca="false">IF(Q$5&lt;=LastHist,INDEX(H_Shares,1,Q$5),P9*(1+SBCsh)+IF(Q$5=ExchIdx,ExchShares,0)+IF(Q$5=11,ATM_Q3,0)+IF(Q$5=FP_ATMIdx,FP_ATMSh,0)+INDEX(CF_EqSh,1,12)+INDEX(CV_csh,1,12))</f>
        <v>299.895725</v>
      </c>
      <c r="R9" s="42" t="n">
        <f aca="false">IF(R$5&lt;=LastHist,INDEX(H_Shares,1,R$5),Q9*(1+SBCsh)+IF(R$5=ExchIdx,ExchShares,0)+IF(R$5=11,ATM_Q3,0)+IF(R$5=FP_ATMIdx,FP_ATMSh,0)+INDEX(CF_EqSh,1,13)+INDEX(CV_csh,1,13))</f>
        <v>299.895725</v>
      </c>
      <c r="S9" s="42" t="n">
        <f aca="false">IF(S$5&lt;=LastHist,INDEX(H_Shares,1,S$5),R9*(1+SBCsh)+IF(S$5=ExchIdx,ExchShares,0)+IF(S$5=11,ATM_Q3,0)+IF(S$5=FP_ATMIdx,FP_ATMSh,0)+INDEX(CF_EqSh,1,14)+INDEX(CV_csh,1,14))</f>
        <v>299.895725</v>
      </c>
      <c r="T9" s="42" t="n">
        <f aca="false">IF(T$5&lt;=LastHist,INDEX(H_Shares,1,T$5),S9*(1+SBCsh)+IF(T$5=ExchIdx,ExchShares,0)+IF(T$5=11,ATM_Q3,0)+IF(T$5=FP_ATMIdx,FP_ATMSh,0)+INDEX(CF_EqSh,1,15)+INDEX(CV_csh,1,15))</f>
        <v>299.895725</v>
      </c>
      <c r="U9" s="42" t="n">
        <f aca="false">IF(U$5&lt;=LastHist,INDEX(H_Shares,1,U$5),T9*(1+SBCsh)+IF(U$5=ExchIdx,ExchShares,0)+IF(U$5=11,ATM_Q3,0)+IF(U$5=FP_ATMIdx,FP_ATMSh,0)+INDEX(CF_EqSh,1,16)+INDEX(CV_csh,1,16))</f>
        <v>299.895725</v>
      </c>
      <c r="V9" s="42" t="n">
        <f aca="false">IF(V$5&lt;=LastHist,INDEX(H_Shares,1,V$5),U9*(1+SBCsh)+IF(V$5=ExchIdx,ExchShares,0)+IF(V$5=11,ATM_Q3,0)+IF(V$5=FP_ATMIdx,FP_ATMSh,0)+INDEX(CF_EqSh,1,17)+INDEX(CV_csh,1,17))</f>
        <v>308.6777594353</v>
      </c>
      <c r="W9" s="42" t="n">
        <f aca="false">IF(W$5&lt;=LastHist,INDEX(H_Shares,1,W$5),V9*(1+SBCsh)+IF(W$5=ExchIdx,ExchShares,0)+IF(W$5=11,ATM_Q3,0)+IF(W$5=FP_ATMIdx,FP_ATMSh,0)+INDEX(CF_EqSh,1,18)+INDEX(CV_csh,1,18))</f>
        <v>311.176037141777</v>
      </c>
      <c r="X9" s="42" t="n">
        <f aca="false">IF(X$5&lt;=LastHist,INDEX(H_Shares,1,X$5),W9*(1+SBCsh)+IF(X$5=ExchIdx,ExchShares,0)+IF(X$5=11,ATM_Q3,0)+IF(X$5=FP_ATMIdx,FP_ATMSh,0)+INDEX(CF_EqSh,1,19)+INDEX(CV_csh,1,19))</f>
        <v>330.942720398559</v>
      </c>
      <c r="Y9" s="42" t="n">
        <f aca="false">IF(Y$5&lt;=LastHist,INDEX(H_Shares,1,Y$5),X9*(1+SBCsh)+IF(Y$5=ExchIdx,ExchShares,0)+IF(Y$5=11,ATM_Q3,0)+IF(Y$5=FP_ATMIdx,FP_ATMSh,0)+INDEX(CF_EqSh,1,20)+INDEX(CV_csh,1,20))</f>
        <v>333.083358613196</v>
      </c>
      <c r="Z9" s="42" t="n">
        <f aca="false">IF(Z$5&lt;=LastHist,INDEX(H_Shares,1,Z$5),Y9*(1+SBCsh)+IF(Z$5=ExchIdx,ExchShares,0)+IF(Z$5=11,ATM_Q3,0)+IF(Z$5=FP_ATMIdx,FP_ATMSh,0)+INDEX(CF_EqSh,1,21)+INDEX(CV_csh,1,21))</f>
        <v>352.583609640612</v>
      </c>
      <c r="AA9" s="42" t="n">
        <f aca="false">IF(AA$5&lt;=LastHist,INDEX(H_Shares,1,AA$5),Z9*(1+SBCsh)+IF(AA$5=ExchIdx,ExchShares,0)+IF(AA$5=11,ATM_Q3,0)+IF(AA$5=FP_ATMIdx,FP_ATMSh,0)+INDEX(CF_EqSh,1,22)+INDEX(CV_csh,1,22))</f>
        <v>356.964897892954</v>
      </c>
      <c r="AB9" s="42" t="n">
        <f aca="false">IF(AB$5&lt;=LastHist,INDEX(H_Shares,1,AB$5),AA9*(1+SBCsh)+IF(AB$5=ExchIdx,ExchShares,0)+IF(AB$5=11,ATM_Q3,0)+IF(AB$5=FP_ATMIdx,FP_ATMSh,0)+INDEX(CF_EqSh,1,23)+INDEX(CV_csh,1,23))</f>
        <v>384.683105704255</v>
      </c>
      <c r="AC9" s="42" t="n">
        <f aca="false">IF(AC$5&lt;=LastHist,INDEX(H_Shares,1,AC$5),AB9*(1+SBCsh)+IF(AC$5=ExchIdx,ExchShares,0)+IF(AC$5=11,ATM_Q3,0)+IF(AC$5=FP_ATMIdx,FP_ATMSh,0)+INDEX(CF_EqSh,1,24)+INDEX(CV_csh,1,24))</f>
        <v>384.683105704255</v>
      </c>
      <c r="AD9" s="42" t="n">
        <f aca="false">IF(AD$5&lt;=LastHist,INDEX(H_Shares,1,AD$5),AC9*(1+SBCsh)+IF(AD$5=ExchIdx,ExchShares,0)+IF(AD$5=11,ATM_Q3,0)+IF(AD$5=FP_ATMIdx,FP_ATMSh,0)+INDEX(CF_EqSh,1,25)+INDEX(CV_csh,1,25))</f>
        <v>384.683105704255</v>
      </c>
      <c r="AE9" s="42" t="n">
        <f aca="false">IF(AE$5&lt;=LastHist,INDEX(H_Shares,1,AE$5),AD9*(1+SBCsh)+IF(AE$5=ExchIdx,ExchShares,0)+IF(AE$5=11,ATM_Q3,0)+IF(AE$5=FP_ATMIdx,FP_ATMSh,0)+INDEX(CF_EqSh,1,26)+INDEX(CV_csh,1,26))</f>
        <v>384.683105704255</v>
      </c>
      <c r="AF9" s="42" t="n">
        <f aca="false">IF(AF$5&lt;=LastHist,INDEX(H_Shares,1,AF$5),AE9*(1+SBCsh)+IF(AF$5=ExchIdx,ExchShares,0)+IF(AF$5=11,ATM_Q3,0)+IF(AF$5=FP_ATMIdx,FP_ATMSh,0)+INDEX(CF_EqSh,1,27)+INDEX(CV_csh,1,27))</f>
        <v>396.079490704255</v>
      </c>
      <c r="AG9" s="42" t="n">
        <f aca="false">IF(AG$5&lt;=LastHist,INDEX(H_Shares,1,AG$5),AF9*(1+SBCsh)+IF(AG$5=ExchIdx,ExchShares,0)+IF(AG$5=11,ATM_Q3,0)+IF(AG$5=FP_ATMIdx,FP_ATMSh,0)+INDEX(CF_EqSh,1,28)+INDEX(CV_csh,1,28))</f>
        <v>396.079490704255</v>
      </c>
      <c r="AI9" s="42" t="n">
        <f aca="false">INDEX($F9:$AG9,1,MATCH(AI$7,$F$7:$AG$7,1))</f>
        <v>235.7536</v>
      </c>
      <c r="AJ9" s="42" t="n">
        <f aca="false">INDEX($F9:$AG9,1,MATCH(AJ$7,$F$7:$AG$7,1))</f>
        <v>253.016971</v>
      </c>
      <c r="AK9" s="42" t="n">
        <f aca="false">INDEX($F9:$AG9,1,MATCH(AK$7,$F$7:$AG$7,1))</f>
        <v>299.895725</v>
      </c>
      <c r="AL9" s="42" t="n">
        <f aca="false">INDEX($F9:$AG9,1,MATCH(AL$7,$F$7:$AG$7,1))</f>
        <v>299.895725</v>
      </c>
      <c r="AM9" s="42" t="n">
        <f aca="false">INDEX($F9:$AG9,1,MATCH(AM$7,$F$7:$AG$7,1))</f>
        <v>333.083358613196</v>
      </c>
      <c r="AN9" s="42" t="n">
        <f aca="false">INDEX($F9:$AG9,1,MATCH(AN$7,$F$7:$AG$7,1))</f>
        <v>384.683105704255</v>
      </c>
      <c r="AO9" s="42" t="n">
        <f aca="false">INDEX($F9:$AG9,1,MATCH(AO$7,$F$7:$AG$7,1))</f>
        <v>396.079490704255</v>
      </c>
    </row>
    <row r="10" customFormat="false" ht="15" hidden="false" customHeight="false" outlineLevel="0" collapsed="false">
      <c r="A10" s="104" t="s">
        <v>1004</v>
      </c>
      <c r="B10" s="20" t="s">
        <v>995</v>
      </c>
      <c r="C10" s="20" t="s">
        <v>550</v>
      </c>
      <c r="D10" s="20"/>
      <c r="F10" s="137" t="n">
        <f aca="false">IF(F$5&gt;=NVDA_Idx,NVDA_W,0)</f>
        <v>0</v>
      </c>
      <c r="G10" s="137" t="n">
        <f aca="false">IF(G$5&gt;=NVDA_Idx,NVDA_W,0)</f>
        <v>0</v>
      </c>
      <c r="H10" s="137" t="n">
        <f aca="false">IF(H$5&gt;=NVDA_Idx,NVDA_W,0)</f>
        <v>0</v>
      </c>
      <c r="I10" s="137" t="n">
        <f aca="false">IF(I$5&gt;=NVDA_Idx,NVDA_W,0)</f>
        <v>0</v>
      </c>
      <c r="J10" s="137" t="n">
        <f aca="false">IF(J$5&gt;=NVDA_Idx,NVDA_W,0)</f>
        <v>0</v>
      </c>
      <c r="K10" s="137" t="n">
        <f aca="false">IF(K$5&gt;=NVDA_Idx,NVDA_W,0)</f>
        <v>0</v>
      </c>
      <c r="L10" s="137" t="n">
        <f aca="false">IF(L$5&gt;=NVDA_Idx,NVDA_W,0)</f>
        <v>0</v>
      </c>
      <c r="M10" s="137" t="n">
        <f aca="false">IF(M$5&gt;=NVDA_Idx,NVDA_W,0)</f>
        <v>0</v>
      </c>
      <c r="N10" s="137" t="n">
        <f aca="false">IF(N$5&gt;=NVDA_Idx,NVDA_W,0)</f>
        <v>21.065936</v>
      </c>
      <c r="O10" s="137" t="n">
        <f aca="false">IF(O$5&gt;=NVDA_Idx,NVDA_W,0)</f>
        <v>21.065936</v>
      </c>
      <c r="P10" s="42" t="n">
        <f aca="false">IF(P$5&gt;=NVDA_Idx,NVDA_W,0)</f>
        <v>21.065936</v>
      </c>
      <c r="Q10" s="42" t="n">
        <f aca="false">IF(Q$5&gt;=NVDA_Idx,NVDA_W,0)</f>
        <v>21.065936</v>
      </c>
      <c r="R10" s="42" t="n">
        <f aca="false">IF(R$5&gt;=NVDA_Idx,NVDA_W,0)</f>
        <v>21.065936</v>
      </c>
      <c r="S10" s="42" t="n">
        <f aca="false">IF(S$5&gt;=NVDA_Idx,NVDA_W,0)</f>
        <v>21.065936</v>
      </c>
      <c r="T10" s="42" t="n">
        <f aca="false">IF(T$5&gt;=NVDA_Idx,NVDA_W,0)</f>
        <v>21.065936</v>
      </c>
      <c r="U10" s="42" t="n">
        <f aca="false">IF(U$5&gt;=NVDA_Idx,NVDA_W,0)</f>
        <v>21.065936</v>
      </c>
      <c r="V10" s="42" t="n">
        <f aca="false">IF(V$5&gt;=NVDA_Idx,NVDA_W,0)</f>
        <v>21.065936</v>
      </c>
      <c r="W10" s="42" t="n">
        <f aca="false">IF(W$5&gt;=NVDA_Idx,NVDA_W,0)</f>
        <v>21.065936</v>
      </c>
      <c r="X10" s="42" t="n">
        <f aca="false">IF(X$5&gt;=NVDA_Idx,NVDA_W,0)</f>
        <v>21.065936</v>
      </c>
      <c r="Y10" s="42" t="n">
        <f aca="false">IF(Y$5&gt;=NVDA_Idx,NVDA_W,0)</f>
        <v>21.065936</v>
      </c>
      <c r="Z10" s="42" t="n">
        <f aca="false">IF(Z$5&gt;=NVDA_Idx,NVDA_W,0)</f>
        <v>21.065936</v>
      </c>
      <c r="AA10" s="42" t="n">
        <f aca="false">IF(AA$5&gt;=NVDA_Idx,NVDA_W,0)</f>
        <v>21.065936</v>
      </c>
      <c r="AB10" s="42" t="n">
        <f aca="false">IF(AB$5&gt;=NVDA_Idx,NVDA_W,0)</f>
        <v>21.065936</v>
      </c>
      <c r="AC10" s="42" t="n">
        <f aca="false">IF(AC$5&gt;=NVDA_Idx,NVDA_W,0)</f>
        <v>21.065936</v>
      </c>
      <c r="AD10" s="42" t="n">
        <f aca="false">IF(AD$5&gt;=NVDA_Idx,NVDA_W,0)</f>
        <v>21.065936</v>
      </c>
      <c r="AE10" s="42" t="n">
        <f aca="false">IF(AE$5&gt;=NVDA_Idx,NVDA_W,0)</f>
        <v>21.065936</v>
      </c>
      <c r="AF10" s="42" t="n">
        <f aca="false">IF(AF$5&gt;=NVDA_Idx,NVDA_W,0)</f>
        <v>21.065936</v>
      </c>
      <c r="AG10" s="42" t="n">
        <f aca="false">IF(AG$5&gt;=NVDA_Idx,NVDA_W,0)</f>
        <v>21.065936</v>
      </c>
      <c r="AI10" s="42" t="n">
        <f aca="false">INDEX($F10:$AG10,1,MATCH(AI$7,$F$7:$AG$7,1))</f>
        <v>0</v>
      </c>
      <c r="AJ10" s="42" t="n">
        <f aca="false">INDEX($F10:$AG10,1,MATCH(AJ$7,$F$7:$AG$7,1))</f>
        <v>0</v>
      </c>
      <c r="AK10" s="42" t="n">
        <f aca="false">INDEX($F10:$AG10,1,MATCH(AK$7,$F$7:$AG$7,1))</f>
        <v>21.065936</v>
      </c>
      <c r="AL10" s="42" t="n">
        <f aca="false">INDEX($F10:$AG10,1,MATCH(AL$7,$F$7:$AG$7,1))</f>
        <v>21.065936</v>
      </c>
      <c r="AM10" s="42" t="n">
        <f aca="false">INDEX($F10:$AG10,1,MATCH(AM$7,$F$7:$AG$7,1))</f>
        <v>21.065936</v>
      </c>
      <c r="AN10" s="42" t="n">
        <f aca="false">INDEX($F10:$AG10,1,MATCH(AN$7,$F$7:$AG$7,1))</f>
        <v>21.065936</v>
      </c>
      <c r="AO10" s="42" t="n">
        <f aca="false">INDEX($F10:$AG10,1,MATCH(AO$7,$F$7:$AG$7,1))</f>
        <v>21.065936</v>
      </c>
    </row>
    <row r="11" customFormat="false" ht="15" hidden="false" customHeight="false" outlineLevel="0" collapsed="false">
      <c r="A11" s="3" t="s">
        <v>2267</v>
      </c>
      <c r="B11" s="20" t="s">
        <v>995</v>
      </c>
      <c r="C11" s="20" t="s">
        <v>495</v>
      </c>
      <c r="D11" s="20"/>
      <c r="F11" s="138" t="n">
        <f aca="false">F9+F10</f>
        <v>199.34</v>
      </c>
      <c r="G11" s="138" t="n">
        <f aca="false">G9+G10</f>
        <v>199.34</v>
      </c>
      <c r="H11" s="138" t="n">
        <f aca="false">H9+H10</f>
        <v>199.340118</v>
      </c>
      <c r="I11" s="138" t="n">
        <f aca="false">I9+I10</f>
        <v>235.7536</v>
      </c>
      <c r="J11" s="138" t="n">
        <f aca="false">J9+J10</f>
        <v>238.108831</v>
      </c>
      <c r="K11" s="138" t="n">
        <f aca="false">K9+K10</f>
        <v>238.705092</v>
      </c>
      <c r="L11" s="138" t="n">
        <f aca="false">L9+L10</f>
        <v>251.807222</v>
      </c>
      <c r="M11" s="138" t="n">
        <f aca="false">M9+M10</f>
        <v>253.016971</v>
      </c>
      <c r="N11" s="138" t="n">
        <f aca="false">N9+N10</f>
        <v>274.96413</v>
      </c>
      <c r="O11" s="138" t="n">
        <f aca="false">O9+O10</f>
        <v>292.921154</v>
      </c>
      <c r="P11" s="59" t="n">
        <f aca="false">P9+P10</f>
        <v>308.691154</v>
      </c>
      <c r="Q11" s="59" t="n">
        <f aca="false">Q9+Q10</f>
        <v>320.961661</v>
      </c>
      <c r="R11" s="59" t="n">
        <f aca="false">R9+R10</f>
        <v>320.961661</v>
      </c>
      <c r="S11" s="59" t="n">
        <f aca="false">S9+S10</f>
        <v>320.961661</v>
      </c>
      <c r="T11" s="59" t="n">
        <f aca="false">T9+T10</f>
        <v>320.961661</v>
      </c>
      <c r="U11" s="59" t="n">
        <f aca="false">U9+U10</f>
        <v>320.961661</v>
      </c>
      <c r="V11" s="59" t="n">
        <f aca="false">V9+V10</f>
        <v>329.7436954353</v>
      </c>
      <c r="W11" s="59" t="n">
        <f aca="false">W9+W10</f>
        <v>332.241973141777</v>
      </c>
      <c r="X11" s="59" t="n">
        <f aca="false">X9+X10</f>
        <v>352.008656398559</v>
      </c>
      <c r="Y11" s="59" t="n">
        <f aca="false">Y9+Y10</f>
        <v>354.149294613196</v>
      </c>
      <c r="Z11" s="59" t="n">
        <f aca="false">Z9+Z10</f>
        <v>373.649545640612</v>
      </c>
      <c r="AA11" s="59" t="n">
        <f aca="false">AA9+AA10</f>
        <v>378.030833892954</v>
      </c>
      <c r="AB11" s="59" t="n">
        <f aca="false">AB9+AB10</f>
        <v>405.749041704255</v>
      </c>
      <c r="AC11" s="59" t="n">
        <f aca="false">AC9+AC10</f>
        <v>405.749041704255</v>
      </c>
      <c r="AD11" s="59" t="n">
        <f aca="false">AD9+AD10</f>
        <v>405.749041704255</v>
      </c>
      <c r="AE11" s="59" t="n">
        <f aca="false">AE9+AE10</f>
        <v>405.749041704255</v>
      </c>
      <c r="AF11" s="59" t="n">
        <f aca="false">AF9+AF10</f>
        <v>417.145426704255</v>
      </c>
      <c r="AG11" s="59" t="n">
        <f aca="false">AG9+AG10</f>
        <v>417.145426704255</v>
      </c>
      <c r="AI11" s="59" t="n">
        <f aca="false">INDEX($F11:$AG11,1,MATCH(AI$7,$F$7:$AG$7,1))</f>
        <v>235.7536</v>
      </c>
      <c r="AJ11" s="59" t="n">
        <f aca="false">INDEX($F11:$AG11,1,MATCH(AJ$7,$F$7:$AG$7,1))</f>
        <v>253.016971</v>
      </c>
      <c r="AK11" s="59" t="n">
        <f aca="false">INDEX($F11:$AG11,1,MATCH(AK$7,$F$7:$AG$7,1))</f>
        <v>320.961661</v>
      </c>
      <c r="AL11" s="59" t="n">
        <f aca="false">INDEX($F11:$AG11,1,MATCH(AL$7,$F$7:$AG$7,1))</f>
        <v>320.961661</v>
      </c>
      <c r="AM11" s="59" t="n">
        <f aca="false">INDEX($F11:$AG11,1,MATCH(AM$7,$F$7:$AG$7,1))</f>
        <v>354.149294613196</v>
      </c>
      <c r="AN11" s="59" t="n">
        <f aca="false">INDEX($F11:$AG11,1,MATCH(AN$7,$F$7:$AG$7,1))</f>
        <v>405.749041704255</v>
      </c>
      <c r="AO11" s="59" t="n">
        <f aca="false">INDEX($F11:$AG11,1,MATCH(AO$7,$F$7:$AG$7,1))</f>
        <v>417.145426704255</v>
      </c>
    </row>
    <row r="12" customFormat="false" ht="15" hidden="false" customHeight="false" outlineLevel="0" collapsed="false">
      <c r="A12" s="104" t="s">
        <v>2268</v>
      </c>
      <c r="B12" s="20" t="s">
        <v>995</v>
      </c>
      <c r="C12" s="20" t="s">
        <v>550</v>
      </c>
      <c r="D12" s="20"/>
      <c r="F12" s="137" t="n">
        <f aca="false">Options*MAX(0,1-OptK/DilPx)</f>
        <v>0</v>
      </c>
      <c r="G12" s="137" t="n">
        <f aca="false">Options*MAX(0,1-OptK/DilPx)</f>
        <v>0</v>
      </c>
      <c r="H12" s="137" t="n">
        <f aca="false">Options*MAX(0,1-OptK/DilPx)</f>
        <v>0</v>
      </c>
      <c r="I12" s="137" t="n">
        <f aca="false">Options*MAX(0,1-OptK/DilPx)</f>
        <v>0</v>
      </c>
      <c r="J12" s="137" t="n">
        <f aca="false">Options*MAX(0,1-OptK/DilPx)</f>
        <v>0</v>
      </c>
      <c r="K12" s="137" t="n">
        <f aca="false">Options*MAX(0,1-OptK/DilPx)</f>
        <v>0</v>
      </c>
      <c r="L12" s="137" t="n">
        <f aca="false">Options*MAX(0,1-OptK/DilPx)</f>
        <v>0</v>
      </c>
      <c r="M12" s="137" t="n">
        <f aca="false">Options*MAX(0,1-OptK/DilPx)</f>
        <v>0</v>
      </c>
      <c r="N12" s="137" t="n">
        <f aca="false">Options*MAX(0,1-OptK/DilPx)</f>
        <v>0</v>
      </c>
      <c r="O12" s="137" t="n">
        <f aca="false">Options*MAX(0,1-OptK/DilPx)</f>
        <v>0</v>
      </c>
      <c r="P12" s="42" t="n">
        <f aca="false">Options*MAX(0,1-OptK/DilPx)</f>
        <v>0</v>
      </c>
      <c r="Q12" s="42" t="n">
        <f aca="false">Options*MAX(0,1-OptK/DilPx)</f>
        <v>0</v>
      </c>
      <c r="R12" s="42" t="n">
        <f aca="false">Options*MAX(0,1-OptK/DilPx)</f>
        <v>0</v>
      </c>
      <c r="S12" s="42" t="n">
        <f aca="false">Options*MAX(0,1-OptK/DilPx)</f>
        <v>0</v>
      </c>
      <c r="T12" s="42" t="n">
        <f aca="false">Options*MAX(0,1-OptK/DilPx)</f>
        <v>0</v>
      </c>
      <c r="U12" s="42" t="n">
        <f aca="false">Options*MAX(0,1-OptK/DilPx)</f>
        <v>0</v>
      </c>
      <c r="V12" s="42" t="n">
        <f aca="false">Options*MAX(0,1-OptK/DilPx)</f>
        <v>0</v>
      </c>
      <c r="W12" s="42" t="n">
        <f aca="false">Options*MAX(0,1-OptK/DilPx)</f>
        <v>0</v>
      </c>
      <c r="X12" s="42" t="n">
        <f aca="false">Options*MAX(0,1-OptK/DilPx)</f>
        <v>0</v>
      </c>
      <c r="Y12" s="42" t="n">
        <f aca="false">Options*MAX(0,1-OptK/DilPx)</f>
        <v>0</v>
      </c>
      <c r="Z12" s="42" t="n">
        <f aca="false">Options*MAX(0,1-OptK/DilPx)</f>
        <v>0</v>
      </c>
      <c r="AA12" s="42" t="n">
        <f aca="false">Options*MAX(0,1-OptK/DilPx)</f>
        <v>0</v>
      </c>
      <c r="AB12" s="42" t="n">
        <f aca="false">Options*MAX(0,1-OptK/DilPx)</f>
        <v>0</v>
      </c>
      <c r="AC12" s="42" t="n">
        <f aca="false">Options*MAX(0,1-OptK/DilPx)</f>
        <v>0</v>
      </c>
      <c r="AD12" s="42" t="n">
        <f aca="false">Options*MAX(0,1-OptK/DilPx)</f>
        <v>0</v>
      </c>
      <c r="AE12" s="42" t="n">
        <f aca="false">Options*MAX(0,1-OptK/DilPx)</f>
        <v>0</v>
      </c>
      <c r="AF12" s="42" t="n">
        <f aca="false">Options*MAX(0,1-OptK/DilPx)</f>
        <v>0</v>
      </c>
      <c r="AG12" s="42" t="n">
        <f aca="false">Options*MAX(0,1-OptK/DilPx)</f>
        <v>0</v>
      </c>
      <c r="AI12" s="42" t="n">
        <f aca="false">INDEX($F12:$AG12,1,MATCH(AI$7,$F$7:$AG$7,1))</f>
        <v>0</v>
      </c>
      <c r="AJ12" s="42" t="n">
        <f aca="false">INDEX($F12:$AG12,1,MATCH(AJ$7,$F$7:$AG$7,1))</f>
        <v>0</v>
      </c>
      <c r="AK12" s="42" t="n">
        <f aca="false">INDEX($F12:$AG12,1,MATCH(AK$7,$F$7:$AG$7,1))</f>
        <v>0</v>
      </c>
      <c r="AL12" s="42" t="n">
        <f aca="false">INDEX($F12:$AG12,1,MATCH(AL$7,$F$7:$AG$7,1))</f>
        <v>0</v>
      </c>
      <c r="AM12" s="42" t="n">
        <f aca="false">INDEX($F12:$AG12,1,MATCH(AM$7,$F$7:$AG$7,1))</f>
        <v>0</v>
      </c>
      <c r="AN12" s="42" t="n">
        <f aca="false">INDEX($F12:$AG12,1,MATCH(AN$7,$F$7:$AG$7,1))</f>
        <v>0</v>
      </c>
      <c r="AO12" s="42" t="n">
        <f aca="false">INDEX($F12:$AG12,1,MATCH(AO$7,$F$7:$AG$7,1))</f>
        <v>0</v>
      </c>
    </row>
    <row r="13" customFormat="false" ht="15" hidden="false" customHeight="false" outlineLevel="0" collapsed="false">
      <c r="A13" s="104" t="s">
        <v>2269</v>
      </c>
      <c r="B13" s="20" t="s">
        <v>995</v>
      </c>
      <c r="C13" s="20" t="s">
        <v>550</v>
      </c>
      <c r="D13" s="20"/>
      <c r="F13" s="137" t="n">
        <f aca="false">RSU+EigenIn*Eigen</f>
        <v>6.234091</v>
      </c>
      <c r="G13" s="137" t="n">
        <f aca="false">RSU+EigenIn*Eigen</f>
        <v>6.234091</v>
      </c>
      <c r="H13" s="137" t="n">
        <f aca="false">RSU+EigenIn*Eigen</f>
        <v>6.234091</v>
      </c>
      <c r="I13" s="137" t="n">
        <f aca="false">RSU+EigenIn*Eigen</f>
        <v>6.234091</v>
      </c>
      <c r="J13" s="137" t="n">
        <f aca="false">RSU+EigenIn*Eigen</f>
        <v>6.234091</v>
      </c>
      <c r="K13" s="137" t="n">
        <f aca="false">RSU+EigenIn*Eigen</f>
        <v>6.234091</v>
      </c>
      <c r="L13" s="137" t="n">
        <f aca="false">RSU+EigenIn*Eigen</f>
        <v>6.234091</v>
      </c>
      <c r="M13" s="137" t="n">
        <f aca="false">RSU+EigenIn*Eigen</f>
        <v>6.234091</v>
      </c>
      <c r="N13" s="137" t="n">
        <f aca="false">RSU+EigenIn*Eigen</f>
        <v>6.234091</v>
      </c>
      <c r="O13" s="137" t="n">
        <f aca="false">RSU+EigenIn*Eigen</f>
        <v>6.234091</v>
      </c>
      <c r="P13" s="42" t="n">
        <f aca="false">RSU+EigenIn*Eigen</f>
        <v>6.234091</v>
      </c>
      <c r="Q13" s="42" t="n">
        <f aca="false">RSU+EigenIn*Eigen</f>
        <v>6.234091</v>
      </c>
      <c r="R13" s="42" t="n">
        <f aca="false">RSU+EigenIn*Eigen</f>
        <v>6.234091</v>
      </c>
      <c r="S13" s="42" t="n">
        <f aca="false">RSU+EigenIn*Eigen</f>
        <v>6.234091</v>
      </c>
      <c r="T13" s="42" t="n">
        <f aca="false">RSU+EigenIn*Eigen</f>
        <v>6.234091</v>
      </c>
      <c r="U13" s="42" t="n">
        <f aca="false">RSU+EigenIn*Eigen</f>
        <v>6.234091</v>
      </c>
      <c r="V13" s="42" t="n">
        <f aca="false">RSU+EigenIn*Eigen</f>
        <v>6.234091</v>
      </c>
      <c r="W13" s="42" t="n">
        <f aca="false">RSU+EigenIn*Eigen</f>
        <v>6.234091</v>
      </c>
      <c r="X13" s="42" t="n">
        <f aca="false">RSU+EigenIn*Eigen</f>
        <v>6.234091</v>
      </c>
      <c r="Y13" s="42" t="n">
        <f aca="false">RSU+EigenIn*Eigen</f>
        <v>6.234091</v>
      </c>
      <c r="Z13" s="42" t="n">
        <f aca="false">RSU+EigenIn*Eigen</f>
        <v>6.234091</v>
      </c>
      <c r="AA13" s="42" t="n">
        <f aca="false">RSU+EigenIn*Eigen</f>
        <v>6.234091</v>
      </c>
      <c r="AB13" s="42" t="n">
        <f aca="false">RSU+EigenIn*Eigen</f>
        <v>6.234091</v>
      </c>
      <c r="AC13" s="42" t="n">
        <f aca="false">RSU+EigenIn*Eigen</f>
        <v>6.234091</v>
      </c>
      <c r="AD13" s="42" t="n">
        <f aca="false">RSU+EigenIn*Eigen</f>
        <v>6.234091</v>
      </c>
      <c r="AE13" s="42" t="n">
        <f aca="false">RSU+EigenIn*Eigen</f>
        <v>6.234091</v>
      </c>
      <c r="AF13" s="42" t="n">
        <f aca="false">RSU+EigenIn*Eigen</f>
        <v>6.234091</v>
      </c>
      <c r="AG13" s="42" t="n">
        <f aca="false">RSU+EigenIn*Eigen</f>
        <v>6.234091</v>
      </c>
      <c r="AI13" s="42" t="n">
        <f aca="false">INDEX($F13:$AG13,1,MATCH(AI$7,$F$7:$AG$7,1))</f>
        <v>6.234091</v>
      </c>
      <c r="AJ13" s="42" t="n">
        <f aca="false">INDEX($F13:$AG13,1,MATCH(AJ$7,$F$7:$AG$7,1))</f>
        <v>6.234091</v>
      </c>
      <c r="AK13" s="42" t="n">
        <f aca="false">INDEX($F13:$AG13,1,MATCH(AK$7,$F$7:$AG$7,1))</f>
        <v>6.234091</v>
      </c>
      <c r="AL13" s="42" t="n">
        <f aca="false">INDEX($F13:$AG13,1,MATCH(AL$7,$F$7:$AG$7,1))</f>
        <v>6.234091</v>
      </c>
      <c r="AM13" s="42" t="n">
        <f aca="false">INDEX($F13:$AG13,1,MATCH(AM$7,$F$7:$AG$7,1))</f>
        <v>6.234091</v>
      </c>
      <c r="AN13" s="42" t="n">
        <f aca="false">INDEX($F13:$AG13,1,MATCH(AN$7,$F$7:$AG$7,1))</f>
        <v>6.234091</v>
      </c>
      <c r="AO13" s="42" t="n">
        <f aca="false">INDEX($F13:$AG13,1,MATCH(AO$7,$F$7:$AG$7,1))</f>
        <v>6.234091</v>
      </c>
    </row>
    <row r="14" customFormat="false" ht="15" hidden="false" customHeight="false" outlineLevel="0" collapsed="false">
      <c r="A14" s="104" t="s">
        <v>2270</v>
      </c>
      <c r="B14" s="20" t="s">
        <v>995</v>
      </c>
      <c r="C14" s="20" t="s">
        <v>1998</v>
      </c>
      <c r="D14" s="20"/>
      <c r="F14" s="137" t="n">
        <f aca="false">INDEX(CV_dil,1,1)</f>
        <v>0</v>
      </c>
      <c r="G14" s="137" t="n">
        <f aca="false">INDEX(CV_dil,1,2)</f>
        <v>0</v>
      </c>
      <c r="H14" s="137" t="n">
        <f aca="false">INDEX(CV_dil,1,3)</f>
        <v>0</v>
      </c>
      <c r="I14" s="137" t="n">
        <f aca="false">INDEX(CV_dil,1,4)</f>
        <v>0</v>
      </c>
      <c r="J14" s="137" t="n">
        <f aca="false">INDEX(CV_dil,1,5)</f>
        <v>0</v>
      </c>
      <c r="K14" s="137" t="n">
        <f aca="false">INDEX(CV_dil,1,6)</f>
        <v>0</v>
      </c>
      <c r="L14" s="137" t="n">
        <f aca="false">INDEX(CV_dil,1,7)</f>
        <v>0</v>
      </c>
      <c r="M14" s="137" t="n">
        <f aca="false">INDEX(CV_dil,1,8)</f>
        <v>0</v>
      </c>
      <c r="N14" s="137" t="n">
        <f aca="false">INDEX(CV_dil,1,9)</f>
        <v>0</v>
      </c>
      <c r="O14" s="137" t="n">
        <f aca="false">INDEX(CV_dil,1,10)</f>
        <v>0</v>
      </c>
      <c r="P14" s="42" t="n">
        <f aca="false">INDEX(CV_dil,1,11)</f>
        <v>0</v>
      </c>
      <c r="Q14" s="42" t="n">
        <f aca="false">INDEX(CV_dil,1,12)</f>
        <v>0</v>
      </c>
      <c r="R14" s="42" t="n">
        <f aca="false">INDEX(CV_dil,1,13)</f>
        <v>0</v>
      </c>
      <c r="S14" s="42" t="n">
        <f aca="false">INDEX(CV_dil,1,14)</f>
        <v>0</v>
      </c>
      <c r="T14" s="42" t="n">
        <f aca="false">INDEX(CV_dil,1,15)</f>
        <v>0</v>
      </c>
      <c r="U14" s="42" t="n">
        <f aca="false">INDEX(CV_dil,1,16)</f>
        <v>0</v>
      </c>
      <c r="V14" s="42" t="n">
        <f aca="false">INDEX(CV_dil,1,17)</f>
        <v>0</v>
      </c>
      <c r="W14" s="42" t="n">
        <f aca="false">INDEX(CV_dil,1,18)</f>
        <v>0</v>
      </c>
      <c r="X14" s="42" t="n">
        <f aca="false">INDEX(CV_dil,1,19)</f>
        <v>0</v>
      </c>
      <c r="Y14" s="42" t="n">
        <f aca="false">INDEX(CV_dil,1,20)</f>
        <v>0</v>
      </c>
      <c r="Z14" s="42" t="n">
        <f aca="false">INDEX(CV_dil,1,21)</f>
        <v>0</v>
      </c>
      <c r="AA14" s="42" t="n">
        <f aca="false">INDEX(CV_dil,1,22)</f>
        <v>0</v>
      </c>
      <c r="AB14" s="42" t="n">
        <f aca="false">INDEX(CV_dil,1,23)</f>
        <v>0</v>
      </c>
      <c r="AC14" s="42" t="n">
        <f aca="false">INDEX(CV_dil,1,24)</f>
        <v>0</v>
      </c>
      <c r="AD14" s="42" t="n">
        <f aca="false">INDEX(CV_dil,1,25)</f>
        <v>0</v>
      </c>
      <c r="AE14" s="42" t="n">
        <f aca="false">INDEX(CV_dil,1,26)</f>
        <v>0</v>
      </c>
      <c r="AF14" s="42" t="n">
        <f aca="false">INDEX(CV_dil,1,27)</f>
        <v>0</v>
      </c>
      <c r="AG14" s="42" t="n">
        <f aca="false">INDEX(CV_dil,1,28)</f>
        <v>0</v>
      </c>
      <c r="AI14" s="42" t="n">
        <f aca="false">INDEX($F14:$AG14,1,MATCH(AI$7,$F$7:$AG$7,1))</f>
        <v>0</v>
      </c>
      <c r="AJ14" s="42" t="n">
        <f aca="false">INDEX($F14:$AG14,1,MATCH(AJ$7,$F$7:$AG$7,1))</f>
        <v>0</v>
      </c>
      <c r="AK14" s="42" t="n">
        <f aca="false">INDEX($F14:$AG14,1,MATCH(AK$7,$F$7:$AG$7,1))</f>
        <v>0</v>
      </c>
      <c r="AL14" s="42" t="n">
        <f aca="false">INDEX($F14:$AG14,1,MATCH(AL$7,$F$7:$AG$7,1))</f>
        <v>0</v>
      </c>
      <c r="AM14" s="42" t="n">
        <f aca="false">INDEX($F14:$AG14,1,MATCH(AM$7,$F$7:$AG$7,1))</f>
        <v>0</v>
      </c>
      <c r="AN14" s="42" t="n">
        <f aca="false">INDEX($F14:$AG14,1,MATCH(AN$7,$F$7:$AG$7,1))</f>
        <v>0</v>
      </c>
      <c r="AO14" s="42" t="n">
        <f aca="false">INDEX($F14:$AG14,1,MATCH(AO$7,$F$7:$AG$7,1))</f>
        <v>0</v>
      </c>
    </row>
    <row r="15" customFormat="false" ht="15" hidden="false" customHeight="false" outlineLevel="0" collapsed="false">
      <c r="A15" s="3" t="s">
        <v>2271</v>
      </c>
      <c r="B15" s="20" t="s">
        <v>995</v>
      </c>
      <c r="C15" s="20" t="s">
        <v>495</v>
      </c>
      <c r="D15" s="20"/>
      <c r="F15" s="138" t="n">
        <f aca="false">F11+F12+F13+F14</f>
        <v>205.574091</v>
      </c>
      <c r="G15" s="138" t="n">
        <f aca="false">G11+G12+G13+G14</f>
        <v>205.574091</v>
      </c>
      <c r="H15" s="138" t="n">
        <f aca="false">H11+H12+H13+H14</f>
        <v>205.574209</v>
      </c>
      <c r="I15" s="138" t="n">
        <f aca="false">I11+I12+I13+I14</f>
        <v>241.987691</v>
      </c>
      <c r="J15" s="138" t="n">
        <f aca="false">J11+J12+J13+J14</f>
        <v>244.342922</v>
      </c>
      <c r="K15" s="138" t="n">
        <f aca="false">K11+K12+K13+K14</f>
        <v>244.939183</v>
      </c>
      <c r="L15" s="138" t="n">
        <f aca="false">L11+L12+L13+L14</f>
        <v>258.041313</v>
      </c>
      <c r="M15" s="138" t="n">
        <f aca="false">M11+M12+M13+M14</f>
        <v>259.251062</v>
      </c>
      <c r="N15" s="138" t="n">
        <f aca="false">N11+N12+N13+N14</f>
        <v>281.198221</v>
      </c>
      <c r="O15" s="138" t="n">
        <f aca="false">O11+O12+O13+O14</f>
        <v>299.155245</v>
      </c>
      <c r="P15" s="59" t="n">
        <f aca="false">P11+P12+P13+P14</f>
        <v>314.925245</v>
      </c>
      <c r="Q15" s="59" t="n">
        <f aca="false">Q11+Q12+Q13+Q14</f>
        <v>327.195752</v>
      </c>
      <c r="R15" s="59" t="n">
        <f aca="false">R11+R12+R13+R14</f>
        <v>327.195752</v>
      </c>
      <c r="S15" s="59" t="n">
        <f aca="false">S11+S12+S13+S14</f>
        <v>327.195752</v>
      </c>
      <c r="T15" s="59" t="n">
        <f aca="false">T11+T12+T13+T14</f>
        <v>327.195752</v>
      </c>
      <c r="U15" s="59" t="n">
        <f aca="false">U11+U12+U13+U14</f>
        <v>327.195752</v>
      </c>
      <c r="V15" s="59" t="n">
        <f aca="false">V11+V12+V13+V14</f>
        <v>335.9777864353</v>
      </c>
      <c r="W15" s="59" t="n">
        <f aca="false">W11+W12+W13+W14</f>
        <v>338.476064141777</v>
      </c>
      <c r="X15" s="59" t="n">
        <f aca="false">X11+X12+X13+X14</f>
        <v>358.242747398559</v>
      </c>
      <c r="Y15" s="59" t="n">
        <f aca="false">Y11+Y12+Y13+Y14</f>
        <v>360.383385613196</v>
      </c>
      <c r="Z15" s="59" t="n">
        <f aca="false">Z11+Z12+Z13+Z14</f>
        <v>379.883636640612</v>
      </c>
      <c r="AA15" s="59" t="n">
        <f aca="false">AA11+AA12+AA13+AA14</f>
        <v>384.264924892954</v>
      </c>
      <c r="AB15" s="59" t="n">
        <f aca="false">AB11+AB12+AB13+AB14</f>
        <v>411.983132704255</v>
      </c>
      <c r="AC15" s="59" t="n">
        <f aca="false">AC11+AC12+AC13+AC14</f>
        <v>411.983132704255</v>
      </c>
      <c r="AD15" s="59" t="n">
        <f aca="false">AD11+AD12+AD13+AD14</f>
        <v>411.983132704255</v>
      </c>
      <c r="AE15" s="59" t="n">
        <f aca="false">AE11+AE12+AE13+AE14</f>
        <v>411.983132704255</v>
      </c>
      <c r="AF15" s="59" t="n">
        <f aca="false">AF11+AF12+AF13+AF14</f>
        <v>423.379517704255</v>
      </c>
      <c r="AG15" s="59" t="n">
        <f aca="false">AG11+AG12+AG13+AG14</f>
        <v>423.379517704255</v>
      </c>
      <c r="AI15" s="59" t="n">
        <f aca="false">INDEX($F15:$AG15,1,MATCH(AI$7,$F$7:$AG$7,1))</f>
        <v>241.987691</v>
      </c>
      <c r="AJ15" s="59" t="n">
        <f aca="false">INDEX($F15:$AG15,1,MATCH(AJ$7,$F$7:$AG$7,1))</f>
        <v>259.251062</v>
      </c>
      <c r="AK15" s="59" t="n">
        <f aca="false">INDEX($F15:$AG15,1,MATCH(AK$7,$F$7:$AG$7,1))</f>
        <v>327.195752</v>
      </c>
      <c r="AL15" s="59" t="n">
        <f aca="false">INDEX($F15:$AG15,1,MATCH(AL$7,$F$7:$AG$7,1))</f>
        <v>327.195752</v>
      </c>
      <c r="AM15" s="59" t="n">
        <f aca="false">INDEX($F15:$AG15,1,MATCH(AM$7,$F$7:$AG$7,1))</f>
        <v>360.383385613196</v>
      </c>
      <c r="AN15" s="59" t="n">
        <f aca="false">INDEX($F15:$AG15,1,MATCH(AN$7,$F$7:$AG$7,1))</f>
        <v>411.983132704255</v>
      </c>
      <c r="AO15" s="59" t="n">
        <f aca="false">INDEX($F15:$AG15,1,MATCH(AO$7,$F$7:$AG$7,1))</f>
        <v>423.379517704255</v>
      </c>
    </row>
    <row r="16" customFormat="false" ht="15" hidden="false" customHeight="false" outlineLevel="0" collapsed="false">
      <c r="A16" s="104" t="s">
        <v>2272</v>
      </c>
      <c r="B16" s="20" t="s">
        <v>549</v>
      </c>
      <c r="C16" s="20"/>
      <c r="D16" s="20"/>
      <c r="F16" s="126" t="n">
        <f aca="false">F14/F11</f>
        <v>0</v>
      </c>
      <c r="G16" s="126" t="n">
        <f aca="false">G14/G11</f>
        <v>0</v>
      </c>
      <c r="H16" s="126" t="n">
        <f aca="false">H14/H11</f>
        <v>0</v>
      </c>
      <c r="I16" s="126" t="n">
        <f aca="false">I14/I11</f>
        <v>0</v>
      </c>
      <c r="J16" s="126" t="n">
        <f aca="false">J14/J11</f>
        <v>0</v>
      </c>
      <c r="K16" s="126" t="n">
        <f aca="false">K14/K11</f>
        <v>0</v>
      </c>
      <c r="L16" s="126" t="n">
        <f aca="false">L14/L11</f>
        <v>0</v>
      </c>
      <c r="M16" s="126" t="n">
        <f aca="false">M14/M11</f>
        <v>0</v>
      </c>
      <c r="N16" s="126" t="n">
        <f aca="false">N14/N11</f>
        <v>0</v>
      </c>
      <c r="O16" s="126" t="n">
        <f aca="false">O14/O11</f>
        <v>0</v>
      </c>
      <c r="P16" s="27" t="n">
        <f aca="false">P14/P11</f>
        <v>0</v>
      </c>
      <c r="Q16" s="27" t="n">
        <f aca="false">Q14/Q11</f>
        <v>0</v>
      </c>
      <c r="R16" s="27" t="n">
        <f aca="false">R14/R11</f>
        <v>0</v>
      </c>
      <c r="S16" s="27" t="n">
        <f aca="false">S14/S11</f>
        <v>0</v>
      </c>
      <c r="T16" s="27" t="n">
        <f aca="false">T14/T11</f>
        <v>0</v>
      </c>
      <c r="U16" s="27" t="n">
        <f aca="false">U14/U11</f>
        <v>0</v>
      </c>
      <c r="V16" s="27" t="n">
        <f aca="false">V14/V11</f>
        <v>0</v>
      </c>
      <c r="W16" s="27" t="n">
        <f aca="false">W14/W11</f>
        <v>0</v>
      </c>
      <c r="X16" s="27" t="n">
        <f aca="false">X14/X11</f>
        <v>0</v>
      </c>
      <c r="Y16" s="27" t="n">
        <f aca="false">Y14/Y11</f>
        <v>0</v>
      </c>
      <c r="Z16" s="27" t="n">
        <f aca="false">Z14/Z11</f>
        <v>0</v>
      </c>
      <c r="AA16" s="27" t="n">
        <f aca="false">AA14/AA11</f>
        <v>0</v>
      </c>
      <c r="AB16" s="27" t="n">
        <f aca="false">AB14/AB11</f>
        <v>0</v>
      </c>
      <c r="AC16" s="27" t="n">
        <f aca="false">AC14/AC11</f>
        <v>0</v>
      </c>
      <c r="AD16" s="27" t="n">
        <f aca="false">AD14/AD11</f>
        <v>0</v>
      </c>
      <c r="AE16" s="27" t="n">
        <f aca="false">AE14/AE11</f>
        <v>0</v>
      </c>
      <c r="AF16" s="27" t="n">
        <f aca="false">AF14/AF11</f>
        <v>0</v>
      </c>
      <c r="AG16" s="27" t="n">
        <f aca="false">AG14/AG11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1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1089</v>
      </c>
    </row>
    <row r="2" customFormat="false" ht="15" hidden="false" customHeight="false" outlineLevel="0" collapsed="false">
      <c r="A2" s="20" t="s">
        <v>2273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2274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2275</v>
      </c>
      <c r="B11" s="20" t="s">
        <v>561</v>
      </c>
      <c r="C11" s="20" t="s">
        <v>2183</v>
      </c>
      <c r="D11" s="20"/>
      <c r="F11" s="122" t="n">
        <f aca="false">INDEX(CF_UFCF,1,1)</f>
        <v>0</v>
      </c>
      <c r="G11" s="122" t="n">
        <f aca="false">INDEX(CF_UFCF,1,2)</f>
        <v>0</v>
      </c>
      <c r="H11" s="122" t="n">
        <f aca="false">INDEX(CF_UFCF,1,3)</f>
        <v>0</v>
      </c>
      <c r="I11" s="122" t="n">
        <f aca="false">INDEX(CF_UFCF,1,4)</f>
        <v>0</v>
      </c>
      <c r="J11" s="122" t="n">
        <f aca="false">INDEX(CF_UFCF,1,5)</f>
        <v>0</v>
      </c>
      <c r="K11" s="122" t="n">
        <f aca="false">INDEX(CF_UFCF,1,6)</f>
        <v>0</v>
      </c>
      <c r="L11" s="122" t="n">
        <f aca="false">INDEX(CF_UFCF,1,7)</f>
        <v>0</v>
      </c>
      <c r="M11" s="122" t="n">
        <f aca="false">INDEX(CF_UFCF,1,8)</f>
        <v>0</v>
      </c>
      <c r="N11" s="122" t="n">
        <f aca="false">INDEX(CF_UFCF,1,9)</f>
        <v>0</v>
      </c>
      <c r="O11" s="122" t="n">
        <f aca="false">INDEX(CF_UFCF,1,10)</f>
        <v>0</v>
      </c>
      <c r="P11" s="123" t="n">
        <f aca="false">INDEX(CF_UFCF,1,11)</f>
        <v>-2128.49249140181</v>
      </c>
      <c r="Q11" s="123" t="n">
        <f aca="false">INDEX(CF_UFCF,1,12)</f>
        <v>-3994.13818544681</v>
      </c>
      <c r="R11" s="123" t="n">
        <f aca="false">INDEX(CF_UFCF,1,13)</f>
        <v>-6001.7674575718</v>
      </c>
      <c r="S11" s="123" t="n">
        <f aca="false">INDEX(CF_UFCF,1,14)</f>
        <v>-5484.34036188973</v>
      </c>
      <c r="T11" s="123" t="n">
        <f aca="false">INDEX(CF_UFCF,1,15)</f>
        <v>-6905.89684990209</v>
      </c>
      <c r="U11" s="123" t="n">
        <f aca="false">INDEX(CF_UFCF,1,16)</f>
        <v>-2682.06289075393</v>
      </c>
      <c r="V11" s="123" t="n">
        <f aca="false">INDEX(CF_UFCF,1,17)</f>
        <v>-4024.64454152293</v>
      </c>
      <c r="W11" s="123" t="n">
        <f aca="false">INDEX(CF_UFCF,1,18)</f>
        <v>-1084.21586172979</v>
      </c>
      <c r="X11" s="123" t="n">
        <f aca="false">INDEX(CF_UFCF,1,19)</f>
        <v>-9209.76998664442</v>
      </c>
      <c r="Y11" s="123" t="n">
        <f aca="false">INDEX(CF_UFCF,1,20)</f>
        <v>-847.656321248246</v>
      </c>
      <c r="Z11" s="123" t="n">
        <f aca="false">INDEX(CF_UFCF,1,21)</f>
        <v>-9018.37952371416</v>
      </c>
      <c r="AA11" s="123" t="n">
        <f aca="false">INDEX(CF_UFCF,1,22)</f>
        <v>-1036.01253605991</v>
      </c>
      <c r="AB11" s="123" t="n">
        <f aca="false">INDEX(CF_UFCF,1,23)</f>
        <v>-12821.8089755613</v>
      </c>
      <c r="AC11" s="123" t="n">
        <f aca="false">INDEX(CF_UFCF,1,24)</f>
        <v>3575.78766938583</v>
      </c>
      <c r="AD11" s="123" t="n">
        <f aca="false">INDEX(CF_UFCF,1,25)</f>
        <v>4132.58445440156</v>
      </c>
      <c r="AE11" s="123" t="n">
        <f aca="false">INDEX(CF_UFCF,1,26)</f>
        <v>4716.59864406715</v>
      </c>
      <c r="AF11" s="123" t="n">
        <f aca="false">INDEX(CF_UFCF,1,27)</f>
        <v>4342.46130887186</v>
      </c>
      <c r="AG11" s="123" t="n">
        <f aca="false">INDEX(CF_UFCF,1,28)</f>
        <v>3581.58350423123</v>
      </c>
      <c r="AI11" s="123" t="n">
        <f aca="false">SUMIF($F$7:$AG$7,AI$7,$F11:$AG11)</f>
        <v>0</v>
      </c>
      <c r="AJ11" s="123" t="n">
        <f aca="false">SUMIF($F$7:$AG$7,AJ$7,$F11:$AG11)</f>
        <v>0</v>
      </c>
      <c r="AK11" s="123" t="n">
        <f aca="false">SUMIF($F$7:$AG$7,AK$7,$F11:$AG11)</f>
        <v>-6122.63067684862</v>
      </c>
      <c r="AL11" s="123" t="n">
        <f aca="false">SUMIF($F$7:$AG$7,AL$7,$F11:$AG11)</f>
        <v>-21074.0675601175</v>
      </c>
      <c r="AM11" s="123" t="n">
        <f aca="false">SUMIF($F$7:$AG$7,AM$7,$F11:$AG11)</f>
        <v>-15166.2867111454</v>
      </c>
      <c r="AN11" s="123" t="n">
        <f aca="false">SUMIF($F$7:$AG$7,AN$7,$F11:$AG11)</f>
        <v>-19300.4133659495</v>
      </c>
      <c r="AO11" s="123" t="n">
        <f aca="false">SUMIF($F$7:$AG$7,AO$7,$F11:$AG11)</f>
        <v>16773.2279115718</v>
      </c>
    </row>
    <row r="12" customFormat="false" ht="15" hidden="false" customHeight="false" outlineLevel="0" collapsed="false">
      <c r="A12" s="104" t="s">
        <v>2276</v>
      </c>
      <c r="B12" s="20" t="s">
        <v>648</v>
      </c>
      <c r="C12" s="20" t="s">
        <v>495</v>
      </c>
      <c r="D12" s="20"/>
      <c r="F12" s="125" t="n">
        <f aca="false">IF(F$4&gt;ValDate,1/(1+WACC)^((F$4-ValDate)/365.25),0)</f>
        <v>0</v>
      </c>
      <c r="G12" s="125" t="n">
        <f aca="false">IF(G$4&gt;ValDate,1/(1+WACC)^((G$4-ValDate)/365.25),0)</f>
        <v>0</v>
      </c>
      <c r="H12" s="125" t="n">
        <f aca="false">IF(H$4&gt;ValDate,1/(1+WACC)^((H$4-ValDate)/365.25),0)</f>
        <v>0</v>
      </c>
      <c r="I12" s="125" t="n">
        <f aca="false">IF(I$4&gt;ValDate,1/(1+WACC)^((I$4-ValDate)/365.25),0)</f>
        <v>0</v>
      </c>
      <c r="J12" s="125" t="n">
        <f aca="false">IF(J$4&gt;ValDate,1/(1+WACC)^((J$4-ValDate)/365.25),0)</f>
        <v>0</v>
      </c>
      <c r="K12" s="125" t="n">
        <f aca="false">IF(K$4&gt;ValDate,1/(1+WACC)^((K$4-ValDate)/365.25),0)</f>
        <v>0</v>
      </c>
      <c r="L12" s="125" t="n">
        <f aca="false">IF(L$4&gt;ValDate,1/(1+WACC)^((L$4-ValDate)/365.25),0)</f>
        <v>0</v>
      </c>
      <c r="M12" s="125" t="n">
        <f aca="false">IF(M$4&gt;ValDate,1/(1+WACC)^((M$4-ValDate)/365.25),0)</f>
        <v>0</v>
      </c>
      <c r="N12" s="125" t="n">
        <f aca="false">IF(N$4&gt;ValDate,1/(1+WACC)^((N$4-ValDate)/365.25),0)</f>
        <v>0</v>
      </c>
      <c r="O12" s="125" t="n">
        <f aca="false">IF(O$4&gt;ValDate,1/(1+WACC)^((O$4-ValDate)/365.25),0)</f>
        <v>0</v>
      </c>
      <c r="P12" s="50" t="n">
        <f aca="false">IF(P$4&gt;ValDate,1/(1+WACC)^((P$4-ValDate)/365.25),0)</f>
        <v>0</v>
      </c>
      <c r="Q12" s="50" t="n">
        <f aca="false">IF(Q$4&gt;ValDate,1/(1+WACC)^((Q$4-ValDate)/365.25),0)</f>
        <v>0.975169917110395</v>
      </c>
      <c r="R12" s="50" t="n">
        <f aca="false">IF(R$4&gt;ValDate,1/(1+WACC)^((R$4-ValDate)/365.25),0)</f>
        <v>0.950413103878456</v>
      </c>
      <c r="S12" s="50" t="n">
        <f aca="false">IF(S$4&gt;ValDate,1/(1+WACC)^((S$4-ValDate)/365.25),0)</f>
        <v>0.926020174017693</v>
      </c>
      <c r="T12" s="50" t="n">
        <f aca="false">IF(T$4&gt;ValDate,1/(1+WACC)^((T$4-ValDate)/365.25),0)</f>
        <v>0.901995546596339</v>
      </c>
      <c r="U12" s="50" t="n">
        <f aca="false">IF(U$4&gt;ValDate,1/(1+WACC)^((U$4-ValDate)/365.25),0)</f>
        <v>0.878594213071736</v>
      </c>
      <c r="V12" s="50" t="n">
        <f aca="false">IF(V$4&gt;ValDate,1/(1+WACC)^((V$4-ValDate)/365.25),0)</f>
        <v>0.856044558686635</v>
      </c>
      <c r="W12" s="50" t="n">
        <f aca="false">IF(W$4&gt;ValDate,1/(1+WACC)^((W$4-ValDate)/365.25),0)</f>
        <v>0.834073654884364</v>
      </c>
      <c r="X12" s="50" t="n">
        <f aca="false">IF(X$4&gt;ValDate,1/(1+WACC)^((X$4-ValDate)/365.25),0)</f>
        <v>0.812434483986365</v>
      </c>
      <c r="Y12" s="50" t="n">
        <f aca="false">IF(Y$4&gt;ValDate,1/(1+WACC)^((Y$4-ValDate)/365.25),0)</f>
        <v>0.791356718804048</v>
      </c>
      <c r="Z12" s="50" t="n">
        <f aca="false">IF(Z$4&gt;ValDate,1/(1+WACC)^((Z$4-ValDate)/365.25),0)</f>
        <v>0.771266404138348</v>
      </c>
      <c r="AA12" s="50" t="n">
        <f aca="false">IF(AA$4&gt;ValDate,1/(1+WACC)^((AA$4-ValDate)/365.25),0)</f>
        <v>0.751471383190788</v>
      </c>
      <c r="AB12" s="50" t="n">
        <f aca="false">IF(AB$4&gt;ValDate,1/(1+WACC)^((AB$4-ValDate)/365.25),0)</f>
        <v>0.731975242063928</v>
      </c>
      <c r="AC12" s="50" t="n">
        <f aca="false">IF(AC$4&gt;ValDate,1/(1+WACC)^((AC$4-ValDate)/365.25),0)</f>
        <v>0.712984907980876</v>
      </c>
      <c r="AD12" s="50" t="n">
        <f aca="false">IF(AD$4&gt;ValDate,1/(1+WACC)^((AD$4-ValDate)/365.25),0)</f>
        <v>0.694884232504362</v>
      </c>
      <c r="AE12" s="50" t="n">
        <f aca="false">IF(AE$4&gt;ValDate,1/(1+WACC)^((AE$4-ValDate)/365.25),0)</f>
        <v>0.677049606407923</v>
      </c>
      <c r="AF12" s="50" t="n">
        <f aca="false">IF(AF$4&gt;ValDate,1/(1+WACC)^((AF$4-ValDate)/365.25),0)</f>
        <v>0.659484260645365</v>
      </c>
      <c r="AG12" s="50" t="n">
        <f aca="false">IF(AG$4&gt;ValDate,1/(1+WACC)^((AG$4-ValDate)/365.25),0)</f>
        <v>0.64237462945503</v>
      </c>
    </row>
    <row r="13" customFormat="false" ht="15" hidden="false" customHeight="false" outlineLevel="0" collapsed="false">
      <c r="A13" s="104" t="s">
        <v>2277</v>
      </c>
      <c r="B13" s="20" t="s">
        <v>561</v>
      </c>
      <c r="C13" s="20" t="s">
        <v>495</v>
      </c>
      <c r="D13" s="20"/>
      <c r="F13" s="122" t="n">
        <f aca="false">F11*F12</f>
        <v>0</v>
      </c>
      <c r="G13" s="122" t="n">
        <f aca="false">G11*G12</f>
        <v>0</v>
      </c>
      <c r="H13" s="122" t="n">
        <f aca="false">H11*H12</f>
        <v>0</v>
      </c>
      <c r="I13" s="122" t="n">
        <f aca="false">I11*I12</f>
        <v>0</v>
      </c>
      <c r="J13" s="122" t="n">
        <f aca="false">J11*J12</f>
        <v>0</v>
      </c>
      <c r="K13" s="122" t="n">
        <f aca="false">K11*K12</f>
        <v>0</v>
      </c>
      <c r="L13" s="122" t="n">
        <f aca="false">L11*L12</f>
        <v>0</v>
      </c>
      <c r="M13" s="122" t="n">
        <f aca="false">M11*M12</f>
        <v>0</v>
      </c>
      <c r="N13" s="122" t="n">
        <f aca="false">N11*N12</f>
        <v>0</v>
      </c>
      <c r="O13" s="122" t="n">
        <f aca="false">O11*O12</f>
        <v>0</v>
      </c>
      <c r="P13" s="123" t="n">
        <f aca="false">P11*P12</f>
        <v>-0</v>
      </c>
      <c r="Q13" s="123" t="n">
        <f aca="false">Q11*Q12</f>
        <v>-3894.96340322963</v>
      </c>
      <c r="R13" s="123" t="n">
        <f aca="false">R11*R12</f>
        <v>-5704.15843810752</v>
      </c>
      <c r="S13" s="123" t="n">
        <f aca="false">S11*S12</f>
        <v>-5078.60981628938</v>
      </c>
      <c r="T13" s="123" t="n">
        <f aca="false">T11*T12</f>
        <v>-6229.08820386537</v>
      </c>
      <c r="U13" s="123" t="n">
        <f aca="false">U11*U12</f>
        <v>-2356.44493491086</v>
      </c>
      <c r="V13" s="123" t="n">
        <f aca="false">V11*V12</f>
        <v>-3445.27506041857</v>
      </c>
      <c r="W13" s="123" t="n">
        <f aca="false">W11*W12</f>
        <v>-904.315886476563</v>
      </c>
      <c r="X13" s="123" t="n">
        <f aca="false">X11*X12</f>
        <v>-7482.33472673257</v>
      </c>
      <c r="Y13" s="123" t="n">
        <f aca="false">Y11*Y12</f>
        <v>-670.798525056522</v>
      </c>
      <c r="Z13" s="123" t="n">
        <f aca="false">Z11*Z12</f>
        <v>-6955.57314640993</v>
      </c>
      <c r="AA13" s="123" t="n">
        <f aca="false">AA11*AA12</f>
        <v>-778.533773475936</v>
      </c>
      <c r="AB13" s="123" t="n">
        <f aca="false">AB11*AB12</f>
        <v>-9385.24672858391</v>
      </c>
      <c r="AC13" s="123" t="n">
        <f aca="false">AC11*AC12</f>
        <v>2549.48264241621</v>
      </c>
      <c r="AD13" s="123" t="n">
        <f aca="false">AD11*AD12</f>
        <v>2871.66777685629</v>
      </c>
      <c r="AE13" s="123" t="n">
        <f aca="false">AE11*AE12</f>
        <v>3193.37125554981</v>
      </c>
      <c r="AF13" s="123" t="n">
        <f aca="false">AF11*AF12</f>
        <v>2863.78488566246</v>
      </c>
      <c r="AG13" s="123" t="n">
        <f aca="false">AG11*AG12</f>
        <v>2300.71837639278</v>
      </c>
      <c r="AI13" s="123" t="n">
        <f aca="false">SUMIF($F$7:$AG$7,AI$7,$F13:$AG13)</f>
        <v>0</v>
      </c>
      <c r="AJ13" s="123" t="n">
        <f aca="false">SUMIF($F$7:$AG$7,AJ$7,$F13:$AG13)</f>
        <v>0</v>
      </c>
      <c r="AK13" s="123" t="n">
        <f aca="false">SUMIF($F$7:$AG$7,AK$7,$F13:$AG13)</f>
        <v>-3894.96340322963</v>
      </c>
      <c r="AL13" s="123" t="n">
        <f aca="false">SUMIF($F$7:$AG$7,AL$7,$F13:$AG13)</f>
        <v>-19368.3013931731</v>
      </c>
      <c r="AM13" s="123" t="n">
        <f aca="false">SUMIF($F$7:$AG$7,AM$7,$F13:$AG13)</f>
        <v>-12502.7241986842</v>
      </c>
      <c r="AN13" s="123" t="n">
        <f aca="false">SUMIF($F$7:$AG$7,AN$7,$F13:$AG13)</f>
        <v>-14569.8710060536</v>
      </c>
      <c r="AO13" s="123" t="n">
        <f aca="false">SUMIF($F$7:$AG$7,AO$7,$F13:$AG13)</f>
        <v>11229.5422944613</v>
      </c>
    </row>
    <row r="16" customFormat="false" ht="15" hidden="false" customHeight="false" outlineLevel="0" collapsed="false">
      <c r="A16" s="53" t="s">
        <v>2278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customFormat="false" ht="15" hidden="false" customHeight="false" outlineLevel="0" collapsed="false">
      <c r="A17" s="104" t="s">
        <v>2279</v>
      </c>
      <c r="D17" s="20"/>
      <c r="E17" s="142" t="n">
        <f aca="false">IF(TGMode=1,MIN(TGCap,TermRR*TermRONC),TG)</f>
        <v>0.03</v>
      </c>
    </row>
    <row r="18" customFormat="false" ht="15" hidden="false" customHeight="false" outlineLevel="0" collapsed="false">
      <c r="A18" s="104" t="s">
        <v>2280</v>
      </c>
      <c r="D18" s="20"/>
      <c r="E18" s="106" t="n">
        <f aca="false">SUMIF(Q_Yr,2030,PL_Rev)</f>
        <v>43215.5505789744</v>
      </c>
    </row>
    <row r="19" customFormat="false" ht="15" hidden="false" customHeight="false" outlineLevel="0" collapsed="false">
      <c r="A19" s="104" t="s">
        <v>2281</v>
      </c>
      <c r="D19" s="20"/>
      <c r="E19" s="106" t="n">
        <f aca="false">SUMIF(Q_Yr,2030,PL_EBITDA)</f>
        <v>30342.8922687403</v>
      </c>
    </row>
    <row r="20" customFormat="false" ht="15" hidden="false" customHeight="false" outlineLevel="0" collapsed="false">
      <c r="A20" s="104" t="s">
        <v>2282</v>
      </c>
      <c r="D20" s="20"/>
      <c r="E20" s="106" t="n">
        <f aca="false">SUMIF(Q_Yr,2030,PL_DA)</f>
        <v>23028.0649652634</v>
      </c>
    </row>
    <row r="21" customFormat="false" ht="15" hidden="false" customHeight="false" outlineLevel="0" collapsed="false">
      <c r="A21" s="104" t="s">
        <v>2283</v>
      </c>
      <c r="D21" s="20"/>
      <c r="E21" s="50" t="n">
        <f aca="false">IFERROR((INDEX(MW_Act,1,28)+MW_Add31)/INDEX(MW_Act,1,28),1)</f>
        <v>1.19632949210414</v>
      </c>
    </row>
    <row r="22" customFormat="false" ht="15" hidden="false" customHeight="false" outlineLevel="0" collapsed="false">
      <c r="A22" s="104" t="s">
        <v>2284</v>
      </c>
      <c r="D22" s="20"/>
      <c r="E22" s="106" t="n">
        <f aca="false">4*INDEX(PL_EBITDA,1,28)</f>
        <v>31512.3794048202</v>
      </c>
    </row>
    <row r="23" customFormat="false" ht="15" hidden="false" customHeight="false" outlineLevel="0" collapsed="false">
      <c r="A23" s="104" t="s">
        <v>2285</v>
      </c>
      <c r="D23" s="20"/>
      <c r="E23" s="106" t="n">
        <f aca="false">IF(TermBase=0,V_EB30,V_EBX*IF(TermBase=1,V_TScale,1))*(1+V_g)</f>
        <v>32457.7507869648</v>
      </c>
    </row>
    <row r="24" customFormat="false" ht="15" hidden="false" customHeight="false" outlineLevel="0" collapsed="false">
      <c r="A24" s="104" t="s">
        <v>2286</v>
      </c>
      <c r="D24" s="20"/>
      <c r="E24" s="106" t="n">
        <f aca="false">IF(TermBase=0,V_DA30,4*INDEX(PL_DA,1,28)*IF(TermBase=1,V_TScale,1))*(1+V_g)</f>
        <v>23818.4776685918</v>
      </c>
    </row>
    <row r="25" customFormat="false" ht="15" hidden="false" customHeight="false" outlineLevel="0" collapsed="false">
      <c r="A25" s="104" t="s">
        <v>2287</v>
      </c>
      <c r="D25" s="20" t="s">
        <v>2288</v>
      </c>
      <c r="E25" s="106" t="n">
        <f aca="false">SUMPRODUCT((Q_Idx&gt;28-LQ_H)*CapGPU_H)/(LQ_H/4)*IF(ReplPxOn=1,(1+PxChg_H)^(LQ_H/4),1)+SUMPRODUCT((Q_Idx&gt;28-LQ_B)*CapGPU_B)/(LQ_B/4)*IF(ReplPxOn=1,(1+PxChg_B)^(LQ_B/4),1)+SUMPRODUCT((Q_Idx&gt;28-LQ_N)*CapGPU_N)/(LQ_N/4)*IF(ReplPxOn=1,(1+PxChg_N)^(LQ_N/4),1)+SUMPRODUCT((Q_Idx&gt;28-LQ_N)*CapRepl)/(LQ_N/4)*IF(ReplPxOn=1,(1+PxChg_N)^(LQ_N/4),1)</f>
        <v>20711.104</v>
      </c>
    </row>
    <row r="26" customFormat="false" ht="15" hidden="false" customHeight="false" outlineLevel="0" collapsed="false">
      <c r="A26" s="104" t="s">
        <v>2289</v>
      </c>
      <c r="D26" s="20"/>
      <c r="E26" s="106" t="n">
        <f aca="false">SUMIF(Q_Yr,2030,Dep_Shell)+SUMIF(Q_Yr,2030,Dep_Pow)+SUMIF(Q_Yr,2030,CapMaint)</f>
        <v>2501.57341157949</v>
      </c>
    </row>
    <row r="27" customFormat="false" ht="15" hidden="false" customHeight="false" outlineLevel="0" collapsed="false">
      <c r="A27" s="104" t="s">
        <v>2290</v>
      </c>
      <c r="D27" s="20"/>
      <c r="E27" s="106" t="n">
        <f aca="false">IF(TGMode=1,IF(TermRONC&gt;0,V_g/TermRONC,0)*V_NOPAT,TG*INDEX(NBV,1,28))</f>
        <v>1585.78256133854</v>
      </c>
    </row>
    <row r="28" customFormat="false" ht="15" hidden="false" customHeight="false" outlineLevel="0" collapsed="false">
      <c r="A28" s="104" t="s">
        <v>2291</v>
      </c>
      <c r="D28" s="20"/>
      <c r="E28" s="106" t="n">
        <f aca="false">(V_GRepl+V_NonGPU)*(1+V_g)+V_GrowCx</f>
        <v>25494.8402952654</v>
      </c>
    </row>
    <row r="29" customFormat="false" ht="15" hidden="false" customHeight="false" outlineLevel="0" collapsed="false">
      <c r="A29" s="3" t="s">
        <v>2292</v>
      </c>
      <c r="D29" s="20"/>
      <c r="E29" s="112" t="n">
        <f aca="false">IF(TermMode=1,IF(ReplPxOn=1,V_CXReq,MAX(V_DAT*MaintRatio,V_CXReq)),V_DAT*MaintRatio)</f>
        <v>25494.8402952654</v>
      </c>
    </row>
    <row r="30" customFormat="false" ht="15" hidden="false" customHeight="false" outlineLevel="0" collapsed="false">
      <c r="A30" s="104" t="s">
        <v>2293</v>
      </c>
      <c r="D30" s="20"/>
      <c r="E30" s="26" t="str">
        <f aca="false">IF(V_CXT&gt;=V_GRepl*(1+V_g),"OK","FLAG: below GPU replacement")</f>
        <v>OK</v>
      </c>
    </row>
    <row r="31" customFormat="false" ht="15" hidden="false" customHeight="false" outlineLevel="0" collapsed="false">
      <c r="A31" s="104" t="s">
        <v>2294</v>
      </c>
      <c r="D31" s="20"/>
      <c r="E31" s="106" t="n">
        <f aca="false">MAX(0,V_EBT-IF(TermMode=1,IF(ReplPxOn=1,(V_GRepl+V_NonGPU)*(1+V_g),MAX(V_DAT,(V_GRepl+V_NonGPU)*(1+V_g))),V_DAT))*TaxRate</f>
        <v>2205.56280768379</v>
      </c>
    </row>
    <row r="32" customFormat="false" ht="15" hidden="false" customHeight="false" outlineLevel="0" collapsed="false">
      <c r="A32" s="104" t="s">
        <v>2295</v>
      </c>
      <c r="D32" s="20"/>
      <c r="E32" s="106" t="n">
        <f aca="false">IF(TermMode=1,IF(ReplPxOn=1,(V_GRepl+V_NonGPU)*(1+V_g),MAX(V_DAT,(V_GRepl+V_NonGPU)*(1+V_g))),V_DAT)</f>
        <v>23909.0577339269</v>
      </c>
    </row>
    <row r="33" customFormat="false" ht="15" hidden="false" customHeight="false" outlineLevel="0" collapsed="false">
      <c r="A33" s="104" t="s">
        <v>2296</v>
      </c>
      <c r="D33" s="20"/>
      <c r="E33" s="106" t="n">
        <f aca="false">V_EBT-V_Dss-V_TXT</f>
        <v>6343.13024535415</v>
      </c>
    </row>
    <row r="34" customFormat="false" ht="15" hidden="false" customHeight="false" outlineLevel="0" collapsed="false">
      <c r="A34" s="104" t="s">
        <v>2297</v>
      </c>
      <c r="D34" s="20"/>
      <c r="E34" s="27" t="n">
        <f aca="false">IF(V_NOPAT&lt;&gt;0,V_GrowCx/V_NOPAT,0)</f>
        <v>0.25</v>
      </c>
    </row>
    <row r="35" customFormat="false" ht="15" hidden="false" customHeight="false" outlineLevel="0" collapsed="false">
      <c r="A35" s="104" t="s">
        <v>2298</v>
      </c>
      <c r="D35" s="20"/>
      <c r="E35" s="27" t="n">
        <f aca="false">IFERROR(V_NOPAT/INDEX(NBV,1,28),0)</f>
        <v>0.0858534656734178</v>
      </c>
    </row>
    <row r="36" customFormat="false" ht="15" hidden="false" customHeight="false" outlineLevel="0" collapsed="false">
      <c r="A36" s="3" t="s">
        <v>2299</v>
      </c>
      <c r="D36" s="20"/>
      <c r="E36" s="112" t="n">
        <f aca="false">V_EBT-V_TXT-V_CXT</f>
        <v>4757.34768401561</v>
      </c>
    </row>
    <row r="37" customFormat="false" ht="15" hidden="false" customHeight="false" outlineLevel="0" collapsed="false">
      <c r="A37" s="104" t="s">
        <v>2300</v>
      </c>
      <c r="D37" s="20"/>
      <c r="E37" s="106" t="n">
        <f aca="false">V_UFT/(WACC-V_g)</f>
        <v>59466.8460501952</v>
      </c>
    </row>
    <row r="38" customFormat="false" ht="15" hidden="false" customHeight="false" outlineLevel="0" collapsed="false">
      <c r="A38" s="104" t="s">
        <v>2301</v>
      </c>
      <c r="D38" s="20"/>
      <c r="E38" s="106" t="n">
        <f aca="false">V_EBT*ExitMult</f>
        <v>454408.511017508</v>
      </c>
    </row>
    <row r="39" customFormat="false" ht="15" hidden="false" customHeight="false" outlineLevel="0" collapsed="false">
      <c r="A39" s="104" t="s">
        <v>2302</v>
      </c>
      <c r="D39" s="20"/>
      <c r="E39" s="40" t="n">
        <f aca="false">IF(V_EBT&lt;&gt;0,V_TVG/V_EBT,0)</f>
        <v>1.83213083495845</v>
      </c>
    </row>
    <row r="40" customFormat="false" ht="15" hidden="false" customHeight="false" outlineLevel="0" collapsed="false">
      <c r="A40" s="104" t="s">
        <v>2303</v>
      </c>
      <c r="D40" s="20"/>
      <c r="E40" s="25" t="n">
        <f aca="false">IF(V_Rev30&lt;&gt;0,V_EB30/V_Rev30,0)</f>
        <v>0.702129022128044</v>
      </c>
    </row>
    <row r="41" customFormat="false" ht="15" hidden="false" customHeight="false" outlineLevel="0" collapsed="false">
      <c r="A41" s="104" t="s">
        <v>2304</v>
      </c>
      <c r="D41" s="20"/>
      <c r="E41" s="106" t="n">
        <f aca="false">DCFWeight*V_TVG+(1-DCFWeight)*V_TVM</f>
        <v>59466.8460501952</v>
      </c>
    </row>
    <row r="42" customFormat="false" ht="15" hidden="false" customHeight="false" outlineLevel="0" collapsed="false">
      <c r="A42" s="104" t="s">
        <v>2305</v>
      </c>
      <c r="D42" s="20"/>
      <c r="E42" s="106" t="n">
        <f aca="false">MAX(0,V_EBT-MAX(0,V_EBT-V_DAT)*TaxRate)*SUMPRODUCT((ROW($A$1:$A$10)&lt;=LQ_N/4)*(1-(ROW($A$1:$A$10)-1)/(LQ_N/4))/(1+WACC)^ROW($A$1:$A$10))</f>
        <v>71675.4402312843</v>
      </c>
    </row>
    <row r="43" customFormat="false" ht="15" hidden="false" customHeight="false" outlineLevel="0" collapsed="false">
      <c r="A43" s="3" t="s">
        <v>2306</v>
      </c>
      <c r="D43" s="20"/>
      <c r="E43" s="112" t="n">
        <f aca="false">IF(TVFloor=1,MAX(V_TVB,V_TVRO),V_TVB)</f>
        <v>71675.4402312843</v>
      </c>
    </row>
    <row r="44" customFormat="false" ht="15" hidden="false" customHeight="false" outlineLevel="0" collapsed="false">
      <c r="A44" s="104" t="s">
        <v>2307</v>
      </c>
      <c r="D44" s="20"/>
      <c r="E44" s="26" t="str">
        <f aca="false">IF(AND(TVFloor=1,V_TVRO&gt;V_TVB),"RUN-OFF (reinvestment value-destroying)","Going concern")</f>
        <v>RUN-OFF (reinvestment value-destroying)</v>
      </c>
    </row>
    <row r="45" customFormat="false" ht="15" hidden="false" customHeight="false" outlineLevel="0" collapsed="false">
      <c r="A45" s="104" t="s">
        <v>2308</v>
      </c>
      <c r="D45" s="20"/>
      <c r="E45" s="50" t="n">
        <f aca="false">INDEX($F$12:$AG$12,1,28)</f>
        <v>0.64237462945503</v>
      </c>
    </row>
    <row r="46" customFormat="false" ht="15" hidden="false" customHeight="false" outlineLevel="0" collapsed="false">
      <c r="A46" s="104" t="s">
        <v>2309</v>
      </c>
      <c r="D46" s="20"/>
      <c r="E46" s="106" t="n">
        <f aca="false">V_TV*V_DF28</f>
        <v>46042.4843595974</v>
      </c>
    </row>
    <row r="47" customFormat="false" ht="15" hidden="false" customHeight="false" outlineLevel="0" collapsed="false">
      <c r="A47" s="104" t="s">
        <v>2310</v>
      </c>
      <c r="D47" s="20"/>
      <c r="E47" s="106" t="n">
        <f aca="false">SUM($F$13:$AG$13)</f>
        <v>-39106.3177066792</v>
      </c>
    </row>
    <row r="48" customFormat="false" ht="15" hidden="false" customHeight="false" outlineLevel="0" collapsed="false">
      <c r="A48" s="104" t="s">
        <v>2311</v>
      </c>
      <c r="D48" s="20"/>
      <c r="E48" s="106" t="n">
        <f aca="false">INDEX(CF_DRBal,1,28)</f>
        <v>12442.234487047</v>
      </c>
    </row>
    <row r="49" customFormat="false" ht="15" hidden="false" customHeight="false" outlineLevel="0" collapsed="false">
      <c r="A49" s="104" t="s">
        <v>2312</v>
      </c>
      <c r="D49" s="20"/>
      <c r="E49" s="106" t="n">
        <f aca="false">V_DR30*SUMPRODUCT((ROW($A$1:$A$120)&lt;=MAX(1,ROUND(DR_AmortQ/2,0)))/MAX(1,ROUND(DR_AmortQ/2,0))/(1+WACC)^(ROW($A$1:$A$120)/4))</f>
        <v>11083.7250816562</v>
      </c>
    </row>
    <row r="50" customFormat="false" ht="15" hidden="false" customHeight="false" outlineLevel="0" collapsed="false">
      <c r="A50" s="104" t="s">
        <v>2313</v>
      </c>
      <c r="D50" s="20" t="s">
        <v>2314</v>
      </c>
      <c r="E50" s="106" t="n">
        <f aca="false">-DRTermOn*V_DRPV*V_DF28</f>
        <v>-7119.9037923103</v>
      </c>
    </row>
    <row r="51" customFormat="false" ht="15" hidden="false" customHeight="false" outlineLevel="0" collapsed="false">
      <c r="A51" s="3" t="s">
        <v>2315</v>
      </c>
      <c r="D51" s="20"/>
      <c r="E51" s="112" t="n">
        <f aca="false">V_PVF+V_PVTV+V_DRAdj</f>
        <v>-183.737139392088</v>
      </c>
    </row>
    <row r="52" customFormat="false" ht="15" hidden="false" customHeight="false" outlineLevel="0" collapsed="false">
      <c r="A52" s="104" t="s">
        <v>2316</v>
      </c>
      <c r="D52" s="20" t="s">
        <v>2317</v>
      </c>
      <c r="E52" s="106" t="n">
        <f aca="false">0</f>
        <v>0</v>
      </c>
    </row>
    <row r="53" customFormat="false" ht="15" hidden="false" customHeight="false" outlineLevel="0" collapsed="false">
      <c r="A53" s="104" t="s">
        <v>2318</v>
      </c>
      <c r="D53" s="20" t="s">
        <v>2319</v>
      </c>
      <c r="E53" s="27" t="n">
        <f aca="false">(182.8-106.5)*2/AVERAGE(1577.5,4778.3,5975.2)</f>
        <v>0.0371259427459249</v>
      </c>
    </row>
    <row r="54" customFormat="false" ht="15" hidden="false" customHeight="false" outlineLevel="0" collapsed="false">
      <c r="A54" s="104" t="s">
        <v>2320</v>
      </c>
      <c r="D54" s="20"/>
      <c r="E54" s="25" t="n">
        <f aca="false">IF(V_EV&lt;&gt;0,V_PVTV/V_EV,0)</f>
        <v>-250.588882095004</v>
      </c>
    </row>
    <row r="55" customFormat="false" ht="15" hidden="false" customHeight="false" outlineLevel="0" collapsed="false">
      <c r="A55" s="104" t="s">
        <v>2321</v>
      </c>
      <c r="D55" s="20" t="s">
        <v>2322</v>
      </c>
      <c r="E55" s="106" t="n">
        <v>-7484.7981188281</v>
      </c>
    </row>
    <row r="56" customFormat="false" ht="15" hidden="false" customHeight="false" outlineLevel="0" collapsed="false">
      <c r="A56" s="104" t="s">
        <v>2323</v>
      </c>
      <c r="D56" s="20"/>
      <c r="E56" s="24" t="n">
        <v>0.01</v>
      </c>
    </row>
    <row r="57" customFormat="false" ht="15" hidden="false" customHeight="false" outlineLevel="0" collapsed="false">
      <c r="A57" s="104" t="s">
        <v>2324</v>
      </c>
      <c r="D57" s="20"/>
      <c r="E57" s="106" t="n">
        <v>-183.737139392088</v>
      </c>
    </row>
    <row r="58" customFormat="false" ht="15" hidden="false" customHeight="false" outlineLevel="0" collapsed="false">
      <c r="A58" s="104" t="s">
        <v>2325</v>
      </c>
      <c r="D58" s="20"/>
      <c r="E58" s="106" t="n">
        <v>90449.1360846713</v>
      </c>
    </row>
    <row r="59" customFormat="false" ht="15" hidden="false" customHeight="false" outlineLevel="0" collapsed="false">
      <c r="A59" s="104" t="s">
        <v>2326</v>
      </c>
      <c r="D59" s="20"/>
      <c r="E59" s="106" t="n">
        <v>-25664.8938022506</v>
      </c>
    </row>
    <row r="60" customFormat="false" ht="15" hidden="false" customHeight="false" outlineLevel="0" collapsed="false">
      <c r="A60" s="104" t="s">
        <v>2327</v>
      </c>
      <c r="D60" s="20"/>
      <c r="E60" s="50" t="n">
        <v>0.82509878873241</v>
      </c>
    </row>
    <row r="61" customFormat="false" ht="15" hidden="false" customHeight="false" outlineLevel="0" collapsed="false">
      <c r="A61" s="104" t="s">
        <v>2328</v>
      </c>
      <c r="D61" s="20"/>
      <c r="E61" s="50" t="n">
        <v>0.82509878873241</v>
      </c>
    </row>
    <row r="62" customFormat="false" ht="15" hidden="false" customHeight="false" outlineLevel="0" collapsed="false">
      <c r="A62" s="104" t="s">
        <v>2329</v>
      </c>
      <c r="D62" s="20"/>
      <c r="E62" s="50" t="n">
        <v>0.82509878873241</v>
      </c>
    </row>
    <row r="64" customFormat="false" ht="15" hidden="false" customHeight="false" outlineLevel="0" collapsed="false">
      <c r="A64" s="53" t="s">
        <v>2330</v>
      </c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</row>
    <row r="65" customFormat="false" ht="15" hidden="false" customHeight="false" outlineLevel="0" collapsed="false">
      <c r="A65" s="104" t="s">
        <v>2331</v>
      </c>
      <c r="D65" s="20"/>
      <c r="E65" s="37" t="n">
        <f aca="false">MATCH(ValDate,Q_End,1)</f>
        <v>11</v>
      </c>
    </row>
    <row r="66" customFormat="false" ht="15" hidden="false" customHeight="false" outlineLevel="0" collapsed="false">
      <c r="A66" s="104" t="s">
        <v>2332</v>
      </c>
      <c r="D66" s="20"/>
      <c r="E66" s="26" t="str">
        <f aca="false">INDEX(Q_Lab,1,V_Q)</f>
        <v>Q3'26</v>
      </c>
    </row>
    <row r="67" customFormat="false" ht="15" hidden="false" customHeight="false" outlineLevel="0" collapsed="false">
      <c r="A67" s="104" t="s">
        <v>2333</v>
      </c>
      <c r="D67" s="20" t="s">
        <v>2334</v>
      </c>
      <c r="E67" s="106" t="n">
        <f aca="false">INDEX(CF_NetDebt,1,V_Q)</f>
        <v>2021.7601076938</v>
      </c>
    </row>
    <row r="68" customFormat="false" ht="15" hidden="false" customHeight="false" outlineLevel="0" collapsed="false">
      <c r="A68" s="104" t="s">
        <v>2335</v>
      </c>
      <c r="D68" s="20"/>
      <c r="E68" s="106" t="n">
        <f aca="false">(CH_Lo+SOTPPt*(CH_Hi-CH_Lo))*(1-SOTP_Disc)</f>
        <v>2144.1375</v>
      </c>
    </row>
    <row r="69" customFormat="false" ht="15" hidden="false" customHeight="false" outlineLevel="0" collapsed="false">
      <c r="A69" s="104" t="s">
        <v>2336</v>
      </c>
      <c r="D69" s="20"/>
      <c r="E69" s="106" t="n">
        <f aca="false">(TO_Lo+SOTPPt*(TO_Hi-TO_Lo))*(1-SOTP_Disc)</f>
        <v>97.95</v>
      </c>
    </row>
    <row r="70" customFormat="false" ht="15" hidden="false" customHeight="false" outlineLevel="0" collapsed="false">
      <c r="A70" s="104" t="s">
        <v>2337</v>
      </c>
      <c r="D70" s="20"/>
      <c r="E70" s="106" t="n">
        <f aca="false">(AV_Lo+AVPt*(AV_Hi-AV_Lo))*(1-SOTP_Disc)</f>
        <v>0</v>
      </c>
    </row>
    <row r="71" customFormat="false" ht="15" hidden="false" customHeight="false" outlineLevel="0" collapsed="false">
      <c r="A71" s="104" t="s">
        <v>2338</v>
      </c>
      <c r="D71" s="20"/>
      <c r="E71" s="106" t="n">
        <f aca="false">Other_Val*(1-SOTP_Disc)</f>
        <v>12.225</v>
      </c>
    </row>
    <row r="72" customFormat="false" ht="15" hidden="false" customHeight="false" outlineLevel="0" collapsed="false">
      <c r="A72" s="104" t="s">
        <v>2339</v>
      </c>
      <c r="D72" s="20" t="s">
        <v>2340</v>
      </c>
      <c r="E72" s="106" t="n">
        <f aca="false">IF(AND(AVBurnOn=1,V_AV&gt;0),-AVBurnQ*(SUM($F$12:$AG$12)+4*(1+V_g)/(WACC-V_g)*V_DF28),0)</f>
        <v>0</v>
      </c>
    </row>
    <row r="73" customFormat="false" ht="15" hidden="false" customHeight="false" outlineLevel="0" collapsed="false">
      <c r="A73" s="3" t="s">
        <v>2341</v>
      </c>
      <c r="D73" s="20"/>
      <c r="E73" s="112" t="n">
        <f aca="false">V_CH+V_TO+V_AV+V_OT+V_AVAdd</f>
        <v>2254.3125</v>
      </c>
    </row>
    <row r="74" customFormat="false" ht="15" hidden="false" customHeight="false" outlineLevel="0" collapsed="false">
      <c r="A74" s="104" t="s">
        <v>2342</v>
      </c>
      <c r="D74" s="20"/>
      <c r="E74" s="106" t="n">
        <f aca="false">OffBS_Energy+OffBS_Lease+OpLease</f>
        <v>18995</v>
      </c>
    </row>
    <row r="75" customFormat="false" ht="15" hidden="false" customHeight="false" outlineLevel="0" collapsed="false">
      <c r="A75" s="104" t="s">
        <v>2343</v>
      </c>
      <c r="D75" s="20"/>
      <c r="E75" s="31" t="n">
        <f aca="false">INDEX(Sh_Dil,1,V_Q)</f>
        <v>314.925245</v>
      </c>
    </row>
    <row r="77" customFormat="false" ht="15" hidden="false" customHeight="false" outlineLevel="0" collapsed="false">
      <c r="A77" s="53" t="s">
        <v>2344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</row>
    <row r="78" customFormat="false" ht="15" hidden="false" customHeight="false" outlineLevel="0" collapsed="false">
      <c r="A78" s="3" t="s">
        <v>2345</v>
      </c>
      <c r="E78" s="3" t="s">
        <v>2346</v>
      </c>
      <c r="F78" s="3" t="s">
        <v>2140</v>
      </c>
      <c r="G78" s="3" t="s">
        <v>2347</v>
      </c>
      <c r="H78" s="3" t="s">
        <v>2348</v>
      </c>
      <c r="I78" s="3" t="s">
        <v>2349</v>
      </c>
      <c r="J78" s="3" t="s">
        <v>2350</v>
      </c>
    </row>
    <row r="79" customFormat="false" ht="15" hidden="false" customHeight="false" outlineLevel="0" collapsed="false">
      <c r="A79" s="0" t="s">
        <v>2017</v>
      </c>
      <c r="E79" s="31" t="n">
        <f aca="false">INDEX(CVo_0,1,V_Q)</f>
        <v>87.5</v>
      </c>
      <c r="F79" s="31" t="n">
        <f aca="false">INDEX(CVb_0,1,V_Q)</f>
        <v>93.4377364799465</v>
      </c>
      <c r="G79" s="44" t="n">
        <f aca="false">INDEX(CV_Rate,1)</f>
        <v>19.4363</v>
      </c>
      <c r="H79" s="24" t="n">
        <f aca="false">INDEX(CV_Px,1)</f>
        <v>51.4501216795378</v>
      </c>
      <c r="I79" s="31" t="n">
        <f aca="false">INDEX(CVo_0,1,FP_PostQ)</f>
        <v>87.5</v>
      </c>
      <c r="J79" s="31" t="n">
        <f aca="false">INDEX(CVb_0,1,FP_PostQ)</f>
        <v>99.0674990760784</v>
      </c>
    </row>
    <row r="80" customFormat="false" ht="15" hidden="false" customHeight="false" outlineLevel="0" collapsed="false">
      <c r="A80" s="0" t="s">
        <v>2020</v>
      </c>
      <c r="E80" s="31" t="n">
        <f aca="false">INDEX(CVo_1,1,V_Q)</f>
        <v>87.5</v>
      </c>
      <c r="F80" s="31" t="n">
        <f aca="false">INDEX(CVb_1,1,V_Q)</f>
        <v>92.4447199652961</v>
      </c>
      <c r="G80" s="44" t="n">
        <f aca="false">INDEX(CV_Rate,2)</f>
        <v>19.4363</v>
      </c>
      <c r="H80" s="24" t="n">
        <f aca="false">INDEX(CV_Px,2)</f>
        <v>51.4501216795378</v>
      </c>
      <c r="I80" s="31" t="n">
        <f aca="false">INDEX(CVo_1,1,FP_PostQ)</f>
        <v>87.5</v>
      </c>
      <c r="J80" s="31" t="n">
        <f aca="false">INDEX(CVb_1,1,FP_PostQ)</f>
        <v>97.1329710527241</v>
      </c>
    </row>
    <row r="81" customFormat="false" ht="15" hidden="false" customHeight="false" outlineLevel="0" collapsed="false">
      <c r="A81" s="0" t="s">
        <v>2022</v>
      </c>
      <c r="E81" s="31" t="n">
        <f aca="false">INDEX(CVo_2,1,V_Q)</f>
        <v>1581.25</v>
      </c>
      <c r="F81" s="31" t="n">
        <f aca="false">INDEX(CVb_2,1,V_Q)</f>
        <v>1630.60993975904</v>
      </c>
      <c r="G81" s="44" t="n">
        <f aca="false">INDEX(CV_Rate,3)</f>
        <v>7.2072</v>
      </c>
      <c r="H81" s="24" t="n">
        <f aca="false">INDEX(CV_Px,3)</f>
        <v>138.750138750139</v>
      </c>
      <c r="I81" s="31" t="n">
        <f aca="false">INDEX(CVo_2,1,FP_PostQ)</f>
        <v>1581.25</v>
      </c>
      <c r="J81" s="31" t="n">
        <f aca="false">INDEX(CVb_2,1,FP_PostQ)</f>
        <v>1689.97176204819</v>
      </c>
    </row>
    <row r="82" customFormat="false" ht="15" hidden="false" customHeight="false" outlineLevel="0" collapsed="false">
      <c r="A82" s="0" t="s">
        <v>2024</v>
      </c>
      <c r="E82" s="31" t="n">
        <f aca="false">INDEX(CVo_3,1,V_Q)</f>
        <v>1581.25</v>
      </c>
      <c r="F82" s="31" t="n">
        <f aca="false">INDEX(CVb_3,1,V_Q)</f>
        <v>1616.4988267501</v>
      </c>
      <c r="G82" s="44" t="n">
        <f aca="false">INDEX(CV_Rate,4)</f>
        <v>7.2072</v>
      </c>
      <c r="H82" s="24" t="n">
        <f aca="false">INDEX(CV_Px,4)</f>
        <v>138.750138750139</v>
      </c>
      <c r="I82" s="31" t="n">
        <f aca="false">INDEX(CVo_3,1,FP_PostQ)</f>
        <v>1581.25</v>
      </c>
      <c r="J82" s="31" t="n">
        <f aca="false">INDEX(CVb_3,1,FP_PostQ)</f>
        <v>1658.89017892061</v>
      </c>
    </row>
    <row r="83" customFormat="false" ht="15" hidden="false" customHeight="false" outlineLevel="0" collapsed="false">
      <c r="A83" s="0" t="s">
        <v>2025</v>
      </c>
      <c r="E83" s="31" t="n">
        <f aca="false">INDEX(CVo_4,1,V_Q)</f>
        <v>2587.5</v>
      </c>
      <c r="F83" s="31" t="n">
        <f aca="false">INDEX(CVb_4,1,V_Q)</f>
        <v>2642.63179571664</v>
      </c>
      <c r="G83" s="44" t="n">
        <f aca="false">INDEX(CV_Rate,5)</f>
        <v>5.4579</v>
      </c>
      <c r="H83" s="24" t="n">
        <f aca="false">INDEX(CV_Px,5)</f>
        <v>183.220652631965</v>
      </c>
      <c r="I83" s="31" t="n">
        <f aca="false">INDEX(CVo_4,1,FP_PostQ)</f>
        <v>2587.5</v>
      </c>
      <c r="J83" s="31" t="n">
        <f aca="false">INDEX(CVb_4,1,FP_PostQ)</f>
        <v>2772.50411861614</v>
      </c>
    </row>
    <row r="84" customFormat="false" ht="15" hidden="false" customHeight="false" outlineLevel="0" collapsed="false">
      <c r="A84" s="0" t="s">
        <v>2027</v>
      </c>
      <c r="E84" s="31" t="n">
        <f aca="false">INDEX(CVo_5,1,V_Q)</f>
        <v>1750</v>
      </c>
      <c r="F84" s="31" t="n">
        <f aca="false">INDEX(CVb_5,1,V_Q)</f>
        <v>1776.6065830721</v>
      </c>
      <c r="G84" s="44" t="n">
        <f aca="false">INDEX(CV_Rate,6)</f>
        <v>5.546</v>
      </c>
      <c r="H84" s="24" t="n">
        <f aca="false">INDEX(CV_Px,6)</f>
        <v>180.310133429499</v>
      </c>
      <c r="I84" s="31" t="n">
        <f aca="false">INDEX(CVo_5,1,FP_PostQ)</f>
        <v>1750</v>
      </c>
      <c r="J84" s="31" t="n">
        <f aca="false">INDEX(CVb_5,1,FP_PostQ)</f>
        <v>1839.2829153605</v>
      </c>
    </row>
    <row r="85" customFormat="false" ht="15" hidden="false" customHeight="false" outlineLevel="0" collapsed="false">
      <c r="A85" s="0" t="s">
        <v>2029</v>
      </c>
      <c r="E85" s="31" t="n">
        <f aca="false">INDEX(CVo_6,1,V_Q)</f>
        <v>3450</v>
      </c>
      <c r="F85" s="31" t="n">
        <f aca="false">INDEX(CVb_6,1,V_Q)</f>
        <v>3460.04327301338</v>
      </c>
      <c r="G85" s="44" t="n">
        <f aca="false">INDEX(CV_Rate,7)</f>
        <v>3.1902</v>
      </c>
      <c r="H85" s="24" t="n">
        <f aca="false">INDEX(CV_Px,7)</f>
        <v>313.459971161683</v>
      </c>
      <c r="I85" s="31" t="n">
        <f aca="false">INDEX(CVo_6,1,FP_PostQ)</f>
        <v>3450</v>
      </c>
      <c r="J85" s="31" t="n">
        <f aca="false">INDEX(CVb_6,1,FP_PostQ)</f>
        <v>3584.09126671912</v>
      </c>
    </row>
    <row r="86" customFormat="false" ht="15" hidden="false" customHeight="false" outlineLevel="0" collapsed="false">
      <c r="A86" s="0" t="s">
        <v>2031</v>
      </c>
      <c r="E86" s="31" t="n">
        <f aca="false">INDEX(CVo_7,1,V_Q)</f>
        <v>2300</v>
      </c>
      <c r="F86" s="31" t="n">
        <f aca="false">INDEX(CVb_7,1,V_Q)</f>
        <v>2307.78733528551</v>
      </c>
      <c r="G86" s="44" t="n">
        <f aca="false">INDEX(CV_Rate,8)</f>
        <v>3.0802</v>
      </c>
      <c r="H86" s="24" t="n">
        <f aca="false">INDEX(CV_Px,8)</f>
        <v>324.654243230959</v>
      </c>
      <c r="I86" s="31" t="n">
        <f aca="false">INDEX(CVo_7,1,FP_PostQ)</f>
        <v>2300</v>
      </c>
      <c r="J86" s="31" t="n">
        <f aca="false">INDEX(CVb_7,1,FP_PostQ)</f>
        <v>2403.97144948756</v>
      </c>
    </row>
    <row r="87" customFormat="false" ht="15" hidden="false" customHeight="false" outlineLevel="0" collapsed="false">
      <c r="A87" s="0" t="s">
        <v>2033</v>
      </c>
      <c r="E87" s="31" t="n">
        <f aca="false">INDEX(CVo_8,1,V_Q)</f>
        <v>0</v>
      </c>
      <c r="F87" s="31" t="n">
        <f aca="false">INDEX(CVb_8,1,V_Q)</f>
        <v>0</v>
      </c>
      <c r="G87" s="44" t="n">
        <f aca="false">INDEX(CV_Rate,9)</f>
        <v>2.94174751569422</v>
      </c>
      <c r="H87" s="24" t="n">
        <f aca="false">INDEX(CV_Px,9)</f>
        <v>339.934</v>
      </c>
      <c r="I87" s="31" t="n">
        <f aca="false">INDEX(CVo_8,1,FP_PostQ)</f>
        <v>3840</v>
      </c>
      <c r="J87" s="31" t="n">
        <f aca="false">INDEX(CVb_8,1,FP_PostQ)</f>
        <v>3936.22552858262</v>
      </c>
    </row>
    <row r="88" customFormat="false" ht="15" hidden="false" customHeight="false" outlineLevel="0" collapsed="false">
      <c r="A88" s="0" t="s">
        <v>2035</v>
      </c>
      <c r="E88" s="31" t="n">
        <f aca="false">INDEX(CVo_9,1,V_Q)</f>
        <v>0</v>
      </c>
      <c r="F88" s="31" t="n">
        <f aca="false">INDEX(CVb_9,1,V_Q)</f>
        <v>0</v>
      </c>
      <c r="G88" s="44" t="n">
        <f aca="false">INDEX(CV_Rate,10)</f>
        <v>2.84030794618753</v>
      </c>
      <c r="H88" s="24" t="n">
        <f aca="false">INDEX(CV_Px,10)</f>
        <v>352.0745</v>
      </c>
      <c r="I88" s="31" t="n">
        <f aca="false">INDEX(CVo_9,1,FP_PostQ)</f>
        <v>2560</v>
      </c>
      <c r="J88" s="31" t="n">
        <f aca="false">INDEX(CVb_9,1,FP_PostQ)</f>
        <v>2634.79912344777</v>
      </c>
    </row>
    <row r="89" customFormat="false" ht="15" hidden="false" customHeight="false" outlineLevel="0" collapsed="false">
      <c r="A89" s="0" t="s">
        <v>2036</v>
      </c>
      <c r="E89" s="31" t="n">
        <f aca="false">INDEX(CVo_10,1,V_Q)</f>
        <v>0</v>
      </c>
      <c r="F89" s="31" t="n">
        <f aca="false">INDEX(CVb_10,1,V_Q)</f>
        <v>0</v>
      </c>
      <c r="G89" s="44" t="n">
        <f aca="false">INDEX(CV_Rate,11)</f>
        <v>2.94174751569422</v>
      </c>
      <c r="H89" s="24" t="n">
        <f aca="false">INDEX(CV_Px,11)</f>
        <v>339.934</v>
      </c>
      <c r="I89" s="31" t="n">
        <f aca="false">INDEX(CVo_10,1,FP_PostQ)</f>
        <v>3840</v>
      </c>
      <c r="J89" s="31" t="n">
        <f aca="false">INDEX(CVb_10,1,FP_PostQ)</f>
        <v>3881.7</v>
      </c>
    </row>
    <row r="90" customFormat="false" ht="15" hidden="false" customHeight="false" outlineLevel="0" collapsed="false">
      <c r="A90" s="0" t="s">
        <v>2037</v>
      </c>
      <c r="E90" s="31" t="n">
        <f aca="false">INDEX(CVo_11,1,V_Q)</f>
        <v>0</v>
      </c>
      <c r="F90" s="31" t="n">
        <f aca="false">INDEX(CVb_11,1,V_Q)</f>
        <v>0</v>
      </c>
      <c r="G90" s="44" t="n">
        <f aca="false">INDEX(CV_Rate,12)</f>
        <v>2.84030794618753</v>
      </c>
      <c r="H90" s="24" t="n">
        <f aca="false">INDEX(CV_Px,12)</f>
        <v>352.0745</v>
      </c>
      <c r="I90" s="31" t="n">
        <f aca="false">INDEX(CVo_11,1,FP_PostQ)</f>
        <v>2560</v>
      </c>
      <c r="J90" s="31" t="n">
        <f aca="false">INDEX(CVb_11,1,FP_PostQ)</f>
        <v>2592.45530828165</v>
      </c>
    </row>
    <row r="91" customFormat="false" ht="15" hidden="false" customHeight="false" outlineLevel="0" collapsed="false">
      <c r="A91" s="104" t="s">
        <v>2351</v>
      </c>
      <c r="D91" s="20"/>
      <c r="E91" s="106" t="n">
        <f aca="false">INDEX(CF_Cash,1,V_Q)</f>
        <v>11598.3001023482</v>
      </c>
    </row>
    <row r="92" customFormat="false" ht="15" hidden="false" customHeight="false" outlineLevel="0" collapsed="false">
      <c r="A92" s="104" t="s">
        <v>2352</v>
      </c>
      <c r="D92" s="20"/>
      <c r="E92" s="106" t="n">
        <f aca="false">INDEX(Sec_Bal,1,V_Q)+INDEX(CF_PlugBal,1,V_Q)</f>
        <v>0</v>
      </c>
    </row>
    <row r="93" customFormat="false" ht="15" hidden="false" customHeight="false" outlineLevel="0" collapsed="false">
      <c r="A93" s="104" t="s">
        <v>2353</v>
      </c>
      <c r="D93" s="20" t="s">
        <v>2354</v>
      </c>
      <c r="E93" s="42" t="n">
        <f aca="false">INDEX(Sh_EconBasic,1,V_Q)</f>
        <v>308.691154</v>
      </c>
    </row>
    <row r="94" customFormat="false" ht="15" hidden="false" customHeight="false" outlineLevel="0" collapsed="false">
      <c r="A94" s="104" t="s">
        <v>2355</v>
      </c>
      <c r="D94" s="20"/>
      <c r="E94" s="42" t="n">
        <f aca="false">RSU+EigenIn*Eigen</f>
        <v>6.234091</v>
      </c>
    </row>
    <row r="95" customFormat="false" ht="15" hidden="false" customHeight="false" outlineLevel="0" collapsed="false">
      <c r="A95" s="3" t="s">
        <v>2356</v>
      </c>
      <c r="E95" s="3" t="s">
        <v>2357</v>
      </c>
      <c r="F95" s="3" t="s">
        <v>2358</v>
      </c>
      <c r="G95" s="3" t="s">
        <v>2359</v>
      </c>
    </row>
    <row r="96" customFormat="false" ht="15" hidden="false" customHeight="false" outlineLevel="0" collapsed="false">
      <c r="A96" s="0" t="s">
        <v>2360</v>
      </c>
      <c r="E96" s="25" t="n">
        <f aca="false">0</f>
        <v>0</v>
      </c>
      <c r="F96" s="25" t="n">
        <f aca="false">OffBSWt</f>
        <v>0.5</v>
      </c>
      <c r="G96" s="25" t="n">
        <f aca="false">1</f>
        <v>1</v>
      </c>
    </row>
    <row r="97" customFormat="false" ht="15" hidden="false" customHeight="false" outlineLevel="0" collapsed="false">
      <c r="A97" s="0" t="s">
        <v>2361</v>
      </c>
      <c r="E97" s="24" t="n">
        <f aca="false">SharePx</f>
        <v>242.81</v>
      </c>
      <c r="F97" s="24" t="n">
        <f aca="false">SharePx</f>
        <v>242.81</v>
      </c>
      <c r="G97" s="24" t="n">
        <f aca="false">SharePx</f>
        <v>242.81</v>
      </c>
    </row>
    <row r="98" customFormat="false" ht="15" hidden="false" customHeight="false" outlineLevel="0" collapsed="false">
      <c r="A98" s="0" t="s">
        <v>2362</v>
      </c>
      <c r="E98" s="24" t="n">
        <f aca="false">MAX(0.01,(V_EV-E$96*V_OFF-V_ODEBT-CHOOSE(DilMethod,0,SUMPRODUCT((E97&lt;=$H$79:$H$90)*((CVDebtBasis=1)*$E$79:$E$90+(CVDebtBasis=2)*$F$79:$F$90)),SUMPRODUCT(((CVDebtBasis=1)*$E$79:$E$90+(CVDebtBasis=2)*$F$79:$F$90)))+V_CASH+V_SOTP)/(V_BASIC+V_RSU+Options*MAX(0,1-OptK/E97)+CHOOSE(DilMethod,SUMPRODUCT($E$79:$E$90,$G$79:$G$90)/1000,SUMPRODUCT((E97&gt;$H$79:$H$90)*$E$79:$E$90*$G$79:$G$90)/1000,SUMPRODUCT((($E$79:$E$90*$G$79:$G$90/1000*E97-((CVDebtBasis=1)*$E$79:$E$90+(CVDebtBasis=2)*$F$79:$F$90))&gt;0)*($E$79:$E$90*$G$79:$G$90/1000*E97-((CVDebtBasis=1)*$E$79:$E$90+(CVDebtBasis=2)*$F$79:$F$90)))/E97)))</f>
        <v>21.4471855881301</v>
      </c>
      <c r="F98" s="24" t="n">
        <f aca="false">MAX(0.01,(V_EV-F$96*V_OFF-V_ODEBT-CHOOSE(DilMethod,0,SUMPRODUCT((F97&lt;=$H$79:$H$90)*((CVDebtBasis=1)*$E$79:$E$90+(CVDebtBasis=2)*$F$79:$F$90)),SUMPRODUCT(((CVDebtBasis=1)*$E$79:$E$90+(CVDebtBasis=2)*$F$79:$F$90)))+V_CASH+V_SOTP)/(V_BASIC+V_RSU+Options*MAX(0,1-OptK/F97)+CHOOSE(DilMethod,SUMPRODUCT($E$79:$E$90,$G$79:$G$90)/1000,SUMPRODUCT((F97&gt;$H$79:$H$90)*$E$79:$E$90*$G$79:$G$90)/1000,SUMPRODUCT((($E$79:$E$90*$G$79:$G$90/1000*F97-((CVDebtBasis=1)*$E$79:$E$90+(CVDebtBasis=2)*$F$79:$F$90))&gt;0)*($E$79:$E$90*$G$79:$G$90/1000*F97-((CVDebtBasis=1)*$E$79:$E$90+(CVDebtBasis=2)*$F$79:$F$90)))/F97)))</f>
        <v>0.01</v>
      </c>
      <c r="G98" s="24" t="n">
        <f aca="false">MAX(0.01,(V_EV-G$96*V_OFF-V_ODEBT-CHOOSE(DilMethod,0,SUMPRODUCT((G97&lt;=$H$79:$H$90)*((CVDebtBasis=1)*$E$79:$E$90+(CVDebtBasis=2)*$F$79:$F$90)),SUMPRODUCT(((CVDebtBasis=1)*$E$79:$E$90+(CVDebtBasis=2)*$F$79:$F$90)))+V_CASH+V_SOTP)/(V_BASIC+V_RSU+Options*MAX(0,1-OptK/G97)+CHOOSE(DilMethod,SUMPRODUCT($E$79:$E$90,$G$79:$G$90)/1000,SUMPRODUCT((G97&gt;$H$79:$H$90)*$E$79:$E$90*$G$79:$G$90)/1000,SUMPRODUCT((($E$79:$E$90*$G$79:$G$90/1000*G97-((CVDebtBasis=1)*$E$79:$E$90+(CVDebtBasis=2)*$F$79:$F$90))&gt;0)*($E$79:$E$90*$G$79:$G$90/1000*G97-((CVDebtBasis=1)*$E$79:$E$90+(CVDebtBasis=2)*$F$79:$F$90)))/G97)))</f>
        <v>0.01</v>
      </c>
    </row>
    <row r="99" customFormat="false" ht="15" hidden="false" customHeight="false" outlineLevel="0" collapsed="false">
      <c r="A99" s="0" t="s">
        <v>2363</v>
      </c>
      <c r="E99" s="24" t="n">
        <f aca="false">MAX(0.01,(V_EV-E$96*V_OFF-V_ODEBT-CHOOSE(DilMethod,0,SUMPRODUCT((E98&lt;=$H$79:$H$90)*((CVDebtBasis=1)*$E$79:$E$90+(CVDebtBasis=2)*$F$79:$F$90)),SUMPRODUCT(((CVDebtBasis=1)*$E$79:$E$90+(CVDebtBasis=2)*$F$79:$F$90)))+V_CASH+V_SOTP)/(V_BASIC+V_RSU+Options*MAX(0,1-OptK/E98)+CHOOSE(DilMethod,SUMPRODUCT($E$79:$E$90,$G$79:$G$90)/1000,SUMPRODUCT((E98&gt;$H$79:$H$90)*$E$79:$E$90*$G$79:$G$90)/1000,SUMPRODUCT((($E$79:$E$90*$G$79:$G$90/1000*E98-((CVDebtBasis=1)*$E$79:$E$90+(CVDebtBasis=2)*$F$79:$F$90))&gt;0)*($E$79:$E$90*$G$79:$G$90/1000*E98-((CVDebtBasis=1)*$E$79:$E$90+(CVDebtBasis=2)*$F$79:$F$90)))/E98)))</f>
        <v>0.774391595555017</v>
      </c>
      <c r="F99" s="24" t="n">
        <f aca="false">MAX(0.01,(V_EV-F$96*V_OFF-V_ODEBT-CHOOSE(DilMethod,0,SUMPRODUCT((F98&lt;=$H$79:$H$90)*((CVDebtBasis=1)*$E$79:$E$90+(CVDebtBasis=2)*$F$79:$F$90)),SUMPRODUCT(((CVDebtBasis=1)*$E$79:$E$90+(CVDebtBasis=2)*$F$79:$F$90)))+V_CASH+V_SOTP)/(V_BASIC+V_RSU+Options*MAX(0,1-OptK/F98)+CHOOSE(DilMethod,SUMPRODUCT($E$79:$E$90,$G$79:$G$90)/1000,SUMPRODUCT((F98&gt;$H$79:$H$90)*$E$79:$E$90*$G$79:$G$90)/1000,SUMPRODUCT((($E$79:$E$90*$G$79:$G$90/1000*F98-((CVDebtBasis=1)*$E$79:$E$90+(CVDebtBasis=2)*$F$79:$F$90))&gt;0)*($E$79:$E$90*$G$79:$G$90/1000*F98-((CVDebtBasis=1)*$E$79:$E$90+(CVDebtBasis=2)*$F$79:$F$90)))/F98)))</f>
        <v>0.01</v>
      </c>
      <c r="G99" s="24" t="n">
        <f aca="false">MAX(0.01,(V_EV-G$96*V_OFF-V_ODEBT-CHOOSE(DilMethod,0,SUMPRODUCT((G98&lt;=$H$79:$H$90)*((CVDebtBasis=1)*$E$79:$E$90+(CVDebtBasis=2)*$F$79:$F$90)),SUMPRODUCT(((CVDebtBasis=1)*$E$79:$E$90+(CVDebtBasis=2)*$F$79:$F$90)))+V_CASH+V_SOTP)/(V_BASIC+V_RSU+Options*MAX(0,1-OptK/G98)+CHOOSE(DilMethod,SUMPRODUCT($E$79:$E$90,$G$79:$G$90)/1000,SUMPRODUCT((G98&gt;$H$79:$H$90)*$E$79:$E$90*$G$79:$G$90)/1000,SUMPRODUCT((($E$79:$E$90*$G$79:$G$90/1000*G98-((CVDebtBasis=1)*$E$79:$E$90+(CVDebtBasis=2)*$F$79:$F$90))&gt;0)*($E$79:$E$90*$G$79:$G$90/1000*G98-((CVDebtBasis=1)*$E$79:$E$90+(CVDebtBasis=2)*$F$79:$F$90)))/G98)))</f>
        <v>0.01</v>
      </c>
    </row>
    <row r="100" customFormat="false" ht="15" hidden="false" customHeight="false" outlineLevel="0" collapsed="false">
      <c r="A100" s="0" t="s">
        <v>2364</v>
      </c>
      <c r="E100" s="24" t="n">
        <f aca="false">MAX(0.01,(V_EV-E$96*V_OFF-V_ODEBT-CHOOSE(DilMethod,0,SUMPRODUCT((E99&lt;=$H$79:$H$90)*((CVDebtBasis=1)*$E$79:$E$90+(CVDebtBasis=2)*$F$79:$F$90)),SUMPRODUCT(((CVDebtBasis=1)*$E$79:$E$90+(CVDebtBasis=2)*$F$79:$F$90)))+V_CASH+V_SOTP)/(V_BASIC+V_RSU+Options*MAX(0,1-OptK/E99)+CHOOSE(DilMethod,SUMPRODUCT($E$79:$E$90,$G$79:$G$90)/1000,SUMPRODUCT((E99&gt;$H$79:$H$90)*$E$79:$E$90*$G$79:$G$90)/1000,SUMPRODUCT((($E$79:$E$90*$G$79:$G$90/1000*E99-((CVDebtBasis=1)*$E$79:$E$90+(CVDebtBasis=2)*$F$79:$F$90))&gt;0)*($E$79:$E$90*$G$79:$G$90/1000*E99-((CVDebtBasis=1)*$E$79:$E$90+(CVDebtBasis=2)*$F$79:$F$90)))/E99)))</f>
        <v>0.774391595555017</v>
      </c>
      <c r="F100" s="24" t="n">
        <f aca="false">MAX(0.01,(V_EV-F$96*V_OFF-V_ODEBT-CHOOSE(DilMethod,0,SUMPRODUCT((F99&lt;=$H$79:$H$90)*((CVDebtBasis=1)*$E$79:$E$90+(CVDebtBasis=2)*$F$79:$F$90)),SUMPRODUCT(((CVDebtBasis=1)*$E$79:$E$90+(CVDebtBasis=2)*$F$79:$F$90)))+V_CASH+V_SOTP)/(V_BASIC+V_RSU+Options*MAX(0,1-OptK/F99)+CHOOSE(DilMethod,SUMPRODUCT($E$79:$E$90,$G$79:$G$90)/1000,SUMPRODUCT((F99&gt;$H$79:$H$90)*$E$79:$E$90*$G$79:$G$90)/1000,SUMPRODUCT((($E$79:$E$90*$G$79:$G$90/1000*F99-((CVDebtBasis=1)*$E$79:$E$90+(CVDebtBasis=2)*$F$79:$F$90))&gt;0)*($E$79:$E$90*$G$79:$G$90/1000*F99-((CVDebtBasis=1)*$E$79:$E$90+(CVDebtBasis=2)*$F$79:$F$90)))/F99)))</f>
        <v>0.01</v>
      </c>
      <c r="G100" s="24" t="n">
        <f aca="false">MAX(0.01,(V_EV-G$96*V_OFF-V_ODEBT-CHOOSE(DilMethod,0,SUMPRODUCT((G99&lt;=$H$79:$H$90)*((CVDebtBasis=1)*$E$79:$E$90+(CVDebtBasis=2)*$F$79:$F$90)),SUMPRODUCT(((CVDebtBasis=1)*$E$79:$E$90+(CVDebtBasis=2)*$F$79:$F$90)))+V_CASH+V_SOTP)/(V_BASIC+V_RSU+Options*MAX(0,1-OptK/G99)+CHOOSE(DilMethod,SUMPRODUCT($E$79:$E$90,$G$79:$G$90)/1000,SUMPRODUCT((G99&gt;$H$79:$H$90)*$E$79:$E$90*$G$79:$G$90)/1000,SUMPRODUCT((($E$79:$E$90*$G$79:$G$90/1000*G99-((CVDebtBasis=1)*$E$79:$E$90+(CVDebtBasis=2)*$F$79:$F$90))&gt;0)*($E$79:$E$90*$G$79:$G$90/1000*G99-((CVDebtBasis=1)*$E$79:$E$90+(CVDebtBasis=2)*$F$79:$F$90)))/G99)))</f>
        <v>0.01</v>
      </c>
    </row>
    <row r="101" customFormat="false" ht="15" hidden="false" customHeight="false" outlineLevel="0" collapsed="false">
      <c r="A101" s="0" t="s">
        <v>2365</v>
      </c>
      <c r="E101" s="24" t="n">
        <f aca="false">MAX(0.01,(V_EV-E$96*V_OFF-V_ODEBT-CHOOSE(DilMethod,0,SUMPRODUCT((E100&lt;=$H$79:$H$90)*((CVDebtBasis=1)*$E$79:$E$90+(CVDebtBasis=2)*$F$79:$F$90)),SUMPRODUCT(((CVDebtBasis=1)*$E$79:$E$90+(CVDebtBasis=2)*$F$79:$F$90)))+V_CASH+V_SOTP)/(V_BASIC+V_RSU+Options*MAX(0,1-OptK/E100)+CHOOSE(DilMethod,SUMPRODUCT($E$79:$E$90,$G$79:$G$90)/1000,SUMPRODUCT((E100&gt;$H$79:$H$90)*$E$79:$E$90*$G$79:$G$90)/1000,SUMPRODUCT((($E$79:$E$90*$G$79:$G$90/1000*E100-((CVDebtBasis=1)*$E$79:$E$90+(CVDebtBasis=2)*$F$79:$F$90))&gt;0)*($E$79:$E$90*$G$79:$G$90/1000*E100-((CVDebtBasis=1)*$E$79:$E$90+(CVDebtBasis=2)*$F$79:$F$90)))/E100)))</f>
        <v>0.774391595555017</v>
      </c>
      <c r="F101" s="24" t="n">
        <f aca="false">MAX(0.01,(V_EV-F$96*V_OFF-V_ODEBT-CHOOSE(DilMethod,0,SUMPRODUCT((F100&lt;=$H$79:$H$90)*((CVDebtBasis=1)*$E$79:$E$90+(CVDebtBasis=2)*$F$79:$F$90)),SUMPRODUCT(((CVDebtBasis=1)*$E$79:$E$90+(CVDebtBasis=2)*$F$79:$F$90)))+V_CASH+V_SOTP)/(V_BASIC+V_RSU+Options*MAX(0,1-OptK/F100)+CHOOSE(DilMethod,SUMPRODUCT($E$79:$E$90,$G$79:$G$90)/1000,SUMPRODUCT((F100&gt;$H$79:$H$90)*$E$79:$E$90*$G$79:$G$90)/1000,SUMPRODUCT((($E$79:$E$90*$G$79:$G$90/1000*F100-((CVDebtBasis=1)*$E$79:$E$90+(CVDebtBasis=2)*$F$79:$F$90))&gt;0)*($E$79:$E$90*$G$79:$G$90/1000*F100-((CVDebtBasis=1)*$E$79:$E$90+(CVDebtBasis=2)*$F$79:$F$90)))/F100)))</f>
        <v>0.01</v>
      </c>
      <c r="G101" s="24" t="n">
        <f aca="false">MAX(0.01,(V_EV-G$96*V_OFF-V_ODEBT-CHOOSE(DilMethod,0,SUMPRODUCT((G100&lt;=$H$79:$H$90)*((CVDebtBasis=1)*$E$79:$E$90+(CVDebtBasis=2)*$F$79:$F$90)),SUMPRODUCT(((CVDebtBasis=1)*$E$79:$E$90+(CVDebtBasis=2)*$F$79:$F$90)))+V_CASH+V_SOTP)/(V_BASIC+V_RSU+Options*MAX(0,1-OptK/G100)+CHOOSE(DilMethod,SUMPRODUCT($E$79:$E$90,$G$79:$G$90)/1000,SUMPRODUCT((G100&gt;$H$79:$H$90)*$E$79:$E$90*$G$79:$G$90)/1000,SUMPRODUCT((($E$79:$E$90*$G$79:$G$90/1000*G100-((CVDebtBasis=1)*$E$79:$E$90+(CVDebtBasis=2)*$F$79:$F$90))&gt;0)*($E$79:$E$90*$G$79:$G$90/1000*G100-((CVDebtBasis=1)*$E$79:$E$90+(CVDebtBasis=2)*$F$79:$F$90)))/G100)))</f>
        <v>0.01</v>
      </c>
    </row>
    <row r="102" customFormat="false" ht="15" hidden="false" customHeight="false" outlineLevel="0" collapsed="false">
      <c r="A102" s="0" t="s">
        <v>2366</v>
      </c>
      <c r="E102" s="24" t="n">
        <f aca="false">MAX(0.01,(V_EV-E$96*V_OFF-V_ODEBT-CHOOSE(DilMethod,0,SUMPRODUCT((E101&lt;=$H$79:$H$90)*((CVDebtBasis=1)*$E$79:$E$90+(CVDebtBasis=2)*$F$79:$F$90)),SUMPRODUCT(((CVDebtBasis=1)*$E$79:$E$90+(CVDebtBasis=2)*$F$79:$F$90)))+V_CASH+V_SOTP)/(V_BASIC+V_RSU+Options*MAX(0,1-OptK/E101)+CHOOSE(DilMethod,SUMPRODUCT($E$79:$E$90,$G$79:$G$90)/1000,SUMPRODUCT((E101&gt;$H$79:$H$90)*$E$79:$E$90*$G$79:$G$90)/1000,SUMPRODUCT((($E$79:$E$90*$G$79:$G$90/1000*E101-((CVDebtBasis=1)*$E$79:$E$90+(CVDebtBasis=2)*$F$79:$F$90))&gt;0)*($E$79:$E$90*$G$79:$G$90/1000*E101-((CVDebtBasis=1)*$E$79:$E$90+(CVDebtBasis=2)*$F$79:$F$90)))/E101)))</f>
        <v>0.774391595555017</v>
      </c>
      <c r="F102" s="24" t="n">
        <f aca="false">MAX(0.01,(V_EV-F$96*V_OFF-V_ODEBT-CHOOSE(DilMethod,0,SUMPRODUCT((F101&lt;=$H$79:$H$90)*((CVDebtBasis=1)*$E$79:$E$90+(CVDebtBasis=2)*$F$79:$F$90)),SUMPRODUCT(((CVDebtBasis=1)*$E$79:$E$90+(CVDebtBasis=2)*$F$79:$F$90)))+V_CASH+V_SOTP)/(V_BASIC+V_RSU+Options*MAX(0,1-OptK/F101)+CHOOSE(DilMethod,SUMPRODUCT($E$79:$E$90,$G$79:$G$90)/1000,SUMPRODUCT((F101&gt;$H$79:$H$90)*$E$79:$E$90*$G$79:$G$90)/1000,SUMPRODUCT((($E$79:$E$90*$G$79:$G$90/1000*F101-((CVDebtBasis=1)*$E$79:$E$90+(CVDebtBasis=2)*$F$79:$F$90))&gt;0)*($E$79:$E$90*$G$79:$G$90/1000*F101-((CVDebtBasis=1)*$E$79:$E$90+(CVDebtBasis=2)*$F$79:$F$90)))/F101)))</f>
        <v>0.01</v>
      </c>
      <c r="G102" s="24" t="n">
        <f aca="false">MAX(0.01,(V_EV-G$96*V_OFF-V_ODEBT-CHOOSE(DilMethod,0,SUMPRODUCT((G101&lt;=$H$79:$H$90)*((CVDebtBasis=1)*$E$79:$E$90+(CVDebtBasis=2)*$F$79:$F$90)),SUMPRODUCT(((CVDebtBasis=1)*$E$79:$E$90+(CVDebtBasis=2)*$F$79:$F$90)))+V_CASH+V_SOTP)/(V_BASIC+V_RSU+Options*MAX(0,1-OptK/G101)+CHOOSE(DilMethod,SUMPRODUCT($E$79:$E$90,$G$79:$G$90)/1000,SUMPRODUCT((G101&gt;$H$79:$H$90)*$E$79:$E$90*$G$79:$G$90)/1000,SUMPRODUCT((($E$79:$E$90*$G$79:$G$90/1000*G101-((CVDebtBasis=1)*$E$79:$E$90+(CVDebtBasis=2)*$F$79:$F$90))&gt;0)*($E$79:$E$90*$G$79:$G$90/1000*G101-((CVDebtBasis=1)*$E$79:$E$90+(CVDebtBasis=2)*$F$79:$F$90)))/G101)))</f>
        <v>0.01</v>
      </c>
    </row>
    <row r="103" customFormat="false" ht="15" hidden="false" customHeight="false" outlineLevel="0" collapsed="false">
      <c r="A103" s="0" t="s">
        <v>2367</v>
      </c>
      <c r="E103" s="24" t="n">
        <f aca="false">MAX(0.01,(V_EV-E$96*V_OFF-V_ODEBT-CHOOSE(DilMethod,0,SUMPRODUCT((E102&lt;=$H$79:$H$90)*((CVDebtBasis=1)*$E$79:$E$90+(CVDebtBasis=2)*$F$79:$F$90)),SUMPRODUCT(((CVDebtBasis=1)*$E$79:$E$90+(CVDebtBasis=2)*$F$79:$F$90)))+V_CASH+V_SOTP)/(V_BASIC+V_RSU+Options*MAX(0,1-OptK/E102)+CHOOSE(DilMethod,SUMPRODUCT($E$79:$E$90,$G$79:$G$90)/1000,SUMPRODUCT((E102&gt;$H$79:$H$90)*$E$79:$E$90*$G$79:$G$90)/1000,SUMPRODUCT((($E$79:$E$90*$G$79:$G$90/1000*E102-((CVDebtBasis=1)*$E$79:$E$90+(CVDebtBasis=2)*$F$79:$F$90))&gt;0)*($E$79:$E$90*$G$79:$G$90/1000*E102-((CVDebtBasis=1)*$E$79:$E$90+(CVDebtBasis=2)*$F$79:$F$90)))/E102)))</f>
        <v>0.774391595555017</v>
      </c>
      <c r="F103" s="24" t="n">
        <f aca="false">MAX(0.01,(V_EV-F$96*V_OFF-V_ODEBT-CHOOSE(DilMethod,0,SUMPRODUCT((F102&lt;=$H$79:$H$90)*((CVDebtBasis=1)*$E$79:$E$90+(CVDebtBasis=2)*$F$79:$F$90)),SUMPRODUCT(((CVDebtBasis=1)*$E$79:$E$90+(CVDebtBasis=2)*$F$79:$F$90)))+V_CASH+V_SOTP)/(V_BASIC+V_RSU+Options*MAX(0,1-OptK/F102)+CHOOSE(DilMethod,SUMPRODUCT($E$79:$E$90,$G$79:$G$90)/1000,SUMPRODUCT((F102&gt;$H$79:$H$90)*$E$79:$E$90*$G$79:$G$90)/1000,SUMPRODUCT((($E$79:$E$90*$G$79:$G$90/1000*F102-((CVDebtBasis=1)*$E$79:$E$90+(CVDebtBasis=2)*$F$79:$F$90))&gt;0)*($E$79:$E$90*$G$79:$G$90/1000*F102-((CVDebtBasis=1)*$E$79:$E$90+(CVDebtBasis=2)*$F$79:$F$90)))/F102)))</f>
        <v>0.01</v>
      </c>
      <c r="G103" s="24" t="n">
        <f aca="false">MAX(0.01,(V_EV-G$96*V_OFF-V_ODEBT-CHOOSE(DilMethod,0,SUMPRODUCT((G102&lt;=$H$79:$H$90)*((CVDebtBasis=1)*$E$79:$E$90+(CVDebtBasis=2)*$F$79:$F$90)),SUMPRODUCT(((CVDebtBasis=1)*$E$79:$E$90+(CVDebtBasis=2)*$F$79:$F$90)))+V_CASH+V_SOTP)/(V_BASIC+V_RSU+Options*MAX(0,1-OptK/G102)+CHOOSE(DilMethod,SUMPRODUCT($E$79:$E$90,$G$79:$G$90)/1000,SUMPRODUCT((G102&gt;$H$79:$H$90)*$E$79:$E$90*$G$79:$G$90)/1000,SUMPRODUCT((($E$79:$E$90*$G$79:$G$90/1000*G102-((CVDebtBasis=1)*$E$79:$E$90+(CVDebtBasis=2)*$F$79:$F$90))&gt;0)*($E$79:$E$90*$G$79:$G$90/1000*G102-((CVDebtBasis=1)*$E$79:$E$90+(CVDebtBasis=2)*$F$79:$F$90)))/G102)))</f>
        <v>0.01</v>
      </c>
    </row>
    <row r="104" customFormat="false" ht="15" hidden="false" customHeight="false" outlineLevel="0" collapsed="false">
      <c r="A104" s="0" t="s">
        <v>2368</v>
      </c>
      <c r="E104" s="24" t="n">
        <f aca="false">MAX(0.01,(V_EV-E$96*V_OFF-V_ODEBT-CHOOSE(DilMethod,0,SUMPRODUCT((E103&lt;=$H$79:$H$90)*((CVDebtBasis=1)*$E$79:$E$90+(CVDebtBasis=2)*$F$79:$F$90)),SUMPRODUCT(((CVDebtBasis=1)*$E$79:$E$90+(CVDebtBasis=2)*$F$79:$F$90)))+V_CASH+V_SOTP)/(V_BASIC+V_RSU+Options*MAX(0,1-OptK/E103)+CHOOSE(DilMethod,SUMPRODUCT($E$79:$E$90,$G$79:$G$90)/1000,SUMPRODUCT((E103&gt;$H$79:$H$90)*$E$79:$E$90*$G$79:$G$90)/1000,SUMPRODUCT((($E$79:$E$90*$G$79:$G$90/1000*E103-((CVDebtBasis=1)*$E$79:$E$90+(CVDebtBasis=2)*$F$79:$F$90))&gt;0)*($E$79:$E$90*$G$79:$G$90/1000*E103-((CVDebtBasis=1)*$E$79:$E$90+(CVDebtBasis=2)*$F$79:$F$90)))/E103)))</f>
        <v>0.774391595555017</v>
      </c>
      <c r="F104" s="24" t="n">
        <f aca="false">MAX(0.01,(V_EV-F$96*V_OFF-V_ODEBT-CHOOSE(DilMethod,0,SUMPRODUCT((F103&lt;=$H$79:$H$90)*((CVDebtBasis=1)*$E$79:$E$90+(CVDebtBasis=2)*$F$79:$F$90)),SUMPRODUCT(((CVDebtBasis=1)*$E$79:$E$90+(CVDebtBasis=2)*$F$79:$F$90)))+V_CASH+V_SOTP)/(V_BASIC+V_RSU+Options*MAX(0,1-OptK/F103)+CHOOSE(DilMethod,SUMPRODUCT($E$79:$E$90,$G$79:$G$90)/1000,SUMPRODUCT((F103&gt;$H$79:$H$90)*$E$79:$E$90*$G$79:$G$90)/1000,SUMPRODUCT((($E$79:$E$90*$G$79:$G$90/1000*F103-((CVDebtBasis=1)*$E$79:$E$90+(CVDebtBasis=2)*$F$79:$F$90))&gt;0)*($E$79:$E$90*$G$79:$G$90/1000*F103-((CVDebtBasis=1)*$E$79:$E$90+(CVDebtBasis=2)*$F$79:$F$90)))/F103)))</f>
        <v>0.01</v>
      </c>
      <c r="G104" s="24" t="n">
        <f aca="false">MAX(0.01,(V_EV-G$96*V_OFF-V_ODEBT-CHOOSE(DilMethod,0,SUMPRODUCT((G103&lt;=$H$79:$H$90)*((CVDebtBasis=1)*$E$79:$E$90+(CVDebtBasis=2)*$F$79:$F$90)),SUMPRODUCT(((CVDebtBasis=1)*$E$79:$E$90+(CVDebtBasis=2)*$F$79:$F$90)))+V_CASH+V_SOTP)/(V_BASIC+V_RSU+Options*MAX(0,1-OptK/G103)+CHOOSE(DilMethod,SUMPRODUCT($E$79:$E$90,$G$79:$G$90)/1000,SUMPRODUCT((G103&gt;$H$79:$H$90)*$E$79:$E$90*$G$79:$G$90)/1000,SUMPRODUCT((($E$79:$E$90*$G$79:$G$90/1000*G103-((CVDebtBasis=1)*$E$79:$E$90+(CVDebtBasis=2)*$F$79:$F$90))&gt;0)*($E$79:$E$90*$G$79:$G$90/1000*G103-((CVDebtBasis=1)*$E$79:$E$90+(CVDebtBasis=2)*$F$79:$F$90)))/G103)))</f>
        <v>0.01</v>
      </c>
    </row>
    <row r="105" customFormat="false" ht="15" hidden="false" customHeight="false" outlineLevel="0" collapsed="false">
      <c r="A105" s="0" t="s">
        <v>2369</v>
      </c>
      <c r="E105" s="24" t="n">
        <f aca="false">MAX(0.01,(V_EV-E$96*V_OFF-V_ODEBT-CHOOSE(DilMethod,0,SUMPRODUCT((E104&lt;=$H$79:$H$90)*((CVDebtBasis=1)*$E$79:$E$90+(CVDebtBasis=2)*$F$79:$F$90)),SUMPRODUCT(((CVDebtBasis=1)*$E$79:$E$90+(CVDebtBasis=2)*$F$79:$F$90)))+V_CASH+V_SOTP)/(V_BASIC+V_RSU+Options*MAX(0,1-OptK/E104)+CHOOSE(DilMethod,SUMPRODUCT($E$79:$E$90,$G$79:$G$90)/1000,SUMPRODUCT((E104&gt;$H$79:$H$90)*$E$79:$E$90*$G$79:$G$90)/1000,SUMPRODUCT((($E$79:$E$90*$G$79:$G$90/1000*E104-((CVDebtBasis=1)*$E$79:$E$90+(CVDebtBasis=2)*$F$79:$F$90))&gt;0)*($E$79:$E$90*$G$79:$G$90/1000*E104-((CVDebtBasis=1)*$E$79:$E$90+(CVDebtBasis=2)*$F$79:$F$90)))/E104)))</f>
        <v>0.774391595555017</v>
      </c>
      <c r="F105" s="24" t="n">
        <f aca="false">MAX(0.01,(V_EV-F$96*V_OFF-V_ODEBT-CHOOSE(DilMethod,0,SUMPRODUCT((F104&lt;=$H$79:$H$90)*((CVDebtBasis=1)*$E$79:$E$90+(CVDebtBasis=2)*$F$79:$F$90)),SUMPRODUCT(((CVDebtBasis=1)*$E$79:$E$90+(CVDebtBasis=2)*$F$79:$F$90)))+V_CASH+V_SOTP)/(V_BASIC+V_RSU+Options*MAX(0,1-OptK/F104)+CHOOSE(DilMethod,SUMPRODUCT($E$79:$E$90,$G$79:$G$90)/1000,SUMPRODUCT((F104&gt;$H$79:$H$90)*$E$79:$E$90*$G$79:$G$90)/1000,SUMPRODUCT((($E$79:$E$90*$G$79:$G$90/1000*F104-((CVDebtBasis=1)*$E$79:$E$90+(CVDebtBasis=2)*$F$79:$F$90))&gt;0)*($E$79:$E$90*$G$79:$G$90/1000*F104-((CVDebtBasis=1)*$E$79:$E$90+(CVDebtBasis=2)*$F$79:$F$90)))/F104)))</f>
        <v>0.01</v>
      </c>
      <c r="G105" s="24" t="n">
        <f aca="false">MAX(0.01,(V_EV-G$96*V_OFF-V_ODEBT-CHOOSE(DilMethod,0,SUMPRODUCT((G104&lt;=$H$79:$H$90)*((CVDebtBasis=1)*$E$79:$E$90+(CVDebtBasis=2)*$F$79:$F$90)),SUMPRODUCT(((CVDebtBasis=1)*$E$79:$E$90+(CVDebtBasis=2)*$F$79:$F$90)))+V_CASH+V_SOTP)/(V_BASIC+V_RSU+Options*MAX(0,1-OptK/G104)+CHOOSE(DilMethod,SUMPRODUCT($E$79:$E$90,$G$79:$G$90)/1000,SUMPRODUCT((G104&gt;$H$79:$H$90)*$E$79:$E$90*$G$79:$G$90)/1000,SUMPRODUCT((($E$79:$E$90*$G$79:$G$90/1000*G104-((CVDebtBasis=1)*$E$79:$E$90+(CVDebtBasis=2)*$F$79:$F$90))&gt;0)*($E$79:$E$90*$G$79:$G$90/1000*G104-((CVDebtBasis=1)*$E$79:$E$90+(CVDebtBasis=2)*$F$79:$F$90)))/G104)))</f>
        <v>0.01</v>
      </c>
    </row>
    <row r="106" customFormat="false" ht="15" hidden="false" customHeight="false" outlineLevel="0" collapsed="false">
      <c r="A106" s="0" t="s">
        <v>2370</v>
      </c>
      <c r="E106" s="24" t="n">
        <f aca="false">MAX(0.01,(V_EV-E$96*V_OFF-V_ODEBT-CHOOSE(DilMethod,0,SUMPRODUCT((E105&lt;=$H$79:$H$90)*((CVDebtBasis=1)*$E$79:$E$90+(CVDebtBasis=2)*$F$79:$F$90)),SUMPRODUCT(((CVDebtBasis=1)*$E$79:$E$90+(CVDebtBasis=2)*$F$79:$F$90)))+V_CASH+V_SOTP)/(V_BASIC+V_RSU+Options*MAX(0,1-OptK/E105)+CHOOSE(DilMethod,SUMPRODUCT($E$79:$E$90,$G$79:$G$90)/1000,SUMPRODUCT((E105&gt;$H$79:$H$90)*$E$79:$E$90*$G$79:$G$90)/1000,SUMPRODUCT((($E$79:$E$90*$G$79:$G$90/1000*E105-((CVDebtBasis=1)*$E$79:$E$90+(CVDebtBasis=2)*$F$79:$F$90))&gt;0)*($E$79:$E$90*$G$79:$G$90/1000*E105-((CVDebtBasis=1)*$E$79:$E$90+(CVDebtBasis=2)*$F$79:$F$90)))/E105)))</f>
        <v>0.774391595555017</v>
      </c>
      <c r="F106" s="24" t="n">
        <f aca="false">MAX(0.01,(V_EV-F$96*V_OFF-V_ODEBT-CHOOSE(DilMethod,0,SUMPRODUCT((F105&lt;=$H$79:$H$90)*((CVDebtBasis=1)*$E$79:$E$90+(CVDebtBasis=2)*$F$79:$F$90)),SUMPRODUCT(((CVDebtBasis=1)*$E$79:$E$90+(CVDebtBasis=2)*$F$79:$F$90)))+V_CASH+V_SOTP)/(V_BASIC+V_RSU+Options*MAX(0,1-OptK/F105)+CHOOSE(DilMethod,SUMPRODUCT($E$79:$E$90,$G$79:$G$90)/1000,SUMPRODUCT((F105&gt;$H$79:$H$90)*$E$79:$E$90*$G$79:$G$90)/1000,SUMPRODUCT((($E$79:$E$90*$G$79:$G$90/1000*F105-((CVDebtBasis=1)*$E$79:$E$90+(CVDebtBasis=2)*$F$79:$F$90))&gt;0)*($E$79:$E$90*$G$79:$G$90/1000*F105-((CVDebtBasis=1)*$E$79:$E$90+(CVDebtBasis=2)*$F$79:$F$90)))/F105)))</f>
        <v>0.01</v>
      </c>
      <c r="G106" s="24" t="n">
        <f aca="false">MAX(0.01,(V_EV-G$96*V_OFF-V_ODEBT-CHOOSE(DilMethod,0,SUMPRODUCT((G105&lt;=$H$79:$H$90)*((CVDebtBasis=1)*$E$79:$E$90+(CVDebtBasis=2)*$F$79:$F$90)),SUMPRODUCT(((CVDebtBasis=1)*$E$79:$E$90+(CVDebtBasis=2)*$F$79:$F$90)))+V_CASH+V_SOTP)/(V_BASIC+V_RSU+Options*MAX(0,1-OptK/G105)+CHOOSE(DilMethod,SUMPRODUCT($E$79:$E$90,$G$79:$G$90)/1000,SUMPRODUCT((G105&gt;$H$79:$H$90)*$E$79:$E$90*$G$79:$G$90)/1000,SUMPRODUCT((($E$79:$E$90*$G$79:$G$90/1000*G105-((CVDebtBasis=1)*$E$79:$E$90+(CVDebtBasis=2)*$F$79:$F$90))&gt;0)*($E$79:$E$90*$G$79:$G$90/1000*G105-((CVDebtBasis=1)*$E$79:$E$90+(CVDebtBasis=2)*$F$79:$F$90)))/G105)))</f>
        <v>0.01</v>
      </c>
    </row>
    <row r="107" customFormat="false" ht="15" hidden="false" customHeight="false" outlineLevel="0" collapsed="false">
      <c r="A107" s="0" t="s">
        <v>2371</v>
      </c>
      <c r="E107" s="24" t="n">
        <f aca="false">MAX(0.01,(V_EV-E$96*V_OFF-V_ODEBT-CHOOSE(DilMethod,0,SUMPRODUCT((E106&lt;=$H$79:$H$90)*((CVDebtBasis=1)*$E$79:$E$90+(CVDebtBasis=2)*$F$79:$F$90)),SUMPRODUCT(((CVDebtBasis=1)*$E$79:$E$90+(CVDebtBasis=2)*$F$79:$F$90)))+V_CASH+V_SOTP)/(V_BASIC+V_RSU+Options*MAX(0,1-OptK/E106)+CHOOSE(DilMethod,SUMPRODUCT($E$79:$E$90,$G$79:$G$90)/1000,SUMPRODUCT((E106&gt;$H$79:$H$90)*$E$79:$E$90*$G$79:$G$90)/1000,SUMPRODUCT((($E$79:$E$90*$G$79:$G$90/1000*E106-((CVDebtBasis=1)*$E$79:$E$90+(CVDebtBasis=2)*$F$79:$F$90))&gt;0)*($E$79:$E$90*$G$79:$G$90/1000*E106-((CVDebtBasis=1)*$E$79:$E$90+(CVDebtBasis=2)*$F$79:$F$90)))/E106)))</f>
        <v>0.774391595555017</v>
      </c>
      <c r="F107" s="24" t="n">
        <f aca="false">MAX(0.01,(V_EV-F$96*V_OFF-V_ODEBT-CHOOSE(DilMethod,0,SUMPRODUCT((F106&lt;=$H$79:$H$90)*((CVDebtBasis=1)*$E$79:$E$90+(CVDebtBasis=2)*$F$79:$F$90)),SUMPRODUCT(((CVDebtBasis=1)*$E$79:$E$90+(CVDebtBasis=2)*$F$79:$F$90)))+V_CASH+V_SOTP)/(V_BASIC+V_RSU+Options*MAX(0,1-OptK/F106)+CHOOSE(DilMethod,SUMPRODUCT($E$79:$E$90,$G$79:$G$90)/1000,SUMPRODUCT((F106&gt;$H$79:$H$90)*$E$79:$E$90*$G$79:$G$90)/1000,SUMPRODUCT((($E$79:$E$90*$G$79:$G$90/1000*F106-((CVDebtBasis=1)*$E$79:$E$90+(CVDebtBasis=2)*$F$79:$F$90))&gt;0)*($E$79:$E$90*$G$79:$G$90/1000*F106-((CVDebtBasis=1)*$E$79:$E$90+(CVDebtBasis=2)*$F$79:$F$90)))/F106)))</f>
        <v>0.01</v>
      </c>
      <c r="G107" s="24" t="n">
        <f aca="false">MAX(0.01,(V_EV-G$96*V_OFF-V_ODEBT-CHOOSE(DilMethod,0,SUMPRODUCT((G106&lt;=$H$79:$H$90)*((CVDebtBasis=1)*$E$79:$E$90+(CVDebtBasis=2)*$F$79:$F$90)),SUMPRODUCT(((CVDebtBasis=1)*$E$79:$E$90+(CVDebtBasis=2)*$F$79:$F$90)))+V_CASH+V_SOTP)/(V_BASIC+V_RSU+Options*MAX(0,1-OptK/G106)+CHOOSE(DilMethod,SUMPRODUCT($E$79:$E$90,$G$79:$G$90)/1000,SUMPRODUCT((G106&gt;$H$79:$H$90)*$E$79:$E$90*$G$79:$G$90)/1000,SUMPRODUCT((($E$79:$E$90*$G$79:$G$90/1000*G106-((CVDebtBasis=1)*$E$79:$E$90+(CVDebtBasis=2)*$F$79:$F$90))&gt;0)*($E$79:$E$90*$G$79:$G$90/1000*G106-((CVDebtBasis=1)*$E$79:$E$90+(CVDebtBasis=2)*$F$79:$F$90)))/G106)))</f>
        <v>0.01</v>
      </c>
    </row>
    <row r="108" customFormat="false" ht="15" hidden="false" customHeight="false" outlineLevel="0" collapsed="false">
      <c r="A108" s="0" t="s">
        <v>2372</v>
      </c>
      <c r="E108" s="24" t="n">
        <f aca="false">MAX(0.01,(V_EV-E$96*V_OFF-V_ODEBT-CHOOSE(DilMethod,0,SUMPRODUCT((E107&lt;=$H$79:$H$90)*((CVDebtBasis=1)*$E$79:$E$90+(CVDebtBasis=2)*$F$79:$F$90)),SUMPRODUCT(((CVDebtBasis=1)*$E$79:$E$90+(CVDebtBasis=2)*$F$79:$F$90)))+V_CASH+V_SOTP)/(V_BASIC+V_RSU+Options*MAX(0,1-OptK/E107)+CHOOSE(DilMethod,SUMPRODUCT($E$79:$E$90,$G$79:$G$90)/1000,SUMPRODUCT((E107&gt;$H$79:$H$90)*$E$79:$E$90*$G$79:$G$90)/1000,SUMPRODUCT((($E$79:$E$90*$G$79:$G$90/1000*E107-((CVDebtBasis=1)*$E$79:$E$90+(CVDebtBasis=2)*$F$79:$F$90))&gt;0)*($E$79:$E$90*$G$79:$G$90/1000*E107-((CVDebtBasis=1)*$E$79:$E$90+(CVDebtBasis=2)*$F$79:$F$90)))/E107)))</f>
        <v>0.774391595555017</v>
      </c>
      <c r="F108" s="24" t="n">
        <f aca="false">MAX(0.01,(V_EV-F$96*V_OFF-V_ODEBT-CHOOSE(DilMethod,0,SUMPRODUCT((F107&lt;=$H$79:$H$90)*((CVDebtBasis=1)*$E$79:$E$90+(CVDebtBasis=2)*$F$79:$F$90)),SUMPRODUCT(((CVDebtBasis=1)*$E$79:$E$90+(CVDebtBasis=2)*$F$79:$F$90)))+V_CASH+V_SOTP)/(V_BASIC+V_RSU+Options*MAX(0,1-OptK/F107)+CHOOSE(DilMethod,SUMPRODUCT($E$79:$E$90,$G$79:$G$90)/1000,SUMPRODUCT((F107&gt;$H$79:$H$90)*$E$79:$E$90*$G$79:$G$90)/1000,SUMPRODUCT((($E$79:$E$90*$G$79:$G$90/1000*F107-((CVDebtBasis=1)*$E$79:$E$90+(CVDebtBasis=2)*$F$79:$F$90))&gt;0)*($E$79:$E$90*$G$79:$G$90/1000*F107-((CVDebtBasis=1)*$E$79:$E$90+(CVDebtBasis=2)*$F$79:$F$90)))/F107)))</f>
        <v>0.01</v>
      </c>
      <c r="G108" s="24" t="n">
        <f aca="false">MAX(0.01,(V_EV-G$96*V_OFF-V_ODEBT-CHOOSE(DilMethod,0,SUMPRODUCT((G107&lt;=$H$79:$H$90)*((CVDebtBasis=1)*$E$79:$E$90+(CVDebtBasis=2)*$F$79:$F$90)),SUMPRODUCT(((CVDebtBasis=1)*$E$79:$E$90+(CVDebtBasis=2)*$F$79:$F$90)))+V_CASH+V_SOTP)/(V_BASIC+V_RSU+Options*MAX(0,1-OptK/G107)+CHOOSE(DilMethod,SUMPRODUCT($E$79:$E$90,$G$79:$G$90)/1000,SUMPRODUCT((G107&gt;$H$79:$H$90)*$E$79:$E$90*$G$79:$G$90)/1000,SUMPRODUCT((($E$79:$E$90*$G$79:$G$90/1000*G107-((CVDebtBasis=1)*$E$79:$E$90+(CVDebtBasis=2)*$F$79:$F$90))&gt;0)*($E$79:$E$90*$G$79:$G$90/1000*G107-((CVDebtBasis=1)*$E$79:$E$90+(CVDebtBasis=2)*$F$79:$F$90)))/G107)))</f>
        <v>0.01</v>
      </c>
    </row>
    <row r="109" customFormat="false" ht="15" hidden="false" customHeight="false" outlineLevel="0" collapsed="false">
      <c r="A109" s="0" t="s">
        <v>2373</v>
      </c>
      <c r="E109" s="24" t="n">
        <f aca="false">MAX(0.01,(V_EV-E$96*V_OFF-V_ODEBT-CHOOSE(DilMethod,0,SUMPRODUCT((E108&lt;=$H$79:$H$90)*((CVDebtBasis=1)*$E$79:$E$90+(CVDebtBasis=2)*$F$79:$F$90)),SUMPRODUCT(((CVDebtBasis=1)*$E$79:$E$90+(CVDebtBasis=2)*$F$79:$F$90)))+V_CASH+V_SOTP)/(V_BASIC+V_RSU+Options*MAX(0,1-OptK/E108)+CHOOSE(DilMethod,SUMPRODUCT($E$79:$E$90,$G$79:$G$90)/1000,SUMPRODUCT((E108&gt;$H$79:$H$90)*$E$79:$E$90*$G$79:$G$90)/1000,SUMPRODUCT((($E$79:$E$90*$G$79:$G$90/1000*E108-((CVDebtBasis=1)*$E$79:$E$90+(CVDebtBasis=2)*$F$79:$F$90))&gt;0)*($E$79:$E$90*$G$79:$G$90/1000*E108-((CVDebtBasis=1)*$E$79:$E$90+(CVDebtBasis=2)*$F$79:$F$90)))/E108)))</f>
        <v>0.774391595555017</v>
      </c>
      <c r="F109" s="24" t="n">
        <f aca="false">MAX(0.01,(V_EV-F$96*V_OFF-V_ODEBT-CHOOSE(DilMethod,0,SUMPRODUCT((F108&lt;=$H$79:$H$90)*((CVDebtBasis=1)*$E$79:$E$90+(CVDebtBasis=2)*$F$79:$F$90)),SUMPRODUCT(((CVDebtBasis=1)*$E$79:$E$90+(CVDebtBasis=2)*$F$79:$F$90)))+V_CASH+V_SOTP)/(V_BASIC+V_RSU+Options*MAX(0,1-OptK/F108)+CHOOSE(DilMethod,SUMPRODUCT($E$79:$E$90,$G$79:$G$90)/1000,SUMPRODUCT((F108&gt;$H$79:$H$90)*$E$79:$E$90*$G$79:$G$90)/1000,SUMPRODUCT((($E$79:$E$90*$G$79:$G$90/1000*F108-((CVDebtBasis=1)*$E$79:$E$90+(CVDebtBasis=2)*$F$79:$F$90))&gt;0)*($E$79:$E$90*$G$79:$G$90/1000*F108-((CVDebtBasis=1)*$E$79:$E$90+(CVDebtBasis=2)*$F$79:$F$90)))/F108)))</f>
        <v>0.01</v>
      </c>
      <c r="G109" s="24" t="n">
        <f aca="false">MAX(0.01,(V_EV-G$96*V_OFF-V_ODEBT-CHOOSE(DilMethod,0,SUMPRODUCT((G108&lt;=$H$79:$H$90)*((CVDebtBasis=1)*$E$79:$E$90+(CVDebtBasis=2)*$F$79:$F$90)),SUMPRODUCT(((CVDebtBasis=1)*$E$79:$E$90+(CVDebtBasis=2)*$F$79:$F$90)))+V_CASH+V_SOTP)/(V_BASIC+V_RSU+Options*MAX(0,1-OptK/G108)+CHOOSE(DilMethod,SUMPRODUCT($E$79:$E$90,$G$79:$G$90)/1000,SUMPRODUCT((G108&gt;$H$79:$H$90)*$E$79:$E$90*$G$79:$G$90)/1000,SUMPRODUCT((($E$79:$E$90*$G$79:$G$90/1000*G108-((CVDebtBasis=1)*$E$79:$E$90+(CVDebtBasis=2)*$F$79:$F$90))&gt;0)*($E$79:$E$90*$G$79:$G$90/1000*G108-((CVDebtBasis=1)*$E$79:$E$90+(CVDebtBasis=2)*$F$79:$F$90)))/G108)))</f>
        <v>0.01</v>
      </c>
    </row>
    <row r="110" customFormat="false" ht="15" hidden="false" customHeight="false" outlineLevel="0" collapsed="false">
      <c r="A110" s="0" t="s">
        <v>2374</v>
      </c>
      <c r="E110" s="24" t="n">
        <f aca="false">MAX(0.01,(V_EV-E$96*V_OFF-V_ODEBT-CHOOSE(DilMethod,0,SUMPRODUCT((E109&lt;=$H$79:$H$90)*((CVDebtBasis=1)*$E$79:$E$90+(CVDebtBasis=2)*$F$79:$F$90)),SUMPRODUCT(((CVDebtBasis=1)*$E$79:$E$90+(CVDebtBasis=2)*$F$79:$F$90)))+V_CASH+V_SOTP)/(V_BASIC+V_RSU+Options*MAX(0,1-OptK/E109)+CHOOSE(DilMethod,SUMPRODUCT($E$79:$E$90,$G$79:$G$90)/1000,SUMPRODUCT((E109&gt;$H$79:$H$90)*$E$79:$E$90*$G$79:$G$90)/1000,SUMPRODUCT((($E$79:$E$90*$G$79:$G$90/1000*E109-((CVDebtBasis=1)*$E$79:$E$90+(CVDebtBasis=2)*$F$79:$F$90))&gt;0)*($E$79:$E$90*$G$79:$G$90/1000*E109-((CVDebtBasis=1)*$E$79:$E$90+(CVDebtBasis=2)*$F$79:$F$90)))/E109)))</f>
        <v>0.774391595555017</v>
      </c>
      <c r="F110" s="24" t="n">
        <f aca="false">MAX(0.01,(V_EV-F$96*V_OFF-V_ODEBT-CHOOSE(DilMethod,0,SUMPRODUCT((F109&lt;=$H$79:$H$90)*((CVDebtBasis=1)*$E$79:$E$90+(CVDebtBasis=2)*$F$79:$F$90)),SUMPRODUCT(((CVDebtBasis=1)*$E$79:$E$90+(CVDebtBasis=2)*$F$79:$F$90)))+V_CASH+V_SOTP)/(V_BASIC+V_RSU+Options*MAX(0,1-OptK/F109)+CHOOSE(DilMethod,SUMPRODUCT($E$79:$E$90,$G$79:$G$90)/1000,SUMPRODUCT((F109&gt;$H$79:$H$90)*$E$79:$E$90*$G$79:$G$90)/1000,SUMPRODUCT((($E$79:$E$90*$G$79:$G$90/1000*F109-((CVDebtBasis=1)*$E$79:$E$90+(CVDebtBasis=2)*$F$79:$F$90))&gt;0)*($E$79:$E$90*$G$79:$G$90/1000*F109-((CVDebtBasis=1)*$E$79:$E$90+(CVDebtBasis=2)*$F$79:$F$90)))/F109)))</f>
        <v>0.01</v>
      </c>
      <c r="G110" s="24" t="n">
        <f aca="false">MAX(0.01,(V_EV-G$96*V_OFF-V_ODEBT-CHOOSE(DilMethod,0,SUMPRODUCT((G109&lt;=$H$79:$H$90)*((CVDebtBasis=1)*$E$79:$E$90+(CVDebtBasis=2)*$F$79:$F$90)),SUMPRODUCT(((CVDebtBasis=1)*$E$79:$E$90+(CVDebtBasis=2)*$F$79:$F$90)))+V_CASH+V_SOTP)/(V_BASIC+V_RSU+Options*MAX(0,1-OptK/G109)+CHOOSE(DilMethod,SUMPRODUCT($E$79:$E$90,$G$79:$G$90)/1000,SUMPRODUCT((G109&gt;$H$79:$H$90)*$E$79:$E$90*$G$79:$G$90)/1000,SUMPRODUCT((($E$79:$E$90*$G$79:$G$90/1000*G109-((CVDebtBasis=1)*$E$79:$E$90+(CVDebtBasis=2)*$F$79:$F$90))&gt;0)*($E$79:$E$90*$G$79:$G$90/1000*G109-((CVDebtBasis=1)*$E$79:$E$90+(CVDebtBasis=2)*$F$79:$F$90)))/G109)))</f>
        <v>0.01</v>
      </c>
    </row>
    <row r="111" customFormat="false" ht="15" hidden="false" customHeight="false" outlineLevel="0" collapsed="false">
      <c r="A111" s="0" t="s">
        <v>2375</v>
      </c>
      <c r="E111" s="24" t="n">
        <f aca="false">MAX(0.01,(V_EV-E$96*V_OFF-V_ODEBT-CHOOSE(DilMethod,0,SUMPRODUCT((E110&lt;=$H$79:$H$90)*((CVDebtBasis=1)*$E$79:$E$90+(CVDebtBasis=2)*$F$79:$F$90)),SUMPRODUCT(((CVDebtBasis=1)*$E$79:$E$90+(CVDebtBasis=2)*$F$79:$F$90)))+V_CASH+V_SOTP)/(V_BASIC+V_RSU+Options*MAX(0,1-OptK/E110)+CHOOSE(DilMethod,SUMPRODUCT($E$79:$E$90,$G$79:$G$90)/1000,SUMPRODUCT((E110&gt;$H$79:$H$90)*$E$79:$E$90*$G$79:$G$90)/1000,SUMPRODUCT((($E$79:$E$90*$G$79:$G$90/1000*E110-((CVDebtBasis=1)*$E$79:$E$90+(CVDebtBasis=2)*$F$79:$F$90))&gt;0)*($E$79:$E$90*$G$79:$G$90/1000*E110-((CVDebtBasis=1)*$E$79:$E$90+(CVDebtBasis=2)*$F$79:$F$90)))/E110)))</f>
        <v>0.774391595555017</v>
      </c>
      <c r="F111" s="24" t="n">
        <f aca="false">MAX(0.01,(V_EV-F$96*V_OFF-V_ODEBT-CHOOSE(DilMethod,0,SUMPRODUCT((F110&lt;=$H$79:$H$90)*((CVDebtBasis=1)*$E$79:$E$90+(CVDebtBasis=2)*$F$79:$F$90)),SUMPRODUCT(((CVDebtBasis=1)*$E$79:$E$90+(CVDebtBasis=2)*$F$79:$F$90)))+V_CASH+V_SOTP)/(V_BASIC+V_RSU+Options*MAX(0,1-OptK/F110)+CHOOSE(DilMethod,SUMPRODUCT($E$79:$E$90,$G$79:$G$90)/1000,SUMPRODUCT((F110&gt;$H$79:$H$90)*$E$79:$E$90*$G$79:$G$90)/1000,SUMPRODUCT((($E$79:$E$90*$G$79:$G$90/1000*F110-((CVDebtBasis=1)*$E$79:$E$90+(CVDebtBasis=2)*$F$79:$F$90))&gt;0)*($E$79:$E$90*$G$79:$G$90/1000*F110-((CVDebtBasis=1)*$E$79:$E$90+(CVDebtBasis=2)*$F$79:$F$90)))/F110)))</f>
        <v>0.01</v>
      </c>
      <c r="G111" s="24" t="n">
        <f aca="false">MAX(0.01,(V_EV-G$96*V_OFF-V_ODEBT-CHOOSE(DilMethod,0,SUMPRODUCT((G110&lt;=$H$79:$H$90)*((CVDebtBasis=1)*$E$79:$E$90+(CVDebtBasis=2)*$F$79:$F$90)),SUMPRODUCT(((CVDebtBasis=1)*$E$79:$E$90+(CVDebtBasis=2)*$F$79:$F$90)))+V_CASH+V_SOTP)/(V_BASIC+V_RSU+Options*MAX(0,1-OptK/G110)+CHOOSE(DilMethod,SUMPRODUCT($E$79:$E$90,$G$79:$G$90)/1000,SUMPRODUCT((G110&gt;$H$79:$H$90)*$E$79:$E$90*$G$79:$G$90)/1000,SUMPRODUCT((($E$79:$E$90*$G$79:$G$90/1000*G110-((CVDebtBasis=1)*$E$79:$E$90+(CVDebtBasis=2)*$F$79:$F$90))&gt;0)*($E$79:$E$90*$G$79:$G$90/1000*G110-((CVDebtBasis=1)*$E$79:$E$90+(CVDebtBasis=2)*$F$79:$F$90)))/G110)))</f>
        <v>0.01</v>
      </c>
    </row>
    <row r="112" customFormat="false" ht="15" hidden="false" customHeight="false" outlineLevel="0" collapsed="false">
      <c r="A112" s="0" t="s">
        <v>2376</v>
      </c>
      <c r="E112" s="24" t="n">
        <f aca="false">MAX(0.01,(V_EV-E$96*V_OFF-V_ODEBT-CHOOSE(DilMethod,0,SUMPRODUCT((E111&lt;=$H$79:$H$90)*((CVDebtBasis=1)*$E$79:$E$90+(CVDebtBasis=2)*$F$79:$F$90)),SUMPRODUCT(((CVDebtBasis=1)*$E$79:$E$90+(CVDebtBasis=2)*$F$79:$F$90)))+V_CASH+V_SOTP)/(V_BASIC+V_RSU+Options*MAX(0,1-OptK/E111)+CHOOSE(DilMethod,SUMPRODUCT($E$79:$E$90,$G$79:$G$90)/1000,SUMPRODUCT((E111&gt;$H$79:$H$90)*$E$79:$E$90*$G$79:$G$90)/1000,SUMPRODUCT((($E$79:$E$90*$G$79:$G$90/1000*E111-((CVDebtBasis=1)*$E$79:$E$90+(CVDebtBasis=2)*$F$79:$F$90))&gt;0)*($E$79:$E$90*$G$79:$G$90/1000*E111-((CVDebtBasis=1)*$E$79:$E$90+(CVDebtBasis=2)*$F$79:$F$90)))/E111)))</f>
        <v>0.774391595555017</v>
      </c>
      <c r="F112" s="24" t="n">
        <f aca="false">MAX(0.01,(V_EV-F$96*V_OFF-V_ODEBT-CHOOSE(DilMethod,0,SUMPRODUCT((F111&lt;=$H$79:$H$90)*((CVDebtBasis=1)*$E$79:$E$90+(CVDebtBasis=2)*$F$79:$F$90)),SUMPRODUCT(((CVDebtBasis=1)*$E$79:$E$90+(CVDebtBasis=2)*$F$79:$F$90)))+V_CASH+V_SOTP)/(V_BASIC+V_RSU+Options*MAX(0,1-OptK/F111)+CHOOSE(DilMethod,SUMPRODUCT($E$79:$E$90,$G$79:$G$90)/1000,SUMPRODUCT((F111&gt;$H$79:$H$90)*$E$79:$E$90*$G$79:$G$90)/1000,SUMPRODUCT((($E$79:$E$90*$G$79:$G$90/1000*F111-((CVDebtBasis=1)*$E$79:$E$90+(CVDebtBasis=2)*$F$79:$F$90))&gt;0)*($E$79:$E$90*$G$79:$G$90/1000*F111-((CVDebtBasis=1)*$E$79:$E$90+(CVDebtBasis=2)*$F$79:$F$90)))/F111)))</f>
        <v>0.01</v>
      </c>
      <c r="G112" s="24" t="n">
        <f aca="false">MAX(0.01,(V_EV-G$96*V_OFF-V_ODEBT-CHOOSE(DilMethod,0,SUMPRODUCT((G111&lt;=$H$79:$H$90)*((CVDebtBasis=1)*$E$79:$E$90+(CVDebtBasis=2)*$F$79:$F$90)),SUMPRODUCT(((CVDebtBasis=1)*$E$79:$E$90+(CVDebtBasis=2)*$F$79:$F$90)))+V_CASH+V_SOTP)/(V_BASIC+V_RSU+Options*MAX(0,1-OptK/G111)+CHOOSE(DilMethod,SUMPRODUCT($E$79:$E$90,$G$79:$G$90)/1000,SUMPRODUCT((G111&gt;$H$79:$H$90)*$E$79:$E$90*$G$79:$G$90)/1000,SUMPRODUCT((($E$79:$E$90*$G$79:$G$90/1000*G111-((CVDebtBasis=1)*$E$79:$E$90+(CVDebtBasis=2)*$F$79:$F$90))&gt;0)*($E$79:$E$90*$G$79:$G$90/1000*G111-((CVDebtBasis=1)*$E$79:$E$90+(CVDebtBasis=2)*$F$79:$F$90)))/G111)))</f>
        <v>0.01</v>
      </c>
    </row>
    <row r="113" customFormat="false" ht="15" hidden="false" customHeight="false" outlineLevel="0" collapsed="false">
      <c r="A113" s="104" t="s">
        <v>2377</v>
      </c>
      <c r="D113" s="20"/>
      <c r="E113" s="44" t="n">
        <f aca="false">MAX(ABS(E112-E111),ABS(F112-F111),ABS(G112-G111))</f>
        <v>0</v>
      </c>
    </row>
    <row r="114" customFormat="false" ht="15" hidden="false" customHeight="false" outlineLevel="0" collapsed="false">
      <c r="A114" s="3" t="s">
        <v>2378</v>
      </c>
      <c r="E114" s="6" t="n">
        <f aca="false">E112</f>
        <v>0.774391595555017</v>
      </c>
      <c r="F114" s="6" t="n">
        <f aca="false">F112</f>
        <v>0.01</v>
      </c>
      <c r="G114" s="6" t="n">
        <f aca="false">G112</f>
        <v>0.01</v>
      </c>
    </row>
    <row r="115" customFormat="false" ht="15" hidden="false" customHeight="false" outlineLevel="0" collapsed="false">
      <c r="A115" s="104" t="s">
        <v>2379</v>
      </c>
      <c r="E115" s="42" t="n">
        <f aca="false">CHOOSE(DilMethod,SUMPRODUCT($E$79:$E$90,$G$79:$G$90)/1000,SUMPRODUCT((E112&gt;$H$79:$H$90)*$E$79:$E$90*$G$79:$G$90)/1000,SUMPRODUCT((($E$79:$E$90*$G$79:$G$90/1000*E112-((CVDebtBasis=1)*$E$79:$E$90+(CVDebtBasis=2)*$F$79:$F$90))&gt;0)*($E$79:$E$90*$G$79:$G$90/1000*E112-((CVDebtBasis=1)*$E$79:$E$90+(CVDebtBasis=2)*$F$79:$F$90)))/E112)</f>
        <v>0</v>
      </c>
      <c r="F115" s="42" t="n">
        <f aca="false">CHOOSE(DilMethod,SUMPRODUCT($E$79:$E$90,$G$79:$G$90)/1000,SUMPRODUCT((F112&gt;$H$79:$H$90)*$E$79:$E$90*$G$79:$G$90)/1000,SUMPRODUCT((($E$79:$E$90*$G$79:$G$90/1000*F112-((CVDebtBasis=1)*$E$79:$E$90+(CVDebtBasis=2)*$F$79:$F$90))&gt;0)*($E$79:$E$90*$G$79:$G$90/1000*F112-((CVDebtBasis=1)*$E$79:$E$90+(CVDebtBasis=2)*$F$79:$F$90)))/F112)</f>
        <v>0</v>
      </c>
      <c r="G115" s="42" t="n">
        <f aca="false">CHOOSE(DilMethod,SUMPRODUCT($E$79:$E$90,$G$79:$G$90)/1000,SUMPRODUCT((G112&gt;$H$79:$H$90)*$E$79:$E$90*$G$79:$G$90)/1000,SUMPRODUCT((($E$79:$E$90*$G$79:$G$90/1000*G112-((CVDebtBasis=1)*$E$79:$E$90+(CVDebtBasis=2)*$F$79:$F$90))&gt;0)*($E$79:$E$90*$G$79:$G$90/1000*G112-((CVDebtBasis=1)*$E$79:$E$90+(CVDebtBasis=2)*$F$79:$F$90)))/G112)</f>
        <v>0</v>
      </c>
    </row>
    <row r="116" customFormat="false" ht="15" hidden="false" customHeight="false" outlineLevel="0" collapsed="false">
      <c r="A116" s="104" t="s">
        <v>2380</v>
      </c>
      <c r="E116" s="106" t="n">
        <f aca="false">CHOOSE(DilMethod,0,SUMPRODUCT((E112&lt;=$H$79:$H$90)*((CVDebtBasis=1)*$E$79:$E$90+(CVDebtBasis=2)*$F$79:$F$90)),SUMPRODUCT(((CVDebtBasis=1)*$E$79:$E$90+(CVDebtBasis=2)*$F$79:$F$90)))</f>
        <v>13425</v>
      </c>
      <c r="F116" s="106" t="n">
        <f aca="false">CHOOSE(DilMethod,0,SUMPRODUCT((F112&lt;=$H$79:$H$90)*((CVDebtBasis=1)*$E$79:$E$90+(CVDebtBasis=2)*$F$79:$F$90)),SUMPRODUCT(((CVDebtBasis=1)*$E$79:$E$90+(CVDebtBasis=2)*$F$79:$F$90)))</f>
        <v>13425</v>
      </c>
      <c r="G116" s="106" t="n">
        <f aca="false">CHOOSE(DilMethod,0,SUMPRODUCT((G112&lt;=$H$79:$H$90)*((CVDebtBasis=1)*$E$79:$E$90+(CVDebtBasis=2)*$F$79:$F$90)),SUMPRODUCT(((CVDebtBasis=1)*$E$79:$E$90+(CVDebtBasis=2)*$F$79:$F$90)))</f>
        <v>13425</v>
      </c>
    </row>
    <row r="117" customFormat="false" ht="15" hidden="false" customHeight="false" outlineLevel="0" collapsed="false">
      <c r="A117" s="104" t="s">
        <v>2381</v>
      </c>
      <c r="E117" s="42" t="n">
        <f aca="false">Options*MAX(0,1-OptK/E112)</f>
        <v>0</v>
      </c>
      <c r="F117" s="42" t="n">
        <f aca="false">Options*MAX(0,1-OptK/F112)</f>
        <v>0</v>
      </c>
      <c r="G117" s="42" t="n">
        <f aca="false">Options*MAX(0,1-OptK/G112)</f>
        <v>0</v>
      </c>
    </row>
    <row r="118" customFormat="false" ht="15" hidden="false" customHeight="false" outlineLevel="0" collapsed="false">
      <c r="A118" s="104" t="s">
        <v>2382</v>
      </c>
      <c r="E118" s="42" t="n">
        <f aca="false">V_BASIC+V_RSU+Options*MAX(0,1-OptK/E112)+CHOOSE(DilMethod,SUMPRODUCT($E$79:$E$90,$G$79:$G$90)/1000,SUMPRODUCT((E112&gt;$H$79:$H$90)*$E$79:$E$90*$G$79:$G$90)/1000,SUMPRODUCT((($E$79:$E$90*$G$79:$G$90/1000*E112-((CVDebtBasis=1)*$E$79:$E$90+(CVDebtBasis=2)*$F$79:$F$90))&gt;0)*($E$79:$E$90*$G$79:$G$90/1000*E112-((CVDebtBasis=1)*$E$79:$E$90+(CVDebtBasis=2)*$F$79:$F$90)))/E112)</f>
        <v>314.925245</v>
      </c>
      <c r="F118" s="42" t="n">
        <f aca="false">V_BASIC+V_RSU+Options*MAX(0,1-OptK/F112)+CHOOSE(DilMethod,SUMPRODUCT($E$79:$E$90,$G$79:$G$90)/1000,SUMPRODUCT((F112&gt;$H$79:$H$90)*$E$79:$E$90*$G$79:$G$90)/1000,SUMPRODUCT((($E$79:$E$90*$G$79:$G$90/1000*F112-((CVDebtBasis=1)*$E$79:$E$90+(CVDebtBasis=2)*$F$79:$F$90))&gt;0)*($E$79:$E$90*$G$79:$G$90/1000*F112-((CVDebtBasis=1)*$E$79:$E$90+(CVDebtBasis=2)*$F$79:$F$90)))/F112)</f>
        <v>314.925245</v>
      </c>
      <c r="G118" s="42" t="n">
        <f aca="false">V_BASIC+V_RSU+Options*MAX(0,1-OptK/G112)+CHOOSE(DilMethod,SUMPRODUCT($E$79:$E$90,$G$79:$G$90)/1000,SUMPRODUCT((G112&gt;$H$79:$H$90)*$E$79:$E$90*$G$79:$G$90)/1000,SUMPRODUCT((($E$79:$E$90*$G$79:$G$90/1000*G112-((CVDebtBasis=1)*$E$79:$E$90+(CVDebtBasis=2)*$F$79:$F$90))&gt;0)*($E$79:$E$90*$G$79:$G$90/1000*G112-((CVDebtBasis=1)*$E$79:$E$90+(CVDebtBasis=2)*$F$79:$F$90)))/G112)</f>
        <v>314.925245</v>
      </c>
    </row>
    <row r="119" customFormat="false" ht="15" hidden="false" customHeight="false" outlineLevel="0" collapsed="false">
      <c r="A119" s="3" t="s">
        <v>2383</v>
      </c>
      <c r="E119" s="112" t="n">
        <f aca="false">V_EV-E$96*V_OFF-V_ODEBT-CHOOSE(DilMethod,0,SUMPRODUCT((E112&lt;=$H$79:$H$90)*((CVDebtBasis=1)*$E$79:$E$90+(CVDebtBasis=2)*$F$79:$F$90)),SUMPRODUCT(((CVDebtBasis=1)*$E$79:$E$90+(CVDebtBasis=2)*$F$79:$F$90)))+V_CASH+V_SOTP</f>
        <v>243.875462956104</v>
      </c>
      <c r="F119" s="112" t="n">
        <f aca="false">V_EV-F$96*V_OFF-V_ODEBT-CHOOSE(DilMethod,0,SUMPRODUCT((F112&lt;=$H$79:$H$90)*((CVDebtBasis=1)*$E$79:$E$90+(CVDebtBasis=2)*$F$79:$F$90)),SUMPRODUCT(((CVDebtBasis=1)*$E$79:$E$90+(CVDebtBasis=2)*$F$79:$F$90)))+V_CASH+V_SOTP</f>
        <v>-9253.6245370439</v>
      </c>
      <c r="G119" s="112" t="n">
        <f aca="false">V_EV-G$96*V_OFF-V_ODEBT-CHOOSE(DilMethod,0,SUMPRODUCT((G112&lt;=$H$79:$H$90)*((CVDebtBasis=1)*$E$79:$E$90+(CVDebtBasis=2)*$F$79:$F$90)),SUMPRODUCT(((CVDebtBasis=1)*$E$79:$E$90+(CVDebtBasis=2)*$F$79:$F$90)))+V_CASH+V_SOTP</f>
        <v>-18751.1245370439</v>
      </c>
    </row>
    <row r="120" customFormat="false" ht="15" hidden="false" customHeight="false" outlineLevel="0" collapsed="false">
      <c r="A120" s="104" t="s">
        <v>2384</v>
      </c>
      <c r="E120" s="24" t="n">
        <f aca="false">(V_EV-E$96*V_OFF-V_ODEBT-SUMPRODUCT(((CVDebtBasis=1)*$E$79:$E$90+(CVDebtBasis=2)*$F$79:$F$90))+V_CASH+V_SOTP)/V_BASIC</f>
        <v>0.790030617320847</v>
      </c>
      <c r="F120" s="24" t="n">
        <f aca="false">(V_EV-F$96*V_OFF-V_ODEBT-SUMPRODUCT(((CVDebtBasis=1)*$E$79:$E$90+(CVDebtBasis=2)*$F$79:$F$90))+V_CASH+V_SOTP)/V_BASIC</f>
        <v>-29.9769670012763</v>
      </c>
      <c r="G120" s="24" t="n">
        <f aca="false">(V_EV-G$96*V_OFF-V_ODEBT-SUMPRODUCT(((CVDebtBasis=1)*$E$79:$E$90+(CVDebtBasis=2)*$F$79:$F$90))+V_CASH+V_SOTP)/V_BASIC</f>
        <v>-60.7439646198734</v>
      </c>
    </row>
    <row r="121" customFormat="false" ht="15" hidden="false" customHeight="false" outlineLevel="0" collapsed="false">
      <c r="A121" s="104" t="s">
        <v>2385</v>
      </c>
      <c r="E121" s="42" t="n">
        <f aca="false">SUMPRODUCT((E112&gt;$H$79:$H$90)*$E$79:$E$90*$G$79:$G$90)/1000</f>
        <v>0</v>
      </c>
      <c r="F121" s="42" t="n">
        <f aca="false">SUMPRODUCT((F112&gt;$H$79:$H$90)*$E$79:$E$90*$G$79:$G$90)/1000</f>
        <v>0</v>
      </c>
      <c r="G121" s="42" t="n">
        <f aca="false">SUMPRODUCT((G112&gt;$H$79:$H$90)*$E$79:$E$90*$G$79:$G$90)/1000</f>
        <v>0</v>
      </c>
    </row>
    <row r="122" customFormat="false" ht="15" hidden="false" customHeight="false" outlineLevel="0" collapsed="false">
      <c r="A122" s="104" t="s">
        <v>2386</v>
      </c>
      <c r="E122" s="42" t="n">
        <f aca="false">SUMPRODUCT((($E$79:$E$90*$G$79:$G$90/1000*E112-((CVDebtBasis=1)*$E$79:$E$90+(CVDebtBasis=2)*$F$79:$F$90))&gt;0)*($E$79:$E$90*$G$79:$G$90/1000*E112-((CVDebtBasis=1)*$E$79:$E$90+(CVDebtBasis=2)*$F$79:$F$90)))/E112</f>
        <v>0</v>
      </c>
      <c r="F122" s="42" t="n">
        <f aca="false">SUMPRODUCT((($E$79:$E$90*$G$79:$G$90/1000*F112-((CVDebtBasis=1)*$E$79:$E$90+(CVDebtBasis=2)*$F$79:$F$90))&gt;0)*($E$79:$E$90*$G$79:$G$90/1000*F112-((CVDebtBasis=1)*$E$79:$E$90+(CVDebtBasis=2)*$F$79:$F$90)))/F112</f>
        <v>0</v>
      </c>
      <c r="G122" s="42" t="n">
        <f aca="false">SUMPRODUCT((($E$79:$E$90*$G$79:$G$90/1000*G112-((CVDebtBasis=1)*$E$79:$E$90+(CVDebtBasis=2)*$F$79:$F$90))&gt;0)*($E$79:$E$90*$G$79:$G$90/1000*G112-((CVDebtBasis=1)*$E$79:$E$90+(CVDebtBasis=2)*$F$79:$F$90)))/G112</f>
        <v>0</v>
      </c>
    </row>
    <row r="123" customFormat="false" ht="15" hidden="false" customHeight="false" outlineLevel="0" collapsed="false">
      <c r="A123" s="104" t="s">
        <v>2387</v>
      </c>
      <c r="E123" s="42" t="n">
        <f aca="false">V_BASIC+V_RSU+Options*MAX(0,1-OptK/E112)+SUMPRODUCT((E112&gt;$H$79:$H$90)*$E$79:$E$90*$G$79:$G$90)/1000</f>
        <v>314.925245</v>
      </c>
      <c r="F123" s="42" t="n">
        <f aca="false">V_BASIC+V_RSU+Options*MAX(0,1-OptK/F112)+SUMPRODUCT((F112&gt;$H$79:$H$90)*$E$79:$E$90*$G$79:$G$90)/1000</f>
        <v>314.925245</v>
      </c>
      <c r="G123" s="42" t="n">
        <f aca="false">V_BASIC+V_RSU+Options*MAX(0,1-OptK/G112)+SUMPRODUCT((G112&gt;$H$79:$H$90)*$E$79:$E$90*$G$79:$G$90)/1000</f>
        <v>314.925245</v>
      </c>
    </row>
    <row r="124" customFormat="false" ht="15" hidden="false" customHeight="false" outlineLevel="0" collapsed="false">
      <c r="A124" s="104" t="s">
        <v>2388</v>
      </c>
      <c r="E124" s="42" t="n">
        <f aca="false">V_BASIC+V_RSU+Options*MAX(0,1-OptK/E112)+SUMPRODUCT((($E$79:$E$90*$G$79:$G$90/1000*E112-((CVDebtBasis=1)*$E$79:$E$90+(CVDebtBasis=2)*$F$79:$F$90))&gt;0)*($E$79:$E$90*$G$79:$G$90/1000*E112-((CVDebtBasis=1)*$E$79:$E$90+(CVDebtBasis=2)*$F$79:$F$90)))/E112</f>
        <v>314.925245</v>
      </c>
      <c r="F124" s="42" t="n">
        <f aca="false">V_BASIC+V_RSU+Options*MAX(0,1-OptK/F112)+SUMPRODUCT((($E$79:$E$90*$G$79:$G$90/1000*F112-((CVDebtBasis=1)*$E$79:$E$90+(CVDebtBasis=2)*$F$79:$F$90))&gt;0)*($E$79:$E$90*$G$79:$G$90/1000*F112-((CVDebtBasis=1)*$E$79:$E$90+(CVDebtBasis=2)*$F$79:$F$90)))/F112</f>
        <v>314.925245</v>
      </c>
      <c r="G124" s="42" t="n">
        <f aca="false">V_BASIC+V_RSU+Options*MAX(0,1-OptK/G112)+SUMPRODUCT((($E$79:$E$90*$G$79:$G$90/1000*G112-((CVDebtBasis=1)*$E$79:$E$90+(CVDebtBasis=2)*$F$79:$F$90))&gt;0)*($E$79:$E$90*$G$79:$G$90/1000*G112-((CVDebtBasis=1)*$E$79:$E$90+(CVDebtBasis=2)*$F$79:$F$90)))/G112</f>
        <v>314.925245</v>
      </c>
    </row>
    <row r="126" customFormat="false" ht="15" hidden="false" customHeight="false" outlineLevel="0" collapsed="false">
      <c r="A126" s="53" t="s">
        <v>2389</v>
      </c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</row>
    <row r="127" customFormat="false" ht="15" hidden="false" customHeight="false" outlineLevel="0" collapsed="false">
      <c r="A127" s="3" t="s">
        <v>2390</v>
      </c>
      <c r="E127" s="3" t="s">
        <v>2391</v>
      </c>
      <c r="F127" s="3" t="s">
        <v>2392</v>
      </c>
      <c r="G127" s="3" t="s">
        <v>2393</v>
      </c>
      <c r="H127" s="3" t="s">
        <v>2394</v>
      </c>
      <c r="I127" s="3" t="s">
        <v>2395</v>
      </c>
      <c r="J127" s="3" t="s">
        <v>2396</v>
      </c>
      <c r="K127" s="3" t="s">
        <v>2397</v>
      </c>
    </row>
    <row r="128" customFormat="false" ht="15" hidden="false" customHeight="false" outlineLevel="0" collapsed="false">
      <c r="A128" s="0" t="s">
        <v>2398</v>
      </c>
      <c r="E128" s="24" t="n">
        <f aca="false">46</f>
        <v>46</v>
      </c>
      <c r="F128" s="29" t="n">
        <f aca="false">SUMPRODUCT(($E128&gt;$H$79:$H$90)*$E$79:$E$90)</f>
        <v>0</v>
      </c>
      <c r="G128" s="42" t="n">
        <f aca="false">SUMPRODUCT(($E128&gt;$H$79:$H$90)*$E$79:$E$90*$G$79:$G$90)/1000</f>
        <v>0</v>
      </c>
      <c r="H128" s="29" t="n">
        <f aca="false">SUMPRODUCT(($E128&lt;=$H$79:$H$90)*((CVDebtBasis=1)*$E$79:$E$90+(CVDebtBasis=2)*$F$79:$F$90))</f>
        <v>13425</v>
      </c>
      <c r="I128" s="42" t="n">
        <f aca="false">SUMPRODUCT((($E$79:$E$90*$G$79:$G$90/1000*$E128-((CVDebtBasis=1)*$E$79:$E$90+(CVDebtBasis=2)*$F$79:$F$90))&gt;0)*($E$79:$E$90*$G$79:$G$90/1000*$E128-((CVDebtBasis=1)*$E$79:$E$90+(CVDebtBasis=2)*$F$79:$F$90)))/$E128</f>
        <v>0</v>
      </c>
      <c r="J128" s="42" t="n">
        <f aca="false">V_BASIC+V_RSU+Options*MAX(0,1-OptK/$E128)+G128</f>
        <v>314.925245</v>
      </c>
      <c r="K128" s="42" t="n">
        <f aca="false">V_BASIC+V_RSU+Options*MAX(0,1-OptK/$E128)+I128</f>
        <v>314.925245</v>
      </c>
    </row>
    <row r="129" customFormat="false" ht="15" hidden="false" customHeight="false" outlineLevel="0" collapsed="false">
      <c r="A129" s="0" t="s">
        <v>2399</v>
      </c>
      <c r="E129" s="24" t="n">
        <f aca="false">147</f>
        <v>147</v>
      </c>
      <c r="F129" s="29" t="n">
        <f aca="false">SUMPRODUCT(($E129&gt;$H$79:$H$90)*$E$79:$E$90)</f>
        <v>3337.5</v>
      </c>
      <c r="G129" s="42" t="n">
        <f aca="false">SUMPRODUCT(($E129&gt;$H$79:$H$90)*$E$79:$E$90*$G$79:$G$90)/1000</f>
        <v>26.1941225</v>
      </c>
      <c r="H129" s="29" t="n">
        <f aca="false">SUMPRODUCT(($E129&lt;=$H$79:$H$90)*((CVDebtBasis=1)*$E$79:$E$90+(CVDebtBasis=2)*$F$79:$F$90))</f>
        <v>10087.5</v>
      </c>
      <c r="I129" s="42" t="n">
        <f aca="false">SUMPRODUCT((($E$79:$E$90*$G$79:$G$90/1000*$E129-((CVDebtBasis=1)*$E$79:$E$90+(CVDebtBasis=2)*$F$79:$F$90))&gt;0)*($E$79:$E$90*$G$79:$G$90/1000*$E129-((CVDebtBasis=1)*$E$79:$E$90+(CVDebtBasis=2)*$F$79:$F$90)))/$E129</f>
        <v>3.49004086734694</v>
      </c>
      <c r="J129" s="42" t="n">
        <f aca="false">V_BASIC+V_RSU+Options*MAX(0,1-OptK/$E129)+G129</f>
        <v>343.794973010204</v>
      </c>
      <c r="K129" s="42" t="n">
        <f aca="false">V_BASIC+V_RSU+Options*MAX(0,1-OptK/$E129)+I129</f>
        <v>321.090891377551</v>
      </c>
    </row>
    <row r="130" customFormat="false" ht="15" hidden="false" customHeight="false" outlineLevel="0" collapsed="false">
      <c r="A130" s="0" t="s">
        <v>2400</v>
      </c>
      <c r="E130" s="24" t="n">
        <f aca="false">242.81</f>
        <v>242.81</v>
      </c>
      <c r="F130" s="29" t="n">
        <f aca="false">SUMPRODUCT(($E130&gt;$H$79:$H$90)*$E$79:$E$90)</f>
        <v>7675</v>
      </c>
      <c r="G130" s="42" t="n">
        <f aca="false">SUMPRODUCT(($E130&gt;$H$79:$H$90)*$E$79:$E$90*$G$79:$G$90)/1000</f>
        <v>50.02193875</v>
      </c>
      <c r="H130" s="29" t="n">
        <f aca="false">SUMPRODUCT(($E130&lt;=$H$79:$H$90)*((CVDebtBasis=1)*$E$79:$E$90+(CVDebtBasis=2)*$F$79:$F$90))</f>
        <v>5750</v>
      </c>
      <c r="I130" s="42" t="n">
        <f aca="false">SUMPRODUCT((($E$79:$E$90*$G$79:$G$90/1000*$E130-((CVDebtBasis=1)*$E$79:$E$90+(CVDebtBasis=2)*$F$79:$F$90))&gt;0)*($E$79:$E$90*$G$79:$G$90/1000*$E130-((CVDebtBasis=1)*$E$79:$E$90+(CVDebtBasis=2)*$F$79:$F$90)))/$E130</f>
        <v>18.4128616938656</v>
      </c>
      <c r="J130" s="42" t="n">
        <f aca="false">V_BASIC+V_RSU+Options*MAX(0,1-OptK/$E130)+G130</f>
        <v>369.226788774505</v>
      </c>
      <c r="K130" s="42" t="n">
        <f aca="false">V_BASIC+V_RSU+Options*MAX(0,1-OptK/$E130)+I130</f>
        <v>337.61771171837</v>
      </c>
    </row>
    <row r="131" customFormat="false" ht="15" hidden="false" customHeight="false" outlineLevel="0" collapsed="false">
      <c r="A131" s="0" t="s">
        <v>2401</v>
      </c>
      <c r="E131" s="24" t="n">
        <f aca="false">V_PSolve</f>
        <v>0.01</v>
      </c>
      <c r="F131" s="29" t="n">
        <f aca="false">SUMPRODUCT(($E131&gt;$H$79:$H$90)*$E$79:$E$90)</f>
        <v>0</v>
      </c>
      <c r="G131" s="42" t="n">
        <f aca="false">SUMPRODUCT(($E131&gt;$H$79:$H$90)*$E$79:$E$90*$G$79:$G$90)/1000</f>
        <v>0</v>
      </c>
      <c r="H131" s="29" t="n">
        <f aca="false">SUMPRODUCT(($E131&lt;=$H$79:$H$90)*((CVDebtBasis=1)*$E$79:$E$90+(CVDebtBasis=2)*$F$79:$F$90))</f>
        <v>13425</v>
      </c>
      <c r="I131" s="42" t="n">
        <f aca="false">SUMPRODUCT((($E$79:$E$90*$G$79:$G$90/1000*$E131-((CVDebtBasis=1)*$E$79:$E$90+(CVDebtBasis=2)*$F$79:$F$90))&gt;0)*($E$79:$E$90*$G$79:$G$90/1000*$E131-((CVDebtBasis=1)*$E$79:$E$90+(CVDebtBasis=2)*$F$79:$F$90)))/$E131</f>
        <v>0</v>
      </c>
      <c r="J131" s="42" t="n">
        <f aca="false">V_BASIC+V_RSU+Options*MAX(0,1-OptK/$E131)+G131</f>
        <v>314.925245</v>
      </c>
      <c r="K131" s="42" t="n">
        <f aca="false">V_BASIC+V_RSU+Options*MAX(0,1-OptK/$E131)+I131</f>
        <v>314.925245</v>
      </c>
    </row>
    <row r="133" customFormat="false" ht="15" hidden="false" customHeight="false" outlineLevel="0" collapsed="false">
      <c r="A133" s="53" t="s">
        <v>2402</v>
      </c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</row>
    <row r="134" customFormat="false" ht="15" hidden="false" customHeight="false" outlineLevel="0" collapsed="false">
      <c r="A134" s="0" t="s">
        <v>2403</v>
      </c>
      <c r="E134" s="29" t="n">
        <f aca="false">FP_On*(FP_ATMProc*(FP_ATMIdx&lt;=FP_PostQ)+SUMPRODUCT((Q_Idx&lt;=FP_PostQ)*CF_FPConv))</f>
        <v>15623.5757177135</v>
      </c>
    </row>
    <row r="135" customFormat="false" ht="15" hidden="false" customHeight="false" outlineLevel="0" collapsed="false">
      <c r="A135" s="0" t="s">
        <v>2404</v>
      </c>
      <c r="E135" s="42" t="n">
        <f aca="false">FP_On*FP_ATMSh*(FP_ATMIdx&lt;=FP_PostQ)</f>
        <v>12.270507</v>
      </c>
    </row>
    <row r="136" customFormat="false" ht="15" hidden="false" customHeight="false" outlineLevel="0" collapsed="false">
      <c r="A136" s="0" t="s">
        <v>2405</v>
      </c>
      <c r="E136" s="24" t="n">
        <f aca="false">MAX(0.01,E112)</f>
        <v>0.774391595555017</v>
      </c>
      <c r="F136" s="24" t="n">
        <f aca="false">MAX(0.01,F112)</f>
        <v>0.01</v>
      </c>
      <c r="G136" s="24" t="n">
        <f aca="false">MAX(0.01,G112)</f>
        <v>0.01</v>
      </c>
    </row>
    <row r="137" customFormat="false" ht="15" hidden="false" customHeight="false" outlineLevel="0" collapsed="false">
      <c r="A137" s="0" t="s">
        <v>2406</v>
      </c>
      <c r="E137" s="24" t="n">
        <f aca="false">MAX(0.01,(V_EV-E$96*V_OFF-V_ODEBT-CHOOSE(DilMethod,0,SUMPRODUCT((E136&lt;=$H$79:$H$90)*((CVDebtBasis=1)*$I$79:$I$90+(CVDebtBasis=2)*$J$79:$J$90)),SUMPRODUCT(((CVDebtBasis=1)*$I$79:$I$90+(CVDebtBasis=2)*$J$79:$J$90)))+V_CASH+V_SOTP+V_FPCash)/(V_BASIC+V_FPSh+V_RSU+Options*MAX(0,1-OptK/E136)+CHOOSE(DilMethod,SUMPRODUCT($I$79:$I$90,$G$79:$G$90)/1000,SUMPRODUCT((E136&gt;$H$79:$H$90)*$I$79:$I$90*$G$79:$G$90)/1000,SUMPRODUCT((($I$79:$I$90*$G$79:$G$90/1000*E136-((CVDebtBasis=1)*$I$79:$I$90+(CVDebtBasis=2)*$J$79:$J$90))&gt;0)*($I$79:$I$90*$G$79:$G$90/1000*E136-((CVDebtBasis=1)*$I$79:$I$90+(CVDebtBasis=2)*$J$79:$J$90)))/E136)))</f>
        <v>9.37497251085822</v>
      </c>
      <c r="F137" s="24" t="n">
        <f aca="false">MAX(0.01,(V_EV-F$96*V_OFF-V_ODEBT-CHOOSE(DilMethod,0,SUMPRODUCT((F136&lt;=$H$79:$H$90)*((CVDebtBasis=1)*$I$79:$I$90+(CVDebtBasis=2)*$J$79:$J$90)),SUMPRODUCT(((CVDebtBasis=1)*$I$79:$I$90+(CVDebtBasis=2)*$J$79:$J$90)))+V_CASH+V_SOTP+V_FPCash)/(V_BASIC+V_FPSh+V_RSU+Options*MAX(0,1-OptK/F136)+CHOOSE(DilMethod,SUMPRODUCT($I$79:$I$90,$G$79:$G$90)/1000,SUMPRODUCT((F136&gt;$H$79:$H$90)*$I$79:$I$90*$G$79:$G$90)/1000,SUMPRODUCT((($I$79:$I$90*$G$79:$G$90/1000*F136-((CVDebtBasis=1)*$I$79:$I$90+(CVDebtBasis=2)*$J$79:$J$90))&gt;0)*($I$79:$I$90*$G$79:$G$90/1000*F136-((CVDebtBasis=1)*$I$79:$I$90+(CVDebtBasis=2)*$J$79:$J$90)))/F136)))</f>
        <v>0.01</v>
      </c>
      <c r="G137" s="24" t="n">
        <f aca="false">MAX(0.01,(V_EV-G$96*V_OFF-V_ODEBT-CHOOSE(DilMethod,0,SUMPRODUCT((G136&lt;=$H$79:$H$90)*((CVDebtBasis=1)*$I$79:$I$90+(CVDebtBasis=2)*$J$79:$J$90)),SUMPRODUCT(((CVDebtBasis=1)*$I$79:$I$90+(CVDebtBasis=2)*$J$79:$J$90)))+V_CASH+V_SOTP+V_FPCash)/(V_BASIC+V_FPSh+V_RSU+Options*MAX(0,1-OptK/G136)+CHOOSE(DilMethod,SUMPRODUCT($I$79:$I$90,$G$79:$G$90)/1000,SUMPRODUCT((G136&gt;$H$79:$H$90)*$I$79:$I$90*$G$79:$G$90)/1000,SUMPRODUCT((($I$79:$I$90*$G$79:$G$90/1000*G136-((CVDebtBasis=1)*$I$79:$I$90+(CVDebtBasis=2)*$J$79:$J$90))&gt;0)*($I$79:$I$90*$G$79:$G$90/1000*G136-((CVDebtBasis=1)*$I$79:$I$90+(CVDebtBasis=2)*$J$79:$J$90)))/G136)))</f>
        <v>0.01</v>
      </c>
    </row>
    <row r="138" customFormat="false" ht="15" hidden="false" customHeight="false" outlineLevel="0" collapsed="false">
      <c r="A138" s="0" t="s">
        <v>2407</v>
      </c>
      <c r="E138" s="24" t="n">
        <f aca="false">MAX(0.01,(V_EV-E$96*V_OFF-V_ODEBT-CHOOSE(DilMethod,0,SUMPRODUCT((E137&lt;=$H$79:$H$90)*((CVDebtBasis=1)*$I$79:$I$90+(CVDebtBasis=2)*$J$79:$J$90)),SUMPRODUCT(((CVDebtBasis=1)*$I$79:$I$90+(CVDebtBasis=2)*$J$79:$J$90)))+V_CASH+V_SOTP+V_FPCash)/(V_BASIC+V_FPSh+V_RSU+Options*MAX(0,1-OptK/E137)+CHOOSE(DilMethod,SUMPRODUCT($I$79:$I$90,$G$79:$G$90)/1000,SUMPRODUCT((E137&gt;$H$79:$H$90)*$I$79:$I$90*$G$79:$G$90)/1000,SUMPRODUCT((($I$79:$I$90*$G$79:$G$90/1000*E137-((CVDebtBasis=1)*$I$79:$I$90+(CVDebtBasis=2)*$J$79:$J$90))&gt;0)*($I$79:$I$90*$G$79:$G$90/1000*E137-((CVDebtBasis=1)*$I$79:$I$90+(CVDebtBasis=2)*$J$79:$J$90)))/E137)))</f>
        <v>9.37497251085822</v>
      </c>
      <c r="F138" s="24" t="n">
        <f aca="false">MAX(0.01,(V_EV-F$96*V_OFF-V_ODEBT-CHOOSE(DilMethod,0,SUMPRODUCT((F137&lt;=$H$79:$H$90)*((CVDebtBasis=1)*$I$79:$I$90+(CVDebtBasis=2)*$J$79:$J$90)),SUMPRODUCT(((CVDebtBasis=1)*$I$79:$I$90+(CVDebtBasis=2)*$J$79:$J$90)))+V_CASH+V_SOTP+V_FPCash)/(V_BASIC+V_FPSh+V_RSU+Options*MAX(0,1-OptK/F137)+CHOOSE(DilMethod,SUMPRODUCT($I$79:$I$90,$G$79:$G$90)/1000,SUMPRODUCT((F137&gt;$H$79:$H$90)*$I$79:$I$90*$G$79:$G$90)/1000,SUMPRODUCT((($I$79:$I$90*$G$79:$G$90/1000*F137-((CVDebtBasis=1)*$I$79:$I$90+(CVDebtBasis=2)*$J$79:$J$90))&gt;0)*($I$79:$I$90*$G$79:$G$90/1000*F137-((CVDebtBasis=1)*$I$79:$I$90+(CVDebtBasis=2)*$J$79:$J$90)))/F137)))</f>
        <v>0.01</v>
      </c>
      <c r="G138" s="24" t="n">
        <f aca="false">MAX(0.01,(V_EV-G$96*V_OFF-V_ODEBT-CHOOSE(DilMethod,0,SUMPRODUCT((G137&lt;=$H$79:$H$90)*((CVDebtBasis=1)*$I$79:$I$90+(CVDebtBasis=2)*$J$79:$J$90)),SUMPRODUCT(((CVDebtBasis=1)*$I$79:$I$90+(CVDebtBasis=2)*$J$79:$J$90)))+V_CASH+V_SOTP+V_FPCash)/(V_BASIC+V_FPSh+V_RSU+Options*MAX(0,1-OptK/G137)+CHOOSE(DilMethod,SUMPRODUCT($I$79:$I$90,$G$79:$G$90)/1000,SUMPRODUCT((G137&gt;$H$79:$H$90)*$I$79:$I$90*$G$79:$G$90)/1000,SUMPRODUCT((($I$79:$I$90*$G$79:$G$90/1000*G137-((CVDebtBasis=1)*$I$79:$I$90+(CVDebtBasis=2)*$J$79:$J$90))&gt;0)*($I$79:$I$90*$G$79:$G$90/1000*G137-((CVDebtBasis=1)*$I$79:$I$90+(CVDebtBasis=2)*$J$79:$J$90)))/G137)))</f>
        <v>0.01</v>
      </c>
    </row>
    <row r="139" customFormat="false" ht="15" hidden="false" customHeight="false" outlineLevel="0" collapsed="false">
      <c r="A139" s="0" t="s">
        <v>2408</v>
      </c>
      <c r="E139" s="24" t="n">
        <f aca="false">MAX(0.01,(V_EV-E$96*V_OFF-V_ODEBT-CHOOSE(DilMethod,0,SUMPRODUCT((E138&lt;=$H$79:$H$90)*((CVDebtBasis=1)*$I$79:$I$90+(CVDebtBasis=2)*$J$79:$J$90)),SUMPRODUCT(((CVDebtBasis=1)*$I$79:$I$90+(CVDebtBasis=2)*$J$79:$J$90)))+V_CASH+V_SOTP+V_FPCash)/(V_BASIC+V_FPSh+V_RSU+Options*MAX(0,1-OptK/E138)+CHOOSE(DilMethod,SUMPRODUCT($I$79:$I$90,$G$79:$G$90)/1000,SUMPRODUCT((E138&gt;$H$79:$H$90)*$I$79:$I$90*$G$79:$G$90)/1000,SUMPRODUCT((($I$79:$I$90*$G$79:$G$90/1000*E138-((CVDebtBasis=1)*$I$79:$I$90+(CVDebtBasis=2)*$J$79:$J$90))&gt;0)*($I$79:$I$90*$G$79:$G$90/1000*E138-((CVDebtBasis=1)*$I$79:$I$90+(CVDebtBasis=2)*$J$79:$J$90)))/E138)))</f>
        <v>9.37497251085822</v>
      </c>
      <c r="F139" s="24" t="n">
        <f aca="false">MAX(0.01,(V_EV-F$96*V_OFF-V_ODEBT-CHOOSE(DilMethod,0,SUMPRODUCT((F138&lt;=$H$79:$H$90)*((CVDebtBasis=1)*$I$79:$I$90+(CVDebtBasis=2)*$J$79:$J$90)),SUMPRODUCT(((CVDebtBasis=1)*$I$79:$I$90+(CVDebtBasis=2)*$J$79:$J$90)))+V_CASH+V_SOTP+V_FPCash)/(V_BASIC+V_FPSh+V_RSU+Options*MAX(0,1-OptK/F138)+CHOOSE(DilMethod,SUMPRODUCT($I$79:$I$90,$G$79:$G$90)/1000,SUMPRODUCT((F138&gt;$H$79:$H$90)*$I$79:$I$90*$G$79:$G$90)/1000,SUMPRODUCT((($I$79:$I$90*$G$79:$G$90/1000*F138-((CVDebtBasis=1)*$I$79:$I$90+(CVDebtBasis=2)*$J$79:$J$90))&gt;0)*($I$79:$I$90*$G$79:$G$90/1000*F138-((CVDebtBasis=1)*$I$79:$I$90+(CVDebtBasis=2)*$J$79:$J$90)))/F138)))</f>
        <v>0.01</v>
      </c>
      <c r="G139" s="24" t="n">
        <f aca="false">MAX(0.01,(V_EV-G$96*V_OFF-V_ODEBT-CHOOSE(DilMethod,0,SUMPRODUCT((G138&lt;=$H$79:$H$90)*((CVDebtBasis=1)*$I$79:$I$90+(CVDebtBasis=2)*$J$79:$J$90)),SUMPRODUCT(((CVDebtBasis=1)*$I$79:$I$90+(CVDebtBasis=2)*$J$79:$J$90)))+V_CASH+V_SOTP+V_FPCash)/(V_BASIC+V_FPSh+V_RSU+Options*MAX(0,1-OptK/G138)+CHOOSE(DilMethod,SUMPRODUCT($I$79:$I$90,$G$79:$G$90)/1000,SUMPRODUCT((G138&gt;$H$79:$H$90)*$I$79:$I$90*$G$79:$G$90)/1000,SUMPRODUCT((($I$79:$I$90*$G$79:$G$90/1000*G138-((CVDebtBasis=1)*$I$79:$I$90+(CVDebtBasis=2)*$J$79:$J$90))&gt;0)*($I$79:$I$90*$G$79:$G$90/1000*G138-((CVDebtBasis=1)*$I$79:$I$90+(CVDebtBasis=2)*$J$79:$J$90)))/G138)))</f>
        <v>0.01</v>
      </c>
    </row>
    <row r="140" customFormat="false" ht="15" hidden="false" customHeight="false" outlineLevel="0" collapsed="false">
      <c r="A140" s="0" t="s">
        <v>2409</v>
      </c>
      <c r="E140" s="24" t="n">
        <f aca="false">MAX(0.01,(V_EV-E$96*V_OFF-V_ODEBT-CHOOSE(DilMethod,0,SUMPRODUCT((E139&lt;=$H$79:$H$90)*((CVDebtBasis=1)*$I$79:$I$90+(CVDebtBasis=2)*$J$79:$J$90)),SUMPRODUCT(((CVDebtBasis=1)*$I$79:$I$90+(CVDebtBasis=2)*$J$79:$J$90)))+V_CASH+V_SOTP+V_FPCash)/(V_BASIC+V_FPSh+V_RSU+Options*MAX(0,1-OptK/E139)+CHOOSE(DilMethod,SUMPRODUCT($I$79:$I$90,$G$79:$G$90)/1000,SUMPRODUCT((E139&gt;$H$79:$H$90)*$I$79:$I$90*$G$79:$G$90)/1000,SUMPRODUCT((($I$79:$I$90*$G$79:$G$90/1000*E139-((CVDebtBasis=1)*$I$79:$I$90+(CVDebtBasis=2)*$J$79:$J$90))&gt;0)*($I$79:$I$90*$G$79:$G$90/1000*E139-((CVDebtBasis=1)*$I$79:$I$90+(CVDebtBasis=2)*$J$79:$J$90)))/E139)))</f>
        <v>9.37497251085822</v>
      </c>
      <c r="F140" s="24" t="n">
        <f aca="false">MAX(0.01,(V_EV-F$96*V_OFF-V_ODEBT-CHOOSE(DilMethod,0,SUMPRODUCT((F139&lt;=$H$79:$H$90)*((CVDebtBasis=1)*$I$79:$I$90+(CVDebtBasis=2)*$J$79:$J$90)),SUMPRODUCT(((CVDebtBasis=1)*$I$79:$I$90+(CVDebtBasis=2)*$J$79:$J$90)))+V_CASH+V_SOTP+V_FPCash)/(V_BASIC+V_FPSh+V_RSU+Options*MAX(0,1-OptK/F139)+CHOOSE(DilMethod,SUMPRODUCT($I$79:$I$90,$G$79:$G$90)/1000,SUMPRODUCT((F139&gt;$H$79:$H$90)*$I$79:$I$90*$G$79:$G$90)/1000,SUMPRODUCT((($I$79:$I$90*$G$79:$G$90/1000*F139-((CVDebtBasis=1)*$I$79:$I$90+(CVDebtBasis=2)*$J$79:$J$90))&gt;0)*($I$79:$I$90*$G$79:$G$90/1000*F139-((CVDebtBasis=1)*$I$79:$I$90+(CVDebtBasis=2)*$J$79:$J$90)))/F139)))</f>
        <v>0.01</v>
      </c>
      <c r="G140" s="24" t="n">
        <f aca="false">MAX(0.01,(V_EV-G$96*V_OFF-V_ODEBT-CHOOSE(DilMethod,0,SUMPRODUCT((G139&lt;=$H$79:$H$90)*((CVDebtBasis=1)*$I$79:$I$90+(CVDebtBasis=2)*$J$79:$J$90)),SUMPRODUCT(((CVDebtBasis=1)*$I$79:$I$90+(CVDebtBasis=2)*$J$79:$J$90)))+V_CASH+V_SOTP+V_FPCash)/(V_BASIC+V_FPSh+V_RSU+Options*MAX(0,1-OptK/G139)+CHOOSE(DilMethod,SUMPRODUCT($I$79:$I$90,$G$79:$G$90)/1000,SUMPRODUCT((G139&gt;$H$79:$H$90)*$I$79:$I$90*$G$79:$G$90)/1000,SUMPRODUCT((($I$79:$I$90*$G$79:$G$90/1000*G139-((CVDebtBasis=1)*$I$79:$I$90+(CVDebtBasis=2)*$J$79:$J$90))&gt;0)*($I$79:$I$90*$G$79:$G$90/1000*G139-((CVDebtBasis=1)*$I$79:$I$90+(CVDebtBasis=2)*$J$79:$J$90)))/G139)))</f>
        <v>0.01</v>
      </c>
    </row>
    <row r="141" customFormat="false" ht="15" hidden="false" customHeight="false" outlineLevel="0" collapsed="false">
      <c r="A141" s="0" t="s">
        <v>2410</v>
      </c>
      <c r="E141" s="24" t="n">
        <f aca="false">MAX(0.01,(V_EV-E$96*V_OFF-V_ODEBT-CHOOSE(DilMethod,0,SUMPRODUCT((E140&lt;=$H$79:$H$90)*((CVDebtBasis=1)*$I$79:$I$90+(CVDebtBasis=2)*$J$79:$J$90)),SUMPRODUCT(((CVDebtBasis=1)*$I$79:$I$90+(CVDebtBasis=2)*$J$79:$J$90)))+V_CASH+V_SOTP+V_FPCash)/(V_BASIC+V_FPSh+V_RSU+Options*MAX(0,1-OptK/E140)+CHOOSE(DilMethod,SUMPRODUCT($I$79:$I$90,$G$79:$G$90)/1000,SUMPRODUCT((E140&gt;$H$79:$H$90)*$I$79:$I$90*$G$79:$G$90)/1000,SUMPRODUCT((($I$79:$I$90*$G$79:$G$90/1000*E140-((CVDebtBasis=1)*$I$79:$I$90+(CVDebtBasis=2)*$J$79:$J$90))&gt;0)*($I$79:$I$90*$G$79:$G$90/1000*E140-((CVDebtBasis=1)*$I$79:$I$90+(CVDebtBasis=2)*$J$79:$J$90)))/E140)))</f>
        <v>9.37497251085822</v>
      </c>
      <c r="F141" s="24" t="n">
        <f aca="false">MAX(0.01,(V_EV-F$96*V_OFF-V_ODEBT-CHOOSE(DilMethod,0,SUMPRODUCT((F140&lt;=$H$79:$H$90)*((CVDebtBasis=1)*$I$79:$I$90+(CVDebtBasis=2)*$J$79:$J$90)),SUMPRODUCT(((CVDebtBasis=1)*$I$79:$I$90+(CVDebtBasis=2)*$J$79:$J$90)))+V_CASH+V_SOTP+V_FPCash)/(V_BASIC+V_FPSh+V_RSU+Options*MAX(0,1-OptK/F140)+CHOOSE(DilMethod,SUMPRODUCT($I$79:$I$90,$G$79:$G$90)/1000,SUMPRODUCT((F140&gt;$H$79:$H$90)*$I$79:$I$90*$G$79:$G$90)/1000,SUMPRODUCT((($I$79:$I$90*$G$79:$G$90/1000*F140-((CVDebtBasis=1)*$I$79:$I$90+(CVDebtBasis=2)*$J$79:$J$90))&gt;0)*($I$79:$I$90*$G$79:$G$90/1000*F140-((CVDebtBasis=1)*$I$79:$I$90+(CVDebtBasis=2)*$J$79:$J$90)))/F140)))</f>
        <v>0.01</v>
      </c>
      <c r="G141" s="24" t="n">
        <f aca="false">MAX(0.01,(V_EV-G$96*V_OFF-V_ODEBT-CHOOSE(DilMethod,0,SUMPRODUCT((G140&lt;=$H$79:$H$90)*((CVDebtBasis=1)*$I$79:$I$90+(CVDebtBasis=2)*$J$79:$J$90)),SUMPRODUCT(((CVDebtBasis=1)*$I$79:$I$90+(CVDebtBasis=2)*$J$79:$J$90)))+V_CASH+V_SOTP+V_FPCash)/(V_BASIC+V_FPSh+V_RSU+Options*MAX(0,1-OptK/G140)+CHOOSE(DilMethod,SUMPRODUCT($I$79:$I$90,$G$79:$G$90)/1000,SUMPRODUCT((G140&gt;$H$79:$H$90)*$I$79:$I$90*$G$79:$G$90)/1000,SUMPRODUCT((($I$79:$I$90*$G$79:$G$90/1000*G140-((CVDebtBasis=1)*$I$79:$I$90+(CVDebtBasis=2)*$J$79:$J$90))&gt;0)*($I$79:$I$90*$G$79:$G$90/1000*G140-((CVDebtBasis=1)*$I$79:$I$90+(CVDebtBasis=2)*$J$79:$J$90)))/G140)))</f>
        <v>0.01</v>
      </c>
    </row>
    <row r="142" customFormat="false" ht="15" hidden="false" customHeight="false" outlineLevel="0" collapsed="false">
      <c r="A142" s="0" t="s">
        <v>2411</v>
      </c>
      <c r="E142" s="24" t="n">
        <f aca="false">MAX(0.01,(V_EV-E$96*V_OFF-V_ODEBT-CHOOSE(DilMethod,0,SUMPRODUCT((E141&lt;=$H$79:$H$90)*((CVDebtBasis=1)*$I$79:$I$90+(CVDebtBasis=2)*$J$79:$J$90)),SUMPRODUCT(((CVDebtBasis=1)*$I$79:$I$90+(CVDebtBasis=2)*$J$79:$J$90)))+V_CASH+V_SOTP+V_FPCash)/(V_BASIC+V_FPSh+V_RSU+Options*MAX(0,1-OptK/E141)+CHOOSE(DilMethod,SUMPRODUCT($I$79:$I$90,$G$79:$G$90)/1000,SUMPRODUCT((E141&gt;$H$79:$H$90)*$I$79:$I$90*$G$79:$G$90)/1000,SUMPRODUCT((($I$79:$I$90*$G$79:$G$90/1000*E141-((CVDebtBasis=1)*$I$79:$I$90+(CVDebtBasis=2)*$J$79:$J$90))&gt;0)*($I$79:$I$90*$G$79:$G$90/1000*E141-((CVDebtBasis=1)*$I$79:$I$90+(CVDebtBasis=2)*$J$79:$J$90)))/E141)))</f>
        <v>9.37497251085822</v>
      </c>
      <c r="F142" s="24" t="n">
        <f aca="false">MAX(0.01,(V_EV-F$96*V_OFF-V_ODEBT-CHOOSE(DilMethod,0,SUMPRODUCT((F141&lt;=$H$79:$H$90)*((CVDebtBasis=1)*$I$79:$I$90+(CVDebtBasis=2)*$J$79:$J$90)),SUMPRODUCT(((CVDebtBasis=1)*$I$79:$I$90+(CVDebtBasis=2)*$J$79:$J$90)))+V_CASH+V_SOTP+V_FPCash)/(V_BASIC+V_FPSh+V_RSU+Options*MAX(0,1-OptK/F141)+CHOOSE(DilMethod,SUMPRODUCT($I$79:$I$90,$G$79:$G$90)/1000,SUMPRODUCT((F141&gt;$H$79:$H$90)*$I$79:$I$90*$G$79:$G$90)/1000,SUMPRODUCT((($I$79:$I$90*$G$79:$G$90/1000*F141-((CVDebtBasis=1)*$I$79:$I$90+(CVDebtBasis=2)*$J$79:$J$90))&gt;0)*($I$79:$I$90*$G$79:$G$90/1000*F141-((CVDebtBasis=1)*$I$79:$I$90+(CVDebtBasis=2)*$J$79:$J$90)))/F141)))</f>
        <v>0.01</v>
      </c>
      <c r="G142" s="24" t="n">
        <f aca="false">MAX(0.01,(V_EV-G$96*V_OFF-V_ODEBT-CHOOSE(DilMethod,0,SUMPRODUCT((G141&lt;=$H$79:$H$90)*((CVDebtBasis=1)*$I$79:$I$90+(CVDebtBasis=2)*$J$79:$J$90)),SUMPRODUCT(((CVDebtBasis=1)*$I$79:$I$90+(CVDebtBasis=2)*$J$79:$J$90)))+V_CASH+V_SOTP+V_FPCash)/(V_BASIC+V_FPSh+V_RSU+Options*MAX(0,1-OptK/G141)+CHOOSE(DilMethod,SUMPRODUCT($I$79:$I$90,$G$79:$G$90)/1000,SUMPRODUCT((G141&gt;$H$79:$H$90)*$I$79:$I$90*$G$79:$G$90)/1000,SUMPRODUCT((($I$79:$I$90*$G$79:$G$90/1000*G141-((CVDebtBasis=1)*$I$79:$I$90+(CVDebtBasis=2)*$J$79:$J$90))&gt;0)*($I$79:$I$90*$G$79:$G$90/1000*G141-((CVDebtBasis=1)*$I$79:$I$90+(CVDebtBasis=2)*$J$79:$J$90)))/G141)))</f>
        <v>0.01</v>
      </c>
    </row>
    <row r="143" customFormat="false" ht="15" hidden="false" customHeight="false" outlineLevel="0" collapsed="false">
      <c r="A143" s="0" t="s">
        <v>2412</v>
      </c>
      <c r="E143" s="24" t="n">
        <f aca="false">MAX(0.01,(V_EV-E$96*V_OFF-V_ODEBT-CHOOSE(DilMethod,0,SUMPRODUCT((E142&lt;=$H$79:$H$90)*((CVDebtBasis=1)*$I$79:$I$90+(CVDebtBasis=2)*$J$79:$J$90)),SUMPRODUCT(((CVDebtBasis=1)*$I$79:$I$90+(CVDebtBasis=2)*$J$79:$J$90)))+V_CASH+V_SOTP+V_FPCash)/(V_BASIC+V_FPSh+V_RSU+Options*MAX(0,1-OptK/E142)+CHOOSE(DilMethod,SUMPRODUCT($I$79:$I$90,$G$79:$G$90)/1000,SUMPRODUCT((E142&gt;$H$79:$H$90)*$I$79:$I$90*$G$79:$G$90)/1000,SUMPRODUCT((($I$79:$I$90*$G$79:$G$90/1000*E142-((CVDebtBasis=1)*$I$79:$I$90+(CVDebtBasis=2)*$J$79:$J$90))&gt;0)*($I$79:$I$90*$G$79:$G$90/1000*E142-((CVDebtBasis=1)*$I$79:$I$90+(CVDebtBasis=2)*$J$79:$J$90)))/E142)))</f>
        <v>9.37497251085822</v>
      </c>
      <c r="F143" s="24" t="n">
        <f aca="false">MAX(0.01,(V_EV-F$96*V_OFF-V_ODEBT-CHOOSE(DilMethod,0,SUMPRODUCT((F142&lt;=$H$79:$H$90)*((CVDebtBasis=1)*$I$79:$I$90+(CVDebtBasis=2)*$J$79:$J$90)),SUMPRODUCT(((CVDebtBasis=1)*$I$79:$I$90+(CVDebtBasis=2)*$J$79:$J$90)))+V_CASH+V_SOTP+V_FPCash)/(V_BASIC+V_FPSh+V_RSU+Options*MAX(0,1-OptK/F142)+CHOOSE(DilMethod,SUMPRODUCT($I$79:$I$90,$G$79:$G$90)/1000,SUMPRODUCT((F142&gt;$H$79:$H$90)*$I$79:$I$90*$G$79:$G$90)/1000,SUMPRODUCT((($I$79:$I$90*$G$79:$G$90/1000*F142-((CVDebtBasis=1)*$I$79:$I$90+(CVDebtBasis=2)*$J$79:$J$90))&gt;0)*($I$79:$I$90*$G$79:$G$90/1000*F142-((CVDebtBasis=1)*$I$79:$I$90+(CVDebtBasis=2)*$J$79:$J$90)))/F142)))</f>
        <v>0.01</v>
      </c>
      <c r="G143" s="24" t="n">
        <f aca="false">MAX(0.01,(V_EV-G$96*V_OFF-V_ODEBT-CHOOSE(DilMethod,0,SUMPRODUCT((G142&lt;=$H$79:$H$90)*((CVDebtBasis=1)*$I$79:$I$90+(CVDebtBasis=2)*$J$79:$J$90)),SUMPRODUCT(((CVDebtBasis=1)*$I$79:$I$90+(CVDebtBasis=2)*$J$79:$J$90)))+V_CASH+V_SOTP+V_FPCash)/(V_BASIC+V_FPSh+V_RSU+Options*MAX(0,1-OptK/G142)+CHOOSE(DilMethod,SUMPRODUCT($I$79:$I$90,$G$79:$G$90)/1000,SUMPRODUCT((G142&gt;$H$79:$H$90)*$I$79:$I$90*$G$79:$G$90)/1000,SUMPRODUCT((($I$79:$I$90*$G$79:$G$90/1000*G142-((CVDebtBasis=1)*$I$79:$I$90+(CVDebtBasis=2)*$J$79:$J$90))&gt;0)*($I$79:$I$90*$G$79:$G$90/1000*G142-((CVDebtBasis=1)*$I$79:$I$90+(CVDebtBasis=2)*$J$79:$J$90)))/G142)))</f>
        <v>0.01</v>
      </c>
    </row>
    <row r="144" customFormat="false" ht="15" hidden="false" customHeight="false" outlineLevel="0" collapsed="false">
      <c r="A144" s="0" t="s">
        <v>2413</v>
      </c>
      <c r="E144" s="24" t="n">
        <f aca="false">MAX(0.01,(V_EV-E$96*V_OFF-V_ODEBT-CHOOSE(DilMethod,0,SUMPRODUCT((E143&lt;=$H$79:$H$90)*((CVDebtBasis=1)*$I$79:$I$90+(CVDebtBasis=2)*$J$79:$J$90)),SUMPRODUCT(((CVDebtBasis=1)*$I$79:$I$90+(CVDebtBasis=2)*$J$79:$J$90)))+V_CASH+V_SOTP+V_FPCash)/(V_BASIC+V_FPSh+V_RSU+Options*MAX(0,1-OptK/E143)+CHOOSE(DilMethod,SUMPRODUCT($I$79:$I$90,$G$79:$G$90)/1000,SUMPRODUCT((E143&gt;$H$79:$H$90)*$I$79:$I$90*$G$79:$G$90)/1000,SUMPRODUCT((($I$79:$I$90*$G$79:$G$90/1000*E143-((CVDebtBasis=1)*$I$79:$I$90+(CVDebtBasis=2)*$J$79:$J$90))&gt;0)*($I$79:$I$90*$G$79:$G$90/1000*E143-((CVDebtBasis=1)*$I$79:$I$90+(CVDebtBasis=2)*$J$79:$J$90)))/E143)))</f>
        <v>9.37497251085822</v>
      </c>
      <c r="F144" s="24" t="n">
        <f aca="false">MAX(0.01,(V_EV-F$96*V_OFF-V_ODEBT-CHOOSE(DilMethod,0,SUMPRODUCT((F143&lt;=$H$79:$H$90)*((CVDebtBasis=1)*$I$79:$I$90+(CVDebtBasis=2)*$J$79:$J$90)),SUMPRODUCT(((CVDebtBasis=1)*$I$79:$I$90+(CVDebtBasis=2)*$J$79:$J$90)))+V_CASH+V_SOTP+V_FPCash)/(V_BASIC+V_FPSh+V_RSU+Options*MAX(0,1-OptK/F143)+CHOOSE(DilMethod,SUMPRODUCT($I$79:$I$90,$G$79:$G$90)/1000,SUMPRODUCT((F143&gt;$H$79:$H$90)*$I$79:$I$90*$G$79:$G$90)/1000,SUMPRODUCT((($I$79:$I$90*$G$79:$G$90/1000*F143-((CVDebtBasis=1)*$I$79:$I$90+(CVDebtBasis=2)*$J$79:$J$90))&gt;0)*($I$79:$I$90*$G$79:$G$90/1000*F143-((CVDebtBasis=1)*$I$79:$I$90+(CVDebtBasis=2)*$J$79:$J$90)))/F143)))</f>
        <v>0.01</v>
      </c>
      <c r="G144" s="24" t="n">
        <f aca="false">MAX(0.01,(V_EV-G$96*V_OFF-V_ODEBT-CHOOSE(DilMethod,0,SUMPRODUCT((G143&lt;=$H$79:$H$90)*((CVDebtBasis=1)*$I$79:$I$90+(CVDebtBasis=2)*$J$79:$J$90)),SUMPRODUCT(((CVDebtBasis=1)*$I$79:$I$90+(CVDebtBasis=2)*$J$79:$J$90)))+V_CASH+V_SOTP+V_FPCash)/(V_BASIC+V_FPSh+V_RSU+Options*MAX(0,1-OptK/G143)+CHOOSE(DilMethod,SUMPRODUCT($I$79:$I$90,$G$79:$G$90)/1000,SUMPRODUCT((G143&gt;$H$79:$H$90)*$I$79:$I$90*$G$79:$G$90)/1000,SUMPRODUCT((($I$79:$I$90*$G$79:$G$90/1000*G143-((CVDebtBasis=1)*$I$79:$I$90+(CVDebtBasis=2)*$J$79:$J$90))&gt;0)*($I$79:$I$90*$G$79:$G$90/1000*G143-((CVDebtBasis=1)*$I$79:$I$90+(CVDebtBasis=2)*$J$79:$J$90)))/G143)))</f>
        <v>0.01</v>
      </c>
    </row>
    <row r="145" customFormat="false" ht="15" hidden="false" customHeight="false" outlineLevel="0" collapsed="false">
      <c r="A145" s="0" t="s">
        <v>2414</v>
      </c>
      <c r="E145" s="24" t="n">
        <f aca="false">MAX(0.01,(V_EV-E$96*V_OFF-V_ODEBT-CHOOSE(DilMethod,0,SUMPRODUCT((E144&lt;=$H$79:$H$90)*((CVDebtBasis=1)*$I$79:$I$90+(CVDebtBasis=2)*$J$79:$J$90)),SUMPRODUCT(((CVDebtBasis=1)*$I$79:$I$90+(CVDebtBasis=2)*$J$79:$J$90)))+V_CASH+V_SOTP+V_FPCash)/(V_BASIC+V_FPSh+V_RSU+Options*MAX(0,1-OptK/E144)+CHOOSE(DilMethod,SUMPRODUCT($I$79:$I$90,$G$79:$G$90)/1000,SUMPRODUCT((E144&gt;$H$79:$H$90)*$I$79:$I$90*$G$79:$G$90)/1000,SUMPRODUCT((($I$79:$I$90*$G$79:$G$90/1000*E144-((CVDebtBasis=1)*$I$79:$I$90+(CVDebtBasis=2)*$J$79:$J$90))&gt;0)*($I$79:$I$90*$G$79:$G$90/1000*E144-((CVDebtBasis=1)*$I$79:$I$90+(CVDebtBasis=2)*$J$79:$J$90)))/E144)))</f>
        <v>9.37497251085822</v>
      </c>
      <c r="F145" s="24" t="n">
        <f aca="false">MAX(0.01,(V_EV-F$96*V_OFF-V_ODEBT-CHOOSE(DilMethod,0,SUMPRODUCT((F144&lt;=$H$79:$H$90)*((CVDebtBasis=1)*$I$79:$I$90+(CVDebtBasis=2)*$J$79:$J$90)),SUMPRODUCT(((CVDebtBasis=1)*$I$79:$I$90+(CVDebtBasis=2)*$J$79:$J$90)))+V_CASH+V_SOTP+V_FPCash)/(V_BASIC+V_FPSh+V_RSU+Options*MAX(0,1-OptK/F144)+CHOOSE(DilMethod,SUMPRODUCT($I$79:$I$90,$G$79:$G$90)/1000,SUMPRODUCT((F144&gt;$H$79:$H$90)*$I$79:$I$90*$G$79:$G$90)/1000,SUMPRODUCT((($I$79:$I$90*$G$79:$G$90/1000*F144-((CVDebtBasis=1)*$I$79:$I$90+(CVDebtBasis=2)*$J$79:$J$90))&gt;0)*($I$79:$I$90*$G$79:$G$90/1000*F144-((CVDebtBasis=1)*$I$79:$I$90+(CVDebtBasis=2)*$J$79:$J$90)))/F144)))</f>
        <v>0.01</v>
      </c>
      <c r="G145" s="24" t="n">
        <f aca="false">MAX(0.01,(V_EV-G$96*V_OFF-V_ODEBT-CHOOSE(DilMethod,0,SUMPRODUCT((G144&lt;=$H$79:$H$90)*((CVDebtBasis=1)*$I$79:$I$90+(CVDebtBasis=2)*$J$79:$J$90)),SUMPRODUCT(((CVDebtBasis=1)*$I$79:$I$90+(CVDebtBasis=2)*$J$79:$J$90)))+V_CASH+V_SOTP+V_FPCash)/(V_BASIC+V_FPSh+V_RSU+Options*MAX(0,1-OptK/G144)+CHOOSE(DilMethod,SUMPRODUCT($I$79:$I$90,$G$79:$G$90)/1000,SUMPRODUCT((G144&gt;$H$79:$H$90)*$I$79:$I$90*$G$79:$G$90)/1000,SUMPRODUCT((($I$79:$I$90*$G$79:$G$90/1000*G144-((CVDebtBasis=1)*$I$79:$I$90+(CVDebtBasis=2)*$J$79:$J$90))&gt;0)*($I$79:$I$90*$G$79:$G$90/1000*G144-((CVDebtBasis=1)*$I$79:$I$90+(CVDebtBasis=2)*$J$79:$J$90)))/G144)))</f>
        <v>0.01</v>
      </c>
    </row>
    <row r="146" customFormat="false" ht="15" hidden="false" customHeight="false" outlineLevel="0" collapsed="false">
      <c r="A146" s="0" t="s">
        <v>2415</v>
      </c>
      <c r="E146" s="24" t="n">
        <f aca="false">MAX(0.01,(V_EV-E$96*V_OFF-V_ODEBT-CHOOSE(DilMethod,0,SUMPRODUCT((E145&lt;=$H$79:$H$90)*((CVDebtBasis=1)*$I$79:$I$90+(CVDebtBasis=2)*$J$79:$J$90)),SUMPRODUCT(((CVDebtBasis=1)*$I$79:$I$90+(CVDebtBasis=2)*$J$79:$J$90)))+V_CASH+V_SOTP+V_FPCash)/(V_BASIC+V_FPSh+V_RSU+Options*MAX(0,1-OptK/E145)+CHOOSE(DilMethod,SUMPRODUCT($I$79:$I$90,$G$79:$G$90)/1000,SUMPRODUCT((E145&gt;$H$79:$H$90)*$I$79:$I$90*$G$79:$G$90)/1000,SUMPRODUCT((($I$79:$I$90*$G$79:$G$90/1000*E145-((CVDebtBasis=1)*$I$79:$I$90+(CVDebtBasis=2)*$J$79:$J$90))&gt;0)*($I$79:$I$90*$G$79:$G$90/1000*E145-((CVDebtBasis=1)*$I$79:$I$90+(CVDebtBasis=2)*$J$79:$J$90)))/E145)))</f>
        <v>9.37497251085822</v>
      </c>
      <c r="F146" s="24" t="n">
        <f aca="false">MAX(0.01,(V_EV-F$96*V_OFF-V_ODEBT-CHOOSE(DilMethod,0,SUMPRODUCT((F145&lt;=$H$79:$H$90)*((CVDebtBasis=1)*$I$79:$I$90+(CVDebtBasis=2)*$J$79:$J$90)),SUMPRODUCT(((CVDebtBasis=1)*$I$79:$I$90+(CVDebtBasis=2)*$J$79:$J$90)))+V_CASH+V_SOTP+V_FPCash)/(V_BASIC+V_FPSh+V_RSU+Options*MAX(0,1-OptK/F145)+CHOOSE(DilMethod,SUMPRODUCT($I$79:$I$90,$G$79:$G$90)/1000,SUMPRODUCT((F145&gt;$H$79:$H$90)*$I$79:$I$90*$G$79:$G$90)/1000,SUMPRODUCT((($I$79:$I$90*$G$79:$G$90/1000*F145-((CVDebtBasis=1)*$I$79:$I$90+(CVDebtBasis=2)*$J$79:$J$90))&gt;0)*($I$79:$I$90*$G$79:$G$90/1000*F145-((CVDebtBasis=1)*$I$79:$I$90+(CVDebtBasis=2)*$J$79:$J$90)))/F145)))</f>
        <v>0.01</v>
      </c>
      <c r="G146" s="24" t="n">
        <f aca="false">MAX(0.01,(V_EV-G$96*V_OFF-V_ODEBT-CHOOSE(DilMethod,0,SUMPRODUCT((G145&lt;=$H$79:$H$90)*((CVDebtBasis=1)*$I$79:$I$90+(CVDebtBasis=2)*$J$79:$J$90)),SUMPRODUCT(((CVDebtBasis=1)*$I$79:$I$90+(CVDebtBasis=2)*$J$79:$J$90)))+V_CASH+V_SOTP+V_FPCash)/(V_BASIC+V_FPSh+V_RSU+Options*MAX(0,1-OptK/G145)+CHOOSE(DilMethod,SUMPRODUCT($I$79:$I$90,$G$79:$G$90)/1000,SUMPRODUCT((G145&gt;$H$79:$H$90)*$I$79:$I$90*$G$79:$G$90)/1000,SUMPRODUCT((($I$79:$I$90*$G$79:$G$90/1000*G145-((CVDebtBasis=1)*$I$79:$I$90+(CVDebtBasis=2)*$J$79:$J$90))&gt;0)*($I$79:$I$90*$G$79:$G$90/1000*G145-((CVDebtBasis=1)*$I$79:$I$90+(CVDebtBasis=2)*$J$79:$J$90)))/G145)))</f>
        <v>0.01</v>
      </c>
    </row>
    <row r="147" customFormat="false" ht="15" hidden="false" customHeight="false" outlineLevel="0" collapsed="false">
      <c r="A147" s="0" t="s">
        <v>2416</v>
      </c>
      <c r="E147" s="24" t="n">
        <f aca="false">MAX(0.01,(V_EV-E$96*V_OFF-V_ODEBT-CHOOSE(DilMethod,0,SUMPRODUCT((E146&lt;=$H$79:$H$90)*((CVDebtBasis=1)*$I$79:$I$90+(CVDebtBasis=2)*$J$79:$J$90)),SUMPRODUCT(((CVDebtBasis=1)*$I$79:$I$90+(CVDebtBasis=2)*$J$79:$J$90)))+V_CASH+V_SOTP+V_FPCash)/(V_BASIC+V_FPSh+V_RSU+Options*MAX(0,1-OptK/E146)+CHOOSE(DilMethod,SUMPRODUCT($I$79:$I$90,$G$79:$G$90)/1000,SUMPRODUCT((E146&gt;$H$79:$H$90)*$I$79:$I$90*$G$79:$G$90)/1000,SUMPRODUCT((($I$79:$I$90*$G$79:$G$90/1000*E146-((CVDebtBasis=1)*$I$79:$I$90+(CVDebtBasis=2)*$J$79:$J$90))&gt;0)*($I$79:$I$90*$G$79:$G$90/1000*E146-((CVDebtBasis=1)*$I$79:$I$90+(CVDebtBasis=2)*$J$79:$J$90)))/E146)))</f>
        <v>9.37497251085822</v>
      </c>
      <c r="F147" s="24" t="n">
        <f aca="false">MAX(0.01,(V_EV-F$96*V_OFF-V_ODEBT-CHOOSE(DilMethod,0,SUMPRODUCT((F146&lt;=$H$79:$H$90)*((CVDebtBasis=1)*$I$79:$I$90+(CVDebtBasis=2)*$J$79:$J$90)),SUMPRODUCT(((CVDebtBasis=1)*$I$79:$I$90+(CVDebtBasis=2)*$J$79:$J$90)))+V_CASH+V_SOTP+V_FPCash)/(V_BASIC+V_FPSh+V_RSU+Options*MAX(0,1-OptK/F146)+CHOOSE(DilMethod,SUMPRODUCT($I$79:$I$90,$G$79:$G$90)/1000,SUMPRODUCT((F146&gt;$H$79:$H$90)*$I$79:$I$90*$G$79:$G$90)/1000,SUMPRODUCT((($I$79:$I$90*$G$79:$G$90/1000*F146-((CVDebtBasis=1)*$I$79:$I$90+(CVDebtBasis=2)*$J$79:$J$90))&gt;0)*($I$79:$I$90*$G$79:$G$90/1000*F146-((CVDebtBasis=1)*$I$79:$I$90+(CVDebtBasis=2)*$J$79:$J$90)))/F146)))</f>
        <v>0.01</v>
      </c>
      <c r="G147" s="24" t="n">
        <f aca="false">MAX(0.01,(V_EV-G$96*V_OFF-V_ODEBT-CHOOSE(DilMethod,0,SUMPRODUCT((G146&lt;=$H$79:$H$90)*((CVDebtBasis=1)*$I$79:$I$90+(CVDebtBasis=2)*$J$79:$J$90)),SUMPRODUCT(((CVDebtBasis=1)*$I$79:$I$90+(CVDebtBasis=2)*$J$79:$J$90)))+V_CASH+V_SOTP+V_FPCash)/(V_BASIC+V_FPSh+V_RSU+Options*MAX(0,1-OptK/G146)+CHOOSE(DilMethod,SUMPRODUCT($I$79:$I$90,$G$79:$G$90)/1000,SUMPRODUCT((G146&gt;$H$79:$H$90)*$I$79:$I$90*$G$79:$G$90)/1000,SUMPRODUCT((($I$79:$I$90*$G$79:$G$90/1000*G146-((CVDebtBasis=1)*$I$79:$I$90+(CVDebtBasis=2)*$J$79:$J$90))&gt;0)*($I$79:$I$90*$G$79:$G$90/1000*G146-((CVDebtBasis=1)*$I$79:$I$90+(CVDebtBasis=2)*$J$79:$J$90)))/G146)))</f>
        <v>0.01</v>
      </c>
    </row>
    <row r="148" customFormat="false" ht="15" hidden="false" customHeight="false" outlineLevel="0" collapsed="false">
      <c r="A148" s="0" t="s">
        <v>2417</v>
      </c>
      <c r="E148" s="24" t="n">
        <f aca="false">MAX(0.01,(V_EV-E$96*V_OFF-V_ODEBT-CHOOSE(DilMethod,0,SUMPRODUCT((E147&lt;=$H$79:$H$90)*((CVDebtBasis=1)*$I$79:$I$90+(CVDebtBasis=2)*$J$79:$J$90)),SUMPRODUCT(((CVDebtBasis=1)*$I$79:$I$90+(CVDebtBasis=2)*$J$79:$J$90)))+V_CASH+V_SOTP+V_FPCash)/(V_BASIC+V_FPSh+V_RSU+Options*MAX(0,1-OptK/E147)+CHOOSE(DilMethod,SUMPRODUCT($I$79:$I$90,$G$79:$G$90)/1000,SUMPRODUCT((E147&gt;$H$79:$H$90)*$I$79:$I$90*$G$79:$G$90)/1000,SUMPRODUCT((($I$79:$I$90*$G$79:$G$90/1000*E147-((CVDebtBasis=1)*$I$79:$I$90+(CVDebtBasis=2)*$J$79:$J$90))&gt;0)*($I$79:$I$90*$G$79:$G$90/1000*E147-((CVDebtBasis=1)*$I$79:$I$90+(CVDebtBasis=2)*$J$79:$J$90)))/E147)))</f>
        <v>9.37497251085822</v>
      </c>
      <c r="F148" s="24" t="n">
        <f aca="false">MAX(0.01,(V_EV-F$96*V_OFF-V_ODEBT-CHOOSE(DilMethod,0,SUMPRODUCT((F147&lt;=$H$79:$H$90)*((CVDebtBasis=1)*$I$79:$I$90+(CVDebtBasis=2)*$J$79:$J$90)),SUMPRODUCT(((CVDebtBasis=1)*$I$79:$I$90+(CVDebtBasis=2)*$J$79:$J$90)))+V_CASH+V_SOTP+V_FPCash)/(V_BASIC+V_FPSh+V_RSU+Options*MAX(0,1-OptK/F147)+CHOOSE(DilMethod,SUMPRODUCT($I$79:$I$90,$G$79:$G$90)/1000,SUMPRODUCT((F147&gt;$H$79:$H$90)*$I$79:$I$90*$G$79:$G$90)/1000,SUMPRODUCT((($I$79:$I$90*$G$79:$G$90/1000*F147-((CVDebtBasis=1)*$I$79:$I$90+(CVDebtBasis=2)*$J$79:$J$90))&gt;0)*($I$79:$I$90*$G$79:$G$90/1000*F147-((CVDebtBasis=1)*$I$79:$I$90+(CVDebtBasis=2)*$J$79:$J$90)))/F147)))</f>
        <v>0.01</v>
      </c>
      <c r="G148" s="24" t="n">
        <f aca="false">MAX(0.01,(V_EV-G$96*V_OFF-V_ODEBT-CHOOSE(DilMethod,0,SUMPRODUCT((G147&lt;=$H$79:$H$90)*((CVDebtBasis=1)*$I$79:$I$90+(CVDebtBasis=2)*$J$79:$J$90)),SUMPRODUCT(((CVDebtBasis=1)*$I$79:$I$90+(CVDebtBasis=2)*$J$79:$J$90)))+V_CASH+V_SOTP+V_FPCash)/(V_BASIC+V_FPSh+V_RSU+Options*MAX(0,1-OptK/G147)+CHOOSE(DilMethod,SUMPRODUCT($I$79:$I$90,$G$79:$G$90)/1000,SUMPRODUCT((G147&gt;$H$79:$H$90)*$I$79:$I$90*$G$79:$G$90)/1000,SUMPRODUCT((($I$79:$I$90*$G$79:$G$90/1000*G147-((CVDebtBasis=1)*$I$79:$I$90+(CVDebtBasis=2)*$J$79:$J$90))&gt;0)*($I$79:$I$90*$G$79:$G$90/1000*G147-((CVDebtBasis=1)*$I$79:$I$90+(CVDebtBasis=2)*$J$79:$J$90)))/G147)))</f>
        <v>0.01</v>
      </c>
    </row>
    <row r="149" customFormat="false" ht="15" hidden="false" customHeight="false" outlineLevel="0" collapsed="false">
      <c r="A149" s="0" t="s">
        <v>2418</v>
      </c>
      <c r="E149" s="24" t="n">
        <f aca="false">MAX(0.01,(V_EV-E$96*V_OFF-V_ODEBT-CHOOSE(DilMethod,0,SUMPRODUCT((E148&lt;=$H$79:$H$90)*((CVDebtBasis=1)*$I$79:$I$90+(CVDebtBasis=2)*$J$79:$J$90)),SUMPRODUCT(((CVDebtBasis=1)*$I$79:$I$90+(CVDebtBasis=2)*$J$79:$J$90)))+V_CASH+V_SOTP+V_FPCash)/(V_BASIC+V_FPSh+V_RSU+Options*MAX(0,1-OptK/E148)+CHOOSE(DilMethod,SUMPRODUCT($I$79:$I$90,$G$79:$G$90)/1000,SUMPRODUCT((E148&gt;$H$79:$H$90)*$I$79:$I$90*$G$79:$G$90)/1000,SUMPRODUCT((($I$79:$I$90*$G$79:$G$90/1000*E148-((CVDebtBasis=1)*$I$79:$I$90+(CVDebtBasis=2)*$J$79:$J$90))&gt;0)*($I$79:$I$90*$G$79:$G$90/1000*E148-((CVDebtBasis=1)*$I$79:$I$90+(CVDebtBasis=2)*$J$79:$J$90)))/E148)))</f>
        <v>9.37497251085822</v>
      </c>
      <c r="F149" s="24" t="n">
        <f aca="false">MAX(0.01,(V_EV-F$96*V_OFF-V_ODEBT-CHOOSE(DilMethod,0,SUMPRODUCT((F148&lt;=$H$79:$H$90)*((CVDebtBasis=1)*$I$79:$I$90+(CVDebtBasis=2)*$J$79:$J$90)),SUMPRODUCT(((CVDebtBasis=1)*$I$79:$I$90+(CVDebtBasis=2)*$J$79:$J$90)))+V_CASH+V_SOTP+V_FPCash)/(V_BASIC+V_FPSh+V_RSU+Options*MAX(0,1-OptK/F148)+CHOOSE(DilMethod,SUMPRODUCT($I$79:$I$90,$G$79:$G$90)/1000,SUMPRODUCT((F148&gt;$H$79:$H$90)*$I$79:$I$90*$G$79:$G$90)/1000,SUMPRODUCT((($I$79:$I$90*$G$79:$G$90/1000*F148-((CVDebtBasis=1)*$I$79:$I$90+(CVDebtBasis=2)*$J$79:$J$90))&gt;0)*($I$79:$I$90*$G$79:$G$90/1000*F148-((CVDebtBasis=1)*$I$79:$I$90+(CVDebtBasis=2)*$J$79:$J$90)))/F148)))</f>
        <v>0.01</v>
      </c>
      <c r="G149" s="24" t="n">
        <f aca="false">MAX(0.01,(V_EV-G$96*V_OFF-V_ODEBT-CHOOSE(DilMethod,0,SUMPRODUCT((G148&lt;=$H$79:$H$90)*((CVDebtBasis=1)*$I$79:$I$90+(CVDebtBasis=2)*$J$79:$J$90)),SUMPRODUCT(((CVDebtBasis=1)*$I$79:$I$90+(CVDebtBasis=2)*$J$79:$J$90)))+V_CASH+V_SOTP+V_FPCash)/(V_BASIC+V_FPSh+V_RSU+Options*MAX(0,1-OptK/G148)+CHOOSE(DilMethod,SUMPRODUCT($I$79:$I$90,$G$79:$G$90)/1000,SUMPRODUCT((G148&gt;$H$79:$H$90)*$I$79:$I$90*$G$79:$G$90)/1000,SUMPRODUCT((($I$79:$I$90*$G$79:$G$90/1000*G148-((CVDebtBasis=1)*$I$79:$I$90+(CVDebtBasis=2)*$J$79:$J$90))&gt;0)*($I$79:$I$90*$G$79:$G$90/1000*G148-((CVDebtBasis=1)*$I$79:$I$90+(CVDebtBasis=2)*$J$79:$J$90)))/G148)))</f>
        <v>0.01</v>
      </c>
    </row>
    <row r="150" customFormat="false" ht="15" hidden="false" customHeight="false" outlineLevel="0" collapsed="false">
      <c r="A150" s="0" t="s">
        <v>2419</v>
      </c>
      <c r="E150" s="24" t="n">
        <f aca="false">MAX(0.01,(V_EV-E$96*V_OFF-V_ODEBT-CHOOSE(DilMethod,0,SUMPRODUCT((E149&lt;=$H$79:$H$90)*((CVDebtBasis=1)*$I$79:$I$90+(CVDebtBasis=2)*$J$79:$J$90)),SUMPRODUCT(((CVDebtBasis=1)*$I$79:$I$90+(CVDebtBasis=2)*$J$79:$J$90)))+V_CASH+V_SOTP+V_FPCash)/(V_BASIC+V_FPSh+V_RSU+Options*MAX(0,1-OptK/E149)+CHOOSE(DilMethod,SUMPRODUCT($I$79:$I$90,$G$79:$G$90)/1000,SUMPRODUCT((E149&gt;$H$79:$H$90)*$I$79:$I$90*$G$79:$G$90)/1000,SUMPRODUCT((($I$79:$I$90*$G$79:$G$90/1000*E149-((CVDebtBasis=1)*$I$79:$I$90+(CVDebtBasis=2)*$J$79:$J$90))&gt;0)*($I$79:$I$90*$G$79:$G$90/1000*E149-((CVDebtBasis=1)*$I$79:$I$90+(CVDebtBasis=2)*$J$79:$J$90)))/E149)))</f>
        <v>9.37497251085822</v>
      </c>
      <c r="F150" s="24" t="n">
        <f aca="false">MAX(0.01,(V_EV-F$96*V_OFF-V_ODEBT-CHOOSE(DilMethod,0,SUMPRODUCT((F149&lt;=$H$79:$H$90)*((CVDebtBasis=1)*$I$79:$I$90+(CVDebtBasis=2)*$J$79:$J$90)),SUMPRODUCT(((CVDebtBasis=1)*$I$79:$I$90+(CVDebtBasis=2)*$J$79:$J$90)))+V_CASH+V_SOTP+V_FPCash)/(V_BASIC+V_FPSh+V_RSU+Options*MAX(0,1-OptK/F149)+CHOOSE(DilMethod,SUMPRODUCT($I$79:$I$90,$G$79:$G$90)/1000,SUMPRODUCT((F149&gt;$H$79:$H$90)*$I$79:$I$90*$G$79:$G$90)/1000,SUMPRODUCT((($I$79:$I$90*$G$79:$G$90/1000*F149-((CVDebtBasis=1)*$I$79:$I$90+(CVDebtBasis=2)*$J$79:$J$90))&gt;0)*($I$79:$I$90*$G$79:$G$90/1000*F149-((CVDebtBasis=1)*$I$79:$I$90+(CVDebtBasis=2)*$J$79:$J$90)))/F149)))</f>
        <v>0.01</v>
      </c>
      <c r="G150" s="24" t="n">
        <f aca="false">MAX(0.01,(V_EV-G$96*V_OFF-V_ODEBT-CHOOSE(DilMethod,0,SUMPRODUCT((G149&lt;=$H$79:$H$90)*((CVDebtBasis=1)*$I$79:$I$90+(CVDebtBasis=2)*$J$79:$J$90)),SUMPRODUCT(((CVDebtBasis=1)*$I$79:$I$90+(CVDebtBasis=2)*$J$79:$J$90)))+V_CASH+V_SOTP+V_FPCash)/(V_BASIC+V_FPSh+V_RSU+Options*MAX(0,1-OptK/G149)+CHOOSE(DilMethod,SUMPRODUCT($I$79:$I$90,$G$79:$G$90)/1000,SUMPRODUCT((G149&gt;$H$79:$H$90)*$I$79:$I$90*$G$79:$G$90)/1000,SUMPRODUCT((($I$79:$I$90*$G$79:$G$90/1000*G149-((CVDebtBasis=1)*$I$79:$I$90+(CVDebtBasis=2)*$J$79:$J$90))&gt;0)*($I$79:$I$90*$G$79:$G$90/1000*G149-((CVDebtBasis=1)*$I$79:$I$90+(CVDebtBasis=2)*$J$79:$J$90)))/G149)))</f>
        <v>0.01</v>
      </c>
    </row>
    <row r="151" customFormat="false" ht="15" hidden="false" customHeight="false" outlineLevel="0" collapsed="false">
      <c r="A151" s="0" t="s">
        <v>2420</v>
      </c>
      <c r="E151" s="24" t="n">
        <f aca="false">MAX(0.01,(V_EV-E$96*V_OFF-V_ODEBT-CHOOSE(DilMethod,0,SUMPRODUCT((E150&lt;=$H$79:$H$90)*((CVDebtBasis=1)*$I$79:$I$90+(CVDebtBasis=2)*$J$79:$J$90)),SUMPRODUCT(((CVDebtBasis=1)*$I$79:$I$90+(CVDebtBasis=2)*$J$79:$J$90)))+V_CASH+V_SOTP+V_FPCash)/(V_BASIC+V_FPSh+V_RSU+Options*MAX(0,1-OptK/E150)+CHOOSE(DilMethod,SUMPRODUCT($I$79:$I$90,$G$79:$G$90)/1000,SUMPRODUCT((E150&gt;$H$79:$H$90)*$I$79:$I$90*$G$79:$G$90)/1000,SUMPRODUCT((($I$79:$I$90*$G$79:$G$90/1000*E150-((CVDebtBasis=1)*$I$79:$I$90+(CVDebtBasis=2)*$J$79:$J$90))&gt;0)*($I$79:$I$90*$G$79:$G$90/1000*E150-((CVDebtBasis=1)*$I$79:$I$90+(CVDebtBasis=2)*$J$79:$J$90)))/E150)))</f>
        <v>9.37497251085822</v>
      </c>
      <c r="F151" s="24" t="n">
        <f aca="false">MAX(0.01,(V_EV-F$96*V_OFF-V_ODEBT-CHOOSE(DilMethod,0,SUMPRODUCT((F150&lt;=$H$79:$H$90)*((CVDebtBasis=1)*$I$79:$I$90+(CVDebtBasis=2)*$J$79:$J$90)),SUMPRODUCT(((CVDebtBasis=1)*$I$79:$I$90+(CVDebtBasis=2)*$J$79:$J$90)))+V_CASH+V_SOTP+V_FPCash)/(V_BASIC+V_FPSh+V_RSU+Options*MAX(0,1-OptK/F150)+CHOOSE(DilMethod,SUMPRODUCT($I$79:$I$90,$G$79:$G$90)/1000,SUMPRODUCT((F150&gt;$H$79:$H$90)*$I$79:$I$90*$G$79:$G$90)/1000,SUMPRODUCT((($I$79:$I$90*$G$79:$G$90/1000*F150-((CVDebtBasis=1)*$I$79:$I$90+(CVDebtBasis=2)*$J$79:$J$90))&gt;0)*($I$79:$I$90*$G$79:$G$90/1000*F150-((CVDebtBasis=1)*$I$79:$I$90+(CVDebtBasis=2)*$J$79:$J$90)))/F150)))</f>
        <v>0.01</v>
      </c>
      <c r="G151" s="24" t="n">
        <f aca="false">MAX(0.01,(V_EV-G$96*V_OFF-V_ODEBT-CHOOSE(DilMethod,0,SUMPRODUCT((G150&lt;=$H$79:$H$90)*((CVDebtBasis=1)*$I$79:$I$90+(CVDebtBasis=2)*$J$79:$J$90)),SUMPRODUCT(((CVDebtBasis=1)*$I$79:$I$90+(CVDebtBasis=2)*$J$79:$J$90)))+V_CASH+V_SOTP+V_FPCash)/(V_BASIC+V_FPSh+V_RSU+Options*MAX(0,1-OptK/G150)+CHOOSE(DilMethod,SUMPRODUCT($I$79:$I$90,$G$79:$G$90)/1000,SUMPRODUCT((G150&gt;$H$79:$H$90)*$I$79:$I$90*$G$79:$G$90)/1000,SUMPRODUCT((($I$79:$I$90*$G$79:$G$90/1000*G150-((CVDebtBasis=1)*$I$79:$I$90+(CVDebtBasis=2)*$J$79:$J$90))&gt;0)*($I$79:$I$90*$G$79:$G$90/1000*G150-((CVDebtBasis=1)*$I$79:$I$90+(CVDebtBasis=2)*$J$79:$J$90)))/G150)))</f>
        <v>0.01</v>
      </c>
    </row>
    <row r="152" customFormat="false" ht="15" hidden="false" customHeight="false" outlineLevel="0" collapsed="false">
      <c r="A152" s="3" t="s">
        <v>2421</v>
      </c>
      <c r="E152" s="6" t="n">
        <f aca="false">IF(E151&lt;=0.011,0,E151)</f>
        <v>9.37497251085822</v>
      </c>
      <c r="F152" s="6" t="n">
        <f aca="false">IF(F151&lt;=0.011,0,F151)</f>
        <v>0</v>
      </c>
      <c r="G152" s="6" t="n">
        <f aca="false">IF(G151&lt;=0.011,0,G151)</f>
        <v>0</v>
      </c>
    </row>
    <row r="153" customFormat="false" ht="15" hidden="false" customHeight="false" outlineLevel="0" collapsed="false">
      <c r="A153" s="104" t="s">
        <v>2422</v>
      </c>
      <c r="E153" s="42" t="n">
        <f aca="false">V_BASIC+V_FPSh+V_RSU+Options*MAX(0,1-OptK/E151)+CHOOSE(DilMethod,SUMPRODUCT($I$79:$I$90,$G$79:$G$90)/1000,SUMPRODUCT((E151&gt;$H$79:$H$90)*$I$79:$I$90*$G$79:$G$90)/1000,SUMPRODUCT((($I$79:$I$90*$G$79:$G$90/1000*E151-((CVDebtBasis=1)*$I$79:$I$90+(CVDebtBasis=2)*$J$79:$J$90))&gt;0)*($I$79:$I$90*$G$79:$G$90/1000*E151-((CVDebtBasis=1)*$I$79:$I$90+(CVDebtBasis=2)*$J$79:$J$90)))/E151)</f>
        <v>327.195752</v>
      </c>
      <c r="F153" s="42" t="n">
        <f aca="false">V_BASIC+V_FPSh+V_RSU+Options*MAX(0,1-OptK/F151)+CHOOSE(DilMethod,SUMPRODUCT($I$79:$I$90,$G$79:$G$90)/1000,SUMPRODUCT((F151&gt;$H$79:$H$90)*$I$79:$I$90*$G$79:$G$90)/1000,SUMPRODUCT((($I$79:$I$90*$G$79:$G$90/1000*F151-((CVDebtBasis=1)*$I$79:$I$90+(CVDebtBasis=2)*$J$79:$J$90))&gt;0)*($I$79:$I$90*$G$79:$G$90/1000*F151-((CVDebtBasis=1)*$I$79:$I$90+(CVDebtBasis=2)*$J$79:$J$90)))/F151)</f>
        <v>327.195752</v>
      </c>
      <c r="G153" s="42" t="n">
        <f aca="false">V_BASIC+V_FPSh+V_RSU+Options*MAX(0,1-OptK/G151)+CHOOSE(DilMethod,SUMPRODUCT($I$79:$I$90,$G$79:$G$90)/1000,SUMPRODUCT((G151&gt;$H$79:$H$90)*$I$79:$I$90*$G$79:$G$90)/1000,SUMPRODUCT((($I$79:$I$90*$G$79:$G$90/1000*G151-((CVDebtBasis=1)*$I$79:$I$90+(CVDebtBasis=2)*$J$79:$J$90))&gt;0)*($I$79:$I$90*$G$79:$G$90/1000*G151-((CVDebtBasis=1)*$I$79:$I$90+(CVDebtBasis=2)*$J$79:$J$90)))/G151)</f>
        <v>327.195752</v>
      </c>
    </row>
    <row r="154" customFormat="false" ht="15" hidden="false" customHeight="false" outlineLevel="0" collapsed="false">
      <c r="A154" s="104" t="s">
        <v>2423</v>
      </c>
      <c r="E154" s="42" t="n">
        <f aca="false">V_BASIC+V_FPSh+V_RSU+Options*MAX(0,1-OptK/E151)+SUMPRODUCT((E151&gt;$H$79:$H$90)*$I$79:$I$90*$G$79:$G$90)/1000</f>
        <v>327.195752</v>
      </c>
      <c r="F154" s="42" t="n">
        <f aca="false">V_BASIC+V_FPSh+V_RSU+Options*MAX(0,1-OptK/F151)+SUMPRODUCT((F151&gt;$H$79:$H$90)*$I$79:$I$90*$G$79:$G$90)/1000</f>
        <v>327.195752</v>
      </c>
      <c r="G154" s="42" t="n">
        <f aca="false">V_BASIC+V_FPSh+V_RSU+Options*MAX(0,1-OptK/G151)+SUMPRODUCT((G151&gt;$H$79:$H$90)*$I$79:$I$90*$G$79:$G$90)/1000</f>
        <v>327.195752</v>
      </c>
    </row>
    <row r="155" customFormat="false" ht="15" hidden="false" customHeight="false" outlineLevel="0" collapsed="false">
      <c r="A155" s="104" t="s">
        <v>2424</v>
      </c>
      <c r="E155" s="42" t="n">
        <f aca="false">V_BASIC+V_FPSh+V_RSU+Options*MAX(0,1-OptK/E151)+SUMPRODUCT((($I$79:$I$90*$G$79:$G$90/1000*E151-((CVDebtBasis=1)*$I$79:$I$90+(CVDebtBasis=2)*$J$79:$J$90))&gt;0)*($I$79:$I$90*$G$79:$G$90/1000*E151-((CVDebtBasis=1)*$I$79:$I$90+(CVDebtBasis=2)*$J$79:$J$90)))/E151</f>
        <v>327.195752</v>
      </c>
      <c r="F155" s="42" t="n">
        <f aca="false">V_BASIC+V_FPSh+V_RSU+Options*MAX(0,1-OptK/F151)+SUMPRODUCT((($I$79:$I$90*$G$79:$G$90/1000*F151-((CVDebtBasis=1)*$I$79:$I$90+(CVDebtBasis=2)*$J$79:$J$90))&gt;0)*($I$79:$I$90*$G$79:$G$90/1000*F151-((CVDebtBasis=1)*$I$79:$I$90+(CVDebtBasis=2)*$J$79:$J$90)))/F151</f>
        <v>327.195752</v>
      </c>
      <c r="G155" s="42" t="n">
        <f aca="false">V_BASIC+V_FPSh+V_RSU+Options*MAX(0,1-OptK/G151)+SUMPRODUCT((($I$79:$I$90*$G$79:$G$90/1000*G151-((CVDebtBasis=1)*$I$79:$I$90+(CVDebtBasis=2)*$J$79:$J$90))&gt;0)*($I$79:$I$90*$G$79:$G$90/1000*G151-((CVDebtBasis=1)*$I$79:$I$90+(CVDebtBasis=2)*$J$79:$J$90)))/G151</f>
        <v>327.195752</v>
      </c>
    </row>
    <row r="156" customFormat="false" ht="15" hidden="false" customHeight="false" outlineLevel="0" collapsed="false">
      <c r="A156" s="104" t="s">
        <v>2425</v>
      </c>
      <c r="E156" s="106" t="n">
        <f aca="false">CHOOSE(DilMethod,0,SUMPRODUCT((E151&lt;=$H$79:$H$90)*((CVDebtBasis=1)*$I$79:$I$90+(CVDebtBasis=2)*$J$79:$J$90)),SUMPRODUCT(((CVDebtBasis=1)*$I$79:$I$90+(CVDebtBasis=2)*$J$79:$J$90)))</f>
        <v>26225</v>
      </c>
      <c r="F156" s="106" t="n">
        <f aca="false">CHOOSE(DilMethod,0,SUMPRODUCT((F151&lt;=$H$79:$H$90)*((CVDebtBasis=1)*$I$79:$I$90+(CVDebtBasis=2)*$J$79:$J$90)),SUMPRODUCT(((CVDebtBasis=1)*$I$79:$I$90+(CVDebtBasis=2)*$J$79:$J$90)))</f>
        <v>26225</v>
      </c>
      <c r="G156" s="106" t="n">
        <f aca="false">CHOOSE(DilMethod,0,SUMPRODUCT((G151&lt;=$H$79:$H$90)*((CVDebtBasis=1)*$I$79:$I$90+(CVDebtBasis=2)*$J$79:$J$90)),SUMPRODUCT(((CVDebtBasis=1)*$I$79:$I$90+(CVDebtBasis=2)*$J$79:$J$90)))</f>
        <v>26225</v>
      </c>
    </row>
    <row r="157" customFormat="false" ht="15" hidden="false" customHeight="false" outlineLevel="0" collapsed="false">
      <c r="A157" s="3" t="s">
        <v>2426</v>
      </c>
      <c r="E157" s="6" t="n">
        <f aca="false">IF(FP_On=1,E152,E112)*(1+Ke)</f>
        <v>10.5937189372698</v>
      </c>
      <c r="F157" s="6" t="n">
        <f aca="false">IF(FP_On=1,F152,F112)*(1+Ke)</f>
        <v>0</v>
      </c>
      <c r="G157" s="6" t="n">
        <f aca="false">IF(FP_On=1,G152,G112)*(1+Ke)</f>
        <v>0</v>
      </c>
    </row>
    <row r="158" customFormat="false" ht="15" hidden="false" customHeight="false" outlineLevel="0" collapsed="false">
      <c r="A158" s="104" t="s">
        <v>2427</v>
      </c>
      <c r="E158" s="24" t="n">
        <f aca="false">IF(FP_On=1,E152,E112)*(1+Ke)^0.5</f>
        <v>9.96573247808019</v>
      </c>
      <c r="F158" s="24" t="n">
        <f aca="false">IF(FP_On=1,F152,F112)*(1+Ke)^0.5</f>
        <v>0</v>
      </c>
      <c r="G158" s="24" t="n">
        <f aca="false">IF(FP_On=1,G152,G112)*(1+Ke)^0.5</f>
        <v>0</v>
      </c>
    </row>
    <row r="159" customFormat="false" ht="15" hidden="false" customHeight="false" outlineLevel="0" collapsed="false">
      <c r="A159" s="104" t="s">
        <v>2428</v>
      </c>
      <c r="E159" s="24" t="n">
        <f aca="false">IF(FP_On=1,E152,E112)*(1+Ke)^3</f>
        <v>13.5271197109998</v>
      </c>
      <c r="F159" s="24" t="n">
        <f aca="false">IF(FP_On=1,F152,F112)*(1+Ke)^3</f>
        <v>0</v>
      </c>
      <c r="G159" s="24" t="n">
        <f aca="false">IF(FP_On=1,G152,G112)*(1+Ke)^3</f>
        <v>0</v>
      </c>
    </row>
    <row r="160" customFormat="false" ht="15" hidden="false" customHeight="false" outlineLevel="0" collapsed="false">
      <c r="A160" s="104" t="s">
        <v>2429</v>
      </c>
      <c r="E160" s="25" t="n">
        <f aca="false">IF(FP_On=1,E152,E112)*(1+Ke)/SharePx-1</f>
        <v>-0.956370335088053</v>
      </c>
      <c r="F160" s="25" t="n">
        <f aca="false">IF(FP_On=1,F152,F112)*(1+Ke)/SharePx-1</f>
        <v>-1</v>
      </c>
      <c r="G160" s="25" t="n">
        <f aca="false">IF(FP_On=1,G152,G112)*(1+Ke)/SharePx-1</f>
        <v>-1</v>
      </c>
    </row>
    <row r="161" customFormat="false" ht="15" hidden="false" customHeight="false" outlineLevel="0" collapsed="false">
      <c r="A161" s="104" t="s">
        <v>2430</v>
      </c>
      <c r="D161" s="20"/>
      <c r="E161" s="106" t="n">
        <f aca="false">V_ODEBT+F116-V_CASH</f>
        <v>1826.69989765181</v>
      </c>
    </row>
    <row r="162" customFormat="false" ht="15" hidden="false" customHeight="false" outlineLevel="0" collapsed="false">
      <c r="A162" s="0" t="s">
        <v>2431</v>
      </c>
      <c r="E162" s="6" t="n">
        <f aca="false">IF(DilPxMode=1,SharePx,V_PSolve)</f>
        <v>0.01</v>
      </c>
    </row>
    <row r="164" customFormat="false" ht="15" hidden="false" customHeight="false" outlineLevel="0" collapsed="false">
      <c r="A164" s="53" t="s">
        <v>2432</v>
      </c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  <c r="AA164" s="54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</row>
    <row r="165" customFormat="false" ht="15" hidden="false" customHeight="false" outlineLevel="0" collapsed="false">
      <c r="A165" s="104" t="s">
        <v>2433</v>
      </c>
      <c r="D165" s="20"/>
      <c r="E165" s="106" t="n">
        <f aca="false">SUMPRODUCT(PL_EBITDA*(Q_Idx&gt;V_Q)*(Q_Idx&lt;=V_Q+4))</f>
        <v>2849.95137299425</v>
      </c>
    </row>
    <row r="166" customFormat="false" ht="15" hidden="false" customHeight="false" outlineLevel="0" collapsed="false">
      <c r="A166" s="104" t="s">
        <v>2434</v>
      </c>
      <c r="D166" s="20"/>
      <c r="E166" s="40" t="n">
        <f aca="false">IF(V_NTM&gt;0,V_EV/V_NTM,0)</f>
        <v>-0.0644702717152146</v>
      </c>
    </row>
    <row r="167" customFormat="false" ht="15" hidden="false" customHeight="false" outlineLevel="0" collapsed="false">
      <c r="A167" s="104" t="s">
        <v>2435</v>
      </c>
      <c r="D167" s="20"/>
      <c r="E167" s="40" t="n">
        <f aca="false">V_EV/SUMIF(Q_Yr,2027,PL_EBITDA)</f>
        <v>-0.0450449560516964</v>
      </c>
    </row>
    <row r="169" customFormat="false" ht="15" hidden="false" customHeight="false" outlineLevel="0" collapsed="false">
      <c r="A169" s="53" t="s">
        <v>2436</v>
      </c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  <c r="AA169" s="54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</row>
    <row r="170" customFormat="false" ht="15" hidden="false" customHeight="false" outlineLevel="0" collapsed="false">
      <c r="A170" s="104" t="s">
        <v>2437</v>
      </c>
      <c r="D170" s="20" t="s">
        <v>2438</v>
      </c>
      <c r="E170" s="42" t="n">
        <f aca="false">V_BASIC+V_RSU+Options*MAX(0,1-OptK/SharePx)+CHOOSE(DilMethod,SUMPRODUCT($E$79:$E$90,$G$79:$G$90)/1000,SUMPRODUCT((SharePx&gt;$H$79:$H$90)*$E$79:$E$90*$G$79:$G$90)/1000,SUMPRODUCT((($E$79:$E$90*$G$79:$G$90/1000*SharePx-((CVDebtBasis=1)*$E$79:$E$90+(CVDebtBasis=2)*$F$79:$F$90))&gt;0)*($E$79:$E$90*$G$79:$G$90/1000*SharePx-((CVDebtBasis=1)*$E$79:$E$90+(CVDebtBasis=2)*$F$79:$F$90)))/SharePx)</f>
        <v>369.226788774505</v>
      </c>
    </row>
    <row r="171" customFormat="false" ht="15" hidden="false" customHeight="false" outlineLevel="0" collapsed="false">
      <c r="A171" s="104" t="s">
        <v>2439</v>
      </c>
      <c r="D171" s="20"/>
      <c r="E171" s="42" t="n">
        <f aca="false">CHOOSE(DilMethod,SUMPRODUCT($E$79:$E$90,$G$79:$G$90)/1000,SUMPRODUCT((SharePx&gt;$H$79:$H$90)*$E$79:$E$90*$G$79:$G$90)/1000,SUMPRODUCT((($E$79:$E$90*$G$79:$G$90/1000*SharePx-((CVDebtBasis=1)*$E$79:$E$90+(CVDebtBasis=2)*$F$79:$F$90))&gt;0)*($E$79:$E$90*$G$79:$G$90/1000*SharePx-((CVDebtBasis=1)*$E$79:$E$90+(CVDebtBasis=2)*$F$79:$F$90)))/SharePx)</f>
        <v>50.02193875</v>
      </c>
    </row>
    <row r="172" customFormat="false" ht="15" hidden="false" customHeight="false" outlineLevel="0" collapsed="false">
      <c r="A172" s="104" t="s">
        <v>2440</v>
      </c>
      <c r="D172" s="20"/>
      <c r="E172" s="106" t="n">
        <f aca="false">SUMPRODUCT((SharePx&gt;$H$79:$H$90)*$E$79:$E$90)</f>
        <v>7675</v>
      </c>
    </row>
    <row r="173" customFormat="false" ht="15" hidden="false" customHeight="false" outlineLevel="0" collapsed="false">
      <c r="A173" s="104" t="s">
        <v>2441</v>
      </c>
      <c r="D173" s="20"/>
      <c r="E173" s="106" t="n">
        <f aca="false">CHOOSE(DilMethod,0,SUMPRODUCT((SharePx&lt;=$H$79:$H$90)*((CVDebtBasis=1)*$E$79:$E$90+(CVDebtBasis=2)*$F$79:$F$90)),SUMPRODUCT(((CVDebtBasis=1)*$E$79:$E$90+(CVDebtBasis=2)*$F$79:$F$90)))</f>
        <v>5750</v>
      </c>
    </row>
    <row r="175" customFormat="false" ht="15" hidden="false" customHeight="false" outlineLevel="0" collapsed="false">
      <c r="A175" s="53" t="s">
        <v>2442</v>
      </c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  <c r="AA175" s="54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</row>
    <row r="176" customFormat="false" ht="15" hidden="false" customHeight="false" outlineLevel="0" collapsed="false">
      <c r="A176" s="104" t="s">
        <v>2443</v>
      </c>
      <c r="D176" s="20" t="s">
        <v>2444</v>
      </c>
      <c r="E176" s="106" t="n">
        <f aca="false">SharePx*308.69</f>
        <v>74953.0189</v>
      </c>
    </row>
    <row r="177" customFormat="false" ht="15" hidden="false" customHeight="false" outlineLevel="0" collapsed="false">
      <c r="A177" s="104" t="s">
        <v>2445</v>
      </c>
      <c r="D177" s="20"/>
      <c r="E177" s="106" t="n">
        <f aca="false">CS_ConvCarry</f>
        <v>7697.1</v>
      </c>
    </row>
    <row r="178" customFormat="false" ht="15" hidden="false" customHeight="false" outlineLevel="0" collapsed="false">
      <c r="A178" s="104" t="s">
        <v>2446</v>
      </c>
      <c r="D178" s="20"/>
      <c r="E178" s="106" t="n">
        <f aca="false">AugGross</f>
        <v>5750</v>
      </c>
    </row>
    <row r="179" customFormat="false" ht="15" hidden="false" customHeight="false" outlineLevel="0" collapsed="false">
      <c r="A179" s="104" t="s">
        <v>2447</v>
      </c>
      <c r="D179" s="20"/>
      <c r="E179" s="106" t="n">
        <f aca="false">CS_CurDebt</f>
        <v>46.7</v>
      </c>
    </row>
    <row r="180" customFormat="false" ht="15" hidden="false" customHeight="false" outlineLevel="0" collapsed="false">
      <c r="A180" s="104" t="s">
        <v>2448</v>
      </c>
      <c r="D180" s="20"/>
      <c r="E180" s="106" t="n">
        <f aca="false">SecAmt*LoanOn</f>
        <v>0</v>
      </c>
    </row>
    <row r="181" customFormat="false" ht="15" hidden="false" customHeight="false" outlineLevel="0" collapsed="false">
      <c r="A181" s="104" t="s">
        <v>2449</v>
      </c>
      <c r="D181" s="20"/>
      <c r="E181" s="106" t="n">
        <f aca="false">-CS_Cash</f>
        <v>-8042.1</v>
      </c>
    </row>
    <row r="182" customFormat="false" ht="15" hidden="false" customHeight="false" outlineLevel="0" collapsed="false">
      <c r="A182" s="104" t="s">
        <v>2450</v>
      </c>
      <c r="D182" s="20"/>
      <c r="E182" s="106" t="n">
        <f aca="false">-AugGross</f>
        <v>-5750</v>
      </c>
    </row>
    <row r="183" customFormat="false" ht="15" hidden="false" customHeight="false" outlineLevel="0" collapsed="false">
      <c r="A183" s="104" t="s">
        <v>2451</v>
      </c>
      <c r="D183" s="20"/>
      <c r="E183" s="106" t="n">
        <f aca="false">-SecAmt*LoanOn</f>
        <v>-0</v>
      </c>
    </row>
    <row r="184" customFormat="false" ht="15" hidden="false" customHeight="false" outlineLevel="0" collapsed="false">
      <c r="A184" s="3" t="s">
        <v>2452</v>
      </c>
      <c r="D184" s="20" t="s">
        <v>2453</v>
      </c>
      <c r="E184" s="112" t="n">
        <f aca="false">V_MKTEQ+CS_ConvCarry+AugGross+CS_CurDebt-CS_Cash-AugGross</f>
        <v>74654.7189</v>
      </c>
    </row>
    <row r="185" customFormat="false" ht="15" hidden="false" customHeight="false" outlineLevel="0" collapsed="false">
      <c r="A185" s="104" t="s">
        <v>2454</v>
      </c>
      <c r="D185" s="20" t="s">
        <v>2455</v>
      </c>
      <c r="E185" s="106" t="n">
        <f aca="false">SharePx*V_FDmkt+AugGross+CS_CurDebt-CS_Cash-AugGross</f>
        <v>81656.5565823375</v>
      </c>
    </row>
    <row r="186" customFormat="false" ht="15" hidden="false" customHeight="false" outlineLevel="0" collapsed="false">
      <c r="A186" s="104" t="s">
        <v>2456</v>
      </c>
      <c r="D186" s="20"/>
      <c r="E186" s="40" t="n">
        <f aca="false">IF(V_NTM&gt;0,V_MKTEV/V_NTM,0)</f>
        <v>26.1950851538794</v>
      </c>
    </row>
    <row r="187" customFormat="false" ht="15" hidden="false" customHeight="false" outlineLevel="0" collapsed="false">
      <c r="A187" s="104" t="s">
        <v>2457</v>
      </c>
      <c r="D187" s="20"/>
      <c r="E187" s="29" t="n">
        <f aca="false">INDEX(MW_En,1,V_Q)</f>
        <v>207.5</v>
      </c>
    </row>
    <row r="188" customFormat="false" ht="15" hidden="false" customHeight="false" outlineLevel="0" collapsed="false">
      <c r="A188" s="104" t="s">
        <v>2458</v>
      </c>
      <c r="D188" s="20"/>
      <c r="E188" s="29" t="n">
        <f aca="false">INDEX(MW_Contr,1,V_Q)</f>
        <v>3400</v>
      </c>
    </row>
    <row r="190" customFormat="false" ht="15" hidden="false" customHeight="false" outlineLevel="0" collapsed="false">
      <c r="A190" s="53" t="s">
        <v>2459</v>
      </c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  <c r="AA190" s="54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</row>
    <row r="191" customFormat="false" ht="15" hidden="false" customHeight="false" outlineLevel="0" collapsed="false">
      <c r="E191" s="3" t="s">
        <v>2460</v>
      </c>
      <c r="F191" s="3" t="s">
        <v>2461</v>
      </c>
      <c r="G191" s="3" t="s">
        <v>2462</v>
      </c>
      <c r="H191" s="3" t="s">
        <v>2463</v>
      </c>
    </row>
    <row r="192" customFormat="false" ht="15" hidden="false" customHeight="false" outlineLevel="0" collapsed="false">
      <c r="A192" s="0" t="s">
        <v>2464</v>
      </c>
      <c r="D192" s="20"/>
      <c r="E192" s="23" t="n">
        <f aca="false">IFERROR((V_MKTEV)/V_ENMW,0)</f>
        <v>359.781777831325</v>
      </c>
      <c r="F192" s="23" t="n">
        <f aca="false">IFERROR((V_EV)/V_ENMW,0)</f>
        <v>-0.88548018984139</v>
      </c>
      <c r="G192" s="23" t="n">
        <f aca="false">IFERROR((CRWV_EV)/CRWV_MW,0)</f>
        <v>53</v>
      </c>
      <c r="H192" s="119" t="n">
        <f aca="false">IFERROR(E192/G192,0)</f>
        <v>6.78833543077972</v>
      </c>
    </row>
    <row r="193" customFormat="false" ht="15" hidden="false" customHeight="false" outlineLevel="0" collapsed="false">
      <c r="A193" s="0" t="s">
        <v>2465</v>
      </c>
      <c r="D193" s="20" t="s">
        <v>2466</v>
      </c>
      <c r="E193" s="23" t="n">
        <f aca="false">IFERROR((V_MKTEV+OpLease)/V_ENMW,0)</f>
        <v>367.61310313253</v>
      </c>
      <c r="F193" s="23" t="n">
        <f aca="false">IFERROR((V_EV+OpLease)/V_ENMW,0)</f>
        <v>6.94584511136343</v>
      </c>
      <c r="G193" s="23" t="n">
        <f aca="false">IFERROR((CRWV_EV+CRWV_Lease)/CRWV_MW,0)</f>
        <v>53</v>
      </c>
      <c r="H193" s="119" t="n">
        <f aca="false">IFERROR(E193/G193,0)</f>
        <v>6.93609628551944</v>
      </c>
    </row>
    <row r="194" customFormat="false" ht="15" hidden="false" customHeight="false" outlineLevel="0" collapsed="false">
      <c r="A194" s="0" t="s">
        <v>2467</v>
      </c>
      <c r="D194" s="20" t="s">
        <v>2468</v>
      </c>
      <c r="E194" s="23" t="n">
        <f aca="false">IFERROR((V_MKTEV+OpLease+OffBS_Lease+OffBS_Energy)/V_ENMW,0)</f>
        <v>451.323946506024</v>
      </c>
      <c r="F194" s="23" t="n">
        <f aca="false">IFERROR((V_EV+OpLease+OffBS_Lease+OffBS_Energy)/V_ENMW,0)</f>
        <v>90.6566884848574</v>
      </c>
      <c r="G194" s="23" t="n">
        <f aca="false">IFERROR((CRWV_EV+CRWV_Lease+CRWV_Commit)/CRWV_MW,0)</f>
        <v>53</v>
      </c>
      <c r="H194" s="119" t="n">
        <f aca="false">IFERROR(E194/G194,0)</f>
        <v>8.51554616049102</v>
      </c>
    </row>
    <row r="195" customFormat="false" ht="15" hidden="false" customHeight="false" outlineLevel="0" collapsed="false">
      <c r="A195" s="0" t="s">
        <v>2469</v>
      </c>
      <c r="D195" s="20" t="s">
        <v>2470</v>
      </c>
      <c r="E195" s="23" t="n">
        <f aca="false">IFERROR((V_MKTEV)/V_CTMW,0)</f>
        <v>21.9572702647059</v>
      </c>
      <c r="F195" s="23" t="n">
        <f aca="false">IFERROR((V_EV)/V_CTMW,0)</f>
        <v>-0.0540403351153201</v>
      </c>
      <c r="G195" s="23" t="n">
        <f aca="false">IFERROR((CRWV_EV)/CRWV_Contr,0)</f>
        <v>21.4864864864865</v>
      </c>
      <c r="H195" s="119" t="n">
        <f aca="false">IFERROR(E195/G195,0)</f>
        <v>1.02191069156493</v>
      </c>
    </row>
    <row r="196" customFormat="false" ht="15" hidden="false" customHeight="false" outlineLevel="0" collapsed="false">
      <c r="A196" s="104" t="s">
        <v>2471</v>
      </c>
      <c r="D196" s="20"/>
      <c r="E196" s="106" t="n">
        <f aca="false">CRWV_EV/CRWV_MW*V_ENMW</f>
        <v>10997.5</v>
      </c>
    </row>
    <row r="197" customFormat="false" ht="15" hidden="false" customHeight="false" outlineLevel="0" collapsed="false">
      <c r="A197" s="104" t="s">
        <v>2472</v>
      </c>
      <c r="D197" s="20"/>
      <c r="E197" s="119" t="n">
        <f aca="false">IFERROR(V_EV/V_MKTEV,0)</f>
        <v>-0.00246115908142665</v>
      </c>
    </row>
    <row r="198" customFormat="false" ht="15" hidden="false" customHeight="false" outlineLevel="0" collapsed="false">
      <c r="A198" s="104" t="s">
        <v>2473</v>
      </c>
      <c r="D198" s="20"/>
      <c r="E198" s="40" t="n">
        <f aca="false">IFERROR(V_MKTEV/SUMIF(Q_Yr,2027,PL_EBITDA),0)</f>
        <v>18.3023342097762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7" topLeftCell="F8" activePane="bottomRight" state="frozen"/>
      <selection pane="topLeft" activeCell="A1" activeCellId="0" sqref="A1"/>
      <selection pane="topRight" activeCell="F1" activeCellId="0" sqref="F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40"/>
    <col collapsed="false" customWidth="true" hidden="false" outlineLevel="0" max="5" min="5" style="0" width="9"/>
    <col collapsed="false" customWidth="true" hidden="false" outlineLevel="0" max="33" min="6" style="0" width="10"/>
    <col collapsed="false" customWidth="true" hidden="false" outlineLevel="0" max="34" min="34" style="0" width="2"/>
    <col collapsed="false" customWidth="true" hidden="false" outlineLevel="0" max="41" min="35" style="0" width="11"/>
  </cols>
  <sheetData>
    <row r="1" customFormat="false" ht="17.35" hidden="false" customHeight="false" outlineLevel="0" collapsed="false">
      <c r="A1" s="1" t="s">
        <v>2474</v>
      </c>
    </row>
    <row r="2" customFormat="false" ht="15" hidden="false" customHeight="false" outlineLevel="0" collapsed="false">
      <c r="A2" s="20" t="s">
        <v>2475</v>
      </c>
    </row>
    <row r="3" customFormat="false" ht="15" hidden="false" customHeight="false" outlineLevel="0" collapsed="false">
      <c r="A3" s="36" t="s">
        <v>1311</v>
      </c>
      <c r="B3" s="36" t="s">
        <v>486</v>
      </c>
      <c r="C3" s="36" t="s">
        <v>489</v>
      </c>
      <c r="D3" s="36" t="s">
        <v>1312</v>
      </c>
      <c r="E3" s="36" t="s">
        <v>1313</v>
      </c>
      <c r="F3" s="36" t="str">
        <f aca="false">Timeline!F3</f>
        <v>Q1'24</v>
      </c>
      <c r="G3" s="36" t="str">
        <f aca="false">Timeline!G3</f>
        <v>Q2'24</v>
      </c>
      <c r="H3" s="36" t="str">
        <f aca="false">Timeline!H3</f>
        <v>Q3'24</v>
      </c>
      <c r="I3" s="36" t="str">
        <f aca="false">Timeline!I3</f>
        <v>Q4'24</v>
      </c>
      <c r="J3" s="36" t="str">
        <f aca="false">Timeline!J3</f>
        <v>Q1'25</v>
      </c>
      <c r="K3" s="36" t="str">
        <f aca="false">Timeline!K3</f>
        <v>Q2'25</v>
      </c>
      <c r="L3" s="36" t="str">
        <f aca="false">Timeline!L3</f>
        <v>Q3'25</v>
      </c>
      <c r="M3" s="36" t="str">
        <f aca="false">Timeline!M3</f>
        <v>Q4'25</v>
      </c>
      <c r="N3" s="36" t="str">
        <f aca="false">Timeline!N3</f>
        <v>Q1'26</v>
      </c>
      <c r="O3" s="36" t="str">
        <f aca="false">Timeline!O3</f>
        <v>Q2'26</v>
      </c>
      <c r="P3" s="36" t="str">
        <f aca="false">Timeline!P3</f>
        <v>Q3'26</v>
      </c>
      <c r="Q3" s="36" t="str">
        <f aca="false">Timeline!Q3</f>
        <v>Q4'26</v>
      </c>
      <c r="R3" s="36" t="str">
        <f aca="false">Timeline!R3</f>
        <v>Q1'27</v>
      </c>
      <c r="S3" s="36" t="str">
        <f aca="false">Timeline!S3</f>
        <v>Q2'27</v>
      </c>
      <c r="T3" s="36" t="str">
        <f aca="false">Timeline!T3</f>
        <v>Q3'27</v>
      </c>
      <c r="U3" s="36" t="str">
        <f aca="false">Timeline!U3</f>
        <v>Q4'27</v>
      </c>
      <c r="V3" s="36" t="str">
        <f aca="false">Timeline!V3</f>
        <v>Q1'28</v>
      </c>
      <c r="W3" s="36" t="str">
        <f aca="false">Timeline!W3</f>
        <v>Q2'28</v>
      </c>
      <c r="X3" s="36" t="str">
        <f aca="false">Timeline!X3</f>
        <v>Q3'28</v>
      </c>
      <c r="Y3" s="36" t="str">
        <f aca="false">Timeline!Y3</f>
        <v>Q4'28</v>
      </c>
      <c r="Z3" s="36" t="str">
        <f aca="false">Timeline!Z3</f>
        <v>Q1'29</v>
      </c>
      <c r="AA3" s="36" t="str">
        <f aca="false">Timeline!AA3</f>
        <v>Q2'29</v>
      </c>
      <c r="AB3" s="36" t="str">
        <f aca="false">Timeline!AB3</f>
        <v>Q3'29</v>
      </c>
      <c r="AC3" s="36" t="str">
        <f aca="false">Timeline!AC3</f>
        <v>Q4'29</v>
      </c>
      <c r="AD3" s="36" t="str">
        <f aca="false">Timeline!AD3</f>
        <v>Q1'30</v>
      </c>
      <c r="AE3" s="36" t="str">
        <f aca="false">Timeline!AE3</f>
        <v>Q2'30</v>
      </c>
      <c r="AF3" s="36" t="str">
        <f aca="false">Timeline!AF3</f>
        <v>Q3'30</v>
      </c>
      <c r="AG3" s="36" t="str">
        <f aca="false">Timeline!AG3</f>
        <v>Q4'30</v>
      </c>
      <c r="AI3" s="36" t="s">
        <v>1314</v>
      </c>
      <c r="AJ3" s="36" t="s">
        <v>1315</v>
      </c>
      <c r="AK3" s="36" t="s">
        <v>289</v>
      </c>
      <c r="AL3" s="36" t="s">
        <v>290</v>
      </c>
      <c r="AM3" s="36" t="s">
        <v>291</v>
      </c>
      <c r="AN3" s="36" t="s">
        <v>1316</v>
      </c>
      <c r="AO3" s="36" t="s">
        <v>1317</v>
      </c>
    </row>
    <row r="4" customFormat="false" ht="15" hidden="false" customHeight="false" outlineLevel="0" collapsed="false">
      <c r="A4" s="20" t="s">
        <v>1196</v>
      </c>
      <c r="F4" s="102" t="n">
        <f aca="false">Timeline!F4</f>
        <v>45382</v>
      </c>
      <c r="G4" s="102" t="n">
        <f aca="false">Timeline!G4</f>
        <v>45473</v>
      </c>
      <c r="H4" s="102" t="n">
        <f aca="false">Timeline!H4</f>
        <v>45565</v>
      </c>
      <c r="I4" s="102" t="n">
        <f aca="false">Timeline!I4</f>
        <v>45657</v>
      </c>
      <c r="J4" s="102" t="n">
        <f aca="false">Timeline!J4</f>
        <v>45747</v>
      </c>
      <c r="K4" s="102" t="n">
        <f aca="false">Timeline!K4</f>
        <v>45838</v>
      </c>
      <c r="L4" s="102" t="n">
        <f aca="false">Timeline!L4</f>
        <v>45930</v>
      </c>
      <c r="M4" s="102" t="n">
        <f aca="false">Timeline!M4</f>
        <v>46022</v>
      </c>
      <c r="N4" s="102" t="n">
        <f aca="false">Timeline!N4</f>
        <v>46112</v>
      </c>
      <c r="O4" s="102" t="n">
        <f aca="false">Timeline!O4</f>
        <v>46203</v>
      </c>
      <c r="P4" s="102" t="n">
        <f aca="false">Timeline!P4</f>
        <v>46295</v>
      </c>
      <c r="Q4" s="102" t="n">
        <f aca="false">Timeline!Q4</f>
        <v>46387</v>
      </c>
      <c r="R4" s="102" t="n">
        <f aca="false">Timeline!R4</f>
        <v>46477</v>
      </c>
      <c r="S4" s="102" t="n">
        <f aca="false">Timeline!S4</f>
        <v>46568</v>
      </c>
      <c r="T4" s="102" t="n">
        <f aca="false">Timeline!T4</f>
        <v>46660</v>
      </c>
      <c r="U4" s="102" t="n">
        <f aca="false">Timeline!U4</f>
        <v>46752</v>
      </c>
      <c r="V4" s="102" t="n">
        <f aca="false">Timeline!V4</f>
        <v>46843</v>
      </c>
      <c r="W4" s="102" t="n">
        <f aca="false">Timeline!W4</f>
        <v>46934</v>
      </c>
      <c r="X4" s="102" t="n">
        <f aca="false">Timeline!X4</f>
        <v>47026</v>
      </c>
      <c r="Y4" s="102" t="n">
        <f aca="false">Timeline!Y4</f>
        <v>47118</v>
      </c>
      <c r="Z4" s="102" t="n">
        <f aca="false">Timeline!Z4</f>
        <v>47208</v>
      </c>
      <c r="AA4" s="102" t="n">
        <f aca="false">Timeline!AA4</f>
        <v>47299</v>
      </c>
      <c r="AB4" s="102" t="n">
        <f aca="false">Timeline!AB4</f>
        <v>47391</v>
      </c>
      <c r="AC4" s="102" t="n">
        <f aca="false">Timeline!AC4</f>
        <v>47483</v>
      </c>
      <c r="AD4" s="102" t="n">
        <f aca="false">Timeline!AD4</f>
        <v>47573</v>
      </c>
      <c r="AE4" s="102" t="n">
        <f aca="false">Timeline!AE4</f>
        <v>47664</v>
      </c>
      <c r="AF4" s="102" t="n">
        <f aca="false">Timeline!AF4</f>
        <v>47756</v>
      </c>
      <c r="AG4" s="102" t="n">
        <f aca="false">Timeline!AG4</f>
        <v>47848</v>
      </c>
    </row>
    <row r="5" customFormat="false" ht="15" hidden="false" customHeight="false" outlineLevel="0" collapsed="false">
      <c r="A5" s="20" t="s">
        <v>1197</v>
      </c>
      <c r="E5" s="0" t="n">
        <v>0</v>
      </c>
      <c r="F5" s="20" t="n">
        <f aca="false">Timeline!F5</f>
        <v>1</v>
      </c>
      <c r="G5" s="20" t="n">
        <f aca="false">Timeline!G5</f>
        <v>2</v>
      </c>
      <c r="H5" s="20" t="n">
        <f aca="false">Timeline!H5</f>
        <v>3</v>
      </c>
      <c r="I5" s="20" t="n">
        <f aca="false">Timeline!I5</f>
        <v>4</v>
      </c>
      <c r="J5" s="20" t="n">
        <f aca="false">Timeline!J5</f>
        <v>5</v>
      </c>
      <c r="K5" s="20" t="n">
        <f aca="false">Timeline!K5</f>
        <v>6</v>
      </c>
      <c r="L5" s="20" t="n">
        <f aca="false">Timeline!L5</f>
        <v>7</v>
      </c>
      <c r="M5" s="20" t="n">
        <f aca="false">Timeline!M5</f>
        <v>8</v>
      </c>
      <c r="N5" s="20" t="n">
        <f aca="false">Timeline!N5</f>
        <v>9</v>
      </c>
      <c r="O5" s="20" t="n">
        <f aca="false">Timeline!O5</f>
        <v>10</v>
      </c>
      <c r="P5" s="20" t="n">
        <f aca="false">Timeline!P5</f>
        <v>11</v>
      </c>
      <c r="Q5" s="20" t="n">
        <f aca="false">Timeline!Q5</f>
        <v>12</v>
      </c>
      <c r="R5" s="20" t="n">
        <f aca="false">Timeline!R5</f>
        <v>13</v>
      </c>
      <c r="S5" s="20" t="n">
        <f aca="false">Timeline!S5</f>
        <v>14</v>
      </c>
      <c r="T5" s="20" t="n">
        <f aca="false">Timeline!T5</f>
        <v>15</v>
      </c>
      <c r="U5" s="20" t="n">
        <f aca="false">Timeline!U5</f>
        <v>16</v>
      </c>
      <c r="V5" s="20" t="n">
        <f aca="false">Timeline!V5</f>
        <v>17</v>
      </c>
      <c r="W5" s="20" t="n">
        <f aca="false">Timeline!W5</f>
        <v>18</v>
      </c>
      <c r="X5" s="20" t="n">
        <f aca="false">Timeline!X5</f>
        <v>19</v>
      </c>
      <c r="Y5" s="20" t="n">
        <f aca="false">Timeline!Y5</f>
        <v>20</v>
      </c>
      <c r="Z5" s="20" t="n">
        <f aca="false">Timeline!Z5</f>
        <v>21</v>
      </c>
      <c r="AA5" s="20" t="n">
        <f aca="false">Timeline!AA5</f>
        <v>22</v>
      </c>
      <c r="AB5" s="20" t="n">
        <f aca="false">Timeline!AB5</f>
        <v>23</v>
      </c>
      <c r="AC5" s="20" t="n">
        <f aca="false">Timeline!AC5</f>
        <v>24</v>
      </c>
      <c r="AD5" s="20" t="n">
        <f aca="false">Timeline!AD5</f>
        <v>25</v>
      </c>
      <c r="AE5" s="20" t="n">
        <f aca="false">Timeline!AE5</f>
        <v>26</v>
      </c>
      <c r="AF5" s="20" t="n">
        <f aca="false">Timeline!AF5</f>
        <v>27</v>
      </c>
      <c r="AG5" s="20" t="n">
        <f aca="false">Timeline!AG5</f>
        <v>28</v>
      </c>
    </row>
    <row r="6" customFormat="false" ht="15" hidden="false" customHeight="false" outlineLevel="0" collapsed="false">
      <c r="A6" s="20" t="s">
        <v>1318</v>
      </c>
      <c r="F6" s="20" t="str">
        <f aca="false">Timeline!F6</f>
        <v>A</v>
      </c>
      <c r="G6" s="20" t="str">
        <f aca="false">Timeline!G6</f>
        <v>A</v>
      </c>
      <c r="H6" s="20" t="str">
        <f aca="false">Timeline!H6</f>
        <v>A</v>
      </c>
      <c r="I6" s="20" t="str">
        <f aca="false">Timeline!I6</f>
        <v>A</v>
      </c>
      <c r="J6" s="20" t="str">
        <f aca="false">Timeline!J6</f>
        <v>A</v>
      </c>
      <c r="K6" s="20" t="str">
        <f aca="false">Timeline!K6</f>
        <v>A</v>
      </c>
      <c r="L6" s="20" t="str">
        <f aca="false">Timeline!L6</f>
        <v>A</v>
      </c>
      <c r="M6" s="20" t="str">
        <f aca="false">Timeline!M6</f>
        <v>A</v>
      </c>
      <c r="N6" s="20" t="str">
        <f aca="false">Timeline!N6</f>
        <v>A</v>
      </c>
      <c r="O6" s="20" t="str">
        <f aca="false">Timeline!O6</f>
        <v>A</v>
      </c>
      <c r="P6" s="20" t="str">
        <f aca="false">Timeline!P6</f>
        <v>F</v>
      </c>
      <c r="Q6" s="20" t="str">
        <f aca="false">Timeline!Q6</f>
        <v>F</v>
      </c>
      <c r="R6" s="20" t="str">
        <f aca="false">Timeline!R6</f>
        <v>F</v>
      </c>
      <c r="S6" s="20" t="str">
        <f aca="false">Timeline!S6</f>
        <v>F</v>
      </c>
      <c r="T6" s="20" t="str">
        <f aca="false">Timeline!T6</f>
        <v>F</v>
      </c>
      <c r="U6" s="20" t="str">
        <f aca="false">Timeline!U6</f>
        <v>F</v>
      </c>
      <c r="V6" s="20" t="str">
        <f aca="false">Timeline!V6</f>
        <v>F</v>
      </c>
      <c r="W6" s="20" t="str">
        <f aca="false">Timeline!W6</f>
        <v>F</v>
      </c>
      <c r="X6" s="20" t="str">
        <f aca="false">Timeline!X6</f>
        <v>F</v>
      </c>
      <c r="Y6" s="20" t="str">
        <f aca="false">Timeline!Y6</f>
        <v>F</v>
      </c>
      <c r="Z6" s="20" t="str">
        <f aca="false">Timeline!Z6</f>
        <v>F</v>
      </c>
      <c r="AA6" s="20" t="str">
        <f aca="false">Timeline!AA6</f>
        <v>F</v>
      </c>
      <c r="AB6" s="20" t="str">
        <f aca="false">Timeline!AB6</f>
        <v>F</v>
      </c>
      <c r="AC6" s="20" t="str">
        <f aca="false">Timeline!AC6</f>
        <v>F</v>
      </c>
      <c r="AD6" s="20" t="str">
        <f aca="false">Timeline!AD6</f>
        <v>F</v>
      </c>
      <c r="AE6" s="20" t="str">
        <f aca="false">Timeline!AE6</f>
        <v>F</v>
      </c>
      <c r="AF6" s="20" t="str">
        <f aca="false">Timeline!AF6</f>
        <v>F</v>
      </c>
      <c r="AG6" s="20" t="str">
        <f aca="false">Timeline!AG6</f>
        <v>F</v>
      </c>
    </row>
    <row r="7" customFormat="false" ht="15" hidden="false" customHeight="false" outlineLevel="0" collapsed="false">
      <c r="A7" s="20" t="s">
        <v>1199</v>
      </c>
      <c r="F7" s="20" t="n">
        <f aca="false">Timeline!F7</f>
        <v>2024</v>
      </c>
      <c r="G7" s="20" t="n">
        <f aca="false">Timeline!G7</f>
        <v>2024</v>
      </c>
      <c r="H7" s="20" t="n">
        <f aca="false">Timeline!H7</f>
        <v>2024</v>
      </c>
      <c r="I7" s="20" t="n">
        <f aca="false">Timeline!I7</f>
        <v>2024</v>
      </c>
      <c r="J7" s="20" t="n">
        <f aca="false">Timeline!J7</f>
        <v>2025</v>
      </c>
      <c r="K7" s="20" t="n">
        <f aca="false">Timeline!K7</f>
        <v>2025</v>
      </c>
      <c r="L7" s="20" t="n">
        <f aca="false">Timeline!L7</f>
        <v>2025</v>
      </c>
      <c r="M7" s="20" t="n">
        <f aca="false">Timeline!M7</f>
        <v>2025</v>
      </c>
      <c r="N7" s="20" t="n">
        <f aca="false">Timeline!N7</f>
        <v>2026</v>
      </c>
      <c r="O7" s="20" t="n">
        <f aca="false">Timeline!O7</f>
        <v>2026</v>
      </c>
      <c r="P7" s="20" t="n">
        <f aca="false">Timeline!P7</f>
        <v>2026</v>
      </c>
      <c r="Q7" s="20" t="n">
        <f aca="false">Timeline!Q7</f>
        <v>2026</v>
      </c>
      <c r="R7" s="20" t="n">
        <f aca="false">Timeline!R7</f>
        <v>2027</v>
      </c>
      <c r="S7" s="20" t="n">
        <f aca="false">Timeline!S7</f>
        <v>2027</v>
      </c>
      <c r="T7" s="20" t="n">
        <f aca="false">Timeline!T7</f>
        <v>2027</v>
      </c>
      <c r="U7" s="20" t="n">
        <f aca="false">Timeline!U7</f>
        <v>2027</v>
      </c>
      <c r="V7" s="20" t="n">
        <f aca="false">Timeline!V7</f>
        <v>2028</v>
      </c>
      <c r="W7" s="20" t="n">
        <f aca="false">Timeline!W7</f>
        <v>2028</v>
      </c>
      <c r="X7" s="20" t="n">
        <f aca="false">Timeline!X7</f>
        <v>2028</v>
      </c>
      <c r="Y7" s="20" t="n">
        <f aca="false">Timeline!Y7</f>
        <v>2028</v>
      </c>
      <c r="Z7" s="20" t="n">
        <f aca="false">Timeline!Z7</f>
        <v>2029</v>
      </c>
      <c r="AA7" s="20" t="n">
        <f aca="false">Timeline!AA7</f>
        <v>2029</v>
      </c>
      <c r="AB7" s="20" t="n">
        <f aca="false">Timeline!AB7</f>
        <v>2029</v>
      </c>
      <c r="AC7" s="20" t="n">
        <f aca="false">Timeline!AC7</f>
        <v>2029</v>
      </c>
      <c r="AD7" s="20" t="n">
        <f aca="false">Timeline!AD7</f>
        <v>2030</v>
      </c>
      <c r="AE7" s="20" t="n">
        <f aca="false">Timeline!AE7</f>
        <v>2030</v>
      </c>
      <c r="AF7" s="20" t="n">
        <f aca="false">Timeline!AF7</f>
        <v>2030</v>
      </c>
      <c r="AG7" s="20" t="n">
        <f aca="false">Timeline!AG7</f>
        <v>2030</v>
      </c>
      <c r="AI7" s="20" t="n">
        <v>2024</v>
      </c>
      <c r="AJ7" s="20" t="n">
        <v>2025</v>
      </c>
      <c r="AK7" s="20" t="n">
        <v>2026</v>
      </c>
      <c r="AL7" s="20" t="n">
        <v>2027</v>
      </c>
      <c r="AM7" s="20" t="n">
        <v>2028</v>
      </c>
      <c r="AN7" s="20" t="n">
        <v>2029</v>
      </c>
      <c r="AO7" s="20" t="n">
        <v>2030</v>
      </c>
    </row>
    <row r="10" customFormat="false" ht="15" hidden="false" customHeight="false" outlineLevel="0" collapsed="false">
      <c r="A10" s="53" t="s">
        <v>2476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</row>
    <row r="11" customFormat="false" ht="15" hidden="false" customHeight="false" outlineLevel="0" collapsed="false">
      <c r="A11" s="104" t="s">
        <v>2477</v>
      </c>
      <c r="B11" s="20" t="s">
        <v>575</v>
      </c>
      <c r="C11" s="20" t="s">
        <v>495</v>
      </c>
      <c r="D11" s="20"/>
      <c r="F11" s="108" t="n">
        <f aca="false">MAX(0,INDEX(MW_Act,1,1)-(INDEX(A_MW,1,1)-INDEX(A_BillMW,1,1)))</f>
        <v>25</v>
      </c>
      <c r="G11" s="108" t="n">
        <f aca="false">MAX(0,INDEX(MW_Act,1,2)-(INDEX(A_MW,1,2)-INDEX(A_BillMW,1,2)))</f>
        <v>25</v>
      </c>
      <c r="H11" s="108" t="n">
        <f aca="false">MAX(0,INDEX(MW_Act,1,3)-(INDEX(A_MW,1,3)-INDEX(A_BillMW,1,3)))</f>
        <v>25</v>
      </c>
      <c r="I11" s="108" t="n">
        <f aca="false">MAX(0,INDEX(MW_Act,1,4)-(INDEX(A_MW,1,4)-INDEX(A_BillMW,1,4)))</f>
        <v>30</v>
      </c>
      <c r="J11" s="108" t="n">
        <f aca="false">MAX(0,INDEX(MW_Act,1,5)-(INDEX(A_MW,1,5)-INDEX(A_BillMW,1,5)))</f>
        <v>40</v>
      </c>
      <c r="K11" s="108" t="n">
        <f aca="false">MAX(0,INDEX(MW_Act,1,6)-(INDEX(A_MW,1,6)-INDEX(A_BillMW,1,6)))</f>
        <v>45</v>
      </c>
      <c r="L11" s="108" t="n">
        <f aca="false">MAX(0,INDEX(MW_Act,1,7)-(INDEX(A_MW,1,7)-INDEX(A_BillMW,1,7)))</f>
        <v>62.5</v>
      </c>
      <c r="M11" s="108" t="n">
        <f aca="false">MAX(0,INDEX(MW_Act,1,8)-(INDEX(A_MW,1,8)-INDEX(A_BillMW,1,8)))</f>
        <v>147.7</v>
      </c>
      <c r="N11" s="108" t="n">
        <f aca="false">MAX(0,INDEX(MW_Act,1,9)-(INDEX(A_MW,1,9)-INDEX(A_BillMW,1,9)))</f>
        <v>171.5</v>
      </c>
      <c r="O11" s="108" t="n">
        <f aca="false">MAX(0,INDEX(MW_Act,1,10)-(INDEX(A_MW,1,10)-INDEX(A_BillMW,1,10)))</f>
        <v>173</v>
      </c>
      <c r="P11" s="29" t="n">
        <f aca="false">MAX(0,INDEX(MW_Act,1,11)-(INDEX(A_MW,1,11)-INDEX(A_BillMW,1,11)))</f>
        <v>168.75</v>
      </c>
      <c r="Q11" s="29" t="n">
        <f aca="false">MAX(0,INDEX(MW_Act,1,12)-(INDEX(A_MW,1,12)-INDEX(A_BillMW,1,12)))</f>
        <v>203.25</v>
      </c>
      <c r="R11" s="29" t="n">
        <f aca="false">MAX(0,INDEX(MW_Act,1,13)-(INDEX(A_MW,1,13)-INDEX(A_BillMW,1,13)))</f>
        <v>288.15</v>
      </c>
      <c r="S11" s="29" t="n">
        <f aca="false">MAX(0,INDEX(MW_Act,1,14)-(INDEX(A_MW,1,14)-INDEX(A_BillMW,1,14)))</f>
        <v>416.4</v>
      </c>
      <c r="T11" s="29" t="n">
        <f aca="false">MAX(0,INDEX(MW_Act,1,15)-(INDEX(A_MW,1,15)-INDEX(A_BillMW,1,15)))</f>
        <v>545.1</v>
      </c>
      <c r="U11" s="29" t="n">
        <f aca="false">MAX(0,INDEX(MW_Act,1,16)-(INDEX(A_MW,1,16)-INDEX(A_BillMW,1,16)))</f>
        <v>684.5</v>
      </c>
      <c r="V11" s="29" t="n">
        <f aca="false">MAX(0,INDEX(MW_Act,1,17)-(INDEX(A_MW,1,17)-INDEX(A_BillMW,1,17)))</f>
        <v>950</v>
      </c>
      <c r="W11" s="29" t="n">
        <f aca="false">MAX(0,INDEX(MW_Act,1,18)-(INDEX(A_MW,1,18)-INDEX(A_BillMW,1,18)))</f>
        <v>1042.5</v>
      </c>
      <c r="X11" s="29" t="n">
        <f aca="false">MAX(0,INDEX(MW_Act,1,19)-(INDEX(A_MW,1,19)-INDEX(A_BillMW,1,19)))</f>
        <v>1198.5</v>
      </c>
      <c r="Y11" s="29" t="n">
        <f aca="false">MAX(0,INDEX(MW_Act,1,20)-(INDEX(A_MW,1,20)-INDEX(A_BillMW,1,20)))</f>
        <v>1211</v>
      </c>
      <c r="Z11" s="29" t="n">
        <f aca="false">MAX(0,INDEX(MW_Act,1,21)-(INDEX(A_MW,1,21)-INDEX(A_BillMW,1,21)))</f>
        <v>1539</v>
      </c>
      <c r="AA11" s="29" t="n">
        <f aca="false">MAX(0,INDEX(MW_Act,1,22)-(INDEX(A_MW,1,22)-INDEX(A_BillMW,1,22)))</f>
        <v>1539</v>
      </c>
      <c r="AB11" s="29" t="n">
        <f aca="false">MAX(0,INDEX(MW_Act,1,23)-(INDEX(A_MW,1,23)-INDEX(A_BillMW,1,23)))</f>
        <v>1875</v>
      </c>
      <c r="AC11" s="29" t="n">
        <f aca="false">MAX(0,INDEX(MW_Act,1,24)-(INDEX(A_MW,1,24)-INDEX(A_BillMW,1,24)))</f>
        <v>1875</v>
      </c>
      <c r="AD11" s="29" t="n">
        <f aca="false">MAX(0,INDEX(MW_Act,1,25)-(INDEX(A_MW,1,25)-INDEX(A_BillMW,1,25)))</f>
        <v>2343</v>
      </c>
      <c r="AE11" s="29" t="n">
        <f aca="false">MAX(0,INDEX(MW_Act,1,26)-(INDEX(A_MW,1,26)-INDEX(A_BillMW,1,26)))</f>
        <v>2343</v>
      </c>
      <c r="AF11" s="29" t="n">
        <f aca="false">MAX(0,INDEX(MW_Act,1,27)-(INDEX(A_MW,1,27)-INDEX(A_BillMW,1,27)))</f>
        <v>2343</v>
      </c>
      <c r="AG11" s="29" t="n">
        <f aca="false">MAX(0,INDEX(MW_Act,1,28)-(INDEX(A_MW,1,28)-INDEX(A_BillMW,1,28)))</f>
        <v>2343</v>
      </c>
      <c r="AI11" s="29" t="n">
        <f aca="false">INDEX($F11:$AG11,1,MATCH(AI$7,$F$7:$AG$7,1))</f>
        <v>30</v>
      </c>
      <c r="AJ11" s="29" t="n">
        <f aca="false">INDEX($F11:$AG11,1,MATCH(AJ$7,$F$7:$AG$7,1))</f>
        <v>147.7</v>
      </c>
      <c r="AK11" s="29" t="n">
        <f aca="false">INDEX($F11:$AG11,1,MATCH(AK$7,$F$7:$AG$7,1))</f>
        <v>203.25</v>
      </c>
      <c r="AL11" s="29" t="n">
        <f aca="false">INDEX($F11:$AG11,1,MATCH(AL$7,$F$7:$AG$7,1))</f>
        <v>684.5</v>
      </c>
      <c r="AM11" s="29" t="n">
        <f aca="false">INDEX($F11:$AG11,1,MATCH(AM$7,$F$7:$AG$7,1))</f>
        <v>1211</v>
      </c>
      <c r="AN11" s="29" t="n">
        <f aca="false">INDEX($F11:$AG11,1,MATCH(AN$7,$F$7:$AG$7,1))</f>
        <v>1875</v>
      </c>
      <c r="AO11" s="29" t="n">
        <f aca="false">INDEX($F11:$AG11,1,MATCH(AO$7,$F$7:$AG$7,1))</f>
        <v>2343</v>
      </c>
    </row>
    <row r="12" customFormat="false" ht="15" hidden="false" customHeight="false" outlineLevel="0" collapsed="false">
      <c r="A12" s="104" t="s">
        <v>2478</v>
      </c>
      <c r="B12" s="20" t="s">
        <v>575</v>
      </c>
      <c r="C12" s="20" t="s">
        <v>1309</v>
      </c>
      <c r="D12" s="20"/>
      <c r="F12" s="108" t="n">
        <f aca="false">INDEX(MW_Contr,1,1)</f>
        <v>0</v>
      </c>
      <c r="G12" s="108" t="n">
        <f aca="false">INDEX(MW_Contr,1,2)</f>
        <v>0</v>
      </c>
      <c r="H12" s="108" t="n">
        <f aca="false">INDEX(MW_Contr,1,3)</f>
        <v>5</v>
      </c>
      <c r="I12" s="108" t="n">
        <f aca="false">INDEX(MW_Contr,1,4)</f>
        <v>130</v>
      </c>
      <c r="J12" s="108" t="n">
        <f aca="false">INDEX(MW_Contr,1,5)</f>
        <v>430</v>
      </c>
      <c r="K12" s="108" t="n">
        <f aca="false">INDEX(MW_Contr,1,6)</f>
        <v>454</v>
      </c>
      <c r="L12" s="108" t="n">
        <f aca="false">INDEX(MW_Contr,1,7)</f>
        <v>694</v>
      </c>
      <c r="M12" s="108" t="n">
        <f aca="false">INDEX(MW_Contr,1,8)</f>
        <v>1654</v>
      </c>
      <c r="N12" s="108" t="n">
        <f aca="false">INDEX(MW_Contr,1,9)</f>
        <v>2200</v>
      </c>
      <c r="O12" s="108" t="n">
        <f aca="false">INDEX(MW_Contr,1,10)</f>
        <v>3239</v>
      </c>
      <c r="P12" s="29" t="n">
        <f aca="false">INDEX(MW_Contr,1,11)</f>
        <v>3400</v>
      </c>
      <c r="Q12" s="29" t="n">
        <f aca="false">INDEX(MW_Contr,1,12)</f>
        <v>4000</v>
      </c>
      <c r="R12" s="29" t="n">
        <f aca="false">INDEX(MW_Contr,1,13)</f>
        <v>4000</v>
      </c>
      <c r="S12" s="29" t="n">
        <f aca="false">INDEX(MW_Contr,1,14)</f>
        <v>4000</v>
      </c>
      <c r="T12" s="29" t="n">
        <f aca="false">INDEX(MW_Contr,1,15)</f>
        <v>4000</v>
      </c>
      <c r="U12" s="29" t="n">
        <f aca="false">INDEX(MW_Contr,1,16)</f>
        <v>4000</v>
      </c>
      <c r="V12" s="29" t="n">
        <f aca="false">INDEX(MW_Contr,1,17)</f>
        <v>4000</v>
      </c>
      <c r="W12" s="29" t="n">
        <f aca="false">INDEX(MW_Contr,1,18)</f>
        <v>4000</v>
      </c>
      <c r="X12" s="29" t="n">
        <f aca="false">INDEX(MW_Contr,1,19)</f>
        <v>4000</v>
      </c>
      <c r="Y12" s="29" t="n">
        <f aca="false">INDEX(MW_Contr,1,20)</f>
        <v>4000</v>
      </c>
      <c r="Z12" s="29" t="n">
        <f aca="false">INDEX(MW_Contr,1,21)</f>
        <v>4000</v>
      </c>
      <c r="AA12" s="29" t="n">
        <f aca="false">INDEX(MW_Contr,1,22)</f>
        <v>4000</v>
      </c>
      <c r="AB12" s="29" t="n">
        <f aca="false">INDEX(MW_Contr,1,23)</f>
        <v>4000</v>
      </c>
      <c r="AC12" s="29" t="n">
        <f aca="false">INDEX(MW_Contr,1,24)</f>
        <v>4000</v>
      </c>
      <c r="AD12" s="29" t="n">
        <f aca="false">INDEX(MW_Contr,1,25)</f>
        <v>4000</v>
      </c>
      <c r="AE12" s="29" t="n">
        <f aca="false">INDEX(MW_Contr,1,26)</f>
        <v>4000</v>
      </c>
      <c r="AF12" s="29" t="n">
        <f aca="false">INDEX(MW_Contr,1,27)</f>
        <v>4000</v>
      </c>
      <c r="AG12" s="29" t="n">
        <f aca="false">INDEX(MW_Contr,1,28)</f>
        <v>4000</v>
      </c>
      <c r="AI12" s="29" t="n">
        <f aca="false">INDEX($F12:$AG12,1,MATCH(AI$7,$F$7:$AG$7,1))</f>
        <v>130</v>
      </c>
      <c r="AJ12" s="29" t="n">
        <f aca="false">INDEX($F12:$AG12,1,MATCH(AJ$7,$F$7:$AG$7,1))</f>
        <v>1654</v>
      </c>
      <c r="AK12" s="29" t="n">
        <f aca="false">INDEX($F12:$AG12,1,MATCH(AK$7,$F$7:$AG$7,1))</f>
        <v>4000</v>
      </c>
      <c r="AL12" s="29" t="n">
        <f aca="false">INDEX($F12:$AG12,1,MATCH(AL$7,$F$7:$AG$7,1))</f>
        <v>4000</v>
      </c>
      <c r="AM12" s="29" t="n">
        <f aca="false">INDEX($F12:$AG12,1,MATCH(AM$7,$F$7:$AG$7,1))</f>
        <v>4000</v>
      </c>
      <c r="AN12" s="29" t="n">
        <f aca="false">INDEX($F12:$AG12,1,MATCH(AN$7,$F$7:$AG$7,1))</f>
        <v>4000</v>
      </c>
      <c r="AO12" s="29" t="n">
        <f aca="false">INDEX($F12:$AG12,1,MATCH(AO$7,$F$7:$AG$7,1))</f>
        <v>4000</v>
      </c>
    </row>
    <row r="13" customFormat="false" ht="15" hidden="false" customHeight="false" outlineLevel="0" collapsed="false">
      <c r="A13" s="104" t="s">
        <v>2479</v>
      </c>
      <c r="B13" s="20" t="s">
        <v>575</v>
      </c>
      <c r="C13" s="20" t="s">
        <v>1309</v>
      </c>
      <c r="D13" s="20"/>
      <c r="F13" s="108" t="n">
        <f aca="false">INDEX(MW_En,1,1)</f>
        <v>25</v>
      </c>
      <c r="G13" s="108" t="n">
        <f aca="false">INDEX(MW_En,1,2)</f>
        <v>25</v>
      </c>
      <c r="H13" s="108" t="n">
        <f aca="false">INDEX(MW_En,1,3)</f>
        <v>25</v>
      </c>
      <c r="I13" s="108" t="n">
        <f aca="false">INDEX(MW_En,1,4)</f>
        <v>30</v>
      </c>
      <c r="J13" s="108" t="n">
        <f aca="false">INDEX(MW_En,1,5)</f>
        <v>40</v>
      </c>
      <c r="K13" s="108" t="n">
        <f aca="false">INDEX(MW_En,1,6)</f>
        <v>45</v>
      </c>
      <c r="L13" s="108" t="n">
        <f aca="false">INDEX(MW_En,1,7)</f>
        <v>62.5</v>
      </c>
      <c r="M13" s="108" t="n">
        <f aca="false">INDEX(MW_En,1,8)</f>
        <v>147.7</v>
      </c>
      <c r="N13" s="108" t="n">
        <f aca="false">INDEX(MW_En,1,9)</f>
        <v>171.5</v>
      </c>
      <c r="O13" s="108" t="n">
        <f aca="false">INDEX(MW_En,1,10)</f>
        <v>173</v>
      </c>
      <c r="P13" s="29" t="n">
        <f aca="false">INDEX(MW_En,1,11)</f>
        <v>207.5</v>
      </c>
      <c r="Q13" s="29" t="n">
        <f aca="false">INDEX(MW_En,1,12)</f>
        <v>292.4</v>
      </c>
      <c r="R13" s="29" t="n">
        <f aca="false">INDEX(MW_En,1,13)</f>
        <v>416.4</v>
      </c>
      <c r="S13" s="29" t="n">
        <f aca="false">INDEX(MW_En,1,14)</f>
        <v>545.1</v>
      </c>
      <c r="T13" s="29" t="n">
        <f aca="false">INDEX(MW_En,1,15)</f>
        <v>684.5</v>
      </c>
      <c r="U13" s="29" t="n">
        <f aca="false">INDEX(MW_En,1,16)</f>
        <v>950</v>
      </c>
      <c r="V13" s="29" t="n">
        <f aca="false">INDEX(MW_En,1,17)</f>
        <v>1042.5</v>
      </c>
      <c r="W13" s="29" t="n">
        <f aca="false">INDEX(MW_En,1,18)</f>
        <v>1198.5</v>
      </c>
      <c r="X13" s="29" t="n">
        <f aca="false">INDEX(MW_En,1,19)</f>
        <v>1211</v>
      </c>
      <c r="Y13" s="29" t="n">
        <f aca="false">INDEX(MW_En,1,20)</f>
        <v>1539</v>
      </c>
      <c r="Z13" s="29" t="n">
        <f aca="false">INDEX(MW_En,1,21)</f>
        <v>1539</v>
      </c>
      <c r="AA13" s="29" t="n">
        <f aca="false">INDEX(MW_En,1,22)</f>
        <v>1875</v>
      </c>
      <c r="AB13" s="29" t="n">
        <f aca="false">INDEX(MW_En,1,23)</f>
        <v>1875</v>
      </c>
      <c r="AC13" s="29" t="n">
        <f aca="false">INDEX(MW_En,1,24)</f>
        <v>2343</v>
      </c>
      <c r="AD13" s="29" t="n">
        <f aca="false">INDEX(MW_En,1,25)</f>
        <v>2343</v>
      </c>
      <c r="AE13" s="29" t="n">
        <f aca="false">INDEX(MW_En,1,26)</f>
        <v>2343</v>
      </c>
      <c r="AF13" s="29" t="n">
        <f aca="false">INDEX(MW_En,1,27)</f>
        <v>2343</v>
      </c>
      <c r="AG13" s="29" t="n">
        <f aca="false">INDEX(MW_En,1,28)</f>
        <v>2803</v>
      </c>
      <c r="AI13" s="29" t="n">
        <f aca="false">INDEX($F13:$AG13,1,MATCH(AI$7,$F$7:$AG$7,1))</f>
        <v>30</v>
      </c>
      <c r="AJ13" s="29" t="n">
        <f aca="false">INDEX($F13:$AG13,1,MATCH(AJ$7,$F$7:$AG$7,1))</f>
        <v>147.7</v>
      </c>
      <c r="AK13" s="29" t="n">
        <f aca="false">INDEX($F13:$AG13,1,MATCH(AK$7,$F$7:$AG$7,1))</f>
        <v>292.4</v>
      </c>
      <c r="AL13" s="29" t="n">
        <f aca="false">INDEX($F13:$AG13,1,MATCH(AL$7,$F$7:$AG$7,1))</f>
        <v>950</v>
      </c>
      <c r="AM13" s="29" t="n">
        <f aca="false">INDEX($F13:$AG13,1,MATCH(AM$7,$F$7:$AG$7,1))</f>
        <v>1539</v>
      </c>
      <c r="AN13" s="29" t="n">
        <f aca="false">INDEX($F13:$AG13,1,MATCH(AN$7,$F$7:$AG$7,1))</f>
        <v>2343</v>
      </c>
      <c r="AO13" s="29" t="n">
        <f aca="false">INDEX($F13:$AG13,1,MATCH(AO$7,$F$7:$AG$7,1))</f>
        <v>2803</v>
      </c>
    </row>
    <row r="14" customFormat="false" ht="15" hidden="false" customHeight="false" outlineLevel="0" collapsed="false">
      <c r="A14" s="104" t="s">
        <v>2480</v>
      </c>
      <c r="B14" s="20" t="s">
        <v>575</v>
      </c>
      <c r="C14" s="20" t="s">
        <v>1309</v>
      </c>
      <c r="D14" s="20"/>
      <c r="F14" s="108" t="n">
        <f aca="false">INDEX(MW_Act,1,1)*INDEX(MW_OwnSh,1,1)</f>
        <v>25</v>
      </c>
      <c r="G14" s="108" t="n">
        <f aca="false">INDEX(MW_Act,1,2)*INDEX(MW_OwnSh,1,2)</f>
        <v>25</v>
      </c>
      <c r="H14" s="108" t="n">
        <f aca="false">INDEX(MW_Act,1,3)*INDEX(MW_OwnSh,1,3)</f>
        <v>25</v>
      </c>
      <c r="I14" s="108" t="n">
        <f aca="false">INDEX(MW_Act,1,4)*INDEX(MW_OwnSh,1,4)</f>
        <v>25</v>
      </c>
      <c r="J14" s="108" t="n">
        <f aca="false">INDEX(MW_Act,1,5)*INDEX(MW_OwnSh,1,5)</f>
        <v>25</v>
      </c>
      <c r="K14" s="108" t="n">
        <f aca="false">INDEX(MW_Act,1,6)*INDEX(MW_OwnSh,1,6)</f>
        <v>25</v>
      </c>
      <c r="L14" s="108" t="n">
        <f aca="false">INDEX(MW_Act,1,7)*INDEX(MW_OwnSh,1,7)</f>
        <v>37.5</v>
      </c>
      <c r="M14" s="108" t="n">
        <f aca="false">INDEX(MW_Act,1,8)*INDEX(MW_OwnSh,1,8)</f>
        <v>62.5</v>
      </c>
      <c r="N14" s="108" t="n">
        <f aca="false">INDEX(MW_Act,1,9)*INDEX(MW_OwnSh,1,9)</f>
        <v>75</v>
      </c>
      <c r="O14" s="108" t="n">
        <f aca="false">INDEX(MW_Act,1,10)*INDEX(MW_OwnSh,1,10)</f>
        <v>75</v>
      </c>
      <c r="P14" s="29" t="n">
        <f aca="false">INDEX(MW_Act,1,11)*INDEX(MW_OwnSh,1,11)</f>
        <v>62.5301204819277</v>
      </c>
      <c r="Q14" s="29" t="n">
        <f aca="false">INDEX(MW_Act,1,12)*INDEX(MW_OwnSh,1,12)</f>
        <v>53.2233242134063</v>
      </c>
      <c r="R14" s="29" t="n">
        <f aca="false">INDEX(MW_Act,1,13)*INDEX(MW_OwnSh,1,13)</f>
        <v>59.687800192123</v>
      </c>
      <c r="S14" s="29" t="n">
        <f aca="false">INDEX(MW_Act,1,14)*INDEX(MW_OwnSh,1,14)</f>
        <v>83.2647220693451</v>
      </c>
      <c r="T14" s="29" t="n">
        <f aca="false">INDEX(MW_Act,1,15)*INDEX(MW_OwnSh,1,15)</f>
        <v>145.731628926224</v>
      </c>
      <c r="U14" s="29" t="n">
        <f aca="false">INDEX(MW_Act,1,16)*INDEX(MW_OwnSh,1,16)</f>
        <v>247.140526315789</v>
      </c>
      <c r="V14" s="29" t="n">
        <f aca="false">INDEX(MW_Act,1,17)*INDEX(MW_OwnSh,1,17)</f>
        <v>385.467625899281</v>
      </c>
      <c r="W14" s="29" t="n">
        <f aca="false">INDEX(MW_Act,1,18)*INDEX(MW_OwnSh,1,18)</f>
        <v>503.635794743429</v>
      </c>
      <c r="X14" s="29" t="n">
        <f aca="false">INDEX(MW_Act,1,19)*INDEX(MW_OwnSh,1,19)</f>
        <v>573.023534269199</v>
      </c>
      <c r="Y14" s="29" t="n">
        <f aca="false">INDEX(MW_Act,1,20)*INDEX(MW_OwnSh,1,20)</f>
        <v>675.925276153346</v>
      </c>
      <c r="Z14" s="29" t="n">
        <f aca="false">INDEX(MW_Act,1,21)*INDEX(MW_OwnSh,1,21)</f>
        <v>859</v>
      </c>
      <c r="AA14" s="29" t="n">
        <f aca="false">INDEX(MW_Act,1,22)*INDEX(MW_OwnSh,1,22)</f>
        <v>980.856</v>
      </c>
      <c r="AB14" s="29" t="n">
        <f aca="false">INDEX(MW_Act,1,23)*INDEX(MW_OwnSh,1,23)</f>
        <v>1195</v>
      </c>
      <c r="AC14" s="29" t="n">
        <f aca="false">INDEX(MW_Act,1,24)*INDEX(MW_OwnSh,1,24)</f>
        <v>1330.82586427657</v>
      </c>
      <c r="AD14" s="29" t="n">
        <f aca="false">INDEX(MW_Act,1,25)*INDEX(MW_OwnSh,1,25)</f>
        <v>1663</v>
      </c>
      <c r="AE14" s="29" t="n">
        <f aca="false">INDEX(MW_Act,1,26)*INDEX(MW_OwnSh,1,26)</f>
        <v>1663</v>
      </c>
      <c r="AF14" s="29" t="n">
        <f aca="false">INDEX(MW_Act,1,27)*INDEX(MW_OwnSh,1,27)</f>
        <v>1663</v>
      </c>
      <c r="AG14" s="29" t="n">
        <f aca="false">INDEX(MW_Act,1,28)*INDEX(MW_OwnSh,1,28)</f>
        <v>1774.59471994292</v>
      </c>
      <c r="AI14" s="29" t="n">
        <f aca="false">INDEX($F14:$AG14,1,MATCH(AI$7,$F$7:$AG$7,1))</f>
        <v>25</v>
      </c>
      <c r="AJ14" s="29" t="n">
        <f aca="false">INDEX($F14:$AG14,1,MATCH(AJ$7,$F$7:$AG$7,1))</f>
        <v>62.5</v>
      </c>
      <c r="AK14" s="29" t="n">
        <f aca="false">INDEX($F14:$AG14,1,MATCH(AK$7,$F$7:$AG$7,1))</f>
        <v>53.2233242134063</v>
      </c>
      <c r="AL14" s="29" t="n">
        <f aca="false">INDEX($F14:$AG14,1,MATCH(AL$7,$F$7:$AG$7,1))</f>
        <v>247.140526315789</v>
      </c>
      <c r="AM14" s="29" t="n">
        <f aca="false">INDEX($F14:$AG14,1,MATCH(AM$7,$F$7:$AG$7,1))</f>
        <v>675.925276153346</v>
      </c>
      <c r="AN14" s="29" t="n">
        <f aca="false">INDEX($F14:$AG14,1,MATCH(AN$7,$F$7:$AG$7,1))</f>
        <v>1330.82586427657</v>
      </c>
      <c r="AO14" s="29" t="n">
        <f aca="false">INDEX($F14:$AG14,1,MATCH(AO$7,$F$7:$AG$7,1))</f>
        <v>1774.59471994292</v>
      </c>
    </row>
    <row r="15" customFormat="false" ht="15" hidden="false" customHeight="false" outlineLevel="0" collapsed="false">
      <c r="A15" s="104" t="s">
        <v>2481</v>
      </c>
      <c r="B15" s="20" t="s">
        <v>575</v>
      </c>
      <c r="C15" s="20" t="s">
        <v>1309</v>
      </c>
      <c r="D15" s="20"/>
      <c r="F15" s="108" t="n">
        <f aca="false">INDEX(MW_Act,1,1)*(1-INDEX(MW_OwnSh,1,1))</f>
        <v>0</v>
      </c>
      <c r="G15" s="108" t="n">
        <f aca="false">INDEX(MW_Act,1,2)*(1-INDEX(MW_OwnSh,1,2))</f>
        <v>0</v>
      </c>
      <c r="H15" s="108" t="n">
        <f aca="false">INDEX(MW_Act,1,3)*(1-INDEX(MW_OwnSh,1,3))</f>
        <v>0</v>
      </c>
      <c r="I15" s="108" t="n">
        <f aca="false">INDEX(MW_Act,1,4)*(1-INDEX(MW_OwnSh,1,4))</f>
        <v>5</v>
      </c>
      <c r="J15" s="108" t="n">
        <f aca="false">INDEX(MW_Act,1,5)*(1-INDEX(MW_OwnSh,1,5))</f>
        <v>15</v>
      </c>
      <c r="K15" s="108" t="n">
        <f aca="false">INDEX(MW_Act,1,6)*(1-INDEX(MW_OwnSh,1,6))</f>
        <v>20</v>
      </c>
      <c r="L15" s="108" t="n">
        <f aca="false">INDEX(MW_Act,1,7)*(1-INDEX(MW_OwnSh,1,7))</f>
        <v>25</v>
      </c>
      <c r="M15" s="108" t="n">
        <f aca="false">INDEX(MW_Act,1,8)*(1-INDEX(MW_OwnSh,1,8))</f>
        <v>85.2</v>
      </c>
      <c r="N15" s="108" t="n">
        <f aca="false">INDEX(MW_Act,1,9)*(1-INDEX(MW_OwnSh,1,9))</f>
        <v>96.5</v>
      </c>
      <c r="O15" s="108" t="n">
        <f aca="false">INDEX(MW_Act,1,10)*(1-INDEX(MW_OwnSh,1,10))</f>
        <v>98</v>
      </c>
      <c r="P15" s="29" t="n">
        <f aca="false">INDEX(MW_Act,1,11)*(1-INDEX(MW_OwnSh,1,11))</f>
        <v>110.469879518072</v>
      </c>
      <c r="Q15" s="29" t="n">
        <f aca="false">INDEX(MW_Act,1,12)*(1-INDEX(MW_OwnSh,1,12))</f>
        <v>154.276675786594</v>
      </c>
      <c r="R15" s="29" t="n">
        <f aca="false">INDEX(MW_Act,1,13)*(1-INDEX(MW_OwnSh,1,13))</f>
        <v>232.712199807877</v>
      </c>
      <c r="S15" s="29" t="n">
        <f aca="false">INDEX(MW_Act,1,14)*(1-INDEX(MW_OwnSh,1,14))</f>
        <v>333.135277930655</v>
      </c>
      <c r="T15" s="29" t="n">
        <f aca="false">INDEX(MW_Act,1,15)*(1-INDEX(MW_OwnSh,1,15))</f>
        <v>399.368371073777</v>
      </c>
      <c r="U15" s="29" t="n">
        <f aca="false">INDEX(MW_Act,1,16)*(1-INDEX(MW_OwnSh,1,16))</f>
        <v>437.359473684211</v>
      </c>
      <c r="V15" s="29" t="n">
        <f aca="false">INDEX(MW_Act,1,17)*(1-INDEX(MW_OwnSh,1,17))</f>
        <v>564.53237410072</v>
      </c>
      <c r="W15" s="29" t="n">
        <f aca="false">INDEX(MW_Act,1,18)*(1-INDEX(MW_OwnSh,1,18))</f>
        <v>538.864205256571</v>
      </c>
      <c r="X15" s="29" t="n">
        <f aca="false">INDEX(MW_Act,1,19)*(1-INDEX(MW_OwnSh,1,19))</f>
        <v>625.476465730801</v>
      </c>
      <c r="Y15" s="29" t="n">
        <f aca="false">INDEX(MW_Act,1,20)*(1-INDEX(MW_OwnSh,1,20))</f>
        <v>535.074723846654</v>
      </c>
      <c r="Z15" s="29" t="n">
        <f aca="false">INDEX(MW_Act,1,21)*(1-INDEX(MW_OwnSh,1,21))</f>
        <v>680</v>
      </c>
      <c r="AA15" s="29" t="n">
        <f aca="false">INDEX(MW_Act,1,22)*(1-INDEX(MW_OwnSh,1,22))</f>
        <v>558.144</v>
      </c>
      <c r="AB15" s="29" t="n">
        <f aca="false">INDEX(MW_Act,1,23)*(1-INDEX(MW_OwnSh,1,23))</f>
        <v>680</v>
      </c>
      <c r="AC15" s="29" t="n">
        <f aca="false">INDEX(MW_Act,1,24)*(1-INDEX(MW_OwnSh,1,24))</f>
        <v>544.174135723432</v>
      </c>
      <c r="AD15" s="29" t="n">
        <f aca="false">INDEX(MW_Act,1,25)*(1-INDEX(MW_OwnSh,1,25))</f>
        <v>680</v>
      </c>
      <c r="AE15" s="29" t="n">
        <f aca="false">INDEX(MW_Act,1,26)*(1-INDEX(MW_OwnSh,1,26))</f>
        <v>680</v>
      </c>
      <c r="AF15" s="29" t="n">
        <f aca="false">INDEX(MW_Act,1,27)*(1-INDEX(MW_OwnSh,1,27))</f>
        <v>680</v>
      </c>
      <c r="AG15" s="29" t="n">
        <f aca="false">INDEX(MW_Act,1,28)*(1-INDEX(MW_OwnSh,1,28))</f>
        <v>568.405280057082</v>
      </c>
      <c r="AI15" s="29" t="n">
        <f aca="false">INDEX($F15:$AG15,1,MATCH(AI$7,$F$7:$AG$7,1))</f>
        <v>5</v>
      </c>
      <c r="AJ15" s="29" t="n">
        <f aca="false">INDEX($F15:$AG15,1,MATCH(AJ$7,$F$7:$AG$7,1))</f>
        <v>85.2</v>
      </c>
      <c r="AK15" s="29" t="n">
        <f aca="false">INDEX($F15:$AG15,1,MATCH(AK$7,$F$7:$AG$7,1))</f>
        <v>154.276675786594</v>
      </c>
      <c r="AL15" s="29" t="n">
        <f aca="false">INDEX($F15:$AG15,1,MATCH(AL$7,$F$7:$AG$7,1))</f>
        <v>437.359473684211</v>
      </c>
      <c r="AM15" s="29" t="n">
        <f aca="false">INDEX($F15:$AG15,1,MATCH(AM$7,$F$7:$AG$7,1))</f>
        <v>535.074723846654</v>
      </c>
      <c r="AN15" s="29" t="n">
        <f aca="false">INDEX($F15:$AG15,1,MATCH(AN$7,$F$7:$AG$7,1))</f>
        <v>544.174135723432</v>
      </c>
      <c r="AO15" s="29" t="n">
        <f aca="false">INDEX($F15:$AG15,1,MATCH(AO$7,$F$7:$AG$7,1))</f>
        <v>568.405280057082</v>
      </c>
    </row>
    <row r="17" customFormat="false" ht="15" hidden="false" customHeight="false" outlineLevel="0" collapsed="false">
      <c r="A17" s="53" t="s">
        <v>2482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customFormat="false" ht="15" hidden="false" customHeight="false" outlineLevel="0" collapsed="false">
      <c r="A18" s="3" t="s">
        <v>2483</v>
      </c>
      <c r="B18" s="20" t="s">
        <v>557</v>
      </c>
      <c r="C18" s="20" t="s">
        <v>495</v>
      </c>
      <c r="D18" s="20"/>
      <c r="F18" s="143" t="n">
        <f aca="false">IFERROR(INDEX(AIRev,1,1)*4/F11,0)</f>
        <v>1.648</v>
      </c>
      <c r="G18" s="143" t="n">
        <f aca="false">IFERROR(INDEX(AIRev,1,2)*4/G11,0)</f>
        <v>2.096</v>
      </c>
      <c r="H18" s="143" t="n">
        <f aca="false">IFERROR(INDEX(AIRev,1,3)*4/H11,0)</f>
        <v>4.624</v>
      </c>
      <c r="I18" s="143" t="n">
        <f aca="false">IFERROR(INDEX(AIRev,1,4)*4/I11,0)</f>
        <v>4.22666666666667</v>
      </c>
      <c r="J18" s="143" t="n">
        <f aca="false">IFERROR(INDEX(AIRev,1,5)*4/J11,0)</f>
        <v>4.14</v>
      </c>
      <c r="K18" s="143" t="n">
        <f aca="false">IFERROR(INDEX(AIRev,1,6)*4/K11,0)</f>
        <v>8.32</v>
      </c>
      <c r="L18" s="143" t="n">
        <f aca="false">IFERROR(INDEX(AIRev,1,7)*4/L11,0)</f>
        <v>8.8832</v>
      </c>
      <c r="M18" s="143" t="n">
        <f aca="false">IFERROR(INDEX(AIRev,1,8)*4/M11,0)</f>
        <v>5.80094786729858</v>
      </c>
      <c r="N18" s="143" t="n">
        <f aca="false">IFERROR(INDEX(AIRev,1,9)*4/N11,0)</f>
        <v>9.08921282798834</v>
      </c>
      <c r="O18" s="143" t="n">
        <f aca="false">IFERROR(INDEX(AIRev,1,10)*4/O11,0)</f>
        <v>13.2924855491329</v>
      </c>
      <c r="P18" s="144" t="n">
        <f aca="false">IFERROR(INDEX(AIRev,1,11)*4/P11,0)</f>
        <v>15.3158014402891</v>
      </c>
      <c r="Q18" s="144" t="n">
        <f aca="false">IFERROR(INDEX(AIRev,1,12)*4/Q11,0)</f>
        <v>15.3648413943711</v>
      </c>
      <c r="R18" s="144" t="n">
        <f aca="false">IFERROR(INDEX(AIRev,1,13)*4/R11,0)</f>
        <v>14.5970556568064</v>
      </c>
      <c r="S18" s="144" t="n">
        <f aca="false">IFERROR(INDEX(AIRev,1,14)*4/S11,0)</f>
        <v>14.882480138159</v>
      </c>
      <c r="T18" s="144" t="n">
        <f aca="false">IFERROR(INDEX(AIRev,1,15)*4/T11,0)</f>
        <v>15.8694682313917</v>
      </c>
      <c r="U18" s="144" t="n">
        <f aca="false">IFERROR(INDEX(AIRev,1,16)*4/U11,0)</f>
        <v>16.5138772491836</v>
      </c>
      <c r="V18" s="144" t="n">
        <f aca="false">IFERROR(INDEX(AIRev,1,17)*4/V11,0)</f>
        <v>16.1527459396582</v>
      </c>
      <c r="W18" s="144" t="n">
        <f aca="false">IFERROR(INDEX(AIRev,1,18)*4/W11,0)</f>
        <v>18.0842099345582</v>
      </c>
      <c r="X18" s="144" t="n">
        <f aca="false">IFERROR(INDEX(AIRev,1,19)*4/X11,0)</f>
        <v>17.7185984769857</v>
      </c>
      <c r="Y18" s="144" t="n">
        <f aca="false">IFERROR(INDEX(AIRev,1,20)*4/Y11,0)</f>
        <v>18.8718427991919</v>
      </c>
      <c r="Z18" s="144" t="n">
        <f aca="false">IFERROR(INDEX(AIRev,1,21)*4/Z11,0)</f>
        <v>16.9727981991998</v>
      </c>
      <c r="AA18" s="144" t="n">
        <f aca="false">IFERROR(INDEX(AIRev,1,22)*4/AA11,0)</f>
        <v>19.0712309830001</v>
      </c>
      <c r="AB18" s="144" t="n">
        <f aca="false">IFERROR(INDEX(AIRev,1,23)*4/AB11,0)</f>
        <v>17.3096394566772</v>
      </c>
      <c r="AC18" s="144" t="n">
        <f aca="false">IFERROR(INDEX(AIRev,1,24)*4/AC11,0)</f>
        <v>18.9946497015869</v>
      </c>
      <c r="AD18" s="144" t="n">
        <f aca="false">IFERROR(INDEX(AIRev,1,25)*4/AD11,0)</f>
        <v>17.0143861398881</v>
      </c>
      <c r="AE18" s="144" t="n">
        <f aca="false">IFERROR(INDEX(AIRev,1,26)*4/AE11,0)</f>
        <v>18.8696104839201</v>
      </c>
      <c r="AF18" s="144" t="n">
        <f aca="false">IFERROR(INDEX(AIRev,1,27)*4/AF11,0)</f>
        <v>18.8122956731806</v>
      </c>
      <c r="AG18" s="144" t="n">
        <f aca="false">IFERROR(INDEX(AIRev,1,28)*4/AG11,0)</f>
        <v>19.0117772383403</v>
      </c>
    </row>
    <row r="19" customFormat="false" ht="15" hidden="false" customHeight="false" outlineLevel="0" collapsed="false">
      <c r="A19" s="104" t="s">
        <v>2484</v>
      </c>
      <c r="B19" s="20" t="s">
        <v>557</v>
      </c>
      <c r="C19" s="20" t="s">
        <v>495</v>
      </c>
      <c r="D19" s="20"/>
      <c r="F19" s="145" t="n">
        <f aca="false">IFERROR(INDEX(AIRev,1,1)*4/F12,0)</f>
        <v>0</v>
      </c>
      <c r="G19" s="145" t="n">
        <f aca="false">IFERROR(INDEX(AIRev,1,2)*4/G12,0)</f>
        <v>0</v>
      </c>
      <c r="H19" s="145" t="n">
        <f aca="false">IFERROR(INDEX(AIRev,1,3)*4/H12,0)</f>
        <v>23.12</v>
      </c>
      <c r="I19" s="145" t="n">
        <f aca="false">IFERROR(INDEX(AIRev,1,4)*4/I12,0)</f>
        <v>0.975384615384615</v>
      </c>
      <c r="J19" s="145" t="n">
        <f aca="false">IFERROR(INDEX(AIRev,1,5)*4/J12,0)</f>
        <v>0.385116279069767</v>
      </c>
      <c r="K19" s="145" t="n">
        <f aca="false">IFERROR(INDEX(AIRev,1,6)*4/K12,0)</f>
        <v>0.824669603524229</v>
      </c>
      <c r="L19" s="145" t="n">
        <f aca="false">IFERROR(INDEX(AIRev,1,7)*4/L12,0)</f>
        <v>0.8</v>
      </c>
      <c r="M19" s="145" t="n">
        <f aca="false">IFERROR(INDEX(AIRev,1,8)*4/M12,0)</f>
        <v>0.518016928657799</v>
      </c>
      <c r="N19" s="145" t="n">
        <f aca="false">IFERROR(INDEX(AIRev,1,9)*4/N12,0)</f>
        <v>0.708545454545455</v>
      </c>
      <c r="O19" s="145" t="n">
        <f aca="false">IFERROR(INDEX(AIRev,1,10)*4/O12,0)</f>
        <v>0.709972213646187</v>
      </c>
      <c r="P19" s="146" t="n">
        <f aca="false">IFERROR(INDEX(AIRev,1,11)*4/P12,0)</f>
        <v>0.76015926266141</v>
      </c>
      <c r="Q19" s="146" t="n">
        <f aca="false">IFERROR(INDEX(AIRev,1,12)*4/Q12,0)</f>
        <v>0.780726003351483</v>
      </c>
      <c r="R19" s="146" t="n">
        <f aca="false">IFERROR(INDEX(AIRev,1,13)*4/R12,0)</f>
        <v>1.05153539687719</v>
      </c>
      <c r="S19" s="146" t="n">
        <f aca="false">IFERROR(INDEX(AIRev,1,14)*4/S12,0)</f>
        <v>1.54926618238235</v>
      </c>
      <c r="T19" s="146" t="n">
        <f aca="false">IFERROR(INDEX(AIRev,1,15)*4/T12,0)</f>
        <v>2.16261178323291</v>
      </c>
      <c r="U19" s="146" t="n">
        <f aca="false">IFERROR(INDEX(AIRev,1,16)*4/U12,0)</f>
        <v>2.82593724426654</v>
      </c>
      <c r="V19" s="146" t="n">
        <f aca="false">IFERROR(INDEX(AIRev,1,17)*4/V12,0)</f>
        <v>3.83627716066881</v>
      </c>
      <c r="W19" s="146" t="n">
        <f aca="false">IFERROR(INDEX(AIRev,1,18)*4/W12,0)</f>
        <v>4.71319721419422</v>
      </c>
      <c r="X19" s="146" t="n">
        <f aca="false">IFERROR(INDEX(AIRev,1,19)*4/X12,0)</f>
        <v>5.30893506866684</v>
      </c>
      <c r="Y19" s="146" t="n">
        <f aca="false">IFERROR(INDEX(AIRev,1,20)*4/Y12,0)</f>
        <v>5.71345040745536</v>
      </c>
      <c r="Z19" s="146" t="n">
        <f aca="false">IFERROR(INDEX(AIRev,1,21)*4/Z12,0)</f>
        <v>6.53028410714213</v>
      </c>
      <c r="AA19" s="146" t="n">
        <f aca="false">IFERROR(INDEX(AIRev,1,22)*4/AA12,0)</f>
        <v>7.33765612070929</v>
      </c>
      <c r="AB19" s="146" t="n">
        <f aca="false">IFERROR(INDEX(AIRev,1,23)*4/AB12,0)</f>
        <v>8.11389349531743</v>
      </c>
      <c r="AC19" s="146" t="n">
        <f aca="false">IFERROR(INDEX(AIRev,1,24)*4/AC12,0)</f>
        <v>8.90374204761886</v>
      </c>
      <c r="AD19" s="146" t="n">
        <f aca="false">IFERROR(INDEX(AIRev,1,25)*4/AD12,0)</f>
        <v>9.96617668143948</v>
      </c>
      <c r="AE19" s="146" t="n">
        <f aca="false">IFERROR(INDEX(AIRev,1,26)*4/AE12,0)</f>
        <v>11.0528743409562</v>
      </c>
      <c r="AF19" s="146" t="n">
        <f aca="false">IFERROR(INDEX(AIRev,1,27)*4/AF12,0)</f>
        <v>11.0193021905655</v>
      </c>
      <c r="AG19" s="146" t="n">
        <f aca="false">IFERROR(INDEX(AIRev,1,28)*4/AG12,0)</f>
        <v>11.1361485173578</v>
      </c>
    </row>
    <row r="20" customFormat="false" ht="15" hidden="false" customHeight="false" outlineLevel="0" collapsed="false">
      <c r="A20" s="104" t="s">
        <v>2485</v>
      </c>
      <c r="B20" s="20" t="s">
        <v>557</v>
      </c>
      <c r="C20" s="20" t="s">
        <v>495</v>
      </c>
      <c r="D20" s="20"/>
      <c r="F20" s="145" t="n">
        <f aca="false">IFERROR(INDEX(AIRev,1,1)*4/F13,0)</f>
        <v>1.648</v>
      </c>
      <c r="G20" s="145" t="n">
        <f aca="false">IFERROR(INDEX(AIRev,1,2)*4/G13,0)</f>
        <v>2.096</v>
      </c>
      <c r="H20" s="145" t="n">
        <f aca="false">IFERROR(INDEX(AIRev,1,3)*4/H13,0)</f>
        <v>4.624</v>
      </c>
      <c r="I20" s="145" t="n">
        <f aca="false">IFERROR(INDEX(AIRev,1,4)*4/I13,0)</f>
        <v>4.22666666666667</v>
      </c>
      <c r="J20" s="145" t="n">
        <f aca="false">IFERROR(INDEX(AIRev,1,5)*4/J13,0)</f>
        <v>4.14</v>
      </c>
      <c r="K20" s="145" t="n">
        <f aca="false">IFERROR(INDEX(AIRev,1,6)*4/K13,0)</f>
        <v>8.32</v>
      </c>
      <c r="L20" s="145" t="n">
        <f aca="false">IFERROR(INDEX(AIRev,1,7)*4/L13,0)</f>
        <v>8.8832</v>
      </c>
      <c r="M20" s="145" t="n">
        <f aca="false">IFERROR(INDEX(AIRev,1,8)*4/M13,0)</f>
        <v>5.80094786729858</v>
      </c>
      <c r="N20" s="145" t="n">
        <f aca="false">IFERROR(INDEX(AIRev,1,9)*4/N13,0)</f>
        <v>9.08921282798834</v>
      </c>
      <c r="O20" s="145" t="n">
        <f aca="false">IFERROR(INDEX(AIRev,1,10)*4/O13,0)</f>
        <v>13.2924855491329</v>
      </c>
      <c r="P20" s="146" t="n">
        <f aca="false">IFERROR(INDEX(AIRev,1,11)*4/P13,0)</f>
        <v>12.4556216532472</v>
      </c>
      <c r="Q20" s="146" t="n">
        <f aca="false">IFERROR(INDEX(AIRev,1,12)*4/Q13,0)</f>
        <v>10.680246283878</v>
      </c>
      <c r="R20" s="146" t="n">
        <f aca="false">IFERROR(INDEX(AIRev,1,13)*4/R13,0)</f>
        <v>10.1012045809529</v>
      </c>
      <c r="S20" s="146" t="n">
        <f aca="false">IFERROR(INDEX(AIRev,1,14)*4/S13,0)</f>
        <v>11.3686749762051</v>
      </c>
      <c r="T20" s="146" t="n">
        <f aca="false">IFERROR(INDEX(AIRev,1,15)*4/T13,0)</f>
        <v>12.6376145112223</v>
      </c>
      <c r="U20" s="146" t="n">
        <f aca="false">IFERROR(INDEX(AIRev,1,16)*4/U13,0)</f>
        <v>11.8986831337539</v>
      </c>
      <c r="V20" s="146" t="n">
        <f aca="false">IFERROR(INDEX(AIRev,1,17)*4/V13,0)</f>
        <v>14.719528674029</v>
      </c>
      <c r="W20" s="146" t="n">
        <f aca="false">IFERROR(INDEX(AIRev,1,18)*4/W13,0)</f>
        <v>15.7303202809987</v>
      </c>
      <c r="X20" s="146" t="n">
        <f aca="false">IFERROR(INDEX(AIRev,1,19)*4/X13,0)</f>
        <v>17.5357062548863</v>
      </c>
      <c r="Y20" s="146" t="n">
        <f aca="false">IFERROR(INDEX(AIRev,1,20)*4/Y13,0)</f>
        <v>14.8497736386104</v>
      </c>
      <c r="Z20" s="146" t="n">
        <f aca="false">IFERROR(INDEX(AIRev,1,21)*4/Z13,0)</f>
        <v>16.9727981991998</v>
      </c>
      <c r="AA20" s="146" t="n">
        <f aca="false">IFERROR(INDEX(AIRev,1,22)*4/AA13,0)</f>
        <v>15.6536663908465</v>
      </c>
      <c r="AB20" s="146" t="n">
        <f aca="false">IFERROR(INDEX(AIRev,1,23)*4/AB13,0)</f>
        <v>17.3096394566772</v>
      </c>
      <c r="AC20" s="146" t="n">
        <f aca="false">IFERROR(INDEX(AIRev,1,24)*4/AC13,0)</f>
        <v>15.2005839481329</v>
      </c>
      <c r="AD20" s="146" t="n">
        <f aca="false">IFERROR(INDEX(AIRev,1,25)*4/AD13,0)</f>
        <v>17.0143861398881</v>
      </c>
      <c r="AE20" s="146" t="n">
        <f aca="false">IFERROR(INDEX(AIRev,1,26)*4/AE13,0)</f>
        <v>18.8696104839201</v>
      </c>
      <c r="AF20" s="146" t="n">
        <f aca="false">IFERROR(INDEX(AIRev,1,27)*4/AF13,0)</f>
        <v>18.8122956731806</v>
      </c>
      <c r="AG20" s="146" t="n">
        <f aca="false">IFERROR(INDEX(AIRev,1,28)*4/AG13,0)</f>
        <v>15.8917567140319</v>
      </c>
    </row>
    <row r="21" customFormat="false" ht="15" hidden="false" customHeight="false" outlineLevel="0" collapsed="false">
      <c r="A21" s="104" t="s">
        <v>2486</v>
      </c>
      <c r="B21" s="20" t="s">
        <v>557</v>
      </c>
      <c r="C21" s="20" t="s">
        <v>495</v>
      </c>
      <c r="D21" s="20"/>
      <c r="F21" s="145" t="n">
        <f aca="false">IFERROR(INDEX(MS_Rev,1,1)*4/INDEX(MS_BillMW,1,1),0)</f>
        <v>0</v>
      </c>
      <c r="G21" s="145" t="n">
        <f aca="false">IFERROR(INDEX(MS_Rev,1,2)*4/INDEX(MS_BillMW,1,2),0)</f>
        <v>0</v>
      </c>
      <c r="H21" s="145" t="n">
        <f aca="false">IFERROR(INDEX(MS_Rev,1,3)*4/INDEX(MS_BillMW,1,3),0)</f>
        <v>0</v>
      </c>
      <c r="I21" s="145" t="n">
        <f aca="false">IFERROR(INDEX(MS_Rev,1,4)*4/INDEX(MS_BillMW,1,4),0)</f>
        <v>0</v>
      </c>
      <c r="J21" s="145" t="n">
        <f aca="false">IFERROR(INDEX(MS_Rev,1,5)*4/INDEX(MS_BillMW,1,5),0)</f>
        <v>0</v>
      </c>
      <c r="K21" s="145" t="n">
        <f aca="false">IFERROR(INDEX(MS_Rev,1,6)*4/INDEX(MS_BillMW,1,6),0)</f>
        <v>0</v>
      </c>
      <c r="L21" s="145" t="n">
        <f aca="false">IFERROR(INDEX(MS_Rev,1,7)*4/INDEX(MS_BillMW,1,7),0)</f>
        <v>0</v>
      </c>
      <c r="M21" s="145" t="n">
        <f aca="false">IFERROR(INDEX(MS_Rev,1,8)*4/INDEX(MS_BillMW,1,8),0)</f>
        <v>1.81176041666667</v>
      </c>
      <c r="N21" s="145" t="n">
        <f aca="false">IFERROR(INDEX(MS_Rev,1,9)*4/INDEX(MS_BillMW,1,9),0)</f>
        <v>4.52940104166667</v>
      </c>
      <c r="O21" s="145" t="n">
        <f aca="false">IFERROR(INDEX(MS_Rev,1,10)*4/INDEX(MS_BillMW,1,10),0)</f>
        <v>9.05880208333333</v>
      </c>
      <c r="P21" s="146" t="n">
        <f aca="false">IFERROR(INDEX(MS_Rev,1,11)*4/INDEX(MS_BillMW,1,11),0)</f>
        <v>7.24704166666667</v>
      </c>
      <c r="Q21" s="146" t="n">
        <f aca="false">IFERROR(INDEX(MS_Rev,1,12)*4/INDEX(MS_BillMW,1,12),0)</f>
        <v>10.8705625</v>
      </c>
      <c r="R21" s="146" t="n">
        <f aca="false">IFERROR(INDEX(MS_Rev,1,13)*4/INDEX(MS_BillMW,1,13),0)</f>
        <v>12.6823229166667</v>
      </c>
      <c r="S21" s="146" t="n">
        <f aca="false">IFERROR(INDEX(MS_Rev,1,14)*4/INDEX(MS_BillMW,1,14),0)</f>
        <v>10.2666423611111</v>
      </c>
      <c r="T21" s="146" t="n">
        <f aca="false">IFERROR(INDEX(MS_Rev,1,15)*4/INDEX(MS_BillMW,1,15),0)</f>
        <v>8.65618865740741</v>
      </c>
      <c r="U21" s="146" t="n">
        <f aca="false">IFERROR(INDEX(MS_Rev,1,16)*4/INDEX(MS_BillMW,1,16),0)</f>
        <v>11.2731759259259</v>
      </c>
      <c r="V21" s="146" t="n">
        <f aca="false">IFERROR(INDEX(MS_Rev,1,17)*4/INDEX(MS_BillMW,1,17),0)</f>
        <v>13.2862430555556</v>
      </c>
      <c r="W21" s="146" t="n">
        <f aca="false">IFERROR(INDEX(MS_Rev,1,18)*4/INDEX(MS_BillMW,1,18),0)</f>
        <v>14.4940833333333</v>
      </c>
      <c r="X21" s="146" t="n">
        <f aca="false">IFERROR(INDEX(MS_Rev,1,19)*4/INDEX(MS_BillMW,1,19),0)</f>
        <v>14.4940833333333</v>
      </c>
      <c r="Y21" s="146" t="n">
        <f aca="false">IFERROR(INDEX(MS_Rev,1,20)*4/INDEX(MS_BillMW,1,20),0)</f>
        <v>14.4940833333333</v>
      </c>
      <c r="Z21" s="146" t="n">
        <f aca="false">IFERROR(INDEX(MS_Rev,1,21)*4/INDEX(MS_BillMW,1,21),0)</f>
        <v>14.4940833333333</v>
      </c>
      <c r="AA21" s="146" t="n">
        <f aca="false">IFERROR(INDEX(MS_Rev,1,22)*4/INDEX(MS_BillMW,1,22),0)</f>
        <v>14.4940833333333</v>
      </c>
      <c r="AB21" s="146" t="n">
        <f aca="false">IFERROR(INDEX(MS_Rev,1,23)*4/INDEX(MS_BillMW,1,23),0)</f>
        <v>14.4940833333333</v>
      </c>
      <c r="AC21" s="146" t="n">
        <f aca="false">IFERROR(INDEX(MS_Rev,1,24)*4/INDEX(MS_BillMW,1,24),0)</f>
        <v>14.4940833333333</v>
      </c>
      <c r="AD21" s="146" t="n">
        <f aca="false">IFERROR(INDEX(MS_Rev,1,25)*4/INDEX(MS_BillMW,1,25),0)</f>
        <v>14.4940833333333</v>
      </c>
      <c r="AE21" s="146" t="n">
        <f aca="false">IFERROR(INDEX(MS_Rev,1,26)*4/INDEX(MS_BillMW,1,26),0)</f>
        <v>14.4940833333333</v>
      </c>
      <c r="AF21" s="146" t="n">
        <f aca="false">IFERROR(INDEX(MS_Rev,1,27)*4/INDEX(MS_BillMW,1,27),0)</f>
        <v>14.4940833333333</v>
      </c>
      <c r="AG21" s="146" t="n">
        <f aca="false">IFERROR(INDEX(MS_Rev,1,28)*4/INDEX(MS_BillMW,1,28),0)</f>
        <v>15.3999635416667</v>
      </c>
    </row>
    <row r="23" customFormat="false" ht="15" hidden="false" customHeight="false" outlineLevel="0" collapsed="false">
      <c r="A23" s="53" t="s">
        <v>2487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</row>
    <row r="24" customFormat="false" ht="15" hidden="false" customHeight="false" outlineLevel="0" collapsed="false">
      <c r="A24" s="104" t="s">
        <v>2488</v>
      </c>
      <c r="B24" s="20" t="s">
        <v>2489</v>
      </c>
      <c r="C24" s="20" t="s">
        <v>495</v>
      </c>
      <c r="D24" s="20"/>
      <c r="F24" s="108" t="n">
        <f aca="false">IFERROR(INDEX(AIRev,1,1)*4000/INDEX(GPU_Avg,1,1),0)</f>
        <v>3.00444833369795</v>
      </c>
      <c r="G24" s="108" t="n">
        <f aca="false">IFERROR(INDEX(AIRev,1,2)*4000/INDEX(GPU_Avg,1,2),0)</f>
        <v>3.82119157004303</v>
      </c>
      <c r="H24" s="108" t="n">
        <f aca="false">IFERROR(INDEX(AIRev,1,3)*4000/INDEX(GPU_Avg,1,3),0)</f>
        <v>8.42995697513309</v>
      </c>
      <c r="I24" s="108" t="n">
        <f aca="false">IFERROR(INDEX(AIRev,1,4)*4000/INDEX(GPU_Avg,1,4),0)</f>
        <v>8.40597964798303</v>
      </c>
      <c r="J24" s="108" t="n">
        <f aca="false">IFERROR(INDEX(AIRev,1,5)*4000/INDEX(GPU_Avg,1,5),0)</f>
        <v>7.12932667470295</v>
      </c>
      <c r="K24" s="108" t="n">
        <f aca="false">IFERROR(INDEX(AIRev,1,6)*4000/INDEX(GPU_Avg,1,6),0)</f>
        <v>11.9343990564685</v>
      </c>
      <c r="L24" s="108" t="n">
        <f aca="false">IFERROR(INDEX(AIRev,1,7)*4000/INDEX(GPU_Avg,1,7),0)</f>
        <v>15.3036191736266</v>
      </c>
      <c r="M24" s="108" t="n">
        <f aca="false">IFERROR(INDEX(AIRev,1,8)*4000/INDEX(GPU_Avg,1,8),0)</f>
        <v>14.6605638020276</v>
      </c>
      <c r="N24" s="108" t="n">
        <f aca="false">IFERROR(INDEX(AIRev,1,9)*4000/INDEX(GPU_Avg,1,9),0)</f>
        <v>18.9165574486675</v>
      </c>
      <c r="O24" s="108" t="n">
        <f aca="false">IFERROR(INDEX(AIRev,1,10)*4000/INDEX(GPU_Avg,1,10),0)</f>
        <v>26.1002309704732</v>
      </c>
      <c r="P24" s="29" t="n">
        <f aca="false">IFERROR(INDEX(AIRev,1,11)*4000/INDEX(GPU_Avg,1,11),0)</f>
        <v>29.2121106871861</v>
      </c>
      <c r="Q24" s="29" t="n">
        <f aca="false">IFERROR(INDEX(AIRev,1,12)*4000/INDEX(GPU_Avg,1,12),0)</f>
        <v>32.343935593984</v>
      </c>
      <c r="R24" s="29" t="n">
        <f aca="false">IFERROR(INDEX(AIRev,1,13)*4000/INDEX(GPU_Avg,1,13),0)</f>
        <v>33.6452298534071</v>
      </c>
      <c r="S24" s="29" t="n">
        <f aca="false">IFERROR(INDEX(AIRev,1,14)*4000/INDEX(GPU_Avg,1,14),0)</f>
        <v>35.5124508866811</v>
      </c>
      <c r="T24" s="29" t="n">
        <f aca="false">IFERROR(INDEX(AIRev,1,15)*4000/INDEX(GPU_Avg,1,15),0)</f>
        <v>37.0299140562211</v>
      </c>
      <c r="U24" s="29" t="n">
        <f aca="false">IFERROR(INDEX(AIRev,1,16)*4000/INDEX(GPU_Avg,1,16),0)</f>
        <v>38.9035219312674</v>
      </c>
      <c r="V24" s="29" t="n">
        <f aca="false">IFERROR(INDEX(AIRev,1,17)*4000/INDEX(GPU_Avg,1,17),0)</f>
        <v>41.5806458101266</v>
      </c>
      <c r="W24" s="29" t="n">
        <f aca="false">IFERROR(INDEX(AIRev,1,18)*4000/INDEX(GPU_Avg,1,18),0)</f>
        <v>43.2476816174692</v>
      </c>
      <c r="X24" s="29" t="n">
        <f aca="false">IFERROR(INDEX(AIRev,1,19)*4000/INDEX(GPU_Avg,1,19),0)</f>
        <v>44.490643933618</v>
      </c>
      <c r="Y24" s="29" t="n">
        <f aca="false">IFERROR(INDEX(AIRev,1,20)*4000/INDEX(GPU_Avg,1,20),0)</f>
        <v>45.2246044837563</v>
      </c>
      <c r="Z24" s="29" t="n">
        <f aca="false">IFERROR(INDEX(AIRev,1,21)*4000/INDEX(GPU_Avg,1,21),0)</f>
        <v>46.1223857382943</v>
      </c>
      <c r="AA24" s="29" t="n">
        <f aca="false">IFERROR(INDEX(AIRev,1,22)*4000/INDEX(GPU_Avg,1,22),0)</f>
        <v>46.9348658392401</v>
      </c>
      <c r="AB24" s="29" t="n">
        <f aca="false">IFERROR(INDEX(AIRev,1,23)*4000/INDEX(GPU_Avg,1,23),0)</f>
        <v>47.6294638258304</v>
      </c>
      <c r="AC24" s="29" t="n">
        <f aca="false">IFERROR(INDEX(AIRev,1,24)*4000/INDEX(GPU_Avg,1,24),0)</f>
        <v>48.2922680646674</v>
      </c>
      <c r="AD24" s="29" t="n">
        <f aca="false">IFERROR(INDEX(AIRev,1,25)*4000/INDEX(GPU_Avg,1,25),0)</f>
        <v>48.8786359318035</v>
      </c>
      <c r="AE24" s="29" t="n">
        <f aca="false">IFERROR(INDEX(AIRev,1,26)*4000/INDEX(GPU_Avg,1,26),0)</f>
        <v>49.4711182419548</v>
      </c>
      <c r="AF24" s="29" t="n">
        <f aca="false">IFERROR(INDEX(AIRev,1,27)*4000/INDEX(GPU_Avg,1,27),0)</f>
        <v>49.3208539966209</v>
      </c>
      <c r="AG24" s="29" t="n">
        <f aca="false">IFERROR(INDEX(AIRev,1,28)*4000/INDEX(GPU_Avg,1,28),0)</f>
        <v>49.8438417978538</v>
      </c>
    </row>
    <row r="25" customFormat="false" ht="15" hidden="false" customHeight="false" outlineLevel="0" collapsed="false">
      <c r="A25" s="104" t="s">
        <v>2490</v>
      </c>
      <c r="B25" s="20" t="s">
        <v>553</v>
      </c>
      <c r="C25" s="20" t="s">
        <v>495</v>
      </c>
      <c r="D25" s="20" t="s">
        <v>2491</v>
      </c>
      <c r="F25" s="118" t="n">
        <f aca="false">IFERROR(INDEX(AIRev,1,1)*1000000/(INDEX(GPU_Avg,1,1)*Timeline!F$9),0)</f>
        <v>0.343915789113776</v>
      </c>
      <c r="G25" s="118" t="n">
        <f aca="false">IFERROR(INDEX(AIRev,1,2)*1000000/(INDEX(GPU_Avg,1,2)*Timeline!G$9),0)</f>
        <v>0.437407459940822</v>
      </c>
      <c r="H25" s="118" t="n">
        <f aca="false">IFERROR(INDEX(AIRev,1,3)*1000000/(INDEX(GPU_Avg,1,3)*Timeline!H$9),0)</f>
        <v>0.954478824177206</v>
      </c>
      <c r="I25" s="118" t="n">
        <f aca="false">IFERROR(INDEX(AIRev,1,4)*1000000/(INDEX(GPU_Avg,1,4)*Timeline!I$9),0)</f>
        <v>0.951763999998079</v>
      </c>
      <c r="J25" s="118" t="n">
        <f aca="false">IFERROR(INDEX(AIRev,1,5)*1000000/(INDEX(GPU_Avg,1,5)*Timeline!J$9),0)</f>
        <v>0.825153550312841</v>
      </c>
      <c r="K25" s="118" t="n">
        <f aca="false">IFERROR(INDEX(AIRev,1,6)*1000000/(INDEX(GPU_Avg,1,6)*Timeline!K$9),0)</f>
        <v>1.36611710811223</v>
      </c>
      <c r="L25" s="118" t="n">
        <f aca="false">IFERROR(INDEX(AIRev,1,7)*1000000/(INDEX(GPU_Avg,1,7)*Timeline!L$9),0)</f>
        <v>1.73274673614432</v>
      </c>
      <c r="M25" s="118" t="n">
        <f aca="false">IFERROR(INDEX(AIRev,1,8)*1000000/(INDEX(GPU_Avg,1,8)*Timeline!M$9),0)</f>
        <v>1.6599370246861</v>
      </c>
      <c r="N25" s="118" t="n">
        <f aca="false">IFERROR(INDEX(AIRev,1,9)*1000000/(INDEX(GPU_Avg,1,9)*Timeline!N$9),0)</f>
        <v>2.18941637137356</v>
      </c>
      <c r="O25" s="118" t="n">
        <f aca="false">IFERROR(INDEX(AIRev,1,10)*1000000/(INDEX(GPU_Avg,1,10)*Timeline!O$9),0)</f>
        <v>2.98766380156516</v>
      </c>
      <c r="P25" s="24" t="n">
        <f aca="false">IFERROR(INDEX(AIRev,1,11)*1000000/(INDEX(GPU_Avg,1,11)*Timeline!P$9),0)</f>
        <v>3.30753064845857</v>
      </c>
      <c r="Q25" s="24" t="n">
        <f aca="false">IFERROR(INDEX(AIRev,1,12)*1000000/(INDEX(GPU_Avg,1,12)*Timeline!Q$9),0)</f>
        <v>3.66213038881159</v>
      </c>
      <c r="R25" s="24" t="n">
        <f aca="false">IFERROR(INDEX(AIRev,1,13)*1000000/(INDEX(GPU_Avg,1,13)*Timeline!R$9),0)</f>
        <v>3.89412382562583</v>
      </c>
      <c r="S25" s="24" t="n">
        <f aca="false">IFERROR(INDEX(AIRev,1,14)*1000000/(INDEX(GPU_Avg,1,14)*Timeline!S$9),0)</f>
        <v>4.06506992750471</v>
      </c>
      <c r="T25" s="24" t="n">
        <f aca="false">IFERROR(INDEX(AIRev,1,15)*1000000/(INDEX(GPU_Avg,1,15)*Timeline!T$9),0)</f>
        <v>4.1926986023801</v>
      </c>
      <c r="U25" s="24" t="n">
        <f aca="false">IFERROR(INDEX(AIRev,1,16)*1000000/(INDEX(GPU_Avg,1,16)*Timeline!U$9),0)</f>
        <v>4.4048371751888</v>
      </c>
      <c r="V25" s="24" t="n">
        <f aca="false">IFERROR(INDEX(AIRev,1,17)*1000000/(INDEX(GPU_Avg,1,17)*Timeline!V$9),0)</f>
        <v>4.75968930976723</v>
      </c>
      <c r="W25" s="24" t="n">
        <f aca="false">IFERROR(INDEX(AIRev,1,18)*1000000/(INDEX(GPU_Avg,1,18)*Timeline!W$9),0)</f>
        <v>4.95051300566269</v>
      </c>
      <c r="X25" s="24" t="n">
        <f aca="false">IFERROR(INDEX(AIRev,1,19)*1000000/(INDEX(GPU_Avg,1,19)*Timeline!X$9),0)</f>
        <v>5.03743703958538</v>
      </c>
      <c r="Y25" s="24" t="n">
        <f aca="false">IFERROR(INDEX(AIRev,1,20)*1000000/(INDEX(GPU_Avg,1,20)*Timeline!Y$9),0)</f>
        <v>5.12053945694705</v>
      </c>
      <c r="Z25" s="24" t="n">
        <f aca="false">IFERROR(INDEX(AIRev,1,21)*1000000/(INDEX(GPU_Avg,1,21)*Timeline!Z$9),0)</f>
        <v>5.33823909008035</v>
      </c>
      <c r="AA25" s="24" t="n">
        <f aca="false">IFERROR(INDEX(AIRev,1,22)*1000000/(INDEX(GPU_Avg,1,22)*Timeline!AA$9),0)</f>
        <v>5.37258079661632</v>
      </c>
      <c r="AB25" s="24" t="n">
        <f aca="false">IFERROR(INDEX(AIRev,1,23)*1000000/(INDEX(GPU_Avg,1,23)*Timeline!AB$9),0)</f>
        <v>5.39282878462754</v>
      </c>
      <c r="AC25" s="24" t="n">
        <f aca="false">IFERROR(INDEX(AIRev,1,24)*1000000/(INDEX(GPU_Avg,1,24)*Timeline!AC$9),0)</f>
        <v>5.4678745544234</v>
      </c>
      <c r="AD25" s="24" t="n">
        <f aca="false">IFERROR(INDEX(AIRev,1,25)*1000000/(INDEX(GPU_Avg,1,25)*Timeline!AD$9),0)</f>
        <v>5.65724952914392</v>
      </c>
      <c r="AE25" s="24" t="n">
        <f aca="false">IFERROR(INDEX(AIRev,1,26)*1000000/(INDEX(GPU_Avg,1,26)*Timeline!AE$9),0)</f>
        <v>5.6629027291615</v>
      </c>
      <c r="AF25" s="24" t="n">
        <f aca="false">IFERROR(INDEX(AIRev,1,27)*1000000/(INDEX(GPU_Avg,1,27)*Timeline!AF$9),0)</f>
        <v>5.58433582389276</v>
      </c>
      <c r="AG25" s="24" t="n">
        <f aca="false">IFERROR(INDEX(AIRev,1,28)*1000000/(INDEX(GPU_Avg,1,28)*Timeline!AG$9),0)</f>
        <v>5.64355092819902</v>
      </c>
    </row>
    <row r="26" customFormat="false" ht="15" hidden="false" customHeight="false" outlineLevel="0" collapsed="false">
      <c r="A26" s="104" t="s">
        <v>2492</v>
      </c>
      <c r="B26" s="20" t="s">
        <v>553</v>
      </c>
      <c r="C26" s="20" t="s">
        <v>1523</v>
      </c>
      <c r="D26" s="20"/>
      <c r="F26" s="118" t="n">
        <f aca="false">IFERROR((INDEX(GPU_End_H,1,1)*INDEX(P_OD_H,1,1)+INDEX(GPU_End_B,1,1)*INDEX(P_OD_B,1,1)+INDEX(GPU_End_N,1,1)*INDEX(P_OD_N,1,1))/INDEX(GPU_End,1,1),0)</f>
        <v>3.875</v>
      </c>
      <c r="G26" s="118" t="n">
        <f aca="false">IFERROR((INDEX(GPU_End_H,1,2)*INDEX(P_OD_H,1,2)+INDEX(GPU_End_B,1,2)*INDEX(P_OD_B,1,2)+INDEX(GPU_End_N,1,2)*INDEX(P_OD_N,1,2))/INDEX(GPU_End,1,2),0)</f>
        <v>3.875</v>
      </c>
      <c r="H26" s="118" t="n">
        <f aca="false">IFERROR((INDEX(GPU_End_H,1,3)*INDEX(P_OD_H,1,3)+INDEX(GPU_End_B,1,3)*INDEX(P_OD_B,1,3)+INDEX(GPU_End_N,1,3)*INDEX(P_OD_N,1,3))/INDEX(GPU_End,1,3),0)</f>
        <v>3.875</v>
      </c>
      <c r="I26" s="118" t="n">
        <f aca="false">IFERROR((INDEX(GPU_End_H,1,4)*INDEX(P_OD_H,1,4)+INDEX(GPU_End_B,1,4)*INDEX(P_OD_B,1,4)+INDEX(GPU_End_N,1,4)*INDEX(P_OD_N,1,4))/INDEX(GPU_End,1,4),0)</f>
        <v>3.875</v>
      </c>
      <c r="J26" s="118" t="n">
        <f aca="false">IFERROR((INDEX(GPU_End_H,1,5)*INDEX(P_OD_H,1,5)+INDEX(GPU_End_B,1,5)*INDEX(P_OD_B,1,5)+INDEX(GPU_End_N,1,5)*INDEX(P_OD_N,1,5))/INDEX(GPU_End,1,5),0)</f>
        <v>3.875</v>
      </c>
      <c r="K26" s="118" t="n">
        <f aca="false">IFERROR((INDEX(GPU_End_H,1,6)*INDEX(P_OD_H,1,6)+INDEX(GPU_End_B,1,6)*INDEX(P_OD_B,1,6)+INDEX(GPU_End_N,1,6)*INDEX(P_OD_N,1,6))/INDEX(GPU_End,1,6),0)</f>
        <v>3.875</v>
      </c>
      <c r="L26" s="118" t="n">
        <f aca="false">IFERROR((INDEX(GPU_End_H,1,7)*INDEX(P_OD_H,1,7)+INDEX(GPU_End_B,1,7)*INDEX(P_OD_B,1,7)+INDEX(GPU_End_N,1,7)*INDEX(P_OD_N,1,7))/INDEX(GPU_End,1,7),0)</f>
        <v>4.70333786261459</v>
      </c>
      <c r="M26" s="118" t="n">
        <f aca="false">IFERROR((INDEX(GPU_End_H,1,8)*INDEX(P_OD_H,1,8)+INDEX(GPU_End_B,1,8)*INDEX(P_OD_B,1,8)+INDEX(GPU_End_N,1,8)*INDEX(P_OD_N,1,8))/INDEX(GPU_End,1,8),0)</f>
        <v>6.55722349163098</v>
      </c>
      <c r="N26" s="118" t="n">
        <f aca="false">IFERROR((INDEX(GPU_End_H,1,9)*INDEX(P_OD_H,1,9)+INDEX(GPU_End_B,1,9)*INDEX(P_OD_B,1,9)+INDEX(GPU_End_N,1,9)*INDEX(P_OD_N,1,9))/INDEX(GPU_End,1,9),0)</f>
        <v>6.79812547014976</v>
      </c>
      <c r="O26" s="118" t="n">
        <f aca="false">IFERROR((INDEX(GPU_End_H,1,10)*INDEX(P_OD_H,1,10)+INDEX(GPU_End_B,1,10)*INDEX(P_OD_B,1,10)+INDEX(GPU_End_N,1,10)*INDEX(P_OD_N,1,10))/INDEX(GPU_End,1,10),0)</f>
        <v>6.81262285391354</v>
      </c>
      <c r="P26" s="24" t="n">
        <f aca="false">IFERROR((INDEX(GPU_End_H,1,11)*INDEX(P_OD_H,1,11)+INDEX(GPU_End_B,1,11)*INDEX(P_OD_B,1,11)+INDEX(GPU_End_N,1,11)*INDEX(P_OD_N,1,11))/INDEX(GPU_End,1,11),0)</f>
        <v>6.92364743712913</v>
      </c>
      <c r="Q26" s="24" t="n">
        <f aca="false">IFERROR((INDEX(GPU_End_H,1,12)*INDEX(P_OD_H,1,12)+INDEX(GPU_End_B,1,12)*INDEX(P_OD_B,1,12)+INDEX(GPU_End_N,1,12)*INDEX(P_OD_N,1,12))/INDEX(GPU_End,1,12),0)</f>
        <v>8.6223472011163</v>
      </c>
      <c r="R26" s="24" t="n">
        <f aca="false">IFERROR((INDEX(GPU_End_H,1,13)*INDEX(P_OD_H,1,13)+INDEX(GPU_End_B,1,13)*INDEX(P_OD_B,1,13)+INDEX(GPU_End_N,1,13)*INDEX(P_OD_N,1,13))/INDEX(GPU_End,1,13),0)</f>
        <v>8.60823258558414</v>
      </c>
      <c r="S26" s="24" t="n">
        <f aca="false">IFERROR((INDEX(GPU_End_H,1,14)*INDEX(P_OD_H,1,14)+INDEX(GPU_End_B,1,14)*INDEX(P_OD_B,1,14)+INDEX(GPU_End_N,1,14)*INDEX(P_OD_N,1,14))/INDEX(GPU_End,1,14),0)</f>
        <v>8.50079140175701</v>
      </c>
      <c r="T26" s="24" t="n">
        <f aca="false">IFERROR((INDEX(GPU_End_H,1,15)*INDEX(P_OD_H,1,15)+INDEX(GPU_End_B,1,15)*INDEX(P_OD_B,1,15)+INDEX(GPU_End_N,1,15)*INDEX(P_OD_N,1,15))/INDEX(GPU_End,1,15),0)</f>
        <v>8.30151255371906</v>
      </c>
      <c r="U26" s="24" t="n">
        <f aca="false">IFERROR((INDEX(GPU_End_H,1,16)*INDEX(P_OD_H,1,16)+INDEX(GPU_End_B,1,16)*INDEX(P_OD_B,1,16)+INDEX(GPU_End_N,1,16)*INDEX(P_OD_N,1,16))/INDEX(GPU_End,1,16),0)</f>
        <v>8.37722630254509</v>
      </c>
      <c r="V26" s="24" t="n">
        <f aca="false">IFERROR((INDEX(GPU_End_H,1,17)*INDEX(P_OD_H,1,17)+INDEX(GPU_End_B,1,17)*INDEX(P_OD_B,1,17)+INDEX(GPU_End_N,1,17)*INDEX(P_OD_N,1,17))/INDEX(GPU_End,1,17),0)</f>
        <v>9.08134694437081</v>
      </c>
      <c r="W26" s="24" t="n">
        <f aca="false">IFERROR((INDEX(GPU_End_H,1,18)*INDEX(P_OD_H,1,18)+INDEX(GPU_End_B,1,18)*INDEX(P_OD_B,1,18)+INDEX(GPU_End_N,1,18)*INDEX(P_OD_N,1,18))/INDEX(GPU_End,1,18),0)</f>
        <v>9.25809212277348</v>
      </c>
      <c r="X26" s="24" t="n">
        <f aca="false">IFERROR((INDEX(GPU_End_H,1,19)*INDEX(P_OD_H,1,19)+INDEX(GPU_End_B,1,19)*INDEX(P_OD_B,1,19)+INDEX(GPU_End_N,1,19)*INDEX(P_OD_N,1,19))/INDEX(GPU_End,1,19),0)</f>
        <v>9.56165487060758</v>
      </c>
      <c r="Y26" s="24" t="n">
        <f aca="false">IFERROR((INDEX(GPU_End_H,1,20)*INDEX(P_OD_H,1,20)+INDEX(GPU_End_B,1,20)*INDEX(P_OD_B,1,20)+INDEX(GPU_End_N,1,20)*INDEX(P_OD_N,1,20))/INDEX(GPU_End,1,20),0)</f>
        <v>9.43945647117635</v>
      </c>
      <c r="Z26" s="24" t="n">
        <f aca="false">IFERROR((INDEX(GPU_End_H,1,21)*INDEX(P_OD_H,1,21)+INDEX(GPU_End_B,1,21)*INDEX(P_OD_B,1,21)+INDEX(GPU_End_N,1,21)*INDEX(P_OD_N,1,21))/INDEX(GPU_End,1,21),0)</f>
        <v>9.78611881614612</v>
      </c>
      <c r="AA26" s="24" t="n">
        <f aca="false">IFERROR((INDEX(GPU_End_H,1,22)*INDEX(P_OD_H,1,22)+INDEX(GPU_End_B,1,22)*INDEX(P_OD_B,1,22)+INDEX(GPU_End_N,1,22)*INDEX(P_OD_N,1,22))/INDEX(GPU_End,1,22),0)</f>
        <v>9.63150466525505</v>
      </c>
      <c r="AB26" s="24" t="n">
        <f aca="false">IFERROR((INDEX(GPU_End_H,1,23)*INDEX(P_OD_H,1,23)+INDEX(GPU_End_B,1,23)*INDEX(P_OD_B,1,23)+INDEX(GPU_End_N,1,23)*INDEX(P_OD_N,1,23))/INDEX(GPU_End,1,23),0)</f>
        <v>9.96538316042783</v>
      </c>
      <c r="AC26" s="24" t="n">
        <f aca="false">IFERROR((INDEX(GPU_End_H,1,24)*INDEX(P_OD_H,1,24)+INDEX(GPU_End_B,1,24)*INDEX(P_OD_B,1,24)+INDEX(GPU_End_N,1,24)*INDEX(P_OD_N,1,24))/INDEX(GPU_End,1,24),0)</f>
        <v>9.8089773405623</v>
      </c>
      <c r="AD26" s="24" t="n">
        <f aca="false">IFERROR((INDEX(GPU_End_H,1,25)*INDEX(P_OD_H,1,25)+INDEX(GPU_End_B,1,25)*INDEX(P_OD_B,1,25)+INDEX(GPU_End_N,1,25)*INDEX(P_OD_N,1,25))/INDEX(GPU_End,1,25),0)</f>
        <v>10.1154710970267</v>
      </c>
      <c r="AE26" s="24" t="n">
        <f aca="false">IFERROR((INDEX(GPU_End_H,1,26)*INDEX(P_OD_H,1,26)+INDEX(GPU_End_B,1,26)*INDEX(P_OD_B,1,26)+INDEX(GPU_End_N,1,26)*INDEX(P_OD_N,1,26))/INDEX(GPU_End,1,26),0)</f>
        <v>9.95758398903218</v>
      </c>
      <c r="AF26" s="24" t="n">
        <f aca="false">IFERROR((INDEX(GPU_End_H,1,27)*INDEX(P_OD_H,1,27)+INDEX(GPU_End_B,1,27)*INDEX(P_OD_B,1,27)+INDEX(GPU_End_N,1,27)*INDEX(P_OD_N,1,27))/INDEX(GPU_End,1,27),0)</f>
        <v>9.80222459397205</v>
      </c>
      <c r="AG26" s="24" t="n">
        <f aca="false">IFERROR((INDEX(GPU_End_H,1,28)*INDEX(P_OD_H,1,28)+INDEX(GPU_End_B,1,28)*INDEX(P_OD_B,1,28)+INDEX(GPU_End_N,1,28)*INDEX(P_OD_N,1,28))/INDEX(GPU_End,1,28),0)</f>
        <v>9.6493499641779</v>
      </c>
    </row>
    <row r="27" customFormat="false" ht="15" hidden="false" customHeight="false" outlineLevel="0" collapsed="false">
      <c r="A27" s="104" t="s">
        <v>2493</v>
      </c>
      <c r="B27" s="20" t="s">
        <v>549</v>
      </c>
      <c r="C27" s="20" t="s">
        <v>495</v>
      </c>
      <c r="D27" s="20" t="s">
        <v>2494</v>
      </c>
      <c r="F27" s="116" t="n">
        <f aca="false">IFERROR(F25/F26,0)</f>
        <v>0.088752461706781</v>
      </c>
      <c r="G27" s="116" t="n">
        <f aca="false">IFERROR(G25/G26,0)</f>
        <v>0.112879344500857</v>
      </c>
      <c r="H27" s="116" t="n">
        <f aca="false">IFERROR(H25/H26,0)</f>
        <v>0.246317115916698</v>
      </c>
      <c r="I27" s="116" t="n">
        <f aca="false">IFERROR(I25/I26,0)</f>
        <v>0.245616516128536</v>
      </c>
      <c r="J27" s="116" t="n">
        <f aca="false">IFERROR(J25/J26,0)</f>
        <v>0.212942851693636</v>
      </c>
      <c r="K27" s="116" t="n">
        <f aca="false">IFERROR(K25/K26,0)</f>
        <v>0.352546350480576</v>
      </c>
      <c r="L27" s="116" t="n">
        <f aca="false">IFERROR(L25/L26,0)</f>
        <v>0.368407881117237</v>
      </c>
      <c r="M27" s="116" t="n">
        <f aca="false">IFERROR(M25/M26,0)</f>
        <v>0.253146324325332</v>
      </c>
      <c r="N27" s="116" t="n">
        <f aca="false">IFERROR(N25/N26,0)</f>
        <v>0.322061777321878</v>
      </c>
      <c r="O27" s="116" t="n">
        <f aca="false">IFERROR(O25/O26,0)</f>
        <v>0.438548245753673</v>
      </c>
      <c r="P27" s="25" t="n">
        <f aca="false">IFERROR(P25/P26,0)</f>
        <v>0.477715059655035</v>
      </c>
      <c r="Q27" s="25" t="n">
        <f aca="false">IFERROR(Q25/Q26,0)</f>
        <v>0.424725460874211</v>
      </c>
      <c r="R27" s="25" t="n">
        <f aca="false">IFERROR(R25/R26,0)</f>
        <v>0.452372050465639</v>
      </c>
      <c r="S27" s="25" t="n">
        <f aca="false">IFERROR(S25/S26,0)</f>
        <v>0.478198997644444</v>
      </c>
      <c r="T27" s="25" t="n">
        <f aca="false">IFERROR(T25/T26,0)</f>
        <v>0.505052371510512</v>
      </c>
      <c r="U27" s="25" t="n">
        <f aca="false">IFERROR(U25/U26,0)</f>
        <v>0.525810932653277</v>
      </c>
      <c r="V27" s="25" t="n">
        <f aca="false">IFERROR(V25/V26,0)</f>
        <v>0.524117109380739</v>
      </c>
      <c r="W27" s="25" t="n">
        <f aca="false">IFERROR(W25/W26,0)</f>
        <v>0.534722806817313</v>
      </c>
      <c r="X27" s="25" t="n">
        <f aca="false">IFERROR(X25/X26,0)</f>
        <v>0.526837363171348</v>
      </c>
      <c r="Y27" s="25" t="n">
        <f aca="false">IFERROR(Y25/Y26,0)</f>
        <v>0.54246126062266</v>
      </c>
      <c r="Z27" s="25" t="n">
        <f aca="false">IFERROR(Z25/Z26,0)</f>
        <v>0.545490933675646</v>
      </c>
      <c r="AA27" s="25" t="n">
        <f aca="false">IFERROR(AA25/AA26,0)</f>
        <v>0.557813237219052</v>
      </c>
      <c r="AB27" s="25" t="n">
        <f aca="false">IFERROR(AB25/AB26,0)</f>
        <v>0.541156190164595</v>
      </c>
      <c r="AC27" s="25" t="n">
        <f aca="false">IFERROR(AC25/AC26,0)</f>
        <v>0.557435741217641</v>
      </c>
      <c r="AD27" s="25" t="n">
        <f aca="false">IFERROR(AD25/AD26,0)</f>
        <v>0.559267035106924</v>
      </c>
      <c r="AE27" s="25" t="n">
        <f aca="false">IFERROR(AE25/AE26,0)</f>
        <v>0.568702481987491</v>
      </c>
      <c r="AF27" s="25" t="n">
        <f aca="false">IFERROR(AF25/AF26,0)</f>
        <v>0.569700864365716</v>
      </c>
      <c r="AG27" s="25" t="n">
        <f aca="false">IFERROR(AG25/AG26,0)</f>
        <v>0.584863327493568</v>
      </c>
    </row>
    <row r="28" customFormat="false" ht="15" hidden="false" customHeight="false" outlineLevel="0" collapsed="false">
      <c r="A28" s="104" t="s">
        <v>2495</v>
      </c>
      <c r="B28" s="20" t="s">
        <v>519</v>
      </c>
      <c r="C28" s="20" t="s">
        <v>495</v>
      </c>
      <c r="D28" s="20"/>
      <c r="F28" s="145" t="n">
        <f aca="false">IFERROR(INDEX(Capex,1,1)/INDEX(MW_New,1,1),0)</f>
        <v>0</v>
      </c>
      <c r="G28" s="145" t="n">
        <f aca="false">IFERROR(INDEX(Capex,1,2)/INDEX(MW_New,1,2),0)</f>
        <v>0</v>
      </c>
      <c r="H28" s="145" t="n">
        <f aca="false">IFERROR(INDEX(Capex,1,3)/INDEX(MW_New,1,3),0)</f>
        <v>0</v>
      </c>
      <c r="I28" s="145" t="n">
        <f aca="false">IFERROR(INDEX(Capex,1,4)/INDEX(MW_New,1,4),0)</f>
        <v>83.52</v>
      </c>
      <c r="J28" s="145" t="n">
        <f aca="false">IFERROR(INDEX(Capex,1,5)/INDEX(MW_New,1,5),0)</f>
        <v>54.4</v>
      </c>
      <c r="K28" s="145" t="n">
        <f aca="false">IFERROR(INDEX(Capex,1,6)/INDEX(MW_New,1,6),0)</f>
        <v>102.12</v>
      </c>
      <c r="L28" s="145" t="n">
        <f aca="false">IFERROR(INDEX(Capex,1,7)/INDEX(MW_New,1,7),0)</f>
        <v>54.6</v>
      </c>
      <c r="M28" s="145" t="n">
        <f aca="false">IFERROR(INDEX(Capex,1,8)/INDEX(MW_New,1,8),0)</f>
        <v>24.131455399061</v>
      </c>
      <c r="N28" s="145" t="n">
        <f aca="false">IFERROR(INDEX(Capex,1,9)/INDEX(MW_New,1,9),0)</f>
        <v>103.903361344538</v>
      </c>
      <c r="O28" s="145" t="n">
        <f aca="false">IFERROR(INDEX(Capex,1,10)/INDEX(MW_New,1,10),0)</f>
        <v>3771.6</v>
      </c>
      <c r="P28" s="146" t="n">
        <f aca="false">IFERROR(INDEX(Capex,1,11)/INDEX(MW_New,1,11),0)</f>
        <v>0</v>
      </c>
      <c r="Q28" s="146" t="n">
        <f aca="false">IFERROR(INDEX(Capex,1,12)/INDEX(MW_New,1,12),0)</f>
        <v>151.312130413537</v>
      </c>
      <c r="R28" s="146" t="n">
        <f aca="false">IFERROR(INDEX(Capex,1,13)/INDEX(MW_New,1,13),0)</f>
        <v>73.2672292900064</v>
      </c>
      <c r="S28" s="146" t="n">
        <f aca="false">IFERROR(INDEX(Capex,1,14)/INDEX(MW_New,1,14),0)</f>
        <v>62.3164961581236</v>
      </c>
      <c r="T28" s="146" t="n">
        <f aca="false">IFERROR(INDEX(Capex,1,15)/INDEX(MW_New,1,15),0)</f>
        <v>95.7180702379451</v>
      </c>
      <c r="U28" s="146" t="n">
        <f aca="false">IFERROR(INDEX(Capex,1,16)/INDEX(MW_New,1,16),0)</f>
        <v>42.354271283525</v>
      </c>
      <c r="V28" s="146" t="n">
        <f aca="false">IFERROR(INDEX(Capex,1,17)/INDEX(MW_New,1,17),0)</f>
        <v>26.5834107295374</v>
      </c>
      <c r="W28" s="146" t="n">
        <f aca="false">IFERROR(INDEX(Capex,1,18)/INDEX(MW_New,1,18),0)</f>
        <v>40.6155389175381</v>
      </c>
      <c r="X28" s="146" t="n">
        <f aca="false">IFERROR(INDEX(Capex,1,19)/INDEX(MW_New,1,19),0)</f>
        <v>93.6176639427788</v>
      </c>
      <c r="Y28" s="146" t="n">
        <f aca="false">IFERROR(INDEX(Capex,1,20)/INDEX(MW_New,1,20),0)</f>
        <v>322.947953545861</v>
      </c>
      <c r="Z28" s="146" t="n">
        <f aca="false">IFERROR(INDEX(Capex,1,21)/INDEX(MW_New,1,21),0)</f>
        <v>46.5572856754283</v>
      </c>
      <c r="AA28" s="146" t="n">
        <f aca="false">IFERROR(INDEX(Capex,1,22)/INDEX(MW_New,1,22),0)</f>
        <v>0</v>
      </c>
      <c r="AB28" s="146" t="n">
        <f aca="false">IFERROR(INDEX(Capex,1,23)/INDEX(MW_New,1,23),0)</f>
        <v>63.1231825109752</v>
      </c>
      <c r="AC28" s="146" t="n">
        <f aca="false">IFERROR(INDEX(Capex,1,24)/INDEX(MW_New,1,24),0)</f>
        <v>0</v>
      </c>
      <c r="AD28" s="146" t="n">
        <f aca="false">IFERROR(INDEX(Capex,1,25)/INDEX(MW_New,1,25),0)</f>
        <v>1.35624513278389</v>
      </c>
      <c r="AE28" s="146" t="n">
        <f aca="false">IFERROR(INDEX(Capex,1,26)/INDEX(MW_New,1,26),0)</f>
        <v>0</v>
      </c>
      <c r="AF28" s="146" t="n">
        <f aca="false">IFERROR(INDEX(Capex,1,27)/INDEX(MW_New,1,27),0)</f>
        <v>0</v>
      </c>
      <c r="AG28" s="146" t="n">
        <f aca="false">IFERROR(INDEX(Capex,1,28)/INDEX(MW_New,1,28),0)</f>
        <v>0</v>
      </c>
    </row>
    <row r="29" customFormat="false" ht="15" hidden="false" customHeight="false" outlineLevel="0" collapsed="false">
      <c r="A29" s="3" t="s">
        <v>2496</v>
      </c>
      <c r="B29" s="20" t="s">
        <v>557</v>
      </c>
      <c r="C29" s="20" t="s">
        <v>495</v>
      </c>
      <c r="D29" s="20"/>
      <c r="F29" s="143" t="n">
        <f aca="false">IFERROR(INDEX(PL_EBITDA,1,1)*4/F11,0)</f>
        <v>-11.344</v>
      </c>
      <c r="G29" s="143" t="n">
        <f aca="false">IFERROR(INDEX(PL_EBITDA,1,2)*4/G11,0)</f>
        <v>-9.296</v>
      </c>
      <c r="H29" s="143" t="n">
        <f aca="false">IFERROR(INDEX(PL_EBITDA,1,3)*4/H11,0)</f>
        <v>-7.344</v>
      </c>
      <c r="I29" s="143" t="n">
        <f aca="false">IFERROR(INDEX(PL_EBITDA,1,4)*4/I11,0)</f>
        <v>-8.52</v>
      </c>
      <c r="J29" s="143" t="n">
        <f aca="false">IFERROR(INDEX(PL_EBITDA,1,5)*4/J11,0)</f>
        <v>-5.37</v>
      </c>
      <c r="K29" s="143" t="n">
        <f aca="false">IFERROR(INDEX(PL_EBITDA,1,6)*4/K11,0)</f>
        <v>-1.86666666666667</v>
      </c>
      <c r="L29" s="143" t="n">
        <f aca="false">IFERROR(INDEX(PL_EBITDA,1,7)*4/L11,0)</f>
        <v>-0.3328</v>
      </c>
      <c r="M29" s="143" t="n">
        <f aca="false">IFERROR(INDEX(PL_EBITDA,1,8)*4/M11,0)</f>
        <v>0.4062288422478</v>
      </c>
      <c r="N29" s="143" t="n">
        <f aca="false">IFERROR(INDEX(PL_EBITDA,1,9)*4/N11,0)</f>
        <v>3.02040816326531</v>
      </c>
      <c r="O29" s="143" t="n">
        <f aca="false">IFERROR(INDEX(PL_EBITDA,1,10)*4/O11,0)</f>
        <v>5.46127167630058</v>
      </c>
      <c r="P29" s="144" t="n">
        <f aca="false">IFERROR(INDEX(PL_EBITDA,1,11)*4/P11,0)</f>
        <v>6.48892861779994</v>
      </c>
      <c r="Q29" s="144" t="n">
        <f aca="false">IFERROR(INDEX(PL_EBITDA,1,12)*4/Q11,0)</f>
        <v>6.47612780177613</v>
      </c>
      <c r="R29" s="144" t="n">
        <f aca="false">IFERROR(INDEX(PL_EBITDA,1,13)*4/R11,0)</f>
        <v>7.59839011486724</v>
      </c>
      <c r="S29" s="144" t="n">
        <f aca="false">IFERROR(INDEX(PL_EBITDA,1,14)*4/S11,0)</f>
        <v>7.81599028171981</v>
      </c>
      <c r="T29" s="144" t="n">
        <f aca="false">IFERROR(INDEX(PL_EBITDA,1,15)*4/T11,0)</f>
        <v>8.51124206816895</v>
      </c>
      <c r="U29" s="144" t="n">
        <f aca="false">IFERROR(INDEX(PL_EBITDA,1,16)*4/U11,0)</f>
        <v>9.10497837294102</v>
      </c>
      <c r="V29" s="144" t="n">
        <f aca="false">IFERROR(INDEX(PL_EBITDA,1,17)*4/V11,0)</f>
        <v>9.87435631081829</v>
      </c>
      <c r="W29" s="144" t="n">
        <f aca="false">IFERROR(INDEX(PL_EBITDA,1,18)*4/W11,0)</f>
        <v>11.2639453728585</v>
      </c>
      <c r="X29" s="144" t="n">
        <f aca="false">IFERROR(INDEX(PL_EBITDA,1,19)*4/X11,0)</f>
        <v>11.0382233096752</v>
      </c>
      <c r="Y29" s="144" t="n">
        <f aca="false">IFERROR(INDEX(PL_EBITDA,1,20)*4/Y11,0)</f>
        <v>11.9375952782583</v>
      </c>
      <c r="Z29" s="144" t="n">
        <f aca="false">IFERROR(INDEX(PL_EBITDA,1,21)*4/Z11,0)</f>
        <v>11.2707095740284</v>
      </c>
      <c r="AA29" s="144" t="n">
        <f aca="false">IFERROR(INDEX(PL_EBITDA,1,22)*4/AA11,0)</f>
        <v>12.8399922726221</v>
      </c>
      <c r="AB29" s="144" t="n">
        <f aca="false">IFERROR(INDEX(PL_EBITDA,1,23)*4/AB11,0)</f>
        <v>11.6490407160798</v>
      </c>
      <c r="AC29" s="144" t="n">
        <f aca="false">IFERROR(INDEX(PL_EBITDA,1,24)*4/AC11,0)</f>
        <v>12.9363580837021</v>
      </c>
      <c r="AD29" s="144" t="n">
        <f aca="false">IFERROR(INDEX(PL_EBITDA,1,25)*4/AD11,0)</f>
        <v>11.9368392700293</v>
      </c>
      <c r="AE29" s="144" t="n">
        <f aca="false">IFERROR(INDEX(PL_EBITDA,1,26)*4/AE11,0)</f>
        <v>13.2339804416404</v>
      </c>
      <c r="AF29" s="144" t="n">
        <f aca="false">IFERROR(INDEX(PL_EBITDA,1,27)*4/AF11,0)</f>
        <v>13.181373916218</v>
      </c>
      <c r="AG29" s="144" t="n">
        <f aca="false">IFERROR(INDEX(PL_EBITDA,1,28)*4/AG11,0)</f>
        <v>13.4495857468289</v>
      </c>
    </row>
    <row r="30" customFormat="false" ht="15" hidden="false" customHeight="false" outlineLevel="0" collapsed="false">
      <c r="A30" s="104" t="s">
        <v>2497</v>
      </c>
      <c r="B30" s="20" t="s">
        <v>557</v>
      </c>
      <c r="C30" s="20" t="s">
        <v>495</v>
      </c>
      <c r="D30" s="20"/>
      <c r="F30" s="145" t="n">
        <f aca="false">IFERROR(INDEX(PL_EBITDA,1,1)*4/F13,0)</f>
        <v>-11.344</v>
      </c>
      <c r="G30" s="145" t="n">
        <f aca="false">IFERROR(INDEX(PL_EBITDA,1,2)*4/G13,0)</f>
        <v>-9.296</v>
      </c>
      <c r="H30" s="145" t="n">
        <f aca="false">IFERROR(INDEX(PL_EBITDA,1,3)*4/H13,0)</f>
        <v>-7.344</v>
      </c>
      <c r="I30" s="145" t="n">
        <f aca="false">IFERROR(INDEX(PL_EBITDA,1,4)*4/I13,0)</f>
        <v>-8.52</v>
      </c>
      <c r="J30" s="145" t="n">
        <f aca="false">IFERROR(INDEX(PL_EBITDA,1,5)*4/J13,0)</f>
        <v>-5.37</v>
      </c>
      <c r="K30" s="145" t="n">
        <f aca="false">IFERROR(INDEX(PL_EBITDA,1,6)*4/K13,0)</f>
        <v>-1.86666666666667</v>
      </c>
      <c r="L30" s="145" t="n">
        <f aca="false">IFERROR(INDEX(PL_EBITDA,1,7)*4/L13,0)</f>
        <v>-0.3328</v>
      </c>
      <c r="M30" s="145" t="n">
        <f aca="false">IFERROR(INDEX(PL_EBITDA,1,8)*4/M13,0)</f>
        <v>0.4062288422478</v>
      </c>
      <c r="N30" s="145" t="n">
        <f aca="false">IFERROR(INDEX(PL_EBITDA,1,9)*4/N13,0)</f>
        <v>3.02040816326531</v>
      </c>
      <c r="O30" s="145" t="n">
        <f aca="false">IFERROR(INDEX(PL_EBITDA,1,10)*4/O13,0)</f>
        <v>5.46127167630058</v>
      </c>
      <c r="P30" s="146" t="n">
        <f aca="false">IFERROR(INDEX(PL_EBITDA,1,11)*4/P13,0)</f>
        <v>5.27714074339152</v>
      </c>
      <c r="Q30" s="146" t="n">
        <f aca="false">IFERROR(INDEX(PL_EBITDA,1,12)*4/Q13,0)</f>
        <v>4.5016175639911</v>
      </c>
      <c r="R30" s="146" t="n">
        <f aca="false">IFERROR(INDEX(PL_EBITDA,1,13)*4/R13,0)</f>
        <v>5.25810785686598</v>
      </c>
      <c r="S30" s="146" t="n">
        <f aca="false">IFERROR(INDEX(PL_EBITDA,1,14)*4/S13,0)</f>
        <v>5.97060787618443</v>
      </c>
      <c r="T30" s="146" t="n">
        <f aca="false">IFERROR(INDEX(PL_EBITDA,1,15)*4/T13,0)</f>
        <v>6.77790803704732</v>
      </c>
      <c r="U30" s="146" t="n">
        <f aca="false">IFERROR(INDEX(PL_EBITDA,1,16)*4/U13,0)</f>
        <v>6.56037652239803</v>
      </c>
      <c r="V30" s="146" t="n">
        <f aca="false">IFERROR(INDEX(PL_EBITDA,1,17)*4/V13,0)</f>
        <v>8.99821438395911</v>
      </c>
      <c r="W30" s="146" t="n">
        <f aca="false">IFERROR(INDEX(PL_EBITDA,1,18)*4/W13,0)</f>
        <v>9.79779979241134</v>
      </c>
      <c r="X30" s="146" t="n">
        <f aca="false">IFERROR(INDEX(PL_EBITDA,1,19)*4/X13,0)</f>
        <v>10.9242862400047</v>
      </c>
      <c r="Y30" s="146" t="n">
        <f aca="false">IFERROR(INDEX(PL_EBITDA,1,20)*4/Y13,0)</f>
        <v>9.3933904366282</v>
      </c>
      <c r="Z30" s="146" t="n">
        <f aca="false">IFERROR(INDEX(PL_EBITDA,1,21)*4/Z13,0)</f>
        <v>11.2707095740284</v>
      </c>
      <c r="AA30" s="146" t="n">
        <f aca="false">IFERROR(INDEX(PL_EBITDA,1,22)*4/AA13,0)</f>
        <v>10.5390656573682</v>
      </c>
      <c r="AB30" s="146" t="n">
        <f aca="false">IFERROR(INDEX(PL_EBITDA,1,23)*4/AB13,0)</f>
        <v>11.6490407160798</v>
      </c>
      <c r="AC30" s="146" t="n">
        <f aca="false">IFERROR(INDEX(PL_EBITDA,1,24)*4/AC13,0)</f>
        <v>10.3523992347168</v>
      </c>
      <c r="AD30" s="146" t="n">
        <f aca="false">IFERROR(INDEX(PL_EBITDA,1,25)*4/AD13,0)</f>
        <v>11.9368392700293</v>
      </c>
      <c r="AE30" s="146" t="n">
        <f aca="false">IFERROR(INDEX(PL_EBITDA,1,26)*4/AE13,0)</f>
        <v>13.2339804416404</v>
      </c>
      <c r="AF30" s="146" t="n">
        <f aca="false">IFERROR(INDEX(PL_EBITDA,1,27)*4/AF13,0)</f>
        <v>13.181373916218</v>
      </c>
      <c r="AG30" s="146" t="n">
        <f aca="false">IFERROR(INDEX(PL_EBITDA,1,28)*4/AG13,0)</f>
        <v>11.2423758133501</v>
      </c>
    </row>
    <row r="32" customFormat="false" ht="15" hidden="false" customHeight="false" outlineLevel="0" collapsed="false">
      <c r="A32" s="53" t="s">
        <v>2498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</row>
    <row r="33" customFormat="false" ht="15" hidden="false" customHeight="false" outlineLevel="0" collapsed="false">
      <c r="A33" s="104" t="s">
        <v>2499</v>
      </c>
      <c r="B33" s="20" t="s">
        <v>557</v>
      </c>
      <c r="C33" s="20" t="s">
        <v>495</v>
      </c>
      <c r="D33" s="20"/>
      <c r="F33" s="145" t="n">
        <f aca="false">IFERROR((INDEX(PL_EBITDA,1,1)+INDEX(PL_Rent,1,1))*4/INDEX(MW_Act,1,1),0)</f>
        <v>-11.344</v>
      </c>
      <c r="G33" s="145" t="n">
        <f aca="false">IFERROR((INDEX(PL_EBITDA,1,2)+INDEX(PL_Rent,1,2))*4/INDEX(MW_Act,1,2),0)</f>
        <v>-9.296</v>
      </c>
      <c r="H33" s="145" t="n">
        <f aca="false">IFERROR((INDEX(PL_EBITDA,1,3)+INDEX(PL_Rent,1,3))*4/INDEX(MW_Act,1,3),0)</f>
        <v>-7.344</v>
      </c>
      <c r="I33" s="145" t="n">
        <f aca="false">IFERROR((INDEX(PL_EBITDA,1,4)+INDEX(PL_Rent,1,4))*4/INDEX(MW_Act,1,4),0)</f>
        <v>-8.0903125</v>
      </c>
      <c r="J33" s="145" t="n">
        <f aca="false">IFERROR((INDEX(PL_EBITDA,1,5)+INDEX(PL_Rent,1,5))*4/INDEX(MW_Act,1,5),0)</f>
        <v>-4.4471484375</v>
      </c>
      <c r="K33" s="145" t="n">
        <f aca="false">IFERROR((INDEX(PL_EBITDA,1,6)+INDEX(PL_Rent,1,6))*4/INDEX(MW_Act,1,6),0)</f>
        <v>-0.686111111111111</v>
      </c>
      <c r="L33" s="145" t="n">
        <f aca="false">IFERROR((INDEX(PL_EBITDA,1,7)+INDEX(PL_Rent,1,7))*4/INDEX(MW_Act,1,7),0)</f>
        <v>0.6347</v>
      </c>
      <c r="M33" s="145" t="n">
        <f aca="false">IFERROR((INDEX(PL_EBITDA,1,8)+INDEX(PL_Rent,1,8))*4/INDEX(MW_Act,1,8),0)</f>
        <v>1.56067544827504</v>
      </c>
      <c r="N33" s="145" t="n">
        <f aca="false">IFERROR((INDEX(PL_EBITDA,1,9)+INDEX(PL_Rent,1,9))*4/INDEX(MW_Act,1,9),0)</f>
        <v>4.49314273814482</v>
      </c>
      <c r="O33" s="145" t="n">
        <f aca="false">IFERROR((INDEX(PL_EBITDA,1,10)+INDEX(PL_Rent,1,10))*4/INDEX(MW_Act,1,10),0)</f>
        <v>7.04757279728691</v>
      </c>
      <c r="P33" s="146" t="n">
        <f aca="false">IFERROR((INDEX(PL_EBITDA,1,11)+INDEX(PL_Rent,1,11))*4/INDEX(MW_Act,1,11),0)</f>
        <v>8.12545225663768</v>
      </c>
      <c r="Q33" s="146" t="n">
        <f aca="false">IFERROR((INDEX(PL_EBITDA,1,12)+INDEX(PL_Rent,1,12))*4/INDEX(MW_Act,1,12),0)</f>
        <v>8.26074534756639</v>
      </c>
      <c r="R33" s="146" t="n">
        <f aca="false">IFERROR((INDEX(PL_EBITDA,1,13)+INDEX(PL_Rent,1,13))*4/INDEX(MW_Act,1,13),0)</f>
        <v>9.40136742025009</v>
      </c>
      <c r="S33" s="146" t="n">
        <f aca="false">IFERROR((INDEX(PL_EBITDA,1,14)+INDEX(PL_Rent,1,14))*4/INDEX(MW_Act,1,14),0)</f>
        <v>9.73106369975854</v>
      </c>
      <c r="T33" s="146" t="n">
        <f aca="false">IFERROR((INDEX(PL_EBITDA,1,15)+INDEX(PL_Rent,1,15))*4/INDEX(MW_Act,1,15),0)</f>
        <v>10.3285692688059</v>
      </c>
      <c r="U33" s="146" t="n">
        <f aca="false">IFERROR((INDEX(PL_EBITDA,1,16)+INDEX(PL_Rent,1,16))*4/INDEX(MW_Act,1,16),0)</f>
        <v>10.7190322347687</v>
      </c>
      <c r="V33" s="146" t="n">
        <f aca="false">IFERROR((INDEX(PL_EBITDA,1,17)+INDEX(PL_Rent,1,17))*4/INDEX(MW_Act,1,17),0)</f>
        <v>11.3121252667062</v>
      </c>
      <c r="W33" s="146" t="n">
        <f aca="false">IFERROR((INDEX(PL_EBITDA,1,18)+INDEX(PL_Rent,1,18))*4/INDEX(MW_Act,1,18),0)</f>
        <v>12.6532199044222</v>
      </c>
      <c r="X33" s="146" t="n">
        <f aca="false">IFERROR((INDEX(PL_EBITDA,1,19)+INDEX(PL_Rent,1,19))*4/INDEX(MW_Act,1,19),0)</f>
        <v>12.4104924239376</v>
      </c>
      <c r="Y33" s="146" t="n">
        <f aca="false">IFERROR((INDEX(PL_EBITDA,1,20)+INDEX(PL_Rent,1,20))*4/INDEX(MW_Act,1,20),0)</f>
        <v>13.1738717835871</v>
      </c>
      <c r="Z33" s="146" t="n">
        <f aca="false">IFERROR((INDEX(PL_EBITDA,1,21)+INDEX(PL_Rent,1,21))*4/INDEX(MW_Act,1,21),0)</f>
        <v>12.3809752208181</v>
      </c>
      <c r="AA33" s="146" t="n">
        <f aca="false">IFERROR((INDEX(PL_EBITDA,1,22)+INDEX(PL_Rent,1,22))*4/INDEX(MW_Act,1,22),0)</f>
        <v>13.8599922726221</v>
      </c>
      <c r="AB33" s="146" t="n">
        <f aca="false">IFERROR((INDEX(PL_EBITDA,1,23)+INDEX(PL_Rent,1,23))*4/INDEX(MW_Act,1,23),0)</f>
        <v>12.5776487160798</v>
      </c>
      <c r="AC33" s="146" t="n">
        <f aca="false">IFERROR((INDEX(PL_EBITDA,1,24)+INDEX(PL_Rent,1,24))*4/INDEX(MW_Act,1,24),0)</f>
        <v>13.7526192872873</v>
      </c>
      <c r="AD33" s="146" t="n">
        <f aca="false">IFERROR((INDEX(PL_EBITDA,1,25)+INDEX(PL_Rent,1,25))*4/INDEX(MW_Act,1,25),0)</f>
        <v>12.6715788681348</v>
      </c>
      <c r="AE33" s="146" t="n">
        <f aca="false">IFERROR((INDEX(PL_EBITDA,1,26)+INDEX(PL_Rent,1,26))*4/INDEX(MW_Act,1,26),0)</f>
        <v>14.0502416452255</v>
      </c>
      <c r="AF33" s="146" t="n">
        <f aca="false">IFERROR((INDEX(PL_EBITDA,1,27)+INDEX(PL_Rent,1,27))*4/INDEX(MW_Act,1,27),0)</f>
        <v>13.9976351198032</v>
      </c>
      <c r="AG33" s="146" t="n">
        <f aca="false">IFERROR((INDEX(PL_EBITDA,1,28)+INDEX(PL_Rent,1,28))*4/INDEX(MW_Act,1,28),0)</f>
        <v>14.131890420393</v>
      </c>
    </row>
    <row r="34" customFormat="false" ht="15" hidden="false" customHeight="false" outlineLevel="0" collapsed="false">
      <c r="A34" s="104" t="s">
        <v>2500</v>
      </c>
      <c r="B34" s="20" t="s">
        <v>557</v>
      </c>
      <c r="C34" s="20" t="s">
        <v>495</v>
      </c>
      <c r="D34" s="20"/>
      <c r="F34" s="145" t="n">
        <f aca="false">IFERROR(INDEX(PL_Rent,1,1)*4/F15,0)</f>
        <v>0</v>
      </c>
      <c r="G34" s="145" t="n">
        <f aca="false">IFERROR(INDEX(PL_Rent,1,2)*4/G15,0)</f>
        <v>0</v>
      </c>
      <c r="H34" s="145" t="n">
        <f aca="false">IFERROR(INDEX(PL_Rent,1,3)*4/H15,0)</f>
        <v>0</v>
      </c>
      <c r="I34" s="145" t="n">
        <f aca="false">IFERROR(INDEX(PL_Rent,1,4)*4/I15,0)</f>
        <v>2.578125</v>
      </c>
      <c r="J34" s="145" t="n">
        <f aca="false">IFERROR(INDEX(PL_Rent,1,5)*4/J15,0)</f>
        <v>2.4609375</v>
      </c>
      <c r="K34" s="145" t="n">
        <f aca="false">IFERROR(INDEX(PL_Rent,1,6)*4/K15,0)</f>
        <v>2.65625</v>
      </c>
      <c r="L34" s="145" t="n">
        <f aca="false">IFERROR(INDEX(PL_Rent,1,7)*4/L15,0)</f>
        <v>2.41875</v>
      </c>
      <c r="M34" s="145" t="n">
        <f aca="false">IFERROR(INDEX(PL_Rent,1,8)*4/M15,0)</f>
        <v>2.00131178063643</v>
      </c>
      <c r="N34" s="145" t="n">
        <f aca="false">IFERROR(INDEX(PL_Rent,1,9)*4/N15,0)</f>
        <v>2.61734693877551</v>
      </c>
      <c r="O34" s="145" t="n">
        <f aca="false">IFERROR(INDEX(PL_Rent,1,10)*4/O15,0)</f>
        <v>2.80030708092486</v>
      </c>
      <c r="P34" s="146" t="n">
        <f aca="false">IFERROR(INDEX(PL_Rent,1,11)*4/P15,0)</f>
        <v>2.8125</v>
      </c>
      <c r="Q34" s="146" t="n">
        <f aca="false">IFERROR(INDEX(PL_Rent,1,12)*4/Q15,0)</f>
        <v>2.57868975903614</v>
      </c>
      <c r="R34" s="146" t="n">
        <f aca="false">IFERROR(INDEX(PL_Rent,1,13)*4/R15,0)</f>
        <v>2.40418732900137</v>
      </c>
      <c r="S34" s="146" t="n">
        <f aca="false">IFERROR(INDEX(PL_Rent,1,14)*4/S15,0)</f>
        <v>2.39373198847262</v>
      </c>
      <c r="T34" s="146" t="n">
        <f aca="false">IFERROR(INDEX(PL_Rent,1,15)*4/T15,0)</f>
        <v>2.48047949917446</v>
      </c>
      <c r="U34" s="146" t="n">
        <f aca="false">IFERROR(INDEX(PL_Rent,1,16)*4/U15,0)</f>
        <v>2.52611395178963</v>
      </c>
      <c r="V34" s="146" t="n">
        <f aca="false">IFERROR(INDEX(PL_Rent,1,17)*4/V15,0)</f>
        <v>2.41949013157895</v>
      </c>
      <c r="W34" s="146" t="n">
        <f aca="false">IFERROR(INDEX(PL_Rent,1,18)*4/W15,0)</f>
        <v>2.68772482014388</v>
      </c>
      <c r="X34" s="146" t="n">
        <f aca="false">IFERROR(INDEX(PL_Rent,1,19)*4/X15,0)</f>
        <v>2.62945869837297</v>
      </c>
      <c r="Y34" s="146" t="n">
        <f aca="false">IFERROR(INDEX(PL_Rent,1,20)*4/Y15,0)</f>
        <v>2.79798462014864</v>
      </c>
      <c r="Z34" s="146" t="n">
        <f aca="false">IFERROR(INDEX(PL_Rent,1,21)*4/Z15,0)</f>
        <v>2.51279239766082</v>
      </c>
      <c r="AA34" s="146" t="n">
        <f aca="false">IFERROR(INDEX(PL_Rent,1,22)*4/AA15,0)</f>
        <v>2.8125</v>
      </c>
      <c r="AB34" s="146" t="n">
        <f aca="false">IFERROR(INDEX(PL_Rent,1,23)*4/AB15,0)</f>
        <v>2.5605</v>
      </c>
      <c r="AC34" s="146" t="n">
        <f aca="false">IFERROR(INDEX(PL_Rent,1,24)*4/AC15,0)</f>
        <v>2.8125</v>
      </c>
      <c r="AD34" s="146" t="n">
        <f aca="false">IFERROR(INDEX(PL_Rent,1,25)*4/AD15,0)</f>
        <v>2.53161011523688</v>
      </c>
      <c r="AE34" s="146" t="n">
        <f aca="false">IFERROR(INDEX(PL_Rent,1,26)*4/AE15,0)</f>
        <v>2.8125</v>
      </c>
      <c r="AF34" s="146" t="n">
        <f aca="false">IFERROR(INDEX(PL_Rent,1,27)*4/AF15,0)</f>
        <v>2.8125</v>
      </c>
      <c r="AG34" s="146" t="n">
        <f aca="false">IFERROR(INDEX(PL_Rent,1,28)*4/AG15,0)</f>
        <v>2.8125</v>
      </c>
    </row>
    <row r="35" customFormat="false" ht="15" hidden="false" customHeight="false" outlineLevel="0" collapsed="false">
      <c r="A35" s="104" t="s">
        <v>2501</v>
      </c>
      <c r="B35" s="20" t="s">
        <v>557</v>
      </c>
      <c r="C35" s="20" t="s">
        <v>495</v>
      </c>
      <c r="D35" s="20"/>
      <c r="F35" s="145" t="n">
        <f aca="false">F33</f>
        <v>-11.344</v>
      </c>
      <c r="G35" s="145" t="n">
        <f aca="false">G33</f>
        <v>-9.296</v>
      </c>
      <c r="H35" s="145" t="n">
        <f aca="false">H33</f>
        <v>-7.344</v>
      </c>
      <c r="I35" s="145" t="n">
        <f aca="false">I33</f>
        <v>-8.0903125</v>
      </c>
      <c r="J35" s="145" t="n">
        <f aca="false">J33</f>
        <v>-4.4471484375</v>
      </c>
      <c r="K35" s="145" t="n">
        <f aca="false">K33</f>
        <v>-0.686111111111111</v>
      </c>
      <c r="L35" s="145" t="n">
        <f aca="false">L33</f>
        <v>0.6347</v>
      </c>
      <c r="M35" s="145" t="n">
        <f aca="false">M33</f>
        <v>1.56067544827504</v>
      </c>
      <c r="N35" s="145" t="n">
        <f aca="false">N33</f>
        <v>4.49314273814482</v>
      </c>
      <c r="O35" s="145" t="n">
        <f aca="false">O33</f>
        <v>7.04757279728691</v>
      </c>
      <c r="P35" s="146" t="n">
        <f aca="false">P33</f>
        <v>8.12545225663768</v>
      </c>
      <c r="Q35" s="146" t="n">
        <f aca="false">Q33</f>
        <v>8.26074534756639</v>
      </c>
      <c r="R35" s="146" t="n">
        <f aca="false">R33</f>
        <v>9.40136742025009</v>
      </c>
      <c r="S35" s="146" t="n">
        <f aca="false">S33</f>
        <v>9.73106369975854</v>
      </c>
      <c r="T35" s="146" t="n">
        <f aca="false">T33</f>
        <v>10.3285692688059</v>
      </c>
      <c r="U35" s="146" t="n">
        <f aca="false">U33</f>
        <v>10.7190322347687</v>
      </c>
      <c r="V35" s="146" t="n">
        <f aca="false">V33</f>
        <v>11.3121252667062</v>
      </c>
      <c r="W35" s="146" t="n">
        <f aca="false">W33</f>
        <v>12.6532199044222</v>
      </c>
      <c r="X35" s="146" t="n">
        <f aca="false">X33</f>
        <v>12.4104924239376</v>
      </c>
      <c r="Y35" s="146" t="n">
        <f aca="false">Y33</f>
        <v>13.1738717835871</v>
      </c>
      <c r="Z35" s="146" t="n">
        <f aca="false">Z33</f>
        <v>12.3809752208181</v>
      </c>
      <c r="AA35" s="146" t="n">
        <f aca="false">AA33</f>
        <v>13.8599922726221</v>
      </c>
      <c r="AB35" s="146" t="n">
        <f aca="false">AB33</f>
        <v>12.5776487160798</v>
      </c>
      <c r="AC35" s="146" t="n">
        <f aca="false">AC33</f>
        <v>13.7526192872873</v>
      </c>
      <c r="AD35" s="146" t="n">
        <f aca="false">AD33</f>
        <v>12.6715788681348</v>
      </c>
      <c r="AE35" s="146" t="n">
        <f aca="false">AE33</f>
        <v>14.0502416452255</v>
      </c>
      <c r="AF35" s="146" t="n">
        <f aca="false">AF33</f>
        <v>13.9976351198032</v>
      </c>
      <c r="AG35" s="146" t="n">
        <f aca="false">AG33</f>
        <v>14.131890420393</v>
      </c>
    </row>
    <row r="36" customFormat="false" ht="15" hidden="false" customHeight="false" outlineLevel="0" collapsed="false">
      <c r="A36" s="104" t="s">
        <v>2502</v>
      </c>
      <c r="B36" s="20" t="s">
        <v>557</v>
      </c>
      <c r="C36" s="20" t="s">
        <v>495</v>
      </c>
      <c r="D36" s="20"/>
      <c r="F36" s="145" t="n">
        <f aca="false">F33-F34</f>
        <v>-11.344</v>
      </c>
      <c r="G36" s="145" t="n">
        <f aca="false">G33-G34</f>
        <v>-9.296</v>
      </c>
      <c r="H36" s="145" t="n">
        <f aca="false">H33-H34</f>
        <v>-7.344</v>
      </c>
      <c r="I36" s="145" t="n">
        <f aca="false">I33-I34</f>
        <v>-10.6684375</v>
      </c>
      <c r="J36" s="145" t="n">
        <f aca="false">J33-J34</f>
        <v>-6.9080859375</v>
      </c>
      <c r="K36" s="145" t="n">
        <f aca="false">K33-K34</f>
        <v>-3.34236111111111</v>
      </c>
      <c r="L36" s="145" t="n">
        <f aca="false">L33-L34</f>
        <v>-1.78405</v>
      </c>
      <c r="M36" s="145" t="n">
        <f aca="false">M33-M34</f>
        <v>-0.440636332361385</v>
      </c>
      <c r="N36" s="145" t="n">
        <f aca="false">N33-N34</f>
        <v>1.87579579936931</v>
      </c>
      <c r="O36" s="145" t="n">
        <f aca="false">O33-O34</f>
        <v>4.24726571636206</v>
      </c>
      <c r="P36" s="146" t="n">
        <f aca="false">P33-P34</f>
        <v>5.31295225663768</v>
      </c>
      <c r="Q36" s="146" t="n">
        <f aca="false">Q33-Q34</f>
        <v>5.68205558853025</v>
      </c>
      <c r="R36" s="146" t="n">
        <f aca="false">R33-R34</f>
        <v>6.99718009124872</v>
      </c>
      <c r="S36" s="146" t="n">
        <f aca="false">S33-S34</f>
        <v>7.33733171128592</v>
      </c>
      <c r="T36" s="146" t="n">
        <f aca="false">T33-T34</f>
        <v>7.84808976963144</v>
      </c>
      <c r="U36" s="146" t="n">
        <f aca="false">U33-U34</f>
        <v>8.19291828297908</v>
      </c>
      <c r="V36" s="146" t="n">
        <f aca="false">V33-V34</f>
        <v>8.89263513512726</v>
      </c>
      <c r="W36" s="146" t="n">
        <f aca="false">W33-W34</f>
        <v>9.96549508427836</v>
      </c>
      <c r="X36" s="146" t="n">
        <f aca="false">X33-X34</f>
        <v>9.78103372556459</v>
      </c>
      <c r="Y36" s="146" t="n">
        <f aca="false">Y33-Y34</f>
        <v>10.3758871634385</v>
      </c>
      <c r="Z36" s="146" t="n">
        <f aca="false">Z33-Z34</f>
        <v>9.86818282315732</v>
      </c>
      <c r="AA36" s="146" t="n">
        <f aca="false">AA33-AA34</f>
        <v>11.0474922726221</v>
      </c>
      <c r="AB36" s="146" t="n">
        <f aca="false">AB33-AB34</f>
        <v>10.0171487160798</v>
      </c>
      <c r="AC36" s="146" t="n">
        <f aca="false">AC33-AC34</f>
        <v>10.9401192872873</v>
      </c>
      <c r="AD36" s="146" t="n">
        <f aca="false">AD33-AD34</f>
        <v>10.1399687528979</v>
      </c>
      <c r="AE36" s="146" t="n">
        <f aca="false">AE33-AE34</f>
        <v>11.2377416452255</v>
      </c>
      <c r="AF36" s="146" t="n">
        <f aca="false">AF33-AF34</f>
        <v>11.1851351198032</v>
      </c>
      <c r="AG36" s="146" t="n">
        <f aca="false">AG33-AG34</f>
        <v>11.319390420393</v>
      </c>
    </row>
    <row r="37" customFormat="false" ht="15" hidden="false" customHeight="false" outlineLevel="0" collapsed="false">
      <c r="A37" s="104" t="s">
        <v>2503</v>
      </c>
      <c r="B37" s="20" t="s">
        <v>519</v>
      </c>
      <c r="C37" s="20" t="s">
        <v>2504</v>
      </c>
      <c r="D37" s="20"/>
      <c r="F37" s="145" t="n">
        <f aca="false">ITCapexMW+ShellMW+PowerMW</f>
        <v>40</v>
      </c>
      <c r="G37" s="145" t="n">
        <f aca="false">ITCapexMW+ShellMW+PowerMW</f>
        <v>40</v>
      </c>
      <c r="H37" s="145" t="n">
        <f aca="false">ITCapexMW+ShellMW+PowerMW</f>
        <v>40</v>
      </c>
      <c r="I37" s="145" t="n">
        <f aca="false">ITCapexMW+ShellMW+PowerMW</f>
        <v>40</v>
      </c>
      <c r="J37" s="145" t="n">
        <f aca="false">ITCapexMW+ShellMW+PowerMW</f>
        <v>40</v>
      </c>
      <c r="K37" s="145" t="n">
        <f aca="false">ITCapexMW+ShellMW+PowerMW</f>
        <v>40</v>
      </c>
      <c r="L37" s="145" t="n">
        <f aca="false">ITCapexMW+ShellMW+PowerMW</f>
        <v>40</v>
      </c>
      <c r="M37" s="145" t="n">
        <f aca="false">ITCapexMW+ShellMW+PowerMW</f>
        <v>40</v>
      </c>
      <c r="N37" s="145" t="n">
        <f aca="false">ITCapexMW+ShellMW+PowerMW</f>
        <v>40</v>
      </c>
      <c r="O37" s="145" t="n">
        <f aca="false">ITCapexMW+ShellMW+PowerMW</f>
        <v>40</v>
      </c>
      <c r="P37" s="146" t="n">
        <f aca="false">ITCapexMW+ShellMW+PowerMW</f>
        <v>40</v>
      </c>
      <c r="Q37" s="146" t="n">
        <f aca="false">ITCapexMW+ShellMW+PowerMW</f>
        <v>40</v>
      </c>
      <c r="R37" s="146" t="n">
        <f aca="false">ITCapexMW+ShellMW+PowerMW</f>
        <v>40</v>
      </c>
      <c r="S37" s="146" t="n">
        <f aca="false">ITCapexMW+ShellMW+PowerMW</f>
        <v>40</v>
      </c>
      <c r="T37" s="146" t="n">
        <f aca="false">ITCapexMW+ShellMW+PowerMW</f>
        <v>40</v>
      </c>
      <c r="U37" s="146" t="n">
        <f aca="false">ITCapexMW+ShellMW+PowerMW</f>
        <v>40</v>
      </c>
      <c r="V37" s="146" t="n">
        <f aca="false">ITCapexMW+ShellMW+PowerMW</f>
        <v>40</v>
      </c>
      <c r="W37" s="146" t="n">
        <f aca="false">ITCapexMW+ShellMW+PowerMW</f>
        <v>40</v>
      </c>
      <c r="X37" s="146" t="n">
        <f aca="false">ITCapexMW+ShellMW+PowerMW</f>
        <v>40</v>
      </c>
      <c r="Y37" s="146" t="n">
        <f aca="false">ITCapexMW+ShellMW+PowerMW</f>
        <v>40</v>
      </c>
      <c r="Z37" s="146" t="n">
        <f aca="false">ITCapexMW+ShellMW+PowerMW</f>
        <v>40</v>
      </c>
      <c r="AA37" s="146" t="n">
        <f aca="false">ITCapexMW+ShellMW+PowerMW</f>
        <v>40</v>
      </c>
      <c r="AB37" s="146" t="n">
        <f aca="false">ITCapexMW+ShellMW+PowerMW</f>
        <v>40</v>
      </c>
      <c r="AC37" s="146" t="n">
        <f aca="false">ITCapexMW+ShellMW+PowerMW</f>
        <v>40</v>
      </c>
      <c r="AD37" s="146" t="n">
        <f aca="false">ITCapexMW+ShellMW+PowerMW</f>
        <v>40</v>
      </c>
      <c r="AE37" s="146" t="n">
        <f aca="false">ITCapexMW+ShellMW+PowerMW</f>
        <v>40</v>
      </c>
      <c r="AF37" s="146" t="n">
        <f aca="false">ITCapexMW+ShellMW+PowerMW</f>
        <v>40</v>
      </c>
      <c r="AG37" s="146" t="n">
        <f aca="false">ITCapexMW+ShellMW+PowerMW</f>
        <v>40</v>
      </c>
    </row>
    <row r="38" customFormat="false" ht="15" hidden="false" customHeight="false" outlineLevel="0" collapsed="false">
      <c r="A38" s="104" t="s">
        <v>2505</v>
      </c>
      <c r="B38" s="20" t="s">
        <v>519</v>
      </c>
      <c r="C38" s="20" t="s">
        <v>2504</v>
      </c>
      <c r="D38" s="20"/>
      <c r="F38" s="145" t="n">
        <f aca="false">ITCapexMW</f>
        <v>30</v>
      </c>
      <c r="G38" s="145" t="n">
        <f aca="false">ITCapexMW</f>
        <v>30</v>
      </c>
      <c r="H38" s="145" t="n">
        <f aca="false">ITCapexMW</f>
        <v>30</v>
      </c>
      <c r="I38" s="145" t="n">
        <f aca="false">ITCapexMW</f>
        <v>30</v>
      </c>
      <c r="J38" s="145" t="n">
        <f aca="false">ITCapexMW</f>
        <v>30</v>
      </c>
      <c r="K38" s="145" t="n">
        <f aca="false">ITCapexMW</f>
        <v>30</v>
      </c>
      <c r="L38" s="145" t="n">
        <f aca="false">ITCapexMW</f>
        <v>30</v>
      </c>
      <c r="M38" s="145" t="n">
        <f aca="false">ITCapexMW</f>
        <v>30</v>
      </c>
      <c r="N38" s="145" t="n">
        <f aca="false">ITCapexMW</f>
        <v>30</v>
      </c>
      <c r="O38" s="145" t="n">
        <f aca="false">ITCapexMW</f>
        <v>30</v>
      </c>
      <c r="P38" s="146" t="n">
        <f aca="false">ITCapexMW</f>
        <v>30</v>
      </c>
      <c r="Q38" s="146" t="n">
        <f aca="false">ITCapexMW</f>
        <v>30</v>
      </c>
      <c r="R38" s="146" t="n">
        <f aca="false">ITCapexMW</f>
        <v>30</v>
      </c>
      <c r="S38" s="146" t="n">
        <f aca="false">ITCapexMW</f>
        <v>30</v>
      </c>
      <c r="T38" s="146" t="n">
        <f aca="false">ITCapexMW</f>
        <v>30</v>
      </c>
      <c r="U38" s="146" t="n">
        <f aca="false">ITCapexMW</f>
        <v>30</v>
      </c>
      <c r="V38" s="146" t="n">
        <f aca="false">ITCapexMW</f>
        <v>30</v>
      </c>
      <c r="W38" s="146" t="n">
        <f aca="false">ITCapexMW</f>
        <v>30</v>
      </c>
      <c r="X38" s="146" t="n">
        <f aca="false">ITCapexMW</f>
        <v>30</v>
      </c>
      <c r="Y38" s="146" t="n">
        <f aca="false">ITCapexMW</f>
        <v>30</v>
      </c>
      <c r="Z38" s="146" t="n">
        <f aca="false">ITCapexMW</f>
        <v>30</v>
      </c>
      <c r="AA38" s="146" t="n">
        <f aca="false">ITCapexMW</f>
        <v>30</v>
      </c>
      <c r="AB38" s="146" t="n">
        <f aca="false">ITCapexMW</f>
        <v>30</v>
      </c>
      <c r="AC38" s="146" t="n">
        <f aca="false">ITCapexMW</f>
        <v>30</v>
      </c>
      <c r="AD38" s="146" t="n">
        <f aca="false">ITCapexMW</f>
        <v>30</v>
      </c>
      <c r="AE38" s="146" t="n">
        <f aca="false">ITCapexMW</f>
        <v>30</v>
      </c>
      <c r="AF38" s="146" t="n">
        <f aca="false">ITCapexMW</f>
        <v>30</v>
      </c>
      <c r="AG38" s="146" t="n">
        <f aca="false">ITCapexMW</f>
        <v>30</v>
      </c>
    </row>
    <row r="39" customFormat="false" ht="15" hidden="false" customHeight="false" outlineLevel="0" collapsed="false">
      <c r="A39" s="104" t="s">
        <v>2506</v>
      </c>
      <c r="B39" s="20" t="s">
        <v>549</v>
      </c>
      <c r="C39" s="20" t="s">
        <v>1913</v>
      </c>
      <c r="D39" s="20"/>
      <c r="F39" s="126" t="n">
        <f aca="false">INDEX(DepYld,1,1)</f>
        <v>0</v>
      </c>
      <c r="G39" s="126" t="str">
        <f aca="false">INDEX(DepYld,1,2)</f>
        <v/>
      </c>
      <c r="H39" s="126" t="str">
        <f aca="false">INDEX(DepYld,1,3)</f>
        <v/>
      </c>
      <c r="I39" s="126" t="str">
        <f aca="false">INDEX(DepYld,1,4)</f>
        <v/>
      </c>
      <c r="J39" s="126" t="str">
        <f aca="false">INDEX(DepYld,1,5)</f>
        <v/>
      </c>
      <c r="K39" s="126" t="str">
        <f aca="false">INDEX(DepYld,1,6)</f>
        <v/>
      </c>
      <c r="L39" s="126" t="str">
        <f aca="false">INDEX(DepYld,1,7)</f>
        <v/>
      </c>
      <c r="M39" s="126" t="str">
        <f aca="false">INDEX(DepYld,1,8)</f>
        <v/>
      </c>
      <c r="N39" s="126" t="n">
        <f aca="false">INDEX(DepYld,1,9)</f>
        <v>0.216186062478544</v>
      </c>
      <c r="O39" s="126" t="n">
        <f aca="false">INDEX(DepYld,1,10)</f>
        <v>0.200171980643747</v>
      </c>
      <c r="P39" s="27" t="n">
        <f aca="false">INDEX(DepYld,1,11)</f>
        <v>0.329595545716654</v>
      </c>
      <c r="Q39" s="27" t="n">
        <f aca="false">INDEX(DepYld,1,12)</f>
        <v>0.228178648153371</v>
      </c>
      <c r="R39" s="27" t="n">
        <f aca="false">INDEX(DepYld,1,13)</f>
        <v>0.219989908820115</v>
      </c>
      <c r="S39" s="27" t="n">
        <f aca="false">INDEX(DepYld,1,14)</f>
        <v>0.231997115849066</v>
      </c>
      <c r="T39" s="27" t="n">
        <f aca="false">INDEX(DepYld,1,15)</f>
        <v>0.247623703952843</v>
      </c>
      <c r="U39" s="27" t="n">
        <f aca="false">INDEX(DepYld,1,16)</f>
        <v>0.25439519017501</v>
      </c>
      <c r="V39" s="27" t="n">
        <f aca="false">INDEX(DepYld,1,17)</f>
        <v>0.284048308105177</v>
      </c>
      <c r="W39" s="27" t="n">
        <f aca="false">INDEX(DepYld,1,18)</f>
        <v>0.249916299439028</v>
      </c>
      <c r="X39" s="27" t="n">
        <f aca="false">INDEX(DepYld,1,19)</f>
        <v>0.241008412380089</v>
      </c>
      <c r="Y39" s="27" t="n">
        <f aca="false">INDEX(DepYld,1,20)</f>
        <v>0.223045641936649</v>
      </c>
      <c r="Z39" s="27" t="n">
        <f aca="false">INDEX(DepYld,1,21)</f>
        <v>0.257566215182667</v>
      </c>
      <c r="AA39" s="27" t="n">
        <f aca="false">INDEX(DepYld,1,22)</f>
        <v>0.23187534862966</v>
      </c>
      <c r="AB39" s="27" t="n">
        <f aca="false">INDEX(DepYld,1,23)</f>
        <v>0.250016435607876</v>
      </c>
      <c r="AC39" s="27" t="n">
        <f aca="false">INDEX(DepYld,1,24)</f>
        <v>0.230094426621864</v>
      </c>
      <c r="AD39" s="27" t="n">
        <f aca="false">INDEX(DepYld,1,25)</f>
        <v>0.256212738754954</v>
      </c>
      <c r="AE39" s="27" t="n">
        <f aca="false">INDEX(DepYld,1,26)</f>
        <v>0.228443242737945</v>
      </c>
      <c r="AF39" s="27" t="n">
        <f aca="false">INDEX(DepYld,1,27)</f>
        <v>0.210056227090169</v>
      </c>
      <c r="AG39" s="27" t="n">
        <f aca="false">INDEX(DepYld,1,28)</f>
        <v>0.209161577352708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Y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0"/>
    <col collapsed="false" customWidth="true" hidden="false" outlineLevel="0" max="11" min="2" style="0" width="14"/>
  </cols>
  <sheetData>
    <row r="1" customFormat="false" ht="17.35" hidden="false" customHeight="false" outlineLevel="0" collapsed="false">
      <c r="A1" s="1" t="s">
        <v>2507</v>
      </c>
    </row>
    <row r="3" customFormat="false" ht="15" hidden="false" customHeight="false" outlineLevel="0" collapsed="false">
      <c r="A3" s="20" t="s">
        <v>2508</v>
      </c>
    </row>
    <row r="4" customFormat="false" ht="15" hidden="false" customHeight="false" outlineLevel="0" collapsed="false">
      <c r="A4" s="36" t="s">
        <v>2509</v>
      </c>
      <c r="B4" s="36" t="s">
        <v>2510</v>
      </c>
      <c r="C4" s="36" t="s">
        <v>2511</v>
      </c>
      <c r="D4" s="36" t="s">
        <v>2512</v>
      </c>
      <c r="E4" s="36" t="s">
        <v>2513</v>
      </c>
      <c r="F4" s="36" t="s">
        <v>2514</v>
      </c>
    </row>
    <row r="5" customFormat="false" ht="15" hidden="false" customHeight="false" outlineLevel="0" collapsed="false">
      <c r="A5" s="0" t="s">
        <v>2515</v>
      </c>
      <c r="B5" s="30" t="n">
        <f aca="false">-0.2*SUMPRODUCT((Q_Yr=2026)*(Q_Idx&gt;V_Q)*(Book_C+Book_B*(Q_Idx&gt;V_Q+ResLag)))</f>
        <v>-10.4934224689119</v>
      </c>
      <c r="C5" s="30" t="n">
        <f aca="false">-0.1*SUMPRODUCT((Q_Yr=2026)*(Q_Idx&gt;V_Q)*(Book_C+Book_B*(Q_Idx&gt;V_Q+ResLag)))</f>
        <v>-5.24671123445594</v>
      </c>
      <c r="D5" s="30" t="n">
        <f aca="false">0.1*SUMPRODUCT((Q_Yr=2026)*(Q_Idx&gt;V_Q)*(Book_C+Book_B*(Q_Idx&gt;V_Q+ResLag)))</f>
        <v>5.24671123445594</v>
      </c>
      <c r="E5" s="30" t="n">
        <f aca="false">0.2*SUMPRODUCT((Q_Yr=2026)*(Q_Idx&gt;V_Q)*(Book_C+Book_B*(Q_Idx&gt;V_Q+ResLag)))</f>
        <v>10.4934224689119</v>
      </c>
      <c r="F5" s="27" t="n">
        <f aca="false">IFERROR(D5/SUMIF(Q_Yr,2026,PL_Rev),0)</f>
        <v>0.00216501328116555</v>
      </c>
    </row>
    <row r="6" customFormat="false" ht="15" hidden="false" customHeight="false" outlineLevel="0" collapsed="false">
      <c r="A6" s="0" t="s">
        <v>2516</v>
      </c>
      <c r="B6" s="30" t="n">
        <f aca="false">-0.2*SUMPRODUCT((Q_Yr=2027)*(Q_Idx&gt;V_Q)*(Book_C+Book_B*(Q_Idx&gt;V_Q+ResLag)))</f>
        <v>-380.373058872072</v>
      </c>
      <c r="C6" s="30" t="n">
        <f aca="false">-0.1*SUMPRODUCT((Q_Yr=2027)*(Q_Idx&gt;V_Q)*(Book_C+Book_B*(Q_Idx&gt;V_Q+ResLag)))</f>
        <v>-190.186529436036</v>
      </c>
      <c r="D6" s="30" t="n">
        <f aca="false">0.1*SUMPRODUCT((Q_Yr=2027)*(Q_Idx&gt;V_Q)*(Book_C+Book_B*(Q_Idx&gt;V_Q+ResLag)))</f>
        <v>190.186529436036</v>
      </c>
      <c r="E6" s="30" t="n">
        <f aca="false">0.2*SUMPRODUCT((Q_Yr=2027)*(Q_Idx&gt;V_Q)*(Book_C+Book_B*(Q_Idx&gt;V_Q+ResLag)))</f>
        <v>380.373058872072</v>
      </c>
      <c r="F6" s="27" t="n">
        <f aca="false">IFERROR(D6/SUMIF(Q_Yr,2027,PL_Rev),0)</f>
        <v>0.0249532383395213</v>
      </c>
    </row>
    <row r="7" customFormat="false" ht="15" hidden="false" customHeight="false" outlineLevel="0" collapsed="false">
      <c r="A7" s="0" t="s">
        <v>2517</v>
      </c>
      <c r="B7" s="30" t="n">
        <f aca="false">-0.2*SUMPRODUCT((Q_Yr=2028)*(Q_Idx&gt;V_Q)*(Book_C+Book_B*(Q_Idx&gt;V_Q+ResLag)))</f>
        <v>-2761.01679019837</v>
      </c>
      <c r="C7" s="30" t="n">
        <f aca="false">-0.1*SUMPRODUCT((Q_Yr=2028)*(Q_Idx&gt;V_Q)*(Book_C+Book_B*(Q_Idx&gt;V_Q+ResLag)))</f>
        <v>-1380.50839509918</v>
      </c>
      <c r="D7" s="30" t="n">
        <f aca="false">0.1*SUMPRODUCT((Q_Yr=2028)*(Q_Idx&gt;V_Q)*(Book_C+Book_B*(Q_Idx&gt;V_Q+ResLag)))</f>
        <v>1380.50839509918</v>
      </c>
      <c r="E7" s="30" t="n">
        <f aca="false">0.2*SUMPRODUCT((Q_Yr=2028)*(Q_Idx&gt;V_Q)*(Book_C+Book_B*(Q_Idx&gt;V_Q+ResLag)))</f>
        <v>2761.01679019837</v>
      </c>
      <c r="F7" s="27" t="n">
        <f aca="false">IFERROR(D7/SUMIF(Q_Yr,2028,PL_Rev),0)</f>
        <v>0.070409334057176</v>
      </c>
    </row>
    <row r="9" customFormat="false" ht="15" hidden="false" customHeight="false" outlineLevel="0" collapsed="false">
      <c r="A9" s="0" t="s">
        <v>2518</v>
      </c>
      <c r="B9" s="25" t="n">
        <f aca="false">INDEX(Book_A,1,V_Q)/INDEX(AIRev,1,V_Q)</f>
        <v>0.510093513391141</v>
      </c>
      <c r="C9" s="25" t="n">
        <f aca="false">INDEX(Book_B,1,V_Q)/INDEX(AIRev,1,V_Q)</f>
        <v>0.424795270275381</v>
      </c>
      <c r="D9" s="25" t="n">
        <f aca="false">INDEX(Book_C,1,V_Q)/INDEX(AIRev,1,V_Q)</f>
        <v>0.0651112163334779</v>
      </c>
    </row>
    <row r="11" customFormat="false" ht="15" hidden="false" customHeight="false" outlineLevel="0" collapsed="false">
      <c r="A11" s="147" t="s">
        <v>2519</v>
      </c>
    </row>
    <row r="12" customFormat="false" ht="15" hidden="false" customHeight="false" outlineLevel="0" collapsed="false">
      <c r="A12" s="7" t="s">
        <v>2520</v>
      </c>
      <c r="B12" s="7" t="s">
        <v>2521</v>
      </c>
      <c r="C12" s="7" t="s">
        <v>329</v>
      </c>
      <c r="D12" s="7" t="s">
        <v>331</v>
      </c>
      <c r="E12" s="7" t="s">
        <v>330</v>
      </c>
      <c r="F12" s="7" t="s">
        <v>2522</v>
      </c>
      <c r="G12" s="7" t="s">
        <v>2523</v>
      </c>
      <c r="H12" s="7" t="s">
        <v>2524</v>
      </c>
      <c r="I12" s="7" t="s">
        <v>2525</v>
      </c>
      <c r="J12" s="7" t="s">
        <v>359</v>
      </c>
      <c r="K12" s="7" t="s">
        <v>2526</v>
      </c>
      <c r="L12" s="7" t="s">
        <v>2527</v>
      </c>
      <c r="M12" s="7" t="s">
        <v>2528</v>
      </c>
      <c r="N12" s="7" t="s">
        <v>332</v>
      </c>
      <c r="O12" s="7" t="s">
        <v>2529</v>
      </c>
      <c r="P12" s="7" t="s">
        <v>2530</v>
      </c>
      <c r="Q12" s="7" t="s">
        <v>2531</v>
      </c>
      <c r="R12" s="7" t="s">
        <v>2532</v>
      </c>
      <c r="S12" s="7" t="s">
        <v>2533</v>
      </c>
      <c r="T12" s="7" t="s">
        <v>2534</v>
      </c>
      <c r="U12" s="7" t="s">
        <v>2535</v>
      </c>
      <c r="V12" s="7" t="s">
        <v>360</v>
      </c>
      <c r="W12" s="7" t="s">
        <v>2536</v>
      </c>
      <c r="X12" s="7" t="s">
        <v>2537</v>
      </c>
      <c r="Y12" s="7" t="s">
        <v>2538</v>
      </c>
      <c r="Z12" s="7" t="s">
        <v>2539</v>
      </c>
      <c r="AA12" s="7" t="s">
        <v>2540</v>
      </c>
      <c r="AB12" s="7" t="s">
        <v>2541</v>
      </c>
      <c r="AC12" s="7" t="s">
        <v>2542</v>
      </c>
      <c r="AD12" s="7" t="s">
        <v>2543</v>
      </c>
      <c r="AE12" s="7" t="s">
        <v>2544</v>
      </c>
      <c r="AF12" s="7" t="s">
        <v>2545</v>
      </c>
      <c r="AG12" s="7" t="s">
        <v>2546</v>
      </c>
      <c r="AH12" s="7" t="s">
        <v>2547</v>
      </c>
      <c r="AI12" s="7" t="s">
        <v>2548</v>
      </c>
      <c r="AJ12" s="7" t="s">
        <v>2549</v>
      </c>
      <c r="AK12" s="7" t="s">
        <v>2550</v>
      </c>
      <c r="AL12" s="7" t="s">
        <v>2551</v>
      </c>
      <c r="AM12" s="7" t="s">
        <v>2552</v>
      </c>
      <c r="AN12" s="7" t="s">
        <v>2553</v>
      </c>
      <c r="AO12" s="7" t="s">
        <v>2554</v>
      </c>
      <c r="AP12" s="7" t="s">
        <v>2555</v>
      </c>
      <c r="AQ12" s="7" t="s">
        <v>2556</v>
      </c>
      <c r="AR12" s="7" t="s">
        <v>2557</v>
      </c>
      <c r="AS12" s="7" t="s">
        <v>2558</v>
      </c>
      <c r="AT12" s="7" t="s">
        <v>2559</v>
      </c>
      <c r="AU12" s="7" t="s">
        <v>2560</v>
      </c>
      <c r="AV12" s="7" t="s">
        <v>2561</v>
      </c>
      <c r="AW12" s="7" t="s">
        <v>2562</v>
      </c>
      <c r="AX12" s="7" t="s">
        <v>2563</v>
      </c>
      <c r="AY12" s="7" t="s">
        <v>2564</v>
      </c>
    </row>
    <row r="13" customFormat="false" ht="15" hidden="false" customHeight="false" outlineLevel="0" collapsed="false">
      <c r="A13" s="0" t="s">
        <v>88</v>
      </c>
      <c r="B13" s="14" t="n">
        <v>2423.40833661368</v>
      </c>
      <c r="C13" s="14" t="n">
        <v>7621.71734378923</v>
      </c>
      <c r="D13" s="14" t="n">
        <v>19606.894648061</v>
      </c>
      <c r="E13" s="14" t="n">
        <v>4078.97255313604</v>
      </c>
      <c r="F13" s="14" t="n">
        <v>-984.898133745312</v>
      </c>
      <c r="G13" s="14" t="n">
        <v>4759.00199312978</v>
      </c>
      <c r="H13" s="14" t="n">
        <v>-183.737139392088</v>
      </c>
      <c r="I13" s="15" t="n">
        <v>0.01</v>
      </c>
      <c r="J13" s="15" t="n">
        <v>0</v>
      </c>
      <c r="K13" s="14" t="s">
        <v>82</v>
      </c>
      <c r="L13" s="14" t="n">
        <v>2073.20268369447</v>
      </c>
      <c r="M13" s="14" t="n">
        <v>32170.7343468758</v>
      </c>
      <c r="N13" s="14" t="n">
        <v>12202.2600162747</v>
      </c>
      <c r="O13" s="14" t="n">
        <v>-13352.4239141392</v>
      </c>
      <c r="P13" s="14" t="n">
        <v>968.519919991184</v>
      </c>
      <c r="Q13" s="14" t="n">
        <v>847.460390505534</v>
      </c>
      <c r="R13" s="14" t="n">
        <v>16850.3421667323</v>
      </c>
      <c r="S13" s="14" t="n">
        <v>29456.0378929612</v>
      </c>
      <c r="T13" s="14" t="n">
        <v>-936.780501065439</v>
      </c>
      <c r="U13" s="14" t="n">
        <v>-9253.6245370439</v>
      </c>
      <c r="V13" s="14" t="n">
        <v>0.82509878873241</v>
      </c>
      <c r="W13" s="14" t="n">
        <v>46042.4843595974</v>
      </c>
      <c r="X13" s="14" t="n">
        <v>25494.8402952654</v>
      </c>
      <c r="Y13" s="14" t="n">
        <v>0</v>
      </c>
      <c r="Z13" s="14" t="n">
        <v>0</v>
      </c>
      <c r="AA13" s="14" t="n">
        <v>30.1575455502983</v>
      </c>
      <c r="AB13" s="14" t="n">
        <v>27.9575455502983</v>
      </c>
      <c r="AC13" s="14" t="n">
        <v>29.4075455502983</v>
      </c>
      <c r="AD13" s="14" t="n">
        <v>23.1609949826291</v>
      </c>
      <c r="AE13" s="14" t="n">
        <v>653.683373262198</v>
      </c>
      <c r="AF13" s="14" t="n">
        <v>0.03</v>
      </c>
      <c r="AG13" s="14" t="n">
        <v>0.702129022128044</v>
      </c>
      <c r="AH13" s="14" t="n">
        <v>10689.3730662169</v>
      </c>
      <c r="AI13" s="14" t="n">
        <v>19606.894648061</v>
      </c>
      <c r="AJ13" s="14" t="n">
        <v>22.39175</v>
      </c>
      <c r="AK13" s="14" t="n">
        <v>0</v>
      </c>
      <c r="AL13" s="14" t="n">
        <v>-36275.2856716304</v>
      </c>
      <c r="AM13" s="14" t="n">
        <v>684.5</v>
      </c>
      <c r="AN13" s="14" t="n">
        <v>27078.2628664013</v>
      </c>
      <c r="AO13" s="14" t="n">
        <v>-7119.9037923103</v>
      </c>
      <c r="AP13" s="14" t="n">
        <v>0.519414437863832</v>
      </c>
      <c r="AQ13" s="14" t="n">
        <v>0</v>
      </c>
      <c r="AR13" s="14" t="n">
        <v>327.195752</v>
      </c>
      <c r="AS13" s="14" t="n">
        <v>314.925245</v>
      </c>
      <c r="AT13" s="14" t="n">
        <v>2073.20268369447</v>
      </c>
      <c r="AU13" s="14" t="n">
        <v>12.270507</v>
      </c>
      <c r="AV13" s="14" t="n">
        <v>0</v>
      </c>
      <c r="AW13" s="14" t="n">
        <v>2254.3125</v>
      </c>
      <c r="AX13" s="14" t="n">
        <v>314.925245</v>
      </c>
      <c r="AY13" s="14" t="n">
        <v>314.925245</v>
      </c>
    </row>
    <row r="14" customFormat="false" ht="15" hidden="false" customHeight="false" outlineLevel="0" collapsed="false">
      <c r="A14" s="0" t="s">
        <v>89</v>
      </c>
      <c r="B14" s="14" t="n">
        <v>2643.78617033326</v>
      </c>
      <c r="C14" s="14" t="n">
        <v>12743.5987324699</v>
      </c>
      <c r="D14" s="14" t="n">
        <v>28400.5368619567</v>
      </c>
      <c r="E14" s="14" t="n">
        <v>7677.90729795512</v>
      </c>
      <c r="F14" s="14" t="n">
        <v>2077.58501151031</v>
      </c>
      <c r="G14" s="14" t="n">
        <v>5090.57833714602</v>
      </c>
      <c r="H14" s="14" t="n">
        <v>90449.1360846713</v>
      </c>
      <c r="I14" s="15" t="n">
        <v>235.233575712941</v>
      </c>
      <c r="J14" s="15" t="n">
        <v>263.278244616495</v>
      </c>
      <c r="K14" s="14" t="s">
        <v>60</v>
      </c>
      <c r="L14" s="14" t="n">
        <v>-3374.08482730945</v>
      </c>
      <c r="M14" s="14" t="n">
        <v>40737.3719746494</v>
      </c>
      <c r="N14" s="14" t="n">
        <v>18999.8985268346</v>
      </c>
      <c r="O14" s="14" t="n">
        <v>-9140.57107266631</v>
      </c>
      <c r="P14" s="14" t="n">
        <v>1142.48578071534</v>
      </c>
      <c r="Q14" s="14" t="n">
        <v>6752.31458479522</v>
      </c>
      <c r="R14" s="14" t="n">
        <v>22890.5497234067</v>
      </c>
      <c r="S14" s="14" t="n">
        <v>27190.9274039058</v>
      </c>
      <c r="T14" s="14" t="n">
        <v>-595.938093280317</v>
      </c>
      <c r="U14" s="14" t="n">
        <v>86835.8922303309</v>
      </c>
      <c r="V14" s="14" t="n">
        <v>0.82509878873241</v>
      </c>
      <c r="W14" s="14" t="n">
        <v>128333.554961961</v>
      </c>
      <c r="X14" s="14" t="n">
        <v>28058.9799685322</v>
      </c>
      <c r="Y14" s="14" t="n">
        <v>248.77455745317</v>
      </c>
      <c r="Z14" s="14" t="n">
        <v>330.256230046931</v>
      </c>
      <c r="AA14" s="14" t="n">
        <v>43.041696075</v>
      </c>
      <c r="AB14" s="14" t="n">
        <v>40.841696075</v>
      </c>
      <c r="AC14" s="14" t="n">
        <v>42.291696075</v>
      </c>
      <c r="AD14" s="14" t="n">
        <v>33.0560225856</v>
      </c>
      <c r="AE14" s="14" t="n">
        <v>720.689630183706</v>
      </c>
      <c r="AF14" s="14" t="n">
        <v>0.035</v>
      </c>
      <c r="AG14" s="14" t="n">
        <v>0.737784665189879</v>
      </c>
      <c r="AH14" s="14" t="n">
        <v>4360.95033949851</v>
      </c>
      <c r="AI14" s="14" t="n">
        <v>28400.5368619567</v>
      </c>
      <c r="AJ14" s="14" t="n">
        <v>25.7421875</v>
      </c>
      <c r="AK14" s="14" t="n">
        <v>0</v>
      </c>
      <c r="AL14" s="14" t="n">
        <v>-28202.5209739271</v>
      </c>
      <c r="AM14" s="14" t="n">
        <v>909.833333333333</v>
      </c>
      <c r="AN14" s="14" t="n">
        <v>47113.242659162</v>
      </c>
      <c r="AO14" s="14" t="n">
        <v>-13344.6109280635</v>
      </c>
      <c r="AP14" s="14" t="n">
        <v>0.0262380555778831</v>
      </c>
      <c r="AQ14" s="14" t="n">
        <v>235.069861264727</v>
      </c>
      <c r="AR14" s="14" t="n">
        <v>381.416262661903</v>
      </c>
      <c r="AS14" s="14" t="n">
        <v>369.147524825699</v>
      </c>
      <c r="AT14" s="14" t="n">
        <v>-3374.08482730945</v>
      </c>
      <c r="AU14" s="14" t="n">
        <v>12.270507</v>
      </c>
      <c r="AV14" s="14" t="n">
        <v>0</v>
      </c>
      <c r="AW14" s="14" t="n">
        <v>3694.865</v>
      </c>
      <c r="AX14" s="14" t="n">
        <v>369.147524825699</v>
      </c>
      <c r="AY14" s="14" t="n">
        <v>336.520379756213</v>
      </c>
    </row>
    <row r="15" customFormat="false" ht="15" hidden="false" customHeight="false" outlineLevel="0" collapsed="false">
      <c r="A15" s="0" t="s">
        <v>90</v>
      </c>
      <c r="B15" s="14" t="n">
        <v>2102.38738501866</v>
      </c>
      <c r="C15" s="14" t="n">
        <v>3988.80420552386</v>
      </c>
      <c r="D15" s="14" t="n">
        <v>10185.2651829347</v>
      </c>
      <c r="E15" s="14" t="n">
        <v>1764.55814092323</v>
      </c>
      <c r="F15" s="14" t="n">
        <v>-3600.60820469538</v>
      </c>
      <c r="G15" s="14" t="n">
        <v>5205.61417739766</v>
      </c>
      <c r="H15" s="14" t="n">
        <v>-25664.8938022506</v>
      </c>
      <c r="I15" s="15" t="n">
        <v>0.01</v>
      </c>
      <c r="J15" s="15" t="n">
        <v>0</v>
      </c>
      <c r="K15" s="14" t="s">
        <v>82</v>
      </c>
      <c r="L15" s="14" t="n">
        <v>2122.39193810732</v>
      </c>
      <c r="M15" s="14" t="n">
        <v>19573.346879666</v>
      </c>
      <c r="N15" s="14" t="n">
        <v>5271.39497534131</v>
      </c>
      <c r="O15" s="14" t="n">
        <v>-20289.7050700109</v>
      </c>
      <c r="P15" s="14" t="n">
        <v>750.274237487276</v>
      </c>
      <c r="Q15" s="14" t="n">
        <v>-5271.49135456852</v>
      </c>
      <c r="R15" s="14" t="n">
        <v>10528.0310069596</v>
      </c>
      <c r="S15" s="14" t="n">
        <v>26086.6571258809</v>
      </c>
      <c r="T15" s="14" t="n">
        <v>-1418.00315508082</v>
      </c>
      <c r="U15" s="14" t="n">
        <v>-33987.7795439486</v>
      </c>
      <c r="V15" s="14" t="n">
        <v>0.82509878873241</v>
      </c>
      <c r="W15" s="14" t="n">
        <v>19500.9803264717</v>
      </c>
      <c r="X15" s="14" t="n">
        <v>13665.4955891149</v>
      </c>
      <c r="Y15" s="14" t="n">
        <v>0</v>
      </c>
      <c r="Z15" s="14" t="n">
        <v>0</v>
      </c>
      <c r="AA15" s="14" t="n">
        <v>22.27279275</v>
      </c>
      <c r="AB15" s="14" t="n">
        <v>20.07279275</v>
      </c>
      <c r="AC15" s="14" t="n">
        <v>21.52279275</v>
      </c>
      <c r="AD15" s="14" t="n">
        <v>17.105504832</v>
      </c>
      <c r="AE15" s="14" t="n">
        <v>552.747125886626</v>
      </c>
      <c r="AF15" s="14" t="n">
        <v>0.02</v>
      </c>
      <c r="AG15" s="14" t="n">
        <v>0.628563202842968</v>
      </c>
      <c r="AH15" s="14" t="n">
        <v>20941.0948326026</v>
      </c>
      <c r="AI15" s="14" t="n">
        <v>10185.2651829347</v>
      </c>
      <c r="AJ15" s="14" t="n">
        <v>19.8813533670246</v>
      </c>
      <c r="AK15" s="14" t="n">
        <v>0</v>
      </c>
      <c r="AL15" s="14" t="n">
        <v>-40952.1307762958</v>
      </c>
      <c r="AM15" s="14" t="n">
        <v>396.288888888889</v>
      </c>
      <c r="AN15" s="14" t="n">
        <v>593.827314814815</v>
      </c>
      <c r="AO15" s="14" t="n">
        <v>-341.703991684943</v>
      </c>
      <c r="AP15" s="14" t="n">
        <v>1</v>
      </c>
      <c r="AQ15" s="14" t="n">
        <v>0</v>
      </c>
      <c r="AR15" s="14" t="n">
        <v>376.701942829579</v>
      </c>
      <c r="AS15" s="14" t="n">
        <v>314.925245</v>
      </c>
      <c r="AT15" s="14" t="n">
        <v>2122.39193810732</v>
      </c>
      <c r="AU15" s="14" t="n">
        <v>61.7766978295787</v>
      </c>
      <c r="AV15" s="14" t="n">
        <v>0</v>
      </c>
      <c r="AW15" s="14" t="n">
        <v>998.76</v>
      </c>
      <c r="AX15" s="14" t="n">
        <v>314.925245</v>
      </c>
      <c r="AY15" s="14" t="n">
        <v>314.925245</v>
      </c>
    </row>
    <row r="16" customFormat="false" ht="15" hidden="false" customHeight="false" outlineLevel="0" collapsed="false">
      <c r="A16" s="0" t="s">
        <v>2565</v>
      </c>
      <c r="B16" s="14" t="n">
        <v>2423.40833661368</v>
      </c>
      <c r="C16" s="14" t="n">
        <v>7621.71734378923</v>
      </c>
      <c r="D16" s="14" t="n">
        <v>19606.894648061</v>
      </c>
      <c r="E16" s="14" t="n">
        <v>4078.97255313604</v>
      </c>
      <c r="F16" s="14" t="n">
        <v>-2073.79663374531</v>
      </c>
      <c r="G16" s="14" t="n">
        <v>5847.90049312978</v>
      </c>
      <c r="H16" s="14" t="n">
        <v>-13073.5510428693</v>
      </c>
      <c r="I16" s="15" t="n">
        <v>0.01</v>
      </c>
      <c r="J16" s="15" t="n">
        <v>0</v>
      </c>
      <c r="K16" s="14" t="s">
        <v>82</v>
      </c>
      <c r="L16" s="14" t="n">
        <v>1930.80268369447</v>
      </c>
      <c r="M16" s="14" t="n">
        <v>32313.1343468758</v>
      </c>
      <c r="N16" s="14" t="n">
        <v>12202.2600162747</v>
      </c>
      <c r="O16" s="14" t="n">
        <v>-13966.7695554257</v>
      </c>
      <c r="P16" s="14" t="n">
        <v>968.519919991184</v>
      </c>
      <c r="Q16" s="14" t="n">
        <v>-1561.56560949447</v>
      </c>
      <c r="R16" s="14" t="n">
        <v>16850.3421667323</v>
      </c>
      <c r="S16" s="14" t="n">
        <v>29959.6378929612</v>
      </c>
      <c r="T16" s="14" t="n">
        <v>-1200.41850106544</v>
      </c>
      <c r="U16" s="14" t="n">
        <v>-22143.4384405211</v>
      </c>
      <c r="V16" s="14" t="n">
        <v>0.82509878873241</v>
      </c>
      <c r="W16" s="14" t="n">
        <v>41707.9090866856</v>
      </c>
      <c r="X16" s="14" t="n">
        <v>30020.4434485918</v>
      </c>
      <c r="Y16" s="14" t="n">
        <v>0</v>
      </c>
      <c r="Z16" s="14" t="n">
        <v>0</v>
      </c>
      <c r="AA16" s="14" t="n">
        <v>30.1575455502983</v>
      </c>
      <c r="AB16" s="14" t="n">
        <v>27.9575455502983</v>
      </c>
      <c r="AC16" s="14" t="n">
        <v>29.4075455502983</v>
      </c>
      <c r="AD16" s="14" t="n">
        <v>23.1609949826291</v>
      </c>
      <c r="AE16" s="14" t="n">
        <v>653.683373262198</v>
      </c>
      <c r="AF16" s="14" t="n">
        <v>0.03</v>
      </c>
      <c r="AG16" s="14" t="n">
        <v>0.702129022128044</v>
      </c>
      <c r="AH16" s="14" t="n">
        <v>10689.3730662169</v>
      </c>
      <c r="AI16" s="14" t="n">
        <v>19606.894648061</v>
      </c>
      <c r="AJ16" s="14" t="n">
        <v>22.39175</v>
      </c>
      <c r="AK16" s="14" t="n">
        <v>0</v>
      </c>
      <c r="AL16" s="14" t="n">
        <v>-38014.0519128927</v>
      </c>
      <c r="AM16" s="14" t="n">
        <v>684.5</v>
      </c>
      <c r="AN16" s="14" t="n">
        <v>27078.2628664013</v>
      </c>
      <c r="AO16" s="14" t="n">
        <v>-7119.9037923103</v>
      </c>
      <c r="AP16" s="14" t="n">
        <v>0.519414437863832</v>
      </c>
      <c r="AQ16" s="14" t="n">
        <v>0</v>
      </c>
      <c r="AR16" s="14" t="n">
        <v>327.195752</v>
      </c>
      <c r="AS16" s="14" t="n">
        <v>314.925245</v>
      </c>
      <c r="AT16" s="14" t="n">
        <v>1930.80268369447</v>
      </c>
      <c r="AU16" s="14" t="n">
        <v>12.270507</v>
      </c>
      <c r="AV16" s="14" t="n">
        <v>0</v>
      </c>
      <c r="AW16" s="14" t="n">
        <v>2254.3125</v>
      </c>
      <c r="AX16" s="14" t="n">
        <v>314.925245</v>
      </c>
      <c r="AY16" s="14" t="n">
        <v>314.925245</v>
      </c>
    </row>
    <row r="17" customFormat="false" ht="15" hidden="false" customHeight="false" outlineLevel="0" collapsed="false">
      <c r="A17" s="0" t="s">
        <v>2566</v>
      </c>
      <c r="B17" s="14" t="n">
        <v>2423.40833661368</v>
      </c>
      <c r="C17" s="14" t="n">
        <v>7621.71734378923</v>
      </c>
      <c r="D17" s="14" t="n">
        <v>19606.894648061</v>
      </c>
      <c r="E17" s="14" t="n">
        <v>4078.97255313604</v>
      </c>
      <c r="F17" s="14" t="n">
        <v>-984.898133745312</v>
      </c>
      <c r="G17" s="14" t="n">
        <v>4759.00199312978</v>
      </c>
      <c r="H17" s="14" t="n">
        <v>-183.737139392088</v>
      </c>
      <c r="I17" s="15" t="n">
        <v>0.01</v>
      </c>
      <c r="J17" s="15" t="n">
        <v>0</v>
      </c>
      <c r="K17" s="14" t="s">
        <v>82</v>
      </c>
      <c r="L17" s="14" t="n">
        <v>2073.20268369447</v>
      </c>
      <c r="M17" s="14" t="n">
        <v>32170.7343468758</v>
      </c>
      <c r="N17" s="14" t="n">
        <v>12202.2600162747</v>
      </c>
      <c r="O17" s="14" t="n">
        <v>-13352.4239141392</v>
      </c>
      <c r="P17" s="14" t="n">
        <v>968.519919991184</v>
      </c>
      <c r="Q17" s="14" t="n">
        <v>847.460390505534</v>
      </c>
      <c r="R17" s="14" t="n">
        <v>16850.3421667323</v>
      </c>
      <c r="S17" s="14" t="n">
        <v>29456.0378929612</v>
      </c>
      <c r="T17" s="14" t="n">
        <v>-936.780501065439</v>
      </c>
      <c r="U17" s="14" t="n">
        <v>-9253.6245370439</v>
      </c>
      <c r="V17" s="14" t="n">
        <v>0.82509878873241</v>
      </c>
      <c r="W17" s="14" t="n">
        <v>46042.4843595974</v>
      </c>
      <c r="X17" s="14" t="n">
        <v>25494.8402952654</v>
      </c>
      <c r="Y17" s="14" t="n">
        <v>0</v>
      </c>
      <c r="Z17" s="14" t="n">
        <v>0</v>
      </c>
      <c r="AA17" s="14" t="n">
        <v>30.1575455502983</v>
      </c>
      <c r="AB17" s="14" t="n">
        <v>27.9575455502983</v>
      </c>
      <c r="AC17" s="14" t="n">
        <v>29.4075455502983</v>
      </c>
      <c r="AD17" s="14" t="n">
        <v>23.1609949826291</v>
      </c>
      <c r="AE17" s="14" t="n">
        <v>653.683373262198</v>
      </c>
      <c r="AF17" s="14" t="n">
        <v>0.03</v>
      </c>
      <c r="AG17" s="14" t="n">
        <v>0.702129022128044</v>
      </c>
      <c r="AH17" s="14" t="n">
        <v>10689.3730662169</v>
      </c>
      <c r="AI17" s="14" t="n">
        <v>19606.894648061</v>
      </c>
      <c r="AJ17" s="14" t="n">
        <v>22.39175</v>
      </c>
      <c r="AK17" s="14" t="n">
        <v>0</v>
      </c>
      <c r="AL17" s="14" t="n">
        <v>-36275.2856716304</v>
      </c>
      <c r="AM17" s="14" t="n">
        <v>684.5</v>
      </c>
      <c r="AN17" s="14" t="n">
        <v>27078.2628664013</v>
      </c>
      <c r="AO17" s="14" t="n">
        <v>-7119.9037923103</v>
      </c>
      <c r="AP17" s="14" t="n">
        <v>0.519414437863832</v>
      </c>
      <c r="AQ17" s="14" t="n">
        <v>0</v>
      </c>
      <c r="AR17" s="14" t="n">
        <v>327.195752</v>
      </c>
      <c r="AS17" s="14" t="n">
        <v>314.925245</v>
      </c>
      <c r="AT17" s="14" t="n">
        <v>2073.20268369447</v>
      </c>
      <c r="AU17" s="14" t="n">
        <v>12.270507</v>
      </c>
      <c r="AV17" s="14" t="n">
        <v>0</v>
      </c>
      <c r="AW17" s="14" t="n">
        <v>2254.3125</v>
      </c>
      <c r="AX17" s="14" t="n">
        <v>314.925245</v>
      </c>
      <c r="AY17" s="14" t="n">
        <v>314.925245</v>
      </c>
    </row>
    <row r="18" customFormat="false" ht="15" hidden="false" customHeight="false" outlineLevel="0" collapsed="false">
      <c r="A18" s="0" t="s">
        <v>2567</v>
      </c>
      <c r="B18" s="14" t="n">
        <v>2423.40833661368</v>
      </c>
      <c r="C18" s="14" t="n">
        <v>7621.71734378923</v>
      </c>
      <c r="D18" s="14" t="n">
        <v>19606.894648061</v>
      </c>
      <c r="E18" s="14" t="n">
        <v>4078.97255313604</v>
      </c>
      <c r="F18" s="14" t="n">
        <v>-258.965800411979</v>
      </c>
      <c r="G18" s="14" t="n">
        <v>4033.06965979645</v>
      </c>
      <c r="H18" s="14" t="n">
        <v>8648.97219846273</v>
      </c>
      <c r="I18" s="15" t="n">
        <v>0.01</v>
      </c>
      <c r="J18" s="15" t="n">
        <v>8.29780450796492</v>
      </c>
      <c r="K18" s="14" t="s">
        <v>82</v>
      </c>
      <c r="L18" s="14" t="n">
        <v>2073.20268369447</v>
      </c>
      <c r="M18" s="14" t="n">
        <v>32170.7343468758</v>
      </c>
      <c r="N18" s="14" t="n">
        <v>12202.2600162747</v>
      </c>
      <c r="O18" s="14" t="n">
        <v>-13557.603297156</v>
      </c>
      <c r="P18" s="14" t="n">
        <v>968.519919991184</v>
      </c>
      <c r="Q18" s="14" t="n">
        <v>2453.47772383887</v>
      </c>
      <c r="R18" s="14" t="n">
        <v>16850.3421667323</v>
      </c>
      <c r="S18" s="14" t="n">
        <v>29313.6378929612</v>
      </c>
      <c r="T18" s="14" t="n">
        <v>-761.021834398772</v>
      </c>
      <c r="U18" s="14" t="n">
        <v>-420.915199189079</v>
      </c>
      <c r="V18" s="14" t="n">
        <v>0.82509878873241</v>
      </c>
      <c r="W18" s="14" t="n">
        <v>54087.3915738954</v>
      </c>
      <c r="X18" s="14" t="n">
        <v>22598.9619562254</v>
      </c>
      <c r="Y18" s="14" t="n">
        <v>7.80591786241008</v>
      </c>
      <c r="Z18" s="14" t="n">
        <v>10.5954665762204</v>
      </c>
      <c r="AA18" s="14" t="n">
        <v>30.1575455502983</v>
      </c>
      <c r="AB18" s="14" t="n">
        <v>27.9575455502983</v>
      </c>
      <c r="AC18" s="14" t="n">
        <v>29.4075455502983</v>
      </c>
      <c r="AD18" s="14" t="n">
        <v>23.1609949826291</v>
      </c>
      <c r="AE18" s="14" t="n">
        <v>653.683373262198</v>
      </c>
      <c r="AF18" s="14" t="n">
        <v>0.03</v>
      </c>
      <c r="AG18" s="14" t="n">
        <v>0.702129022128044</v>
      </c>
      <c r="AH18" s="14" t="n">
        <v>10689.3730662169</v>
      </c>
      <c r="AI18" s="14" t="n">
        <v>19606.894648061</v>
      </c>
      <c r="AJ18" s="14" t="n">
        <v>22.39175</v>
      </c>
      <c r="AK18" s="14" t="n">
        <v>0</v>
      </c>
      <c r="AL18" s="14" t="n">
        <v>-36635.0393512671</v>
      </c>
      <c r="AM18" s="14" t="n">
        <v>684.5</v>
      </c>
      <c r="AN18" s="14" t="n">
        <v>27078.2628664013</v>
      </c>
      <c r="AO18" s="14" t="n">
        <v>-7119.9037923103</v>
      </c>
      <c r="AP18" s="14" t="n">
        <v>0.519414437863832</v>
      </c>
      <c r="AQ18" s="14" t="n">
        <v>7.34318983005745</v>
      </c>
      <c r="AR18" s="14" t="n">
        <v>327.195752</v>
      </c>
      <c r="AS18" s="14" t="n">
        <v>314.925245</v>
      </c>
      <c r="AT18" s="14" t="n">
        <v>2073.20268369447</v>
      </c>
      <c r="AU18" s="14" t="n">
        <v>12.270507</v>
      </c>
      <c r="AV18" s="14" t="n">
        <v>0</v>
      </c>
      <c r="AW18" s="14" t="n">
        <v>2254.3125</v>
      </c>
      <c r="AX18" s="14" t="n">
        <v>314.925245</v>
      </c>
      <c r="AY18" s="14" t="n">
        <v>314.925245</v>
      </c>
    </row>
    <row r="19" customFormat="false" ht="15" hidden="false" customHeight="false" outlineLevel="0" collapsed="false">
      <c r="A19" s="0" t="s">
        <v>367</v>
      </c>
      <c r="B19" s="14" t="n">
        <v>4867.32427317475</v>
      </c>
      <c r="C19" s="14" t="n">
        <v>21866.9947339624</v>
      </c>
      <c r="D19" s="14" t="n">
        <v>41018.4922442549</v>
      </c>
      <c r="E19" s="14" t="n">
        <v>12687.8927298633</v>
      </c>
      <c r="F19" s="14" t="n">
        <v>2637.83055695456</v>
      </c>
      <c r="G19" s="14" t="n">
        <v>9175.38238355026</v>
      </c>
      <c r="H19" s="14" t="n">
        <v>32246.702003054</v>
      </c>
      <c r="I19" s="15" t="n">
        <v>43.0134183550517</v>
      </c>
      <c r="J19" s="15" t="n">
        <v>56.5310165292128</v>
      </c>
      <c r="K19" s="14" t="s">
        <v>302</v>
      </c>
      <c r="L19" s="14" t="n">
        <v>-13542.8091332455</v>
      </c>
      <c r="M19" s="14" t="n">
        <v>48151.4696150254</v>
      </c>
      <c r="N19" s="14" t="n">
        <v>26649.7039962587</v>
      </c>
      <c r="O19" s="14" t="n">
        <v>-36795.7725800647</v>
      </c>
      <c r="P19" s="14" t="n">
        <v>2042.7393210116</v>
      </c>
      <c r="Q19" s="14" t="n">
        <v>7024.28206627408</v>
      </c>
      <c r="R19" s="14" t="n">
        <v>37051.3877575012</v>
      </c>
      <c r="S19" s="14" t="n">
        <v>51778.7231973844</v>
      </c>
      <c r="T19" s="14" t="n">
        <v>39.1376763596696</v>
      </c>
      <c r="U19" s="14" t="n">
        <v>13551.0306205108</v>
      </c>
      <c r="V19" s="14" t="n">
        <v>0.82509878873241</v>
      </c>
      <c r="W19" s="14" t="n">
        <v>95300.6202153882</v>
      </c>
      <c r="X19" s="14" t="n">
        <v>46658.3661853257</v>
      </c>
      <c r="Y19" s="14" t="n">
        <v>53.1799069599686</v>
      </c>
      <c r="Z19" s="14" t="n">
        <v>72.1844550061518</v>
      </c>
      <c r="AA19" s="14" t="n">
        <v>30.1575455502983</v>
      </c>
      <c r="AB19" s="14" t="n">
        <v>27.9575455502983</v>
      </c>
      <c r="AC19" s="14" t="n">
        <v>29.4075455502983</v>
      </c>
      <c r="AD19" s="14" t="n">
        <v>23.1609949826291</v>
      </c>
      <c r="AE19" s="14" t="n">
        <v>1198.26950612401</v>
      </c>
      <c r="AF19" s="14" t="n">
        <v>0.03</v>
      </c>
      <c r="AG19" s="14" t="n">
        <v>0.710979004657279</v>
      </c>
      <c r="AH19" s="14" t="n">
        <v>-879.753427218466</v>
      </c>
      <c r="AI19" s="14" t="n">
        <v>41018.4922442549</v>
      </c>
      <c r="AJ19" s="14" t="n">
        <v>22.39175</v>
      </c>
      <c r="AK19" s="14" t="n">
        <v>0</v>
      </c>
      <c r="AL19" s="14" t="n">
        <v>-58375.0621322351</v>
      </c>
      <c r="AM19" s="14" t="n">
        <v>1575</v>
      </c>
      <c r="AN19" s="14" t="n">
        <v>54063.6657346571</v>
      </c>
      <c r="AO19" s="14" t="n">
        <v>-13395.1807372965</v>
      </c>
      <c r="AP19" s="14" t="n">
        <v>0</v>
      </c>
      <c r="AQ19" s="14" t="n">
        <v>50.0274482559406</v>
      </c>
      <c r="AR19" s="14" t="n">
        <v>327.312443649969</v>
      </c>
      <c r="AS19" s="14" t="n">
        <v>315.041936649969</v>
      </c>
      <c r="AT19" s="14" t="n">
        <v>-13542.8091332455</v>
      </c>
      <c r="AU19" s="14" t="n">
        <v>12.270507</v>
      </c>
      <c r="AV19" s="14" t="n">
        <v>0</v>
      </c>
      <c r="AW19" s="14" t="n">
        <v>2254.3125</v>
      </c>
      <c r="AX19" s="14" t="n">
        <v>315.041936649969</v>
      </c>
      <c r="AY19" s="14" t="n">
        <v>315.041936649969</v>
      </c>
    </row>
    <row r="20" customFormat="false" ht="15" hidden="false" customHeight="false" outlineLevel="0" collapsed="false">
      <c r="A20" s="0" t="s">
        <v>2568</v>
      </c>
      <c r="B20" s="14" t="n">
        <v>2412.53310913636</v>
      </c>
      <c r="C20" s="14" t="n">
        <v>6370.20231587246</v>
      </c>
      <c r="D20" s="14" t="n">
        <v>17095.2071475519</v>
      </c>
      <c r="E20" s="14" t="n">
        <v>3522.35640406159</v>
      </c>
      <c r="F20" s="14" t="n">
        <v>-717.095436653608</v>
      </c>
      <c r="G20" s="14" t="n">
        <v>3984.6437480803</v>
      </c>
      <c r="H20" s="14" t="n">
        <v>-4770.85245553501</v>
      </c>
      <c r="I20" s="15" t="n">
        <v>0.01</v>
      </c>
      <c r="J20" s="15" t="n">
        <v>0</v>
      </c>
      <c r="K20" s="14" t="s">
        <v>325</v>
      </c>
      <c r="L20" s="14" t="n">
        <v>5394.56066056876</v>
      </c>
      <c r="M20" s="14" t="n">
        <v>31502.7040463175</v>
      </c>
      <c r="N20" s="14" t="n">
        <v>10663.9279181264</v>
      </c>
      <c r="O20" s="14" t="n">
        <v>-12622.7496308482</v>
      </c>
      <c r="P20" s="14" t="n">
        <v>979.667383465823</v>
      </c>
      <c r="Q20" s="14" t="n">
        <v>416.694036444558</v>
      </c>
      <c r="R20" s="14" t="n">
        <v>12977.6246621827</v>
      </c>
      <c r="S20" s="14" t="n">
        <v>31473.304142951</v>
      </c>
      <c r="T20" s="14" t="n">
        <v>-925.201495529402</v>
      </c>
      <c r="U20" s="14" t="n">
        <v>-12513.2865759465</v>
      </c>
      <c r="V20" s="14" t="n">
        <v>0.82509878873241</v>
      </c>
      <c r="W20" s="14" t="n">
        <v>45981.2698304362</v>
      </c>
      <c r="X20" s="14" t="n">
        <v>25654.0252519576</v>
      </c>
      <c r="Y20" s="14" t="n">
        <v>0</v>
      </c>
      <c r="Z20" s="14" t="n">
        <v>0</v>
      </c>
      <c r="AA20" s="14" t="n">
        <v>30.1575455502983</v>
      </c>
      <c r="AB20" s="14" t="n">
        <v>27.9575455502983</v>
      </c>
      <c r="AC20" s="14" t="n">
        <v>29.4075455502983</v>
      </c>
      <c r="AD20" s="14" t="n">
        <v>23.1609949826291</v>
      </c>
      <c r="AE20" s="14" t="n">
        <v>657.15041095771</v>
      </c>
      <c r="AF20" s="14" t="n">
        <v>0.03</v>
      </c>
      <c r="AG20" s="14" t="n">
        <v>0.701712669885352</v>
      </c>
      <c r="AH20" s="14" t="n">
        <v>13112.4917655265</v>
      </c>
      <c r="AI20" s="14" t="n">
        <v>17095.2071475519</v>
      </c>
      <c r="AJ20" s="14" t="n">
        <v>22.39175</v>
      </c>
      <c r="AK20" s="14" t="n">
        <v>0</v>
      </c>
      <c r="AL20" s="14" t="n">
        <v>-36602.5915480158</v>
      </c>
      <c r="AM20" s="14" t="n">
        <v>545.1</v>
      </c>
      <c r="AN20" s="14" t="n">
        <v>27201.5669311558</v>
      </c>
      <c r="AO20" s="14" t="n">
        <v>-8087.87750248302</v>
      </c>
      <c r="AP20" s="14" t="n">
        <v>0.818897767731752</v>
      </c>
      <c r="AQ20" s="14" t="n">
        <v>0</v>
      </c>
      <c r="AR20" s="14" t="n">
        <v>327.195752</v>
      </c>
      <c r="AS20" s="14" t="n">
        <v>314.925245</v>
      </c>
      <c r="AT20" s="14" t="n">
        <v>5394.56066056876</v>
      </c>
      <c r="AU20" s="14" t="n">
        <v>12.270507</v>
      </c>
      <c r="AV20" s="14" t="n">
        <v>0</v>
      </c>
      <c r="AW20" s="14" t="n">
        <v>2254.3125</v>
      </c>
      <c r="AX20" s="14" t="n">
        <v>314.925245</v>
      </c>
      <c r="AY20" s="14" t="n">
        <v>314.925245</v>
      </c>
    </row>
    <row r="21" customFormat="false" ht="15" hidden="false" customHeight="false" outlineLevel="0" collapsed="false">
      <c r="A21" s="0" t="s">
        <v>2569</v>
      </c>
      <c r="B21" s="14" t="n">
        <v>2423.40833661368</v>
      </c>
      <c r="C21" s="14" t="n">
        <v>7621.71734378923</v>
      </c>
      <c r="D21" s="14" t="n">
        <v>19606.894648061</v>
      </c>
      <c r="E21" s="14" t="n">
        <v>4078.97255313604</v>
      </c>
      <c r="F21" s="14" t="n">
        <v>-845.669634395171</v>
      </c>
      <c r="G21" s="14" t="n">
        <v>4619.77349377964</v>
      </c>
      <c r="H21" s="14" t="n">
        <v>1985.55597842473</v>
      </c>
      <c r="I21" s="15" t="n">
        <v>0.01</v>
      </c>
      <c r="J21" s="15" t="n">
        <v>0</v>
      </c>
      <c r="K21" s="14" t="s">
        <v>325</v>
      </c>
      <c r="L21" s="14" t="n">
        <v>5168.0937052493</v>
      </c>
      <c r="M21" s="14" t="n">
        <v>29100</v>
      </c>
      <c r="N21" s="14" t="n">
        <v>12202.2600162747</v>
      </c>
      <c r="O21" s="14" t="n">
        <v>-10369.1927924015</v>
      </c>
      <c r="P21" s="14" t="n">
        <v>968.519919991184</v>
      </c>
      <c r="Q21" s="14" t="n">
        <v>1461.60725988069</v>
      </c>
      <c r="R21" s="14" t="n">
        <v>16850.3421667323</v>
      </c>
      <c r="S21" s="14" t="n">
        <v>29456.0378929612</v>
      </c>
      <c r="T21" s="14" t="n">
        <v>-936.780501065439</v>
      </c>
      <c r="U21" s="14" t="n">
        <v>-7084.33141922708</v>
      </c>
      <c r="V21" s="14" t="n">
        <v>0.82509878873241</v>
      </c>
      <c r="W21" s="14" t="n">
        <v>45793.9040344111</v>
      </c>
      <c r="X21" s="14" t="n">
        <v>25494.8402952654</v>
      </c>
      <c r="Y21" s="14" t="n">
        <v>0</v>
      </c>
      <c r="Z21" s="14" t="n">
        <v>0</v>
      </c>
      <c r="AA21" s="14" t="n">
        <v>30.1575455502983</v>
      </c>
      <c r="AB21" s="14" t="n">
        <v>27.9575455502983</v>
      </c>
      <c r="AC21" s="14" t="n">
        <v>29.4075455502983</v>
      </c>
      <c r="AD21" s="14" t="n">
        <v>23.1609949826291</v>
      </c>
      <c r="AE21" s="14" t="n">
        <v>653.683373262198</v>
      </c>
      <c r="AF21" s="14" t="n">
        <v>0.03</v>
      </c>
      <c r="AG21" s="14" t="n">
        <v>0.702129022128044</v>
      </c>
      <c r="AH21" s="14" t="n">
        <v>10689.3730662169</v>
      </c>
      <c r="AI21" s="14" t="n">
        <v>19606.894648061</v>
      </c>
      <c r="AJ21" s="14" t="n">
        <v>22.39175</v>
      </c>
      <c r="AK21" s="14" t="n">
        <v>0</v>
      </c>
      <c r="AL21" s="14" t="n">
        <v>-33431.513730884</v>
      </c>
      <c r="AM21" s="14" t="n">
        <v>684.5</v>
      </c>
      <c r="AN21" s="14" t="n">
        <v>27078.2628664013</v>
      </c>
      <c r="AO21" s="14" t="n">
        <v>-7119.9037923103</v>
      </c>
      <c r="AP21" s="14" t="n">
        <v>0.519414437863832</v>
      </c>
      <c r="AQ21" s="14" t="n">
        <v>0</v>
      </c>
      <c r="AR21" s="14" t="n">
        <v>327.195752</v>
      </c>
      <c r="AS21" s="14" t="n">
        <v>314.925245</v>
      </c>
      <c r="AT21" s="14" t="n">
        <v>4903.79228100389</v>
      </c>
      <c r="AU21" s="14" t="n">
        <v>12.270507</v>
      </c>
      <c r="AV21" s="14" t="n">
        <v>0</v>
      </c>
      <c r="AW21" s="14" t="n">
        <v>2254.3125</v>
      </c>
      <c r="AX21" s="14" t="n">
        <v>314.925245</v>
      </c>
      <c r="AY21" s="14" t="n">
        <v>314.925245</v>
      </c>
    </row>
    <row r="22" customFormat="false" ht="15" hidden="false" customHeight="false" outlineLevel="0" collapsed="false">
      <c r="A22" s="0" t="s">
        <v>335</v>
      </c>
      <c r="B22" s="14" t="n">
        <v>2423.40833661368</v>
      </c>
      <c r="C22" s="14" t="n">
        <v>7812.35308906345</v>
      </c>
      <c r="D22" s="14" t="n">
        <v>19705.3231766973</v>
      </c>
      <c r="E22" s="14" t="n">
        <v>4214.32393228073</v>
      </c>
      <c r="F22" s="14" t="n">
        <v>-857.377353357504</v>
      </c>
      <c r="G22" s="14" t="n">
        <v>4759.2071620757</v>
      </c>
      <c r="H22" s="14" t="n">
        <v>117.979531707878</v>
      </c>
      <c r="I22" s="15" t="n">
        <v>0.01</v>
      </c>
      <c r="J22" s="15" t="n">
        <v>0</v>
      </c>
      <c r="K22" s="14" t="s">
        <v>82</v>
      </c>
      <c r="L22" s="14" t="n">
        <v>2205.98591364422</v>
      </c>
      <c r="M22" s="14" t="n">
        <v>32174.5470617813</v>
      </c>
      <c r="N22" s="14" t="n">
        <v>12277.0656980383</v>
      </c>
      <c r="O22" s="14" t="n">
        <v>-13159.0177298428</v>
      </c>
      <c r="P22" s="14" t="n">
        <v>968.519919991184</v>
      </c>
      <c r="Q22" s="14" t="n">
        <v>917.41546701272</v>
      </c>
      <c r="R22" s="14" t="n">
        <v>16850.3421667323</v>
      </c>
      <c r="S22" s="14" t="n">
        <v>29458.006463534</v>
      </c>
      <c r="T22" s="14" t="n">
        <v>-936.780501065439</v>
      </c>
      <c r="U22" s="14" t="n">
        <v>-8951.90786594393</v>
      </c>
      <c r="V22" s="14" t="n">
        <v>0.82509878873241</v>
      </c>
      <c r="W22" s="14" t="n">
        <v>46109.9107159039</v>
      </c>
      <c r="X22" s="14" t="n">
        <v>25507.011577275</v>
      </c>
      <c r="Y22" s="14" t="n">
        <v>0</v>
      </c>
      <c r="Z22" s="14" t="n">
        <v>0</v>
      </c>
      <c r="AA22" s="14" t="n">
        <v>30.1575455502983</v>
      </c>
      <c r="AB22" s="14" t="n">
        <v>27.9575455502983</v>
      </c>
      <c r="AC22" s="14" t="n">
        <v>29.4075455502983</v>
      </c>
      <c r="AD22" s="14" t="n">
        <v>23.1609949826291</v>
      </c>
      <c r="AE22" s="14" t="n">
        <v>653.683373262198</v>
      </c>
      <c r="AF22" s="14" t="n">
        <v>0.03</v>
      </c>
      <c r="AG22" s="14" t="n">
        <v>0.702310000120338</v>
      </c>
      <c r="AH22" s="14" t="n">
        <v>10689.3730662169</v>
      </c>
      <c r="AI22" s="14" t="n">
        <v>19705.3231766973</v>
      </c>
      <c r="AJ22" s="14" t="n">
        <v>22.69296875</v>
      </c>
      <c r="AK22" s="14" t="n">
        <v>0</v>
      </c>
      <c r="AL22" s="14" t="n">
        <v>-36045.1285283499</v>
      </c>
      <c r="AM22" s="14" t="n">
        <v>684.5</v>
      </c>
      <c r="AN22" s="14" t="n">
        <v>27078.2628664013</v>
      </c>
      <c r="AO22" s="14" t="n">
        <v>-7119.9037923103</v>
      </c>
      <c r="AP22" s="14" t="n">
        <v>0.501682697942413</v>
      </c>
      <c r="AQ22" s="14" t="n">
        <v>0</v>
      </c>
      <c r="AR22" s="14" t="n">
        <v>327.195752</v>
      </c>
      <c r="AS22" s="14" t="n">
        <v>314.925245</v>
      </c>
      <c r="AT22" s="14" t="n">
        <v>2205.98591364422</v>
      </c>
      <c r="AU22" s="14" t="n">
        <v>12.270507</v>
      </c>
      <c r="AV22" s="14" t="n">
        <v>0</v>
      </c>
      <c r="AW22" s="14" t="n">
        <v>2254.3125</v>
      </c>
      <c r="AX22" s="14" t="n">
        <v>314.925245</v>
      </c>
      <c r="AY22" s="14" t="n">
        <v>314.925245</v>
      </c>
    </row>
    <row r="23" customFormat="false" ht="15" hidden="false" customHeight="false" outlineLevel="0" collapsed="false">
      <c r="A23" s="0" t="s">
        <v>336</v>
      </c>
      <c r="B23" s="14" t="n">
        <v>2423.40833661368</v>
      </c>
      <c r="C23" s="14" t="n">
        <v>7621.71734378923</v>
      </c>
      <c r="D23" s="14" t="n">
        <v>19606.894648061</v>
      </c>
      <c r="E23" s="14" t="n">
        <v>4078.97255313604</v>
      </c>
      <c r="F23" s="14" t="n">
        <v>-984.898133745312</v>
      </c>
      <c r="G23" s="14" t="n">
        <v>4759.00199312978</v>
      </c>
      <c r="H23" s="14" t="n">
        <v>-183.737139392088</v>
      </c>
      <c r="I23" s="15" t="n">
        <v>0.01</v>
      </c>
      <c r="J23" s="15" t="n">
        <v>0</v>
      </c>
      <c r="K23" s="14" t="s">
        <v>82</v>
      </c>
      <c r="L23" s="14" t="n">
        <v>2073.20268369447</v>
      </c>
      <c r="M23" s="14" t="n">
        <v>32170.7343468758</v>
      </c>
      <c r="N23" s="14" t="n">
        <v>12202.2600162747</v>
      </c>
      <c r="O23" s="14" t="n">
        <v>-13352.4239141392</v>
      </c>
      <c r="P23" s="14" t="n">
        <v>968.519919991184</v>
      </c>
      <c r="Q23" s="14" t="n">
        <v>847.460390505534</v>
      </c>
      <c r="R23" s="14" t="n">
        <v>16850.3421667323</v>
      </c>
      <c r="S23" s="14" t="n">
        <v>29456.0378929612</v>
      </c>
      <c r="T23" s="14" t="n">
        <v>-936.780501065439</v>
      </c>
      <c r="U23" s="14" t="n">
        <v>-9253.6245370439</v>
      </c>
      <c r="V23" s="14" t="n">
        <v>0.82509878873241</v>
      </c>
      <c r="W23" s="14" t="n">
        <v>46042.4843595974</v>
      </c>
      <c r="X23" s="14" t="n">
        <v>25494.8402952654</v>
      </c>
      <c r="Y23" s="14" t="n">
        <v>0</v>
      </c>
      <c r="Z23" s="14" t="n">
        <v>0</v>
      </c>
      <c r="AA23" s="14" t="n">
        <v>30.1575455502983</v>
      </c>
      <c r="AB23" s="14" t="n">
        <v>27.9575455502983</v>
      </c>
      <c r="AC23" s="14" t="n">
        <v>29.4075455502983</v>
      </c>
      <c r="AD23" s="14" t="n">
        <v>23.1609949826291</v>
      </c>
      <c r="AE23" s="14" t="n">
        <v>653.683373262198</v>
      </c>
      <c r="AF23" s="14" t="n">
        <v>0.03</v>
      </c>
      <c r="AG23" s="14" t="n">
        <v>0.702129022128044</v>
      </c>
      <c r="AH23" s="14" t="n">
        <v>10689.3730662169</v>
      </c>
      <c r="AI23" s="14" t="n">
        <v>19606.894648061</v>
      </c>
      <c r="AJ23" s="14" t="n">
        <v>22.39175</v>
      </c>
      <c r="AK23" s="14" t="n">
        <v>0</v>
      </c>
      <c r="AL23" s="14" t="n">
        <v>-36275.2856716304</v>
      </c>
      <c r="AM23" s="14" t="n">
        <v>684.5</v>
      </c>
      <c r="AN23" s="14" t="n">
        <v>27078.2628664013</v>
      </c>
      <c r="AO23" s="14" t="n">
        <v>-7119.9037923103</v>
      </c>
      <c r="AP23" s="14" t="n">
        <v>0.519414437863832</v>
      </c>
      <c r="AQ23" s="14" t="n">
        <v>0</v>
      </c>
      <c r="AR23" s="14" t="n">
        <v>327.195752</v>
      </c>
      <c r="AS23" s="14" t="n">
        <v>314.925245</v>
      </c>
      <c r="AT23" s="14" t="n">
        <v>2073.20268369447</v>
      </c>
      <c r="AU23" s="14" t="n">
        <v>12.270507</v>
      </c>
      <c r="AV23" s="14" t="n">
        <v>0</v>
      </c>
      <c r="AW23" s="14" t="n">
        <v>2254.3125</v>
      </c>
      <c r="AX23" s="14" t="n">
        <v>314.925245</v>
      </c>
      <c r="AY23" s="14" t="n">
        <v>314.925245</v>
      </c>
    </row>
    <row r="24" customFormat="false" ht="15" hidden="false" customHeight="false" outlineLevel="0" collapsed="false">
      <c r="A24" s="0" t="s">
        <v>337</v>
      </c>
      <c r="B24" s="14" t="n">
        <v>2423.40833661368</v>
      </c>
      <c r="C24" s="14" t="n">
        <v>7512.78263220396</v>
      </c>
      <c r="D24" s="14" t="n">
        <v>19550.6497745546</v>
      </c>
      <c r="E24" s="14" t="n">
        <v>4001.6289079105</v>
      </c>
      <c r="F24" s="14" t="n">
        <v>-1057.76715110977</v>
      </c>
      <c r="G24" s="14" t="n">
        <v>4758.88475373211</v>
      </c>
      <c r="H24" s="14" t="n">
        <v>-356.146665734927</v>
      </c>
      <c r="I24" s="15" t="n">
        <v>0.01</v>
      </c>
      <c r="J24" s="15" t="n">
        <v>0</v>
      </c>
      <c r="K24" s="14" t="s">
        <v>82</v>
      </c>
      <c r="L24" s="14" t="n">
        <v>1997.32655229461</v>
      </c>
      <c r="M24" s="14" t="n">
        <v>32168.5556526441</v>
      </c>
      <c r="N24" s="14" t="n">
        <v>12159.5139124098</v>
      </c>
      <c r="O24" s="14" t="n">
        <v>-13464.4277540525</v>
      </c>
      <c r="P24" s="14" t="n">
        <v>968.519919991184</v>
      </c>
      <c r="Q24" s="14" t="n">
        <v>807.486061072857</v>
      </c>
      <c r="R24" s="14" t="n">
        <v>16850.3421667323</v>
      </c>
      <c r="S24" s="14" t="n">
        <v>29454.9129954911</v>
      </c>
      <c r="T24" s="14" t="n">
        <v>-936.780501065439</v>
      </c>
      <c r="U24" s="14" t="n">
        <v>-9426.03406338673</v>
      </c>
      <c r="V24" s="14" t="n">
        <v>0.82509878873241</v>
      </c>
      <c r="W24" s="14" t="n">
        <v>46003.9550131366</v>
      </c>
      <c r="X24" s="14" t="n">
        <v>25487.8852769742</v>
      </c>
      <c r="Y24" s="14" t="n">
        <v>0</v>
      </c>
      <c r="Z24" s="14" t="n">
        <v>0</v>
      </c>
      <c r="AA24" s="14" t="n">
        <v>30.1575455502983</v>
      </c>
      <c r="AB24" s="14" t="n">
        <v>27.9575455502983</v>
      </c>
      <c r="AC24" s="14" t="n">
        <v>29.4075455502983</v>
      </c>
      <c r="AD24" s="14" t="n">
        <v>23.1609949826291</v>
      </c>
      <c r="AE24" s="14" t="n">
        <v>653.683373262198</v>
      </c>
      <c r="AF24" s="14" t="n">
        <v>0.03</v>
      </c>
      <c r="AG24" s="14" t="n">
        <v>0.702025332762977</v>
      </c>
      <c r="AH24" s="14" t="n">
        <v>10689.3730662169</v>
      </c>
      <c r="AI24" s="14" t="n">
        <v>19550.6497745546</v>
      </c>
      <c r="AJ24" s="14" t="n">
        <v>22.219625</v>
      </c>
      <c r="AK24" s="14" t="n">
        <v>0</v>
      </c>
      <c r="AL24" s="14" t="n">
        <v>-36408.2754685278</v>
      </c>
      <c r="AM24" s="14" t="n">
        <v>684.5</v>
      </c>
      <c r="AN24" s="14" t="n">
        <v>27078.2628664013</v>
      </c>
      <c r="AO24" s="14" t="n">
        <v>-7119.9037923103</v>
      </c>
      <c r="AP24" s="14" t="n">
        <v>0.529546860676072</v>
      </c>
      <c r="AQ24" s="14" t="n">
        <v>0</v>
      </c>
      <c r="AR24" s="14" t="n">
        <v>327.195752</v>
      </c>
      <c r="AS24" s="14" t="n">
        <v>314.925245</v>
      </c>
      <c r="AT24" s="14" t="n">
        <v>1997.32655229461</v>
      </c>
      <c r="AU24" s="14" t="n">
        <v>12.270507</v>
      </c>
      <c r="AV24" s="14" t="n">
        <v>0</v>
      </c>
      <c r="AW24" s="14" t="n">
        <v>2254.3125</v>
      </c>
      <c r="AX24" s="14" t="n">
        <v>314.925245</v>
      </c>
      <c r="AY24" s="14" t="n">
        <v>314.925245</v>
      </c>
    </row>
    <row r="25" customFormat="false" ht="15" hidden="false" customHeight="false" outlineLevel="0" collapsed="false">
      <c r="A25" s="0" t="s">
        <v>2570</v>
      </c>
      <c r="B25" s="14" t="n">
        <v>2423.40833661368</v>
      </c>
      <c r="C25" s="14" t="n">
        <v>7621.71734378923</v>
      </c>
      <c r="D25" s="14" t="n">
        <v>19606.894648061</v>
      </c>
      <c r="E25" s="14" t="n">
        <v>4078.97255313604</v>
      </c>
      <c r="F25" s="14" t="n">
        <v>-2469.20890881219</v>
      </c>
      <c r="G25" s="14" t="n">
        <v>6243.31276819665</v>
      </c>
      <c r="H25" s="14" t="n">
        <v>393.312043261499</v>
      </c>
      <c r="I25" s="15" t="n">
        <v>0.01</v>
      </c>
      <c r="J25" s="15" t="n">
        <v>0</v>
      </c>
      <c r="K25" s="14" t="s">
        <v>82</v>
      </c>
      <c r="L25" s="14" t="n">
        <v>2073.20268369447</v>
      </c>
      <c r="M25" s="14" t="n">
        <v>32170.7343468758</v>
      </c>
      <c r="N25" s="14" t="n">
        <v>12202.2600162747</v>
      </c>
      <c r="O25" s="14" t="n">
        <v>-13320.7415319434</v>
      </c>
      <c r="P25" s="14" t="n">
        <v>968.519919991184</v>
      </c>
      <c r="Q25" s="14" t="n">
        <v>-599.524121767566</v>
      </c>
      <c r="R25" s="14" t="n">
        <v>16850.3421667323</v>
      </c>
      <c r="S25" s="14" t="n">
        <v>29456.0378929612</v>
      </c>
      <c r="T25" s="14" t="n">
        <v>-1115.56101783968</v>
      </c>
      <c r="U25" s="14" t="n">
        <v>-8676.57535439031</v>
      </c>
      <c r="V25" s="14" t="n">
        <v>0.82509878873241</v>
      </c>
      <c r="W25" s="14" t="n">
        <v>46068.297852132</v>
      </c>
      <c r="X25" s="14" t="n">
        <v>25494.8402952654</v>
      </c>
      <c r="Y25" s="14" t="n">
        <v>0</v>
      </c>
      <c r="Z25" s="14" t="n">
        <v>0</v>
      </c>
      <c r="AA25" s="14" t="n">
        <v>30.1575455502983</v>
      </c>
      <c r="AB25" s="14" t="n">
        <v>27.9575455502983</v>
      </c>
      <c r="AC25" s="14" t="n">
        <v>29.4075455502983</v>
      </c>
      <c r="AD25" s="14" t="n">
        <v>23.1609949826291</v>
      </c>
      <c r="AE25" s="14" t="n">
        <v>653.683373262198</v>
      </c>
      <c r="AF25" s="14" t="n">
        <v>0.03</v>
      </c>
      <c r="AG25" s="14" t="n">
        <v>0.702129022128044</v>
      </c>
      <c r="AH25" s="14" t="n">
        <v>10689.3730662169</v>
      </c>
      <c r="AI25" s="14" t="n">
        <v>19606.894648061</v>
      </c>
      <c r="AJ25" s="14" t="n">
        <v>22.39175</v>
      </c>
      <c r="AK25" s="14" t="n">
        <v>0</v>
      </c>
      <c r="AL25" s="14" t="n">
        <v>-36083.9209049506</v>
      </c>
      <c r="AM25" s="14" t="n">
        <v>684.5</v>
      </c>
      <c r="AN25" s="14" t="n">
        <v>27078.2628664013</v>
      </c>
      <c r="AO25" s="14" t="n">
        <v>-7119.9037923103</v>
      </c>
      <c r="AP25" s="14" t="n">
        <v>0.519414437863832</v>
      </c>
      <c r="AQ25" s="14" t="n">
        <v>0</v>
      </c>
      <c r="AR25" s="14" t="n">
        <v>327.195752</v>
      </c>
      <c r="AS25" s="14" t="n">
        <v>314.925245</v>
      </c>
      <c r="AT25" s="14" t="n">
        <v>2073.20268369447</v>
      </c>
      <c r="AU25" s="14" t="n">
        <v>12.270507</v>
      </c>
      <c r="AV25" s="14" t="n">
        <v>0</v>
      </c>
      <c r="AW25" s="14" t="n">
        <v>2254.3125</v>
      </c>
      <c r="AX25" s="14" t="n">
        <v>314.925245</v>
      </c>
      <c r="AY25" s="14" t="n">
        <v>314.925245</v>
      </c>
    </row>
    <row r="26" customFormat="false" ht="15" hidden="false" customHeight="false" outlineLevel="0" collapsed="false">
      <c r="A26" s="0" t="s">
        <v>2571</v>
      </c>
      <c r="B26" s="14" t="n">
        <v>2423.40833661368</v>
      </c>
      <c r="C26" s="14" t="n">
        <v>7621.71734378923</v>
      </c>
      <c r="D26" s="14" t="n">
        <v>19606.894648061</v>
      </c>
      <c r="E26" s="14" t="n">
        <v>4078.97255313604</v>
      </c>
      <c r="F26" s="14" t="n">
        <v>-984.898133745312</v>
      </c>
      <c r="G26" s="14" t="n">
        <v>4759.00199312978</v>
      </c>
      <c r="H26" s="14" t="n">
        <v>-183.737139392088</v>
      </c>
      <c r="I26" s="15" t="n">
        <v>0.01</v>
      </c>
      <c r="J26" s="15" t="n">
        <v>0</v>
      </c>
      <c r="K26" s="14" t="s">
        <v>82</v>
      </c>
      <c r="L26" s="14" t="n">
        <v>2073.20268369447</v>
      </c>
      <c r="M26" s="14" t="n">
        <v>32170.7343468758</v>
      </c>
      <c r="N26" s="14" t="n">
        <v>12202.2600162747</v>
      </c>
      <c r="O26" s="14" t="n">
        <v>-13352.4239141392</v>
      </c>
      <c r="P26" s="14" t="n">
        <v>968.519919991184</v>
      </c>
      <c r="Q26" s="14" t="n">
        <v>847.460390505534</v>
      </c>
      <c r="R26" s="14" t="n">
        <v>16850.3421667323</v>
      </c>
      <c r="S26" s="14" t="n">
        <v>29456.0378929612</v>
      </c>
      <c r="T26" s="14" t="n">
        <v>-936.780501065439</v>
      </c>
      <c r="U26" s="14" t="n">
        <v>-9253.6245370439</v>
      </c>
      <c r="V26" s="14" t="n">
        <v>0.82509878873241</v>
      </c>
      <c r="W26" s="14" t="n">
        <v>46042.4843595974</v>
      </c>
      <c r="X26" s="14" t="n">
        <v>25494.8402952654</v>
      </c>
      <c r="Y26" s="14" t="n">
        <v>0</v>
      </c>
      <c r="Z26" s="14" t="n">
        <v>0</v>
      </c>
      <c r="AA26" s="14" t="n">
        <v>30.1575455502983</v>
      </c>
      <c r="AB26" s="14" t="n">
        <v>27.9575455502983</v>
      </c>
      <c r="AC26" s="14" t="n">
        <v>29.4075455502983</v>
      </c>
      <c r="AD26" s="14" t="n">
        <v>23.1609949826291</v>
      </c>
      <c r="AE26" s="14" t="n">
        <v>653.683373262198</v>
      </c>
      <c r="AF26" s="14" t="n">
        <v>0.03</v>
      </c>
      <c r="AG26" s="14" t="n">
        <v>0.702129022128044</v>
      </c>
      <c r="AH26" s="14" t="n">
        <v>10689.3730662169</v>
      </c>
      <c r="AI26" s="14" t="n">
        <v>19606.894648061</v>
      </c>
      <c r="AJ26" s="14" t="n">
        <v>22.39175</v>
      </c>
      <c r="AK26" s="14" t="n">
        <v>0</v>
      </c>
      <c r="AL26" s="14" t="n">
        <v>-36275.2856716304</v>
      </c>
      <c r="AM26" s="14" t="n">
        <v>684.5</v>
      </c>
      <c r="AN26" s="14" t="n">
        <v>27078.2628664013</v>
      </c>
      <c r="AO26" s="14" t="n">
        <v>-7119.9037923103</v>
      </c>
      <c r="AP26" s="14" t="n">
        <v>0.519414437863832</v>
      </c>
      <c r="AQ26" s="14" t="n">
        <v>0</v>
      </c>
      <c r="AR26" s="14" t="n">
        <v>327.195752</v>
      </c>
      <c r="AS26" s="14" t="n">
        <v>314.925245</v>
      </c>
      <c r="AT26" s="14" t="n">
        <v>2073.20268369447</v>
      </c>
      <c r="AU26" s="14" t="n">
        <v>12.270507</v>
      </c>
      <c r="AV26" s="14" t="n">
        <v>0</v>
      </c>
      <c r="AW26" s="14" t="n">
        <v>2254.3125</v>
      </c>
      <c r="AX26" s="14" t="n">
        <v>314.925245</v>
      </c>
      <c r="AY26" s="14" t="n">
        <v>314.925245</v>
      </c>
    </row>
    <row r="27" customFormat="false" ht="15" hidden="false" customHeight="false" outlineLevel="0" collapsed="false">
      <c r="A27" s="0" t="s">
        <v>2572</v>
      </c>
      <c r="B27" s="14" t="n">
        <v>2423.40833661368</v>
      </c>
      <c r="C27" s="14" t="n">
        <v>7621.71734378923</v>
      </c>
      <c r="D27" s="14" t="n">
        <v>19606.894648061</v>
      </c>
      <c r="E27" s="14" t="n">
        <v>4078.97255313604</v>
      </c>
      <c r="F27" s="14" t="n">
        <v>-342.966546020616</v>
      </c>
      <c r="G27" s="14" t="n">
        <v>4117.07040540508</v>
      </c>
      <c r="H27" s="14" t="n">
        <v>47245.5986303445</v>
      </c>
      <c r="I27" s="15" t="n">
        <v>121.31581379533</v>
      </c>
      <c r="J27" s="15" t="n">
        <v>141.558694552243</v>
      </c>
      <c r="K27" s="14" t="s">
        <v>1188</v>
      </c>
      <c r="L27" s="14" t="n">
        <v>11508.7431645441</v>
      </c>
      <c r="M27" s="14" t="n">
        <v>21529.9563029014</v>
      </c>
      <c r="N27" s="14" t="n">
        <v>12202.2600162747</v>
      </c>
      <c r="O27" s="14" t="n">
        <v>4269.01661287127</v>
      </c>
      <c r="P27" s="14" t="n">
        <v>968.519919991184</v>
      </c>
      <c r="Q27" s="14" t="n">
        <v>3285.20161988559</v>
      </c>
      <c r="R27" s="14" t="n">
        <v>14790.0540992732</v>
      </c>
      <c r="S27" s="14" t="n">
        <v>19506.234462162</v>
      </c>
      <c r="T27" s="14" t="n">
        <v>-936.780501065439</v>
      </c>
      <c r="U27" s="14" t="n">
        <v>38838.2374128798</v>
      </c>
      <c r="V27" s="14" t="n">
        <v>0.82509878873241</v>
      </c>
      <c r="W27" s="14" t="n">
        <v>67786.636586391</v>
      </c>
      <c r="X27" s="14" t="n">
        <v>20101.9296574089</v>
      </c>
      <c r="Y27" s="14" t="n">
        <v>133.167218066435</v>
      </c>
      <c r="Z27" s="14" t="n">
        <v>180.756297073759</v>
      </c>
      <c r="AA27" s="14" t="n">
        <v>30.1575455502983</v>
      </c>
      <c r="AB27" s="14" t="n">
        <v>27.9575455502983</v>
      </c>
      <c r="AC27" s="14" t="n">
        <v>29.4075455502983</v>
      </c>
      <c r="AD27" s="14" t="n">
        <v>23.1609949826291</v>
      </c>
      <c r="AE27" s="14" t="n">
        <v>653.683373262198</v>
      </c>
      <c r="AF27" s="14" t="n">
        <v>0.03</v>
      </c>
      <c r="AG27" s="14" t="n">
        <v>0.702129022128044</v>
      </c>
      <c r="AH27" s="14" t="n">
        <v>12170.6135398109</v>
      </c>
      <c r="AI27" s="14" t="n">
        <v>19606.894648061</v>
      </c>
      <c r="AJ27" s="14" t="n">
        <v>22.39175</v>
      </c>
      <c r="AK27" s="14" t="n">
        <v>0</v>
      </c>
      <c r="AL27" s="14" t="n">
        <v>-7771.13111541758</v>
      </c>
      <c r="AM27" s="14" t="n">
        <v>684.5</v>
      </c>
      <c r="AN27" s="14" t="n">
        <v>18147.0485452198</v>
      </c>
      <c r="AO27" s="14" t="n">
        <v>-4827.76629432423</v>
      </c>
      <c r="AP27" s="14" t="n">
        <v>0.519414437863832</v>
      </c>
      <c r="AQ27" s="14" t="n">
        <v>125.273181019684</v>
      </c>
      <c r="AR27" s="14" t="n">
        <v>332.56769558719</v>
      </c>
      <c r="AS27" s="14" t="n">
        <v>320.141589112225</v>
      </c>
      <c r="AT27" s="14" t="n">
        <v>10874.1129309304</v>
      </c>
      <c r="AU27" s="14" t="n">
        <v>12.270507</v>
      </c>
      <c r="AV27" s="14" t="n">
        <v>0</v>
      </c>
      <c r="AW27" s="14" t="n">
        <v>2254.3125</v>
      </c>
      <c r="AX27" s="14" t="n">
        <v>320.141589112225</v>
      </c>
      <c r="AY27" s="14" t="n">
        <v>318.699073132443</v>
      </c>
    </row>
    <row r="28" customFormat="false" ht="15" hidden="false" customHeight="false" outlineLevel="0" collapsed="false">
      <c r="A28" s="0" t="s">
        <v>2573</v>
      </c>
      <c r="B28" s="14" t="n">
        <v>2423.40833661368</v>
      </c>
      <c r="C28" s="14" t="n">
        <v>7621.71734378923</v>
      </c>
      <c r="D28" s="14" t="n">
        <v>19606.894648061</v>
      </c>
      <c r="E28" s="14" t="n">
        <v>4078.97255313604</v>
      </c>
      <c r="F28" s="14" t="n">
        <v>-984.898133745312</v>
      </c>
      <c r="G28" s="14" t="n">
        <v>4759.00199312978</v>
      </c>
      <c r="H28" s="14" t="n">
        <v>118824.024542229</v>
      </c>
      <c r="I28" s="15" t="n">
        <v>317.425148204537</v>
      </c>
      <c r="J28" s="15" t="n">
        <v>355.625147614209</v>
      </c>
      <c r="K28" s="14" t="s">
        <v>82</v>
      </c>
      <c r="L28" s="14" t="n">
        <v>2073.20268369447</v>
      </c>
      <c r="M28" s="14" t="n">
        <v>32170.7343468758</v>
      </c>
      <c r="N28" s="14" t="n">
        <v>12202.2600162747</v>
      </c>
      <c r="O28" s="14" t="n">
        <v>-13352.4239141392</v>
      </c>
      <c r="P28" s="14" t="n">
        <v>968.519919991184</v>
      </c>
      <c r="Q28" s="14" t="n">
        <v>847.460390505534</v>
      </c>
      <c r="R28" s="14" t="n">
        <v>16850.3421667323</v>
      </c>
      <c r="S28" s="14" t="n">
        <v>29456.0378929612</v>
      </c>
      <c r="T28" s="14" t="n">
        <v>-936.780501065439</v>
      </c>
      <c r="U28" s="14" t="n">
        <v>120879.137144577</v>
      </c>
      <c r="V28" s="14" t="n">
        <v>0.82509878873241</v>
      </c>
      <c r="W28" s="14" t="n">
        <v>165050.246041218</v>
      </c>
      <c r="X28" s="14" t="n">
        <v>25494.8402952654</v>
      </c>
      <c r="Y28" s="14" t="n">
        <v>334.543997682684</v>
      </c>
      <c r="Z28" s="14" t="n">
        <v>454.097750988584</v>
      </c>
      <c r="AA28" s="14" t="n">
        <v>30.1575455502983</v>
      </c>
      <c r="AB28" s="14" t="n">
        <v>27.9575455502983</v>
      </c>
      <c r="AC28" s="14" t="n">
        <v>29.4075455502983</v>
      </c>
      <c r="AD28" s="14" t="n">
        <v>23.1609949826291</v>
      </c>
      <c r="AE28" s="14" t="n">
        <v>653.683373262198</v>
      </c>
      <c r="AF28" s="14" t="n">
        <v>0.03</v>
      </c>
      <c r="AG28" s="14" t="n">
        <v>0.702129022128044</v>
      </c>
      <c r="AH28" s="14" t="n">
        <v>10689.3730662169</v>
      </c>
      <c r="AI28" s="14" t="n">
        <v>19606.894648061</v>
      </c>
      <c r="AJ28" s="14" t="n">
        <v>22.39175</v>
      </c>
      <c r="AK28" s="14" t="n">
        <v>0</v>
      </c>
      <c r="AL28" s="14" t="n">
        <v>-36275.2856716304</v>
      </c>
      <c r="AM28" s="14" t="n">
        <v>684.5</v>
      </c>
      <c r="AN28" s="14" t="n">
        <v>27078.2628664013</v>
      </c>
      <c r="AO28" s="14" t="n">
        <v>-7119.9037923103</v>
      </c>
      <c r="AP28" s="14" t="n">
        <v>0.519414437863832</v>
      </c>
      <c r="AQ28" s="14" t="n">
        <v>314.712520012575</v>
      </c>
      <c r="AR28" s="14" t="n">
        <v>393.06575047395</v>
      </c>
      <c r="AS28" s="14" t="n">
        <v>380.811469501739</v>
      </c>
      <c r="AT28" s="14" t="n">
        <v>2073.20268369447</v>
      </c>
      <c r="AU28" s="14" t="n">
        <v>12.270507</v>
      </c>
      <c r="AV28" s="14" t="n">
        <v>0</v>
      </c>
      <c r="AW28" s="14" t="n">
        <v>2254.3125</v>
      </c>
      <c r="AX28" s="14" t="n">
        <v>380.811469501739</v>
      </c>
      <c r="AY28" s="14" t="n">
        <v>345.76383681439</v>
      </c>
    </row>
    <row r="29" customFormat="false" ht="15" hidden="false" customHeight="false" outlineLevel="0" collapsed="false">
      <c r="A29" s="0" t="s">
        <v>366</v>
      </c>
      <c r="B29" s="14" t="n">
        <v>2423.40833661368</v>
      </c>
      <c r="C29" s="14" t="n">
        <v>7621.71734378923</v>
      </c>
      <c r="D29" s="14" t="n">
        <v>19606.894648061</v>
      </c>
      <c r="E29" s="14" t="n">
        <v>4078.97255313604</v>
      </c>
      <c r="F29" s="14" t="n">
        <v>-984.898133745312</v>
      </c>
      <c r="G29" s="14" t="n">
        <v>4759.00199312978</v>
      </c>
      <c r="H29" s="14" t="n">
        <v>-7484.7981188281</v>
      </c>
      <c r="I29" s="15" t="n">
        <v>0.01</v>
      </c>
      <c r="J29" s="15" t="n">
        <v>0</v>
      </c>
      <c r="K29" s="14" t="s">
        <v>82</v>
      </c>
      <c r="L29" s="14" t="n">
        <v>2073.20268369447</v>
      </c>
      <c r="M29" s="14" t="n">
        <v>32170.7343468758</v>
      </c>
      <c r="N29" s="14" t="n">
        <v>12202.2600162747</v>
      </c>
      <c r="O29" s="14" t="n">
        <v>-13352.4239141392</v>
      </c>
      <c r="P29" s="14" t="n">
        <v>968.519919991184</v>
      </c>
      <c r="Q29" s="14" t="n">
        <v>847.460390505534</v>
      </c>
      <c r="R29" s="14" t="n">
        <v>16850.3421667323</v>
      </c>
      <c r="S29" s="14" t="n">
        <v>29456.0378929612</v>
      </c>
      <c r="T29" s="14" t="n">
        <v>-936.780501065439</v>
      </c>
      <c r="U29" s="14" t="n">
        <v>-16554.6855164799</v>
      </c>
      <c r="V29" s="14" t="n">
        <v>0.82509878873241</v>
      </c>
      <c r="W29" s="14" t="n">
        <v>55282.4502070756</v>
      </c>
      <c r="X29" s="14" t="n">
        <v>30078.7618770952</v>
      </c>
      <c r="Y29" s="14" t="n">
        <v>0</v>
      </c>
      <c r="Z29" s="14" t="n">
        <v>0</v>
      </c>
      <c r="AA29" s="14" t="n">
        <v>30.1575455502983</v>
      </c>
      <c r="AB29" s="14" t="n">
        <v>27.9575455502983</v>
      </c>
      <c r="AC29" s="14" t="n">
        <v>29.4075455502983</v>
      </c>
      <c r="AD29" s="14" t="n">
        <v>23.1609949826291</v>
      </c>
      <c r="AE29" s="14" t="n">
        <v>653.683373262198</v>
      </c>
      <c r="AF29" s="14" t="n">
        <v>0.03</v>
      </c>
      <c r="AG29" s="14" t="n">
        <v>0.702129022128044</v>
      </c>
      <c r="AH29" s="14" t="n">
        <v>10689.3730662169</v>
      </c>
      <c r="AI29" s="14" t="n">
        <v>19606.894648061</v>
      </c>
      <c r="AJ29" s="14" t="n">
        <v>22.39175</v>
      </c>
      <c r="AK29" s="14" t="n">
        <v>0</v>
      </c>
      <c r="AL29" s="14" t="n">
        <v>-47333.2731818343</v>
      </c>
      <c r="AM29" s="14" t="n">
        <v>684.5</v>
      </c>
      <c r="AN29" s="14" t="n">
        <v>32874.2628664013</v>
      </c>
      <c r="AO29" s="14" t="n">
        <v>-10394.9443446336</v>
      </c>
      <c r="AP29" s="14" t="n">
        <v>0.519414437863832</v>
      </c>
      <c r="AQ29" s="14" t="n">
        <v>0</v>
      </c>
      <c r="AR29" s="14" t="n">
        <v>327.195752</v>
      </c>
      <c r="AS29" s="14" t="n">
        <v>314.925245</v>
      </c>
      <c r="AT29" s="14" t="n">
        <v>2073.20268369447</v>
      </c>
      <c r="AU29" s="14" t="n">
        <v>12.270507</v>
      </c>
      <c r="AV29" s="14" t="n">
        <v>0</v>
      </c>
      <c r="AW29" s="14" t="n">
        <v>2254.3125</v>
      </c>
      <c r="AX29" s="14" t="n">
        <v>314.925245</v>
      </c>
      <c r="AY29" s="14" t="n">
        <v>314.925245</v>
      </c>
    </row>
    <row r="30" customFormat="false" ht="15" hidden="false" customHeight="false" outlineLevel="0" collapsed="false">
      <c r="A30" s="0" t="s">
        <v>2574</v>
      </c>
      <c r="B30" s="14" t="n">
        <v>2423.40833661368</v>
      </c>
      <c r="C30" s="14" t="n">
        <v>7621.71734378923</v>
      </c>
      <c r="D30" s="14" t="n">
        <v>19606.894648061</v>
      </c>
      <c r="E30" s="14" t="n">
        <v>4078.97255313604</v>
      </c>
      <c r="F30" s="14" t="n">
        <v>-984.898133745312</v>
      </c>
      <c r="G30" s="14" t="n">
        <v>4759.00199312978</v>
      </c>
      <c r="H30" s="14" t="n">
        <v>-4358.43222641475</v>
      </c>
      <c r="I30" s="15" t="n">
        <v>0.01</v>
      </c>
      <c r="J30" s="15" t="n">
        <v>0</v>
      </c>
      <c r="K30" s="14" t="s">
        <v>82</v>
      </c>
      <c r="L30" s="14" t="n">
        <v>2073.20268369447</v>
      </c>
      <c r="M30" s="14" t="n">
        <v>32170.7343468758</v>
      </c>
      <c r="N30" s="14" t="n">
        <v>12202.2600162747</v>
      </c>
      <c r="O30" s="14" t="n">
        <v>-13352.4239141392</v>
      </c>
      <c r="P30" s="14" t="n">
        <v>968.519919991184</v>
      </c>
      <c r="Q30" s="14" t="n">
        <v>847.460390505534</v>
      </c>
      <c r="R30" s="14" t="n">
        <v>16850.3421667323</v>
      </c>
      <c r="S30" s="14" t="n">
        <v>29456.0378929612</v>
      </c>
      <c r="T30" s="14" t="n">
        <v>-936.780501065439</v>
      </c>
      <c r="U30" s="14" t="n">
        <v>-13428.3196240666</v>
      </c>
      <c r="V30" s="14" t="n">
        <v>0.82509878873241</v>
      </c>
      <c r="W30" s="14" t="n">
        <v>43447.3747815862</v>
      </c>
      <c r="X30" s="14" t="n">
        <v>25068.8907779251</v>
      </c>
      <c r="Y30" s="14" t="n">
        <v>0</v>
      </c>
      <c r="Z30" s="14" t="n">
        <v>0</v>
      </c>
      <c r="AA30" s="14" t="n">
        <v>30.1575455502983</v>
      </c>
      <c r="AB30" s="14" t="n">
        <v>27.9575455502983</v>
      </c>
      <c r="AC30" s="14" t="n">
        <v>29.4075455502983</v>
      </c>
      <c r="AD30" s="14" t="n">
        <v>23.1609949826291</v>
      </c>
      <c r="AE30" s="14" t="n">
        <v>653.683373262198</v>
      </c>
      <c r="AF30" s="14" t="n">
        <v>0.03</v>
      </c>
      <c r="AG30" s="14" t="n">
        <v>0.652129022128044</v>
      </c>
      <c r="AH30" s="14" t="n">
        <v>10689.3730662169</v>
      </c>
      <c r="AI30" s="14" t="n">
        <v>19606.894648061</v>
      </c>
      <c r="AJ30" s="14" t="n">
        <v>22.39175</v>
      </c>
      <c r="AK30" s="14" t="n">
        <v>0</v>
      </c>
      <c r="AL30" s="14" t="n">
        <v>-36823.2262792967</v>
      </c>
      <c r="AM30" s="14" t="n">
        <v>684.5</v>
      </c>
      <c r="AN30" s="14" t="n">
        <v>27078.2628664013</v>
      </c>
      <c r="AO30" s="14" t="n">
        <v>-7119.9037923103</v>
      </c>
      <c r="AP30" s="14" t="n">
        <v>0.519414437863832</v>
      </c>
      <c r="AQ30" s="14" t="n">
        <v>0</v>
      </c>
      <c r="AR30" s="14" t="n">
        <v>327.195752</v>
      </c>
      <c r="AS30" s="14" t="n">
        <v>314.925245</v>
      </c>
      <c r="AT30" s="14" t="n">
        <v>2073.20268369447</v>
      </c>
      <c r="AU30" s="14" t="n">
        <v>12.270507</v>
      </c>
      <c r="AV30" s="14" t="n">
        <v>0</v>
      </c>
      <c r="AW30" s="14" t="n">
        <v>2254.3125</v>
      </c>
      <c r="AX30" s="14" t="n">
        <v>314.925245</v>
      </c>
      <c r="AY30" s="14" t="n">
        <v>314.925245</v>
      </c>
    </row>
    <row r="31" customFormat="false" ht="15" hidden="false" customHeight="false" outlineLevel="0" collapsed="false">
      <c r="A31" s="0" t="s">
        <v>2575</v>
      </c>
      <c r="B31" s="14" t="n">
        <v>2423.40833661368</v>
      </c>
      <c r="C31" s="14" t="n">
        <v>7621.71734378923</v>
      </c>
      <c r="D31" s="14" t="n">
        <v>19606.894648061</v>
      </c>
      <c r="E31" s="14" t="n">
        <v>4078.97255313604</v>
      </c>
      <c r="F31" s="14" t="n">
        <v>-984.898133745312</v>
      </c>
      <c r="G31" s="14" t="n">
        <v>4759.00199312978</v>
      </c>
      <c r="H31" s="14" t="n">
        <v>20012.0550803803</v>
      </c>
      <c r="I31" s="15" t="n">
        <v>34.745285925644</v>
      </c>
      <c r="J31" s="15" t="n">
        <v>47.5412347116885</v>
      </c>
      <c r="K31" s="14" t="s">
        <v>82</v>
      </c>
      <c r="L31" s="14" t="n">
        <v>2073.20268369447</v>
      </c>
      <c r="M31" s="14" t="n">
        <v>32170.7343468758</v>
      </c>
      <c r="N31" s="14" t="n">
        <v>12202.2600162747</v>
      </c>
      <c r="O31" s="14" t="n">
        <v>-13273.2075506392</v>
      </c>
      <c r="P31" s="14" t="n">
        <v>968.519919991184</v>
      </c>
      <c r="Q31" s="14" t="n">
        <v>847.460390505534</v>
      </c>
      <c r="R31" s="14" t="n">
        <v>16850.3421667323</v>
      </c>
      <c r="S31" s="14" t="n">
        <v>29376.8215294612</v>
      </c>
      <c r="T31" s="14" t="n">
        <v>-936.780501065439</v>
      </c>
      <c r="U31" s="14" t="n">
        <v>10942.1676827285</v>
      </c>
      <c r="V31" s="14" t="n">
        <v>0.82509878873241</v>
      </c>
      <c r="W31" s="14" t="n">
        <v>65002.8657644551</v>
      </c>
      <c r="X31" s="14" t="n">
        <v>20609.3419745502</v>
      </c>
      <c r="Y31" s="14" t="n">
        <v>44.723031602008</v>
      </c>
      <c r="Z31" s="14" t="n">
        <v>60.705402603355</v>
      </c>
      <c r="AA31" s="14" t="n">
        <v>30.1575455502983</v>
      </c>
      <c r="AB31" s="14" t="n">
        <v>27.9575455502983</v>
      </c>
      <c r="AC31" s="14" t="n">
        <v>29.4075455502983</v>
      </c>
      <c r="AD31" s="14" t="n">
        <v>23.1609949826291</v>
      </c>
      <c r="AE31" s="14" t="n">
        <v>653.683373262198</v>
      </c>
      <c r="AF31" s="14" t="n">
        <v>0.03</v>
      </c>
      <c r="AG31" s="14" t="n">
        <v>0.702129022128044</v>
      </c>
      <c r="AH31" s="14" t="n">
        <v>10689.3730662169</v>
      </c>
      <c r="AI31" s="14" t="n">
        <v>19606.894648061</v>
      </c>
      <c r="AJ31" s="14" t="n">
        <v>22.39175</v>
      </c>
      <c r="AK31" s="14" t="n">
        <v>0</v>
      </c>
      <c r="AL31" s="14" t="n">
        <v>-36028.7785488723</v>
      </c>
      <c r="AM31" s="14" t="n">
        <v>684.5</v>
      </c>
      <c r="AN31" s="14" t="n">
        <v>27078.2628664013</v>
      </c>
      <c r="AO31" s="14" t="n">
        <v>-7119.9037923103</v>
      </c>
      <c r="AP31" s="14" t="n">
        <v>0.519414437863832</v>
      </c>
      <c r="AQ31" s="14" t="n">
        <v>42.071889125388</v>
      </c>
      <c r="AR31" s="14" t="n">
        <v>327.195752</v>
      </c>
      <c r="AS31" s="14" t="n">
        <v>314.925245</v>
      </c>
      <c r="AT31" s="14" t="n">
        <v>2073.20268369447</v>
      </c>
      <c r="AU31" s="14" t="n">
        <v>12.270507</v>
      </c>
      <c r="AV31" s="14" t="n">
        <v>0</v>
      </c>
      <c r="AW31" s="14" t="n">
        <v>2254.3125</v>
      </c>
      <c r="AX31" s="14" t="n">
        <v>314.925245</v>
      </c>
      <c r="AY31" s="14" t="n">
        <v>314.925245</v>
      </c>
    </row>
    <row r="32" customFormat="false" ht="15" hidden="false" customHeight="false" outlineLevel="0" collapsed="false">
      <c r="A32" s="0" t="s">
        <v>2576</v>
      </c>
      <c r="B32" s="14" t="n">
        <v>2423.40833661368</v>
      </c>
      <c r="C32" s="14" t="n">
        <v>7621.71734378923</v>
      </c>
      <c r="D32" s="14" t="n">
        <v>19606.894648061</v>
      </c>
      <c r="E32" s="14" t="n">
        <v>4078.97255313604</v>
      </c>
      <c r="F32" s="14" t="n">
        <v>-310.058133745312</v>
      </c>
      <c r="G32" s="14" t="n">
        <v>4084.16199312978</v>
      </c>
      <c r="H32" s="14" t="n">
        <v>2950.48601083523</v>
      </c>
      <c r="I32" s="15" t="n">
        <v>0.01</v>
      </c>
      <c r="J32" s="15" t="n">
        <v>0</v>
      </c>
      <c r="K32" s="14" t="s">
        <v>325</v>
      </c>
      <c r="L32" s="14" t="n">
        <v>510.821897476383</v>
      </c>
      <c r="M32" s="14" t="n">
        <v>33785.0343468758</v>
      </c>
      <c r="N32" s="14" t="n">
        <v>12202.2600162747</v>
      </c>
      <c r="O32" s="14" t="n">
        <v>-21065.975650128</v>
      </c>
      <c r="P32" s="14" t="n">
        <v>968.519919991184</v>
      </c>
      <c r="Q32" s="14" t="n">
        <v>1522.30039050553</v>
      </c>
      <c r="R32" s="14" t="n">
        <v>18842.8421667323</v>
      </c>
      <c r="S32" s="14" t="n">
        <v>37511.0378929612</v>
      </c>
      <c r="T32" s="14" t="n">
        <v>-936.780501065439</v>
      </c>
      <c r="U32" s="14" t="n">
        <v>-7914.72567176281</v>
      </c>
      <c r="V32" s="14" t="n">
        <v>0.82509878873241</v>
      </c>
      <c r="W32" s="14" t="n">
        <v>45769.3380569558</v>
      </c>
      <c r="X32" s="14" t="n">
        <v>24928.6933998654</v>
      </c>
      <c r="Y32" s="14" t="n">
        <v>0</v>
      </c>
      <c r="Z32" s="14" t="n">
        <v>0</v>
      </c>
      <c r="AA32" s="14" t="n">
        <v>30.1575455502983</v>
      </c>
      <c r="AB32" s="14" t="n">
        <v>27.9575455502983</v>
      </c>
      <c r="AC32" s="14" t="n">
        <v>29.4075455502983</v>
      </c>
      <c r="AD32" s="14" t="n">
        <v>23.1609949826291</v>
      </c>
      <c r="AE32" s="14" t="n">
        <v>653.683373262198</v>
      </c>
      <c r="AF32" s="14" t="n">
        <v>0.03</v>
      </c>
      <c r="AG32" s="14" t="n">
        <v>0.702129022128044</v>
      </c>
      <c r="AH32" s="14" t="n">
        <v>7304.22762388494</v>
      </c>
      <c r="AI32" s="14" t="n">
        <v>19606.894648061</v>
      </c>
      <c r="AJ32" s="14" t="n">
        <v>22.39175</v>
      </c>
      <c r="AK32" s="14" t="n">
        <v>0</v>
      </c>
      <c r="AL32" s="14" t="n">
        <v>-35767.8916560726</v>
      </c>
      <c r="AM32" s="14" t="n">
        <v>684.5</v>
      </c>
      <c r="AN32" s="14" t="n">
        <v>27281.3097719643</v>
      </c>
      <c r="AO32" s="14" t="n">
        <v>-7567.51177250364</v>
      </c>
      <c r="AP32" s="14" t="n">
        <v>0.519414437863832</v>
      </c>
      <c r="AQ32" s="14" t="n">
        <v>0</v>
      </c>
      <c r="AR32" s="14" t="n">
        <v>327.195752</v>
      </c>
      <c r="AS32" s="14" t="n">
        <v>314.925245</v>
      </c>
      <c r="AT32" s="14" t="n">
        <v>510.821897476383</v>
      </c>
      <c r="AU32" s="14" t="n">
        <v>12.270507</v>
      </c>
      <c r="AV32" s="14" t="n">
        <v>0</v>
      </c>
      <c r="AW32" s="14" t="n">
        <v>2254.3125</v>
      </c>
      <c r="AX32" s="14" t="n">
        <v>314.925245</v>
      </c>
      <c r="AY32" s="14" t="n">
        <v>314.925245</v>
      </c>
    </row>
    <row r="33" customFormat="false" ht="15" hidden="false" customHeight="false" outlineLevel="0" collapsed="false">
      <c r="A33" s="0" t="s">
        <v>2577</v>
      </c>
      <c r="B33" s="14" t="n">
        <v>2423.40833661368</v>
      </c>
      <c r="C33" s="14" t="n">
        <v>7621.71734378923</v>
      </c>
      <c r="D33" s="14" t="n">
        <v>19606.894648061</v>
      </c>
      <c r="E33" s="14" t="n">
        <v>4078.97255313604</v>
      </c>
      <c r="F33" s="14" t="n">
        <v>-1251.29813374531</v>
      </c>
      <c r="G33" s="14" t="n">
        <v>5025.40199312978</v>
      </c>
      <c r="H33" s="14" t="n">
        <v>-1153.14307437345</v>
      </c>
      <c r="I33" s="15" t="n">
        <v>0.01</v>
      </c>
      <c r="J33" s="15" t="n">
        <v>0</v>
      </c>
      <c r="K33" s="14" t="s">
        <v>325</v>
      </c>
      <c r="L33" s="14" t="n">
        <v>3398.99120238396</v>
      </c>
      <c r="M33" s="14" t="n">
        <v>33012.7343468758</v>
      </c>
      <c r="N33" s="14" t="n">
        <v>12202.2600162747</v>
      </c>
      <c r="O33" s="14" t="n">
        <v>-15181.5932422675</v>
      </c>
      <c r="P33" s="14" t="n">
        <v>968.519919991184</v>
      </c>
      <c r="Q33" s="14" t="n">
        <v>581.060390505535</v>
      </c>
      <c r="R33" s="14" t="n">
        <v>13247.8421667323</v>
      </c>
      <c r="S33" s="14" t="n">
        <v>33548.5378929612</v>
      </c>
      <c r="T33" s="14" t="n">
        <v>-1003.38050106544</v>
      </c>
      <c r="U33" s="14" t="n">
        <v>-8967.07747202526</v>
      </c>
      <c r="V33" s="14" t="n">
        <v>0.82509878873241</v>
      </c>
      <c r="W33" s="14" t="n">
        <v>46150.3116594369</v>
      </c>
      <c r="X33" s="14" t="n">
        <v>25718.3325792654</v>
      </c>
      <c r="Y33" s="14" t="n">
        <v>0</v>
      </c>
      <c r="Z33" s="14" t="n">
        <v>0</v>
      </c>
      <c r="AA33" s="14" t="n">
        <v>30.1575455502983</v>
      </c>
      <c r="AB33" s="14" t="n">
        <v>27.9575455502983</v>
      </c>
      <c r="AC33" s="14" t="n">
        <v>29.4075455502983</v>
      </c>
      <c r="AD33" s="14" t="n">
        <v>23.1609949826291</v>
      </c>
      <c r="AE33" s="14" t="n">
        <v>653.683373262198</v>
      </c>
      <c r="AF33" s="14" t="n">
        <v>0.03</v>
      </c>
      <c r="AG33" s="14" t="n">
        <v>0.702129022128044</v>
      </c>
      <c r="AH33" s="14" t="n">
        <v>13742.9623038245</v>
      </c>
      <c r="AI33" s="14" t="n">
        <v>19606.894648061</v>
      </c>
      <c r="AJ33" s="14" t="n">
        <v>22.39175</v>
      </c>
      <c r="AK33" s="14" t="n">
        <v>0</v>
      </c>
      <c r="AL33" s="14" t="n">
        <v>-34452.8320676736</v>
      </c>
      <c r="AM33" s="14" t="n">
        <v>684.5</v>
      </c>
      <c r="AN33" s="14" t="n">
        <v>26603.2183543219</v>
      </c>
      <c r="AO33" s="14" t="n">
        <v>-6812.400637641</v>
      </c>
      <c r="AP33" s="14" t="n">
        <v>0.519414437863832</v>
      </c>
      <c r="AQ33" s="14" t="n">
        <v>0</v>
      </c>
      <c r="AR33" s="14" t="n">
        <v>327.195752</v>
      </c>
      <c r="AS33" s="14" t="n">
        <v>314.925245</v>
      </c>
      <c r="AT33" s="14" t="n">
        <v>3398.99120238396</v>
      </c>
      <c r="AU33" s="14" t="n">
        <v>12.270507</v>
      </c>
      <c r="AV33" s="14" t="n">
        <v>0</v>
      </c>
      <c r="AW33" s="14" t="n">
        <v>2254.3125</v>
      </c>
      <c r="AX33" s="14" t="n">
        <v>314.925245</v>
      </c>
      <c r="AY33" s="14" t="n">
        <v>314.925245</v>
      </c>
    </row>
    <row r="34" customFormat="false" ht="15" hidden="false" customHeight="false" outlineLevel="0" collapsed="false">
      <c r="A34" s="0" t="s">
        <v>2578</v>
      </c>
      <c r="B34" s="14" t="n">
        <v>2423.40833661368</v>
      </c>
      <c r="C34" s="14" t="n">
        <v>7611.88322920589</v>
      </c>
      <c r="D34" s="14" t="n">
        <v>19010.9631376444</v>
      </c>
      <c r="E34" s="14" t="n">
        <v>4071.99033178187</v>
      </c>
      <c r="F34" s="14" t="n">
        <v>-991.479167078645</v>
      </c>
      <c r="G34" s="14" t="n">
        <v>4758.99416969228</v>
      </c>
      <c r="H34" s="14" t="n">
        <v>-5345.8042892014</v>
      </c>
      <c r="I34" s="15" t="n">
        <v>0.01</v>
      </c>
      <c r="J34" s="15" t="n">
        <v>0</v>
      </c>
      <c r="K34" s="14" t="s">
        <v>82</v>
      </c>
      <c r="L34" s="14" t="n">
        <v>2066.36977286221</v>
      </c>
      <c r="M34" s="14" t="n">
        <v>32170.5376645841</v>
      </c>
      <c r="N34" s="14" t="n">
        <v>11749.3520683581</v>
      </c>
      <c r="O34" s="14" t="n">
        <v>-13768.5917839663</v>
      </c>
      <c r="P34" s="14" t="n">
        <v>968.519919991184</v>
      </c>
      <c r="Q34" s="14" t="n">
        <v>419.024674620118</v>
      </c>
      <c r="R34" s="14" t="n">
        <v>16850.3421667323</v>
      </c>
      <c r="S34" s="14" t="n">
        <v>29444.1192627529</v>
      </c>
      <c r="T34" s="14" t="n">
        <v>-936.780501065439</v>
      </c>
      <c r="U34" s="14" t="n">
        <v>-14415.6916868532</v>
      </c>
      <c r="V34" s="14" t="n">
        <v>0.82509878873241</v>
      </c>
      <c r="W34" s="14" t="n">
        <v>43080.1473294293</v>
      </c>
      <c r="X34" s="14" t="n">
        <v>24959.1944291609</v>
      </c>
      <c r="Y34" s="14" t="n">
        <v>0</v>
      </c>
      <c r="Z34" s="14" t="n">
        <v>0</v>
      </c>
      <c r="AA34" s="14" t="n">
        <v>30.1575455502983</v>
      </c>
      <c r="AB34" s="14" t="n">
        <v>27.9575455502983</v>
      </c>
      <c r="AC34" s="14" t="n">
        <v>29.4075455502983</v>
      </c>
      <c r="AD34" s="14" t="n">
        <v>23.1609949826291</v>
      </c>
      <c r="AE34" s="14" t="n">
        <v>653.683373262198</v>
      </c>
      <c r="AF34" s="14" t="n">
        <v>0.03</v>
      </c>
      <c r="AG34" s="14" t="n">
        <v>0.694031967733148</v>
      </c>
      <c r="AH34" s="14" t="n">
        <v>10689.3730662169</v>
      </c>
      <c r="AI34" s="14" t="n">
        <v>19010.9631376444</v>
      </c>
      <c r="AJ34" s="14" t="n">
        <v>22.39175</v>
      </c>
      <c r="AK34" s="14" t="n">
        <v>0</v>
      </c>
      <c r="AL34" s="14" t="n">
        <v>-37447.5102253231</v>
      </c>
      <c r="AM34" s="14" t="n">
        <v>684.5</v>
      </c>
      <c r="AN34" s="14" t="n">
        <v>27078.2628664013</v>
      </c>
      <c r="AO34" s="14" t="n">
        <v>-7119.9037923103</v>
      </c>
      <c r="AP34" s="14" t="n">
        <v>0.533132957795103</v>
      </c>
      <c r="AQ34" s="14" t="n">
        <v>0</v>
      </c>
      <c r="AR34" s="14" t="n">
        <v>327.195752</v>
      </c>
      <c r="AS34" s="14" t="n">
        <v>314.925245</v>
      </c>
      <c r="AT34" s="14" t="n">
        <v>2066.36977286221</v>
      </c>
      <c r="AU34" s="14" t="n">
        <v>12.270507</v>
      </c>
      <c r="AV34" s="14" t="n">
        <v>0</v>
      </c>
      <c r="AW34" s="14" t="n">
        <v>2254.3125</v>
      </c>
      <c r="AX34" s="14" t="n">
        <v>314.925245</v>
      </c>
      <c r="AY34" s="14" t="n">
        <v>314.925245</v>
      </c>
    </row>
    <row r="35" customFormat="false" ht="15" hidden="false" customHeight="false" outlineLevel="0" collapsed="false">
      <c r="A35" s="0" t="s">
        <v>2579</v>
      </c>
      <c r="B35" s="14" t="n">
        <v>2423.40833661368</v>
      </c>
      <c r="C35" s="14" t="n">
        <v>7621.71734378923</v>
      </c>
      <c r="D35" s="14" t="n">
        <v>19606.894648061</v>
      </c>
      <c r="E35" s="14" t="n">
        <v>4078.97255313604</v>
      </c>
      <c r="F35" s="14" t="n">
        <v>-984.898133745312</v>
      </c>
      <c r="G35" s="14" t="n">
        <v>4759.00199312978</v>
      </c>
      <c r="H35" s="14" t="n">
        <v>-183.737139392088</v>
      </c>
      <c r="I35" s="15" t="n">
        <v>0.01</v>
      </c>
      <c r="J35" s="15" t="n">
        <v>0</v>
      </c>
      <c r="K35" s="14" t="s">
        <v>82</v>
      </c>
      <c r="L35" s="14" t="n">
        <v>2073.20268369447</v>
      </c>
      <c r="M35" s="14" t="n">
        <v>32170.7343468758</v>
      </c>
      <c r="N35" s="14" t="n">
        <v>12202.2600162747</v>
      </c>
      <c r="O35" s="14" t="n">
        <v>-13352.4239141392</v>
      </c>
      <c r="P35" s="14" t="n">
        <v>968.519919991184</v>
      </c>
      <c r="Q35" s="14" t="n">
        <v>847.460390505534</v>
      </c>
      <c r="R35" s="14" t="n">
        <v>16850.3421667323</v>
      </c>
      <c r="S35" s="14" t="n">
        <v>29456.0378929612</v>
      </c>
      <c r="T35" s="14" t="n">
        <v>-936.780501065439</v>
      </c>
      <c r="U35" s="14" t="n">
        <v>-9253.6245370439</v>
      </c>
      <c r="V35" s="14" t="n">
        <v>0.82509878873241</v>
      </c>
      <c r="W35" s="14" t="n">
        <v>46042.4843595974</v>
      </c>
      <c r="X35" s="14" t="n">
        <v>25494.8402952654</v>
      </c>
      <c r="Y35" s="14" t="n">
        <v>0</v>
      </c>
      <c r="Z35" s="14" t="n">
        <v>0</v>
      </c>
      <c r="AA35" s="14" t="n">
        <v>30.1575455502983</v>
      </c>
      <c r="AB35" s="14" t="n">
        <v>27.9575455502983</v>
      </c>
      <c r="AC35" s="14" t="n">
        <v>29.4075455502983</v>
      </c>
      <c r="AD35" s="14" t="n">
        <v>23.1609949826291</v>
      </c>
      <c r="AE35" s="14" t="n">
        <v>653.683373262198</v>
      </c>
      <c r="AF35" s="14" t="n">
        <v>0.03</v>
      </c>
      <c r="AG35" s="14" t="n">
        <v>0.702129022128044</v>
      </c>
      <c r="AH35" s="14" t="n">
        <v>10689.3730662169</v>
      </c>
      <c r="AI35" s="14" t="n">
        <v>19606.894648061</v>
      </c>
      <c r="AJ35" s="14" t="n">
        <v>22.39175</v>
      </c>
      <c r="AK35" s="14" t="n">
        <v>0</v>
      </c>
      <c r="AL35" s="14" t="n">
        <v>-36275.2856716304</v>
      </c>
      <c r="AM35" s="14" t="n">
        <v>684.5</v>
      </c>
      <c r="AN35" s="14" t="n">
        <v>27078.2628664013</v>
      </c>
      <c r="AO35" s="14" t="n">
        <v>-7119.9037923103</v>
      </c>
      <c r="AP35" s="14" t="n">
        <v>0.519414437863832</v>
      </c>
      <c r="AQ35" s="14" t="n">
        <v>0</v>
      </c>
      <c r="AR35" s="14" t="n">
        <v>327.195752</v>
      </c>
      <c r="AS35" s="14" t="n">
        <v>314.925245</v>
      </c>
      <c r="AT35" s="14" t="n">
        <v>2073.20268369447</v>
      </c>
      <c r="AU35" s="14" t="n">
        <v>12.270507</v>
      </c>
      <c r="AV35" s="14" t="n">
        <v>0</v>
      </c>
      <c r="AW35" s="14" t="n">
        <v>2254.3125</v>
      </c>
      <c r="AX35" s="14" t="n">
        <v>314.925245</v>
      </c>
      <c r="AY35" s="14" t="n">
        <v>314.925245</v>
      </c>
    </row>
    <row r="36" customFormat="false" ht="15" hidden="false" customHeight="false" outlineLevel="0" collapsed="false">
      <c r="A36" s="0" t="s">
        <v>2580</v>
      </c>
      <c r="B36" s="14" t="n">
        <v>2423.40833661368</v>
      </c>
      <c r="C36" s="14" t="n">
        <v>7631.55145837256</v>
      </c>
      <c r="D36" s="14" t="n">
        <v>20202.8261584777</v>
      </c>
      <c r="E36" s="14" t="n">
        <v>4085.9547744902</v>
      </c>
      <c r="F36" s="14" t="n">
        <v>-978.317100411978</v>
      </c>
      <c r="G36" s="14" t="n">
        <v>4759.00981656728</v>
      </c>
      <c r="H36" s="14" t="n">
        <v>5579.37745979747</v>
      </c>
      <c r="I36" s="15" t="n">
        <v>0.01</v>
      </c>
      <c r="J36" s="15" t="n">
        <v>0</v>
      </c>
      <c r="K36" s="14" t="s">
        <v>82</v>
      </c>
      <c r="L36" s="14" t="n">
        <v>2080.03559452672</v>
      </c>
      <c r="M36" s="14" t="n">
        <v>32170.9310291675</v>
      </c>
      <c r="N36" s="14" t="n">
        <v>12655.1679641914</v>
      </c>
      <c r="O36" s="14" t="n">
        <v>-13004.7884034904</v>
      </c>
      <c r="P36" s="14" t="n">
        <v>968.519919991184</v>
      </c>
      <c r="Q36" s="14" t="n">
        <v>1275.89610639095</v>
      </c>
      <c r="R36" s="14" t="n">
        <v>16850.3421667323</v>
      </c>
      <c r="S36" s="14" t="n">
        <v>29467.9565231696</v>
      </c>
      <c r="T36" s="14" t="n">
        <v>-936.780501065439</v>
      </c>
      <c r="U36" s="14" t="n">
        <v>-3490.50993785433</v>
      </c>
      <c r="V36" s="14" t="n">
        <v>0.82509878873241</v>
      </c>
      <c r="W36" s="14" t="n">
        <v>49605.8688391458</v>
      </c>
      <c r="X36" s="14" t="n">
        <v>26030.48616137</v>
      </c>
      <c r="Y36" s="14" t="n">
        <v>0</v>
      </c>
      <c r="Z36" s="14" t="n">
        <v>0</v>
      </c>
      <c r="AA36" s="14" t="n">
        <v>30.1575455502983</v>
      </c>
      <c r="AB36" s="14" t="n">
        <v>27.9575455502983</v>
      </c>
      <c r="AC36" s="14" t="n">
        <v>29.4075455502983</v>
      </c>
      <c r="AD36" s="14" t="n">
        <v>23.1609949826291</v>
      </c>
      <c r="AE36" s="14" t="n">
        <v>653.683373262198</v>
      </c>
      <c r="AF36" s="14" t="n">
        <v>0.03</v>
      </c>
      <c r="AG36" s="14" t="n">
        <v>0.709169174994266</v>
      </c>
      <c r="AH36" s="14" t="n">
        <v>10689.3730662169</v>
      </c>
      <c r="AI36" s="14" t="n">
        <v>20202.8261584777</v>
      </c>
      <c r="AJ36" s="14" t="n">
        <v>22.39175</v>
      </c>
      <c r="AK36" s="14" t="n">
        <v>0</v>
      </c>
      <c r="AL36" s="14" t="n">
        <v>-35267.5147786157</v>
      </c>
      <c r="AM36" s="14" t="n">
        <v>684.5</v>
      </c>
      <c r="AN36" s="14" t="n">
        <v>27078.2628664013</v>
      </c>
      <c r="AO36" s="14" t="n">
        <v>-7119.9037923103</v>
      </c>
      <c r="AP36" s="14" t="n">
        <v>0.506384213737803</v>
      </c>
      <c r="AQ36" s="14" t="n">
        <v>0</v>
      </c>
      <c r="AR36" s="14" t="n">
        <v>327.195752</v>
      </c>
      <c r="AS36" s="14" t="n">
        <v>314.925245</v>
      </c>
      <c r="AT36" s="14" t="n">
        <v>2080.03559452672</v>
      </c>
      <c r="AU36" s="14" t="n">
        <v>12.270507</v>
      </c>
      <c r="AV36" s="14" t="n">
        <v>0</v>
      </c>
      <c r="AW36" s="14" t="n">
        <v>2254.3125</v>
      </c>
      <c r="AX36" s="14" t="n">
        <v>314.925245</v>
      </c>
      <c r="AY36" s="14" t="n">
        <v>314.925245</v>
      </c>
    </row>
    <row r="37" customFormat="false" ht="15" hidden="false" customHeight="false" outlineLevel="0" collapsed="false">
      <c r="A37" s="0" t="s">
        <v>2581</v>
      </c>
      <c r="B37" s="14" t="n">
        <v>2423.40833661368</v>
      </c>
      <c r="C37" s="14" t="n">
        <v>7621.71734378923</v>
      </c>
      <c r="D37" s="14" t="n">
        <v>19606.894648061</v>
      </c>
      <c r="E37" s="14" t="n">
        <v>4078.97255313604</v>
      </c>
      <c r="F37" s="14" t="n">
        <v>-979.273133745312</v>
      </c>
      <c r="G37" s="14" t="n">
        <v>4753.37699312978</v>
      </c>
      <c r="H37" s="14" t="n">
        <v>106.439862019653</v>
      </c>
      <c r="I37" s="15" t="n">
        <v>0.01</v>
      </c>
      <c r="J37" s="15" t="n">
        <v>0</v>
      </c>
      <c r="K37" s="14" t="s">
        <v>82</v>
      </c>
      <c r="L37" s="14" t="n">
        <v>2301.1202755181</v>
      </c>
      <c r="M37" s="14" t="n">
        <v>31833.2343468758</v>
      </c>
      <c r="N37" s="14" t="n">
        <v>12202.2600162747</v>
      </c>
      <c r="O37" s="14" t="n">
        <v>-13023.5214582597</v>
      </c>
      <c r="P37" s="14" t="n">
        <v>968.519919991184</v>
      </c>
      <c r="Q37" s="14" t="n">
        <v>914.960390505534</v>
      </c>
      <c r="R37" s="14" t="n">
        <v>16850.3421667323</v>
      </c>
      <c r="S37" s="14" t="n">
        <v>29343.5378929612</v>
      </c>
      <c r="T37" s="14" t="n">
        <v>-936.780501065439</v>
      </c>
      <c r="U37" s="14" t="n">
        <v>-8963.44753563216</v>
      </c>
      <c r="V37" s="14" t="n">
        <v>0.82509878873241</v>
      </c>
      <c r="W37" s="14" t="n">
        <v>46006.0562177597</v>
      </c>
      <c r="X37" s="14" t="n">
        <v>25419.3361452654</v>
      </c>
      <c r="Y37" s="14" t="n">
        <v>0</v>
      </c>
      <c r="Z37" s="14" t="n">
        <v>0</v>
      </c>
      <c r="AA37" s="14" t="n">
        <v>30.1575455502983</v>
      </c>
      <c r="AB37" s="14" t="n">
        <v>27.9575455502983</v>
      </c>
      <c r="AC37" s="14" t="n">
        <v>29.4075455502983</v>
      </c>
      <c r="AD37" s="14" t="n">
        <v>23.1609949826291</v>
      </c>
      <c r="AE37" s="14" t="n">
        <v>653.683373262198</v>
      </c>
      <c r="AF37" s="14" t="n">
        <v>0.03</v>
      </c>
      <c r="AG37" s="14" t="n">
        <v>0.702129022128044</v>
      </c>
      <c r="AH37" s="14" t="n">
        <v>10689.3730662169</v>
      </c>
      <c r="AI37" s="14" t="n">
        <v>19606.894648061</v>
      </c>
      <c r="AJ37" s="14" t="n">
        <v>22.39175</v>
      </c>
      <c r="AK37" s="14" t="n">
        <v>0</v>
      </c>
      <c r="AL37" s="14" t="n">
        <v>-35940.1105057074</v>
      </c>
      <c r="AM37" s="14" t="n">
        <v>684.5</v>
      </c>
      <c r="AN37" s="14" t="n">
        <v>26939.5838850527</v>
      </c>
      <c r="AO37" s="14" t="n">
        <v>-7096.75594164471</v>
      </c>
      <c r="AP37" s="14" t="n">
        <v>0.519414437863832</v>
      </c>
      <c r="AQ37" s="14" t="n">
        <v>0</v>
      </c>
      <c r="AR37" s="14" t="n">
        <v>327.195752</v>
      </c>
      <c r="AS37" s="14" t="n">
        <v>314.925245</v>
      </c>
      <c r="AT37" s="14" t="n">
        <v>2301.1202755181</v>
      </c>
      <c r="AU37" s="14" t="n">
        <v>12.270507</v>
      </c>
      <c r="AV37" s="14" t="n">
        <v>0</v>
      </c>
      <c r="AW37" s="14" t="n">
        <v>2254.3125</v>
      </c>
      <c r="AX37" s="14" t="n">
        <v>314.925245</v>
      </c>
      <c r="AY37" s="14" t="n">
        <v>314.925245</v>
      </c>
    </row>
    <row r="38" customFormat="false" ht="15" hidden="false" customHeight="false" outlineLevel="0" collapsed="false">
      <c r="A38" s="0" t="s">
        <v>2582</v>
      </c>
      <c r="B38" s="14" t="n">
        <v>2423.40833661368</v>
      </c>
      <c r="C38" s="14" t="n">
        <v>7621.71734378923</v>
      </c>
      <c r="D38" s="14" t="n">
        <v>19606.894648061</v>
      </c>
      <c r="E38" s="14" t="n">
        <v>4078.97255313604</v>
      </c>
      <c r="F38" s="14" t="n">
        <v>-984.898133745312</v>
      </c>
      <c r="G38" s="14" t="n">
        <v>4759.00199312978</v>
      </c>
      <c r="H38" s="14" t="n">
        <v>-183.737139392088</v>
      </c>
      <c r="I38" s="15" t="n">
        <v>0.01</v>
      </c>
      <c r="J38" s="15" t="n">
        <v>0</v>
      </c>
      <c r="K38" s="14" t="s">
        <v>82</v>
      </c>
      <c r="L38" s="14" t="n">
        <v>2073.20268369447</v>
      </c>
      <c r="M38" s="14" t="n">
        <v>32170.7343468758</v>
      </c>
      <c r="N38" s="14" t="n">
        <v>12202.2600162747</v>
      </c>
      <c r="O38" s="14" t="n">
        <v>-13352.4239141392</v>
      </c>
      <c r="P38" s="14" t="n">
        <v>968.519919991184</v>
      </c>
      <c r="Q38" s="14" t="n">
        <v>847.460390505534</v>
      </c>
      <c r="R38" s="14" t="n">
        <v>16850.3421667323</v>
      </c>
      <c r="S38" s="14" t="n">
        <v>29456.0378929612</v>
      </c>
      <c r="T38" s="14" t="n">
        <v>-936.780501065439</v>
      </c>
      <c r="U38" s="14" t="n">
        <v>-9253.6245370439</v>
      </c>
      <c r="V38" s="14" t="n">
        <v>0.82509878873241</v>
      </c>
      <c r="W38" s="14" t="n">
        <v>46042.4843595974</v>
      </c>
      <c r="X38" s="14" t="n">
        <v>25494.8402952654</v>
      </c>
      <c r="Y38" s="14" t="n">
        <v>0</v>
      </c>
      <c r="Z38" s="14" t="n">
        <v>0</v>
      </c>
      <c r="AA38" s="14" t="n">
        <v>30.1575455502983</v>
      </c>
      <c r="AB38" s="14" t="n">
        <v>27.9575455502983</v>
      </c>
      <c r="AC38" s="14" t="n">
        <v>29.4075455502983</v>
      </c>
      <c r="AD38" s="14" t="n">
        <v>23.1609949826291</v>
      </c>
      <c r="AE38" s="14" t="n">
        <v>653.683373262198</v>
      </c>
      <c r="AF38" s="14" t="n">
        <v>0.03</v>
      </c>
      <c r="AG38" s="14" t="n">
        <v>0.702129022128044</v>
      </c>
      <c r="AH38" s="14" t="n">
        <v>10689.3730662169</v>
      </c>
      <c r="AI38" s="14" t="n">
        <v>19606.894648061</v>
      </c>
      <c r="AJ38" s="14" t="n">
        <v>22.39175</v>
      </c>
      <c r="AK38" s="14" t="n">
        <v>0</v>
      </c>
      <c r="AL38" s="14" t="n">
        <v>-36275.2856716304</v>
      </c>
      <c r="AM38" s="14" t="n">
        <v>684.5</v>
      </c>
      <c r="AN38" s="14" t="n">
        <v>27078.2628664013</v>
      </c>
      <c r="AO38" s="14" t="n">
        <v>-7119.9037923103</v>
      </c>
      <c r="AP38" s="14" t="n">
        <v>0.519414437863832</v>
      </c>
      <c r="AQ38" s="14" t="n">
        <v>0</v>
      </c>
      <c r="AR38" s="14" t="n">
        <v>327.195752</v>
      </c>
      <c r="AS38" s="14" t="n">
        <v>314.925245</v>
      </c>
      <c r="AT38" s="14" t="n">
        <v>2073.20268369447</v>
      </c>
      <c r="AU38" s="14" t="n">
        <v>12.270507</v>
      </c>
      <c r="AV38" s="14" t="n">
        <v>0</v>
      </c>
      <c r="AW38" s="14" t="n">
        <v>2254.3125</v>
      </c>
      <c r="AX38" s="14" t="n">
        <v>314.925245</v>
      </c>
      <c r="AY38" s="14" t="n">
        <v>314.925245</v>
      </c>
    </row>
    <row r="39" customFormat="false" ht="15" hidden="false" customHeight="false" outlineLevel="0" collapsed="false">
      <c r="A39" s="0" t="s">
        <v>2583</v>
      </c>
      <c r="B39" s="14" t="n">
        <v>2423.40833661368</v>
      </c>
      <c r="C39" s="14" t="n">
        <v>7621.71734378923</v>
      </c>
      <c r="D39" s="14" t="n">
        <v>19606.894648061</v>
      </c>
      <c r="E39" s="14" t="n">
        <v>4078.97255313604</v>
      </c>
      <c r="F39" s="14" t="n">
        <v>-989.585633745312</v>
      </c>
      <c r="G39" s="14" t="n">
        <v>4763.68949312978</v>
      </c>
      <c r="H39" s="14" t="n">
        <v>-425.551307235218</v>
      </c>
      <c r="I39" s="15" t="n">
        <v>0.01</v>
      </c>
      <c r="J39" s="15" t="n">
        <v>0</v>
      </c>
      <c r="K39" s="14" t="s">
        <v>82</v>
      </c>
      <c r="L39" s="14" t="n">
        <v>1883.27135717477</v>
      </c>
      <c r="M39" s="14" t="n">
        <v>32451.9843468758</v>
      </c>
      <c r="N39" s="14" t="n">
        <v>12202.2600162747</v>
      </c>
      <c r="O39" s="14" t="n">
        <v>-13628.1821757602</v>
      </c>
      <c r="P39" s="14" t="n">
        <v>968.519919991184</v>
      </c>
      <c r="Q39" s="14" t="n">
        <v>791.210390505534</v>
      </c>
      <c r="R39" s="14" t="n">
        <v>16850.3421667323</v>
      </c>
      <c r="S39" s="14" t="n">
        <v>29549.7878929612</v>
      </c>
      <c r="T39" s="14" t="n">
        <v>-936.780501065439</v>
      </c>
      <c r="U39" s="14" t="n">
        <v>-9495.43870488703</v>
      </c>
      <c r="V39" s="14" t="n">
        <v>0.82509878873241</v>
      </c>
      <c r="W39" s="14" t="n">
        <v>46072.8411444621</v>
      </c>
      <c r="X39" s="14" t="n">
        <v>25557.7604202654</v>
      </c>
      <c r="Y39" s="14" t="n">
        <v>0</v>
      </c>
      <c r="Z39" s="14" t="n">
        <v>0</v>
      </c>
      <c r="AA39" s="14" t="n">
        <v>30.1575455502983</v>
      </c>
      <c r="AB39" s="14" t="n">
        <v>27.9575455502983</v>
      </c>
      <c r="AC39" s="14" t="n">
        <v>29.4075455502983</v>
      </c>
      <c r="AD39" s="14" t="n">
        <v>23.1609949826291</v>
      </c>
      <c r="AE39" s="14" t="n">
        <v>653.683373262198</v>
      </c>
      <c r="AF39" s="14" t="n">
        <v>0.03</v>
      </c>
      <c r="AG39" s="14" t="n">
        <v>0.702129022128044</v>
      </c>
      <c r="AH39" s="14" t="n">
        <v>10689.3730662169</v>
      </c>
      <c r="AI39" s="14" t="n">
        <v>19606.894648061</v>
      </c>
      <c r="AJ39" s="14" t="n">
        <v>22.39175</v>
      </c>
      <c r="AK39" s="14" t="n">
        <v>0</v>
      </c>
      <c r="AL39" s="14" t="n">
        <v>-36556.2484532149</v>
      </c>
      <c r="AM39" s="14" t="n">
        <v>684.5</v>
      </c>
      <c r="AN39" s="14" t="n">
        <v>27193.8286841919</v>
      </c>
      <c r="AO39" s="14" t="n">
        <v>-7139.19366786496</v>
      </c>
      <c r="AP39" s="14" t="n">
        <v>0.519414437863832</v>
      </c>
      <c r="AQ39" s="14" t="n">
        <v>0</v>
      </c>
      <c r="AR39" s="14" t="n">
        <v>327.195752</v>
      </c>
      <c r="AS39" s="14" t="n">
        <v>314.925245</v>
      </c>
      <c r="AT39" s="14" t="n">
        <v>1883.27135717477</v>
      </c>
      <c r="AU39" s="14" t="n">
        <v>12.270507</v>
      </c>
      <c r="AV39" s="14" t="n">
        <v>0</v>
      </c>
      <c r="AW39" s="14" t="n">
        <v>2254.3125</v>
      </c>
      <c r="AX39" s="14" t="n">
        <v>314.925245</v>
      </c>
      <c r="AY39" s="14" t="n">
        <v>314.925245</v>
      </c>
    </row>
    <row r="40" customFormat="false" ht="15" hidden="false" customHeight="false" outlineLevel="0" collapsed="false">
      <c r="A40" s="0" t="s">
        <v>2584</v>
      </c>
      <c r="B40" s="14" t="n">
        <v>2423.40833661368</v>
      </c>
      <c r="C40" s="14" t="n">
        <v>7621.71734378923</v>
      </c>
      <c r="D40" s="14" t="n">
        <v>19606.894648061</v>
      </c>
      <c r="E40" s="14" t="n">
        <v>4078.97255313604</v>
      </c>
      <c r="F40" s="14" t="n">
        <v>-988.195177495312</v>
      </c>
      <c r="G40" s="14" t="n">
        <v>4762.29903687978</v>
      </c>
      <c r="H40" s="14" t="n">
        <v>-171.492338840338</v>
      </c>
      <c r="I40" s="15" t="n">
        <v>0.01</v>
      </c>
      <c r="J40" s="15" t="n">
        <v>0</v>
      </c>
      <c r="K40" s="14" t="s">
        <v>82</v>
      </c>
      <c r="L40" s="14" t="n">
        <v>2805.47266685509</v>
      </c>
      <c r="M40" s="14" t="n">
        <v>32170.7343468758</v>
      </c>
      <c r="N40" s="14" t="n">
        <v>12202.2600162747</v>
      </c>
      <c r="O40" s="14" t="n">
        <v>-12662.3332649478</v>
      </c>
      <c r="P40" s="14" t="n">
        <v>968.519919991184</v>
      </c>
      <c r="Q40" s="14" t="n">
        <v>840.395296755534</v>
      </c>
      <c r="R40" s="14" t="n">
        <v>16850.3421667323</v>
      </c>
      <c r="S40" s="14" t="n">
        <v>29456.0378929612</v>
      </c>
      <c r="T40" s="14" t="n">
        <v>-937.016004190439</v>
      </c>
      <c r="U40" s="14" t="n">
        <v>-9253.97348649215</v>
      </c>
      <c r="V40" s="14" t="n">
        <v>0.82509878873241</v>
      </c>
      <c r="W40" s="14" t="n">
        <v>46048.9662263126</v>
      </c>
      <c r="X40" s="14" t="n">
        <v>25494.8402952654</v>
      </c>
      <c r="Y40" s="14" t="n">
        <v>0</v>
      </c>
      <c r="Z40" s="14" t="n">
        <v>0</v>
      </c>
      <c r="AA40" s="14" t="n">
        <v>30.1575455502983</v>
      </c>
      <c r="AB40" s="14" t="n">
        <v>27.9575455502983</v>
      </c>
      <c r="AC40" s="14" t="n">
        <v>29.4075455502983</v>
      </c>
      <c r="AD40" s="14" t="n">
        <v>23.1609949826291</v>
      </c>
      <c r="AE40" s="14" t="n">
        <v>653.683373262198</v>
      </c>
      <c r="AF40" s="14" t="n">
        <v>0.03</v>
      </c>
      <c r="AG40" s="14" t="n">
        <v>0.702129022128044</v>
      </c>
      <c r="AH40" s="14" t="n">
        <v>11445.8566209044</v>
      </c>
      <c r="AI40" s="14" t="n">
        <v>19606.894648061</v>
      </c>
      <c r="AJ40" s="14" t="n">
        <v>22.39175</v>
      </c>
      <c r="AK40" s="14" t="n">
        <v>0</v>
      </c>
      <c r="AL40" s="14" t="n">
        <v>-35619.6347632105</v>
      </c>
      <c r="AM40" s="14" t="n">
        <v>684.5</v>
      </c>
      <c r="AN40" s="14" t="n">
        <v>27078.2628664013</v>
      </c>
      <c r="AO40" s="14" t="n">
        <v>-7119.9037923103</v>
      </c>
      <c r="AP40" s="14" t="n">
        <v>0.519414437863832</v>
      </c>
      <c r="AQ40" s="14" t="n">
        <v>0</v>
      </c>
      <c r="AR40" s="14" t="n">
        <v>327.195752</v>
      </c>
      <c r="AS40" s="14" t="n">
        <v>314.925245</v>
      </c>
      <c r="AT40" s="14" t="n">
        <v>2805.47266685509</v>
      </c>
      <c r="AU40" s="14" t="n">
        <v>12.270507</v>
      </c>
      <c r="AV40" s="14" t="n">
        <v>0</v>
      </c>
      <c r="AW40" s="14" t="n">
        <v>2254.3125</v>
      </c>
      <c r="AX40" s="14" t="n">
        <v>314.925245</v>
      </c>
      <c r="AY40" s="14" t="n">
        <v>314.925245</v>
      </c>
    </row>
    <row r="41" customFormat="false" ht="15" hidden="false" customHeight="false" outlineLevel="0" collapsed="false">
      <c r="A41" s="0" t="s">
        <v>2585</v>
      </c>
      <c r="B41" s="14" t="n">
        <v>2423.40833661368</v>
      </c>
      <c r="C41" s="14" t="n">
        <v>7621.71734378923</v>
      </c>
      <c r="D41" s="14" t="n">
        <v>19606.894648061</v>
      </c>
      <c r="E41" s="14" t="n">
        <v>4078.97255313604</v>
      </c>
      <c r="F41" s="14" t="n">
        <v>-974.113332375516</v>
      </c>
      <c r="G41" s="14" t="n">
        <v>4748.21719175998</v>
      </c>
      <c r="H41" s="14" t="n">
        <v>-308.596610364756</v>
      </c>
      <c r="I41" s="15" t="n">
        <v>0.01</v>
      </c>
      <c r="J41" s="15" t="n">
        <v>0.0113</v>
      </c>
      <c r="K41" s="14" t="s">
        <v>58</v>
      </c>
      <c r="L41" s="14" t="n">
        <v>-13507.4496750321</v>
      </c>
      <c r="M41" s="14" t="n">
        <v>32170.7343468758</v>
      </c>
      <c r="N41" s="14" t="n">
        <v>12202.2600162747</v>
      </c>
      <c r="O41" s="14" t="n">
        <v>-28654.9561743678</v>
      </c>
      <c r="P41" s="14" t="n">
        <v>968.519919991184</v>
      </c>
      <c r="Q41" s="14" t="n">
        <v>902.910555021538</v>
      </c>
      <c r="R41" s="14" t="n">
        <v>16850.3421667323</v>
      </c>
      <c r="S41" s="14" t="n">
        <v>29456.0378929612</v>
      </c>
      <c r="T41" s="14" t="n">
        <v>-936.780501065439</v>
      </c>
      <c r="U41" s="14" t="n">
        <v>-9378.48400801656</v>
      </c>
      <c r="V41" s="14" t="n">
        <v>0.82509878873241</v>
      </c>
      <c r="W41" s="14" t="n">
        <v>45973.6412973655</v>
      </c>
      <c r="X41" s="14" t="n">
        <v>25494.8402952654</v>
      </c>
      <c r="Y41" s="14" t="n">
        <v>0.0106301458127347</v>
      </c>
      <c r="Z41" s="14" t="n">
        <v>0.01442897</v>
      </c>
      <c r="AA41" s="14" t="n">
        <v>30.1575455502983</v>
      </c>
      <c r="AB41" s="14" t="n">
        <v>27.9575455502983</v>
      </c>
      <c r="AC41" s="14" t="n">
        <v>29.4075455502983</v>
      </c>
      <c r="AD41" s="14" t="n">
        <v>23.1609949826291</v>
      </c>
      <c r="AE41" s="14" t="n">
        <v>653.683373262198</v>
      </c>
      <c r="AF41" s="14" t="n">
        <v>0.03</v>
      </c>
      <c r="AG41" s="14" t="n">
        <v>0.702129022128044</v>
      </c>
      <c r="AH41" s="14" t="n">
        <v>7709.97126154693</v>
      </c>
      <c r="AI41" s="14" t="n">
        <v>19606.894648061</v>
      </c>
      <c r="AJ41" s="14" t="n">
        <v>22.39175</v>
      </c>
      <c r="AK41" s="14" t="n">
        <v>0</v>
      </c>
      <c r="AL41" s="14" t="n">
        <v>-51366.1015974802</v>
      </c>
      <c r="AM41" s="14" t="n">
        <v>684.5</v>
      </c>
      <c r="AN41" s="14" t="n">
        <v>27078.2628664013</v>
      </c>
      <c r="AO41" s="14" t="n">
        <v>-7119.9037923103</v>
      </c>
      <c r="AP41" s="14" t="n">
        <v>0.519414437863832</v>
      </c>
      <c r="AQ41" s="14" t="n">
        <v>0</v>
      </c>
      <c r="AR41" s="14" t="n">
        <v>314.925245</v>
      </c>
      <c r="AS41" s="14" t="n">
        <v>314.925245</v>
      </c>
      <c r="AT41" s="14" t="n">
        <v>-13507.4496750321</v>
      </c>
      <c r="AU41" s="14" t="n">
        <v>0</v>
      </c>
      <c r="AV41" s="14" t="n">
        <v>0</v>
      </c>
      <c r="AW41" s="14" t="n">
        <v>2254.3125</v>
      </c>
      <c r="AX41" s="14" t="n">
        <v>314.925245</v>
      </c>
      <c r="AY41" s="14" t="n">
        <v>314.925245</v>
      </c>
    </row>
    <row r="42" customFormat="false" ht="15" hidden="false" customHeight="false" outlineLevel="0" collapsed="false">
      <c r="A42" s="0" t="s">
        <v>2586</v>
      </c>
      <c r="B42" s="14" t="n">
        <v>2643.78617033326</v>
      </c>
      <c r="C42" s="14" t="n">
        <v>12743.5987324699</v>
      </c>
      <c r="D42" s="14" t="n">
        <v>28400.5368619567</v>
      </c>
      <c r="E42" s="14" t="n">
        <v>7677.90729795512</v>
      </c>
      <c r="F42" s="14" t="n">
        <v>2088.3698128801</v>
      </c>
      <c r="G42" s="14" t="n">
        <v>5079.79353577622</v>
      </c>
      <c r="H42" s="14" t="n">
        <v>90386.8928652605</v>
      </c>
      <c r="I42" s="15" t="n">
        <v>235.066114682119</v>
      </c>
      <c r="J42" s="15" t="n">
        <v>263.274048443973</v>
      </c>
      <c r="K42" s="14" t="s">
        <v>601</v>
      </c>
      <c r="L42" s="14" t="n">
        <v>-18839.9251466255</v>
      </c>
      <c r="M42" s="14" t="n">
        <v>40737.3719746494</v>
      </c>
      <c r="N42" s="14" t="n">
        <v>18999.8985268346</v>
      </c>
      <c r="O42" s="14" t="n">
        <v>-24286.6657416664</v>
      </c>
      <c r="P42" s="14" t="n">
        <v>1142.48578071534</v>
      </c>
      <c r="Q42" s="14" t="n">
        <v>6807.76474931123</v>
      </c>
      <c r="R42" s="14" t="n">
        <v>22890.5497234067</v>
      </c>
      <c r="S42" s="14" t="n">
        <v>27190.9274039058</v>
      </c>
      <c r="T42" s="14" t="n">
        <v>-595.938093280317</v>
      </c>
      <c r="U42" s="14" t="n">
        <v>86773.6490109201</v>
      </c>
      <c r="V42" s="14" t="n">
        <v>0.82509878873241</v>
      </c>
      <c r="W42" s="14" t="n">
        <v>128333.554961961</v>
      </c>
      <c r="X42" s="14" t="n">
        <v>28058.9799685322</v>
      </c>
      <c r="Y42" s="14" t="n">
        <v>248.77059244283</v>
      </c>
      <c r="Z42" s="14" t="n">
        <v>330.25096636812</v>
      </c>
      <c r="AA42" s="14" t="n">
        <v>43.041696075</v>
      </c>
      <c r="AB42" s="14" t="n">
        <v>40.841696075</v>
      </c>
      <c r="AC42" s="14" t="n">
        <v>42.291696075</v>
      </c>
      <c r="AD42" s="14" t="n">
        <v>33.0560225856</v>
      </c>
      <c r="AE42" s="14" t="n">
        <v>720.689630183706</v>
      </c>
      <c r="AF42" s="14" t="n">
        <v>0.035</v>
      </c>
      <c r="AG42" s="14" t="n">
        <v>0.737784665189879</v>
      </c>
      <c r="AH42" s="14" t="n">
        <v>1381.54853482851</v>
      </c>
      <c r="AI42" s="14" t="n">
        <v>28400.5368619567</v>
      </c>
      <c r="AJ42" s="14" t="n">
        <v>25.7421875</v>
      </c>
      <c r="AK42" s="14" t="n">
        <v>0</v>
      </c>
      <c r="AL42" s="14" t="n">
        <v>-43114.0332692949</v>
      </c>
      <c r="AM42" s="14" t="n">
        <v>909.833333333333</v>
      </c>
      <c r="AN42" s="14" t="n">
        <v>47113.242659162</v>
      </c>
      <c r="AO42" s="14" t="n">
        <v>-13344.6109280635</v>
      </c>
      <c r="AP42" s="14" t="n">
        <v>0.0262380555778831</v>
      </c>
      <c r="AQ42" s="14" t="n">
        <v>235.066114682119</v>
      </c>
      <c r="AR42" s="14" t="n">
        <v>369.14571514599</v>
      </c>
      <c r="AS42" s="14" t="n">
        <v>369.14571514599</v>
      </c>
      <c r="AT42" s="14" t="n">
        <v>-18839.9251466255</v>
      </c>
      <c r="AU42" s="14" t="n">
        <v>0</v>
      </c>
      <c r="AV42" s="14" t="n">
        <v>0</v>
      </c>
      <c r="AW42" s="14" t="n">
        <v>3694.865</v>
      </c>
      <c r="AX42" s="14" t="n">
        <v>369.14571514599</v>
      </c>
      <c r="AY42" s="14" t="n">
        <v>336.495326507973</v>
      </c>
    </row>
    <row r="43" customFormat="false" ht="15" hidden="false" customHeight="false" outlineLevel="0" collapsed="false">
      <c r="A43" s="0" t="s">
        <v>2587</v>
      </c>
      <c r="B43" s="14" t="n">
        <v>2102.38738501866</v>
      </c>
      <c r="C43" s="14" t="n">
        <v>3988.80420552386</v>
      </c>
      <c r="D43" s="14" t="n">
        <v>10185.2651829347</v>
      </c>
      <c r="E43" s="14" t="n">
        <v>1764.55814092323</v>
      </c>
      <c r="F43" s="14" t="n">
        <v>-3600.60820469538</v>
      </c>
      <c r="G43" s="14" t="n">
        <v>5205.61417739766</v>
      </c>
      <c r="H43" s="14" t="n">
        <v>-25664.8938022506</v>
      </c>
      <c r="I43" s="15" t="n">
        <v>0.01</v>
      </c>
      <c r="J43" s="15" t="n">
        <v>0.0115</v>
      </c>
      <c r="K43" s="14" t="s">
        <v>60</v>
      </c>
      <c r="L43" s="14" t="n">
        <v>-7143.64596756034</v>
      </c>
      <c r="M43" s="14" t="n">
        <v>19573.346879666</v>
      </c>
      <c r="N43" s="14" t="n">
        <v>5271.39497534131</v>
      </c>
      <c r="O43" s="14" t="n">
        <v>-29556.201405137</v>
      </c>
      <c r="P43" s="14" t="n">
        <v>750.274237487276</v>
      </c>
      <c r="Q43" s="14" t="n">
        <v>-5271.49135456852</v>
      </c>
      <c r="R43" s="14" t="n">
        <v>10528.0310069596</v>
      </c>
      <c r="S43" s="14" t="n">
        <v>26086.6571258809</v>
      </c>
      <c r="T43" s="14" t="n">
        <v>-1418.00315508082</v>
      </c>
      <c r="U43" s="14" t="n">
        <v>-33987.7795439486</v>
      </c>
      <c r="V43" s="14" t="n">
        <v>0.82509878873241</v>
      </c>
      <c r="W43" s="14" t="n">
        <v>19500.9803264717</v>
      </c>
      <c r="X43" s="14" t="n">
        <v>13665.4955891149</v>
      </c>
      <c r="Y43" s="14" t="n">
        <v>0.0107238052947636</v>
      </c>
      <c r="Z43" s="14" t="n">
        <v>0.01520875</v>
      </c>
      <c r="AA43" s="14" t="n">
        <v>22.27279275</v>
      </c>
      <c r="AB43" s="14" t="n">
        <v>20.07279275</v>
      </c>
      <c r="AC43" s="14" t="n">
        <v>21.52279275</v>
      </c>
      <c r="AD43" s="14" t="n">
        <v>17.105504832</v>
      </c>
      <c r="AE43" s="14" t="n">
        <v>552.747125886626</v>
      </c>
      <c r="AF43" s="14" t="n">
        <v>0.02</v>
      </c>
      <c r="AG43" s="14" t="n">
        <v>0.628563202842968</v>
      </c>
      <c r="AH43" s="14" t="n">
        <v>11941.0948326026</v>
      </c>
      <c r="AI43" s="14" t="n">
        <v>10185.2651829347</v>
      </c>
      <c r="AJ43" s="14" t="n">
        <v>19.8813533670246</v>
      </c>
      <c r="AK43" s="14" t="n">
        <v>0</v>
      </c>
      <c r="AL43" s="14" t="n">
        <v>-50219.0701890281</v>
      </c>
      <c r="AM43" s="14" t="n">
        <v>396.288888888889</v>
      </c>
      <c r="AN43" s="14" t="n">
        <v>593.827314814815</v>
      </c>
      <c r="AO43" s="14" t="n">
        <v>-341.703991684943</v>
      </c>
      <c r="AP43" s="14" t="n">
        <v>1</v>
      </c>
      <c r="AQ43" s="14" t="n">
        <v>0</v>
      </c>
      <c r="AR43" s="14" t="n">
        <v>314.925245</v>
      </c>
      <c r="AS43" s="14" t="n">
        <v>314.925245</v>
      </c>
      <c r="AT43" s="14" t="n">
        <v>-7143.64596756034</v>
      </c>
      <c r="AU43" s="14" t="n">
        <v>0</v>
      </c>
      <c r="AV43" s="14" t="n">
        <v>0</v>
      </c>
      <c r="AW43" s="14" t="n">
        <v>998.76</v>
      </c>
      <c r="AX43" s="14" t="n">
        <v>314.925245</v>
      </c>
      <c r="AY43" s="14" t="n">
        <v>314.925245</v>
      </c>
    </row>
    <row r="44" customFormat="false" ht="15" hidden="false" customHeight="false" outlineLevel="0" collapsed="false">
      <c r="A44" s="0" t="s">
        <v>2588</v>
      </c>
      <c r="B44" s="14" t="n">
        <v>2423.40833661368</v>
      </c>
      <c r="C44" s="14" t="n">
        <v>8126.01542074525</v>
      </c>
      <c r="D44" s="14" t="n">
        <v>20569.4740402136</v>
      </c>
      <c r="E44" s="14" t="n">
        <v>4437.02418777482</v>
      </c>
      <c r="F44" s="14" t="n">
        <v>-636.713167381779</v>
      </c>
      <c r="G44" s="14" t="n">
        <v>4748.69673832678</v>
      </c>
      <c r="H44" s="14" t="n">
        <v>2220.72063955108</v>
      </c>
      <c r="I44" s="15" t="n">
        <v>0.01</v>
      </c>
      <c r="J44" s="15" t="n">
        <v>0.0113</v>
      </c>
      <c r="K44" s="14" t="s">
        <v>58</v>
      </c>
      <c r="L44" s="14" t="n">
        <v>-13159.4840019324</v>
      </c>
      <c r="M44" s="14" t="n">
        <v>32180.8203084149</v>
      </c>
      <c r="N44" s="14" t="n">
        <v>12933.8203543107</v>
      </c>
      <c r="O44" s="14" t="n">
        <v>-27727.3723661411</v>
      </c>
      <c r="P44" s="14" t="n">
        <v>968.519919991184</v>
      </c>
      <c r="Q44" s="14" t="n">
        <v>1592.52409190063</v>
      </c>
      <c r="R44" s="14" t="n">
        <v>16850.3421667323</v>
      </c>
      <c r="S44" s="14" t="n">
        <v>29475.2894808043</v>
      </c>
      <c r="T44" s="14" t="n">
        <v>-936.780501065439</v>
      </c>
      <c r="U44" s="14" t="n">
        <v>-6849.16675810073</v>
      </c>
      <c r="V44" s="14" t="n">
        <v>0.82509878873241</v>
      </c>
      <c r="W44" s="14" t="n">
        <v>46890.9534010464</v>
      </c>
      <c r="X44" s="14" t="n">
        <v>25660.9385978451</v>
      </c>
      <c r="Y44" s="14" t="n">
        <v>0.0106301458127347</v>
      </c>
      <c r="Z44" s="14" t="n">
        <v>0.01442897</v>
      </c>
      <c r="AA44" s="14" t="n">
        <v>30.1575455502983</v>
      </c>
      <c r="AB44" s="14" t="n">
        <v>27.9575455502983</v>
      </c>
      <c r="AC44" s="14" t="n">
        <v>29.4075455502983</v>
      </c>
      <c r="AD44" s="14" t="n">
        <v>23.1609949826291</v>
      </c>
      <c r="AE44" s="14" t="n">
        <v>653.683373262198</v>
      </c>
      <c r="AF44" s="14" t="n">
        <v>0.03</v>
      </c>
      <c r="AG44" s="14" t="n">
        <v>0.704515484277783</v>
      </c>
      <c r="AH44" s="14" t="n">
        <v>7709.97126154693</v>
      </c>
      <c r="AI44" s="14" t="n">
        <v>20569.4740402136</v>
      </c>
      <c r="AJ44" s="14" t="n">
        <v>26.5819700488998</v>
      </c>
      <c r="AK44" s="14" t="n">
        <v>0</v>
      </c>
      <c r="AL44" s="14" t="n">
        <v>-49979.3326378967</v>
      </c>
      <c r="AM44" s="14" t="n">
        <v>684.5</v>
      </c>
      <c r="AN44" s="14" t="n">
        <v>27078.2628664013</v>
      </c>
      <c r="AO44" s="14" t="n">
        <v>-7119.9037923103</v>
      </c>
      <c r="AP44" s="14" t="n">
        <v>0.450076410625259</v>
      </c>
      <c r="AQ44" s="14" t="n">
        <v>0</v>
      </c>
      <c r="AR44" s="14" t="n">
        <v>314.925245</v>
      </c>
      <c r="AS44" s="14" t="n">
        <v>314.925245</v>
      </c>
      <c r="AT44" s="14" t="n">
        <v>-13159.4840019324</v>
      </c>
      <c r="AU44" s="14" t="n">
        <v>0</v>
      </c>
      <c r="AV44" s="14" t="n">
        <v>0</v>
      </c>
      <c r="AW44" s="14" t="n">
        <v>2254.3125</v>
      </c>
      <c r="AX44" s="14" t="n">
        <v>314.925245</v>
      </c>
      <c r="AY44" s="14" t="n">
        <v>314.925245</v>
      </c>
    </row>
    <row r="45" customFormat="false" ht="15" hidden="false" customHeight="false" outlineLevel="0" collapsed="false">
      <c r="A45" s="0" t="s">
        <v>2589</v>
      </c>
      <c r="B45" s="14" t="n">
        <v>2102.38738501866</v>
      </c>
      <c r="C45" s="14" t="n">
        <v>3988.80420552386</v>
      </c>
      <c r="D45" s="14" t="n">
        <v>10185.2651829347</v>
      </c>
      <c r="E45" s="14" t="n">
        <v>1764.55814092323</v>
      </c>
      <c r="F45" s="14" t="n">
        <v>-3600.60820469538</v>
      </c>
      <c r="G45" s="14" t="n">
        <v>5205.61417739766</v>
      </c>
      <c r="H45" s="14" t="n">
        <v>-25664.8938022506</v>
      </c>
      <c r="I45" s="15" t="n">
        <v>0.01</v>
      </c>
      <c r="J45" s="15" t="n">
        <v>0</v>
      </c>
      <c r="K45" s="14" t="s">
        <v>82</v>
      </c>
      <c r="L45" s="14" t="n">
        <v>2122.39193810732</v>
      </c>
      <c r="M45" s="14" t="n">
        <v>19573.346879666</v>
      </c>
      <c r="N45" s="14" t="n">
        <v>5271.39497534131</v>
      </c>
      <c r="O45" s="14" t="n">
        <v>-20289.7050700109</v>
      </c>
      <c r="P45" s="14" t="n">
        <v>750.274237487276</v>
      </c>
      <c r="Q45" s="14" t="n">
        <v>-5271.49135456852</v>
      </c>
      <c r="R45" s="14" t="n">
        <v>10528.0310069596</v>
      </c>
      <c r="S45" s="14" t="n">
        <v>26086.6571258809</v>
      </c>
      <c r="T45" s="14" t="n">
        <v>-1418.00315508082</v>
      </c>
      <c r="U45" s="14" t="n">
        <v>-33987.7795439486</v>
      </c>
      <c r="V45" s="14" t="n">
        <v>0.82509878873241</v>
      </c>
      <c r="W45" s="14" t="n">
        <v>19500.9803264717</v>
      </c>
      <c r="X45" s="14" t="n">
        <v>13665.4955891149</v>
      </c>
      <c r="Y45" s="14" t="n">
        <v>0</v>
      </c>
      <c r="Z45" s="14" t="n">
        <v>0</v>
      </c>
      <c r="AA45" s="14" t="n">
        <v>22.27279275</v>
      </c>
      <c r="AB45" s="14" t="n">
        <v>20.07279275</v>
      </c>
      <c r="AC45" s="14" t="n">
        <v>21.52279275</v>
      </c>
      <c r="AD45" s="14" t="n">
        <v>17.105504832</v>
      </c>
      <c r="AE45" s="14" t="n">
        <v>552.747125886626</v>
      </c>
      <c r="AF45" s="14" t="n">
        <v>0.02</v>
      </c>
      <c r="AG45" s="14" t="n">
        <v>0.628563202842968</v>
      </c>
      <c r="AH45" s="14" t="n">
        <v>20941.0948326026</v>
      </c>
      <c r="AI45" s="14" t="n">
        <v>10185.2651829347</v>
      </c>
      <c r="AJ45" s="14" t="n">
        <v>19.8813533670246</v>
      </c>
      <c r="AK45" s="14" t="n">
        <v>0</v>
      </c>
      <c r="AL45" s="14" t="n">
        <v>-40952.1307762958</v>
      </c>
      <c r="AM45" s="14" t="n">
        <v>396.288888888889</v>
      </c>
      <c r="AN45" s="14" t="n">
        <v>593.827314814815</v>
      </c>
      <c r="AO45" s="14" t="n">
        <v>-341.703991684943</v>
      </c>
      <c r="AP45" s="14" t="n">
        <v>1</v>
      </c>
      <c r="AQ45" s="14" t="n">
        <v>0</v>
      </c>
      <c r="AR45" s="14" t="n">
        <v>367.876700282496</v>
      </c>
      <c r="AS45" s="14" t="n">
        <v>314.925245</v>
      </c>
      <c r="AT45" s="14" t="n">
        <v>2122.39193810732</v>
      </c>
      <c r="AU45" s="14" t="n">
        <v>52.951455282496</v>
      </c>
      <c r="AV45" s="14" t="n">
        <v>0</v>
      </c>
      <c r="AW45" s="14" t="n">
        <v>998.76</v>
      </c>
      <c r="AX45" s="14" t="n">
        <v>314.925245</v>
      </c>
      <c r="AY45" s="14" t="n">
        <v>314.925245</v>
      </c>
    </row>
    <row r="46" customFormat="false" ht="15" hidden="false" customHeight="false" outlineLevel="0" collapsed="false">
      <c r="A46" s="0" t="s">
        <v>2590</v>
      </c>
      <c r="B46" s="14" t="n">
        <v>2102.38738501866</v>
      </c>
      <c r="C46" s="14" t="n">
        <v>3988.80420552386</v>
      </c>
      <c r="D46" s="14" t="n">
        <v>10185.2651829347</v>
      </c>
      <c r="E46" s="14" t="n">
        <v>1764.55814092323</v>
      </c>
      <c r="F46" s="14" t="n">
        <v>-3600.60820469538</v>
      </c>
      <c r="G46" s="14" t="n">
        <v>5205.61417739766</v>
      </c>
      <c r="H46" s="14" t="n">
        <v>-25664.8938022506</v>
      </c>
      <c r="I46" s="15" t="n">
        <v>0.01</v>
      </c>
      <c r="J46" s="15" t="n">
        <v>0</v>
      </c>
      <c r="K46" s="14" t="s">
        <v>82</v>
      </c>
      <c r="L46" s="14" t="n">
        <v>2122.39193810732</v>
      </c>
      <c r="M46" s="14" t="n">
        <v>19573.346879666</v>
      </c>
      <c r="N46" s="14" t="n">
        <v>5271.39497534131</v>
      </c>
      <c r="O46" s="14" t="n">
        <v>-20289.7050700109</v>
      </c>
      <c r="P46" s="14" t="n">
        <v>750.274237487276</v>
      </c>
      <c r="Q46" s="14" t="n">
        <v>-5271.49135456852</v>
      </c>
      <c r="R46" s="14" t="n">
        <v>10528.0310069596</v>
      </c>
      <c r="S46" s="14" t="n">
        <v>26086.6571258809</v>
      </c>
      <c r="T46" s="14" t="n">
        <v>-1418.00315508082</v>
      </c>
      <c r="U46" s="14" t="n">
        <v>-33987.7795439486</v>
      </c>
      <c r="V46" s="14" t="n">
        <v>0.82509878873241</v>
      </c>
      <c r="W46" s="14" t="n">
        <v>19500.9803264717</v>
      </c>
      <c r="X46" s="14" t="n">
        <v>13665.4955891149</v>
      </c>
      <c r="Y46" s="14" t="n">
        <v>0</v>
      </c>
      <c r="Z46" s="14" t="n">
        <v>0</v>
      </c>
      <c r="AA46" s="14" t="n">
        <v>22.27279275</v>
      </c>
      <c r="AB46" s="14" t="n">
        <v>20.07279275</v>
      </c>
      <c r="AC46" s="14" t="n">
        <v>21.52279275</v>
      </c>
      <c r="AD46" s="14" t="n">
        <v>17.105504832</v>
      </c>
      <c r="AE46" s="14" t="n">
        <v>552.747125886626</v>
      </c>
      <c r="AF46" s="14" t="n">
        <v>0.02</v>
      </c>
      <c r="AG46" s="14" t="n">
        <v>0.628563202842968</v>
      </c>
      <c r="AH46" s="14" t="n">
        <v>20941.0948326026</v>
      </c>
      <c r="AI46" s="14" t="n">
        <v>10185.2651829347</v>
      </c>
      <c r="AJ46" s="14" t="n">
        <v>19.8813533670246</v>
      </c>
      <c r="AK46" s="14" t="n">
        <v>0</v>
      </c>
      <c r="AL46" s="14" t="n">
        <v>-40952.1307762958</v>
      </c>
      <c r="AM46" s="14" t="n">
        <v>396.288888888889</v>
      </c>
      <c r="AN46" s="14" t="n">
        <v>593.827314814815</v>
      </c>
      <c r="AO46" s="14" t="n">
        <v>-341.703991684943</v>
      </c>
      <c r="AP46" s="14" t="n">
        <v>1</v>
      </c>
      <c r="AQ46" s="14" t="n">
        <v>0</v>
      </c>
      <c r="AR46" s="14" t="n">
        <v>389.057282395494</v>
      </c>
      <c r="AS46" s="14" t="n">
        <v>314.925245</v>
      </c>
      <c r="AT46" s="14" t="n">
        <v>2122.39193810732</v>
      </c>
      <c r="AU46" s="14" t="n">
        <v>74.1320373954944</v>
      </c>
      <c r="AV46" s="14" t="n">
        <v>0</v>
      </c>
      <c r="AW46" s="14" t="n">
        <v>998.76</v>
      </c>
      <c r="AX46" s="14" t="n">
        <v>314.925245</v>
      </c>
      <c r="AY46" s="14" t="n">
        <v>314.925245</v>
      </c>
    </row>
    <row r="47" customFormat="false" ht="15" hidden="false" customHeight="false" outlineLevel="0" collapsed="false">
      <c r="A47" s="0" t="s">
        <v>2591</v>
      </c>
      <c r="B47" s="14" t="n">
        <v>2643.78617033326</v>
      </c>
      <c r="C47" s="14" t="n">
        <v>12743.5987324699</v>
      </c>
      <c r="D47" s="14" t="n">
        <v>28400.5368619567</v>
      </c>
      <c r="E47" s="14" t="n">
        <v>7677.90729795512</v>
      </c>
      <c r="F47" s="14" t="n">
        <v>2077.58501151031</v>
      </c>
      <c r="G47" s="14" t="n">
        <v>5090.57833714602</v>
      </c>
      <c r="H47" s="14" t="n">
        <v>90449.1360846713</v>
      </c>
      <c r="I47" s="15" t="n">
        <v>244.001766797812</v>
      </c>
      <c r="J47" s="15" t="n">
        <v>272.784779938657</v>
      </c>
      <c r="K47" s="14" t="s">
        <v>60</v>
      </c>
      <c r="L47" s="14" t="n">
        <v>-3374.08482730945</v>
      </c>
      <c r="M47" s="14" t="n">
        <v>40737.3719746494</v>
      </c>
      <c r="N47" s="14" t="n">
        <v>18999.8985268346</v>
      </c>
      <c r="O47" s="14" t="n">
        <v>-9140.57107266631</v>
      </c>
      <c r="P47" s="14" t="n">
        <v>1142.48578071534</v>
      </c>
      <c r="Q47" s="14" t="n">
        <v>6752.31458479522</v>
      </c>
      <c r="R47" s="14" t="n">
        <v>22890.5497234067</v>
      </c>
      <c r="S47" s="14" t="n">
        <v>27190.9274039058</v>
      </c>
      <c r="T47" s="14" t="n">
        <v>-595.938093280317</v>
      </c>
      <c r="U47" s="14" t="n">
        <v>90094.9217421629</v>
      </c>
      <c r="V47" s="14" t="n">
        <v>0.82509878873241</v>
      </c>
      <c r="W47" s="14" t="n">
        <v>128333.554961961</v>
      </c>
      <c r="X47" s="14" t="n">
        <v>28058.9799685322</v>
      </c>
      <c r="Y47" s="14" t="n">
        <v>257.757388986131</v>
      </c>
      <c r="Z47" s="14" t="n">
        <v>342.181227955051</v>
      </c>
      <c r="AA47" s="14" t="n">
        <v>43.041696075</v>
      </c>
      <c r="AB47" s="14" t="n">
        <v>40.841696075</v>
      </c>
      <c r="AC47" s="14" t="n">
        <v>42.291696075</v>
      </c>
      <c r="AD47" s="14" t="n">
        <v>33.0560225856</v>
      </c>
      <c r="AE47" s="14" t="n">
        <v>720.689630183706</v>
      </c>
      <c r="AF47" s="14" t="n">
        <v>0.035</v>
      </c>
      <c r="AG47" s="14" t="n">
        <v>0.737784665189879</v>
      </c>
      <c r="AH47" s="14" t="n">
        <v>4360.95033949851</v>
      </c>
      <c r="AI47" s="14" t="n">
        <v>28400.5368619567</v>
      </c>
      <c r="AJ47" s="14" t="n">
        <v>25.7421875</v>
      </c>
      <c r="AK47" s="14" t="n">
        <v>0</v>
      </c>
      <c r="AL47" s="14" t="n">
        <v>-28202.5209739271</v>
      </c>
      <c r="AM47" s="14" t="n">
        <v>909.833333333333</v>
      </c>
      <c r="AN47" s="14" t="n">
        <v>47113.242659162</v>
      </c>
      <c r="AO47" s="14" t="n">
        <v>-13344.6109280635</v>
      </c>
      <c r="AP47" s="14" t="n">
        <v>0.0262380555778831</v>
      </c>
      <c r="AQ47" s="14" t="n">
        <v>243.557839230944</v>
      </c>
      <c r="AR47" s="14" t="n">
        <v>381.504852207899</v>
      </c>
      <c r="AS47" s="14" t="n">
        <v>369.238808900998</v>
      </c>
      <c r="AT47" s="14" t="n">
        <v>-3374.08482730945</v>
      </c>
      <c r="AU47" s="14" t="n">
        <v>12.270507</v>
      </c>
      <c r="AV47" s="14" t="n">
        <v>2090.27951183204</v>
      </c>
      <c r="AW47" s="14" t="n">
        <v>6953.89451183204</v>
      </c>
      <c r="AX47" s="14" t="n">
        <v>369.238808900998</v>
      </c>
      <c r="AY47" s="14" t="n">
        <v>337.784118630825</v>
      </c>
    </row>
    <row r="48" customFormat="false" ht="15" hidden="false" customHeight="false" outlineLevel="0" collapsed="false">
      <c r="A48" s="0" t="s">
        <v>2592</v>
      </c>
      <c r="B48" s="14" t="n">
        <v>2643.78617033326</v>
      </c>
      <c r="C48" s="14" t="n">
        <v>12743.5987324699</v>
      </c>
      <c r="D48" s="14" t="n">
        <v>28400.5368619567</v>
      </c>
      <c r="E48" s="14" t="n">
        <v>7677.90729795512</v>
      </c>
      <c r="F48" s="14" t="n">
        <v>2077.58501151031</v>
      </c>
      <c r="G48" s="14" t="n">
        <v>5090.57833714602</v>
      </c>
      <c r="H48" s="14" t="n">
        <v>90449.1360846713</v>
      </c>
      <c r="I48" s="15" t="n">
        <v>238.378015888532</v>
      </c>
      <c r="J48" s="15" t="n">
        <v>266.687469085754</v>
      </c>
      <c r="K48" s="14" t="s">
        <v>60</v>
      </c>
      <c r="L48" s="14" t="n">
        <v>-3374.08482730945</v>
      </c>
      <c r="M48" s="14" t="n">
        <v>40737.3719746494</v>
      </c>
      <c r="N48" s="14" t="n">
        <v>18999.8985268346</v>
      </c>
      <c r="O48" s="14" t="n">
        <v>-9140.57107266631</v>
      </c>
      <c r="P48" s="14" t="n">
        <v>1142.48578071534</v>
      </c>
      <c r="Q48" s="14" t="n">
        <v>6752.31458479522</v>
      </c>
      <c r="R48" s="14" t="n">
        <v>22890.5497234067</v>
      </c>
      <c r="S48" s="14" t="n">
        <v>27190.9274039058</v>
      </c>
      <c r="T48" s="14" t="n">
        <v>-595.938093280317</v>
      </c>
      <c r="U48" s="14" t="n">
        <v>88004.6422303309</v>
      </c>
      <c r="V48" s="14" t="n">
        <v>0.82509878873241</v>
      </c>
      <c r="W48" s="14" t="n">
        <v>128333.554961961</v>
      </c>
      <c r="X48" s="14" t="n">
        <v>28058.9799685322</v>
      </c>
      <c r="Y48" s="14" t="n">
        <v>251.995971777904</v>
      </c>
      <c r="Z48" s="14" t="n">
        <v>334.53276122117</v>
      </c>
      <c r="AA48" s="14" t="n">
        <v>43.041696075</v>
      </c>
      <c r="AB48" s="14" t="n">
        <v>40.841696075</v>
      </c>
      <c r="AC48" s="14" t="n">
        <v>42.291696075</v>
      </c>
      <c r="AD48" s="14" t="n">
        <v>33.0560225856</v>
      </c>
      <c r="AE48" s="14" t="n">
        <v>720.689630183706</v>
      </c>
      <c r="AF48" s="14" t="n">
        <v>0.035</v>
      </c>
      <c r="AG48" s="14" t="n">
        <v>0.737784665189879</v>
      </c>
      <c r="AH48" s="14" t="n">
        <v>4360.95033949851</v>
      </c>
      <c r="AI48" s="14" t="n">
        <v>28400.5368619567</v>
      </c>
      <c r="AJ48" s="14" t="n">
        <v>25.7421875</v>
      </c>
      <c r="AK48" s="14" t="n">
        <v>0</v>
      </c>
      <c r="AL48" s="14" t="n">
        <v>-28202.5209739271</v>
      </c>
      <c r="AM48" s="14" t="n">
        <v>909.833333333333</v>
      </c>
      <c r="AN48" s="14" t="n">
        <v>47113.242659162</v>
      </c>
      <c r="AO48" s="14" t="n">
        <v>-13344.6109280635</v>
      </c>
      <c r="AP48" s="14" t="n">
        <v>0.0262380555778831</v>
      </c>
      <c r="AQ48" s="14" t="n">
        <v>238.113811683709</v>
      </c>
      <c r="AR48" s="14" t="n">
        <v>381.448758918248</v>
      </c>
      <c r="AS48" s="14" t="n">
        <v>369.181033336072</v>
      </c>
      <c r="AT48" s="14" t="n">
        <v>-3374.08482730945</v>
      </c>
      <c r="AU48" s="14" t="n">
        <v>12.270507</v>
      </c>
      <c r="AV48" s="14" t="n">
        <v>0</v>
      </c>
      <c r="AW48" s="14" t="n">
        <v>4863.615</v>
      </c>
      <c r="AX48" s="14" t="n">
        <v>369.181033336072</v>
      </c>
      <c r="AY48" s="14" t="n">
        <v>336.984272357958</v>
      </c>
    </row>
    <row r="49" customFormat="false" ht="15" hidden="false" customHeight="false" outlineLevel="0" collapsed="false">
      <c r="A49" s="0" t="s">
        <v>2593</v>
      </c>
      <c r="B49" s="14" t="n">
        <v>2423.40833661368</v>
      </c>
      <c r="C49" s="14" t="n">
        <v>7621.71734378923</v>
      </c>
      <c r="D49" s="14" t="n">
        <v>19606.894648061</v>
      </c>
      <c r="E49" s="14" t="n">
        <v>4078.97255313604</v>
      </c>
      <c r="F49" s="14" t="n">
        <v>-984.898133745312</v>
      </c>
      <c r="G49" s="14" t="n">
        <v>4759.00199312978</v>
      </c>
      <c r="H49" s="14" t="n">
        <v>-183.737139392088</v>
      </c>
      <c r="I49" s="15" t="n">
        <v>0.01</v>
      </c>
      <c r="J49" s="15" t="n">
        <v>0</v>
      </c>
      <c r="K49" s="14" t="s">
        <v>82</v>
      </c>
      <c r="L49" s="14" t="n">
        <v>2073.20268369447</v>
      </c>
      <c r="M49" s="14" t="n">
        <v>32170.7343468758</v>
      </c>
      <c r="N49" s="14" t="n">
        <v>12202.2600162747</v>
      </c>
      <c r="O49" s="14" t="n">
        <v>-13352.4239141392</v>
      </c>
      <c r="P49" s="14" t="n">
        <v>968.519919991184</v>
      </c>
      <c r="Q49" s="14" t="n">
        <v>847.460390505534</v>
      </c>
      <c r="R49" s="14" t="n">
        <v>16850.3421667323</v>
      </c>
      <c r="S49" s="14" t="n">
        <v>29456.0378929612</v>
      </c>
      <c r="T49" s="14" t="n">
        <v>-936.780501065439</v>
      </c>
      <c r="U49" s="14" t="n">
        <v>-9253.6245370439</v>
      </c>
      <c r="V49" s="14" t="n">
        <v>0.82509878873241</v>
      </c>
      <c r="W49" s="14" t="n">
        <v>46042.4843595974</v>
      </c>
      <c r="X49" s="14" t="n">
        <v>25494.8402952654</v>
      </c>
      <c r="Y49" s="14" t="n">
        <v>0</v>
      </c>
      <c r="Z49" s="14" t="n">
        <v>0</v>
      </c>
      <c r="AA49" s="14" t="n">
        <v>30.1575455502983</v>
      </c>
      <c r="AB49" s="14" t="n">
        <v>27.9575455502983</v>
      </c>
      <c r="AC49" s="14" t="n">
        <v>29.4075455502983</v>
      </c>
      <c r="AD49" s="14" t="n">
        <v>23.1609949826291</v>
      </c>
      <c r="AE49" s="14" t="n">
        <v>653.683373262198</v>
      </c>
      <c r="AF49" s="14" t="n">
        <v>0.03</v>
      </c>
      <c r="AG49" s="14" t="n">
        <v>0.702129022128044</v>
      </c>
      <c r="AH49" s="14" t="n">
        <v>10689.3730662169</v>
      </c>
      <c r="AI49" s="14" t="n">
        <v>19606.894648061</v>
      </c>
      <c r="AJ49" s="14" t="n">
        <v>22.39175</v>
      </c>
      <c r="AK49" s="14" t="n">
        <v>0</v>
      </c>
      <c r="AL49" s="14" t="n">
        <v>-36275.2856716304</v>
      </c>
      <c r="AM49" s="14" t="n">
        <v>684.5</v>
      </c>
      <c r="AN49" s="14" t="n">
        <v>27078.2628664013</v>
      </c>
      <c r="AO49" s="14" t="n">
        <v>-7119.9037923103</v>
      </c>
      <c r="AP49" s="14" t="n">
        <v>0.519414437863832</v>
      </c>
      <c r="AQ49" s="14" t="n">
        <v>0</v>
      </c>
      <c r="AR49" s="14" t="n">
        <v>327.195752</v>
      </c>
      <c r="AS49" s="14" t="n">
        <v>314.925245</v>
      </c>
      <c r="AT49" s="14" t="n">
        <v>2073.20268369447</v>
      </c>
      <c r="AU49" s="14" t="n">
        <v>12.270507</v>
      </c>
      <c r="AV49" s="14" t="n">
        <v>0</v>
      </c>
      <c r="AW49" s="14" t="n">
        <v>2254.3125</v>
      </c>
      <c r="AX49" s="14" t="n">
        <v>314.925245</v>
      </c>
      <c r="AY49" s="14" t="n">
        <v>314.925245</v>
      </c>
    </row>
    <row r="50" customFormat="false" ht="15" hidden="false" customHeight="false" outlineLevel="0" collapsed="false">
      <c r="A50" s="0" t="s">
        <v>2594</v>
      </c>
      <c r="B50" s="14" t="n">
        <v>2423.40833661368</v>
      </c>
      <c r="C50" s="14" t="n">
        <v>8126.01542074525</v>
      </c>
      <c r="D50" s="14" t="n">
        <v>20569.4740402136</v>
      </c>
      <c r="E50" s="14" t="n">
        <v>4437.02418777482</v>
      </c>
      <c r="F50" s="14" t="n">
        <v>-647.497968751575</v>
      </c>
      <c r="G50" s="14" t="n">
        <v>4759.48153969658</v>
      </c>
      <c r="H50" s="14" t="n">
        <v>2347.6213471806</v>
      </c>
      <c r="I50" s="15" t="n">
        <v>0.01</v>
      </c>
      <c r="J50" s="15" t="n">
        <v>0</v>
      </c>
      <c r="K50" s="14" t="s">
        <v>82</v>
      </c>
      <c r="L50" s="14" t="n">
        <v>2424.07463143647</v>
      </c>
      <c r="M50" s="14" t="n">
        <v>32180.8203084149</v>
      </c>
      <c r="N50" s="14" t="n">
        <v>12933.8203543107</v>
      </c>
      <c r="O50" s="14" t="n">
        <v>-12425.3631315182</v>
      </c>
      <c r="P50" s="14" t="n">
        <v>968.519919991184</v>
      </c>
      <c r="Q50" s="14" t="n">
        <v>1537.07392738462</v>
      </c>
      <c r="R50" s="14" t="n">
        <v>16850.3421667323</v>
      </c>
      <c r="S50" s="14" t="n">
        <v>29475.2894808043</v>
      </c>
      <c r="T50" s="14" t="n">
        <v>-936.780501065439</v>
      </c>
      <c r="U50" s="14" t="n">
        <v>-6722.26605047121</v>
      </c>
      <c r="V50" s="14" t="n">
        <v>0.82509878873241</v>
      </c>
      <c r="W50" s="14" t="n">
        <v>46959.7964632782</v>
      </c>
      <c r="X50" s="14" t="n">
        <v>25660.9385978451</v>
      </c>
      <c r="Y50" s="14" t="n">
        <v>0</v>
      </c>
      <c r="Z50" s="14" t="n">
        <v>0</v>
      </c>
      <c r="AA50" s="14" t="n">
        <v>30.1575455502983</v>
      </c>
      <c r="AB50" s="14" t="n">
        <v>27.9575455502983</v>
      </c>
      <c r="AC50" s="14" t="n">
        <v>29.4075455502983</v>
      </c>
      <c r="AD50" s="14" t="n">
        <v>23.1609949826291</v>
      </c>
      <c r="AE50" s="14" t="n">
        <v>653.683373262198</v>
      </c>
      <c r="AF50" s="14" t="n">
        <v>0.03</v>
      </c>
      <c r="AG50" s="14" t="n">
        <v>0.704515484277783</v>
      </c>
      <c r="AH50" s="14" t="n">
        <v>10689.3730662169</v>
      </c>
      <c r="AI50" s="14" t="n">
        <v>20569.4740402136</v>
      </c>
      <c r="AJ50" s="14" t="n">
        <v>26.5819700488998</v>
      </c>
      <c r="AK50" s="14" t="n">
        <v>0</v>
      </c>
      <c r="AL50" s="14" t="n">
        <v>-34888.9949711671</v>
      </c>
      <c r="AM50" s="14" t="n">
        <v>684.5</v>
      </c>
      <c r="AN50" s="14" t="n">
        <v>27078.2628664013</v>
      </c>
      <c r="AO50" s="14" t="n">
        <v>-7119.9037923103</v>
      </c>
      <c r="AP50" s="14" t="n">
        <v>0.450076410625259</v>
      </c>
      <c r="AQ50" s="14" t="n">
        <v>0</v>
      </c>
      <c r="AR50" s="14" t="n">
        <v>327.195752</v>
      </c>
      <c r="AS50" s="14" t="n">
        <v>314.925245</v>
      </c>
      <c r="AT50" s="14" t="n">
        <v>2424.07463143647</v>
      </c>
      <c r="AU50" s="14" t="n">
        <v>12.270507</v>
      </c>
      <c r="AV50" s="14" t="n">
        <v>0</v>
      </c>
      <c r="AW50" s="14" t="n">
        <v>2254.3125</v>
      </c>
      <c r="AX50" s="14" t="n">
        <v>314.925245</v>
      </c>
      <c r="AY50" s="14" t="n">
        <v>314.925245</v>
      </c>
    </row>
    <row r="51" customFormat="false" ht="15" hidden="false" customHeight="false" outlineLevel="0" collapsed="false">
      <c r="A51" s="0" t="s">
        <v>2595</v>
      </c>
      <c r="B51" s="14" t="n">
        <v>2423.40833661368</v>
      </c>
      <c r="C51" s="14" t="n">
        <v>7621.71734378923</v>
      </c>
      <c r="D51" s="14" t="n">
        <v>19606.894648061</v>
      </c>
      <c r="E51" s="14" t="n">
        <v>4078.97255313604</v>
      </c>
      <c r="F51" s="14" t="n">
        <v>-984.898133745312</v>
      </c>
      <c r="G51" s="14" t="n">
        <v>4759.00199312978</v>
      </c>
      <c r="H51" s="14" t="n">
        <v>-183.737139392088</v>
      </c>
      <c r="I51" s="15" t="n">
        <v>0.01</v>
      </c>
      <c r="J51" s="15" t="n">
        <v>0</v>
      </c>
      <c r="K51" s="14" t="s">
        <v>82</v>
      </c>
      <c r="L51" s="14" t="n">
        <v>2073.20268369447</v>
      </c>
      <c r="M51" s="14" t="n">
        <v>32170.7343468758</v>
      </c>
      <c r="N51" s="14" t="n">
        <v>12202.2600162747</v>
      </c>
      <c r="O51" s="14" t="n">
        <v>-13352.4239141392</v>
      </c>
      <c r="P51" s="14" t="n">
        <v>968.519919991184</v>
      </c>
      <c r="Q51" s="14" t="n">
        <v>847.460390505534</v>
      </c>
      <c r="R51" s="14" t="n">
        <v>16850.3421667323</v>
      </c>
      <c r="S51" s="14" t="n">
        <v>29456.0378929612</v>
      </c>
      <c r="T51" s="14" t="n">
        <v>-936.780501065439</v>
      </c>
      <c r="U51" s="14" t="n">
        <v>-9448.68474708589</v>
      </c>
      <c r="V51" s="14" t="n">
        <v>0.82509878873241</v>
      </c>
      <c r="W51" s="14" t="n">
        <v>46042.4843595974</v>
      </c>
      <c r="X51" s="14" t="n">
        <v>25494.8402952654</v>
      </c>
      <c r="Y51" s="14" t="n">
        <v>0</v>
      </c>
      <c r="Z51" s="14" t="n">
        <v>0</v>
      </c>
      <c r="AA51" s="14" t="n">
        <v>30.1575455502983</v>
      </c>
      <c r="AB51" s="14" t="n">
        <v>27.9575455502983</v>
      </c>
      <c r="AC51" s="14" t="n">
        <v>29.4075455502983</v>
      </c>
      <c r="AD51" s="14" t="n">
        <v>23.1609949826291</v>
      </c>
      <c r="AE51" s="14" t="n">
        <v>653.683373262198</v>
      </c>
      <c r="AF51" s="14" t="n">
        <v>0.03</v>
      </c>
      <c r="AG51" s="14" t="n">
        <v>0.702129022128044</v>
      </c>
      <c r="AH51" s="14" t="n">
        <v>10689.3730662169</v>
      </c>
      <c r="AI51" s="14" t="n">
        <v>19606.894648061</v>
      </c>
      <c r="AJ51" s="14" t="n">
        <v>22.39175</v>
      </c>
      <c r="AK51" s="14" t="n">
        <v>0</v>
      </c>
      <c r="AL51" s="14" t="n">
        <v>-36275.2856716304</v>
      </c>
      <c r="AM51" s="14" t="n">
        <v>684.5</v>
      </c>
      <c r="AN51" s="14" t="n">
        <v>27078.2628664013</v>
      </c>
      <c r="AO51" s="14" t="n">
        <v>-7119.9037923103</v>
      </c>
      <c r="AP51" s="14" t="n">
        <v>0.519414437863832</v>
      </c>
      <c r="AQ51" s="14" t="n">
        <v>0</v>
      </c>
      <c r="AR51" s="14" t="n">
        <v>327.195752</v>
      </c>
      <c r="AS51" s="14" t="n">
        <v>314.925245</v>
      </c>
      <c r="AT51" s="14" t="n">
        <v>2073.20268369447</v>
      </c>
      <c r="AU51" s="14" t="n">
        <v>12.270507</v>
      </c>
      <c r="AV51" s="14" t="n">
        <v>0</v>
      </c>
      <c r="AW51" s="14" t="n">
        <v>2254.3125</v>
      </c>
      <c r="AX51" s="14" t="n">
        <v>314.925245</v>
      </c>
      <c r="AY51" s="14" t="n">
        <v>314.925245</v>
      </c>
    </row>
    <row r="52" customFormat="false" ht="15" hidden="false" customHeight="false" outlineLevel="0" collapsed="false">
      <c r="A52" s="0" t="s">
        <v>2596</v>
      </c>
      <c r="B52" s="14" t="n">
        <v>2423.40833661368</v>
      </c>
      <c r="C52" s="14" t="n">
        <v>6814.52463754984</v>
      </c>
      <c r="D52" s="14" t="n">
        <v>16455.8866958153</v>
      </c>
      <c r="E52" s="14" t="n">
        <v>3505.86573170607</v>
      </c>
      <c r="F52" s="14" t="n">
        <v>-1524.95393527648</v>
      </c>
      <c r="G52" s="14" t="n">
        <v>4758.23868148056</v>
      </c>
      <c r="H52" s="14" t="n">
        <v>-19459.5278562139</v>
      </c>
      <c r="I52" s="15" t="n">
        <v>0.01</v>
      </c>
      <c r="J52" s="15" t="n">
        <v>0</v>
      </c>
      <c r="K52" s="14" t="s">
        <v>82</v>
      </c>
      <c r="L52" s="14" t="n">
        <v>1511.61381059189</v>
      </c>
      <c r="M52" s="14" t="n">
        <v>32154.590492751</v>
      </c>
      <c r="N52" s="14" t="n">
        <v>9807.49397256799</v>
      </c>
      <c r="O52" s="14" t="n">
        <v>-16214.1043131901</v>
      </c>
      <c r="P52" s="14" t="n">
        <v>968.519919991184</v>
      </c>
      <c r="Q52" s="14" t="n">
        <v>-1414.16916341112</v>
      </c>
      <c r="R52" s="14" t="n">
        <v>16850.3421667323</v>
      </c>
      <c r="S52" s="14" t="n">
        <v>29393.0177339163</v>
      </c>
      <c r="T52" s="14" t="n">
        <v>-936.780501065439</v>
      </c>
      <c r="U52" s="14" t="n">
        <v>-28529.4152538657</v>
      </c>
      <c r="V52" s="14" t="n">
        <v>0.82509878873241</v>
      </c>
      <c r="W52" s="14" t="n">
        <v>36359.1981719442</v>
      </c>
      <c r="X52" s="14" t="n">
        <v>23745.4506693902</v>
      </c>
      <c r="Y52" s="14" t="n">
        <v>0</v>
      </c>
      <c r="Z52" s="14" t="n">
        <v>0</v>
      </c>
      <c r="AA52" s="14" t="n">
        <v>30.1575455502983</v>
      </c>
      <c r="AB52" s="14" t="n">
        <v>27.9575455502983</v>
      </c>
      <c r="AC52" s="14" t="n">
        <v>29.4075455502983</v>
      </c>
      <c r="AD52" s="14" t="n">
        <v>23.1609949826291</v>
      </c>
      <c r="AE52" s="14" t="n">
        <v>653.683373262198</v>
      </c>
      <c r="AF52" s="14" t="n">
        <v>0.03</v>
      </c>
      <c r="AG52" s="14" t="n">
        <v>0.669947256380884</v>
      </c>
      <c r="AH52" s="14" t="n">
        <v>10689.3730662169</v>
      </c>
      <c r="AI52" s="14" t="n">
        <v>16455.8866958153</v>
      </c>
      <c r="AJ52" s="14" t="n">
        <v>15.91275</v>
      </c>
      <c r="AK52" s="14" t="n">
        <v>0</v>
      </c>
      <c r="AL52" s="14" t="n">
        <v>-42397.3127750308</v>
      </c>
      <c r="AM52" s="14" t="n">
        <v>684.5</v>
      </c>
      <c r="AN52" s="14" t="n">
        <v>27078.2628664013</v>
      </c>
      <c r="AO52" s="14" t="n">
        <v>-7119.9037923103</v>
      </c>
      <c r="AP52" s="14" t="n">
        <v>0.752774547628742</v>
      </c>
      <c r="AQ52" s="14" t="n">
        <v>0</v>
      </c>
      <c r="AR52" s="14" t="n">
        <v>327.195752</v>
      </c>
      <c r="AS52" s="14" t="n">
        <v>314.925245</v>
      </c>
      <c r="AT52" s="14" t="n">
        <v>1511.61381059189</v>
      </c>
      <c r="AU52" s="14" t="n">
        <v>12.270507</v>
      </c>
      <c r="AV52" s="14" t="n">
        <v>0</v>
      </c>
      <c r="AW52" s="14" t="n">
        <v>2254.3125</v>
      </c>
      <c r="AX52" s="14" t="n">
        <v>314.925245</v>
      </c>
      <c r="AY52" s="14" t="n">
        <v>314.925245</v>
      </c>
    </row>
    <row r="53" customFormat="false" ht="15" hidden="false" customHeight="false" outlineLevel="0" collapsed="false">
      <c r="A53" s="0" t="s">
        <v>2597</v>
      </c>
      <c r="B53" s="14" t="n">
        <v>2643.78617033326</v>
      </c>
      <c r="C53" s="14" t="n">
        <v>13640.5482149289</v>
      </c>
      <c r="D53" s="14" t="n">
        <v>30203.1495587609</v>
      </c>
      <c r="E53" s="14" t="n">
        <v>8323.71092532562</v>
      </c>
      <c r="F53" s="14" t="n">
        <v>2686.59796070684</v>
      </c>
      <c r="G53" s="14" t="n">
        <v>5091.49103602162</v>
      </c>
      <c r="H53" s="14" t="n">
        <v>101187.683887556</v>
      </c>
      <c r="I53" s="15" t="n">
        <v>264.124887917347</v>
      </c>
      <c r="J53" s="15" t="n">
        <v>294.602411404866</v>
      </c>
      <c r="K53" s="14" t="s">
        <v>50</v>
      </c>
      <c r="L53" s="14" t="n">
        <v>-2904.26095271541</v>
      </c>
      <c r="M53" s="14" t="n">
        <v>40755.3109642986</v>
      </c>
      <c r="N53" s="14" t="n">
        <v>20387.9103033738</v>
      </c>
      <c r="O53" s="14" t="n">
        <v>-7663.46115907526</v>
      </c>
      <c r="P53" s="14" t="n">
        <v>1142.48578071534</v>
      </c>
      <c r="Q53" s="14" t="n">
        <v>8061.98157593327</v>
      </c>
      <c r="R53" s="14" t="n">
        <v>22890.5497234067</v>
      </c>
      <c r="S53" s="14" t="n">
        <v>27226.9796578419</v>
      </c>
      <c r="T53" s="14" t="n">
        <v>-595.938093280317</v>
      </c>
      <c r="U53" s="14" t="n">
        <v>97574.4400332158</v>
      </c>
      <c r="V53" s="14" t="n">
        <v>0.82509878873241</v>
      </c>
      <c r="W53" s="14" t="n">
        <v>136290.933698127</v>
      </c>
      <c r="X53" s="14" t="n">
        <v>28352.445616729</v>
      </c>
      <c r="Y53" s="14" t="n">
        <v>278.37311293472</v>
      </c>
      <c r="Z53" s="14" t="n">
        <v>369.549264866264</v>
      </c>
      <c r="AA53" s="14" t="n">
        <v>43.041696075</v>
      </c>
      <c r="AB53" s="14" t="n">
        <v>40.841696075</v>
      </c>
      <c r="AC53" s="14" t="n">
        <v>42.291696075</v>
      </c>
      <c r="AD53" s="14" t="n">
        <v>33.0560225856</v>
      </c>
      <c r="AE53" s="14" t="n">
        <v>720.689630183706</v>
      </c>
      <c r="AF53" s="14" t="n">
        <v>0.035</v>
      </c>
      <c r="AG53" s="14" t="n">
        <v>0.740097548144715</v>
      </c>
      <c r="AH53" s="14" t="n">
        <v>4360.95033949851</v>
      </c>
      <c r="AI53" s="14" t="n">
        <v>30203.1495587609</v>
      </c>
      <c r="AJ53" s="14" t="n">
        <v>30.5038011919315</v>
      </c>
      <c r="AK53" s="14" t="n">
        <v>0</v>
      </c>
      <c r="AL53" s="14" t="n">
        <v>-25959.797924995</v>
      </c>
      <c r="AM53" s="14" t="n">
        <v>909.833333333333</v>
      </c>
      <c r="AN53" s="14" t="n">
        <v>47113.242659162</v>
      </c>
      <c r="AO53" s="14" t="n">
        <v>-13344.6109280635</v>
      </c>
      <c r="AP53" s="14" t="n">
        <v>0.0226599011834445</v>
      </c>
      <c r="AQ53" s="14" t="n">
        <v>263.037867325773</v>
      </c>
      <c r="AR53" s="14" t="n">
        <v>381.686548676985</v>
      </c>
      <c r="AS53" s="14" t="n">
        <v>369.425391157194</v>
      </c>
      <c r="AT53" s="14" t="n">
        <v>-2904.26095271541</v>
      </c>
      <c r="AU53" s="14" t="n">
        <v>12.270507</v>
      </c>
      <c r="AV53" s="14" t="n">
        <v>0</v>
      </c>
      <c r="AW53" s="14" t="n">
        <v>3694.865</v>
      </c>
      <c r="AX53" s="14" t="n">
        <v>369.425391157194</v>
      </c>
      <c r="AY53" s="14" t="n">
        <v>340.367167751902</v>
      </c>
    </row>
    <row r="54" customFormat="false" ht="15" hidden="false" customHeight="false" outlineLevel="0" collapsed="false">
      <c r="A54" s="0" t="s">
        <v>2598</v>
      </c>
      <c r="B54" s="14" t="n">
        <v>2102.38738501866</v>
      </c>
      <c r="C54" s="14" t="n">
        <v>4169.1914808896</v>
      </c>
      <c r="D54" s="14" t="n">
        <v>10440.2570878432</v>
      </c>
      <c r="E54" s="14" t="n">
        <v>1889.02536092559</v>
      </c>
      <c r="F54" s="14" t="n">
        <v>-3483.68797961499</v>
      </c>
      <c r="G54" s="14" t="n">
        <v>5205.94568130499</v>
      </c>
      <c r="H54" s="14" t="n">
        <v>-24548.6517639843</v>
      </c>
      <c r="I54" s="15" t="n">
        <v>0.01</v>
      </c>
      <c r="J54" s="15" t="n">
        <v>0</v>
      </c>
      <c r="K54" s="14" t="s">
        <v>82</v>
      </c>
      <c r="L54" s="14" t="n">
        <v>2244.13972631839</v>
      </c>
      <c r="M54" s="14" t="n">
        <v>19576.9546251733</v>
      </c>
      <c r="N54" s="14" t="n">
        <v>5460.08898497363</v>
      </c>
      <c r="O54" s="14" t="n">
        <v>-19983.2978171188</v>
      </c>
      <c r="P54" s="14" t="n">
        <v>750.274237487276</v>
      </c>
      <c r="Q54" s="14" t="n">
        <v>-5094.35893629922</v>
      </c>
      <c r="R54" s="14" t="n">
        <v>10528.0310069596</v>
      </c>
      <c r="S54" s="14" t="n">
        <v>26091.7569639791</v>
      </c>
      <c r="T54" s="14" t="n">
        <v>-1418.00315508082</v>
      </c>
      <c r="U54" s="14" t="n">
        <v>-32871.5375056824</v>
      </c>
      <c r="V54" s="14" t="n">
        <v>0.82509878873241</v>
      </c>
      <c r="W54" s="14" t="n">
        <v>19906.5574356142</v>
      </c>
      <c r="X54" s="14" t="n">
        <v>13724.3448715977</v>
      </c>
      <c r="Y54" s="14" t="n">
        <v>0</v>
      </c>
      <c r="Z54" s="14" t="n">
        <v>0</v>
      </c>
      <c r="AA54" s="14" t="n">
        <v>22.27279275</v>
      </c>
      <c r="AB54" s="14" t="n">
        <v>20.07279275</v>
      </c>
      <c r="AC54" s="14" t="n">
        <v>21.52279275</v>
      </c>
      <c r="AD54" s="14" t="n">
        <v>17.105504832</v>
      </c>
      <c r="AE54" s="14" t="n">
        <v>552.747125886626</v>
      </c>
      <c r="AF54" s="14" t="n">
        <v>0.02</v>
      </c>
      <c r="AG54" s="14" t="n">
        <v>0.631381727098861</v>
      </c>
      <c r="AH54" s="14" t="n">
        <v>20941.0948326026</v>
      </c>
      <c r="AI54" s="14" t="n">
        <v>10440.2570878432</v>
      </c>
      <c r="AJ54" s="14" t="n">
        <v>23.6321723794842</v>
      </c>
      <c r="AK54" s="14" t="n">
        <v>0</v>
      </c>
      <c r="AL54" s="14" t="n">
        <v>-40345.1543068802</v>
      </c>
      <c r="AM54" s="14" t="n">
        <v>396.288888888889</v>
      </c>
      <c r="AN54" s="14" t="n">
        <v>593.827314814815</v>
      </c>
      <c r="AO54" s="14" t="n">
        <v>-341.703991684943</v>
      </c>
      <c r="AP54" s="14" t="n">
        <v>1</v>
      </c>
      <c r="AQ54" s="14" t="n">
        <v>0</v>
      </c>
      <c r="AR54" s="14" t="n">
        <v>376.701942829579</v>
      </c>
      <c r="AS54" s="14" t="n">
        <v>314.925245</v>
      </c>
      <c r="AT54" s="14" t="n">
        <v>2244.13972631839</v>
      </c>
      <c r="AU54" s="14" t="n">
        <v>61.7766978295787</v>
      </c>
      <c r="AV54" s="14" t="n">
        <v>0</v>
      </c>
      <c r="AW54" s="14" t="n">
        <v>998.76</v>
      </c>
      <c r="AX54" s="14" t="n">
        <v>314.925245</v>
      </c>
      <c r="AY54" s="14" t="n">
        <v>314.925245</v>
      </c>
    </row>
    <row r="55" customFormat="false" ht="15" hidden="false" customHeight="false" outlineLevel="0" collapsed="false">
      <c r="A55" s="0" t="s">
        <v>2599</v>
      </c>
      <c r="B55" s="14" t="n">
        <v>2423.40833661368</v>
      </c>
      <c r="C55" s="14" t="n">
        <v>7621.71734378923</v>
      </c>
      <c r="D55" s="14" t="n">
        <v>19606.894648061</v>
      </c>
      <c r="E55" s="14" t="n">
        <v>4078.97255313604</v>
      </c>
      <c r="F55" s="14" t="n">
        <v>-984.898133745312</v>
      </c>
      <c r="G55" s="14" t="n">
        <v>4759.00199312978</v>
      </c>
      <c r="H55" s="14" t="n">
        <v>-7385.03438801113</v>
      </c>
      <c r="I55" s="15" t="n">
        <v>0.01</v>
      </c>
      <c r="J55" s="15" t="n">
        <v>0</v>
      </c>
      <c r="K55" s="14" t="s">
        <v>82</v>
      </c>
      <c r="L55" s="14" t="n">
        <v>2073.20268369447</v>
      </c>
      <c r="M55" s="14" t="n">
        <v>32170.7343468758</v>
      </c>
      <c r="N55" s="14" t="n">
        <v>12117.6722961593</v>
      </c>
      <c r="O55" s="14" t="n">
        <v>-13417.8096858089</v>
      </c>
      <c r="P55" s="14" t="n">
        <v>968.519919991184</v>
      </c>
      <c r="Q55" s="14" t="n">
        <v>762.872670390149</v>
      </c>
      <c r="R55" s="14" t="n">
        <v>16850.3421667323</v>
      </c>
      <c r="S55" s="14" t="n">
        <v>29456.0378929612</v>
      </c>
      <c r="T55" s="14" t="n">
        <v>-936.780501065439</v>
      </c>
      <c r="U55" s="14" t="n">
        <v>-16454.9217856629</v>
      </c>
      <c r="V55" s="14" t="n">
        <v>0.82509878873241</v>
      </c>
      <c r="W55" s="14" t="n">
        <v>41539.2604164119</v>
      </c>
      <c r="X55" s="14" t="n">
        <v>24755.7015393038</v>
      </c>
      <c r="Y55" s="14" t="n">
        <v>0</v>
      </c>
      <c r="Z55" s="14" t="n">
        <v>0</v>
      </c>
      <c r="AA55" s="14" t="n">
        <v>30.1575455502983</v>
      </c>
      <c r="AB55" s="14" t="n">
        <v>27.9575455502983</v>
      </c>
      <c r="AC55" s="14" t="n">
        <v>29.4075455502983</v>
      </c>
      <c r="AD55" s="14" t="n">
        <v>23.1609949826291</v>
      </c>
      <c r="AE55" s="14" t="n">
        <v>653.683373262198</v>
      </c>
      <c r="AF55" s="14" t="n">
        <v>0.03</v>
      </c>
      <c r="AG55" s="14" t="n">
        <v>0.62</v>
      </c>
      <c r="AH55" s="14" t="n">
        <v>10689.3730662169</v>
      </c>
      <c r="AI55" s="14" t="n">
        <v>19606.894648061</v>
      </c>
      <c r="AJ55" s="14" t="n">
        <v>22.39175</v>
      </c>
      <c r="AK55" s="14" t="n">
        <v>0</v>
      </c>
      <c r="AL55" s="14" t="n">
        <v>-37276.3850173188</v>
      </c>
      <c r="AM55" s="14" t="n">
        <v>684.5</v>
      </c>
      <c r="AN55" s="14" t="n">
        <v>27078.2628664013</v>
      </c>
      <c r="AO55" s="14" t="n">
        <v>-7119.9037923103</v>
      </c>
      <c r="AP55" s="14" t="n">
        <v>0.519414437863832</v>
      </c>
      <c r="AQ55" s="14" t="n">
        <v>0</v>
      </c>
      <c r="AR55" s="14" t="n">
        <v>327.195752</v>
      </c>
      <c r="AS55" s="14" t="n">
        <v>314.925245</v>
      </c>
      <c r="AT55" s="14" t="n">
        <v>2073.20268369447</v>
      </c>
      <c r="AU55" s="14" t="n">
        <v>12.270507</v>
      </c>
      <c r="AV55" s="14" t="n">
        <v>0</v>
      </c>
      <c r="AW55" s="14" t="n">
        <v>2254.3125</v>
      </c>
      <c r="AX55" s="14" t="n">
        <v>314.925245</v>
      </c>
      <c r="AY55" s="14" t="n">
        <v>314.925245</v>
      </c>
    </row>
    <row r="56" customFormat="false" ht="15" hidden="false" customHeight="false" outlineLevel="0" collapsed="false">
      <c r="A56" s="0" t="s">
        <v>2600</v>
      </c>
      <c r="B56" s="14" t="n">
        <v>2423.40833661368</v>
      </c>
      <c r="C56" s="14" t="n">
        <v>7621.71734378923</v>
      </c>
      <c r="D56" s="14" t="n">
        <v>19606.894648061</v>
      </c>
      <c r="E56" s="14" t="n">
        <v>4078.97255313604</v>
      </c>
      <c r="F56" s="14" t="n">
        <v>-984.898133745312</v>
      </c>
      <c r="G56" s="14" t="n">
        <v>4759.00199312978</v>
      </c>
      <c r="H56" s="14" t="n">
        <v>-1524.78037316679</v>
      </c>
      <c r="I56" s="15" t="n">
        <v>0.01</v>
      </c>
      <c r="J56" s="15" t="n">
        <v>0</v>
      </c>
      <c r="K56" s="14" t="s">
        <v>82</v>
      </c>
      <c r="L56" s="14" t="n">
        <v>2073.20268369447</v>
      </c>
      <c r="M56" s="14" t="n">
        <v>32170.7343468758</v>
      </c>
      <c r="N56" s="14" t="n">
        <v>12202.2600162747</v>
      </c>
      <c r="O56" s="14" t="n">
        <v>-13352.4239141392</v>
      </c>
      <c r="P56" s="14" t="n">
        <v>968.519919991184</v>
      </c>
      <c r="Q56" s="14" t="n">
        <v>847.460390505534</v>
      </c>
      <c r="R56" s="14" t="n">
        <v>16850.3421667323</v>
      </c>
      <c r="S56" s="14" t="n">
        <v>29456.0378929612</v>
      </c>
      <c r="T56" s="14" t="n">
        <v>-936.780501065439</v>
      </c>
      <c r="U56" s="14" t="n">
        <v>-10594.6677708186</v>
      </c>
      <c r="V56" s="14" t="n">
        <v>0.82509878873241</v>
      </c>
      <c r="W56" s="14" t="n">
        <v>44701.4411258227</v>
      </c>
      <c r="X56" s="14" t="n">
        <v>23212.6774115795</v>
      </c>
      <c r="Y56" s="14" t="n">
        <v>0</v>
      </c>
      <c r="Z56" s="14" t="n">
        <v>0</v>
      </c>
      <c r="AA56" s="14" t="n">
        <v>30.1575455502983</v>
      </c>
      <c r="AB56" s="14" t="n">
        <v>27.9575455502983</v>
      </c>
      <c r="AC56" s="14" t="n">
        <v>29.4075455502983</v>
      </c>
      <c r="AD56" s="14" t="n">
        <v>23.1609949826291</v>
      </c>
      <c r="AE56" s="14" t="n">
        <v>653.683373262198</v>
      </c>
      <c r="AF56" s="14" t="n">
        <v>0</v>
      </c>
      <c r="AG56" s="14" t="n">
        <v>0.702129022128044</v>
      </c>
      <c r="AH56" s="14" t="n">
        <v>10689.3730662169</v>
      </c>
      <c r="AI56" s="14" t="n">
        <v>19606.894648061</v>
      </c>
      <c r="AJ56" s="14" t="n">
        <v>22.39175</v>
      </c>
      <c r="AK56" s="14" t="n">
        <v>0</v>
      </c>
      <c r="AL56" s="14" t="n">
        <v>-36275.2856716304</v>
      </c>
      <c r="AM56" s="14" t="n">
        <v>684.5</v>
      </c>
      <c r="AN56" s="14" t="n">
        <v>27078.2628664013</v>
      </c>
      <c r="AO56" s="14" t="n">
        <v>-7119.9037923103</v>
      </c>
      <c r="AP56" s="14" t="n">
        <v>0.519414437863832</v>
      </c>
      <c r="AQ56" s="14" t="n">
        <v>0</v>
      </c>
      <c r="AR56" s="14" t="n">
        <v>327.195752</v>
      </c>
      <c r="AS56" s="14" t="n">
        <v>314.925245</v>
      </c>
      <c r="AT56" s="14" t="n">
        <v>2073.20268369447</v>
      </c>
      <c r="AU56" s="14" t="n">
        <v>12.270507</v>
      </c>
      <c r="AV56" s="14" t="n">
        <v>0</v>
      </c>
      <c r="AW56" s="14" t="n">
        <v>2254.3125</v>
      </c>
      <c r="AX56" s="14" t="n">
        <v>314.925245</v>
      </c>
      <c r="AY56" s="14" t="n">
        <v>314.925245</v>
      </c>
    </row>
    <row r="57" customFormat="false" ht="15" hidden="false" customHeight="false" outlineLevel="0" collapsed="false">
      <c r="A57" s="0" t="s">
        <v>2601</v>
      </c>
      <c r="B57" s="14" t="n">
        <v>2420.36306929152</v>
      </c>
      <c r="C57" s="14" t="n">
        <v>7673.10161146228</v>
      </c>
      <c r="D57" s="14" t="n">
        <v>19712.0184286266</v>
      </c>
      <c r="E57" s="14" t="n">
        <v>4065.52434729263</v>
      </c>
      <c r="F57" s="14" t="n">
        <v>-1131.73154932856</v>
      </c>
      <c r="G57" s="14" t="n">
        <v>4890.3318321627</v>
      </c>
      <c r="H57" s="14" t="n">
        <v>3.42144150117656</v>
      </c>
      <c r="I57" s="15" t="n">
        <v>0.01</v>
      </c>
      <c r="J57" s="15" t="n">
        <v>0</v>
      </c>
      <c r="K57" s="14" t="s">
        <v>82</v>
      </c>
      <c r="L57" s="14" t="n">
        <v>1545.91198774053</v>
      </c>
      <c r="M57" s="14" t="n">
        <v>32171.7620322293</v>
      </c>
      <c r="N57" s="14" t="n">
        <v>12240.0169675031</v>
      </c>
      <c r="O57" s="14" t="n">
        <v>-13896.417648555</v>
      </c>
      <c r="P57" s="14" t="n">
        <v>942.54231994302</v>
      </c>
      <c r="Q57" s="14" t="n">
        <v>749.413865334613</v>
      </c>
      <c r="R57" s="14" t="n">
        <v>17506.6290874728</v>
      </c>
      <c r="S57" s="14" t="n">
        <v>29458.1403685725</v>
      </c>
      <c r="T57" s="14" t="n">
        <v>-962.635952943956</v>
      </c>
      <c r="U57" s="14" t="n">
        <v>-9481.91900729042</v>
      </c>
      <c r="V57" s="14" t="n">
        <v>0.664133315320218</v>
      </c>
      <c r="W57" s="14" t="n">
        <v>46255.2339244144</v>
      </c>
      <c r="X57" s="14" t="n">
        <v>25634.4525703602</v>
      </c>
      <c r="Y57" s="14" t="n">
        <v>0</v>
      </c>
      <c r="Z57" s="14" t="n">
        <v>0</v>
      </c>
      <c r="AA57" s="14" t="n">
        <v>24.2742214408166</v>
      </c>
      <c r="AB57" s="14" t="n">
        <v>22.0742214408166</v>
      </c>
      <c r="AC57" s="14" t="n">
        <v>23.5242214408166</v>
      </c>
      <c r="AD57" s="14" t="n">
        <v>18.6426020665471</v>
      </c>
      <c r="AE57" s="14" t="n">
        <v>653.345896501052</v>
      </c>
      <c r="AF57" s="14" t="n">
        <v>0.03</v>
      </c>
      <c r="AG57" s="14" t="n">
        <v>0.701858073462478</v>
      </c>
      <c r="AH57" s="14" t="n">
        <v>10256.1672442743</v>
      </c>
      <c r="AI57" s="14" t="n">
        <v>19712.0184286266</v>
      </c>
      <c r="AJ57" s="14" t="n">
        <v>22.39175</v>
      </c>
      <c r="AK57" s="14" t="n">
        <v>0</v>
      </c>
      <c r="AL57" s="14" t="n">
        <v>-36794.9205550217</v>
      </c>
      <c r="AM57" s="14" t="n">
        <v>701.5</v>
      </c>
      <c r="AN57" s="14" t="n">
        <v>27330.9567794448</v>
      </c>
      <c r="AO57" s="14" t="n">
        <v>-7119.9037923103</v>
      </c>
      <c r="AP57" s="14" t="n">
        <v>0.521597620069906</v>
      </c>
      <c r="AQ57" s="14" t="n">
        <v>0</v>
      </c>
      <c r="AR57" s="14" t="n">
        <v>327.195752</v>
      </c>
      <c r="AS57" s="14" t="n">
        <v>314.925245</v>
      </c>
      <c r="AT57" s="14" t="n">
        <v>1545.91198774053</v>
      </c>
      <c r="AU57" s="14" t="n">
        <v>12.270507</v>
      </c>
      <c r="AV57" s="14" t="n">
        <v>0</v>
      </c>
      <c r="AW57" s="14" t="n">
        <v>2254.3125</v>
      </c>
      <c r="AX57" s="14" t="n">
        <v>314.925245</v>
      </c>
      <c r="AY57" s="14" t="n">
        <v>314.925245</v>
      </c>
    </row>
    <row r="58" customFormat="false" ht="15" hidden="false" customHeight="false" outlineLevel="0" collapsed="false">
      <c r="A58" s="0" t="s">
        <v>2602</v>
      </c>
      <c r="B58" s="14" t="n">
        <v>2320.7893140299</v>
      </c>
      <c r="C58" s="14" t="n">
        <v>7377.2873881018</v>
      </c>
      <c r="D58" s="14" t="n">
        <v>19399.4896615038</v>
      </c>
      <c r="E58" s="14" t="n">
        <v>3905.42728459797</v>
      </c>
      <c r="F58" s="14" t="n">
        <v>-1279.14945401053</v>
      </c>
      <c r="G58" s="14" t="n">
        <v>4889.48524308442</v>
      </c>
      <c r="H58" s="14" t="n">
        <v>-815.165892666785</v>
      </c>
      <c r="I58" s="15" t="n">
        <v>0.01</v>
      </c>
      <c r="J58" s="15" t="n">
        <v>0</v>
      </c>
      <c r="K58" s="14" t="s">
        <v>82</v>
      </c>
      <c r="L58" s="14" t="n">
        <v>1347.71403320574</v>
      </c>
      <c r="M58" s="14" t="n">
        <v>32165.845747762</v>
      </c>
      <c r="N58" s="14" t="n">
        <v>12044.6322264912</v>
      </c>
      <c r="O58" s="14" t="n">
        <v>-14270.4902214998</v>
      </c>
      <c r="P58" s="14" t="n">
        <v>900.122302811466</v>
      </c>
      <c r="Q58" s="14" t="n">
        <v>568.569544782365</v>
      </c>
      <c r="R58" s="14" t="n">
        <v>17504.6376123676</v>
      </c>
      <c r="S58" s="14" t="n">
        <v>29451.8897932301</v>
      </c>
      <c r="T58" s="14" t="n">
        <v>-1001.0423117175</v>
      </c>
      <c r="U58" s="14" t="n">
        <v>-10312.8241351065</v>
      </c>
      <c r="V58" s="14" t="n">
        <v>0.664133315320218</v>
      </c>
      <c r="W58" s="14" t="n">
        <v>45970.1110773894</v>
      </c>
      <c r="X58" s="14" t="n">
        <v>25582.2775977933</v>
      </c>
      <c r="Y58" s="14" t="n">
        <v>0</v>
      </c>
      <c r="Z58" s="14" t="n">
        <v>0</v>
      </c>
      <c r="AA58" s="14" t="n">
        <v>24.2742214408166</v>
      </c>
      <c r="AB58" s="14" t="n">
        <v>22.0742214408166</v>
      </c>
      <c r="AC58" s="14" t="n">
        <v>23.5242214408166</v>
      </c>
      <c r="AD58" s="14" t="n">
        <v>18.6426020665471</v>
      </c>
      <c r="AE58" s="14" t="n">
        <v>622.63774895572</v>
      </c>
      <c r="AF58" s="14" t="n">
        <v>0.03</v>
      </c>
      <c r="AG58" s="14" t="n">
        <v>0.701784224041121</v>
      </c>
      <c r="AH58" s="14" t="n">
        <v>10215.6309215535</v>
      </c>
      <c r="AI58" s="14" t="n">
        <v>19399.4896615038</v>
      </c>
      <c r="AJ58" s="14" t="n">
        <v>22.39175</v>
      </c>
      <c r="AK58" s="14" t="n">
        <v>0</v>
      </c>
      <c r="AL58" s="14" t="n">
        <v>-37291.99205089</v>
      </c>
      <c r="AM58" s="14" t="n">
        <v>684.5</v>
      </c>
      <c r="AN58" s="14" t="n">
        <v>27330.9567794448</v>
      </c>
      <c r="AO58" s="14" t="n">
        <v>-7119.9037923103</v>
      </c>
      <c r="AP58" s="14" t="n">
        <v>0.588517102900949</v>
      </c>
      <c r="AQ58" s="14" t="n">
        <v>0</v>
      </c>
      <c r="AR58" s="14" t="n">
        <v>327.195752</v>
      </c>
      <c r="AS58" s="14" t="n">
        <v>314.925245</v>
      </c>
      <c r="AT58" s="14" t="n">
        <v>1347.71403320574</v>
      </c>
      <c r="AU58" s="14" t="n">
        <v>12.270507</v>
      </c>
      <c r="AV58" s="14" t="n">
        <v>0</v>
      </c>
      <c r="AW58" s="14" t="n">
        <v>2254.3125</v>
      </c>
      <c r="AX58" s="14" t="n">
        <v>314.925245</v>
      </c>
      <c r="AY58" s="14" t="n">
        <v>314.925245</v>
      </c>
    </row>
    <row r="59" customFormat="false" ht="15" hidden="false" customHeight="false" outlineLevel="0" collapsed="false">
      <c r="A59" s="0" t="s">
        <v>2603</v>
      </c>
      <c r="B59" s="14" t="n">
        <v>2631.13759008929</v>
      </c>
      <c r="C59" s="14" t="n">
        <v>8037.17585074043</v>
      </c>
      <c r="D59" s="14" t="n">
        <v>20022.3531550122</v>
      </c>
      <c r="E59" s="14" t="n">
        <v>4373.94809307139</v>
      </c>
      <c r="F59" s="14" t="n">
        <v>-707.995038862332</v>
      </c>
      <c r="G59" s="14" t="n">
        <v>4760.45609790411</v>
      </c>
      <c r="H59" s="14" t="n">
        <v>1079.90763990378</v>
      </c>
      <c r="I59" s="15" t="n">
        <v>0.01</v>
      </c>
      <c r="J59" s="15" t="n">
        <v>0</v>
      </c>
      <c r="K59" s="14" t="s">
        <v>82</v>
      </c>
      <c r="L59" s="14" t="n">
        <v>2491.11526032773</v>
      </c>
      <c r="M59" s="14" t="n">
        <v>32179.0435170148</v>
      </c>
      <c r="N59" s="14" t="n">
        <v>12518.0084815576</v>
      </c>
      <c r="O59" s="14" t="n">
        <v>-12683.3339850272</v>
      </c>
      <c r="P59" s="14" t="n">
        <v>1095.2347646113</v>
      </c>
      <c r="Q59" s="14" t="n">
        <v>1143.47457670827</v>
      </c>
      <c r="R59" s="14" t="n">
        <v>16854.4967518018</v>
      </c>
      <c r="S59" s="14" t="n">
        <v>29464.3470631003</v>
      </c>
      <c r="T59" s="14" t="n">
        <v>-818.478691211083</v>
      </c>
      <c r="U59" s="14" t="n">
        <v>-7928.69962797273</v>
      </c>
      <c r="V59" s="14" t="n">
        <v>0.82509878873241</v>
      </c>
      <c r="W59" s="14" t="n">
        <v>46437.0771811859</v>
      </c>
      <c r="X59" s="14" t="n">
        <v>25566.1086084168</v>
      </c>
      <c r="Y59" s="14" t="n">
        <v>0</v>
      </c>
      <c r="Z59" s="14" t="n">
        <v>0</v>
      </c>
      <c r="AA59" s="14" t="n">
        <v>30.1575455502983</v>
      </c>
      <c r="AB59" s="14" t="n">
        <v>27.9575455502983</v>
      </c>
      <c r="AC59" s="14" t="n">
        <v>29.4075455502983</v>
      </c>
      <c r="AD59" s="14" t="n">
        <v>23.1609949826291</v>
      </c>
      <c r="AE59" s="14" t="n">
        <v>757.548</v>
      </c>
      <c r="AF59" s="14" t="n">
        <v>0.03</v>
      </c>
      <c r="AG59" s="14" t="n">
        <v>0.703156179563752</v>
      </c>
      <c r="AH59" s="14" t="n">
        <v>10812.4695269031</v>
      </c>
      <c r="AI59" s="14" t="n">
        <v>20022.3531550122</v>
      </c>
      <c r="AJ59" s="14" t="n">
        <v>22.39175</v>
      </c>
      <c r="AK59" s="14" t="n">
        <v>0</v>
      </c>
      <c r="AL59" s="14" t="n">
        <v>-35430.7469339284</v>
      </c>
      <c r="AM59" s="14" t="n">
        <v>684.5</v>
      </c>
      <c r="AN59" s="14" t="n">
        <v>27078.2628664013</v>
      </c>
      <c r="AO59" s="14" t="n">
        <v>-7119.9037923103</v>
      </c>
      <c r="AP59" s="14" t="n">
        <v>0.519414437863832</v>
      </c>
      <c r="AQ59" s="14" t="n">
        <v>0</v>
      </c>
      <c r="AR59" s="14" t="n">
        <v>327.195752</v>
      </c>
      <c r="AS59" s="14" t="n">
        <v>314.925245</v>
      </c>
      <c r="AT59" s="14" t="n">
        <v>2491.11526032773</v>
      </c>
      <c r="AU59" s="14" t="n">
        <v>12.270507</v>
      </c>
      <c r="AV59" s="14" t="n">
        <v>0</v>
      </c>
      <c r="AW59" s="14" t="n">
        <v>2254.3125</v>
      </c>
      <c r="AX59" s="14" t="n">
        <v>314.925245</v>
      </c>
      <c r="AY59" s="14" t="n">
        <v>314.925245</v>
      </c>
    </row>
    <row r="60" customFormat="false" ht="15" hidden="false" customHeight="false" outlineLevel="0" collapsed="false">
      <c r="A60" s="0" t="s">
        <v>2604</v>
      </c>
      <c r="B60" s="14" t="n">
        <v>2355.37304551779</v>
      </c>
      <c r="C60" s="14" t="n">
        <v>7610.74163830978</v>
      </c>
      <c r="D60" s="14" t="n">
        <v>19606.894648061</v>
      </c>
      <c r="E60" s="14" t="n">
        <v>4071.17980224563</v>
      </c>
      <c r="F60" s="14" t="n">
        <v>-991.946788135723</v>
      </c>
      <c r="G60" s="14" t="n">
        <v>4758.69692484896</v>
      </c>
      <c r="H60" s="14" t="n">
        <v>-230.371582086414</v>
      </c>
      <c r="I60" s="15" t="n">
        <v>0.01</v>
      </c>
      <c r="J60" s="15" t="n">
        <v>0</v>
      </c>
      <c r="K60" s="14" t="s">
        <v>82</v>
      </c>
      <c r="L60" s="14" t="n">
        <v>2023.86460689899</v>
      </c>
      <c r="M60" s="14" t="n">
        <v>32170.5148327662</v>
      </c>
      <c r="N60" s="14" t="n">
        <v>12202.2600162747</v>
      </c>
      <c r="O60" s="14" t="n">
        <v>-13401.6043081324</v>
      </c>
      <c r="P60" s="14" t="n">
        <v>927.018392422691</v>
      </c>
      <c r="Q60" s="14" t="n">
        <v>847.776434491835</v>
      </c>
      <c r="R60" s="14" t="n">
        <v>16848.9814609104</v>
      </c>
      <c r="S60" s="14" t="n">
        <v>29456.0378929612</v>
      </c>
      <c r="T60" s="14" t="n">
        <v>-975.560616990097</v>
      </c>
      <c r="U60" s="14" t="n">
        <v>-9300.25897973822</v>
      </c>
      <c r="V60" s="14" t="n">
        <v>0.82509878873241</v>
      </c>
      <c r="W60" s="14" t="n">
        <v>46042.3564385401</v>
      </c>
      <c r="X60" s="14" t="n">
        <v>25494.8402952654</v>
      </c>
      <c r="Y60" s="14" t="n">
        <v>0</v>
      </c>
      <c r="Z60" s="14" t="n">
        <v>0</v>
      </c>
      <c r="AA60" s="14" t="n">
        <v>30.1575455502983</v>
      </c>
      <c r="AB60" s="14" t="n">
        <v>27.9575455502983</v>
      </c>
      <c r="AC60" s="14" t="n">
        <v>29.4075455502983</v>
      </c>
      <c r="AD60" s="14" t="n">
        <v>23.1609949826291</v>
      </c>
      <c r="AE60" s="14" t="n">
        <v>653.683373262198</v>
      </c>
      <c r="AF60" s="14" t="n">
        <v>0.03</v>
      </c>
      <c r="AG60" s="14" t="n">
        <v>0.702129022128044</v>
      </c>
      <c r="AH60" s="14" t="n">
        <v>10649.2322444704</v>
      </c>
      <c r="AI60" s="14" t="n">
        <v>19606.894648061</v>
      </c>
      <c r="AJ60" s="14" t="n">
        <v>22.39175</v>
      </c>
      <c r="AK60" s="14" t="n">
        <v>79.0109965753425</v>
      </c>
      <c r="AL60" s="14" t="n">
        <v>-36324.1801159734</v>
      </c>
      <c r="AM60" s="14" t="n">
        <v>684.5</v>
      </c>
      <c r="AN60" s="14" t="n">
        <v>27078.2628664013</v>
      </c>
      <c r="AO60" s="14" t="n">
        <v>-7119.9037923103</v>
      </c>
      <c r="AP60" s="14" t="n">
        <v>0.530296766944232</v>
      </c>
      <c r="AQ60" s="14" t="n">
        <v>0</v>
      </c>
      <c r="AR60" s="14" t="n">
        <v>327.195752</v>
      </c>
      <c r="AS60" s="14" t="n">
        <v>314.925245</v>
      </c>
      <c r="AT60" s="14" t="n">
        <v>2023.86460689899</v>
      </c>
      <c r="AU60" s="14" t="n">
        <v>12.270507</v>
      </c>
      <c r="AV60" s="14" t="n">
        <v>0</v>
      </c>
      <c r="AW60" s="14" t="n">
        <v>2254.3125</v>
      </c>
      <c r="AX60" s="14" t="n">
        <v>314.925245</v>
      </c>
      <c r="AY60" s="14" t="n">
        <v>314.925245</v>
      </c>
    </row>
    <row r="61" customFormat="false" ht="15" hidden="false" customHeight="false" outlineLevel="0" collapsed="false">
      <c r="A61" s="0" t="s">
        <v>2605</v>
      </c>
      <c r="B61" s="14" t="n">
        <v>2199.45285716163</v>
      </c>
      <c r="C61" s="14" t="n">
        <v>7475.12830269334</v>
      </c>
      <c r="D61" s="14" t="n">
        <v>19606.894648061</v>
      </c>
      <c r="E61" s="14" t="n">
        <v>3974.89433395795</v>
      </c>
      <c r="F61" s="14" t="n">
        <v>-1081.77720223846</v>
      </c>
      <c r="G61" s="14" t="n">
        <v>4757.66640408868</v>
      </c>
      <c r="H61" s="14" t="n">
        <v>-410.093193619371</v>
      </c>
      <c r="I61" s="15" t="n">
        <v>0.01</v>
      </c>
      <c r="J61" s="15" t="n">
        <v>0</v>
      </c>
      <c r="K61" s="14" t="s">
        <v>82</v>
      </c>
      <c r="L61" s="14" t="n">
        <v>1832.55838418608</v>
      </c>
      <c r="M61" s="14" t="n">
        <v>32167.8025660539</v>
      </c>
      <c r="N61" s="14" t="n">
        <v>12202.2600162747</v>
      </c>
      <c r="O61" s="14" t="n">
        <v>-13592.1828202862</v>
      </c>
      <c r="P61" s="14" t="n">
        <v>831.907077525431</v>
      </c>
      <c r="Q61" s="14" t="n">
        <v>848.942568587726</v>
      </c>
      <c r="R61" s="14" t="n">
        <v>16845.8630571432</v>
      </c>
      <c r="S61" s="14" t="n">
        <v>29456.0378929612</v>
      </c>
      <c r="T61" s="14" t="n">
        <v>-1064.43512435311</v>
      </c>
      <c r="U61" s="14" t="n">
        <v>-9479.98059127118</v>
      </c>
      <c r="V61" s="14" t="n">
        <v>0.82509878873241</v>
      </c>
      <c r="W61" s="14" t="n">
        <v>46041.8844374484</v>
      </c>
      <c r="X61" s="14" t="n">
        <v>25494.8402952654</v>
      </c>
      <c r="Y61" s="14" t="n">
        <v>0</v>
      </c>
      <c r="Z61" s="14" t="n">
        <v>0</v>
      </c>
      <c r="AA61" s="14" t="n">
        <v>30.1575455502983</v>
      </c>
      <c r="AB61" s="14" t="n">
        <v>27.9575455502983</v>
      </c>
      <c r="AC61" s="14" t="n">
        <v>29.4075455502983</v>
      </c>
      <c r="AD61" s="14" t="n">
        <v>23.1609949826291</v>
      </c>
      <c r="AE61" s="14" t="n">
        <v>653.683373262198</v>
      </c>
      <c r="AF61" s="14" t="n">
        <v>0.03</v>
      </c>
      <c r="AG61" s="14" t="n">
        <v>0.702129022128044</v>
      </c>
      <c r="AH61" s="14" t="n">
        <v>10557.2393333402</v>
      </c>
      <c r="AI61" s="14" t="n">
        <v>19606.894648061</v>
      </c>
      <c r="AJ61" s="14" t="n">
        <v>22.39175</v>
      </c>
      <c r="AK61" s="14" t="n">
        <v>370.544520547945</v>
      </c>
      <c r="AL61" s="14" t="n">
        <v>-36513.6384724756</v>
      </c>
      <c r="AM61" s="14" t="n">
        <v>684.5</v>
      </c>
      <c r="AN61" s="14" t="n">
        <v>27078.2628664013</v>
      </c>
      <c r="AO61" s="14" t="n">
        <v>-7119.9037923103</v>
      </c>
      <c r="AP61" s="14" t="n">
        <v>0.570450212456252</v>
      </c>
      <c r="AQ61" s="14" t="n">
        <v>0</v>
      </c>
      <c r="AR61" s="14" t="n">
        <v>327.195752</v>
      </c>
      <c r="AS61" s="14" t="n">
        <v>314.925245</v>
      </c>
      <c r="AT61" s="14" t="n">
        <v>1832.55838418608</v>
      </c>
      <c r="AU61" s="14" t="n">
        <v>12.270507</v>
      </c>
      <c r="AV61" s="14" t="n">
        <v>0</v>
      </c>
      <c r="AW61" s="14" t="n">
        <v>2254.3125</v>
      </c>
      <c r="AX61" s="14" t="n">
        <v>314.925245</v>
      </c>
      <c r="AY61" s="14" t="n">
        <v>314.925245</v>
      </c>
    </row>
    <row r="62" customFormat="false" ht="15" hidden="false" customHeight="false" outlineLevel="0" collapsed="false">
      <c r="A62" s="0" t="s">
        <v>2606</v>
      </c>
      <c r="B62" s="14" t="n">
        <v>2423.40833661368</v>
      </c>
      <c r="C62" s="14" t="n">
        <v>7694.97770690253</v>
      </c>
      <c r="D62" s="14" t="n">
        <v>19186.4390568388</v>
      </c>
      <c r="E62" s="14" t="n">
        <v>4153.67110261315</v>
      </c>
      <c r="F62" s="14" t="n">
        <v>-913.169343514787</v>
      </c>
      <c r="G62" s="14" t="n">
        <v>4759.04133785184</v>
      </c>
      <c r="H62" s="14" t="n">
        <v>-383.013912640225</v>
      </c>
      <c r="I62" s="15" t="n">
        <v>0.01</v>
      </c>
      <c r="J62" s="15" t="n">
        <v>0</v>
      </c>
      <c r="K62" s="14" t="s">
        <v>82</v>
      </c>
      <c r="L62" s="14" t="n">
        <v>1616.18147152648</v>
      </c>
      <c r="M62" s="14" t="n">
        <v>32172.1995541381</v>
      </c>
      <c r="N62" s="14" t="n">
        <v>11882.7137669458</v>
      </c>
      <c r="O62" s="14" t="n">
        <v>-14039.8217612834</v>
      </c>
      <c r="P62" s="14" t="n">
        <v>968.519919991184</v>
      </c>
      <c r="Q62" s="14" t="n">
        <v>545.362494868978</v>
      </c>
      <c r="R62" s="14" t="n">
        <v>16850.3421667323</v>
      </c>
      <c r="S62" s="14" t="n">
        <v>29447.6287811368</v>
      </c>
      <c r="T62" s="14" t="n">
        <v>-936.780501065439</v>
      </c>
      <c r="U62" s="14" t="n">
        <v>-9452.90131029203</v>
      </c>
      <c r="V62" s="14" t="n">
        <v>0.82509878873241</v>
      </c>
      <c r="W62" s="14" t="n">
        <v>46041.922240619</v>
      </c>
      <c r="X62" s="14" t="n">
        <v>25494.8402952654</v>
      </c>
      <c r="Y62" s="14" t="n">
        <v>0</v>
      </c>
      <c r="Z62" s="14" t="n">
        <v>0</v>
      </c>
      <c r="AA62" s="14" t="n">
        <v>30.1575455502983</v>
      </c>
      <c r="AB62" s="14" t="n">
        <v>27.9575455502983</v>
      </c>
      <c r="AC62" s="14" t="n">
        <v>29.4075455502983</v>
      </c>
      <c r="AD62" s="14" t="n">
        <v>23.1609949826291</v>
      </c>
      <c r="AE62" s="14" t="n">
        <v>653.683373262198</v>
      </c>
      <c r="AF62" s="14" t="n">
        <v>0.03</v>
      </c>
      <c r="AG62" s="14" t="n">
        <v>0.702129022128044</v>
      </c>
      <c r="AH62" s="14" t="n">
        <v>11551.1934963245</v>
      </c>
      <c r="AI62" s="14" t="n">
        <v>19186.4390568388</v>
      </c>
      <c r="AJ62" s="14" t="n">
        <v>22.39175</v>
      </c>
      <c r="AK62" s="14" t="n">
        <v>0</v>
      </c>
      <c r="AL62" s="14" t="n">
        <v>-36902.3352001837</v>
      </c>
      <c r="AM62" s="14" t="n">
        <v>684.5</v>
      </c>
      <c r="AN62" s="14" t="n">
        <v>26780.0589683618</v>
      </c>
      <c r="AO62" s="14" t="n">
        <v>-6925.34512682779</v>
      </c>
      <c r="AP62" s="14" t="n">
        <v>0.59341772951726</v>
      </c>
      <c r="AQ62" s="14" t="n">
        <v>0</v>
      </c>
      <c r="AR62" s="14" t="n">
        <v>327.195752</v>
      </c>
      <c r="AS62" s="14" t="n">
        <v>314.925245</v>
      </c>
      <c r="AT62" s="14" t="n">
        <v>1616.18147152648</v>
      </c>
      <c r="AU62" s="14" t="n">
        <v>12.270507</v>
      </c>
      <c r="AV62" s="14" t="n">
        <v>0</v>
      </c>
      <c r="AW62" s="14" t="n">
        <v>2254.3125</v>
      </c>
      <c r="AX62" s="14" t="n">
        <v>314.925245</v>
      </c>
      <c r="AY62" s="14" t="n">
        <v>314.925245</v>
      </c>
    </row>
    <row r="63" customFormat="false" ht="15" hidden="false" customHeight="false" outlineLevel="0" collapsed="false">
      <c r="A63" s="0" t="s">
        <v>2607</v>
      </c>
      <c r="B63" s="14" t="n">
        <v>2355.37304551779</v>
      </c>
      <c r="C63" s="14" t="n">
        <v>7684.00200142308</v>
      </c>
      <c r="D63" s="14" t="n">
        <v>19186.4390568388</v>
      </c>
      <c r="E63" s="14" t="n">
        <v>4145.87835172274</v>
      </c>
      <c r="F63" s="14" t="n">
        <v>-920.217997905198</v>
      </c>
      <c r="G63" s="14" t="n">
        <v>4758.73626957102</v>
      </c>
      <c r="H63" s="14" t="n">
        <v>-429.64835533455</v>
      </c>
      <c r="I63" s="15" t="n">
        <v>0.01</v>
      </c>
      <c r="J63" s="15" t="n">
        <v>0</v>
      </c>
      <c r="K63" s="14" t="s">
        <v>82</v>
      </c>
      <c r="L63" s="14" t="n">
        <v>1566.84339473101</v>
      </c>
      <c r="M63" s="14" t="n">
        <v>32171.9800400285</v>
      </c>
      <c r="N63" s="14" t="n">
        <v>11882.7137669458</v>
      </c>
      <c r="O63" s="14" t="n">
        <v>-14089.0658928067</v>
      </c>
      <c r="P63" s="14" t="n">
        <v>927.018392422691</v>
      </c>
      <c r="Q63" s="14" t="n">
        <v>545.67853885528</v>
      </c>
      <c r="R63" s="14" t="n">
        <v>16848.9814609104</v>
      </c>
      <c r="S63" s="14" t="n">
        <v>29447.6287811368</v>
      </c>
      <c r="T63" s="14" t="n">
        <v>-975.560616990097</v>
      </c>
      <c r="U63" s="14" t="n">
        <v>-9499.53575298636</v>
      </c>
      <c r="V63" s="14" t="n">
        <v>0.82509878873241</v>
      </c>
      <c r="W63" s="14" t="n">
        <v>46041.7943195616</v>
      </c>
      <c r="X63" s="14" t="n">
        <v>25494.8402952654</v>
      </c>
      <c r="Y63" s="14" t="n">
        <v>0</v>
      </c>
      <c r="Z63" s="14" t="n">
        <v>0</v>
      </c>
      <c r="AA63" s="14" t="n">
        <v>30.1575455502983</v>
      </c>
      <c r="AB63" s="14" t="n">
        <v>27.9575455502983</v>
      </c>
      <c r="AC63" s="14" t="n">
        <v>29.4075455502983</v>
      </c>
      <c r="AD63" s="14" t="n">
        <v>23.1609949826291</v>
      </c>
      <c r="AE63" s="14" t="n">
        <v>653.683373262198</v>
      </c>
      <c r="AF63" s="14" t="n">
        <v>0.03</v>
      </c>
      <c r="AG63" s="14" t="n">
        <v>0.702129022128044</v>
      </c>
      <c r="AH63" s="14" t="n">
        <v>11511.0526745779</v>
      </c>
      <c r="AI63" s="14" t="n">
        <v>19186.4390568388</v>
      </c>
      <c r="AJ63" s="14" t="n">
        <v>22.39175</v>
      </c>
      <c r="AK63" s="14" t="n">
        <v>79.0109965753425</v>
      </c>
      <c r="AL63" s="14" t="n">
        <v>-36951.2927455427</v>
      </c>
      <c r="AM63" s="14" t="n">
        <v>684.5</v>
      </c>
      <c r="AN63" s="14" t="n">
        <v>26780.0589683618</v>
      </c>
      <c r="AO63" s="14" t="n">
        <v>-6925.34512682779</v>
      </c>
      <c r="AP63" s="14" t="n">
        <v>0.60340249806043</v>
      </c>
      <c r="AQ63" s="14" t="n">
        <v>0</v>
      </c>
      <c r="AR63" s="14" t="n">
        <v>327.195752</v>
      </c>
      <c r="AS63" s="14" t="n">
        <v>314.925245</v>
      </c>
      <c r="AT63" s="14" t="n">
        <v>1566.84339473101</v>
      </c>
      <c r="AU63" s="14" t="n">
        <v>12.270507</v>
      </c>
      <c r="AV63" s="14" t="n">
        <v>0</v>
      </c>
      <c r="AW63" s="14" t="n">
        <v>2254.3125</v>
      </c>
      <c r="AX63" s="14" t="n">
        <v>314.925245</v>
      </c>
      <c r="AY63" s="14" t="n">
        <v>314.925245</v>
      </c>
    </row>
    <row r="64" customFormat="false" ht="15" hidden="false" customHeight="false" outlineLevel="0" collapsed="false">
      <c r="A64" s="0" t="s">
        <v>2608</v>
      </c>
      <c r="B64" s="14" t="n">
        <v>2423.40833661368</v>
      </c>
      <c r="C64" s="14" t="n">
        <v>7621.71734378923</v>
      </c>
      <c r="D64" s="14" t="n">
        <v>19606.894648061</v>
      </c>
      <c r="E64" s="14" t="n">
        <v>4078.97255313604</v>
      </c>
      <c r="F64" s="14" t="n">
        <v>-984.898133745312</v>
      </c>
      <c r="G64" s="14" t="n">
        <v>4759.00199312978</v>
      </c>
      <c r="H64" s="14" t="n">
        <v>-3625.07020613495</v>
      </c>
      <c r="I64" s="15" t="n">
        <v>0.01</v>
      </c>
      <c r="J64" s="15" t="n">
        <v>0</v>
      </c>
      <c r="K64" s="14" t="s">
        <v>60</v>
      </c>
      <c r="L64" s="14" t="n">
        <v>-8663.10676646547</v>
      </c>
      <c r="M64" s="14" t="n">
        <v>32170.7343468758</v>
      </c>
      <c r="N64" s="14" t="n">
        <v>12202.2600162747</v>
      </c>
      <c r="O64" s="14" t="n">
        <v>-27634.5211014853</v>
      </c>
      <c r="P64" s="14" t="n">
        <v>968.519919991184</v>
      </c>
      <c r="Q64" s="14" t="n">
        <v>847.460390505534</v>
      </c>
      <c r="R64" s="14" t="n">
        <v>16850.3421667323</v>
      </c>
      <c r="S64" s="14" t="n">
        <v>29456.0378929612</v>
      </c>
      <c r="T64" s="14" t="n">
        <v>-936.780501065439</v>
      </c>
      <c r="U64" s="14" t="n">
        <v>-14037.3371037868</v>
      </c>
      <c r="V64" s="14" t="n">
        <v>0.82509878873241</v>
      </c>
      <c r="W64" s="14" t="n">
        <v>46042.4843595974</v>
      </c>
      <c r="X64" s="14" t="n">
        <v>25494.8402952654</v>
      </c>
      <c r="Y64" s="14" t="n">
        <v>0</v>
      </c>
      <c r="Z64" s="14" t="n">
        <v>0</v>
      </c>
      <c r="AA64" s="14" t="n">
        <v>30.1575455502983</v>
      </c>
      <c r="AB64" s="14" t="n">
        <v>27.9575455502983</v>
      </c>
      <c r="AC64" s="14" t="n">
        <v>29.4075455502983</v>
      </c>
      <c r="AD64" s="14" t="n">
        <v>23.1609949826291</v>
      </c>
      <c r="AE64" s="14" t="n">
        <v>653.683373262198</v>
      </c>
      <c r="AF64" s="14" t="n">
        <v>0.03</v>
      </c>
      <c r="AG64" s="14" t="n">
        <v>0.702129022128044</v>
      </c>
      <c r="AH64" s="14" t="n">
        <v>8193.33567569946</v>
      </c>
      <c r="AI64" s="14" t="n">
        <v>19606.894648061</v>
      </c>
      <c r="AJ64" s="14" t="n">
        <v>22.39175</v>
      </c>
      <c r="AK64" s="14" t="n">
        <v>0</v>
      </c>
      <c r="AL64" s="14" t="n">
        <v>-56251.1538851023</v>
      </c>
      <c r="AM64" s="14" t="n">
        <v>684.5</v>
      </c>
      <c r="AN64" s="14" t="n">
        <v>0</v>
      </c>
      <c r="AO64" s="14" t="n">
        <v>-355.263647296984</v>
      </c>
      <c r="AP64" s="14" t="n">
        <v>0.519414437863832</v>
      </c>
      <c r="AQ64" s="14" t="n">
        <v>0</v>
      </c>
      <c r="AR64" s="14" t="n">
        <v>327.195752</v>
      </c>
      <c r="AS64" s="14" t="n">
        <v>314.925245</v>
      </c>
      <c r="AT64" s="14" t="n">
        <v>-8663.10676646547</v>
      </c>
      <c r="AU64" s="14" t="n">
        <v>12.270507</v>
      </c>
      <c r="AV64" s="14" t="n">
        <v>0</v>
      </c>
      <c r="AW64" s="14" t="n">
        <v>2254.3125</v>
      </c>
      <c r="AX64" s="14" t="n">
        <v>314.925245</v>
      </c>
      <c r="AY64" s="14" t="n">
        <v>314.925245</v>
      </c>
    </row>
    <row r="65" customFormat="false" ht="15" hidden="false" customHeight="false" outlineLevel="0" collapsed="false">
      <c r="A65" s="0" t="s">
        <v>2609</v>
      </c>
      <c r="B65" s="14" t="n">
        <v>2479.67370701691</v>
      </c>
      <c r="C65" s="14" t="n">
        <v>8776.42305985528</v>
      </c>
      <c r="D65" s="14" t="n">
        <v>22866.1618904671</v>
      </c>
      <c r="E65" s="14" t="n">
        <v>4694.60432541305</v>
      </c>
      <c r="F65" s="14" t="n">
        <v>-881.686690403011</v>
      </c>
      <c r="G65" s="14" t="n">
        <v>5225.23409342185</v>
      </c>
      <c r="H65" s="14" t="n">
        <v>2571.81707644559</v>
      </c>
      <c r="I65" s="15" t="n">
        <v>0.01</v>
      </c>
      <c r="J65" s="15" t="n">
        <v>0</v>
      </c>
      <c r="K65" s="14" t="s">
        <v>50</v>
      </c>
      <c r="L65" s="14" t="n">
        <v>-1368.33312736593</v>
      </c>
      <c r="M65" s="14" t="n">
        <v>37302.3465024549</v>
      </c>
      <c r="N65" s="14" t="n">
        <v>14172.8413523228</v>
      </c>
      <c r="O65" s="14" t="n">
        <v>-15581.2492230094</v>
      </c>
      <c r="P65" s="14" t="n">
        <v>991.35030077364</v>
      </c>
      <c r="Q65" s="14" t="n">
        <v>1528.19009777295</v>
      </c>
      <c r="R65" s="14" t="n">
        <v>17795.5375714364</v>
      </c>
      <c r="S65" s="14" t="n">
        <v>29521.2232378093</v>
      </c>
      <c r="T65" s="14" t="n">
        <v>-916.200735099112</v>
      </c>
      <c r="U65" s="14" t="n">
        <v>-6392.92244152185</v>
      </c>
      <c r="V65" s="14" t="n">
        <v>0.82509878873241</v>
      </c>
      <c r="W65" s="14" t="n">
        <v>49348.2730127051</v>
      </c>
      <c r="X65" s="14" t="n">
        <v>26983.2900231108</v>
      </c>
      <c r="Y65" s="14" t="n">
        <v>0</v>
      </c>
      <c r="Z65" s="14" t="n">
        <v>0</v>
      </c>
      <c r="AA65" s="14" t="n">
        <v>30.1575455502983</v>
      </c>
      <c r="AB65" s="14" t="n">
        <v>27.9575455502983</v>
      </c>
      <c r="AC65" s="14" t="n">
        <v>29.4075455502983</v>
      </c>
      <c r="AD65" s="14" t="n">
        <v>23.1609949826291</v>
      </c>
      <c r="AE65" s="14" t="n">
        <v>653.683373262198</v>
      </c>
      <c r="AF65" s="14" t="n">
        <v>0.03</v>
      </c>
      <c r="AG65" s="14" t="n">
        <v>0.699394091139066</v>
      </c>
      <c r="AH65" s="14" t="n">
        <v>10124.6141413961</v>
      </c>
      <c r="AI65" s="14" t="n">
        <v>22866.1618904671</v>
      </c>
      <c r="AJ65" s="14" t="n">
        <v>22.39175</v>
      </c>
      <c r="AK65" s="14" t="n">
        <v>0</v>
      </c>
      <c r="AL65" s="14" t="n">
        <v>-37503.6930971391</v>
      </c>
      <c r="AM65" s="14" t="n">
        <v>832.5</v>
      </c>
      <c r="AN65" s="14" t="n">
        <v>29383.9616953776</v>
      </c>
      <c r="AO65" s="14" t="n">
        <v>-7316.98720925525</v>
      </c>
      <c r="AP65" s="14" t="n">
        <v>0.356549668595808</v>
      </c>
      <c r="AQ65" s="14" t="n">
        <v>0</v>
      </c>
      <c r="AR65" s="14" t="n">
        <v>327.195752</v>
      </c>
      <c r="AS65" s="14" t="n">
        <v>314.925245</v>
      </c>
      <c r="AT65" s="14" t="n">
        <v>-1368.33312736593</v>
      </c>
      <c r="AU65" s="14" t="n">
        <v>12.270507</v>
      </c>
      <c r="AV65" s="14" t="n">
        <v>0</v>
      </c>
      <c r="AW65" s="14" t="n">
        <v>2254.3125</v>
      </c>
      <c r="AX65" s="14" t="n">
        <v>314.925245</v>
      </c>
      <c r="AY65" s="14" t="n">
        <v>314.925245</v>
      </c>
    </row>
    <row r="66" customFormat="false" ht="15" hidden="false" customHeight="false" outlineLevel="0" collapsed="false">
      <c r="A66" s="0" t="s">
        <v>2610</v>
      </c>
      <c r="B66" s="14" t="n">
        <v>2479.67370701691</v>
      </c>
      <c r="C66" s="14" t="n">
        <v>8776.42305985528</v>
      </c>
      <c r="D66" s="14" t="n">
        <v>22866.1618904671</v>
      </c>
      <c r="E66" s="14" t="n">
        <v>4694.60432541305</v>
      </c>
      <c r="F66" s="14" t="n">
        <v>-881.686690403011</v>
      </c>
      <c r="G66" s="14" t="n">
        <v>5225.23409342185</v>
      </c>
      <c r="H66" s="14" t="n">
        <v>-1415.59255257353</v>
      </c>
      <c r="I66" s="15" t="n">
        <v>0.01</v>
      </c>
      <c r="J66" s="15" t="n">
        <v>0</v>
      </c>
      <c r="K66" s="14" t="s">
        <v>58</v>
      </c>
      <c r="L66" s="14" t="n">
        <v>-14136.9683078862</v>
      </c>
      <c r="M66" s="14" t="n">
        <v>37302.3465024549</v>
      </c>
      <c r="N66" s="14" t="n">
        <v>14172.8413523228</v>
      </c>
      <c r="O66" s="14" t="n">
        <v>-31251.0784548225</v>
      </c>
      <c r="P66" s="14" t="n">
        <v>991.35030077364</v>
      </c>
      <c r="Q66" s="14" t="n">
        <v>1528.19009777295</v>
      </c>
      <c r="R66" s="14" t="n">
        <v>17795.5375714364</v>
      </c>
      <c r="S66" s="14" t="n">
        <v>29521.2232378093</v>
      </c>
      <c r="T66" s="14" t="n">
        <v>-916.200735099112</v>
      </c>
      <c r="U66" s="14" t="n">
        <v>-11655.1128639863</v>
      </c>
      <c r="V66" s="14" t="n">
        <v>0.82509878873241</v>
      </c>
      <c r="W66" s="14" t="n">
        <v>49348.2730127051</v>
      </c>
      <c r="X66" s="14" t="n">
        <v>26983.2900231108</v>
      </c>
      <c r="Y66" s="14" t="n">
        <v>0</v>
      </c>
      <c r="Z66" s="14" t="n">
        <v>0</v>
      </c>
      <c r="AA66" s="14" t="n">
        <v>30.1575455502983</v>
      </c>
      <c r="AB66" s="14" t="n">
        <v>27.9575455502983</v>
      </c>
      <c r="AC66" s="14" t="n">
        <v>29.4075455502983</v>
      </c>
      <c r="AD66" s="14" t="n">
        <v>23.1609949826291</v>
      </c>
      <c r="AE66" s="14" t="n">
        <v>653.683373262198</v>
      </c>
      <c r="AF66" s="14" t="n">
        <v>0.03</v>
      </c>
      <c r="AG66" s="14" t="n">
        <v>0.699394091139066</v>
      </c>
      <c r="AH66" s="14" t="n">
        <v>7272.48218440741</v>
      </c>
      <c r="AI66" s="14" t="n">
        <v>22866.1618904671</v>
      </c>
      <c r="AJ66" s="14" t="n">
        <v>22.39175</v>
      </c>
      <c r="AK66" s="14" t="n">
        <v>0</v>
      </c>
      <c r="AL66" s="14" t="n">
        <v>-58404.6559461163</v>
      </c>
      <c r="AM66" s="14" t="n">
        <v>832.5</v>
      </c>
      <c r="AN66" s="14" t="n">
        <v>0</v>
      </c>
      <c r="AO66" s="14" t="n">
        <v>-355.263647296984</v>
      </c>
      <c r="AP66" s="14" t="n">
        <v>0.356549668595808</v>
      </c>
      <c r="AQ66" s="14" t="n">
        <v>0</v>
      </c>
      <c r="AR66" s="14" t="n">
        <v>327.195752</v>
      </c>
      <c r="AS66" s="14" t="n">
        <v>314.925245</v>
      </c>
      <c r="AT66" s="14" t="n">
        <v>-14136.9683078862</v>
      </c>
      <c r="AU66" s="14" t="n">
        <v>12.270507</v>
      </c>
      <c r="AV66" s="14" t="n">
        <v>0</v>
      </c>
      <c r="AW66" s="14" t="n">
        <v>2254.3125</v>
      </c>
      <c r="AX66" s="14" t="n">
        <v>314.925245</v>
      </c>
      <c r="AY66" s="14" t="n">
        <v>314.925245</v>
      </c>
    </row>
    <row r="67" customFormat="false" ht="15" hidden="false" customHeight="false" outlineLevel="0" collapsed="false">
      <c r="A67" s="0" t="s">
        <v>2611</v>
      </c>
      <c r="B67" s="14" t="n">
        <v>2423.40833661368</v>
      </c>
      <c r="C67" s="14" t="n">
        <v>7613.35309586334</v>
      </c>
      <c r="D67" s="14" t="n">
        <v>20222.368331401</v>
      </c>
      <c r="E67" s="14" t="n">
        <v>4073.03393710865</v>
      </c>
      <c r="F67" s="14" t="n">
        <v>-990.5858508647</v>
      </c>
      <c r="G67" s="14" t="n">
        <v>4759.08566413882</v>
      </c>
      <c r="H67" s="14" t="n">
        <v>3805.86704450561</v>
      </c>
      <c r="I67" s="15" t="n">
        <v>0.01</v>
      </c>
      <c r="J67" s="15" t="n">
        <v>0</v>
      </c>
      <c r="K67" s="14" t="s">
        <v>82</v>
      </c>
      <c r="L67" s="14" t="n">
        <v>2067.93827768821</v>
      </c>
      <c r="M67" s="14" t="n">
        <v>32170.5670619173</v>
      </c>
      <c r="N67" s="14" t="n">
        <v>12670.0200156131</v>
      </c>
      <c r="O67" s="14" t="n">
        <v>-13020.2427878968</v>
      </c>
      <c r="P67" s="14" t="n">
        <v>968.519919991184</v>
      </c>
      <c r="Q67" s="14" t="n">
        <v>1290.25704037647</v>
      </c>
      <c r="R67" s="14" t="n">
        <v>16850.3421667323</v>
      </c>
      <c r="S67" s="14" t="n">
        <v>29468.347366628</v>
      </c>
      <c r="T67" s="14" t="n">
        <v>-936.780501065439</v>
      </c>
      <c r="U67" s="14" t="n">
        <v>-5264.0203531462</v>
      </c>
      <c r="V67" s="14" t="n">
        <v>0.82509878873241</v>
      </c>
      <c r="W67" s="14" t="n">
        <v>48020.5635938066</v>
      </c>
      <c r="X67" s="14" t="n">
        <v>25859.1200755785</v>
      </c>
      <c r="Y67" s="14" t="n">
        <v>0</v>
      </c>
      <c r="Z67" s="14" t="n">
        <v>0</v>
      </c>
      <c r="AA67" s="14" t="n">
        <v>30.1575455502983</v>
      </c>
      <c r="AB67" s="14" t="n">
        <v>27.9575455502983</v>
      </c>
      <c r="AC67" s="14" t="n">
        <v>29.4075455502983</v>
      </c>
      <c r="AD67" s="14" t="n">
        <v>23.1609949826291</v>
      </c>
      <c r="AE67" s="14" t="n">
        <v>653.683373262198</v>
      </c>
      <c r="AF67" s="14" t="n">
        <v>0.03</v>
      </c>
      <c r="AG67" s="14" t="n">
        <v>0.707870568525964</v>
      </c>
      <c r="AH67" s="14" t="n">
        <v>10689.3730662169</v>
      </c>
      <c r="AI67" s="14" t="n">
        <v>20222.368331401</v>
      </c>
      <c r="AJ67" s="14" t="n">
        <v>22.39175</v>
      </c>
      <c r="AK67" s="14" t="n">
        <v>0</v>
      </c>
      <c r="AL67" s="14" t="n">
        <v>-35237.2677645012</v>
      </c>
      <c r="AM67" s="14" t="n">
        <v>684.5</v>
      </c>
      <c r="AN67" s="14" t="n">
        <v>27078.2628664013</v>
      </c>
      <c r="AO67" s="14" t="n">
        <v>-7119.9037923103</v>
      </c>
      <c r="AP67" s="14" t="n">
        <v>0.519414437863832</v>
      </c>
      <c r="AQ67" s="14" t="n">
        <v>0</v>
      </c>
      <c r="AR67" s="14" t="n">
        <v>327.195752</v>
      </c>
      <c r="AS67" s="14" t="n">
        <v>314.925245</v>
      </c>
      <c r="AT67" s="14" t="n">
        <v>2067.93827768821</v>
      </c>
      <c r="AU67" s="14" t="n">
        <v>12.270507</v>
      </c>
      <c r="AV67" s="14" t="n">
        <v>0</v>
      </c>
      <c r="AW67" s="14" t="n">
        <v>2254.3125</v>
      </c>
      <c r="AX67" s="14" t="n">
        <v>314.925245</v>
      </c>
      <c r="AY67" s="14" t="n">
        <v>314.925245</v>
      </c>
    </row>
    <row r="68" customFormat="false" ht="15" hidden="false" customHeight="false" outlineLevel="0" collapsed="false">
      <c r="A68" s="0" t="s">
        <v>2612</v>
      </c>
      <c r="B68" s="14" t="n">
        <v>2423.40833661368</v>
      </c>
      <c r="C68" s="14" t="n">
        <v>7393.05003394996</v>
      </c>
      <c r="D68" s="14" t="n">
        <v>19170.4257219076</v>
      </c>
      <c r="E68" s="14" t="n">
        <v>3916.61876315016</v>
      </c>
      <c r="F68" s="14" t="n">
        <v>-1137.88778727351</v>
      </c>
      <c r="G68" s="14" t="n">
        <v>4758.78454906568</v>
      </c>
      <c r="H68" s="14" t="n">
        <v>-1342.00624413119</v>
      </c>
      <c r="I68" s="15" t="n">
        <v>0.01</v>
      </c>
      <c r="J68" s="15" t="n">
        <v>0</v>
      </c>
      <c r="K68" s="14" t="s">
        <v>82</v>
      </c>
      <c r="L68" s="14" t="n">
        <v>1914.10442801101</v>
      </c>
      <c r="M68" s="14" t="n">
        <v>32166.161000679</v>
      </c>
      <c r="N68" s="14" t="n">
        <v>11870.5436323981</v>
      </c>
      <c r="O68" s="14" t="n">
        <v>-13808.7893901533</v>
      </c>
      <c r="P68" s="14" t="n">
        <v>968.519919991184</v>
      </c>
      <c r="Q68" s="14" t="n">
        <v>534.764230213352</v>
      </c>
      <c r="R68" s="14" t="n">
        <v>16850.3421667323</v>
      </c>
      <c r="S68" s="14" t="n">
        <v>29447.3085144382</v>
      </c>
      <c r="T68" s="14" t="n">
        <v>-936.780501065439</v>
      </c>
      <c r="U68" s="14" t="n">
        <v>-10411.893641783</v>
      </c>
      <c r="V68" s="14" t="n">
        <v>0.82509878873241</v>
      </c>
      <c r="W68" s="14" t="n">
        <v>45626.5412881944</v>
      </c>
      <c r="X68" s="14" t="n">
        <v>25419.5252112797</v>
      </c>
      <c r="Y68" s="14" t="n">
        <v>0</v>
      </c>
      <c r="Z68" s="14" t="n">
        <v>0</v>
      </c>
      <c r="AA68" s="14" t="n">
        <v>30.1575455502983</v>
      </c>
      <c r="AB68" s="14" t="n">
        <v>27.9575455502983</v>
      </c>
      <c r="AC68" s="14" t="n">
        <v>29.4075455502983</v>
      </c>
      <c r="AD68" s="14" t="n">
        <v>23.1609949826291</v>
      </c>
      <c r="AE68" s="14" t="n">
        <v>653.683373262198</v>
      </c>
      <c r="AF68" s="14" t="n">
        <v>0.03</v>
      </c>
      <c r="AG68" s="14" t="n">
        <v>0.701010961305594</v>
      </c>
      <c r="AH68" s="14" t="n">
        <v>10689.3730662169</v>
      </c>
      <c r="AI68" s="14" t="n">
        <v>19170.4257219076</v>
      </c>
      <c r="AJ68" s="14" t="n">
        <v>20.49175</v>
      </c>
      <c r="AK68" s="14" t="n">
        <v>0</v>
      </c>
      <c r="AL68" s="14" t="n">
        <v>-36950.6913609437</v>
      </c>
      <c r="AM68" s="14" t="n">
        <v>684.5</v>
      </c>
      <c r="AN68" s="14" t="n">
        <v>27078.2628664013</v>
      </c>
      <c r="AO68" s="14" t="n">
        <v>-7119.9037923103</v>
      </c>
      <c r="AP68" s="14" t="n">
        <v>0.558423517154001</v>
      </c>
      <c r="AQ68" s="14" t="n">
        <v>0</v>
      </c>
      <c r="AR68" s="14" t="n">
        <v>327.195752</v>
      </c>
      <c r="AS68" s="14" t="n">
        <v>314.925245</v>
      </c>
      <c r="AT68" s="14" t="n">
        <v>1914.10442801101</v>
      </c>
      <c r="AU68" s="14" t="n">
        <v>12.270507</v>
      </c>
      <c r="AV68" s="14" t="n">
        <v>0</v>
      </c>
      <c r="AW68" s="14" t="n">
        <v>2254.3125</v>
      </c>
      <c r="AX68" s="14" t="n">
        <v>314.925245</v>
      </c>
      <c r="AY68" s="14" t="n">
        <v>314.925245</v>
      </c>
    </row>
    <row r="69" customFormat="false" ht="15" hidden="false" customHeight="false" outlineLevel="0" collapsed="false">
      <c r="A69" s="0" t="s">
        <v>2613</v>
      </c>
      <c r="B69" s="14" t="n">
        <v>2423.40833661368</v>
      </c>
      <c r="C69" s="14" t="n">
        <v>7964.71830854812</v>
      </c>
      <c r="D69" s="14" t="n">
        <v>20261.5980372912</v>
      </c>
      <c r="E69" s="14" t="n">
        <v>4322.50323811485</v>
      </c>
      <c r="F69" s="14" t="n">
        <v>-755.413653453009</v>
      </c>
      <c r="G69" s="14" t="n">
        <v>4759.32815922594</v>
      </c>
      <c r="H69" s="14" t="n">
        <v>1542.13386346556</v>
      </c>
      <c r="I69" s="15" t="n">
        <v>0.01</v>
      </c>
      <c r="J69" s="15" t="n">
        <v>0</v>
      </c>
      <c r="K69" s="14" t="s">
        <v>82</v>
      </c>
      <c r="L69" s="14" t="n">
        <v>2311.85006721965</v>
      </c>
      <c r="M69" s="14" t="n">
        <v>32177.594366171</v>
      </c>
      <c r="N69" s="14" t="n">
        <v>12699.8345920896</v>
      </c>
      <c r="O69" s="14" t="n">
        <v>-12721.5238279042</v>
      </c>
      <c r="P69" s="14" t="n">
        <v>968.519919991184</v>
      </c>
      <c r="Q69" s="14" t="n">
        <v>1316.50463094381</v>
      </c>
      <c r="R69" s="14" t="n">
        <v>16850.3421667323</v>
      </c>
      <c r="S69" s="14" t="n">
        <v>29469.1319607458</v>
      </c>
      <c r="T69" s="14" t="n">
        <v>-936.780501065439</v>
      </c>
      <c r="U69" s="14" t="n">
        <v>-7527.75353418625</v>
      </c>
      <c r="V69" s="14" t="n">
        <v>0.82509878873241</v>
      </c>
      <c r="W69" s="14" t="n">
        <v>46666.3989667018</v>
      </c>
      <c r="X69" s="14" t="n">
        <v>25607.812921244</v>
      </c>
      <c r="Y69" s="14" t="n">
        <v>0</v>
      </c>
      <c r="Z69" s="14" t="n">
        <v>0</v>
      </c>
      <c r="AA69" s="14" t="n">
        <v>30.1575455502983</v>
      </c>
      <c r="AB69" s="14" t="n">
        <v>27.9575455502983</v>
      </c>
      <c r="AC69" s="14" t="n">
        <v>29.4075455502983</v>
      </c>
      <c r="AD69" s="14" t="n">
        <v>23.1609949826291</v>
      </c>
      <c r="AE69" s="14" t="n">
        <v>653.683373262198</v>
      </c>
      <c r="AF69" s="14" t="n">
        <v>0.03</v>
      </c>
      <c r="AG69" s="14" t="n">
        <v>0.70376375419534</v>
      </c>
      <c r="AH69" s="14" t="n">
        <v>10689.3730662169</v>
      </c>
      <c r="AI69" s="14" t="n">
        <v>20261.5980372912</v>
      </c>
      <c r="AJ69" s="14" t="n">
        <v>25.24175</v>
      </c>
      <c r="AK69" s="14" t="n">
        <v>0</v>
      </c>
      <c r="AL69" s="14" t="n">
        <v>-35332.0404040617</v>
      </c>
      <c r="AM69" s="14" t="n">
        <v>684.5</v>
      </c>
      <c r="AN69" s="14" t="n">
        <v>27078.2628664013</v>
      </c>
      <c r="AO69" s="14" t="n">
        <v>-7119.9037923103</v>
      </c>
      <c r="AP69" s="14" t="n">
        <v>0.470150393427648</v>
      </c>
      <c r="AQ69" s="14" t="n">
        <v>0</v>
      </c>
      <c r="AR69" s="14" t="n">
        <v>327.195752</v>
      </c>
      <c r="AS69" s="14" t="n">
        <v>314.925245</v>
      </c>
      <c r="AT69" s="14" t="n">
        <v>2311.85006721965</v>
      </c>
      <c r="AU69" s="14" t="n">
        <v>12.270507</v>
      </c>
      <c r="AV69" s="14" t="n">
        <v>0</v>
      </c>
      <c r="AW69" s="14" t="n">
        <v>2254.3125</v>
      </c>
      <c r="AX69" s="14" t="n">
        <v>314.925245</v>
      </c>
      <c r="AY69" s="14" t="n">
        <v>314.925245</v>
      </c>
    </row>
    <row r="70" customFormat="false" ht="15" hidden="false" customHeight="false" outlineLevel="0" collapsed="false">
      <c r="A70" s="0" t="s">
        <v>2614</v>
      </c>
      <c r="B70" s="14" t="n">
        <v>2423.40833661368</v>
      </c>
      <c r="C70" s="14" t="n">
        <v>7432.39793063001</v>
      </c>
      <c r="D70" s="14" t="n">
        <v>18728.5258250839</v>
      </c>
      <c r="E70" s="14" t="n">
        <v>3944.55576979299</v>
      </c>
      <c r="F70" s="14" t="n">
        <v>-1111.5222626411</v>
      </c>
      <c r="G70" s="14" t="n">
        <v>4758.78211520889</v>
      </c>
      <c r="H70" s="14" t="n">
        <v>-3301.33698336636</v>
      </c>
      <c r="I70" s="15" t="n">
        <v>0.01</v>
      </c>
      <c r="J70" s="15" t="n">
        <v>0</v>
      </c>
      <c r="K70" s="14" t="s">
        <v>82</v>
      </c>
      <c r="L70" s="14" t="n">
        <v>1941.23800262213</v>
      </c>
      <c r="M70" s="14" t="n">
        <v>32166.9479586126</v>
      </c>
      <c r="N70" s="14" t="n">
        <v>11534.6997108121</v>
      </c>
      <c r="O70" s="14" t="n">
        <v>-14102.7271655011</v>
      </c>
      <c r="P70" s="14" t="n">
        <v>968.519919991184</v>
      </c>
      <c r="Q70" s="14" t="n">
        <v>216.98366407886</v>
      </c>
      <c r="R70" s="14" t="n">
        <v>16850.3421667323</v>
      </c>
      <c r="S70" s="14" t="n">
        <v>29438.4705165017</v>
      </c>
      <c r="T70" s="14" t="n">
        <v>-936.780501065439</v>
      </c>
      <c r="U70" s="14" t="n">
        <v>-12371.2243810182</v>
      </c>
      <c r="V70" s="14" t="n">
        <v>0.82509878873241</v>
      </c>
      <c r="W70" s="14" t="n">
        <v>44605.3636921334</v>
      </c>
      <c r="X70" s="14" t="n">
        <v>25234.2208222511</v>
      </c>
      <c r="Y70" s="14" t="n">
        <v>0</v>
      </c>
      <c r="Z70" s="14" t="n">
        <v>0</v>
      </c>
      <c r="AA70" s="14" t="n">
        <v>30.1575455502983</v>
      </c>
      <c r="AB70" s="14" t="n">
        <v>27.9575455502983</v>
      </c>
      <c r="AC70" s="14" t="n">
        <v>29.4075455502983</v>
      </c>
      <c r="AD70" s="14" t="n">
        <v>23.1609949826291</v>
      </c>
      <c r="AE70" s="14" t="n">
        <v>653.683373262198</v>
      </c>
      <c r="AF70" s="14" t="n">
        <v>0.03</v>
      </c>
      <c r="AG70" s="14" t="n">
        <v>0.698172513161219</v>
      </c>
      <c r="AH70" s="14" t="n">
        <v>10689.3730662169</v>
      </c>
      <c r="AI70" s="14" t="n">
        <v>18728.5258250839</v>
      </c>
      <c r="AJ70" s="14" t="n">
        <v>22</v>
      </c>
      <c r="AK70" s="14" t="n">
        <v>0</v>
      </c>
      <c r="AL70" s="14" t="n">
        <v>-37594.1064038711</v>
      </c>
      <c r="AM70" s="14" t="n">
        <v>684.5</v>
      </c>
      <c r="AN70" s="14" t="n">
        <v>27078.2628664013</v>
      </c>
      <c r="AO70" s="14" t="n">
        <v>-7119.9037923103</v>
      </c>
      <c r="AP70" s="14" t="n">
        <v>0.519414437863832</v>
      </c>
      <c r="AQ70" s="14" t="n">
        <v>0</v>
      </c>
      <c r="AR70" s="14" t="n">
        <v>327.195752</v>
      </c>
      <c r="AS70" s="14" t="n">
        <v>314.925245</v>
      </c>
      <c r="AT70" s="14" t="n">
        <v>1941.23800262213</v>
      </c>
      <c r="AU70" s="14" t="n">
        <v>12.270507</v>
      </c>
      <c r="AV70" s="14" t="n">
        <v>0</v>
      </c>
      <c r="AW70" s="14" t="n">
        <v>2254.3125</v>
      </c>
      <c r="AX70" s="14" t="n">
        <v>314.925245</v>
      </c>
      <c r="AY70" s="14" t="n">
        <v>314.925245</v>
      </c>
    </row>
    <row r="71" customFormat="false" ht="15" hidden="false" customHeight="false" outlineLevel="0" collapsed="false">
      <c r="A71" s="0" t="s">
        <v>2615</v>
      </c>
      <c r="B71" s="14" t="n">
        <v>2423.40833661368</v>
      </c>
      <c r="C71" s="14" t="n">
        <v>7508.1256958937</v>
      </c>
      <c r="D71" s="14" t="n">
        <v>19079.8733542747</v>
      </c>
      <c r="E71" s="14" t="n">
        <v>3998.32248313021</v>
      </c>
      <c r="F71" s="14" t="n">
        <v>-1060.87261108278</v>
      </c>
      <c r="G71" s="14" t="n">
        <v>4758.87006637724</v>
      </c>
      <c r="H71" s="14" t="n">
        <v>-2054.29704577665</v>
      </c>
      <c r="I71" s="15" t="n">
        <v>0.01</v>
      </c>
      <c r="J71" s="15" t="n">
        <v>0</v>
      </c>
      <c r="K71" s="14" t="s">
        <v>82</v>
      </c>
      <c r="L71" s="14" t="n">
        <v>1994.02387505106</v>
      </c>
      <c r="M71" s="14" t="n">
        <v>32168.4625139179</v>
      </c>
      <c r="N71" s="14" t="n">
        <v>11801.7238329971</v>
      </c>
      <c r="O71" s="14" t="n">
        <v>-13789.944121471</v>
      </c>
      <c r="P71" s="14" t="n">
        <v>968.519919991184</v>
      </c>
      <c r="Q71" s="14" t="n">
        <v>469.17435464953</v>
      </c>
      <c r="R71" s="14" t="n">
        <v>16850.3421667323</v>
      </c>
      <c r="S71" s="14" t="n">
        <v>29445.4974670855</v>
      </c>
      <c r="T71" s="14" t="n">
        <v>-936.780501065439</v>
      </c>
      <c r="U71" s="14" t="n">
        <v>-11124.1844434285</v>
      </c>
      <c r="V71" s="14" t="n">
        <v>0.82509878873241</v>
      </c>
      <c r="W71" s="14" t="n">
        <v>45180.211959119</v>
      </c>
      <c r="X71" s="14" t="n">
        <v>25338.4686114568</v>
      </c>
      <c r="Y71" s="14" t="n">
        <v>0</v>
      </c>
      <c r="Z71" s="14" t="n">
        <v>0</v>
      </c>
      <c r="AA71" s="14" t="n">
        <v>30.1575455502983</v>
      </c>
      <c r="AB71" s="14" t="n">
        <v>27.9575455502983</v>
      </c>
      <c r="AC71" s="14" t="n">
        <v>29.4075455502983</v>
      </c>
      <c r="AD71" s="14" t="n">
        <v>23.1609949826291</v>
      </c>
      <c r="AE71" s="14" t="n">
        <v>653.683373262198</v>
      </c>
      <c r="AF71" s="14" t="n">
        <v>0.03</v>
      </c>
      <c r="AG71" s="14" t="n">
        <v>0.699789441354956</v>
      </c>
      <c r="AH71" s="14" t="n">
        <v>10689.3730662169</v>
      </c>
      <c r="AI71" s="14" t="n">
        <v>19079.8733542747</v>
      </c>
      <c r="AJ71" s="14" t="n">
        <v>22.1567</v>
      </c>
      <c r="AK71" s="14" t="n">
        <v>0</v>
      </c>
      <c r="AL71" s="14" t="n">
        <v>-37036.790575293</v>
      </c>
      <c r="AM71" s="14" t="n">
        <v>684.5</v>
      </c>
      <c r="AN71" s="14" t="n">
        <v>27078.2628664013</v>
      </c>
      <c r="AO71" s="14" t="n">
        <v>-7119.9037923103</v>
      </c>
      <c r="AP71" s="14" t="n">
        <v>0.519414437863832</v>
      </c>
      <c r="AQ71" s="14" t="n">
        <v>0</v>
      </c>
      <c r="AR71" s="14" t="n">
        <v>327.195752</v>
      </c>
      <c r="AS71" s="14" t="n">
        <v>314.925245</v>
      </c>
      <c r="AT71" s="14" t="n">
        <v>1994.02387505106</v>
      </c>
      <c r="AU71" s="14" t="n">
        <v>12.270507</v>
      </c>
      <c r="AV71" s="14" t="n">
        <v>0</v>
      </c>
      <c r="AW71" s="14" t="n">
        <v>2254.3125</v>
      </c>
      <c r="AX71" s="14" t="n">
        <v>314.925245</v>
      </c>
      <c r="AY71" s="14" t="n">
        <v>314.925245</v>
      </c>
    </row>
    <row r="72" customFormat="false" ht="15" hidden="false" customHeight="false" outlineLevel="0" collapsed="false">
      <c r="A72" s="0" t="s">
        <v>2616</v>
      </c>
      <c r="B72" s="14" t="n">
        <v>2423.40833661368</v>
      </c>
      <c r="C72" s="14" t="n">
        <v>7811.03675694845</v>
      </c>
      <c r="D72" s="14" t="n">
        <v>20485.2634710382</v>
      </c>
      <c r="E72" s="14" t="n">
        <v>4213.38933647908</v>
      </c>
      <c r="F72" s="14" t="n">
        <v>-858.274004849528</v>
      </c>
      <c r="G72" s="14" t="n">
        <v>4759.22187105067</v>
      </c>
      <c r="H72" s="14" t="n">
        <v>2918.91590420771</v>
      </c>
      <c r="I72" s="15" t="n">
        <v>0.01</v>
      </c>
      <c r="J72" s="15" t="n">
        <v>0</v>
      </c>
      <c r="K72" s="14" t="s">
        <v>82</v>
      </c>
      <c r="L72" s="14" t="n">
        <v>2205.1673647668</v>
      </c>
      <c r="M72" s="14" t="n">
        <v>32174.520735139</v>
      </c>
      <c r="N72" s="14" t="n">
        <v>12869.8203217374</v>
      </c>
      <c r="O72" s="14" t="n">
        <v>-12700.8598598571</v>
      </c>
      <c r="P72" s="14" t="n">
        <v>968.519919991184</v>
      </c>
      <c r="Q72" s="14" t="n">
        <v>1477.93711693221</v>
      </c>
      <c r="R72" s="14" t="n">
        <v>16850.3421667323</v>
      </c>
      <c r="S72" s="14" t="n">
        <v>29473.6052694208</v>
      </c>
      <c r="T72" s="14" t="n">
        <v>-936.780501065439</v>
      </c>
      <c r="U72" s="14" t="n">
        <v>-6150.9714934441</v>
      </c>
      <c r="V72" s="14" t="n">
        <v>0.82509878873241</v>
      </c>
      <c r="W72" s="14" t="n">
        <v>47479.6050270614</v>
      </c>
      <c r="X72" s="14" t="n">
        <v>25755.4597682797</v>
      </c>
      <c r="Y72" s="14" t="n">
        <v>0</v>
      </c>
      <c r="Z72" s="14" t="n">
        <v>0</v>
      </c>
      <c r="AA72" s="14" t="n">
        <v>30.1575455502983</v>
      </c>
      <c r="AB72" s="14" t="n">
        <v>27.9575455502983</v>
      </c>
      <c r="AC72" s="14" t="n">
        <v>29.4075455502983</v>
      </c>
      <c r="AD72" s="14" t="n">
        <v>23.1609949826291</v>
      </c>
      <c r="AE72" s="14" t="n">
        <v>653.683373262198</v>
      </c>
      <c r="AF72" s="14" t="n">
        <v>0.03</v>
      </c>
      <c r="AG72" s="14" t="n">
        <v>0.705815131665385</v>
      </c>
      <c r="AH72" s="14" t="n">
        <v>10689.3730662169</v>
      </c>
      <c r="AI72" s="14" t="n">
        <v>20485.2634710382</v>
      </c>
      <c r="AJ72" s="14" t="n">
        <v>22.7835</v>
      </c>
      <c r="AK72" s="14" t="n">
        <v>0</v>
      </c>
      <c r="AL72" s="14" t="n">
        <v>-35116.0761352289</v>
      </c>
      <c r="AM72" s="14" t="n">
        <v>684.5</v>
      </c>
      <c r="AN72" s="14" t="n">
        <v>27078.2628664013</v>
      </c>
      <c r="AO72" s="14" t="n">
        <v>-7119.9037923103</v>
      </c>
      <c r="AP72" s="14" t="n">
        <v>0.519414437863832</v>
      </c>
      <c r="AQ72" s="14" t="n">
        <v>0</v>
      </c>
      <c r="AR72" s="14" t="n">
        <v>327.195752</v>
      </c>
      <c r="AS72" s="14" t="n">
        <v>314.925245</v>
      </c>
      <c r="AT72" s="14" t="n">
        <v>2205.1673647668</v>
      </c>
      <c r="AU72" s="14" t="n">
        <v>12.270507</v>
      </c>
      <c r="AV72" s="14" t="n">
        <v>0</v>
      </c>
      <c r="AW72" s="14" t="n">
        <v>2254.3125</v>
      </c>
      <c r="AX72" s="14" t="n">
        <v>314.925245</v>
      </c>
      <c r="AY72" s="14" t="n">
        <v>314.925245</v>
      </c>
    </row>
    <row r="73" customFormat="false" ht="15" hidden="false" customHeight="false" outlineLevel="0" collapsed="false">
      <c r="A73" s="0" t="s">
        <v>2617</v>
      </c>
      <c r="B73" s="14" t="n">
        <v>2423.40833661368</v>
      </c>
      <c r="C73" s="14" t="n">
        <v>7621.71734378923</v>
      </c>
      <c r="D73" s="14" t="n">
        <v>18651.060214955</v>
      </c>
      <c r="E73" s="14" t="n">
        <v>4078.97255313604</v>
      </c>
      <c r="F73" s="14" t="n">
        <v>-984.898133745312</v>
      </c>
      <c r="G73" s="14" t="n">
        <v>4759.00199312978</v>
      </c>
      <c r="H73" s="14" t="n">
        <v>-8818.08484943116</v>
      </c>
      <c r="I73" s="15" t="n">
        <v>0.01</v>
      </c>
      <c r="J73" s="15" t="n">
        <v>0</v>
      </c>
      <c r="K73" s="14" t="s">
        <v>82</v>
      </c>
      <c r="L73" s="14" t="n">
        <v>2073.20268369447</v>
      </c>
      <c r="M73" s="14" t="n">
        <v>32170.7343468758</v>
      </c>
      <c r="N73" s="14" t="n">
        <v>11475.8258471141</v>
      </c>
      <c r="O73" s="14" t="n">
        <v>-14028.0590124418</v>
      </c>
      <c r="P73" s="14" t="n">
        <v>968.519919991184</v>
      </c>
      <c r="Q73" s="14" t="n">
        <v>160.172460215969</v>
      </c>
      <c r="R73" s="14" t="n">
        <v>16850.3421667323</v>
      </c>
      <c r="S73" s="14" t="n">
        <v>29436.9212042991</v>
      </c>
      <c r="T73" s="14" t="n">
        <v>-936.780501065439</v>
      </c>
      <c r="U73" s="14" t="n">
        <v>-17887.972247083</v>
      </c>
      <c r="V73" s="14" t="n">
        <v>0.82509878873241</v>
      </c>
      <c r="W73" s="14" t="n">
        <v>41089.2396868009</v>
      </c>
      <c r="X73" s="14" t="n">
        <v>24599.0867551345</v>
      </c>
      <c r="Y73" s="14" t="n">
        <v>0</v>
      </c>
      <c r="Z73" s="14" t="n">
        <v>0</v>
      </c>
      <c r="AA73" s="14" t="n">
        <v>30.1575455502983</v>
      </c>
      <c r="AB73" s="14" t="n">
        <v>27.9575455502983</v>
      </c>
      <c r="AC73" s="14" t="n">
        <v>29.4075455502983</v>
      </c>
      <c r="AD73" s="14" t="n">
        <v>23.1609949826291</v>
      </c>
      <c r="AE73" s="14" t="n">
        <v>653.683373262198</v>
      </c>
      <c r="AF73" s="14" t="n">
        <v>0.03</v>
      </c>
      <c r="AG73" s="14" t="n">
        <v>0.687848204758326</v>
      </c>
      <c r="AH73" s="14" t="n">
        <v>10689.3730662169</v>
      </c>
      <c r="AI73" s="14" t="n">
        <v>18651.060214955</v>
      </c>
      <c r="AJ73" s="14" t="n">
        <v>22.39175</v>
      </c>
      <c r="AK73" s="14" t="n">
        <v>0</v>
      </c>
      <c r="AL73" s="14" t="n">
        <v>-38300.4153511758</v>
      </c>
      <c r="AM73" s="14" t="n">
        <v>684.5</v>
      </c>
      <c r="AN73" s="14" t="n">
        <v>27078.2628664013</v>
      </c>
      <c r="AO73" s="14" t="n">
        <v>-7119.9037923103</v>
      </c>
      <c r="AP73" s="14" t="n">
        <v>0.519414437863832</v>
      </c>
      <c r="AQ73" s="14" t="n">
        <v>0</v>
      </c>
      <c r="AR73" s="14" t="n">
        <v>327.195752</v>
      </c>
      <c r="AS73" s="14" t="n">
        <v>314.925245</v>
      </c>
      <c r="AT73" s="14" t="n">
        <v>2073.20268369447</v>
      </c>
      <c r="AU73" s="14" t="n">
        <v>12.270507</v>
      </c>
      <c r="AV73" s="14" t="n">
        <v>0</v>
      </c>
      <c r="AW73" s="14" t="n">
        <v>2254.3125</v>
      </c>
      <c r="AX73" s="14" t="n">
        <v>314.925245</v>
      </c>
      <c r="AY73" s="14" t="n">
        <v>314.925245</v>
      </c>
    </row>
    <row r="74" customFormat="false" ht="15" hidden="false" customHeight="false" outlineLevel="0" collapsed="false">
      <c r="A74" s="0" t="s">
        <v>2618</v>
      </c>
      <c r="B74" s="14" t="n">
        <v>2423.40833661368</v>
      </c>
      <c r="C74" s="14" t="n">
        <v>7621.71734378923</v>
      </c>
      <c r="D74" s="14" t="n">
        <v>19606.894648061</v>
      </c>
      <c r="E74" s="14" t="n">
        <v>4078.97255313604</v>
      </c>
      <c r="F74" s="14" t="n">
        <v>-984.898133745312</v>
      </c>
      <c r="G74" s="14" t="n">
        <v>4759.00199312978</v>
      </c>
      <c r="H74" s="14" t="n">
        <v>-183.737139392096</v>
      </c>
      <c r="I74" s="15" t="n">
        <v>0.01</v>
      </c>
      <c r="J74" s="15" t="n">
        <v>0</v>
      </c>
      <c r="K74" s="14" t="s">
        <v>82</v>
      </c>
      <c r="L74" s="14" t="n">
        <v>2073.20268369447</v>
      </c>
      <c r="M74" s="14" t="n">
        <v>32170.7343468758</v>
      </c>
      <c r="N74" s="14" t="n">
        <v>12202.2600162747</v>
      </c>
      <c r="O74" s="14" t="n">
        <v>-13352.4239141392</v>
      </c>
      <c r="P74" s="14" t="n">
        <v>968.519919991184</v>
      </c>
      <c r="Q74" s="14" t="n">
        <v>847.460390505533</v>
      </c>
      <c r="R74" s="14" t="n">
        <v>16850.3421667323</v>
      </c>
      <c r="S74" s="14" t="n">
        <v>29456.0378929612</v>
      </c>
      <c r="T74" s="14" t="n">
        <v>-936.780501065439</v>
      </c>
      <c r="U74" s="14" t="n">
        <v>-9253.6245370439</v>
      </c>
      <c r="V74" s="14" t="n">
        <v>0.82509878873241</v>
      </c>
      <c r="W74" s="14" t="n">
        <v>46042.4843595974</v>
      </c>
      <c r="X74" s="14" t="n">
        <v>25494.8402952654</v>
      </c>
      <c r="Y74" s="14" t="n">
        <v>0</v>
      </c>
      <c r="Z74" s="14" t="n">
        <v>0</v>
      </c>
      <c r="AA74" s="14" t="n">
        <v>30.1575455502983</v>
      </c>
      <c r="AB74" s="14" t="n">
        <v>27.9575455502983</v>
      </c>
      <c r="AC74" s="14" t="n">
        <v>29.4075455502983</v>
      </c>
      <c r="AD74" s="14" t="n">
        <v>23.1609949826291</v>
      </c>
      <c r="AE74" s="14" t="n">
        <v>653.683373262198</v>
      </c>
      <c r="AF74" s="14" t="n">
        <v>0.03</v>
      </c>
      <c r="AG74" s="14" t="n">
        <v>0.702129022128044</v>
      </c>
      <c r="AH74" s="14" t="n">
        <v>10689.3730662169</v>
      </c>
      <c r="AI74" s="14" t="n">
        <v>19606.894648061</v>
      </c>
      <c r="AJ74" s="14" t="n">
        <v>22.39175</v>
      </c>
      <c r="AK74" s="14" t="n">
        <v>0</v>
      </c>
      <c r="AL74" s="14" t="n">
        <v>-36275.2856716304</v>
      </c>
      <c r="AM74" s="14" t="n">
        <v>684.5</v>
      </c>
      <c r="AN74" s="14" t="n">
        <v>27078.2628664013</v>
      </c>
      <c r="AO74" s="14" t="n">
        <v>-7119.9037923103</v>
      </c>
      <c r="AP74" s="14" t="n">
        <v>0.519414437863832</v>
      </c>
      <c r="AQ74" s="14" t="n">
        <v>0</v>
      </c>
      <c r="AR74" s="14" t="n">
        <v>327.195752</v>
      </c>
      <c r="AS74" s="14" t="n">
        <v>314.925245</v>
      </c>
      <c r="AT74" s="14" t="n">
        <v>2073.20268369447</v>
      </c>
      <c r="AU74" s="14" t="n">
        <v>12.270507</v>
      </c>
      <c r="AV74" s="14" t="n">
        <v>0</v>
      </c>
      <c r="AW74" s="14" t="n">
        <v>2254.3125</v>
      </c>
      <c r="AX74" s="14" t="n">
        <v>314.925245</v>
      </c>
      <c r="AY74" s="14" t="n">
        <v>314.925245</v>
      </c>
    </row>
    <row r="75" customFormat="false" ht="15" hidden="false" customHeight="false" outlineLevel="0" collapsed="false">
      <c r="A75" s="0" t="s">
        <v>2619</v>
      </c>
      <c r="B75" s="14" t="n">
        <v>2423.40833661368</v>
      </c>
      <c r="C75" s="14" t="n">
        <v>7621.71734378923</v>
      </c>
      <c r="D75" s="14" t="n">
        <v>20323.7704728905</v>
      </c>
      <c r="E75" s="14" t="n">
        <v>4078.97255313604</v>
      </c>
      <c r="F75" s="14" t="n">
        <v>-984.898133745312</v>
      </c>
      <c r="G75" s="14" t="n">
        <v>4759.00199312978</v>
      </c>
      <c r="H75" s="14" t="n">
        <v>9034.26018575234</v>
      </c>
      <c r="I75" s="15" t="n">
        <v>0.01</v>
      </c>
      <c r="J75" s="15" t="n">
        <v>9.62843127489576</v>
      </c>
      <c r="K75" s="14" t="s">
        <v>82</v>
      </c>
      <c r="L75" s="14" t="n">
        <v>2073.20268369447</v>
      </c>
      <c r="M75" s="14" t="n">
        <v>32170.7343468758</v>
      </c>
      <c r="N75" s="14" t="n">
        <v>12747.0856431452</v>
      </c>
      <c r="O75" s="14" t="n">
        <v>-12945.4745663348</v>
      </c>
      <c r="P75" s="14" t="n">
        <v>968.519919991184</v>
      </c>
      <c r="Q75" s="14" t="n">
        <v>1362.92633822271</v>
      </c>
      <c r="R75" s="14" t="n">
        <v>16850.3421667323</v>
      </c>
      <c r="S75" s="14" t="n">
        <v>29470.3754094578</v>
      </c>
      <c r="T75" s="14" t="n">
        <v>-936.780501065439</v>
      </c>
      <c r="U75" s="14" t="n">
        <v>-35.6272118994639</v>
      </c>
      <c r="V75" s="14" t="n">
        <v>0.82509878873241</v>
      </c>
      <c r="W75" s="14" t="n">
        <v>52503.0194360462</v>
      </c>
      <c r="X75" s="14" t="n">
        <v>26166.6554503636</v>
      </c>
      <c r="Y75" s="14" t="n">
        <v>9.05766623009173</v>
      </c>
      <c r="Z75" s="14" t="n">
        <v>12.2945438949144</v>
      </c>
      <c r="AA75" s="14" t="n">
        <v>30.1575455502983</v>
      </c>
      <c r="AB75" s="14" t="n">
        <v>27.9575455502983</v>
      </c>
      <c r="AC75" s="14" t="n">
        <v>29.4075455502983</v>
      </c>
      <c r="AD75" s="14" t="n">
        <v>23.1609949826291</v>
      </c>
      <c r="AE75" s="14" t="n">
        <v>653.683373262198</v>
      </c>
      <c r="AF75" s="14" t="n">
        <v>0.03</v>
      </c>
      <c r="AG75" s="14" t="n">
        <v>0.710824967925766</v>
      </c>
      <c r="AH75" s="14" t="n">
        <v>10689.3730662169</v>
      </c>
      <c r="AI75" s="14" t="n">
        <v>20323.7704728905</v>
      </c>
      <c r="AJ75" s="14" t="n">
        <v>22.39175</v>
      </c>
      <c r="AK75" s="14" t="n">
        <v>0</v>
      </c>
      <c r="AL75" s="14" t="n">
        <v>-35017.7036634632</v>
      </c>
      <c r="AM75" s="14" t="n">
        <v>684.5</v>
      </c>
      <c r="AN75" s="14" t="n">
        <v>27078.2628664013</v>
      </c>
      <c r="AO75" s="14" t="n">
        <v>-7119.9037923103</v>
      </c>
      <c r="AP75" s="14" t="n">
        <v>0.519414437863832</v>
      </c>
      <c r="AQ75" s="14" t="n">
        <v>8.52073564150067</v>
      </c>
      <c r="AR75" s="14" t="n">
        <v>327.195752</v>
      </c>
      <c r="AS75" s="14" t="n">
        <v>314.925245</v>
      </c>
      <c r="AT75" s="14" t="n">
        <v>2073.20268369447</v>
      </c>
      <c r="AU75" s="14" t="n">
        <v>12.270507</v>
      </c>
      <c r="AV75" s="14" t="n">
        <v>0</v>
      </c>
      <c r="AW75" s="14" t="n">
        <v>2254.3125</v>
      </c>
      <c r="AX75" s="14" t="n">
        <v>314.925245</v>
      </c>
      <c r="AY75" s="14" t="n">
        <v>314.925245</v>
      </c>
    </row>
    <row r="76" customFormat="false" ht="15" hidden="false" customHeight="false" outlineLevel="0" collapsed="false">
      <c r="A76" s="0" t="s">
        <v>2620</v>
      </c>
      <c r="B76" s="14" t="n">
        <v>2423.40833661368</v>
      </c>
      <c r="C76" s="14" t="n">
        <v>8378.99499642611</v>
      </c>
      <c r="D76" s="14" t="n">
        <v>23120.3699399697</v>
      </c>
      <c r="E76" s="14" t="n">
        <v>4616.63968650822</v>
      </c>
      <c r="F76" s="14" t="n">
        <v>-478.401618162178</v>
      </c>
      <c r="G76" s="14" t="n">
        <v>4759.88150481336</v>
      </c>
      <c r="H76" s="14" t="n">
        <v>10185.5241973585</v>
      </c>
      <c r="I76" s="15" t="n">
        <v>3.54254483379616</v>
      </c>
      <c r="J76" s="15" t="n">
        <v>13.6044252331395</v>
      </c>
      <c r="K76" s="14" t="s">
        <v>82</v>
      </c>
      <c r="L76" s="14" t="n">
        <v>2601.06140798382</v>
      </c>
      <c r="M76" s="14" t="n">
        <v>32185.8798999285</v>
      </c>
      <c r="N76" s="14" t="n">
        <v>14872.5012381253</v>
      </c>
      <c r="O76" s="14" t="n">
        <v>-10815.9659668399</v>
      </c>
      <c r="P76" s="14" t="n">
        <v>968.519919991184</v>
      </c>
      <c r="Q76" s="14" t="n">
        <v>3369.36729621223</v>
      </c>
      <c r="R76" s="14" t="n">
        <v>16850.3421667323</v>
      </c>
      <c r="S76" s="14" t="n">
        <v>29526.3073987994</v>
      </c>
      <c r="T76" s="14" t="n">
        <v>-936.780501065439</v>
      </c>
      <c r="U76" s="14" t="n">
        <v>1115.63679970674</v>
      </c>
      <c r="V76" s="14" t="n">
        <v>0.82509878873241</v>
      </c>
      <c r="W76" s="14" t="n">
        <v>50938.959624533</v>
      </c>
      <c r="X76" s="14" t="n">
        <v>26099.1981614792</v>
      </c>
      <c r="Y76" s="14" t="n">
        <v>12.7979667191787</v>
      </c>
      <c r="Z76" s="14" t="n">
        <v>17.3714905801958</v>
      </c>
      <c r="AA76" s="14" t="n">
        <v>30.1575455502983</v>
      </c>
      <c r="AB76" s="14" t="n">
        <v>27.9575455502983</v>
      </c>
      <c r="AC76" s="14" t="n">
        <v>29.4075455502983</v>
      </c>
      <c r="AD76" s="14" t="n">
        <v>23.1609949826291</v>
      </c>
      <c r="AE76" s="14" t="n">
        <v>653.683373262198</v>
      </c>
      <c r="AF76" s="14" t="n">
        <v>0.03</v>
      </c>
      <c r="AG76" s="14" t="n">
        <v>0.71056526083148</v>
      </c>
      <c r="AH76" s="14" t="n">
        <v>10689.3730662169</v>
      </c>
      <c r="AI76" s="14" t="n">
        <v>23120.3699399697</v>
      </c>
      <c r="AJ76" s="14" t="n">
        <v>23.95875</v>
      </c>
      <c r="AK76" s="14" t="n">
        <v>0</v>
      </c>
      <c r="AL76" s="14" t="n">
        <v>-31790.3325917594</v>
      </c>
      <c r="AM76" s="14" t="n">
        <v>684.5</v>
      </c>
      <c r="AN76" s="14" t="n">
        <v>27078.2628664013</v>
      </c>
      <c r="AO76" s="14" t="n">
        <v>-7119.9037923103</v>
      </c>
      <c r="AP76" s="14" t="n">
        <v>0.519414437863832</v>
      </c>
      <c r="AQ76" s="14" t="n">
        <v>12.0393143656102</v>
      </c>
      <c r="AR76" s="14" t="n">
        <v>327.195752</v>
      </c>
      <c r="AS76" s="14" t="n">
        <v>314.925245</v>
      </c>
      <c r="AT76" s="14" t="n">
        <v>2601.06140798382</v>
      </c>
      <c r="AU76" s="14" t="n">
        <v>12.270507</v>
      </c>
      <c r="AV76" s="14" t="n">
        <v>0</v>
      </c>
      <c r="AW76" s="14" t="n">
        <v>2254.3125</v>
      </c>
      <c r="AX76" s="14" t="n">
        <v>314.925245</v>
      </c>
      <c r="AY76" s="14" t="n">
        <v>314.925245</v>
      </c>
    </row>
    <row r="77" customFormat="false" ht="15" hidden="false" customHeight="false" outlineLevel="0" collapsed="false">
      <c r="A77" s="0" t="s">
        <v>2621</v>
      </c>
      <c r="B77" s="14" t="n">
        <v>2423.40833661368</v>
      </c>
      <c r="C77" s="14" t="n">
        <v>8126.01542074525</v>
      </c>
      <c r="D77" s="14" t="n">
        <v>20569.4740402136</v>
      </c>
      <c r="E77" s="14" t="n">
        <v>4437.02418777482</v>
      </c>
      <c r="F77" s="14" t="n">
        <v>-647.497968751575</v>
      </c>
      <c r="G77" s="14" t="n">
        <v>4759.48153969658</v>
      </c>
      <c r="H77" s="14" t="n">
        <v>2347.6213471806</v>
      </c>
      <c r="I77" s="15" t="n">
        <v>0.01</v>
      </c>
      <c r="J77" s="15" t="n">
        <v>0</v>
      </c>
      <c r="K77" s="14" t="s">
        <v>82</v>
      </c>
      <c r="L77" s="14" t="n">
        <v>2424.07463143647</v>
      </c>
      <c r="M77" s="14" t="n">
        <v>32180.8203084149</v>
      </c>
      <c r="N77" s="14" t="n">
        <v>12933.8203543107</v>
      </c>
      <c r="O77" s="14" t="n">
        <v>-12425.3631315182</v>
      </c>
      <c r="P77" s="14" t="n">
        <v>968.519919991184</v>
      </c>
      <c r="Q77" s="14" t="n">
        <v>1537.07392738462</v>
      </c>
      <c r="R77" s="14" t="n">
        <v>16850.3421667323</v>
      </c>
      <c r="S77" s="14" t="n">
        <v>29475.2894808043</v>
      </c>
      <c r="T77" s="14" t="n">
        <v>-936.780501065439</v>
      </c>
      <c r="U77" s="14" t="n">
        <v>-6722.26605047121</v>
      </c>
      <c r="V77" s="14" t="n">
        <v>0.82509878873241</v>
      </c>
      <c r="W77" s="14" t="n">
        <v>46959.7964632782</v>
      </c>
      <c r="X77" s="14" t="n">
        <v>25660.9385978451</v>
      </c>
      <c r="Y77" s="14" t="n">
        <v>0</v>
      </c>
      <c r="Z77" s="14" t="n">
        <v>0</v>
      </c>
      <c r="AA77" s="14" t="n">
        <v>30.1575455502983</v>
      </c>
      <c r="AB77" s="14" t="n">
        <v>27.9575455502983</v>
      </c>
      <c r="AC77" s="14" t="n">
        <v>29.4075455502983</v>
      </c>
      <c r="AD77" s="14" t="n">
        <v>23.1609949826291</v>
      </c>
      <c r="AE77" s="14" t="n">
        <v>653.683373262198</v>
      </c>
      <c r="AF77" s="14" t="n">
        <v>0.03</v>
      </c>
      <c r="AG77" s="14" t="n">
        <v>0.704515484277783</v>
      </c>
      <c r="AH77" s="14" t="n">
        <v>10689.3730662169</v>
      </c>
      <c r="AI77" s="14" t="n">
        <v>20569.4740402136</v>
      </c>
      <c r="AJ77" s="14" t="n">
        <v>26.5819700488998</v>
      </c>
      <c r="AK77" s="14" t="n">
        <v>0</v>
      </c>
      <c r="AL77" s="14" t="n">
        <v>-34888.9949711671</v>
      </c>
      <c r="AM77" s="14" t="n">
        <v>684.5</v>
      </c>
      <c r="AN77" s="14" t="n">
        <v>27078.2628664013</v>
      </c>
      <c r="AO77" s="14" t="n">
        <v>-7119.9037923103</v>
      </c>
      <c r="AP77" s="14" t="n">
        <v>0.450076410625259</v>
      </c>
      <c r="AQ77" s="14" t="n">
        <v>0</v>
      </c>
      <c r="AR77" s="14" t="n">
        <v>327.195752</v>
      </c>
      <c r="AS77" s="14" t="n">
        <v>314.925245</v>
      </c>
      <c r="AT77" s="14" t="n">
        <v>2424.07463143647</v>
      </c>
      <c r="AU77" s="14" t="n">
        <v>12.270507</v>
      </c>
      <c r="AV77" s="14" t="n">
        <v>0</v>
      </c>
      <c r="AW77" s="14" t="n">
        <v>2254.3125</v>
      </c>
      <c r="AX77" s="14" t="n">
        <v>314.925245</v>
      </c>
      <c r="AY77" s="14" t="n">
        <v>314.925245</v>
      </c>
    </row>
    <row r="78" customFormat="false" ht="15" hidden="false" customHeight="false" outlineLevel="0" collapsed="false">
      <c r="A78" s="0" t="s">
        <v>2622</v>
      </c>
      <c r="B78" s="14" t="n">
        <v>2423.40833661368</v>
      </c>
      <c r="C78" s="14" t="n">
        <v>7621.71734378923</v>
      </c>
      <c r="D78" s="14" t="n">
        <v>19606.894648061</v>
      </c>
      <c r="E78" s="14" t="n">
        <v>4078.97255313604</v>
      </c>
      <c r="F78" s="14" t="n">
        <v>-984.898133745312</v>
      </c>
      <c r="G78" s="14" t="n">
        <v>4759.00199312978</v>
      </c>
      <c r="H78" s="14" t="n">
        <v>1589.98390338937</v>
      </c>
      <c r="I78" s="15" t="n">
        <v>0.01</v>
      </c>
      <c r="J78" s="15" t="n">
        <v>0</v>
      </c>
      <c r="K78" s="14" t="s">
        <v>82</v>
      </c>
      <c r="L78" s="14" t="n">
        <v>2073.20268369447</v>
      </c>
      <c r="M78" s="14" t="n">
        <v>32170.7343468758</v>
      </c>
      <c r="N78" s="14" t="n">
        <v>12202.2600162747</v>
      </c>
      <c r="O78" s="14" t="n">
        <v>-8915.46671644916</v>
      </c>
      <c r="P78" s="14" t="n">
        <v>968.519919991184</v>
      </c>
      <c r="Q78" s="14" t="n">
        <v>847.460390505534</v>
      </c>
      <c r="R78" s="14" t="n">
        <v>16850.3421667323</v>
      </c>
      <c r="S78" s="14" t="n">
        <v>29456.0378929612</v>
      </c>
      <c r="T78" s="14" t="n">
        <v>-936.780501065439</v>
      </c>
      <c r="U78" s="14" t="n">
        <v>-7479.90349426244</v>
      </c>
      <c r="V78" s="14" t="n">
        <v>0.82509878873241</v>
      </c>
      <c r="W78" s="14" t="n">
        <v>46042.4843595974</v>
      </c>
      <c r="X78" s="14" t="n">
        <v>25494.8402952654</v>
      </c>
      <c r="Y78" s="14" t="n">
        <v>0</v>
      </c>
      <c r="Z78" s="14" t="n">
        <v>0</v>
      </c>
      <c r="AA78" s="14" t="n">
        <v>30.1575455502983</v>
      </c>
      <c r="AB78" s="14" t="n">
        <v>27.9575455502983</v>
      </c>
      <c r="AC78" s="14" t="n">
        <v>29.4075455502983</v>
      </c>
      <c r="AD78" s="14" t="n">
        <v>23.1609949826291</v>
      </c>
      <c r="AE78" s="14" t="n">
        <v>653.683373262198</v>
      </c>
      <c r="AF78" s="14" t="n">
        <v>0.03</v>
      </c>
      <c r="AG78" s="14" t="n">
        <v>0.702129022128044</v>
      </c>
      <c r="AH78" s="14" t="n">
        <v>10689.3730662169</v>
      </c>
      <c r="AI78" s="14" t="n">
        <v>19606.894648061</v>
      </c>
      <c r="AJ78" s="14" t="n">
        <v>22.39175</v>
      </c>
      <c r="AK78" s="14" t="n">
        <v>0</v>
      </c>
      <c r="AL78" s="14" t="n">
        <v>-26261.151096468</v>
      </c>
      <c r="AM78" s="14" t="n">
        <v>684.5</v>
      </c>
      <c r="AN78" s="14" t="n">
        <v>38304.7428664013</v>
      </c>
      <c r="AO78" s="14" t="n">
        <v>-10994.6246722394</v>
      </c>
      <c r="AP78" s="14" t="n">
        <v>0.519414437863832</v>
      </c>
      <c r="AQ78" s="14" t="n">
        <v>0</v>
      </c>
      <c r="AR78" s="14" t="n">
        <v>327.195752</v>
      </c>
      <c r="AS78" s="14" t="n">
        <v>314.925245</v>
      </c>
      <c r="AT78" s="14" t="n">
        <v>2073.20268369447</v>
      </c>
      <c r="AU78" s="14" t="n">
        <v>12.270507</v>
      </c>
      <c r="AV78" s="14" t="n">
        <v>0</v>
      </c>
      <c r="AW78" s="14" t="n">
        <v>2254.3125</v>
      </c>
      <c r="AX78" s="14" t="n">
        <v>314.925245</v>
      </c>
      <c r="AY78" s="14" t="n">
        <v>314.925245</v>
      </c>
    </row>
    <row r="79" customFormat="false" ht="15" hidden="false" customHeight="false" outlineLevel="0" collapsed="false">
      <c r="A79" s="0" t="s">
        <v>2623</v>
      </c>
      <c r="B79" s="14" t="n">
        <v>2423.40833661368</v>
      </c>
      <c r="C79" s="14" t="n">
        <v>7621.71734378923</v>
      </c>
      <c r="D79" s="14" t="n">
        <v>19606.894648061</v>
      </c>
      <c r="E79" s="14" t="n">
        <v>4078.97255313604</v>
      </c>
      <c r="F79" s="14" t="n">
        <v>-984.898133745312</v>
      </c>
      <c r="G79" s="14" t="n">
        <v>4759.00199312978</v>
      </c>
      <c r="H79" s="14" t="n">
        <v>-183.737139392088</v>
      </c>
      <c r="I79" s="15" t="n">
        <v>0.01</v>
      </c>
      <c r="J79" s="15" t="n">
        <v>0</v>
      </c>
      <c r="K79" s="14" t="s">
        <v>82</v>
      </c>
      <c r="L79" s="14" t="n">
        <v>2073.20268369447</v>
      </c>
      <c r="M79" s="14" t="n">
        <v>32170.7343468758</v>
      </c>
      <c r="N79" s="14" t="n">
        <v>12202.2600162747</v>
      </c>
      <c r="O79" s="14" t="n">
        <v>-13352.4239141392</v>
      </c>
      <c r="P79" s="14" t="n">
        <v>968.519919991184</v>
      </c>
      <c r="Q79" s="14" t="n">
        <v>847.460390505534</v>
      </c>
      <c r="R79" s="14" t="n">
        <v>16850.3421667323</v>
      </c>
      <c r="S79" s="14" t="n">
        <v>29456.0378929612</v>
      </c>
      <c r="T79" s="14" t="n">
        <v>-936.780501065439</v>
      </c>
      <c r="U79" s="14" t="n">
        <v>-9253.6245370439</v>
      </c>
      <c r="V79" s="14" t="n">
        <v>0.82509878873241</v>
      </c>
      <c r="W79" s="14" t="n">
        <v>46042.4843595974</v>
      </c>
      <c r="X79" s="14" t="n">
        <v>25494.8402952654</v>
      </c>
      <c r="Y79" s="14" t="n">
        <v>0</v>
      </c>
      <c r="Z79" s="14" t="n">
        <v>0</v>
      </c>
      <c r="AA79" s="14" t="n">
        <v>30.1575455502983</v>
      </c>
      <c r="AB79" s="14" t="n">
        <v>27.9575455502983</v>
      </c>
      <c r="AC79" s="14" t="n">
        <v>29.4075455502983</v>
      </c>
      <c r="AD79" s="14" t="n">
        <v>23.1609949826291</v>
      </c>
      <c r="AE79" s="14" t="n">
        <v>653.683373262198</v>
      </c>
      <c r="AF79" s="14" t="n">
        <v>0.03</v>
      </c>
      <c r="AG79" s="14" t="n">
        <v>0.702129022128044</v>
      </c>
      <c r="AH79" s="14" t="n">
        <v>10689.3730662169</v>
      </c>
      <c r="AI79" s="14" t="n">
        <v>19606.894648061</v>
      </c>
      <c r="AJ79" s="14" t="n">
        <v>22.39175</v>
      </c>
      <c r="AK79" s="14" t="n">
        <v>0</v>
      </c>
      <c r="AL79" s="14" t="n">
        <v>-36275.2856716304</v>
      </c>
      <c r="AM79" s="14" t="n">
        <v>684.5</v>
      </c>
      <c r="AN79" s="14" t="n">
        <v>27078.2628664013</v>
      </c>
      <c r="AO79" s="14" t="n">
        <v>-7119.9037923103</v>
      </c>
      <c r="AP79" s="14" t="n">
        <v>0.519414437863832</v>
      </c>
      <c r="AQ79" s="14" t="n">
        <v>0</v>
      </c>
      <c r="AR79" s="14" t="n">
        <v>327.195752</v>
      </c>
      <c r="AS79" s="14" t="n">
        <v>314.925245</v>
      </c>
      <c r="AT79" s="14" t="n">
        <v>2073.20268369447</v>
      </c>
      <c r="AU79" s="14" t="n">
        <v>12.270507</v>
      </c>
      <c r="AV79" s="14" t="n">
        <v>0</v>
      </c>
      <c r="AW79" s="14" t="n">
        <v>2254.3125</v>
      </c>
      <c r="AX79" s="14" t="n">
        <v>314.925245</v>
      </c>
      <c r="AY79" s="14" t="n">
        <v>314.925245</v>
      </c>
    </row>
    <row r="80" customFormat="false" ht="15" hidden="false" customHeight="false" outlineLevel="0" collapsed="false">
      <c r="A80" s="0" t="s">
        <v>2624</v>
      </c>
      <c r="B80" s="14" t="n">
        <v>2423.40833661368</v>
      </c>
      <c r="C80" s="14" t="n">
        <v>7621.71734378923</v>
      </c>
      <c r="D80" s="14" t="n">
        <v>19606.894648061</v>
      </c>
      <c r="E80" s="14" t="n">
        <v>4078.97255313604</v>
      </c>
      <c r="F80" s="14" t="n">
        <v>-984.898133745312</v>
      </c>
      <c r="G80" s="14" t="n">
        <v>4759.00199312978</v>
      </c>
      <c r="H80" s="14" t="n">
        <v>-183.737139392088</v>
      </c>
      <c r="I80" s="15" t="n">
        <v>0.01</v>
      </c>
      <c r="J80" s="15" t="n">
        <v>0</v>
      </c>
      <c r="K80" s="14" t="s">
        <v>82</v>
      </c>
      <c r="L80" s="14" t="n">
        <v>2073.20268369447</v>
      </c>
      <c r="M80" s="14" t="n">
        <v>32170.7343468758</v>
      </c>
      <c r="N80" s="14" t="n">
        <v>12202.2600162747</v>
      </c>
      <c r="O80" s="14" t="n">
        <v>-13352.4239141392</v>
      </c>
      <c r="P80" s="14" t="n">
        <v>968.519919991184</v>
      </c>
      <c r="Q80" s="14" t="n">
        <v>847.460390505534</v>
      </c>
      <c r="R80" s="14" t="n">
        <v>16850.3421667323</v>
      </c>
      <c r="S80" s="14" t="n">
        <v>29456.0378929612</v>
      </c>
      <c r="T80" s="14" t="n">
        <v>-936.780501065439</v>
      </c>
      <c r="U80" s="14" t="n">
        <v>-9253.6245370439</v>
      </c>
      <c r="V80" s="14" t="n">
        <v>0.82509878873241</v>
      </c>
      <c r="W80" s="14" t="n">
        <v>46042.4843595974</v>
      </c>
      <c r="X80" s="14" t="n">
        <v>25494.8402952654</v>
      </c>
      <c r="Y80" s="14" t="n">
        <v>0</v>
      </c>
      <c r="Z80" s="14" t="n">
        <v>0</v>
      </c>
      <c r="AA80" s="14" t="n">
        <v>30.1575455502983</v>
      </c>
      <c r="AB80" s="14" t="n">
        <v>27.9575455502983</v>
      </c>
      <c r="AC80" s="14" t="n">
        <v>29.4075455502983</v>
      </c>
      <c r="AD80" s="14" t="n">
        <v>23.1609949826291</v>
      </c>
      <c r="AE80" s="14" t="n">
        <v>653.683373262198</v>
      </c>
      <c r="AF80" s="14" t="n">
        <v>0.03</v>
      </c>
      <c r="AG80" s="14" t="n">
        <v>0.702129022128044</v>
      </c>
      <c r="AH80" s="14" t="n">
        <v>10689.3730662169</v>
      </c>
      <c r="AI80" s="14" t="n">
        <v>19606.894648061</v>
      </c>
      <c r="AJ80" s="14" t="n">
        <v>22.39175</v>
      </c>
      <c r="AK80" s="14" t="n">
        <v>0</v>
      </c>
      <c r="AL80" s="14" t="n">
        <v>-36275.2856716304</v>
      </c>
      <c r="AM80" s="14" t="n">
        <v>684.5</v>
      </c>
      <c r="AN80" s="14" t="n">
        <v>27078.2628664013</v>
      </c>
      <c r="AO80" s="14" t="n">
        <v>-7119.9037923103</v>
      </c>
      <c r="AP80" s="14" t="n">
        <v>0.519414437863832</v>
      </c>
      <c r="AQ80" s="14" t="n">
        <v>0</v>
      </c>
      <c r="AR80" s="14" t="n">
        <v>327.195752</v>
      </c>
      <c r="AS80" s="14" t="n">
        <v>314.925245</v>
      </c>
      <c r="AT80" s="14" t="n">
        <v>2073.20268369447</v>
      </c>
      <c r="AU80" s="14" t="n">
        <v>12.270507</v>
      </c>
      <c r="AV80" s="14" t="n">
        <v>0</v>
      </c>
      <c r="AW80" s="14" t="n">
        <v>2254.3125</v>
      </c>
      <c r="AX80" s="14" t="n">
        <v>314.925245</v>
      </c>
      <c r="AY80" s="14" t="n">
        <v>314.925245</v>
      </c>
    </row>
    <row r="81" customFormat="false" ht="15" hidden="false" customHeight="false" outlineLevel="0" collapsed="false">
      <c r="A81" s="0" t="s">
        <v>2625</v>
      </c>
      <c r="B81" s="14" t="n">
        <v>2423.40833661368</v>
      </c>
      <c r="C81" s="14" t="n">
        <v>7621.71734378923</v>
      </c>
      <c r="D81" s="14" t="n">
        <v>19606.894648061</v>
      </c>
      <c r="E81" s="14" t="n">
        <v>4078.97255313604</v>
      </c>
      <c r="F81" s="14" t="n">
        <v>-984.898133745312</v>
      </c>
      <c r="G81" s="14" t="n">
        <v>4759.00199312978</v>
      </c>
      <c r="H81" s="14" t="n">
        <v>6936.16665291821</v>
      </c>
      <c r="I81" s="15" t="n">
        <v>0.01</v>
      </c>
      <c r="J81" s="15" t="n">
        <v>2.38247628431089</v>
      </c>
      <c r="K81" s="14" t="s">
        <v>82</v>
      </c>
      <c r="L81" s="14" t="n">
        <v>2073.20268369447</v>
      </c>
      <c r="M81" s="14" t="n">
        <v>32170.7343468758</v>
      </c>
      <c r="N81" s="14" t="n">
        <v>12202.2600162747</v>
      </c>
      <c r="O81" s="14" t="n">
        <v>-13352.4239141392</v>
      </c>
      <c r="P81" s="14" t="n">
        <v>968.519919991184</v>
      </c>
      <c r="Q81" s="14" t="n">
        <v>847.460390505534</v>
      </c>
      <c r="R81" s="14" t="n">
        <v>16850.3421667323</v>
      </c>
      <c r="S81" s="14" t="n">
        <v>29456.0378929612</v>
      </c>
      <c r="T81" s="14" t="n">
        <v>-936.780501065439</v>
      </c>
      <c r="U81" s="14" t="n">
        <v>-2133.7207447336</v>
      </c>
      <c r="V81" s="14" t="n">
        <v>0.82509878873241</v>
      </c>
      <c r="W81" s="14" t="n">
        <v>46042.4843595974</v>
      </c>
      <c r="X81" s="14" t="n">
        <v>25494.8402952654</v>
      </c>
      <c r="Y81" s="14" t="n">
        <v>2.24124515908026</v>
      </c>
      <c r="Z81" s="14" t="n">
        <v>3.04218396743657</v>
      </c>
      <c r="AA81" s="14" t="n">
        <v>30.1575455502983</v>
      </c>
      <c r="AB81" s="14" t="n">
        <v>27.9575455502983</v>
      </c>
      <c r="AC81" s="14" t="n">
        <v>29.4075455502983</v>
      </c>
      <c r="AD81" s="14" t="n">
        <v>23.1609949826291</v>
      </c>
      <c r="AE81" s="14" t="n">
        <v>653.683373262198</v>
      </c>
      <c r="AF81" s="14" t="n">
        <v>0.03</v>
      </c>
      <c r="AG81" s="14" t="n">
        <v>0.702129022128044</v>
      </c>
      <c r="AH81" s="14" t="n">
        <v>10689.3730662169</v>
      </c>
      <c r="AI81" s="14" t="n">
        <v>19606.894648061</v>
      </c>
      <c r="AJ81" s="14" t="n">
        <v>22.39175</v>
      </c>
      <c r="AK81" s="14" t="n">
        <v>0</v>
      </c>
      <c r="AL81" s="14" t="n">
        <v>-36275.2856716304</v>
      </c>
      <c r="AM81" s="14" t="n">
        <v>684.5</v>
      </c>
      <c r="AN81" s="14" t="n">
        <v>27078.2628664013</v>
      </c>
      <c r="AO81" s="14" t="n">
        <v>0</v>
      </c>
      <c r="AP81" s="14" t="n">
        <v>0.519414437863832</v>
      </c>
      <c r="AQ81" s="14" t="n">
        <v>2.10838609231052</v>
      </c>
      <c r="AR81" s="14" t="n">
        <v>327.195752</v>
      </c>
      <c r="AS81" s="14" t="n">
        <v>314.925245</v>
      </c>
      <c r="AT81" s="14" t="n">
        <v>2073.20268369447</v>
      </c>
      <c r="AU81" s="14" t="n">
        <v>12.270507</v>
      </c>
      <c r="AV81" s="14" t="n">
        <v>0</v>
      </c>
      <c r="AW81" s="14" t="n">
        <v>2254.3125</v>
      </c>
      <c r="AX81" s="14" t="n">
        <v>314.925245</v>
      </c>
      <c r="AY81" s="14" t="n">
        <v>314.925245</v>
      </c>
    </row>
    <row r="82" customFormat="false" ht="15" hidden="false" customHeight="false" outlineLevel="0" collapsed="false">
      <c r="A82" s="0" t="s">
        <v>2626</v>
      </c>
      <c r="B82" s="14" t="n">
        <v>2425.32952419152</v>
      </c>
      <c r="C82" s="14" t="n">
        <v>7598.99737257141</v>
      </c>
      <c r="D82" s="14" t="n">
        <v>19571.6235507089</v>
      </c>
      <c r="E82" s="14" t="n">
        <v>4062.84137357139</v>
      </c>
      <c r="F82" s="14" t="n">
        <v>-1000.09813956018</v>
      </c>
      <c r="G82" s="14" t="n">
        <v>4758.97961822871</v>
      </c>
      <c r="H82" s="14" t="n">
        <v>-310.623935699111</v>
      </c>
      <c r="I82" s="15" t="n">
        <v>0.01</v>
      </c>
      <c r="J82" s="15" t="n">
        <v>0</v>
      </c>
      <c r="K82" s="14" t="s">
        <v>82</v>
      </c>
      <c r="L82" s="14" t="n">
        <v>2058.51485916515</v>
      </c>
      <c r="M82" s="14" t="n">
        <v>32170.2799474514</v>
      </c>
      <c r="N82" s="14" t="n">
        <v>12175.4539822871</v>
      </c>
      <c r="O82" s="14" t="n">
        <v>-13389.7847319129</v>
      </c>
      <c r="P82" s="14" t="n">
        <v>969.691844413664</v>
      </c>
      <c r="Q82" s="14" t="n">
        <v>822.198726848305</v>
      </c>
      <c r="R82" s="14" t="n">
        <v>16850.3805904838</v>
      </c>
      <c r="S82" s="14" t="n">
        <v>29455.3324710142</v>
      </c>
      <c r="T82" s="14" t="n">
        <v>-935.685010194546</v>
      </c>
      <c r="U82" s="14" t="n">
        <v>-9380.75556475127</v>
      </c>
      <c r="V82" s="14" t="n">
        <v>0.953955874711187</v>
      </c>
      <c r="W82" s="14" t="n">
        <v>45987.2208869403</v>
      </c>
      <c r="X82" s="14" t="n">
        <v>25484.8311557485</v>
      </c>
      <c r="Y82" s="14" t="n">
        <v>0</v>
      </c>
      <c r="Z82" s="14" t="n">
        <v>0</v>
      </c>
      <c r="AA82" s="14" t="n">
        <v>34.8673009068098</v>
      </c>
      <c r="AB82" s="14" t="n">
        <v>32.6673009068098</v>
      </c>
      <c r="AC82" s="14" t="n">
        <v>34.1173009068098</v>
      </c>
      <c r="AD82" s="14" t="n">
        <v>26.77808709643</v>
      </c>
      <c r="AE82" s="14" t="n">
        <v>653.269421736173</v>
      </c>
      <c r="AF82" s="14" t="n">
        <v>0.03</v>
      </c>
      <c r="AG82" s="14" t="n">
        <v>0.701983589541811</v>
      </c>
      <c r="AH82" s="14" t="n">
        <v>10690.5044298631</v>
      </c>
      <c r="AI82" s="14" t="n">
        <v>19571.6235507089</v>
      </c>
      <c r="AJ82" s="14" t="n">
        <v>22.39175</v>
      </c>
      <c r="AK82" s="14" t="n">
        <v>0</v>
      </c>
      <c r="AL82" s="14" t="n">
        <v>-36330.1069623792</v>
      </c>
      <c r="AM82" s="14" t="n">
        <v>684.5</v>
      </c>
      <c r="AN82" s="14" t="n">
        <v>27078.2628664013</v>
      </c>
      <c r="AO82" s="14" t="n">
        <v>-7119.9037923103</v>
      </c>
      <c r="AP82" s="14" t="n">
        <v>0.518413167555522</v>
      </c>
      <c r="AQ82" s="14" t="n">
        <v>0</v>
      </c>
      <c r="AR82" s="14" t="n">
        <v>327.195752</v>
      </c>
      <c r="AS82" s="14" t="n">
        <v>314.925245</v>
      </c>
      <c r="AT82" s="14" t="n">
        <v>2058.51485916515</v>
      </c>
      <c r="AU82" s="14" t="n">
        <v>12.270507</v>
      </c>
      <c r="AV82" s="14" t="n">
        <v>0</v>
      </c>
      <c r="AW82" s="14" t="n">
        <v>2254.3125</v>
      </c>
      <c r="AX82" s="14" t="n">
        <v>314.925245</v>
      </c>
      <c r="AY82" s="14" t="n">
        <v>314.925245</v>
      </c>
    </row>
    <row r="83" customFormat="false" ht="15" hidden="false" customHeight="false" outlineLevel="0" collapsed="false">
      <c r="A83" s="0" t="s">
        <v>2627</v>
      </c>
      <c r="B83" s="14" t="n">
        <v>2423.40833661368</v>
      </c>
      <c r="C83" s="14" t="n">
        <v>7621.71734378923</v>
      </c>
      <c r="D83" s="14" t="n">
        <v>19606.894648061</v>
      </c>
      <c r="E83" s="14" t="n">
        <v>4078.97255313604</v>
      </c>
      <c r="F83" s="14" t="n">
        <v>-984.898133745312</v>
      </c>
      <c r="G83" s="14" t="n">
        <v>4759.00199312978</v>
      </c>
      <c r="H83" s="14" t="n">
        <v>-183.737139392088</v>
      </c>
      <c r="I83" s="15" t="n">
        <v>0.01</v>
      </c>
      <c r="J83" s="15" t="n">
        <v>0</v>
      </c>
      <c r="K83" s="14" t="s">
        <v>82</v>
      </c>
      <c r="L83" s="14" t="n">
        <v>1816.57610198853</v>
      </c>
      <c r="M83" s="14" t="n">
        <v>32170.7343468758</v>
      </c>
      <c r="N83" s="14" t="n">
        <v>12202.2600162747</v>
      </c>
      <c r="O83" s="14" t="n">
        <v>-13607.9007709844</v>
      </c>
      <c r="P83" s="14" t="n">
        <v>968.519919991184</v>
      </c>
      <c r="Q83" s="14" t="n">
        <v>847.460390505534</v>
      </c>
      <c r="R83" s="14" t="n">
        <v>16850.3421667323</v>
      </c>
      <c r="S83" s="14" t="n">
        <v>29456.0378929612</v>
      </c>
      <c r="T83" s="14" t="n">
        <v>-936.780501065439</v>
      </c>
      <c r="U83" s="14" t="n">
        <v>-9253.6245370439</v>
      </c>
      <c r="V83" s="14" t="n">
        <v>0.82509878873241</v>
      </c>
      <c r="W83" s="14" t="n">
        <v>46042.4843595974</v>
      </c>
      <c r="X83" s="14" t="n">
        <v>25494.8402952654</v>
      </c>
      <c r="Y83" s="14" t="n">
        <v>0</v>
      </c>
      <c r="Z83" s="14" t="n">
        <v>0</v>
      </c>
      <c r="AA83" s="14" t="n">
        <v>30.1575455502983</v>
      </c>
      <c r="AB83" s="14" t="n">
        <v>27.9575455502983</v>
      </c>
      <c r="AC83" s="14" t="n">
        <v>29.4075455502983</v>
      </c>
      <c r="AD83" s="14" t="n">
        <v>23.1609949826291</v>
      </c>
      <c r="AE83" s="14" t="n">
        <v>653.683373262198</v>
      </c>
      <c r="AF83" s="14" t="n">
        <v>0.03</v>
      </c>
      <c r="AG83" s="14" t="n">
        <v>0.702129022128044</v>
      </c>
      <c r="AH83" s="14" t="n">
        <v>10606.0397328836</v>
      </c>
      <c r="AI83" s="14" t="n">
        <v>19606.894648061</v>
      </c>
      <c r="AJ83" s="14" t="n">
        <v>22.39175</v>
      </c>
      <c r="AK83" s="14" t="n">
        <v>0</v>
      </c>
      <c r="AL83" s="14" t="n">
        <v>-36528.9592805543</v>
      </c>
      <c r="AM83" s="14" t="n">
        <v>684.5</v>
      </c>
      <c r="AN83" s="14" t="n">
        <v>27078.2628664013</v>
      </c>
      <c r="AO83" s="14" t="n">
        <v>-7119.9037923103</v>
      </c>
      <c r="AP83" s="14" t="n">
        <v>0.519414437863832</v>
      </c>
      <c r="AQ83" s="14" t="n">
        <v>0</v>
      </c>
      <c r="AR83" s="14" t="n">
        <v>327.195752</v>
      </c>
      <c r="AS83" s="14" t="n">
        <v>314.925245</v>
      </c>
      <c r="AT83" s="14" t="n">
        <v>1816.57610198853</v>
      </c>
      <c r="AU83" s="14" t="n">
        <v>12.270507</v>
      </c>
      <c r="AV83" s="14" t="n">
        <v>0</v>
      </c>
      <c r="AW83" s="14" t="n">
        <v>2254.3125</v>
      </c>
      <c r="AX83" s="14" t="n">
        <v>314.925245</v>
      </c>
      <c r="AY83" s="14" t="n">
        <v>314.925245</v>
      </c>
    </row>
    <row r="84" customFormat="false" ht="15" hidden="false" customHeight="false" outlineLevel="0" collapsed="false">
      <c r="A84" s="0" t="s">
        <v>2628</v>
      </c>
      <c r="B84" s="14" t="n">
        <v>2423.40833661368</v>
      </c>
      <c r="C84" s="14" t="n">
        <v>7621.71734378923</v>
      </c>
      <c r="D84" s="14" t="n">
        <v>19606.894648061</v>
      </c>
      <c r="E84" s="14" t="n">
        <v>4078.97255313604</v>
      </c>
      <c r="F84" s="14" t="n">
        <v>-984.898133745312</v>
      </c>
      <c r="G84" s="14" t="n">
        <v>4759.00199312978</v>
      </c>
      <c r="H84" s="14" t="n">
        <v>-183.737139392088</v>
      </c>
      <c r="I84" s="15" t="n">
        <v>0.01</v>
      </c>
      <c r="J84" s="15" t="n">
        <v>0</v>
      </c>
      <c r="K84" s="14" t="s">
        <v>82</v>
      </c>
      <c r="L84" s="14" t="n">
        <v>1559.9495202826</v>
      </c>
      <c r="M84" s="14" t="n">
        <v>32170.7343468758</v>
      </c>
      <c r="N84" s="14" t="n">
        <v>12202.2600162747</v>
      </c>
      <c r="O84" s="14" t="n">
        <v>-13863.3496043473</v>
      </c>
      <c r="P84" s="14" t="n">
        <v>968.519919991184</v>
      </c>
      <c r="Q84" s="14" t="n">
        <v>847.460390505534</v>
      </c>
      <c r="R84" s="14" t="n">
        <v>16850.3421667323</v>
      </c>
      <c r="S84" s="14" t="n">
        <v>29456.0378929612</v>
      </c>
      <c r="T84" s="14" t="n">
        <v>-936.780501065439</v>
      </c>
      <c r="U84" s="14" t="n">
        <v>-9253.6245370439</v>
      </c>
      <c r="V84" s="14" t="n">
        <v>0.82509878873241</v>
      </c>
      <c r="W84" s="14" t="n">
        <v>46042.4843595974</v>
      </c>
      <c r="X84" s="14" t="n">
        <v>25494.8402952654</v>
      </c>
      <c r="Y84" s="14" t="n">
        <v>0</v>
      </c>
      <c r="Z84" s="14" t="n">
        <v>0</v>
      </c>
      <c r="AA84" s="14" t="n">
        <v>30.1575455502983</v>
      </c>
      <c r="AB84" s="14" t="n">
        <v>27.9575455502983</v>
      </c>
      <c r="AC84" s="14" t="n">
        <v>29.4075455502983</v>
      </c>
      <c r="AD84" s="14" t="n">
        <v>23.1609949826291</v>
      </c>
      <c r="AE84" s="14" t="n">
        <v>653.683373262198</v>
      </c>
      <c r="AF84" s="14" t="n">
        <v>0.03</v>
      </c>
      <c r="AG84" s="14" t="n">
        <v>0.702129022128044</v>
      </c>
      <c r="AH84" s="14" t="n">
        <v>10522.7063995503</v>
      </c>
      <c r="AI84" s="14" t="n">
        <v>19606.894648061</v>
      </c>
      <c r="AJ84" s="14" t="n">
        <v>22.39175</v>
      </c>
      <c r="AK84" s="14" t="n">
        <v>0</v>
      </c>
      <c r="AL84" s="14" t="n">
        <v>-36782.6048659959</v>
      </c>
      <c r="AM84" s="14" t="n">
        <v>684.5</v>
      </c>
      <c r="AN84" s="14" t="n">
        <v>27078.2628664013</v>
      </c>
      <c r="AO84" s="14" t="n">
        <v>-7119.9037923103</v>
      </c>
      <c r="AP84" s="14" t="n">
        <v>0.519414437863832</v>
      </c>
      <c r="AQ84" s="14" t="n">
        <v>0</v>
      </c>
      <c r="AR84" s="14" t="n">
        <v>327.195752</v>
      </c>
      <c r="AS84" s="14" t="n">
        <v>314.925245</v>
      </c>
      <c r="AT84" s="14" t="n">
        <v>1559.9495202826</v>
      </c>
      <c r="AU84" s="14" t="n">
        <v>12.270507</v>
      </c>
      <c r="AV84" s="14" t="n">
        <v>0</v>
      </c>
      <c r="AW84" s="14" t="n">
        <v>2254.3125</v>
      </c>
      <c r="AX84" s="14" t="n">
        <v>314.925245</v>
      </c>
      <c r="AY84" s="14" t="n">
        <v>314.925245</v>
      </c>
    </row>
    <row r="85" customFormat="false" ht="15" hidden="false" customHeight="false" outlineLevel="0" collapsed="false">
      <c r="A85" s="0" t="s">
        <v>2629</v>
      </c>
      <c r="B85" s="14" t="n">
        <v>2423.40833661368</v>
      </c>
      <c r="C85" s="14" t="n">
        <v>7621.71734378923</v>
      </c>
      <c r="D85" s="14" t="n">
        <v>19606.894648061</v>
      </c>
      <c r="E85" s="14" t="n">
        <v>4078.97255313604</v>
      </c>
      <c r="F85" s="14" t="n">
        <v>-984.898133745312</v>
      </c>
      <c r="G85" s="14" t="n">
        <v>4759.00199312978</v>
      </c>
      <c r="H85" s="14" t="n">
        <v>-183.737139392088</v>
      </c>
      <c r="I85" s="15" t="n">
        <v>0.01</v>
      </c>
      <c r="J85" s="15" t="n">
        <v>0</v>
      </c>
      <c r="K85" s="14" t="s">
        <v>82</v>
      </c>
      <c r="L85" s="14" t="n">
        <v>1938.59261582305</v>
      </c>
      <c r="M85" s="14" t="n">
        <v>32170.7343468758</v>
      </c>
      <c r="N85" s="14" t="n">
        <v>12202.2600162747</v>
      </c>
      <c r="O85" s="14" t="n">
        <v>-13486.4442332289</v>
      </c>
      <c r="P85" s="14" t="n">
        <v>968.519919991184</v>
      </c>
      <c r="Q85" s="14" t="n">
        <v>847.460390505534</v>
      </c>
      <c r="R85" s="14" t="n">
        <v>16850.3421667323</v>
      </c>
      <c r="S85" s="14" t="n">
        <v>29456.0378929612</v>
      </c>
      <c r="T85" s="14" t="n">
        <v>-936.780501065439</v>
      </c>
      <c r="U85" s="14" t="n">
        <v>-9253.6245370439</v>
      </c>
      <c r="V85" s="14" t="n">
        <v>0.82509878873241</v>
      </c>
      <c r="W85" s="14" t="n">
        <v>46042.4843595974</v>
      </c>
      <c r="X85" s="14" t="n">
        <v>25494.8402952654</v>
      </c>
      <c r="Y85" s="14" t="n">
        <v>0</v>
      </c>
      <c r="Z85" s="14" t="n">
        <v>0</v>
      </c>
      <c r="AA85" s="14" t="n">
        <v>30.1575455502983</v>
      </c>
      <c r="AB85" s="14" t="n">
        <v>27.9575455502983</v>
      </c>
      <c r="AC85" s="14" t="n">
        <v>29.4075455502983</v>
      </c>
      <c r="AD85" s="14" t="n">
        <v>23.1609949826291</v>
      </c>
      <c r="AE85" s="14" t="n">
        <v>653.683373262198</v>
      </c>
      <c r="AF85" s="14" t="n">
        <v>0.03</v>
      </c>
      <c r="AG85" s="14" t="n">
        <v>0.702129022128044</v>
      </c>
      <c r="AH85" s="14" t="n">
        <v>10559.3730662169</v>
      </c>
      <c r="AI85" s="14" t="n">
        <v>19606.894648061</v>
      </c>
      <c r="AJ85" s="14" t="n">
        <v>22.39175</v>
      </c>
      <c r="AK85" s="14" t="n">
        <v>0</v>
      </c>
      <c r="AL85" s="14" t="n">
        <v>-36408.360120953</v>
      </c>
      <c r="AM85" s="14" t="n">
        <v>684.5</v>
      </c>
      <c r="AN85" s="14" t="n">
        <v>27078.2628664013</v>
      </c>
      <c r="AO85" s="14" t="n">
        <v>-7119.9037923103</v>
      </c>
      <c r="AP85" s="14" t="n">
        <v>0.519414437863832</v>
      </c>
      <c r="AQ85" s="14" t="n">
        <v>0</v>
      </c>
      <c r="AR85" s="14" t="n">
        <v>327.195752</v>
      </c>
      <c r="AS85" s="14" t="n">
        <v>314.925245</v>
      </c>
      <c r="AT85" s="14" t="n">
        <v>1938.59261582305</v>
      </c>
      <c r="AU85" s="14" t="n">
        <v>12.270507</v>
      </c>
      <c r="AV85" s="14" t="n">
        <v>0</v>
      </c>
      <c r="AW85" s="14" t="n">
        <v>2254.3125</v>
      </c>
      <c r="AX85" s="14" t="n">
        <v>314.925245</v>
      </c>
      <c r="AY85" s="14" t="n">
        <v>314.925245</v>
      </c>
    </row>
    <row r="86" customFormat="false" ht="15" hidden="false" customHeight="false" outlineLevel="0" collapsed="false">
      <c r="A86" s="0" t="s">
        <v>2630</v>
      </c>
      <c r="B86" s="14" t="n">
        <v>2102.38738501866</v>
      </c>
      <c r="C86" s="14" t="n">
        <v>3988.80420552386</v>
      </c>
      <c r="D86" s="14" t="n">
        <v>10184.1742296061</v>
      </c>
      <c r="E86" s="14" t="n">
        <v>1764.55814092323</v>
      </c>
      <c r="F86" s="14" t="n">
        <v>-3600.60820469538</v>
      </c>
      <c r="G86" s="14" t="n">
        <v>5205.61417739766</v>
      </c>
      <c r="H86" s="14" t="n">
        <v>-25674.4050546741</v>
      </c>
      <c r="I86" s="15" t="n">
        <v>0.01</v>
      </c>
      <c r="J86" s="15" t="n">
        <v>0</v>
      </c>
      <c r="K86" s="14" t="s">
        <v>82</v>
      </c>
      <c r="L86" s="14" t="n">
        <v>2122.39193810732</v>
      </c>
      <c r="M86" s="14" t="n">
        <v>19573.346879666</v>
      </c>
      <c r="N86" s="14" t="n">
        <v>5270.58766987816</v>
      </c>
      <c r="O86" s="14" t="n">
        <v>-20290.4905564075</v>
      </c>
      <c r="P86" s="14" t="n">
        <v>750.274237487276</v>
      </c>
      <c r="Q86" s="14" t="n">
        <v>-5272.25317299369</v>
      </c>
      <c r="R86" s="14" t="n">
        <v>10528.0310069596</v>
      </c>
      <c r="S86" s="14" t="n">
        <v>26086.6353068144</v>
      </c>
      <c r="T86" s="14" t="n">
        <v>-1418.00315508082</v>
      </c>
      <c r="U86" s="14" t="n">
        <v>-33997.2907963722</v>
      </c>
      <c r="V86" s="14" t="n">
        <v>0.82509878873241</v>
      </c>
      <c r="W86" s="14" t="n">
        <v>19496.1907476758</v>
      </c>
      <c r="X86" s="14" t="n">
        <v>13664.8096506713</v>
      </c>
      <c r="Y86" s="14" t="n">
        <v>0</v>
      </c>
      <c r="Z86" s="14" t="n">
        <v>0</v>
      </c>
      <c r="AA86" s="14" t="n">
        <v>22.27279275</v>
      </c>
      <c r="AB86" s="14" t="n">
        <v>20.07279275</v>
      </c>
      <c r="AC86" s="14" t="n">
        <v>21.52279275</v>
      </c>
      <c r="AD86" s="14" t="n">
        <v>17.105504832</v>
      </c>
      <c r="AE86" s="14" t="n">
        <v>552.747125886626</v>
      </c>
      <c r="AF86" s="14" t="n">
        <v>0.02</v>
      </c>
      <c r="AG86" s="14" t="n">
        <v>0.628532727999381</v>
      </c>
      <c r="AH86" s="14" t="n">
        <v>20941.0948326026</v>
      </c>
      <c r="AI86" s="14" t="n">
        <v>10184.1742296061</v>
      </c>
      <c r="AJ86" s="14" t="n">
        <v>19.8813533670246</v>
      </c>
      <c r="AK86" s="14" t="n">
        <v>0</v>
      </c>
      <c r="AL86" s="14" t="n">
        <v>-40956.4264407046</v>
      </c>
      <c r="AM86" s="14" t="n">
        <v>396.288888888889</v>
      </c>
      <c r="AN86" s="14" t="n">
        <v>593.827314814815</v>
      </c>
      <c r="AO86" s="14" t="n">
        <v>-341.703991684943</v>
      </c>
      <c r="AP86" s="14" t="n">
        <v>1</v>
      </c>
      <c r="AQ86" s="14" t="n">
        <v>0</v>
      </c>
      <c r="AR86" s="14" t="n">
        <v>376.701942829579</v>
      </c>
      <c r="AS86" s="14" t="n">
        <v>314.925245</v>
      </c>
      <c r="AT86" s="14" t="n">
        <v>2122.39193810732</v>
      </c>
      <c r="AU86" s="14" t="n">
        <v>61.7766978295787</v>
      </c>
      <c r="AV86" s="14" t="n">
        <v>0</v>
      </c>
      <c r="AW86" s="14" t="n">
        <v>998.76</v>
      </c>
      <c r="AX86" s="14" t="n">
        <v>314.925245</v>
      </c>
      <c r="AY86" s="14" t="n">
        <v>314.925245</v>
      </c>
    </row>
    <row r="87" customFormat="false" ht="15" hidden="false" customHeight="false" outlineLevel="0" collapsed="false">
      <c r="A87" s="0" t="s">
        <v>364</v>
      </c>
      <c r="B87" s="14" t="n">
        <v>2538.63311576242</v>
      </c>
      <c r="C87" s="14" t="n">
        <v>14376.3903039499</v>
      </c>
      <c r="D87" s="14" t="n">
        <v>37234.0577876758</v>
      </c>
      <c r="E87" s="14" t="n">
        <v>8852.26722942071</v>
      </c>
      <c r="F87" s="14" t="n">
        <v>4463.14246663523</v>
      </c>
      <c r="G87" s="14" t="n">
        <v>3814.06915062749</v>
      </c>
      <c r="H87" s="14" t="n">
        <v>363040.190840581</v>
      </c>
      <c r="I87" s="15" t="n">
        <v>943.044607943326</v>
      </c>
      <c r="J87" s="15" t="n">
        <v>1056.20996089653</v>
      </c>
      <c r="K87" s="14" t="s">
        <v>58</v>
      </c>
      <c r="L87" s="14" t="n">
        <v>-8609.49451832169</v>
      </c>
      <c r="M87" s="14" t="n">
        <v>33328.3611394123</v>
      </c>
      <c r="N87" s="14" t="n">
        <v>25791.7096396382</v>
      </c>
      <c r="O87" s="14" t="n">
        <v>-10140.9981636692</v>
      </c>
      <c r="P87" s="14" t="n">
        <v>1077.29088688143</v>
      </c>
      <c r="Q87" s="14" t="n">
        <v>15502.3820132513</v>
      </c>
      <c r="R87" s="14" t="n">
        <v>20981.3466623153</v>
      </c>
      <c r="S87" s="14" t="n">
        <v>29696.7644890868</v>
      </c>
      <c r="T87" s="14" t="n">
        <v>-657.111232504814</v>
      </c>
      <c r="U87" s="14" t="n">
        <v>366980.896050532</v>
      </c>
      <c r="V87" s="14" t="n">
        <v>0.953955874711187</v>
      </c>
      <c r="W87" s="14" t="n">
        <v>346239.098263524</v>
      </c>
      <c r="X87" s="14" t="n">
        <v>22283.3325281654</v>
      </c>
      <c r="Y87" s="14" t="n">
        <v>998.024603143379</v>
      </c>
      <c r="Z87" s="14" t="n">
        <v>1324.9097749486</v>
      </c>
      <c r="AA87" s="14" t="n">
        <v>43.041696075</v>
      </c>
      <c r="AB87" s="14" t="n">
        <v>40.641696075</v>
      </c>
      <c r="AC87" s="14" t="n">
        <v>42.291696075</v>
      </c>
      <c r="AD87" s="14" t="n">
        <v>33.8688756</v>
      </c>
      <c r="AE87" s="14" t="n">
        <v>669.55407859628</v>
      </c>
      <c r="AF87" s="14" t="n">
        <v>0.035</v>
      </c>
      <c r="AG87" s="14" t="n">
        <v>0.762365543905052</v>
      </c>
      <c r="AH87" s="14" t="n">
        <v>7002.76007485839</v>
      </c>
      <c r="AI87" s="14" t="n">
        <v>37234.0577876758</v>
      </c>
      <c r="AJ87" s="14" t="n">
        <v>26.8359375</v>
      </c>
      <c r="AK87" s="14" t="n">
        <v>0</v>
      </c>
      <c r="AL87" s="14" t="n">
        <v>-12269.67403822</v>
      </c>
      <c r="AM87" s="14" t="n">
        <v>909.833333333333</v>
      </c>
      <c r="AN87" s="14" t="n">
        <v>48826.7378892783</v>
      </c>
      <c r="AO87" s="14" t="n">
        <v>0</v>
      </c>
      <c r="AP87" s="14" t="n">
        <v>0.0620158172640954</v>
      </c>
      <c r="AQ87" s="14" t="n">
        <v>943.044607943326</v>
      </c>
      <c r="AR87" s="14" t="n">
        <v>389.144790139754</v>
      </c>
      <c r="AS87" s="14" t="n">
        <v>389.144790139754</v>
      </c>
      <c r="AT87" s="14" t="n">
        <v>-8609.49451832169</v>
      </c>
      <c r="AU87" s="14" t="n">
        <v>0</v>
      </c>
      <c r="AV87" s="14" t="n">
        <v>0</v>
      </c>
      <c r="AW87" s="14" t="n">
        <v>3717.9</v>
      </c>
      <c r="AX87" s="14" t="n">
        <v>389.144790139754</v>
      </c>
      <c r="AY87" s="14" t="n">
        <v>374.702143317622</v>
      </c>
    </row>
    <row r="88" customFormat="false" ht="15" hidden="false" customHeight="false" outlineLevel="0" collapsed="false">
      <c r="A88" s="0" t="s">
        <v>365</v>
      </c>
      <c r="B88" s="14" t="n">
        <v>2027.3954725164</v>
      </c>
      <c r="C88" s="14" t="n">
        <v>3424.4744413531</v>
      </c>
      <c r="D88" s="14" t="n">
        <v>8488.65871901012</v>
      </c>
      <c r="E88" s="14" t="n">
        <v>1375.17060364541</v>
      </c>
      <c r="F88" s="14" t="n">
        <v>-3850.41273748842</v>
      </c>
      <c r="G88" s="14" t="n">
        <v>5088.60436347971</v>
      </c>
      <c r="H88" s="14" t="n">
        <v>-21541.1860088107</v>
      </c>
      <c r="I88" s="15" t="n">
        <v>0.01</v>
      </c>
      <c r="J88" s="15" t="n">
        <v>0.0115</v>
      </c>
      <c r="K88" s="14" t="s">
        <v>60</v>
      </c>
      <c r="L88" s="14" t="n">
        <v>-3758.99698091081</v>
      </c>
      <c r="M88" s="14" t="n">
        <v>15940.918617716</v>
      </c>
      <c r="N88" s="14" t="n">
        <v>3986.53119203715</v>
      </c>
      <c r="O88" s="14" t="n">
        <v>-18553.8994543544</v>
      </c>
      <c r="P88" s="14" t="n">
        <v>706.029009110945</v>
      </c>
      <c r="Q88" s="14" t="n">
        <v>-5338.37679651563</v>
      </c>
      <c r="R88" s="14" t="n">
        <v>14202.2145020429</v>
      </c>
      <c r="S88" s="14" t="n">
        <v>20734.3222188246</v>
      </c>
      <c r="T88" s="14" t="n">
        <v>-1455.06223763526</v>
      </c>
      <c r="U88" s="14" t="n">
        <v>-31992.2442370016</v>
      </c>
      <c r="V88" s="14" t="n">
        <v>0.953955874711187</v>
      </c>
      <c r="W88" s="14" t="n">
        <v>10265.1505361503</v>
      </c>
      <c r="X88" s="14" t="n">
        <v>6658.88972559974</v>
      </c>
      <c r="Y88" s="14" t="n">
        <v>0.0107238052947636</v>
      </c>
      <c r="Z88" s="14" t="n">
        <v>0.01520875</v>
      </c>
      <c r="AA88" s="14" t="n">
        <v>22.27279275</v>
      </c>
      <c r="AB88" s="14" t="n">
        <v>18.89779275</v>
      </c>
      <c r="AC88" s="14" t="n">
        <v>21.52279275</v>
      </c>
      <c r="AD88" s="14" t="n">
        <v>17.526132</v>
      </c>
      <c r="AE88" s="14" t="n">
        <v>516.01034159234</v>
      </c>
      <c r="AF88" s="14" t="n">
        <v>0.02</v>
      </c>
      <c r="AG88" s="14" t="n">
        <v>0.535074431986399</v>
      </c>
      <c r="AH88" s="14" t="n">
        <v>9373.59494576528</v>
      </c>
      <c r="AI88" s="14" t="n">
        <v>8488.65871901012</v>
      </c>
      <c r="AJ88" s="14" t="n">
        <v>18.2126936853904</v>
      </c>
      <c r="AK88" s="14" t="n">
        <v>0</v>
      </c>
      <c r="AL88" s="14" t="n">
        <v>-31262.3400586268</v>
      </c>
      <c r="AM88" s="14" t="n">
        <v>396.288888888889</v>
      </c>
      <c r="AN88" s="14" t="n">
        <v>15971.1630776632</v>
      </c>
      <c r="AO88" s="14" t="n">
        <v>0</v>
      </c>
      <c r="AP88" s="14" t="n">
        <v>1</v>
      </c>
      <c r="AQ88" s="14" t="n">
        <v>0</v>
      </c>
      <c r="AR88" s="14" t="n">
        <v>314.925245</v>
      </c>
      <c r="AS88" s="14" t="n">
        <v>314.925245</v>
      </c>
      <c r="AT88" s="14" t="n">
        <v>-3758.99698091081</v>
      </c>
      <c r="AU88" s="14" t="n">
        <v>0</v>
      </c>
      <c r="AV88" s="14" t="n">
        <v>0</v>
      </c>
      <c r="AW88" s="14" t="n">
        <v>1016.4</v>
      </c>
      <c r="AX88" s="14" t="n">
        <v>314.925245</v>
      </c>
      <c r="AY88" s="14" t="n">
        <v>314.925245</v>
      </c>
    </row>
    <row r="89" customFormat="false" ht="15" hidden="false" customHeight="false" outlineLevel="0" collapsed="false">
      <c r="A89" s="0" t="s">
        <v>2631</v>
      </c>
      <c r="B89" s="14" t="n">
        <v>2400.63703930642</v>
      </c>
      <c r="C89" s="14" t="n">
        <v>8242.01885850092</v>
      </c>
      <c r="D89" s="14" t="n">
        <v>22266.6123981889</v>
      </c>
      <c r="E89" s="14" t="n">
        <v>4575.85815565856</v>
      </c>
      <c r="F89" s="14" t="n">
        <v>-667.537379064514</v>
      </c>
      <c r="G89" s="14" t="n">
        <v>4913.71478038304</v>
      </c>
      <c r="H89" s="14" t="n">
        <v>45499.7639351377</v>
      </c>
      <c r="I89" s="15" t="n">
        <v>117.214235706105</v>
      </c>
      <c r="J89" s="15" t="n">
        <v>132.452086347899</v>
      </c>
      <c r="K89" s="14" t="s">
        <v>50</v>
      </c>
      <c r="L89" s="14" t="n">
        <v>-4456.76170039065</v>
      </c>
      <c r="M89" s="14" t="n">
        <v>27831.14037717</v>
      </c>
      <c r="N89" s="14" t="n">
        <v>14579.6260754622</v>
      </c>
      <c r="O89" s="14" t="n">
        <v>-11256.2011969825</v>
      </c>
      <c r="P89" s="14" t="n">
        <v>957.718280630184</v>
      </c>
      <c r="Q89" s="14" t="n">
        <v>4017.7676769998</v>
      </c>
      <c r="R89" s="14" t="n">
        <v>12977.3867407861</v>
      </c>
      <c r="S89" s="14" t="n">
        <v>24643.7322479638</v>
      </c>
      <c r="T89" s="14" t="n">
        <v>-1013.50365040178</v>
      </c>
      <c r="U89" s="14" t="n">
        <v>37504.9489180881</v>
      </c>
      <c r="V89" s="14" t="n">
        <v>0.919988787970092</v>
      </c>
      <c r="W89" s="14" t="n">
        <v>66959.5998803829</v>
      </c>
      <c r="X89" s="14" t="n">
        <v>25666.488695079</v>
      </c>
      <c r="Y89" s="14" t="n">
        <v>124.600441688415</v>
      </c>
      <c r="Z89" s="14" t="n">
        <v>169.128069057632</v>
      </c>
      <c r="AA89" s="14" t="n">
        <v>33.6257962777954</v>
      </c>
      <c r="AB89" s="14" t="n">
        <v>30.8132962777954</v>
      </c>
      <c r="AC89" s="14" t="n">
        <v>33.6257962777954</v>
      </c>
      <c r="AD89" s="14" t="n">
        <v>26.4596429726914</v>
      </c>
      <c r="AE89" s="14" t="n">
        <v>650.542115888531</v>
      </c>
      <c r="AF89" s="14" t="n">
        <v>0.03</v>
      </c>
      <c r="AG89" s="14" t="n">
        <v>0.740304014796917</v>
      </c>
      <c r="AH89" s="14" t="n">
        <v>11212.0647125227</v>
      </c>
      <c r="AI89" s="14" t="n">
        <v>22266.6123981889</v>
      </c>
      <c r="AJ89" s="14" t="n">
        <v>22.7952741792209</v>
      </c>
      <c r="AK89" s="14" t="n">
        <v>0</v>
      </c>
      <c r="AL89" s="14" t="n">
        <v>-17345.6788533819</v>
      </c>
      <c r="AM89" s="14" t="n">
        <v>684.5</v>
      </c>
      <c r="AN89" s="14" t="n">
        <v>47143.3709088675</v>
      </c>
      <c r="AO89" s="14" t="n">
        <v>0</v>
      </c>
      <c r="AP89" s="14" t="n">
        <v>0.534618187325917</v>
      </c>
      <c r="AQ89" s="14" t="n">
        <v>115.631381633124</v>
      </c>
      <c r="AR89" s="14" t="n">
        <v>319.899446483274</v>
      </c>
      <c r="AS89" s="14" t="n">
        <v>319.969231485887</v>
      </c>
      <c r="AT89" s="14" t="n">
        <v>-4456.76170039065</v>
      </c>
      <c r="AU89" s="14" t="n">
        <v>0</v>
      </c>
      <c r="AV89" s="14" t="n">
        <v>0</v>
      </c>
      <c r="AW89" s="14" t="n">
        <v>2275.5</v>
      </c>
      <c r="AX89" s="14" t="n">
        <v>319.969231485887</v>
      </c>
      <c r="AY89" s="14" t="n">
        <v>318.383396324095</v>
      </c>
    </row>
    <row r="90" customFormat="false" ht="15" hidden="false" customHeight="false" outlineLevel="0" collapsed="false">
      <c r="A90" s="0" t="s">
        <v>2632</v>
      </c>
      <c r="B90" s="14" t="n">
        <v>2400.63703930642</v>
      </c>
      <c r="C90" s="14" t="n">
        <v>8242.01885850092</v>
      </c>
      <c r="D90" s="14" t="n">
        <v>22266.6123981889</v>
      </c>
      <c r="E90" s="14" t="n">
        <v>4606.04613482523</v>
      </c>
      <c r="F90" s="14" t="n">
        <v>-637.349399897847</v>
      </c>
      <c r="G90" s="14" t="n">
        <v>4913.71478038304</v>
      </c>
      <c r="H90" s="14" t="n">
        <v>48823.1672547518</v>
      </c>
      <c r="I90" s="15" t="n">
        <v>127.472733101188</v>
      </c>
      <c r="J90" s="15" t="n">
        <v>144.044188404343</v>
      </c>
      <c r="K90" s="14" t="s">
        <v>50</v>
      </c>
      <c r="L90" s="14" t="n">
        <v>-4408.08477405391</v>
      </c>
      <c r="M90" s="14" t="n">
        <v>27831.14037717</v>
      </c>
      <c r="N90" s="14" t="n">
        <v>14579.6260754622</v>
      </c>
      <c r="O90" s="14" t="n">
        <v>-11207.9686860633</v>
      </c>
      <c r="P90" s="14" t="n">
        <v>975.503588963517</v>
      </c>
      <c r="Q90" s="14" t="n">
        <v>4017.7676769998</v>
      </c>
      <c r="R90" s="14" t="n">
        <v>12977.3867407861</v>
      </c>
      <c r="S90" s="14" t="n">
        <v>24643.7322479638</v>
      </c>
      <c r="T90" s="14" t="n">
        <v>-995.718342068442</v>
      </c>
      <c r="U90" s="14" t="n">
        <v>40839.6499168688</v>
      </c>
      <c r="V90" s="14" t="n">
        <v>0.919988787970092</v>
      </c>
      <c r="W90" s="14" t="n">
        <v>68206.2081456691</v>
      </c>
      <c r="X90" s="14" t="n">
        <v>25511.238695079</v>
      </c>
      <c r="Y90" s="14" t="n">
        <v>135.505374001344</v>
      </c>
      <c r="Z90" s="14" t="n">
        <v>183.930024173505</v>
      </c>
      <c r="AA90" s="14" t="n">
        <v>33.6257962777954</v>
      </c>
      <c r="AB90" s="14" t="n">
        <v>30.8132962777954</v>
      </c>
      <c r="AC90" s="14" t="n">
        <v>33.6257962777954</v>
      </c>
      <c r="AD90" s="14" t="n">
        <v>26.4596429726914</v>
      </c>
      <c r="AE90" s="14" t="n">
        <v>650.542115888531</v>
      </c>
      <c r="AF90" s="14" t="n">
        <v>0.03</v>
      </c>
      <c r="AG90" s="14" t="n">
        <v>0.740304014796917</v>
      </c>
      <c r="AH90" s="14" t="n">
        <v>11229.9488755487</v>
      </c>
      <c r="AI90" s="14" t="n">
        <v>22266.6123981889</v>
      </c>
      <c r="AJ90" s="14" t="n">
        <v>22.7952741792209</v>
      </c>
      <c r="AK90" s="14" t="n">
        <v>0</v>
      </c>
      <c r="AL90" s="14" t="n">
        <v>-17297.8995527619</v>
      </c>
      <c r="AM90" s="14" t="n">
        <v>684.5</v>
      </c>
      <c r="AN90" s="14" t="n">
        <v>45150.9959088675</v>
      </c>
      <c r="AO90" s="14" t="n">
        <v>0</v>
      </c>
      <c r="AP90" s="14" t="n">
        <v>0.534618187325917</v>
      </c>
      <c r="AQ90" s="14" t="n">
        <v>125.889879028207</v>
      </c>
      <c r="AR90" s="14" t="n">
        <v>320.320555477522</v>
      </c>
      <c r="AS90" s="14" t="n">
        <v>320.379495467867</v>
      </c>
      <c r="AT90" s="14" t="n">
        <v>-4408.08477405391</v>
      </c>
      <c r="AU90" s="14" t="n">
        <v>0</v>
      </c>
      <c r="AV90" s="14" t="n">
        <v>0</v>
      </c>
      <c r="AW90" s="14" t="n">
        <v>2275.5</v>
      </c>
      <c r="AX90" s="14" t="n">
        <v>320.379495467867</v>
      </c>
      <c r="AY90" s="14" t="n">
        <v>318.921281998029</v>
      </c>
    </row>
    <row r="91" customFormat="false" ht="15" hidden="false" customHeight="false" outlineLevel="0" collapsed="false">
      <c r="A91" s="0" t="s">
        <v>2633</v>
      </c>
      <c r="B91" s="14" t="n">
        <v>2400.63703930642</v>
      </c>
      <c r="C91" s="14" t="n">
        <v>8242.01885850092</v>
      </c>
      <c r="D91" s="14" t="n">
        <v>22266.6123981889</v>
      </c>
      <c r="E91" s="14" t="n">
        <v>4606.04613482523</v>
      </c>
      <c r="F91" s="14" t="n">
        <v>-637.349399897847</v>
      </c>
      <c r="G91" s="14" t="n">
        <v>4913.71478038304</v>
      </c>
      <c r="H91" s="14" t="n">
        <v>102754.668733471</v>
      </c>
      <c r="I91" s="15" t="n">
        <v>277.208606888699</v>
      </c>
      <c r="J91" s="15" t="n">
        <v>313.24572578423</v>
      </c>
      <c r="K91" s="14" t="s">
        <v>50</v>
      </c>
      <c r="L91" s="14" t="n">
        <v>-4408.08477405391</v>
      </c>
      <c r="M91" s="14" t="n">
        <v>27831.14037717</v>
      </c>
      <c r="N91" s="14" t="n">
        <v>14579.6260754622</v>
      </c>
      <c r="O91" s="14" t="n">
        <v>-11207.9686860633</v>
      </c>
      <c r="P91" s="14" t="n">
        <v>975.503588963517</v>
      </c>
      <c r="Q91" s="14" t="n">
        <v>4017.7676769998</v>
      </c>
      <c r="R91" s="14" t="n">
        <v>12977.3867407861</v>
      </c>
      <c r="S91" s="14" t="n">
        <v>24643.7322479638</v>
      </c>
      <c r="T91" s="14" t="n">
        <v>-995.718342068442</v>
      </c>
      <c r="U91" s="14" t="n">
        <v>102437.498540885</v>
      </c>
      <c r="V91" s="14" t="n">
        <v>0.919988787970092</v>
      </c>
      <c r="W91" s="14" t="n">
        <v>122137.709624388</v>
      </c>
      <c r="X91" s="14" t="n">
        <v>25511.238695079</v>
      </c>
      <c r="Y91" s="14" t="n">
        <v>294.676791177191</v>
      </c>
      <c r="Z91" s="14" t="n">
        <v>399.983467253883</v>
      </c>
      <c r="AA91" s="14" t="n">
        <v>33.6257962777954</v>
      </c>
      <c r="AB91" s="14" t="n">
        <v>30.8132962777954</v>
      </c>
      <c r="AC91" s="14" t="n">
        <v>33.6257962777954</v>
      </c>
      <c r="AD91" s="14" t="n">
        <v>26.4596429726914</v>
      </c>
      <c r="AE91" s="14" t="n">
        <v>650.542115888531</v>
      </c>
      <c r="AF91" s="14" t="n">
        <v>0.03</v>
      </c>
      <c r="AG91" s="14" t="n">
        <v>0.740304014796917</v>
      </c>
      <c r="AH91" s="14" t="n">
        <v>11229.9488755487</v>
      </c>
      <c r="AI91" s="14" t="n">
        <v>22266.6123981889</v>
      </c>
      <c r="AJ91" s="14" t="n">
        <v>22.7952741792209</v>
      </c>
      <c r="AK91" s="14" t="n">
        <v>0</v>
      </c>
      <c r="AL91" s="14" t="n">
        <v>-17297.8995527619</v>
      </c>
      <c r="AM91" s="14" t="n">
        <v>684.5</v>
      </c>
      <c r="AN91" s="14" t="n">
        <v>45150.9959088675</v>
      </c>
      <c r="AO91" s="14" t="n">
        <v>0</v>
      </c>
      <c r="AP91" s="14" t="n">
        <v>0.534618187325917</v>
      </c>
      <c r="AQ91" s="14" t="n">
        <v>276.61608779731</v>
      </c>
      <c r="AR91" s="14" t="n">
        <v>369.527554405574</v>
      </c>
      <c r="AS91" s="14" t="n">
        <v>369.532171784316</v>
      </c>
      <c r="AT91" s="14" t="n">
        <v>-4408.08477405391</v>
      </c>
      <c r="AU91" s="14" t="n">
        <v>0</v>
      </c>
      <c r="AV91" s="14" t="n">
        <v>0</v>
      </c>
      <c r="AW91" s="14" t="n">
        <v>2275.5</v>
      </c>
      <c r="AX91" s="14" t="n">
        <v>369.532171784316</v>
      </c>
      <c r="AY91" s="14" t="n">
        <v>341.20610467596</v>
      </c>
    </row>
    <row r="92" customFormat="false" ht="15" hidden="false" customHeight="false" outlineLevel="0" collapsed="false">
      <c r="A92" s="0" t="s">
        <v>2634</v>
      </c>
      <c r="B92" s="14" t="n">
        <v>2400.63703930642</v>
      </c>
      <c r="C92" s="14" t="n">
        <v>8242.01885850092</v>
      </c>
      <c r="D92" s="14" t="n">
        <v>22266.6123981889</v>
      </c>
      <c r="E92" s="14" t="n">
        <v>4606.04613482523</v>
      </c>
      <c r="F92" s="14" t="n">
        <v>-637.349399897847</v>
      </c>
      <c r="G92" s="14" t="n">
        <v>4913.71478038304</v>
      </c>
      <c r="H92" s="14" t="n">
        <v>102754.668733471</v>
      </c>
      <c r="I92" s="15" t="n">
        <v>277.208606888699</v>
      </c>
      <c r="J92" s="15" t="n">
        <v>313.24572578423</v>
      </c>
      <c r="K92" s="14" t="s">
        <v>50</v>
      </c>
      <c r="L92" s="14" t="n">
        <v>-4408.08477405391</v>
      </c>
      <c r="M92" s="14" t="n">
        <v>27831.14037717</v>
      </c>
      <c r="N92" s="14" t="n">
        <v>14579.6260754622</v>
      </c>
      <c r="O92" s="14" t="n">
        <v>-11207.9686860633</v>
      </c>
      <c r="P92" s="14" t="n">
        <v>975.503588963517</v>
      </c>
      <c r="Q92" s="14" t="n">
        <v>4017.7676769998</v>
      </c>
      <c r="R92" s="14" t="n">
        <v>12977.3867407861</v>
      </c>
      <c r="S92" s="14" t="n">
        <v>24643.7322479638</v>
      </c>
      <c r="T92" s="14" t="n">
        <v>-995.718342068442</v>
      </c>
      <c r="U92" s="14" t="n">
        <v>102437.498540885</v>
      </c>
      <c r="V92" s="14" t="n">
        <v>0.919988787970092</v>
      </c>
      <c r="W92" s="14" t="n">
        <v>122137.709624388</v>
      </c>
      <c r="X92" s="14" t="n">
        <v>25511.238695079</v>
      </c>
      <c r="Y92" s="14" t="n">
        <v>294.676791177191</v>
      </c>
      <c r="Z92" s="14" t="n">
        <v>399.983467253883</v>
      </c>
      <c r="AA92" s="14" t="n">
        <v>33.6257962777954</v>
      </c>
      <c r="AB92" s="14" t="n">
        <v>30.8132962777954</v>
      </c>
      <c r="AC92" s="14" t="n">
        <v>33.6257962777954</v>
      </c>
      <c r="AD92" s="14" t="n">
        <v>26.4596429726914</v>
      </c>
      <c r="AE92" s="14" t="n">
        <v>650.542115888531</v>
      </c>
      <c r="AF92" s="14" t="n">
        <v>0.03</v>
      </c>
      <c r="AG92" s="14" t="n">
        <v>0.740304014796917</v>
      </c>
      <c r="AH92" s="14" t="n">
        <v>11229.9488755487</v>
      </c>
      <c r="AI92" s="14" t="n">
        <v>22266.6123981889</v>
      </c>
      <c r="AJ92" s="14" t="n">
        <v>22.7952741792209</v>
      </c>
      <c r="AK92" s="14" t="n">
        <v>0</v>
      </c>
      <c r="AL92" s="14" t="n">
        <v>-17297.8995527619</v>
      </c>
      <c r="AM92" s="14" t="n">
        <v>684.5</v>
      </c>
      <c r="AN92" s="14" t="n">
        <v>45150.9959088675</v>
      </c>
      <c r="AO92" s="14" t="n">
        <v>0</v>
      </c>
      <c r="AP92" s="14" t="n">
        <v>0.534618187325917</v>
      </c>
      <c r="AQ92" s="14" t="n">
        <v>276.61608779731</v>
      </c>
      <c r="AR92" s="14" t="n">
        <v>369.527554405574</v>
      </c>
      <c r="AS92" s="14" t="n">
        <v>369.532171784316</v>
      </c>
      <c r="AT92" s="14" t="n">
        <v>-4408.08477405391</v>
      </c>
      <c r="AU92" s="14" t="n">
        <v>0</v>
      </c>
      <c r="AV92" s="14" t="n">
        <v>0</v>
      </c>
      <c r="AW92" s="14" t="n">
        <v>2275.5</v>
      </c>
      <c r="AX92" s="14" t="n">
        <v>369.532171784316</v>
      </c>
      <c r="AY92" s="14" t="n">
        <v>341.20610467596</v>
      </c>
    </row>
    <row r="93" customFormat="false" ht="15" hidden="false" customHeight="false" outlineLevel="0" collapsed="false">
      <c r="A93" s="0" t="s">
        <v>2635</v>
      </c>
      <c r="B93" s="14" t="n">
        <v>2400.63703930642</v>
      </c>
      <c r="C93" s="14" t="n">
        <v>8242.01885850092</v>
      </c>
      <c r="D93" s="14" t="n">
        <v>22266.6123981889</v>
      </c>
      <c r="E93" s="14" t="n">
        <v>4517.47256608134</v>
      </c>
      <c r="F93" s="14" t="n">
        <v>-725.922968641732</v>
      </c>
      <c r="G93" s="14" t="n">
        <v>4913.71478038304</v>
      </c>
      <c r="H93" s="14" t="n">
        <v>91634.0484815768</v>
      </c>
      <c r="I93" s="15" t="n">
        <v>247.257811796192</v>
      </c>
      <c r="J93" s="15" t="n">
        <v>279.401327329697</v>
      </c>
      <c r="K93" s="14" t="s">
        <v>50</v>
      </c>
      <c r="L93" s="14" t="n">
        <v>-4518.47497945888</v>
      </c>
      <c r="M93" s="14" t="n">
        <v>27831.14037717</v>
      </c>
      <c r="N93" s="14" t="n">
        <v>14200.6767563719</v>
      </c>
      <c r="O93" s="14" t="n">
        <v>-11597.9091773808</v>
      </c>
      <c r="P93" s="14" t="n">
        <v>954.629428633757</v>
      </c>
      <c r="Q93" s="14" t="n">
        <v>3638.81835790949</v>
      </c>
      <c r="R93" s="14" t="n">
        <v>12977.3867407861</v>
      </c>
      <c r="S93" s="14" t="n">
        <v>24643.7322479638</v>
      </c>
      <c r="T93" s="14" t="n">
        <v>-1016.5925023982</v>
      </c>
      <c r="U93" s="14" t="n">
        <v>91305.1538914014</v>
      </c>
      <c r="V93" s="14" t="n">
        <v>0.919988787970092</v>
      </c>
      <c r="W93" s="14" t="n">
        <v>112366.444870315</v>
      </c>
      <c r="X93" s="14" t="n">
        <v>25511.238695079</v>
      </c>
      <c r="Y93" s="14" t="n">
        <v>262.838659273123</v>
      </c>
      <c r="Z93" s="14" t="n">
        <v>356.767554867291</v>
      </c>
      <c r="AA93" s="14" t="n">
        <v>33.6257962777954</v>
      </c>
      <c r="AB93" s="14" t="n">
        <v>30.8132962777954</v>
      </c>
      <c r="AC93" s="14" t="n">
        <v>32.8757962777954</v>
      </c>
      <c r="AD93" s="14" t="n">
        <v>26.4596429726914</v>
      </c>
      <c r="AE93" s="14" t="n">
        <v>650.542115888531</v>
      </c>
      <c r="AF93" s="14" t="n">
        <v>0.03</v>
      </c>
      <c r="AG93" s="14" t="n">
        <v>0.71535211160041</v>
      </c>
      <c r="AH93" s="14" t="n">
        <v>11208.9721267401</v>
      </c>
      <c r="AI93" s="14" t="n">
        <v>22266.6123981889</v>
      </c>
      <c r="AJ93" s="14" t="n">
        <v>22.7952741792209</v>
      </c>
      <c r="AK93" s="14" t="n">
        <v>0</v>
      </c>
      <c r="AL93" s="14" t="n">
        <v>-18264.5912025311</v>
      </c>
      <c r="AM93" s="14" t="n">
        <v>684.5</v>
      </c>
      <c r="AN93" s="14" t="n">
        <v>45150.9959088675</v>
      </c>
      <c r="AO93" s="14" t="n">
        <v>0</v>
      </c>
      <c r="AP93" s="14" t="n">
        <v>0.534618187325917</v>
      </c>
      <c r="AQ93" s="14" t="n">
        <v>246.665292704804</v>
      </c>
      <c r="AR93" s="14" t="n">
        <v>369.265253269739</v>
      </c>
      <c r="AS93" s="14" t="n">
        <v>369.271058528422</v>
      </c>
      <c r="AT93" s="14" t="n">
        <v>-4518.47497945888</v>
      </c>
      <c r="AU93" s="14" t="n">
        <v>0</v>
      </c>
      <c r="AV93" s="14" t="n">
        <v>0</v>
      </c>
      <c r="AW93" s="14" t="n">
        <v>2275.5</v>
      </c>
      <c r="AX93" s="14" t="n">
        <v>369.271058528422</v>
      </c>
      <c r="AY93" s="14" t="n">
        <v>337.513802631426</v>
      </c>
    </row>
    <row r="94" customFormat="false" ht="15" hidden="false" customHeight="false" outlineLevel="0" collapsed="false">
      <c r="A94" s="0" t="s">
        <v>2636</v>
      </c>
      <c r="B94" s="14" t="n">
        <v>2425.32952419152</v>
      </c>
      <c r="C94" s="14" t="n">
        <v>8517.51527302704</v>
      </c>
      <c r="D94" s="14" t="n">
        <v>22648.7362066291</v>
      </c>
      <c r="E94" s="14" t="n">
        <v>4713.07502039488</v>
      </c>
      <c r="F94" s="14" t="n">
        <v>-541.975637212287</v>
      </c>
      <c r="G94" s="14" t="n">
        <v>4914.35004668609</v>
      </c>
      <c r="H94" s="14" t="n">
        <v>102450.805036379</v>
      </c>
      <c r="I94" s="15" t="n">
        <v>276.363924879488</v>
      </c>
      <c r="J94" s="15" t="n">
        <v>312.291235113822</v>
      </c>
      <c r="K94" s="14" t="s">
        <v>50</v>
      </c>
      <c r="L94" s="14" t="n">
        <v>-4310.06657295393</v>
      </c>
      <c r="M94" s="14" t="n">
        <v>27836.6503054605</v>
      </c>
      <c r="N94" s="14" t="n">
        <v>14491.0908507865</v>
      </c>
      <c r="O94" s="14" t="n">
        <v>-11177.2847632267</v>
      </c>
      <c r="P94" s="14" t="n">
        <v>969.691844413664</v>
      </c>
      <c r="Q94" s="14" t="n">
        <v>3912.45861154431</v>
      </c>
      <c r="R94" s="14" t="n">
        <v>12977.8805904838</v>
      </c>
      <c r="S94" s="14" t="n">
        <v>24651.3747241326</v>
      </c>
      <c r="T94" s="14" t="n">
        <v>-1002.52051331955</v>
      </c>
      <c r="U94" s="14" t="n">
        <v>102123.540556908</v>
      </c>
      <c r="V94" s="14" t="n">
        <v>0.953955874711187</v>
      </c>
      <c r="W94" s="14" t="n">
        <v>121720.111635619</v>
      </c>
      <c r="X94" s="14" t="n">
        <v>25545.4486130284</v>
      </c>
      <c r="Y94" s="14" t="n">
        <v>293.77888188486</v>
      </c>
      <c r="Z94" s="14" t="n">
        <v>398.764678116839</v>
      </c>
      <c r="AA94" s="14" t="n">
        <v>34.8673009068098</v>
      </c>
      <c r="AB94" s="14" t="n">
        <v>32.0548009068098</v>
      </c>
      <c r="AC94" s="14" t="n">
        <v>34.1173009068098</v>
      </c>
      <c r="AD94" s="14" t="n">
        <v>27.4365646479815</v>
      </c>
      <c r="AE94" s="14" t="n">
        <v>653.269421736173</v>
      </c>
      <c r="AF94" s="14" t="n">
        <v>0.03</v>
      </c>
      <c r="AG94" s="14" t="n">
        <v>0.718286314065127</v>
      </c>
      <c r="AH94" s="14" t="n">
        <v>11223.7433384033</v>
      </c>
      <c r="AI94" s="14" t="n">
        <v>22648.7362066291</v>
      </c>
      <c r="AJ94" s="14" t="n">
        <v>22.7952741792209</v>
      </c>
      <c r="AK94" s="14" t="n">
        <v>0</v>
      </c>
      <c r="AL94" s="14" t="n">
        <v>-17221.4900036</v>
      </c>
      <c r="AM94" s="14" t="n">
        <v>684.5</v>
      </c>
      <c r="AN94" s="14" t="n">
        <v>45176.7227372766</v>
      </c>
      <c r="AO94" s="14" t="n">
        <v>0</v>
      </c>
      <c r="AP94" s="14" t="n">
        <v>0.522282702148695</v>
      </c>
      <c r="AQ94" s="14" t="n">
        <v>275.7714057881</v>
      </c>
      <c r="AR94" s="14" t="n">
        <v>369.520937668579</v>
      </c>
      <c r="AS94" s="14" t="n">
        <v>369.525583346092</v>
      </c>
      <c r="AT94" s="14" t="n">
        <v>-4310.06657295393</v>
      </c>
      <c r="AU94" s="14" t="n">
        <v>0</v>
      </c>
      <c r="AV94" s="14" t="n">
        <v>0</v>
      </c>
      <c r="AW94" s="14" t="n">
        <v>2275.5</v>
      </c>
      <c r="AX94" s="14" t="n">
        <v>369.525583346092</v>
      </c>
      <c r="AY94" s="14" t="n">
        <v>341.112940107047</v>
      </c>
    </row>
    <row r="95" customFormat="false" ht="15" hidden="false" customHeight="false" outlineLevel="0" collapsed="false">
      <c r="A95" s="0" t="s">
        <v>2637</v>
      </c>
      <c r="B95" s="14" t="n">
        <v>2425.32952419152</v>
      </c>
      <c r="C95" s="14" t="n">
        <v>8517.51527302704</v>
      </c>
      <c r="D95" s="14" t="n">
        <v>22648.7362066291</v>
      </c>
      <c r="E95" s="14" t="n">
        <v>4713.07502039488</v>
      </c>
      <c r="F95" s="14" t="n">
        <v>-541.975637212287</v>
      </c>
      <c r="G95" s="14" t="n">
        <v>4914.35004668609</v>
      </c>
      <c r="H95" s="14" t="n">
        <v>86363.8708865432</v>
      </c>
      <c r="I95" s="15" t="n">
        <v>233.083153078132</v>
      </c>
      <c r="J95" s="15" t="n">
        <v>263.383962978289</v>
      </c>
      <c r="K95" s="14" t="s">
        <v>50</v>
      </c>
      <c r="L95" s="14" t="n">
        <v>-4310.06657295393</v>
      </c>
      <c r="M95" s="14" t="n">
        <v>27836.6503054605</v>
      </c>
      <c r="N95" s="14" t="n">
        <v>14491.0908507865</v>
      </c>
      <c r="O95" s="14" t="n">
        <v>-11177.2847632267</v>
      </c>
      <c r="P95" s="14" t="n">
        <v>969.691844413664</v>
      </c>
      <c r="Q95" s="14" t="n">
        <v>3912.45861154431</v>
      </c>
      <c r="R95" s="14" t="n">
        <v>12977.8805904838</v>
      </c>
      <c r="S95" s="14" t="n">
        <v>24651.3747241326</v>
      </c>
      <c r="T95" s="14" t="n">
        <v>-1002.52051331955</v>
      </c>
      <c r="U95" s="14" t="n">
        <v>86036.6064070728</v>
      </c>
      <c r="V95" s="14" t="n">
        <v>0.953955874711187</v>
      </c>
      <c r="W95" s="14" t="n">
        <v>97674.9283579183</v>
      </c>
      <c r="X95" s="14" t="n">
        <v>21839.9186130284</v>
      </c>
      <c r="Y95" s="14" t="n">
        <v>247.770790371249</v>
      </c>
      <c r="Z95" s="14" t="n">
        <v>336.314982326977</v>
      </c>
      <c r="AA95" s="14" t="n">
        <v>34.8673009068098</v>
      </c>
      <c r="AB95" s="14" t="n">
        <v>32.0548009068098</v>
      </c>
      <c r="AC95" s="14" t="n">
        <v>34.1173009068098</v>
      </c>
      <c r="AD95" s="14" t="n">
        <v>27.4365646479815</v>
      </c>
      <c r="AE95" s="14" t="n">
        <v>653.269421736173</v>
      </c>
      <c r="AF95" s="14" t="n">
        <v>0.03</v>
      </c>
      <c r="AG95" s="14" t="n">
        <v>0.718286314065127</v>
      </c>
      <c r="AH95" s="14" t="n">
        <v>11223.7433384033</v>
      </c>
      <c r="AI95" s="14" t="n">
        <v>22648.7362066291</v>
      </c>
      <c r="AJ95" s="14" t="n">
        <v>22.7952741792209</v>
      </c>
      <c r="AK95" s="14" t="n">
        <v>0</v>
      </c>
      <c r="AL95" s="14" t="n">
        <v>-17221.4900036</v>
      </c>
      <c r="AM95" s="14" t="n">
        <v>684.5</v>
      </c>
      <c r="AN95" s="14" t="n">
        <v>37561.4227372766</v>
      </c>
      <c r="AO95" s="14" t="n">
        <v>0</v>
      </c>
      <c r="AP95" s="14" t="n">
        <v>0.522282702148695</v>
      </c>
      <c r="AQ95" s="14" t="n">
        <v>232.490633986743</v>
      </c>
      <c r="AR95" s="14" t="n">
        <v>369.117554662689</v>
      </c>
      <c r="AS95" s="14" t="n">
        <v>369.124088424497</v>
      </c>
      <c r="AT95" s="14" t="n">
        <v>-4310.06657295393</v>
      </c>
      <c r="AU95" s="14" t="n">
        <v>0</v>
      </c>
      <c r="AV95" s="14" t="n">
        <v>0</v>
      </c>
      <c r="AW95" s="14" t="n">
        <v>2275.5</v>
      </c>
      <c r="AX95" s="14" t="n">
        <v>369.124088424497</v>
      </c>
      <c r="AY95" s="14" t="n">
        <v>335.435554963174</v>
      </c>
    </row>
    <row r="96" customFormat="false" ht="15" hidden="false" customHeight="false" outlineLevel="0" collapsed="false">
      <c r="A96" s="0" t="s">
        <v>363</v>
      </c>
      <c r="B96" s="14" t="n">
        <v>2425.32952419152</v>
      </c>
      <c r="C96" s="14" t="n">
        <v>8517.51527302704</v>
      </c>
      <c r="D96" s="14" t="n">
        <v>22648.7362066291</v>
      </c>
      <c r="E96" s="14" t="n">
        <v>4713.07502039488</v>
      </c>
      <c r="F96" s="14" t="n">
        <v>399.264362787713</v>
      </c>
      <c r="G96" s="14" t="n">
        <v>3973.11004668609</v>
      </c>
      <c r="H96" s="14" t="n">
        <v>94115.9266440129</v>
      </c>
      <c r="I96" s="15" t="n">
        <v>248.19386831554</v>
      </c>
      <c r="J96" s="15" t="n">
        <v>280.459071196561</v>
      </c>
      <c r="K96" s="14" t="s">
        <v>58</v>
      </c>
      <c r="L96" s="14" t="n">
        <v>-7264.86916034205</v>
      </c>
      <c r="M96" s="14" t="n">
        <v>25870.4503054605</v>
      </c>
      <c r="N96" s="14" t="n">
        <v>14491.0908507865</v>
      </c>
      <c r="O96" s="14" t="n">
        <v>-16281.8498127622</v>
      </c>
      <c r="P96" s="14" t="n">
        <v>969.691844413664</v>
      </c>
      <c r="Q96" s="14" t="n">
        <v>4853.69861154431</v>
      </c>
      <c r="R96" s="14" t="n">
        <v>18130.8805904838</v>
      </c>
      <c r="S96" s="14" t="n">
        <v>27426.3747241326</v>
      </c>
      <c r="T96" s="14" t="n">
        <v>-935.920513319546</v>
      </c>
      <c r="U96" s="14" t="n">
        <v>91653.0746645425</v>
      </c>
      <c r="V96" s="14" t="n">
        <v>0.953955874711187</v>
      </c>
      <c r="W96" s="14" t="n">
        <v>103661.789904876</v>
      </c>
      <c r="X96" s="14" t="n">
        <v>20844.2022130284</v>
      </c>
      <c r="Y96" s="14" t="n">
        <v>263.833701002086</v>
      </c>
      <c r="Z96" s="14" t="n">
        <v>358.118188010888</v>
      </c>
      <c r="AA96" s="14" t="n">
        <v>34.8673009068098</v>
      </c>
      <c r="AB96" s="14" t="n">
        <v>32.0548009068098</v>
      </c>
      <c r="AC96" s="14" t="n">
        <v>34.1173009068098</v>
      </c>
      <c r="AD96" s="14" t="n">
        <v>27.4365646479815</v>
      </c>
      <c r="AE96" s="14" t="n">
        <v>653.269421736173</v>
      </c>
      <c r="AF96" s="14" t="n">
        <v>0.03</v>
      </c>
      <c r="AG96" s="14" t="n">
        <v>0.718286314065127</v>
      </c>
      <c r="AH96" s="14" t="n">
        <v>7924.5525727783</v>
      </c>
      <c r="AI96" s="14" t="n">
        <v>22648.7362066291</v>
      </c>
      <c r="AJ96" s="14" t="n">
        <v>22.7952741792209</v>
      </c>
      <c r="AK96" s="14" t="n">
        <v>0</v>
      </c>
      <c r="AL96" s="14" t="n">
        <v>-21399.7713821137</v>
      </c>
      <c r="AM96" s="14" t="n">
        <v>684.5</v>
      </c>
      <c r="AN96" s="14" t="n">
        <v>35749.5357372766</v>
      </c>
      <c r="AO96" s="14" t="n">
        <v>0</v>
      </c>
      <c r="AP96" s="14" t="n">
        <v>0.522282702148695</v>
      </c>
      <c r="AQ96" s="14" t="n">
        <v>247.601349224152</v>
      </c>
      <c r="AR96" s="14" t="n">
        <v>369.274411642488</v>
      </c>
      <c r="AS96" s="14" t="n">
        <v>369.280173142794</v>
      </c>
      <c r="AT96" s="14" t="n">
        <v>-7264.86916034205</v>
      </c>
      <c r="AU96" s="14" t="n">
        <v>0</v>
      </c>
      <c r="AV96" s="14" t="n">
        <v>0</v>
      </c>
      <c r="AW96" s="14" t="n">
        <v>2275.5</v>
      </c>
      <c r="AX96" s="14" t="n">
        <v>369.280173142794</v>
      </c>
      <c r="AY96" s="14" t="n">
        <v>337.642688884882</v>
      </c>
    </row>
    <row r="97" customFormat="false" ht="15" hidden="false" customHeight="false" outlineLevel="0" collapsed="false">
      <c r="A97" s="0" t="s">
        <v>2638</v>
      </c>
      <c r="B97" s="14" t="n">
        <v>2425.32952419152</v>
      </c>
      <c r="C97" s="14" t="n">
        <v>8517.51527302704</v>
      </c>
      <c r="D97" s="14" t="n">
        <v>22648.7362066291</v>
      </c>
      <c r="E97" s="14" t="n">
        <v>4713.07502039488</v>
      </c>
      <c r="F97" s="14" t="n">
        <v>-275.575637212287</v>
      </c>
      <c r="G97" s="14" t="n">
        <v>4647.95004668609</v>
      </c>
      <c r="H97" s="14" t="n">
        <v>87921.5212564282</v>
      </c>
      <c r="I97" s="15" t="n">
        <v>233.708704629865</v>
      </c>
      <c r="J97" s="15" t="n">
        <v>264.090836231747</v>
      </c>
      <c r="K97" s="14" t="s">
        <v>60</v>
      </c>
      <c r="L97" s="14" t="n">
        <v>-7160.9335370009</v>
      </c>
      <c r="M97" s="14" t="n">
        <v>27457.1503054605</v>
      </c>
      <c r="N97" s="14" t="n">
        <v>14491.0908507865</v>
      </c>
      <c r="O97" s="14" t="n">
        <v>-13845.3044348716</v>
      </c>
      <c r="P97" s="14" t="n">
        <v>969.691844413664</v>
      </c>
      <c r="Q97" s="14" t="n">
        <v>4178.85861154431</v>
      </c>
      <c r="R97" s="14" t="n">
        <v>16720.3805904838</v>
      </c>
      <c r="S97" s="14" t="n">
        <v>23736.3747241326</v>
      </c>
      <c r="T97" s="14" t="n">
        <v>-935.920513319546</v>
      </c>
      <c r="U97" s="14" t="n">
        <v>86269.1162769578</v>
      </c>
      <c r="V97" s="14" t="n">
        <v>0.953955874711187</v>
      </c>
      <c r="W97" s="14" t="n">
        <v>99357.8925872735</v>
      </c>
      <c r="X97" s="14" t="n">
        <v>21559.5326130284</v>
      </c>
      <c r="Y97" s="14" t="n">
        <v>248.43576079208</v>
      </c>
      <c r="Z97" s="14" t="n">
        <v>337.217588784318</v>
      </c>
      <c r="AA97" s="14" t="n">
        <v>34.8673009068098</v>
      </c>
      <c r="AB97" s="14" t="n">
        <v>32.0548009068098</v>
      </c>
      <c r="AC97" s="14" t="n">
        <v>34.1173009068098</v>
      </c>
      <c r="AD97" s="14" t="n">
        <v>27.4365646479815</v>
      </c>
      <c r="AE97" s="14" t="n">
        <v>653.269421736173</v>
      </c>
      <c r="AF97" s="14" t="n">
        <v>0.03</v>
      </c>
      <c r="AG97" s="14" t="n">
        <v>0.718286314065127</v>
      </c>
      <c r="AH97" s="14" t="n">
        <v>8841.38090069497</v>
      </c>
      <c r="AI97" s="14" t="n">
        <v>22648.7362066291</v>
      </c>
      <c r="AJ97" s="14" t="n">
        <v>22.7952741792209</v>
      </c>
      <c r="AK97" s="14" t="n">
        <v>0</v>
      </c>
      <c r="AL97" s="14" t="n">
        <v>-22308.99921176</v>
      </c>
      <c r="AM97" s="14" t="n">
        <v>684.5</v>
      </c>
      <c r="AN97" s="14" t="n">
        <v>37048.6027372766</v>
      </c>
      <c r="AO97" s="14" t="n">
        <v>0</v>
      </c>
      <c r="AP97" s="14" t="n">
        <v>0.522282702148695</v>
      </c>
      <c r="AQ97" s="14" t="n">
        <v>233.116185538476</v>
      </c>
      <c r="AR97" s="14" t="n">
        <v>369.12445169899</v>
      </c>
      <c r="AS97" s="14" t="n">
        <v>369.130950486359</v>
      </c>
      <c r="AT97" s="14" t="n">
        <v>-7160.9335370009</v>
      </c>
      <c r="AU97" s="14" t="n">
        <v>0</v>
      </c>
      <c r="AV97" s="14" t="n">
        <v>0</v>
      </c>
      <c r="AW97" s="14" t="n">
        <v>2275.5</v>
      </c>
      <c r="AX97" s="14" t="n">
        <v>369.130950486359</v>
      </c>
      <c r="AY97" s="14" t="n">
        <v>335.532588738648</v>
      </c>
    </row>
    <row r="98" customFormat="false" ht="15" hidden="false" customHeight="false" outlineLevel="0" collapsed="false">
      <c r="A98" s="0" t="s">
        <v>2639</v>
      </c>
      <c r="B98" s="14" t="n">
        <v>2425.32952419152</v>
      </c>
      <c r="C98" s="14" t="n">
        <v>8102.58408534655</v>
      </c>
      <c r="D98" s="14" t="n">
        <v>22384.5389654596</v>
      </c>
      <c r="E98" s="14" t="n">
        <v>4418.47387714174</v>
      </c>
      <c r="F98" s="14" t="n">
        <v>-553.300051730292</v>
      </c>
      <c r="G98" s="14" t="n">
        <v>4647.67056545817</v>
      </c>
      <c r="H98" s="14" t="n">
        <v>94973.210940963</v>
      </c>
      <c r="I98" s="15" t="n">
        <v>252.680782790168</v>
      </c>
      <c r="J98" s="15" t="n">
        <v>285.52928455289</v>
      </c>
      <c r="K98" s="14" t="s">
        <v>60</v>
      </c>
      <c r="L98" s="14" t="n">
        <v>-7450.325523597</v>
      </c>
      <c r="M98" s="14" t="n">
        <v>27448.8516817069</v>
      </c>
      <c r="N98" s="14" t="n">
        <v>14290.3009474976</v>
      </c>
      <c r="O98" s="14" t="n">
        <v>-14278.928943062</v>
      </c>
      <c r="P98" s="14" t="n">
        <v>969.691844413664</v>
      </c>
      <c r="Q98" s="14" t="n">
        <v>3990.98886644163</v>
      </c>
      <c r="R98" s="14" t="n">
        <v>16720.3805904838</v>
      </c>
      <c r="S98" s="14" t="n">
        <v>23731.0907793092</v>
      </c>
      <c r="T98" s="14" t="n">
        <v>-935.920513319546</v>
      </c>
      <c r="U98" s="14" t="n">
        <v>93320.8059614926</v>
      </c>
      <c r="V98" s="14" t="n">
        <v>0.953955874711187</v>
      </c>
      <c r="W98" s="14" t="n">
        <v>105966.649685657</v>
      </c>
      <c r="X98" s="14" t="n">
        <v>21588.1963360117</v>
      </c>
      <c r="Y98" s="14" t="n">
        <v>268.603356513542</v>
      </c>
      <c r="Z98" s="14" t="n">
        <v>364.592343445585</v>
      </c>
      <c r="AA98" s="14" t="n">
        <v>34.8673009068098</v>
      </c>
      <c r="AB98" s="14" t="n">
        <v>32.0548009068098</v>
      </c>
      <c r="AC98" s="14" t="n">
        <v>34.1173009068098</v>
      </c>
      <c r="AD98" s="14" t="n">
        <v>27.4365646479815</v>
      </c>
      <c r="AE98" s="14" t="n">
        <v>653.269421736173</v>
      </c>
      <c r="AF98" s="14" t="n">
        <v>0.03</v>
      </c>
      <c r="AG98" s="14" t="n">
        <v>0.720643228644756</v>
      </c>
      <c r="AH98" s="14" t="n">
        <v>8841.38090069497</v>
      </c>
      <c r="AI98" s="14" t="n">
        <v>22384.5389654596</v>
      </c>
      <c r="AJ98" s="14" t="n">
        <v>22.221</v>
      </c>
      <c r="AK98" s="14" t="n">
        <v>0</v>
      </c>
      <c r="AL98" s="14" t="n">
        <v>-22516.6719720521</v>
      </c>
      <c r="AM98" s="14" t="n">
        <v>684.5</v>
      </c>
      <c r="AN98" s="14" t="n">
        <v>37058.5514176057</v>
      </c>
      <c r="AO98" s="14" t="n">
        <v>0</v>
      </c>
      <c r="AP98" s="14" t="n">
        <v>0.584492204233371</v>
      </c>
      <c r="AQ98" s="14" t="n">
        <v>252.088263698779</v>
      </c>
      <c r="AR98" s="14" t="n">
        <v>369.317367209252</v>
      </c>
      <c r="AS98" s="14" t="n">
        <v>369.322925673332</v>
      </c>
      <c r="AT98" s="14" t="n">
        <v>-7450.325523597</v>
      </c>
      <c r="AU98" s="14" t="n">
        <v>0</v>
      </c>
      <c r="AV98" s="14" t="n">
        <v>0</v>
      </c>
      <c r="AW98" s="14" t="n">
        <v>2275.5</v>
      </c>
      <c r="AX98" s="14" t="n">
        <v>369.322925673332</v>
      </c>
      <c r="AY98" s="14" t="n">
        <v>338.247235963032</v>
      </c>
    </row>
    <row r="99" customFormat="false" ht="15" hidden="false" customHeight="false" outlineLevel="0" collapsed="false">
      <c r="A99" s="0" t="s">
        <v>2640</v>
      </c>
      <c r="B99" s="14" t="n">
        <v>2425.32952419152</v>
      </c>
      <c r="C99" s="14" t="n">
        <v>8140.65856246629</v>
      </c>
      <c r="D99" s="14" t="n">
        <v>24633.6289824031</v>
      </c>
      <c r="E99" s="14" t="n">
        <v>4445.50675589675</v>
      </c>
      <c r="F99" s="14" t="n">
        <v>-527.820309286511</v>
      </c>
      <c r="G99" s="14" t="n">
        <v>4647.70072268461</v>
      </c>
      <c r="H99" s="14" t="n">
        <v>153790.606759039</v>
      </c>
      <c r="I99" s="15" t="n">
        <v>406.650478460103</v>
      </c>
      <c r="J99" s="15" t="n">
        <v>459.515040659916</v>
      </c>
      <c r="K99" s="14" t="s">
        <v>60</v>
      </c>
      <c r="L99" s="14" t="n">
        <v>-7423.77977623466</v>
      </c>
      <c r="M99" s="14" t="n">
        <v>27449.6131712493</v>
      </c>
      <c r="N99" s="14" t="n">
        <v>15999.6093603747</v>
      </c>
      <c r="O99" s="14" t="n">
        <v>-12992.5185861983</v>
      </c>
      <c r="P99" s="14" t="n">
        <v>969.691844413664</v>
      </c>
      <c r="Q99" s="14" t="n">
        <v>5607.90957244398</v>
      </c>
      <c r="R99" s="14" t="n">
        <v>16720.3805904838</v>
      </c>
      <c r="S99" s="14" t="n">
        <v>23776.0725796481</v>
      </c>
      <c r="T99" s="14" t="n">
        <v>-935.920513319546</v>
      </c>
      <c r="U99" s="14" t="n">
        <v>157906.032387867</v>
      </c>
      <c r="V99" s="14" t="n">
        <v>0.953955874711187</v>
      </c>
      <c r="W99" s="14" t="n">
        <v>157013.820806255</v>
      </c>
      <c r="X99" s="14" t="n">
        <v>21809.2435106719</v>
      </c>
      <c r="Y99" s="14" t="n">
        <v>432.275388084921</v>
      </c>
      <c r="Z99" s="14" t="n">
        <v>586.754755418647</v>
      </c>
      <c r="AA99" s="14" t="n">
        <v>34.8673009068098</v>
      </c>
      <c r="AB99" s="14" t="n">
        <v>32.0548009068098</v>
      </c>
      <c r="AC99" s="14" t="n">
        <v>34.1173009068098</v>
      </c>
      <c r="AD99" s="14" t="n">
        <v>34.8673009068098</v>
      </c>
      <c r="AE99" s="14" t="n">
        <v>653.269421736173</v>
      </c>
      <c r="AF99" s="14" t="n">
        <v>0.03</v>
      </c>
      <c r="AG99" s="14" t="n">
        <v>0.735279083404202</v>
      </c>
      <c r="AH99" s="14" t="n">
        <v>8841.38090069497</v>
      </c>
      <c r="AI99" s="14" t="n">
        <v>24633.6289824031</v>
      </c>
      <c r="AJ99" s="14" t="n">
        <v>22.221</v>
      </c>
      <c r="AK99" s="14" t="n">
        <v>0</v>
      </c>
      <c r="AL99" s="14" t="n">
        <v>-18824.5396074087</v>
      </c>
      <c r="AM99" s="14" t="n">
        <v>684.5</v>
      </c>
      <c r="AN99" s="14" t="n">
        <v>37202.1645544491</v>
      </c>
      <c r="AO99" s="14" t="n">
        <v>0</v>
      </c>
      <c r="AP99" s="14" t="n">
        <v>0.584492204233371</v>
      </c>
      <c r="AQ99" s="14" t="n">
        <v>406.650478460103</v>
      </c>
      <c r="AR99" s="14" t="n">
        <v>388.308979706167</v>
      </c>
      <c r="AS99" s="14" t="n">
        <v>388.308979706167</v>
      </c>
      <c r="AT99" s="14" t="n">
        <v>-7423.77977623466</v>
      </c>
      <c r="AU99" s="14" t="n">
        <v>0</v>
      </c>
      <c r="AV99" s="14" t="n">
        <v>0</v>
      </c>
      <c r="AW99" s="14" t="n">
        <v>2275.5</v>
      </c>
      <c r="AX99" s="14" t="n">
        <v>388.308979706167</v>
      </c>
      <c r="AY99" s="14" t="n">
        <v>354.81569510063</v>
      </c>
    </row>
    <row r="100" customFormat="false" ht="15" hidden="false" customHeight="false" outlineLevel="0" collapsed="false">
      <c r="A100" s="0" t="s">
        <v>2641</v>
      </c>
      <c r="B100" s="14" t="n">
        <v>2425.32952419152</v>
      </c>
      <c r="C100" s="14" t="n">
        <v>8140.65856246629</v>
      </c>
      <c r="D100" s="14" t="n">
        <v>24633.6289824031</v>
      </c>
      <c r="E100" s="14" t="n">
        <v>4447.42081839675</v>
      </c>
      <c r="F100" s="14" t="n">
        <v>-525.906246786511</v>
      </c>
      <c r="G100" s="14" t="n">
        <v>4647.70072268461</v>
      </c>
      <c r="H100" s="14" t="n">
        <v>154026.218338665</v>
      </c>
      <c r="I100" s="15" t="n">
        <v>407.254954129421</v>
      </c>
      <c r="J100" s="15" t="n">
        <v>460.198098166245</v>
      </c>
      <c r="K100" s="14" t="s">
        <v>60</v>
      </c>
      <c r="L100" s="14" t="n">
        <v>-7421.86571373466</v>
      </c>
      <c r="M100" s="14" t="n">
        <v>27449.6131712493</v>
      </c>
      <c r="N100" s="14" t="n">
        <v>16022.5781103747</v>
      </c>
      <c r="O100" s="14" t="n">
        <v>-12973.6274445387</v>
      </c>
      <c r="P100" s="14" t="n">
        <v>969.691844413664</v>
      </c>
      <c r="Q100" s="14" t="n">
        <v>5630.87832244398</v>
      </c>
      <c r="R100" s="14" t="n">
        <v>16720.3805904838</v>
      </c>
      <c r="S100" s="14" t="n">
        <v>23776.0725796481</v>
      </c>
      <c r="T100" s="14" t="n">
        <v>-935.920513319546</v>
      </c>
      <c r="U100" s="14" t="n">
        <v>158141.643967494</v>
      </c>
      <c r="V100" s="14" t="n">
        <v>0.953955874711187</v>
      </c>
      <c r="W100" s="14" t="n">
        <v>157201.759247513</v>
      </c>
      <c r="X100" s="14" t="n">
        <v>21809.2435106719</v>
      </c>
      <c r="Y100" s="14" t="n">
        <v>432.91795453543</v>
      </c>
      <c r="Z100" s="14" t="n">
        <v>587.626951548479</v>
      </c>
      <c r="AA100" s="14" t="n">
        <v>34.8673009068098</v>
      </c>
      <c r="AB100" s="14" t="n">
        <v>32.6673009068098</v>
      </c>
      <c r="AC100" s="14" t="n">
        <v>34.1173009068098</v>
      </c>
      <c r="AD100" s="14" t="n">
        <v>34.8673009068098</v>
      </c>
      <c r="AE100" s="14" t="n">
        <v>653.269421736173</v>
      </c>
      <c r="AF100" s="14" t="n">
        <v>0.03</v>
      </c>
      <c r="AG100" s="14" t="n">
        <v>0.73576675769493</v>
      </c>
      <c r="AH100" s="14" t="n">
        <v>8841.38090069497</v>
      </c>
      <c r="AI100" s="14" t="n">
        <v>24633.6289824031</v>
      </c>
      <c r="AJ100" s="14" t="n">
        <v>22.221</v>
      </c>
      <c r="AK100" s="14" t="n">
        <v>0</v>
      </c>
      <c r="AL100" s="14" t="n">
        <v>-18788.6731262274</v>
      </c>
      <c r="AM100" s="14" t="n">
        <v>684.5</v>
      </c>
      <c r="AN100" s="14" t="n">
        <v>37202.1645544491</v>
      </c>
      <c r="AO100" s="14" t="n">
        <v>0</v>
      </c>
      <c r="AP100" s="14" t="n">
        <v>0.584492204233371</v>
      </c>
      <c r="AQ100" s="14" t="n">
        <v>407.254954129421</v>
      </c>
      <c r="AR100" s="14" t="n">
        <v>388.311160770406</v>
      </c>
      <c r="AS100" s="14" t="n">
        <v>388.311160770406</v>
      </c>
      <c r="AT100" s="14" t="n">
        <v>-7421.86571373466</v>
      </c>
      <c r="AU100" s="14" t="n">
        <v>0</v>
      </c>
      <c r="AV100" s="14" t="n">
        <v>0</v>
      </c>
      <c r="AW100" s="14" t="n">
        <v>2275.5</v>
      </c>
      <c r="AX100" s="14" t="n">
        <v>388.311160770406</v>
      </c>
      <c r="AY100" s="14" t="n">
        <v>354.867589189657</v>
      </c>
    </row>
    <row r="101" customFormat="false" ht="15" hidden="false" customHeight="false" outlineLevel="0" collapsed="false">
      <c r="A101" s="0" t="s">
        <v>2642</v>
      </c>
      <c r="B101" s="14" t="n">
        <v>2425.32952419152</v>
      </c>
      <c r="C101" s="14" t="n">
        <v>8140.65856246629</v>
      </c>
      <c r="D101" s="14" t="n">
        <v>24633.6289824031</v>
      </c>
      <c r="E101" s="14" t="n">
        <v>4447.42081839675</v>
      </c>
      <c r="F101" s="14" t="n">
        <v>-525.906246786511</v>
      </c>
      <c r="G101" s="14" t="n">
        <v>4647.70072268461</v>
      </c>
      <c r="H101" s="14" t="n">
        <v>125819.689086013</v>
      </c>
      <c r="I101" s="15" t="n">
        <v>334.889407936213</v>
      </c>
      <c r="J101" s="15" t="n">
        <v>378.425030967921</v>
      </c>
      <c r="K101" s="14" t="s">
        <v>60</v>
      </c>
      <c r="L101" s="14" t="n">
        <v>-7421.86571373466</v>
      </c>
      <c r="M101" s="14" t="n">
        <v>27449.6131712493</v>
      </c>
      <c r="N101" s="14" t="n">
        <v>16022.5781103747</v>
      </c>
      <c r="O101" s="14" t="n">
        <v>-12973.6274445387</v>
      </c>
      <c r="P101" s="14" t="n">
        <v>969.691844413664</v>
      </c>
      <c r="Q101" s="14" t="n">
        <v>5630.87832244398</v>
      </c>
      <c r="R101" s="14" t="n">
        <v>16720.3805904838</v>
      </c>
      <c r="S101" s="14" t="n">
        <v>23776.0725796481</v>
      </c>
      <c r="T101" s="14" t="n">
        <v>-935.920513319546</v>
      </c>
      <c r="U101" s="14" t="n">
        <v>129935.114714842</v>
      </c>
      <c r="V101" s="14" t="n">
        <v>0.953955874711187</v>
      </c>
      <c r="W101" s="14" t="n">
        <v>128995.229994862</v>
      </c>
      <c r="X101" s="14" t="n">
        <v>25322.0259848591</v>
      </c>
      <c r="Y101" s="14" t="n">
        <v>355.992323750232</v>
      </c>
      <c r="Z101" s="14" t="n">
        <v>483.210922042938</v>
      </c>
      <c r="AA101" s="14" t="n">
        <v>34.8673009068098</v>
      </c>
      <c r="AB101" s="14" t="n">
        <v>32.6673009068098</v>
      </c>
      <c r="AC101" s="14" t="n">
        <v>34.1173009068098</v>
      </c>
      <c r="AD101" s="14" t="n">
        <v>34.8673009068098</v>
      </c>
      <c r="AE101" s="14" t="n">
        <v>653.269421736173</v>
      </c>
      <c r="AF101" s="14" t="n">
        <v>0.03</v>
      </c>
      <c r="AG101" s="14" t="n">
        <v>0.73576675769493</v>
      </c>
      <c r="AH101" s="14" t="n">
        <v>8841.38090069497</v>
      </c>
      <c r="AI101" s="14" t="n">
        <v>24633.6289824031</v>
      </c>
      <c r="AJ101" s="14" t="n">
        <v>22.221</v>
      </c>
      <c r="AK101" s="14" t="n">
        <v>0</v>
      </c>
      <c r="AL101" s="14" t="n">
        <v>-18788.6731262274</v>
      </c>
      <c r="AM101" s="14" t="n">
        <v>684.5</v>
      </c>
      <c r="AN101" s="14" t="n">
        <v>37202.1645544491</v>
      </c>
      <c r="AO101" s="14" t="n">
        <v>0</v>
      </c>
      <c r="AP101" s="14" t="n">
        <v>0.584492204233371</v>
      </c>
      <c r="AQ101" s="14" t="n">
        <v>334.889407936213</v>
      </c>
      <c r="AR101" s="14" t="n">
        <v>387.994100845348</v>
      </c>
      <c r="AS101" s="14" t="n">
        <v>387.994100845348</v>
      </c>
      <c r="AT101" s="14" t="n">
        <v>-7421.86571373466</v>
      </c>
      <c r="AU101" s="14" t="n">
        <v>0</v>
      </c>
      <c r="AV101" s="14" t="n">
        <v>0</v>
      </c>
      <c r="AW101" s="14" t="n">
        <v>2275.5</v>
      </c>
      <c r="AX101" s="14" t="n">
        <v>387.994100845348</v>
      </c>
      <c r="AY101" s="14" t="n">
        <v>347.323778382847</v>
      </c>
    </row>
    <row r="102" customFormat="false" ht="15" hidden="false" customHeight="false" outlineLevel="0" collapsed="false">
      <c r="A102" s="0" t="s">
        <v>2643</v>
      </c>
      <c r="B102" s="14" t="n">
        <v>2425.32952419152</v>
      </c>
      <c r="C102" s="14" t="n">
        <v>7324.95218380129</v>
      </c>
      <c r="D102" s="14" t="n">
        <v>19028.3078080523</v>
      </c>
      <c r="E102" s="14" t="n">
        <v>3868.2692895446</v>
      </c>
      <c r="F102" s="14" t="n">
        <v>-1071.56608997986</v>
      </c>
      <c r="G102" s="14" t="n">
        <v>4646.83729217241</v>
      </c>
      <c r="H102" s="14" t="n">
        <v>33183.5120760249</v>
      </c>
      <c r="I102" s="15" t="n">
        <v>74.9694186369603</v>
      </c>
      <c r="J102" s="15" t="n">
        <v>84.7154430597651</v>
      </c>
      <c r="K102" s="14" t="s">
        <v>60</v>
      </c>
      <c r="L102" s="14" t="n">
        <v>-7990.82841296473</v>
      </c>
      <c r="M102" s="14" t="n">
        <v>27433.299043676</v>
      </c>
      <c r="N102" s="14" t="n">
        <v>11762.5340178681</v>
      </c>
      <c r="O102" s="14" t="n">
        <v>-16718.6545245883</v>
      </c>
      <c r="P102" s="14" t="n">
        <v>969.691844413664</v>
      </c>
      <c r="Q102" s="14" t="n">
        <v>1604.46233971616</v>
      </c>
      <c r="R102" s="14" t="n">
        <v>16720.3805904838</v>
      </c>
      <c r="S102" s="14" t="n">
        <v>23663.966156161</v>
      </c>
      <c r="T102" s="14" t="n">
        <v>-935.920513319546</v>
      </c>
      <c r="U102" s="14" t="n">
        <v>23864.7599512567</v>
      </c>
      <c r="V102" s="14" t="n">
        <v>0.953955874711187</v>
      </c>
      <c r="W102" s="14" t="n">
        <v>53328.4441014675</v>
      </c>
      <c r="X102" s="14" t="n">
        <v>21755.0559571894</v>
      </c>
      <c r="Y102" s="14" t="n">
        <v>79.6935851606834</v>
      </c>
      <c r="Z102" s="14" t="n">
        <v>108.173149243014</v>
      </c>
      <c r="AA102" s="14" t="n">
        <v>34.8673009068098</v>
      </c>
      <c r="AB102" s="14" t="n">
        <v>32.6673009068098</v>
      </c>
      <c r="AC102" s="14" t="n">
        <v>34.1173009068098</v>
      </c>
      <c r="AD102" s="14" t="n">
        <v>34.8673009068098</v>
      </c>
      <c r="AE102" s="14" t="n">
        <v>653.269421736173</v>
      </c>
      <c r="AF102" s="14" t="n">
        <v>0.03</v>
      </c>
      <c r="AG102" s="14" t="n">
        <v>0.699339352532185</v>
      </c>
      <c r="AH102" s="14" t="n">
        <v>8841.38090069497</v>
      </c>
      <c r="AI102" s="14" t="n">
        <v>19028.3078080523</v>
      </c>
      <c r="AJ102" s="14" t="n">
        <v>22.221</v>
      </c>
      <c r="AK102" s="14" t="n">
        <v>0</v>
      </c>
      <c r="AL102" s="14" t="n">
        <v>-27749.4577772737</v>
      </c>
      <c r="AM102" s="14" t="n">
        <v>684.5</v>
      </c>
      <c r="AN102" s="14" t="n">
        <v>36892.6010399923</v>
      </c>
      <c r="AO102" s="14" t="n">
        <v>0</v>
      </c>
      <c r="AP102" s="14" t="n">
        <v>0.584492204233371</v>
      </c>
      <c r="AQ102" s="14" t="n">
        <v>73.3530474584402</v>
      </c>
      <c r="AR102" s="14" t="n">
        <v>318.3265975</v>
      </c>
      <c r="AS102" s="14" t="n">
        <v>318.3265975</v>
      </c>
      <c r="AT102" s="14" t="n">
        <v>-7990.82841296473</v>
      </c>
      <c r="AU102" s="14" t="n">
        <v>0</v>
      </c>
      <c r="AV102" s="14" t="n">
        <v>0</v>
      </c>
      <c r="AW102" s="14" t="n">
        <v>2275.5</v>
      </c>
      <c r="AX102" s="14" t="n">
        <v>318.3265975</v>
      </c>
      <c r="AY102" s="14" t="n">
        <v>315.847153750471</v>
      </c>
    </row>
    <row r="103" customFormat="false" ht="15" hidden="false" customHeight="false" outlineLevel="0" collapsed="false">
      <c r="A103" s="0" t="s">
        <v>2644</v>
      </c>
      <c r="B103" s="14" t="n">
        <v>2425.32952419152</v>
      </c>
      <c r="C103" s="14" t="n">
        <v>7324.95218380129</v>
      </c>
      <c r="D103" s="14" t="n">
        <v>19028.3078080523</v>
      </c>
      <c r="E103" s="14" t="n">
        <v>3868.2692895446</v>
      </c>
      <c r="F103" s="14" t="n">
        <v>-1071.56608997986</v>
      </c>
      <c r="G103" s="14" t="n">
        <v>4646.83729217241</v>
      </c>
      <c r="H103" s="14" t="n">
        <v>31884.7774877648</v>
      </c>
      <c r="I103" s="15" t="n">
        <v>70.8737358600682</v>
      </c>
      <c r="J103" s="15" t="n">
        <v>80.087321521877</v>
      </c>
      <c r="K103" s="14" t="s">
        <v>60</v>
      </c>
      <c r="L103" s="14" t="n">
        <v>-8050.05808914412</v>
      </c>
      <c r="M103" s="14" t="n">
        <v>27433.299043676</v>
      </c>
      <c r="N103" s="14" t="n">
        <v>11762.5340178681</v>
      </c>
      <c r="O103" s="14" t="n">
        <v>-16945.6706331883</v>
      </c>
      <c r="P103" s="14" t="n">
        <v>969.691844413664</v>
      </c>
      <c r="Q103" s="14" t="n">
        <v>1604.46233971616</v>
      </c>
      <c r="R103" s="14" t="n">
        <v>16720.3805904838</v>
      </c>
      <c r="S103" s="14" t="n">
        <v>23663.966156161</v>
      </c>
      <c r="T103" s="14" t="n">
        <v>-935.920513319546</v>
      </c>
      <c r="U103" s="14" t="n">
        <v>22560.9951884492</v>
      </c>
      <c r="V103" s="14" t="n">
        <v>0.953955874711187</v>
      </c>
      <c r="W103" s="14" t="n">
        <v>53328.4441014675</v>
      </c>
      <c r="X103" s="14" t="n">
        <v>21755.0559571894</v>
      </c>
      <c r="Y103" s="14" t="n">
        <v>75.3398146485765</v>
      </c>
      <c r="Z103" s="14" t="n">
        <v>102.263500851285</v>
      </c>
      <c r="AA103" s="14" t="n">
        <v>34.8673009068098</v>
      </c>
      <c r="AB103" s="14" t="n">
        <v>32.6673009068098</v>
      </c>
      <c r="AC103" s="14" t="n">
        <v>34.1173009068098</v>
      </c>
      <c r="AD103" s="14" t="n">
        <v>34.8673009068098</v>
      </c>
      <c r="AE103" s="14" t="n">
        <v>653.269421736173</v>
      </c>
      <c r="AF103" s="14" t="n">
        <v>0.03</v>
      </c>
      <c r="AG103" s="14" t="n">
        <v>0.699339352532185</v>
      </c>
      <c r="AH103" s="14" t="n">
        <v>8830.63704054368</v>
      </c>
      <c r="AI103" s="14" t="n">
        <v>19028.3078080523</v>
      </c>
      <c r="AJ103" s="14" t="n">
        <v>22.221</v>
      </c>
      <c r="AK103" s="14" t="n">
        <v>0</v>
      </c>
      <c r="AL103" s="14" t="n">
        <v>-28185.5560427778</v>
      </c>
      <c r="AM103" s="14" t="n">
        <v>684.5</v>
      </c>
      <c r="AN103" s="14" t="n">
        <v>34565.685</v>
      </c>
      <c r="AO103" s="14" t="n">
        <v>0</v>
      </c>
      <c r="AP103" s="14" t="n">
        <v>0.584492204233371</v>
      </c>
      <c r="AQ103" s="14" t="n">
        <v>69.2573646815481</v>
      </c>
      <c r="AR103" s="14" t="n">
        <v>318.3265975</v>
      </c>
      <c r="AS103" s="14" t="n">
        <v>318.3265975</v>
      </c>
      <c r="AT103" s="14" t="n">
        <v>-8050.05808914412</v>
      </c>
      <c r="AU103" s="14" t="n">
        <v>0</v>
      </c>
      <c r="AV103" s="14" t="n">
        <v>0</v>
      </c>
      <c r="AW103" s="14" t="n">
        <v>2275.5</v>
      </c>
      <c r="AX103" s="14" t="n">
        <v>318.3265975</v>
      </c>
      <c r="AY103" s="14" t="n">
        <v>315.70387055906</v>
      </c>
    </row>
    <row r="104" customFormat="false" ht="15" hidden="false" customHeight="false" outlineLevel="0" collapsed="false">
      <c r="A104" s="0" t="s">
        <v>2645</v>
      </c>
      <c r="B104" s="14" t="n">
        <v>2423.40833661368</v>
      </c>
      <c r="C104" s="14" t="n">
        <v>7320.29311172376</v>
      </c>
      <c r="D104" s="14" t="n">
        <v>19024.8843100935</v>
      </c>
      <c r="E104" s="14" t="n">
        <v>3864.96134836955</v>
      </c>
      <c r="F104" s="14" t="n">
        <v>-1074.66751623611</v>
      </c>
      <c r="G104" s="14" t="n">
        <v>4646.81714013671</v>
      </c>
      <c r="H104" s="14" t="n">
        <v>31798.1884260569</v>
      </c>
      <c r="I104" s="15" t="n">
        <v>70.6024898159561</v>
      </c>
      <c r="J104" s="15" t="n">
        <v>79.7808134920304</v>
      </c>
      <c r="K104" s="14" t="s">
        <v>60</v>
      </c>
      <c r="L104" s="14" t="n">
        <v>-8054.44067566647</v>
      </c>
      <c r="M104" s="14" t="n">
        <v>27433.2058622345</v>
      </c>
      <c r="N104" s="14" t="n">
        <v>11759.9321594194</v>
      </c>
      <c r="O104" s="14" t="n">
        <v>-16951.9447612643</v>
      </c>
      <c r="P104" s="14" t="n">
        <v>968.519919991184</v>
      </c>
      <c r="Q104" s="14" t="n">
        <v>1602.02635498548</v>
      </c>
      <c r="R104" s="14" t="n">
        <v>16720.3421667323</v>
      </c>
      <c r="S104" s="14" t="n">
        <v>23663.8976862019</v>
      </c>
      <c r="T104" s="14" t="n">
        <v>-937.016004190439</v>
      </c>
      <c r="U104" s="14" t="n">
        <v>22474.6503581417</v>
      </c>
      <c r="V104" s="14" t="n">
        <v>0.82509878873241</v>
      </c>
      <c r="W104" s="14" t="n">
        <v>53259.1234046399</v>
      </c>
      <c r="X104" s="14" t="n">
        <v>21751.8294322891</v>
      </c>
      <c r="Y104" s="14" t="n">
        <v>75.0514761485726</v>
      </c>
      <c r="Z104" s="14" t="n">
        <v>101.872120747974</v>
      </c>
      <c r="AA104" s="14" t="n">
        <v>30.1575455502983</v>
      </c>
      <c r="AB104" s="14" t="n">
        <v>27.9575455502983</v>
      </c>
      <c r="AC104" s="14" t="n">
        <v>29.4075455502983</v>
      </c>
      <c r="AD104" s="14" t="n">
        <v>30.1575455502983</v>
      </c>
      <c r="AE104" s="14" t="n">
        <v>653.683373262198</v>
      </c>
      <c r="AF104" s="14" t="n">
        <v>0.03</v>
      </c>
      <c r="AG104" s="14" t="n">
        <v>0.699294850981936</v>
      </c>
      <c r="AH104" s="14" t="n">
        <v>8829.50567689751</v>
      </c>
      <c r="AI104" s="14" t="n">
        <v>19024.8843100935</v>
      </c>
      <c r="AJ104" s="14" t="n">
        <v>22.221</v>
      </c>
      <c r="AK104" s="14" t="n">
        <v>0</v>
      </c>
      <c r="AL104" s="14" t="n">
        <v>-28196.1435577038</v>
      </c>
      <c r="AM104" s="14" t="n">
        <v>684.5</v>
      </c>
      <c r="AN104" s="14" t="n">
        <v>34565.685</v>
      </c>
      <c r="AO104" s="14" t="n">
        <v>0</v>
      </c>
      <c r="AP104" s="14" t="n">
        <v>0.585621100500218</v>
      </c>
      <c r="AQ104" s="14" t="n">
        <v>68.986118637436</v>
      </c>
      <c r="AR104" s="14" t="n">
        <v>318.3265975</v>
      </c>
      <c r="AS104" s="14" t="n">
        <v>318.3265975</v>
      </c>
      <c r="AT104" s="14" t="n">
        <v>-8054.44067566647</v>
      </c>
      <c r="AU104" s="14" t="n">
        <v>0</v>
      </c>
      <c r="AV104" s="14" t="n">
        <v>0</v>
      </c>
      <c r="AW104" s="14" t="n">
        <v>2275.5</v>
      </c>
      <c r="AX104" s="14" t="n">
        <v>318.3265975</v>
      </c>
      <c r="AY104" s="14" t="n">
        <v>315.693794366147</v>
      </c>
    </row>
    <row r="105" customFormat="false" ht="15" hidden="false" customHeight="false" outlineLevel="0" collapsed="false">
      <c r="A105" s="0" t="s">
        <v>2646</v>
      </c>
      <c r="B105" s="14" t="n">
        <v>2423.40833661368</v>
      </c>
      <c r="C105" s="14" t="n">
        <v>7320.29311172376</v>
      </c>
      <c r="D105" s="14" t="n">
        <v>19024.8843100935</v>
      </c>
      <c r="E105" s="14" t="n">
        <v>3864.96134836955</v>
      </c>
      <c r="F105" s="14" t="n">
        <v>-1074.66751623611</v>
      </c>
      <c r="G105" s="14" t="n">
        <v>4646.81714013671</v>
      </c>
      <c r="H105" s="14" t="n">
        <v>22187.1043125952</v>
      </c>
      <c r="I105" s="15" t="n">
        <v>40.2561686924613</v>
      </c>
      <c r="J105" s="15" t="n">
        <v>45.4894706224812</v>
      </c>
      <c r="K105" s="14" t="s">
        <v>60</v>
      </c>
      <c r="L105" s="14" t="n">
        <v>-8054.44067566647</v>
      </c>
      <c r="M105" s="14" t="n">
        <v>27433.2058622345</v>
      </c>
      <c r="N105" s="14" t="n">
        <v>11759.9321594194</v>
      </c>
      <c r="O105" s="14" t="n">
        <v>-16951.9447612643</v>
      </c>
      <c r="P105" s="14" t="n">
        <v>968.519919991184</v>
      </c>
      <c r="Q105" s="14" t="n">
        <v>1602.02635498548</v>
      </c>
      <c r="R105" s="14" t="n">
        <v>16720.3421667323</v>
      </c>
      <c r="S105" s="14" t="n">
        <v>23663.8976862019</v>
      </c>
      <c r="T105" s="14" t="n">
        <v>-937.016004190439</v>
      </c>
      <c r="U105" s="14" t="n">
        <v>12677.6837882347</v>
      </c>
      <c r="V105" s="14" t="n">
        <v>0.82509878873241</v>
      </c>
      <c r="W105" s="14" t="n">
        <v>53259.1234046399</v>
      </c>
      <c r="X105" s="14" t="n">
        <v>21751.8294322891</v>
      </c>
      <c r="Y105" s="14" t="n">
        <v>42.7928943062907</v>
      </c>
      <c r="Z105" s="14" t="n">
        <v>58.0855050378463</v>
      </c>
      <c r="AA105" s="14" t="n">
        <v>30.1575455502983</v>
      </c>
      <c r="AB105" s="14" t="n">
        <v>27.9575455502983</v>
      </c>
      <c r="AC105" s="14" t="n">
        <v>29.4075455502983</v>
      </c>
      <c r="AD105" s="14" t="n">
        <v>30.1575455502983</v>
      </c>
      <c r="AE105" s="14" t="n">
        <v>653.683373262198</v>
      </c>
      <c r="AF105" s="14" t="n">
        <v>0.03</v>
      </c>
      <c r="AG105" s="14" t="n">
        <v>0.699294850981936</v>
      </c>
      <c r="AH105" s="14" t="n">
        <v>8829.50567689751</v>
      </c>
      <c r="AI105" s="14" t="n">
        <v>19024.8843100935</v>
      </c>
      <c r="AJ105" s="14" t="n">
        <v>22.221</v>
      </c>
      <c r="AK105" s="14" t="n">
        <v>0</v>
      </c>
      <c r="AL105" s="14" t="n">
        <v>-28196.1435577038</v>
      </c>
      <c r="AM105" s="14" t="n">
        <v>684.5</v>
      </c>
      <c r="AN105" s="14" t="n">
        <v>34565.685</v>
      </c>
      <c r="AO105" s="14" t="n">
        <v>-9611.08411346176</v>
      </c>
      <c r="AP105" s="14" t="n">
        <v>0.585621100500218</v>
      </c>
      <c r="AQ105" s="14" t="n">
        <v>38.5895765104375</v>
      </c>
      <c r="AR105" s="14" t="n">
        <v>314.925245</v>
      </c>
      <c r="AS105" s="14" t="n">
        <v>314.925245</v>
      </c>
      <c r="AT105" s="14" t="n">
        <v>-8054.44067566647</v>
      </c>
      <c r="AU105" s="14" t="n">
        <v>0</v>
      </c>
      <c r="AV105" s="14" t="n">
        <v>0</v>
      </c>
      <c r="AW105" s="14" t="n">
        <v>2275.5</v>
      </c>
      <c r="AX105" s="14" t="n">
        <v>314.925245</v>
      </c>
      <c r="AY105" s="14" t="n">
        <v>314.925245</v>
      </c>
    </row>
    <row r="106" customFormat="false" ht="15" hidden="false" customHeight="false" outlineLevel="0" collapsed="false">
      <c r="A106" s="0" t="s">
        <v>2647</v>
      </c>
      <c r="B106" s="14" t="n">
        <v>2423.40833661368</v>
      </c>
      <c r="C106" s="14" t="n">
        <v>7320.29311172376</v>
      </c>
      <c r="D106" s="14" t="n">
        <v>19024.8843100935</v>
      </c>
      <c r="E106" s="14" t="n">
        <v>3864.96134836955</v>
      </c>
      <c r="F106" s="14" t="n">
        <v>-1074.66751623611</v>
      </c>
      <c r="G106" s="14" t="n">
        <v>4646.81714013671</v>
      </c>
      <c r="H106" s="14" t="n">
        <v>21363.353847443</v>
      </c>
      <c r="I106" s="15" t="n">
        <v>37.6404670990493</v>
      </c>
      <c r="J106" s="15" t="n">
        <v>42.5337278219258</v>
      </c>
      <c r="K106" s="14" t="s">
        <v>58</v>
      </c>
      <c r="L106" s="14" t="n">
        <v>-11246.4034201647</v>
      </c>
      <c r="M106" s="14" t="n">
        <v>27433.2058622345</v>
      </c>
      <c r="N106" s="14" t="n">
        <v>11759.9321594194</v>
      </c>
      <c r="O106" s="14" t="n">
        <v>-19196.4526446153</v>
      </c>
      <c r="P106" s="14" t="n">
        <v>968.519919991184</v>
      </c>
      <c r="Q106" s="14" t="n">
        <v>1602.02635498548</v>
      </c>
      <c r="R106" s="14" t="n">
        <v>16720.3421667323</v>
      </c>
      <c r="S106" s="14" t="n">
        <v>23663.8976862019</v>
      </c>
      <c r="T106" s="14" t="n">
        <v>-937.016004190439</v>
      </c>
      <c r="U106" s="14" t="n">
        <v>11853.9333230826</v>
      </c>
      <c r="V106" s="14" t="n">
        <v>0.82509878873241</v>
      </c>
      <c r="W106" s="14" t="n">
        <v>53259.1234046399</v>
      </c>
      <c r="X106" s="14" t="n">
        <v>21751.8294322891</v>
      </c>
      <c r="Y106" s="14" t="n">
        <v>40.0123653722336</v>
      </c>
      <c r="Z106" s="14" t="n">
        <v>54.311317055817</v>
      </c>
      <c r="AA106" s="14" t="n">
        <v>30.1575455502983</v>
      </c>
      <c r="AB106" s="14" t="n">
        <v>27.9575455502983</v>
      </c>
      <c r="AC106" s="14" t="n">
        <v>29.4075455502983</v>
      </c>
      <c r="AD106" s="14" t="n">
        <v>30.1575455502983</v>
      </c>
      <c r="AE106" s="14" t="n">
        <v>653.683373262198</v>
      </c>
      <c r="AF106" s="14" t="n">
        <v>0.03</v>
      </c>
      <c r="AG106" s="14" t="n">
        <v>0.699294850981936</v>
      </c>
      <c r="AH106" s="14" t="n">
        <v>7989.21212851042</v>
      </c>
      <c r="AI106" s="14" t="n">
        <v>19024.8843100935</v>
      </c>
      <c r="AJ106" s="14" t="n">
        <v>22.221</v>
      </c>
      <c r="AK106" s="14" t="n">
        <v>0</v>
      </c>
      <c r="AL106" s="14" t="n">
        <v>-29913.0499092959</v>
      </c>
      <c r="AM106" s="14" t="n">
        <v>684.5</v>
      </c>
      <c r="AN106" s="14" t="n">
        <v>30483.4713884852</v>
      </c>
      <c r="AO106" s="14" t="n">
        <v>-8958.5427846092</v>
      </c>
      <c r="AP106" s="14" t="n">
        <v>0.585621100500218</v>
      </c>
      <c r="AQ106" s="14" t="n">
        <v>35.9738749170256</v>
      </c>
      <c r="AR106" s="14" t="n">
        <v>314.925245</v>
      </c>
      <c r="AS106" s="14" t="n">
        <v>314.925245</v>
      </c>
      <c r="AT106" s="14" t="n">
        <v>-11246.4034201647</v>
      </c>
      <c r="AU106" s="14" t="n">
        <v>0</v>
      </c>
      <c r="AV106" s="14" t="n">
        <v>0</v>
      </c>
      <c r="AW106" s="14" t="n">
        <v>2275.5</v>
      </c>
      <c r="AX106" s="14" t="n">
        <v>314.925245</v>
      </c>
      <c r="AY106" s="14" t="n">
        <v>314.925245</v>
      </c>
    </row>
    <row r="107" customFormat="false" ht="15" hidden="false" customHeight="false" outlineLevel="0" collapsed="false">
      <c r="A107" s="0" t="s">
        <v>2648</v>
      </c>
      <c r="B107" s="14" t="n">
        <v>2423.40833661368</v>
      </c>
      <c r="C107" s="14" t="n">
        <v>7320.29311172376</v>
      </c>
      <c r="D107" s="14" t="n">
        <v>19024.8843100935</v>
      </c>
      <c r="E107" s="14" t="n">
        <v>3864.96134836955</v>
      </c>
      <c r="F107" s="14" t="n">
        <v>-1074.66751623611</v>
      </c>
      <c r="G107" s="14" t="n">
        <v>4646.81714013671</v>
      </c>
      <c r="H107" s="14" t="n">
        <v>20198.770393295</v>
      </c>
      <c r="I107" s="15" t="n">
        <v>33.942499176065</v>
      </c>
      <c r="J107" s="15" t="n">
        <v>38.3550240689534</v>
      </c>
      <c r="K107" s="14" t="s">
        <v>58</v>
      </c>
      <c r="L107" s="14" t="n">
        <v>-11246.4034201647</v>
      </c>
      <c r="M107" s="14" t="n">
        <v>27433.2058622345</v>
      </c>
      <c r="N107" s="14" t="n">
        <v>11759.9321594194</v>
      </c>
      <c r="O107" s="14" t="n">
        <v>-22470.0943864178</v>
      </c>
      <c r="P107" s="14" t="n">
        <v>968.519919991184</v>
      </c>
      <c r="Q107" s="14" t="n">
        <v>1602.02635498548</v>
      </c>
      <c r="R107" s="14" t="n">
        <v>16720.3421667323</v>
      </c>
      <c r="S107" s="14" t="n">
        <v>23663.8976862019</v>
      </c>
      <c r="T107" s="14" t="n">
        <v>-937.016004190439</v>
      </c>
      <c r="U107" s="14" t="n">
        <v>10689.3498689346</v>
      </c>
      <c r="V107" s="14" t="n">
        <v>0.82509878873241</v>
      </c>
      <c r="W107" s="14" t="n">
        <v>53259.1234046399</v>
      </c>
      <c r="X107" s="14" t="n">
        <v>21751.8294322891</v>
      </c>
      <c r="Y107" s="14" t="n">
        <v>36.0813715490196</v>
      </c>
      <c r="Z107" s="14" t="n">
        <v>48.9755302336466</v>
      </c>
      <c r="AA107" s="14" t="n">
        <v>30.1575455502983</v>
      </c>
      <c r="AB107" s="14" t="n">
        <v>27.9575455502983</v>
      </c>
      <c r="AC107" s="14" t="n">
        <v>29.4075455502983</v>
      </c>
      <c r="AD107" s="14" t="n">
        <v>30.1575455502983</v>
      </c>
      <c r="AE107" s="14" t="n">
        <v>653.683373262198</v>
      </c>
      <c r="AF107" s="14" t="n">
        <v>0.03</v>
      </c>
      <c r="AG107" s="14" t="n">
        <v>0.699294850981936</v>
      </c>
      <c r="AH107" s="14" t="n">
        <v>7989.21212851042</v>
      </c>
      <c r="AI107" s="14" t="n">
        <v>19024.8843100935</v>
      </c>
      <c r="AJ107" s="14" t="n">
        <v>22.221</v>
      </c>
      <c r="AK107" s="14" t="n">
        <v>0</v>
      </c>
      <c r="AL107" s="14" t="n">
        <v>-36985.7517129936</v>
      </c>
      <c r="AM107" s="14" t="n">
        <v>684.5</v>
      </c>
      <c r="AN107" s="14" t="n">
        <v>21854.1913884852</v>
      </c>
      <c r="AO107" s="14" t="n">
        <v>-6256.1801281137</v>
      </c>
      <c r="AP107" s="14" t="n">
        <v>0.585621100500218</v>
      </c>
      <c r="AQ107" s="14" t="n">
        <v>32.2759069940412</v>
      </c>
      <c r="AR107" s="14" t="n">
        <v>314.925245</v>
      </c>
      <c r="AS107" s="14" t="n">
        <v>314.925245</v>
      </c>
      <c r="AT107" s="14" t="n">
        <v>-11246.4034201647</v>
      </c>
      <c r="AU107" s="14" t="n">
        <v>0</v>
      </c>
      <c r="AV107" s="14" t="n">
        <v>0</v>
      </c>
      <c r="AW107" s="14" t="n">
        <v>2275.5</v>
      </c>
      <c r="AX107" s="14" t="n">
        <v>314.925245</v>
      </c>
      <c r="AY107" s="14" t="n">
        <v>314.925245</v>
      </c>
    </row>
    <row r="108" customFormat="false" ht="15" hidden="false" customHeight="false" outlineLevel="0" collapsed="false">
      <c r="A108" s="0" t="s">
        <v>2649</v>
      </c>
      <c r="B108" s="14" t="n">
        <v>2423.40833661368</v>
      </c>
      <c r="C108" s="14" t="n">
        <v>7320.29311172376</v>
      </c>
      <c r="D108" s="14" t="n">
        <v>19024.8843100935</v>
      </c>
      <c r="E108" s="14" t="n">
        <v>3864.96134836955</v>
      </c>
      <c r="F108" s="14" t="n">
        <v>-1074.66751623611</v>
      </c>
      <c r="G108" s="14" t="n">
        <v>4646.81714013671</v>
      </c>
      <c r="H108" s="14" t="n">
        <v>20470.4968509037</v>
      </c>
      <c r="I108" s="15" t="n">
        <v>35.6089045614933</v>
      </c>
      <c r="J108" s="15" t="n">
        <v>40.2380621544874</v>
      </c>
      <c r="K108" s="14" t="s">
        <v>58</v>
      </c>
      <c r="L108" s="14" t="n">
        <v>-9683.89358152069</v>
      </c>
      <c r="M108" s="14" t="n">
        <v>27433.2058622345</v>
      </c>
      <c r="N108" s="14" t="n">
        <v>11759.9321594194</v>
      </c>
      <c r="O108" s="14" t="n">
        <v>-20600.6066665118</v>
      </c>
      <c r="P108" s="14" t="n">
        <v>968.519919991184</v>
      </c>
      <c r="Q108" s="14" t="n">
        <v>1602.02635498548</v>
      </c>
      <c r="R108" s="14" t="n">
        <v>16720.3421667323</v>
      </c>
      <c r="S108" s="14" t="n">
        <v>23663.8976862019</v>
      </c>
      <c r="T108" s="14" t="n">
        <v>-937.016004190439</v>
      </c>
      <c r="U108" s="14" t="n">
        <v>11214.1429932099</v>
      </c>
      <c r="V108" s="14" t="n">
        <v>0.82509878873241</v>
      </c>
      <c r="W108" s="14" t="n">
        <v>53259.1234046399</v>
      </c>
      <c r="X108" s="14" t="n">
        <v>21751.8294322891</v>
      </c>
      <c r="Y108" s="14" t="n">
        <v>37.8527847720425</v>
      </c>
      <c r="Z108" s="14" t="n">
        <v>51.3799815650649</v>
      </c>
      <c r="AA108" s="14" t="n">
        <v>30.1575455502983</v>
      </c>
      <c r="AB108" s="14" t="n">
        <v>27.9575455502983</v>
      </c>
      <c r="AC108" s="14" t="n">
        <v>29.4075455502983</v>
      </c>
      <c r="AD108" s="14" t="n">
        <v>30.1575455502983</v>
      </c>
      <c r="AE108" s="14" t="n">
        <v>653.683373262198</v>
      </c>
      <c r="AF108" s="14" t="n">
        <v>0.03</v>
      </c>
      <c r="AG108" s="14" t="n">
        <v>0.699294850981936</v>
      </c>
      <c r="AH108" s="14" t="n">
        <v>8567.93169795486</v>
      </c>
      <c r="AI108" s="14" t="n">
        <v>19024.8843100935</v>
      </c>
      <c r="AJ108" s="14" t="n">
        <v>22.221</v>
      </c>
      <c r="AK108" s="14" t="n">
        <v>0</v>
      </c>
      <c r="AL108" s="14" t="n">
        <v>-35483.8062926796</v>
      </c>
      <c r="AM108" s="14" t="n">
        <v>684.5</v>
      </c>
      <c r="AN108" s="14" t="n">
        <v>21854.1913884852</v>
      </c>
      <c r="AO108" s="14" t="n">
        <v>-5613.79256375324</v>
      </c>
      <c r="AP108" s="14" t="n">
        <v>0.585621100500218</v>
      </c>
      <c r="AQ108" s="14" t="n">
        <v>33.9423123794695</v>
      </c>
      <c r="AR108" s="14" t="n">
        <v>314.925245</v>
      </c>
      <c r="AS108" s="14" t="n">
        <v>314.925245</v>
      </c>
      <c r="AT108" s="14" t="n">
        <v>-9683.89358152069</v>
      </c>
      <c r="AU108" s="14" t="n">
        <v>0</v>
      </c>
      <c r="AV108" s="14" t="n">
        <v>0</v>
      </c>
      <c r="AW108" s="14" t="n">
        <v>2275.5</v>
      </c>
      <c r="AX108" s="14" t="n">
        <v>314.925245</v>
      </c>
      <c r="AY108" s="14" t="n">
        <v>314.925245</v>
      </c>
    </row>
    <row r="109" customFormat="false" ht="15" hidden="false" customHeight="false" outlineLevel="0" collapsed="false">
      <c r="A109" s="0" t="s">
        <v>2650</v>
      </c>
      <c r="B109" s="14" t="n">
        <v>2423.40833661368</v>
      </c>
      <c r="C109" s="14" t="n">
        <v>7336.21347446577</v>
      </c>
      <c r="D109" s="14" t="n">
        <v>18576.5735684625</v>
      </c>
      <c r="E109" s="14" t="n">
        <v>3876.26480591638</v>
      </c>
      <c r="F109" s="14" t="n">
        <v>-1064.05630097081</v>
      </c>
      <c r="G109" s="14" t="n">
        <v>4646.87256790856</v>
      </c>
      <c r="H109" s="14" t="n">
        <v>10106.1247803303</v>
      </c>
      <c r="I109" s="15" t="n">
        <v>2.69832582852008</v>
      </c>
      <c r="J109" s="15" t="n">
        <v>3.04910818622769</v>
      </c>
      <c r="K109" s="14" t="s">
        <v>58</v>
      </c>
      <c r="L109" s="14" t="n">
        <v>-9672.79955737185</v>
      </c>
      <c r="M109" s="14" t="n">
        <v>27433.5242694893</v>
      </c>
      <c r="N109" s="14" t="n">
        <v>11419.2159957799</v>
      </c>
      <c r="O109" s="14" t="n">
        <v>-20842.4670061045</v>
      </c>
      <c r="P109" s="14" t="n">
        <v>968.519919991184</v>
      </c>
      <c r="Q109" s="14" t="n">
        <v>1279.58844139919</v>
      </c>
      <c r="R109" s="14" t="n">
        <v>16720.3421667323</v>
      </c>
      <c r="S109" s="14" t="n">
        <v>23654.9314713693</v>
      </c>
      <c r="T109" s="14" t="n">
        <v>-937.016004190439</v>
      </c>
      <c r="U109" s="14" t="n">
        <v>849.770922636513</v>
      </c>
      <c r="V109" s="14" t="n">
        <v>0.82509878873241</v>
      </c>
      <c r="W109" s="14" t="n">
        <v>44606.695298757</v>
      </c>
      <c r="X109" s="14" t="n">
        <v>21344.4515046184</v>
      </c>
      <c r="Y109" s="14" t="n">
        <v>2.86835970074364</v>
      </c>
      <c r="Z109" s="14" t="n">
        <v>3.89340624299413</v>
      </c>
      <c r="AA109" s="14" t="n">
        <v>30.1575455502983</v>
      </c>
      <c r="AB109" s="14" t="n">
        <v>27.9575455502983</v>
      </c>
      <c r="AC109" s="14" t="n">
        <v>29.4075455502983</v>
      </c>
      <c r="AD109" s="14" t="n">
        <v>30.1575455502983</v>
      </c>
      <c r="AE109" s="14" t="n">
        <v>653.683373262198</v>
      </c>
      <c r="AF109" s="14" t="n">
        <v>0.03</v>
      </c>
      <c r="AG109" s="14" t="n">
        <v>0.692782615751903</v>
      </c>
      <c r="AH109" s="14" t="n">
        <v>8567.93169795486</v>
      </c>
      <c r="AI109" s="14" t="n">
        <v>18576.5735684625</v>
      </c>
      <c r="AJ109" s="14" t="n">
        <v>21.24225</v>
      </c>
      <c r="AK109" s="14" t="n">
        <v>0</v>
      </c>
      <c r="AL109" s="14" t="n">
        <v>-36270.4603210781</v>
      </c>
      <c r="AM109" s="14" t="n">
        <v>684.5</v>
      </c>
      <c r="AN109" s="14" t="n">
        <v>21854.1913884852</v>
      </c>
      <c r="AO109" s="14" t="n">
        <v>-5613.79256375324</v>
      </c>
      <c r="AP109" s="14" t="n">
        <v>0.585621100500218</v>
      </c>
      <c r="AQ109" s="14" t="n">
        <v>1.03173364649628</v>
      </c>
      <c r="AR109" s="14" t="n">
        <v>314.925245</v>
      </c>
      <c r="AS109" s="14" t="n">
        <v>314.925245</v>
      </c>
      <c r="AT109" s="14" t="n">
        <v>-9672.79955737185</v>
      </c>
      <c r="AU109" s="14" t="n">
        <v>0</v>
      </c>
      <c r="AV109" s="14" t="n">
        <v>0</v>
      </c>
      <c r="AW109" s="14" t="n">
        <v>2275.5</v>
      </c>
      <c r="AX109" s="14" t="n">
        <v>314.925245</v>
      </c>
      <c r="AY109" s="14" t="n">
        <v>314.925245</v>
      </c>
    </row>
    <row r="110" customFormat="false" ht="15" hidden="false" customHeight="false" outlineLevel="0" collapsed="false">
      <c r="A110" s="0" t="s">
        <v>2651</v>
      </c>
      <c r="B110" s="14" t="n">
        <v>2423.40833661368</v>
      </c>
      <c r="C110" s="14" t="n">
        <v>7640.8884091291</v>
      </c>
      <c r="D110" s="14" t="n">
        <v>20773.0271269625</v>
      </c>
      <c r="E110" s="14" t="n">
        <v>4092.58400952734</v>
      </c>
      <c r="F110" s="14" t="n">
        <v>-860.156027373533</v>
      </c>
      <c r="G110" s="14" t="n">
        <v>4647.10450053571</v>
      </c>
      <c r="H110" s="14" t="n">
        <v>52719.1031689856</v>
      </c>
      <c r="I110" s="15" t="n">
        <v>136.113967505863</v>
      </c>
      <c r="J110" s="15" t="n">
        <v>153.808783281625</v>
      </c>
      <c r="K110" s="14" t="s">
        <v>58</v>
      </c>
      <c r="L110" s="14" t="n">
        <v>-9462.51644435236</v>
      </c>
      <c r="M110" s="14" t="n">
        <v>27439.6177681826</v>
      </c>
      <c r="N110" s="14" t="n">
        <v>13088.5207002398</v>
      </c>
      <c r="O110" s="14" t="n">
        <v>-19367.9015585466</v>
      </c>
      <c r="P110" s="14" t="n">
        <v>968.519919991184</v>
      </c>
      <c r="Q110" s="14" t="n">
        <v>2857.31881899515</v>
      </c>
      <c r="R110" s="14" t="n">
        <v>16720.3421667323</v>
      </c>
      <c r="S110" s="14" t="n">
        <v>23698.8605425393</v>
      </c>
      <c r="T110" s="14" t="n">
        <v>-937.016004190439</v>
      </c>
      <c r="U110" s="14" t="n">
        <v>43648.631767737</v>
      </c>
      <c r="V110" s="14" t="n">
        <v>0.82509878873241</v>
      </c>
      <c r="W110" s="14" t="n">
        <v>80005.6649527215</v>
      </c>
      <c r="X110" s="14" t="n">
        <v>23007.0548544672</v>
      </c>
      <c r="Y110" s="14" t="n">
        <v>144.691132173715</v>
      </c>
      <c r="Z110" s="14" t="n">
        <v>196.398435372308</v>
      </c>
      <c r="AA110" s="14" t="n">
        <v>30.1575455502983</v>
      </c>
      <c r="AB110" s="14" t="n">
        <v>27.9575455502983</v>
      </c>
      <c r="AC110" s="14" t="n">
        <v>29.4075455502983</v>
      </c>
      <c r="AD110" s="14" t="n">
        <v>30.1575455502983</v>
      </c>
      <c r="AE110" s="14" t="n">
        <v>653.683373262198</v>
      </c>
      <c r="AF110" s="14" t="n">
        <v>0.03</v>
      </c>
      <c r="AG110" s="14" t="n">
        <v>0.715140897863769</v>
      </c>
      <c r="AH110" s="14" t="n">
        <v>8567.93169795486</v>
      </c>
      <c r="AI110" s="14" t="n">
        <v>20773.0271269625</v>
      </c>
      <c r="AJ110" s="14" t="n">
        <v>22.39175</v>
      </c>
      <c r="AK110" s="14" t="n">
        <v>0</v>
      </c>
      <c r="AL110" s="14" t="n">
        <v>-32658.2496267327</v>
      </c>
      <c r="AM110" s="14" t="n">
        <v>684.5</v>
      </c>
      <c r="AN110" s="14" t="n">
        <v>21854.1913884852</v>
      </c>
      <c r="AO110" s="14" t="n">
        <v>-5613.79256375324</v>
      </c>
      <c r="AP110" s="14" t="n">
        <v>0.493991752567796</v>
      </c>
      <c r="AQ110" s="14" t="n">
        <v>134.531113432882</v>
      </c>
      <c r="AR110" s="14" t="n">
        <v>320.625442914373</v>
      </c>
      <c r="AS110" s="14" t="n">
        <v>320.677095580634</v>
      </c>
      <c r="AT110" s="14" t="n">
        <v>-9462.51644435236</v>
      </c>
      <c r="AU110" s="14" t="n">
        <v>0</v>
      </c>
      <c r="AV110" s="14" t="n">
        <v>0</v>
      </c>
      <c r="AW110" s="14" t="n">
        <v>2275.5</v>
      </c>
      <c r="AX110" s="14" t="n">
        <v>320.677095580634</v>
      </c>
      <c r="AY110" s="14" t="n">
        <v>319.311457212645</v>
      </c>
    </row>
    <row r="111" customFormat="false" ht="15" hidden="false" customHeight="false" outlineLevel="0" collapsed="false">
      <c r="A111" s="0" t="s">
        <v>2652</v>
      </c>
      <c r="B111" s="14" t="n">
        <v>2423.40833661368</v>
      </c>
      <c r="C111" s="14" t="n">
        <v>7619.72420522498</v>
      </c>
      <c r="D111" s="14" t="n">
        <v>19459.2297182455</v>
      </c>
      <c r="E111" s="14" t="n">
        <v>4077.55742475542</v>
      </c>
      <c r="F111" s="14" t="n">
        <v>-874.319108801555</v>
      </c>
      <c r="G111" s="14" t="n">
        <v>4647.08756534797</v>
      </c>
      <c r="H111" s="14" t="n">
        <v>22073.1378314041</v>
      </c>
      <c r="I111" s="15" t="n">
        <v>40.6978614042527</v>
      </c>
      <c r="J111" s="15" t="n">
        <v>45.9885833868055</v>
      </c>
      <c r="K111" s="14" t="s">
        <v>58</v>
      </c>
      <c r="L111" s="14" t="n">
        <v>-9477.1197450462</v>
      </c>
      <c r="M111" s="14" t="n">
        <v>27439.1944841045</v>
      </c>
      <c r="N111" s="14" t="n">
        <v>12090.034669615</v>
      </c>
      <c r="O111" s="14" t="n">
        <v>-20127.942161864</v>
      </c>
      <c r="P111" s="14" t="n">
        <v>968.519919991184</v>
      </c>
      <c r="Q111" s="14" t="n">
        <v>1912.77370160978</v>
      </c>
      <c r="R111" s="14" t="n">
        <v>16720.3421667323</v>
      </c>
      <c r="S111" s="14" t="n">
        <v>23672.5845943649</v>
      </c>
      <c r="T111" s="14" t="n">
        <v>-937.016004190439</v>
      </c>
      <c r="U111" s="14" t="n">
        <v>12816.7839737103</v>
      </c>
      <c r="V111" s="14" t="n">
        <v>0.82509878873241</v>
      </c>
      <c r="W111" s="14" t="n">
        <v>54275.5703625904</v>
      </c>
      <c r="X111" s="14" t="n">
        <v>21798.7630657667</v>
      </c>
      <c r="Y111" s="14" t="n">
        <v>43.2624200993672</v>
      </c>
      <c r="Z111" s="14" t="n">
        <v>58.722822126612</v>
      </c>
      <c r="AA111" s="14" t="n">
        <v>30.1575455502983</v>
      </c>
      <c r="AB111" s="14" t="n">
        <v>27.9575455502983</v>
      </c>
      <c r="AC111" s="14" t="n">
        <v>29.4075455502983</v>
      </c>
      <c r="AD111" s="14" t="n">
        <v>23.1609949826291</v>
      </c>
      <c r="AE111" s="14" t="n">
        <v>653.683373262198</v>
      </c>
      <c r="AF111" s="14" t="n">
        <v>0.03</v>
      </c>
      <c r="AG111" s="14" t="n">
        <v>0.699896266672107</v>
      </c>
      <c r="AH111" s="14" t="n">
        <v>8567.93169795486</v>
      </c>
      <c r="AI111" s="14" t="n">
        <v>19459.2297182455</v>
      </c>
      <c r="AJ111" s="14" t="n">
        <v>22.39175</v>
      </c>
      <c r="AK111" s="14" t="n">
        <v>0</v>
      </c>
      <c r="AL111" s="14" t="n">
        <v>-34895.0663484666</v>
      </c>
      <c r="AM111" s="14" t="n">
        <v>684.5</v>
      </c>
      <c r="AN111" s="14" t="n">
        <v>21854.1913884852</v>
      </c>
      <c r="AO111" s="14" t="n">
        <v>-5613.79256375324</v>
      </c>
      <c r="AP111" s="14" t="n">
        <v>0.52477734060772</v>
      </c>
      <c r="AQ111" s="14" t="n">
        <v>39.0312692222289</v>
      </c>
      <c r="AR111" s="14" t="n">
        <v>314.925245</v>
      </c>
      <c r="AS111" s="14" t="n">
        <v>314.925245</v>
      </c>
      <c r="AT111" s="14" t="n">
        <v>-9477.1197450462</v>
      </c>
      <c r="AU111" s="14" t="n">
        <v>0</v>
      </c>
      <c r="AV111" s="14" t="n">
        <v>0</v>
      </c>
      <c r="AW111" s="14" t="n">
        <v>2275.5</v>
      </c>
      <c r="AX111" s="14" t="n">
        <v>314.925245</v>
      </c>
      <c r="AY111" s="14" t="n">
        <v>314.925245</v>
      </c>
    </row>
    <row r="112" customFormat="false" ht="15" hidden="false" customHeight="false" outlineLevel="0" collapsed="false">
      <c r="A112" s="0" t="s">
        <v>2653</v>
      </c>
      <c r="B112" s="14" t="n">
        <v>2423.40833661368</v>
      </c>
      <c r="C112" s="14" t="n">
        <v>7619.72420522498</v>
      </c>
      <c r="D112" s="14" t="n">
        <v>19459.2297182455</v>
      </c>
      <c r="E112" s="14" t="n">
        <v>4077.55742475542</v>
      </c>
      <c r="F112" s="14" t="n">
        <v>-874.319108801555</v>
      </c>
      <c r="G112" s="14" t="n">
        <v>4647.08756534797</v>
      </c>
      <c r="H112" s="14" t="n">
        <v>22073.1378314041</v>
      </c>
      <c r="I112" s="15" t="n">
        <v>40.6305835332773</v>
      </c>
      <c r="J112" s="15" t="n">
        <v>45.9125593926033</v>
      </c>
      <c r="K112" s="14" t="s">
        <v>58</v>
      </c>
      <c r="L112" s="14" t="n">
        <v>-9477.1197450462</v>
      </c>
      <c r="M112" s="14" t="n">
        <v>27439.1944841045</v>
      </c>
      <c r="N112" s="14" t="n">
        <v>12090.034669615</v>
      </c>
      <c r="O112" s="14" t="n">
        <v>-20127.942161864</v>
      </c>
      <c r="P112" s="14" t="n">
        <v>968.519919991184</v>
      </c>
      <c r="Q112" s="14" t="n">
        <v>1912.77370160978</v>
      </c>
      <c r="R112" s="14" t="n">
        <v>16720.3421667323</v>
      </c>
      <c r="S112" s="14" t="n">
        <v>23672.5845943649</v>
      </c>
      <c r="T112" s="14" t="n">
        <v>-937.016004190439</v>
      </c>
      <c r="U112" s="14" t="n">
        <v>12795.5964737103</v>
      </c>
      <c r="V112" s="14" t="n">
        <v>0.82509878873241</v>
      </c>
      <c r="W112" s="14" t="n">
        <v>54275.5703625904</v>
      </c>
      <c r="X112" s="14" t="n">
        <v>21798.7630657667</v>
      </c>
      <c r="Y112" s="14" t="n">
        <v>43.1909027415233</v>
      </c>
      <c r="Z112" s="14" t="n">
        <v>58.6257470884152</v>
      </c>
      <c r="AA112" s="14" t="n">
        <v>30.1575455502983</v>
      </c>
      <c r="AB112" s="14" t="n">
        <v>27.9575455502983</v>
      </c>
      <c r="AC112" s="14" t="n">
        <v>29.4075455502983</v>
      </c>
      <c r="AD112" s="14" t="n">
        <v>23.1609949826291</v>
      </c>
      <c r="AE112" s="14" t="n">
        <v>653.683373262198</v>
      </c>
      <c r="AF112" s="14" t="n">
        <v>0.03</v>
      </c>
      <c r="AG112" s="14" t="n">
        <v>0.699896266672107</v>
      </c>
      <c r="AH112" s="14" t="n">
        <v>8567.93169795486</v>
      </c>
      <c r="AI112" s="14" t="n">
        <v>19459.2297182455</v>
      </c>
      <c r="AJ112" s="14" t="n">
        <v>22.39175</v>
      </c>
      <c r="AK112" s="14" t="n">
        <v>0</v>
      </c>
      <c r="AL112" s="14" t="n">
        <v>-34895.0663484666</v>
      </c>
      <c r="AM112" s="14" t="n">
        <v>684.5</v>
      </c>
      <c r="AN112" s="14" t="n">
        <v>21854.1913884852</v>
      </c>
      <c r="AO112" s="14" t="n">
        <v>-5613.79256375324</v>
      </c>
      <c r="AP112" s="14" t="n">
        <v>0.52477734060772</v>
      </c>
      <c r="AQ112" s="14" t="n">
        <v>38.9639913512535</v>
      </c>
      <c r="AR112" s="14" t="n">
        <v>314.925245</v>
      </c>
      <c r="AS112" s="14" t="n">
        <v>314.925245</v>
      </c>
      <c r="AT112" s="14" t="n">
        <v>-9477.1197450462</v>
      </c>
      <c r="AU112" s="14" t="n">
        <v>0</v>
      </c>
      <c r="AV112" s="14" t="n">
        <v>0</v>
      </c>
      <c r="AW112" s="14" t="n">
        <v>2254.3125</v>
      </c>
      <c r="AX112" s="14" t="n">
        <v>314.925245</v>
      </c>
      <c r="AY112" s="14" t="n">
        <v>314.925245</v>
      </c>
    </row>
    <row r="113" customFormat="false" ht="15" hidden="false" customHeight="false" outlineLevel="0" collapsed="false">
      <c r="A113" s="0" t="s">
        <v>2654</v>
      </c>
      <c r="B113" s="14" t="n">
        <v>2423.40833661368</v>
      </c>
      <c r="C113" s="14" t="n">
        <v>7619.72420522498</v>
      </c>
      <c r="D113" s="14" t="n">
        <v>19459.2297182455</v>
      </c>
      <c r="E113" s="14" t="n">
        <v>4077.55742475542</v>
      </c>
      <c r="F113" s="14" t="n">
        <v>-871.022065051555</v>
      </c>
      <c r="G113" s="14" t="n">
        <v>4643.79052159797</v>
      </c>
      <c r="H113" s="14" t="n">
        <v>22067.0628189584</v>
      </c>
      <c r="I113" s="15" t="n">
        <v>40.6512828505209</v>
      </c>
      <c r="J113" s="15" t="n">
        <v>45.9359496210886</v>
      </c>
      <c r="K113" s="14" t="s">
        <v>58</v>
      </c>
      <c r="L113" s="14" t="n">
        <v>-10196.4144849004</v>
      </c>
      <c r="M113" s="14" t="n">
        <v>27439.1944841045</v>
      </c>
      <c r="N113" s="14" t="n">
        <v>12090.034669615</v>
      </c>
      <c r="O113" s="14" t="n">
        <v>-20799.5413615901</v>
      </c>
      <c r="P113" s="14" t="n">
        <v>968.519919991184</v>
      </c>
      <c r="Q113" s="14" t="n">
        <v>1919.83879535978</v>
      </c>
      <c r="R113" s="14" t="n">
        <v>16720.3421667323</v>
      </c>
      <c r="S113" s="14" t="n">
        <v>23672.5845943649</v>
      </c>
      <c r="T113" s="14" t="n">
        <v>-936.780501065439</v>
      </c>
      <c r="U113" s="14" t="n">
        <v>12802.1152112646</v>
      </c>
      <c r="V113" s="14" t="n">
        <v>0.82509878873241</v>
      </c>
      <c r="W113" s="14" t="n">
        <v>54275.5703625904</v>
      </c>
      <c r="X113" s="14" t="n">
        <v>21798.7630657667</v>
      </c>
      <c r="Y113" s="14" t="n">
        <v>43.2129064175757</v>
      </c>
      <c r="Z113" s="14" t="n">
        <v>58.6556140711681</v>
      </c>
      <c r="AA113" s="14" t="n">
        <v>30.1575455502983</v>
      </c>
      <c r="AB113" s="14" t="n">
        <v>27.9575455502983</v>
      </c>
      <c r="AC113" s="14" t="n">
        <v>29.4075455502983</v>
      </c>
      <c r="AD113" s="14" t="n">
        <v>23.1609949826291</v>
      </c>
      <c r="AE113" s="14" t="n">
        <v>653.683373262198</v>
      </c>
      <c r="AF113" s="14" t="n">
        <v>0.03</v>
      </c>
      <c r="AG113" s="14" t="n">
        <v>0.699896266672107</v>
      </c>
      <c r="AH113" s="14" t="n">
        <v>7811.44814326736</v>
      </c>
      <c r="AI113" s="14" t="n">
        <v>19459.2297182455</v>
      </c>
      <c r="AJ113" s="14" t="n">
        <v>22.39175</v>
      </c>
      <c r="AK113" s="14" t="n">
        <v>0</v>
      </c>
      <c r="AL113" s="14" t="n">
        <v>-35532.2196795232</v>
      </c>
      <c r="AM113" s="14" t="n">
        <v>684.5</v>
      </c>
      <c r="AN113" s="14" t="n">
        <v>21854.1913884852</v>
      </c>
      <c r="AO113" s="14" t="n">
        <v>-5613.79256375324</v>
      </c>
      <c r="AP113" s="14" t="n">
        <v>0.52477734060772</v>
      </c>
      <c r="AQ113" s="14" t="n">
        <v>38.9846906684971</v>
      </c>
      <c r="AR113" s="14" t="n">
        <v>314.925245</v>
      </c>
      <c r="AS113" s="14" t="n">
        <v>314.925245</v>
      </c>
      <c r="AT113" s="14" t="n">
        <v>-10196.4144849004</v>
      </c>
      <c r="AU113" s="14" t="n">
        <v>0</v>
      </c>
      <c r="AV113" s="14" t="n">
        <v>0</v>
      </c>
      <c r="AW113" s="14" t="n">
        <v>2254.3125</v>
      </c>
      <c r="AX113" s="14" t="n">
        <v>314.925245</v>
      </c>
      <c r="AY113" s="14" t="n">
        <v>314.925245</v>
      </c>
    </row>
    <row r="114" customFormat="false" ht="15" hidden="false" customHeight="false" outlineLevel="0" collapsed="false">
      <c r="A114" s="0" t="s">
        <v>2655</v>
      </c>
      <c r="B114" s="14" t="n">
        <v>2423.40833661368</v>
      </c>
      <c r="C114" s="14" t="n">
        <v>7619.72420522498</v>
      </c>
      <c r="D114" s="14" t="n">
        <v>19459.2297182455</v>
      </c>
      <c r="E114" s="14" t="n">
        <v>4077.55742475542</v>
      </c>
      <c r="F114" s="14" t="n">
        <v>-871.022065051555</v>
      </c>
      <c r="G114" s="14" t="n">
        <v>4643.79052159797</v>
      </c>
      <c r="H114" s="14" t="n">
        <v>22067.0628189584</v>
      </c>
      <c r="I114" s="15" t="n">
        <v>41.2706686036129</v>
      </c>
      <c r="J114" s="15" t="n">
        <v>46.6358555220826</v>
      </c>
      <c r="K114" s="14" t="s">
        <v>58</v>
      </c>
      <c r="L114" s="14" t="n">
        <v>-10196.4144849004</v>
      </c>
      <c r="M114" s="14" t="n">
        <v>27439.1944841045</v>
      </c>
      <c r="N114" s="14" t="n">
        <v>12090.034669615</v>
      </c>
      <c r="O114" s="14" t="n">
        <v>-20799.5413615901</v>
      </c>
      <c r="P114" s="14" t="n">
        <v>968.519919991184</v>
      </c>
      <c r="Q114" s="14" t="n">
        <v>1919.83879535978</v>
      </c>
      <c r="R114" s="14" t="n">
        <v>16720.3421667323</v>
      </c>
      <c r="S114" s="14" t="n">
        <v>23672.5845943649</v>
      </c>
      <c r="T114" s="14" t="n">
        <v>-936.780501065439</v>
      </c>
      <c r="U114" s="14" t="n">
        <v>12997.1754213066</v>
      </c>
      <c r="V114" s="14" t="n">
        <v>0.82509878873241</v>
      </c>
      <c r="W114" s="14" t="n">
        <v>54275.5703625904</v>
      </c>
      <c r="X114" s="14" t="n">
        <v>21798.7630657667</v>
      </c>
      <c r="Y114" s="14" t="n">
        <v>43.8713225045455</v>
      </c>
      <c r="Z114" s="14" t="n">
        <v>59.5493239161472</v>
      </c>
      <c r="AA114" s="14" t="n">
        <v>30.1575455502983</v>
      </c>
      <c r="AB114" s="14" t="n">
        <v>27.9575455502983</v>
      </c>
      <c r="AC114" s="14" t="n">
        <v>29.4075455502983</v>
      </c>
      <c r="AD114" s="14" t="n">
        <v>23.1609949826291</v>
      </c>
      <c r="AE114" s="14" t="n">
        <v>653.683373262198</v>
      </c>
      <c r="AF114" s="14" t="n">
        <v>0.03</v>
      </c>
      <c r="AG114" s="14" t="n">
        <v>0.699896266672107</v>
      </c>
      <c r="AH114" s="14" t="n">
        <v>7811.44814326736</v>
      </c>
      <c r="AI114" s="14" t="n">
        <v>19459.2297182455</v>
      </c>
      <c r="AJ114" s="14" t="n">
        <v>22.39175</v>
      </c>
      <c r="AK114" s="14" t="n">
        <v>0</v>
      </c>
      <c r="AL114" s="14" t="n">
        <v>-35532.2196795232</v>
      </c>
      <c r="AM114" s="14" t="n">
        <v>684.5</v>
      </c>
      <c r="AN114" s="14" t="n">
        <v>21854.1913884852</v>
      </c>
      <c r="AO114" s="14" t="n">
        <v>-5613.79256375324</v>
      </c>
      <c r="AP114" s="14" t="n">
        <v>0.52477734060772</v>
      </c>
      <c r="AQ114" s="14" t="n">
        <v>41.2706686036129</v>
      </c>
      <c r="AR114" s="14" t="n">
        <v>314.925245</v>
      </c>
      <c r="AS114" s="14" t="n">
        <v>314.925245</v>
      </c>
      <c r="AT114" s="14" t="n">
        <v>-10196.4144849004</v>
      </c>
      <c r="AU114" s="14" t="n">
        <v>0</v>
      </c>
      <c r="AV114" s="14" t="n">
        <v>0</v>
      </c>
      <c r="AW114" s="14" t="n">
        <v>2254.3125</v>
      </c>
      <c r="AX114" s="14" t="n">
        <v>314.925245</v>
      </c>
      <c r="AY114" s="14" t="n">
        <v>314.925245</v>
      </c>
    </row>
    <row r="115" customFormat="false" ht="15" hidden="false" customHeight="false" outlineLevel="0" collapsed="false">
      <c r="A115" s="0" t="s">
        <v>2656</v>
      </c>
      <c r="B115" s="14" t="n">
        <v>2423.40833661368</v>
      </c>
      <c r="C115" s="14" t="n">
        <v>7621.71734378923</v>
      </c>
      <c r="D115" s="14" t="n">
        <v>19606.894648061</v>
      </c>
      <c r="E115" s="14" t="n">
        <v>4078.97255313604</v>
      </c>
      <c r="F115" s="14" t="n">
        <v>-869.688332375516</v>
      </c>
      <c r="G115" s="14" t="n">
        <v>4643.79219175998</v>
      </c>
      <c r="H115" s="14" t="n">
        <v>26024.2362148849</v>
      </c>
      <c r="I115" s="15" t="n">
        <v>53.8106113399246</v>
      </c>
      <c r="J115" s="15" t="n">
        <v>60.8059908141148</v>
      </c>
      <c r="K115" s="14" t="s">
        <v>58</v>
      </c>
      <c r="L115" s="14" t="n">
        <v>-10195.0392192911</v>
      </c>
      <c r="M115" s="14" t="n">
        <v>27439.2343468758</v>
      </c>
      <c r="N115" s="14" t="n">
        <v>12202.2600162747</v>
      </c>
      <c r="O115" s="14" t="n">
        <v>-20714.3691824994</v>
      </c>
      <c r="P115" s="14" t="n">
        <v>968.519919991184</v>
      </c>
      <c r="Q115" s="14" t="n">
        <v>2026.01055502154</v>
      </c>
      <c r="R115" s="14" t="n">
        <v>16720.3421667323</v>
      </c>
      <c r="S115" s="14" t="n">
        <v>23675.5378929612</v>
      </c>
      <c r="T115" s="14" t="n">
        <v>-936.780501065439</v>
      </c>
      <c r="U115" s="14" t="n">
        <v>17129.3488172331</v>
      </c>
      <c r="V115" s="14" t="n">
        <v>0.82509878873241</v>
      </c>
      <c r="W115" s="14" t="n">
        <v>57617.3326897501</v>
      </c>
      <c r="X115" s="14" t="n">
        <v>21955.5413172654</v>
      </c>
      <c r="Y115" s="14" t="n">
        <v>57.2014644815791</v>
      </c>
      <c r="Z115" s="14" t="n">
        <v>77.6431696705432</v>
      </c>
      <c r="AA115" s="14" t="n">
        <v>30.1575455502983</v>
      </c>
      <c r="AB115" s="14" t="n">
        <v>27.9575455502983</v>
      </c>
      <c r="AC115" s="14" t="n">
        <v>29.4075455502983</v>
      </c>
      <c r="AD115" s="14" t="n">
        <v>23.1609949826291</v>
      </c>
      <c r="AE115" s="14" t="n">
        <v>653.683373262198</v>
      </c>
      <c r="AF115" s="14" t="n">
        <v>0.03</v>
      </c>
      <c r="AG115" s="14" t="n">
        <v>0.702129022128044</v>
      </c>
      <c r="AH115" s="14" t="n">
        <v>7811.44814326736</v>
      </c>
      <c r="AI115" s="14" t="n">
        <v>19606.894648061</v>
      </c>
      <c r="AJ115" s="14" t="n">
        <v>22.39175</v>
      </c>
      <c r="AK115" s="14" t="n">
        <v>0</v>
      </c>
      <c r="AL115" s="14" t="n">
        <v>-35264.7007587921</v>
      </c>
      <c r="AM115" s="14" t="n">
        <v>684.5</v>
      </c>
      <c r="AN115" s="14" t="n">
        <v>21854.1913884852</v>
      </c>
      <c r="AO115" s="14" t="n">
        <v>-5613.79256375324</v>
      </c>
      <c r="AP115" s="14" t="n">
        <v>0.519414437863832</v>
      </c>
      <c r="AQ115" s="14" t="n">
        <v>53.8106113399246</v>
      </c>
      <c r="AR115" s="14" t="n">
        <v>318.3265975</v>
      </c>
      <c r="AS115" s="14" t="n">
        <v>318.3265975</v>
      </c>
      <c r="AT115" s="14" t="n">
        <v>-10195.0392192911</v>
      </c>
      <c r="AU115" s="14" t="n">
        <v>0</v>
      </c>
      <c r="AV115" s="14" t="n">
        <v>0</v>
      </c>
      <c r="AW115" s="14" t="n">
        <v>2254.3125</v>
      </c>
      <c r="AX115" s="14" t="n">
        <v>318.3265975</v>
      </c>
      <c r="AY115" s="14" t="n">
        <v>315.074450838916</v>
      </c>
    </row>
    <row r="116" customFormat="false" ht="15" hidden="false" customHeight="false" outlineLevel="0" collapsed="false">
      <c r="A116" s="0" t="s">
        <v>2657</v>
      </c>
      <c r="B116" s="14" t="n">
        <v>2423.40833661368</v>
      </c>
      <c r="C116" s="14" t="n">
        <v>7621.71734378923</v>
      </c>
      <c r="D116" s="14" t="n">
        <v>19606.894648061</v>
      </c>
      <c r="E116" s="14" t="n">
        <v>4078.97255313604</v>
      </c>
      <c r="F116" s="14" t="n">
        <v>-974.113332375516</v>
      </c>
      <c r="G116" s="14" t="n">
        <v>4748.21719175998</v>
      </c>
      <c r="H116" s="14" t="n">
        <v>-308.596610364756</v>
      </c>
      <c r="I116" s="15" t="n">
        <v>0.01</v>
      </c>
      <c r="J116" s="15" t="n">
        <v>0.0113</v>
      </c>
      <c r="K116" s="14" t="s">
        <v>58</v>
      </c>
      <c r="L116" s="14" t="n">
        <v>-13507.4496750321</v>
      </c>
      <c r="M116" s="14" t="n">
        <v>32170.7343468758</v>
      </c>
      <c r="N116" s="14" t="n">
        <v>12202.2600162747</v>
      </c>
      <c r="O116" s="14" t="n">
        <v>-28654.9561743678</v>
      </c>
      <c r="P116" s="14" t="n">
        <v>968.519919991184</v>
      </c>
      <c r="Q116" s="14" t="n">
        <v>902.910555021538</v>
      </c>
      <c r="R116" s="14" t="n">
        <v>16850.3421667323</v>
      </c>
      <c r="S116" s="14" t="n">
        <v>29456.0378929612</v>
      </c>
      <c r="T116" s="14" t="n">
        <v>-936.780501065439</v>
      </c>
      <c r="U116" s="14" t="n">
        <v>-9378.48400801656</v>
      </c>
      <c r="V116" s="14" t="n">
        <v>0.82509878873241</v>
      </c>
      <c r="W116" s="14" t="n">
        <v>45973.6412973655</v>
      </c>
      <c r="X116" s="14" t="n">
        <v>25494.8402952654</v>
      </c>
      <c r="Y116" s="14" t="n">
        <v>0.0106301458127347</v>
      </c>
      <c r="Z116" s="14" t="n">
        <v>0.01442897</v>
      </c>
      <c r="AA116" s="14" t="n">
        <v>30.1575455502983</v>
      </c>
      <c r="AB116" s="14" t="n">
        <v>27.9575455502983</v>
      </c>
      <c r="AC116" s="14" t="n">
        <v>29.4075455502983</v>
      </c>
      <c r="AD116" s="14" t="n">
        <v>23.1609949826291</v>
      </c>
      <c r="AE116" s="14" t="n">
        <v>653.683373262198</v>
      </c>
      <c r="AF116" s="14" t="n">
        <v>0.03</v>
      </c>
      <c r="AG116" s="14" t="n">
        <v>0.702129022128044</v>
      </c>
      <c r="AH116" s="14" t="n">
        <v>7709.97126154693</v>
      </c>
      <c r="AI116" s="14" t="n">
        <v>19606.894648061</v>
      </c>
      <c r="AJ116" s="14" t="n">
        <v>22.39175</v>
      </c>
      <c r="AK116" s="14" t="n">
        <v>0</v>
      </c>
      <c r="AL116" s="14" t="n">
        <v>-51366.1015974802</v>
      </c>
      <c r="AM116" s="14" t="n">
        <v>684.5</v>
      </c>
      <c r="AN116" s="14" t="n">
        <v>27078.2628664013</v>
      </c>
      <c r="AO116" s="14" t="n">
        <v>-7119.9037923103</v>
      </c>
      <c r="AP116" s="14" t="n">
        <v>0.519414437863832</v>
      </c>
      <c r="AQ116" s="14" t="n">
        <v>0</v>
      </c>
      <c r="AR116" s="14" t="n">
        <v>314.925245</v>
      </c>
      <c r="AS116" s="14" t="n">
        <v>314.925245</v>
      </c>
      <c r="AT116" s="14" t="n">
        <v>-13507.4496750321</v>
      </c>
      <c r="AU116" s="14" t="n">
        <v>0</v>
      </c>
      <c r="AV116" s="14" t="n">
        <v>0</v>
      </c>
      <c r="AW116" s="14" t="n">
        <v>2254.3125</v>
      </c>
      <c r="AX116" s="14" t="n">
        <v>314.925245</v>
      </c>
      <c r="AY116" s="14" t="n">
        <v>314.925245</v>
      </c>
    </row>
    <row r="117" customFormat="false" ht="15" hidden="false" customHeight="false" outlineLevel="0" collapsed="false">
      <c r="A117" s="0" t="s">
        <v>2658</v>
      </c>
      <c r="B117" s="14" t="n">
        <v>2423.40833661368</v>
      </c>
      <c r="C117" s="14" t="n">
        <v>7621.71734378923</v>
      </c>
      <c r="D117" s="14" t="n">
        <v>19606.894648061</v>
      </c>
      <c r="E117" s="14" t="n">
        <v>4078.97255313604</v>
      </c>
      <c r="F117" s="14" t="n">
        <v>-974.113332375516</v>
      </c>
      <c r="G117" s="14" t="n">
        <v>4748.21719175998</v>
      </c>
      <c r="H117" s="14" t="n">
        <v>-308.596610364756</v>
      </c>
      <c r="I117" s="15" t="n">
        <v>0.01</v>
      </c>
      <c r="J117" s="15" t="n">
        <v>0.0113</v>
      </c>
      <c r="K117" s="14" t="s">
        <v>58</v>
      </c>
      <c r="L117" s="14" t="n">
        <v>-13507.4496750321</v>
      </c>
      <c r="M117" s="14" t="n">
        <v>32170.7343468758</v>
      </c>
      <c r="N117" s="14" t="n">
        <v>12202.2600162747</v>
      </c>
      <c r="O117" s="14" t="n">
        <v>-28654.9561743678</v>
      </c>
      <c r="P117" s="14" t="n">
        <v>968.519919991184</v>
      </c>
      <c r="Q117" s="14" t="n">
        <v>902.910555021538</v>
      </c>
      <c r="R117" s="14" t="n">
        <v>16850.3421667323</v>
      </c>
      <c r="S117" s="14" t="n">
        <v>29456.0378929612</v>
      </c>
      <c r="T117" s="14" t="n">
        <v>-936.780501065439</v>
      </c>
      <c r="U117" s="14" t="n">
        <v>-9378.48400801656</v>
      </c>
      <c r="V117" s="14" t="n">
        <v>0.82509878873241</v>
      </c>
      <c r="W117" s="14" t="n">
        <v>45973.6412973655</v>
      </c>
      <c r="X117" s="14" t="n">
        <v>25494.8402952654</v>
      </c>
      <c r="Y117" s="14" t="n">
        <v>0.0106301458127347</v>
      </c>
      <c r="Z117" s="14" t="n">
        <v>0.01442897</v>
      </c>
      <c r="AA117" s="14" t="n">
        <v>30.1575455502983</v>
      </c>
      <c r="AB117" s="14" t="n">
        <v>27.9575455502983</v>
      </c>
      <c r="AC117" s="14" t="n">
        <v>29.4075455502983</v>
      </c>
      <c r="AD117" s="14" t="n">
        <v>23.1609949826291</v>
      </c>
      <c r="AE117" s="14" t="n">
        <v>653.683373262198</v>
      </c>
      <c r="AF117" s="14" t="n">
        <v>0.03</v>
      </c>
      <c r="AG117" s="14" t="n">
        <v>0.702129022128044</v>
      </c>
      <c r="AH117" s="14" t="n">
        <v>7709.97126154693</v>
      </c>
      <c r="AI117" s="14" t="n">
        <v>19606.894648061</v>
      </c>
      <c r="AJ117" s="14" t="n">
        <v>22.39175</v>
      </c>
      <c r="AK117" s="14" t="n">
        <v>0</v>
      </c>
      <c r="AL117" s="14" t="n">
        <v>-51366.1015974802</v>
      </c>
      <c r="AM117" s="14" t="n">
        <v>684.5</v>
      </c>
      <c r="AN117" s="14" t="n">
        <v>27078.2628664013</v>
      </c>
      <c r="AO117" s="14" t="n">
        <v>-7119.9037923103</v>
      </c>
      <c r="AP117" s="14" t="n">
        <v>0.519414437863832</v>
      </c>
      <c r="AQ117" s="14" t="n">
        <v>0</v>
      </c>
      <c r="AR117" s="14" t="n">
        <v>314.925245</v>
      </c>
      <c r="AS117" s="14" t="n">
        <v>314.925245</v>
      </c>
      <c r="AT117" s="14" t="n">
        <v>-13507.4496750321</v>
      </c>
      <c r="AU117" s="14" t="n">
        <v>0</v>
      </c>
      <c r="AV117" s="14" t="n">
        <v>0</v>
      </c>
      <c r="AW117" s="14" t="n">
        <v>2254.3125</v>
      </c>
      <c r="AX117" s="14" t="n">
        <v>314.925245</v>
      </c>
      <c r="AY117" s="14" t="n">
        <v>314.925245</v>
      </c>
    </row>
    <row r="118" customFormat="false" ht="15" hidden="false" customHeight="false" outlineLevel="0" collapsed="false">
      <c r="A118" s="0" t="s">
        <v>2659</v>
      </c>
      <c r="B118" s="14" t="n">
        <v>2423.40833661368</v>
      </c>
      <c r="C118" s="14" t="n">
        <v>7621.71734378923</v>
      </c>
      <c r="D118" s="14" t="n">
        <v>19606.894648061</v>
      </c>
      <c r="E118" s="14" t="n">
        <v>4078.97255313604</v>
      </c>
      <c r="F118" s="14" t="n">
        <v>-984.898133745312</v>
      </c>
      <c r="G118" s="14" t="n">
        <v>4759.00199312978</v>
      </c>
      <c r="H118" s="14" t="n">
        <v>-183.737139392088</v>
      </c>
      <c r="I118" s="15" t="n">
        <v>0.01</v>
      </c>
      <c r="J118" s="15" t="n">
        <v>0</v>
      </c>
      <c r="K118" s="14" t="s">
        <v>82</v>
      </c>
      <c r="L118" s="14" t="n">
        <v>2073.20268369447</v>
      </c>
      <c r="M118" s="14" t="n">
        <v>32170.7343468758</v>
      </c>
      <c r="N118" s="14" t="n">
        <v>12202.2600162747</v>
      </c>
      <c r="O118" s="14" t="n">
        <v>-13352.4239141392</v>
      </c>
      <c r="P118" s="14" t="n">
        <v>968.519919991184</v>
      </c>
      <c r="Q118" s="14" t="n">
        <v>847.460390505534</v>
      </c>
      <c r="R118" s="14" t="n">
        <v>16850.3421667323</v>
      </c>
      <c r="S118" s="14" t="n">
        <v>29456.0378929612</v>
      </c>
      <c r="T118" s="14" t="n">
        <v>-936.780501065439</v>
      </c>
      <c r="U118" s="14" t="n">
        <v>-9253.6245370439</v>
      </c>
      <c r="V118" s="14" t="n">
        <v>0.82509878873241</v>
      </c>
      <c r="W118" s="14" t="n">
        <v>46042.4843595974</v>
      </c>
      <c r="X118" s="14" t="n">
        <v>25494.8402952654</v>
      </c>
      <c r="Y118" s="14" t="n">
        <v>0</v>
      </c>
      <c r="Z118" s="14" t="n">
        <v>0</v>
      </c>
      <c r="AA118" s="14" t="n">
        <v>30.1575455502983</v>
      </c>
      <c r="AB118" s="14" t="n">
        <v>27.9575455502983</v>
      </c>
      <c r="AC118" s="14" t="n">
        <v>29.4075455502983</v>
      </c>
      <c r="AD118" s="14" t="n">
        <v>23.1609949826291</v>
      </c>
      <c r="AE118" s="14" t="n">
        <v>653.683373262198</v>
      </c>
      <c r="AF118" s="14" t="n">
        <v>0.03</v>
      </c>
      <c r="AG118" s="14" t="n">
        <v>0.702129022128044</v>
      </c>
      <c r="AH118" s="14" t="n">
        <v>10689.3730662169</v>
      </c>
      <c r="AI118" s="14" t="n">
        <v>19606.894648061</v>
      </c>
      <c r="AJ118" s="14" t="n">
        <v>22.39175</v>
      </c>
      <c r="AK118" s="14" t="n">
        <v>0</v>
      </c>
      <c r="AL118" s="14" t="n">
        <v>-36275.2856716304</v>
      </c>
      <c r="AM118" s="14" t="n">
        <v>684.5</v>
      </c>
      <c r="AN118" s="14" t="n">
        <v>27078.2628664013</v>
      </c>
      <c r="AO118" s="14" t="n">
        <v>-7119.9037923103</v>
      </c>
      <c r="AP118" s="14" t="n">
        <v>0.519414437863832</v>
      </c>
      <c r="AQ118" s="14" t="n">
        <v>0</v>
      </c>
      <c r="AR118" s="14" t="n">
        <v>327.195752</v>
      </c>
      <c r="AS118" s="14" t="n">
        <v>314.925245</v>
      </c>
      <c r="AT118" s="14" t="n">
        <v>2073.20268369447</v>
      </c>
      <c r="AU118" s="14" t="n">
        <v>12.270507</v>
      </c>
      <c r="AV118" s="14" t="n">
        <v>0</v>
      </c>
      <c r="AW118" s="14" t="n">
        <v>2254.3125</v>
      </c>
      <c r="AX118" s="14" t="n">
        <v>314.925245</v>
      </c>
      <c r="AY118" s="14" t="n">
        <v>314.925245</v>
      </c>
    </row>
    <row r="119" customFormat="false" ht="15" hidden="false" customHeight="false" outlineLevel="0" collapsed="false">
      <c r="A119" s="0" t="s">
        <v>2660</v>
      </c>
      <c r="B119" s="14" t="n">
        <v>2423.40833661368</v>
      </c>
      <c r="C119" s="14" t="n">
        <v>7432.39793063001</v>
      </c>
      <c r="D119" s="14" t="n">
        <v>18728.5258250839</v>
      </c>
      <c r="E119" s="14" t="n">
        <v>3944.55576979299</v>
      </c>
      <c r="F119" s="14" t="n">
        <v>-1111.5222626411</v>
      </c>
      <c r="G119" s="14" t="n">
        <v>4758.78211520889</v>
      </c>
      <c r="H119" s="14" t="n">
        <v>-3301.33698336636</v>
      </c>
      <c r="I119" s="15" t="n">
        <v>0.01</v>
      </c>
      <c r="J119" s="15" t="n">
        <v>0</v>
      </c>
      <c r="K119" s="14" t="s">
        <v>82</v>
      </c>
      <c r="L119" s="14" t="n">
        <v>1941.23800262213</v>
      </c>
      <c r="M119" s="14" t="n">
        <v>32166.9479586126</v>
      </c>
      <c r="N119" s="14" t="n">
        <v>11534.6997108121</v>
      </c>
      <c r="O119" s="14" t="n">
        <v>-14102.7271655011</v>
      </c>
      <c r="P119" s="14" t="n">
        <v>968.519919991184</v>
      </c>
      <c r="Q119" s="14" t="n">
        <v>216.98366407886</v>
      </c>
      <c r="R119" s="14" t="n">
        <v>16850.3421667323</v>
      </c>
      <c r="S119" s="14" t="n">
        <v>29438.4705165017</v>
      </c>
      <c r="T119" s="14" t="n">
        <v>-936.780501065439</v>
      </c>
      <c r="U119" s="14" t="n">
        <v>-12371.2243810182</v>
      </c>
      <c r="V119" s="14" t="n">
        <v>0.82509878873241</v>
      </c>
      <c r="W119" s="14" t="n">
        <v>44605.3636921334</v>
      </c>
      <c r="X119" s="14" t="n">
        <v>25234.2208222511</v>
      </c>
      <c r="Y119" s="14" t="n">
        <v>0</v>
      </c>
      <c r="Z119" s="14" t="n">
        <v>0</v>
      </c>
      <c r="AA119" s="14" t="n">
        <v>30.1575455502983</v>
      </c>
      <c r="AB119" s="14" t="n">
        <v>27.9575455502983</v>
      </c>
      <c r="AC119" s="14" t="n">
        <v>29.4075455502983</v>
      </c>
      <c r="AD119" s="14" t="n">
        <v>23.1609949826291</v>
      </c>
      <c r="AE119" s="14" t="n">
        <v>653.683373262198</v>
      </c>
      <c r="AF119" s="14" t="n">
        <v>0.03</v>
      </c>
      <c r="AG119" s="14" t="n">
        <v>0.698172513161219</v>
      </c>
      <c r="AH119" s="14" t="n">
        <v>10689.3730662169</v>
      </c>
      <c r="AI119" s="14" t="n">
        <v>18728.5258250839</v>
      </c>
      <c r="AJ119" s="14" t="n">
        <v>22</v>
      </c>
      <c r="AK119" s="14" t="n">
        <v>0</v>
      </c>
      <c r="AL119" s="14" t="n">
        <v>-37594.1064038711</v>
      </c>
      <c r="AM119" s="14" t="n">
        <v>684.5</v>
      </c>
      <c r="AN119" s="14" t="n">
        <v>27078.2628664013</v>
      </c>
      <c r="AO119" s="14" t="n">
        <v>-7119.9037923103</v>
      </c>
      <c r="AP119" s="14" t="n">
        <v>0.519414437863832</v>
      </c>
      <c r="AQ119" s="14" t="n">
        <v>0</v>
      </c>
      <c r="AR119" s="14" t="n">
        <v>327.195752</v>
      </c>
      <c r="AS119" s="14" t="n">
        <v>314.925245</v>
      </c>
      <c r="AT119" s="14" t="n">
        <v>1941.23800262213</v>
      </c>
      <c r="AU119" s="14" t="n">
        <v>12.270507</v>
      </c>
      <c r="AV119" s="14" t="n">
        <v>0</v>
      </c>
      <c r="AW119" s="14" t="n">
        <v>2254.3125</v>
      </c>
      <c r="AX119" s="14" t="n">
        <v>314.925245</v>
      </c>
      <c r="AY119" s="14" t="n">
        <v>314.925245</v>
      </c>
    </row>
    <row r="120" customFormat="false" ht="15" hidden="false" customHeight="false" outlineLevel="0" collapsed="false">
      <c r="A120" s="0" t="s">
        <v>2661</v>
      </c>
      <c r="B120" s="14" t="n">
        <v>2423.40833661368</v>
      </c>
      <c r="C120" s="14" t="n">
        <v>7508.1256958937</v>
      </c>
      <c r="D120" s="14" t="n">
        <v>19079.8733542747</v>
      </c>
      <c r="E120" s="14" t="n">
        <v>3998.32248313021</v>
      </c>
      <c r="F120" s="14" t="n">
        <v>-1060.87261108278</v>
      </c>
      <c r="G120" s="14" t="n">
        <v>4758.87006637724</v>
      </c>
      <c r="H120" s="14" t="n">
        <v>-2054.29704577665</v>
      </c>
      <c r="I120" s="15" t="n">
        <v>0.01</v>
      </c>
      <c r="J120" s="15" t="n">
        <v>0</v>
      </c>
      <c r="K120" s="14" t="s">
        <v>82</v>
      </c>
      <c r="L120" s="14" t="n">
        <v>1994.02387505106</v>
      </c>
      <c r="M120" s="14" t="n">
        <v>32168.4625139179</v>
      </c>
      <c r="N120" s="14" t="n">
        <v>11801.7238329971</v>
      </c>
      <c r="O120" s="14" t="n">
        <v>-13789.944121471</v>
      </c>
      <c r="P120" s="14" t="n">
        <v>968.519919991184</v>
      </c>
      <c r="Q120" s="14" t="n">
        <v>469.17435464953</v>
      </c>
      <c r="R120" s="14" t="n">
        <v>16850.3421667323</v>
      </c>
      <c r="S120" s="14" t="n">
        <v>29445.4974670855</v>
      </c>
      <c r="T120" s="14" t="n">
        <v>-936.780501065439</v>
      </c>
      <c r="U120" s="14" t="n">
        <v>-11124.1844434285</v>
      </c>
      <c r="V120" s="14" t="n">
        <v>0.82509878873241</v>
      </c>
      <c r="W120" s="14" t="n">
        <v>45180.211959119</v>
      </c>
      <c r="X120" s="14" t="n">
        <v>25338.4686114568</v>
      </c>
      <c r="Y120" s="14" t="n">
        <v>0</v>
      </c>
      <c r="Z120" s="14" t="n">
        <v>0</v>
      </c>
      <c r="AA120" s="14" t="n">
        <v>30.1575455502983</v>
      </c>
      <c r="AB120" s="14" t="n">
        <v>27.9575455502983</v>
      </c>
      <c r="AC120" s="14" t="n">
        <v>29.4075455502983</v>
      </c>
      <c r="AD120" s="14" t="n">
        <v>23.1609949826291</v>
      </c>
      <c r="AE120" s="14" t="n">
        <v>653.683373262198</v>
      </c>
      <c r="AF120" s="14" t="n">
        <v>0.03</v>
      </c>
      <c r="AG120" s="14" t="n">
        <v>0.699789441354956</v>
      </c>
      <c r="AH120" s="14" t="n">
        <v>10689.3730662169</v>
      </c>
      <c r="AI120" s="14" t="n">
        <v>19079.8733542747</v>
      </c>
      <c r="AJ120" s="14" t="n">
        <v>22.1567</v>
      </c>
      <c r="AK120" s="14" t="n">
        <v>0</v>
      </c>
      <c r="AL120" s="14" t="n">
        <v>-37036.790575293</v>
      </c>
      <c r="AM120" s="14" t="n">
        <v>684.5</v>
      </c>
      <c r="AN120" s="14" t="n">
        <v>27078.2628664013</v>
      </c>
      <c r="AO120" s="14" t="n">
        <v>-7119.9037923103</v>
      </c>
      <c r="AP120" s="14" t="n">
        <v>0.519414437863832</v>
      </c>
      <c r="AQ120" s="14" t="n">
        <v>0</v>
      </c>
      <c r="AR120" s="14" t="n">
        <v>327.195752</v>
      </c>
      <c r="AS120" s="14" t="n">
        <v>314.925245</v>
      </c>
      <c r="AT120" s="14" t="n">
        <v>1994.02387505106</v>
      </c>
      <c r="AU120" s="14" t="n">
        <v>12.270507</v>
      </c>
      <c r="AV120" s="14" t="n">
        <v>0</v>
      </c>
      <c r="AW120" s="14" t="n">
        <v>2254.3125</v>
      </c>
      <c r="AX120" s="14" t="n">
        <v>314.925245</v>
      </c>
      <c r="AY120" s="14" t="n">
        <v>314.925245</v>
      </c>
    </row>
    <row r="121" customFormat="false" ht="15" hidden="false" customHeight="false" outlineLevel="0" collapsed="false">
      <c r="A121" s="0" t="s">
        <v>2662</v>
      </c>
      <c r="B121" s="14" t="n">
        <v>2423.40833661368</v>
      </c>
      <c r="C121" s="14" t="n">
        <v>7621.71734378923</v>
      </c>
      <c r="D121" s="14" t="n">
        <v>19606.894648061</v>
      </c>
      <c r="E121" s="14" t="n">
        <v>4078.97255313604</v>
      </c>
      <c r="F121" s="14" t="n">
        <v>-984.898133745312</v>
      </c>
      <c r="G121" s="14" t="n">
        <v>4759.00199312978</v>
      </c>
      <c r="H121" s="14" t="n">
        <v>-183.737139392088</v>
      </c>
      <c r="I121" s="15" t="n">
        <v>0.01</v>
      </c>
      <c r="J121" s="15" t="n">
        <v>0</v>
      </c>
      <c r="K121" s="14" t="s">
        <v>82</v>
      </c>
      <c r="L121" s="14" t="n">
        <v>2073.20268369447</v>
      </c>
      <c r="M121" s="14" t="n">
        <v>32170.7343468758</v>
      </c>
      <c r="N121" s="14" t="n">
        <v>12202.2600162747</v>
      </c>
      <c r="O121" s="14" t="n">
        <v>-13352.4239141392</v>
      </c>
      <c r="P121" s="14" t="n">
        <v>968.519919991184</v>
      </c>
      <c r="Q121" s="14" t="n">
        <v>847.460390505534</v>
      </c>
      <c r="R121" s="14" t="n">
        <v>16850.3421667323</v>
      </c>
      <c r="S121" s="14" t="n">
        <v>29456.0378929612</v>
      </c>
      <c r="T121" s="14" t="n">
        <v>-936.780501065439</v>
      </c>
      <c r="U121" s="14" t="n">
        <v>-9253.6245370439</v>
      </c>
      <c r="V121" s="14" t="n">
        <v>0.82509878873241</v>
      </c>
      <c r="W121" s="14" t="n">
        <v>46042.4843595974</v>
      </c>
      <c r="X121" s="14" t="n">
        <v>25494.8402952654</v>
      </c>
      <c r="Y121" s="14" t="n">
        <v>0</v>
      </c>
      <c r="Z121" s="14" t="n">
        <v>0</v>
      </c>
      <c r="AA121" s="14" t="n">
        <v>30.1575455502983</v>
      </c>
      <c r="AB121" s="14" t="n">
        <v>27.9575455502983</v>
      </c>
      <c r="AC121" s="14" t="n">
        <v>29.4075455502983</v>
      </c>
      <c r="AD121" s="14" t="n">
        <v>23.1609949826291</v>
      </c>
      <c r="AE121" s="14" t="n">
        <v>653.683373262198</v>
      </c>
      <c r="AF121" s="14" t="n">
        <v>0.03</v>
      </c>
      <c r="AG121" s="14" t="n">
        <v>0.702129022128044</v>
      </c>
      <c r="AH121" s="14" t="n">
        <v>10689.3730662169</v>
      </c>
      <c r="AI121" s="14" t="n">
        <v>19606.894648061</v>
      </c>
      <c r="AJ121" s="14" t="n">
        <v>22.39175</v>
      </c>
      <c r="AK121" s="14" t="n">
        <v>0</v>
      </c>
      <c r="AL121" s="14" t="n">
        <v>-36275.2856716304</v>
      </c>
      <c r="AM121" s="14" t="n">
        <v>684.5</v>
      </c>
      <c r="AN121" s="14" t="n">
        <v>27078.2628664013</v>
      </c>
      <c r="AO121" s="14" t="n">
        <v>-7119.9037923103</v>
      </c>
      <c r="AP121" s="14" t="n">
        <v>0.519414437863832</v>
      </c>
      <c r="AQ121" s="14" t="n">
        <v>0</v>
      </c>
      <c r="AR121" s="14" t="n">
        <v>327.195752</v>
      </c>
      <c r="AS121" s="14" t="n">
        <v>314.925245</v>
      </c>
      <c r="AT121" s="14" t="n">
        <v>2073.20268369447</v>
      </c>
      <c r="AU121" s="14" t="n">
        <v>12.270507</v>
      </c>
      <c r="AV121" s="14" t="n">
        <v>0</v>
      </c>
      <c r="AW121" s="14" t="n">
        <v>2254.3125</v>
      </c>
      <c r="AX121" s="14" t="n">
        <v>314.925245</v>
      </c>
      <c r="AY121" s="14" t="n">
        <v>314.925245</v>
      </c>
    </row>
    <row r="122" customFormat="false" ht="15" hidden="false" customHeight="false" outlineLevel="0" collapsed="false">
      <c r="A122" s="0" t="s">
        <v>2663</v>
      </c>
      <c r="B122" s="14" t="n">
        <v>2423.40833661368</v>
      </c>
      <c r="C122" s="14" t="n">
        <v>7811.03675694845</v>
      </c>
      <c r="D122" s="14" t="n">
        <v>20485.2634710382</v>
      </c>
      <c r="E122" s="14" t="n">
        <v>4213.38933647908</v>
      </c>
      <c r="F122" s="14" t="n">
        <v>-858.274004849528</v>
      </c>
      <c r="G122" s="14" t="n">
        <v>4759.22187105067</v>
      </c>
      <c r="H122" s="14" t="n">
        <v>2918.91590420771</v>
      </c>
      <c r="I122" s="15" t="n">
        <v>0.01</v>
      </c>
      <c r="J122" s="15" t="n">
        <v>0</v>
      </c>
      <c r="K122" s="14" t="s">
        <v>82</v>
      </c>
      <c r="L122" s="14" t="n">
        <v>2205.1673647668</v>
      </c>
      <c r="M122" s="14" t="n">
        <v>32174.520735139</v>
      </c>
      <c r="N122" s="14" t="n">
        <v>12869.8203217374</v>
      </c>
      <c r="O122" s="14" t="n">
        <v>-12700.8598598571</v>
      </c>
      <c r="P122" s="14" t="n">
        <v>968.519919991184</v>
      </c>
      <c r="Q122" s="14" t="n">
        <v>1477.93711693221</v>
      </c>
      <c r="R122" s="14" t="n">
        <v>16850.3421667323</v>
      </c>
      <c r="S122" s="14" t="n">
        <v>29473.6052694208</v>
      </c>
      <c r="T122" s="14" t="n">
        <v>-936.780501065439</v>
      </c>
      <c r="U122" s="14" t="n">
        <v>-6150.9714934441</v>
      </c>
      <c r="V122" s="14" t="n">
        <v>0.82509878873241</v>
      </c>
      <c r="W122" s="14" t="n">
        <v>47479.6050270614</v>
      </c>
      <c r="X122" s="14" t="n">
        <v>25755.4597682797</v>
      </c>
      <c r="Y122" s="14" t="n">
        <v>0</v>
      </c>
      <c r="Z122" s="14" t="n">
        <v>0</v>
      </c>
      <c r="AA122" s="14" t="n">
        <v>30.1575455502983</v>
      </c>
      <c r="AB122" s="14" t="n">
        <v>27.9575455502983</v>
      </c>
      <c r="AC122" s="14" t="n">
        <v>29.4075455502983</v>
      </c>
      <c r="AD122" s="14" t="n">
        <v>23.1609949826291</v>
      </c>
      <c r="AE122" s="14" t="n">
        <v>653.683373262198</v>
      </c>
      <c r="AF122" s="14" t="n">
        <v>0.03</v>
      </c>
      <c r="AG122" s="14" t="n">
        <v>0.705815131665385</v>
      </c>
      <c r="AH122" s="14" t="n">
        <v>10689.3730662169</v>
      </c>
      <c r="AI122" s="14" t="n">
        <v>20485.2634710382</v>
      </c>
      <c r="AJ122" s="14" t="n">
        <v>22.7835</v>
      </c>
      <c r="AK122" s="14" t="n">
        <v>0</v>
      </c>
      <c r="AL122" s="14" t="n">
        <v>-35116.0761352289</v>
      </c>
      <c r="AM122" s="14" t="n">
        <v>684.5</v>
      </c>
      <c r="AN122" s="14" t="n">
        <v>27078.2628664013</v>
      </c>
      <c r="AO122" s="14" t="n">
        <v>-7119.9037923103</v>
      </c>
      <c r="AP122" s="14" t="n">
        <v>0.519414437863832</v>
      </c>
      <c r="AQ122" s="14" t="n">
        <v>0</v>
      </c>
      <c r="AR122" s="14" t="n">
        <v>327.195752</v>
      </c>
      <c r="AS122" s="14" t="n">
        <v>314.925245</v>
      </c>
      <c r="AT122" s="14" t="n">
        <v>2205.1673647668</v>
      </c>
      <c r="AU122" s="14" t="n">
        <v>12.270507</v>
      </c>
      <c r="AV122" s="14" t="n">
        <v>0</v>
      </c>
      <c r="AW122" s="14" t="n">
        <v>2254.3125</v>
      </c>
      <c r="AX122" s="14" t="n">
        <v>314.925245</v>
      </c>
      <c r="AY122" s="14" t="n">
        <v>314.925245</v>
      </c>
    </row>
    <row r="123" customFormat="false" ht="15" hidden="false" customHeight="false" outlineLevel="0" collapsed="false">
      <c r="A123" s="0" t="s">
        <v>2664</v>
      </c>
      <c r="B123" s="14" t="n">
        <v>2423.40833661368</v>
      </c>
      <c r="C123" s="14" t="n">
        <v>7996.12256877182</v>
      </c>
      <c r="D123" s="14" t="n">
        <v>19869.2073752061</v>
      </c>
      <c r="E123" s="14" t="n">
        <v>4344.80026287368</v>
      </c>
      <c r="F123" s="14" t="n">
        <v>-734.361359900264</v>
      </c>
      <c r="G123" s="14" t="n">
        <v>4759.31672002307</v>
      </c>
      <c r="H123" s="14" t="n">
        <v>57.2448099137937</v>
      </c>
      <c r="I123" s="15" t="n">
        <v>0.01</v>
      </c>
      <c r="J123" s="15" t="n">
        <v>0</v>
      </c>
      <c r="K123" s="14" t="s">
        <v>82</v>
      </c>
      <c r="L123" s="14" t="n">
        <v>2333.44801713517</v>
      </c>
      <c r="M123" s="14" t="n">
        <v>32178.2224513754</v>
      </c>
      <c r="N123" s="14" t="n">
        <v>12401.617688905</v>
      </c>
      <c r="O123" s="14" t="n">
        <v>-12929.5246890635</v>
      </c>
      <c r="P123" s="14" t="n">
        <v>968.519919991184</v>
      </c>
      <c r="Q123" s="14" t="n">
        <v>1034.35504020111</v>
      </c>
      <c r="R123" s="14" t="n">
        <v>16850.3421667323</v>
      </c>
      <c r="S123" s="14" t="n">
        <v>29461.2841475041</v>
      </c>
      <c r="T123" s="14" t="n">
        <v>-936.780501065439</v>
      </c>
      <c r="U123" s="14" t="n">
        <v>-9012.64258773801</v>
      </c>
      <c r="V123" s="14" t="n">
        <v>0.82509878873241</v>
      </c>
      <c r="W123" s="14" t="n">
        <v>45918.7806136887</v>
      </c>
      <c r="X123" s="14" t="n">
        <v>25471.9626239353</v>
      </c>
      <c r="Y123" s="14" t="n">
        <v>0</v>
      </c>
      <c r="Z123" s="14" t="n">
        <v>0</v>
      </c>
      <c r="AA123" s="14" t="n">
        <v>30.1575455502983</v>
      </c>
      <c r="AB123" s="14" t="n">
        <v>27.9575455502983</v>
      </c>
      <c r="AC123" s="14" t="n">
        <v>29.4075455502983</v>
      </c>
      <c r="AD123" s="14" t="n">
        <v>23.1609949826291</v>
      </c>
      <c r="AE123" s="14" t="n">
        <v>653.683373262198</v>
      </c>
      <c r="AF123" s="14" t="n">
        <v>0.03</v>
      </c>
      <c r="AG123" s="14" t="n">
        <v>0.701770714141756</v>
      </c>
      <c r="AH123" s="14" t="n">
        <v>10689.3730662169</v>
      </c>
      <c r="AI123" s="14" t="n">
        <v>19869.2073752061</v>
      </c>
      <c r="AJ123" s="14" t="n">
        <v>26.4107579462103</v>
      </c>
      <c r="AK123" s="14" t="n">
        <v>0</v>
      </c>
      <c r="AL123" s="14" t="n">
        <v>-35783.3475244371</v>
      </c>
      <c r="AM123" s="14" t="n">
        <v>684.5</v>
      </c>
      <c r="AN123" s="14" t="n">
        <v>27078.2628664013</v>
      </c>
      <c r="AO123" s="14" t="n">
        <v>-7119.9037923103</v>
      </c>
      <c r="AP123" s="14" t="n">
        <v>0.450076410625259</v>
      </c>
      <c r="AQ123" s="14" t="n">
        <v>0</v>
      </c>
      <c r="AR123" s="14" t="n">
        <v>327.195752</v>
      </c>
      <c r="AS123" s="14" t="n">
        <v>314.925245</v>
      </c>
      <c r="AT123" s="14" t="n">
        <v>2333.44801713517</v>
      </c>
      <c r="AU123" s="14" t="n">
        <v>12.270507</v>
      </c>
      <c r="AV123" s="14" t="n">
        <v>0</v>
      </c>
      <c r="AW123" s="14" t="n">
        <v>2254.3125</v>
      </c>
      <c r="AX123" s="14" t="n">
        <v>314.925245</v>
      </c>
      <c r="AY123" s="14" t="n">
        <v>314.925245</v>
      </c>
    </row>
    <row r="124" customFormat="false" ht="15" hidden="false" customHeight="false" outlineLevel="0" collapsed="false">
      <c r="A124" s="0" t="s">
        <v>2665</v>
      </c>
      <c r="B124" s="14" t="n">
        <v>2423.40833661368</v>
      </c>
      <c r="C124" s="14" t="n">
        <v>8048.07970956119</v>
      </c>
      <c r="D124" s="14" t="n">
        <v>20149.3140412091</v>
      </c>
      <c r="E124" s="14" t="n">
        <v>4381.68983283413</v>
      </c>
      <c r="F124" s="14" t="n">
        <v>-699.616003440789</v>
      </c>
      <c r="G124" s="14" t="n">
        <v>4759.38264789247</v>
      </c>
      <c r="H124" s="14" t="n">
        <v>973.395424820515</v>
      </c>
      <c r="I124" s="15" t="n">
        <v>0.01</v>
      </c>
      <c r="J124" s="15" t="n">
        <v>0</v>
      </c>
      <c r="K124" s="14" t="s">
        <v>82</v>
      </c>
      <c r="L124" s="14" t="n">
        <v>2369.69866285569</v>
      </c>
      <c r="M124" s="14" t="n">
        <v>32179.2615941912</v>
      </c>
      <c r="N124" s="14" t="n">
        <v>12614.4987550673</v>
      </c>
      <c r="O124" s="14" t="n">
        <v>-12727.8600660454</v>
      </c>
      <c r="P124" s="14" t="n">
        <v>968.519919991184</v>
      </c>
      <c r="Q124" s="14" t="n">
        <v>1235.44259507451</v>
      </c>
      <c r="R124" s="14" t="n">
        <v>16850.3421667323</v>
      </c>
      <c r="S124" s="14" t="n">
        <v>29466.8862808242</v>
      </c>
      <c r="T124" s="14" t="n">
        <v>-936.780501065439</v>
      </c>
      <c r="U124" s="14" t="n">
        <v>-8096.49197283129</v>
      </c>
      <c r="V124" s="14" t="n">
        <v>0.82509878873241</v>
      </c>
      <c r="W124" s="14" t="n">
        <v>46335.1869535245</v>
      </c>
      <c r="X124" s="14" t="n">
        <v>25547.5530134992</v>
      </c>
      <c r="Y124" s="14" t="n">
        <v>0</v>
      </c>
      <c r="Z124" s="14" t="n">
        <v>0</v>
      </c>
      <c r="AA124" s="14" t="n">
        <v>30.1575455502983</v>
      </c>
      <c r="AB124" s="14" t="n">
        <v>27.9575455502983</v>
      </c>
      <c r="AC124" s="14" t="n">
        <v>29.4075455502983</v>
      </c>
      <c r="AD124" s="14" t="n">
        <v>23.1609949826291</v>
      </c>
      <c r="AE124" s="14" t="n">
        <v>653.683373262198</v>
      </c>
      <c r="AF124" s="14" t="n">
        <v>0.03</v>
      </c>
      <c r="AG124" s="14" t="n">
        <v>0.702885586561208</v>
      </c>
      <c r="AH124" s="14" t="n">
        <v>10689.3730662169</v>
      </c>
      <c r="AI124" s="14" t="n">
        <v>20149.3140412091</v>
      </c>
      <c r="AJ124" s="14" t="n">
        <v>26.4792427872861</v>
      </c>
      <c r="AK124" s="14" t="n">
        <v>0</v>
      </c>
      <c r="AL124" s="14" t="n">
        <v>-35425.6065031291</v>
      </c>
      <c r="AM124" s="14" t="n">
        <v>684.5</v>
      </c>
      <c r="AN124" s="14" t="n">
        <v>27078.2628664013</v>
      </c>
      <c r="AO124" s="14" t="n">
        <v>-7119.9037923103</v>
      </c>
      <c r="AP124" s="14" t="n">
        <v>0.450076410625259</v>
      </c>
      <c r="AQ124" s="14" t="n">
        <v>0</v>
      </c>
      <c r="AR124" s="14" t="n">
        <v>327.195752</v>
      </c>
      <c r="AS124" s="14" t="n">
        <v>314.925245</v>
      </c>
      <c r="AT124" s="14" t="n">
        <v>2369.69866285569</v>
      </c>
      <c r="AU124" s="14" t="n">
        <v>12.270507</v>
      </c>
      <c r="AV124" s="14" t="n">
        <v>0</v>
      </c>
      <c r="AW124" s="14" t="n">
        <v>2254.3125</v>
      </c>
      <c r="AX124" s="14" t="n">
        <v>314.925245</v>
      </c>
      <c r="AY124" s="14" t="n">
        <v>314.925245</v>
      </c>
    </row>
    <row r="125" customFormat="false" ht="15" hidden="false" customHeight="false" outlineLevel="0" collapsed="false">
      <c r="A125" s="0" t="s">
        <v>2666</v>
      </c>
      <c r="B125" s="14" t="n">
        <v>2423.40833661368</v>
      </c>
      <c r="C125" s="14" t="n">
        <v>8126.01542074525</v>
      </c>
      <c r="D125" s="14" t="n">
        <v>20569.4740402136</v>
      </c>
      <c r="E125" s="14" t="n">
        <v>4437.02418777482</v>
      </c>
      <c r="F125" s="14" t="n">
        <v>-647.497968751575</v>
      </c>
      <c r="G125" s="14" t="n">
        <v>4759.48153969658</v>
      </c>
      <c r="H125" s="14" t="n">
        <v>2347.6213471806</v>
      </c>
      <c r="I125" s="15" t="n">
        <v>0.01</v>
      </c>
      <c r="J125" s="15" t="n">
        <v>0</v>
      </c>
      <c r="K125" s="14" t="s">
        <v>82</v>
      </c>
      <c r="L125" s="14" t="n">
        <v>2424.07463143647</v>
      </c>
      <c r="M125" s="14" t="n">
        <v>32180.8203084149</v>
      </c>
      <c r="N125" s="14" t="n">
        <v>12933.8203543107</v>
      </c>
      <c r="O125" s="14" t="n">
        <v>-12425.3631315182</v>
      </c>
      <c r="P125" s="14" t="n">
        <v>968.519919991184</v>
      </c>
      <c r="Q125" s="14" t="n">
        <v>1537.07392738462</v>
      </c>
      <c r="R125" s="14" t="n">
        <v>16850.3421667323</v>
      </c>
      <c r="S125" s="14" t="n">
        <v>29475.2894808043</v>
      </c>
      <c r="T125" s="14" t="n">
        <v>-936.780501065439</v>
      </c>
      <c r="U125" s="14" t="n">
        <v>-6722.26605047121</v>
      </c>
      <c r="V125" s="14" t="n">
        <v>0.82509878873241</v>
      </c>
      <c r="W125" s="14" t="n">
        <v>46959.7964632782</v>
      </c>
      <c r="X125" s="14" t="n">
        <v>25660.9385978451</v>
      </c>
      <c r="Y125" s="14" t="n">
        <v>0</v>
      </c>
      <c r="Z125" s="14" t="n">
        <v>0</v>
      </c>
      <c r="AA125" s="14" t="n">
        <v>30.1575455502983</v>
      </c>
      <c r="AB125" s="14" t="n">
        <v>27.9575455502983</v>
      </c>
      <c r="AC125" s="14" t="n">
        <v>29.4075455502983</v>
      </c>
      <c r="AD125" s="14" t="n">
        <v>23.1609949826291</v>
      </c>
      <c r="AE125" s="14" t="n">
        <v>653.683373262198</v>
      </c>
      <c r="AF125" s="14" t="n">
        <v>0.03</v>
      </c>
      <c r="AG125" s="14" t="n">
        <v>0.704515484277783</v>
      </c>
      <c r="AH125" s="14" t="n">
        <v>10689.3730662169</v>
      </c>
      <c r="AI125" s="14" t="n">
        <v>20569.4740402136</v>
      </c>
      <c r="AJ125" s="14" t="n">
        <v>26.5819700488998</v>
      </c>
      <c r="AK125" s="14" t="n">
        <v>0</v>
      </c>
      <c r="AL125" s="14" t="n">
        <v>-34888.9949711671</v>
      </c>
      <c r="AM125" s="14" t="n">
        <v>684.5</v>
      </c>
      <c r="AN125" s="14" t="n">
        <v>27078.2628664013</v>
      </c>
      <c r="AO125" s="14" t="n">
        <v>-7119.9037923103</v>
      </c>
      <c r="AP125" s="14" t="n">
        <v>0.450076410625259</v>
      </c>
      <c r="AQ125" s="14" t="n">
        <v>0</v>
      </c>
      <c r="AR125" s="14" t="n">
        <v>327.195752</v>
      </c>
      <c r="AS125" s="14" t="n">
        <v>314.925245</v>
      </c>
      <c r="AT125" s="14" t="n">
        <v>2424.07463143647</v>
      </c>
      <c r="AU125" s="14" t="n">
        <v>12.270507</v>
      </c>
      <c r="AV125" s="14" t="n">
        <v>0</v>
      </c>
      <c r="AW125" s="14" t="n">
        <v>2254.3125</v>
      </c>
      <c r="AX125" s="14" t="n">
        <v>314.925245</v>
      </c>
      <c r="AY125" s="14" t="n">
        <v>314.925245</v>
      </c>
    </row>
    <row r="126" customFormat="false" ht="15" hidden="false" customHeight="false" outlineLevel="0" collapsed="false">
      <c r="A126" s="0" t="s">
        <v>2667</v>
      </c>
      <c r="B126" s="14" t="n">
        <v>2423.40833661368</v>
      </c>
      <c r="C126" s="14" t="n">
        <v>8255.90827271869</v>
      </c>
      <c r="D126" s="14" t="n">
        <v>21269.740705221</v>
      </c>
      <c r="E126" s="14" t="n">
        <v>4529.24811267596</v>
      </c>
      <c r="F126" s="14" t="n">
        <v>-560.634577602887</v>
      </c>
      <c r="G126" s="14" t="n">
        <v>4759.6463593701</v>
      </c>
      <c r="H126" s="14" t="n">
        <v>4637.99788444735</v>
      </c>
      <c r="I126" s="15" t="n">
        <v>0.01</v>
      </c>
      <c r="J126" s="15" t="n">
        <v>0</v>
      </c>
      <c r="K126" s="14" t="s">
        <v>82</v>
      </c>
      <c r="L126" s="14" t="n">
        <v>2514.70124573777</v>
      </c>
      <c r="M126" s="14" t="n">
        <v>32183.4181654544</v>
      </c>
      <c r="N126" s="14" t="n">
        <v>13466.0230197163</v>
      </c>
      <c r="O126" s="14" t="n">
        <v>-11925.7311017635</v>
      </c>
      <c r="P126" s="14" t="n">
        <v>968.519919991184</v>
      </c>
      <c r="Q126" s="14" t="n">
        <v>2039.79281456814</v>
      </c>
      <c r="R126" s="14" t="n">
        <v>16850.3421667323</v>
      </c>
      <c r="S126" s="14" t="n">
        <v>29489.2948141044</v>
      </c>
      <c r="T126" s="14" t="n">
        <v>-936.780501065439</v>
      </c>
      <c r="U126" s="14" t="n">
        <v>-4431.88951320445</v>
      </c>
      <c r="V126" s="14" t="n">
        <v>0.82509878873241</v>
      </c>
      <c r="W126" s="14" t="n">
        <v>48000.8123128678</v>
      </c>
      <c r="X126" s="14" t="n">
        <v>25849.914571755</v>
      </c>
      <c r="Y126" s="14" t="n">
        <v>0</v>
      </c>
      <c r="Z126" s="14" t="n">
        <v>0</v>
      </c>
      <c r="AA126" s="14" t="n">
        <v>30.1575455502983</v>
      </c>
      <c r="AB126" s="14" t="n">
        <v>27.9575455502983</v>
      </c>
      <c r="AC126" s="14" t="n">
        <v>29.4075455502983</v>
      </c>
      <c r="AD126" s="14" t="n">
        <v>23.1609949826291</v>
      </c>
      <c r="AE126" s="14" t="n">
        <v>653.683373262198</v>
      </c>
      <c r="AF126" s="14" t="n">
        <v>0.03</v>
      </c>
      <c r="AG126" s="14" t="n">
        <v>0.707124479199827</v>
      </c>
      <c r="AH126" s="14" t="n">
        <v>10689.3730662169</v>
      </c>
      <c r="AI126" s="14" t="n">
        <v>21269.740705221</v>
      </c>
      <c r="AJ126" s="14" t="n">
        <v>26.7531821515892</v>
      </c>
      <c r="AK126" s="14" t="n">
        <v>0</v>
      </c>
      <c r="AL126" s="14" t="n">
        <v>-33999.1402485014</v>
      </c>
      <c r="AM126" s="14" t="n">
        <v>684.5</v>
      </c>
      <c r="AN126" s="14" t="n">
        <v>27078.2628664013</v>
      </c>
      <c r="AO126" s="14" t="n">
        <v>-7119.9037923103</v>
      </c>
      <c r="AP126" s="14" t="n">
        <v>0.450076410625259</v>
      </c>
      <c r="AQ126" s="14" t="n">
        <v>0</v>
      </c>
      <c r="AR126" s="14" t="n">
        <v>327.195752</v>
      </c>
      <c r="AS126" s="14" t="n">
        <v>314.925245</v>
      </c>
      <c r="AT126" s="14" t="n">
        <v>2514.70124573777</v>
      </c>
      <c r="AU126" s="14" t="n">
        <v>12.270507</v>
      </c>
      <c r="AV126" s="14" t="n">
        <v>0</v>
      </c>
      <c r="AW126" s="14" t="n">
        <v>2254.3125</v>
      </c>
      <c r="AX126" s="14" t="n">
        <v>314.925245</v>
      </c>
      <c r="AY126" s="14" t="n">
        <v>314.925245</v>
      </c>
    </row>
    <row r="127" customFormat="false" ht="15" hidden="false" customHeight="false" outlineLevel="0" collapsed="false">
      <c r="A127" s="0" t="s">
        <v>2668</v>
      </c>
      <c r="B127" s="14" t="n">
        <v>2423.40833661368</v>
      </c>
      <c r="C127" s="14" t="n">
        <v>7432.39793063001</v>
      </c>
      <c r="D127" s="14" t="n">
        <v>18728.5258250839</v>
      </c>
      <c r="E127" s="14" t="n">
        <v>3944.55576979299</v>
      </c>
      <c r="F127" s="14" t="n">
        <v>-1111.5222626411</v>
      </c>
      <c r="G127" s="14" t="n">
        <v>4758.78211520889</v>
      </c>
      <c r="H127" s="14" t="n">
        <v>-1527.6159405849</v>
      </c>
      <c r="I127" s="15" t="n">
        <v>0.01</v>
      </c>
      <c r="J127" s="15" t="n">
        <v>0</v>
      </c>
      <c r="K127" s="14" t="s">
        <v>82</v>
      </c>
      <c r="L127" s="14" t="n">
        <v>1941.23800262213</v>
      </c>
      <c r="M127" s="14" t="n">
        <v>32166.9479586126</v>
      </c>
      <c r="N127" s="14" t="n">
        <v>11534.6997108121</v>
      </c>
      <c r="O127" s="14" t="n">
        <v>-9651.53216550114</v>
      </c>
      <c r="P127" s="14" t="n">
        <v>968.519919991184</v>
      </c>
      <c r="Q127" s="14" t="n">
        <v>216.98366407886</v>
      </c>
      <c r="R127" s="14" t="n">
        <v>16850.3421667323</v>
      </c>
      <c r="S127" s="14" t="n">
        <v>29438.4705165017</v>
      </c>
      <c r="T127" s="14" t="n">
        <v>-936.780501065439</v>
      </c>
      <c r="U127" s="14" t="n">
        <v>-10597.5033382367</v>
      </c>
      <c r="V127" s="14" t="n">
        <v>0.82509878873241</v>
      </c>
      <c r="W127" s="14" t="n">
        <v>44605.3636921334</v>
      </c>
      <c r="X127" s="14" t="n">
        <v>25234.2208222511</v>
      </c>
      <c r="Y127" s="14" t="n">
        <v>0</v>
      </c>
      <c r="Z127" s="14" t="n">
        <v>0</v>
      </c>
      <c r="AA127" s="14" t="n">
        <v>30.1575455502983</v>
      </c>
      <c r="AB127" s="14" t="n">
        <v>27.9575455502983</v>
      </c>
      <c r="AC127" s="14" t="n">
        <v>29.4075455502983</v>
      </c>
      <c r="AD127" s="14" t="n">
        <v>23.1609949826291</v>
      </c>
      <c r="AE127" s="14" t="n">
        <v>653.683373262198</v>
      </c>
      <c r="AF127" s="14" t="n">
        <v>0.03</v>
      </c>
      <c r="AG127" s="14" t="n">
        <v>0.698172513161219</v>
      </c>
      <c r="AH127" s="14" t="n">
        <v>10689.3730662169</v>
      </c>
      <c r="AI127" s="14" t="n">
        <v>18728.5258250839</v>
      </c>
      <c r="AJ127" s="14" t="n">
        <v>22</v>
      </c>
      <c r="AK127" s="14" t="n">
        <v>0</v>
      </c>
      <c r="AL127" s="14" t="n">
        <v>-27539.2119771184</v>
      </c>
      <c r="AM127" s="14" t="n">
        <v>684.5</v>
      </c>
      <c r="AN127" s="14" t="n">
        <v>38304.7428664013</v>
      </c>
      <c r="AO127" s="14" t="n">
        <v>-10994.6246722394</v>
      </c>
      <c r="AP127" s="14" t="n">
        <v>0.519414437863832</v>
      </c>
      <c r="AQ127" s="14" t="n">
        <v>0</v>
      </c>
      <c r="AR127" s="14" t="n">
        <v>327.195752</v>
      </c>
      <c r="AS127" s="14" t="n">
        <v>314.925245</v>
      </c>
      <c r="AT127" s="14" t="n">
        <v>1941.23800262213</v>
      </c>
      <c r="AU127" s="14" t="n">
        <v>12.270507</v>
      </c>
      <c r="AV127" s="14" t="n">
        <v>0</v>
      </c>
      <c r="AW127" s="14" t="n">
        <v>2254.3125</v>
      </c>
      <c r="AX127" s="14" t="n">
        <v>314.925245</v>
      </c>
      <c r="AY127" s="14" t="n">
        <v>314.925245</v>
      </c>
    </row>
    <row r="128" customFormat="false" ht="15" hidden="false" customHeight="false" outlineLevel="0" collapsed="false">
      <c r="A128" s="0" t="s">
        <v>2669</v>
      </c>
      <c r="B128" s="14" t="n">
        <v>2423.40833661368</v>
      </c>
      <c r="C128" s="14" t="n">
        <v>7508.1256958937</v>
      </c>
      <c r="D128" s="14" t="n">
        <v>19079.8733542747</v>
      </c>
      <c r="E128" s="14" t="n">
        <v>3998.32248313021</v>
      </c>
      <c r="F128" s="14" t="n">
        <v>-1060.87261108278</v>
      </c>
      <c r="G128" s="14" t="n">
        <v>4758.87006637724</v>
      </c>
      <c r="H128" s="14" t="n">
        <v>-280.576002995194</v>
      </c>
      <c r="I128" s="15" t="n">
        <v>0.01</v>
      </c>
      <c r="J128" s="15" t="n">
        <v>0</v>
      </c>
      <c r="K128" s="14" t="s">
        <v>82</v>
      </c>
      <c r="L128" s="14" t="n">
        <v>1994.02387505106</v>
      </c>
      <c r="M128" s="14" t="n">
        <v>32168.4625139179</v>
      </c>
      <c r="N128" s="14" t="n">
        <v>11801.7238329971</v>
      </c>
      <c r="O128" s="14" t="n">
        <v>-9345.7891445566</v>
      </c>
      <c r="P128" s="14" t="n">
        <v>968.519919991184</v>
      </c>
      <c r="Q128" s="14" t="n">
        <v>469.17435464953</v>
      </c>
      <c r="R128" s="14" t="n">
        <v>16850.3421667323</v>
      </c>
      <c r="S128" s="14" t="n">
        <v>29445.4974670855</v>
      </c>
      <c r="T128" s="14" t="n">
        <v>-936.780501065439</v>
      </c>
      <c r="U128" s="14" t="n">
        <v>-9350.463400647</v>
      </c>
      <c r="V128" s="14" t="n">
        <v>0.82509878873241</v>
      </c>
      <c r="W128" s="14" t="n">
        <v>45180.211959119</v>
      </c>
      <c r="X128" s="14" t="n">
        <v>25338.4686114568</v>
      </c>
      <c r="Y128" s="14" t="n">
        <v>0</v>
      </c>
      <c r="Z128" s="14" t="n">
        <v>0</v>
      </c>
      <c r="AA128" s="14" t="n">
        <v>30.1575455502983</v>
      </c>
      <c r="AB128" s="14" t="n">
        <v>27.9575455502983</v>
      </c>
      <c r="AC128" s="14" t="n">
        <v>29.4075455502983</v>
      </c>
      <c r="AD128" s="14" t="n">
        <v>23.1609949826291</v>
      </c>
      <c r="AE128" s="14" t="n">
        <v>653.683373262198</v>
      </c>
      <c r="AF128" s="14" t="n">
        <v>0.03</v>
      </c>
      <c r="AG128" s="14" t="n">
        <v>0.699789441354956</v>
      </c>
      <c r="AH128" s="14" t="n">
        <v>10689.3730662169</v>
      </c>
      <c r="AI128" s="14" t="n">
        <v>19079.8733542747</v>
      </c>
      <c r="AJ128" s="14" t="n">
        <v>22.1567</v>
      </c>
      <c r="AK128" s="14" t="n">
        <v>0</v>
      </c>
      <c r="AL128" s="14" t="n">
        <v>-27005.3866598037</v>
      </c>
      <c r="AM128" s="14" t="n">
        <v>684.5</v>
      </c>
      <c r="AN128" s="14" t="n">
        <v>38304.7428664013</v>
      </c>
      <c r="AO128" s="14" t="n">
        <v>-10994.6246722394</v>
      </c>
      <c r="AP128" s="14" t="n">
        <v>0.519414437863832</v>
      </c>
      <c r="AQ128" s="14" t="n">
        <v>0</v>
      </c>
      <c r="AR128" s="14" t="n">
        <v>327.195752</v>
      </c>
      <c r="AS128" s="14" t="n">
        <v>314.925245</v>
      </c>
      <c r="AT128" s="14" t="n">
        <v>1994.02387505106</v>
      </c>
      <c r="AU128" s="14" t="n">
        <v>12.270507</v>
      </c>
      <c r="AV128" s="14" t="n">
        <v>0</v>
      </c>
      <c r="AW128" s="14" t="n">
        <v>2254.3125</v>
      </c>
      <c r="AX128" s="14" t="n">
        <v>314.925245</v>
      </c>
      <c r="AY128" s="14" t="n">
        <v>314.925245</v>
      </c>
    </row>
    <row r="129" customFormat="false" ht="15" hidden="false" customHeight="false" outlineLevel="0" collapsed="false">
      <c r="A129" s="0" t="s">
        <v>2670</v>
      </c>
      <c r="B129" s="14" t="n">
        <v>2423.40833661368</v>
      </c>
      <c r="C129" s="14" t="n">
        <v>7621.71734378923</v>
      </c>
      <c r="D129" s="14" t="n">
        <v>19606.894648061</v>
      </c>
      <c r="E129" s="14" t="n">
        <v>4078.97255313604</v>
      </c>
      <c r="F129" s="14" t="n">
        <v>-984.898133745312</v>
      </c>
      <c r="G129" s="14" t="n">
        <v>4759.00199312978</v>
      </c>
      <c r="H129" s="14" t="n">
        <v>1589.98390338937</v>
      </c>
      <c r="I129" s="15" t="n">
        <v>0.01</v>
      </c>
      <c r="J129" s="15" t="n">
        <v>0</v>
      </c>
      <c r="K129" s="14" t="s">
        <v>82</v>
      </c>
      <c r="L129" s="14" t="n">
        <v>2073.20268369447</v>
      </c>
      <c r="M129" s="14" t="n">
        <v>32170.7343468758</v>
      </c>
      <c r="N129" s="14" t="n">
        <v>12202.2600162747</v>
      </c>
      <c r="O129" s="14" t="n">
        <v>-8915.46671644916</v>
      </c>
      <c r="P129" s="14" t="n">
        <v>968.519919991184</v>
      </c>
      <c r="Q129" s="14" t="n">
        <v>847.460390505534</v>
      </c>
      <c r="R129" s="14" t="n">
        <v>16850.3421667323</v>
      </c>
      <c r="S129" s="14" t="n">
        <v>29456.0378929612</v>
      </c>
      <c r="T129" s="14" t="n">
        <v>-936.780501065439</v>
      </c>
      <c r="U129" s="14" t="n">
        <v>-7479.90349426244</v>
      </c>
      <c r="V129" s="14" t="n">
        <v>0.82509878873241</v>
      </c>
      <c r="W129" s="14" t="n">
        <v>46042.4843595974</v>
      </c>
      <c r="X129" s="14" t="n">
        <v>25494.8402952654</v>
      </c>
      <c r="Y129" s="14" t="n">
        <v>0</v>
      </c>
      <c r="Z129" s="14" t="n">
        <v>0</v>
      </c>
      <c r="AA129" s="14" t="n">
        <v>30.1575455502983</v>
      </c>
      <c r="AB129" s="14" t="n">
        <v>27.9575455502983</v>
      </c>
      <c r="AC129" s="14" t="n">
        <v>29.4075455502983</v>
      </c>
      <c r="AD129" s="14" t="n">
        <v>23.1609949826291</v>
      </c>
      <c r="AE129" s="14" t="n">
        <v>653.683373262198</v>
      </c>
      <c r="AF129" s="14" t="n">
        <v>0.03</v>
      </c>
      <c r="AG129" s="14" t="n">
        <v>0.702129022128044</v>
      </c>
      <c r="AH129" s="14" t="n">
        <v>10689.3730662169</v>
      </c>
      <c r="AI129" s="14" t="n">
        <v>19606.894648061</v>
      </c>
      <c r="AJ129" s="14" t="n">
        <v>22.39175</v>
      </c>
      <c r="AK129" s="14" t="n">
        <v>0</v>
      </c>
      <c r="AL129" s="14" t="n">
        <v>-26261.151096468</v>
      </c>
      <c r="AM129" s="14" t="n">
        <v>684.5</v>
      </c>
      <c r="AN129" s="14" t="n">
        <v>38304.7428664013</v>
      </c>
      <c r="AO129" s="14" t="n">
        <v>-10994.6246722394</v>
      </c>
      <c r="AP129" s="14" t="n">
        <v>0.519414437863832</v>
      </c>
      <c r="AQ129" s="14" t="n">
        <v>0</v>
      </c>
      <c r="AR129" s="14" t="n">
        <v>327.195752</v>
      </c>
      <c r="AS129" s="14" t="n">
        <v>314.925245</v>
      </c>
      <c r="AT129" s="14" t="n">
        <v>2073.20268369447</v>
      </c>
      <c r="AU129" s="14" t="n">
        <v>12.270507</v>
      </c>
      <c r="AV129" s="14" t="n">
        <v>0</v>
      </c>
      <c r="AW129" s="14" t="n">
        <v>2254.3125</v>
      </c>
      <c r="AX129" s="14" t="n">
        <v>314.925245</v>
      </c>
      <c r="AY129" s="14" t="n">
        <v>314.925245</v>
      </c>
    </row>
    <row r="130" customFormat="false" ht="15" hidden="false" customHeight="false" outlineLevel="0" collapsed="false">
      <c r="A130" s="0" t="s">
        <v>2671</v>
      </c>
      <c r="B130" s="14" t="n">
        <v>2423.40833661368</v>
      </c>
      <c r="C130" s="14" t="n">
        <v>7811.03675694845</v>
      </c>
      <c r="D130" s="14" t="n">
        <v>20485.2634710382</v>
      </c>
      <c r="E130" s="14" t="n">
        <v>4213.38933647908</v>
      </c>
      <c r="F130" s="14" t="n">
        <v>-858.274004849528</v>
      </c>
      <c r="G130" s="14" t="n">
        <v>4759.22187105067</v>
      </c>
      <c r="H130" s="14" t="n">
        <v>4692.63694698916</v>
      </c>
      <c r="I130" s="15" t="n">
        <v>0.01</v>
      </c>
      <c r="J130" s="15" t="n">
        <v>0</v>
      </c>
      <c r="K130" s="14" t="s">
        <v>82</v>
      </c>
      <c r="L130" s="14" t="n">
        <v>2205.1673647668</v>
      </c>
      <c r="M130" s="14" t="n">
        <v>32174.520735139</v>
      </c>
      <c r="N130" s="14" t="n">
        <v>12869.8203217374</v>
      </c>
      <c r="O130" s="14" t="n">
        <v>-8265.01215140794</v>
      </c>
      <c r="P130" s="14" t="n">
        <v>968.519919991184</v>
      </c>
      <c r="Q130" s="14" t="n">
        <v>1477.93711693221</v>
      </c>
      <c r="R130" s="14" t="n">
        <v>16850.3421667323</v>
      </c>
      <c r="S130" s="14" t="n">
        <v>29473.6052694208</v>
      </c>
      <c r="T130" s="14" t="n">
        <v>-936.780501065439</v>
      </c>
      <c r="U130" s="14" t="n">
        <v>-4377.25045066264</v>
      </c>
      <c r="V130" s="14" t="n">
        <v>0.82509878873241</v>
      </c>
      <c r="W130" s="14" t="n">
        <v>47479.6050270614</v>
      </c>
      <c r="X130" s="14" t="n">
        <v>25755.4597682797</v>
      </c>
      <c r="Y130" s="14" t="n">
        <v>0</v>
      </c>
      <c r="Z130" s="14" t="n">
        <v>0</v>
      </c>
      <c r="AA130" s="14" t="n">
        <v>30.1575455502983</v>
      </c>
      <c r="AB130" s="14" t="n">
        <v>27.9575455502983</v>
      </c>
      <c r="AC130" s="14" t="n">
        <v>29.4075455502983</v>
      </c>
      <c r="AD130" s="14" t="n">
        <v>23.1609949826291</v>
      </c>
      <c r="AE130" s="14" t="n">
        <v>653.683373262198</v>
      </c>
      <c r="AF130" s="14" t="n">
        <v>0.03</v>
      </c>
      <c r="AG130" s="14" t="n">
        <v>0.705815131665385</v>
      </c>
      <c r="AH130" s="14" t="n">
        <v>10689.3730662169</v>
      </c>
      <c r="AI130" s="14" t="n">
        <v>20485.2634710382</v>
      </c>
      <c r="AJ130" s="14" t="n">
        <v>22.7835</v>
      </c>
      <c r="AK130" s="14" t="n">
        <v>0</v>
      </c>
      <c r="AL130" s="14" t="n">
        <v>-25103.043420076</v>
      </c>
      <c r="AM130" s="14" t="n">
        <v>684.5</v>
      </c>
      <c r="AN130" s="14" t="n">
        <v>38304.7428664013</v>
      </c>
      <c r="AO130" s="14" t="n">
        <v>-10994.6246722394</v>
      </c>
      <c r="AP130" s="14" t="n">
        <v>0.519414437863832</v>
      </c>
      <c r="AQ130" s="14" t="n">
        <v>0</v>
      </c>
      <c r="AR130" s="14" t="n">
        <v>327.195752</v>
      </c>
      <c r="AS130" s="14" t="n">
        <v>314.925245</v>
      </c>
      <c r="AT130" s="14" t="n">
        <v>2205.1673647668</v>
      </c>
      <c r="AU130" s="14" t="n">
        <v>12.270507</v>
      </c>
      <c r="AV130" s="14" t="n">
        <v>0</v>
      </c>
      <c r="AW130" s="14" t="n">
        <v>2254.3125</v>
      </c>
      <c r="AX130" s="14" t="n">
        <v>314.925245</v>
      </c>
      <c r="AY130" s="14" t="n">
        <v>314.925245</v>
      </c>
    </row>
    <row r="131" customFormat="false" ht="15" hidden="false" customHeight="false" outlineLevel="0" collapsed="false">
      <c r="A131" s="0" t="s">
        <v>2672</v>
      </c>
      <c r="B131" s="14" t="n">
        <v>2423.40833661368</v>
      </c>
      <c r="C131" s="14" t="n">
        <v>7996.12256877182</v>
      </c>
      <c r="D131" s="14" t="n">
        <v>19869.2073752061</v>
      </c>
      <c r="E131" s="14" t="n">
        <v>4344.80026287368</v>
      </c>
      <c r="F131" s="14" t="n">
        <v>-734.361359900264</v>
      </c>
      <c r="G131" s="14" t="n">
        <v>4759.31672002307</v>
      </c>
      <c r="H131" s="14" t="n">
        <v>1830.96585269525</v>
      </c>
      <c r="I131" s="15" t="n">
        <v>0.01</v>
      </c>
      <c r="J131" s="15" t="n">
        <v>0</v>
      </c>
      <c r="K131" s="14" t="s">
        <v>82</v>
      </c>
      <c r="L131" s="14" t="n">
        <v>2333.44801713517</v>
      </c>
      <c r="M131" s="14" t="n">
        <v>32178.2224513754</v>
      </c>
      <c r="N131" s="14" t="n">
        <v>12401.617688905</v>
      </c>
      <c r="O131" s="14" t="n">
        <v>-8493.6769806143</v>
      </c>
      <c r="P131" s="14" t="n">
        <v>968.519919991184</v>
      </c>
      <c r="Q131" s="14" t="n">
        <v>1034.35504020111</v>
      </c>
      <c r="R131" s="14" t="n">
        <v>16850.3421667323</v>
      </c>
      <c r="S131" s="14" t="n">
        <v>29461.2841475041</v>
      </c>
      <c r="T131" s="14" t="n">
        <v>-936.780501065439</v>
      </c>
      <c r="U131" s="14" t="n">
        <v>-7238.92154495655</v>
      </c>
      <c r="V131" s="14" t="n">
        <v>0.82509878873241</v>
      </c>
      <c r="W131" s="14" t="n">
        <v>45918.7806136887</v>
      </c>
      <c r="X131" s="14" t="n">
        <v>25471.9626239353</v>
      </c>
      <c r="Y131" s="14" t="n">
        <v>0</v>
      </c>
      <c r="Z131" s="14" t="n">
        <v>0</v>
      </c>
      <c r="AA131" s="14" t="n">
        <v>30.1575455502983</v>
      </c>
      <c r="AB131" s="14" t="n">
        <v>27.9575455502983</v>
      </c>
      <c r="AC131" s="14" t="n">
        <v>29.4075455502983</v>
      </c>
      <c r="AD131" s="14" t="n">
        <v>23.1609949826291</v>
      </c>
      <c r="AE131" s="14" t="n">
        <v>653.683373262198</v>
      </c>
      <c r="AF131" s="14" t="n">
        <v>0.03</v>
      </c>
      <c r="AG131" s="14" t="n">
        <v>0.701770714141756</v>
      </c>
      <c r="AH131" s="14" t="n">
        <v>10689.3730662169</v>
      </c>
      <c r="AI131" s="14" t="n">
        <v>19869.2073752061</v>
      </c>
      <c r="AJ131" s="14" t="n">
        <v>26.4107579462103</v>
      </c>
      <c r="AK131" s="14" t="n">
        <v>0</v>
      </c>
      <c r="AL131" s="14" t="n">
        <v>-25770.3148092842</v>
      </c>
      <c r="AM131" s="14" t="n">
        <v>684.5</v>
      </c>
      <c r="AN131" s="14" t="n">
        <v>38304.7428664013</v>
      </c>
      <c r="AO131" s="14" t="n">
        <v>-10994.6246722394</v>
      </c>
      <c r="AP131" s="14" t="n">
        <v>0.450076410625259</v>
      </c>
      <c r="AQ131" s="14" t="n">
        <v>0</v>
      </c>
      <c r="AR131" s="14" t="n">
        <v>327.195752</v>
      </c>
      <c r="AS131" s="14" t="n">
        <v>314.925245</v>
      </c>
      <c r="AT131" s="14" t="n">
        <v>2333.44801713517</v>
      </c>
      <c r="AU131" s="14" t="n">
        <v>12.270507</v>
      </c>
      <c r="AV131" s="14" t="n">
        <v>0</v>
      </c>
      <c r="AW131" s="14" t="n">
        <v>2254.3125</v>
      </c>
      <c r="AX131" s="14" t="n">
        <v>314.925245</v>
      </c>
      <c r="AY131" s="14" t="n">
        <v>314.925245</v>
      </c>
    </row>
    <row r="132" customFormat="false" ht="15" hidden="false" customHeight="false" outlineLevel="0" collapsed="false">
      <c r="A132" s="0" t="s">
        <v>2673</v>
      </c>
      <c r="B132" s="14" t="n">
        <v>2423.40833661368</v>
      </c>
      <c r="C132" s="14" t="n">
        <v>8048.07970956119</v>
      </c>
      <c r="D132" s="14" t="n">
        <v>20149.3140412091</v>
      </c>
      <c r="E132" s="14" t="n">
        <v>4381.68983283413</v>
      </c>
      <c r="F132" s="14" t="n">
        <v>-699.616003440789</v>
      </c>
      <c r="G132" s="14" t="n">
        <v>4759.38264789247</v>
      </c>
      <c r="H132" s="14" t="n">
        <v>2747.11646760197</v>
      </c>
      <c r="I132" s="15" t="n">
        <v>0.01</v>
      </c>
      <c r="J132" s="15" t="n">
        <v>0</v>
      </c>
      <c r="K132" s="14" t="s">
        <v>82</v>
      </c>
      <c r="L132" s="14" t="n">
        <v>2369.69866285569</v>
      </c>
      <c r="M132" s="14" t="n">
        <v>32179.2615941912</v>
      </c>
      <c r="N132" s="14" t="n">
        <v>12614.4987550673</v>
      </c>
      <c r="O132" s="14" t="n">
        <v>-8292.01235759621</v>
      </c>
      <c r="P132" s="14" t="n">
        <v>968.519919991184</v>
      </c>
      <c r="Q132" s="14" t="n">
        <v>1235.44259507451</v>
      </c>
      <c r="R132" s="14" t="n">
        <v>16850.3421667323</v>
      </c>
      <c r="S132" s="14" t="n">
        <v>29466.8862808242</v>
      </c>
      <c r="T132" s="14" t="n">
        <v>-936.780501065439</v>
      </c>
      <c r="U132" s="14" t="n">
        <v>-6322.77093004984</v>
      </c>
      <c r="V132" s="14" t="n">
        <v>0.82509878873241</v>
      </c>
      <c r="W132" s="14" t="n">
        <v>46335.1869535245</v>
      </c>
      <c r="X132" s="14" t="n">
        <v>25547.5530134992</v>
      </c>
      <c r="Y132" s="14" t="n">
        <v>0</v>
      </c>
      <c r="Z132" s="14" t="n">
        <v>0</v>
      </c>
      <c r="AA132" s="14" t="n">
        <v>30.1575455502983</v>
      </c>
      <c r="AB132" s="14" t="n">
        <v>27.9575455502983</v>
      </c>
      <c r="AC132" s="14" t="n">
        <v>29.4075455502983</v>
      </c>
      <c r="AD132" s="14" t="n">
        <v>23.1609949826291</v>
      </c>
      <c r="AE132" s="14" t="n">
        <v>653.683373262198</v>
      </c>
      <c r="AF132" s="14" t="n">
        <v>0.03</v>
      </c>
      <c r="AG132" s="14" t="n">
        <v>0.702885586561208</v>
      </c>
      <c r="AH132" s="14" t="n">
        <v>10689.3730662169</v>
      </c>
      <c r="AI132" s="14" t="n">
        <v>20149.3140412091</v>
      </c>
      <c r="AJ132" s="14" t="n">
        <v>26.4792427872861</v>
      </c>
      <c r="AK132" s="14" t="n">
        <v>0</v>
      </c>
      <c r="AL132" s="14" t="n">
        <v>-25412.5737879762</v>
      </c>
      <c r="AM132" s="14" t="n">
        <v>684.5</v>
      </c>
      <c r="AN132" s="14" t="n">
        <v>38304.7428664013</v>
      </c>
      <c r="AO132" s="14" t="n">
        <v>-10994.6246722394</v>
      </c>
      <c r="AP132" s="14" t="n">
        <v>0.450076410625259</v>
      </c>
      <c r="AQ132" s="14" t="n">
        <v>0</v>
      </c>
      <c r="AR132" s="14" t="n">
        <v>327.195752</v>
      </c>
      <c r="AS132" s="14" t="n">
        <v>314.925245</v>
      </c>
      <c r="AT132" s="14" t="n">
        <v>2369.69866285569</v>
      </c>
      <c r="AU132" s="14" t="n">
        <v>12.270507</v>
      </c>
      <c r="AV132" s="14" t="n">
        <v>0</v>
      </c>
      <c r="AW132" s="14" t="n">
        <v>2254.3125</v>
      </c>
      <c r="AX132" s="14" t="n">
        <v>314.925245</v>
      </c>
      <c r="AY132" s="14" t="n">
        <v>314.925245</v>
      </c>
    </row>
    <row r="133" customFormat="false" ht="15" hidden="false" customHeight="false" outlineLevel="0" collapsed="false">
      <c r="A133" s="0" t="s">
        <v>2674</v>
      </c>
      <c r="B133" s="14" t="n">
        <v>2423.40833661368</v>
      </c>
      <c r="C133" s="14" t="n">
        <v>8126.01542074525</v>
      </c>
      <c r="D133" s="14" t="n">
        <v>20569.4740402136</v>
      </c>
      <c r="E133" s="14" t="n">
        <v>4437.02418777482</v>
      </c>
      <c r="F133" s="14" t="n">
        <v>-647.497968751575</v>
      </c>
      <c r="G133" s="14" t="n">
        <v>4759.48153969658</v>
      </c>
      <c r="H133" s="14" t="n">
        <v>4121.34238996206</v>
      </c>
      <c r="I133" s="15" t="n">
        <v>0.01</v>
      </c>
      <c r="J133" s="15" t="n">
        <v>0</v>
      </c>
      <c r="K133" s="14" t="s">
        <v>82</v>
      </c>
      <c r="L133" s="14" t="n">
        <v>2424.07463143647</v>
      </c>
      <c r="M133" s="14" t="n">
        <v>32180.8203084149</v>
      </c>
      <c r="N133" s="14" t="n">
        <v>12933.8203543107</v>
      </c>
      <c r="O133" s="14" t="n">
        <v>-7989.51542306908</v>
      </c>
      <c r="P133" s="14" t="n">
        <v>968.519919991184</v>
      </c>
      <c r="Q133" s="14" t="n">
        <v>1537.07392738462</v>
      </c>
      <c r="R133" s="14" t="n">
        <v>16850.3421667323</v>
      </c>
      <c r="S133" s="14" t="n">
        <v>29475.2894808043</v>
      </c>
      <c r="T133" s="14" t="n">
        <v>-936.780501065439</v>
      </c>
      <c r="U133" s="14" t="n">
        <v>-4948.54500768975</v>
      </c>
      <c r="V133" s="14" t="n">
        <v>0.82509878873241</v>
      </c>
      <c r="W133" s="14" t="n">
        <v>46959.7964632782</v>
      </c>
      <c r="X133" s="14" t="n">
        <v>25660.9385978451</v>
      </c>
      <c r="Y133" s="14" t="n">
        <v>0</v>
      </c>
      <c r="Z133" s="14" t="n">
        <v>0</v>
      </c>
      <c r="AA133" s="14" t="n">
        <v>30.1575455502983</v>
      </c>
      <c r="AB133" s="14" t="n">
        <v>27.9575455502983</v>
      </c>
      <c r="AC133" s="14" t="n">
        <v>29.4075455502983</v>
      </c>
      <c r="AD133" s="14" t="n">
        <v>23.1609949826291</v>
      </c>
      <c r="AE133" s="14" t="n">
        <v>653.683373262198</v>
      </c>
      <c r="AF133" s="14" t="n">
        <v>0.03</v>
      </c>
      <c r="AG133" s="14" t="n">
        <v>0.704515484277783</v>
      </c>
      <c r="AH133" s="14" t="n">
        <v>10689.3730662169</v>
      </c>
      <c r="AI133" s="14" t="n">
        <v>20569.4740402136</v>
      </c>
      <c r="AJ133" s="14" t="n">
        <v>26.5819700488998</v>
      </c>
      <c r="AK133" s="14" t="n">
        <v>0</v>
      </c>
      <c r="AL133" s="14" t="n">
        <v>-24875.9622560142</v>
      </c>
      <c r="AM133" s="14" t="n">
        <v>684.5</v>
      </c>
      <c r="AN133" s="14" t="n">
        <v>38304.7428664013</v>
      </c>
      <c r="AO133" s="14" t="n">
        <v>-10994.6246722394</v>
      </c>
      <c r="AP133" s="14" t="n">
        <v>0.450076410625259</v>
      </c>
      <c r="AQ133" s="14" t="n">
        <v>0</v>
      </c>
      <c r="AR133" s="14" t="n">
        <v>327.195752</v>
      </c>
      <c r="AS133" s="14" t="n">
        <v>314.925245</v>
      </c>
      <c r="AT133" s="14" t="n">
        <v>2424.07463143647</v>
      </c>
      <c r="AU133" s="14" t="n">
        <v>12.270507</v>
      </c>
      <c r="AV133" s="14" t="n">
        <v>0</v>
      </c>
      <c r="AW133" s="14" t="n">
        <v>2254.3125</v>
      </c>
      <c r="AX133" s="14" t="n">
        <v>314.925245</v>
      </c>
      <c r="AY133" s="14" t="n">
        <v>314.925245</v>
      </c>
    </row>
    <row r="134" customFormat="false" ht="15" hidden="false" customHeight="false" outlineLevel="0" collapsed="false">
      <c r="A134" s="0" t="s">
        <v>2675</v>
      </c>
      <c r="B134" s="14" t="n">
        <v>2423.40833661368</v>
      </c>
      <c r="C134" s="14" t="n">
        <v>8255.90827271869</v>
      </c>
      <c r="D134" s="14" t="n">
        <v>21269.740705221</v>
      </c>
      <c r="E134" s="14" t="n">
        <v>4529.24811267596</v>
      </c>
      <c r="F134" s="14" t="n">
        <v>-560.634577602887</v>
      </c>
      <c r="G134" s="14" t="n">
        <v>4759.6463593701</v>
      </c>
      <c r="H134" s="14" t="n">
        <v>6411.71892722882</v>
      </c>
      <c r="I134" s="15" t="n">
        <v>0.01</v>
      </c>
      <c r="J134" s="15" t="n">
        <v>0.571248826721472</v>
      </c>
      <c r="K134" s="14" t="s">
        <v>82</v>
      </c>
      <c r="L134" s="14" t="n">
        <v>2514.70124573777</v>
      </c>
      <c r="M134" s="14" t="n">
        <v>32183.4181654544</v>
      </c>
      <c r="N134" s="14" t="n">
        <v>13466.0230197163</v>
      </c>
      <c r="O134" s="14" t="n">
        <v>-7489.88339331438</v>
      </c>
      <c r="P134" s="14" t="n">
        <v>968.519919991184</v>
      </c>
      <c r="Q134" s="14" t="n">
        <v>2039.79281456814</v>
      </c>
      <c r="R134" s="14" t="n">
        <v>16850.3421667323</v>
      </c>
      <c r="S134" s="14" t="n">
        <v>29489.2948141044</v>
      </c>
      <c r="T134" s="14" t="n">
        <v>-936.780501065439</v>
      </c>
      <c r="U134" s="14" t="n">
        <v>-2658.16847042299</v>
      </c>
      <c r="V134" s="14" t="n">
        <v>0.82509878873241</v>
      </c>
      <c r="W134" s="14" t="n">
        <v>48000.8123128678</v>
      </c>
      <c r="X134" s="14" t="n">
        <v>25849.914571755</v>
      </c>
      <c r="Y134" s="14" t="n">
        <v>0.537385692336534</v>
      </c>
      <c r="Z134" s="14" t="n">
        <v>0.729427626840647</v>
      </c>
      <c r="AA134" s="14" t="n">
        <v>30.1575455502983</v>
      </c>
      <c r="AB134" s="14" t="n">
        <v>27.9575455502983</v>
      </c>
      <c r="AC134" s="14" t="n">
        <v>29.4075455502983</v>
      </c>
      <c r="AD134" s="14" t="n">
        <v>23.1609949826291</v>
      </c>
      <c r="AE134" s="14" t="n">
        <v>653.683373262198</v>
      </c>
      <c r="AF134" s="14" t="n">
        <v>0.03</v>
      </c>
      <c r="AG134" s="14" t="n">
        <v>0.707124479199827</v>
      </c>
      <c r="AH134" s="14" t="n">
        <v>10689.3730662169</v>
      </c>
      <c r="AI134" s="14" t="n">
        <v>21269.740705221</v>
      </c>
      <c r="AJ134" s="14" t="n">
        <v>26.7531821515892</v>
      </c>
      <c r="AK134" s="14" t="n">
        <v>0</v>
      </c>
      <c r="AL134" s="14" t="n">
        <v>-23986.1075333486</v>
      </c>
      <c r="AM134" s="14" t="n">
        <v>684.5</v>
      </c>
      <c r="AN134" s="14" t="n">
        <v>38304.7428664013</v>
      </c>
      <c r="AO134" s="14" t="n">
        <v>-10994.6246722394</v>
      </c>
      <c r="AP134" s="14" t="n">
        <v>0.450076410625259</v>
      </c>
      <c r="AQ134" s="14" t="n">
        <v>0.505529935151745</v>
      </c>
      <c r="AR134" s="14" t="n">
        <v>327.195752</v>
      </c>
      <c r="AS134" s="14" t="n">
        <v>314.925245</v>
      </c>
      <c r="AT134" s="14" t="n">
        <v>2514.70124573777</v>
      </c>
      <c r="AU134" s="14" t="n">
        <v>12.270507</v>
      </c>
      <c r="AV134" s="14" t="n">
        <v>0</v>
      </c>
      <c r="AW134" s="14" t="n">
        <v>2254.3125</v>
      </c>
      <c r="AX134" s="14" t="n">
        <v>314.925245</v>
      </c>
      <c r="AY134" s="14" t="n">
        <v>314.925245</v>
      </c>
    </row>
    <row r="137" customFormat="false" ht="15" hidden="false" customHeight="false" outlineLevel="0" collapsed="false">
      <c r="A137" s="8" t="s">
        <v>2676</v>
      </c>
    </row>
    <row r="138" customFormat="false" ht="15" hidden="false" customHeight="false" outlineLevel="0" collapsed="false">
      <c r="B138" s="8" t="s">
        <v>350</v>
      </c>
      <c r="C138" s="8" t="s">
        <v>351</v>
      </c>
      <c r="D138" s="8" t="s">
        <v>352</v>
      </c>
    </row>
    <row r="139" customFormat="false" ht="15" hidden="false" customHeight="false" outlineLevel="0" collapsed="false">
      <c r="A139" s="0" t="s">
        <v>2677</v>
      </c>
      <c r="B139" s="14" t="n">
        <v>-2073.79663374531</v>
      </c>
      <c r="C139" s="14" t="n">
        <v>-984.898133745312</v>
      </c>
      <c r="D139" s="14" t="n">
        <v>-258.965800411979</v>
      </c>
    </row>
    <row r="140" customFormat="false" ht="15" hidden="false" customHeight="false" outlineLevel="0" collapsed="false">
      <c r="A140" s="0" t="s">
        <v>2678</v>
      </c>
      <c r="B140" s="39" t="n">
        <f aca="false">SkEBIT4</f>
        <v>820</v>
      </c>
      <c r="C140" s="39" t="n">
        <f aca="false">SkEBIT5</f>
        <v>1980</v>
      </c>
      <c r="D140" s="39" t="n">
        <f aca="false">SkEBIT6</f>
        <v>2750</v>
      </c>
    </row>
    <row r="141" customFormat="false" ht="15" hidden="false" customHeight="false" outlineLevel="0" collapsed="false">
      <c r="A141" s="0" t="s">
        <v>2263</v>
      </c>
      <c r="B141" s="14" t="n">
        <f aca="false">B139-B140</f>
        <v>-2893.79663374531</v>
      </c>
      <c r="C141" s="14" t="n">
        <f aca="false">C139-C140</f>
        <v>-2964.89813374531</v>
      </c>
      <c r="D141" s="14" t="n">
        <f aca="false">D139-D140</f>
        <v>-3008.96580041198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1" t="s">
        <v>2679</v>
      </c>
    </row>
    <row r="3" customFormat="false" ht="15" hidden="false" customHeight="false" outlineLevel="0" collapsed="false">
      <c r="A3" s="0" t="s">
        <v>513</v>
      </c>
      <c r="B3" s="0" t="s">
        <v>2680</v>
      </c>
      <c r="C3" s="0" t="s">
        <v>2681</v>
      </c>
    </row>
    <row r="4" customFormat="false" ht="15" hidden="false" customHeight="false" outlineLevel="0" collapsed="false">
      <c r="A4" s="0" t="s">
        <v>2682</v>
      </c>
      <c r="B4" s="0" t="s">
        <v>2683</v>
      </c>
      <c r="C4" s="0" t="s">
        <v>546</v>
      </c>
    </row>
    <row r="5" customFormat="false" ht="15" hidden="false" customHeight="false" outlineLevel="0" collapsed="false">
      <c r="A5" s="0" t="s">
        <v>1523</v>
      </c>
      <c r="B5" s="0" t="s">
        <v>2684</v>
      </c>
      <c r="C5" s="0" t="s">
        <v>546</v>
      </c>
    </row>
    <row r="6" customFormat="false" ht="15" hidden="false" customHeight="false" outlineLevel="0" collapsed="false">
      <c r="A6" s="0" t="s">
        <v>2685</v>
      </c>
      <c r="B6" s="0" t="s">
        <v>2686</v>
      </c>
      <c r="C6" s="0" t="s">
        <v>506</v>
      </c>
    </row>
    <row r="7" customFormat="false" ht="15" hidden="false" customHeight="false" outlineLevel="0" collapsed="false">
      <c r="A7" s="0" t="s">
        <v>550</v>
      </c>
      <c r="B7" s="0" t="s">
        <v>2687</v>
      </c>
      <c r="C7" s="0" t="s">
        <v>2688</v>
      </c>
    </row>
    <row r="8" customFormat="false" ht="15" hidden="false" customHeight="false" outlineLevel="0" collapsed="false">
      <c r="A8" s="0" t="s">
        <v>2689</v>
      </c>
      <c r="B8" s="0" t="s">
        <v>2690</v>
      </c>
      <c r="C8" s="0" t="s">
        <v>550</v>
      </c>
    </row>
    <row r="9" customFormat="false" ht="15" hidden="false" customHeight="false" outlineLevel="0" collapsed="false">
      <c r="A9" s="0" t="s">
        <v>882</v>
      </c>
      <c r="B9" s="0" t="s">
        <v>2691</v>
      </c>
      <c r="C9" s="0" t="s">
        <v>550</v>
      </c>
    </row>
    <row r="10" customFormat="false" ht="15" hidden="false" customHeight="false" outlineLevel="0" collapsed="false">
      <c r="A10" s="0" t="s">
        <v>2692</v>
      </c>
      <c r="B10" s="0" t="s">
        <v>2693</v>
      </c>
      <c r="C10" s="0" t="s">
        <v>546</v>
      </c>
    </row>
    <row r="11" customFormat="false" ht="15" hidden="false" customHeight="false" outlineLevel="0" collapsed="false">
      <c r="A11" s="0" t="s">
        <v>2694</v>
      </c>
      <c r="B11" s="0" t="s">
        <v>2695</v>
      </c>
      <c r="C11" s="0" t="s">
        <v>546</v>
      </c>
    </row>
    <row r="12" customFormat="false" ht="15" hidden="false" customHeight="false" outlineLevel="0" collapsed="false">
      <c r="A12" s="0" t="s">
        <v>2696</v>
      </c>
      <c r="B12" s="0" t="s">
        <v>2697</v>
      </c>
      <c r="C12" s="0" t="s">
        <v>546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2026-10-05T02:18:09Z</dcterms:created>
  <dc:creator>openpyxl</dc:creator>
  <dc:description/>
  <dc:language>en-US</dc:language>
  <cp:lastModifiedBy/>
  <dcterms:modified xsi:type="dcterms:W3CDTF">2026-10-05T02:30:32Z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