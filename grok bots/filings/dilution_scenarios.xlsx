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1008" sheetId="1" state="visible" r:id="rId1"/>
    <sheet xmlns:r="http://schemas.openxmlformats.org/officeDocument/2006/relationships" name="Base_ShareCount" sheetId="2" state="visible" r:id="rId2"/>
    <sheet xmlns:r="http://schemas.openxmlformats.org/officeDocument/2006/relationships" name="Converts_630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Headroom" sheetId="5" state="visible" r:id="rId5"/>
    <sheet xmlns:r="http://schemas.openxmlformats.org/officeDocument/2006/relationships" name="Gaps_Gui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color rgb="00000000"/>
    </font>
    <font>
      <b val="1"/>
      <sz val="12"/>
    </font>
    <font>
      <i val="1"/>
      <color rgb="00C659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3" fontId="3" fillId="0" borderId="0" pivotButton="0" quotePrefix="0" xfId="0"/>
    <xf numFmtId="3" fontId="4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FROZEN for Sunday pack, Thu Oct 8, 2026 3:10 PM ET. Other sheets are the 6/30 base (built 10/5).</t>
        </is>
      </c>
    </row>
    <row r="2">
      <c r="A2" t="inlineStr">
        <is>
          <t>Superseded by v0.9e: PT FD = 358,558,306 [D] (new Feb-30/Feb-34 notes as debt); 369,564,496 for PT $313.46–$324.65; 376,648,956 above $324.65 [D]. Source: fd_share_bridge.xlsx</t>
        </is>
      </c>
    </row>
    <row r="3">
      <c r="A3" t="inlineStr">
        <is>
          <t>Net no-vote headroom ~78–97M [D] (settlement source of Aug exchange shares not disclosed); replaces 93.5M</t>
        </is>
      </c>
    </row>
    <row r="4">
      <c r="A4" t="inlineStr">
        <is>
          <t>Funding gap: case (a) ~215M new shares = ~2.2–2.8x headroom [D, model v0.9e]</t>
        </is>
      </c>
    </row>
    <row r="5">
      <c r="A5" t="inlineStr">
        <is>
          <t>Older converts face remaining $7,675.0M; maturity claim $9,051.9M [D] (Jun-29/31 $102.8M / $107.2M on $87.5M each)</t>
        </is>
      </c>
    </row>
    <row r="6">
      <c r="A6" t="inlineStr">
        <is>
          <t>EDGAR re-check 10/8 3:05 PM ET: no new issuer filing since morning; GS 13G/A (5.1%, event 9/30) already logged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8" customWidth="1" min="3" max="3"/>
    <col width="55" customWidth="1" min="4" max="4"/>
  </cols>
  <sheetData>
    <row r="1">
      <c r="A1" s="1" t="inlineStr">
        <is>
          <t>NBIS dilution scenarios — share-count base @ 6/30/26</t>
        </is>
      </c>
    </row>
    <row r="2">
      <c r="A2" t="inlineStr">
        <is>
          <t>Tags: [R] Reported (blue) · [D] Derived (black formula) · [E] Estimated (orange italic). Public info only. Filings &amp; Capital 2026-10-05.</t>
        </is>
      </c>
    </row>
    <row r="4">
      <c r="A4" s="2" t="inlineStr">
        <is>
          <t>Item</t>
        </is>
      </c>
      <c r="B4" s="2" t="inlineStr">
        <is>
          <t>Shares / $</t>
        </is>
      </c>
      <c r="C4" s="2" t="inlineStr">
        <is>
          <t>Tag</t>
        </is>
      </c>
      <c r="D4" s="2" t="inlineStr">
        <is>
          <t>Source / math</t>
        </is>
      </c>
    </row>
    <row r="5">
      <c r="A5" t="inlineStr">
        <is>
          <t>Class A outstanding 6/30/26</t>
        </is>
      </c>
      <c r="B5" s="3" t="n">
        <v>238400165</v>
      </c>
      <c r="C5" t="inlineStr">
        <is>
          <t>[R]</t>
        </is>
      </c>
      <c r="D5" t="inlineStr">
        <is>
          <t>Q2 PR outstanding shares</t>
        </is>
      </c>
    </row>
    <row r="6">
      <c r="A6" t="inlineStr">
        <is>
          <t>Class B outstanding 6/30/26</t>
        </is>
      </c>
      <c r="B6" s="3" t="n">
        <v>33455053</v>
      </c>
      <c r="C6" t="inlineStr">
        <is>
          <t>[R]</t>
        </is>
      </c>
      <c r="D6" t="inlineStr">
        <is>
          <t>Q2 PR</t>
        </is>
      </c>
    </row>
    <row r="7">
      <c r="A7" t="inlineStr">
        <is>
          <t>Class A issued 6/30/26</t>
        </is>
      </c>
      <c r="B7" s="3" t="n">
        <v>288585891</v>
      </c>
      <c r="C7" t="inlineStr">
        <is>
          <t>[R]</t>
        </is>
      </c>
      <c r="D7" t="inlineStr">
        <is>
          <t>Q2FS Note 14</t>
        </is>
      </c>
    </row>
    <row r="8">
      <c r="A8" t="inlineStr">
        <is>
          <t>Treasury Class A</t>
        </is>
      </c>
      <c r="B8" s="4" t="n">
        <v>50185726</v>
      </c>
      <c r="C8" t="inlineStr">
        <is>
          <t>[D]</t>
        </is>
      </c>
      <c r="D8" t="inlineStr">
        <is>
          <t>Class A issued − Class A outstanding</t>
        </is>
      </c>
    </row>
    <row r="9">
      <c r="A9" t="inlineStr">
        <is>
          <t>Issued A+B (excl. warrant)</t>
        </is>
      </c>
      <c r="B9" s="3" t="n">
        <v>271855218</v>
      </c>
      <c r="C9" t="inlineStr">
        <is>
          <t>[R]</t>
        </is>
      </c>
      <c r="D9" t="inlineStr">
        <is>
          <t>Outstanding shares line</t>
        </is>
      </c>
    </row>
    <row r="10">
      <c r="A10" t="inlineStr">
        <is>
          <t>NVIDIA pre-funded warrant</t>
        </is>
      </c>
      <c r="B10" s="3" t="n">
        <v>21065936</v>
      </c>
      <c r="C10" t="inlineStr">
        <is>
          <t>[R]</t>
        </is>
      </c>
      <c r="D10" t="inlineStr">
        <is>
          <t>Q2FS Note 14; in basic WASO, not in issued</t>
        </is>
      </c>
    </row>
    <row r="11">
      <c r="A11" t="inlineStr">
        <is>
          <t>ATM sold Q2 2026</t>
        </is>
      </c>
      <c r="B11" s="3" t="n">
        <v>12729493</v>
      </c>
      <c r="C11" t="inlineStr">
        <is>
          <t>[R]</t>
        </is>
      </c>
      <c r="D11" t="inlineStr">
        <is>
          <t>Note 14</t>
        </is>
      </c>
    </row>
    <row r="12">
      <c r="A12" t="inlineStr">
        <is>
          <t>ATM remaining (of 25M)</t>
        </is>
      </c>
      <c r="B12" s="3" t="n">
        <v>12270507</v>
      </c>
      <c r="C12" t="inlineStr">
        <is>
          <t>[R]</t>
        </is>
      </c>
      <c r="D12" t="inlineStr">
        <is>
          <t>25,000,000 − ATM sold</t>
        </is>
      </c>
    </row>
    <row r="13">
      <c r="A13" t="inlineStr">
        <is>
          <t>ATM WA price ($)</t>
        </is>
      </c>
      <c r="B13" s="5" t="n">
        <v>223.6</v>
      </c>
      <c r="C13" t="inlineStr">
        <is>
          <t>[R]</t>
        </is>
      </c>
      <c r="D13" t="inlineStr">
        <is>
          <t>Note 14</t>
        </is>
      </c>
    </row>
    <row r="14">
      <c r="A14" t="inlineStr">
        <is>
          <t>ATM net proceeds Q2 ($M)</t>
        </is>
      </c>
      <c r="B14" s="6" t="n">
        <v>2811.1</v>
      </c>
      <c r="C14" t="inlineStr">
        <is>
          <t>[R]</t>
        </is>
      </c>
      <c r="D14" t="inlineStr">
        <is>
          <t>Note 14</t>
        </is>
      </c>
    </row>
    <row r="15">
      <c r="A15" t="inlineStr">
        <is>
          <t>If-converted converts (anti-dilutive Q2)</t>
        </is>
      </c>
      <c r="B15" s="3" t="n">
        <v>65416804</v>
      </c>
      <c r="C15" t="inlineStr">
        <is>
          <t>[R]</t>
        </is>
      </c>
      <c r="D15" t="inlineStr">
        <is>
          <t>Q2FS Note 1; excluded from diluted at loss</t>
        </is>
      </c>
    </row>
    <row r="16">
      <c r="A16" t="inlineStr">
        <is>
          <t>Convert carrying 6/30 ($M)</t>
        </is>
      </c>
      <c r="B16" s="6" t="n">
        <v>8499</v>
      </c>
      <c r="C16" t="inlineStr">
        <is>
          <t>[R]</t>
        </is>
      </c>
      <c r="D16" t="inlineStr">
        <is>
          <t>Note 12 / BS</t>
        </is>
      </c>
    </row>
    <row r="17">
      <c r="A17" t="inlineStr">
        <is>
          <t>Convert accreted principal maturity ($M)</t>
        </is>
      </c>
      <c r="B17" s="6" t="n">
        <v>10041.8</v>
      </c>
      <c r="C17" t="inlineStr">
        <is>
          <t>[R]</t>
        </is>
      </c>
      <c r="D17" t="inlineStr">
        <is>
          <t>Note 12</t>
        </is>
      </c>
    </row>
    <row r="18">
      <c r="A18" t="inlineStr">
        <is>
          <t>Convert FV 6/30 ($M)</t>
        </is>
      </c>
      <c r="B18" s="6" t="n">
        <v>20823.7</v>
      </c>
      <c r="C18" t="inlineStr">
        <is>
          <t>[R]</t>
        </is>
      </c>
      <c r="D18" t="inlineStr">
        <is>
          <t>Note 12</t>
        </is>
      </c>
    </row>
    <row r="19">
      <c r="A19" t="inlineStr">
        <is>
          <t>AGM 20% pool (snapshot)</t>
        </is>
      </c>
      <c r="B19" s="4" t="n">
        <v>64408189</v>
      </c>
      <c r="C19" t="inlineStr">
        <is>
          <t>[D]</t>
        </is>
      </c>
      <c r="D19" t="inlineStr">
        <is>
          <t>20% × (Class A issued + Class B)</t>
        </is>
      </c>
    </row>
    <row r="20">
      <c r="A20" t="inlineStr">
        <is>
          <t>Gross headroom (treasury + pool)</t>
        </is>
      </c>
      <c r="B20" s="4" t="n">
        <v>114593915</v>
      </c>
      <c r="C20" t="inlineStr">
        <is>
          <t>[D]</t>
        </is>
      </c>
      <c r="D20" t="inlineStr">
        <is>
          <t>Treasury + AGM pool</t>
        </is>
      </c>
    </row>
    <row r="21">
      <c r="A21" t="inlineStr">
        <is>
          <t>Net headroom (gross − warrant)</t>
        </is>
      </c>
      <c r="B21" s="4" t="n">
        <v>93527979</v>
      </c>
      <c r="C21" t="inlineStr">
        <is>
          <t>[D]</t>
        </is>
      </c>
      <c r="D21" t="inlineStr">
        <is>
          <t>Gross − NVIDIA warrant</t>
        </is>
      </c>
    </row>
    <row r="22">
      <c r="A22" t="inlineStr">
        <is>
          <t>FD = A out + B + warrant + if-converted</t>
        </is>
      </c>
      <c r="B22" s="4" t="n">
        <v>358337958</v>
      </c>
      <c r="C22" t="inlineStr">
        <is>
          <t>[D]</t>
        </is>
      </c>
      <c r="D22" t="inlineStr">
        <is>
          <t>Definition for this workbook</t>
        </is>
      </c>
    </row>
    <row r="24">
      <c r="A24" t="inlineStr">
        <is>
          <t>Named refs for Modeling (row numbers above): CLA_OUT=B5; CLB=B6; WARRANT=B10; ATM_REMAIN=B12; ATM_WA=B13; IF_CONV=B15; HEADROOM_GROSS=B20; HEADROOM_NET=B21; FD=B22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Convertible notes at 6/30/26 (pre Aug-26 exchange / new issue)</t>
        </is>
      </c>
    </row>
    <row r="2">
      <c r="A2" t="inlineStr">
        <is>
          <t>Remaining orig. principal for Jun-2029/2031 = 500 − 12.5 converted 2025 = 487.5 each [D]. Aug-26 exchanged $400M of each (post-period).</t>
        </is>
      </c>
    </row>
    <row r="4">
      <c r="A4" s="2" t="inlineStr">
        <is>
          <t>Series</t>
        </is>
      </c>
      <c r="B4" s="2" t="inlineStr">
        <is>
          <t>Remaining orig principal ($M)</t>
        </is>
      </c>
      <c r="C4" s="2" t="inlineStr">
        <is>
          <t>Conv rate (sh/$1k)</t>
        </is>
      </c>
      <c r="D4" s="2" t="inlineStr">
        <is>
          <t>Conv price ($)</t>
        </is>
      </c>
      <c r="E4" s="2" t="inlineStr">
        <is>
          <t>Note 12 accreted ($M)</t>
        </is>
      </c>
      <c r="F4" s="2" t="inlineStr">
        <is>
          <t>Carrying ($M)</t>
        </is>
      </c>
      <c r="G4" s="2" t="inlineStr">
        <is>
          <t>If-converted shares (orig×rate)</t>
        </is>
      </c>
      <c r="H4" s="2" t="inlineStr">
        <is>
          <t>Tag</t>
        </is>
      </c>
    </row>
    <row r="5">
      <c r="A5" t="inlineStr">
        <is>
          <t>2.00% Jun-2029</t>
        </is>
      </c>
      <c r="B5" s="8" t="n">
        <v>487.5</v>
      </c>
      <c r="C5" s="8" t="n">
        <v>19.4363</v>
      </c>
      <c r="D5" s="8" t="n">
        <v>51.45</v>
      </c>
      <c r="E5" s="8" t="n">
        <v>587.5</v>
      </c>
      <c r="F5" s="8" t="n">
        <v>504.1</v>
      </c>
      <c r="G5">
        <f>B5*1000*C5</f>
        <v/>
      </c>
      <c r="H5" t="inlineStr">
        <is>
          <t>[R]/[D]</t>
        </is>
      </c>
    </row>
    <row r="6">
      <c r="A6" t="inlineStr">
        <is>
          <t>3.00% Jun-2031</t>
        </is>
      </c>
      <c r="B6" s="8" t="n">
        <v>487.5</v>
      </c>
      <c r="C6" s="8" t="n">
        <v>19.4363</v>
      </c>
      <c r="D6" s="8" t="n">
        <v>51.45</v>
      </c>
      <c r="E6" s="8" t="n">
        <v>612.5</v>
      </c>
      <c r="F6" s="8" t="n">
        <v>498.4</v>
      </c>
      <c r="G6">
        <f>B6*1000*C6</f>
        <v/>
      </c>
      <c r="H6" t="inlineStr">
        <is>
          <t>[R]/[D]</t>
        </is>
      </c>
    </row>
    <row r="7">
      <c r="A7" t="inlineStr">
        <is>
          <t>1.00% Sep-2030</t>
        </is>
      </c>
      <c r="B7" s="8" t="n">
        <v>1581.25</v>
      </c>
      <c r="C7" s="8" t="n">
        <v>7.2072</v>
      </c>
      <c r="D7" s="8" t="n">
        <v>138.75</v>
      </c>
      <c r="E7" s="8" t="n">
        <v>1818.4</v>
      </c>
      <c r="F7" s="8" t="n">
        <v>1588.2</v>
      </c>
      <c r="G7">
        <f>B7*1000*C7</f>
        <v/>
      </c>
      <c r="H7" t="inlineStr">
        <is>
          <t>[R]/[D]</t>
        </is>
      </c>
    </row>
    <row r="8">
      <c r="A8" t="inlineStr">
        <is>
          <t>2.75% Sep-2032</t>
        </is>
      </c>
      <c r="B8" s="8" t="n">
        <v>1581.25</v>
      </c>
      <c r="C8" s="8" t="n">
        <v>7.2072</v>
      </c>
      <c r="D8" s="8" t="n">
        <v>138.75</v>
      </c>
      <c r="E8" s="8" t="n">
        <v>1818.4</v>
      </c>
      <c r="F8" s="8" t="n">
        <v>1575</v>
      </c>
      <c r="G8">
        <f>B8*1000*C8</f>
        <v/>
      </c>
      <c r="H8" t="inlineStr">
        <is>
          <t>[R]/[D]</t>
        </is>
      </c>
    </row>
    <row r="9">
      <c r="A9" t="inlineStr">
        <is>
          <t>1.25% Mar-2031</t>
        </is>
      </c>
      <c r="B9" s="8" t="n">
        <v>2587.5</v>
      </c>
      <c r="C9" s="8" t="n">
        <v>5.4579</v>
      </c>
      <c r="D9" s="8" t="n">
        <v>183.22</v>
      </c>
      <c r="E9" s="8" t="n">
        <v>3105</v>
      </c>
      <c r="F9" s="8" t="n">
        <v>2588.6</v>
      </c>
      <c r="G9">
        <f>B9*1000*C9</f>
        <v/>
      </c>
      <c r="H9" t="inlineStr">
        <is>
          <t>[R]/[D]</t>
        </is>
      </c>
    </row>
    <row r="10">
      <c r="A10" t="inlineStr">
        <is>
          <t>2.625% Mar-2033</t>
        </is>
      </c>
      <c r="B10" s="8" t="n">
        <v>1750</v>
      </c>
      <c r="C10" s="8" t="n">
        <v>5.546</v>
      </c>
      <c r="D10" s="8" t="n">
        <v>180.31</v>
      </c>
      <c r="E10" s="8" t="n">
        <v>2100</v>
      </c>
      <c r="F10" s="8" t="n">
        <v>1744.7</v>
      </c>
      <c r="G10">
        <f>B10*1000*C10</f>
        <v/>
      </c>
      <c r="H10" t="inlineStr">
        <is>
          <t>[R]/[D]</t>
        </is>
      </c>
    </row>
    <row r="11">
      <c r="A11" t="inlineStr">
        <is>
          <t>TOTAL if-converted (initial rates)</t>
        </is>
      </c>
      <c r="G11">
        <f>SUM(G5:G10)</f>
        <v/>
      </c>
      <c r="H11" t="inlineStr">
        <is>
          <t>[D] ≈65.57M vs reported 65,416,804 [R]</t>
        </is>
      </c>
    </row>
    <row r="13">
      <c r="A13" t="inlineStr">
        <is>
          <t>Reported anti-dilutive if-converted (Q2FS Note 1):</t>
        </is>
      </c>
      <c r="B13" s="8" t="n">
        <v>65416804</v>
      </c>
      <c r="C13" t="inlineStr">
        <is>
          <t>[R]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>
      <c r="A1" s="7" t="inlineStr">
        <is>
          <t>Equity issuance / ATM dilution scenarios (wire for Modeling)</t>
        </is>
      </c>
    </row>
    <row r="2">
      <c r="A2" t="inlineStr">
        <is>
          <t>Dilution % = shares issued ÷ Class A outstanding or ÷ FD. Proceeds = shares × price. $150/$100 are [E] placeholders.</t>
        </is>
      </c>
    </row>
    <row r="3">
      <c r="A3" t="inlineStr">
        <is>
          <t>FD definition: Class A out (238,400,165) + Class B (33,455,053) + warrant (21,065,936) + if-converted (65,416,804) = 358,337,958 [D]</t>
        </is>
      </c>
    </row>
    <row r="5">
      <c r="A5" t="inlineStr">
        <is>
          <t>Price inputs</t>
        </is>
      </c>
    </row>
    <row r="6">
      <c r="A6" t="inlineStr">
        <is>
          <t>Price 1 — ATM WA ($)</t>
        </is>
      </c>
      <c r="B6" s="8" t="n">
        <v>223.6</v>
      </c>
      <c r="C6" t="inlineStr">
        <is>
          <t>[R]</t>
        </is>
      </c>
    </row>
    <row r="7">
      <c r="A7" t="inlineStr">
        <is>
          <t>Price 2 — round placeholder ($)</t>
        </is>
      </c>
      <c r="B7" s="9" t="n">
        <v>150</v>
      </c>
      <c r="C7" t="inlineStr">
        <is>
          <t>[E]</t>
        </is>
      </c>
    </row>
    <row r="8">
      <c r="A8" t="inlineStr">
        <is>
          <t>Price 3 — round placeholder ($)</t>
        </is>
      </c>
      <c r="B8" s="9" t="n">
        <v>100</v>
      </c>
      <c r="C8" t="inlineStr">
        <is>
          <t>[E]</t>
        </is>
      </c>
    </row>
    <row r="9">
      <c r="A9" t="inlineStr">
        <is>
          <t>Class A outstanding (denom)</t>
        </is>
      </c>
      <c r="B9" s="8" t="n">
        <v>238400165</v>
      </c>
    </row>
    <row r="10">
      <c r="A10" t="inlineStr">
        <is>
          <t>FD (denom)</t>
        </is>
      </c>
      <c r="B10" s="10" t="n">
        <v>358337958</v>
      </c>
    </row>
    <row r="12">
      <c r="A12" s="2" t="inlineStr">
        <is>
          <t>Scenario</t>
        </is>
      </c>
      <c r="B12" s="2" t="inlineStr">
        <is>
          <t>Shares issued</t>
        </is>
      </c>
      <c r="C12" s="2" t="inlineStr">
        <is>
          <t>Tag / note</t>
        </is>
      </c>
      <c r="D12" s="2" t="inlineStr">
        <is>
          <t>Gross proceeds @ P1 ($M)</t>
        </is>
      </c>
      <c r="E12" s="2" t="inlineStr">
        <is>
          <t>Gross proceeds @ P2 ($M)</t>
        </is>
      </c>
      <c r="F12" s="2" t="inlineStr">
        <is>
          <t>Gross proceeds @ P3 ($M)</t>
        </is>
      </c>
      <c r="G12" s="2" t="inlineStr">
        <is>
          <t>Dilution vs Class A out (%)</t>
        </is>
      </c>
      <c r="H12" s="2" t="inlineStr">
        <is>
          <t>Dilution vs FD (%)</t>
        </is>
      </c>
    </row>
    <row r="13">
      <c r="A13" t="inlineStr">
        <is>
          <t>Status quo</t>
        </is>
      </c>
      <c r="B13" s="4" t="n">
        <v>0</v>
      </c>
      <c r="C13" t="inlineStr">
        <is>
          <t>—</t>
        </is>
      </c>
      <c r="D13" s="11">
        <f>B13*$B$6/1000000</f>
        <v/>
      </c>
      <c r="E13" s="11">
        <f>B13*$B$7/1000000</f>
        <v/>
      </c>
      <c r="F13" s="11">
        <f>B13*$B$8/1000000</f>
        <v/>
      </c>
      <c r="G13" s="12">
        <f>IF($B$9=0,0,B13/$B$9)</f>
        <v/>
      </c>
      <c r="H13" s="12">
        <f>IF($B$10=0,0,B13/$B$10)</f>
        <v/>
      </c>
    </row>
    <row r="14">
      <c r="A14" t="inlineStr">
        <is>
          <t>ATM exhaust remainder</t>
        </is>
      </c>
      <c r="B14" s="3" t="n">
        <v>12270507</v>
      </c>
      <c r="C14" t="inlineStr">
        <is>
          <t>Remaining under 25M program [R]</t>
        </is>
      </c>
      <c r="D14" s="11">
        <f>B14*$B$6/1000000</f>
        <v/>
      </c>
      <c r="E14" s="11">
        <f>B14*$B$7/1000000</f>
        <v/>
      </c>
      <c r="F14" s="11">
        <f>B14*$B$8/1000000</f>
        <v/>
      </c>
      <c r="G14" s="12">
        <f>IF($B$9=0,0,B14/$B$9)</f>
        <v/>
      </c>
      <c r="H14" s="12">
        <f>IF($B$10=0,0,B14/$B$10)</f>
        <v/>
      </c>
    </row>
    <row r="15">
      <c r="A15" t="inlineStr">
        <is>
          <t>Issue 50% of net headroom (~47M)</t>
        </is>
      </c>
      <c r="B15" s="4" t="n">
        <v>46763990</v>
      </c>
      <c r="C15" t="inlineStr">
        <is>
          <t>50% × 93,527,979 [D]</t>
        </is>
      </c>
      <c r="D15" s="11">
        <f>B15*$B$6/1000000</f>
        <v/>
      </c>
      <c r="E15" s="11">
        <f>B15*$B$7/1000000</f>
        <v/>
      </c>
      <c r="F15" s="11">
        <f>B15*$B$8/1000000</f>
        <v/>
      </c>
      <c r="G15" s="12">
        <f>IF($B$9=0,0,B15/$B$9)</f>
        <v/>
      </c>
      <c r="H15" s="12">
        <f>IF($B$10=0,0,B15/$B$10)</f>
        <v/>
      </c>
    </row>
    <row r="16">
      <c r="A16" t="inlineStr">
        <is>
          <t>Issue 100% of net headroom (~94M)</t>
        </is>
      </c>
      <c r="B16" s="4" t="n">
        <v>93527979</v>
      </c>
      <c r="C16" t="inlineStr">
        <is>
          <t>100% of net headroom [D]</t>
        </is>
      </c>
      <c r="D16" s="11">
        <f>B16*$B$6/1000000</f>
        <v/>
      </c>
      <c r="E16" s="11">
        <f>B16*$B$7/1000000</f>
        <v/>
      </c>
      <c r="F16" s="11">
        <f>B16*$B$8/1000000</f>
        <v/>
      </c>
      <c r="G16" s="12">
        <f>IF($B$9=0,0,B16/$B$9)</f>
        <v/>
      </c>
      <c r="H16" s="12">
        <f>IF($B$10=0,0,B16/$B$10)</f>
        <v/>
      </c>
    </row>
    <row r="17">
      <c r="A17" t="inlineStr">
        <is>
          <t>Issue 50% of gross headroom (~57M)</t>
        </is>
      </c>
      <c r="B17" s="4" t="n">
        <v>57296958</v>
      </c>
      <c r="C17" t="inlineStr">
        <is>
          <t>50% × 114,593,915 [D]</t>
        </is>
      </c>
      <c r="D17" s="11">
        <f>B17*$B$6/1000000</f>
        <v/>
      </c>
      <c r="E17" s="11">
        <f>B17*$B$7/1000000</f>
        <v/>
      </c>
      <c r="F17" s="11">
        <f>B17*$B$8/1000000</f>
        <v/>
      </c>
      <c r="G17" s="12">
        <f>IF($B$9=0,0,B17/$B$9)</f>
        <v/>
      </c>
      <c r="H17" s="12">
        <f>IF($B$10=0,0,B17/$B$10)</f>
        <v/>
      </c>
    </row>
    <row r="18">
      <c r="A18" t="inlineStr">
        <is>
          <t>Issue 100% of gross headroom (~115M)</t>
        </is>
      </c>
      <c r="B18" s="4" t="n">
        <v>114593915</v>
      </c>
      <c r="C18" t="inlineStr">
        <is>
          <t>100% of gross headroom [D]</t>
        </is>
      </c>
      <c r="D18" s="11">
        <f>B18*$B$6/1000000</f>
        <v/>
      </c>
      <c r="E18" s="11">
        <f>B18*$B$7/1000000</f>
        <v/>
      </c>
      <c r="F18" s="11">
        <f>B18*$B$8/1000000</f>
        <v/>
      </c>
      <c r="G18" s="12">
        <f>IF($B$9=0,0,B18/$B$9)</f>
        <v/>
      </c>
      <c r="H18" s="12">
        <f>IF($B$10=0,0,B18/$B$10)</f>
        <v/>
      </c>
    </row>
    <row r="20">
      <c r="A20" s="13" t="inlineStr">
        <is>
          <t>Guidance: PT → use FD share count; cash/credit timing separate from dilution (payback_recon_inputs.md).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0" customWidth="1" min="4" max="4"/>
  </cols>
  <sheetData>
    <row r="1">
      <c r="A1" s="7" t="inlineStr">
        <is>
          <t>No-vote Class A funding capacity (from funding_capacity_note.md)</t>
        </is>
      </c>
    </row>
    <row r="3">
      <c r="A3" s="2" t="inlineStr">
        <is>
          <t>Component</t>
        </is>
      </c>
      <c r="B3" s="2" t="inlineStr">
        <is>
          <t>Shares</t>
        </is>
      </c>
      <c r="C3" s="2" t="inlineStr">
        <is>
          <t>Tag</t>
        </is>
      </c>
      <c r="D3" s="2" t="inlineStr">
        <is>
          <t>Math</t>
        </is>
      </c>
    </row>
    <row r="4">
      <c r="A4" t="inlineStr">
        <is>
          <t>Treasury Class A 6/30/26</t>
        </is>
      </c>
      <c r="B4" s="4" t="n">
        <v>50185726</v>
      </c>
      <c r="C4" t="inlineStr">
        <is>
          <t>[D]</t>
        </is>
      </c>
      <c r="D4" t="inlineStr">
        <is>
          <t>288,585,891 − 238,400,165</t>
        </is>
      </c>
    </row>
    <row r="5">
      <c r="A5" t="inlineStr">
        <is>
          <t>AGM 20% pool</t>
        </is>
      </c>
      <c r="B5" s="4" t="n">
        <v>64408189</v>
      </c>
      <c r="C5" t="inlineStr">
        <is>
          <t>[D]</t>
        </is>
      </c>
      <c r="D5" t="inlineStr">
        <is>
          <t>20% × (288,585,891+33,455,053)</t>
        </is>
      </c>
    </row>
    <row r="6">
      <c r="A6" t="inlineStr">
        <is>
          <t>Gross headroom</t>
        </is>
      </c>
      <c r="B6" s="4" t="n">
        <v>114593915</v>
      </c>
      <c r="C6" t="inlineStr">
        <is>
          <t>[D]</t>
        </is>
      </c>
      <c r="D6" t="inlineStr">
        <is>
          <t>Treasury + AGM pool</t>
        </is>
      </c>
    </row>
    <row r="7">
      <c r="A7" t="inlineStr">
        <is>
          <t>NVIDIA warrant (unexercised)</t>
        </is>
      </c>
      <c r="B7" s="3" t="n">
        <v>21065936</v>
      </c>
      <c r="C7" t="inlineStr">
        <is>
          <t>[R]</t>
        </is>
      </c>
      <c r="D7" t="inlineStr">
        <is>
          <t>Q2FS Note 14</t>
        </is>
      </c>
    </row>
    <row r="8">
      <c r="A8" t="inlineStr">
        <is>
          <t>Net headroom</t>
        </is>
      </c>
      <c r="B8" s="4" t="n">
        <v>93527979</v>
      </c>
      <c r="C8" t="inlineStr">
        <is>
          <t>[D]</t>
        </is>
      </c>
      <c r="D8" t="inlineStr">
        <is>
          <t>Gross − warrant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Gaps &amp; Modeling guidance</t>
        </is>
      </c>
    </row>
    <row r="3">
      <c r="A3" s="13" t="inlineStr">
        <is>
          <t>Gaps</t>
        </is>
      </c>
    </row>
    <row r="4">
      <c r="A4" t="inlineStr">
        <is>
          <t>Post-6/30 ATM sales not yet in BS / Note 14 — remaining capacity may already be lower.</t>
        </is>
      </c>
    </row>
    <row r="5">
      <c r="A5" t="inlineStr">
        <is>
          <t>NVIDIA warrant exercise undisclosed through 10/1/26 Inferize 6-K.</t>
        </is>
      </c>
    </row>
    <row r="6">
      <c r="A6" t="inlineStr">
        <is>
          <t>$775M senior secured facility (signed 10-Jul-2026): drawn amount undisclosed.</t>
        </is>
      </c>
    </row>
    <row r="7">
      <c r="A7" t="inlineStr">
        <is>
          <t>Aug-26 ~15.8M exchange shares + new converts are post-period vs 6/30 base.</t>
        </is>
      </c>
    </row>
    <row r="9">
      <c r="A9" s="13" t="inlineStr">
        <is>
          <t>Modeling guidance</t>
        </is>
      </c>
    </row>
    <row r="10">
      <c r="A10" t="inlineStr">
        <is>
          <t>PT share count: use FD (Class A out + Class B + warrant + if-converted). Use Class A outstanding only when slide is explicitly per Class A share.</t>
        </is>
      </c>
    </row>
    <row r="11">
      <c r="A11" t="inlineStr">
        <is>
          <t>Cash/credit timing (deferred recognition, prepay credits) stays SEPARATE from dilution — see payback_recon_inputs.md.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2026-10-05T14:32:38Z</dcterms:created>
  <dcterms:modified xmlns:dcterms="http://purl.org/dc/terms/" xmlns:xsi="http://www.w3.org/2001/XMLSchema-instance" xsi:type="dcterms:W3CDTF">2026-10-08T19:06:35Z</dcterms:modified>
</cp:coreProperties>
</file>