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FD_Bridge" sheetId="2" state="visible" r:id="rId4"/>
    <sheet name="PT_Consistency" sheetId="3" state="visible" r:id="rId5"/>
    <sheet name="Headroo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<sst xmlns="http://schemas.openxmlformats.org/spreadsheetml/2006/main" count="322" uniqueCount="196">
  <si>
    <t xml:space="preserve">Input</t>
  </si>
  <si>
    <t xml:space="preserve">Value</t>
  </si>
  <si>
    <t xml:space="preserve">Unit</t>
  </si>
  <si>
    <t xml:space="preserve">Tag</t>
  </si>
  <si>
    <t xml:space="preserve">Source</t>
  </si>
  <si>
    <t xml:space="preserve">Class A outstanding 6/30/26</t>
  </si>
  <si>
    <t xml:space="preserve">sh</t>
  </si>
  <si>
    <t xml:space="preserve">R</t>
  </si>
  <si>
    <t xml:space="preserve">Q2 PR outstanding shares; 6-K 8/12/26 acc 0001104659-26-094568</t>
  </si>
  <si>
    <t xml:space="preserve">Class B outstanding 6/30/26</t>
  </si>
  <si>
    <t xml:space="preserve">Q2 PR</t>
  </si>
  <si>
    <t xml:space="preserve">NVIDIA pre-funded warrant (unexercised)</t>
  </si>
  <si>
    <t xml:space="preserve">Q2FS Note 14; 6-K 8/12/26 acc 0001104659-26-094844</t>
  </si>
  <si>
    <t xml:space="preserve">If-converted shares, Q2 (anti-dilutive, weighted avg)</t>
  </si>
  <si>
    <t xml:space="preserve">Q2FS Note 1 EPS</t>
  </si>
  <si>
    <t xml:space="preserve">Jun-2029 2.00% notes exchanged (orig. principal)</t>
  </si>
  <si>
    <t xml:space="preserve">$M</t>
  </si>
  <si>
    <t xml:space="preserve">6-K 8/24/26 Ex.99.1 acc 0001104659-26-100347</t>
  </si>
  <si>
    <t xml:space="preserve">Jun-2031 3.00% notes exchanged (orig. principal)</t>
  </si>
  <si>
    <t xml:space="preserve">same</t>
  </si>
  <si>
    <t xml:space="preserve">Conversion rate Jun-2029/Jun-2031 notes</t>
  </si>
  <si>
    <t xml:space="preserve">sh per $1,000</t>
  </si>
  <si>
    <t xml:space="preserve">Jun-2025 offering 6-K; Q2FS Note 12</t>
  </si>
  <si>
    <t xml:space="preserve">Notes Exchange Price, 2029 notes</t>
  </si>
  <si>
    <t xml:space="preserve">$ per $1,000</t>
  </si>
  <si>
    <t xml:space="preserve">Form of Exchange Agreement, Ex.4.5 to 6-K 8/24/26</t>
  </si>
  <si>
    <t xml:space="preserve">Notes Exchange Price, 2031 notes</t>
  </si>
  <si>
    <t xml:space="preserve">Coupon 2029 notes</t>
  </si>
  <si>
    <t xml:space="preserve">p.a.</t>
  </si>
  <si>
    <t xml:space="preserve">notes terms</t>
  </si>
  <si>
    <t xml:space="preserve">Coupon 2031 notes</t>
  </si>
  <si>
    <t xml:space="preserve">Accrued-interest days 6/5/26 to settlement (30/360)</t>
  </si>
  <si>
    <t xml:space="preserve">days</t>
  </si>
  <si>
    <t xml:space="preserve">E</t>
  </si>
  <si>
    <t xml:space="preserve">ASSUMPTION: 30/360, T+2 settlement 8/21/26; 79 days if 8/24 (adds ~744 sh)</t>
  </si>
  <si>
    <t xml:space="preserve">Share Price = last reported sale price on pricing date 8/19/26</t>
  </si>
  <si>
    <t xml:space="preserve">$</t>
  </si>
  <si>
    <t xml:space="preserve">Pricing PR, 6-K 8/20/26 acc 0001104659-26-098924</t>
  </si>
  <si>
    <t xml:space="preserve">Company-stated exchange shares ("approximately")</t>
  </si>
  <si>
    <t xml:space="preserve">6-K 8/20 and 8/24/26: "approximately 15.8 million"</t>
  </si>
  <si>
    <t xml:space="preserve">New 0.50% Feb-2030 notes, orig. principal</t>
  </si>
  <si>
    <t xml:space="preserve">6-K 8/24/26 (greenshoe fully exercised)</t>
  </si>
  <si>
    <t xml:space="preserve">Conversion rate 2030 notes</t>
  </si>
  <si>
    <t xml:space="preserve">6-K 8/20/26 ($313.46)</t>
  </si>
  <si>
    <t xml:space="preserve">New 4.50% Feb-2034 notes, orig. principal</t>
  </si>
  <si>
    <t xml:space="preserve">6-K 8/24/26</t>
  </si>
  <si>
    <t xml:space="preserve">Conversion rate 2034 notes</t>
  </si>
  <si>
    <t xml:space="preserve">6-K 8/20/26 ($324.65)</t>
  </si>
  <si>
    <t xml:space="preserve">Share changes disclosed after 10/5/26</t>
  </si>
  <si>
    <t xml:space="preserve">D</t>
  </si>
  <si>
    <t xml:space="preserve">EDGAR re-check 10/8/26: no 6-K/424B/F-3/S-8/13G change; see edgar_recheck_2026-10-08.md</t>
  </si>
  <si>
    <t xml:space="preserve">Unvested RSUs 6/30/26 (memo, excluded)</t>
  </si>
  <si>
    <t xml:space="preserve">Q2FS Note 13</t>
  </si>
  <si>
    <t xml:space="preserve">Share options outstanding 6/30/26 (memo, excluded)</t>
  </si>
  <si>
    <t xml:space="preserve">Q2FS Note 13; WAEP $88.65</t>
  </si>
  <si>
    <t xml:space="preserve">Class A issued 6/30/26</t>
  </si>
  <si>
    <t xml:space="preserve">Q2FS Note 14</t>
  </si>
  <si>
    <t xml:space="preserve">New notes gross proceeds</t>
  </si>
  <si>
    <t xml:space="preserve">New notes net proceeds (company estimate, full greenshoe)</t>
  </si>
  <si>
    <t xml:space="preserve">6-K 8/20/26: "approximately $5.68 billion if... fully exercise" (exercised in full per 8/24)</t>
  </si>
  <si>
    <t xml:space="preserve">2030 notes accretion at maturity</t>
  </si>
  <si>
    <t xml:space="preserve">x orig.</t>
  </si>
  <si>
    <t xml:space="preserve">fact base / 6-K 8/20/26</t>
  </si>
  <si>
    <t xml:space="preserve">2034 notes accretion at maturity</t>
  </si>
  <si>
    <t xml:space="preserve">Convertible notes carrying value 6/30/26 (all series)</t>
  </si>
  <si>
    <t xml:space="preserve">Q2 PR balance sheet; Q2FS Note 12</t>
  </si>
  <si>
    <t xml:space="preserve">Jun-2029 notes carrying 6/30/26 (487.5 principal)</t>
  </si>
  <si>
    <t xml:space="preserve">Q2FS Note 12</t>
  </si>
  <si>
    <t xml:space="preserve">Jun-2031 notes carrying 6/30/26 (487.5 principal)</t>
  </si>
  <si>
    <t xml:space="preserve">Jun-2029 / Jun-2031 principal outstanding at 6/30 (each)</t>
  </si>
  <si>
    <t xml:space="preserve">500 - 12.5 converted in 2025 (FY25 20-F)</t>
  </si>
  <si>
    <t xml:space="preserve">Debt, current 6/30/26</t>
  </si>
  <si>
    <t xml:space="preserve">Q2 PR balance sheet</t>
  </si>
  <si>
    <t xml:space="preserve">Cash &amp; equivalents 6/30/26 (excl. restricted 1,056.0)</t>
  </si>
  <si>
    <t xml:space="preserve">Senior secured facility size (drawn amount ND)</t>
  </si>
  <si>
    <t xml:space="preserve">6-K/A 7/17/26 acc 0001104659-26-084606</t>
  </si>
  <si>
    <t xml:space="preserve">Reference share price (10/7/26 close)</t>
  </si>
  <si>
    <t xml:space="preserve">Investing.com 10/7/26 (third-party quote) - moneyness check only</t>
  </si>
  <si>
    <t xml:space="preserve">AGM Item 13 authority</t>
  </si>
  <si>
    <t xml:space="preserve">of issued A+B</t>
  </si>
  <si>
    <t xml:space="preserve">6-K 8/26/26 AGM results</t>
  </si>
  <si>
    <t xml:space="preserve">#</t>
  </si>
  <si>
    <t xml:space="preserve">Step</t>
  </si>
  <si>
    <t xml:space="preserve">Shares</t>
  </si>
  <si>
    <t xml:space="preserve">Source / math</t>
  </si>
  <si>
    <t xml:space="preserve">1</t>
  </si>
  <si>
    <t xml:space="preserve">2</t>
  </si>
  <si>
    <t xml:space="preserve">3</t>
  </si>
  <si>
    <t xml:space="preserve">NVIDIA pre-funded warrant (unexercised; $0.0001 strike)</t>
  </si>
  <si>
    <t xml:space="preserve">4</t>
  </si>
  <si>
    <t xml:space="preserve">If-converted, all convert series at 6/30 (Q2 weighted avg)</t>
  </si>
  <si>
    <t xml:space="preserve">Q2FS Note 1</t>
  </si>
  <si>
    <t xml:space="preserve">FD0</t>
  </si>
  <si>
    <t xml:space="preserve">FD at 6/30/26 (team PT base) = rows 1-4</t>
  </si>
  <si>
    <t xml:space="preserve">Should equal 358,337,958</t>
  </si>
  <si>
    <t xml:space="preserve">5</t>
  </si>
  <si>
    <t xml:space="preserve">Less: conversion shares of $400M Jun-2029 notes exchanged</t>
  </si>
  <si>
    <t xml:space="preserve">400,000 bonds x 19.4363</t>
  </si>
  <si>
    <t xml:space="preserve">6</t>
  </si>
  <si>
    <t xml:space="preserve">Less: conversion shares of $400M Jun-2031 notes exchanged</t>
  </si>
  <si>
    <t xml:space="preserve">7</t>
  </si>
  <si>
    <t xml:space="preserve">Plus: Aug exchange shares, 2029 notes</t>
  </si>
  <si>
    <t xml:space="preserve">D (day count E)</t>
  </si>
  <si>
    <t xml:space="preserve">Ex.4.5: (Exchange Price x amount + accrued int.) / Share Price, rounded down</t>
  </si>
  <si>
    <t xml:space="preserve">8</t>
  </si>
  <si>
    <t xml:space="preserve">Plus: Aug exchange shares, 2031 notes</t>
  </si>
  <si>
    <t xml:space="preserve">9</t>
  </si>
  <si>
    <t xml:space="preserve">Plus: if-converted, new $3,450M 0.50% Feb-2030 notes</t>
  </si>
  <si>
    <t xml:space="preserve">D (rate R)</t>
  </si>
  <si>
    <t xml:space="preserve">3,450,000 bonds x 3.1902</t>
  </si>
  <si>
    <t xml:space="preserve">10</t>
  </si>
  <si>
    <t xml:space="preserve">Plus: if-converted, new $2,300M 4.50% Feb-2034 notes</t>
  </si>
  <si>
    <t xml:space="preserve">2,300,000 bonds x 3.0802</t>
  </si>
  <si>
    <t xml:space="preserve">11</t>
  </si>
  <si>
    <t xml:space="preserve">Post-10/5/26 changes disclosed</t>
  </si>
  <si>
    <t xml:space="preserve">None found on EDGAR / newsroom through 10/8 AM</t>
  </si>
  <si>
    <t xml:space="preserve">FD1</t>
  </si>
  <si>
    <t xml:space="preserve">FD PRO FORMA after Aug-26 transactions = FD0 + rows 5-11</t>
  </si>
  <si>
    <t xml:space="preserve">Target ~376,648,956</t>
  </si>
  <si>
    <t xml:space="preserve">Change vs 6/30 FD (shares)</t>
  </si>
  <si>
    <t xml:space="preserve">Change vs 6/30 FD (%)</t>
  </si>
  <si>
    <t xml:space="preserve">Check: FD0 - 358,337,958 (should be 0)</t>
  </si>
  <si>
    <t xml:space="preserve">Check: FD1 - 376,648,956 (should be 0)</t>
  </si>
  <si>
    <t xml:space="preserve">Derived exchange shares total (rows 7+8)</t>
  </si>
  <si>
    <t xml:space="preserve">vs company "approximately 15.8M"</t>
  </si>
  <si>
    <t xml:space="preserve">Inducement vs straight conversion (rows 5..8)</t>
  </si>
  <si>
    <t xml:space="preserve">extra shares over conversion value</t>
  </si>
  <si>
    <t xml:space="preserve">Memo</t>
  </si>
  <si>
    <t xml:space="preserve">Alt: FD using company "~15.8M" instead of derived count</t>
  </si>
  <si>
    <t xml:space="preserve">R/D</t>
  </si>
  <si>
    <t xml:space="preserve">Use if a reader wants only Reported exchange count</t>
  </si>
  <si>
    <t xml:space="preserve">Sensitivity: 79 accrual days (8/24 settlement) adds</t>
  </si>
  <si>
    <t xml:space="preserve">immaterial</t>
  </si>
  <si>
    <t xml:space="preserve">Class A outstanding pro forma (Q3 baseline, before ATM/RSU deliveries)</t>
  </si>
  <si>
    <t xml:space="preserve">Anything above at 9/30 =&gt; ATM/other issuance</t>
  </si>
  <si>
    <t xml:space="preserve">Point-in-time cross-check: old if-converted from principal x rates (pre-exchange)</t>
  </si>
  <si>
    <t xml:space="preserve">vs Q2 WA 65,416,804 (~0.2% diff)</t>
  </si>
  <si>
    <t xml:space="preserve">RSUs outstanding 6/30 (EXCLUDED from FD)</t>
  </si>
  <si>
    <t xml:space="preserve">Footnote: team FD excludes RSUs/options</t>
  </si>
  <si>
    <t xml:space="preserve">Options outstanding 6/30 (EXCLUDED; WAEP $88.65)</t>
  </si>
  <si>
    <t xml:space="preserve">Treasury-stock method not applied</t>
  </si>
  <si>
    <t xml:space="preserve">FD incl. all RSUs + options (gross upper bound, no TSM)</t>
  </si>
  <si>
    <t xml:space="preserve">upper bound only</t>
  </si>
  <si>
    <t xml:space="preserve">Alt PT convention: new 2030/2034 notes OTM at ref. price -&gt; treat as debt, drop their shares</t>
  </si>
  <si>
    <t xml:space="preserve">pair with keeping new notes in debt (see PT_Consistency)</t>
  </si>
  <si>
    <t xml:space="preserve">Item</t>
  </si>
  <si>
    <t xml:space="preserve">Treatment / math</t>
  </si>
  <si>
    <t xml:space="preserve">Convertible notes carrying 6/30 (all old series)</t>
  </si>
  <si>
    <t xml:space="preserve">Remove from net debt if all old series are if-converted (they are in the 65.4M)</t>
  </si>
  <si>
    <t xml:space="preserve">of which exchanged $800M (pro-rata carrying of Jun-29/Jun-31)</t>
  </si>
  <si>
    <t xml:space="preserve">Retired 8/24 for shares; no cash. Already gone post-Aug; do NOT also remove again</t>
  </si>
  <si>
    <t xml:space="preserve">Old converts remaining carrying post-exchange</t>
  </si>
  <si>
    <t xml:space="preserve">Remove from debt (if-converted)</t>
  </si>
  <si>
    <t xml:space="preserve">New notes original principal (face) - remove from debt when if-converted</t>
  </si>
  <si>
    <t xml:space="preserve">$3,450M + $2,300M; Q3 carrying ND</t>
  </si>
  <si>
    <t xml:space="preserve">New notes accreted principal at maturity (memo)</t>
  </si>
  <si>
    <t xml:space="preserve">3,450x1.10 + 2,300x1.25; the debt claim if NOT converted</t>
  </si>
  <si>
    <t xml:space="preserve">Cash to KEEP: new notes net proceeds</t>
  </si>
  <si>
    <t xml:space="preserve">R (co. estimate)</t>
  </si>
  <si>
    <t xml:space="preserve">Add to 6/30 cash 8,042.1 for pro forma (ignores Q3 burn)</t>
  </si>
  <si>
    <t xml:space="preserve">Exchange cash flow</t>
  </si>
  <si>
    <t xml:space="preserve">Exchange was notes-for-shares; accrued interest settled in shares</t>
  </si>
  <si>
    <t xml:space="preserve">Capped calls / hedges</t>
  </si>
  <si>
    <t xml:space="preserve">None on any series (fact base / offering docs)</t>
  </si>
  <si>
    <t xml:space="preserve">Debt NOT removed: $775M secured facility (drawn ND)</t>
  </si>
  <si>
    <t xml:space="preserve">Keep as debt; full draw is an assumption [E]</t>
  </si>
  <si>
    <t xml:space="preserve">Debt NOT removed: current debt 6/30</t>
  </si>
  <si>
    <t xml:space="preserve">Keep</t>
  </si>
  <si>
    <t xml:space="preserve">Pro forma cash (6/30 cash + new-note net proceeds)</t>
  </si>
  <si>
    <t xml:space="preserve">Excl. restricted 1,056.0; excl. Q3 OCF/capex</t>
  </si>
  <si>
    <t xml:space="preserve">Moneyness at reference price $237.15 (10/7 close) [R third-party]</t>
  </si>
  <si>
    <t xml:space="preserve">Conv. price $</t>
  </si>
  <si>
    <t xml:space="preserve">ITM?</t>
  </si>
  <si>
    <t xml:space="preserve">Jun-2029 / Jun-2031 (remaining $87.5M each)</t>
  </si>
  <si>
    <t xml:space="preserve">Conv. prices R</t>
  </si>
  <si>
    <t xml:space="preserve">Sep-2030 / Sep-2032</t>
  </si>
  <si>
    <t xml:space="preserve">Mar-2031</t>
  </si>
  <si>
    <t xml:space="preserve">Mar-2033</t>
  </si>
  <si>
    <t xml:space="preserve">NEW Feb-2030</t>
  </si>
  <si>
    <t xml:space="preserve">NEW Feb-2034</t>
  </si>
  <si>
    <t xml:space="preserve">Rule</t>
  </si>
  <si>
    <t xml:space="preserve">Shares and debt must match: if a series is if-converted, drop its debt; if treated as debt (e.g. OTM new notes), drop its shares. Team default = all if-converted (FD 376.6M) =&gt; remove ALL convert debt and keep new-note cash.</t>
  </si>
  <si>
    <t xml:space="preserve">(i) Exchange shares from TREASURY</t>
  </si>
  <si>
    <t xml:space="preserve">(ii) Exchange shares NEWLY ISSUED</t>
  </si>
  <si>
    <t xml:space="preserve">Tag / math</t>
  </si>
  <si>
    <t xml:space="preserve">Class A issued (post-exchange)</t>
  </si>
  <si>
    <t xml:space="preserve">R / D</t>
  </si>
  <si>
    <t xml:space="preserve">Treasury (6/30 = issued - outstanding; less exchange shares if from treasury)</t>
  </si>
  <si>
    <t xml:space="preserve">AGM 20% pool = 20% x (Class A issued + Class B)</t>
  </si>
  <si>
    <t xml:space="preserve">Gross no-vote headroom</t>
  </si>
  <si>
    <t xml:space="preserve">Less: unexercised NVIDIA warrant</t>
  </si>
  <si>
    <t xml:space="preserve">NET no-vote headroom</t>
  </si>
  <si>
    <t xml:space="preserve">Memo: team 6/30 snapshot net headroom</t>
  </si>
  <si>
    <t xml:space="preserve">D (prior note)</t>
  </si>
  <si>
    <t xml:space="preserve">Reasoning</t>
  </si>
  <si>
    <t xml:space="preserve">Exchange settled 8/24, one day BEFORE AGM authority (8/25). Source of shares (treasury vs new issue) ND. Q2 ATM shares came from treasury [R] -&gt; treasury case (i) is the conservative ~78M. Case (ii) ~97M if newly issued under prior authority (raises issued capital and the 20% pool). Further reduced share-for-share by any Q3 ATM sales (ND) and RSU/option deliveries from treasury (ND, small).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</si>
</sst>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##"/>
    <numFmt numFmtId="166" formatCode="#,##0;\(#,##0\)"/>
    <numFmt numFmtId="167" formatCode="0.00%"/>
    <numFmt numFmtId="168" formatCode="#,##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6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2" t="n">
        <v>238400165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2" t="n">
        <v>33455053</v>
      </c>
      <c r="C3" s="0" t="s">
        <v>6</v>
      </c>
      <c r="D3" s="0" t="s">
        <v>7</v>
      </c>
      <c r="E3" s="0" t="s">
        <v>10</v>
      </c>
    </row>
    <row r="4" customFormat="false" ht="15" hidden="false" customHeight="false" outlineLevel="0" collapsed="false">
      <c r="A4" s="0" t="s">
        <v>11</v>
      </c>
      <c r="B4" s="2" t="n">
        <v>21065936</v>
      </c>
      <c r="C4" s="0" t="s">
        <v>6</v>
      </c>
      <c r="D4" s="0" t="s">
        <v>7</v>
      </c>
      <c r="E4" s="0" t="s">
        <v>12</v>
      </c>
    </row>
    <row r="5" customFormat="false" ht="15" hidden="false" customHeight="false" outlineLevel="0" collapsed="false">
      <c r="A5" s="0" t="s">
        <v>13</v>
      </c>
      <c r="B5" s="2" t="n">
        <v>65416804</v>
      </c>
      <c r="C5" s="0" t="s">
        <v>6</v>
      </c>
      <c r="D5" s="0" t="s">
        <v>7</v>
      </c>
      <c r="E5" s="0" t="s">
        <v>14</v>
      </c>
    </row>
    <row r="6" customFormat="false" ht="15" hidden="false" customHeight="false" outlineLevel="0" collapsed="false">
      <c r="A6" s="0" t="s">
        <v>15</v>
      </c>
      <c r="B6" s="2" t="n">
        <v>400</v>
      </c>
      <c r="C6" s="0" t="s">
        <v>16</v>
      </c>
      <c r="D6" s="0" t="s">
        <v>7</v>
      </c>
      <c r="E6" s="0" t="s">
        <v>17</v>
      </c>
    </row>
    <row r="7" customFormat="false" ht="15" hidden="false" customHeight="false" outlineLevel="0" collapsed="false">
      <c r="A7" s="0" t="s">
        <v>18</v>
      </c>
      <c r="B7" s="2" t="n">
        <v>400</v>
      </c>
      <c r="C7" s="0" t="s">
        <v>16</v>
      </c>
      <c r="D7" s="0" t="s">
        <v>7</v>
      </c>
      <c r="E7" s="0" t="s">
        <v>19</v>
      </c>
    </row>
    <row r="8" customFormat="false" ht="15" hidden="false" customHeight="false" outlineLevel="0" collapsed="false">
      <c r="A8" s="0" t="s">
        <v>20</v>
      </c>
      <c r="B8" s="2" t="n">
        <v>19.4363</v>
      </c>
      <c r="C8" s="0" t="s">
        <v>21</v>
      </c>
      <c r="D8" s="0" t="s">
        <v>7</v>
      </c>
      <c r="E8" s="0" t="s">
        <v>22</v>
      </c>
    </row>
    <row r="9" customFormat="false" ht="15" hidden="false" customHeight="false" outlineLevel="0" collapsed="false">
      <c r="A9" s="0" t="s">
        <v>23</v>
      </c>
      <c r="B9" s="2" t="n">
        <v>4403.18</v>
      </c>
      <c r="C9" s="0" t="s">
        <v>24</v>
      </c>
      <c r="D9" s="0" t="s">
        <v>7</v>
      </c>
      <c r="E9" s="0" t="s">
        <v>25</v>
      </c>
    </row>
    <row r="10" customFormat="false" ht="15" hidden="false" customHeight="false" outlineLevel="0" collapsed="false">
      <c r="A10" s="0" t="s">
        <v>26</v>
      </c>
      <c r="B10" s="2" t="n">
        <v>4413.18</v>
      </c>
      <c r="C10" s="0" t="s">
        <v>24</v>
      </c>
      <c r="D10" s="0" t="s">
        <v>7</v>
      </c>
      <c r="E10" s="0" t="s">
        <v>19</v>
      </c>
    </row>
    <row r="11" customFormat="false" ht="15" hidden="false" customHeight="false" outlineLevel="0" collapsed="false">
      <c r="A11" s="0" t="s">
        <v>27</v>
      </c>
      <c r="B11" s="2" t="n">
        <v>0.02</v>
      </c>
      <c r="C11" s="0" t="s">
        <v>28</v>
      </c>
      <c r="D11" s="0" t="s">
        <v>7</v>
      </c>
      <c r="E11" s="0" t="s">
        <v>29</v>
      </c>
    </row>
    <row r="12" customFormat="false" ht="15" hidden="false" customHeight="false" outlineLevel="0" collapsed="false">
      <c r="A12" s="0" t="s">
        <v>30</v>
      </c>
      <c r="B12" s="2" t="n">
        <v>0.03</v>
      </c>
      <c r="C12" s="0" t="s">
        <v>28</v>
      </c>
      <c r="D12" s="0" t="s">
        <v>7</v>
      </c>
      <c r="E12" s="0" t="s">
        <v>29</v>
      </c>
    </row>
    <row r="13" customFormat="false" ht="15" hidden="false" customHeight="false" outlineLevel="0" collapsed="false">
      <c r="A13" s="0" t="s">
        <v>31</v>
      </c>
      <c r="B13" s="2" t="n">
        <v>76</v>
      </c>
      <c r="C13" s="0" t="s">
        <v>32</v>
      </c>
      <c r="D13" s="0" t="s">
        <v>33</v>
      </c>
      <c r="E13" s="0" t="s">
        <v>34</v>
      </c>
    </row>
    <row r="14" customFormat="false" ht="15" hidden="false" customHeight="false" outlineLevel="0" collapsed="false">
      <c r="A14" s="0" t="s">
        <v>35</v>
      </c>
      <c r="B14" s="2" t="n">
        <v>223.9</v>
      </c>
      <c r="C14" s="0" t="s">
        <v>36</v>
      </c>
      <c r="D14" s="0" t="s">
        <v>7</v>
      </c>
      <c r="E14" s="0" t="s">
        <v>37</v>
      </c>
    </row>
    <row r="15" customFormat="false" ht="15" hidden="false" customHeight="false" outlineLevel="0" collapsed="false">
      <c r="A15" s="0" t="s">
        <v>38</v>
      </c>
      <c r="B15" s="2" t="n">
        <v>15800000</v>
      </c>
      <c r="C15" s="0" t="s">
        <v>6</v>
      </c>
      <c r="D15" s="0" t="s">
        <v>7</v>
      </c>
      <c r="E15" s="0" t="s">
        <v>39</v>
      </c>
    </row>
    <row r="16" customFormat="false" ht="15" hidden="false" customHeight="false" outlineLevel="0" collapsed="false">
      <c r="A16" s="0" t="s">
        <v>40</v>
      </c>
      <c r="B16" s="2" t="n">
        <v>3450</v>
      </c>
      <c r="C16" s="0" t="s">
        <v>16</v>
      </c>
      <c r="D16" s="0" t="s">
        <v>7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2" t="n">
        <v>3.1902</v>
      </c>
      <c r="C17" s="0" t="s">
        <v>21</v>
      </c>
      <c r="D17" s="0" t="s">
        <v>7</v>
      </c>
      <c r="E17" s="0" t="s">
        <v>43</v>
      </c>
    </row>
    <row r="18" customFormat="false" ht="15" hidden="false" customHeight="false" outlineLevel="0" collapsed="false">
      <c r="A18" s="0" t="s">
        <v>44</v>
      </c>
      <c r="B18" s="2" t="n">
        <v>2300</v>
      </c>
      <c r="C18" s="0" t="s">
        <v>16</v>
      </c>
      <c r="D18" s="0" t="s">
        <v>7</v>
      </c>
      <c r="E18" s="0" t="s">
        <v>45</v>
      </c>
    </row>
    <row r="19" customFormat="false" ht="15" hidden="false" customHeight="false" outlineLevel="0" collapsed="false">
      <c r="A19" s="0" t="s">
        <v>46</v>
      </c>
      <c r="B19" s="2" t="n">
        <v>3.0802</v>
      </c>
      <c r="C19" s="0" t="s">
        <v>21</v>
      </c>
      <c r="D19" s="0" t="s">
        <v>7</v>
      </c>
      <c r="E19" s="0" t="s">
        <v>47</v>
      </c>
    </row>
    <row r="20" customFormat="false" ht="15" hidden="false" customHeight="false" outlineLevel="0" collapsed="false">
      <c r="A20" s="0" t="s">
        <v>48</v>
      </c>
      <c r="B20" s="2" t="n">
        <v>0</v>
      </c>
      <c r="C20" s="0" t="s">
        <v>6</v>
      </c>
      <c r="D20" s="0" t="s">
        <v>49</v>
      </c>
      <c r="E20" s="0" t="s">
        <v>50</v>
      </c>
    </row>
    <row r="21" customFormat="false" ht="15" hidden="false" customHeight="false" outlineLevel="0" collapsed="false">
      <c r="A21" s="0" t="s">
        <v>51</v>
      </c>
      <c r="B21" s="2" t="n">
        <v>6234091</v>
      </c>
      <c r="C21" s="0" t="s">
        <v>6</v>
      </c>
      <c r="D21" s="0" t="s">
        <v>7</v>
      </c>
      <c r="E21" s="0" t="s">
        <v>52</v>
      </c>
    </row>
    <row r="22" customFormat="false" ht="15" hidden="false" customHeight="false" outlineLevel="0" collapsed="false">
      <c r="A22" s="0" t="s">
        <v>53</v>
      </c>
      <c r="B22" s="2" t="n">
        <v>6740600</v>
      </c>
      <c r="C22" s="0" t="s">
        <v>6</v>
      </c>
      <c r="D22" s="0" t="s">
        <v>7</v>
      </c>
      <c r="E22" s="0" t="s">
        <v>54</v>
      </c>
    </row>
    <row r="23" customFormat="false" ht="15" hidden="false" customHeight="false" outlineLevel="0" collapsed="false">
      <c r="A23" s="0" t="s">
        <v>55</v>
      </c>
      <c r="B23" s="2" t="n">
        <v>288585891</v>
      </c>
      <c r="C23" s="0" t="s">
        <v>6</v>
      </c>
      <c r="D23" s="0" t="s">
        <v>7</v>
      </c>
      <c r="E23" s="0" t="s">
        <v>56</v>
      </c>
    </row>
    <row r="24" customFormat="false" ht="15" hidden="false" customHeight="false" outlineLevel="0" collapsed="false">
      <c r="A24" s="0" t="s">
        <v>57</v>
      </c>
      <c r="B24" s="2" t="n">
        <v>5750</v>
      </c>
      <c r="C24" s="0" t="s">
        <v>16</v>
      </c>
      <c r="D24" s="0" t="s">
        <v>7</v>
      </c>
      <c r="E24" s="0" t="s">
        <v>45</v>
      </c>
    </row>
    <row r="25" customFormat="false" ht="15" hidden="false" customHeight="false" outlineLevel="0" collapsed="false">
      <c r="A25" s="0" t="s">
        <v>58</v>
      </c>
      <c r="B25" s="2" t="n">
        <v>5680</v>
      </c>
      <c r="C25" s="0" t="s">
        <v>16</v>
      </c>
      <c r="D25" s="0" t="s">
        <v>7</v>
      </c>
      <c r="E25" s="0" t="s">
        <v>59</v>
      </c>
    </row>
    <row r="26" customFormat="false" ht="15" hidden="false" customHeight="false" outlineLevel="0" collapsed="false">
      <c r="A26" s="0" t="s">
        <v>60</v>
      </c>
      <c r="B26" s="2" t="n">
        <v>1.1</v>
      </c>
      <c r="C26" s="0" t="s">
        <v>61</v>
      </c>
      <c r="D26" s="0" t="s">
        <v>7</v>
      </c>
      <c r="E26" s="0" t="s">
        <v>62</v>
      </c>
    </row>
    <row r="27" customFormat="false" ht="15" hidden="false" customHeight="false" outlineLevel="0" collapsed="false">
      <c r="A27" s="0" t="s">
        <v>63</v>
      </c>
      <c r="B27" s="2" t="n">
        <v>1.25</v>
      </c>
      <c r="C27" s="0" t="s">
        <v>61</v>
      </c>
      <c r="D27" s="0" t="s">
        <v>7</v>
      </c>
      <c r="E27" s="0" t="s">
        <v>19</v>
      </c>
    </row>
    <row r="28" customFormat="false" ht="15" hidden="false" customHeight="false" outlineLevel="0" collapsed="false">
      <c r="A28" s="0" t="s">
        <v>64</v>
      </c>
      <c r="B28" s="2" t="n">
        <v>8499</v>
      </c>
      <c r="C28" s="0" t="s">
        <v>16</v>
      </c>
      <c r="D28" s="0" t="s">
        <v>7</v>
      </c>
      <c r="E28" s="0" t="s">
        <v>65</v>
      </c>
    </row>
    <row r="29" customFormat="false" ht="15" hidden="false" customHeight="false" outlineLevel="0" collapsed="false">
      <c r="A29" s="0" t="s">
        <v>66</v>
      </c>
      <c r="B29" s="2" t="n">
        <v>504.1</v>
      </c>
      <c r="C29" s="0" t="s">
        <v>16</v>
      </c>
      <c r="D29" s="0" t="s">
        <v>7</v>
      </c>
      <c r="E29" s="0" t="s">
        <v>67</v>
      </c>
    </row>
    <row r="30" customFormat="false" ht="15" hidden="false" customHeight="false" outlineLevel="0" collapsed="false">
      <c r="A30" s="0" t="s">
        <v>68</v>
      </c>
      <c r="B30" s="2" t="n">
        <v>498.4</v>
      </c>
      <c r="C30" s="0" t="s">
        <v>16</v>
      </c>
      <c r="D30" s="0" t="s">
        <v>7</v>
      </c>
      <c r="E30" s="0" t="s">
        <v>67</v>
      </c>
    </row>
    <row r="31" customFormat="false" ht="15" hidden="false" customHeight="false" outlineLevel="0" collapsed="false">
      <c r="A31" s="0" t="s">
        <v>69</v>
      </c>
      <c r="B31" s="2" t="n">
        <v>487.5</v>
      </c>
      <c r="C31" s="0" t="s">
        <v>16</v>
      </c>
      <c r="D31" s="0" t="s">
        <v>49</v>
      </c>
      <c r="E31" s="0" t="s">
        <v>70</v>
      </c>
    </row>
    <row r="32" customFormat="false" ht="15" hidden="false" customHeight="false" outlineLevel="0" collapsed="false">
      <c r="A32" s="0" t="s">
        <v>71</v>
      </c>
      <c r="B32" s="2" t="n">
        <v>46.7</v>
      </c>
      <c r="C32" s="0" t="s">
        <v>16</v>
      </c>
      <c r="D32" s="0" t="s">
        <v>7</v>
      </c>
      <c r="E32" s="0" t="s">
        <v>72</v>
      </c>
    </row>
    <row r="33" customFormat="false" ht="15" hidden="false" customHeight="false" outlineLevel="0" collapsed="false">
      <c r="A33" s="0" t="s">
        <v>73</v>
      </c>
      <c r="B33" s="2" t="n">
        <v>8042.1</v>
      </c>
      <c r="C33" s="0" t="s">
        <v>16</v>
      </c>
      <c r="D33" s="0" t="s">
        <v>7</v>
      </c>
      <c r="E33" s="0" t="s">
        <v>72</v>
      </c>
    </row>
    <row r="34" customFormat="false" ht="15" hidden="false" customHeight="false" outlineLevel="0" collapsed="false">
      <c r="A34" s="0" t="s">
        <v>74</v>
      </c>
      <c r="B34" s="2" t="n">
        <v>775</v>
      </c>
      <c r="C34" s="0" t="s">
        <v>16</v>
      </c>
      <c r="D34" s="0" t="s">
        <v>7</v>
      </c>
      <c r="E34" s="0" t="s">
        <v>75</v>
      </c>
    </row>
    <row r="35" customFormat="false" ht="15" hidden="false" customHeight="false" outlineLevel="0" collapsed="false">
      <c r="A35" s="0" t="s">
        <v>76</v>
      </c>
      <c r="B35" s="2" t="n">
        <v>237.15</v>
      </c>
      <c r="C35" s="0" t="s">
        <v>36</v>
      </c>
      <c r="D35" s="0" t="s">
        <v>7</v>
      </c>
      <c r="E35" s="0" t="s">
        <v>77</v>
      </c>
    </row>
    <row r="36" customFormat="false" ht="15" hidden="false" customHeight="false" outlineLevel="0" collapsed="false">
      <c r="A36" s="0" t="s">
        <v>78</v>
      </c>
      <c r="B36" s="2" t="n">
        <v>0.2</v>
      </c>
      <c r="C36" s="0" t="s">
        <v>79</v>
      </c>
      <c r="D36" s="0" t="s">
        <v>7</v>
      </c>
      <c r="E36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81</v>
      </c>
      <c r="B1" s="1" t="s">
        <v>82</v>
      </c>
      <c r="C1" s="1" t="s">
        <v>83</v>
      </c>
      <c r="D1" s="1" t="s">
        <v>3</v>
      </c>
      <c r="E1" s="1" t="s">
        <v>84</v>
      </c>
    </row>
    <row r="2" customFormat="false" ht="15" hidden="false" customHeight="false" outlineLevel="0" collapsed="false">
      <c r="A2" s="0" t="s">
        <v>85</v>
      </c>
      <c r="B2" s="0" t="s">
        <v>5</v>
      </c>
      <c r="C2" s="3" t="n">
        <f aca="false">Inputs!$B$2</f>
        <v>238400165</v>
      </c>
      <c r="D2" s="0" t="s">
        <v>7</v>
      </c>
      <c r="E2" s="0" t="s">
        <v>10</v>
      </c>
    </row>
    <row r="3" customFormat="false" ht="15" hidden="false" customHeight="false" outlineLevel="0" collapsed="false">
      <c r="A3" s="0" t="s">
        <v>86</v>
      </c>
      <c r="B3" s="0" t="s">
        <v>9</v>
      </c>
      <c r="C3" s="3" t="n">
        <f aca="false">Inputs!$B$3</f>
        <v>33455053</v>
      </c>
      <c r="D3" s="0" t="s">
        <v>7</v>
      </c>
      <c r="E3" s="0" t="s">
        <v>10</v>
      </c>
    </row>
    <row r="4" customFormat="false" ht="15" hidden="false" customHeight="false" outlineLevel="0" collapsed="false">
      <c r="A4" s="0" t="s">
        <v>87</v>
      </c>
      <c r="B4" s="0" t="s">
        <v>88</v>
      </c>
      <c r="C4" s="3" t="n">
        <f aca="false">Inputs!$B$4</f>
        <v>21065936</v>
      </c>
      <c r="D4" s="0" t="s">
        <v>7</v>
      </c>
      <c r="E4" s="0" t="s">
        <v>56</v>
      </c>
    </row>
    <row r="5" customFormat="false" ht="15" hidden="false" customHeight="false" outlineLevel="0" collapsed="false">
      <c r="A5" s="0" t="s">
        <v>89</v>
      </c>
      <c r="B5" s="0" t="s">
        <v>90</v>
      </c>
      <c r="C5" s="3" t="n">
        <f aca="false">Inputs!$B$5</f>
        <v>65416804</v>
      </c>
      <c r="D5" s="0" t="s">
        <v>7</v>
      </c>
      <c r="E5" s="0" t="s">
        <v>91</v>
      </c>
    </row>
    <row r="6" customFormat="false" ht="15" hidden="false" customHeight="false" outlineLevel="0" collapsed="false">
      <c r="A6" s="4" t="s">
        <v>92</v>
      </c>
      <c r="B6" s="4" t="s">
        <v>93</v>
      </c>
      <c r="C6" s="5" t="n">
        <f aca="false">SUM(C2:C5)</f>
        <v>358337958</v>
      </c>
      <c r="D6" s="4" t="s">
        <v>49</v>
      </c>
      <c r="E6" s="4" t="s">
        <v>94</v>
      </c>
    </row>
    <row r="7" customFormat="false" ht="15" hidden="false" customHeight="false" outlineLevel="0" collapsed="false">
      <c r="A7" s="0" t="s">
        <v>95</v>
      </c>
      <c r="B7" s="0" t="s">
        <v>96</v>
      </c>
      <c r="C7" s="3" t="n">
        <f aca="false">-Inputs!$B$6*1000*Inputs!$B$8</f>
        <v>-7774520</v>
      </c>
      <c r="D7" s="0" t="s">
        <v>49</v>
      </c>
      <c r="E7" s="0" t="s">
        <v>97</v>
      </c>
    </row>
    <row r="8" customFormat="false" ht="15" hidden="false" customHeight="false" outlineLevel="0" collapsed="false">
      <c r="A8" s="0" t="s">
        <v>98</v>
      </c>
      <c r="B8" s="0" t="s">
        <v>99</v>
      </c>
      <c r="C8" s="3" t="n">
        <f aca="false">-Inputs!$B$7*1000*Inputs!$B$8</f>
        <v>-7774520</v>
      </c>
      <c r="D8" s="0" t="s">
        <v>49</v>
      </c>
      <c r="E8" s="0" t="s">
        <v>97</v>
      </c>
    </row>
    <row r="9" customFormat="false" ht="15" hidden="false" customHeight="false" outlineLevel="0" collapsed="false">
      <c r="A9" s="0" t="s">
        <v>100</v>
      </c>
      <c r="B9" s="0" t="s">
        <v>101</v>
      </c>
      <c r="C9" s="3" t="n">
        <f aca="false">ROUNDDOWN(Inputs!$B$6*1000*(Inputs!$B$9+1000*Inputs!$B$11*Inputs!$B$13/360)/Inputs!$B$14,0)</f>
        <v>7873876</v>
      </c>
      <c r="D9" s="0" t="s">
        <v>102</v>
      </c>
      <c r="E9" s="0" t="s">
        <v>103</v>
      </c>
    </row>
    <row r="10" customFormat="false" ht="15" hidden="false" customHeight="false" outlineLevel="0" collapsed="false">
      <c r="A10" s="0" t="s">
        <v>104</v>
      </c>
      <c r="B10" s="0" t="s">
        <v>105</v>
      </c>
      <c r="C10" s="3" t="n">
        <f aca="false">ROUNDDOWN(Inputs!$B$7*1000*(Inputs!$B$10+1000*Inputs!$B$12*Inputs!$B$13/360)/Inputs!$B$14,0)</f>
        <v>7895512</v>
      </c>
      <c r="D10" s="0" t="s">
        <v>102</v>
      </c>
      <c r="E10" s="0" t="s">
        <v>19</v>
      </c>
    </row>
    <row r="11" customFormat="false" ht="15" hidden="false" customHeight="false" outlineLevel="0" collapsed="false">
      <c r="A11" s="0" t="s">
        <v>106</v>
      </c>
      <c r="B11" s="0" t="s">
        <v>107</v>
      </c>
      <c r="C11" s="3" t="n">
        <f aca="false">Inputs!$B$16*1000*Inputs!$B$17</f>
        <v>11006190</v>
      </c>
      <c r="D11" s="0" t="s">
        <v>108</v>
      </c>
      <c r="E11" s="0" t="s">
        <v>109</v>
      </c>
    </row>
    <row r="12" customFormat="false" ht="15" hidden="false" customHeight="false" outlineLevel="0" collapsed="false">
      <c r="A12" s="0" t="s">
        <v>110</v>
      </c>
      <c r="B12" s="0" t="s">
        <v>111</v>
      </c>
      <c r="C12" s="3" t="n">
        <f aca="false">Inputs!$B$18*1000*Inputs!$B$19</f>
        <v>7084460</v>
      </c>
      <c r="D12" s="0" t="s">
        <v>108</v>
      </c>
      <c r="E12" s="0" t="s">
        <v>112</v>
      </c>
    </row>
    <row r="13" customFormat="false" ht="15" hidden="false" customHeight="false" outlineLevel="0" collapsed="false">
      <c r="A13" s="0" t="s">
        <v>113</v>
      </c>
      <c r="B13" s="0" t="s">
        <v>114</v>
      </c>
      <c r="C13" s="3" t="n">
        <f aca="false">Inputs!$B$20</f>
        <v>0</v>
      </c>
      <c r="D13" s="0" t="s">
        <v>49</v>
      </c>
      <c r="E13" s="0" t="s">
        <v>115</v>
      </c>
    </row>
    <row r="14" customFormat="false" ht="15" hidden="false" customHeight="false" outlineLevel="0" collapsed="false">
      <c r="A14" s="4" t="s">
        <v>116</v>
      </c>
      <c r="B14" s="4" t="s">
        <v>117</v>
      </c>
      <c r="C14" s="5" t="n">
        <f aca="false">C6+SUM(C7:C13)</f>
        <v>376648956</v>
      </c>
      <c r="D14" s="4" t="s">
        <v>49</v>
      </c>
      <c r="E14" s="4" t="s">
        <v>118</v>
      </c>
    </row>
    <row r="15" customFormat="false" ht="15" hidden="false" customHeight="false" outlineLevel="0" collapsed="false">
      <c r="C15" s="3"/>
    </row>
    <row r="16" customFormat="false" ht="15" hidden="false" customHeight="false" outlineLevel="0" collapsed="false">
      <c r="B16" s="0" t="s">
        <v>119</v>
      </c>
      <c r="C16" s="3" t="n">
        <f aca="false">C14-C6</f>
        <v>18310998</v>
      </c>
      <c r="D16" s="0" t="s">
        <v>49</v>
      </c>
    </row>
    <row r="17" customFormat="false" ht="15" hidden="false" customHeight="false" outlineLevel="0" collapsed="false">
      <c r="B17" s="0" t="s">
        <v>120</v>
      </c>
      <c r="C17" s="6" t="n">
        <f aca="false">C14/C6-1</f>
        <v>0.0510998000384877</v>
      </c>
      <c r="D17" s="0" t="s">
        <v>49</v>
      </c>
    </row>
    <row r="18" customFormat="false" ht="15" hidden="false" customHeight="false" outlineLevel="0" collapsed="false">
      <c r="B18" s="0" t="s">
        <v>121</v>
      </c>
      <c r="C18" s="3" t="n">
        <f aca="false">C6-358337958</f>
        <v>0</v>
      </c>
      <c r="D18" s="0" t="s">
        <v>49</v>
      </c>
    </row>
    <row r="19" customFormat="false" ht="15" hidden="false" customHeight="false" outlineLevel="0" collapsed="false">
      <c r="B19" s="0" t="s">
        <v>122</v>
      </c>
      <c r="C19" s="3" t="n">
        <f aca="false">C14-376648956</f>
        <v>0</v>
      </c>
      <c r="D19" s="0" t="s">
        <v>49</v>
      </c>
    </row>
    <row r="20" customFormat="false" ht="15" hidden="false" customHeight="false" outlineLevel="0" collapsed="false">
      <c r="B20" s="0" t="s">
        <v>123</v>
      </c>
      <c r="C20" s="3" t="n">
        <f aca="false">C9+C10</f>
        <v>15769388</v>
      </c>
      <c r="D20" s="0" t="s">
        <v>49</v>
      </c>
      <c r="E20" s="0" t="s">
        <v>124</v>
      </c>
    </row>
    <row r="21" customFormat="false" ht="15" hidden="false" customHeight="false" outlineLevel="0" collapsed="false">
      <c r="B21" s="0" t="s">
        <v>125</v>
      </c>
      <c r="C21" s="3" t="n">
        <f aca="false">C7+C8+C9+C10</f>
        <v>220348</v>
      </c>
      <c r="D21" s="0" t="s">
        <v>49</v>
      </c>
      <c r="E21" s="0" t="s">
        <v>126</v>
      </c>
    </row>
    <row r="22" customFormat="false" ht="15" hidden="false" customHeight="false" outlineLevel="0" collapsed="false">
      <c r="C22" s="3"/>
    </row>
    <row r="23" customFormat="false" ht="15" hidden="false" customHeight="false" outlineLevel="0" collapsed="false">
      <c r="A23" s="0" t="s">
        <v>127</v>
      </c>
      <c r="B23" s="0" t="s">
        <v>128</v>
      </c>
      <c r="C23" s="3" t="n">
        <f aca="false">C14-(C9+C10)+Inputs!$B$15</f>
        <v>376679568</v>
      </c>
      <c r="D23" s="0" t="s">
        <v>129</v>
      </c>
      <c r="E23" s="0" t="s">
        <v>130</v>
      </c>
    </row>
    <row r="24" customFormat="false" ht="15" hidden="false" customHeight="false" outlineLevel="0" collapsed="false">
      <c r="A24" s="0" t="s">
        <v>127</v>
      </c>
      <c r="B24" s="0" t="s">
        <v>131</v>
      </c>
      <c r="C24" s="3" t="n">
        <f aca="false">ROUNDDOWN(Inputs!$B$6*1000*(Inputs!$B$9+1000*Inputs!$B$11*79/360)/Inputs!$B$14,0)+ROUNDDOWN(Inputs!$B$7*1000*(Inputs!$B$10+1000*Inputs!$B$12*79/360)/Inputs!$B$14,0)-(C9+C10)</f>
        <v>744</v>
      </c>
      <c r="D24" s="0" t="s">
        <v>33</v>
      </c>
      <c r="E24" s="0" t="s">
        <v>132</v>
      </c>
    </row>
    <row r="25" customFormat="false" ht="15" hidden="false" customHeight="false" outlineLevel="0" collapsed="false">
      <c r="A25" s="0" t="s">
        <v>127</v>
      </c>
      <c r="B25" s="0" t="s">
        <v>133</v>
      </c>
      <c r="C25" s="3" t="n">
        <f aca="false">Inputs!$B$2+C9+C10</f>
        <v>254169553</v>
      </c>
      <c r="D25" s="0" t="s">
        <v>49</v>
      </c>
      <c r="E25" s="0" t="s">
        <v>134</v>
      </c>
    </row>
    <row r="26" customFormat="false" ht="15" hidden="false" customHeight="false" outlineLevel="0" collapsed="false">
      <c r="A26" s="0" t="s">
        <v>127</v>
      </c>
      <c r="B26" s="0" t="s">
        <v>135</v>
      </c>
      <c r="C26" s="3" t="n">
        <f aca="false">975000*19.4363+3162500*7.2072+2587500*5.4579+1750000*5.546</f>
        <v>65570978.75</v>
      </c>
      <c r="D26" s="0" t="s">
        <v>49</v>
      </c>
      <c r="E26" s="0" t="s">
        <v>136</v>
      </c>
    </row>
    <row r="27" customFormat="false" ht="15" hidden="false" customHeight="false" outlineLevel="0" collapsed="false">
      <c r="A27" s="0" t="s">
        <v>127</v>
      </c>
      <c r="B27" s="0" t="s">
        <v>137</v>
      </c>
      <c r="C27" s="3" t="n">
        <f aca="false">Inputs!$B$21</f>
        <v>6234091</v>
      </c>
      <c r="D27" s="0" t="s">
        <v>7</v>
      </c>
      <c r="E27" s="0" t="s">
        <v>138</v>
      </c>
    </row>
    <row r="28" customFormat="false" ht="15" hidden="false" customHeight="false" outlineLevel="0" collapsed="false">
      <c r="A28" s="0" t="s">
        <v>127</v>
      </c>
      <c r="B28" s="0" t="s">
        <v>139</v>
      </c>
      <c r="C28" s="3" t="n">
        <f aca="false">Inputs!$B$22</f>
        <v>6740600</v>
      </c>
      <c r="D28" s="0" t="s">
        <v>7</v>
      </c>
      <c r="E28" s="0" t="s">
        <v>140</v>
      </c>
    </row>
    <row r="29" customFormat="false" ht="15" hidden="false" customHeight="false" outlineLevel="0" collapsed="false">
      <c r="A29" s="0" t="s">
        <v>127</v>
      </c>
      <c r="B29" s="0" t="s">
        <v>141</v>
      </c>
      <c r="C29" s="3" t="n">
        <f aca="false">C14+Inputs!$B$21+Inputs!$B$22</f>
        <v>389623647</v>
      </c>
      <c r="D29" s="0" t="s">
        <v>49</v>
      </c>
      <c r="E29" s="0" t="s">
        <v>142</v>
      </c>
    </row>
    <row r="30" customFormat="false" ht="15" hidden="false" customHeight="false" outlineLevel="0" collapsed="false">
      <c r="A30" s="0" t="s">
        <v>127</v>
      </c>
      <c r="B30" s="0" t="s">
        <v>143</v>
      </c>
      <c r="C30" s="3" t="n">
        <f aca="false">C14-C11-C12</f>
        <v>358558306</v>
      </c>
      <c r="D30" s="0" t="s">
        <v>49</v>
      </c>
      <c r="E30" s="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95"/>
  </cols>
  <sheetData>
    <row r="1" customFormat="false" ht="15" hidden="false" customHeight="false" outlineLevel="0" collapsed="false">
      <c r="A1" s="1" t="s">
        <v>145</v>
      </c>
      <c r="B1" s="1" t="s">
        <v>16</v>
      </c>
      <c r="C1" s="1" t="s">
        <v>3</v>
      </c>
      <c r="D1" s="1" t="s">
        <v>146</v>
      </c>
    </row>
    <row r="2" customFormat="false" ht="15" hidden="false" customHeight="false" outlineLevel="0" collapsed="false">
      <c r="A2" s="0" t="s">
        <v>147</v>
      </c>
      <c r="B2" s="7" t="n">
        <f aca="false">Inputs!$B$28</f>
        <v>8499</v>
      </c>
      <c r="C2" s="0" t="s">
        <v>7</v>
      </c>
      <c r="D2" s="0" t="s">
        <v>148</v>
      </c>
    </row>
    <row r="3" customFormat="false" ht="15" hidden="false" customHeight="false" outlineLevel="0" collapsed="false">
      <c r="A3" s="0" t="s">
        <v>149</v>
      </c>
      <c r="B3" s="7" t="n">
        <f aca="false">(Inputs!$B$6/Inputs!$B$31)*Inputs!$B$29+(Inputs!$B$7/Inputs!$B$31)*Inputs!$B$30</f>
        <v>822.564102564103</v>
      </c>
      <c r="C3" s="0" t="s">
        <v>49</v>
      </c>
      <c r="D3" s="0" t="s">
        <v>150</v>
      </c>
    </row>
    <row r="4" customFormat="false" ht="15" hidden="false" customHeight="false" outlineLevel="0" collapsed="false">
      <c r="A4" s="0" t="s">
        <v>151</v>
      </c>
      <c r="B4" s="7" t="n">
        <f aca="false">B2-B3</f>
        <v>7676.4358974359</v>
      </c>
      <c r="C4" s="0" t="s">
        <v>49</v>
      </c>
      <c r="D4" s="0" t="s">
        <v>152</v>
      </c>
    </row>
    <row r="5" customFormat="false" ht="15" hidden="false" customHeight="false" outlineLevel="0" collapsed="false">
      <c r="A5" s="0" t="s">
        <v>153</v>
      </c>
      <c r="B5" s="7" t="n">
        <f aca="false">Inputs!$B$24</f>
        <v>5750</v>
      </c>
      <c r="C5" s="0" t="s">
        <v>7</v>
      </c>
      <c r="D5" s="0" t="s">
        <v>154</v>
      </c>
    </row>
    <row r="6" customFormat="false" ht="15" hidden="false" customHeight="false" outlineLevel="0" collapsed="false">
      <c r="A6" s="0" t="s">
        <v>155</v>
      </c>
      <c r="B6" s="7" t="n">
        <f aca="false">Inputs!$B$16*Inputs!$B$26+Inputs!$B$18*Inputs!$B$27</f>
        <v>6670</v>
      </c>
      <c r="C6" s="0" t="s">
        <v>49</v>
      </c>
      <c r="D6" s="0" t="s">
        <v>156</v>
      </c>
    </row>
    <row r="7" customFormat="false" ht="15" hidden="false" customHeight="false" outlineLevel="0" collapsed="false">
      <c r="A7" s="0" t="s">
        <v>157</v>
      </c>
      <c r="B7" s="7" t="n">
        <f aca="false">Inputs!$B$25</f>
        <v>5680</v>
      </c>
      <c r="C7" s="0" t="s">
        <v>158</v>
      </c>
      <c r="D7" s="0" t="s">
        <v>159</v>
      </c>
    </row>
    <row r="8" customFormat="false" ht="15" hidden="false" customHeight="false" outlineLevel="0" collapsed="false">
      <c r="A8" s="0" t="s">
        <v>160</v>
      </c>
      <c r="B8" s="7" t="n">
        <f aca="false">0</f>
        <v>0</v>
      </c>
      <c r="C8" s="0" t="s">
        <v>7</v>
      </c>
      <c r="D8" s="0" t="s">
        <v>161</v>
      </c>
    </row>
    <row r="9" customFormat="false" ht="15" hidden="false" customHeight="false" outlineLevel="0" collapsed="false">
      <c r="A9" s="0" t="s">
        <v>162</v>
      </c>
      <c r="B9" s="7" t="n">
        <f aca="false">0</f>
        <v>0</v>
      </c>
      <c r="C9" s="0" t="s">
        <v>7</v>
      </c>
      <c r="D9" s="0" t="s">
        <v>163</v>
      </c>
    </row>
    <row r="10" customFormat="false" ht="15" hidden="false" customHeight="false" outlineLevel="0" collapsed="false">
      <c r="A10" s="0" t="s">
        <v>164</v>
      </c>
      <c r="B10" s="7" t="n">
        <f aca="false">Inputs!$B$34</f>
        <v>775</v>
      </c>
      <c r="C10" s="0" t="s">
        <v>7</v>
      </c>
      <c r="D10" s="0" t="s">
        <v>165</v>
      </c>
    </row>
    <row r="11" customFormat="false" ht="15" hidden="false" customHeight="false" outlineLevel="0" collapsed="false">
      <c r="A11" s="0" t="s">
        <v>166</v>
      </c>
      <c r="B11" s="7" t="n">
        <f aca="false">Inputs!$B$32</f>
        <v>46.7</v>
      </c>
      <c r="C11" s="0" t="s">
        <v>7</v>
      </c>
      <c r="D11" s="0" t="s">
        <v>167</v>
      </c>
    </row>
    <row r="12" customFormat="false" ht="15" hidden="false" customHeight="false" outlineLevel="0" collapsed="false">
      <c r="A12" s="0" t="s">
        <v>168</v>
      </c>
      <c r="B12" s="7" t="n">
        <f aca="false">Inputs!$B$33+B7</f>
        <v>13722.1</v>
      </c>
      <c r="C12" s="0" t="s">
        <v>49</v>
      </c>
      <c r="D12" s="0" t="s">
        <v>169</v>
      </c>
    </row>
    <row r="13" customFormat="false" ht="15" hidden="false" customHeight="false" outlineLevel="0" collapsed="false">
      <c r="B13" s="7"/>
    </row>
    <row r="14" customFormat="false" ht="15" hidden="false" customHeight="false" outlineLevel="0" collapsed="false">
      <c r="A14" s="0" t="s">
        <v>170</v>
      </c>
      <c r="B14" s="7" t="s">
        <v>171</v>
      </c>
      <c r="C14" s="0" t="s">
        <v>172</v>
      </c>
    </row>
    <row r="15" customFormat="false" ht="15" hidden="false" customHeight="false" outlineLevel="0" collapsed="false">
      <c r="A15" s="0" t="s">
        <v>173</v>
      </c>
      <c r="B15" s="7" t="n">
        <v>51.45</v>
      </c>
      <c r="C15" s="0" t="str">
        <f aca="false">IF(Inputs!$B$35&gt;B15,"ITM","OTM")</f>
        <v>ITM</v>
      </c>
      <c r="D15" s="0" t="s">
        <v>174</v>
      </c>
    </row>
    <row r="16" customFormat="false" ht="15" hidden="false" customHeight="false" outlineLevel="0" collapsed="false">
      <c r="A16" s="0" t="s">
        <v>175</v>
      </c>
      <c r="B16" s="7" t="n">
        <v>138.75</v>
      </c>
      <c r="C16" s="0" t="str">
        <f aca="false">IF(Inputs!$B$35&gt;B16,"ITM","OTM")</f>
        <v>ITM</v>
      </c>
      <c r="D16" s="0" t="s">
        <v>174</v>
      </c>
    </row>
    <row r="17" customFormat="false" ht="15" hidden="false" customHeight="false" outlineLevel="0" collapsed="false">
      <c r="A17" s="0" t="s">
        <v>176</v>
      </c>
      <c r="B17" s="7" t="n">
        <v>183.22</v>
      </c>
      <c r="C17" s="0" t="str">
        <f aca="false">IF(Inputs!$B$35&gt;B17,"ITM","OTM")</f>
        <v>ITM</v>
      </c>
      <c r="D17" s="0" t="s">
        <v>174</v>
      </c>
    </row>
    <row r="18" customFormat="false" ht="15" hidden="false" customHeight="false" outlineLevel="0" collapsed="false">
      <c r="A18" s="0" t="s">
        <v>177</v>
      </c>
      <c r="B18" s="7" t="n">
        <v>180.31</v>
      </c>
      <c r="C18" s="0" t="str">
        <f aca="false">IF(Inputs!$B$35&gt;B18,"ITM","OTM")</f>
        <v>ITM</v>
      </c>
      <c r="D18" s="0" t="s">
        <v>174</v>
      </c>
    </row>
    <row r="19" customFormat="false" ht="15" hidden="false" customHeight="false" outlineLevel="0" collapsed="false">
      <c r="A19" s="0" t="s">
        <v>178</v>
      </c>
      <c r="B19" s="7" t="n">
        <v>313.46</v>
      </c>
      <c r="C19" s="0" t="str">
        <f aca="false">IF(Inputs!$B$35&gt;B19,"ITM","OTM")</f>
        <v>OTM</v>
      </c>
      <c r="D19" s="0" t="s">
        <v>174</v>
      </c>
    </row>
    <row r="20" customFormat="false" ht="15" hidden="false" customHeight="false" outlineLevel="0" collapsed="false">
      <c r="A20" s="0" t="s">
        <v>179</v>
      </c>
      <c r="B20" s="7" t="n">
        <v>324.65</v>
      </c>
      <c r="C20" s="0" t="str">
        <f aca="false">IF(Inputs!$B$35&gt;B20,"ITM","OTM")</f>
        <v>OTM</v>
      </c>
      <c r="D20" s="0" t="s">
        <v>174</v>
      </c>
    </row>
    <row r="21" customFormat="false" ht="15" hidden="false" customHeight="false" outlineLevel="0" collapsed="false">
      <c r="B21" s="7"/>
    </row>
    <row r="22" customFormat="false" ht="15" hidden="false" customHeight="false" outlineLevel="0" collapsed="false">
      <c r="A22" s="0" t="s">
        <v>180</v>
      </c>
      <c r="B22" s="7"/>
      <c r="D22" s="0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3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145</v>
      </c>
      <c r="B1" s="1" t="s">
        <v>182</v>
      </c>
      <c r="C1" s="1" t="s">
        <v>183</v>
      </c>
      <c r="D1" s="1" t="s">
        <v>184</v>
      </c>
    </row>
    <row r="2" customFormat="false" ht="15" hidden="false" customHeight="false" outlineLevel="0" collapsed="false">
      <c r="A2" s="0" t="s">
        <v>185</v>
      </c>
      <c r="B2" s="3" t="n">
        <f aca="false">Inputs!$B$23</f>
        <v>288585891</v>
      </c>
      <c r="C2" s="3" t="n">
        <f aca="false">Inputs!$B$23+FD_Bridge!C9+FD_Bridge!C10</f>
        <v>304355279</v>
      </c>
      <c r="D2" s="0" t="s">
        <v>186</v>
      </c>
    </row>
    <row r="3" customFormat="false" ht="15" hidden="false" customHeight="false" outlineLevel="0" collapsed="false">
      <c r="A3" s="0" t="s">
        <v>187</v>
      </c>
      <c r="B3" s="3" t="n">
        <f aca="false">Inputs!$B$23-Inputs!$B$2-(FD_Bridge!C9+FD_Bridge!C10)</f>
        <v>34416338</v>
      </c>
      <c r="C3" s="3" t="n">
        <f aca="false">Inputs!$B$23-Inputs!$B$2</f>
        <v>50185726</v>
      </c>
      <c r="D3" s="0" t="s">
        <v>49</v>
      </c>
    </row>
    <row r="4" customFormat="false" ht="15" hidden="false" customHeight="false" outlineLevel="0" collapsed="false">
      <c r="A4" s="0" t="s">
        <v>188</v>
      </c>
      <c r="B4" s="3" t="n">
        <f aca="false">Inputs!$B$36*(B2+Inputs!$B$3)</f>
        <v>64408188.8</v>
      </c>
      <c r="C4" s="3" t="n">
        <f aca="false">Inputs!$B$36*(C2+Inputs!$B$3)</f>
        <v>67562066.4</v>
      </c>
      <c r="D4" s="0" t="s">
        <v>49</v>
      </c>
    </row>
    <row r="5" customFormat="false" ht="15" hidden="false" customHeight="false" outlineLevel="0" collapsed="false">
      <c r="A5" s="0" t="s">
        <v>189</v>
      </c>
      <c r="B5" s="3" t="n">
        <f aca="false">B3+B4</f>
        <v>98824526.8</v>
      </c>
      <c r="C5" s="3" t="n">
        <f aca="false">C3+C4</f>
        <v>117747792.4</v>
      </c>
      <c r="D5" s="0" t="s">
        <v>49</v>
      </c>
    </row>
    <row r="6" customFormat="false" ht="15" hidden="false" customHeight="false" outlineLevel="0" collapsed="false">
      <c r="A6" s="0" t="s">
        <v>190</v>
      </c>
      <c r="B6" s="3" t="n">
        <f aca="false">-Inputs!$B$4</f>
        <v>-21065936</v>
      </c>
      <c r="C6" s="3" t="n">
        <f aca="false">-Inputs!$B$4</f>
        <v>-21065936</v>
      </c>
      <c r="D6" s="0" t="s">
        <v>7</v>
      </c>
    </row>
    <row r="7" customFormat="false" ht="15" hidden="false" customHeight="false" outlineLevel="0" collapsed="false">
      <c r="A7" s="0" t="s">
        <v>191</v>
      </c>
      <c r="B7" s="3" t="n">
        <f aca="false">B5+B6</f>
        <v>77758590.8</v>
      </c>
      <c r="C7" s="3" t="n">
        <f aca="false">C5+C6</f>
        <v>96681856.4</v>
      </c>
      <c r="D7" s="0" t="s">
        <v>49</v>
      </c>
    </row>
    <row r="8" customFormat="false" ht="15" hidden="false" customHeight="false" outlineLevel="0" collapsed="false">
      <c r="A8" s="0" t="s">
        <v>192</v>
      </c>
      <c r="B8" s="3" t="n">
        <v>93527979</v>
      </c>
      <c r="C8" s="3" t="n">
        <v>93527979</v>
      </c>
      <c r="D8" s="0" t="s">
        <v>193</v>
      </c>
    </row>
    <row r="10" customFormat="false" ht="176.1" hidden="false" customHeight="false" outlineLevel="0" collapsed="false">
      <c r="A10" s="0" t="s">
        <v>194</v>
      </c>
      <c r="B10" s="8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2026-10-08T12:32:35Z</dcterms:created>
  <dc:creator>openpyxl</dc:creator>
  <dc:description/>
  <dc:language>en-US</dc:language>
  <cp:lastModifiedBy/>
  <dcterms:modified xsi:type="dcterms:W3CDTF">2026-10-08T12:32:35Z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