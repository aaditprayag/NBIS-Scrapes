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Base" sheetId="1" state="visible" r:id="rId1"/>
    <sheet xmlns:r="http://schemas.openxmlformats.org/officeDocument/2006/relationships" name="Converts" sheetId="2" state="visible" r:id="rId2"/>
    <sheet xmlns:r="http://schemas.openxmlformats.org/officeDocument/2006/relationships" name="Quarterly" sheetId="3" state="visible" r:id="rId3"/>
    <sheet xmlns:r="http://schemas.openxmlformats.org/officeDocument/2006/relationships" name="Quarterly_Sources" sheetId="4" state="visible" r:id="rId4"/>
    <sheet xmlns:r="http://schemas.openxmlformats.org/officeDocument/2006/relationships" name="MW_Disclosures" sheetId="5" state="visible" r:id="rId5"/>
    <sheet xmlns:r="http://schemas.openxmlformats.org/officeDocument/2006/relationships" name="D&amp;A_Policy" sheetId="6" state="visible" r:id="rId6"/>
    <sheet xmlns:r="http://schemas.openxmlformats.org/officeDocument/2006/relationships" name="Indenture_Terms" sheetId="7" state="visible" r:id="rId7"/>
    <sheet xmlns:r="http://schemas.openxmlformats.org/officeDocument/2006/relationships" name="MakeWhole_Tables" sheetId="8" state="visible" r:id="rId8"/>
    <sheet xmlns:r="http://schemas.openxmlformats.org/officeDocument/2006/relationships" name="CapStructure" sheetId="9" state="visible" r:id="rId9"/>
    <sheet xmlns:r="http://schemas.openxmlformats.org/officeDocument/2006/relationships" name="Guidance_Log" sheetId="10" state="visible" r:id="rId10"/>
    <sheet xmlns:r="http://schemas.openxmlformats.org/officeDocument/2006/relationships" name="SOTP" sheetId="11" state="visible" r:id="rId11"/>
    <sheet xmlns:r="http://schemas.openxmlformats.org/officeDocument/2006/relationships" name="Controls_Depreciation" sheetId="12" state="visible" r:id="rId12"/>
    <sheet xmlns:r="http://schemas.openxmlformats.org/officeDocument/2006/relationships" name="Sources" sheetId="13" state="visible" r:id="rId13"/>
  </sheets>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
    <numFmt numFmtId="167" formatCode="$0.00"/>
  </numFmts>
  <fonts count="9">
    <font>
      <name val="Calibri"/>
      <family val="2"/>
      <color theme="1"/>
      <sz val="11"/>
      <scheme val="minor"/>
    </font>
    <font>
      <b val="1"/>
    </font>
    <font>
      <color rgb="000000FF"/>
    </font>
    <font>
      <i val="1"/>
      <color rgb="00808080"/>
    </font>
    <font>
      <i val="1"/>
      <color rgb="00C65911"/>
    </font>
    <font>
      <b val="1"/>
      <sz val="13"/>
    </font>
    <font>
      <b val="1"/>
      <color rgb="000000FF"/>
    </font>
    <font>
      <b val="1"/>
      <sz val="11"/>
    </font>
    <font>
      <b val="1"/>
      <sz val="12"/>
    </font>
  </fonts>
  <fills count="4">
    <fill>
      <patternFill/>
    </fill>
    <fill>
      <patternFill patternType="gray125"/>
    </fill>
    <fill>
      <patternFill patternType="solid">
        <fgColor rgb="00DDDDDD"/>
      </patternFill>
    </fill>
    <fill>
      <patternFill patternType="solid">
        <fgColor rgb="00DCE6F1"/>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164" fontId="6" fillId="0" borderId="0" pivotButton="0" quotePrefix="0" xfId="0"/>
    <xf numFmtId="0" fontId="7" fillId="3" borderId="0" pivotButton="0" quotePrefix="0" xfId="0"/>
    <xf numFmtId="0" fontId="0" fillId="3" borderId="0" pivotButton="0" quotePrefix="0" xfId="0"/>
    <xf numFmtId="3" fontId="2" fillId="0" borderId="0" pivotButton="0" quotePrefix="0" xfId="0"/>
    <xf numFmtId="3" fontId="0" fillId="0" borderId="0" pivotButton="0" quotePrefix="0" xfId="0"/>
    <xf numFmtId="165" fontId="0" fillId="0" borderId="0" pivotButton="0" quotePrefix="0" xfId="0"/>
    <xf numFmtId="3" fontId="1" fillId="0" borderId="0" pivotButton="0" quotePrefix="0" xfId="0"/>
    <xf numFmtId="165" fontId="1" fillId="0" borderId="0" pivotButton="0" quotePrefix="0" xfId="0"/>
    <xf numFmtId="166" fontId="0" fillId="0" borderId="0" pivotButton="0" quotePrefix="0" xfId="0"/>
    <xf numFmtId="0" fontId="8" fillId="0" borderId="0" applyAlignment="1" pivotButton="0" quotePrefix="0" xfId="0">
      <alignment vertical="top" wrapText="1"/>
    </xf>
    <xf numFmtId="9" fontId="2" fillId="0" borderId="0" applyAlignment="1" pivotButton="0" quotePrefix="0" xfId="0">
      <alignment vertical="top" wrapText="1"/>
    </xf>
    <xf numFmtId="166" fontId="2" fillId="0" borderId="0" applyAlignment="1" pivotButton="0" quotePrefix="0" xfId="0">
      <alignment vertical="top" wrapText="1"/>
    </xf>
    <xf numFmtId="166" fontId="0" fillId="0" borderId="0" applyAlignment="1" pivotButton="0" quotePrefix="0" xfId="0">
      <alignment vertical="top" wrapText="1"/>
    </xf>
    <xf numFmtId="0" fontId="1" fillId="0" borderId="0" applyAlignment="1" pivotButton="0" quotePrefix="0" xfId="0">
      <alignment vertical="top" wrapText="1"/>
    </xf>
    <xf numFmtId="167" fontId="0" fillId="0" borderId="0" applyAlignment="1" pivotButton="0" quotePrefix="0" xfId="0">
      <alignment vertical="top" wrapText="1"/>
    </xf>
    <xf numFmtId="0" fontId="2"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Category</t>
        </is>
      </c>
      <c r="B1" s="1" t="inlineStr">
        <is>
          <t>Fact</t>
        </is>
      </c>
      <c r="C1" s="1" t="inlineStr">
        <is>
          <t>Value</t>
        </is>
      </c>
      <c r="D1" s="1" t="inlineStr">
        <is>
          <t>Unit</t>
        </is>
      </c>
      <c r="E1" s="1" t="inlineStr">
        <is>
          <t>Tag</t>
        </is>
      </c>
      <c r="F1" s="1" t="inlineStr">
        <is>
          <t>Form</t>
        </is>
      </c>
      <c r="G1" s="1" t="inlineStr">
        <is>
          <t>Filing date</t>
        </is>
      </c>
      <c r="H1" s="1" t="inlineStr">
        <is>
          <t>Accession</t>
        </is>
      </c>
      <c r="I1" s="1" t="inlineStr">
        <is>
          <t>Document</t>
        </is>
      </c>
      <c r="J1" s="1" t="inlineStr">
        <is>
          <t>Page/section</t>
        </is>
      </c>
      <c r="K1" s="1" t="inlineStr">
        <is>
          <t>Note</t>
        </is>
      </c>
      <c r="L1" s="1" t="inlineStr">
        <is>
          <t>URL</t>
        </is>
      </c>
    </row>
    <row r="2">
      <c r="A2" t="inlineStr">
        <is>
          <t>Revenue</t>
        </is>
      </c>
      <c r="B2" t="inlineStr">
        <is>
          <t>Group revenue Q2 2026</t>
        </is>
      </c>
      <c r="C2" s="2" t="n">
        <v>582.3</v>
      </c>
      <c r="D2" t="inlineStr">
        <is>
          <t>$M</t>
        </is>
      </c>
      <c r="E2" t="inlineStr">
        <is>
          <t>Reported</t>
        </is>
      </c>
      <c r="F2" t="inlineStr">
        <is>
          <t>6-K</t>
        </is>
      </c>
      <c r="G2" t="inlineStr">
        <is>
          <t>2026-08-12</t>
        </is>
      </c>
      <c r="H2" t="inlineStr">
        <is>
          <t>0001104659-26-094568</t>
        </is>
      </c>
      <c r="I2" t="inlineStr">
        <is>
          <t>tm2622968d1_ex99-1.htm</t>
        </is>
      </c>
      <c r="J2" t="inlineStr">
        <is>
          <t>p.1 &amp; Stmt of Ops</t>
        </is>
      </c>
      <c r="K2" t="inlineStr">
        <is>
          <t>+454% YoY; +46% QoQ</t>
        </is>
      </c>
      <c r="L2" t="inlineStr">
        <is>
          <t>https://www.sec.gov/Archives/edgar/data/1513845/000110465926094568/tm2622968d1_ex99-1.htm</t>
        </is>
      </c>
    </row>
    <row r="3">
      <c r="A3" t="inlineStr">
        <is>
          <t>Revenue</t>
        </is>
      </c>
      <c r="B3" t="inlineStr">
        <is>
          <t>Nebius AI cloud segment revenue Q2 2026</t>
        </is>
      </c>
      <c r="C3" s="2" t="n">
        <v>574.9</v>
      </c>
      <c r="D3" t="inlineStr">
        <is>
          <t>$M</t>
        </is>
      </c>
      <c r="E3" t="inlineStr">
        <is>
          <t>Reported</t>
        </is>
      </c>
      <c r="F3" t="inlineStr">
        <is>
          <t>6-K</t>
        </is>
      </c>
      <c r="G3" t="inlineStr">
        <is>
          <t>2026-08-12</t>
        </is>
      </c>
      <c r="H3" t="inlineStr">
        <is>
          <t>0001104659-26-094844</t>
        </is>
      </c>
      <c r="I3" t="inlineStr">
        <is>
          <t>nbis-20260812xex99d2.htm</t>
        </is>
      </c>
      <c r="J3" t="inlineStr">
        <is>
          <t>Note 15, p.F-33</t>
        </is>
      </c>
      <c r="K3" t="inlineStr">
        <is>
          <t>~98% of group</t>
        </is>
      </c>
      <c r="L3" t="inlineStr">
        <is>
          <t>https://www.sec.gov/Archives/edgar/data/1513845/000110465926094844/nbis-20260812xex99d2.htm</t>
        </is>
      </c>
    </row>
    <row r="4">
      <c r="A4" t="inlineStr">
        <is>
          <t>Revenue</t>
        </is>
      </c>
      <c r="B4" t="inlineStr">
        <is>
          <t>Avride segment revenue Q2 2026</t>
        </is>
      </c>
      <c r="C4" s="2" t="n">
        <v>1</v>
      </c>
      <c r="D4" t="inlineStr">
        <is>
          <t>$M</t>
        </is>
      </c>
      <c r="E4" t="inlineStr">
        <is>
          <t>Reported</t>
        </is>
      </c>
      <c r="F4" t="inlineStr">
        <is>
          <t>6-K</t>
        </is>
      </c>
      <c r="G4" t="inlineStr">
        <is>
          <t>2026-08-12</t>
        </is>
      </c>
      <c r="H4" t="inlineStr">
        <is>
          <t>0001104659-26-094844</t>
        </is>
      </c>
      <c r="I4" t="inlineStr">
        <is>
          <t>nbis-20260812xex99d2.htm</t>
        </is>
      </c>
      <c r="J4" t="inlineStr">
        <is>
          <t>Note 15, p.F-33</t>
        </is>
      </c>
      <c r="K4" t="inlineStr"/>
      <c r="L4" t="inlineStr">
        <is>
          <t>https://www.sec.gov/Archives/edgar/data/1513845/000110465926094844/nbis-20260812xex99d2.htm</t>
        </is>
      </c>
    </row>
    <row r="5">
      <c r="A5" t="inlineStr">
        <is>
          <t>Revenue</t>
        </is>
      </c>
      <c r="B5" t="inlineStr">
        <is>
          <t>TripleTen segment revenue Q2 2026</t>
        </is>
      </c>
      <c r="C5" s="2" t="n">
        <v>10</v>
      </c>
      <c r="D5" t="inlineStr">
        <is>
          <t>$M</t>
        </is>
      </c>
      <c r="E5" t="inlineStr">
        <is>
          <t>Reported</t>
        </is>
      </c>
      <c r="F5" t="inlineStr">
        <is>
          <t>6-K</t>
        </is>
      </c>
      <c r="G5" t="inlineStr">
        <is>
          <t>2026-08-12</t>
        </is>
      </c>
      <c r="H5" t="inlineStr">
        <is>
          <t>0001104659-26-094844</t>
        </is>
      </c>
      <c r="I5" t="inlineStr">
        <is>
          <t>nbis-20260812xex99d2.htm</t>
        </is>
      </c>
      <c r="J5" t="inlineStr">
        <is>
          <t>Note 15, p.F-33</t>
        </is>
      </c>
      <c r="K5" t="inlineStr"/>
      <c r="L5" t="inlineStr">
        <is>
          <t>https://www.sec.gov/Archives/edgar/data/1513845/000110465926094844/nbis-20260812xex99d2.htm</t>
        </is>
      </c>
    </row>
    <row r="6">
      <c r="A6" t="inlineStr">
        <is>
          <t>Revenue</t>
        </is>
      </c>
      <c r="B6" t="inlineStr">
        <is>
          <t>Intersegment eliminations Q2 2026</t>
        </is>
      </c>
      <c r="C6" s="2" t="n">
        <v>-3.6</v>
      </c>
      <c r="D6" t="inlineStr">
        <is>
          <t>$M</t>
        </is>
      </c>
      <c r="E6" t="inlineStr">
        <is>
          <t>Reported</t>
        </is>
      </c>
      <c r="F6" t="inlineStr">
        <is>
          <t>6-K</t>
        </is>
      </c>
      <c r="G6" t="inlineStr">
        <is>
          <t>2026-08-12</t>
        </is>
      </c>
      <c r="H6" t="inlineStr">
        <is>
          <t>0001104659-26-094844</t>
        </is>
      </c>
      <c r="I6" t="inlineStr">
        <is>
          <t>nbis-20260812xex99d2.htm</t>
        </is>
      </c>
      <c r="J6" t="inlineStr">
        <is>
          <t>Note 15, p.F-33</t>
        </is>
      </c>
      <c r="K6" t="inlineStr">
        <is>
          <t>Toloka deconsolidated Q2 2025 (equity method; discontinued ops)</t>
        </is>
      </c>
      <c r="L6" t="inlineStr">
        <is>
          <t>https://www.sec.gov/Archives/edgar/data/1513845/000110465926094844/nbis-20260812xex99d2.htm</t>
        </is>
      </c>
    </row>
    <row r="7">
      <c r="A7" t="inlineStr">
        <is>
          <t>Revenue</t>
        </is>
      </c>
      <c r="B7" t="inlineStr">
        <is>
          <t>Group revenue 1H 2026</t>
        </is>
      </c>
      <c r="C7" s="2" t="n">
        <v>981.3</v>
      </c>
      <c r="D7" t="inlineStr">
        <is>
          <t>$M</t>
        </is>
      </c>
      <c r="E7" t="inlineStr">
        <is>
          <t>Reported</t>
        </is>
      </c>
      <c r="F7" t="inlineStr">
        <is>
          <t>6-K</t>
        </is>
      </c>
      <c r="G7" t="inlineStr">
        <is>
          <t>2026-08-12</t>
        </is>
      </c>
      <c r="H7" t="inlineStr">
        <is>
          <t>0001104659-26-094568</t>
        </is>
      </c>
      <c r="I7" t="inlineStr">
        <is>
          <t>tm2622968d1_ex99-1.htm</t>
        </is>
      </c>
      <c r="J7" t="inlineStr">
        <is>
          <t>p.1</t>
        </is>
      </c>
      <c r="K7" t="inlineStr"/>
      <c r="L7" t="inlineStr">
        <is>
          <t>https://www.sec.gov/Archives/edgar/data/1513845/000110465926094568/tm2622968d1_ex99-1.htm</t>
        </is>
      </c>
    </row>
    <row r="8">
      <c r="A8" t="inlineStr">
        <is>
          <t>ARR</t>
        </is>
      </c>
      <c r="B8" t="inlineStr">
        <is>
          <t>ARR end of June 2026 (AI cloud June revenue x12)</t>
        </is>
      </c>
      <c r="C8" s="2" t="n">
        <v>3000</v>
      </c>
      <c r="D8" t="inlineStr">
        <is>
          <t>$M</t>
        </is>
      </c>
      <c r="E8" t="inlineStr">
        <is>
          <t>Reported</t>
        </is>
      </c>
      <c r="F8" t="inlineStr">
        <is>
          <t>6-K</t>
        </is>
      </c>
      <c r="G8" t="inlineStr">
        <is>
          <t>2026-08-12</t>
        </is>
      </c>
      <c r="H8" t="inlineStr">
        <is>
          <t>0001104659-26-094568</t>
        </is>
      </c>
      <c r="I8" t="inlineStr">
        <is>
          <t>tm2622968d1_ex99-2.htm</t>
        </is>
      </c>
      <c r="J8" t="inlineStr">
        <is>
          <t>p.9 (also p.3)</t>
        </is>
      </c>
      <c r="K8" t="inlineStr">
        <is>
          <t>+598% YoY; $1.9B end-Mar</t>
        </is>
      </c>
      <c r="L8" t="inlineStr">
        <is>
          <t>https://www.sec.gov/Archives/edgar/data/1513845/000110465926094568/tm2622968d1_ex99-2.htm</t>
        </is>
      </c>
    </row>
    <row r="9">
      <c r="A9" t="inlineStr">
        <is>
          <t>Guidance</t>
        </is>
      </c>
      <c r="B9" t="inlineStr">
        <is>
          <t>FY2026 ARR guidance (YE26)</t>
        </is>
      </c>
      <c r="C9" s="2" t="inlineStr">
        <is>
          <t>7,000-9,000</t>
        </is>
      </c>
      <c r="D9" t="inlineStr">
        <is>
          <t>$M</t>
        </is>
      </c>
      <c r="E9" t="inlineStr">
        <is>
          <t>Reported (call)</t>
        </is>
      </c>
      <c r="F9" t="inlineStr">
        <is>
          <t>Transcript</t>
        </is>
      </c>
      <c r="G9" t="inlineStr">
        <is>
          <t>2026-08-12</t>
        </is>
      </c>
      <c r="H9" t="inlineStr">
        <is>
          <t>n/a</t>
        </is>
      </c>
      <c r="I9" t="inlineStr">
        <is>
          <t>fool.com</t>
        </is>
      </c>
      <c r="J9" t="inlineStr">
        <is>
          <t>CFO remarks</t>
        </is>
      </c>
      <c r="K9" t="inlineStr">
        <is>
          <t>Reaffirmed 8/12/26; also Q1 2026 letter p.2</t>
        </is>
      </c>
      <c r="L9" t="inlineStr">
        <is>
          <t>https://www.fool.com/earnings/call-transcripts/2026/08/19/nebius-nbis-q2-2026-earnings-call-transcript/</t>
        </is>
      </c>
    </row>
    <row r="10">
      <c r="A10" t="inlineStr">
        <is>
          <t>Guidance</t>
        </is>
      </c>
      <c r="B10" t="inlineStr">
        <is>
          <t>FY2026 group revenue guidance</t>
        </is>
      </c>
      <c r="C10" s="2" t="inlineStr">
        <is>
          <t>3,000-3,400</t>
        </is>
      </c>
      <c r="D10" t="inlineStr">
        <is>
          <t>$M</t>
        </is>
      </c>
      <c r="E10" t="inlineStr">
        <is>
          <t>Reported (call)</t>
        </is>
      </c>
      <c r="F10" t="inlineStr">
        <is>
          <t>Transcript</t>
        </is>
      </c>
      <c r="G10" t="inlineStr">
        <is>
          <t>2026-08-12</t>
        </is>
      </c>
      <c r="H10" t="inlineStr">
        <is>
          <t>n/a</t>
        </is>
      </c>
      <c r="I10" t="inlineStr">
        <is>
          <t>fool.com</t>
        </is>
      </c>
      <c r="J10" t="inlineStr">
        <is>
          <t>CFO remarks</t>
        </is>
      </c>
      <c r="K10" t="inlineStr">
        <is>
          <t>Q1 2026 letter p.2: "On track to achieve $3.0B-$3.4B revenue"</t>
        </is>
      </c>
      <c r="L10" t="inlineStr">
        <is>
          <t>https://www.fool.com/earnings/call-transcripts/2026/08/19/nebius-nbis-q2-2026-earnings-call-transcript/</t>
        </is>
      </c>
    </row>
    <row r="11">
      <c r="A11" t="inlineStr">
        <is>
          <t>Guidance</t>
        </is>
      </c>
      <c r="B11" t="inlineStr">
        <is>
          <t>FY2026 group adj. EBITDA margin guidance</t>
        </is>
      </c>
      <c r="C11" s="2" t="inlineStr">
        <is>
          <t>~40%</t>
        </is>
      </c>
      <c r="D11" t="inlineStr">
        <is>
          <t>%</t>
        </is>
      </c>
      <c r="E11" t="inlineStr">
        <is>
          <t>Reported (call)</t>
        </is>
      </c>
      <c r="F11" t="inlineStr">
        <is>
          <t>Transcript</t>
        </is>
      </c>
      <c r="G11" t="inlineStr">
        <is>
          <t>2026-08-12</t>
        </is>
      </c>
      <c r="H11" t="inlineStr">
        <is>
          <t>n/a</t>
        </is>
      </c>
      <c r="I11" t="inlineStr">
        <is>
          <t>fool.com</t>
        </is>
      </c>
      <c r="J11" t="inlineStr">
        <is>
          <t>CFO remarks</t>
        </is>
      </c>
      <c r="K11" t="inlineStr">
        <is>
          <t>Q1 2026 letter p.2 "~40% Adj. EBITDA margin in 2026"</t>
        </is>
      </c>
      <c r="L11" t="inlineStr">
        <is>
          <t>https://www.fool.com/earnings/call-transcripts/2026/08/19/nebius-nbis-q2-2026-earnings-call-transcript/</t>
        </is>
      </c>
    </row>
    <row r="12">
      <c r="A12" t="inlineStr">
        <is>
          <t>Guidance</t>
        </is>
      </c>
      <c r="B12" t="inlineStr">
        <is>
          <t>FY2026 capex guidance</t>
        </is>
      </c>
      <c r="C12" s="2" t="inlineStr">
        <is>
          <t>20,000-25,000</t>
        </is>
      </c>
      <c r="D12" t="inlineStr">
        <is>
          <t>$M</t>
        </is>
      </c>
      <c r="E12" t="inlineStr">
        <is>
          <t>Reported (call)</t>
        </is>
      </c>
      <c r="F12" t="inlineStr">
        <is>
          <t>Transcript</t>
        </is>
      </c>
      <c r="G12" t="inlineStr">
        <is>
          <t>2026-08-12</t>
        </is>
      </c>
      <c r="H12" t="inlineStr">
        <is>
          <t>n/a</t>
        </is>
      </c>
      <c r="I12" t="inlineStr">
        <is>
          <t>fool.com</t>
        </is>
      </c>
      <c r="J12" t="inlineStr">
        <is>
          <t>CFO remarks</t>
        </is>
      </c>
      <c r="K12" t="inlineStr">
        <is>
          <t>Not in SEC filings; call transcript only</t>
        </is>
      </c>
      <c r="L12" t="inlineStr">
        <is>
          <t>https://www.fool.com/earnings/call-transcripts/2026/08/19/nebius-nbis-q2-2026-earnings-call-transcript/</t>
        </is>
      </c>
    </row>
    <row r="13">
      <c r="A13" t="inlineStr">
        <is>
          <t>Guidance</t>
        </is>
      </c>
      <c r="B13" t="inlineStr">
        <is>
          <t>Customer prepayments expected in 2026</t>
        </is>
      </c>
      <c r="C13" s="2" t="inlineStr">
        <is>
          <t>&gt;9,000</t>
        </is>
      </c>
      <c r="D13" t="inlineStr">
        <is>
          <t>$M</t>
        </is>
      </c>
      <c r="E13" t="inlineStr">
        <is>
          <t>Reported</t>
        </is>
      </c>
      <c r="F13" t="inlineStr">
        <is>
          <t>6-K</t>
        </is>
      </c>
      <c r="G13" t="inlineStr">
        <is>
          <t>2026-08-12</t>
        </is>
      </c>
      <c r="H13" t="inlineStr">
        <is>
          <t>0001104659-26-094568</t>
        </is>
      </c>
      <c r="I13" t="inlineStr">
        <is>
          <t>tm2622968d1_ex99-2.htm</t>
        </is>
      </c>
      <c r="J13" t="inlineStr">
        <is>
          <t>p.3, p.10</t>
        </is>
      </c>
      <c r="K13" t="inlineStr"/>
      <c r="L13" t="inlineStr">
        <is>
          <t>https://www.sec.gov/Archives/edgar/data/1513845/000110465926094568/tm2622968d1_ex99-2.htm</t>
        </is>
      </c>
    </row>
    <row r="14">
      <c r="A14" t="inlineStr">
        <is>
          <t>Profitability</t>
        </is>
      </c>
      <c r="B14" t="inlineStr">
        <is>
          <t>Group adjusted EBITDA Q2 2026</t>
        </is>
      </c>
      <c r="C14" s="2" t="n">
        <v>236.2</v>
      </c>
      <c r="D14" t="inlineStr">
        <is>
          <t>$M</t>
        </is>
      </c>
      <c r="E14" t="inlineStr">
        <is>
          <t>Reported</t>
        </is>
      </c>
      <c r="F14" t="inlineStr">
        <is>
          <t>6-K</t>
        </is>
      </c>
      <c r="G14" t="inlineStr">
        <is>
          <t>2026-08-12</t>
        </is>
      </c>
      <c r="H14" t="inlineStr">
        <is>
          <t>0001104659-26-094568</t>
        </is>
      </c>
      <c r="I14" t="inlineStr">
        <is>
          <t>tm2622968d1_ex99-1.htm</t>
        </is>
      </c>
      <c r="J14" t="inlineStr">
        <is>
          <t>Non-GAAP recon</t>
        </is>
      </c>
      <c r="K14" t="inlineStr">
        <is>
          <t>41% margin; Q1 2026 129.5</t>
        </is>
      </c>
      <c r="L14" t="inlineStr">
        <is>
          <t>https://www.sec.gov/Archives/edgar/data/1513845/000110465926094568/tm2622968d1_ex99-1.htm</t>
        </is>
      </c>
    </row>
    <row r="15">
      <c r="A15" t="inlineStr">
        <is>
          <t>Profitability</t>
        </is>
      </c>
      <c r="B15" t="inlineStr">
        <is>
          <t>Nebius AI cloud adjusted EBITDA Q2 2026</t>
        </is>
      </c>
      <c r="C15" s="2" t="n">
        <v>285.7</v>
      </c>
      <c r="D15" t="inlineStr">
        <is>
          <t>$M</t>
        </is>
      </c>
      <c r="E15" t="inlineStr">
        <is>
          <t>Reported</t>
        </is>
      </c>
      <c r="F15" t="inlineStr">
        <is>
          <t>6-K</t>
        </is>
      </c>
      <c r="G15" t="inlineStr">
        <is>
          <t>2026-08-12</t>
        </is>
      </c>
      <c r="H15" t="inlineStr">
        <is>
          <t>0001104659-26-094844</t>
        </is>
      </c>
      <c r="I15" t="inlineStr">
        <is>
          <t>nbis-20260812xex99d2.htm</t>
        </is>
      </c>
      <c r="J15" t="inlineStr">
        <is>
          <t>Note 15, p.F-33</t>
        </is>
      </c>
      <c r="K15" t="inlineStr">
        <is>
          <t>49.7% margin</t>
        </is>
      </c>
      <c r="L15" t="inlineStr">
        <is>
          <t>https://www.sec.gov/Archives/edgar/data/1513845/000110465926094844/nbis-20260812xex99d2.htm</t>
        </is>
      </c>
    </row>
    <row r="16">
      <c r="A16" t="inlineStr">
        <is>
          <t>Profitability</t>
        </is>
      </c>
      <c r="B16" t="inlineStr">
        <is>
          <t>Avride adj. EBITDA Q2 2026</t>
        </is>
      </c>
      <c r="C16" s="2" t="n">
        <v>-40.1</v>
      </c>
      <c r="D16" t="inlineStr">
        <is>
          <t>$M</t>
        </is>
      </c>
      <c r="E16" t="inlineStr">
        <is>
          <t>Reported</t>
        </is>
      </c>
      <c r="F16" t="inlineStr">
        <is>
          <t>6-K</t>
        </is>
      </c>
      <c r="G16" t="inlineStr">
        <is>
          <t>2026-08-12</t>
        </is>
      </c>
      <c r="H16" t="inlineStr">
        <is>
          <t>0001104659-26-094844</t>
        </is>
      </c>
      <c r="I16" t="inlineStr">
        <is>
          <t>nbis-20260812xex99d2.htm</t>
        </is>
      </c>
      <c r="J16" t="inlineStr">
        <is>
          <t>Note 15</t>
        </is>
      </c>
      <c r="K16" t="inlineStr"/>
      <c r="L16" t="inlineStr">
        <is>
          <t>https://www.sec.gov/Archives/edgar/data/1513845/000110465926094844/nbis-20260812xex99d2.htm</t>
        </is>
      </c>
    </row>
    <row r="17">
      <c r="A17" t="inlineStr">
        <is>
          <t>Profitability</t>
        </is>
      </c>
      <c r="B17" t="inlineStr">
        <is>
          <t>TripleTen adj. EBITDA Q2 2026</t>
        </is>
      </c>
      <c r="C17" s="2" t="n">
        <v>-9.4</v>
      </c>
      <c r="D17" t="inlineStr">
        <is>
          <t>$M</t>
        </is>
      </c>
      <c r="E17" t="inlineStr">
        <is>
          <t>Reported</t>
        </is>
      </c>
      <c r="F17" t="inlineStr">
        <is>
          <t>6-K</t>
        </is>
      </c>
      <c r="G17" t="inlineStr">
        <is>
          <t>2026-08-12</t>
        </is>
      </c>
      <c r="H17" t="inlineStr">
        <is>
          <t>0001104659-26-094844</t>
        </is>
      </c>
      <c r="I17" t="inlineStr">
        <is>
          <t>nbis-20260812xex99d2.htm</t>
        </is>
      </c>
      <c r="J17" t="inlineStr">
        <is>
          <t>Note 15</t>
        </is>
      </c>
      <c r="K17" t="inlineStr"/>
      <c r="L17" t="inlineStr">
        <is>
          <t>https://www.sec.gov/Archives/edgar/data/1513845/000110465926094844/nbis-20260812xex99d2.htm</t>
        </is>
      </c>
    </row>
    <row r="18">
      <c r="A18" t="inlineStr">
        <is>
          <t>Profitability</t>
        </is>
      </c>
      <c r="B18" t="inlineStr">
        <is>
          <t>Net income/(loss) from continuing ops Q2 2026</t>
        </is>
      </c>
      <c r="C18" s="2" t="n">
        <v>-190.4</v>
      </c>
      <c r="D18" t="inlineStr">
        <is>
          <t>$M</t>
        </is>
      </c>
      <c r="E18" t="inlineStr">
        <is>
          <t>Reported</t>
        </is>
      </c>
      <c r="F18" t="inlineStr">
        <is>
          <t>6-K</t>
        </is>
      </c>
      <c r="G18" t="inlineStr">
        <is>
          <t>2026-08-12</t>
        </is>
      </c>
      <c r="H18" t="inlineStr">
        <is>
          <t>0001104659-26-094568</t>
        </is>
      </c>
      <c r="I18" t="inlineStr">
        <is>
          <t>tm2622968d1_ex99-1.htm</t>
        </is>
      </c>
      <c r="J18" t="inlineStr">
        <is>
          <t>Stmt of Ops</t>
        </is>
      </c>
      <c r="K18" t="inlineStr">
        <is>
          <t>EPS basic/diluted -0.68</t>
        </is>
      </c>
      <c r="L18" t="inlineStr">
        <is>
          <t>https://www.sec.gov/Archives/edgar/data/1513845/000110465926094568/tm2622968d1_ex99-1.htm</t>
        </is>
      </c>
    </row>
    <row r="19">
      <c r="A19" t="inlineStr">
        <is>
          <t>Profitability</t>
        </is>
      </c>
      <c r="B19" t="inlineStr">
        <is>
          <t>D&amp;A Q2 2026</t>
        </is>
      </c>
      <c r="C19" s="2" t="n">
        <v>259.7</v>
      </c>
      <c r="D19" t="inlineStr">
        <is>
          <t>$M</t>
        </is>
      </c>
      <c r="E19" t="inlineStr">
        <is>
          <t>Reported</t>
        </is>
      </c>
      <c r="F19" t="inlineStr">
        <is>
          <t>6-K</t>
        </is>
      </c>
      <c r="G19" t="inlineStr">
        <is>
          <t>2026-08-12</t>
        </is>
      </c>
      <c r="H19" t="inlineStr">
        <is>
          <t>0001104659-26-094568</t>
        </is>
      </c>
      <c r="I19" t="inlineStr">
        <is>
          <t>tm2622968d1_ex99-1.htm</t>
        </is>
      </c>
      <c r="J19" t="inlineStr">
        <is>
          <t>Stmt of Ops</t>
        </is>
      </c>
      <c r="K19" t="inlineStr"/>
      <c r="L19" t="inlineStr">
        <is>
          <t>https://www.sec.gov/Archives/edgar/data/1513845/000110465926094568/tm2622968d1_ex99-1.htm</t>
        </is>
      </c>
    </row>
    <row r="20">
      <c r="A20" t="inlineStr">
        <is>
          <t>Profitability</t>
        </is>
      </c>
      <c r="B20" t="inlineStr">
        <is>
          <t>Share-based compensation Q2 2026</t>
        </is>
      </c>
      <c r="C20" s="2" t="n">
        <v>102.5</v>
      </c>
      <c r="D20" t="inlineStr">
        <is>
          <t>$M</t>
        </is>
      </c>
      <c r="E20" t="inlineStr">
        <is>
          <t>Reported</t>
        </is>
      </c>
      <c r="F20" t="inlineStr">
        <is>
          <t>6-K</t>
        </is>
      </c>
      <c r="G20" t="inlineStr">
        <is>
          <t>2026-08-12</t>
        </is>
      </c>
      <c r="H20" t="inlineStr">
        <is>
          <t>0001104659-26-094568</t>
        </is>
      </c>
      <c r="I20" t="inlineStr">
        <is>
          <t>tm2622968d1_ex99-1.htm</t>
        </is>
      </c>
      <c r="J20" t="inlineStr">
        <is>
          <t>p.1</t>
        </is>
      </c>
      <c r="K20" t="inlineStr">
        <is>
          <t>incl. $115.9M non-recurring Eigen AI SBC/post-combination in product dev (letter p.10)</t>
        </is>
      </c>
      <c r="L20" t="inlineStr">
        <is>
          <t>https://www.sec.gov/Archives/edgar/data/1513845/000110465926094568/tm2622968d1_ex99-1.htm</t>
        </is>
      </c>
    </row>
    <row r="21">
      <c r="A21" t="inlineStr">
        <is>
          <t>Profitability</t>
        </is>
      </c>
      <c r="B21" t="inlineStr">
        <is>
          <t>Interest expense Q2 2026 (net of capitalized)</t>
        </is>
      </c>
      <c r="C21" s="2" t="n">
        <v>119.1</v>
      </c>
      <c r="D21" t="inlineStr">
        <is>
          <t>$M</t>
        </is>
      </c>
      <c r="E21" t="inlineStr">
        <is>
          <t>Reported</t>
        </is>
      </c>
      <c r="F21" t="inlineStr">
        <is>
          <t>6-K</t>
        </is>
      </c>
      <c r="G21" t="inlineStr">
        <is>
          <t>2026-08-12</t>
        </is>
      </c>
      <c r="H21" t="inlineStr">
        <is>
          <t>0001104659-26-094568</t>
        </is>
      </c>
      <c r="I21" t="inlineStr">
        <is>
          <t>tm2622968d1_ex99-1.htm</t>
        </is>
      </c>
      <c r="J21" t="inlineStr">
        <is>
          <t>Stmt of Ops</t>
        </is>
      </c>
      <c r="K21" t="inlineStr">
        <is>
          <t>convert-related 67.3 per Note 12; $40.2M capitalized</t>
        </is>
      </c>
      <c r="L21" t="inlineStr">
        <is>
          <t>https://www.sec.gov/Archives/edgar/data/1513845/000110465926094568/tm2622968d1_ex99-1.htm</t>
        </is>
      </c>
    </row>
    <row r="22">
      <c r="A22" t="inlineStr">
        <is>
          <t>Capex</t>
        </is>
      </c>
      <c r="B22" t="inlineStr">
        <is>
          <t>Purchases of PP&amp;E and intangibles Q2 2026</t>
        </is>
      </c>
      <c r="C22" s="2" t="n">
        <v>5657.4</v>
      </c>
      <c r="D22" t="inlineStr">
        <is>
          <t>$M</t>
        </is>
      </c>
      <c r="E22" t="inlineStr">
        <is>
          <t>Reported</t>
        </is>
      </c>
      <c r="F22" t="inlineStr">
        <is>
          <t>6-K</t>
        </is>
      </c>
      <c r="G22" t="inlineStr">
        <is>
          <t>2026-08-12</t>
        </is>
      </c>
      <c r="H22" t="inlineStr">
        <is>
          <t>0001104659-26-094568</t>
        </is>
      </c>
      <c r="I22" t="inlineStr">
        <is>
          <t>tm2622968d1_ex99-1.htm</t>
        </is>
      </c>
      <c r="J22" t="inlineStr">
        <is>
          <t>Cash flow</t>
        </is>
      </c>
      <c r="K22" t="inlineStr">
        <is>
          <t>1H26: 8,130.3</t>
        </is>
      </c>
      <c r="L22" t="inlineStr">
        <is>
          <t>https://www.sec.gov/Archives/edgar/data/1513845/000110465926094568/tm2622968d1_ex99-1.htm</t>
        </is>
      </c>
    </row>
    <row r="23">
      <c r="A23" t="inlineStr">
        <is>
          <t>Cash flow</t>
        </is>
      </c>
      <c r="B23" t="inlineStr">
        <is>
          <t>Operating cash flow Q2 2026 (continuing)</t>
        </is>
      </c>
      <c r="C23" s="2" t="n">
        <v>2246.1</v>
      </c>
      <c r="D23" t="inlineStr">
        <is>
          <t>$M</t>
        </is>
      </c>
      <c r="E23" t="inlineStr">
        <is>
          <t>Reported</t>
        </is>
      </c>
      <c r="F23" t="inlineStr">
        <is>
          <t>6-K</t>
        </is>
      </c>
      <c r="G23" t="inlineStr">
        <is>
          <t>2026-08-12</t>
        </is>
      </c>
      <c r="H23" t="inlineStr">
        <is>
          <t>0001104659-26-094568</t>
        </is>
      </c>
      <c r="I23" t="inlineStr">
        <is>
          <t>tm2622968d1_ex99-1.htm</t>
        </is>
      </c>
      <c r="J23" t="inlineStr">
        <is>
          <t>Cash flow</t>
        </is>
      </c>
      <c r="K23" t="inlineStr">
        <is>
          <t>driven by +1,197.0 deferred revenue and +1,186.8 A/R decrease</t>
        </is>
      </c>
      <c r="L23" t="inlineStr">
        <is>
          <t>https://www.sec.gov/Archives/edgar/data/1513845/000110465926094568/tm2622968d1_ex99-1.htm</t>
        </is>
      </c>
    </row>
    <row r="24">
      <c r="A24" t="inlineStr">
        <is>
          <t>Balance sheet</t>
        </is>
      </c>
      <c r="B24" t="inlineStr">
        <is>
          <t>Cash &amp; cash equivalents 30-Jun-2026</t>
        </is>
      </c>
      <c r="C24" s="2" t="n">
        <v>8042.1</v>
      </c>
      <c r="D24" t="inlineStr">
        <is>
          <t>$M</t>
        </is>
      </c>
      <c r="E24" t="inlineStr">
        <is>
          <t>Reported</t>
        </is>
      </c>
      <c r="F24" t="inlineStr">
        <is>
          <t>6-K</t>
        </is>
      </c>
      <c r="G24" t="inlineStr">
        <is>
          <t>2026-08-12</t>
        </is>
      </c>
      <c r="H24" t="inlineStr">
        <is>
          <t>0001104659-26-094568</t>
        </is>
      </c>
      <c r="I24" t="inlineStr">
        <is>
          <t>tm2622968d1_ex99-1.htm</t>
        </is>
      </c>
      <c r="J24" t="inlineStr">
        <is>
          <t>Balance sheet</t>
        </is>
      </c>
      <c r="K24" t="inlineStr">
        <is>
          <t>plus restricted cash 1,056.0 (total 9,098.1)</t>
        </is>
      </c>
      <c r="L24" t="inlineStr">
        <is>
          <t>https://www.sec.gov/Archives/edgar/data/1513845/000110465926094568/tm2622968d1_ex99-1.htm</t>
        </is>
      </c>
    </row>
    <row r="25">
      <c r="A25" t="inlineStr">
        <is>
          <t>Balance sheet</t>
        </is>
      </c>
      <c r="B25" t="inlineStr">
        <is>
          <t>Debt, current 30-Jun-2026</t>
        </is>
      </c>
      <c r="C25" s="2" t="n">
        <v>46.7</v>
      </c>
      <c r="D25" t="inlineStr">
        <is>
          <t>$M</t>
        </is>
      </c>
      <c r="E25" t="inlineStr">
        <is>
          <t>Reported</t>
        </is>
      </c>
      <c r="F25" t="inlineStr">
        <is>
          <t>6-K</t>
        </is>
      </c>
      <c r="G25" t="inlineStr">
        <is>
          <t>2026-08-12</t>
        </is>
      </c>
      <c r="H25" t="inlineStr">
        <is>
          <t>0001104659-26-094568</t>
        </is>
      </c>
      <c r="I25" t="inlineStr">
        <is>
          <t>tm2622968d1_ex99-1.htm</t>
        </is>
      </c>
      <c r="J25" t="inlineStr">
        <is>
          <t>Balance sheet</t>
        </is>
      </c>
      <c r="K25" t="inlineStr"/>
      <c r="L25" t="inlineStr">
        <is>
          <t>https://www.sec.gov/Archives/edgar/data/1513845/000110465926094568/tm2622968d1_ex99-1.htm</t>
        </is>
      </c>
    </row>
    <row r="26">
      <c r="A26" t="inlineStr">
        <is>
          <t>Balance sheet</t>
        </is>
      </c>
      <c r="B26" t="inlineStr">
        <is>
          <t>Debt, non-current 30-Jun-2026 (convertible notes carrying value)</t>
        </is>
      </c>
      <c r="C26" s="2" t="n">
        <v>8499</v>
      </c>
      <c r="D26" t="inlineStr">
        <is>
          <t>$M</t>
        </is>
      </c>
      <c r="E26" t="inlineStr">
        <is>
          <t>Reported</t>
        </is>
      </c>
      <c r="F26" t="inlineStr">
        <is>
          <t>6-K</t>
        </is>
      </c>
      <c r="G26" t="inlineStr">
        <is>
          <t>2026-08-12</t>
        </is>
      </c>
      <c r="H26" t="inlineStr">
        <is>
          <t>0001104659-26-094568</t>
        </is>
      </c>
      <c r="I26" t="inlineStr">
        <is>
          <t>tm2622968d1_ex99-1.htm</t>
        </is>
      </c>
      <c r="J26" t="inlineStr">
        <is>
          <t>Balance sheet</t>
        </is>
      </c>
      <c r="K26" t="inlineStr">
        <is>
          <t>Note 12: accreted principal at maturity 10,041.8; fair value 20,823.7</t>
        </is>
      </c>
      <c r="L26" t="inlineStr">
        <is>
          <t>https://www.sec.gov/Archives/edgar/data/1513845/000110465926094568/tm2622968d1_ex99-1.htm</t>
        </is>
      </c>
    </row>
    <row r="27">
      <c r="A27" t="inlineStr">
        <is>
          <t>Balance sheet</t>
        </is>
      </c>
      <c r="B27" t="inlineStr">
        <is>
          <t>Total debt 30-Jun-2026</t>
        </is>
      </c>
      <c r="C27" s="2" t="n">
        <v>8545.700000000001</v>
      </c>
      <c r="D27" t="inlineStr">
        <is>
          <t>$M</t>
        </is>
      </c>
      <c r="E27" t="inlineStr">
        <is>
          <t>Derived</t>
        </is>
      </c>
      <c r="F27" t="inlineStr">
        <is>
          <t>6-K</t>
        </is>
      </c>
      <c r="G27" t="inlineStr">
        <is>
          <t>2026-08-12</t>
        </is>
      </c>
      <c r="H27" t="inlineStr">
        <is>
          <t>0001104659-26-094568</t>
        </is>
      </c>
      <c r="I27" t="inlineStr">
        <is>
          <t>tm2622968d1_ex99-1.htm</t>
        </is>
      </c>
      <c r="J27" t="inlineStr">
        <is>
          <t>46.7+8,499.0</t>
        </is>
      </c>
      <c r="K27" t="inlineStr"/>
      <c r="L27" t="inlineStr">
        <is>
          <t>https://www.sec.gov/Archives/edgar/data/1513845/000110465926094568/tm2622968d1_ex99-1.htm</t>
        </is>
      </c>
    </row>
    <row r="28">
      <c r="A28" t="inlineStr">
        <is>
          <t>Balance sheet</t>
        </is>
      </c>
      <c r="B28" t="inlineStr">
        <is>
          <t>PP&amp;E net 30-Jun-2026</t>
        </is>
      </c>
      <c r="C28" s="2" t="n">
        <v>13045.2</v>
      </c>
      <c r="D28" t="inlineStr">
        <is>
          <t>$M</t>
        </is>
      </c>
      <c r="E28" t="inlineStr">
        <is>
          <t>Reported</t>
        </is>
      </c>
      <c r="F28" t="inlineStr">
        <is>
          <t>6-K</t>
        </is>
      </c>
      <c r="G28" t="inlineStr">
        <is>
          <t>2026-08-12</t>
        </is>
      </c>
      <c r="H28" t="inlineStr">
        <is>
          <t>0001104659-26-094568</t>
        </is>
      </c>
      <c r="I28" t="inlineStr">
        <is>
          <t>tm2622968d1_ex99-1.htm</t>
        </is>
      </c>
      <c r="J28" t="inlineStr">
        <is>
          <t>Balance sheet</t>
        </is>
      </c>
      <c r="K28" t="inlineStr">
        <is>
          <t>assets not yet in use 7,836.4 (Note 7)</t>
        </is>
      </c>
      <c r="L28" t="inlineStr">
        <is>
          <t>https://www.sec.gov/Archives/edgar/data/1513845/000110465926094568/tm2622968d1_ex99-1.htm</t>
        </is>
      </c>
    </row>
    <row r="29">
      <c r="A29" t="inlineStr">
        <is>
          <t>Balance sheet</t>
        </is>
      </c>
      <c r="B29" t="inlineStr">
        <is>
          <t>Deferred revenue (current+non-current) 30-Jun-2026</t>
        </is>
      </c>
      <c r="C29" s="2" t="n">
        <v>5975.2</v>
      </c>
      <c r="D29" t="inlineStr">
        <is>
          <t>$M</t>
        </is>
      </c>
      <c r="E29" t="inlineStr">
        <is>
          <t>Reported</t>
        </is>
      </c>
      <c r="F29" t="inlineStr">
        <is>
          <t>6-K</t>
        </is>
      </c>
      <c r="G29" t="inlineStr">
        <is>
          <t>2026-08-12</t>
        </is>
      </c>
      <c r="H29" t="inlineStr">
        <is>
          <t>0001104659-26-094844</t>
        </is>
      </c>
      <c r="I29" t="inlineStr">
        <is>
          <t>nbis-20260812xex99d2.htm</t>
        </is>
      </c>
      <c r="J29" t="inlineStr">
        <is>
          <t>Note 1, p.F-19</t>
        </is>
      </c>
      <c r="K29" t="inlineStr">
        <is>
          <t>979.4 current + 4,995.8 non-current</t>
        </is>
      </c>
      <c r="L29" t="inlineStr">
        <is>
          <t>https://www.sec.gov/Archives/edgar/data/1513845/000110465926094844/nbis-20260812xex99d2.htm</t>
        </is>
      </c>
    </row>
    <row r="30">
      <c r="A30" t="inlineStr">
        <is>
          <t>Backlog</t>
        </is>
      </c>
      <c r="B30" t="inlineStr">
        <is>
          <t>Remaining performance obligations 30-Jun-2026</t>
        </is>
      </c>
      <c r="C30" s="2" t="n">
        <v>37490.6</v>
      </c>
      <c r="D30" t="inlineStr">
        <is>
          <t>$M</t>
        </is>
      </c>
      <c r="E30" t="inlineStr">
        <is>
          <t>Reported</t>
        </is>
      </c>
      <c r="F30" t="inlineStr">
        <is>
          <t>6-K</t>
        </is>
      </c>
      <c r="G30" t="inlineStr">
        <is>
          <t>2026-08-12</t>
        </is>
      </c>
      <c r="H30" t="inlineStr">
        <is>
          <t>0001104659-26-094844</t>
        </is>
      </c>
      <c r="I30" t="inlineStr">
        <is>
          <t>nbis-20260812xex99d2.htm</t>
        </is>
      </c>
      <c r="J30" t="inlineStr">
        <is>
          <t>Note 1, p.F-19</t>
        </is>
      </c>
      <c r="K30" t="inlineStr">
        <is>
          <t>36% within 24 months; 40% months 25-48; 100% AI cloud. YE25: 21,333.0; Q1 26: 33,585.3</t>
        </is>
      </c>
      <c r="L30" t="inlineStr">
        <is>
          <t>https://www.sec.gov/Archives/edgar/data/1513845/000110465926094844/nbis-20260812xex99d2.htm</t>
        </is>
      </c>
    </row>
    <row r="31">
      <c r="A31" t="inlineStr">
        <is>
          <t>Customers</t>
        </is>
      </c>
      <c r="B31" t="inlineStr">
        <is>
          <t>Customer concentration Q2 2026</t>
        </is>
      </c>
      <c r="C31" s="2" t="inlineStr">
        <is>
          <t>C 24% / D 21% / E 14%</t>
        </is>
      </c>
      <c r="D31" t="inlineStr">
        <is>
          <t>% rev</t>
        </is>
      </c>
      <c r="E31" t="inlineStr">
        <is>
          <t>Reported</t>
        </is>
      </c>
      <c r="F31" t="inlineStr">
        <is>
          <t>6-K</t>
        </is>
      </c>
      <c r="G31" t="inlineStr">
        <is>
          <t>2026-08-12</t>
        </is>
      </c>
      <c r="H31" t="inlineStr">
        <is>
          <t>0001104659-26-094844</t>
        </is>
      </c>
      <c r="I31" t="inlineStr">
        <is>
          <t>nbis-20260812xex99d2.htm</t>
        </is>
      </c>
      <c r="J31" t="inlineStr">
        <is>
          <t>Note 1, p.F-17</t>
        </is>
      </c>
      <c r="K31" t="inlineStr">
        <is>
          <t>Customers not named</t>
        </is>
      </c>
      <c r="L31" t="inlineStr">
        <is>
          <t>https://www.sec.gov/Archives/edgar/data/1513845/000110465926094844/nbis-20260812xex99d2.htm</t>
        </is>
      </c>
    </row>
    <row r="32">
      <c r="A32" t="inlineStr">
        <is>
          <t>Shares</t>
        </is>
      </c>
      <c r="B32" t="inlineStr">
        <is>
          <t>Shares issued &amp; outstanding 30-Jun-2026 (total)</t>
        </is>
      </c>
      <c r="C32" s="2" t="n">
        <v>271855218</v>
      </c>
      <c r="D32" t="inlineStr">
        <is>
          <t>shares</t>
        </is>
      </c>
      <c r="E32" t="inlineStr">
        <is>
          <t>Reported</t>
        </is>
      </c>
      <c r="F32" t="inlineStr">
        <is>
          <t>6-K</t>
        </is>
      </c>
      <c r="G32" t="inlineStr">
        <is>
          <t>2026-08-12</t>
        </is>
      </c>
      <c r="H32" t="inlineStr">
        <is>
          <t>0001104659-26-094568</t>
        </is>
      </c>
      <c r="I32" t="inlineStr">
        <is>
          <t>tm2622968d1_ex99-1.htm</t>
        </is>
      </c>
      <c r="J32" t="inlineStr">
        <is>
          <t>Outstanding Shares</t>
        </is>
      </c>
      <c r="K32" t="inlineStr">
        <is>
          <t>Issued Class A + Class B only. Does NOT include the 21,065,936 NVIDIA pre-funded warrant shares (unexercised; no exercise reported through 10/1/26). Add warrant shares once for basic/fully diluted counts</t>
        </is>
      </c>
      <c r="L32" t="inlineStr">
        <is>
          <t>https://www.sec.gov/Archives/edgar/data/1513845/000110465926094568/tm2622968d1_ex99-1.htm</t>
        </is>
      </c>
    </row>
    <row r="33">
      <c r="A33" t="inlineStr">
        <is>
          <t>Shares</t>
        </is>
      </c>
      <c r="B33" t="inlineStr">
        <is>
          <t>Class A outstanding 30-Jun-2026</t>
        </is>
      </c>
      <c r="C33" s="2" t="n">
        <v>238400165</v>
      </c>
      <c r="D33" t="inlineStr">
        <is>
          <t>shares</t>
        </is>
      </c>
      <c r="E33" t="inlineStr">
        <is>
          <t>Reported</t>
        </is>
      </c>
      <c r="F33" t="inlineStr">
        <is>
          <t>6-K</t>
        </is>
      </c>
      <c r="G33" t="inlineStr">
        <is>
          <t>2026-08-12</t>
        </is>
      </c>
      <c r="H33" t="inlineStr">
        <is>
          <t>0001104659-26-094568</t>
        </is>
      </c>
      <c r="I33" t="inlineStr">
        <is>
          <t>tm2622968d1_ex99-1.htm</t>
        </is>
      </c>
      <c r="J33" t="inlineStr">
        <is>
          <t>Outstanding Shares</t>
        </is>
      </c>
      <c r="K33" t="inlineStr">
        <is>
          <t>excl. 50,185,726 treasury</t>
        </is>
      </c>
      <c r="L33" t="inlineStr">
        <is>
          <t>https://www.sec.gov/Archives/edgar/data/1513845/000110465926094568/tm2622968d1_ex99-1.htm</t>
        </is>
      </c>
    </row>
    <row r="34">
      <c r="A34" t="inlineStr">
        <is>
          <t>Shares</t>
        </is>
      </c>
      <c r="B34" t="inlineStr">
        <is>
          <t>Class B outstanding 30-Jun-2026</t>
        </is>
      </c>
      <c r="C34" s="2" t="n">
        <v>33455053</v>
      </c>
      <c r="D34" t="inlineStr">
        <is>
          <t>shares</t>
        </is>
      </c>
      <c r="E34" t="inlineStr">
        <is>
          <t>Reported</t>
        </is>
      </c>
      <c r="F34" t="inlineStr">
        <is>
          <t>6-K</t>
        </is>
      </c>
      <c r="G34" t="inlineStr">
        <is>
          <t>2026-08-12</t>
        </is>
      </c>
      <c r="H34" t="inlineStr">
        <is>
          <t>0001104659-26-094568</t>
        </is>
      </c>
      <c r="I34" t="inlineStr">
        <is>
          <t>tm2622968d1_ex99-1.htm</t>
        </is>
      </c>
      <c r="J34" t="inlineStr">
        <is>
          <t>Outstanding Shares</t>
        </is>
      </c>
      <c r="K34" t="inlineStr">
        <is>
          <t>10 votes/share</t>
        </is>
      </c>
      <c r="L34" t="inlineStr">
        <is>
          <t>https://www.sec.gov/Archives/edgar/data/1513845/000110465926094568/tm2622968d1_ex99-1.htm</t>
        </is>
      </c>
    </row>
    <row r="35">
      <c r="A35" t="inlineStr">
        <is>
          <t>Shares</t>
        </is>
      </c>
      <c r="B35" t="inlineStr">
        <is>
          <t>Weighted avg basic shares Q2 2026</t>
        </is>
      </c>
      <c r="C35" s="2" t="n">
        <v>280381615</v>
      </c>
      <c r="D35" t="inlineStr">
        <is>
          <t>shares</t>
        </is>
      </c>
      <c r="E35" t="inlineStr">
        <is>
          <t>Reported</t>
        </is>
      </c>
      <c r="F35" t="inlineStr">
        <is>
          <t>6-K</t>
        </is>
      </c>
      <c r="G35" t="inlineStr">
        <is>
          <t>2026-08-12</t>
        </is>
      </c>
      <c r="H35" t="inlineStr">
        <is>
          <t>0001104659-26-094568</t>
        </is>
      </c>
      <c r="I35" t="inlineStr">
        <is>
          <t>tm2622968d1_ex99-1.htm</t>
        </is>
      </c>
      <c r="J35" t="inlineStr">
        <is>
          <t>Stmt of Ops</t>
        </is>
      </c>
      <c r="K35" t="inlineStr">
        <is>
          <t>includes NVIDIA pre-funded warrant shares (from issue date, per Q2FS Note 1) even though they are not in the 271,855,218 issued count</t>
        </is>
      </c>
      <c r="L35" t="inlineStr">
        <is>
          <t>https://www.sec.gov/Archives/edgar/data/1513845/000110465926094568/tm2622968d1_ex99-1.htm</t>
        </is>
      </c>
    </row>
    <row r="36">
      <c r="A36" t="inlineStr">
        <is>
          <t>Shares</t>
        </is>
      </c>
      <c r="B36" t="inlineStr">
        <is>
          <t>Weighted avg diluted shares Q2 2026</t>
        </is>
      </c>
      <c r="C36" s="2" t="n">
        <v>280381615</v>
      </c>
      <c r="D36" t="inlineStr">
        <is>
          <t>shares</t>
        </is>
      </c>
      <c r="E36" t="inlineStr">
        <is>
          <t>Reported</t>
        </is>
      </c>
      <c r="F36" t="inlineStr">
        <is>
          <t>6-K</t>
        </is>
      </c>
      <c r="G36" t="inlineStr">
        <is>
          <t>2026-08-12</t>
        </is>
      </c>
      <c r="H36" t="inlineStr">
        <is>
          <t>0001104659-26-094568</t>
        </is>
      </c>
      <c r="I36" t="inlineStr">
        <is>
          <t>tm2622968d1_ex99-1.htm</t>
        </is>
      </c>
      <c r="J36" t="inlineStr">
        <is>
          <t>Stmt of Ops</t>
        </is>
      </c>
      <c r="K36" t="inlineStr">
        <is>
          <t>Equals basic (net loss); 65,416,804 weighted if-converted shares excluded as anti-dilutive (Q2FS Note 1). 1H26 diluted 302,618,666</t>
        </is>
      </c>
      <c r="L36" t="inlineStr">
        <is>
          <t>https://www.sec.gov/Archives/edgar/data/1513845/000110465926094568/tm2622968d1_ex99-1.htm</t>
        </is>
      </c>
    </row>
    <row r="37">
      <c r="A37" t="inlineStr">
        <is>
          <t>Shares</t>
        </is>
      </c>
      <c r="B37" t="inlineStr">
        <is>
          <t>NVIDIA pre-funded warrant</t>
        </is>
      </c>
      <c r="C37" s="2" t="n">
        <v>21065936</v>
      </c>
      <c r="D37" t="inlineStr">
        <is>
          <t>shares</t>
        </is>
      </c>
      <c r="E37" t="inlineStr">
        <is>
          <t>Reported</t>
        </is>
      </c>
      <c r="F37" t="inlineStr">
        <is>
          <t>6-K</t>
        </is>
      </c>
      <c r="G37" t="inlineStr">
        <is>
          <t>2026-08-12</t>
        </is>
      </c>
      <c r="H37" t="inlineStr">
        <is>
          <t>0001104659-26-094844</t>
        </is>
      </c>
      <c r="I37" t="inlineStr">
        <is>
          <t>nbis-20260812xex99d2.htm</t>
        </is>
      </c>
      <c r="J37" t="inlineStr">
        <is>
          <t>Note 14, p.F-31</t>
        </is>
      </c>
      <c r="K37" t="inlineStr">
        <is>
          <t>NOT included in the 271,855,218 issued &amp; outstanding count (unexercised warrant, not issued shares). Included in basic and diluted weighted-average shares from issue date (Q2FS Note 1 &amp; Note 14). Add once in basic/fully diluted counts; do not double count. $0.0001 strike; $2.0B gross; 13G 7/20/26: 22,256,412 sh beneficial (9.3%); exercise not reported through 10/1/26</t>
        </is>
      </c>
      <c r="L37" t="inlineStr">
        <is>
          <t>https://www.sec.gov/Archives/edgar/data/1513845/000110465926094844/nbis-20260812xex99d2.htm</t>
        </is>
      </c>
    </row>
    <row r="38">
      <c r="A38" t="inlineStr">
        <is>
          <t>Shares</t>
        </is>
      </c>
      <c r="B38" t="inlineStr">
        <is>
          <t>Share options outstanding 30-Jun-2026</t>
        </is>
      </c>
      <c r="C38" s="2" t="n">
        <v>6740600</v>
      </c>
      <c r="D38" t="inlineStr">
        <is>
          <t>options</t>
        </is>
      </c>
      <c r="E38" t="inlineStr">
        <is>
          <t>Reported</t>
        </is>
      </c>
      <c r="F38" t="inlineStr">
        <is>
          <t>6-K</t>
        </is>
      </c>
      <c r="G38" t="inlineStr">
        <is>
          <t>2026-08-12</t>
        </is>
      </c>
      <c r="H38" t="inlineStr">
        <is>
          <t>0001104659-26-094844</t>
        </is>
      </c>
      <c r="I38" t="inlineStr">
        <is>
          <t>nbis-20260812xex99d2.htm</t>
        </is>
      </c>
      <c r="J38" t="inlineStr">
        <is>
          <t>Note 13, p.F-29</t>
        </is>
      </c>
      <c r="K38" t="inlineStr">
        <is>
          <t>WAEP $88.65</t>
        </is>
      </c>
      <c r="L38" t="inlineStr">
        <is>
          <t>https://www.sec.gov/Archives/edgar/data/1513845/000110465926094844/nbis-20260812xex99d2.htm</t>
        </is>
      </c>
    </row>
    <row r="39">
      <c r="A39" t="inlineStr">
        <is>
          <t>Shares</t>
        </is>
      </c>
      <c r="B39" t="inlineStr">
        <is>
          <t>Unvested RSUs 30-Jun-2026</t>
        </is>
      </c>
      <c r="C39" s="2" t="n">
        <v>6234091</v>
      </c>
      <c r="D39" t="inlineStr">
        <is>
          <t>RSUs</t>
        </is>
      </c>
      <c r="E39" t="inlineStr">
        <is>
          <t>Reported</t>
        </is>
      </c>
      <c r="F39" t="inlineStr">
        <is>
          <t>6-K</t>
        </is>
      </c>
      <c r="G39" t="inlineStr">
        <is>
          <t>2026-08-12</t>
        </is>
      </c>
      <c r="H39" t="inlineStr">
        <is>
          <t>0001104659-26-094844</t>
        </is>
      </c>
      <c r="I39" t="inlineStr">
        <is>
          <t>nbis-20260812xex99d2.htm</t>
        </is>
      </c>
      <c r="J39" t="inlineStr">
        <is>
          <t>Note 13, p.F-29</t>
        </is>
      </c>
      <c r="K39" t="inlineStr">
        <is>
          <t>WA grant FV $58.22</t>
        </is>
      </c>
      <c r="L39" t="inlineStr">
        <is>
          <t>https://www.sec.gov/Archives/edgar/data/1513845/000110465926094844/nbis-20260812xex99d2.htm</t>
        </is>
      </c>
    </row>
    <row r="40">
      <c r="A40" t="inlineStr">
        <is>
          <t>Shares</t>
        </is>
      </c>
      <c r="B40" t="inlineStr">
        <is>
          <t>ATM sold Q2 2026</t>
        </is>
      </c>
      <c r="C40" s="2" t="n">
        <v>12729493</v>
      </c>
      <c r="D40" t="inlineStr">
        <is>
          <t>shares</t>
        </is>
      </c>
      <c r="E40" t="inlineStr">
        <is>
          <t>Reported</t>
        </is>
      </c>
      <c r="F40" t="inlineStr">
        <is>
          <t>6-K</t>
        </is>
      </c>
      <c r="G40" t="inlineStr">
        <is>
          <t>2026-08-12</t>
        </is>
      </c>
      <c r="H40" t="inlineStr">
        <is>
          <t>0001104659-26-094844</t>
        </is>
      </c>
      <c r="I40" t="inlineStr">
        <is>
          <t>nbis-20260812xex99d2.htm</t>
        </is>
      </c>
      <c r="J40" t="inlineStr">
        <is>
          <t>Note 14, p.F-31</t>
        </is>
      </c>
      <c r="K40" t="inlineStr">
        <is>
          <t>WA $223.60; net $2,811.1M; 12,270,507 remain of 25M program</t>
        </is>
      </c>
      <c r="L40" t="inlineStr">
        <is>
          <t>https://www.sec.gov/Archives/edgar/data/1513845/000110465926094844/nbis-20260812xex99d2.htm</t>
        </is>
      </c>
    </row>
    <row r="41">
      <c r="A41" t="inlineStr">
        <is>
          <t>Shares</t>
        </is>
      </c>
      <c r="B41" t="inlineStr">
        <is>
          <t>Exchange shares issued Aug 2026 (approx.)</t>
        </is>
      </c>
      <c r="C41" s="2" t="n">
        <v>15800000</v>
      </c>
      <c r="D41" t="inlineStr">
        <is>
          <t>shares</t>
        </is>
      </c>
      <c r="E41" t="inlineStr">
        <is>
          <t>Reported</t>
        </is>
      </c>
      <c r="F41" t="inlineStr">
        <is>
          <t>6-K</t>
        </is>
      </c>
      <c r="G41" t="inlineStr">
        <is>
          <t>2026-08-24</t>
        </is>
      </c>
      <c r="H41" t="inlineStr">
        <is>
          <t>0001104659-26-100347</t>
        </is>
      </c>
      <c r="I41" t="inlineStr">
        <is>
          <t>tm2623863d1_ex99-1.htm</t>
        </is>
      </c>
      <c r="J41" t="inlineStr">
        <is>
          <t>Ex.99.1</t>
        </is>
      </c>
      <c r="K41" t="inlineStr">
        <is>
          <t>for $400M 2029 + $400M 2031 notes</t>
        </is>
      </c>
      <c r="L41" t="inlineStr">
        <is>
          <t>https://www.sec.gov/Archives/edgar/data/1513845/000110465926100347/tm2623863d1_ex99-1.htm</t>
        </is>
      </c>
    </row>
    <row r="42">
      <c r="A42" t="inlineStr">
        <is>
          <t>Debt</t>
        </is>
      </c>
      <c r="B42" t="inlineStr">
        <is>
          <t>Senior secured facility (signed 10-Jul-2026)</t>
        </is>
      </c>
      <c r="C42" s="2" t="n">
        <v>775</v>
      </c>
      <c r="D42" t="inlineStr">
        <is>
          <t>$M</t>
        </is>
      </c>
      <c r="E42" t="inlineStr">
        <is>
          <t>Reported</t>
        </is>
      </c>
      <c r="F42" t="inlineStr">
        <is>
          <t>6-K/A</t>
        </is>
      </c>
      <c r="G42" t="inlineStr">
        <is>
          <t>2026-07-17</t>
        </is>
      </c>
      <c r="H42" t="inlineStr">
        <is>
          <t>0001104659-26-084606</t>
        </is>
      </c>
      <c r="I42" t="inlineStr">
        <is>
          <t>tm2620779d1_6ka.htm</t>
        </is>
      </c>
      <c r="J42" t="inlineStr">
        <is>
          <t>6-K/A body</t>
        </is>
      </c>
      <c r="K42" t="inlineStr">
        <is>
          <t>SOFR+2.50%; matures 31-Oct-2030; DSCR 1.15x; secured by Nebius Compute II assets</t>
        </is>
      </c>
      <c r="L42" t="inlineStr">
        <is>
          <t>https://www.sec.gov/Archives/edgar/data/1513845/000110465926084606/tm2620779d1_6ka.htm</t>
        </is>
      </c>
    </row>
    <row r="43">
      <c r="A43" t="inlineStr">
        <is>
          <t>Power</t>
        </is>
      </c>
      <c r="B43" t="inlineStr">
        <is>
          <t>Contracted power target YE2026</t>
        </is>
      </c>
      <c r="C43" s="2" t="inlineStr">
        <is>
          <t>5 GW</t>
        </is>
      </c>
      <c r="D43" t="inlineStr">
        <is>
          <t>MW</t>
        </is>
      </c>
      <c r="E43" t="inlineStr">
        <is>
          <t>Reported</t>
        </is>
      </c>
      <c r="F43" t="inlineStr">
        <is>
          <t>6-K</t>
        </is>
      </c>
      <c r="G43" t="inlineStr">
        <is>
          <t>2026-08-12</t>
        </is>
      </c>
      <c r="H43" t="inlineStr">
        <is>
          <t>0001104659-26-094568</t>
        </is>
      </c>
      <c r="I43" t="inlineStr">
        <is>
          <t>tm2622968d1_ex99-2.htm</t>
        </is>
      </c>
      <c r="J43" t="inlineStr">
        <is>
          <t>p.3, p.5</t>
        </is>
      </c>
      <c r="K43" t="inlineStr">
        <is>
          <t>up from &gt;4 GW (May-26); (5) contracted = land+power commitments</t>
        </is>
      </c>
      <c r="L43" t="inlineStr">
        <is>
          <t>https://www.sec.gov/Archives/edgar/data/1513845/000110465926094568/tm2622968d1_ex99-2.htm</t>
        </is>
      </c>
    </row>
    <row r="44">
      <c r="A44" t="inlineStr">
        <is>
          <t>Power</t>
        </is>
      </c>
      <c r="B44" t="inlineStr">
        <is>
          <t>Contracted power secured (May 2026)</t>
        </is>
      </c>
      <c r="C44" s="2" t="inlineStr">
        <is>
          <t>&gt;3.5 GW</t>
        </is>
      </c>
      <c r="D44" t="inlineStr">
        <is>
          <t>MW</t>
        </is>
      </c>
      <c r="E44" t="inlineStr">
        <is>
          <t>Reported</t>
        </is>
      </c>
      <c r="F44" t="inlineStr">
        <is>
          <t>6-K</t>
        </is>
      </c>
      <c r="G44" t="inlineStr">
        <is>
          <t>2026-05-13</t>
        </is>
      </c>
      <c r="H44" t="inlineStr">
        <is>
          <t>0001104659-26-059872</t>
        </is>
      </c>
      <c r="I44" t="inlineStr">
        <is>
          <t>tm2614392d1_ex99-2.htm</t>
        </is>
      </c>
      <c r="J44" t="inlineStr">
        <is>
          <t>p.3, p.6</t>
        </is>
      </c>
      <c r="K44" t="inlineStr">
        <is>
          <t>&gt;75% owned</t>
        </is>
      </c>
      <c r="L44" t="inlineStr">
        <is>
          <t>https://www.sec.gov/Archives/edgar/data/1513845/000110465926059872/tm2614392d1_ex99-2.htm</t>
        </is>
      </c>
    </row>
    <row r="45">
      <c r="A45" t="inlineStr">
        <is>
          <t>Power</t>
        </is>
      </c>
      <c r="B45" t="inlineStr">
        <is>
          <t>Connected power target YE2026</t>
        </is>
      </c>
      <c r="C45" s="2" t="inlineStr">
        <is>
          <t>800 MW - 1 GW</t>
        </is>
      </c>
      <c r="D45" t="inlineStr">
        <is>
          <t>MW</t>
        </is>
      </c>
      <c r="E45" t="inlineStr">
        <is>
          <t>Reported</t>
        </is>
      </c>
      <c r="F45" t="inlineStr">
        <is>
          <t>6-K</t>
        </is>
      </c>
      <c r="G45" t="inlineStr">
        <is>
          <t>2026-05-13</t>
        </is>
      </c>
      <c r="H45" t="inlineStr">
        <is>
          <t>0001104659-26-059872</t>
        </is>
      </c>
      <c r="I45" t="inlineStr">
        <is>
          <t>tm2614392d1_ex99-2.htm</t>
        </is>
      </c>
      <c r="J45" t="inlineStr">
        <is>
          <t>p.6</t>
        </is>
      </c>
      <c r="K45" t="inlineStr">
        <is>
          <t>reiterated on Q2 call</t>
        </is>
      </c>
      <c r="L45" t="inlineStr">
        <is>
          <t>https://www.sec.gov/Archives/edgar/data/1513845/000110465926059872/tm2614392d1_ex99-2.htm</t>
        </is>
      </c>
    </row>
    <row r="46">
      <c r="A46" t="inlineStr">
        <is>
          <t>Power</t>
        </is>
      </c>
      <c r="B46" t="inlineStr">
        <is>
          <t>Active power 31-Dec-2025</t>
        </is>
      </c>
      <c r="C46" s="2" t="inlineStr">
        <is>
          <t>~170 MW</t>
        </is>
      </c>
      <c r="D46" t="inlineStr">
        <is>
          <t>MW</t>
        </is>
      </c>
      <c r="E46" t="inlineStr">
        <is>
          <t>Reported</t>
        </is>
      </c>
      <c r="F46" t="inlineStr">
        <is>
          <t>6-K</t>
        </is>
      </c>
      <c r="G46" t="inlineStr">
        <is>
          <t>2026-02-12</t>
        </is>
      </c>
      <c r="H46" t="inlineStr">
        <is>
          <t>0001104659-26-013946</t>
        </is>
      </c>
      <c r="I46" t="inlineStr">
        <is>
          <t>tm266173d1_ex99-2.htm</t>
        </is>
      </c>
      <c r="J46" t="inlineStr">
        <is>
          <t>Highlights</t>
        </is>
      </c>
      <c r="K46" t="inlineStr">
        <is>
          <t>latest active-MW datapoint; Q1/Q2 2026 active MW not disclosed</t>
        </is>
      </c>
      <c r="L46" t="inlineStr">
        <is>
          <t>https://www.sec.gov/Archives/edgar/data/1513845/000110465926013946/tm266173d1_ex99-2.htm</t>
        </is>
      </c>
    </row>
    <row r="47">
      <c r="A47" t="inlineStr">
        <is>
          <t>Power</t>
        </is>
      </c>
      <c r="B47" t="inlineStr">
        <is>
          <t>Deployment pace from 2027</t>
        </is>
      </c>
      <c r="C47" s="2" t="inlineStr">
        <is>
          <t>&gt;1 GW per year</t>
        </is>
      </c>
      <c r="D47" t="inlineStr">
        <is>
          <t>MW</t>
        </is>
      </c>
      <c r="E47" t="inlineStr">
        <is>
          <t>Reported</t>
        </is>
      </c>
      <c r="F47" t="inlineStr">
        <is>
          <t>6-K</t>
        </is>
      </c>
      <c r="G47" t="inlineStr">
        <is>
          <t>2026-08-12</t>
        </is>
      </c>
      <c r="H47" t="inlineStr">
        <is>
          <t>0001104659-26-094568</t>
        </is>
      </c>
      <c r="I47" t="inlineStr">
        <is>
          <t>tm2622968d1_ex99-2.htm</t>
        </is>
      </c>
      <c r="J47" t="inlineStr">
        <is>
          <t>p.3, p.5</t>
        </is>
      </c>
      <c r="K47" t="inlineStr"/>
      <c r="L47" t="inlineStr">
        <is>
          <t>https://www.sec.gov/Archives/edgar/data/1513845/000110465926094568/tm2622968d1_ex99-2.htm</t>
        </is>
      </c>
    </row>
    <row r="48">
      <c r="A48" t="inlineStr">
        <is>
          <t>GPUs</t>
        </is>
      </c>
      <c r="B48" t="inlineStr">
        <is>
          <t>GPU count (installed)</t>
        </is>
      </c>
      <c r="C48" s="2" t="inlineStr">
        <is>
          <t>not disclosed</t>
        </is>
      </c>
      <c r="D48" t="inlineStr">
        <is>
          <t>GPUs</t>
        </is>
      </c>
      <c r="E48" t="inlineStr">
        <is>
          <t>Not disclosed</t>
        </is>
      </c>
      <c r="F48" t="inlineStr">
        <is>
          <t>6-K</t>
        </is>
      </c>
      <c r="G48" t="inlineStr">
        <is>
          <t>2026-08-12</t>
        </is>
      </c>
      <c r="H48" t="inlineStr">
        <is>
          <t>0001104659-26-094568</t>
        </is>
      </c>
      <c r="I48" t="inlineStr">
        <is>
          <t>tm2622968d1_ex99-2.htm</t>
        </is>
      </c>
      <c r="J48" t="inlineStr"/>
      <c r="K48" t="inlineStr">
        <is>
          <t>Not disclosed since FY24 20-F; last company actual = ~30,000 GPUs deployed at 31-Mar-2025, primarily H200 (20-F FY2024, acc 0001558370-25-005991). The ~38k from the Feb-25 call was a forward-looking target.</t>
        </is>
      </c>
      <c r="L48" t="inlineStr">
        <is>
          <t>https://www.sec.gov/Archives/edgar/data/1513845/000110465926094568/tm2622968d1_ex99-2.htm</t>
        </is>
      </c>
    </row>
    <row r="49">
      <c r="A49" t="inlineStr">
        <is>
          <t>GPUs</t>
        </is>
      </c>
      <c r="B49" t="inlineStr">
        <is>
          <t>GPUs deployed at 31-Mar-2025 (last company actual)</t>
        </is>
      </c>
      <c r="C49" s="2" t="inlineStr">
        <is>
          <t>30,000</t>
        </is>
      </c>
      <c r="D49" t="inlineStr">
        <is>
          <t>GPUs</t>
        </is>
      </c>
      <c r="E49" t="inlineStr">
        <is>
          <t>Reported</t>
        </is>
      </c>
      <c r="F49" t="inlineStr">
        <is>
          <t>20-F</t>
        </is>
      </c>
      <c r="G49" t="inlineStr">
        <is>
          <t>2025-04-30</t>
        </is>
      </c>
      <c r="H49" t="inlineStr">
        <is>
          <t>0001558370-25-005991</t>
        </is>
      </c>
      <c r="I49" t="inlineStr">
        <is>
          <t>nbis-20241231x20f.htm</t>
        </is>
      </c>
      <c r="J49" t="inlineStr">
        <is>
          <t>Item 4 (Business): "As of March 31, 2025, we have deployed approximately 30,000 GPUs across our global data center footprint, primarily NVIDIA H200s."</t>
        </is>
      </c>
      <c r="K49" t="inlineStr">
        <is>
          <t>Approximate; primarily H200</t>
        </is>
      </c>
      <c r="L49" t="inlineStr">
        <is>
          <t>https://www.sec.gov/Archives/edgar/data/1513845/000155837025005991/nbis-20241231x20f.htm</t>
        </is>
      </c>
    </row>
    <row r="50">
      <c r="A50" t="inlineStr">
        <is>
          <t>Pricing</t>
        </is>
      </c>
      <c r="B50" t="inlineStr">
        <is>
          <t>Q2 2026 deal ACV per MW</t>
        </is>
      </c>
      <c r="C50" s="2" t="inlineStr">
        <is>
          <t>$20-25M (avg &gt;$20M)</t>
        </is>
      </c>
      <c r="D50" t="inlineStr">
        <is>
          <t>$M/MW</t>
        </is>
      </c>
      <c r="E50" t="inlineStr">
        <is>
          <t>Reported</t>
        </is>
      </c>
      <c r="F50" t="inlineStr">
        <is>
          <t>6-K</t>
        </is>
      </c>
      <c r="G50" t="inlineStr">
        <is>
          <t>2026-08-12</t>
        </is>
      </c>
      <c r="H50" t="inlineStr">
        <is>
          <t>0001104659-26-094568</t>
        </is>
      </c>
      <c r="I50" t="inlineStr">
        <is>
          <t>tm2622968d1_ex99-2.htm</t>
        </is>
      </c>
      <c r="J50" t="inlineStr">
        <is>
          <t>p.3-4</t>
        </is>
      </c>
      <c r="K50" t="inlineStr">
        <is>
          <t>2026 base ~$12M; Q3 short-term deals &gt;$40M; payback 1y10m</t>
        </is>
      </c>
      <c r="L50" t="inlineStr">
        <is>
          <t>https://www.sec.gov/Archives/edgar/data/1513845/000110465926094568/tm2622968d1_ex99-2.htm</t>
        </is>
      </c>
    </row>
    <row r="51">
      <c r="A51" t="inlineStr">
        <is>
          <t>Contracts</t>
        </is>
      </c>
      <c r="B51" t="inlineStr">
        <is>
          <t>Microsoft: total contract value</t>
        </is>
      </c>
      <c r="C51" s="2" t="n">
        <v>17392.9</v>
      </c>
      <c r="D51" t="inlineStr">
        <is>
          <t>$M</t>
        </is>
      </c>
      <c r="E51" t="inlineStr">
        <is>
          <t>Reported</t>
        </is>
      </c>
      <c r="F51" t="inlineStr">
        <is>
          <t>20-F</t>
        </is>
      </c>
      <c r="G51" t="inlineStr">
        <is>
          <t>2026-04-30</t>
        </is>
      </c>
      <c r="H51" t="inlineStr">
        <is>
          <t>0001104659-26-052948</t>
        </is>
      </c>
      <c r="I51" t="inlineStr">
        <is>
          <t>nbis-20251231x20f.htm</t>
        </is>
      </c>
      <c r="J51" t="inlineStr">
        <is>
          <t>Note 1, p.F-17</t>
        </is>
      </c>
      <c r="K51" t="inlineStr">
        <is>
          <t>up to ~$19.4B with additional capacity (6-K 9/8/25); 5-yr; 9 tranches 2025-26; upfront ~$6,958.1M; monthly through Oct-2031</t>
        </is>
      </c>
      <c r="L51" t="inlineStr">
        <is>
          <t>https://www.sec.gov/Archives/edgar/data/1513845/000110465926052948/nbis-20251231x20f.htm</t>
        </is>
      </c>
    </row>
    <row r="52">
      <c r="A52" t="inlineStr">
        <is>
          <t>Contracts</t>
        </is>
      </c>
      <c r="B52" t="inlineStr">
        <is>
          <t>Microsoft: delivery status</t>
        </is>
      </c>
      <c r="C52" s="2" t="inlineStr">
        <is>
          <t>all tranches delivered</t>
        </is>
      </c>
      <c r="D52" t="inlineStr"/>
      <c r="E52" t="inlineStr">
        <is>
          <t>Reported</t>
        </is>
      </c>
      <c r="F52" t="inlineStr">
        <is>
          <t>6-K</t>
        </is>
      </c>
      <c r="G52" t="inlineStr">
        <is>
          <t>2026-08-12</t>
        </is>
      </c>
      <c r="H52" t="inlineStr">
        <is>
          <t>0001104659-26-094568</t>
        </is>
      </c>
      <c r="I52" t="inlineStr">
        <is>
          <t>tm2622968d1_ex99-2.htm</t>
        </is>
      </c>
      <c r="J52" t="inlineStr">
        <is>
          <t>p.5</t>
        </is>
      </c>
      <c r="K52" t="inlineStr">
        <is>
          <t>tranche 1 Nov-25, tranche 2 Feb-26 (20-F)</t>
        </is>
      </c>
      <c r="L52" t="inlineStr">
        <is>
          <t>https://www.sec.gov/Archives/edgar/data/1513845/000110465926094568/tm2622968d1_ex99-2.htm</t>
        </is>
      </c>
    </row>
    <row r="53">
      <c r="A53" t="inlineStr">
        <is>
          <t>Contracts</t>
        </is>
      </c>
      <c r="B53" t="inlineStr">
        <is>
          <t>Meta 2025 agreement (1-Nov-2025) TCV</t>
        </is>
      </c>
      <c r="C53" s="2" t="n">
        <v>2880.7</v>
      </c>
      <c r="D53" t="inlineStr">
        <is>
          <t>$M</t>
        </is>
      </c>
      <c r="E53" t="inlineStr">
        <is>
          <t>Reported</t>
        </is>
      </c>
      <c r="F53" t="inlineStr">
        <is>
          <t>20-F</t>
        </is>
      </c>
      <c r="G53" t="inlineStr">
        <is>
          <t>2026-04-30</t>
        </is>
      </c>
      <c r="H53" t="inlineStr">
        <is>
          <t>0001104659-26-052948</t>
        </is>
      </c>
      <c r="I53" t="inlineStr">
        <is>
          <t>nbis-20251231x20f.htm</t>
        </is>
      </c>
      <c r="J53" t="inlineStr">
        <is>
          <t>Note 1, p.F-18</t>
        </is>
      </c>
      <c r="K53" t="inlineStr">
        <is>
          <t>6-K 11/12/25 (acc 0001104659-25-109803): ~$2.9B, 2 clusters, 5-yr, tranches Dec-25 &amp; Feb-26; delivered (Item 10 p.76 says first tranche Nov-25); termination on late tranche after grace period; site not disclosed</t>
        </is>
      </c>
      <c r="L53" t="inlineStr">
        <is>
          <t>https://www.sec.gov/Archives/edgar/data/1513845/000110465926052948/nbis-20251231x20f.htm</t>
        </is>
      </c>
    </row>
    <row r="54">
      <c r="A54" t="inlineStr">
        <is>
          <t>Contracts</t>
        </is>
      </c>
      <c r="B54" t="inlineStr">
        <is>
          <t>Meta 2026 agreement (13-Mar-2026) dedicated capacity</t>
        </is>
      </c>
      <c r="C54" s="2" t="n">
        <v>12000</v>
      </c>
      <c r="D54" t="inlineStr">
        <is>
          <t>$M</t>
        </is>
      </c>
      <c r="E54" t="inlineStr">
        <is>
          <t>Reported</t>
        </is>
      </c>
      <c r="F54" t="inlineStr">
        <is>
          <t>6-K</t>
        </is>
      </c>
      <c r="G54" t="inlineStr">
        <is>
          <t>2026-03-16</t>
        </is>
      </c>
      <c r="H54" t="inlineStr">
        <is>
          <t>0001104659-26-027886</t>
        </is>
      </c>
      <c r="I54" t="inlineStr">
        <is>
          <t>tm268879d1_ex99-1.htm</t>
        </is>
      </c>
      <c r="J54" t="inlineStr">
        <is>
          <t>Ex.99.1</t>
        </is>
      </c>
      <c r="K54" t="inlineStr">
        <is>
          <t>5-yr; NVIDIA Vera Rubin; deliveries from early 2027 / tranches through 1H27 (20-F p.75)</t>
        </is>
      </c>
      <c r="L54" t="inlineStr">
        <is>
          <t>https://www.sec.gov/Archives/edgar/data/1513845/000110465926027886/tm268879d1_ex99-1.htm</t>
        </is>
      </c>
    </row>
    <row r="55">
      <c r="A55" t="inlineStr">
        <is>
          <t>Contracts</t>
        </is>
      </c>
      <c r="B55" t="inlineStr">
        <is>
          <t>Meta 2026 agreement backstop (unsold capacity)</t>
        </is>
      </c>
      <c r="C55" s="2" t="n">
        <v>15000</v>
      </c>
      <c r="D55" t="inlineStr">
        <is>
          <t>$M</t>
        </is>
      </c>
      <c r="E55" t="inlineStr">
        <is>
          <t>Reported</t>
        </is>
      </c>
      <c r="F55" t="inlineStr">
        <is>
          <t>6-K</t>
        </is>
      </c>
      <c r="G55" t="inlineStr">
        <is>
          <t>2026-03-16</t>
        </is>
      </c>
      <c r="H55" t="inlineStr">
        <is>
          <t>0001104659-26-027886</t>
        </is>
      </c>
      <c r="I55" t="inlineStr">
        <is>
          <t>tm268879d1_ex99-1.htm</t>
        </is>
      </c>
      <c r="J55" t="inlineStr">
        <is>
          <t>Ex.99.1</t>
        </is>
      </c>
      <c r="K55" t="inlineStr">
        <is>
          <t>up to; Meta buys unsold capacity; total up to ~$27B</t>
        </is>
      </c>
      <c r="L55" t="inlineStr">
        <is>
          <t>https://www.sec.gov/Archives/edgar/data/1513845/000110465926027886/tm268879d1_ex99-1.htm</t>
        </is>
      </c>
    </row>
    <row r="56">
      <c r="A56" t="inlineStr">
        <is>
          <t>Contracts</t>
        </is>
      </c>
      <c r="B56" t="inlineStr">
        <is>
          <t>Other Q2 2026 deals</t>
        </is>
      </c>
      <c r="C56" s="2" t="inlineStr">
        <is>
          <t>4 deals avg TCV &gt;$1B (Reflection, Cohere, US neolab, quant firm)</t>
        </is>
      </c>
      <c r="D56" t="inlineStr"/>
      <c r="E56" t="inlineStr">
        <is>
          <t>Reported</t>
        </is>
      </c>
      <c r="F56" t="inlineStr">
        <is>
          <t>6-K</t>
        </is>
      </c>
      <c r="G56" t="inlineStr">
        <is>
          <t>2026-08-12</t>
        </is>
      </c>
      <c r="H56" t="inlineStr">
        <is>
          <t>0001104659-26-094568</t>
        </is>
      </c>
      <c r="I56" t="inlineStr">
        <is>
          <t>tm2622968d1_ex99-2.htm</t>
        </is>
      </c>
      <c r="J56" t="inlineStr">
        <is>
          <t>p.4</t>
        </is>
      </c>
      <c r="K56" t="inlineStr"/>
      <c r="L56" t="inlineStr">
        <is>
          <t>https://www.sec.gov/Archives/edgar/data/1513845/000110465926094568/tm2622968d1_ex99-2.htm</t>
        </is>
      </c>
    </row>
    <row r="57">
      <c r="A57" t="inlineStr">
        <is>
          <t>Contracts</t>
        </is>
      </c>
      <c r="B57" t="inlineStr">
        <is>
          <t>Palantir partnership (8-Sep-2026)</t>
        </is>
      </c>
      <c r="C57" s="2" t="inlineStr">
        <is>
          <t>preferred sovereign AI infra partner; no $ disclosed</t>
        </is>
      </c>
      <c r="D57" t="inlineStr"/>
      <c r="E57" t="inlineStr">
        <is>
          <t>Reported</t>
        </is>
      </c>
      <c r="F57" t="inlineStr">
        <is>
          <t>6-K</t>
        </is>
      </c>
      <c r="G57" t="inlineStr">
        <is>
          <t>2026-09-08</t>
        </is>
      </c>
      <c r="H57" t="inlineStr">
        <is>
          <t>0001104659-26-105749</t>
        </is>
      </c>
      <c r="I57" t="inlineStr">
        <is>
          <t>tm2624958d1_ex99-1.htm</t>
        </is>
      </c>
      <c r="J57" t="inlineStr">
        <is>
          <t>Ex.99.1</t>
        </is>
      </c>
      <c r="K57" t="inlineStr"/>
      <c r="L57" t="inlineStr">
        <is>
          <t>https://www.sec.gov/Archives/edgar/data/1513845/000110465926105749/tm2624958d1_ex99-1.htm</t>
        </is>
      </c>
    </row>
    <row r="58">
      <c r="A58" t="inlineStr">
        <is>
          <t>M&amp;A</t>
        </is>
      </c>
      <c r="B58" t="inlineStr">
        <is>
          <t>Inferize acquisition (1-Oct-2026)</t>
        </is>
      </c>
      <c r="C58" s="2" t="inlineStr">
        <is>
          <t>terms not disclosed</t>
        </is>
      </c>
      <c r="D58" t="inlineStr"/>
      <c r="E58" t="inlineStr">
        <is>
          <t>Reported</t>
        </is>
      </c>
      <c r="F58" t="inlineStr">
        <is>
          <t>6-K</t>
        </is>
      </c>
      <c r="G58" t="inlineStr">
        <is>
          <t>2026-10-01</t>
        </is>
      </c>
      <c r="H58" t="inlineStr">
        <is>
          <t>0001104659-26-112824</t>
        </is>
      </c>
      <c r="I58" t="inlineStr">
        <is>
          <t>tm2626792d1_ex99-1.htm</t>
        </is>
      </c>
      <c r="J58" t="inlineStr">
        <is>
          <t>Ex.99.1</t>
        </is>
      </c>
      <c r="K58" t="inlineStr"/>
      <c r="L58" t="inlineStr">
        <is>
          <t>https://www.sec.gov/Archives/edgar/data/1513845/000110465926112824/tm2626792d1_ex99-1.htm</t>
        </is>
      </c>
    </row>
    <row r="59">
      <c r="A59" t="inlineStr">
        <is>
          <t>D&amp;A policy</t>
        </is>
      </c>
      <c r="B59" t="inlineStr">
        <is>
          <t>Server &amp; network equipment useful life</t>
        </is>
      </c>
      <c r="C59" s="2" t="inlineStr">
        <is>
          <t>5 years from 1-Jan-2026 (was 4)</t>
        </is>
      </c>
      <c r="D59" t="inlineStr"/>
      <c r="E59" t="inlineStr">
        <is>
          <t>Reported</t>
        </is>
      </c>
      <c r="F59" t="inlineStr">
        <is>
          <t>6-K</t>
        </is>
      </c>
      <c r="G59" t="inlineStr">
        <is>
          <t>2026-08-12</t>
        </is>
      </c>
      <c r="H59" t="inlineStr">
        <is>
          <t>0001104659-26-094844</t>
        </is>
      </c>
      <c r="I59" t="inlineStr">
        <is>
          <t>nbis-20260812xex99d2.htm</t>
        </is>
      </c>
      <c r="J59" t="inlineStr">
        <is>
          <t>Note 1, p.F-10</t>
        </is>
      </c>
      <c r="K59" t="inlineStr">
        <is>
          <t>Q2 26 depreciation -$43.0M; 1H26 -$86.1M; FY26 est. -$167.6M (20-F p.56)</t>
        </is>
      </c>
      <c r="L59" t="inlineStr">
        <is>
          <t>https://www.sec.gov/Archives/edgar/data/1513845/000110465926094844/nbis-20260812xex99d2.htm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Instrument</t>
        </is>
      </c>
      <c r="B1" s="1" t="inlineStr">
        <is>
          <t>Issue/close date</t>
        </is>
      </c>
      <c r="C1" s="1" t="inlineStr">
        <is>
          <t>Orig principal issued ($M)</t>
        </is>
      </c>
      <c r="D1" s="1" t="inlineStr">
        <is>
          <t>Coupon</t>
        </is>
      </c>
      <c r="E1" s="1" t="inlineStr">
        <is>
          <t>Maturity</t>
        </is>
      </c>
      <c r="F1" s="1" t="inlineStr">
        <is>
          <t>Initial conv. rate (sh per $1k)</t>
        </is>
      </c>
      <c r="G1" s="1" t="inlineStr">
        <is>
          <t>Initial conv. price ($)</t>
        </is>
      </c>
      <c r="H1" s="1" t="inlineStr">
        <is>
          <t>Accretion at maturity</t>
        </is>
      </c>
      <c r="I1" s="1" t="inlineStr">
        <is>
          <t>Eff. conv. price at maturity ($)</t>
        </is>
      </c>
      <c r="J1" s="1" t="inlineStr">
        <is>
          <t>Capped call</t>
        </is>
      </c>
      <c r="K1" s="1" t="inlineStr">
        <is>
          <t>Converted/exchanged ($M orig)</t>
        </is>
      </c>
      <c r="L1" s="1" t="inlineStr">
        <is>
          <t>Remaining orig principal after Aug-26 exchange ($M)</t>
        </is>
      </c>
      <c r="M1" s="1" t="inlineStr">
        <is>
          <t>Note 12 "principal amount outstanding" 6/30/26 ($M, accreted basis)</t>
        </is>
      </c>
      <c r="N1" s="1" t="inlineStr">
        <is>
          <t>Carrying 6/30/26 ($M)</t>
        </is>
      </c>
      <c r="O1" s="1" t="inlineStr">
        <is>
          <t>Fair value 6/30/26 ($M)</t>
        </is>
      </c>
      <c r="P1" s="1" t="inlineStr">
        <is>
          <t>Earliest issuer redemption</t>
        </is>
      </c>
      <c r="Q1" s="1" t="inlineStr">
        <is>
          <t>Tag</t>
        </is>
      </c>
      <c r="R1" s="1" t="inlineStr">
        <is>
          <t>Sources</t>
        </is>
      </c>
    </row>
    <row r="2">
      <c r="A2" t="inlineStr">
        <is>
          <t>2.00% Conv Sr Notes due Jun-2029</t>
        </is>
      </c>
      <c r="B2" t="inlineStr">
        <is>
          <t>2025-06-05</t>
        </is>
      </c>
      <c r="C2" s="2" t="n">
        <v>500</v>
      </c>
      <c r="D2" s="2" t="inlineStr">
        <is>
          <t>2.00%</t>
        </is>
      </c>
      <c r="E2" s="2" t="inlineStr">
        <is>
          <t>2029-06-05</t>
        </is>
      </c>
      <c r="F2" s="2" t="n">
        <v>19.4363</v>
      </c>
      <c r="G2" s="2" t="n">
        <v>51.45</v>
      </c>
      <c r="H2" t="inlineStr">
        <is>
          <t>120%</t>
        </is>
      </c>
      <c r="I2" t="n">
        <v>61.74</v>
      </c>
      <c r="J2" t="inlineStr">
        <is>
          <t>none disclosed</t>
        </is>
      </c>
      <c r="K2" t="inlineStr">
        <is>
          <t>12.5 converted 2025 (242,953 sh); 400 exchanged Aug-26</t>
        </is>
      </c>
      <c r="L2" s="2" t="n">
        <v>87.5</v>
      </c>
      <c r="M2" t="n">
        <v>587.5</v>
      </c>
      <c r="N2" t="n">
        <v>504.1</v>
      </c>
      <c r="O2" t="n">
        <v>2928.7</v>
      </c>
      <c r="P2" t="inlineStr">
        <is>
          <t>on/after 2026-12-10 (130% trigger)</t>
        </is>
      </c>
      <c r="Q2" t="inlineStr">
        <is>
          <t>Reported; remaining = Derived (500-12.5-400)</t>
        </is>
      </c>
      <c r="R2" t="inlineStr">
        <is>
          <t>JUN25; 20F25 p.F-47/48; Q2FS Note 12; AUG26C</t>
        </is>
      </c>
    </row>
    <row r="3">
      <c r="A3" t="inlineStr">
        <is>
          <t>3.00% Conv Sr Notes due Jun-2031</t>
        </is>
      </c>
      <c r="B3" t="inlineStr">
        <is>
          <t>2025-06-05</t>
        </is>
      </c>
      <c r="C3" s="2" t="n">
        <v>500</v>
      </c>
      <c r="D3" s="2" t="inlineStr">
        <is>
          <t>3.00%</t>
        </is>
      </c>
      <c r="E3" s="2" t="inlineStr">
        <is>
          <t>2031-06-05</t>
        </is>
      </c>
      <c r="F3" s="2" t="n">
        <v>19.4363</v>
      </c>
      <c r="G3" s="2" t="n">
        <v>51.45</v>
      </c>
      <c r="H3" t="inlineStr">
        <is>
          <t>125%</t>
        </is>
      </c>
      <c r="I3" t="n">
        <v>64.31</v>
      </c>
      <c r="J3" t="inlineStr">
        <is>
          <t>none disclosed</t>
        </is>
      </c>
      <c r="K3" t="inlineStr">
        <is>
          <t>12.5 converted 2025 (242,953 sh); 400 exchanged Aug-26</t>
        </is>
      </c>
      <c r="L3" s="2" t="n">
        <v>87.5</v>
      </c>
      <c r="M3" t="n">
        <v>612.5</v>
      </c>
      <c r="N3" t="n">
        <v>498.4</v>
      </c>
      <c r="O3" t="n">
        <v>2908.4</v>
      </c>
      <c r="P3" t="inlineStr">
        <is>
          <t>on/after 2027-06-10 (130% trigger) per indenture Sec. heading (20-F text implies Dec-2026 for both)</t>
        </is>
      </c>
      <c r="Q3" t="inlineStr">
        <is>
          <t>Reported; remaining = Derived</t>
        </is>
      </c>
      <c r="R3" t="inlineStr">
        <is>
          <t>JUN25; 20F25; Q2FS Note 12; AUG26C</t>
        </is>
      </c>
    </row>
    <row r="4">
      <c r="A4" t="inlineStr">
        <is>
          <t>1.00% Conv Notes due Sep-2030</t>
        </is>
      </c>
      <c r="B4" t="inlineStr">
        <is>
          <t>2025-09-15</t>
        </is>
      </c>
      <c r="C4" s="2" t="inlineStr">
        <is>
          <t>~1,581 (PR: ~$1.58B; 1,818.4/1.15 = 1,581.2 Derived)</t>
        </is>
      </c>
      <c r="D4" s="2" t="inlineStr">
        <is>
          <t>1.00%</t>
        </is>
      </c>
      <c r="E4" s="2" t="inlineStr">
        <is>
          <t>2030-09-15</t>
        </is>
      </c>
      <c r="F4" s="2" t="n">
        <v>7.2072</v>
      </c>
      <c r="G4" s="2" t="n">
        <v>138.75</v>
      </c>
      <c r="H4" t="inlineStr">
        <is>
          <t>115%</t>
        </is>
      </c>
      <c r="I4" t="inlineStr">
        <is>
          <t>~159.6 (Derived 138.75x1.15)</t>
        </is>
      </c>
      <c r="J4" t="inlineStr">
        <is>
          <t>none disclosed</t>
        </is>
      </c>
      <c r="K4" t="inlineStr">
        <is>
          <t>none disclosed</t>
        </is>
      </c>
      <c r="L4" s="2" t="inlineStr">
        <is>
          <t>~1,581</t>
        </is>
      </c>
      <c r="M4" t="inlineStr">
        <is>
          <t>1818.4</t>
        </is>
      </c>
      <c r="N4" t="n">
        <v>1588.2</v>
      </c>
      <c r="O4" t="n">
        <v>3555.5</v>
      </c>
      <c r="P4" t="inlineStr">
        <is>
          <t>on/after 2028-09-20 (130% trigger)</t>
        </is>
      </c>
      <c r="Q4" t="inlineStr">
        <is>
          <t>Reported/Derived</t>
        </is>
      </c>
      <c r="R4" t="inlineStr">
        <is>
          <t>SEP25P; SEP25C; Q2FS Note 12</t>
        </is>
      </c>
    </row>
    <row r="5">
      <c r="A5" t="inlineStr">
        <is>
          <t>2.75% Conv Notes due Sep-2032</t>
        </is>
      </c>
      <c r="B5" t="inlineStr">
        <is>
          <t>2025-09-15</t>
        </is>
      </c>
      <c r="C5" s="2" t="inlineStr">
        <is>
          <t>~1,581</t>
        </is>
      </c>
      <c r="D5" s="2" t="inlineStr">
        <is>
          <t>2.75%</t>
        </is>
      </c>
      <c r="E5" s="2" t="inlineStr">
        <is>
          <t>2032-09-15</t>
        </is>
      </c>
      <c r="F5" s="2" t="n">
        <v>7.2072</v>
      </c>
      <c r="G5" s="2" t="n">
        <v>138.75</v>
      </c>
      <c r="H5" t="inlineStr">
        <is>
          <t>115%</t>
        </is>
      </c>
      <c r="I5" t="inlineStr">
        <is>
          <t>~159.6 (Derived)</t>
        </is>
      </c>
      <c r="J5" t="inlineStr">
        <is>
          <t>none disclosed</t>
        </is>
      </c>
      <c r="K5" t="inlineStr">
        <is>
          <t>none disclosed</t>
        </is>
      </c>
      <c r="L5" s="2" t="inlineStr">
        <is>
          <t>~1,581</t>
        </is>
      </c>
      <c r="M5" t="inlineStr">
        <is>
          <t>1818.4</t>
        </is>
      </c>
      <c r="N5" t="n">
        <v>1575</v>
      </c>
      <c r="O5" t="n">
        <v>3488</v>
      </c>
      <c r="P5" t="inlineStr">
        <is>
          <t>on/after 2028-09-20 (130% trigger)</t>
        </is>
      </c>
      <c r="Q5" t="inlineStr">
        <is>
          <t>Reported/Derived</t>
        </is>
      </c>
      <c r="R5" t="inlineStr">
        <is>
          <t>SEP25P; SEP25C; Q2FS Note 12</t>
        </is>
      </c>
    </row>
    <row r="6">
      <c r="A6" t="inlineStr">
        <is>
          <t>1.25% Conv Sr Notes due Mar-2031</t>
        </is>
      </c>
      <c r="B6" t="inlineStr">
        <is>
          <t>2026-03-20</t>
        </is>
      </c>
      <c r="C6" s="2" t="n">
        <v>2587.5</v>
      </c>
      <c r="D6" s="2" t="inlineStr">
        <is>
          <t>1.25%</t>
        </is>
      </c>
      <c r="E6" s="2" t="inlineStr">
        <is>
          <t>2031-03 (Mar-2031)</t>
        </is>
      </c>
      <c r="F6" s="2" t="n">
        <v>5.4579</v>
      </c>
      <c r="G6" s="2" t="n">
        <v>183.22</v>
      </c>
      <c r="H6" t="inlineStr">
        <is>
          <t>120%</t>
        </is>
      </c>
      <c r="I6" t="n">
        <v>219.86</v>
      </c>
      <c r="J6" t="inlineStr">
        <is>
          <t>none disclosed</t>
        </is>
      </c>
      <c r="K6" t="inlineStr">
        <is>
          <t>none</t>
        </is>
      </c>
      <c r="L6" s="2" t="n">
        <v>2587.5</v>
      </c>
      <c r="M6" t="n">
        <v>3105</v>
      </c>
      <c r="N6" t="n">
        <v>2588.6</v>
      </c>
      <c r="O6" t="n">
        <v>4696.5</v>
      </c>
      <c r="P6" t="inlineStr">
        <is>
          <t>on/after 2029-03-20</t>
        </is>
      </c>
      <c r="Q6" t="inlineStr">
        <is>
          <t>Reported</t>
        </is>
      </c>
      <c r="R6" t="inlineStr">
        <is>
          <t>MAR26P; MAR26C; Q2FS Note 12</t>
        </is>
      </c>
    </row>
    <row r="7">
      <c r="A7" t="inlineStr">
        <is>
          <t>2.625% Conv Sr Notes due Mar-2033</t>
        </is>
      </c>
      <c r="B7" t="inlineStr">
        <is>
          <t>2026-03-20</t>
        </is>
      </c>
      <c r="C7" s="2" t="n">
        <v>1750</v>
      </c>
      <c r="D7" s="2" t="inlineStr">
        <is>
          <t>2.625%</t>
        </is>
      </c>
      <c r="E7" s="2" t="inlineStr">
        <is>
          <t>2033-03 (Mar-2033)</t>
        </is>
      </c>
      <c r="F7" s="2" t="n">
        <v>5.546</v>
      </c>
      <c r="G7" s="2" t="n">
        <v>180.31</v>
      </c>
      <c r="H7" t="inlineStr">
        <is>
          <t>120%</t>
        </is>
      </c>
      <c r="I7" t="n">
        <v>216.37</v>
      </c>
      <c r="J7" t="inlineStr">
        <is>
          <t>none disclosed</t>
        </is>
      </c>
      <c r="K7" t="inlineStr">
        <is>
          <t>none (greenshoe $262.5M not exercised)</t>
        </is>
      </c>
      <c r="L7" s="2" t="n">
        <v>1750</v>
      </c>
      <c r="M7" t="n">
        <v>2100</v>
      </c>
      <c r="N7" t="n">
        <v>1744.7</v>
      </c>
      <c r="O7" t="n">
        <v>3246.6</v>
      </c>
      <c r="P7" t="inlineStr">
        <is>
          <t>on/after 2030-03-20</t>
        </is>
      </c>
      <c r="Q7" t="inlineStr">
        <is>
          <t>Reported</t>
        </is>
      </c>
      <c r="R7" t="inlineStr">
        <is>
          <t>MAR26P; MAR26C; Q2FS Note 12</t>
        </is>
      </c>
    </row>
    <row r="8">
      <c r="A8" t="inlineStr">
        <is>
          <t>0.50% Conv Sr Notes due Feb-2030</t>
        </is>
      </c>
      <c r="B8" t="inlineStr">
        <is>
          <t>2026-08-24</t>
        </is>
      </c>
      <c r="C8" s="2" t="n">
        <v>3450</v>
      </c>
      <c r="D8" s="2" t="inlineStr">
        <is>
          <t>0.50%</t>
        </is>
      </c>
      <c r="E8" s="2" t="inlineStr">
        <is>
          <t>2030-02-15</t>
        </is>
      </c>
      <c r="F8" s="2" t="n">
        <v>3.1902</v>
      </c>
      <c r="G8" s="2" t="n">
        <v>313.46</v>
      </c>
      <c r="H8" t="inlineStr">
        <is>
          <t>110%</t>
        </is>
      </c>
      <c r="I8" t="n">
        <v>344.81</v>
      </c>
      <c r="J8" t="inlineStr">
        <is>
          <t>none disclosed</t>
        </is>
      </c>
      <c r="K8" t="inlineStr">
        <is>
          <t>n/a (new)</t>
        </is>
      </c>
      <c r="L8" s="2" t="n">
        <v>3450</v>
      </c>
      <c r="M8" t="inlineStr">
        <is>
          <t>n/a (post-period)</t>
        </is>
      </c>
      <c r="N8" t="inlineStr">
        <is>
          <t>n/a</t>
        </is>
      </c>
      <c r="O8" t="inlineStr">
        <is>
          <t>n/a</t>
        </is>
      </c>
      <c r="P8" t="inlineStr">
        <is>
          <t>2028-02-21 (130% trigger)</t>
        </is>
      </c>
      <c r="Q8" t="inlineStr">
        <is>
          <t>Reported</t>
        </is>
      </c>
      <c r="R8" t="inlineStr">
        <is>
          <t>AUG26P; AUG26C (Ex.4.1 indenture)</t>
        </is>
      </c>
    </row>
    <row r="9">
      <c r="A9" t="inlineStr">
        <is>
          <t>4.50% Conv Sr Notes due Feb-2034</t>
        </is>
      </c>
      <c r="B9" t="inlineStr">
        <is>
          <t>2026-08-24</t>
        </is>
      </c>
      <c r="C9" s="2" t="n">
        <v>2300</v>
      </c>
      <c r="D9" s="2" t="inlineStr">
        <is>
          <t>4.50%</t>
        </is>
      </c>
      <c r="E9" s="2" t="inlineStr">
        <is>
          <t>2034-02-15</t>
        </is>
      </c>
      <c r="F9" s="2" t="n">
        <v>3.0802</v>
      </c>
      <c r="G9" s="2" t="n">
        <v>324.65</v>
      </c>
      <c r="H9" t="inlineStr">
        <is>
          <t>125%</t>
        </is>
      </c>
      <c r="I9" t="n">
        <v>405.82</v>
      </c>
      <c r="J9" t="inlineStr">
        <is>
          <t>none disclosed</t>
        </is>
      </c>
      <c r="K9" t="inlineStr">
        <is>
          <t>n/a (new)</t>
        </is>
      </c>
      <c r="L9" s="2" t="n">
        <v>2300</v>
      </c>
      <c r="M9" t="inlineStr">
        <is>
          <t>n/a (post-period)</t>
        </is>
      </c>
      <c r="N9" t="inlineStr">
        <is>
          <t>n/a</t>
        </is>
      </c>
      <c r="O9" t="inlineStr">
        <is>
          <t>n/a</t>
        </is>
      </c>
      <c r="P9" t="inlineStr">
        <is>
          <t>2028-08-21 (130%; 150% until 2029-08-21)</t>
        </is>
      </c>
      <c r="Q9" t="inlineStr">
        <is>
          <t>Reported</t>
        </is>
      </c>
      <c r="R9" t="inlineStr">
        <is>
          <t>AUG26P; AUG26C (Ex.4.3 indenture)</t>
        </is>
      </c>
    </row>
    <row r="10">
      <c r="A10" t="inlineStr">
        <is>
          <t>TOTAL converts (orig principal) post Aug-26</t>
        </is>
      </c>
      <c r="B10" t="inlineStr"/>
      <c r="C10" s="2" t="inlineStr">
        <is>
          <t>~14,225 issued</t>
        </is>
      </c>
      <c r="D10" s="2" t="inlineStr"/>
      <c r="E10" s="2" t="inlineStr"/>
      <c r="F10" s="2" t="inlineStr"/>
      <c r="G10" s="2" t="inlineStr"/>
      <c r="H10" t="inlineStr"/>
      <c r="I10" t="inlineStr"/>
      <c r="J10" t="inlineStr"/>
      <c r="K10" t="inlineStr">
        <is>
          <t>825 retired</t>
        </is>
      </c>
      <c r="L10" s="2" t="inlineStr">
        <is>
          <t>~13,425 (Derived)</t>
        </is>
      </c>
      <c r="M10" t="inlineStr">
        <is>
          <t>10,041.8 at 6/30</t>
        </is>
      </c>
      <c r="N10" t="inlineStr">
        <is>
          <t>8,499.0</t>
        </is>
      </c>
      <c r="O10" t="inlineStr">
        <is>
          <t>20,823.7</t>
        </is>
      </c>
      <c r="P10" t="inlineStr"/>
      <c r="Q10" t="inlineStr">
        <is>
          <t>Derived</t>
        </is>
      </c>
      <c r="R10" t="inlineStr">
        <is>
          <t>sum of rows</t>
        </is>
      </c>
    </row>
    <row r="11">
      <c r="A11" t="inlineStr">
        <is>
          <t>Senior secured term loan (Nebius Compute II)</t>
        </is>
      </c>
      <c r="B11" t="inlineStr">
        <is>
          <t>signed 2026-07-10</t>
        </is>
      </c>
      <c r="C11" s="2" t="n">
        <v>775</v>
      </c>
      <c r="D11" s="2" t="inlineStr">
        <is>
          <t>SOFR+2.50%</t>
        </is>
      </c>
      <c r="E11" s="2" t="inlineStr">
        <is>
          <t>2030-10-31</t>
        </is>
      </c>
      <c r="F11" s="2" t="inlineStr">
        <is>
          <t>n/a</t>
        </is>
      </c>
      <c r="G11" s="2" t="inlineStr">
        <is>
          <t>n/a</t>
        </is>
      </c>
      <c r="H11" t="inlineStr">
        <is>
          <t>n/a</t>
        </is>
      </c>
      <c r="I11" t="inlineStr">
        <is>
          <t>n/a</t>
        </is>
      </c>
      <c r="J11" t="inlineStr">
        <is>
          <t>n/a</t>
        </is>
      </c>
      <c r="K11" t="inlineStr">
        <is>
          <t>n/a</t>
        </is>
      </c>
      <c r="L11" s="2" t="n">
        <v>775</v>
      </c>
      <c r="M11" t="inlineStr">
        <is>
          <t>n/a</t>
        </is>
      </c>
      <c r="N11" t="inlineStr">
        <is>
          <t>n/a</t>
        </is>
      </c>
      <c r="O11" t="inlineStr">
        <is>
          <t>n/a</t>
        </is>
      </c>
      <c r="P11" t="inlineStr">
        <is>
          <t>prepayable w/o premium</t>
        </is>
      </c>
      <c r="Q11" t="inlineStr">
        <is>
          <t>Reported</t>
        </is>
      </c>
      <c r="R11" t="inlineStr">
        <is>
          <t>ABL</t>
        </is>
      </c>
    </row>
    <row r="13">
      <c r="A13" t="inlineStr">
        <is>
          <t>Notes: No capped call / call spread is disclosed in any convert press release, 6-K, 20-F or interim FS reviewed (text search for "capped call" returned zero hits). Settlement: indentures set Default Settlement Method = Physical Settlement (shares); company may elect Cash, Physical or Combination (cash up to a Specified Dollar Amount per $1k + shares) and may irrevocably fix/eliminate methods; Sec. 3.10 (Jun-25 onward excl.) deems Physical Settlement where it avoids Dutch withholding. See Indenture_Terms sheet. Interest: 2029/2031 semi-annual Jun 5/Dec 5; 2030S/2032 Mar 15/Sep 15; Mar-26 notes Mar 15/Sep 15; Aug-26 notes Feb 15/Aug 15 from Feb 15 2027.</t>
        </is>
      </c>
    </row>
    <row r="14">
      <c r="A14" t="inlineStr">
        <is>
          <t>Potential conversion shares at initial rates on remaining orig principal (Derived): 2029 87.5x19.4363=1.70M; 2031 1.70M; Sep-30 1,581.25x7.2072=11.40M; Sep-32 11.40M; Mar-31 2,587.5x5.4579=14.12M; Mar-33 1,750x5.546=9.71M; Feb-30 3,450x3.1902=11.01M; Feb-34 2,300x3.0802=7.08M; total ~68.1M shares (before make-whole adjustments).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Metric</t>
        </is>
      </c>
      <c r="B1" s="1" t="inlineStr">
        <is>
          <t>Q1 2024</t>
        </is>
      </c>
      <c r="C1" s="1" t="inlineStr">
        <is>
          <t>Q2 2024</t>
        </is>
      </c>
      <c r="D1" s="1" t="inlineStr">
        <is>
          <t>Q3 2024</t>
        </is>
      </c>
      <c r="E1" s="1" t="inlineStr">
        <is>
          <t>Q4 2024</t>
        </is>
      </c>
      <c r="F1" s="1" t="inlineStr">
        <is>
          <t>Q1 2025</t>
        </is>
      </c>
      <c r="G1" s="1" t="inlineStr">
        <is>
          <t>Q2 2025</t>
        </is>
      </c>
      <c r="H1" s="1" t="inlineStr">
        <is>
          <t>Q3 2025</t>
        </is>
      </c>
      <c r="I1" s="1" t="inlineStr">
        <is>
          <t>Q4 2025</t>
        </is>
      </c>
      <c r="J1" s="1" t="inlineStr">
        <is>
          <t>Q1 2026</t>
        </is>
      </c>
      <c r="K1" s="1" t="inlineStr">
        <is>
          <t>Q2 2026</t>
        </is>
      </c>
    </row>
    <row r="2">
      <c r="A2" t="inlineStr">
        <is>
          <t>Revenue - group (continuing ops, latest restated basis, $M)</t>
        </is>
      </c>
      <c r="B2" s="2" t="n">
        <v>9.699999999999999</v>
      </c>
      <c r="C2" s="2" t="n">
        <v>14.5</v>
      </c>
      <c r="D2" s="2" t="n">
        <v>32.1</v>
      </c>
      <c r="E2" s="2" t="n">
        <v>35.2</v>
      </c>
      <c r="F2" s="2" t="n">
        <v>50.9</v>
      </c>
      <c r="G2" s="2" t="n">
        <v>105.1</v>
      </c>
      <c r="H2" s="2" t="n">
        <v>146.1</v>
      </c>
      <c r="I2" s="2" t="n">
        <v>227.7</v>
      </c>
      <c r="J2" s="2" t="n">
        <v>399</v>
      </c>
      <c r="K2" s="2" t="n">
        <v>582.3</v>
      </c>
    </row>
    <row r="3">
      <c r="A3" t="inlineStr">
        <is>
          <t>Revenue - as originally reported (incl. Toloka through Q1-25, $M)</t>
        </is>
      </c>
      <c r="B3" s="2" t="n">
        <v>11.4</v>
      </c>
      <c r="C3" s="2" t="n">
        <v>24.9</v>
      </c>
      <c r="D3" s="2" t="n">
        <v>43.3</v>
      </c>
      <c r="E3" s="2" t="n">
        <v>37.9</v>
      </c>
      <c r="F3" s="2" t="n">
        <v>55.3</v>
      </c>
      <c r="G3" s="2" t="n">
        <v>105.1</v>
      </c>
      <c r="H3" s="2" t="n">
        <v>146.1</v>
      </c>
      <c r="I3" s="2" t="n">
        <v>227.7</v>
      </c>
      <c r="J3" s="2" t="n">
        <v>399</v>
      </c>
      <c r="K3" s="2" t="n">
        <v>582.3</v>
      </c>
    </row>
    <row r="4">
      <c r="A4" t="inlineStr">
        <is>
          <t>Segment revenue - Nebius AI cloud ($M)</t>
        </is>
      </c>
      <c r="B4" s="3" t="inlineStr">
        <is>
          <t>not disclosed</t>
        </is>
      </c>
      <c r="C4" s="3" t="inlineStr">
        <is>
          <t>not disclosed</t>
        </is>
      </c>
      <c r="D4" s="2" t="n">
        <v>27.1</v>
      </c>
      <c r="E4" s="2" t="n">
        <v>23.8</v>
      </c>
      <c r="F4" s="2" t="n">
        <v>41.4</v>
      </c>
      <c r="G4" s="2" t="n">
        <v>93.7</v>
      </c>
      <c r="H4" s="2" t="n">
        <v>131.1</v>
      </c>
      <c r="I4" s="2" t="n">
        <v>214.1</v>
      </c>
      <c r="J4" s="2" t="n">
        <v>389.7</v>
      </c>
      <c r="K4" s="2" t="n">
        <v>574.9</v>
      </c>
    </row>
    <row r="5">
      <c r="A5" t="inlineStr">
        <is>
          <t>Segment revenue - Avride ($M)</t>
        </is>
      </c>
      <c r="B5" s="3" t="inlineStr">
        <is>
          <t>not disclosed</t>
        </is>
      </c>
      <c r="C5" s="3" t="inlineStr">
        <is>
          <t>not disclosed</t>
        </is>
      </c>
      <c r="D5" s="2" t="n">
        <v>0.1</v>
      </c>
      <c r="E5" s="2" t="n">
        <v>0.1</v>
      </c>
      <c r="F5" s="2" t="n">
        <v>0.2</v>
      </c>
      <c r="G5" s="2" t="n">
        <v>0.2</v>
      </c>
      <c r="H5" s="2" t="n">
        <v>0.2</v>
      </c>
      <c r="I5" s="2" t="n">
        <v>0.7</v>
      </c>
      <c r="J5" s="2" t="n">
        <v>0.9</v>
      </c>
      <c r="K5" s="2" t="n">
        <v>1</v>
      </c>
    </row>
    <row r="6">
      <c r="A6" t="inlineStr">
        <is>
          <t>Segment revenue - TripleTen ($M)</t>
        </is>
      </c>
      <c r="B6" s="3" t="inlineStr">
        <is>
          <t>not disclosed</t>
        </is>
      </c>
      <c r="C6" s="3" t="inlineStr">
        <is>
          <t>not disclosed</t>
        </is>
      </c>
      <c r="D6" s="2" t="n">
        <v>6.3</v>
      </c>
      <c r="E6" s="2" t="n">
        <v>12.3</v>
      </c>
      <c r="F6" s="2" t="n">
        <v>10.5</v>
      </c>
      <c r="G6" s="2" t="n">
        <v>12.3</v>
      </c>
      <c r="H6" s="2" t="n">
        <v>16.2</v>
      </c>
      <c r="I6" s="2" t="n">
        <v>15.1</v>
      </c>
      <c r="J6" s="2" t="n">
        <v>11.6</v>
      </c>
      <c r="K6" s="2" t="n">
        <v>10</v>
      </c>
    </row>
    <row r="7">
      <c r="A7" t="inlineStr">
        <is>
          <t>Segment revenue - Eliminations ($M)</t>
        </is>
      </c>
      <c r="B7" s="3" t="inlineStr">
        <is>
          <t>not disclosed</t>
        </is>
      </c>
      <c r="C7" s="3" t="inlineStr">
        <is>
          <t>not disclosed</t>
        </is>
      </c>
      <c r="D7" s="2" t="n">
        <v>-1.4</v>
      </c>
      <c r="E7" s="2" t="n">
        <v>-1</v>
      </c>
      <c r="F7" s="2" t="n">
        <v>-1.2</v>
      </c>
      <c r="G7" s="2" t="n">
        <v>-1.1</v>
      </c>
      <c r="H7" s="2" t="n">
        <v>-1.4</v>
      </c>
      <c r="I7" s="2" t="n">
        <v>-2.2</v>
      </c>
      <c r="J7" s="2" t="n">
        <v>-3.2</v>
      </c>
      <c r="K7" s="2" t="n">
        <v>-3.6</v>
      </c>
    </row>
    <row r="8">
      <c r="A8" t="inlineStr">
        <is>
          <t>Segment revenue - Toloka</t>
        </is>
      </c>
      <c r="B8" s="3" t="inlineStr">
        <is>
          <t>not disclosed (discontinued ops; reclassified)</t>
        </is>
      </c>
      <c r="C8" s="3" t="inlineStr">
        <is>
          <t>not disclosed (discontinued ops; reclassified)</t>
        </is>
      </c>
      <c r="D8" s="3" t="inlineStr">
        <is>
          <t>not disclosed (discontinued ops; reclassified)</t>
        </is>
      </c>
      <c r="E8" s="3" t="inlineStr">
        <is>
          <t>not disclosed (discontinued ops; reclassified)</t>
        </is>
      </c>
      <c r="F8" s="3" t="inlineStr">
        <is>
          <t>not disclosed (discontinued ops; reclassified)</t>
        </is>
      </c>
      <c r="G8" s="3" t="inlineStr">
        <is>
          <t>not disclosed (discontinued ops; reclassified)</t>
        </is>
      </c>
      <c r="H8" s="3" t="inlineStr">
        <is>
          <t>not disclosed (discontinued ops; reclassified)</t>
        </is>
      </c>
      <c r="I8" s="3" t="inlineStr">
        <is>
          <t>not disclosed (discontinued ops; reclassified)</t>
        </is>
      </c>
      <c r="J8" s="3" t="inlineStr">
        <is>
          <t>not disclosed (discontinued ops; reclassified)</t>
        </is>
      </c>
      <c r="K8" s="3" t="inlineStr">
        <is>
          <t>not disclosed (discontinued ops; reclassified)</t>
        </is>
      </c>
    </row>
    <row r="9">
      <c r="A9" t="inlineStr">
        <is>
          <t>ARR - Nebius AI cloud, as stated ($M)</t>
        </is>
      </c>
      <c r="B9" s="2" t="n">
        <v>32</v>
      </c>
      <c r="C9" s="2" t="n">
        <v>45</v>
      </c>
      <c r="D9" s="2" t="n">
        <v>121</v>
      </c>
      <c r="E9" s="2" t="n">
        <v>90</v>
      </c>
      <c r="F9" s="2" t="n">
        <v>249</v>
      </c>
      <c r="G9" s="2" t="n">
        <v>430</v>
      </c>
      <c r="H9" s="2" t="n">
        <v>551</v>
      </c>
      <c r="I9" s="2" t="n">
        <v>1250</v>
      </c>
      <c r="J9" s="2" t="n">
        <v>1920</v>
      </c>
      <c r="K9" s="2" t="n">
        <v>3000</v>
      </c>
    </row>
    <row r="10">
      <c r="A10" t="inlineStr">
        <is>
          <t>ARR guidance outstanding at quarter end (as stated)</t>
        </is>
      </c>
      <c r="B10" s="3" t="inlineStr">
        <is>
          <t>not disclosed</t>
        </is>
      </c>
      <c r="C10" s="3" t="inlineStr">
        <is>
          <t>not disclosed</t>
        </is>
      </c>
      <c r="D10" s="2" t="inlineStr">
        <is>
          <t>$170-190M (Dec-24)</t>
        </is>
      </c>
      <c r="E10" s="2" t="inlineStr">
        <is>
          <t>$750M-1B (Dec-25)</t>
        </is>
      </c>
      <c r="F10" s="2" t="inlineStr">
        <is>
          <t>$750M-1B (Dec-25)</t>
        </is>
      </c>
      <c r="G10" s="2" t="inlineStr">
        <is>
          <t>$900M-1.1B (Dec-25)</t>
        </is>
      </c>
      <c r="H10" s="2" t="inlineStr">
        <is>
          <t>$900M-1.1B (Dec-25)</t>
        </is>
      </c>
      <c r="I10" s="2" t="inlineStr">
        <is>
          <t>$7-9B (Dec-26)</t>
        </is>
      </c>
      <c r="J10" s="2" t="inlineStr">
        <is>
          <t>$7-9B (Dec-26)</t>
        </is>
      </c>
      <c r="K10" s="2" t="inlineStr">
        <is>
          <t>$7-9B (Dec-26)</t>
        </is>
      </c>
    </row>
    <row r="11">
      <c r="A11" t="inlineStr">
        <is>
          <t>Adjusted EBITDA - group ($M)</t>
        </is>
      </c>
      <c r="B11" s="2" t="n">
        <v>-58.4</v>
      </c>
      <c r="C11" s="2" t="n">
        <v>-58.1</v>
      </c>
      <c r="D11" s="2" t="n">
        <v>-45.9</v>
      </c>
      <c r="E11" s="2" t="n">
        <v>-63.9</v>
      </c>
      <c r="F11" s="2" t="n">
        <v>-53.7</v>
      </c>
      <c r="G11" s="2" t="n">
        <v>-21</v>
      </c>
      <c r="H11" s="2" t="n">
        <v>-5.2</v>
      </c>
      <c r="I11" s="2" t="n">
        <v>15</v>
      </c>
      <c r="J11" s="2" t="n">
        <v>129.5</v>
      </c>
      <c r="K11" s="2" t="n">
        <v>236.2</v>
      </c>
    </row>
    <row r="12">
      <c r="A12" t="inlineStr">
        <is>
          <t>Adjusted EBITDA - Nebius AI cloud segment ($M)</t>
        </is>
      </c>
      <c r="B12" s="3" t="inlineStr">
        <is>
          <t>not disclosed</t>
        </is>
      </c>
      <c r="C12" s="3" t="inlineStr">
        <is>
          <t>not disclosed</t>
        </is>
      </c>
      <c r="D12" s="2" t="n">
        <v>-21.5</v>
      </c>
      <c r="E12" s="2" t="n">
        <v>-38.5</v>
      </c>
      <c r="F12" s="2" t="n">
        <v>-27.4</v>
      </c>
      <c r="G12" s="2" t="n">
        <v>9.5</v>
      </c>
      <c r="H12" s="2" t="n">
        <v>25.1</v>
      </c>
      <c r="I12" s="2" t="n">
        <v>51.8</v>
      </c>
      <c r="J12" s="2" t="n">
        <v>174</v>
      </c>
      <c r="K12" s="2" t="n">
        <v>285.7</v>
      </c>
    </row>
    <row r="13">
      <c r="A13" t="inlineStr">
        <is>
          <t>Adjusted EBITDA - Avride ($M)</t>
        </is>
      </c>
      <c r="B13" s="3" t="inlineStr">
        <is>
          <t>not disclosed</t>
        </is>
      </c>
      <c r="C13" s="3" t="inlineStr">
        <is>
          <t>not disclosed</t>
        </is>
      </c>
      <c r="D13" s="2" t="n">
        <v>-15.4</v>
      </c>
      <c r="E13" s="2" t="n">
        <v>-17.2</v>
      </c>
      <c r="F13" s="2" t="n">
        <v>-16.9</v>
      </c>
      <c r="G13" s="2" t="n">
        <v>-17.3</v>
      </c>
      <c r="H13" s="2" t="n">
        <v>-20.8</v>
      </c>
      <c r="I13" s="2" t="n">
        <v>-27.7</v>
      </c>
      <c r="J13" s="2" t="n">
        <v>-34.1</v>
      </c>
      <c r="K13" s="2" t="n">
        <v>-40.1</v>
      </c>
    </row>
    <row r="14">
      <c r="A14" t="inlineStr">
        <is>
          <t>Adjusted EBITDA - TripleTen ($M)</t>
        </is>
      </c>
      <c r="B14" s="3" t="inlineStr">
        <is>
          <t>not disclosed</t>
        </is>
      </c>
      <c r="C14" s="3" t="inlineStr">
        <is>
          <t>not disclosed</t>
        </is>
      </c>
      <c r="D14" s="2" t="n">
        <v>-9</v>
      </c>
      <c r="E14" s="2" t="n">
        <v>-8.199999999999999</v>
      </c>
      <c r="F14" s="2" t="n">
        <v>-9.4</v>
      </c>
      <c r="G14" s="2" t="n">
        <v>-13.2</v>
      </c>
      <c r="H14" s="2" t="n">
        <v>-9.5</v>
      </c>
      <c r="I14" s="2" t="n">
        <v>-9.1</v>
      </c>
      <c r="J14" s="2" t="n">
        <v>-10.4</v>
      </c>
      <c r="K14" s="2" t="n">
        <v>-9.4</v>
      </c>
    </row>
    <row r="15">
      <c r="A15" t="inlineStr">
        <is>
          <t>Net income/(loss) - continuing ops ($M)</t>
        </is>
      </c>
      <c r="B15" s="2" t="n">
        <v>-68.59999999999999</v>
      </c>
      <c r="C15" s="2" t="n">
        <v>-116.9</v>
      </c>
      <c r="D15" s="2" t="n">
        <v>-43.6</v>
      </c>
      <c r="E15" s="2" t="n">
        <v>-122.9</v>
      </c>
      <c r="F15" s="2" t="n">
        <v>-104.3</v>
      </c>
      <c r="G15" s="2" t="n">
        <v>502.5</v>
      </c>
      <c r="H15" s="2" t="n">
        <v>-119.6</v>
      </c>
      <c r="I15" s="2" t="n">
        <v>-249.6</v>
      </c>
      <c r="J15" s="2" t="n">
        <v>621.2</v>
      </c>
      <c r="K15" s="2" t="n">
        <v>-190.4</v>
      </c>
    </row>
    <row r="16">
      <c r="A16" t="inlineStr">
        <is>
          <t>Net income/(loss) - total ($M)</t>
        </is>
      </c>
      <c r="B16" s="2" t="n">
        <v>-316.5</v>
      </c>
      <c r="C16" s="2" t="n">
        <v>-97.5</v>
      </c>
      <c r="D16" s="2" t="n">
        <v>-94.2</v>
      </c>
      <c r="E16" s="2" t="n">
        <v>-133.2</v>
      </c>
      <c r="F16" s="2" t="n">
        <v>-113.5</v>
      </c>
      <c r="G16" s="2" t="n">
        <v>584.4</v>
      </c>
      <c r="H16" s="2" t="n">
        <v>-119.6</v>
      </c>
      <c r="I16" s="2" t="n">
        <v>-249.6</v>
      </c>
      <c r="J16" s="2" t="n">
        <v>621.2</v>
      </c>
      <c r="K16" s="2" t="n">
        <v>-190.4</v>
      </c>
    </row>
    <row r="17">
      <c r="A17" t="inlineStr">
        <is>
          <t>Depreciation &amp; amortization ($M)</t>
        </is>
      </c>
      <c r="B17" s="2" t="n">
        <v>8.9</v>
      </c>
      <c r="C17" s="2" t="n">
        <v>11.4</v>
      </c>
      <c r="D17" s="2" t="n">
        <v>23.5</v>
      </c>
      <c r="E17" s="2" t="n">
        <v>33.3</v>
      </c>
      <c r="F17" s="2" t="n">
        <v>49.1</v>
      </c>
      <c r="G17" s="2" t="n">
        <v>75.2</v>
      </c>
      <c r="H17" s="2" t="n">
        <v>99</v>
      </c>
      <c r="I17" s="2" t="n">
        <v>180.7</v>
      </c>
      <c r="J17" s="2" t="n">
        <v>212</v>
      </c>
      <c r="K17" s="2" t="n">
        <v>259.7</v>
      </c>
    </row>
    <row r="18">
      <c r="A18" t="inlineStr">
        <is>
          <t>Capex - purchases of PP&amp;E and intangibles ($M)</t>
        </is>
      </c>
      <c r="B18" s="2" t="n">
        <v>58.9</v>
      </c>
      <c r="C18" s="2" t="n">
        <v>159</v>
      </c>
      <c r="D18" s="2" t="n">
        <v>172.1</v>
      </c>
      <c r="E18" s="2" t="n">
        <v>417.5</v>
      </c>
      <c r="F18" s="2" t="n">
        <v>543.9</v>
      </c>
      <c r="G18" s="2" t="n">
        <v>510.6</v>
      </c>
      <c r="H18" s="2" t="n">
        <v>955.5</v>
      </c>
      <c r="I18" s="2" t="n">
        <v>2056</v>
      </c>
      <c r="J18" s="2" t="n">
        <v>2472.9</v>
      </c>
      <c r="K18" s="2" t="n">
        <v>5657.4</v>
      </c>
    </row>
    <row r="19">
      <c r="A19" t="inlineStr">
        <is>
          <t>PP&amp;E, net (end of period, $M)</t>
        </is>
      </c>
      <c r="B19" s="3" t="inlineStr">
        <is>
          <t>not disclosed</t>
        </is>
      </c>
      <c r="C19" s="2" t="n">
        <v>328.3</v>
      </c>
      <c r="D19" s="2" t="n">
        <v>475.3</v>
      </c>
      <c r="E19" s="2" t="n">
        <v>846.7</v>
      </c>
      <c r="F19" s="2" t="n">
        <v>1334.1</v>
      </c>
      <c r="G19" s="2" t="n">
        <v>1789.4</v>
      </c>
      <c r="H19" s="2" t="n">
        <v>3314.4</v>
      </c>
      <c r="I19" s="2" t="n">
        <v>5553.3</v>
      </c>
      <c r="J19" s="2" t="n">
        <v>7131.7</v>
      </c>
      <c r="K19" s="2" t="n">
        <v>13045.2</v>
      </c>
    </row>
    <row r="20">
      <c r="A20" t="inlineStr">
        <is>
          <t>Cash &amp; cash equivalents (end of period, $M)</t>
        </is>
      </c>
      <c r="B20" s="3" t="inlineStr">
        <is>
          <t>not disclosed</t>
        </is>
      </c>
      <c r="C20" s="2" t="n">
        <v>2325.5</v>
      </c>
      <c r="D20" s="2" t="n">
        <v>2288.2</v>
      </c>
      <c r="E20" s="2" t="n">
        <v>2434.7</v>
      </c>
      <c r="F20" s="2" t="n">
        <v>1447</v>
      </c>
      <c r="G20" s="2" t="n">
        <v>1679.3</v>
      </c>
      <c r="H20" s="2" t="n">
        <v>4794.8</v>
      </c>
      <c r="I20" s="2" t="n">
        <v>3678.1</v>
      </c>
      <c r="J20" s="2" t="n">
        <v>9298.200000000001</v>
      </c>
      <c r="K20" s="2" t="n">
        <v>8042.1</v>
      </c>
    </row>
    <row r="21">
      <c r="A21" t="inlineStr">
        <is>
          <t>Total debt (current + non-current, carrying, $M)</t>
        </is>
      </c>
      <c r="B21" s="3" t="inlineStr">
        <is>
          <t>not disclosed</t>
        </is>
      </c>
      <c r="C21" s="2" t="n">
        <v>6.5</v>
      </c>
      <c r="D21" s="2" t="n">
        <v>6.2</v>
      </c>
      <c r="E21" s="2" t="n">
        <v>6.1</v>
      </c>
      <c r="F21" s="2" t="n">
        <v>6.2</v>
      </c>
      <c r="G21" s="2" t="n">
        <v>986.2</v>
      </c>
      <c r="H21" s="2" t="n">
        <v>4106.8</v>
      </c>
      <c r="I21" s="2" t="n">
        <v>4127.7</v>
      </c>
      <c r="J21" s="2" t="n">
        <v>8450.4</v>
      </c>
      <c r="K21" s="2" t="n">
        <v>8545.700000000001</v>
      </c>
    </row>
    <row r="22">
      <c r="A22" t="inlineStr">
        <is>
          <t>Shares outstanding - total (period end)</t>
        </is>
      </c>
      <c r="B22" s="3" t="inlineStr">
        <is>
          <t>not disclosed</t>
        </is>
      </c>
      <c r="C22" s="2" t="n">
        <v>293850159</v>
      </c>
      <c r="D22" s="2" t="n">
        <v>199340118</v>
      </c>
      <c r="E22" s="2" t="n">
        <v>235753600</v>
      </c>
      <c r="F22" s="2" t="n">
        <v>238108831</v>
      </c>
      <c r="G22" s="2" t="n">
        <v>238705092</v>
      </c>
      <c r="H22" s="2" t="n">
        <v>251807222</v>
      </c>
      <c r="I22" s="2" t="n">
        <v>253016971</v>
      </c>
      <c r="J22" s="2" t="n">
        <v>253898194</v>
      </c>
      <c r="K22" s="2" t="n">
        <v>271855218</v>
      </c>
    </row>
    <row r="23">
      <c r="A23" t="inlineStr">
        <is>
          <t>Shares outstanding - Class A</t>
        </is>
      </c>
      <c r="B23" s="3" t="inlineStr">
        <is>
          <t>not disclosed</t>
        </is>
      </c>
      <c r="C23" s="2" t="n">
        <v>258151485</v>
      </c>
      <c r="D23" s="2" t="n">
        <v>163641444</v>
      </c>
      <c r="E23" s="2" t="n">
        <v>200054926</v>
      </c>
      <c r="F23" s="2" t="n">
        <v>202410157</v>
      </c>
      <c r="G23" s="2" t="n">
        <v>203006418</v>
      </c>
      <c r="H23" s="2" t="n">
        <v>218158548</v>
      </c>
      <c r="I23" s="2" t="n">
        <v>219465088</v>
      </c>
      <c r="J23" s="2" t="n">
        <v>220406311</v>
      </c>
      <c r="K23" s="2" t="n">
        <v>238400165</v>
      </c>
    </row>
    <row r="24">
      <c r="A24" t="inlineStr">
        <is>
          <t>Shares outstanding - Class B</t>
        </is>
      </c>
      <c r="B24" s="3" t="inlineStr">
        <is>
          <t>not disclosed</t>
        </is>
      </c>
      <c r="C24" s="2" t="n">
        <v>35698674</v>
      </c>
      <c r="D24" s="2" t="n">
        <v>35698674</v>
      </c>
      <c r="E24" s="2" t="n">
        <v>35698674</v>
      </c>
      <c r="F24" s="2" t="n">
        <v>35698674</v>
      </c>
      <c r="G24" s="2" t="n">
        <v>35698674</v>
      </c>
      <c r="H24" s="2" t="n">
        <v>33648674</v>
      </c>
      <c r="I24" s="2" t="n">
        <v>33551883</v>
      </c>
      <c r="J24" s="2" t="n">
        <v>33491883</v>
      </c>
      <c r="K24" s="2" t="n">
        <v>33455053</v>
      </c>
    </row>
    <row r="25">
      <c r="A25" t="inlineStr">
        <is>
          <t>Weighted avg shares - basic</t>
        </is>
      </c>
      <c r="B25" s="3" t="inlineStr">
        <is>
          <t>not disclosed</t>
        </is>
      </c>
      <c r="C25" s="3" t="inlineStr">
        <is>
          <t>not disclosed</t>
        </is>
      </c>
      <c r="D25" s="4" t="n">
        <v>246595139</v>
      </c>
      <c r="E25" s="4" t="n">
        <v>217546859</v>
      </c>
      <c r="F25" s="2" t="n">
        <v>237916047</v>
      </c>
      <c r="G25" s="2" t="n">
        <v>238520244</v>
      </c>
      <c r="H25" s="4" t="n">
        <v>245256157</v>
      </c>
      <c r="I25" s="4" t="n">
        <v>252412097</v>
      </c>
      <c r="J25" s="2" t="n">
        <v>258298911</v>
      </c>
      <c r="K25" s="2" t="n">
        <v>280381615</v>
      </c>
    </row>
    <row r="26">
      <c r="A26" t="inlineStr">
        <is>
          <t>Weighted avg shares - diluted</t>
        </is>
      </c>
      <c r="B26" s="3" t="inlineStr">
        <is>
          <t>not disclosed</t>
        </is>
      </c>
      <c r="C26" s="3" t="inlineStr">
        <is>
          <t>not disclosed</t>
        </is>
      </c>
      <c r="D26" s="4" t="n">
        <v>246595139</v>
      </c>
      <c r="E26" s="4" t="n">
        <v>217546859</v>
      </c>
      <c r="F26" s="2" t="n">
        <v>237916047</v>
      </c>
      <c r="G26" s="2" t="n">
        <v>247266034</v>
      </c>
      <c r="H26" s="4" t="n">
        <v>245256157</v>
      </c>
      <c r="I26" s="4" t="n">
        <v>252412097</v>
      </c>
      <c r="J26" s="2" t="n">
        <v>308971701</v>
      </c>
      <c r="K26" s="2" t="n">
        <v>280381615</v>
      </c>
    </row>
    <row r="27">
      <c r="A27" t="inlineStr">
        <is>
          <t>Deferred revenue, total (end of period, $M)</t>
        </is>
      </c>
      <c r="B27" s="3" t="inlineStr">
        <is>
          <t>not disclosed</t>
        </is>
      </c>
      <c r="C27" s="3" t="inlineStr">
        <is>
          <t>not disclosed</t>
        </is>
      </c>
      <c r="D27" s="3" t="inlineStr">
        <is>
          <t>not disclosed</t>
        </is>
      </c>
      <c r="E27" s="3" t="inlineStr">
        <is>
          <t>not disclosed</t>
        </is>
      </c>
      <c r="F27" s="3" t="inlineStr">
        <is>
          <t>not disclosed</t>
        </is>
      </c>
      <c r="G27" s="3" t="inlineStr">
        <is>
          <t>not disclosed</t>
        </is>
      </c>
      <c r="H27" s="3" t="inlineStr">
        <is>
          <t>not disclosed</t>
        </is>
      </c>
      <c r="I27" s="2" t="n">
        <v>1577.5</v>
      </c>
      <c r="J27" s="2" t="n">
        <v>4778.1</v>
      </c>
      <c r="K27" s="2" t="n">
        <v>5975.2</v>
      </c>
    </row>
    <row r="28">
      <c r="A28" t="inlineStr">
        <is>
          <t>RPO (end of period, $M)</t>
        </is>
      </c>
      <c r="B28" s="3" t="inlineStr">
        <is>
          <t>not disclosed</t>
        </is>
      </c>
      <c r="C28" s="3" t="inlineStr">
        <is>
          <t>not disclosed</t>
        </is>
      </c>
      <c r="D28" s="3" t="inlineStr">
        <is>
          <t>not disclosed</t>
        </is>
      </c>
      <c r="E28" s="3" t="inlineStr">
        <is>
          <t>not disclosed</t>
        </is>
      </c>
      <c r="F28" s="3" t="inlineStr">
        <is>
          <t>not disclosed</t>
        </is>
      </c>
      <c r="G28" s="3" t="inlineStr">
        <is>
          <t>not disclosed</t>
        </is>
      </c>
      <c r="H28" s="3" t="inlineStr">
        <is>
          <t>not disclosed</t>
        </is>
      </c>
      <c r="I28" s="2" t="n">
        <v>21333</v>
      </c>
      <c r="J28" s="2" t="n">
        <v>33585.3</v>
      </c>
      <c r="K28" s="2" t="n">
        <v>37490.6</v>
      </c>
    </row>
    <row r="29">
      <c r="A29" t="inlineStr">
        <is>
          <t>Active power (MW)</t>
        </is>
      </c>
      <c r="B29" s="3" t="inlineStr">
        <is>
          <t>not disclosed</t>
        </is>
      </c>
      <c r="C29" s="3" t="inlineStr">
        <is>
          <t>not disclosed</t>
        </is>
      </c>
      <c r="D29" s="3" t="inlineStr">
        <is>
          <t>not disclosed</t>
        </is>
      </c>
      <c r="E29" s="3" t="inlineStr">
        <is>
          <t>not disclosed</t>
        </is>
      </c>
      <c r="F29" s="3" t="inlineStr">
        <is>
          <t>not disclosed</t>
        </is>
      </c>
      <c r="G29" s="3" t="inlineStr">
        <is>
          <t>not disclosed</t>
        </is>
      </c>
      <c r="H29" s="3" t="inlineStr">
        <is>
          <t>not disclosed</t>
        </is>
      </c>
      <c r="I29" s="2" t="inlineStr">
        <is>
          <t>~170</t>
        </is>
      </c>
      <c r="J29" s="3" t="inlineStr">
        <is>
          <t>not disclosed</t>
        </is>
      </c>
      <c r="K29" s="3" t="inlineStr">
        <is>
          <t>not disclosed</t>
        </is>
      </c>
    </row>
    <row r="30">
      <c r="A30" t="inlineStr">
        <is>
          <t>Connected power (MW) / target</t>
        </is>
      </c>
      <c r="B30" s="3" t="inlineStr">
        <is>
          <t>not disclosed</t>
        </is>
      </c>
      <c r="C30" s="3" t="inlineStr">
        <is>
          <t>not disclosed</t>
        </is>
      </c>
      <c r="D30" s="3" t="inlineStr">
        <is>
          <t>not disclosed</t>
        </is>
      </c>
      <c r="E30" s="3" t="inlineStr">
        <is>
          <t>not disclosed</t>
        </is>
      </c>
      <c r="F30" s="3" t="inlineStr">
        <is>
          <t>not disclosed</t>
        </is>
      </c>
      <c r="G30" s="2" t="inlineStr">
        <is>
          <t>target 220 MW by YE25</t>
        </is>
      </c>
      <c r="H30" s="3" t="inlineStr">
        <is>
          <t>not disclosed</t>
        </is>
      </c>
      <c r="I30" s="3" t="inlineStr">
        <is>
          <t>not disclosed</t>
        </is>
      </c>
      <c r="J30" s="3" t="inlineStr">
        <is>
          <t>not disclosed</t>
        </is>
      </c>
      <c r="K30" s="3" t="inlineStr">
        <is>
          <t>not disclosed</t>
        </is>
      </c>
    </row>
    <row r="31">
      <c r="A31" t="inlineStr">
        <is>
          <t>Contracted power (as stated)</t>
        </is>
      </c>
      <c r="B31" s="3" t="inlineStr">
        <is>
          <t>not disclosed</t>
        </is>
      </c>
      <c r="C31" s="3" t="inlineStr">
        <is>
          <t>not disclosed</t>
        </is>
      </c>
      <c r="D31" s="2" t="inlineStr">
        <is>
          <t>Finland expansion to 75 MW (target)</t>
        </is>
      </c>
      <c r="E31" s="2" t="inlineStr">
        <is>
          <t>Kansas City 5MW initial (exp. to 40MW)</t>
        </is>
      </c>
      <c r="F31" s="3" t="inlineStr">
        <is>
          <t>not disclosed</t>
        </is>
      </c>
      <c r="G31" s="2" t="inlineStr">
        <is>
          <t>NJ 200 MW contracted in construction; Finland ~75MW</t>
        </is>
      </c>
      <c r="H31" s="2" t="inlineStr">
        <is>
          <t>&gt;1 GW (Aug-25 per chart); target &gt;2.5 GW YE26</t>
        </is>
      </c>
      <c r="I31" s="2" t="inlineStr">
        <is>
          <t>&gt;2 GW secured; target &gt;3 GW</t>
        </is>
      </c>
      <c r="J31" s="2" t="inlineStr">
        <is>
          <t>&gt;3.5 GW (&gt;75% owned); target &gt;4 GW</t>
        </is>
      </c>
      <c r="K31" s="2" t="inlineStr">
        <is>
          <t>target 5 GW YE26</t>
        </is>
      </c>
    </row>
    <row r="32">
      <c r="A32" t="inlineStr">
        <is>
          <t>GPU count (as stated)</t>
        </is>
      </c>
      <c r="B32" s="3" t="inlineStr">
        <is>
          <t>not disclosed</t>
        </is>
      </c>
      <c r="C32" s="3" t="inlineStr">
        <is>
          <t>not disclosed</t>
        </is>
      </c>
      <c r="D32" s="2" t="inlineStr">
        <is>
          <t>Finland site capacity up to 60,000 GPUs (potential)</t>
        </is>
      </c>
      <c r="E32" s="2" t="inlineStr">
        <is>
          <t>intends to deploy &gt;22,000 NVIDIA Blackwell GPUs (US)</t>
        </is>
      </c>
      <c r="F32" s="3" t="inlineStr">
        <is>
          <t>not disclosed</t>
        </is>
      </c>
      <c r="G32" s="3" t="inlineStr">
        <is>
          <t>not disclosed</t>
        </is>
      </c>
      <c r="H32" s="3" t="inlineStr">
        <is>
          <t>not disclosed</t>
        </is>
      </c>
      <c r="I32" s="3" t="inlineStr">
        <is>
          <t>not disclosed</t>
        </is>
      </c>
      <c r="J32" s="3" t="inlineStr">
        <is>
          <t>not disclosed</t>
        </is>
      </c>
      <c r="K32" s="3" t="inlineStr">
        <is>
          <t>not disclosed</t>
        </is>
      </c>
    </row>
    <row r="33">
      <c r="A33" t="inlineStr">
        <is>
          <t>Headcount</t>
        </is>
      </c>
      <c r="B33" s="3" t="inlineStr">
        <is>
          <t>not disclosed</t>
        </is>
      </c>
      <c r="C33" s="3" t="inlineStr">
        <is>
          <t>not disclosed</t>
        </is>
      </c>
      <c r="D33" s="2" t="inlineStr">
        <is>
          <t>500+ employees (~400 engineers) - Nebius core</t>
        </is>
      </c>
      <c r="E33" s="3" t="inlineStr">
        <is>
          <t>not disclosed</t>
        </is>
      </c>
      <c r="F33" s="3" t="inlineStr">
        <is>
          <t>not disclosed</t>
        </is>
      </c>
      <c r="G33" s="3" t="inlineStr">
        <is>
          <t>not disclosed</t>
        </is>
      </c>
      <c r="H33" s="3" t="inlineStr">
        <is>
          <t>not disclosed</t>
        </is>
      </c>
      <c r="I33" s="2" t="inlineStr">
        <is>
          <t>~1,500 employees (31-Dec-25)</t>
        </is>
      </c>
      <c r="J33" s="3" t="inlineStr">
        <is>
          <t>not disclosed</t>
        </is>
      </c>
      <c r="K33" s="3" t="inlineStr">
        <is>
          <t>not disclosed</t>
        </is>
      </c>
    </row>
    <row r="34">
      <c r="A34" t="inlineStr">
        <is>
          <t>Managed customers (as stated)</t>
        </is>
      </c>
      <c r="B34" s="3" t="inlineStr">
        <is>
          <t>not disclosed</t>
        </is>
      </c>
      <c r="C34" s="2" t="inlineStr">
        <is>
          <t>&gt;30 managed clients</t>
        </is>
      </c>
      <c r="D34" s="2" t="inlineStr">
        <is>
          <t>&gt;40 managed clients</t>
        </is>
      </c>
      <c r="E34" s="3" t="inlineStr">
        <is>
          <t>not disclosed</t>
        </is>
      </c>
      <c r="F34" s="3" t="inlineStr">
        <is>
          <t>not disclosed</t>
        </is>
      </c>
      <c r="G34" s="3" t="inlineStr">
        <is>
          <t>not disclosed</t>
        </is>
      </c>
      <c r="H34" s="3" t="inlineStr">
        <is>
          <t>not disclosed</t>
        </is>
      </c>
      <c r="I34" s="3" t="inlineStr">
        <is>
          <t>not disclosed</t>
        </is>
      </c>
      <c r="J34" s="3" t="inlineStr">
        <is>
          <t>not disclosed</t>
        </is>
      </c>
      <c r="K34" s="3" t="inlineStr">
        <is>
          <t>not disclosed</t>
        </is>
      </c>
    </row>
    <row r="35">
      <c r="A35" t="inlineStr">
        <is>
          <t>Customer concentration (&gt;10% of revenue, quarter)</t>
        </is>
      </c>
      <c r="B35" s="3" t="inlineStr">
        <is>
          <t>not disclosed</t>
        </is>
      </c>
      <c r="C35" s="3" t="inlineStr">
        <is>
          <t>not disclosed</t>
        </is>
      </c>
      <c r="D35" s="3" t="inlineStr">
        <is>
          <t>not disclosed</t>
        </is>
      </c>
      <c r="E35" s="3" t="inlineStr">
        <is>
          <t>not disclosed</t>
        </is>
      </c>
      <c r="F35" s="3" t="inlineStr">
        <is>
          <t>not disclosed</t>
        </is>
      </c>
      <c r="G35" s="2" t="inlineStr">
        <is>
          <t>A 39%, B 15%</t>
        </is>
      </c>
      <c r="H35" s="3" t="inlineStr">
        <is>
          <t>not disclosed</t>
        </is>
      </c>
      <c r="I35" s="2" t="inlineStr">
        <is>
          <t>FY25: A 25%, B 15%</t>
        </is>
      </c>
      <c r="J35" s="3" t="inlineStr">
        <is>
          <t>not disclosed</t>
        </is>
      </c>
      <c r="K35" s="2" t="inlineStr">
        <is>
          <t>C 24%, D 21%, E 14%</t>
        </is>
      </c>
    </row>
    <row r="37">
      <c r="A37" t="inlineStr">
        <is>
          <t>Tag legend: blue = Reported/Derived input; grey italic = not disclosed; orange italic = Estimated (method in Quarterly_Sources). Every cell is sourced in Quarterly_Sources (keyed by cell). 2024 quarters on restated continuing-ops basis (Toloka moved to discontinued ops in Q2 2025) unless row says "as reported".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1"/>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Cell</t>
        </is>
      </c>
      <c r="B1" s="1" t="inlineStr">
        <is>
          <t>Metric</t>
        </is>
      </c>
      <c r="C1" s="1" t="inlineStr">
        <is>
          <t>Quarter</t>
        </is>
      </c>
      <c r="D1" s="1" t="inlineStr">
        <is>
          <t>Value</t>
        </is>
      </c>
      <c r="E1" s="1" t="inlineStr">
        <is>
          <t>Tag</t>
        </is>
      </c>
      <c r="F1" s="1" t="inlineStr">
        <is>
          <t>Source (form date acc doc ref | URL)</t>
        </is>
      </c>
      <c r="G1" s="1" t="inlineStr">
        <is>
          <t>Note/derivation</t>
        </is>
      </c>
    </row>
    <row r="2">
      <c r="A2" t="inlineStr">
        <is>
          <t>B2</t>
        </is>
      </c>
      <c r="B2" t="inlineStr">
        <is>
          <t>Revenue - group (continuing ops, latest restated basis, $M)</t>
        </is>
      </c>
      <c r="C2" t="inlineStr">
        <is>
          <t>Q1 2024</t>
        </is>
      </c>
      <c r="D2" t="n">
        <v>9.699999999999999</v>
      </c>
      <c r="E2" t="inlineStr">
        <is>
          <t>Derived</t>
        </is>
      </c>
      <c r="F2" t="inlineStr">
        <is>
          <t>6-K 2025-08-07 acc 0001104659-25-075028 tm2522866d1_ex99-1.htm H1 24.2 - Q2 14.5 | https://www.sec.gov/Archives/edgar/data/1513845/000110465925075028/tm2522866d1_ex99-1.htm</t>
        </is>
      </c>
      <c r="G2" t="inlineStr">
        <is>
          <t>restated ex-Toloka; orig. reported incl. Toloka 11.4 | derivation: H1 24.2 - Q2 14.5</t>
        </is>
      </c>
    </row>
    <row r="3">
      <c r="A3" t="inlineStr">
        <is>
          <t>C2</t>
        </is>
      </c>
      <c r="B3" t="inlineStr">
        <is>
          <t>Revenue - group (continuing ops, latest restated basis, $M)</t>
        </is>
      </c>
      <c r="C3" t="inlineStr">
        <is>
          <t>Q2 2024</t>
        </is>
      </c>
      <c r="D3" t="n">
        <v>14.5</v>
      </c>
      <c r="E3" t="inlineStr">
        <is>
          <t>Reported</t>
        </is>
      </c>
      <c r="F3" t="inlineStr">
        <is>
          <t>6-K 2025-08-07 acc 0001104659-25-075028 tm2522866d1_ex99-1.htm comparative | https://www.sec.gov/Archives/edgar/data/1513845/000110465925075028/tm2522866d1_ex99-1.htm</t>
        </is>
      </c>
      <c r="G3" t="inlineStr"/>
    </row>
    <row r="4">
      <c r="A4" t="inlineStr">
        <is>
          <t>D2</t>
        </is>
      </c>
      <c r="B4" t="inlineStr">
        <is>
          <t>Revenue - group (continuing ops, latest restated basis, $M)</t>
        </is>
      </c>
      <c r="C4" t="inlineStr">
        <is>
          <t>Q3 2024</t>
        </is>
      </c>
      <c r="D4" t="n">
        <v>32.1</v>
      </c>
      <c r="E4" t="inlineStr">
        <is>
          <t>Reported</t>
        </is>
      </c>
      <c r="F4" t="inlineStr">
        <is>
          <t>6-K 2025-11-12 acc 0001104659-25-109806 tm2530882d1_ex99-1.htm comparative | https://www.sec.gov/Archives/edgar/data/1513845/000110465925109806/tm2530882d1_ex99-1.htm</t>
        </is>
      </c>
      <c r="G4" t="inlineStr">
        <is>
          <t>orig. 43.3 incl. Toloka</t>
        </is>
      </c>
    </row>
    <row r="5">
      <c r="A5" t="inlineStr">
        <is>
          <t>E2</t>
        </is>
      </c>
      <c r="B5" t="inlineStr">
        <is>
          <t>Revenue - group (continuing ops, latest restated basis, $M)</t>
        </is>
      </c>
      <c r="C5" t="inlineStr">
        <is>
          <t>Q4 2024</t>
        </is>
      </c>
      <c r="D5" t="n">
        <v>35.2</v>
      </c>
      <c r="E5" t="inlineStr">
        <is>
          <t>Reported</t>
        </is>
      </c>
      <c r="F5" t="inlineStr">
        <is>
          <t>6-K 2026-02-12 acc 0001104659-26-013946 tm266173d1_ex99-1.htm comparative | https://www.sec.gov/Archives/edgar/data/1513845/000110465926013946/tm266173d1_ex99-1.htm</t>
        </is>
      </c>
      <c r="G5" t="inlineStr">
        <is>
          <t>orig. 37.9 incl. Toloka</t>
        </is>
      </c>
    </row>
    <row r="6">
      <c r="A6" t="inlineStr">
        <is>
          <t>F2</t>
        </is>
      </c>
      <c r="B6" t="inlineStr">
        <is>
          <t>Revenue - group (continuing ops, latest restated basis, $M)</t>
        </is>
      </c>
      <c r="C6" t="inlineStr">
        <is>
          <t>Q1 2025</t>
        </is>
      </c>
      <c r="D6" t="n">
        <v>50.9</v>
      </c>
      <c r="E6" t="inlineStr">
        <is>
          <t>Reported</t>
        </is>
      </c>
      <c r="F6" t="inlineStr">
        <is>
          <t>6-K 2026-05-13 acc 0001104659-26-059872 tm2614392d1_ex99-1.htm comparative | https://www.sec.gov/Archives/edgar/data/1513845/000110465926059872/tm2614392d1_ex99-1.htm</t>
        </is>
      </c>
      <c r="G6" t="inlineStr">
        <is>
          <t>orig. 55.3 incl. Toloka</t>
        </is>
      </c>
    </row>
    <row r="7">
      <c r="A7" t="inlineStr">
        <is>
          <t>G2</t>
        </is>
      </c>
      <c r="B7" t="inlineStr">
        <is>
          <t>Revenue - group (continuing ops, latest restated basis, $M)</t>
        </is>
      </c>
      <c r="C7" t="inlineStr">
        <is>
          <t>Q2 2025</t>
        </is>
      </c>
      <c r="D7" t="n">
        <v>105.1</v>
      </c>
      <c r="E7" t="inlineStr">
        <is>
          <t>Reported</t>
        </is>
      </c>
      <c r="F7" t="inlineStr">
        <is>
          <t>6-K 2025-08-07 acc 0001104659-25-075028 tm2522866d1_ex99-1.htm | https://www.sec.gov/Archives/edgar/data/1513845/000110465925075028/tm2522866d1_ex99-1.htm</t>
        </is>
      </c>
      <c r="G7" t="inlineStr"/>
    </row>
    <row r="8">
      <c r="A8" t="inlineStr">
        <is>
          <t>H2</t>
        </is>
      </c>
      <c r="B8" t="inlineStr">
        <is>
          <t>Revenue - group (continuing ops, latest restated basis, $M)</t>
        </is>
      </c>
      <c r="C8" t="inlineStr">
        <is>
          <t>Q3 2025</t>
        </is>
      </c>
      <c r="D8" t="n">
        <v>146.1</v>
      </c>
      <c r="E8" t="inlineStr">
        <is>
          <t>Reported</t>
        </is>
      </c>
      <c r="F8" t="inlineStr">
        <is>
          <t>6-K 2025-11-12 acc 0001104659-25-109806 tm2530882d1_ex99-1.htm | https://www.sec.gov/Archives/edgar/data/1513845/000110465925109806/tm2530882d1_ex99-1.htm</t>
        </is>
      </c>
      <c r="G8" t="inlineStr"/>
    </row>
    <row r="9">
      <c r="A9" t="inlineStr">
        <is>
          <t>I2</t>
        </is>
      </c>
      <c r="B9" t="inlineStr">
        <is>
          <t>Revenue - group (continuing ops, latest restated basis, $M)</t>
        </is>
      </c>
      <c r="C9" t="inlineStr">
        <is>
          <t>Q4 2025</t>
        </is>
      </c>
      <c r="D9" t="n">
        <v>227.7</v>
      </c>
      <c r="E9" t="inlineStr">
        <is>
          <t>Reported</t>
        </is>
      </c>
      <c r="F9" t="inlineStr">
        <is>
          <t>6-K 2026-02-12 acc 0001104659-26-013946 tm266173d1_ex99-1.htm | https://www.sec.gov/Archives/edgar/data/1513845/000110465926013946/tm266173d1_ex99-1.htm</t>
        </is>
      </c>
      <c r="G9" t="inlineStr"/>
    </row>
    <row r="10">
      <c r="A10" t="inlineStr">
        <is>
          <t>J2</t>
        </is>
      </c>
      <c r="B10" t="inlineStr">
        <is>
          <t>Revenue - group (continuing ops, latest restated basis, $M)</t>
        </is>
      </c>
      <c r="C10" t="inlineStr">
        <is>
          <t>Q1 2026</t>
        </is>
      </c>
      <c r="D10" t="n">
        <v>399</v>
      </c>
      <c r="E10" t="inlineStr">
        <is>
          <t>Reported</t>
        </is>
      </c>
      <c r="F10" t="inlineStr">
        <is>
          <t>6-K 2026-05-13 acc 0001104659-26-059872 tm2614392d1_ex99-1.htm | https://www.sec.gov/Archives/edgar/data/1513845/000110465926059872/tm2614392d1_ex99-1.htm</t>
        </is>
      </c>
      <c r="G10" t="inlineStr"/>
    </row>
    <row r="11">
      <c r="A11" t="inlineStr">
        <is>
          <t>K2</t>
        </is>
      </c>
      <c r="B11" t="inlineStr">
        <is>
          <t>Revenue - group (continuing ops, latest restated basis, $M)</t>
        </is>
      </c>
      <c r="C11" t="inlineStr">
        <is>
          <t>Q2 2026</t>
        </is>
      </c>
      <c r="D11" t="n">
        <v>582.3</v>
      </c>
      <c r="E11" t="inlineStr">
        <is>
          <t>Reported</t>
        </is>
      </c>
      <c r="F11" t="inlineStr">
        <is>
          <t>6-K 2026-08-12 acc 0001104659-26-094568 tm2622968d1_ex99-1.htm | https://www.sec.gov/Archives/edgar/data/1513845/000110465926094568/tm2622968d1_ex99-1.htm</t>
        </is>
      </c>
      <c r="G11" t="inlineStr"/>
    </row>
    <row r="12">
      <c r="A12" t="inlineStr">
        <is>
          <t>B3</t>
        </is>
      </c>
      <c r="B12" t="inlineStr">
        <is>
          <t>Revenue - as originally reported (incl. Toloka through Q1-25, $M)</t>
        </is>
      </c>
      <c r="C12" t="inlineStr">
        <is>
          <t>Q1 2024</t>
        </is>
      </c>
      <c r="D12" t="n">
        <v>11.4</v>
      </c>
      <c r="E12" t="inlineStr">
        <is>
          <t>Derived</t>
        </is>
      </c>
      <c r="F12" t="inlineStr">
        <is>
          <t>6-K 2024-08-01 acc 0001513845-24-000024 tmb-20240630xex99d1.htm H1 36.3 - Q2 24.9 | https://www.sec.gov/Archives/edgar/data/1513845/000151384524000024/tmb-20240630xex99d1.htm</t>
        </is>
      </c>
      <c r="G12" t="inlineStr">
        <is>
          <t>matches Q1 2025 PR comparative | derivation: H1 36.3 - Q2 24.9</t>
        </is>
      </c>
    </row>
    <row r="13">
      <c r="A13" t="inlineStr">
        <is>
          <t>C3</t>
        </is>
      </c>
      <c r="B13" t="inlineStr">
        <is>
          <t>Revenue - as originally reported (incl. Toloka through Q1-25, $M)</t>
        </is>
      </c>
      <c r="C13" t="inlineStr">
        <is>
          <t>Q2 2024</t>
        </is>
      </c>
      <c r="D13" t="n">
        <v>24.9</v>
      </c>
      <c r="E13" t="inlineStr">
        <is>
          <t>Reported</t>
        </is>
      </c>
      <c r="F13" t="inlineStr">
        <is>
          <t>6-K 2024-08-01 acc 0001513845-24-000024 tmb-20240630xex99d1.htm | https://www.sec.gov/Archives/edgar/data/1513845/000151384524000024/tmb-20240630xex99d1.htm</t>
        </is>
      </c>
      <c r="G13" t="inlineStr"/>
    </row>
    <row r="14">
      <c r="A14" t="inlineStr">
        <is>
          <t>D3</t>
        </is>
      </c>
      <c r="B14" t="inlineStr">
        <is>
          <t>Revenue - as originally reported (incl. Toloka through Q1-25, $M)</t>
        </is>
      </c>
      <c r="C14" t="inlineStr">
        <is>
          <t>Q3 2024</t>
        </is>
      </c>
      <c r="D14" t="n">
        <v>43.3</v>
      </c>
      <c r="E14" t="inlineStr">
        <is>
          <t>Reported</t>
        </is>
      </c>
      <c r="F14" t="inlineStr">
        <is>
          <t>6-K 2024-10-31 acc 0001104659-24-112875 tm2427209d1_ex99-1.htm | https://www.sec.gov/Archives/edgar/data/1513845/000110465924112875/tm2427209d1_ex99-1.htm</t>
        </is>
      </c>
      <c r="G14" t="inlineStr"/>
    </row>
    <row r="15">
      <c r="A15" t="inlineStr">
        <is>
          <t>E3</t>
        </is>
      </c>
      <c r="B15" t="inlineStr">
        <is>
          <t>Revenue - as originally reported (incl. Toloka through Q1-25, $M)</t>
        </is>
      </c>
      <c r="C15" t="inlineStr">
        <is>
          <t>Q4 2024</t>
        </is>
      </c>
      <c r="D15" t="n">
        <v>37.9</v>
      </c>
      <c r="E15" t="inlineStr">
        <is>
          <t>Reported</t>
        </is>
      </c>
      <c r="F15" t="inlineStr">
        <is>
          <t>6-K 2025-02-20 acc 0001104659-25-015480 tm257185d1_ex99-1.htm | https://www.sec.gov/Archives/edgar/data/1513845/000110465925015480/tm257185d1_ex99-1.htm</t>
        </is>
      </c>
      <c r="G15" t="inlineStr"/>
    </row>
    <row r="16">
      <c r="A16" t="inlineStr">
        <is>
          <t>F3</t>
        </is>
      </c>
      <c r="B16" t="inlineStr">
        <is>
          <t>Revenue - as originally reported (incl. Toloka through Q1-25, $M)</t>
        </is>
      </c>
      <c r="C16" t="inlineStr">
        <is>
          <t>Q1 2025</t>
        </is>
      </c>
      <c r="D16" t="n">
        <v>55.3</v>
      </c>
      <c r="E16" t="inlineStr">
        <is>
          <t>Reported</t>
        </is>
      </c>
      <c r="F16" t="inlineStr">
        <is>
          <t>6-K 2025-05-20 acc 0001104659-25-050975 tm2515580d1_ex99-1.htm | https://www.sec.gov/Archives/edgar/data/1513845/000110465925050975/tm2515580d1_ex99-1.htm</t>
        </is>
      </c>
      <c r="G16" t="inlineStr"/>
    </row>
    <row r="17">
      <c r="A17" t="inlineStr">
        <is>
          <t>G3</t>
        </is>
      </c>
      <c r="B17" t="inlineStr">
        <is>
          <t>Revenue - as originally reported (incl. Toloka through Q1-25, $M)</t>
        </is>
      </c>
      <c r="C17" t="inlineStr">
        <is>
          <t>Q2 2025</t>
        </is>
      </c>
      <c r="D17" t="n">
        <v>105.1</v>
      </c>
      <c r="E17" t="inlineStr">
        <is>
          <t>Reported</t>
        </is>
      </c>
      <c r="F17" t="inlineStr">
        <is>
          <t>6-K 2025-08-07 acc 0001104659-25-075028 tm2522866d1_ex99-1.htm | https://www.sec.gov/Archives/edgar/data/1513845/000110465925075028/tm2522866d1_ex99-1.htm</t>
        </is>
      </c>
      <c r="G17" t="inlineStr"/>
    </row>
    <row r="18">
      <c r="A18" t="inlineStr">
        <is>
          <t>H3</t>
        </is>
      </c>
      <c r="B18" t="inlineStr">
        <is>
          <t>Revenue - as originally reported (incl. Toloka through Q1-25, $M)</t>
        </is>
      </c>
      <c r="C18" t="inlineStr">
        <is>
          <t>Q3 2025</t>
        </is>
      </c>
      <c r="D18" t="n">
        <v>146.1</v>
      </c>
      <c r="E18" t="inlineStr">
        <is>
          <t>Reported</t>
        </is>
      </c>
      <c r="F18" t="inlineStr">
        <is>
          <t>6-K 2025-11-12 acc 0001104659-25-109806 tm2530882d1_ex99-1.htm | https://www.sec.gov/Archives/edgar/data/1513845/000110465925109806/tm2530882d1_ex99-1.htm</t>
        </is>
      </c>
      <c r="G18" t="inlineStr"/>
    </row>
    <row r="19">
      <c r="A19" t="inlineStr">
        <is>
          <t>I3</t>
        </is>
      </c>
      <c r="B19" t="inlineStr">
        <is>
          <t>Revenue - as originally reported (incl. Toloka through Q1-25, $M)</t>
        </is>
      </c>
      <c r="C19" t="inlineStr">
        <is>
          <t>Q4 2025</t>
        </is>
      </c>
      <c r="D19" t="n">
        <v>227.7</v>
      </c>
      <c r="E19" t="inlineStr">
        <is>
          <t>Reported</t>
        </is>
      </c>
      <c r="F19" t="inlineStr">
        <is>
          <t>6-K 2026-02-12 acc 0001104659-26-013946 tm266173d1_ex99-1.htm | https://www.sec.gov/Archives/edgar/data/1513845/000110465926013946/tm266173d1_ex99-1.htm</t>
        </is>
      </c>
      <c r="G19" t="inlineStr"/>
    </row>
    <row r="20">
      <c r="A20" t="inlineStr">
        <is>
          <t>J3</t>
        </is>
      </c>
      <c r="B20" t="inlineStr">
        <is>
          <t>Revenue - as originally reported (incl. Toloka through Q1-25, $M)</t>
        </is>
      </c>
      <c r="C20" t="inlineStr">
        <is>
          <t>Q1 2026</t>
        </is>
      </c>
      <c r="D20" t="n">
        <v>399</v>
      </c>
      <c r="E20" t="inlineStr">
        <is>
          <t>Reported</t>
        </is>
      </c>
      <c r="F20" t="inlineStr">
        <is>
          <t>6-K 2026-05-13 acc 0001104659-26-059872 tm2614392d1_ex99-1.htm | https://www.sec.gov/Archives/edgar/data/1513845/000110465926059872/tm2614392d1_ex99-1.htm</t>
        </is>
      </c>
      <c r="G20" t="inlineStr"/>
    </row>
    <row r="21">
      <c r="A21" t="inlineStr">
        <is>
          <t>K3</t>
        </is>
      </c>
      <c r="B21" t="inlineStr">
        <is>
          <t>Revenue - as originally reported (incl. Toloka through Q1-25, $M)</t>
        </is>
      </c>
      <c r="C21" t="inlineStr">
        <is>
          <t>Q2 2026</t>
        </is>
      </c>
      <c r="D21" t="n">
        <v>582.3</v>
      </c>
      <c r="E21" t="inlineStr">
        <is>
          <t>Reported</t>
        </is>
      </c>
      <c r="F21" t="inlineStr">
        <is>
          <t>6-K 2026-08-12 acc 0001104659-26-094568 tm2622968d1_ex99-1.htm | https://www.sec.gov/Archives/edgar/data/1513845/000110465926094568/tm2622968d1_ex99-1.htm</t>
        </is>
      </c>
      <c r="G21" t="inlineStr"/>
    </row>
    <row r="22">
      <c r="A22" t="inlineStr">
        <is>
          <t>B4</t>
        </is>
      </c>
      <c r="B22" t="inlineStr">
        <is>
          <t>Segment revenue - Nebius AI cloud ($M)</t>
        </is>
      </c>
      <c r="C22" t="inlineStr">
        <is>
          <t>Q1 2024</t>
        </is>
      </c>
      <c r="D22" t="inlineStr">
        <is>
          <t>not disclosed</t>
        </is>
      </c>
      <c r="E22" t="inlineStr">
        <is>
          <t>Not disclosed</t>
        </is>
      </c>
      <c r="F22" t="inlineStr">
        <is>
          <t>6-K 2025-09-10 acc 0001104659-25-088860 tm2525580d2_ex99-1.htm | https://www.sec.gov/Archives/edgar/data/1513845/000110465925088860/tm2525580d2_ex99-1.htm</t>
        </is>
      </c>
      <c r="G22" t="inlineStr">
        <is>
          <t>H1-24 total 17.4 (H1FS25); quarterly split not disclosed</t>
        </is>
      </c>
    </row>
    <row r="23">
      <c r="A23" t="inlineStr">
        <is>
          <t>C4</t>
        </is>
      </c>
      <c r="B23" t="inlineStr">
        <is>
          <t>Segment revenue - Nebius AI cloud ($M)</t>
        </is>
      </c>
      <c r="C23" t="inlineStr">
        <is>
          <t>Q2 2024</t>
        </is>
      </c>
      <c r="D23" t="inlineStr">
        <is>
          <t>not disclosed</t>
        </is>
      </c>
      <c r="E23" t="inlineStr">
        <is>
          <t>Not disclosed</t>
        </is>
      </c>
      <c r="F23" t="inlineStr">
        <is>
          <t>6-K 2025-09-10 acc 0001104659-25-088860 tm2525580d2_ex99-1.htm | https://www.sec.gov/Archives/edgar/data/1513845/000110465925088860/tm2525580d2_ex99-1.htm</t>
        </is>
      </c>
      <c r="G23" t="inlineStr">
        <is>
          <t>H1-24 total 17.4</t>
        </is>
      </c>
    </row>
    <row r="24">
      <c r="A24" t="inlineStr">
        <is>
          <t>D4</t>
        </is>
      </c>
      <c r="B24" t="inlineStr">
        <is>
          <t>Segment revenue - Nebius AI cloud ($M)</t>
        </is>
      </c>
      <c r="C24" t="inlineStr">
        <is>
          <t>Q3 2024</t>
        </is>
      </c>
      <c r="D24" t="n">
        <v>27.1</v>
      </c>
      <c r="E24" t="inlineStr">
        <is>
          <t>Derived</t>
        </is>
      </c>
      <c r="F24" t="inlineStr">
        <is>
          <t>6-K 2025-11-13 acc 0001104659-25-110831 tm2531034d1_ex99-1.htm 9M 44.5 - H1 17.4; also reported Q3 comparative | https://www.sec.gov/Archives/edgar/data/1513845/000110465925110831/tm2531034d1_ex99-1.htm</t>
        </is>
      </c>
      <c r="G24" t="inlineStr">
        <is>
          <t>reported 27.1 | derivation: 9M 44.5 - H1 17.4; also reported Q3 comparative</t>
        </is>
      </c>
    </row>
    <row r="25">
      <c r="A25" t="inlineStr">
        <is>
          <t>E4</t>
        </is>
      </c>
      <c r="B25" t="inlineStr">
        <is>
          <t>Segment revenue - Nebius AI cloud ($M)</t>
        </is>
      </c>
      <c r="C25" t="inlineStr">
        <is>
          <t>Q4 2024</t>
        </is>
      </c>
      <c r="D25" t="n">
        <v>23.8</v>
      </c>
      <c r="E25" t="inlineStr">
        <is>
          <t>Derived</t>
        </is>
      </c>
      <c r="F25" t="inlineStr">
        <is>
          <t>20-F 2026-04-30 acc 0001104659-26-052948 nbis-20251231x20f.htm FY24 68.3 - 9M 44.5 | https://www.sec.gov/Archives/edgar/data/1513845/000110465926052948/nbis-20251231x20f.htm</t>
        </is>
      </c>
      <c r="G25" t="inlineStr">
        <is>
          <t>derivation: FY24 68.3 - 9M 44.5</t>
        </is>
      </c>
    </row>
    <row r="26">
      <c r="A26" t="inlineStr">
        <is>
          <t>F4</t>
        </is>
      </c>
      <c r="B26" t="inlineStr">
        <is>
          <t>Segment revenue - Nebius AI cloud ($M)</t>
        </is>
      </c>
      <c r="C26" t="inlineStr">
        <is>
          <t>Q1 2025</t>
        </is>
      </c>
      <c r="D26" t="n">
        <v>41.4</v>
      </c>
      <c r="E26" t="inlineStr">
        <is>
          <t>Reported</t>
        </is>
      </c>
      <c r="F26" t="inlineStr">
        <is>
          <t>6-K 2026-05-20 acc 0001104659-26-064092 nbis-20260331xex99d2.htm Note segments | https://www.sec.gov/Archives/edgar/data/1513845/000110465926064092/nbis-20260331xex99d2.htm</t>
        </is>
      </c>
      <c r="G26" t="inlineStr"/>
    </row>
    <row r="27">
      <c r="A27" t="inlineStr">
        <is>
          <t>G4</t>
        </is>
      </c>
      <c r="B27" t="inlineStr">
        <is>
          <t>Segment revenue - Nebius AI cloud ($M)</t>
        </is>
      </c>
      <c r="C27" t="inlineStr">
        <is>
          <t>Q2 2025</t>
        </is>
      </c>
      <c r="D27" t="n">
        <v>93.7</v>
      </c>
      <c r="E27" t="inlineStr">
        <is>
          <t>Reported</t>
        </is>
      </c>
      <c r="F27" t="inlineStr">
        <is>
          <t>6-K 2026-08-12 acc 0001104659-26-094844 nbis-20260812xex99d2.htm Note 15 | https://www.sec.gov/Archives/edgar/data/1513845/000110465926094844/nbis-20260812xex99d2.htm</t>
        </is>
      </c>
      <c r="G27" t="inlineStr"/>
    </row>
    <row r="28">
      <c r="A28" t="inlineStr">
        <is>
          <t>H4</t>
        </is>
      </c>
      <c r="B28" t="inlineStr">
        <is>
          <t>Segment revenue - Nebius AI cloud ($M)</t>
        </is>
      </c>
      <c r="C28" t="inlineStr">
        <is>
          <t>Q3 2025</t>
        </is>
      </c>
      <c r="D28" t="n">
        <v>131.1</v>
      </c>
      <c r="E28" t="inlineStr">
        <is>
          <t>Reported</t>
        </is>
      </c>
      <c r="F28" t="inlineStr">
        <is>
          <t>6-K 2025-11-13 acc 0001104659-25-110831 tm2531034d1_ex99-1.htm | https://www.sec.gov/Archives/edgar/data/1513845/000110465925110831/tm2531034d1_ex99-1.htm</t>
        </is>
      </c>
      <c r="G28" t="inlineStr"/>
    </row>
    <row r="29">
      <c r="A29" t="inlineStr">
        <is>
          <t>I4</t>
        </is>
      </c>
      <c r="B29" t="inlineStr">
        <is>
          <t>Segment revenue - Nebius AI cloud ($M)</t>
        </is>
      </c>
      <c r="C29" t="inlineStr">
        <is>
          <t>Q4 2025</t>
        </is>
      </c>
      <c r="D29" t="n">
        <v>214.1</v>
      </c>
      <c r="E29" t="inlineStr">
        <is>
          <t>Derived</t>
        </is>
      </c>
      <c r="F29" t="inlineStr">
        <is>
          <t>20-F 2026-04-30 acc 0001104659-26-052948 nbis-20251231x20f.htm FY25 480.3 - 9M 266.2 | https://www.sec.gov/Archives/edgar/data/1513845/000110465926052948/nbis-20251231x20f.htm</t>
        </is>
      </c>
      <c r="G29" t="inlineStr">
        <is>
          <t>derivation: FY25 480.3 - 9M 266.2</t>
        </is>
      </c>
    </row>
    <row r="30">
      <c r="A30" t="inlineStr">
        <is>
          <t>J4</t>
        </is>
      </c>
      <c r="B30" t="inlineStr">
        <is>
          <t>Segment revenue - Nebius AI cloud ($M)</t>
        </is>
      </c>
      <c r="C30" t="inlineStr">
        <is>
          <t>Q1 2026</t>
        </is>
      </c>
      <c r="D30" t="n">
        <v>389.7</v>
      </c>
      <c r="E30" t="inlineStr">
        <is>
          <t>Reported</t>
        </is>
      </c>
      <c r="F30" t="inlineStr">
        <is>
          <t>6-K 2026-05-20 acc 0001104659-26-064092 nbis-20260331xex99d2.htm | https://www.sec.gov/Archives/edgar/data/1513845/000110465926064092/nbis-20260331xex99d2.htm</t>
        </is>
      </c>
      <c r="G30" t="inlineStr"/>
    </row>
    <row r="31">
      <c r="A31" t="inlineStr">
        <is>
          <t>K4</t>
        </is>
      </c>
      <c r="B31" t="inlineStr">
        <is>
          <t>Segment revenue - Nebius AI cloud ($M)</t>
        </is>
      </c>
      <c r="C31" t="inlineStr">
        <is>
          <t>Q2 2026</t>
        </is>
      </c>
      <c r="D31" t="n">
        <v>574.9</v>
      </c>
      <c r="E31" t="inlineStr">
        <is>
          <t>Reported</t>
        </is>
      </c>
      <c r="F31" t="inlineStr">
        <is>
          <t>6-K 2026-08-12 acc 0001104659-26-094844 nbis-20260812xex99d2.htm Note 15 | https://www.sec.gov/Archives/edgar/data/1513845/000110465926094844/nbis-20260812xex99d2.htm</t>
        </is>
      </c>
      <c r="G31" t="inlineStr"/>
    </row>
    <row r="32">
      <c r="A32" t="inlineStr">
        <is>
          <t>B5</t>
        </is>
      </c>
      <c r="B32" t="inlineStr">
        <is>
          <t>Segment revenue - Avride ($M)</t>
        </is>
      </c>
      <c r="C32" t="inlineStr">
        <is>
          <t>Q1 2024</t>
        </is>
      </c>
      <c r="D32" t="inlineStr">
        <is>
          <t>not disclosed</t>
        </is>
      </c>
      <c r="E32" t="inlineStr">
        <is>
          <t>Not disclosed</t>
        </is>
      </c>
      <c r="F32" t="inlineStr">
        <is>
          <t>6-K 2025-09-10 acc 0001104659-25-088860 tm2525580d2_ex99-1.htm | https://www.sec.gov/Archives/edgar/data/1513845/000110465925088860/tm2525580d2_ex99-1.htm</t>
        </is>
      </c>
      <c r="G32" t="inlineStr">
        <is>
          <t>H1-24 total 0.1</t>
        </is>
      </c>
    </row>
    <row r="33">
      <c r="A33" t="inlineStr">
        <is>
          <t>C5</t>
        </is>
      </c>
      <c r="B33" t="inlineStr">
        <is>
          <t>Segment revenue - Avride ($M)</t>
        </is>
      </c>
      <c r="C33" t="inlineStr">
        <is>
          <t>Q2 2024</t>
        </is>
      </c>
      <c r="D33" t="inlineStr">
        <is>
          <t>not disclosed</t>
        </is>
      </c>
      <c r="E33" t="inlineStr">
        <is>
          <t>Not disclosed</t>
        </is>
      </c>
      <c r="F33" t="inlineStr">
        <is>
          <t>6-K 2025-09-10 acc 0001104659-25-088860 tm2525580d2_ex99-1.htm | https://www.sec.gov/Archives/edgar/data/1513845/000110465925088860/tm2525580d2_ex99-1.htm</t>
        </is>
      </c>
      <c r="G33" t="inlineStr">
        <is>
          <t>H1-24 total 0.1</t>
        </is>
      </c>
    </row>
    <row r="34">
      <c r="A34" t="inlineStr">
        <is>
          <t>D5</t>
        </is>
      </c>
      <c r="B34" t="inlineStr">
        <is>
          <t>Segment revenue - Avride ($M)</t>
        </is>
      </c>
      <c r="C34" t="inlineStr">
        <is>
          <t>Q3 2024</t>
        </is>
      </c>
      <c r="D34" t="n">
        <v>0.1</v>
      </c>
      <c r="E34" t="inlineStr">
        <is>
          <t>Reported</t>
        </is>
      </c>
      <c r="F34" t="inlineStr">
        <is>
          <t>6-K 2025-11-13 acc 0001104659-25-110831 tm2531034d1_ex99-1.htm | https://www.sec.gov/Archives/edgar/data/1513845/000110465925110831/tm2531034d1_ex99-1.htm</t>
        </is>
      </c>
      <c r="G34" t="inlineStr"/>
    </row>
    <row r="35">
      <c r="A35" t="inlineStr">
        <is>
          <t>E5</t>
        </is>
      </c>
      <c r="B35" t="inlineStr">
        <is>
          <t>Segment revenue - Avride ($M)</t>
        </is>
      </c>
      <c r="C35" t="inlineStr">
        <is>
          <t>Q4 2024</t>
        </is>
      </c>
      <c r="D35" t="n">
        <v>0.1</v>
      </c>
      <c r="E35" t="inlineStr">
        <is>
          <t>Derived</t>
        </is>
      </c>
      <c r="F35" t="inlineStr">
        <is>
          <t>20-F 2026-04-30 acc 0001104659-26-052948 nbis-20251231x20f.htm FY 0.3 - 9M 0.2 | https://www.sec.gov/Archives/edgar/data/1513845/000110465926052948/nbis-20251231x20f.htm</t>
        </is>
      </c>
      <c r="G35" t="inlineStr">
        <is>
          <t>derivation: FY 0.3 - 9M 0.2</t>
        </is>
      </c>
    </row>
    <row r="36">
      <c r="A36" t="inlineStr">
        <is>
          <t>F5</t>
        </is>
      </c>
      <c r="B36" t="inlineStr">
        <is>
          <t>Segment revenue - Avride ($M)</t>
        </is>
      </c>
      <c r="C36" t="inlineStr">
        <is>
          <t>Q1 2025</t>
        </is>
      </c>
      <c r="D36" t="n">
        <v>0.2</v>
      </c>
      <c r="E36" t="inlineStr">
        <is>
          <t>Reported</t>
        </is>
      </c>
      <c r="F36" t="inlineStr">
        <is>
          <t>6-K 2026-05-20 acc 0001104659-26-064092 nbis-20260331xex99d2.htm | https://www.sec.gov/Archives/edgar/data/1513845/000110465926064092/nbis-20260331xex99d2.htm</t>
        </is>
      </c>
      <c r="G36" t="inlineStr"/>
    </row>
    <row r="37">
      <c r="A37" t="inlineStr">
        <is>
          <t>G5</t>
        </is>
      </c>
      <c r="B37" t="inlineStr">
        <is>
          <t>Segment revenue - Avride ($M)</t>
        </is>
      </c>
      <c r="C37" t="inlineStr">
        <is>
          <t>Q2 2025</t>
        </is>
      </c>
      <c r="D37" t="n">
        <v>0.2</v>
      </c>
      <c r="E37" t="inlineStr">
        <is>
          <t>Reported</t>
        </is>
      </c>
      <c r="F37" t="inlineStr">
        <is>
          <t>6-K 2026-08-12 acc 0001104659-26-094844 nbis-20260812xex99d2.htm | https://www.sec.gov/Archives/edgar/data/1513845/000110465926094844/nbis-20260812xex99d2.htm</t>
        </is>
      </c>
      <c r="G37" t="inlineStr"/>
    </row>
    <row r="38">
      <c r="A38" t="inlineStr">
        <is>
          <t>H5</t>
        </is>
      </c>
      <c r="B38" t="inlineStr">
        <is>
          <t>Segment revenue - Avride ($M)</t>
        </is>
      </c>
      <c r="C38" t="inlineStr">
        <is>
          <t>Q3 2025</t>
        </is>
      </c>
      <c r="D38" t="n">
        <v>0.2</v>
      </c>
      <c r="E38" t="inlineStr">
        <is>
          <t>Reported</t>
        </is>
      </c>
      <c r="F38" t="inlineStr">
        <is>
          <t>6-K 2025-11-13 acc 0001104659-25-110831 tm2531034d1_ex99-1.htm | https://www.sec.gov/Archives/edgar/data/1513845/000110465925110831/tm2531034d1_ex99-1.htm</t>
        </is>
      </c>
      <c r="G38" t="inlineStr"/>
    </row>
    <row r="39">
      <c r="A39" t="inlineStr">
        <is>
          <t>I5</t>
        </is>
      </c>
      <c r="B39" t="inlineStr">
        <is>
          <t>Segment revenue - Avride ($M)</t>
        </is>
      </c>
      <c r="C39" t="inlineStr">
        <is>
          <t>Q4 2025</t>
        </is>
      </c>
      <c r="D39" t="n">
        <v>0.7</v>
      </c>
      <c r="E39" t="inlineStr">
        <is>
          <t>Derived</t>
        </is>
      </c>
      <c r="F39" t="inlineStr">
        <is>
          <t>20-F 2026-04-30 acc 0001104659-26-052948 nbis-20251231x20f.htm FY 1.3 - 9M 0.6 | https://www.sec.gov/Archives/edgar/data/1513845/000110465926052948/nbis-20251231x20f.htm</t>
        </is>
      </c>
      <c r="G39" t="inlineStr">
        <is>
          <t>derivation: FY 1.3 - 9M 0.6</t>
        </is>
      </c>
    </row>
    <row r="40">
      <c r="A40" t="inlineStr">
        <is>
          <t>J5</t>
        </is>
      </c>
      <c r="B40" t="inlineStr">
        <is>
          <t>Segment revenue - Avride ($M)</t>
        </is>
      </c>
      <c r="C40" t="inlineStr">
        <is>
          <t>Q1 2026</t>
        </is>
      </c>
      <c r="D40" t="n">
        <v>0.9</v>
      </c>
      <c r="E40" t="inlineStr">
        <is>
          <t>Reported</t>
        </is>
      </c>
      <c r="F40" t="inlineStr">
        <is>
          <t>6-K 2026-05-20 acc 0001104659-26-064092 nbis-20260331xex99d2.htm | https://www.sec.gov/Archives/edgar/data/1513845/000110465926064092/nbis-20260331xex99d2.htm</t>
        </is>
      </c>
      <c r="G40" t="inlineStr"/>
    </row>
    <row r="41">
      <c r="A41" t="inlineStr">
        <is>
          <t>K5</t>
        </is>
      </c>
      <c r="B41" t="inlineStr">
        <is>
          <t>Segment revenue - Avride ($M)</t>
        </is>
      </c>
      <c r="C41" t="inlineStr">
        <is>
          <t>Q2 2026</t>
        </is>
      </c>
      <c r="D41" t="n">
        <v>1</v>
      </c>
      <c r="E41" t="inlineStr">
        <is>
          <t>Reported</t>
        </is>
      </c>
      <c r="F41" t="inlineStr">
        <is>
          <t>6-K 2026-08-12 acc 0001104659-26-094844 nbis-20260812xex99d2.htm | https://www.sec.gov/Archives/edgar/data/1513845/000110465926094844/nbis-20260812xex99d2.htm</t>
        </is>
      </c>
      <c r="G41" t="inlineStr"/>
    </row>
    <row r="42">
      <c r="A42" t="inlineStr">
        <is>
          <t>B6</t>
        </is>
      </c>
      <c r="B42" t="inlineStr">
        <is>
          <t>Segment revenue - TripleTen ($M)</t>
        </is>
      </c>
      <c r="C42" t="inlineStr">
        <is>
          <t>Q1 2024</t>
        </is>
      </c>
      <c r="D42" t="inlineStr">
        <is>
          <t>not disclosed</t>
        </is>
      </c>
      <c r="E42" t="inlineStr">
        <is>
          <t>Not disclosed</t>
        </is>
      </c>
      <c r="F42" t="inlineStr">
        <is>
          <t>6-K 2025-09-10 acc 0001104659-25-088860 tm2525580d2_ex99-1.htm | https://www.sec.gov/Archives/edgar/data/1513845/000110465925088860/tm2525580d2_ex99-1.htm</t>
        </is>
      </c>
      <c r="G42" t="inlineStr">
        <is>
          <t>H1-24 total 10.2</t>
        </is>
      </c>
    </row>
    <row r="43">
      <c r="A43" t="inlineStr">
        <is>
          <t>C6</t>
        </is>
      </c>
      <c r="B43" t="inlineStr">
        <is>
          <t>Segment revenue - TripleTen ($M)</t>
        </is>
      </c>
      <c r="C43" t="inlineStr">
        <is>
          <t>Q2 2024</t>
        </is>
      </c>
      <c r="D43" t="inlineStr">
        <is>
          <t>not disclosed</t>
        </is>
      </c>
      <c r="E43" t="inlineStr">
        <is>
          <t>Not disclosed</t>
        </is>
      </c>
      <c r="F43" t="inlineStr">
        <is>
          <t>6-K 2025-09-10 acc 0001104659-25-088860 tm2525580d2_ex99-1.htm | https://www.sec.gov/Archives/edgar/data/1513845/000110465925088860/tm2525580d2_ex99-1.htm</t>
        </is>
      </c>
      <c r="G43" t="inlineStr">
        <is>
          <t>H1-24 total 10.2</t>
        </is>
      </c>
    </row>
    <row r="44">
      <c r="A44" t="inlineStr">
        <is>
          <t>D6</t>
        </is>
      </c>
      <c r="B44" t="inlineStr">
        <is>
          <t>Segment revenue - TripleTen ($M)</t>
        </is>
      </c>
      <c r="C44" t="inlineStr">
        <is>
          <t>Q3 2024</t>
        </is>
      </c>
      <c r="D44" t="n">
        <v>6.3</v>
      </c>
      <c r="E44" t="inlineStr">
        <is>
          <t>Reported</t>
        </is>
      </c>
      <c r="F44" t="inlineStr">
        <is>
          <t>6-K 2025-11-13 acc 0001104659-25-110831 tm2531034d1_ex99-1.htm | https://www.sec.gov/Archives/edgar/data/1513845/000110465925110831/tm2531034d1_ex99-1.htm</t>
        </is>
      </c>
      <c r="G44" t="inlineStr"/>
    </row>
    <row r="45">
      <c r="A45" t="inlineStr">
        <is>
          <t>E6</t>
        </is>
      </c>
      <c r="B45" t="inlineStr">
        <is>
          <t>Segment revenue - TripleTen ($M)</t>
        </is>
      </c>
      <c r="C45" t="inlineStr">
        <is>
          <t>Q4 2024</t>
        </is>
      </c>
      <c r="D45" t="n">
        <v>12.3</v>
      </c>
      <c r="E45" t="inlineStr">
        <is>
          <t>Derived</t>
        </is>
      </c>
      <c r="F45" t="inlineStr">
        <is>
          <t>20-F 2026-04-30 acc 0001104659-26-052948 nbis-20251231x20f.htm FY 28.8 - 9M 16.5 | https://www.sec.gov/Archives/edgar/data/1513845/000110465926052948/nbis-20251231x20f.htm</t>
        </is>
      </c>
      <c r="G45" t="inlineStr">
        <is>
          <t>derivation: FY 28.8 - 9M 16.5</t>
        </is>
      </c>
    </row>
    <row r="46">
      <c r="A46" t="inlineStr">
        <is>
          <t>F6</t>
        </is>
      </c>
      <c r="B46" t="inlineStr">
        <is>
          <t>Segment revenue - TripleTen ($M)</t>
        </is>
      </c>
      <c r="C46" t="inlineStr">
        <is>
          <t>Q1 2025</t>
        </is>
      </c>
      <c r="D46" t="n">
        <v>10.5</v>
      </c>
      <c r="E46" t="inlineStr">
        <is>
          <t>Reported</t>
        </is>
      </c>
      <c r="F46" t="inlineStr">
        <is>
          <t>6-K 2026-05-20 acc 0001104659-26-064092 nbis-20260331xex99d2.htm | https://www.sec.gov/Archives/edgar/data/1513845/000110465926064092/nbis-20260331xex99d2.htm</t>
        </is>
      </c>
      <c r="G46" t="inlineStr"/>
    </row>
    <row r="47">
      <c r="A47" t="inlineStr">
        <is>
          <t>G6</t>
        </is>
      </c>
      <c r="B47" t="inlineStr">
        <is>
          <t>Segment revenue - TripleTen ($M)</t>
        </is>
      </c>
      <c r="C47" t="inlineStr">
        <is>
          <t>Q2 2025</t>
        </is>
      </c>
      <c r="D47" t="n">
        <v>12.3</v>
      </c>
      <c r="E47" t="inlineStr">
        <is>
          <t>Reported</t>
        </is>
      </c>
      <c r="F47" t="inlineStr">
        <is>
          <t>6-K 2026-08-12 acc 0001104659-26-094844 nbis-20260812xex99d2.htm | https://www.sec.gov/Archives/edgar/data/1513845/000110465926094844/nbis-20260812xex99d2.htm</t>
        </is>
      </c>
      <c r="G47" t="inlineStr"/>
    </row>
    <row r="48">
      <c r="A48" t="inlineStr">
        <is>
          <t>H6</t>
        </is>
      </c>
      <c r="B48" t="inlineStr">
        <is>
          <t>Segment revenue - TripleTen ($M)</t>
        </is>
      </c>
      <c r="C48" t="inlineStr">
        <is>
          <t>Q3 2025</t>
        </is>
      </c>
      <c r="D48" t="n">
        <v>16.2</v>
      </c>
      <c r="E48" t="inlineStr">
        <is>
          <t>Reported</t>
        </is>
      </c>
      <c r="F48" t="inlineStr">
        <is>
          <t>6-K 2025-11-13 acc 0001104659-25-110831 tm2531034d1_ex99-1.htm | https://www.sec.gov/Archives/edgar/data/1513845/000110465925110831/tm2531034d1_ex99-1.htm</t>
        </is>
      </c>
      <c r="G48" t="inlineStr"/>
    </row>
    <row r="49">
      <c r="A49" t="inlineStr">
        <is>
          <t>I6</t>
        </is>
      </c>
      <c r="B49" t="inlineStr">
        <is>
          <t>Segment revenue - TripleTen ($M)</t>
        </is>
      </c>
      <c r="C49" t="inlineStr">
        <is>
          <t>Q4 2025</t>
        </is>
      </c>
      <c r="D49" t="n">
        <v>15.1</v>
      </c>
      <c r="E49" t="inlineStr">
        <is>
          <t>Derived</t>
        </is>
      </c>
      <c r="F49" t="inlineStr">
        <is>
          <t>20-F 2026-04-30 acc 0001104659-26-052948 nbis-20251231x20f.htm FY 54.1 - 9M 39.0 | https://www.sec.gov/Archives/edgar/data/1513845/000110465926052948/nbis-20251231x20f.htm</t>
        </is>
      </c>
      <c r="G49" t="inlineStr">
        <is>
          <t>derivation: FY 54.1 - 9M 39.0</t>
        </is>
      </c>
    </row>
    <row r="50">
      <c r="A50" t="inlineStr">
        <is>
          <t>J6</t>
        </is>
      </c>
      <c r="B50" t="inlineStr">
        <is>
          <t>Segment revenue - TripleTen ($M)</t>
        </is>
      </c>
      <c r="C50" t="inlineStr">
        <is>
          <t>Q1 2026</t>
        </is>
      </c>
      <c r="D50" t="n">
        <v>11.6</v>
      </c>
      <c r="E50" t="inlineStr">
        <is>
          <t>Reported</t>
        </is>
      </c>
      <c r="F50" t="inlineStr">
        <is>
          <t>6-K 2026-05-20 acc 0001104659-26-064092 nbis-20260331xex99d2.htm | https://www.sec.gov/Archives/edgar/data/1513845/000110465926064092/nbis-20260331xex99d2.htm</t>
        </is>
      </c>
      <c r="G50" t="inlineStr"/>
    </row>
    <row r="51">
      <c r="A51" t="inlineStr">
        <is>
          <t>K6</t>
        </is>
      </c>
      <c r="B51" t="inlineStr">
        <is>
          <t>Segment revenue - TripleTen ($M)</t>
        </is>
      </c>
      <c r="C51" t="inlineStr">
        <is>
          <t>Q2 2026</t>
        </is>
      </c>
      <c r="D51" t="n">
        <v>10</v>
      </c>
      <c r="E51" t="inlineStr">
        <is>
          <t>Reported</t>
        </is>
      </c>
      <c r="F51" t="inlineStr">
        <is>
          <t>6-K 2026-08-12 acc 0001104659-26-094844 nbis-20260812xex99d2.htm | https://www.sec.gov/Archives/edgar/data/1513845/000110465926094844/nbis-20260812xex99d2.htm</t>
        </is>
      </c>
      <c r="G51" t="inlineStr"/>
    </row>
    <row r="52">
      <c r="A52" t="inlineStr">
        <is>
          <t>B7</t>
        </is>
      </c>
      <c r="B52" t="inlineStr">
        <is>
          <t>Segment revenue - Eliminations ($M)</t>
        </is>
      </c>
      <c r="C52" t="inlineStr">
        <is>
          <t>Q1 2024</t>
        </is>
      </c>
      <c r="D52" t="inlineStr">
        <is>
          <t>not disclosed</t>
        </is>
      </c>
      <c r="E52" t="inlineStr">
        <is>
          <t>Not disclosed</t>
        </is>
      </c>
      <c r="F52" t="inlineStr">
        <is>
          <t>6-K 2025-09-10 acc 0001104659-25-088860 tm2525580d2_ex99-1.htm | https://www.sec.gov/Archives/edgar/data/1513845/000110465925088860/tm2525580d2_ex99-1.htm</t>
        </is>
      </c>
      <c r="G52" t="inlineStr">
        <is>
          <t>H1-24 total -3.5</t>
        </is>
      </c>
    </row>
    <row r="53">
      <c r="A53" t="inlineStr">
        <is>
          <t>C7</t>
        </is>
      </c>
      <c r="B53" t="inlineStr">
        <is>
          <t>Segment revenue - Eliminations ($M)</t>
        </is>
      </c>
      <c r="C53" t="inlineStr">
        <is>
          <t>Q2 2024</t>
        </is>
      </c>
      <c r="D53" t="inlineStr">
        <is>
          <t>not disclosed</t>
        </is>
      </c>
      <c r="E53" t="inlineStr">
        <is>
          <t>Not disclosed</t>
        </is>
      </c>
      <c r="F53" t="inlineStr">
        <is>
          <t>6-K 2025-09-10 acc 0001104659-25-088860 tm2525580d2_ex99-1.htm | https://www.sec.gov/Archives/edgar/data/1513845/000110465925088860/tm2525580d2_ex99-1.htm</t>
        </is>
      </c>
      <c r="G53" t="inlineStr">
        <is>
          <t>H1-24 total -3.5</t>
        </is>
      </c>
    </row>
    <row r="54">
      <c r="A54" t="inlineStr">
        <is>
          <t>D7</t>
        </is>
      </c>
      <c r="B54" t="inlineStr">
        <is>
          <t>Segment revenue - Eliminations ($M)</t>
        </is>
      </c>
      <c r="C54" t="inlineStr">
        <is>
          <t>Q3 2024</t>
        </is>
      </c>
      <c r="D54" t="n">
        <v>-1.4</v>
      </c>
      <c r="E54" t="inlineStr">
        <is>
          <t>Reported</t>
        </is>
      </c>
      <c r="F54" t="inlineStr">
        <is>
          <t>6-K 2025-11-13 acc 0001104659-25-110831 tm2531034d1_ex99-1.htm | https://www.sec.gov/Archives/edgar/data/1513845/000110465925110831/tm2531034d1_ex99-1.htm</t>
        </is>
      </c>
      <c r="G54" t="inlineStr"/>
    </row>
    <row r="55">
      <c r="A55" t="inlineStr">
        <is>
          <t>E7</t>
        </is>
      </c>
      <c r="B55" t="inlineStr">
        <is>
          <t>Segment revenue - Eliminations ($M)</t>
        </is>
      </c>
      <c r="C55" t="inlineStr">
        <is>
          <t>Q4 2024</t>
        </is>
      </c>
      <c r="D55" t="n">
        <v>-1</v>
      </c>
      <c r="E55" t="inlineStr">
        <is>
          <t>Derived</t>
        </is>
      </c>
      <c r="F55" t="inlineStr">
        <is>
          <t>20-F 2026-04-30 acc 0001104659-26-052948 nbis-20251231x20f.htm FY -5.9 - 9M -4.9 | https://www.sec.gov/Archives/edgar/data/1513845/000110465926052948/nbis-20251231x20f.htm</t>
        </is>
      </c>
      <c r="G55" t="inlineStr">
        <is>
          <t>derivation: FY -5.9 - 9M -4.9</t>
        </is>
      </c>
    </row>
    <row r="56">
      <c r="A56" t="inlineStr">
        <is>
          <t>F7</t>
        </is>
      </c>
      <c r="B56" t="inlineStr">
        <is>
          <t>Segment revenue - Eliminations ($M)</t>
        </is>
      </c>
      <c r="C56" t="inlineStr">
        <is>
          <t>Q1 2025</t>
        </is>
      </c>
      <c r="D56" t="n">
        <v>-1.2</v>
      </c>
      <c r="E56" t="inlineStr">
        <is>
          <t>Reported</t>
        </is>
      </c>
      <c r="F56" t="inlineStr">
        <is>
          <t>6-K 2026-05-20 acc 0001104659-26-064092 nbis-20260331xex99d2.htm | https://www.sec.gov/Archives/edgar/data/1513845/000110465926064092/nbis-20260331xex99d2.htm</t>
        </is>
      </c>
      <c r="G56" t="inlineStr"/>
    </row>
    <row r="57">
      <c r="A57" t="inlineStr">
        <is>
          <t>G7</t>
        </is>
      </c>
      <c r="B57" t="inlineStr">
        <is>
          <t>Segment revenue - Eliminations ($M)</t>
        </is>
      </c>
      <c r="C57" t="inlineStr">
        <is>
          <t>Q2 2025</t>
        </is>
      </c>
      <c r="D57" t="n">
        <v>-1.1</v>
      </c>
      <c r="E57" t="inlineStr">
        <is>
          <t>Reported</t>
        </is>
      </c>
      <c r="F57" t="inlineStr">
        <is>
          <t>6-K 2026-08-12 acc 0001104659-26-094844 nbis-20260812xex99d2.htm | https://www.sec.gov/Archives/edgar/data/1513845/000110465926094844/nbis-20260812xex99d2.htm</t>
        </is>
      </c>
      <c r="G57" t="inlineStr"/>
    </row>
    <row r="58">
      <c r="A58" t="inlineStr">
        <is>
          <t>H7</t>
        </is>
      </c>
      <c r="B58" t="inlineStr">
        <is>
          <t>Segment revenue - Eliminations ($M)</t>
        </is>
      </c>
      <c r="C58" t="inlineStr">
        <is>
          <t>Q3 2025</t>
        </is>
      </c>
      <c r="D58" t="n">
        <v>-1.4</v>
      </c>
      <c r="E58" t="inlineStr">
        <is>
          <t>Reported</t>
        </is>
      </c>
      <c r="F58" t="inlineStr">
        <is>
          <t>6-K 2025-11-13 acc 0001104659-25-110831 tm2531034d1_ex99-1.htm | https://www.sec.gov/Archives/edgar/data/1513845/000110465925110831/tm2531034d1_ex99-1.htm</t>
        </is>
      </c>
      <c r="G58" t="inlineStr"/>
    </row>
    <row r="59">
      <c r="A59" t="inlineStr">
        <is>
          <t>I7</t>
        </is>
      </c>
      <c r="B59" t="inlineStr">
        <is>
          <t>Segment revenue - Eliminations ($M)</t>
        </is>
      </c>
      <c r="C59" t="inlineStr">
        <is>
          <t>Q4 2025</t>
        </is>
      </c>
      <c r="D59" t="n">
        <v>-2.2</v>
      </c>
      <c r="E59" t="inlineStr">
        <is>
          <t>Derived</t>
        </is>
      </c>
      <c r="F59" t="inlineStr">
        <is>
          <t>20-F 2026-04-30 acc 0001104659-26-052948 nbis-20251231x20f.htm FY -5.9 - 9M -3.7 | https://www.sec.gov/Archives/edgar/data/1513845/000110465926052948/nbis-20251231x20f.htm</t>
        </is>
      </c>
      <c r="G59" t="inlineStr">
        <is>
          <t>derivation: FY -5.9 - 9M -3.7</t>
        </is>
      </c>
    </row>
    <row r="60">
      <c r="A60" t="inlineStr">
        <is>
          <t>J7</t>
        </is>
      </c>
      <c r="B60" t="inlineStr">
        <is>
          <t>Segment revenue - Eliminations ($M)</t>
        </is>
      </c>
      <c r="C60" t="inlineStr">
        <is>
          <t>Q1 2026</t>
        </is>
      </c>
      <c r="D60" t="n">
        <v>-3.2</v>
      </c>
      <c r="E60" t="inlineStr">
        <is>
          <t>Reported</t>
        </is>
      </c>
      <c r="F60" t="inlineStr">
        <is>
          <t>6-K 2026-05-20 acc 0001104659-26-064092 nbis-20260331xex99d2.htm | https://www.sec.gov/Archives/edgar/data/1513845/000110465926064092/nbis-20260331xex99d2.htm</t>
        </is>
      </c>
      <c r="G60" t="inlineStr"/>
    </row>
    <row r="61">
      <c r="A61" t="inlineStr">
        <is>
          <t>K7</t>
        </is>
      </c>
      <c r="B61" t="inlineStr">
        <is>
          <t>Segment revenue - Eliminations ($M)</t>
        </is>
      </c>
      <c r="C61" t="inlineStr">
        <is>
          <t>Q2 2026</t>
        </is>
      </c>
      <c r="D61" t="n">
        <v>-3.6</v>
      </c>
      <c r="E61" t="inlineStr">
        <is>
          <t>Reported</t>
        </is>
      </c>
      <c r="F61" t="inlineStr">
        <is>
          <t>6-K 2026-08-12 acc 0001104659-26-094844 nbis-20260812xex99d2.htm | https://www.sec.gov/Archives/edgar/data/1513845/000110465926094844/nbis-20260812xex99d2.htm</t>
        </is>
      </c>
      <c r="G61" t="inlineStr"/>
    </row>
    <row r="62">
      <c r="A62" t="inlineStr">
        <is>
          <t>B8</t>
        </is>
      </c>
      <c r="B62" t="inlineStr">
        <is>
          <t>Segment revenue - Toloka</t>
        </is>
      </c>
      <c r="C62" t="inlineStr">
        <is>
          <t>Q1 2024</t>
        </is>
      </c>
      <c r="D62" t="inlineStr">
        <is>
          <t>not disclosed (discontinued ops; reclassified)</t>
        </is>
      </c>
      <c r="E62" t="inlineStr">
        <is>
          <t>Not disclosed</t>
        </is>
      </c>
      <c r="F62" t="inlineStr">
        <is>
          <t>20-F 2026-04-30 acc 0001104659-26-052948 nbis-20251231x20f.htm | https://www.sec.gov/Archives/edgar/data/1513845/000110465926052948/nbis-20251231x20f.htm</t>
        </is>
      </c>
      <c r="G62" t="inlineStr">
        <is>
          <t>Toloka deconsolidated Q2 2025; prior periods in discontinued ops</t>
        </is>
      </c>
    </row>
    <row r="63">
      <c r="A63" t="inlineStr">
        <is>
          <t>C8</t>
        </is>
      </c>
      <c r="B63" t="inlineStr">
        <is>
          <t>Segment revenue - Toloka</t>
        </is>
      </c>
      <c r="C63" t="inlineStr">
        <is>
          <t>Q2 2024</t>
        </is>
      </c>
      <c r="D63" t="inlineStr">
        <is>
          <t>not disclosed (discontinued ops; reclassified)</t>
        </is>
      </c>
      <c r="E63" t="inlineStr">
        <is>
          <t>Not disclosed</t>
        </is>
      </c>
      <c r="F63" t="inlineStr">
        <is>
          <t>20-F 2026-04-30 acc 0001104659-26-052948 nbis-20251231x20f.htm | https://www.sec.gov/Archives/edgar/data/1513845/000110465926052948/nbis-20251231x20f.htm</t>
        </is>
      </c>
      <c r="G63" t="inlineStr">
        <is>
          <t>Toloka deconsolidated Q2 2025; prior periods in discontinued ops</t>
        </is>
      </c>
    </row>
    <row r="64">
      <c r="A64" t="inlineStr">
        <is>
          <t>D8</t>
        </is>
      </c>
      <c r="B64" t="inlineStr">
        <is>
          <t>Segment revenue - Toloka</t>
        </is>
      </c>
      <c r="C64" t="inlineStr">
        <is>
          <t>Q3 2024</t>
        </is>
      </c>
      <c r="D64" t="inlineStr">
        <is>
          <t>not disclosed (discontinued ops; reclassified)</t>
        </is>
      </c>
      <c r="E64" t="inlineStr">
        <is>
          <t>Not disclosed</t>
        </is>
      </c>
      <c r="F64" t="inlineStr">
        <is>
          <t>20-F 2026-04-30 acc 0001104659-26-052948 nbis-20251231x20f.htm | https://www.sec.gov/Archives/edgar/data/1513845/000110465926052948/nbis-20251231x20f.htm</t>
        </is>
      </c>
      <c r="G64" t="inlineStr">
        <is>
          <t>Toloka deconsolidated Q2 2025; prior periods in discontinued ops</t>
        </is>
      </c>
    </row>
    <row r="65">
      <c r="A65" t="inlineStr">
        <is>
          <t>E8</t>
        </is>
      </c>
      <c r="B65" t="inlineStr">
        <is>
          <t>Segment revenue - Toloka</t>
        </is>
      </c>
      <c r="C65" t="inlineStr">
        <is>
          <t>Q4 2024</t>
        </is>
      </c>
      <c r="D65" t="inlineStr">
        <is>
          <t>not disclosed (discontinued ops; reclassified)</t>
        </is>
      </c>
      <c r="E65" t="inlineStr">
        <is>
          <t>Not disclosed</t>
        </is>
      </c>
      <c r="F65" t="inlineStr">
        <is>
          <t>20-F 2026-04-30 acc 0001104659-26-052948 nbis-20251231x20f.htm | https://www.sec.gov/Archives/edgar/data/1513845/000110465926052948/nbis-20251231x20f.htm</t>
        </is>
      </c>
      <c r="G65" t="inlineStr">
        <is>
          <t>Toloka deconsolidated Q2 2025; prior periods in discontinued ops</t>
        </is>
      </c>
    </row>
    <row r="66">
      <c r="A66" t="inlineStr">
        <is>
          <t>F8</t>
        </is>
      </c>
      <c r="B66" t="inlineStr">
        <is>
          <t>Segment revenue - Toloka</t>
        </is>
      </c>
      <c r="C66" t="inlineStr">
        <is>
          <t>Q1 2025</t>
        </is>
      </c>
      <c r="D66" t="inlineStr">
        <is>
          <t>not disclosed (discontinued ops; reclassified)</t>
        </is>
      </c>
      <c r="E66" t="inlineStr">
        <is>
          <t>Not disclosed</t>
        </is>
      </c>
      <c r="F66" t="inlineStr">
        <is>
          <t>20-F 2026-04-30 acc 0001104659-26-052948 nbis-20251231x20f.htm | https://www.sec.gov/Archives/edgar/data/1513845/000110465926052948/nbis-20251231x20f.htm</t>
        </is>
      </c>
      <c r="G66" t="inlineStr">
        <is>
          <t>Toloka deconsolidated Q2 2025; prior periods in discontinued ops</t>
        </is>
      </c>
    </row>
    <row r="67">
      <c r="A67" t="inlineStr">
        <is>
          <t>G8</t>
        </is>
      </c>
      <c r="B67" t="inlineStr">
        <is>
          <t>Segment revenue - Toloka</t>
        </is>
      </c>
      <c r="C67" t="inlineStr">
        <is>
          <t>Q2 2025</t>
        </is>
      </c>
      <c r="D67" t="inlineStr">
        <is>
          <t>not disclosed (discontinued ops; reclassified)</t>
        </is>
      </c>
      <c r="E67" t="inlineStr">
        <is>
          <t>Not disclosed</t>
        </is>
      </c>
      <c r="F67" t="inlineStr">
        <is>
          <t>20-F 2026-04-30 acc 0001104659-26-052948 nbis-20251231x20f.htm | https://www.sec.gov/Archives/edgar/data/1513845/000110465926052948/nbis-20251231x20f.htm</t>
        </is>
      </c>
      <c r="G67" t="inlineStr">
        <is>
          <t>Toloka deconsolidated Q2 2025; prior periods in discontinued ops</t>
        </is>
      </c>
    </row>
    <row r="68">
      <c r="A68" t="inlineStr">
        <is>
          <t>H8</t>
        </is>
      </c>
      <c r="B68" t="inlineStr">
        <is>
          <t>Segment revenue - Toloka</t>
        </is>
      </c>
      <c r="C68" t="inlineStr">
        <is>
          <t>Q3 2025</t>
        </is>
      </c>
      <c r="D68" t="inlineStr">
        <is>
          <t>not disclosed (discontinued ops; reclassified)</t>
        </is>
      </c>
      <c r="E68" t="inlineStr">
        <is>
          <t>Not disclosed</t>
        </is>
      </c>
      <c r="F68" t="inlineStr">
        <is>
          <t>20-F 2026-04-30 acc 0001104659-26-052948 nbis-20251231x20f.htm | https://www.sec.gov/Archives/edgar/data/1513845/000110465926052948/nbis-20251231x20f.htm</t>
        </is>
      </c>
      <c r="G68" t="inlineStr">
        <is>
          <t>Toloka deconsolidated Q2 2025; prior periods in discontinued ops</t>
        </is>
      </c>
    </row>
    <row r="69">
      <c r="A69" t="inlineStr">
        <is>
          <t>I8</t>
        </is>
      </c>
      <c r="B69" t="inlineStr">
        <is>
          <t>Segment revenue - Toloka</t>
        </is>
      </c>
      <c r="C69" t="inlineStr">
        <is>
          <t>Q4 2025</t>
        </is>
      </c>
      <c r="D69" t="inlineStr">
        <is>
          <t>not disclosed (discontinued ops; reclassified)</t>
        </is>
      </c>
      <c r="E69" t="inlineStr">
        <is>
          <t>Not disclosed</t>
        </is>
      </c>
      <c r="F69" t="inlineStr">
        <is>
          <t>20-F 2026-04-30 acc 0001104659-26-052948 nbis-20251231x20f.htm | https://www.sec.gov/Archives/edgar/data/1513845/000110465926052948/nbis-20251231x20f.htm</t>
        </is>
      </c>
      <c r="G69" t="inlineStr">
        <is>
          <t>Toloka deconsolidated Q2 2025; prior periods in discontinued ops</t>
        </is>
      </c>
    </row>
    <row r="70">
      <c r="A70" t="inlineStr">
        <is>
          <t>J8</t>
        </is>
      </c>
      <c r="B70" t="inlineStr">
        <is>
          <t>Segment revenue - Toloka</t>
        </is>
      </c>
      <c r="C70" t="inlineStr">
        <is>
          <t>Q1 2026</t>
        </is>
      </c>
      <c r="D70" t="inlineStr">
        <is>
          <t>not disclosed (discontinued ops; reclassified)</t>
        </is>
      </c>
      <c r="E70" t="inlineStr">
        <is>
          <t>Not disclosed</t>
        </is>
      </c>
      <c r="F70" t="inlineStr">
        <is>
          <t>20-F 2026-04-30 acc 0001104659-26-052948 nbis-20251231x20f.htm | https://www.sec.gov/Archives/edgar/data/1513845/000110465926052948/nbis-20251231x20f.htm</t>
        </is>
      </c>
      <c r="G70" t="inlineStr">
        <is>
          <t>Toloka deconsolidated Q2 2025; prior periods in discontinued ops</t>
        </is>
      </c>
    </row>
    <row r="71">
      <c r="A71" t="inlineStr">
        <is>
          <t>K8</t>
        </is>
      </c>
      <c r="B71" t="inlineStr">
        <is>
          <t>Segment revenue - Toloka</t>
        </is>
      </c>
      <c r="C71" t="inlineStr">
        <is>
          <t>Q2 2026</t>
        </is>
      </c>
      <c r="D71" t="inlineStr">
        <is>
          <t>not disclosed (discontinued ops; reclassified)</t>
        </is>
      </c>
      <c r="E71" t="inlineStr">
        <is>
          <t>Not disclosed</t>
        </is>
      </c>
      <c r="F71" t="inlineStr">
        <is>
          <t>20-F 2026-04-30 acc 0001104659-26-052948 nbis-20251231x20f.htm | https://www.sec.gov/Archives/edgar/data/1513845/000110465926052948/nbis-20251231x20f.htm</t>
        </is>
      </c>
      <c r="G71" t="inlineStr">
        <is>
          <t>Toloka deconsolidated Q2 2025; prior periods in discontinued ops</t>
        </is>
      </c>
    </row>
    <row r="72">
      <c r="A72" t="inlineStr">
        <is>
          <t>B9</t>
        </is>
      </c>
      <c r="B72" t="inlineStr">
        <is>
          <t>ARR - Nebius AI cloud, as stated ($M)</t>
        </is>
      </c>
      <c r="C72" t="inlineStr">
        <is>
          <t>Q1 2024</t>
        </is>
      </c>
      <c r="D72" t="n">
        <v>32</v>
      </c>
      <c r="E72" t="inlineStr">
        <is>
          <t>Reported</t>
        </is>
      </c>
      <c r="F72" t="inlineStr">
        <is>
          <t>6-K 2024-10-18 acc 0001104659-24-109850 tm2426436d1_ex99-1.htm ARR chart (1Q24) | https://www.sec.gov/Archives/edgar/data/1513845/000110465924109850/tm2426436d1_ex99-1.htm</t>
        </is>
      </c>
      <c r="G72" t="inlineStr">
        <is>
          <t>investor presentation</t>
        </is>
      </c>
    </row>
    <row r="73">
      <c r="A73" t="inlineStr">
        <is>
          <t>C9</t>
        </is>
      </c>
      <c r="B73" t="inlineStr">
        <is>
          <t>ARR - Nebius AI cloud, as stated ($M)</t>
        </is>
      </c>
      <c r="C73" t="inlineStr">
        <is>
          <t>Q2 2024</t>
        </is>
      </c>
      <c r="D73" t="n">
        <v>45</v>
      </c>
      <c r="E73" t="inlineStr">
        <is>
          <t>Reported</t>
        </is>
      </c>
      <c r="F73" t="inlineStr">
        <is>
          <t>6-K 2024-10-18 acc 0001104659-24-109850 tm2426436d1_ex99-1.htm ARR chart (2Q24) | https://www.sec.gov/Archives/edgar/data/1513845/000110465924109850/tm2426436d1_ex99-1.htm</t>
        </is>
      </c>
      <c r="G73" t="inlineStr">
        <is>
          <t>Q2-24 PR: "&gt;$80M as of July 2024"</t>
        </is>
      </c>
    </row>
    <row r="74">
      <c r="A74" t="inlineStr">
        <is>
          <t>D9</t>
        </is>
      </c>
      <c r="B74" t="inlineStr">
        <is>
          <t>ARR - Nebius AI cloud, as stated ($M)</t>
        </is>
      </c>
      <c r="C74" t="inlineStr">
        <is>
          <t>Q3 2024</t>
        </is>
      </c>
      <c r="D74" t="n">
        <v>121</v>
      </c>
      <c r="E74" t="inlineStr">
        <is>
          <t>Reported</t>
        </is>
      </c>
      <c r="F74" t="inlineStr">
        <is>
          <t>6-K 2024-10-18 acc 0001104659-24-109850 tm2426436d1_ex99-1.htm ARR chart (3Q24) | https://www.sec.gov/Archives/edgar/data/1513845/000110465924109850/tm2426436d1_ex99-1.htm</t>
        </is>
      </c>
      <c r="G74" t="inlineStr">
        <is>
          <t>Q3-24 PR: "surpassing $120M as of September 2024"</t>
        </is>
      </c>
    </row>
    <row r="75">
      <c r="A75" t="inlineStr">
        <is>
          <t>E9</t>
        </is>
      </c>
      <c r="B75" t="inlineStr">
        <is>
          <t>ARR - Nebius AI cloud, as stated ($M)</t>
        </is>
      </c>
      <c r="C75" t="inlineStr">
        <is>
          <t>Q4 2024</t>
        </is>
      </c>
      <c r="D75" t="n">
        <v>90</v>
      </c>
      <c r="E75" t="inlineStr">
        <is>
          <t>Reported</t>
        </is>
      </c>
      <c r="F75" t="inlineStr">
        <is>
          <t>6-K 2025-02-20 acc 0001104659-25-015480 tm257185d1_ex99-1.htm highlights | https://www.sec.gov/Archives/edgar/data/1513845/000110465925015480/tm257185d1_ex99-1.htm</t>
        </is>
      </c>
      <c r="G75" t="inlineStr">
        <is>
          <t>"December 2024 ARR ... $90 million, below previous guidance"</t>
        </is>
      </c>
    </row>
    <row r="76">
      <c r="A76" t="inlineStr">
        <is>
          <t>F9</t>
        </is>
      </c>
      <c r="B76" t="inlineStr">
        <is>
          <t>ARR - Nebius AI cloud, as stated ($M)</t>
        </is>
      </c>
      <c r="C76" t="inlineStr">
        <is>
          <t>Q1 2025</t>
        </is>
      </c>
      <c r="D76" t="n">
        <v>249</v>
      </c>
      <c r="E76" t="inlineStr">
        <is>
          <t>Reported</t>
        </is>
      </c>
      <c r="F76" t="inlineStr">
        <is>
          <t>6-K 2025-05-20 acc 0001104659-25-050975 tm2515580d1_ex99-2.htm | https://www.sec.gov/Archives/edgar/data/1513845/000110465925050975/tm2515580d1_ex99-2.htm</t>
        </is>
      </c>
      <c r="G76" t="inlineStr"/>
    </row>
    <row r="77">
      <c r="A77" t="inlineStr">
        <is>
          <t>G9</t>
        </is>
      </c>
      <c r="B77" t="inlineStr">
        <is>
          <t>ARR - Nebius AI cloud, as stated ($M)</t>
        </is>
      </c>
      <c r="C77" t="inlineStr">
        <is>
          <t>Q2 2025</t>
        </is>
      </c>
      <c r="D77" t="n">
        <v>430</v>
      </c>
      <c r="E77" t="inlineStr">
        <is>
          <t>Reported</t>
        </is>
      </c>
      <c r="F77" t="inlineStr">
        <is>
          <t>6-K 2025-08-07 acc 0001104659-25-075028 tm2522866d1_ex99-1.htm highlights | https://www.sec.gov/Archives/edgar/data/1513845/000110465925075028/tm2522866d1_ex99-1.htm</t>
        </is>
      </c>
      <c r="G77" t="inlineStr"/>
    </row>
    <row r="78">
      <c r="A78" t="inlineStr">
        <is>
          <t>H9</t>
        </is>
      </c>
      <c r="B78" t="inlineStr">
        <is>
          <t>ARR - Nebius AI cloud, as stated ($M)</t>
        </is>
      </c>
      <c r="C78" t="inlineStr">
        <is>
          <t>Q3 2025</t>
        </is>
      </c>
      <c r="D78" t="n">
        <v>551</v>
      </c>
      <c r="E78" t="inlineStr">
        <is>
          <t>Reported</t>
        </is>
      </c>
      <c r="F78" t="inlineStr">
        <is>
          <t>6-K 2025-11-12 acc 0001104659-25-109806 tm2530882d1_ex99-2.htm "approximately $551 million" | https://www.sec.gov/Archives/edgar/data/1513845/000110465925109806/tm2530882d1_ex99-2.htm</t>
        </is>
      </c>
      <c r="G78" t="inlineStr"/>
    </row>
    <row r="79">
      <c r="A79" t="inlineStr">
        <is>
          <t>I9</t>
        </is>
      </c>
      <c r="B79" t="inlineStr">
        <is>
          <t>ARR - Nebius AI cloud, as stated ($M)</t>
        </is>
      </c>
      <c r="C79" t="inlineStr">
        <is>
          <t>Q4 2025</t>
        </is>
      </c>
      <c r="D79" t="n">
        <v>1250</v>
      </c>
      <c r="E79" t="inlineStr">
        <is>
          <t>Reported</t>
        </is>
      </c>
      <c r="F79" t="inlineStr">
        <is>
          <t>6-K 2026-02-12 acc 0001104659-26-013946 tm266173d1_ex99-2.htm | https://www.sec.gov/Archives/edgar/data/1513845/000110465926013946/tm266173d1_ex99-2.htm</t>
        </is>
      </c>
      <c r="G79" t="inlineStr"/>
    </row>
    <row r="80">
      <c r="A80" t="inlineStr">
        <is>
          <t>J9</t>
        </is>
      </c>
      <c r="B80" t="inlineStr">
        <is>
          <t>ARR - Nebius AI cloud, as stated ($M)</t>
        </is>
      </c>
      <c r="C80" t="inlineStr">
        <is>
          <t>Q1 2026</t>
        </is>
      </c>
      <c r="D80" t="n">
        <v>1920</v>
      </c>
      <c r="E80" t="inlineStr">
        <is>
          <t>Reported</t>
        </is>
      </c>
      <c r="F80" t="inlineStr">
        <is>
          <t>6-K 2026-05-13 acc 0001104659-26-059872 tm2614392d1_ex99-2.htm p.9 ($1.92B) | https://www.sec.gov/Archives/edgar/data/1513845/000110465926059872/tm2614392d1_ex99-2.htm</t>
        </is>
      </c>
      <c r="G80" t="inlineStr"/>
    </row>
    <row r="81">
      <c r="A81" t="inlineStr">
        <is>
          <t>K9</t>
        </is>
      </c>
      <c r="B81" t="inlineStr">
        <is>
          <t>ARR - Nebius AI cloud, as stated ($M)</t>
        </is>
      </c>
      <c r="C81" t="inlineStr">
        <is>
          <t>Q2 2026</t>
        </is>
      </c>
      <c r="D81" t="n">
        <v>3000</v>
      </c>
      <c r="E81" t="inlineStr">
        <is>
          <t>Reported</t>
        </is>
      </c>
      <c r="F81" t="inlineStr">
        <is>
          <t>6-K 2026-08-12 acc 0001104659-26-094568 tm2622968d1_ex99-2.htm p.9 | https://www.sec.gov/Archives/edgar/data/1513845/000110465926094568/tm2622968d1_ex99-2.htm</t>
        </is>
      </c>
      <c r="G81" t="inlineStr"/>
    </row>
    <row r="82">
      <c r="A82" t="inlineStr">
        <is>
          <t>B10</t>
        </is>
      </c>
      <c r="B82" t="inlineStr">
        <is>
          <t>ARR guidance outstanding at quarter end (as stated)</t>
        </is>
      </c>
      <c r="C82" t="inlineStr">
        <is>
          <t>Q1 2024</t>
        </is>
      </c>
      <c r="D82" t="inlineStr">
        <is>
          <t>not disclosed</t>
        </is>
      </c>
      <c r="E82" t="inlineStr">
        <is>
          <t>Not disclosed</t>
        </is>
      </c>
      <c r="F82" t="inlineStr"/>
      <c r="G82" t="inlineStr"/>
    </row>
    <row r="83">
      <c r="A83" t="inlineStr">
        <is>
          <t>C10</t>
        </is>
      </c>
      <c r="B83" t="inlineStr">
        <is>
          <t>ARR guidance outstanding at quarter end (as stated)</t>
        </is>
      </c>
      <c r="C83" t="inlineStr">
        <is>
          <t>Q2 2024</t>
        </is>
      </c>
      <c r="D83" t="inlineStr">
        <is>
          <t>not disclosed</t>
        </is>
      </c>
      <c r="E83" t="inlineStr">
        <is>
          <t>Not disclosed</t>
        </is>
      </c>
      <c r="F83" t="inlineStr"/>
      <c r="G83" t="inlineStr"/>
    </row>
    <row r="84">
      <c r="A84" t="inlineStr">
        <is>
          <t>D10</t>
        </is>
      </c>
      <c r="B84" t="inlineStr">
        <is>
          <t>ARR guidance outstanding at quarter end (as stated)</t>
        </is>
      </c>
      <c r="C84" t="inlineStr">
        <is>
          <t>Q3 2024</t>
        </is>
      </c>
      <c r="D84" t="inlineStr">
        <is>
          <t>$170-190M (Dec-24)</t>
        </is>
      </c>
      <c r="E84" t="inlineStr">
        <is>
          <t>Reported</t>
        </is>
      </c>
      <c r="F84" t="inlineStr">
        <is>
          <t>6-K 2024-10-18 acc 0001104659-24-109850 tm2426436d1_ex99-1.htm | https://www.sec.gov/Archives/edgar/data/1513845/000110465924109850/tm2426436d1_ex99-1.htm</t>
        </is>
      </c>
      <c r="G84" t="inlineStr"/>
    </row>
    <row r="85">
      <c r="A85" t="inlineStr">
        <is>
          <t>E10</t>
        </is>
      </c>
      <c r="B85" t="inlineStr">
        <is>
          <t>ARR guidance outstanding at quarter end (as stated)</t>
        </is>
      </c>
      <c r="C85" t="inlineStr">
        <is>
          <t>Q4 2024</t>
        </is>
      </c>
      <c r="D85" t="inlineStr">
        <is>
          <t>$750M-1B (Dec-25)</t>
        </is>
      </c>
      <c r="E85" t="inlineStr">
        <is>
          <t>Reported</t>
        </is>
      </c>
      <c r="F85" t="inlineStr">
        <is>
          <t>6-K 2025-02-20 acc 0001104659-25-015480 tm257185d1_ex99-1.htm | https://www.sec.gov/Archives/edgar/data/1513845/000110465925015480/tm257185d1_ex99-1.htm</t>
        </is>
      </c>
      <c r="G85" t="inlineStr"/>
    </row>
    <row r="86">
      <c r="A86" t="inlineStr">
        <is>
          <t>F10</t>
        </is>
      </c>
      <c r="B86" t="inlineStr">
        <is>
          <t>ARR guidance outstanding at quarter end (as stated)</t>
        </is>
      </c>
      <c r="C86" t="inlineStr">
        <is>
          <t>Q1 2025</t>
        </is>
      </c>
      <c r="D86" t="inlineStr">
        <is>
          <t>$750M-1B (Dec-25)</t>
        </is>
      </c>
      <c r="E86" t="inlineStr">
        <is>
          <t>Reported</t>
        </is>
      </c>
      <c r="F86" t="inlineStr">
        <is>
          <t>6-K 2025-05-20 acc 0001104659-25-050975 tm2515580d1_ex99-2.htm | https://www.sec.gov/Archives/edgar/data/1513845/000110465925050975/tm2515580d1_ex99-2.htm</t>
        </is>
      </c>
      <c r="G86" t="inlineStr"/>
    </row>
    <row r="87">
      <c r="A87" t="inlineStr">
        <is>
          <t>G10</t>
        </is>
      </c>
      <c r="B87" t="inlineStr">
        <is>
          <t>ARR guidance outstanding at quarter end (as stated)</t>
        </is>
      </c>
      <c r="C87" t="inlineStr">
        <is>
          <t>Q2 2025</t>
        </is>
      </c>
      <c r="D87" t="inlineStr">
        <is>
          <t>$900M-1.1B (Dec-25)</t>
        </is>
      </c>
      <c r="E87" t="inlineStr">
        <is>
          <t>Reported</t>
        </is>
      </c>
      <c r="F87" t="inlineStr">
        <is>
          <t>6-K 2025-08-07 acc 0001104659-25-075028 tm2522866d1_ex99-1.htm | https://www.sec.gov/Archives/edgar/data/1513845/000110465925075028/tm2522866d1_ex99-1.htm</t>
        </is>
      </c>
      <c r="G87" t="inlineStr"/>
    </row>
    <row r="88">
      <c r="A88" t="inlineStr">
        <is>
          <t>H10</t>
        </is>
      </c>
      <c r="B88" t="inlineStr">
        <is>
          <t>ARR guidance outstanding at quarter end (as stated)</t>
        </is>
      </c>
      <c r="C88" t="inlineStr">
        <is>
          <t>Q3 2025</t>
        </is>
      </c>
      <c r="D88" t="inlineStr">
        <is>
          <t>$900M-1.1B (Dec-25)</t>
        </is>
      </c>
      <c r="E88" t="inlineStr">
        <is>
          <t>Reported</t>
        </is>
      </c>
      <c r="F88" t="inlineStr">
        <is>
          <t>6-K 2025-11-12 acc 0001104659-25-109806 tm2530882d1_ex99-1.htm | https://www.sec.gov/Archives/edgar/data/1513845/000110465925109806/tm2530882d1_ex99-1.htm</t>
        </is>
      </c>
      <c r="G88" t="inlineStr"/>
    </row>
    <row r="89">
      <c r="A89" t="inlineStr">
        <is>
          <t>I10</t>
        </is>
      </c>
      <c r="B89" t="inlineStr">
        <is>
          <t>ARR guidance outstanding at quarter end (as stated)</t>
        </is>
      </c>
      <c r="C89" t="inlineStr">
        <is>
          <t>Q4 2025</t>
        </is>
      </c>
      <c r="D89" t="inlineStr">
        <is>
          <t>$7-9B (Dec-26)</t>
        </is>
      </c>
      <c r="E89" t="inlineStr">
        <is>
          <t>Reported</t>
        </is>
      </c>
      <c r="F89" t="inlineStr">
        <is>
          <t>6-K 2026-02-12 acc 0001104659-26-013946 tm266173d1_ex99-2.htm | https://www.sec.gov/Archives/edgar/data/1513845/000110465926013946/tm266173d1_ex99-2.htm</t>
        </is>
      </c>
      <c r="G89" t="inlineStr"/>
    </row>
    <row r="90">
      <c r="A90" t="inlineStr">
        <is>
          <t>J10</t>
        </is>
      </c>
      <c r="B90" t="inlineStr">
        <is>
          <t>ARR guidance outstanding at quarter end (as stated)</t>
        </is>
      </c>
      <c r="C90" t="inlineStr">
        <is>
          <t>Q1 2026</t>
        </is>
      </c>
      <c r="D90" t="inlineStr">
        <is>
          <t>$7-9B (Dec-26)</t>
        </is>
      </c>
      <c r="E90" t="inlineStr">
        <is>
          <t>Reported</t>
        </is>
      </c>
      <c r="F90" t="inlineStr">
        <is>
          <t>6-K 2026-05-13 acc 0001104659-26-059872 tm2614392d1_ex99-2.htm p.2 | https://www.sec.gov/Archives/edgar/data/1513845/000110465926059872/tm2614392d1_ex99-2.htm</t>
        </is>
      </c>
      <c r="G90" t="inlineStr"/>
    </row>
    <row r="91">
      <c r="A91" t="inlineStr">
        <is>
          <t>K10</t>
        </is>
      </c>
      <c r="B91" t="inlineStr">
        <is>
          <t>ARR guidance outstanding at quarter end (as stated)</t>
        </is>
      </c>
      <c r="C91" t="inlineStr">
        <is>
          <t>Q2 2026</t>
        </is>
      </c>
      <c r="D91" t="inlineStr">
        <is>
          <t>$7-9B (Dec-26)</t>
        </is>
      </c>
      <c r="E91" t="inlineStr">
        <is>
          <t>Reported</t>
        </is>
      </c>
      <c r="F91" t="inlineStr">
        <is>
          <t>Transcript 2026-08-12 acc n/a fool.com | https://www.fool.com/earnings/call-transcripts/2026/08/19/nebius-nbis-q2-2026-earnings-call-transcript/</t>
        </is>
      </c>
      <c r="G91" t="inlineStr"/>
    </row>
    <row r="92">
      <c r="A92" t="inlineStr">
        <is>
          <t>B11</t>
        </is>
      </c>
      <c r="B92" t="inlineStr">
        <is>
          <t>Adjusted EBITDA - group ($M)</t>
        </is>
      </c>
      <c r="C92" t="inlineStr">
        <is>
          <t>Q1 2024</t>
        </is>
      </c>
      <c r="D92" t="n">
        <v>-58.4</v>
      </c>
      <c r="E92" t="inlineStr">
        <is>
          <t>Derived</t>
        </is>
      </c>
      <c r="F92" t="inlineStr">
        <is>
          <t>6-K 2025-08-07 acc 0001104659-25-075028 tm2522866d1_ex99-1.htm H1 -116.5 - Q2 -58.1 | https://www.sec.gov/Archives/edgar/data/1513845/000110465925075028/tm2522866d1_ex99-1.htm</t>
        </is>
      </c>
      <c r="G92" t="inlineStr">
        <is>
          <t>restated basis | derivation: H1 -116.5 - Q2 -58.1</t>
        </is>
      </c>
    </row>
    <row r="93">
      <c r="A93" t="inlineStr">
        <is>
          <t>C11</t>
        </is>
      </c>
      <c r="B93" t="inlineStr">
        <is>
          <t>Adjusted EBITDA - group ($M)</t>
        </is>
      </c>
      <c r="C93" t="inlineStr">
        <is>
          <t>Q2 2024</t>
        </is>
      </c>
      <c r="D93" t="n">
        <v>-58.1</v>
      </c>
      <c r="E93" t="inlineStr">
        <is>
          <t>Reported</t>
        </is>
      </c>
      <c r="F93" t="inlineStr">
        <is>
          <t>6-K 2025-08-07 acc 0001104659-25-075028 tm2522866d1_ex99-1.htm | https://www.sec.gov/Archives/edgar/data/1513845/000110465925075028/tm2522866d1_ex99-1.htm</t>
        </is>
      </c>
      <c r="G93" t="inlineStr"/>
    </row>
    <row r="94">
      <c r="A94" t="inlineStr">
        <is>
          <t>D11</t>
        </is>
      </c>
      <c r="B94" t="inlineStr">
        <is>
          <t>Adjusted EBITDA - group ($M)</t>
        </is>
      </c>
      <c r="C94" t="inlineStr">
        <is>
          <t>Q3 2024</t>
        </is>
      </c>
      <c r="D94" t="n">
        <v>-45.9</v>
      </c>
      <c r="E94" t="inlineStr">
        <is>
          <t>Reported</t>
        </is>
      </c>
      <c r="F94" t="inlineStr">
        <is>
          <t>6-K 2025-11-12 acc 0001104659-25-109806 tm2530882d1_ex99-1.htm | https://www.sec.gov/Archives/edgar/data/1513845/000110465925109806/tm2530882d1_ex99-1.htm</t>
        </is>
      </c>
      <c r="G94" t="inlineStr"/>
    </row>
    <row r="95">
      <c r="A95" t="inlineStr">
        <is>
          <t>E11</t>
        </is>
      </c>
      <c r="B95" t="inlineStr">
        <is>
          <t>Adjusted EBITDA - group ($M)</t>
        </is>
      </c>
      <c r="C95" t="inlineStr">
        <is>
          <t>Q4 2024</t>
        </is>
      </c>
      <c r="D95" t="n">
        <v>-63.9</v>
      </c>
      <c r="E95" t="inlineStr">
        <is>
          <t>Reported</t>
        </is>
      </c>
      <c r="F95" t="inlineStr">
        <is>
          <t>6-K 2026-02-12 acc 0001104659-26-013946 tm266173d1_ex99-1.htm | https://www.sec.gov/Archives/edgar/data/1513845/000110465926013946/tm266173d1_ex99-1.htm</t>
        </is>
      </c>
      <c r="G95" t="inlineStr"/>
    </row>
    <row r="96">
      <c r="A96" t="inlineStr">
        <is>
          <t>F11</t>
        </is>
      </c>
      <c r="B96" t="inlineStr">
        <is>
          <t>Adjusted EBITDA - group ($M)</t>
        </is>
      </c>
      <c r="C96" t="inlineStr">
        <is>
          <t>Q1 2025</t>
        </is>
      </c>
      <c r="D96" t="n">
        <v>-53.7</v>
      </c>
      <c r="E96" t="inlineStr">
        <is>
          <t>Reported</t>
        </is>
      </c>
      <c r="F96" t="inlineStr">
        <is>
          <t>6-K 2026-05-13 acc 0001104659-26-059872 tm2614392d1_ex99-1.htm | https://www.sec.gov/Archives/edgar/data/1513845/000110465926059872/tm2614392d1_ex99-1.htm</t>
        </is>
      </c>
      <c r="G96" t="inlineStr"/>
    </row>
    <row r="97">
      <c r="A97" t="inlineStr">
        <is>
          <t>G11</t>
        </is>
      </c>
      <c r="B97" t="inlineStr">
        <is>
          <t>Adjusted EBITDA - group ($M)</t>
        </is>
      </c>
      <c r="C97" t="inlineStr">
        <is>
          <t>Q2 2025</t>
        </is>
      </c>
      <c r="D97" t="n">
        <v>-21</v>
      </c>
      <c r="E97" t="inlineStr">
        <is>
          <t>Reported</t>
        </is>
      </c>
      <c r="F97" t="inlineStr">
        <is>
          <t>6-K 2025-08-07 acc 0001104659-25-075028 tm2522866d1_ex99-1.htm | https://www.sec.gov/Archives/edgar/data/1513845/000110465925075028/tm2522866d1_ex99-1.htm</t>
        </is>
      </c>
      <c r="G97" t="inlineStr"/>
    </row>
    <row r="98">
      <c r="A98" t="inlineStr">
        <is>
          <t>H11</t>
        </is>
      </c>
      <c r="B98" t="inlineStr">
        <is>
          <t>Adjusted EBITDA - group ($M)</t>
        </is>
      </c>
      <c r="C98" t="inlineStr">
        <is>
          <t>Q3 2025</t>
        </is>
      </c>
      <c r="D98" t="n">
        <v>-5.2</v>
      </c>
      <c r="E98" t="inlineStr">
        <is>
          <t>Reported</t>
        </is>
      </c>
      <c r="F98" t="inlineStr">
        <is>
          <t>6-K 2025-11-12 acc 0001104659-25-109806 tm2530882d1_ex99-1.htm | https://www.sec.gov/Archives/edgar/data/1513845/000110465925109806/tm2530882d1_ex99-1.htm</t>
        </is>
      </c>
      <c r="G98" t="inlineStr"/>
    </row>
    <row r="99">
      <c r="A99" t="inlineStr">
        <is>
          <t>I11</t>
        </is>
      </c>
      <c r="B99" t="inlineStr">
        <is>
          <t>Adjusted EBITDA - group ($M)</t>
        </is>
      </c>
      <c r="C99" t="inlineStr">
        <is>
          <t>Q4 2025</t>
        </is>
      </c>
      <c r="D99" t="n">
        <v>15</v>
      </c>
      <c r="E99" t="inlineStr">
        <is>
          <t>Reported</t>
        </is>
      </c>
      <c r="F99" t="inlineStr">
        <is>
          <t>6-K 2026-02-12 acc 0001104659-26-013946 tm266173d1_ex99-1.htm | https://www.sec.gov/Archives/edgar/data/1513845/000110465926013946/tm266173d1_ex99-1.htm</t>
        </is>
      </c>
      <c r="G99" t="inlineStr"/>
    </row>
    <row r="100">
      <c r="A100" t="inlineStr">
        <is>
          <t>J11</t>
        </is>
      </c>
      <c r="B100" t="inlineStr">
        <is>
          <t>Adjusted EBITDA - group ($M)</t>
        </is>
      </c>
      <c r="C100" t="inlineStr">
        <is>
          <t>Q1 2026</t>
        </is>
      </c>
      <c r="D100" t="n">
        <v>129.5</v>
      </c>
      <c r="E100" t="inlineStr">
        <is>
          <t>Reported</t>
        </is>
      </c>
      <c r="F100" t="inlineStr">
        <is>
          <t>6-K 2026-05-13 acc 0001104659-26-059872 tm2614392d1_ex99-1.htm | https://www.sec.gov/Archives/edgar/data/1513845/000110465926059872/tm2614392d1_ex99-1.htm</t>
        </is>
      </c>
      <c r="G100" t="inlineStr"/>
    </row>
    <row r="101">
      <c r="A101" t="inlineStr">
        <is>
          <t>K11</t>
        </is>
      </c>
      <c r="B101" t="inlineStr">
        <is>
          <t>Adjusted EBITDA - group ($M)</t>
        </is>
      </c>
      <c r="C101" t="inlineStr">
        <is>
          <t>Q2 2026</t>
        </is>
      </c>
      <c r="D101" t="n">
        <v>236.2</v>
      </c>
      <c r="E101" t="inlineStr">
        <is>
          <t>Reported</t>
        </is>
      </c>
      <c r="F101" t="inlineStr">
        <is>
          <t>6-K 2026-08-12 acc 0001104659-26-094568 tm2622968d1_ex99-1.htm | https://www.sec.gov/Archives/edgar/data/1513845/000110465926094568/tm2622968d1_ex99-1.htm</t>
        </is>
      </c>
      <c r="G101" t="inlineStr"/>
    </row>
    <row r="102">
      <c r="A102" t="inlineStr">
        <is>
          <t>B12</t>
        </is>
      </c>
      <c r="B102" t="inlineStr">
        <is>
          <t>Adjusted EBITDA - Nebius AI cloud segment ($M)</t>
        </is>
      </c>
      <c r="C102" t="inlineStr">
        <is>
          <t>Q1 2024</t>
        </is>
      </c>
      <c r="D102" t="inlineStr">
        <is>
          <t>not disclosed</t>
        </is>
      </c>
      <c r="E102" t="inlineStr">
        <is>
          <t>Not disclosed</t>
        </is>
      </c>
      <c r="F102" t="inlineStr">
        <is>
          <t>6-K 2025-09-10 acc 0001104659-25-088860 tm2525580d2_ex99-1.htm | https://www.sec.gov/Archives/edgar/data/1513845/000110465925088860/tm2525580d2_ex99-1.htm</t>
        </is>
      </c>
      <c r="G102" t="inlineStr">
        <is>
          <t>H1-24 total -68.5</t>
        </is>
      </c>
    </row>
    <row r="103">
      <c r="A103" t="inlineStr">
        <is>
          <t>C12</t>
        </is>
      </c>
      <c r="B103" t="inlineStr">
        <is>
          <t>Adjusted EBITDA - Nebius AI cloud segment ($M)</t>
        </is>
      </c>
      <c r="C103" t="inlineStr">
        <is>
          <t>Q2 2024</t>
        </is>
      </c>
      <c r="D103" t="inlineStr">
        <is>
          <t>not disclosed</t>
        </is>
      </c>
      <c r="E103" t="inlineStr">
        <is>
          <t>Not disclosed</t>
        </is>
      </c>
      <c r="F103" t="inlineStr">
        <is>
          <t>6-K 2025-09-10 acc 0001104659-25-088860 tm2525580d2_ex99-1.htm | https://www.sec.gov/Archives/edgar/data/1513845/000110465925088860/tm2525580d2_ex99-1.htm</t>
        </is>
      </c>
      <c r="G103" t="inlineStr">
        <is>
          <t>H1-24 total -68.5</t>
        </is>
      </c>
    </row>
    <row r="104">
      <c r="A104" t="inlineStr">
        <is>
          <t>D12</t>
        </is>
      </c>
      <c r="B104" t="inlineStr">
        <is>
          <t>Adjusted EBITDA - Nebius AI cloud segment ($M)</t>
        </is>
      </c>
      <c r="C104" t="inlineStr">
        <is>
          <t>Q3 2024</t>
        </is>
      </c>
      <c r="D104" t="n">
        <v>-21.5</v>
      </c>
      <c r="E104" t="inlineStr">
        <is>
          <t>Reported</t>
        </is>
      </c>
      <c r="F104" t="inlineStr">
        <is>
          <t>6-K 2025-11-13 acc 0001104659-25-110831 tm2531034d1_ex99-1.htm | https://www.sec.gov/Archives/edgar/data/1513845/000110465925110831/tm2531034d1_ex99-1.htm</t>
        </is>
      </c>
      <c r="G104" t="inlineStr"/>
    </row>
    <row r="105">
      <c r="A105" t="inlineStr">
        <is>
          <t>E12</t>
        </is>
      </c>
      <c r="B105" t="inlineStr">
        <is>
          <t>Adjusted EBITDA - Nebius AI cloud segment ($M)</t>
        </is>
      </c>
      <c r="C105" t="inlineStr">
        <is>
          <t>Q4 2024</t>
        </is>
      </c>
      <c r="D105" t="n">
        <v>-38.5</v>
      </c>
      <c r="E105" t="inlineStr">
        <is>
          <t>Derived</t>
        </is>
      </c>
      <c r="F105" t="inlineStr">
        <is>
          <t>20-F 2026-04-30 acc 0001104659-26-052948 nbis-20251231x20f.htm FY -128.5 - 9M -90.0 | https://www.sec.gov/Archives/edgar/data/1513845/000110465926052948/nbis-20251231x20f.htm</t>
        </is>
      </c>
      <c r="G105" t="inlineStr">
        <is>
          <t>derivation: FY -128.5 - 9M -90.0</t>
        </is>
      </c>
    </row>
    <row r="106">
      <c r="A106" t="inlineStr">
        <is>
          <t>F12</t>
        </is>
      </c>
      <c r="B106" t="inlineStr">
        <is>
          <t>Adjusted EBITDA - Nebius AI cloud segment ($M)</t>
        </is>
      </c>
      <c r="C106" t="inlineStr">
        <is>
          <t>Q1 2025</t>
        </is>
      </c>
      <c r="D106" t="n">
        <v>-27.4</v>
      </c>
      <c r="E106" t="inlineStr">
        <is>
          <t>Reported</t>
        </is>
      </c>
      <c r="F106" t="inlineStr">
        <is>
          <t>6-K 2026-05-20 acc 0001104659-26-064092 nbis-20260331xex99d2.htm | https://www.sec.gov/Archives/edgar/data/1513845/000110465926064092/nbis-20260331xex99d2.htm</t>
        </is>
      </c>
      <c r="G106" t="inlineStr"/>
    </row>
    <row r="107">
      <c r="A107" t="inlineStr">
        <is>
          <t>G12</t>
        </is>
      </c>
      <c r="B107" t="inlineStr">
        <is>
          <t>Adjusted EBITDA - Nebius AI cloud segment ($M)</t>
        </is>
      </c>
      <c r="C107" t="inlineStr">
        <is>
          <t>Q2 2025</t>
        </is>
      </c>
      <c r="D107" t="n">
        <v>9.5</v>
      </c>
      <c r="E107" t="inlineStr">
        <is>
          <t>Reported</t>
        </is>
      </c>
      <c r="F107" t="inlineStr">
        <is>
          <t>6-K 2026-08-12 acc 0001104659-26-094844 nbis-20260812xex99d2.htm | https://www.sec.gov/Archives/edgar/data/1513845/000110465926094844/nbis-20260812xex99d2.htm</t>
        </is>
      </c>
      <c r="G107" t="inlineStr"/>
    </row>
    <row r="108">
      <c r="A108" t="inlineStr">
        <is>
          <t>H12</t>
        </is>
      </c>
      <c r="B108" t="inlineStr">
        <is>
          <t>Adjusted EBITDA - Nebius AI cloud segment ($M)</t>
        </is>
      </c>
      <c r="C108" t="inlineStr">
        <is>
          <t>Q3 2025</t>
        </is>
      </c>
      <c r="D108" t="n">
        <v>25.1</v>
      </c>
      <c r="E108" t="inlineStr">
        <is>
          <t>Reported</t>
        </is>
      </c>
      <c r="F108" t="inlineStr">
        <is>
          <t>6-K 2025-11-13 acc 0001104659-25-110831 tm2531034d1_ex99-1.htm | https://www.sec.gov/Archives/edgar/data/1513845/000110465925110831/tm2531034d1_ex99-1.htm</t>
        </is>
      </c>
      <c r="G108" t="inlineStr"/>
    </row>
    <row r="109">
      <c r="A109" t="inlineStr">
        <is>
          <t>I12</t>
        </is>
      </c>
      <c r="B109" t="inlineStr">
        <is>
          <t>Adjusted EBITDA - Nebius AI cloud segment ($M)</t>
        </is>
      </c>
      <c r="C109" t="inlineStr">
        <is>
          <t>Q4 2025</t>
        </is>
      </c>
      <c r="D109" t="n">
        <v>51.8</v>
      </c>
      <c r="E109" t="inlineStr">
        <is>
          <t>Derived</t>
        </is>
      </c>
      <c r="F109" t="inlineStr">
        <is>
          <t>20-F 2026-04-30 acc 0001104659-26-052948 nbis-20251231x20f.htm FY 59.0 - 9M 7.2 | https://www.sec.gov/Archives/edgar/data/1513845/000110465926052948/nbis-20251231x20f.htm</t>
        </is>
      </c>
      <c r="G109" t="inlineStr">
        <is>
          <t>derivation: FY 59.0 - 9M 7.2</t>
        </is>
      </c>
    </row>
    <row r="110">
      <c r="A110" t="inlineStr">
        <is>
          <t>J12</t>
        </is>
      </c>
      <c r="B110" t="inlineStr">
        <is>
          <t>Adjusted EBITDA - Nebius AI cloud segment ($M)</t>
        </is>
      </c>
      <c r="C110" t="inlineStr">
        <is>
          <t>Q1 2026</t>
        </is>
      </c>
      <c r="D110" t="n">
        <v>174</v>
      </c>
      <c r="E110" t="inlineStr">
        <is>
          <t>Reported</t>
        </is>
      </c>
      <c r="F110" t="inlineStr">
        <is>
          <t>6-K 2026-05-20 acc 0001104659-26-064092 nbis-20260331xex99d2.htm | https://www.sec.gov/Archives/edgar/data/1513845/000110465926064092/nbis-20260331xex99d2.htm</t>
        </is>
      </c>
      <c r="G110" t="inlineStr"/>
    </row>
    <row r="111">
      <c r="A111" t="inlineStr">
        <is>
          <t>K12</t>
        </is>
      </c>
      <c r="B111" t="inlineStr">
        <is>
          <t>Adjusted EBITDA - Nebius AI cloud segment ($M)</t>
        </is>
      </c>
      <c r="C111" t="inlineStr">
        <is>
          <t>Q2 2026</t>
        </is>
      </c>
      <c r="D111" t="n">
        <v>285.7</v>
      </c>
      <c r="E111" t="inlineStr">
        <is>
          <t>Reported</t>
        </is>
      </c>
      <c r="F111" t="inlineStr">
        <is>
          <t>6-K 2026-08-12 acc 0001104659-26-094844 nbis-20260812xex99d2.htm | https://www.sec.gov/Archives/edgar/data/1513845/000110465926094844/nbis-20260812xex99d2.htm</t>
        </is>
      </c>
      <c r="G111" t="inlineStr"/>
    </row>
    <row r="112">
      <c r="A112" t="inlineStr">
        <is>
          <t>B13</t>
        </is>
      </c>
      <c r="B112" t="inlineStr">
        <is>
          <t>Adjusted EBITDA - Avride ($M)</t>
        </is>
      </c>
      <c r="C112" t="inlineStr">
        <is>
          <t>Q1 2024</t>
        </is>
      </c>
      <c r="D112" t="inlineStr">
        <is>
          <t>not disclosed</t>
        </is>
      </c>
      <c r="E112" t="inlineStr">
        <is>
          <t>Not disclosed</t>
        </is>
      </c>
      <c r="F112" t="inlineStr">
        <is>
          <t>6-K 2025-09-10 acc 0001104659-25-088860 tm2525580d2_ex99-1.htm | https://www.sec.gov/Archives/edgar/data/1513845/000110465925088860/tm2525580d2_ex99-1.htm</t>
        </is>
      </c>
      <c r="G112" t="inlineStr">
        <is>
          <t>H1-24 -34.4</t>
        </is>
      </c>
    </row>
    <row r="113">
      <c r="A113" t="inlineStr">
        <is>
          <t>C13</t>
        </is>
      </c>
      <c r="B113" t="inlineStr">
        <is>
          <t>Adjusted EBITDA - Avride ($M)</t>
        </is>
      </c>
      <c r="C113" t="inlineStr">
        <is>
          <t>Q2 2024</t>
        </is>
      </c>
      <c r="D113" t="inlineStr">
        <is>
          <t>not disclosed</t>
        </is>
      </c>
      <c r="E113" t="inlineStr">
        <is>
          <t>Not disclosed</t>
        </is>
      </c>
      <c r="F113" t="inlineStr">
        <is>
          <t>6-K 2025-09-10 acc 0001104659-25-088860 tm2525580d2_ex99-1.htm | https://www.sec.gov/Archives/edgar/data/1513845/000110465925088860/tm2525580d2_ex99-1.htm</t>
        </is>
      </c>
      <c r="G113" t="inlineStr">
        <is>
          <t>H1-24 -34.4</t>
        </is>
      </c>
    </row>
    <row r="114">
      <c r="A114" t="inlineStr">
        <is>
          <t>D13</t>
        </is>
      </c>
      <c r="B114" t="inlineStr">
        <is>
          <t>Adjusted EBITDA - Avride ($M)</t>
        </is>
      </c>
      <c r="C114" t="inlineStr">
        <is>
          <t>Q3 2024</t>
        </is>
      </c>
      <c r="D114" t="n">
        <v>-15.4</v>
      </c>
      <c r="E114" t="inlineStr">
        <is>
          <t>Reported</t>
        </is>
      </c>
      <c r="F114" t="inlineStr">
        <is>
          <t>6-K 2025-11-13 acc 0001104659-25-110831 tm2531034d1_ex99-1.htm | https://www.sec.gov/Archives/edgar/data/1513845/000110465925110831/tm2531034d1_ex99-1.htm</t>
        </is>
      </c>
      <c r="G114" t="inlineStr"/>
    </row>
    <row r="115">
      <c r="A115" t="inlineStr">
        <is>
          <t>E13</t>
        </is>
      </c>
      <c r="B115" t="inlineStr">
        <is>
          <t>Adjusted EBITDA - Avride ($M)</t>
        </is>
      </c>
      <c r="C115" t="inlineStr">
        <is>
          <t>Q4 2024</t>
        </is>
      </c>
      <c r="D115" t="n">
        <v>-17.2</v>
      </c>
      <c r="E115" t="inlineStr">
        <is>
          <t>Derived</t>
        </is>
      </c>
      <c r="F115" t="inlineStr">
        <is>
          <t>20-F 2026-04-30 acc 0001104659-26-052948 nbis-20251231x20f.htm FY -67.0 - 9M -49.8 | https://www.sec.gov/Archives/edgar/data/1513845/000110465926052948/nbis-20251231x20f.htm</t>
        </is>
      </c>
      <c r="G115" t="inlineStr">
        <is>
          <t>derivation: FY -67.0 - 9M -49.8</t>
        </is>
      </c>
    </row>
    <row r="116">
      <c r="A116" t="inlineStr">
        <is>
          <t>F13</t>
        </is>
      </c>
      <c r="B116" t="inlineStr">
        <is>
          <t>Adjusted EBITDA - Avride ($M)</t>
        </is>
      </c>
      <c r="C116" t="inlineStr">
        <is>
          <t>Q1 2025</t>
        </is>
      </c>
      <c r="D116" t="n">
        <v>-16.9</v>
      </c>
      <c r="E116" t="inlineStr">
        <is>
          <t>Reported</t>
        </is>
      </c>
      <c r="F116" t="inlineStr">
        <is>
          <t>6-K 2026-05-20 acc 0001104659-26-064092 nbis-20260331xex99d2.htm | https://www.sec.gov/Archives/edgar/data/1513845/000110465926064092/nbis-20260331xex99d2.htm</t>
        </is>
      </c>
      <c r="G116" t="inlineStr"/>
    </row>
    <row r="117">
      <c r="A117" t="inlineStr">
        <is>
          <t>G13</t>
        </is>
      </c>
      <c r="B117" t="inlineStr">
        <is>
          <t>Adjusted EBITDA - Avride ($M)</t>
        </is>
      </c>
      <c r="C117" t="inlineStr">
        <is>
          <t>Q2 2025</t>
        </is>
      </c>
      <c r="D117" t="n">
        <v>-17.3</v>
      </c>
      <c r="E117" t="inlineStr">
        <is>
          <t>Reported</t>
        </is>
      </c>
      <c r="F117" t="inlineStr">
        <is>
          <t>6-K 2026-08-12 acc 0001104659-26-094844 nbis-20260812xex99d2.htm | https://www.sec.gov/Archives/edgar/data/1513845/000110465926094844/nbis-20260812xex99d2.htm</t>
        </is>
      </c>
      <c r="G117" t="inlineStr"/>
    </row>
    <row r="118">
      <c r="A118" t="inlineStr">
        <is>
          <t>H13</t>
        </is>
      </c>
      <c r="B118" t="inlineStr">
        <is>
          <t>Adjusted EBITDA - Avride ($M)</t>
        </is>
      </c>
      <c r="C118" t="inlineStr">
        <is>
          <t>Q3 2025</t>
        </is>
      </c>
      <c r="D118" t="n">
        <v>-20.8</v>
      </c>
      <c r="E118" t="inlineStr">
        <is>
          <t>Reported</t>
        </is>
      </c>
      <c r="F118" t="inlineStr">
        <is>
          <t>6-K 2025-11-13 acc 0001104659-25-110831 tm2531034d1_ex99-1.htm | https://www.sec.gov/Archives/edgar/data/1513845/000110465925110831/tm2531034d1_ex99-1.htm</t>
        </is>
      </c>
      <c r="G118" t="inlineStr"/>
    </row>
    <row r="119">
      <c r="A119" t="inlineStr">
        <is>
          <t>I13</t>
        </is>
      </c>
      <c r="B119" t="inlineStr">
        <is>
          <t>Adjusted EBITDA - Avride ($M)</t>
        </is>
      </c>
      <c r="C119" t="inlineStr">
        <is>
          <t>Q4 2025</t>
        </is>
      </c>
      <c r="D119" t="n">
        <v>-27.7</v>
      </c>
      <c r="E119" t="inlineStr">
        <is>
          <t>Derived</t>
        </is>
      </c>
      <c r="F119" t="inlineStr">
        <is>
          <t>20-F 2026-04-30 acc 0001104659-26-052948 nbis-20251231x20f.htm FY -82.7 - 9M -55.0 | https://www.sec.gov/Archives/edgar/data/1513845/000110465926052948/nbis-20251231x20f.htm</t>
        </is>
      </c>
      <c r="G119" t="inlineStr">
        <is>
          <t>derivation: FY -82.7 - 9M -55.0</t>
        </is>
      </c>
    </row>
    <row r="120">
      <c r="A120" t="inlineStr">
        <is>
          <t>J13</t>
        </is>
      </c>
      <c r="B120" t="inlineStr">
        <is>
          <t>Adjusted EBITDA - Avride ($M)</t>
        </is>
      </c>
      <c r="C120" t="inlineStr">
        <is>
          <t>Q1 2026</t>
        </is>
      </c>
      <c r="D120" t="n">
        <v>-34.1</v>
      </c>
      <c r="E120" t="inlineStr">
        <is>
          <t>Reported</t>
        </is>
      </c>
      <c r="F120" t="inlineStr">
        <is>
          <t>6-K 2026-05-20 acc 0001104659-26-064092 nbis-20260331xex99d2.htm | https://www.sec.gov/Archives/edgar/data/1513845/000110465926064092/nbis-20260331xex99d2.htm</t>
        </is>
      </c>
      <c r="G120" t="inlineStr"/>
    </row>
    <row r="121">
      <c r="A121" t="inlineStr">
        <is>
          <t>K13</t>
        </is>
      </c>
      <c r="B121" t="inlineStr">
        <is>
          <t>Adjusted EBITDA - Avride ($M)</t>
        </is>
      </c>
      <c r="C121" t="inlineStr">
        <is>
          <t>Q2 2026</t>
        </is>
      </c>
      <c r="D121" t="n">
        <v>-40.1</v>
      </c>
      <c r="E121" t="inlineStr">
        <is>
          <t>Reported</t>
        </is>
      </c>
      <c r="F121" t="inlineStr">
        <is>
          <t>6-K 2026-08-12 acc 0001104659-26-094844 nbis-20260812xex99d2.htm | https://www.sec.gov/Archives/edgar/data/1513845/000110465926094844/nbis-20260812xex99d2.htm</t>
        </is>
      </c>
      <c r="G121" t="inlineStr"/>
    </row>
    <row r="122">
      <c r="A122" t="inlineStr">
        <is>
          <t>B14</t>
        </is>
      </c>
      <c r="B122" t="inlineStr">
        <is>
          <t>Adjusted EBITDA - TripleTen ($M)</t>
        </is>
      </c>
      <c r="C122" t="inlineStr">
        <is>
          <t>Q1 2024</t>
        </is>
      </c>
      <c r="D122" t="inlineStr">
        <is>
          <t>not disclosed</t>
        </is>
      </c>
      <c r="E122" t="inlineStr">
        <is>
          <t>Not disclosed</t>
        </is>
      </c>
      <c r="F122" t="inlineStr">
        <is>
          <t>6-K 2025-09-10 acc 0001104659-25-088860 tm2525580d2_ex99-1.htm | https://www.sec.gov/Archives/edgar/data/1513845/000110465925088860/tm2525580d2_ex99-1.htm</t>
        </is>
      </c>
      <c r="G122" t="inlineStr">
        <is>
          <t>H1-24 -13.6</t>
        </is>
      </c>
    </row>
    <row r="123">
      <c r="A123" t="inlineStr">
        <is>
          <t>C14</t>
        </is>
      </c>
      <c r="B123" t="inlineStr">
        <is>
          <t>Adjusted EBITDA - TripleTen ($M)</t>
        </is>
      </c>
      <c r="C123" t="inlineStr">
        <is>
          <t>Q2 2024</t>
        </is>
      </c>
      <c r="D123" t="inlineStr">
        <is>
          <t>not disclosed</t>
        </is>
      </c>
      <c r="E123" t="inlineStr">
        <is>
          <t>Not disclosed</t>
        </is>
      </c>
      <c r="F123" t="inlineStr">
        <is>
          <t>6-K 2025-09-10 acc 0001104659-25-088860 tm2525580d2_ex99-1.htm | https://www.sec.gov/Archives/edgar/data/1513845/000110465925088860/tm2525580d2_ex99-1.htm</t>
        </is>
      </c>
      <c r="G123" t="inlineStr">
        <is>
          <t>H1-24 -13.6</t>
        </is>
      </c>
    </row>
    <row r="124">
      <c r="A124" t="inlineStr">
        <is>
          <t>D14</t>
        </is>
      </c>
      <c r="B124" t="inlineStr">
        <is>
          <t>Adjusted EBITDA - TripleTen ($M)</t>
        </is>
      </c>
      <c r="C124" t="inlineStr">
        <is>
          <t>Q3 2024</t>
        </is>
      </c>
      <c r="D124" t="n">
        <v>-9</v>
      </c>
      <c r="E124" t="inlineStr">
        <is>
          <t>Reported</t>
        </is>
      </c>
      <c r="F124" t="inlineStr">
        <is>
          <t>6-K 2025-11-13 acc 0001104659-25-110831 tm2531034d1_ex99-1.htm | https://www.sec.gov/Archives/edgar/data/1513845/000110465925110831/tm2531034d1_ex99-1.htm</t>
        </is>
      </c>
      <c r="G124" t="inlineStr"/>
    </row>
    <row r="125">
      <c r="A125" t="inlineStr">
        <is>
          <t>E14</t>
        </is>
      </c>
      <c r="B125" t="inlineStr">
        <is>
          <t>Adjusted EBITDA - TripleTen ($M)</t>
        </is>
      </c>
      <c r="C125" t="inlineStr">
        <is>
          <t>Q4 2024</t>
        </is>
      </c>
      <c r="D125" t="n">
        <v>-8.199999999999999</v>
      </c>
      <c r="E125" t="inlineStr">
        <is>
          <t>Derived</t>
        </is>
      </c>
      <c r="F125" t="inlineStr">
        <is>
          <t>20-F 2026-04-30 acc 0001104659-26-052948 nbis-20251231x20f.htm FY -30.8 - 9M -22.6 | https://www.sec.gov/Archives/edgar/data/1513845/000110465926052948/nbis-20251231x20f.htm</t>
        </is>
      </c>
      <c r="G125" t="inlineStr">
        <is>
          <t>derivation: FY -30.8 - 9M -22.6</t>
        </is>
      </c>
    </row>
    <row r="126">
      <c r="A126" t="inlineStr">
        <is>
          <t>F14</t>
        </is>
      </c>
      <c r="B126" t="inlineStr">
        <is>
          <t>Adjusted EBITDA - TripleTen ($M)</t>
        </is>
      </c>
      <c r="C126" t="inlineStr">
        <is>
          <t>Q1 2025</t>
        </is>
      </c>
      <c r="D126" t="n">
        <v>-9.4</v>
      </c>
      <c r="E126" t="inlineStr">
        <is>
          <t>Reported</t>
        </is>
      </c>
      <c r="F126" t="inlineStr">
        <is>
          <t>6-K 2026-05-20 acc 0001104659-26-064092 nbis-20260331xex99d2.htm | https://www.sec.gov/Archives/edgar/data/1513845/000110465926064092/nbis-20260331xex99d2.htm</t>
        </is>
      </c>
      <c r="G126" t="inlineStr"/>
    </row>
    <row r="127">
      <c r="A127" t="inlineStr">
        <is>
          <t>G14</t>
        </is>
      </c>
      <c r="B127" t="inlineStr">
        <is>
          <t>Adjusted EBITDA - TripleTen ($M)</t>
        </is>
      </c>
      <c r="C127" t="inlineStr">
        <is>
          <t>Q2 2025</t>
        </is>
      </c>
      <c r="D127" t="n">
        <v>-13.2</v>
      </c>
      <c r="E127" t="inlineStr">
        <is>
          <t>Reported</t>
        </is>
      </c>
      <c r="F127" t="inlineStr">
        <is>
          <t>6-K 2026-08-12 acc 0001104659-26-094844 nbis-20260812xex99d2.htm | https://www.sec.gov/Archives/edgar/data/1513845/000110465926094844/nbis-20260812xex99d2.htm</t>
        </is>
      </c>
      <c r="G127" t="inlineStr"/>
    </row>
    <row r="128">
      <c r="A128" t="inlineStr">
        <is>
          <t>H14</t>
        </is>
      </c>
      <c r="B128" t="inlineStr">
        <is>
          <t>Adjusted EBITDA - TripleTen ($M)</t>
        </is>
      </c>
      <c r="C128" t="inlineStr">
        <is>
          <t>Q3 2025</t>
        </is>
      </c>
      <c r="D128" t="n">
        <v>-9.5</v>
      </c>
      <c r="E128" t="inlineStr">
        <is>
          <t>Reported</t>
        </is>
      </c>
      <c r="F128" t="inlineStr">
        <is>
          <t>6-K 2025-11-13 acc 0001104659-25-110831 tm2531034d1_ex99-1.htm | https://www.sec.gov/Archives/edgar/data/1513845/000110465925110831/tm2531034d1_ex99-1.htm</t>
        </is>
      </c>
      <c r="G128" t="inlineStr"/>
    </row>
    <row r="129">
      <c r="A129" t="inlineStr">
        <is>
          <t>I14</t>
        </is>
      </c>
      <c r="B129" t="inlineStr">
        <is>
          <t>Adjusted EBITDA - TripleTen ($M)</t>
        </is>
      </c>
      <c r="C129" t="inlineStr">
        <is>
          <t>Q4 2025</t>
        </is>
      </c>
      <c r="D129" t="n">
        <v>-9.1</v>
      </c>
      <c r="E129" t="inlineStr">
        <is>
          <t>Derived</t>
        </is>
      </c>
      <c r="F129" t="inlineStr">
        <is>
          <t>20-F 2026-04-30 acc 0001104659-26-052948 nbis-20251231x20f.htm FY -41.2 - 9M -32.1 | https://www.sec.gov/Archives/edgar/data/1513845/000110465926052948/nbis-20251231x20f.htm</t>
        </is>
      </c>
      <c r="G129" t="inlineStr">
        <is>
          <t>derivation: FY -41.2 - 9M -32.1</t>
        </is>
      </c>
    </row>
    <row r="130">
      <c r="A130" t="inlineStr">
        <is>
          <t>J14</t>
        </is>
      </c>
      <c r="B130" t="inlineStr">
        <is>
          <t>Adjusted EBITDA - TripleTen ($M)</t>
        </is>
      </c>
      <c r="C130" t="inlineStr">
        <is>
          <t>Q1 2026</t>
        </is>
      </c>
      <c r="D130" t="n">
        <v>-10.4</v>
      </c>
      <c r="E130" t="inlineStr">
        <is>
          <t>Reported</t>
        </is>
      </c>
      <c r="F130" t="inlineStr">
        <is>
          <t>6-K 2026-05-20 acc 0001104659-26-064092 nbis-20260331xex99d2.htm | https://www.sec.gov/Archives/edgar/data/1513845/000110465926064092/nbis-20260331xex99d2.htm</t>
        </is>
      </c>
      <c r="G130" t="inlineStr"/>
    </row>
    <row r="131">
      <c r="A131" t="inlineStr">
        <is>
          <t>K14</t>
        </is>
      </c>
      <c r="B131" t="inlineStr">
        <is>
          <t>Adjusted EBITDA - TripleTen ($M)</t>
        </is>
      </c>
      <c r="C131" t="inlineStr">
        <is>
          <t>Q2 2026</t>
        </is>
      </c>
      <c r="D131" t="n">
        <v>-9.4</v>
      </c>
      <c r="E131" t="inlineStr">
        <is>
          <t>Reported</t>
        </is>
      </c>
      <c r="F131" t="inlineStr">
        <is>
          <t>6-K 2026-08-12 acc 0001104659-26-094844 nbis-20260812xex99d2.htm | https://www.sec.gov/Archives/edgar/data/1513845/000110465926094844/nbis-20260812xex99d2.htm</t>
        </is>
      </c>
      <c r="G131" t="inlineStr"/>
    </row>
    <row r="132">
      <c r="A132" t="inlineStr">
        <is>
          <t>B15</t>
        </is>
      </c>
      <c r="B132" t="inlineStr">
        <is>
          <t>Net income/(loss) - continuing ops ($M)</t>
        </is>
      </c>
      <c r="C132" t="inlineStr">
        <is>
          <t>Q1 2024</t>
        </is>
      </c>
      <c r="D132" t="n">
        <v>-68.59999999999999</v>
      </c>
      <c r="E132" t="inlineStr">
        <is>
          <t>Derived</t>
        </is>
      </c>
      <c r="F132" t="inlineStr">
        <is>
          <t>6-K 2025-08-07 acc 0001104659-25-075028 tm2522866d1_ex99-1.htm H1 -185.5 - Q2 -116.9 | https://www.sec.gov/Archives/edgar/data/1513845/000110465925075028/tm2522866d1_ex99-1.htm</t>
        </is>
      </c>
      <c r="G132" t="inlineStr">
        <is>
          <t>derivation: H1 -185.5 - Q2 -116.9</t>
        </is>
      </c>
    </row>
    <row r="133">
      <c r="A133" t="inlineStr">
        <is>
          <t>C15</t>
        </is>
      </c>
      <c r="B133" t="inlineStr">
        <is>
          <t>Net income/(loss) - continuing ops ($M)</t>
        </is>
      </c>
      <c r="C133" t="inlineStr">
        <is>
          <t>Q2 2024</t>
        </is>
      </c>
      <c r="D133" t="n">
        <v>-116.9</v>
      </c>
      <c r="E133" t="inlineStr">
        <is>
          <t>Reported</t>
        </is>
      </c>
      <c r="F133" t="inlineStr">
        <is>
          <t>6-K 2025-08-07 acc 0001104659-25-075028 tm2522866d1_ex99-1.htm | https://www.sec.gov/Archives/edgar/data/1513845/000110465925075028/tm2522866d1_ex99-1.htm</t>
        </is>
      </c>
      <c r="G133" t="inlineStr"/>
    </row>
    <row r="134">
      <c r="A134" t="inlineStr">
        <is>
          <t>D15</t>
        </is>
      </c>
      <c r="B134" t="inlineStr">
        <is>
          <t>Net income/(loss) - continuing ops ($M)</t>
        </is>
      </c>
      <c r="C134" t="inlineStr">
        <is>
          <t>Q3 2024</t>
        </is>
      </c>
      <c r="D134" t="n">
        <v>-43.6</v>
      </c>
      <c r="E134" t="inlineStr">
        <is>
          <t>Reported</t>
        </is>
      </c>
      <c r="F134" t="inlineStr">
        <is>
          <t>6-K 2025-11-12 acc 0001104659-25-109806 tm2530882d1_ex99-1.htm | https://www.sec.gov/Archives/edgar/data/1513845/000110465925109806/tm2530882d1_ex99-1.htm</t>
        </is>
      </c>
      <c r="G134" t="inlineStr"/>
    </row>
    <row r="135">
      <c r="A135" t="inlineStr">
        <is>
          <t>E15</t>
        </is>
      </c>
      <c r="B135" t="inlineStr">
        <is>
          <t>Net income/(loss) - continuing ops ($M)</t>
        </is>
      </c>
      <c r="C135" t="inlineStr">
        <is>
          <t>Q4 2024</t>
        </is>
      </c>
      <c r="D135" t="n">
        <v>-122.9</v>
      </c>
      <c r="E135" t="inlineStr">
        <is>
          <t>Reported</t>
        </is>
      </c>
      <c r="F135" t="inlineStr">
        <is>
          <t>6-K 2026-02-12 acc 0001104659-26-013946 tm266173d1_ex99-1.htm | https://www.sec.gov/Archives/edgar/data/1513845/000110465926013946/tm266173d1_ex99-1.htm</t>
        </is>
      </c>
      <c r="G135" t="inlineStr"/>
    </row>
    <row r="136">
      <c r="A136" t="inlineStr">
        <is>
          <t>F15</t>
        </is>
      </c>
      <c r="B136" t="inlineStr">
        <is>
          <t>Net income/(loss) - continuing ops ($M)</t>
        </is>
      </c>
      <c r="C136" t="inlineStr">
        <is>
          <t>Q1 2025</t>
        </is>
      </c>
      <c r="D136" t="n">
        <v>-104.3</v>
      </c>
      <c r="E136" t="inlineStr">
        <is>
          <t>Reported</t>
        </is>
      </c>
      <c r="F136" t="inlineStr">
        <is>
          <t>6-K 2026-05-13 acc 0001104659-26-059872 tm2614392d1_ex99-1.htm | https://www.sec.gov/Archives/edgar/data/1513845/000110465926059872/tm2614392d1_ex99-1.htm</t>
        </is>
      </c>
      <c r="G136" t="inlineStr"/>
    </row>
    <row r="137">
      <c r="A137" t="inlineStr">
        <is>
          <t>G15</t>
        </is>
      </c>
      <c r="B137" t="inlineStr">
        <is>
          <t>Net income/(loss) - continuing ops ($M)</t>
        </is>
      </c>
      <c r="C137" t="inlineStr">
        <is>
          <t>Q2 2025</t>
        </is>
      </c>
      <c r="D137" t="n">
        <v>502.5</v>
      </c>
      <c r="E137" t="inlineStr">
        <is>
          <t>Reported</t>
        </is>
      </c>
      <c r="F137" t="inlineStr">
        <is>
          <t>6-K 2025-08-07 acc 0001104659-25-075028 tm2522866d1_ex99-1.htm | https://www.sec.gov/Archives/edgar/data/1513845/000110465925075028/tm2522866d1_ex99-1.htm</t>
        </is>
      </c>
      <c r="G137" t="inlineStr">
        <is>
          <t>incl. $597.4M equity revaluation gain</t>
        </is>
      </c>
    </row>
    <row r="138">
      <c r="A138" t="inlineStr">
        <is>
          <t>H15</t>
        </is>
      </c>
      <c r="B138" t="inlineStr">
        <is>
          <t>Net income/(loss) - continuing ops ($M)</t>
        </is>
      </c>
      <c r="C138" t="inlineStr">
        <is>
          <t>Q3 2025</t>
        </is>
      </c>
      <c r="D138" t="n">
        <v>-119.6</v>
      </c>
      <c r="E138" t="inlineStr">
        <is>
          <t>Reported</t>
        </is>
      </c>
      <c r="F138" t="inlineStr">
        <is>
          <t>6-K 2025-11-12 acc 0001104659-25-109806 tm2530882d1_ex99-1.htm | https://www.sec.gov/Archives/edgar/data/1513845/000110465925109806/tm2530882d1_ex99-1.htm</t>
        </is>
      </c>
      <c r="G138" t="inlineStr"/>
    </row>
    <row r="139">
      <c r="A139" t="inlineStr">
        <is>
          <t>I15</t>
        </is>
      </c>
      <c r="B139" t="inlineStr">
        <is>
          <t>Net income/(loss) - continuing ops ($M)</t>
        </is>
      </c>
      <c r="C139" t="inlineStr">
        <is>
          <t>Q4 2025</t>
        </is>
      </c>
      <c r="D139" t="n">
        <v>-249.6</v>
      </c>
      <c r="E139" t="inlineStr">
        <is>
          <t>Reported</t>
        </is>
      </c>
      <c r="F139" t="inlineStr">
        <is>
          <t>6-K 2026-02-12 acc 0001104659-26-013946 tm266173d1_ex99-1.htm | https://www.sec.gov/Archives/edgar/data/1513845/000110465926013946/tm266173d1_ex99-1.htm</t>
        </is>
      </c>
      <c r="G139" t="inlineStr"/>
    </row>
    <row r="140">
      <c r="A140" t="inlineStr">
        <is>
          <t>J15</t>
        </is>
      </c>
      <c r="B140" t="inlineStr">
        <is>
          <t>Net income/(loss) - continuing ops ($M)</t>
        </is>
      </c>
      <c r="C140" t="inlineStr">
        <is>
          <t>Q1 2026</t>
        </is>
      </c>
      <c r="D140" t="n">
        <v>621.2</v>
      </c>
      <c r="E140" t="inlineStr">
        <is>
          <t>Reported</t>
        </is>
      </c>
      <c r="F140" t="inlineStr">
        <is>
          <t>6-K 2026-05-13 acc 0001104659-26-059872 tm2614392d1_ex99-1.htm | https://www.sec.gov/Archives/edgar/data/1513845/000110465926059872/tm2614392d1_ex99-1.htm</t>
        </is>
      </c>
      <c r="G140" t="inlineStr">
        <is>
          <t>incl. $780.6M equity revaluation gain</t>
        </is>
      </c>
    </row>
    <row r="141">
      <c r="A141" t="inlineStr">
        <is>
          <t>K15</t>
        </is>
      </c>
      <c r="B141" t="inlineStr">
        <is>
          <t>Net income/(loss) - continuing ops ($M)</t>
        </is>
      </c>
      <c r="C141" t="inlineStr">
        <is>
          <t>Q2 2026</t>
        </is>
      </c>
      <c r="D141" t="n">
        <v>-190.4</v>
      </c>
      <c r="E141" t="inlineStr">
        <is>
          <t>Reported</t>
        </is>
      </c>
      <c r="F141" t="inlineStr">
        <is>
          <t>6-K 2026-08-12 acc 0001104659-26-094568 tm2622968d1_ex99-1.htm | https://www.sec.gov/Archives/edgar/data/1513845/000110465926094568/tm2622968d1_ex99-1.htm</t>
        </is>
      </c>
      <c r="G141" t="inlineStr"/>
    </row>
    <row r="142">
      <c r="A142" t="inlineStr">
        <is>
          <t>B16</t>
        </is>
      </c>
      <c r="B142" t="inlineStr">
        <is>
          <t>Net income/(loss) - total ($M)</t>
        </is>
      </c>
      <c r="C142" t="inlineStr">
        <is>
          <t>Q1 2024</t>
        </is>
      </c>
      <c r="D142" t="n">
        <v>-316.5</v>
      </c>
      <c r="E142" t="inlineStr">
        <is>
          <t>Derived</t>
        </is>
      </c>
      <c r="F142" t="inlineStr">
        <is>
          <t>6-K 2025-08-07 acc 0001104659-25-075028 tm2522866d1_ex99-1.htm H1 -414.0 - Q2 -97.5 | https://www.sec.gov/Archives/edgar/data/1513845/000110465925075028/tm2522866d1_ex99-1.htm</t>
        </is>
      </c>
      <c r="G142" t="inlineStr">
        <is>
          <t>matches Q1-25 PR comparative | derivation: H1 -414.0 - Q2 -97.5</t>
        </is>
      </c>
    </row>
    <row r="143">
      <c r="A143" t="inlineStr">
        <is>
          <t>C16</t>
        </is>
      </c>
      <c r="B143" t="inlineStr">
        <is>
          <t>Net income/(loss) - total ($M)</t>
        </is>
      </c>
      <c r="C143" t="inlineStr">
        <is>
          <t>Q2 2024</t>
        </is>
      </c>
      <c r="D143" t="n">
        <v>-97.5</v>
      </c>
      <c r="E143" t="inlineStr">
        <is>
          <t>Reported</t>
        </is>
      </c>
      <c r="F143" t="inlineStr">
        <is>
          <t>6-K 2025-08-07 acc 0001104659-25-075028 tm2522866d1_ex99-1.htm | https://www.sec.gov/Archives/edgar/data/1513845/000110465925075028/tm2522866d1_ex99-1.htm</t>
        </is>
      </c>
      <c r="G143" t="inlineStr"/>
    </row>
    <row r="144">
      <c r="A144" t="inlineStr">
        <is>
          <t>D16</t>
        </is>
      </c>
      <c r="B144" t="inlineStr">
        <is>
          <t>Net income/(loss) - total ($M)</t>
        </is>
      </c>
      <c r="C144" t="inlineStr">
        <is>
          <t>Q3 2024</t>
        </is>
      </c>
      <c r="D144" t="n">
        <v>-94.2</v>
      </c>
      <c r="E144" t="inlineStr">
        <is>
          <t>Reported</t>
        </is>
      </c>
      <c r="F144" t="inlineStr">
        <is>
          <t>6-K 2025-11-12 acc 0001104659-25-109806 tm2530882d1_ex99-1.htm | https://www.sec.gov/Archives/edgar/data/1513845/000110465925109806/tm2530882d1_ex99-1.htm</t>
        </is>
      </c>
      <c r="G144" t="inlineStr"/>
    </row>
    <row r="145">
      <c r="A145" t="inlineStr">
        <is>
          <t>E16</t>
        </is>
      </c>
      <c r="B145" t="inlineStr">
        <is>
          <t>Net income/(loss) - total ($M)</t>
        </is>
      </c>
      <c r="C145" t="inlineStr">
        <is>
          <t>Q4 2024</t>
        </is>
      </c>
      <c r="D145" t="n">
        <v>-133.2</v>
      </c>
      <c r="E145" t="inlineStr">
        <is>
          <t>Reported</t>
        </is>
      </c>
      <c r="F145" t="inlineStr">
        <is>
          <t>6-K 2026-02-12 acc 0001104659-26-013946 tm266173d1_ex99-1.htm | https://www.sec.gov/Archives/edgar/data/1513845/000110465926013946/tm266173d1_ex99-1.htm</t>
        </is>
      </c>
      <c r="G145" t="inlineStr"/>
    </row>
    <row r="146">
      <c r="A146" t="inlineStr">
        <is>
          <t>F16</t>
        </is>
      </c>
      <c r="B146" t="inlineStr">
        <is>
          <t>Net income/(loss) - total ($M)</t>
        </is>
      </c>
      <c r="C146" t="inlineStr">
        <is>
          <t>Q1 2025</t>
        </is>
      </c>
      <c r="D146" t="n">
        <v>-113.5</v>
      </c>
      <c r="E146" t="inlineStr">
        <is>
          <t>Reported</t>
        </is>
      </c>
      <c r="F146" t="inlineStr">
        <is>
          <t>6-K 2026-05-13 acc 0001104659-26-059872 tm2614392d1_ex99-1.htm | https://www.sec.gov/Archives/edgar/data/1513845/000110465926059872/tm2614392d1_ex99-1.htm</t>
        </is>
      </c>
      <c r="G146" t="inlineStr"/>
    </row>
    <row r="147">
      <c r="A147" t="inlineStr">
        <is>
          <t>G16</t>
        </is>
      </c>
      <c r="B147" t="inlineStr">
        <is>
          <t>Net income/(loss) - total ($M)</t>
        </is>
      </c>
      <c r="C147" t="inlineStr">
        <is>
          <t>Q2 2025</t>
        </is>
      </c>
      <c r="D147" t="n">
        <v>584.4</v>
      </c>
      <c r="E147" t="inlineStr">
        <is>
          <t>Reported</t>
        </is>
      </c>
      <c r="F147" t="inlineStr">
        <is>
          <t>6-K 2025-08-07 acc 0001104659-25-075028 tm2522866d1_ex99-1.htm | https://www.sec.gov/Archives/edgar/data/1513845/000110465925075028/tm2522866d1_ex99-1.htm</t>
        </is>
      </c>
      <c r="G147" t="inlineStr"/>
    </row>
    <row r="148">
      <c r="A148" t="inlineStr">
        <is>
          <t>H16</t>
        </is>
      </c>
      <c r="B148" t="inlineStr">
        <is>
          <t>Net income/(loss) - total ($M)</t>
        </is>
      </c>
      <c r="C148" t="inlineStr">
        <is>
          <t>Q3 2025</t>
        </is>
      </c>
      <c r="D148" t="n">
        <v>-119.6</v>
      </c>
      <c r="E148" t="inlineStr">
        <is>
          <t>Reported</t>
        </is>
      </c>
      <c r="F148" t="inlineStr">
        <is>
          <t>6-K 2025-11-12 acc 0001104659-25-109806 tm2530882d1_ex99-1.htm | https://www.sec.gov/Archives/edgar/data/1513845/000110465925109806/tm2530882d1_ex99-1.htm</t>
        </is>
      </c>
      <c r="G148" t="inlineStr"/>
    </row>
    <row r="149">
      <c r="A149" t="inlineStr">
        <is>
          <t>I16</t>
        </is>
      </c>
      <c r="B149" t="inlineStr">
        <is>
          <t>Net income/(loss) - total ($M)</t>
        </is>
      </c>
      <c r="C149" t="inlineStr">
        <is>
          <t>Q4 2025</t>
        </is>
      </c>
      <c r="D149" t="n">
        <v>-249.6</v>
      </c>
      <c r="E149" t="inlineStr">
        <is>
          <t>Reported</t>
        </is>
      </c>
      <c r="F149" t="inlineStr">
        <is>
          <t>6-K 2026-02-12 acc 0001104659-26-013946 tm266173d1_ex99-1.htm | https://www.sec.gov/Archives/edgar/data/1513845/000110465926013946/tm266173d1_ex99-1.htm</t>
        </is>
      </c>
      <c r="G149" t="inlineStr"/>
    </row>
    <row r="150">
      <c r="A150" t="inlineStr">
        <is>
          <t>J16</t>
        </is>
      </c>
      <c r="B150" t="inlineStr">
        <is>
          <t>Net income/(loss) - total ($M)</t>
        </is>
      </c>
      <c r="C150" t="inlineStr">
        <is>
          <t>Q1 2026</t>
        </is>
      </c>
      <c r="D150" t="n">
        <v>621.2</v>
      </c>
      <c r="E150" t="inlineStr">
        <is>
          <t>Reported</t>
        </is>
      </c>
      <c r="F150" t="inlineStr">
        <is>
          <t>6-K 2026-05-13 acc 0001104659-26-059872 tm2614392d1_ex99-1.htm | https://www.sec.gov/Archives/edgar/data/1513845/000110465926059872/tm2614392d1_ex99-1.htm</t>
        </is>
      </c>
      <c r="G150" t="inlineStr"/>
    </row>
    <row r="151">
      <c r="A151" t="inlineStr">
        <is>
          <t>K16</t>
        </is>
      </c>
      <c r="B151" t="inlineStr">
        <is>
          <t>Net income/(loss) - total ($M)</t>
        </is>
      </c>
      <c r="C151" t="inlineStr">
        <is>
          <t>Q2 2026</t>
        </is>
      </c>
      <c r="D151" t="n">
        <v>-190.4</v>
      </c>
      <c r="E151" t="inlineStr">
        <is>
          <t>Reported</t>
        </is>
      </c>
      <c r="F151" t="inlineStr">
        <is>
          <t>6-K 2026-08-12 acc 0001104659-26-094568 tm2622968d1_ex99-1.htm | https://www.sec.gov/Archives/edgar/data/1513845/000110465926094568/tm2622968d1_ex99-1.htm</t>
        </is>
      </c>
      <c r="G151" t="inlineStr"/>
    </row>
    <row r="152">
      <c r="A152" t="inlineStr">
        <is>
          <t>B17</t>
        </is>
      </c>
      <c r="B152" t="inlineStr">
        <is>
          <t>Depreciation &amp; amortization ($M)</t>
        </is>
      </c>
      <c r="C152" t="inlineStr">
        <is>
          <t>Q1 2024</t>
        </is>
      </c>
      <c r="D152" t="n">
        <v>8.9</v>
      </c>
      <c r="E152" t="inlineStr">
        <is>
          <t>Derived</t>
        </is>
      </c>
      <c r="F152" t="inlineStr">
        <is>
          <t>6-K 2025-08-07 acc 0001104659-25-075028 tm2522866d1_ex99-1.htm H1 20.3 - Q2 11.4 | https://www.sec.gov/Archives/edgar/data/1513845/000110465925075028/tm2522866d1_ex99-1.htm</t>
        </is>
      </c>
      <c r="G152" t="inlineStr">
        <is>
          <t>Q1-25 PR comparative also 8.9 | derivation: H1 20.3 - Q2 11.4</t>
        </is>
      </c>
    </row>
    <row r="153">
      <c r="A153" t="inlineStr">
        <is>
          <t>C17</t>
        </is>
      </c>
      <c r="B153" t="inlineStr">
        <is>
          <t>Depreciation &amp; amortization ($M)</t>
        </is>
      </c>
      <c r="C153" t="inlineStr">
        <is>
          <t>Q2 2024</t>
        </is>
      </c>
      <c r="D153" t="n">
        <v>11.4</v>
      </c>
      <c r="E153" t="inlineStr">
        <is>
          <t>Reported</t>
        </is>
      </c>
      <c r="F153" t="inlineStr">
        <is>
          <t>6-K 2025-08-07 acc 0001104659-25-075028 tm2522866d1_ex99-1.htm | https://www.sec.gov/Archives/edgar/data/1513845/000110465925075028/tm2522866d1_ex99-1.htm</t>
        </is>
      </c>
      <c r="G153" t="inlineStr"/>
    </row>
    <row r="154">
      <c r="A154" t="inlineStr">
        <is>
          <t>D17</t>
        </is>
      </c>
      <c r="B154" t="inlineStr">
        <is>
          <t>Depreciation &amp; amortization ($M)</t>
        </is>
      </c>
      <c r="C154" t="inlineStr">
        <is>
          <t>Q3 2024</t>
        </is>
      </c>
      <c r="D154" t="n">
        <v>23.5</v>
      </c>
      <c r="E154" t="inlineStr">
        <is>
          <t>Reported</t>
        </is>
      </c>
      <c r="F154" t="inlineStr">
        <is>
          <t>6-K 2025-11-12 acc 0001104659-25-109806 tm2530882d1_ex99-1.htm | https://www.sec.gov/Archives/edgar/data/1513845/000110465925109806/tm2530882d1_ex99-1.htm</t>
        </is>
      </c>
      <c r="G154" t="inlineStr"/>
    </row>
    <row r="155">
      <c r="A155" t="inlineStr">
        <is>
          <t>E17</t>
        </is>
      </c>
      <c r="B155" t="inlineStr">
        <is>
          <t>Depreciation &amp; amortization ($M)</t>
        </is>
      </c>
      <c r="C155" t="inlineStr">
        <is>
          <t>Q4 2024</t>
        </is>
      </c>
      <c r="D155" t="n">
        <v>33.3</v>
      </c>
      <c r="E155" t="inlineStr">
        <is>
          <t>Reported</t>
        </is>
      </c>
      <c r="F155" t="inlineStr">
        <is>
          <t>6-K 2026-02-12 acc 0001104659-26-013946 tm266173d1_ex99-1.htm | https://www.sec.gov/Archives/edgar/data/1513845/000110465926013946/tm266173d1_ex99-1.htm</t>
        </is>
      </c>
      <c r="G155" t="inlineStr"/>
    </row>
    <row r="156">
      <c r="A156" t="inlineStr">
        <is>
          <t>F17</t>
        </is>
      </c>
      <c r="B156" t="inlineStr">
        <is>
          <t>Depreciation &amp; amortization ($M)</t>
        </is>
      </c>
      <c r="C156" t="inlineStr">
        <is>
          <t>Q1 2025</t>
        </is>
      </c>
      <c r="D156" t="n">
        <v>49.1</v>
      </c>
      <c r="E156" t="inlineStr">
        <is>
          <t>Reported</t>
        </is>
      </c>
      <c r="F156" t="inlineStr">
        <is>
          <t>6-K 2026-05-13 acc 0001104659-26-059872 tm2614392d1_ex99-1.htm | https://www.sec.gov/Archives/edgar/data/1513845/000110465926059872/tm2614392d1_ex99-1.htm</t>
        </is>
      </c>
      <c r="G156" t="inlineStr">
        <is>
          <t>Q1-25 PR originally 49.2</t>
        </is>
      </c>
    </row>
    <row r="157">
      <c r="A157" t="inlineStr">
        <is>
          <t>G17</t>
        </is>
      </c>
      <c r="B157" t="inlineStr">
        <is>
          <t>Depreciation &amp; amortization ($M)</t>
        </is>
      </c>
      <c r="C157" t="inlineStr">
        <is>
          <t>Q2 2025</t>
        </is>
      </c>
      <c r="D157" t="n">
        <v>75.2</v>
      </c>
      <c r="E157" t="inlineStr">
        <is>
          <t>Reported</t>
        </is>
      </c>
      <c r="F157" t="inlineStr">
        <is>
          <t>6-K 2025-08-07 acc 0001104659-25-075028 tm2522866d1_ex99-1.htm | https://www.sec.gov/Archives/edgar/data/1513845/000110465925075028/tm2522866d1_ex99-1.htm</t>
        </is>
      </c>
      <c r="G157" t="inlineStr"/>
    </row>
    <row r="158">
      <c r="A158" t="inlineStr">
        <is>
          <t>H17</t>
        </is>
      </c>
      <c r="B158" t="inlineStr">
        <is>
          <t>Depreciation &amp; amortization ($M)</t>
        </is>
      </c>
      <c r="C158" t="inlineStr">
        <is>
          <t>Q3 2025</t>
        </is>
      </c>
      <c r="D158" t="n">
        <v>99</v>
      </c>
      <c r="E158" t="inlineStr">
        <is>
          <t>Reported</t>
        </is>
      </c>
      <c r="F158" t="inlineStr">
        <is>
          <t>6-K 2025-11-12 acc 0001104659-25-109806 tm2530882d1_ex99-1.htm | https://www.sec.gov/Archives/edgar/data/1513845/000110465925109806/tm2530882d1_ex99-1.htm</t>
        </is>
      </c>
      <c r="G158" t="inlineStr"/>
    </row>
    <row r="159">
      <c r="A159" t="inlineStr">
        <is>
          <t>I17</t>
        </is>
      </c>
      <c r="B159" t="inlineStr">
        <is>
          <t>Depreciation &amp; amortization ($M)</t>
        </is>
      </c>
      <c r="C159" t="inlineStr">
        <is>
          <t>Q4 2025</t>
        </is>
      </c>
      <c r="D159" t="n">
        <v>180.7</v>
      </c>
      <c r="E159" t="inlineStr">
        <is>
          <t>Reported</t>
        </is>
      </c>
      <c r="F159" t="inlineStr">
        <is>
          <t>6-K 2026-02-12 acc 0001104659-26-013946 tm266173d1_ex99-1.htm | https://www.sec.gov/Archives/edgar/data/1513845/000110465926013946/tm266173d1_ex99-1.htm</t>
        </is>
      </c>
      <c r="G159" t="inlineStr"/>
    </row>
    <row r="160">
      <c r="A160" t="inlineStr">
        <is>
          <t>J17</t>
        </is>
      </c>
      <c r="B160" t="inlineStr">
        <is>
          <t>Depreciation &amp; amortization ($M)</t>
        </is>
      </c>
      <c r="C160" t="inlineStr">
        <is>
          <t>Q1 2026</t>
        </is>
      </c>
      <c r="D160" t="n">
        <v>212</v>
      </c>
      <c r="E160" t="inlineStr">
        <is>
          <t>Reported</t>
        </is>
      </c>
      <c r="F160" t="inlineStr">
        <is>
          <t>6-K 2026-05-13 acc 0001104659-26-059872 tm2614392d1_ex99-1.htm | https://www.sec.gov/Archives/edgar/data/1513845/000110465926059872/tm2614392d1_ex99-1.htm</t>
        </is>
      </c>
      <c r="G160" t="inlineStr"/>
    </row>
    <row r="161">
      <c r="A161" t="inlineStr">
        <is>
          <t>K17</t>
        </is>
      </c>
      <c r="B161" t="inlineStr">
        <is>
          <t>Depreciation &amp; amortization ($M)</t>
        </is>
      </c>
      <c r="C161" t="inlineStr">
        <is>
          <t>Q2 2026</t>
        </is>
      </c>
      <c r="D161" t="n">
        <v>259.7</v>
      </c>
      <c r="E161" t="inlineStr">
        <is>
          <t>Reported</t>
        </is>
      </c>
      <c r="F161" t="inlineStr">
        <is>
          <t>6-K 2026-08-12 acc 0001104659-26-094568 tm2622968d1_ex99-1.htm | https://www.sec.gov/Archives/edgar/data/1513845/000110465926094568/tm2622968d1_ex99-1.htm</t>
        </is>
      </c>
      <c r="G161" t="inlineStr">
        <is>
          <t>4-&gt;5yr life change cut Q2 depreciation by $43.0M</t>
        </is>
      </c>
    </row>
    <row r="162">
      <c r="A162" t="inlineStr">
        <is>
          <t>B18</t>
        </is>
      </c>
      <c r="B162" t="inlineStr">
        <is>
          <t>Capex - purchases of PP&amp;E and intangibles ($M)</t>
        </is>
      </c>
      <c r="C162" t="inlineStr">
        <is>
          <t>Q1 2024</t>
        </is>
      </c>
      <c r="D162" t="n">
        <v>58.9</v>
      </c>
      <c r="E162" t="inlineStr">
        <is>
          <t>Derived</t>
        </is>
      </c>
      <c r="F162" t="inlineStr">
        <is>
          <t>6-K 2025-08-07 acc 0001104659-25-075028 tm2522866d1_ex99-1.htm H1 217.9 - Q2 159.0 | https://www.sec.gov/Archives/edgar/data/1513845/000110465925075028/tm2522866d1_ex99-1.htm</t>
        </is>
      </c>
      <c r="G162" t="inlineStr">
        <is>
          <t>derivation: H1 217.9 - Q2 159.0</t>
        </is>
      </c>
    </row>
    <row r="163">
      <c r="A163" t="inlineStr">
        <is>
          <t>C18</t>
        </is>
      </c>
      <c r="B163" t="inlineStr">
        <is>
          <t>Capex - purchases of PP&amp;E and intangibles ($M)</t>
        </is>
      </c>
      <c r="C163" t="inlineStr">
        <is>
          <t>Q2 2024</t>
        </is>
      </c>
      <c r="D163" t="n">
        <v>159</v>
      </c>
      <c r="E163" t="inlineStr">
        <is>
          <t>Reported</t>
        </is>
      </c>
      <c r="F163" t="inlineStr">
        <is>
          <t>6-K 2025-08-07 acc 0001104659-25-075028 tm2522866d1_ex99-1.htm | https://www.sec.gov/Archives/edgar/data/1513845/000110465925075028/tm2522866d1_ex99-1.htm</t>
        </is>
      </c>
      <c r="G163" t="inlineStr"/>
    </row>
    <row r="164">
      <c r="A164" t="inlineStr">
        <is>
          <t>D18</t>
        </is>
      </c>
      <c r="B164" t="inlineStr">
        <is>
          <t>Capex - purchases of PP&amp;E and intangibles ($M)</t>
        </is>
      </c>
      <c r="C164" t="inlineStr">
        <is>
          <t>Q3 2024</t>
        </is>
      </c>
      <c r="D164" t="n">
        <v>172.1</v>
      </c>
      <c r="E164" t="inlineStr">
        <is>
          <t>Reported</t>
        </is>
      </c>
      <c r="F164" t="inlineStr">
        <is>
          <t>6-K 2025-11-12 acc 0001104659-25-109806 tm2530882d1_ex99-1.htm | https://www.sec.gov/Archives/edgar/data/1513845/000110465925109806/tm2530882d1_ex99-1.htm</t>
        </is>
      </c>
      <c r="G164" t="inlineStr"/>
    </row>
    <row r="165">
      <c r="A165" t="inlineStr">
        <is>
          <t>E18</t>
        </is>
      </c>
      <c r="B165" t="inlineStr">
        <is>
          <t>Capex - purchases of PP&amp;E and intangibles ($M)</t>
        </is>
      </c>
      <c r="C165" t="inlineStr">
        <is>
          <t>Q4 2024</t>
        </is>
      </c>
      <c r="D165" t="n">
        <v>417.5</v>
      </c>
      <c r="E165" t="inlineStr">
        <is>
          <t>Reported</t>
        </is>
      </c>
      <c r="F165" t="inlineStr">
        <is>
          <t>6-K 2026-02-12 acc 0001104659-26-013946 tm266173d1_ex99-1.htm | https://www.sec.gov/Archives/edgar/data/1513845/000110465926013946/tm266173d1_ex99-1.htm</t>
        </is>
      </c>
      <c r="G165" t="inlineStr"/>
    </row>
    <row r="166">
      <c r="A166" t="inlineStr">
        <is>
          <t>F18</t>
        </is>
      </c>
      <c r="B166" t="inlineStr">
        <is>
          <t>Capex - purchases of PP&amp;E and intangibles ($M)</t>
        </is>
      </c>
      <c r="C166" t="inlineStr">
        <is>
          <t>Q1 2025</t>
        </is>
      </c>
      <c r="D166" t="n">
        <v>543.9</v>
      </c>
      <c r="E166" t="inlineStr">
        <is>
          <t>Reported</t>
        </is>
      </c>
      <c r="F166" t="inlineStr">
        <is>
          <t>6-K 2026-05-13 acc 0001104659-26-059872 tm2614392d1_ex99-1.htm | https://www.sec.gov/Archives/edgar/data/1513845/000110465926059872/tm2614392d1_ex99-1.htm</t>
        </is>
      </c>
      <c r="G166" t="inlineStr"/>
    </row>
    <row r="167">
      <c r="A167" t="inlineStr">
        <is>
          <t>G18</t>
        </is>
      </c>
      <c r="B167" t="inlineStr">
        <is>
          <t>Capex - purchases of PP&amp;E and intangibles ($M)</t>
        </is>
      </c>
      <c r="C167" t="inlineStr">
        <is>
          <t>Q2 2025</t>
        </is>
      </c>
      <c r="D167" t="n">
        <v>510.6</v>
      </c>
      <c r="E167" t="inlineStr">
        <is>
          <t>Reported</t>
        </is>
      </c>
      <c r="F167" t="inlineStr">
        <is>
          <t>6-K 2025-08-07 acc 0001104659-25-075028 tm2522866d1_ex99-1.htm | https://www.sec.gov/Archives/edgar/data/1513845/000110465925075028/tm2522866d1_ex99-1.htm</t>
        </is>
      </c>
      <c r="G167" t="inlineStr"/>
    </row>
    <row r="168">
      <c r="A168" t="inlineStr">
        <is>
          <t>H18</t>
        </is>
      </c>
      <c r="B168" t="inlineStr">
        <is>
          <t>Capex - purchases of PP&amp;E and intangibles ($M)</t>
        </is>
      </c>
      <c r="C168" t="inlineStr">
        <is>
          <t>Q3 2025</t>
        </is>
      </c>
      <c r="D168" t="n">
        <v>955.5</v>
      </c>
      <c r="E168" t="inlineStr">
        <is>
          <t>Reported</t>
        </is>
      </c>
      <c r="F168" t="inlineStr">
        <is>
          <t>6-K 2025-11-12 acc 0001104659-25-109806 tm2530882d1_ex99-1.htm | https://www.sec.gov/Archives/edgar/data/1513845/000110465925109806/tm2530882d1_ex99-1.htm</t>
        </is>
      </c>
      <c r="G168" t="inlineStr"/>
    </row>
    <row r="169">
      <c r="A169" t="inlineStr">
        <is>
          <t>I18</t>
        </is>
      </c>
      <c r="B169" t="inlineStr">
        <is>
          <t>Capex - purchases of PP&amp;E and intangibles ($M)</t>
        </is>
      </c>
      <c r="C169" t="inlineStr">
        <is>
          <t>Q4 2025</t>
        </is>
      </c>
      <c r="D169" t="n">
        <v>2056</v>
      </c>
      <c r="E169" t="inlineStr">
        <is>
          <t>Reported</t>
        </is>
      </c>
      <c r="F169" t="inlineStr">
        <is>
          <t>6-K 2026-02-12 acc 0001104659-26-013946 tm266173d1_ex99-1.htm | https://www.sec.gov/Archives/edgar/data/1513845/000110465926013946/tm266173d1_ex99-1.htm</t>
        </is>
      </c>
      <c r="G169" t="inlineStr"/>
    </row>
    <row r="170">
      <c r="A170" t="inlineStr">
        <is>
          <t>J18</t>
        </is>
      </c>
      <c r="B170" t="inlineStr">
        <is>
          <t>Capex - purchases of PP&amp;E and intangibles ($M)</t>
        </is>
      </c>
      <c r="C170" t="inlineStr">
        <is>
          <t>Q1 2026</t>
        </is>
      </c>
      <c r="D170" t="n">
        <v>2472.9</v>
      </c>
      <c r="E170" t="inlineStr">
        <is>
          <t>Reported</t>
        </is>
      </c>
      <c r="F170" t="inlineStr">
        <is>
          <t>6-K 2026-05-13 acc 0001104659-26-059872 tm2614392d1_ex99-1.htm | https://www.sec.gov/Archives/edgar/data/1513845/000110465926059872/tm2614392d1_ex99-1.htm</t>
        </is>
      </c>
      <c r="G170" t="inlineStr"/>
    </row>
    <row r="171">
      <c r="A171" t="inlineStr">
        <is>
          <t>K18</t>
        </is>
      </c>
      <c r="B171" t="inlineStr">
        <is>
          <t>Capex - purchases of PP&amp;E and intangibles ($M)</t>
        </is>
      </c>
      <c r="C171" t="inlineStr">
        <is>
          <t>Q2 2026</t>
        </is>
      </c>
      <c r="D171" t="n">
        <v>5657.4</v>
      </c>
      <c r="E171" t="inlineStr">
        <is>
          <t>Reported</t>
        </is>
      </c>
      <c r="F171" t="inlineStr">
        <is>
          <t>6-K 2026-08-12 acc 0001104659-26-094568 tm2622968d1_ex99-1.htm | https://www.sec.gov/Archives/edgar/data/1513845/000110465926094568/tm2622968d1_ex99-1.htm</t>
        </is>
      </c>
      <c r="G171" t="inlineStr"/>
    </row>
    <row r="172">
      <c r="A172" t="inlineStr">
        <is>
          <t>B19</t>
        </is>
      </c>
      <c r="B172" t="inlineStr">
        <is>
          <t>PP&amp;E, net (end of period, $M)</t>
        </is>
      </c>
      <c r="C172" t="inlineStr">
        <is>
          <t>Q1 2024</t>
        </is>
      </c>
      <c r="D172" t="inlineStr">
        <is>
          <t>not disclosed</t>
        </is>
      </c>
      <c r="E172" t="inlineStr">
        <is>
          <t>Not disclosed</t>
        </is>
      </c>
      <c r="F172" t="inlineStr"/>
      <c r="G172" t="inlineStr">
        <is>
          <t>pre-divestiture (Yandex N.V.) balance sheet not comparable</t>
        </is>
      </c>
    </row>
    <row r="173">
      <c r="A173" t="inlineStr">
        <is>
          <t>C19</t>
        </is>
      </c>
      <c r="B173" t="inlineStr">
        <is>
          <t>PP&amp;E, net (end of period, $M)</t>
        </is>
      </c>
      <c r="C173" t="inlineStr">
        <is>
          <t>Q2 2024</t>
        </is>
      </c>
      <c r="D173" t="n">
        <v>328.3</v>
      </c>
      <c r="E173" t="inlineStr">
        <is>
          <t>Reported</t>
        </is>
      </c>
      <c r="F173" t="inlineStr">
        <is>
          <t>6-K 2024-08-01 acc 0001513845-24-000024 tmb-20240630xex99d1.htm BS | https://www.sec.gov/Archives/edgar/data/1513845/000151384524000024/tmb-20240630xex99d1.htm</t>
        </is>
      </c>
      <c r="G173" t="inlineStr">
        <is>
          <t>as reported Aug-24 (incl. Toloka)</t>
        </is>
      </c>
    </row>
    <row r="174">
      <c r="A174" t="inlineStr">
        <is>
          <t>D19</t>
        </is>
      </c>
      <c r="B174" t="inlineStr">
        <is>
          <t>PP&amp;E, net (end of period, $M)</t>
        </is>
      </c>
      <c r="C174" t="inlineStr">
        <is>
          <t>Q3 2024</t>
        </is>
      </c>
      <c r="D174" t="n">
        <v>475.3</v>
      </c>
      <c r="E174" t="inlineStr">
        <is>
          <t>Reported</t>
        </is>
      </c>
      <c r="F174" t="inlineStr">
        <is>
          <t>6-K 2024-10-31 acc 0001104659-24-112875 tm2427209d1_ex99-1.htm BS | https://www.sec.gov/Archives/edgar/data/1513845/000110465924112875/tm2427209d1_ex99-1.htm</t>
        </is>
      </c>
      <c r="G174" t="inlineStr">
        <is>
          <t>as reported</t>
        </is>
      </c>
    </row>
    <row r="175">
      <c r="A175" t="inlineStr">
        <is>
          <t>E19</t>
        </is>
      </c>
      <c r="B175" t="inlineStr">
        <is>
          <t>PP&amp;E, net (end of period, $M)</t>
        </is>
      </c>
      <c r="C175" t="inlineStr">
        <is>
          <t>Q4 2024</t>
        </is>
      </c>
      <c r="D175" t="n">
        <v>846.7</v>
      </c>
      <c r="E175" t="inlineStr">
        <is>
          <t>Reported</t>
        </is>
      </c>
      <c r="F175" t="inlineStr">
        <is>
          <t>6-K 2026-02-12 acc 0001104659-26-013946 tm266173d1_ex99-1.htm BS comparative | https://www.sec.gov/Archives/edgar/data/1513845/000110465926013946/tm266173d1_ex99-1.htm</t>
        </is>
      </c>
      <c r="G175" t="inlineStr">
        <is>
          <t>orig. 849.3 (Q4-24 PR)</t>
        </is>
      </c>
    </row>
    <row r="176">
      <c r="A176" t="inlineStr">
        <is>
          <t>F19</t>
        </is>
      </c>
      <c r="B176" t="inlineStr">
        <is>
          <t>PP&amp;E, net (end of period, $M)</t>
        </is>
      </c>
      <c r="C176" t="inlineStr">
        <is>
          <t>Q1 2025</t>
        </is>
      </c>
      <c r="D176" t="n">
        <v>1334.1</v>
      </c>
      <c r="E176" t="inlineStr">
        <is>
          <t>Reported</t>
        </is>
      </c>
      <c r="F176" t="inlineStr">
        <is>
          <t>6-K 2025-05-20 acc 0001104659-25-050975 tm2515580d1_ex99-1.htm BS | https://www.sec.gov/Archives/edgar/data/1513845/000110465925050975/tm2515580d1_ex99-1.htm</t>
        </is>
      </c>
      <c r="G176" t="inlineStr">
        <is>
          <t>as reported (incl. Toloka)</t>
        </is>
      </c>
    </row>
    <row r="177">
      <c r="A177" t="inlineStr">
        <is>
          <t>G19</t>
        </is>
      </c>
      <c r="B177" t="inlineStr">
        <is>
          <t>PP&amp;E, net (end of period, $M)</t>
        </is>
      </c>
      <c r="C177" t="inlineStr">
        <is>
          <t>Q2 2025</t>
        </is>
      </c>
      <c r="D177" t="n">
        <v>1789.4</v>
      </c>
      <c r="E177" t="inlineStr">
        <is>
          <t>Reported</t>
        </is>
      </c>
      <c r="F177" t="inlineStr">
        <is>
          <t>6-K 2025-08-07 acc 0001104659-25-075028 tm2522866d1_ex99-1.htm | https://www.sec.gov/Archives/edgar/data/1513845/000110465925075028/tm2522866d1_ex99-1.htm</t>
        </is>
      </c>
      <c r="G177" t="inlineStr"/>
    </row>
    <row r="178">
      <c r="A178" t="inlineStr">
        <is>
          <t>H19</t>
        </is>
      </c>
      <c r="B178" t="inlineStr">
        <is>
          <t>PP&amp;E, net (end of period, $M)</t>
        </is>
      </c>
      <c r="C178" t="inlineStr">
        <is>
          <t>Q3 2025</t>
        </is>
      </c>
      <c r="D178" t="n">
        <v>3314.4</v>
      </c>
      <c r="E178" t="inlineStr">
        <is>
          <t>Reported</t>
        </is>
      </c>
      <c r="F178" t="inlineStr">
        <is>
          <t>6-K 2025-11-12 acc 0001104659-25-109806 tm2530882d1_ex99-1.htm | https://www.sec.gov/Archives/edgar/data/1513845/000110465925109806/tm2530882d1_ex99-1.htm</t>
        </is>
      </c>
      <c r="G178" t="inlineStr"/>
    </row>
    <row r="179">
      <c r="A179" t="inlineStr">
        <is>
          <t>I19</t>
        </is>
      </c>
      <c r="B179" t="inlineStr">
        <is>
          <t>PP&amp;E, net (end of period, $M)</t>
        </is>
      </c>
      <c r="C179" t="inlineStr">
        <is>
          <t>Q4 2025</t>
        </is>
      </c>
      <c r="D179" t="n">
        <v>5553.3</v>
      </c>
      <c r="E179" t="inlineStr">
        <is>
          <t>Reported</t>
        </is>
      </c>
      <c r="F179" t="inlineStr">
        <is>
          <t>6-K 2026-08-12 acc 0001104659-26-094568 tm2622968d1_ex99-1.htm BS comparative | https://www.sec.gov/Archives/edgar/data/1513845/000110465926094568/tm2622968d1_ex99-1.htm</t>
        </is>
      </c>
      <c r="G179" t="inlineStr">
        <is>
          <t>Q4-25 PR originally 5,572.5</t>
        </is>
      </c>
    </row>
    <row r="180">
      <c r="A180" t="inlineStr">
        <is>
          <t>J19</t>
        </is>
      </c>
      <c r="B180" t="inlineStr">
        <is>
          <t>PP&amp;E, net (end of period, $M)</t>
        </is>
      </c>
      <c r="C180" t="inlineStr">
        <is>
          <t>Q1 2026</t>
        </is>
      </c>
      <c r="D180" t="n">
        <v>7131.7</v>
      </c>
      <c r="E180" t="inlineStr">
        <is>
          <t>Reported</t>
        </is>
      </c>
      <c r="F180" t="inlineStr">
        <is>
          <t>6-K 2026-05-13 acc 0001104659-26-059872 tm2614392d1_ex99-1.htm | https://www.sec.gov/Archives/edgar/data/1513845/000110465926059872/tm2614392d1_ex99-1.htm</t>
        </is>
      </c>
      <c r="G180" t="inlineStr"/>
    </row>
    <row r="181">
      <c r="A181" t="inlineStr">
        <is>
          <t>K19</t>
        </is>
      </c>
      <c r="B181" t="inlineStr">
        <is>
          <t>PP&amp;E, net (end of period, $M)</t>
        </is>
      </c>
      <c r="C181" t="inlineStr">
        <is>
          <t>Q2 2026</t>
        </is>
      </c>
      <c r="D181" t="n">
        <v>13045.2</v>
      </c>
      <c r="E181" t="inlineStr">
        <is>
          <t>Reported</t>
        </is>
      </c>
      <c r="F181" t="inlineStr">
        <is>
          <t>6-K 2026-08-12 acc 0001104659-26-094568 tm2622968d1_ex99-1.htm | https://www.sec.gov/Archives/edgar/data/1513845/000110465926094568/tm2622968d1_ex99-1.htm</t>
        </is>
      </c>
      <c r="G181" t="inlineStr"/>
    </row>
    <row r="182">
      <c r="A182" t="inlineStr">
        <is>
          <t>B20</t>
        </is>
      </c>
      <c r="B182" t="inlineStr">
        <is>
          <t>Cash &amp; cash equivalents (end of period, $M)</t>
        </is>
      </c>
      <c r="C182" t="inlineStr">
        <is>
          <t>Q1 2024</t>
        </is>
      </c>
      <c r="D182" t="inlineStr">
        <is>
          <t>not disclosed</t>
        </is>
      </c>
      <c r="E182" t="inlineStr">
        <is>
          <t>Not disclosed</t>
        </is>
      </c>
      <c r="F182" t="inlineStr"/>
      <c r="G182" t="inlineStr">
        <is>
          <t>pre-divestiture balance sheet not comparable</t>
        </is>
      </c>
    </row>
    <row r="183">
      <c r="A183" t="inlineStr">
        <is>
          <t>C20</t>
        </is>
      </c>
      <c r="B183" t="inlineStr">
        <is>
          <t>Cash &amp; cash equivalents (end of period, $M)</t>
        </is>
      </c>
      <c r="C183" t="inlineStr">
        <is>
          <t>Q2 2024</t>
        </is>
      </c>
      <c r="D183" t="n">
        <v>2325.5</v>
      </c>
      <c r="E183" t="inlineStr">
        <is>
          <t>Reported</t>
        </is>
      </c>
      <c r="F183" t="inlineStr">
        <is>
          <t>6-K 2024-08-01 acc 0001513845-24-000024 tmb-20240630xex99d1.htm BS | https://www.sec.gov/Archives/edgar/data/1513845/000151384524000024/tmb-20240630xex99d1.htm</t>
        </is>
      </c>
      <c r="G183" t="inlineStr">
        <is>
          <t>as reported (incl. Toloka)</t>
        </is>
      </c>
    </row>
    <row r="184">
      <c r="A184" t="inlineStr">
        <is>
          <t>D20</t>
        </is>
      </c>
      <c r="B184" t="inlineStr">
        <is>
          <t>Cash &amp; cash equivalents (end of period, $M)</t>
        </is>
      </c>
      <c r="C184" t="inlineStr">
        <is>
          <t>Q3 2024</t>
        </is>
      </c>
      <c r="D184" t="n">
        <v>2288.2</v>
      </c>
      <c r="E184" t="inlineStr">
        <is>
          <t>Reported</t>
        </is>
      </c>
      <c r="F184" t="inlineStr">
        <is>
          <t>6-K 2024-10-31 acc 0001104659-24-112875 tm2427209d1_ex99-1.htm BS | https://www.sec.gov/Archives/edgar/data/1513845/000110465924112875/tm2427209d1_ex99-1.htm</t>
        </is>
      </c>
      <c r="G184" t="inlineStr">
        <is>
          <t>continuing ops 2,277.8 per Q3-25 PR</t>
        </is>
      </c>
    </row>
    <row r="185">
      <c r="A185" t="inlineStr">
        <is>
          <t>E20</t>
        </is>
      </c>
      <c r="B185" t="inlineStr">
        <is>
          <t>Cash &amp; cash equivalents (end of period, $M)</t>
        </is>
      </c>
      <c r="C185" t="inlineStr">
        <is>
          <t>Q4 2024</t>
        </is>
      </c>
      <c r="D185" t="n">
        <v>2434.7</v>
      </c>
      <c r="E185" t="inlineStr">
        <is>
          <t>Reported</t>
        </is>
      </c>
      <c r="F185" t="inlineStr">
        <is>
          <t>6-K 2026-02-12 acc 0001104659-26-013946 tm266173d1_ex99-1.htm BS comparative | https://www.sec.gov/Archives/edgar/data/1513845/000110465926013946/tm266173d1_ex99-1.htm</t>
        </is>
      </c>
      <c r="G185" t="inlineStr">
        <is>
          <t>orig. 2,449.6 incl. Toloka</t>
        </is>
      </c>
    </row>
    <row r="186">
      <c r="A186" t="inlineStr">
        <is>
          <t>F20</t>
        </is>
      </c>
      <c r="B186" t="inlineStr">
        <is>
          <t>Cash &amp; cash equivalents (end of period, $M)</t>
        </is>
      </c>
      <c r="C186" t="inlineStr">
        <is>
          <t>Q1 2025</t>
        </is>
      </c>
      <c r="D186" t="n">
        <v>1447</v>
      </c>
      <c r="E186" t="inlineStr">
        <is>
          <t>Reported</t>
        </is>
      </c>
      <c r="F186" t="inlineStr">
        <is>
          <t>6-K 2025-05-20 acc 0001104659-25-050975 tm2515580d1_ex99-1.htm BS | https://www.sec.gov/Archives/edgar/data/1513845/000110465925050975/tm2515580d1_ex99-1.htm</t>
        </is>
      </c>
      <c r="G186" t="inlineStr">
        <is>
          <t>continuing ops 1,439.7 per Q1-26 PR</t>
        </is>
      </c>
    </row>
    <row r="187">
      <c r="A187" t="inlineStr">
        <is>
          <t>G20</t>
        </is>
      </c>
      <c r="B187" t="inlineStr">
        <is>
          <t>Cash &amp; cash equivalents (end of period, $M)</t>
        </is>
      </c>
      <c r="C187" t="inlineStr">
        <is>
          <t>Q2 2025</t>
        </is>
      </c>
      <c r="D187" t="n">
        <v>1679.3</v>
      </c>
      <c r="E187" t="inlineStr">
        <is>
          <t>Reported</t>
        </is>
      </c>
      <c r="F187" t="inlineStr">
        <is>
          <t>6-K 2025-08-07 acc 0001104659-25-075028 tm2522866d1_ex99-1.htm | https://www.sec.gov/Archives/edgar/data/1513845/000110465925075028/tm2522866d1_ex99-1.htm</t>
        </is>
      </c>
      <c r="G187" t="inlineStr"/>
    </row>
    <row r="188">
      <c r="A188" t="inlineStr">
        <is>
          <t>H20</t>
        </is>
      </c>
      <c r="B188" t="inlineStr">
        <is>
          <t>Cash &amp; cash equivalents (end of period, $M)</t>
        </is>
      </c>
      <c r="C188" t="inlineStr">
        <is>
          <t>Q3 2025</t>
        </is>
      </c>
      <c r="D188" t="n">
        <v>4794.8</v>
      </c>
      <c r="E188" t="inlineStr">
        <is>
          <t>Reported</t>
        </is>
      </c>
      <c r="F188" t="inlineStr">
        <is>
          <t>6-K 2025-11-12 acc 0001104659-25-109806 tm2530882d1_ex99-1.htm | https://www.sec.gov/Archives/edgar/data/1513845/000110465925109806/tm2530882d1_ex99-1.htm</t>
        </is>
      </c>
      <c r="G188" t="inlineStr"/>
    </row>
    <row r="189">
      <c r="A189" t="inlineStr">
        <is>
          <t>I20</t>
        </is>
      </c>
      <c r="B189" t="inlineStr">
        <is>
          <t>Cash &amp; cash equivalents (end of period, $M)</t>
        </is>
      </c>
      <c r="C189" t="inlineStr">
        <is>
          <t>Q4 2025</t>
        </is>
      </c>
      <c r="D189" t="n">
        <v>3678.1</v>
      </c>
      <c r="E189" t="inlineStr">
        <is>
          <t>Reported</t>
        </is>
      </c>
      <c r="F189" t="inlineStr">
        <is>
          <t>6-K 2026-02-12 acc 0001104659-26-013946 tm266173d1_ex99-1.htm | https://www.sec.gov/Archives/edgar/data/1513845/000110465926013946/tm266173d1_ex99-1.htm</t>
        </is>
      </c>
      <c r="G189" t="inlineStr"/>
    </row>
    <row r="190">
      <c r="A190" t="inlineStr">
        <is>
          <t>J20</t>
        </is>
      </c>
      <c r="B190" t="inlineStr">
        <is>
          <t>Cash &amp; cash equivalents (end of period, $M)</t>
        </is>
      </c>
      <c r="C190" t="inlineStr">
        <is>
          <t>Q1 2026</t>
        </is>
      </c>
      <c r="D190" t="n">
        <v>9298.200000000001</v>
      </c>
      <c r="E190" t="inlineStr">
        <is>
          <t>Reported</t>
        </is>
      </c>
      <c r="F190" t="inlineStr">
        <is>
          <t>6-K 2026-05-13 acc 0001104659-26-059872 tm2614392d1_ex99-1.htm | https://www.sec.gov/Archives/edgar/data/1513845/000110465926059872/tm2614392d1_ex99-1.htm</t>
        </is>
      </c>
      <c r="G190" t="inlineStr"/>
    </row>
    <row r="191">
      <c r="A191" t="inlineStr">
        <is>
          <t>K20</t>
        </is>
      </c>
      <c r="B191" t="inlineStr">
        <is>
          <t>Cash &amp; cash equivalents (end of period, $M)</t>
        </is>
      </c>
      <c r="C191" t="inlineStr">
        <is>
          <t>Q2 2026</t>
        </is>
      </c>
      <c r="D191" t="n">
        <v>8042.1</v>
      </c>
      <c r="E191" t="inlineStr">
        <is>
          <t>Reported</t>
        </is>
      </c>
      <c r="F191" t="inlineStr">
        <is>
          <t>6-K 2026-08-12 acc 0001104659-26-094568 tm2622968d1_ex99-1.htm | https://www.sec.gov/Archives/edgar/data/1513845/000110465926094568/tm2622968d1_ex99-1.htm</t>
        </is>
      </c>
      <c r="G191" t="inlineStr">
        <is>
          <t>restricted cash +1,056.0</t>
        </is>
      </c>
    </row>
    <row r="192">
      <c r="A192" t="inlineStr">
        <is>
          <t>B21</t>
        </is>
      </c>
      <c r="B192" t="inlineStr">
        <is>
          <t>Total debt (current + non-current, carrying, $M)</t>
        </is>
      </c>
      <c r="C192" t="inlineStr">
        <is>
          <t>Q1 2024</t>
        </is>
      </c>
      <c r="D192" t="inlineStr">
        <is>
          <t>not disclosed</t>
        </is>
      </c>
      <c r="E192" t="inlineStr">
        <is>
          <t>Not disclosed</t>
        </is>
      </c>
      <c r="F192" t="inlineStr"/>
      <c r="G192" t="inlineStr">
        <is>
          <t>pre-divestiture</t>
        </is>
      </c>
    </row>
    <row r="193">
      <c r="A193" t="inlineStr">
        <is>
          <t>C21</t>
        </is>
      </c>
      <c r="B193" t="inlineStr">
        <is>
          <t>Total debt (current + non-current, carrying, $M)</t>
        </is>
      </c>
      <c r="C193" t="inlineStr">
        <is>
          <t>Q2 2024</t>
        </is>
      </c>
      <c r="D193" t="n">
        <v>6.5</v>
      </c>
      <c r="E193" t="inlineStr">
        <is>
          <t>Reported</t>
        </is>
      </c>
      <c r="F193" t="inlineStr">
        <is>
          <t>6-K 2024-08-01 acc 0001513845-24-000024 tmb-20240630xex99d1.htm BS current portion | https://www.sec.gov/Archives/edgar/data/1513845/000151384524000024/tmb-20240630xex99d1.htm</t>
        </is>
      </c>
      <c r="G193" t="inlineStr">
        <is>
          <t>non-current not shown</t>
        </is>
      </c>
    </row>
    <row r="194">
      <c r="A194" t="inlineStr">
        <is>
          <t>D21</t>
        </is>
      </c>
      <c r="B194" t="inlineStr">
        <is>
          <t>Total debt (current + non-current, carrying, $M)</t>
        </is>
      </c>
      <c r="C194" t="inlineStr">
        <is>
          <t>Q3 2024</t>
        </is>
      </c>
      <c r="D194" t="n">
        <v>6.2</v>
      </c>
      <c r="E194" t="inlineStr">
        <is>
          <t>Reported</t>
        </is>
      </c>
      <c r="F194" t="inlineStr">
        <is>
          <t>6-K 2024-10-31 acc 0001104659-24-112875 tm2427209d1_ex99-1.htm BS current portion | https://www.sec.gov/Archives/edgar/data/1513845/000110465924112875/tm2427209d1_ex99-1.htm</t>
        </is>
      </c>
      <c r="G194" t="inlineStr"/>
    </row>
    <row r="195">
      <c r="A195" t="inlineStr">
        <is>
          <t>E21</t>
        </is>
      </c>
      <c r="B195" t="inlineStr">
        <is>
          <t>Total debt (current + non-current, carrying, $M)</t>
        </is>
      </c>
      <c r="C195" t="inlineStr">
        <is>
          <t>Q4 2024</t>
        </is>
      </c>
      <c r="D195" t="n">
        <v>6.1</v>
      </c>
      <c r="E195" t="inlineStr">
        <is>
          <t>Reported</t>
        </is>
      </c>
      <c r="F195" t="inlineStr">
        <is>
          <t>6-K 2026-02-12 acc 0001104659-26-013946 tm266173d1_ex99-1.htm BS | https://www.sec.gov/Archives/edgar/data/1513845/000110465926013946/tm266173d1_ex99-1.htm</t>
        </is>
      </c>
      <c r="G195" t="inlineStr"/>
    </row>
    <row r="196">
      <c r="A196" t="inlineStr">
        <is>
          <t>F21</t>
        </is>
      </c>
      <c r="B196" t="inlineStr">
        <is>
          <t>Total debt (current + non-current, carrying, $M)</t>
        </is>
      </c>
      <c r="C196" t="inlineStr">
        <is>
          <t>Q1 2025</t>
        </is>
      </c>
      <c r="D196" t="n">
        <v>6.2</v>
      </c>
      <c r="E196" t="inlineStr">
        <is>
          <t>Reported</t>
        </is>
      </c>
      <c r="F196" t="inlineStr">
        <is>
          <t>6-K 2025-05-20 acc 0001104659-25-050975 tm2515580d1_ex99-1.htm BS current portion | https://www.sec.gov/Archives/edgar/data/1513845/000110465925050975/tm2515580d1_ex99-1.htm</t>
        </is>
      </c>
      <c r="G196" t="inlineStr"/>
    </row>
    <row r="197">
      <c r="A197" t="inlineStr">
        <is>
          <t>G21</t>
        </is>
      </c>
      <c r="B197" t="inlineStr">
        <is>
          <t>Total debt (current + non-current, carrying, $M)</t>
        </is>
      </c>
      <c r="C197" t="inlineStr">
        <is>
          <t>Q2 2025</t>
        </is>
      </c>
      <c r="D197" t="n">
        <v>986.2</v>
      </c>
      <c r="E197" t="inlineStr">
        <is>
          <t>Derived</t>
        </is>
      </c>
      <c r="F197" t="inlineStr">
        <is>
          <t>6-K 2025-08-07 acc 0001104659-25-075028 tm2522866d1_ex99-1.htm 8.0 + 978.2 | https://www.sec.gov/Archives/edgar/data/1513845/000110465925075028/tm2522866d1_ex99-1.htm</t>
        </is>
      </c>
      <c r="G197" t="inlineStr">
        <is>
          <t>June-25 converts | derivation: 8.0 + 978.2</t>
        </is>
      </c>
    </row>
    <row r="198">
      <c r="A198" t="inlineStr">
        <is>
          <t>H21</t>
        </is>
      </c>
      <c r="B198" t="inlineStr">
        <is>
          <t>Total debt (current + non-current, carrying, $M)</t>
        </is>
      </c>
      <c r="C198" t="inlineStr">
        <is>
          <t>Q3 2025</t>
        </is>
      </c>
      <c r="D198" t="n">
        <v>4106.8</v>
      </c>
      <c r="E198" t="inlineStr">
        <is>
          <t>Derived</t>
        </is>
      </c>
      <c r="F198" t="inlineStr">
        <is>
          <t>6-K 2025-11-12 acc 0001104659-25-109806 tm2530882d1_ex99-1.htm 16.0 + 4,090.8 | https://www.sec.gov/Archives/edgar/data/1513845/000110465925109806/tm2530882d1_ex99-1.htm</t>
        </is>
      </c>
      <c r="G198" t="inlineStr">
        <is>
          <t>derivation: 16.0 + 4,090.8</t>
        </is>
      </c>
    </row>
    <row r="199">
      <c r="A199" t="inlineStr">
        <is>
          <t>I21</t>
        </is>
      </c>
      <c r="B199" t="inlineStr">
        <is>
          <t>Total debt (current + non-current, carrying, $M)</t>
        </is>
      </c>
      <c r="C199" t="inlineStr">
        <is>
          <t>Q4 2025</t>
        </is>
      </c>
      <c r="D199" t="n">
        <v>4127.7</v>
      </c>
      <c r="E199" t="inlineStr">
        <is>
          <t>Derived</t>
        </is>
      </c>
      <c r="F199" t="inlineStr">
        <is>
          <t>6-K 2026-02-12 acc 0001104659-26-013946 tm266173d1_ex99-1.htm 24.5 + 4,103.2 | https://www.sec.gov/Archives/edgar/data/1513845/000110465926013946/tm266173d1_ex99-1.htm</t>
        </is>
      </c>
      <c r="G199" t="inlineStr">
        <is>
          <t>derivation: 24.5 + 4,103.2</t>
        </is>
      </c>
    </row>
    <row r="200">
      <c r="A200" t="inlineStr">
        <is>
          <t>J21</t>
        </is>
      </c>
      <c r="B200" t="inlineStr">
        <is>
          <t>Total debt (current + non-current, carrying, $M)</t>
        </is>
      </c>
      <c r="C200" t="inlineStr">
        <is>
          <t>Q1 2026</t>
        </is>
      </c>
      <c r="D200" t="n">
        <v>8450.4</v>
      </c>
      <c r="E200" t="inlineStr">
        <is>
          <t>Derived</t>
        </is>
      </c>
      <c r="F200" t="inlineStr">
        <is>
          <t>6-K 2026-05-13 acc 0001104659-26-059872 tm2614392d1_ex99-1.htm 18.4 + 8,432.0 | https://www.sec.gov/Archives/edgar/data/1513845/000110465926059872/tm2614392d1_ex99-1.htm</t>
        </is>
      </c>
      <c r="G200" t="inlineStr">
        <is>
          <t>derivation: 18.4 + 8,432.0</t>
        </is>
      </c>
    </row>
    <row r="201">
      <c r="A201" t="inlineStr">
        <is>
          <t>K21</t>
        </is>
      </c>
      <c r="B201" t="inlineStr">
        <is>
          <t>Total debt (current + non-current, carrying, $M)</t>
        </is>
      </c>
      <c r="C201" t="inlineStr">
        <is>
          <t>Q2 2026</t>
        </is>
      </c>
      <c r="D201" t="n">
        <v>8545.700000000001</v>
      </c>
      <c r="E201" t="inlineStr">
        <is>
          <t>Derived</t>
        </is>
      </c>
      <c r="F201" t="inlineStr">
        <is>
          <t>6-K 2026-08-12 acc 0001104659-26-094568 tm2622968d1_ex99-1.htm 46.7 + 8,499.0 | https://www.sec.gov/Archives/edgar/data/1513845/000110465926094568/tm2622968d1_ex99-1.htm</t>
        </is>
      </c>
      <c r="G201" t="inlineStr">
        <is>
          <t>derivation: 46.7 + 8,499.0</t>
        </is>
      </c>
    </row>
    <row r="202">
      <c r="A202" t="inlineStr">
        <is>
          <t>B22</t>
        </is>
      </c>
      <c r="B202" t="inlineStr">
        <is>
          <t>Shares outstanding - total (period end)</t>
        </is>
      </c>
      <c r="C202" t="inlineStr">
        <is>
          <t>Q1 2024</t>
        </is>
      </c>
      <c r="D202" t="inlineStr">
        <is>
          <t>not disclosed</t>
        </is>
      </c>
      <c r="E202" t="inlineStr">
        <is>
          <t>Not disclosed</t>
        </is>
      </c>
      <c r="F202" t="inlineStr"/>
      <c r="G202" t="inlineStr">
        <is>
          <t>Yandex N.V. pre-divestiture</t>
        </is>
      </c>
    </row>
    <row r="203">
      <c r="A203" t="inlineStr">
        <is>
          <t>C22</t>
        </is>
      </c>
      <c r="B203" t="inlineStr">
        <is>
          <t>Shares outstanding - total (period end)</t>
        </is>
      </c>
      <c r="C203" t="inlineStr">
        <is>
          <t>Q2 2024</t>
        </is>
      </c>
      <c r="D203" t="n">
        <v>293850159</v>
      </c>
      <c r="E203" t="inlineStr">
        <is>
          <t>Reported</t>
        </is>
      </c>
      <c r="F203" t="inlineStr">
        <is>
          <t>6-K 2024-08-01 acc 0001513845-24-000024 tmb-20240630xex99d1.htm | https://www.sec.gov/Archives/edgar/data/1513845/000151384524000024/tmb-20240630xex99d1.htm</t>
        </is>
      </c>
      <c r="G203" t="inlineStr">
        <is>
          <t>before final divestiture closing/treasury</t>
        </is>
      </c>
    </row>
    <row r="204">
      <c r="A204" t="inlineStr">
        <is>
          <t>D22</t>
        </is>
      </c>
      <c r="B204" t="inlineStr">
        <is>
          <t>Shares outstanding - total (period end)</t>
        </is>
      </c>
      <c r="C204" t="inlineStr">
        <is>
          <t>Q3 2024</t>
        </is>
      </c>
      <c r="D204" t="n">
        <v>199340118</v>
      </c>
      <c r="E204" t="inlineStr">
        <is>
          <t>Reported</t>
        </is>
      </c>
      <c r="F204" t="inlineStr">
        <is>
          <t>6-K 2024-10-31 acc 0001104659-24-112875 tm2427209d1_ex99-1.htm | https://www.sec.gov/Archives/edgar/data/1513845/000110465924112875/tm2427209d1_ex99-1.htm</t>
        </is>
      </c>
      <c r="G204" t="inlineStr"/>
    </row>
    <row r="205">
      <c r="A205" t="inlineStr">
        <is>
          <t>E22</t>
        </is>
      </c>
      <c r="B205" t="inlineStr">
        <is>
          <t>Shares outstanding - total (period end)</t>
        </is>
      </c>
      <c r="C205" t="inlineStr">
        <is>
          <t>Q4 2024</t>
        </is>
      </c>
      <c r="D205" t="n">
        <v>235753600</v>
      </c>
      <c r="E205" t="inlineStr">
        <is>
          <t>Reported</t>
        </is>
      </c>
      <c r="F205" t="inlineStr">
        <is>
          <t>6-K 2025-02-20 acc 0001104659-25-015480 tm257185d1_ex99-1.htm | https://www.sec.gov/Archives/edgar/data/1513845/000110465925015480/tm257185d1_ex99-1.htm</t>
        </is>
      </c>
      <c r="G205" t="inlineStr"/>
    </row>
    <row r="206">
      <c r="A206" t="inlineStr">
        <is>
          <t>F22</t>
        </is>
      </c>
      <c r="B206" t="inlineStr">
        <is>
          <t>Shares outstanding - total (period end)</t>
        </is>
      </c>
      <c r="C206" t="inlineStr">
        <is>
          <t>Q1 2025</t>
        </is>
      </c>
      <c r="D206" t="n">
        <v>238108831</v>
      </c>
      <c r="E206" t="inlineStr">
        <is>
          <t>Reported</t>
        </is>
      </c>
      <c r="F206" t="inlineStr">
        <is>
          <t>6-K 2025-05-20 acc 0001104659-25-050975 tm2515580d1_ex99-1.htm | https://www.sec.gov/Archives/edgar/data/1513845/000110465925050975/tm2515580d1_ex99-1.htm</t>
        </is>
      </c>
      <c r="G206" t="inlineStr"/>
    </row>
    <row r="207">
      <c r="A207" t="inlineStr">
        <is>
          <t>G22</t>
        </is>
      </c>
      <c r="B207" t="inlineStr">
        <is>
          <t>Shares outstanding - total (period end)</t>
        </is>
      </c>
      <c r="C207" t="inlineStr">
        <is>
          <t>Q2 2025</t>
        </is>
      </c>
      <c r="D207" t="n">
        <v>238705092</v>
      </c>
      <c r="E207" t="inlineStr">
        <is>
          <t>Reported</t>
        </is>
      </c>
      <c r="F207" t="inlineStr">
        <is>
          <t>6-K 2025-08-07 acc 0001104659-25-075028 tm2522866d1_ex99-1.htm | https://www.sec.gov/Archives/edgar/data/1513845/000110465925075028/tm2522866d1_ex99-1.htm</t>
        </is>
      </c>
      <c r="G207" t="inlineStr"/>
    </row>
    <row r="208">
      <c r="A208" t="inlineStr">
        <is>
          <t>H22</t>
        </is>
      </c>
      <c r="B208" t="inlineStr">
        <is>
          <t>Shares outstanding - total (period end)</t>
        </is>
      </c>
      <c r="C208" t="inlineStr">
        <is>
          <t>Q3 2025</t>
        </is>
      </c>
      <c r="D208" t="n">
        <v>251807222</v>
      </c>
      <c r="E208" t="inlineStr">
        <is>
          <t>Reported</t>
        </is>
      </c>
      <c r="F208" t="inlineStr">
        <is>
          <t>6-K 2025-11-12 acc 0001104659-25-109806 tm2530882d1_ex99-1.htm | https://www.sec.gov/Archives/edgar/data/1513845/000110465925109806/tm2530882d1_ex99-1.htm</t>
        </is>
      </c>
      <c r="G208" t="inlineStr"/>
    </row>
    <row r="209">
      <c r="A209" t="inlineStr">
        <is>
          <t>I22</t>
        </is>
      </c>
      <c r="B209" t="inlineStr">
        <is>
          <t>Shares outstanding - total (period end)</t>
        </is>
      </c>
      <c r="C209" t="inlineStr">
        <is>
          <t>Q4 2025</t>
        </is>
      </c>
      <c r="D209" t="n">
        <v>253016971</v>
      </c>
      <c r="E209" t="inlineStr">
        <is>
          <t>Reported</t>
        </is>
      </c>
      <c r="F209" t="inlineStr">
        <is>
          <t>6-K 2026-02-12 acc 0001104659-26-013946 tm266173d1_ex99-1.htm | https://www.sec.gov/Archives/edgar/data/1513845/000110465926013946/tm266173d1_ex99-1.htm</t>
        </is>
      </c>
      <c r="G209" t="inlineStr"/>
    </row>
    <row r="210">
      <c r="A210" t="inlineStr">
        <is>
          <t>J22</t>
        </is>
      </c>
      <c r="B210" t="inlineStr">
        <is>
          <t>Shares outstanding - total (period end)</t>
        </is>
      </c>
      <c r="C210" t="inlineStr">
        <is>
          <t>Q1 2026</t>
        </is>
      </c>
      <c r="D210" t="n">
        <v>253898194</v>
      </c>
      <c r="E210" t="inlineStr">
        <is>
          <t>Reported</t>
        </is>
      </c>
      <c r="F210" t="inlineStr">
        <is>
          <t>6-K 2026-05-13 acc 0001104659-26-059872 tm2614392d1_ex99-1.htm | https://www.sec.gov/Archives/edgar/data/1513845/000110465926059872/tm2614392d1_ex99-1.htm</t>
        </is>
      </c>
      <c r="G210" t="inlineStr"/>
    </row>
    <row r="211">
      <c r="A211" t="inlineStr">
        <is>
          <t>K22</t>
        </is>
      </c>
      <c r="B211" t="inlineStr">
        <is>
          <t>Shares outstanding - total (period end)</t>
        </is>
      </c>
      <c r="C211" t="inlineStr">
        <is>
          <t>Q2 2026</t>
        </is>
      </c>
      <c r="D211" t="n">
        <v>271855218</v>
      </c>
      <c r="E211" t="inlineStr">
        <is>
          <t>Reported</t>
        </is>
      </c>
      <c r="F211" t="inlineStr">
        <is>
          <t>6-K 2026-08-12 acc 0001104659-26-094568 tm2622968d1_ex99-1.htm | https://www.sec.gov/Archives/edgar/data/1513845/000110465926094568/tm2622968d1_ex99-1.htm</t>
        </is>
      </c>
      <c r="G211" t="inlineStr"/>
    </row>
    <row r="212">
      <c r="A212" t="inlineStr">
        <is>
          <t>B23</t>
        </is>
      </c>
      <c r="B212" t="inlineStr">
        <is>
          <t>Shares outstanding - Class A</t>
        </is>
      </c>
      <c r="C212" t="inlineStr">
        <is>
          <t>Q1 2024</t>
        </is>
      </c>
      <c r="D212" t="inlineStr">
        <is>
          <t>not disclosed</t>
        </is>
      </c>
      <c r="E212" t="inlineStr">
        <is>
          <t>Not disclosed</t>
        </is>
      </c>
      <c r="F212" t="inlineStr"/>
      <c r="G212" t="inlineStr"/>
    </row>
    <row r="213">
      <c r="A213" t="inlineStr">
        <is>
          <t>C23</t>
        </is>
      </c>
      <c r="B213" t="inlineStr">
        <is>
          <t>Shares outstanding - Class A</t>
        </is>
      </c>
      <c r="C213" t="inlineStr">
        <is>
          <t>Q2 2024</t>
        </is>
      </c>
      <c r="D213" t="n">
        <v>258151485</v>
      </c>
      <c r="E213" t="inlineStr">
        <is>
          <t>Reported</t>
        </is>
      </c>
      <c r="F213" t="inlineStr">
        <is>
          <t>6-K 2024-08-01 acc 0001513845-24-000024 tmb-20240630xex99d1.htm | https://www.sec.gov/Archives/edgar/data/1513845/000151384524000024/tmb-20240630xex99d1.htm</t>
        </is>
      </c>
      <c r="G213" t="inlineStr"/>
    </row>
    <row r="214">
      <c r="A214" t="inlineStr">
        <is>
          <t>D23</t>
        </is>
      </c>
      <c r="B214" t="inlineStr">
        <is>
          <t>Shares outstanding - Class A</t>
        </is>
      </c>
      <c r="C214" t="inlineStr">
        <is>
          <t>Q3 2024</t>
        </is>
      </c>
      <c r="D214" t="n">
        <v>163641444</v>
      </c>
      <c r="E214" t="inlineStr">
        <is>
          <t>Reported</t>
        </is>
      </c>
      <c r="F214" t="inlineStr">
        <is>
          <t>6-K 2024-10-31 acc 0001104659-24-112875 tm2427209d1_ex99-1.htm | https://www.sec.gov/Archives/edgar/data/1513845/000110465924112875/tm2427209d1_ex99-1.htm</t>
        </is>
      </c>
      <c r="G214" t="inlineStr"/>
    </row>
    <row r="215">
      <c r="A215" t="inlineStr">
        <is>
          <t>E23</t>
        </is>
      </c>
      <c r="B215" t="inlineStr">
        <is>
          <t>Shares outstanding - Class A</t>
        </is>
      </c>
      <c r="C215" t="inlineStr">
        <is>
          <t>Q4 2024</t>
        </is>
      </c>
      <c r="D215" t="n">
        <v>200054926</v>
      </c>
      <c r="E215" t="inlineStr">
        <is>
          <t>Reported</t>
        </is>
      </c>
      <c r="F215" t="inlineStr">
        <is>
          <t>6-K 2025-02-20 acc 0001104659-25-015480 tm257185d1_ex99-1.htm | https://www.sec.gov/Archives/edgar/data/1513845/000110465925015480/tm257185d1_ex99-1.htm</t>
        </is>
      </c>
      <c r="G215" t="inlineStr"/>
    </row>
    <row r="216">
      <c r="A216" t="inlineStr">
        <is>
          <t>F23</t>
        </is>
      </c>
      <c r="B216" t="inlineStr">
        <is>
          <t>Shares outstanding - Class A</t>
        </is>
      </c>
      <c r="C216" t="inlineStr">
        <is>
          <t>Q1 2025</t>
        </is>
      </c>
      <c r="D216" t="n">
        <v>202410157</v>
      </c>
      <c r="E216" t="inlineStr">
        <is>
          <t>Reported</t>
        </is>
      </c>
      <c r="F216" t="inlineStr">
        <is>
          <t>6-K 2025-05-20 acc 0001104659-25-050975 tm2515580d1_ex99-1.htm | https://www.sec.gov/Archives/edgar/data/1513845/000110465925050975/tm2515580d1_ex99-1.htm</t>
        </is>
      </c>
      <c r="G216" t="inlineStr"/>
    </row>
    <row r="217">
      <c r="A217" t="inlineStr">
        <is>
          <t>G23</t>
        </is>
      </c>
      <c r="B217" t="inlineStr">
        <is>
          <t>Shares outstanding - Class A</t>
        </is>
      </c>
      <c r="C217" t="inlineStr">
        <is>
          <t>Q2 2025</t>
        </is>
      </c>
      <c r="D217" t="n">
        <v>203006418</v>
      </c>
      <c r="E217" t="inlineStr">
        <is>
          <t>Reported</t>
        </is>
      </c>
      <c r="F217" t="inlineStr">
        <is>
          <t>6-K 2025-08-07 acc 0001104659-25-075028 tm2522866d1_ex99-1.htm | https://www.sec.gov/Archives/edgar/data/1513845/000110465925075028/tm2522866d1_ex99-1.htm</t>
        </is>
      </c>
      <c r="G217" t="inlineStr"/>
    </row>
    <row r="218">
      <c r="A218" t="inlineStr">
        <is>
          <t>H23</t>
        </is>
      </c>
      <c r="B218" t="inlineStr">
        <is>
          <t>Shares outstanding - Class A</t>
        </is>
      </c>
      <c r="C218" t="inlineStr">
        <is>
          <t>Q3 2025</t>
        </is>
      </c>
      <c r="D218" t="n">
        <v>218158548</v>
      </c>
      <c r="E218" t="inlineStr">
        <is>
          <t>Reported</t>
        </is>
      </c>
      <c r="F218" t="inlineStr">
        <is>
          <t>6-K 2025-11-12 acc 0001104659-25-109806 tm2530882d1_ex99-1.htm | https://www.sec.gov/Archives/edgar/data/1513845/000110465925109806/tm2530882d1_ex99-1.htm</t>
        </is>
      </c>
      <c r="G218" t="inlineStr"/>
    </row>
    <row r="219">
      <c r="A219" t="inlineStr">
        <is>
          <t>I23</t>
        </is>
      </c>
      <c r="B219" t="inlineStr">
        <is>
          <t>Shares outstanding - Class A</t>
        </is>
      </c>
      <c r="C219" t="inlineStr">
        <is>
          <t>Q4 2025</t>
        </is>
      </c>
      <c r="D219" t="n">
        <v>219465088</v>
      </c>
      <c r="E219" t="inlineStr">
        <is>
          <t>Reported</t>
        </is>
      </c>
      <c r="F219" t="inlineStr">
        <is>
          <t>6-K 2026-02-12 acc 0001104659-26-013946 tm266173d1_ex99-1.htm | https://www.sec.gov/Archives/edgar/data/1513845/000110465926013946/tm266173d1_ex99-1.htm</t>
        </is>
      </c>
      <c r="G219" t="inlineStr"/>
    </row>
    <row r="220">
      <c r="A220" t="inlineStr">
        <is>
          <t>J23</t>
        </is>
      </c>
      <c r="B220" t="inlineStr">
        <is>
          <t>Shares outstanding - Class A</t>
        </is>
      </c>
      <c r="C220" t="inlineStr">
        <is>
          <t>Q1 2026</t>
        </is>
      </c>
      <c r="D220" t="n">
        <v>220406311</v>
      </c>
      <c r="E220" t="inlineStr">
        <is>
          <t>Reported</t>
        </is>
      </c>
      <c r="F220" t="inlineStr">
        <is>
          <t>6-K 2026-05-13 acc 0001104659-26-059872 tm2614392d1_ex99-1.htm | https://www.sec.gov/Archives/edgar/data/1513845/000110465926059872/tm2614392d1_ex99-1.htm</t>
        </is>
      </c>
      <c r="G220" t="inlineStr"/>
    </row>
    <row r="221">
      <c r="A221" t="inlineStr">
        <is>
          <t>K23</t>
        </is>
      </c>
      <c r="B221" t="inlineStr">
        <is>
          <t>Shares outstanding - Class A</t>
        </is>
      </c>
      <c r="C221" t="inlineStr">
        <is>
          <t>Q2 2026</t>
        </is>
      </c>
      <c r="D221" t="n">
        <v>238400165</v>
      </c>
      <c r="E221" t="inlineStr">
        <is>
          <t>Reported</t>
        </is>
      </c>
      <c r="F221" t="inlineStr">
        <is>
          <t>6-K 2026-08-12 acc 0001104659-26-094568 tm2622968d1_ex99-1.htm | https://www.sec.gov/Archives/edgar/data/1513845/000110465926094568/tm2622968d1_ex99-1.htm</t>
        </is>
      </c>
      <c r="G221" t="inlineStr"/>
    </row>
    <row r="222">
      <c r="A222" t="inlineStr">
        <is>
          <t>B24</t>
        </is>
      </c>
      <c r="B222" t="inlineStr">
        <is>
          <t>Shares outstanding - Class B</t>
        </is>
      </c>
      <c r="C222" t="inlineStr">
        <is>
          <t>Q1 2024</t>
        </is>
      </c>
      <c r="D222" t="inlineStr">
        <is>
          <t>not disclosed</t>
        </is>
      </c>
      <c r="E222" t="inlineStr">
        <is>
          <t>Not disclosed</t>
        </is>
      </c>
      <c r="F222" t="inlineStr"/>
      <c r="G222" t="inlineStr"/>
    </row>
    <row r="223">
      <c r="A223" t="inlineStr">
        <is>
          <t>C24</t>
        </is>
      </c>
      <c r="B223" t="inlineStr">
        <is>
          <t>Shares outstanding - Class B</t>
        </is>
      </c>
      <c r="C223" t="inlineStr">
        <is>
          <t>Q2 2024</t>
        </is>
      </c>
      <c r="D223" t="n">
        <v>35698674</v>
      </c>
      <c r="E223" t="inlineStr">
        <is>
          <t>Reported</t>
        </is>
      </c>
      <c r="F223" t="inlineStr">
        <is>
          <t>6-K 2024-08-01 acc 0001513845-24-000024 tmb-20240630xex99d1.htm | https://www.sec.gov/Archives/edgar/data/1513845/000151384524000024/tmb-20240630xex99d1.htm</t>
        </is>
      </c>
      <c r="G223" t="inlineStr"/>
    </row>
    <row r="224">
      <c r="A224" t="inlineStr">
        <is>
          <t>D24</t>
        </is>
      </c>
      <c r="B224" t="inlineStr">
        <is>
          <t>Shares outstanding - Class B</t>
        </is>
      </c>
      <c r="C224" t="inlineStr">
        <is>
          <t>Q3 2024</t>
        </is>
      </c>
      <c r="D224" t="n">
        <v>35698674</v>
      </c>
      <c r="E224" t="inlineStr">
        <is>
          <t>Reported</t>
        </is>
      </c>
      <c r="F224" t="inlineStr">
        <is>
          <t>6-K 2024-10-31 acc 0001104659-24-112875 tm2427209d1_ex99-1.htm | https://www.sec.gov/Archives/edgar/data/1513845/000110465924112875/tm2427209d1_ex99-1.htm</t>
        </is>
      </c>
      <c r="G224" t="inlineStr"/>
    </row>
    <row r="225">
      <c r="A225" t="inlineStr">
        <is>
          <t>E24</t>
        </is>
      </c>
      <c r="B225" t="inlineStr">
        <is>
          <t>Shares outstanding - Class B</t>
        </is>
      </c>
      <c r="C225" t="inlineStr">
        <is>
          <t>Q4 2024</t>
        </is>
      </c>
      <c r="D225" t="n">
        <v>35698674</v>
      </c>
      <c r="E225" t="inlineStr">
        <is>
          <t>Reported</t>
        </is>
      </c>
      <c r="F225" t="inlineStr">
        <is>
          <t>6-K 2025-02-20 acc 0001104659-25-015480 tm257185d1_ex99-1.htm | https://www.sec.gov/Archives/edgar/data/1513845/000110465925015480/tm257185d1_ex99-1.htm</t>
        </is>
      </c>
      <c r="G225" t="inlineStr"/>
    </row>
    <row r="226">
      <c r="A226" t="inlineStr">
        <is>
          <t>F24</t>
        </is>
      </c>
      <c r="B226" t="inlineStr">
        <is>
          <t>Shares outstanding - Class B</t>
        </is>
      </c>
      <c r="C226" t="inlineStr">
        <is>
          <t>Q1 2025</t>
        </is>
      </c>
      <c r="D226" t="n">
        <v>35698674</v>
      </c>
      <c r="E226" t="inlineStr">
        <is>
          <t>Reported</t>
        </is>
      </c>
      <c r="F226" t="inlineStr">
        <is>
          <t>6-K 2025-05-20 acc 0001104659-25-050975 tm2515580d1_ex99-1.htm | https://www.sec.gov/Archives/edgar/data/1513845/000110465925050975/tm2515580d1_ex99-1.htm</t>
        </is>
      </c>
      <c r="G226" t="inlineStr"/>
    </row>
    <row r="227">
      <c r="A227" t="inlineStr">
        <is>
          <t>G24</t>
        </is>
      </c>
      <c r="B227" t="inlineStr">
        <is>
          <t>Shares outstanding - Class B</t>
        </is>
      </c>
      <c r="C227" t="inlineStr">
        <is>
          <t>Q2 2025</t>
        </is>
      </c>
      <c r="D227" t="n">
        <v>35698674</v>
      </c>
      <c r="E227" t="inlineStr">
        <is>
          <t>Reported</t>
        </is>
      </c>
      <c r="F227" t="inlineStr">
        <is>
          <t>6-K 2025-08-07 acc 0001104659-25-075028 tm2522866d1_ex99-1.htm | https://www.sec.gov/Archives/edgar/data/1513845/000110465925075028/tm2522866d1_ex99-1.htm</t>
        </is>
      </c>
      <c r="G227" t="inlineStr"/>
    </row>
    <row r="228">
      <c r="A228" t="inlineStr">
        <is>
          <t>H24</t>
        </is>
      </c>
      <c r="B228" t="inlineStr">
        <is>
          <t>Shares outstanding - Class B</t>
        </is>
      </c>
      <c r="C228" t="inlineStr">
        <is>
          <t>Q3 2025</t>
        </is>
      </c>
      <c r="D228" t="n">
        <v>33648674</v>
      </c>
      <c r="E228" t="inlineStr">
        <is>
          <t>Reported</t>
        </is>
      </c>
      <c r="F228" t="inlineStr">
        <is>
          <t>6-K 2025-11-12 acc 0001104659-25-109806 tm2530882d1_ex99-1.htm | https://www.sec.gov/Archives/edgar/data/1513845/000110465925109806/tm2530882d1_ex99-1.htm</t>
        </is>
      </c>
      <c r="G228" t="inlineStr"/>
    </row>
    <row r="229">
      <c r="A229" t="inlineStr">
        <is>
          <t>I24</t>
        </is>
      </c>
      <c r="B229" t="inlineStr">
        <is>
          <t>Shares outstanding - Class B</t>
        </is>
      </c>
      <c r="C229" t="inlineStr">
        <is>
          <t>Q4 2025</t>
        </is>
      </c>
      <c r="D229" t="n">
        <v>33551883</v>
      </c>
      <c r="E229" t="inlineStr">
        <is>
          <t>Reported</t>
        </is>
      </c>
      <c r="F229" t="inlineStr">
        <is>
          <t>6-K 2026-02-12 acc 0001104659-26-013946 tm266173d1_ex99-1.htm | https://www.sec.gov/Archives/edgar/data/1513845/000110465926013946/tm266173d1_ex99-1.htm</t>
        </is>
      </c>
      <c r="G229" t="inlineStr"/>
    </row>
    <row r="230">
      <c r="A230" t="inlineStr">
        <is>
          <t>J24</t>
        </is>
      </c>
      <c r="B230" t="inlineStr">
        <is>
          <t>Shares outstanding - Class B</t>
        </is>
      </c>
      <c r="C230" t="inlineStr">
        <is>
          <t>Q1 2026</t>
        </is>
      </c>
      <c r="D230" t="n">
        <v>33491883</v>
      </c>
      <c r="E230" t="inlineStr">
        <is>
          <t>Reported</t>
        </is>
      </c>
      <c r="F230" t="inlineStr">
        <is>
          <t>6-K 2026-05-13 acc 0001104659-26-059872 tm2614392d1_ex99-1.htm | https://www.sec.gov/Archives/edgar/data/1513845/000110465926059872/tm2614392d1_ex99-1.htm</t>
        </is>
      </c>
      <c r="G230" t="inlineStr"/>
    </row>
    <row r="231">
      <c r="A231" t="inlineStr">
        <is>
          <t>K24</t>
        </is>
      </c>
      <c r="B231" t="inlineStr">
        <is>
          <t>Shares outstanding - Class B</t>
        </is>
      </c>
      <c r="C231" t="inlineStr">
        <is>
          <t>Q2 2026</t>
        </is>
      </c>
      <c r="D231" t="n">
        <v>33455053</v>
      </c>
      <c r="E231" t="inlineStr">
        <is>
          <t>Reported</t>
        </is>
      </c>
      <c r="F231" t="inlineStr">
        <is>
          <t>6-K 2026-08-12 acc 0001104659-26-094568 tm2622968d1_ex99-1.htm | https://www.sec.gov/Archives/edgar/data/1513845/000110465926094568/tm2622968d1_ex99-1.htm</t>
        </is>
      </c>
      <c r="G231" t="inlineStr"/>
    </row>
    <row r="232">
      <c r="A232" t="inlineStr">
        <is>
          <t>B25</t>
        </is>
      </c>
      <c r="B232" t="inlineStr">
        <is>
          <t>Weighted avg shares - basic</t>
        </is>
      </c>
      <c r="C232" t="inlineStr">
        <is>
          <t>Q1 2024</t>
        </is>
      </c>
      <c r="D232" t="inlineStr">
        <is>
          <t>not disclosed</t>
        </is>
      </c>
      <c r="E232" t="inlineStr">
        <is>
          <t>Not disclosed</t>
        </is>
      </c>
      <c r="F232" t="inlineStr">
        <is>
          <t>20-F 2025-04-30 acc 0001558370-25-005991 nbis-20241231x20f.htm | https://www.sec.gov/Archives/edgar/data/1513845/000155837025005991/nbis-20241231x20f.htm</t>
        </is>
      </c>
      <c r="G232" t="inlineStr">
        <is>
          <t>not disclosed quarterly (Yandex N.V. pre-divestiture; no EPS table in PR). FY2024 basic = 281,005,226 (20-F FY24)</t>
        </is>
      </c>
    </row>
    <row r="233">
      <c r="A233" t="inlineStr">
        <is>
          <t>C25</t>
        </is>
      </c>
      <c r="B233" t="inlineStr">
        <is>
          <t>Weighted avg shares - basic</t>
        </is>
      </c>
      <c r="C233" t="inlineStr">
        <is>
          <t>Q2 2024</t>
        </is>
      </c>
      <c r="D233" t="inlineStr">
        <is>
          <t>not disclosed</t>
        </is>
      </c>
      <c r="E233" t="inlineStr">
        <is>
          <t>Not disclosed</t>
        </is>
      </c>
      <c r="F233" t="inlineStr">
        <is>
          <t>20-F 2025-04-30 acc 0001558370-25-005991 nbis-20241231x20f.htm | https://www.sec.gov/Archives/edgar/data/1513845/000155837025005991/nbis-20241231x20f.htm</t>
        </is>
      </c>
      <c r="G233" t="inlineStr">
        <is>
          <t>not disclosed quarterly; FY2024 basic = 281,005,226; period-end Q2-24 count 293,850,159 is pre-Second Completion</t>
        </is>
      </c>
    </row>
    <row r="234">
      <c r="A234" t="inlineStr">
        <is>
          <t>D25</t>
        </is>
      </c>
      <c r="B234" t="inlineStr">
        <is>
          <t>Weighted avg shares - basic</t>
        </is>
      </c>
      <c r="C234" t="inlineStr">
        <is>
          <t>Q3 2024</t>
        </is>
      </c>
      <c r="D234" t="n">
        <v>246595139</v>
      </c>
      <c r="E234" t="inlineStr">
        <is>
          <t>Estimated</t>
        </is>
      </c>
      <c r="F234" t="inlineStr">
        <is>
          <t>6-K 2024-10-31 acc 0001104659-24-112875 tm2427209d1_ex99-1.htm avg(293,850,159 Q2-end; 199,340,118 Q3-end) | https://www.sec.gov/Archives/edgar/data/1513845/000110465924112875/tm2427209d1_ex99-1.htm</t>
        </is>
      </c>
      <c r="G234" t="inlineStr">
        <is>
          <t>ESTIMATE only: weighted count not disclosed; 94.9M treasury shares received 12-Jul-2024 so true average is lower than simple avg | derivation: avg(293,850,159 Q2-end; 199,340,118 Q3-end)</t>
        </is>
      </c>
    </row>
    <row r="235">
      <c r="A235" t="inlineStr">
        <is>
          <t>E25</t>
        </is>
      </c>
      <c r="B235" t="inlineStr">
        <is>
          <t>Weighted avg shares - basic</t>
        </is>
      </c>
      <c r="C235" t="inlineStr">
        <is>
          <t>Q4 2024</t>
        </is>
      </c>
      <c r="D235" t="n">
        <v>217546859</v>
      </c>
      <c r="E235" t="inlineStr">
        <is>
          <t>Estimated</t>
        </is>
      </c>
      <c r="F235" t="inlineStr">
        <is>
          <t>6-K 2025-02-20 acc 0001104659-25-015480 tm257185d1_ex99-1.htm avg(199,340,118; 235,753,600) | https://www.sec.gov/Archives/edgar/data/1513845/000110465925015480/tm257185d1_ex99-1.htm</t>
        </is>
      </c>
      <c r="G235" t="inlineStr">
        <is>
          <t>ESTIMATE only: not disclosed; 33.3M placement shares issued Dec-2024 so true average is closer to Q3-end count | derivation: avg(199,340,118; 235,753,600)</t>
        </is>
      </c>
    </row>
    <row r="236">
      <c r="A236" t="inlineStr">
        <is>
          <t>F25</t>
        </is>
      </c>
      <c r="B236" t="inlineStr">
        <is>
          <t>Weighted avg shares - basic</t>
        </is>
      </c>
      <c r="C236" t="inlineStr">
        <is>
          <t>Q1 2025</t>
        </is>
      </c>
      <c r="D236" t="n">
        <v>237916047</v>
      </c>
      <c r="E236" t="inlineStr">
        <is>
          <t>Reported</t>
        </is>
      </c>
      <c r="F236" t="inlineStr">
        <is>
          <t>6-K 2026-05-13 acc 0001104659-26-059872 tm2614392d1_ex99-1.htm comparative | https://www.sec.gov/Archives/edgar/data/1513845/000110465926059872/tm2614392d1_ex99-1.htm</t>
        </is>
      </c>
      <c r="G236" t="inlineStr"/>
    </row>
    <row r="237">
      <c r="A237" t="inlineStr">
        <is>
          <t>G25</t>
        </is>
      </c>
      <c r="B237" t="inlineStr">
        <is>
          <t>Weighted avg shares - basic</t>
        </is>
      </c>
      <c r="C237" t="inlineStr">
        <is>
          <t>Q2 2025</t>
        </is>
      </c>
      <c r="D237" t="n">
        <v>238520244</v>
      </c>
      <c r="E237" t="inlineStr">
        <is>
          <t>Reported</t>
        </is>
      </c>
      <c r="F237" t="inlineStr">
        <is>
          <t>6-K 2026-08-12 acc 0001104659-26-094568 tm2622968d1_ex99-1.htm comparative | https://www.sec.gov/Archives/edgar/data/1513845/000110465926094568/tm2622968d1_ex99-1.htm</t>
        </is>
      </c>
      <c r="G237" t="inlineStr"/>
    </row>
    <row r="238">
      <c r="A238" t="inlineStr">
        <is>
          <t>H25</t>
        </is>
      </c>
      <c r="B238" t="inlineStr">
        <is>
          <t>Weighted avg shares - basic</t>
        </is>
      </c>
      <c r="C238" t="inlineStr">
        <is>
          <t>Q3 2025</t>
        </is>
      </c>
      <c r="D238" t="n">
        <v>245256157</v>
      </c>
      <c r="E238" t="inlineStr">
        <is>
          <t>Estimated</t>
        </is>
      </c>
      <c r="F238" t="inlineStr">
        <is>
          <t>6-K 2025-11-12 acc 0001104659-25-109806 tm2530882d1_ex99-1.htm avg(238,705,092; 251,807,222) | https://www.sec.gov/Archives/edgar/data/1513845/000110465925109806/tm2530882d1_ex99-1.htm</t>
        </is>
      </c>
      <c r="G238" t="inlineStr">
        <is>
          <t>ESTIMATE only: not disclosed in Q3-25 PR/OFR. Cross-check: FY25 basic 242,531,291 x4 - Q1 - Q2 = 493,688,873 implied H2 sum vs estimate sum 497,668,254 (+0.8%) | derivation: avg(238,705,092; 251,807,222)</t>
        </is>
      </c>
    </row>
    <row r="239">
      <c r="A239" t="inlineStr">
        <is>
          <t>I25</t>
        </is>
      </c>
      <c r="B239" t="inlineStr">
        <is>
          <t>Weighted avg shares - basic</t>
        </is>
      </c>
      <c r="C239" t="inlineStr">
        <is>
          <t>Q4 2025</t>
        </is>
      </c>
      <c r="D239" t="n">
        <v>252412097</v>
      </c>
      <c r="E239" t="inlineStr">
        <is>
          <t>Estimated</t>
        </is>
      </c>
      <c r="F239" t="inlineStr">
        <is>
          <t>6-K 2026-02-12 acc 0001104659-26-013946 tm266173d1_ex99-1.htm avg(251,807,222; 253,016,971) | https://www.sec.gov/Archives/edgar/data/1513845/000110465926013946/tm266173d1_ex99-1.htm</t>
        </is>
      </c>
      <c r="G239" t="inlineStr">
        <is>
          <t>ESTIMATE only: not disclosed; see Q3-25 cross-check | derivation: avg(251,807,222; 253,016,971)</t>
        </is>
      </c>
    </row>
    <row r="240">
      <c r="A240" t="inlineStr">
        <is>
          <t>J25</t>
        </is>
      </c>
      <c r="B240" t="inlineStr">
        <is>
          <t>Weighted avg shares - basic</t>
        </is>
      </c>
      <c r="C240" t="inlineStr">
        <is>
          <t>Q1 2026</t>
        </is>
      </c>
      <c r="D240" t="n">
        <v>258298911</v>
      </c>
      <c r="E240" t="inlineStr">
        <is>
          <t>Reported</t>
        </is>
      </c>
      <c r="F240" t="inlineStr">
        <is>
          <t>6-K 2026-05-13 acc 0001104659-26-059872 tm2614392d1_ex99-1.htm | https://www.sec.gov/Archives/edgar/data/1513845/000110465926059872/tm2614392d1_ex99-1.htm</t>
        </is>
      </c>
      <c r="G240" t="inlineStr"/>
    </row>
    <row r="241">
      <c r="A241" t="inlineStr">
        <is>
          <t>K25</t>
        </is>
      </c>
      <c r="B241" t="inlineStr">
        <is>
          <t>Weighted avg shares - basic</t>
        </is>
      </c>
      <c r="C241" t="inlineStr">
        <is>
          <t>Q2 2026</t>
        </is>
      </c>
      <c r="D241" t="n">
        <v>280381615</v>
      </c>
      <c r="E241" t="inlineStr">
        <is>
          <t>Reported</t>
        </is>
      </c>
      <c r="F241" t="inlineStr">
        <is>
          <t>6-K 2026-08-12 acc 0001104659-26-094568 tm2622968d1_ex99-1.htm | https://www.sec.gov/Archives/edgar/data/1513845/000110465926094568/tm2622968d1_ex99-1.htm</t>
        </is>
      </c>
      <c r="G241" t="inlineStr">
        <is>
          <t>includes 21,065,936 NVIDIA pre-funded warrant shares; excludes 2,743,655 unvested Eigen AI shares</t>
        </is>
      </c>
    </row>
    <row r="242">
      <c r="A242" t="inlineStr">
        <is>
          <t>B26</t>
        </is>
      </c>
      <c r="B242" t="inlineStr">
        <is>
          <t>Weighted avg shares - diluted</t>
        </is>
      </c>
      <c r="C242" t="inlineStr">
        <is>
          <t>Q1 2024</t>
        </is>
      </c>
      <c r="D242" t="inlineStr">
        <is>
          <t>not disclosed</t>
        </is>
      </c>
      <c r="E242" t="inlineStr">
        <is>
          <t>Not disclosed</t>
        </is>
      </c>
      <c r="F242" t="inlineStr">
        <is>
          <t>20-F 2025-04-30 acc 0001558370-25-005991 nbis-20241231x20f.htm | https://www.sec.gov/Archives/edgar/data/1513845/000155837025005991/nbis-20241231x20f.htm</t>
        </is>
      </c>
      <c r="G242" t="inlineStr">
        <is>
          <t>not disclosed quarterly; FY2024 diluted = 281,005,226 (net loss)</t>
        </is>
      </c>
    </row>
    <row r="243">
      <c r="A243" t="inlineStr">
        <is>
          <t>C26</t>
        </is>
      </c>
      <c r="B243" t="inlineStr">
        <is>
          <t>Weighted avg shares - diluted</t>
        </is>
      </c>
      <c r="C243" t="inlineStr">
        <is>
          <t>Q2 2024</t>
        </is>
      </c>
      <c r="D243" t="inlineStr">
        <is>
          <t>not disclosed</t>
        </is>
      </c>
      <c r="E243" t="inlineStr">
        <is>
          <t>Not disclosed</t>
        </is>
      </c>
      <c r="F243" t="inlineStr">
        <is>
          <t>20-F 2025-04-30 acc 0001558370-25-005991 nbis-20241231x20f.htm | https://www.sec.gov/Archives/edgar/data/1513845/000155837025005991/nbis-20241231x20f.htm</t>
        </is>
      </c>
      <c r="G243" t="inlineStr">
        <is>
          <t>not disclosed quarterly; FY2024 diluted = 281,005,226</t>
        </is>
      </c>
    </row>
    <row r="244">
      <c r="A244" t="inlineStr">
        <is>
          <t>D26</t>
        </is>
      </c>
      <c r="B244" t="inlineStr">
        <is>
          <t>Weighted avg shares - diluted</t>
        </is>
      </c>
      <c r="C244" t="inlineStr">
        <is>
          <t>Q3 2024</t>
        </is>
      </c>
      <c r="D244" t="n">
        <v>246595139</v>
      </c>
      <c r="E244" t="inlineStr">
        <is>
          <t>Estimated</t>
        </is>
      </c>
      <c r="F244" t="inlineStr">
        <is>
          <t>6-K 2024-10-31 acc 0001104659-24-112875 tm2427209d1_ex99-1.htm = basic estimate (net loss quarter -&gt; anti-dilutive) | https://www.sec.gov/Archives/edgar/data/1513845/000110465924112875/tm2427209d1_ex99-1.htm</t>
        </is>
      </c>
      <c r="G244" t="inlineStr">
        <is>
          <t>ESTIMATE only | derivation: = basic estimate (net loss quarter -&gt; anti-dilutive)</t>
        </is>
      </c>
    </row>
    <row r="245">
      <c r="A245" t="inlineStr">
        <is>
          <t>E26</t>
        </is>
      </c>
      <c r="B245" t="inlineStr">
        <is>
          <t>Weighted avg shares - diluted</t>
        </is>
      </c>
      <c r="C245" t="inlineStr">
        <is>
          <t>Q4 2024</t>
        </is>
      </c>
      <c r="D245" t="n">
        <v>217546859</v>
      </c>
      <c r="E245" t="inlineStr">
        <is>
          <t>Estimated</t>
        </is>
      </c>
      <c r="F245" t="inlineStr">
        <is>
          <t>6-K 2025-02-20 acc 0001104659-25-015480 tm257185d1_ex99-1.htm = basic estimate (net loss) | https://www.sec.gov/Archives/edgar/data/1513845/000110465925015480/tm257185d1_ex99-1.htm</t>
        </is>
      </c>
      <c r="G245" t="inlineStr">
        <is>
          <t>ESTIMATE only | derivation: = basic estimate (net loss)</t>
        </is>
      </c>
    </row>
    <row r="246">
      <c r="A246" t="inlineStr">
        <is>
          <t>F26</t>
        </is>
      </c>
      <c r="B246" t="inlineStr">
        <is>
          <t>Weighted avg shares - diluted</t>
        </is>
      </c>
      <c r="C246" t="inlineStr">
        <is>
          <t>Q1 2025</t>
        </is>
      </c>
      <c r="D246" t="n">
        <v>237916047</v>
      </c>
      <c r="E246" t="inlineStr">
        <is>
          <t>Reported</t>
        </is>
      </c>
      <c r="F246" t="inlineStr">
        <is>
          <t>6-K 2026-05-13 acc 0001104659-26-059872 tm2614392d1_ex99-1.htm comparative | https://www.sec.gov/Archives/edgar/data/1513845/000110465926059872/tm2614392d1_ex99-1.htm</t>
        </is>
      </c>
      <c r="G246" t="inlineStr"/>
    </row>
    <row r="247">
      <c r="A247" t="inlineStr">
        <is>
          <t>G26</t>
        </is>
      </c>
      <c r="B247" t="inlineStr">
        <is>
          <t>Weighted avg shares - diluted</t>
        </is>
      </c>
      <c r="C247" t="inlineStr">
        <is>
          <t>Q2 2025</t>
        </is>
      </c>
      <c r="D247" t="n">
        <v>247266034</v>
      </c>
      <c r="E247" t="inlineStr">
        <is>
          <t>Reported</t>
        </is>
      </c>
      <c r="F247" t="inlineStr">
        <is>
          <t>6-K 2026-08-12 acc 0001104659-26-094568 tm2622968d1_ex99-1.htm comparative | https://www.sec.gov/Archives/edgar/data/1513845/000110465926094568/tm2622968d1_ex99-1.htm</t>
        </is>
      </c>
      <c r="G247" t="inlineStr"/>
    </row>
    <row r="248">
      <c r="A248" t="inlineStr">
        <is>
          <t>H26</t>
        </is>
      </c>
      <c r="B248" t="inlineStr">
        <is>
          <t>Weighted avg shares - diluted</t>
        </is>
      </c>
      <c r="C248" t="inlineStr">
        <is>
          <t>Q3 2025</t>
        </is>
      </c>
      <c r="D248" t="n">
        <v>245256157</v>
      </c>
      <c r="E248" t="inlineStr">
        <is>
          <t>Estimated</t>
        </is>
      </c>
      <c r="F248" t="inlineStr">
        <is>
          <t>6-K 2025-11-12 acc 0001104659-25-109806 tm2530882d1_ex99-1.htm = basic estimate (net loss from continuing ops) | https://www.sec.gov/Archives/edgar/data/1513845/000110465925109806/tm2530882d1_ex99-1.htm</t>
        </is>
      </c>
      <c r="G248" t="inlineStr">
        <is>
          <t>ESTIMATE only; FY25 diluted 247,679,946 per 20-F | derivation: = basic estimate (net loss from continuing ops)</t>
        </is>
      </c>
    </row>
    <row r="249">
      <c r="A249" t="inlineStr">
        <is>
          <t>I26</t>
        </is>
      </c>
      <c r="B249" t="inlineStr">
        <is>
          <t>Weighted avg shares - diluted</t>
        </is>
      </c>
      <c r="C249" t="inlineStr">
        <is>
          <t>Q4 2025</t>
        </is>
      </c>
      <c r="D249" t="n">
        <v>252412097</v>
      </c>
      <c r="E249" t="inlineStr">
        <is>
          <t>Estimated</t>
        </is>
      </c>
      <c r="F249" t="inlineStr">
        <is>
          <t>6-K 2026-02-12 acc 0001104659-26-013946 tm266173d1_ex99-1.htm = basic estimate (net loss) | https://www.sec.gov/Archives/edgar/data/1513845/000110465926013946/tm266173d1_ex99-1.htm</t>
        </is>
      </c>
      <c r="G249" t="inlineStr">
        <is>
          <t>ESTIMATE only | derivation: = basic estimate (net loss)</t>
        </is>
      </c>
    </row>
    <row r="250">
      <c r="A250" t="inlineStr">
        <is>
          <t>J26</t>
        </is>
      </c>
      <c r="B250" t="inlineStr">
        <is>
          <t>Weighted avg shares - diluted</t>
        </is>
      </c>
      <c r="C250" t="inlineStr">
        <is>
          <t>Q1 2026</t>
        </is>
      </c>
      <c r="D250" t="n">
        <v>308971701</v>
      </c>
      <c r="E250" t="inlineStr">
        <is>
          <t>Reported</t>
        </is>
      </c>
      <c r="F250" t="inlineStr">
        <is>
          <t>6-K 2026-05-13 acc 0001104659-26-059872 tm2614392d1_ex99-1.htm | https://www.sec.gov/Archives/edgar/data/1513845/000110465926059872/tm2614392d1_ex99-1.htm</t>
        </is>
      </c>
      <c r="G250" t="inlineStr"/>
    </row>
    <row r="251">
      <c r="A251" t="inlineStr">
        <is>
          <t>K26</t>
        </is>
      </c>
      <c r="B251" t="inlineStr">
        <is>
          <t>Weighted avg shares - diluted</t>
        </is>
      </c>
      <c r="C251" t="inlineStr">
        <is>
          <t>Q2 2026</t>
        </is>
      </c>
      <c r="D251" t="n">
        <v>280381615</v>
      </c>
      <c r="E251" t="inlineStr">
        <is>
          <t>Reported</t>
        </is>
      </c>
      <c r="F251" t="inlineStr">
        <is>
          <t>6-K 2026-08-12 acc 0001104659-26-094568 tm2622968d1_ex99-1.htm | https://www.sec.gov/Archives/edgar/data/1513845/000110465926094568/tm2622968d1_ex99-1.htm</t>
        </is>
      </c>
      <c r="G251" t="inlineStr">
        <is>
          <t>net loss -&gt; diluted = basic; 65,416,804 weighted if-converted shares excluded as anti-dilutive (Q2FS Note 1)</t>
        </is>
      </c>
    </row>
    <row r="252">
      <c r="A252" t="inlineStr">
        <is>
          <t>B27</t>
        </is>
      </c>
      <c r="B252" t="inlineStr">
        <is>
          <t>Deferred revenue, total (end of period, $M)</t>
        </is>
      </c>
      <c r="C252" t="inlineStr">
        <is>
          <t>Q1 2024</t>
        </is>
      </c>
      <c r="D252" t="inlineStr">
        <is>
          <t>not disclosed</t>
        </is>
      </c>
      <c r="E252" t="inlineStr">
        <is>
          <t>Not disclosed</t>
        </is>
      </c>
      <c r="F252" t="inlineStr"/>
      <c r="G252" t="inlineStr"/>
    </row>
    <row r="253">
      <c r="A253" t="inlineStr">
        <is>
          <t>C27</t>
        </is>
      </c>
      <c r="B253" t="inlineStr">
        <is>
          <t>Deferred revenue, total (end of period, $M)</t>
        </is>
      </c>
      <c r="C253" t="inlineStr">
        <is>
          <t>Q2 2024</t>
        </is>
      </c>
      <c r="D253" t="inlineStr">
        <is>
          <t>not disclosed</t>
        </is>
      </c>
      <c r="E253" t="inlineStr">
        <is>
          <t>Not disclosed</t>
        </is>
      </c>
      <c r="F253" t="inlineStr"/>
      <c r="G253" t="inlineStr"/>
    </row>
    <row r="254">
      <c r="A254" t="inlineStr">
        <is>
          <t>D27</t>
        </is>
      </c>
      <c r="B254" t="inlineStr">
        <is>
          <t>Deferred revenue, total (end of period, $M)</t>
        </is>
      </c>
      <c r="C254" t="inlineStr">
        <is>
          <t>Q3 2024</t>
        </is>
      </c>
      <c r="D254" t="inlineStr">
        <is>
          <t>not disclosed</t>
        </is>
      </c>
      <c r="E254" t="inlineStr">
        <is>
          <t>Not disclosed</t>
        </is>
      </c>
      <c r="F254" t="inlineStr"/>
      <c r="G254" t="inlineStr"/>
    </row>
    <row r="255">
      <c r="A255" t="inlineStr">
        <is>
          <t>E27</t>
        </is>
      </c>
      <c r="B255" t="inlineStr">
        <is>
          <t>Deferred revenue, total (end of period, $M)</t>
        </is>
      </c>
      <c r="C255" t="inlineStr">
        <is>
          <t>Q4 2024</t>
        </is>
      </c>
      <c r="D255" t="inlineStr">
        <is>
          <t>not disclosed</t>
        </is>
      </c>
      <c r="E255" t="inlineStr">
        <is>
          <t>Not disclosed</t>
        </is>
      </c>
      <c r="F255" t="inlineStr"/>
      <c r="G255" t="inlineStr"/>
    </row>
    <row r="256">
      <c r="A256" t="inlineStr">
        <is>
          <t>F27</t>
        </is>
      </c>
      <c r="B256" t="inlineStr">
        <is>
          <t>Deferred revenue, total (end of period, $M)</t>
        </is>
      </c>
      <c r="C256" t="inlineStr">
        <is>
          <t>Q1 2025</t>
        </is>
      </c>
      <c r="D256" t="inlineStr">
        <is>
          <t>not disclosed</t>
        </is>
      </c>
      <c r="E256" t="inlineStr">
        <is>
          <t>Not disclosed</t>
        </is>
      </c>
      <c r="F256" t="inlineStr"/>
      <c r="G256" t="inlineStr"/>
    </row>
    <row r="257">
      <c r="A257" t="inlineStr">
        <is>
          <t>G27</t>
        </is>
      </c>
      <c r="B257" t="inlineStr">
        <is>
          <t>Deferred revenue, total (end of period, $M)</t>
        </is>
      </c>
      <c r="C257" t="inlineStr">
        <is>
          <t>Q2 2025</t>
        </is>
      </c>
      <c r="D257" t="inlineStr">
        <is>
          <t>not disclosed</t>
        </is>
      </c>
      <c r="E257" t="inlineStr">
        <is>
          <t>Not disclosed</t>
        </is>
      </c>
      <c r="F257" t="inlineStr"/>
      <c r="G257" t="inlineStr"/>
    </row>
    <row r="258">
      <c r="A258" t="inlineStr">
        <is>
          <t>H27</t>
        </is>
      </c>
      <c r="B258" t="inlineStr">
        <is>
          <t>Deferred revenue, total (end of period, $M)</t>
        </is>
      </c>
      <c r="C258" t="inlineStr">
        <is>
          <t>Q3 2025</t>
        </is>
      </c>
      <c r="D258" t="inlineStr">
        <is>
          <t>not disclosed</t>
        </is>
      </c>
      <c r="E258" t="inlineStr">
        <is>
          <t>Not disclosed</t>
        </is>
      </c>
      <c r="F258" t="inlineStr"/>
      <c r="G258" t="inlineStr"/>
    </row>
    <row r="259">
      <c r="A259" t="inlineStr">
        <is>
          <t>I27</t>
        </is>
      </c>
      <c r="B259" t="inlineStr">
        <is>
          <t>Deferred revenue, total (end of period, $M)</t>
        </is>
      </c>
      <c r="C259" t="inlineStr">
        <is>
          <t>Q4 2025</t>
        </is>
      </c>
      <c r="D259" t="n">
        <v>1577.5</v>
      </c>
      <c r="E259" t="inlineStr">
        <is>
          <t>Reported</t>
        </is>
      </c>
      <c r="F259" t="inlineStr">
        <is>
          <t>6-K 2026-08-12 acc 0001104659-26-094844 nbis-20260812xex99d2.htm Note 1 | https://www.sec.gov/Archives/edgar/data/1513845/000110465926094844/nbis-20260812xex99d2.htm</t>
        </is>
      </c>
      <c r="G259" t="inlineStr"/>
    </row>
    <row r="260">
      <c r="A260" t="inlineStr">
        <is>
          <t>J27</t>
        </is>
      </c>
      <c r="B260" t="inlineStr">
        <is>
          <t>Deferred revenue, total (end of period, $M)</t>
        </is>
      </c>
      <c r="C260" t="inlineStr">
        <is>
          <t>Q1 2026</t>
        </is>
      </c>
      <c r="D260" t="n">
        <v>4778.1</v>
      </c>
      <c r="E260" t="inlineStr">
        <is>
          <t>Reported</t>
        </is>
      </c>
      <c r="F260" t="inlineStr">
        <is>
          <t>6-K 2026-05-20 acc 0001104659-26-064092 nbis-20260331xex99d2.htm Note 1 | https://www.sec.gov/Archives/edgar/data/1513845/000110465926064092/nbis-20260331xex99d2.htm</t>
        </is>
      </c>
      <c r="G260" t="inlineStr"/>
    </row>
    <row r="261">
      <c r="A261" t="inlineStr">
        <is>
          <t>K27</t>
        </is>
      </c>
      <c r="B261" t="inlineStr">
        <is>
          <t>Deferred revenue, total (end of period, $M)</t>
        </is>
      </c>
      <c r="C261" t="inlineStr">
        <is>
          <t>Q2 2026</t>
        </is>
      </c>
      <c r="D261" t="n">
        <v>5975.2</v>
      </c>
      <c r="E261" t="inlineStr">
        <is>
          <t>Reported</t>
        </is>
      </c>
      <c r="F261" t="inlineStr">
        <is>
          <t>6-K 2026-08-12 acc 0001104659-26-094844 nbis-20260812xex99d2.htm Note 1 | https://www.sec.gov/Archives/edgar/data/1513845/000110465926094844/nbis-20260812xex99d2.htm</t>
        </is>
      </c>
      <c r="G261" t="inlineStr"/>
    </row>
    <row r="262">
      <c r="A262" t="inlineStr">
        <is>
          <t>B28</t>
        </is>
      </c>
      <c r="B262" t="inlineStr">
        <is>
          <t>RPO (end of period, $M)</t>
        </is>
      </c>
      <c r="C262" t="inlineStr">
        <is>
          <t>Q1 2024</t>
        </is>
      </c>
      <c r="D262" t="inlineStr">
        <is>
          <t>not disclosed</t>
        </is>
      </c>
      <c r="E262" t="inlineStr">
        <is>
          <t>Not disclosed</t>
        </is>
      </c>
      <c r="F262" t="inlineStr"/>
      <c r="G262" t="inlineStr"/>
    </row>
    <row r="263">
      <c r="A263" t="inlineStr">
        <is>
          <t>C28</t>
        </is>
      </c>
      <c r="B263" t="inlineStr">
        <is>
          <t>RPO (end of period, $M)</t>
        </is>
      </c>
      <c r="C263" t="inlineStr">
        <is>
          <t>Q2 2024</t>
        </is>
      </c>
      <c r="D263" t="inlineStr">
        <is>
          <t>not disclosed</t>
        </is>
      </c>
      <c r="E263" t="inlineStr">
        <is>
          <t>Not disclosed</t>
        </is>
      </c>
      <c r="F263" t="inlineStr"/>
      <c r="G263" t="inlineStr"/>
    </row>
    <row r="264">
      <c r="A264" t="inlineStr">
        <is>
          <t>D28</t>
        </is>
      </c>
      <c r="B264" t="inlineStr">
        <is>
          <t>RPO (end of period, $M)</t>
        </is>
      </c>
      <c r="C264" t="inlineStr">
        <is>
          <t>Q3 2024</t>
        </is>
      </c>
      <c r="D264" t="inlineStr">
        <is>
          <t>not disclosed</t>
        </is>
      </c>
      <c r="E264" t="inlineStr">
        <is>
          <t>Not disclosed</t>
        </is>
      </c>
      <c r="F264" t="inlineStr"/>
      <c r="G264" t="inlineStr"/>
    </row>
    <row r="265">
      <c r="A265" t="inlineStr">
        <is>
          <t>E28</t>
        </is>
      </c>
      <c r="B265" t="inlineStr">
        <is>
          <t>RPO (end of period, $M)</t>
        </is>
      </c>
      <c r="C265" t="inlineStr">
        <is>
          <t>Q4 2024</t>
        </is>
      </c>
      <c r="D265" t="inlineStr">
        <is>
          <t>not disclosed</t>
        </is>
      </c>
      <c r="E265" t="inlineStr">
        <is>
          <t>Not disclosed</t>
        </is>
      </c>
      <c r="F265" t="inlineStr"/>
      <c r="G265" t="inlineStr"/>
    </row>
    <row r="266">
      <c r="A266" t="inlineStr">
        <is>
          <t>F28</t>
        </is>
      </c>
      <c r="B266" t="inlineStr">
        <is>
          <t>RPO (end of period, $M)</t>
        </is>
      </c>
      <c r="C266" t="inlineStr">
        <is>
          <t>Q1 2025</t>
        </is>
      </c>
      <c r="D266" t="inlineStr">
        <is>
          <t>not disclosed</t>
        </is>
      </c>
      <c r="E266" t="inlineStr">
        <is>
          <t>Not disclosed</t>
        </is>
      </c>
      <c r="F266" t="inlineStr"/>
      <c r="G266" t="inlineStr"/>
    </row>
    <row r="267">
      <c r="A267" t="inlineStr">
        <is>
          <t>G28</t>
        </is>
      </c>
      <c r="B267" t="inlineStr">
        <is>
          <t>RPO (end of period, $M)</t>
        </is>
      </c>
      <c r="C267" t="inlineStr">
        <is>
          <t>Q2 2025</t>
        </is>
      </c>
      <c r="D267" t="inlineStr">
        <is>
          <t>not disclosed</t>
        </is>
      </c>
      <c r="E267" t="inlineStr">
        <is>
          <t>Not disclosed</t>
        </is>
      </c>
      <c r="F267" t="inlineStr"/>
      <c r="G267" t="inlineStr"/>
    </row>
    <row r="268">
      <c r="A268" t="inlineStr">
        <is>
          <t>H28</t>
        </is>
      </c>
      <c r="B268" t="inlineStr">
        <is>
          <t>RPO (end of period, $M)</t>
        </is>
      </c>
      <c r="C268" t="inlineStr">
        <is>
          <t>Q3 2025</t>
        </is>
      </c>
      <c r="D268" t="inlineStr">
        <is>
          <t>not disclosed</t>
        </is>
      </c>
      <c r="E268" t="inlineStr">
        <is>
          <t>Not disclosed</t>
        </is>
      </c>
      <c r="F268" t="inlineStr"/>
      <c r="G268" t="inlineStr"/>
    </row>
    <row r="269">
      <c r="A269" t="inlineStr">
        <is>
          <t>I28</t>
        </is>
      </c>
      <c r="B269" t="inlineStr">
        <is>
          <t>RPO (end of period, $M)</t>
        </is>
      </c>
      <c r="C269" t="inlineStr">
        <is>
          <t>Q4 2025</t>
        </is>
      </c>
      <c r="D269" t="n">
        <v>21333</v>
      </c>
      <c r="E269" t="inlineStr">
        <is>
          <t>Reported</t>
        </is>
      </c>
      <c r="F269" t="inlineStr">
        <is>
          <t>20-F 2026-04-30 acc 0001104659-26-052948 nbis-20251231x20f.htm Note (revenue) | https://www.sec.gov/Archives/edgar/data/1513845/000110465926052948/nbis-20251231x20f.htm</t>
        </is>
      </c>
      <c r="G269" t="inlineStr"/>
    </row>
    <row r="270">
      <c r="A270" t="inlineStr">
        <is>
          <t>J28</t>
        </is>
      </c>
      <c r="B270" t="inlineStr">
        <is>
          <t>RPO (end of period, $M)</t>
        </is>
      </c>
      <c r="C270" t="inlineStr">
        <is>
          <t>Q1 2026</t>
        </is>
      </c>
      <c r="D270" t="n">
        <v>33585.3</v>
      </c>
      <c r="E270" t="inlineStr">
        <is>
          <t>Reported</t>
        </is>
      </c>
      <c r="F270" t="inlineStr">
        <is>
          <t>6-K 2026-05-20 acc 0001104659-26-064092 nbis-20260331xex99d2.htm Note 1 | https://www.sec.gov/Archives/edgar/data/1513845/000110465926064092/nbis-20260331xex99d2.htm</t>
        </is>
      </c>
      <c r="G270" t="inlineStr"/>
    </row>
    <row r="271">
      <c r="A271" t="inlineStr">
        <is>
          <t>K28</t>
        </is>
      </c>
      <c r="B271" t="inlineStr">
        <is>
          <t>RPO (end of period, $M)</t>
        </is>
      </c>
      <c r="C271" t="inlineStr">
        <is>
          <t>Q2 2026</t>
        </is>
      </c>
      <c r="D271" t="n">
        <v>37490.6</v>
      </c>
      <c r="E271" t="inlineStr">
        <is>
          <t>Reported</t>
        </is>
      </c>
      <c r="F271" t="inlineStr">
        <is>
          <t>6-K 2026-08-12 acc 0001104659-26-094844 nbis-20260812xex99d2.htm Note 1 | https://www.sec.gov/Archives/edgar/data/1513845/000110465926094844/nbis-20260812xex99d2.htm</t>
        </is>
      </c>
      <c r="G271" t="inlineStr"/>
    </row>
    <row r="272">
      <c r="A272" t="inlineStr">
        <is>
          <t>B29</t>
        </is>
      </c>
      <c r="B272" t="inlineStr">
        <is>
          <t>Active power (MW)</t>
        </is>
      </c>
      <c r="C272" t="inlineStr">
        <is>
          <t>Q1 2024</t>
        </is>
      </c>
      <c r="D272" t="inlineStr">
        <is>
          <t>not disclosed</t>
        </is>
      </c>
      <c r="E272" t="inlineStr">
        <is>
          <t>Not disclosed</t>
        </is>
      </c>
      <c r="F272" t="inlineStr"/>
      <c r="G272" t="inlineStr"/>
    </row>
    <row r="273">
      <c r="A273" t="inlineStr">
        <is>
          <t>C29</t>
        </is>
      </c>
      <c r="B273" t="inlineStr">
        <is>
          <t>Active power (MW)</t>
        </is>
      </c>
      <c r="C273" t="inlineStr">
        <is>
          <t>Q2 2024</t>
        </is>
      </c>
      <c r="D273" t="inlineStr">
        <is>
          <t>not disclosed</t>
        </is>
      </c>
      <c r="E273" t="inlineStr">
        <is>
          <t>Not disclosed</t>
        </is>
      </c>
      <c r="F273" t="inlineStr"/>
      <c r="G273" t="inlineStr"/>
    </row>
    <row r="274">
      <c r="A274" t="inlineStr">
        <is>
          <t>D29</t>
        </is>
      </c>
      <c r="B274" t="inlineStr">
        <is>
          <t>Active power (MW)</t>
        </is>
      </c>
      <c r="C274" t="inlineStr">
        <is>
          <t>Q3 2024</t>
        </is>
      </c>
      <c r="D274" t="inlineStr">
        <is>
          <t>not disclosed</t>
        </is>
      </c>
      <c r="E274" t="inlineStr">
        <is>
          <t>Not disclosed</t>
        </is>
      </c>
      <c r="F274" t="inlineStr"/>
      <c r="G274" t="inlineStr"/>
    </row>
    <row r="275">
      <c r="A275" t="inlineStr">
        <is>
          <t>E29</t>
        </is>
      </c>
      <c r="B275" t="inlineStr">
        <is>
          <t>Active power (MW)</t>
        </is>
      </c>
      <c r="C275" t="inlineStr">
        <is>
          <t>Q4 2024</t>
        </is>
      </c>
      <c r="D275" t="inlineStr">
        <is>
          <t>not disclosed</t>
        </is>
      </c>
      <c r="E275" t="inlineStr">
        <is>
          <t>Not disclosed</t>
        </is>
      </c>
      <c r="F275" t="inlineStr"/>
      <c r="G275" t="inlineStr"/>
    </row>
    <row r="276">
      <c r="A276" t="inlineStr">
        <is>
          <t>F29</t>
        </is>
      </c>
      <c r="B276" t="inlineStr">
        <is>
          <t>Active power (MW)</t>
        </is>
      </c>
      <c r="C276" t="inlineStr">
        <is>
          <t>Q1 2025</t>
        </is>
      </c>
      <c r="D276" t="inlineStr">
        <is>
          <t>not disclosed</t>
        </is>
      </c>
      <c r="E276" t="inlineStr">
        <is>
          <t>Not disclosed</t>
        </is>
      </c>
      <c r="F276" t="inlineStr"/>
      <c r="G276" t="inlineStr"/>
    </row>
    <row r="277">
      <c r="A277" t="inlineStr">
        <is>
          <t>G29</t>
        </is>
      </c>
      <c r="B277" t="inlineStr">
        <is>
          <t>Active power (MW)</t>
        </is>
      </c>
      <c r="C277" t="inlineStr">
        <is>
          <t>Q2 2025</t>
        </is>
      </c>
      <c r="D277" t="inlineStr">
        <is>
          <t>not disclosed</t>
        </is>
      </c>
      <c r="E277" t="inlineStr">
        <is>
          <t>Not disclosed</t>
        </is>
      </c>
      <c r="F277" t="inlineStr"/>
      <c r="G277" t="inlineStr"/>
    </row>
    <row r="278">
      <c r="A278" t="inlineStr">
        <is>
          <t>H29</t>
        </is>
      </c>
      <c r="B278" t="inlineStr">
        <is>
          <t>Active power (MW)</t>
        </is>
      </c>
      <c r="C278" t="inlineStr">
        <is>
          <t>Q3 2025</t>
        </is>
      </c>
      <c r="D278" t="inlineStr">
        <is>
          <t>not disclosed</t>
        </is>
      </c>
      <c r="E278" t="inlineStr">
        <is>
          <t>Not disclosed</t>
        </is>
      </c>
      <c r="F278" t="inlineStr"/>
      <c r="G278" t="inlineStr"/>
    </row>
    <row r="279">
      <c r="A279" t="inlineStr">
        <is>
          <t>I29</t>
        </is>
      </c>
      <c r="B279" t="inlineStr">
        <is>
          <t>Active power (MW)</t>
        </is>
      </c>
      <c r="C279" t="inlineStr">
        <is>
          <t>Q4 2025</t>
        </is>
      </c>
      <c r="D279" t="inlineStr">
        <is>
          <t>~170</t>
        </is>
      </c>
      <c r="E279" t="inlineStr">
        <is>
          <t>Reported</t>
        </is>
      </c>
      <c r="F279" t="inlineStr">
        <is>
          <t>6-K 2026-02-12 acc 0001104659-26-013946 tm266173d1_ex99-2.htm highlights | https://www.sec.gov/Archives/edgar/data/1513845/000110465926013946/tm266173d1_ex99-2.htm</t>
        </is>
      </c>
      <c r="G279" t="inlineStr">
        <is>
          <t>vs 100MW target</t>
        </is>
      </c>
    </row>
    <row r="280">
      <c r="A280" t="inlineStr">
        <is>
          <t>J29</t>
        </is>
      </c>
      <c r="B280" t="inlineStr">
        <is>
          <t>Active power (MW)</t>
        </is>
      </c>
      <c r="C280" t="inlineStr">
        <is>
          <t>Q1 2026</t>
        </is>
      </c>
      <c r="D280" t="inlineStr">
        <is>
          <t>not disclosed</t>
        </is>
      </c>
      <c r="E280" t="inlineStr">
        <is>
          <t>Not disclosed</t>
        </is>
      </c>
      <c r="F280" t="inlineStr">
        <is>
          <t>6-K 2026-05-13 acc 0001104659-26-059872 tm2614392d1_ex99-2.htm | https://www.sec.gov/Archives/edgar/data/1513845/000110465926059872/tm2614392d1_ex99-2.htm</t>
        </is>
      </c>
      <c r="G280" t="inlineStr">
        <is>
          <t>Q1-26 letter defines active power but gives no figure</t>
        </is>
      </c>
    </row>
    <row r="281">
      <c r="A281" t="inlineStr">
        <is>
          <t>K29</t>
        </is>
      </c>
      <c r="B281" t="inlineStr">
        <is>
          <t>Active power (MW)</t>
        </is>
      </c>
      <c r="C281" t="inlineStr">
        <is>
          <t>Q2 2026</t>
        </is>
      </c>
      <c r="D281" t="inlineStr">
        <is>
          <t>not disclosed</t>
        </is>
      </c>
      <c r="E281" t="inlineStr">
        <is>
          <t>Not disclosed</t>
        </is>
      </c>
      <c r="F281" t="inlineStr">
        <is>
          <t>6-K 2026-08-12 acc 0001104659-26-094568 tm2622968d1_ex99-2.htm | https://www.sec.gov/Archives/edgar/data/1513845/000110465926094568/tm2622968d1_ex99-2.htm</t>
        </is>
      </c>
      <c r="G281" t="inlineStr"/>
    </row>
    <row r="282">
      <c r="A282" t="inlineStr">
        <is>
          <t>B30</t>
        </is>
      </c>
      <c r="B282" t="inlineStr">
        <is>
          <t>Connected power (MW) / target</t>
        </is>
      </c>
      <c r="C282" t="inlineStr">
        <is>
          <t>Q1 2024</t>
        </is>
      </c>
      <c r="D282" t="inlineStr">
        <is>
          <t>not disclosed</t>
        </is>
      </c>
      <c r="E282" t="inlineStr">
        <is>
          <t>Not disclosed</t>
        </is>
      </c>
      <c r="F282" t="inlineStr"/>
      <c r="G282" t="inlineStr"/>
    </row>
    <row r="283">
      <c r="A283" t="inlineStr">
        <is>
          <t>C30</t>
        </is>
      </c>
      <c r="B283" t="inlineStr">
        <is>
          <t>Connected power (MW) / target</t>
        </is>
      </c>
      <c r="C283" t="inlineStr">
        <is>
          <t>Q2 2024</t>
        </is>
      </c>
      <c r="D283" t="inlineStr">
        <is>
          <t>not disclosed</t>
        </is>
      </c>
      <c r="E283" t="inlineStr">
        <is>
          <t>Not disclosed</t>
        </is>
      </c>
      <c r="F283" t="inlineStr"/>
      <c r="G283" t="inlineStr"/>
    </row>
    <row r="284">
      <c r="A284" t="inlineStr">
        <is>
          <t>D30</t>
        </is>
      </c>
      <c r="B284" t="inlineStr">
        <is>
          <t>Connected power (MW) / target</t>
        </is>
      </c>
      <c r="C284" t="inlineStr">
        <is>
          <t>Q3 2024</t>
        </is>
      </c>
      <c r="D284" t="inlineStr">
        <is>
          <t>not disclosed</t>
        </is>
      </c>
      <c r="E284" t="inlineStr">
        <is>
          <t>Not disclosed</t>
        </is>
      </c>
      <c r="F284" t="inlineStr"/>
      <c r="G284" t="inlineStr"/>
    </row>
    <row r="285">
      <c r="A285" t="inlineStr">
        <is>
          <t>E30</t>
        </is>
      </c>
      <c r="B285" t="inlineStr">
        <is>
          <t>Connected power (MW) / target</t>
        </is>
      </c>
      <c r="C285" t="inlineStr">
        <is>
          <t>Q4 2024</t>
        </is>
      </c>
      <c r="D285" t="inlineStr">
        <is>
          <t>not disclosed</t>
        </is>
      </c>
      <c r="E285" t="inlineStr">
        <is>
          <t>Not disclosed</t>
        </is>
      </c>
      <c r="F285" t="inlineStr"/>
      <c r="G285" t="inlineStr"/>
    </row>
    <row r="286">
      <c r="A286" t="inlineStr">
        <is>
          <t>F30</t>
        </is>
      </c>
      <c r="B286" t="inlineStr">
        <is>
          <t>Connected power (MW) / target</t>
        </is>
      </c>
      <c r="C286" t="inlineStr">
        <is>
          <t>Q1 2025</t>
        </is>
      </c>
      <c r="D286" t="inlineStr">
        <is>
          <t>not disclosed</t>
        </is>
      </c>
      <c r="E286" t="inlineStr">
        <is>
          <t>Not disclosed</t>
        </is>
      </c>
      <c r="F286" t="inlineStr"/>
      <c r="G286" t="inlineStr"/>
    </row>
    <row r="287">
      <c r="A287" t="inlineStr">
        <is>
          <t>G30</t>
        </is>
      </c>
      <c r="B287" t="inlineStr">
        <is>
          <t>Connected power (MW) / target</t>
        </is>
      </c>
      <c r="C287" t="inlineStr">
        <is>
          <t>Q2 2025</t>
        </is>
      </c>
      <c r="D287" t="inlineStr">
        <is>
          <t>target 220 MW by YE25</t>
        </is>
      </c>
      <c r="E287" t="inlineStr">
        <is>
          <t>Reported</t>
        </is>
      </c>
      <c r="F287" t="inlineStr">
        <is>
          <t>6-K 2025-08-07 acc 0001104659-25-075028 tm2522866d1_ex99-2.htm | https://www.sec.gov/Archives/edgar/data/1513845/000110465925075028/tm2522866d1_ex99-2.htm</t>
        </is>
      </c>
      <c r="G287" t="inlineStr"/>
    </row>
    <row r="288">
      <c r="A288" t="inlineStr">
        <is>
          <t>H30</t>
        </is>
      </c>
      <c r="B288" t="inlineStr">
        <is>
          <t>Connected power (MW) / target</t>
        </is>
      </c>
      <c r="C288" t="inlineStr">
        <is>
          <t>Q3 2025</t>
        </is>
      </c>
      <c r="D288" t="inlineStr">
        <is>
          <t>not disclosed</t>
        </is>
      </c>
      <c r="E288" t="inlineStr">
        <is>
          <t>Not disclosed</t>
        </is>
      </c>
      <c r="F288" t="inlineStr"/>
      <c r="G288" t="inlineStr"/>
    </row>
    <row r="289">
      <c r="A289" t="inlineStr">
        <is>
          <t>I30</t>
        </is>
      </c>
      <c r="B289" t="inlineStr">
        <is>
          <t>Connected power (MW) / target</t>
        </is>
      </c>
      <c r="C289" t="inlineStr">
        <is>
          <t>Q4 2025</t>
        </is>
      </c>
      <c r="D289" t="inlineStr">
        <is>
          <t>not disclosed</t>
        </is>
      </c>
      <c r="E289" t="inlineStr">
        <is>
          <t>Not disclosed</t>
        </is>
      </c>
      <c r="F289" t="inlineStr">
        <is>
          <t>6-K 2026-02-12 acc 0001104659-26-013946 tm266173d1_ex99-2.htm | https://www.sec.gov/Archives/edgar/data/1513845/000110465926013946/tm266173d1_ex99-2.htm</t>
        </is>
      </c>
      <c r="G289" t="inlineStr">
        <is>
          <t>target 800MW-1GW by YE26</t>
        </is>
      </c>
    </row>
    <row r="290">
      <c r="A290" t="inlineStr">
        <is>
          <t>J30</t>
        </is>
      </c>
      <c r="B290" t="inlineStr">
        <is>
          <t>Connected power (MW) / target</t>
        </is>
      </c>
      <c r="C290" t="inlineStr">
        <is>
          <t>Q1 2026</t>
        </is>
      </c>
      <c r="D290" t="inlineStr">
        <is>
          <t>not disclosed</t>
        </is>
      </c>
      <c r="E290" t="inlineStr">
        <is>
          <t>Not disclosed</t>
        </is>
      </c>
      <c r="F290" t="inlineStr">
        <is>
          <t>6-K 2026-05-13 acc 0001104659-26-059872 tm2614392d1_ex99-2.htm | https://www.sec.gov/Archives/edgar/data/1513845/000110465926059872/tm2614392d1_ex99-2.htm</t>
        </is>
      </c>
      <c r="G290" t="inlineStr">
        <is>
          <t>target 800MW-1GW by YE26</t>
        </is>
      </c>
    </row>
    <row r="291">
      <c r="A291" t="inlineStr">
        <is>
          <t>K30</t>
        </is>
      </c>
      <c r="B291" t="inlineStr">
        <is>
          <t>Connected power (MW) / target</t>
        </is>
      </c>
      <c r="C291" t="inlineStr">
        <is>
          <t>Q2 2026</t>
        </is>
      </c>
      <c r="D291" t="inlineStr">
        <is>
          <t>not disclosed</t>
        </is>
      </c>
      <c r="E291" t="inlineStr">
        <is>
          <t>Not disclosed</t>
        </is>
      </c>
      <c r="F291" t="inlineStr">
        <is>
          <t>Transcript 2026-08-12 acc n/a fool.com | https://www.fool.com/earnings/call-transcripts/2026/08/19/nebius-nbis-q2-2026-earnings-call-transcript/</t>
        </is>
      </c>
      <c r="G291" t="inlineStr">
        <is>
          <t>target 800MW-1GW by YE26 (call)</t>
        </is>
      </c>
    </row>
    <row r="292">
      <c r="A292" t="inlineStr">
        <is>
          <t>B31</t>
        </is>
      </c>
      <c r="B292" t="inlineStr">
        <is>
          <t>Contracted power (as stated)</t>
        </is>
      </c>
      <c r="C292" t="inlineStr">
        <is>
          <t>Q1 2024</t>
        </is>
      </c>
      <c r="D292" t="inlineStr">
        <is>
          <t>not disclosed</t>
        </is>
      </c>
      <c r="E292" t="inlineStr">
        <is>
          <t>Not disclosed</t>
        </is>
      </c>
      <c r="F292" t="inlineStr"/>
      <c r="G292" t="inlineStr"/>
    </row>
    <row r="293">
      <c r="A293" t="inlineStr">
        <is>
          <t>C31</t>
        </is>
      </c>
      <c r="B293" t="inlineStr">
        <is>
          <t>Contracted power (as stated)</t>
        </is>
      </c>
      <c r="C293" t="inlineStr">
        <is>
          <t>Q2 2024</t>
        </is>
      </c>
      <c r="D293" t="inlineStr">
        <is>
          <t>not disclosed</t>
        </is>
      </c>
      <c r="E293" t="inlineStr">
        <is>
          <t>Not disclosed</t>
        </is>
      </c>
      <c r="F293" t="inlineStr"/>
      <c r="G293" t="inlineStr"/>
    </row>
    <row r="294">
      <c r="A294" t="inlineStr">
        <is>
          <t>D31</t>
        </is>
      </c>
      <c r="B294" t="inlineStr">
        <is>
          <t>Contracted power (as stated)</t>
        </is>
      </c>
      <c r="C294" t="inlineStr">
        <is>
          <t>Q3 2024</t>
        </is>
      </c>
      <c r="D294" t="inlineStr">
        <is>
          <t>Finland expansion to 75 MW (target)</t>
        </is>
      </c>
      <c r="E294" t="inlineStr">
        <is>
          <t>Reported</t>
        </is>
      </c>
      <c r="F294" t="inlineStr">
        <is>
          <t>6-K 2024-10-31 acc 0001104659-24-112875 tm2427209d1_ex99-1.htm | https://www.sec.gov/Archives/edgar/data/1513845/000110465924112875/tm2427209d1_ex99-1.htm</t>
        </is>
      </c>
      <c r="G294" t="inlineStr"/>
    </row>
    <row r="295">
      <c r="A295" t="inlineStr">
        <is>
          <t>E31</t>
        </is>
      </c>
      <c r="B295" t="inlineStr">
        <is>
          <t>Contracted power (as stated)</t>
        </is>
      </c>
      <c r="C295" t="inlineStr">
        <is>
          <t>Q4 2024</t>
        </is>
      </c>
      <c r="D295" t="inlineStr">
        <is>
          <t>Kansas City 5MW initial (exp. to 40MW)</t>
        </is>
      </c>
      <c r="E295" t="inlineStr">
        <is>
          <t>Reported</t>
        </is>
      </c>
      <c r="F295" t="inlineStr">
        <is>
          <t>6-K 2025-02-20 acc 0001104659-25-015480 tm257185d1_ex99-1.htm | https://www.sec.gov/Archives/edgar/data/1513845/000110465925015480/tm257185d1_ex99-1.htm</t>
        </is>
      </c>
      <c r="G295" t="inlineStr"/>
    </row>
    <row r="296">
      <c r="A296" t="inlineStr">
        <is>
          <t>F31</t>
        </is>
      </c>
      <c r="B296" t="inlineStr">
        <is>
          <t>Contracted power (as stated)</t>
        </is>
      </c>
      <c r="C296" t="inlineStr">
        <is>
          <t>Q1 2025</t>
        </is>
      </c>
      <c r="D296" t="inlineStr">
        <is>
          <t>not disclosed</t>
        </is>
      </c>
      <c r="E296" t="inlineStr">
        <is>
          <t>Not disclosed</t>
        </is>
      </c>
      <c r="F296" t="inlineStr"/>
      <c r="G296" t="inlineStr"/>
    </row>
    <row r="297">
      <c r="A297" t="inlineStr">
        <is>
          <t>G31</t>
        </is>
      </c>
      <c r="B297" t="inlineStr">
        <is>
          <t>Contracted power (as stated)</t>
        </is>
      </c>
      <c r="C297" t="inlineStr">
        <is>
          <t>Q2 2025</t>
        </is>
      </c>
      <c r="D297" t="inlineStr">
        <is>
          <t>NJ 200 MW contracted in construction; Finland ~75MW</t>
        </is>
      </c>
      <c r="E297" t="inlineStr">
        <is>
          <t>Reported</t>
        </is>
      </c>
      <c r="F297" t="inlineStr">
        <is>
          <t>6-K 2025-08-07 acc 0001104659-25-075028 tm2522866d1_ex99-2.htm | https://www.sec.gov/Archives/edgar/data/1513845/000110465925075028/tm2522866d1_ex99-2.htm</t>
        </is>
      </c>
      <c r="G297" t="inlineStr"/>
    </row>
    <row r="298">
      <c r="A298" t="inlineStr">
        <is>
          <t>H31</t>
        </is>
      </c>
      <c r="B298" t="inlineStr">
        <is>
          <t>Contracted power (as stated)</t>
        </is>
      </c>
      <c r="C298" t="inlineStr">
        <is>
          <t>Q3 2025</t>
        </is>
      </c>
      <c r="D298" t="inlineStr">
        <is>
          <t>&gt;1 GW (Aug-25 per chart); target &gt;2.5 GW YE26</t>
        </is>
      </c>
      <c r="E298" t="inlineStr">
        <is>
          <t>Reported</t>
        </is>
      </c>
      <c r="F298" t="inlineStr">
        <is>
          <t>6-K 2026-05-13 acc 0001104659-26-059872 tm2614392d1_ex99-2.htm p.2 chart | https://www.sec.gov/Archives/edgar/data/1513845/000110465926059872/tm2614392d1_ex99-2.htm</t>
        </is>
      </c>
      <c r="G298" t="inlineStr"/>
    </row>
    <row r="299">
      <c r="A299" t="inlineStr">
        <is>
          <t>I31</t>
        </is>
      </c>
      <c r="B299" t="inlineStr">
        <is>
          <t>Contracted power (as stated)</t>
        </is>
      </c>
      <c r="C299" t="inlineStr">
        <is>
          <t>Q4 2025</t>
        </is>
      </c>
      <c r="D299" t="inlineStr">
        <is>
          <t>&gt;2 GW secured; target &gt;3 GW</t>
        </is>
      </c>
      <c r="E299" t="inlineStr">
        <is>
          <t>Reported</t>
        </is>
      </c>
      <c r="F299" t="inlineStr">
        <is>
          <t>6-K 2026-02-12 acc 0001104659-26-013946 tm266173d1_ex99-2.htm | https://www.sec.gov/Archives/edgar/data/1513845/000110465926013946/tm266173d1_ex99-2.htm</t>
        </is>
      </c>
      <c r="G299" t="inlineStr"/>
    </row>
    <row r="300">
      <c r="A300" t="inlineStr">
        <is>
          <t>J31</t>
        </is>
      </c>
      <c r="B300" t="inlineStr">
        <is>
          <t>Contracted power (as stated)</t>
        </is>
      </c>
      <c r="C300" t="inlineStr">
        <is>
          <t>Q1 2026</t>
        </is>
      </c>
      <c r="D300" t="inlineStr">
        <is>
          <t>&gt;3.5 GW (&gt;75% owned); target &gt;4 GW</t>
        </is>
      </c>
      <c r="E300" t="inlineStr">
        <is>
          <t>Reported</t>
        </is>
      </c>
      <c r="F300" t="inlineStr">
        <is>
          <t>6-K 2026-05-13 acc 0001104659-26-059872 tm2614392d1_ex99-2.htm p.3, p.6 | https://www.sec.gov/Archives/edgar/data/1513845/000110465926059872/tm2614392d1_ex99-2.htm</t>
        </is>
      </c>
      <c r="G300" t="inlineStr"/>
    </row>
    <row r="301">
      <c r="A301" t="inlineStr">
        <is>
          <t>K31</t>
        </is>
      </c>
      <c r="B301" t="inlineStr">
        <is>
          <t>Contracted power (as stated)</t>
        </is>
      </c>
      <c r="C301" t="inlineStr">
        <is>
          <t>Q2 2026</t>
        </is>
      </c>
      <c r="D301" t="inlineStr">
        <is>
          <t>target 5 GW YE26</t>
        </is>
      </c>
      <c r="E301" t="inlineStr">
        <is>
          <t>Reported</t>
        </is>
      </c>
      <c r="F301" t="inlineStr">
        <is>
          <t>6-K 2026-08-12 acc 0001104659-26-094568 tm2622968d1_ex99-2.htm p.3, p.5 | https://www.sec.gov/Archives/edgar/data/1513845/000110465926094568/tm2622968d1_ex99-2.htm</t>
        </is>
      </c>
      <c r="G301" t="inlineStr"/>
    </row>
    <row r="302">
      <c r="A302" t="inlineStr">
        <is>
          <t>B32</t>
        </is>
      </c>
      <c r="B302" t="inlineStr">
        <is>
          <t>GPU count (as stated)</t>
        </is>
      </c>
      <c r="C302" t="inlineStr">
        <is>
          <t>Q1 2024</t>
        </is>
      </c>
      <c r="D302" t="inlineStr">
        <is>
          <t>not disclosed</t>
        </is>
      </c>
      <c r="E302" t="inlineStr">
        <is>
          <t>Not disclosed</t>
        </is>
      </c>
      <c r="F302" t="inlineStr"/>
      <c r="G302" t="inlineStr"/>
    </row>
    <row r="303">
      <c r="A303" t="inlineStr">
        <is>
          <t>C32</t>
        </is>
      </c>
      <c r="B303" t="inlineStr">
        <is>
          <t>GPU count (as stated)</t>
        </is>
      </c>
      <c r="C303" t="inlineStr">
        <is>
          <t>Q2 2024</t>
        </is>
      </c>
      <c r="D303" t="inlineStr">
        <is>
          <t>not disclosed</t>
        </is>
      </c>
      <c r="E303" t="inlineStr">
        <is>
          <t>Not disclosed</t>
        </is>
      </c>
      <c r="F303" t="inlineStr"/>
      <c r="G303" t="inlineStr"/>
    </row>
    <row r="304">
      <c r="A304" t="inlineStr">
        <is>
          <t>D32</t>
        </is>
      </c>
      <c r="B304" t="inlineStr">
        <is>
          <t>GPU count (as stated)</t>
        </is>
      </c>
      <c r="C304" t="inlineStr">
        <is>
          <t>Q3 2024</t>
        </is>
      </c>
      <c r="D304" t="inlineStr">
        <is>
          <t>Finland site capacity up to 60,000 GPUs (potential)</t>
        </is>
      </c>
      <c r="E304" t="inlineStr">
        <is>
          <t>Reported</t>
        </is>
      </c>
      <c r="F304" t="inlineStr">
        <is>
          <t>6-K 2024-10-31 acc 0001104659-24-112875 tm2427209d1_ex99-1.htm | https://www.sec.gov/Archives/edgar/data/1513845/000110465924112875/tm2427209d1_ex99-1.htm</t>
        </is>
      </c>
      <c r="G304" t="inlineStr"/>
    </row>
    <row r="305">
      <c r="A305" t="inlineStr">
        <is>
          <t>E32</t>
        </is>
      </c>
      <c r="B305" t="inlineStr">
        <is>
          <t>GPU count (as stated)</t>
        </is>
      </c>
      <c r="C305" t="inlineStr">
        <is>
          <t>Q4 2024</t>
        </is>
      </c>
      <c r="D305" t="inlineStr">
        <is>
          <t>intends to deploy &gt;22,000 NVIDIA Blackwell GPUs (US)</t>
        </is>
      </c>
      <c r="E305" t="inlineStr">
        <is>
          <t>Reported</t>
        </is>
      </c>
      <c r="F305" t="inlineStr">
        <is>
          <t>6-K 2025-02-20 acc 0001104659-25-015480 tm257185d1_ex99-1.htm | https://www.sec.gov/Archives/edgar/data/1513845/000110465925015480/tm257185d1_ex99-1.htm</t>
        </is>
      </c>
      <c r="G305" t="inlineStr"/>
    </row>
    <row r="306">
      <c r="A306" t="inlineStr">
        <is>
          <t>F32</t>
        </is>
      </c>
      <c r="B306" t="inlineStr">
        <is>
          <t>GPU count (as stated)</t>
        </is>
      </c>
      <c r="C306" t="inlineStr">
        <is>
          <t>Q1 2025</t>
        </is>
      </c>
      <c r="D306" t="inlineStr">
        <is>
          <t>not disclosed</t>
        </is>
      </c>
      <c r="E306" t="inlineStr">
        <is>
          <t>Not disclosed</t>
        </is>
      </c>
      <c r="F306" t="inlineStr"/>
      <c r="G306" t="inlineStr"/>
    </row>
    <row r="307">
      <c r="A307" t="inlineStr">
        <is>
          <t>G32</t>
        </is>
      </c>
      <c r="B307" t="inlineStr">
        <is>
          <t>GPU count (as stated)</t>
        </is>
      </c>
      <c r="C307" t="inlineStr">
        <is>
          <t>Q2 2025</t>
        </is>
      </c>
      <c r="D307" t="inlineStr">
        <is>
          <t>not disclosed</t>
        </is>
      </c>
      <c r="E307" t="inlineStr">
        <is>
          <t>Not disclosed</t>
        </is>
      </c>
      <c r="F307" t="inlineStr"/>
      <c r="G307" t="inlineStr"/>
    </row>
    <row r="308">
      <c r="A308" t="inlineStr">
        <is>
          <t>H32</t>
        </is>
      </c>
      <c r="B308" t="inlineStr">
        <is>
          <t>GPU count (as stated)</t>
        </is>
      </c>
      <c r="C308" t="inlineStr">
        <is>
          <t>Q3 2025</t>
        </is>
      </c>
      <c r="D308" t="inlineStr">
        <is>
          <t>not disclosed</t>
        </is>
      </c>
      <c r="E308" t="inlineStr">
        <is>
          <t>Not disclosed</t>
        </is>
      </c>
      <c r="F308" t="inlineStr"/>
      <c r="G308" t="inlineStr"/>
    </row>
    <row r="309">
      <c r="A309" t="inlineStr">
        <is>
          <t>I32</t>
        </is>
      </c>
      <c r="B309" t="inlineStr">
        <is>
          <t>GPU count (as stated)</t>
        </is>
      </c>
      <c r="C309" t="inlineStr">
        <is>
          <t>Q4 2025</t>
        </is>
      </c>
      <c r="D309" t="inlineStr">
        <is>
          <t>not disclosed</t>
        </is>
      </c>
      <c r="E309" t="inlineStr">
        <is>
          <t>Not disclosed</t>
        </is>
      </c>
      <c r="F309" t="inlineStr"/>
      <c r="G309" t="inlineStr"/>
    </row>
    <row r="310">
      <c r="A310" t="inlineStr">
        <is>
          <t>J32</t>
        </is>
      </c>
      <c r="B310" t="inlineStr">
        <is>
          <t>GPU count (as stated)</t>
        </is>
      </c>
      <c r="C310" t="inlineStr">
        <is>
          <t>Q1 2026</t>
        </is>
      </c>
      <c r="D310" t="inlineStr">
        <is>
          <t>not disclosed</t>
        </is>
      </c>
      <c r="E310" t="inlineStr">
        <is>
          <t>Not disclosed</t>
        </is>
      </c>
      <c r="F310" t="inlineStr"/>
      <c r="G310" t="inlineStr"/>
    </row>
    <row r="311">
      <c r="A311" t="inlineStr">
        <is>
          <t>K32</t>
        </is>
      </c>
      <c r="B311" t="inlineStr">
        <is>
          <t>GPU count (as stated)</t>
        </is>
      </c>
      <c r="C311" t="inlineStr">
        <is>
          <t>Q2 2026</t>
        </is>
      </c>
      <c r="D311" t="inlineStr">
        <is>
          <t>not disclosed</t>
        </is>
      </c>
      <c r="E311" t="inlineStr">
        <is>
          <t>Not disclosed</t>
        </is>
      </c>
      <c r="F311" t="inlineStr"/>
      <c r="G311" t="inlineStr"/>
    </row>
    <row r="312">
      <c r="A312" t="inlineStr">
        <is>
          <t>B33</t>
        </is>
      </c>
      <c r="B312" t="inlineStr">
        <is>
          <t>Headcount</t>
        </is>
      </c>
      <c r="C312" t="inlineStr">
        <is>
          <t>Q1 2024</t>
        </is>
      </c>
      <c r="D312" t="inlineStr">
        <is>
          <t>not disclosed</t>
        </is>
      </c>
      <c r="E312" t="inlineStr">
        <is>
          <t>Not disclosed</t>
        </is>
      </c>
      <c r="F312" t="inlineStr"/>
      <c r="G312" t="inlineStr"/>
    </row>
    <row r="313">
      <c r="A313" t="inlineStr">
        <is>
          <t>C33</t>
        </is>
      </c>
      <c r="B313" t="inlineStr">
        <is>
          <t>Headcount</t>
        </is>
      </c>
      <c r="C313" t="inlineStr">
        <is>
          <t>Q2 2024</t>
        </is>
      </c>
      <c r="D313" t="inlineStr">
        <is>
          <t>not disclosed</t>
        </is>
      </c>
      <c r="E313" t="inlineStr">
        <is>
          <t>Not disclosed</t>
        </is>
      </c>
      <c r="F313" t="inlineStr"/>
      <c r="G313" t="inlineStr"/>
    </row>
    <row r="314">
      <c r="A314" t="inlineStr">
        <is>
          <t>D33</t>
        </is>
      </c>
      <c r="B314" t="inlineStr">
        <is>
          <t>Headcount</t>
        </is>
      </c>
      <c r="C314" t="inlineStr">
        <is>
          <t>Q3 2024</t>
        </is>
      </c>
      <c r="D314" t="inlineStr">
        <is>
          <t>500+ employees (~400 engineers) - Nebius core</t>
        </is>
      </c>
      <c r="E314" t="inlineStr">
        <is>
          <t>Reported</t>
        </is>
      </c>
      <c r="F314" t="inlineStr">
        <is>
          <t>6-K 2024-10-18 acc 0001104659-24-109850 tm2426436d1_ex99-1.htm | https://www.sec.gov/Archives/edgar/data/1513845/000110465924109850/tm2426436d1_ex99-1.htm</t>
        </is>
      </c>
      <c r="G314" t="inlineStr"/>
    </row>
    <row r="315">
      <c r="A315" t="inlineStr">
        <is>
          <t>E33</t>
        </is>
      </c>
      <c r="B315" t="inlineStr">
        <is>
          <t>Headcount</t>
        </is>
      </c>
      <c r="C315" t="inlineStr">
        <is>
          <t>Q4 2024</t>
        </is>
      </c>
      <c r="D315" t="inlineStr">
        <is>
          <t>not disclosed</t>
        </is>
      </c>
      <c r="E315" t="inlineStr">
        <is>
          <t>Not disclosed</t>
        </is>
      </c>
      <c r="F315" t="inlineStr"/>
      <c r="G315" t="inlineStr"/>
    </row>
    <row r="316">
      <c r="A316" t="inlineStr">
        <is>
          <t>F33</t>
        </is>
      </c>
      <c r="B316" t="inlineStr">
        <is>
          <t>Headcount</t>
        </is>
      </c>
      <c r="C316" t="inlineStr">
        <is>
          <t>Q1 2025</t>
        </is>
      </c>
      <c r="D316" t="inlineStr">
        <is>
          <t>not disclosed</t>
        </is>
      </c>
      <c r="E316" t="inlineStr">
        <is>
          <t>Not disclosed</t>
        </is>
      </c>
      <c r="F316" t="inlineStr"/>
      <c r="G316" t="inlineStr"/>
    </row>
    <row r="317">
      <c r="A317" t="inlineStr">
        <is>
          <t>G33</t>
        </is>
      </c>
      <c r="B317" t="inlineStr">
        <is>
          <t>Headcount</t>
        </is>
      </c>
      <c r="C317" t="inlineStr">
        <is>
          <t>Q2 2025</t>
        </is>
      </c>
      <c r="D317" t="inlineStr">
        <is>
          <t>not disclosed</t>
        </is>
      </c>
      <c r="E317" t="inlineStr">
        <is>
          <t>Not disclosed</t>
        </is>
      </c>
      <c r="F317" t="inlineStr"/>
      <c r="G317" t="inlineStr"/>
    </row>
    <row r="318">
      <c r="A318" t="inlineStr">
        <is>
          <t>H33</t>
        </is>
      </c>
      <c r="B318" t="inlineStr">
        <is>
          <t>Headcount</t>
        </is>
      </c>
      <c r="C318" t="inlineStr">
        <is>
          <t>Q3 2025</t>
        </is>
      </c>
      <c r="D318" t="inlineStr">
        <is>
          <t>not disclosed</t>
        </is>
      </c>
      <c r="E318" t="inlineStr">
        <is>
          <t>Not disclosed</t>
        </is>
      </c>
      <c r="F318" t="inlineStr"/>
      <c r="G318" t="inlineStr"/>
    </row>
    <row r="319">
      <c r="A319" t="inlineStr">
        <is>
          <t>I33</t>
        </is>
      </c>
      <c r="B319" t="inlineStr">
        <is>
          <t>Headcount</t>
        </is>
      </c>
      <c r="C319" t="inlineStr">
        <is>
          <t>Q4 2025</t>
        </is>
      </c>
      <c r="D319" t="inlineStr">
        <is>
          <t>~1,500 employees (31-Dec-25)</t>
        </is>
      </c>
      <c r="E319" t="inlineStr">
        <is>
          <t>Reported</t>
        </is>
      </c>
      <c r="F319" t="inlineStr">
        <is>
          <t>20-F 2026-04-30 acc 0001104659-26-052948 nbis-20251231x20f.htm | https://www.sec.gov/Archives/edgar/data/1513845/000110465926052948/nbis-20251231x20f.htm</t>
        </is>
      </c>
      <c r="G319" t="inlineStr"/>
    </row>
    <row r="320">
      <c r="A320" t="inlineStr">
        <is>
          <t>J33</t>
        </is>
      </c>
      <c r="B320" t="inlineStr">
        <is>
          <t>Headcount</t>
        </is>
      </c>
      <c r="C320" t="inlineStr">
        <is>
          <t>Q1 2026</t>
        </is>
      </c>
      <c r="D320" t="inlineStr">
        <is>
          <t>not disclosed</t>
        </is>
      </c>
      <c r="E320" t="inlineStr">
        <is>
          <t>Not disclosed</t>
        </is>
      </c>
      <c r="F320" t="inlineStr"/>
      <c r="G320" t="inlineStr"/>
    </row>
    <row r="321">
      <c r="A321" t="inlineStr">
        <is>
          <t>K33</t>
        </is>
      </c>
      <c r="B321" t="inlineStr">
        <is>
          <t>Headcount</t>
        </is>
      </c>
      <c r="C321" t="inlineStr">
        <is>
          <t>Q2 2026</t>
        </is>
      </c>
      <c r="D321" t="inlineStr">
        <is>
          <t>not disclosed</t>
        </is>
      </c>
      <c r="E321" t="inlineStr">
        <is>
          <t>Not disclosed</t>
        </is>
      </c>
      <c r="F321" t="inlineStr"/>
      <c r="G321" t="inlineStr"/>
    </row>
    <row r="322">
      <c r="A322" t="inlineStr">
        <is>
          <t>B34</t>
        </is>
      </c>
      <c r="B322" t="inlineStr">
        <is>
          <t>Managed customers (as stated)</t>
        </is>
      </c>
      <c r="C322" t="inlineStr">
        <is>
          <t>Q1 2024</t>
        </is>
      </c>
      <c r="D322" t="inlineStr">
        <is>
          <t>not disclosed</t>
        </is>
      </c>
      <c r="E322" t="inlineStr">
        <is>
          <t>Not disclosed</t>
        </is>
      </c>
      <c r="F322" t="inlineStr"/>
      <c r="G322" t="inlineStr"/>
    </row>
    <row r="323">
      <c r="A323" t="inlineStr">
        <is>
          <t>C34</t>
        </is>
      </c>
      <c r="B323" t="inlineStr">
        <is>
          <t>Managed customers (as stated)</t>
        </is>
      </c>
      <c r="C323" t="inlineStr">
        <is>
          <t>Q2 2024</t>
        </is>
      </c>
      <c r="D323" t="inlineStr">
        <is>
          <t>&gt;30 managed clients</t>
        </is>
      </c>
      <c r="E323" t="inlineStr">
        <is>
          <t>Reported</t>
        </is>
      </c>
      <c r="F323" t="inlineStr">
        <is>
          <t>6-K 2024-08-01 acc 0001513845-24-000024 tmb-20240630xex99d1.htm | https://www.sec.gov/Archives/edgar/data/1513845/000151384524000024/tmb-20240630xex99d1.htm</t>
        </is>
      </c>
      <c r="G323" t="inlineStr"/>
    </row>
    <row r="324">
      <c r="A324" t="inlineStr">
        <is>
          <t>D34</t>
        </is>
      </c>
      <c r="B324" t="inlineStr">
        <is>
          <t>Managed customers (as stated)</t>
        </is>
      </c>
      <c r="C324" t="inlineStr">
        <is>
          <t>Q3 2024</t>
        </is>
      </c>
      <c r="D324" t="inlineStr">
        <is>
          <t>&gt;40 managed clients</t>
        </is>
      </c>
      <c r="E324" t="inlineStr">
        <is>
          <t>Reported</t>
        </is>
      </c>
      <c r="F324" t="inlineStr">
        <is>
          <t>6-K 2024-10-31 acc 0001104659-24-112875 tm2427209d1_ex99-1.htm | https://www.sec.gov/Archives/edgar/data/1513845/000110465924112875/tm2427209d1_ex99-1.htm</t>
        </is>
      </c>
      <c r="G324" t="inlineStr"/>
    </row>
    <row r="325">
      <c r="A325" t="inlineStr">
        <is>
          <t>E34</t>
        </is>
      </c>
      <c r="B325" t="inlineStr">
        <is>
          <t>Managed customers (as stated)</t>
        </is>
      </c>
      <c r="C325" t="inlineStr">
        <is>
          <t>Q4 2024</t>
        </is>
      </c>
      <c r="D325" t="inlineStr">
        <is>
          <t>not disclosed</t>
        </is>
      </c>
      <c r="E325" t="inlineStr">
        <is>
          <t>Not disclosed</t>
        </is>
      </c>
      <c r="F325" t="inlineStr"/>
      <c r="G325" t="inlineStr"/>
    </row>
    <row r="326">
      <c r="A326" t="inlineStr">
        <is>
          <t>F34</t>
        </is>
      </c>
      <c r="B326" t="inlineStr">
        <is>
          <t>Managed customers (as stated)</t>
        </is>
      </c>
      <c r="C326" t="inlineStr">
        <is>
          <t>Q1 2025</t>
        </is>
      </c>
      <c r="D326" t="inlineStr">
        <is>
          <t>not disclosed</t>
        </is>
      </c>
      <c r="E326" t="inlineStr">
        <is>
          <t>Not disclosed</t>
        </is>
      </c>
      <c r="F326" t="inlineStr"/>
      <c r="G326" t="inlineStr"/>
    </row>
    <row r="327">
      <c r="A327" t="inlineStr">
        <is>
          <t>G34</t>
        </is>
      </c>
      <c r="B327" t="inlineStr">
        <is>
          <t>Managed customers (as stated)</t>
        </is>
      </c>
      <c r="C327" t="inlineStr">
        <is>
          <t>Q2 2025</t>
        </is>
      </c>
      <c r="D327" t="inlineStr">
        <is>
          <t>not disclosed</t>
        </is>
      </c>
      <c r="E327" t="inlineStr">
        <is>
          <t>Not disclosed</t>
        </is>
      </c>
      <c r="F327" t="inlineStr"/>
      <c r="G327" t="inlineStr"/>
    </row>
    <row r="328">
      <c r="A328" t="inlineStr">
        <is>
          <t>H34</t>
        </is>
      </c>
      <c r="B328" t="inlineStr">
        <is>
          <t>Managed customers (as stated)</t>
        </is>
      </c>
      <c r="C328" t="inlineStr">
        <is>
          <t>Q3 2025</t>
        </is>
      </c>
      <c r="D328" t="inlineStr">
        <is>
          <t>not disclosed</t>
        </is>
      </c>
      <c r="E328" t="inlineStr">
        <is>
          <t>Not disclosed</t>
        </is>
      </c>
      <c r="F328" t="inlineStr"/>
      <c r="G328" t="inlineStr"/>
    </row>
    <row r="329">
      <c r="A329" t="inlineStr">
        <is>
          <t>I34</t>
        </is>
      </c>
      <c r="B329" t="inlineStr">
        <is>
          <t>Managed customers (as stated)</t>
        </is>
      </c>
      <c r="C329" t="inlineStr">
        <is>
          <t>Q4 2025</t>
        </is>
      </c>
      <c r="D329" t="inlineStr">
        <is>
          <t>not disclosed</t>
        </is>
      </c>
      <c r="E329" t="inlineStr">
        <is>
          <t>Not disclosed</t>
        </is>
      </c>
      <c r="F329" t="inlineStr"/>
      <c r="G329" t="inlineStr"/>
    </row>
    <row r="330">
      <c r="A330" t="inlineStr">
        <is>
          <t>J34</t>
        </is>
      </c>
      <c r="B330" t="inlineStr">
        <is>
          <t>Managed customers (as stated)</t>
        </is>
      </c>
      <c r="C330" t="inlineStr">
        <is>
          <t>Q1 2026</t>
        </is>
      </c>
      <c r="D330" t="inlineStr">
        <is>
          <t>not disclosed</t>
        </is>
      </c>
      <c r="E330" t="inlineStr">
        <is>
          <t>Not disclosed</t>
        </is>
      </c>
      <c r="F330" t="inlineStr"/>
      <c r="G330" t="inlineStr"/>
    </row>
    <row r="331">
      <c r="A331" t="inlineStr">
        <is>
          <t>K34</t>
        </is>
      </c>
      <c r="B331" t="inlineStr">
        <is>
          <t>Managed customers (as stated)</t>
        </is>
      </c>
      <c r="C331" t="inlineStr">
        <is>
          <t>Q2 2026</t>
        </is>
      </c>
      <c r="D331" t="inlineStr">
        <is>
          <t>not disclosed</t>
        </is>
      </c>
      <c r="E331" t="inlineStr">
        <is>
          <t>Not disclosed</t>
        </is>
      </c>
      <c r="F331" t="inlineStr"/>
      <c r="G331" t="inlineStr"/>
    </row>
    <row r="332">
      <c r="A332" t="inlineStr">
        <is>
          <t>B35</t>
        </is>
      </c>
      <c r="B332" t="inlineStr">
        <is>
          <t>Customer concentration (&gt;10% of revenue, quarter)</t>
        </is>
      </c>
      <c r="C332" t="inlineStr">
        <is>
          <t>Q1 2024</t>
        </is>
      </c>
      <c r="D332" t="inlineStr">
        <is>
          <t>not disclosed</t>
        </is>
      </c>
      <c r="E332" t="inlineStr">
        <is>
          <t>Not disclosed</t>
        </is>
      </c>
      <c r="F332" t="inlineStr"/>
      <c r="G332" t="inlineStr"/>
    </row>
    <row r="333">
      <c r="A333" t="inlineStr">
        <is>
          <t>C35</t>
        </is>
      </c>
      <c r="B333" t="inlineStr">
        <is>
          <t>Customer concentration (&gt;10% of revenue, quarter)</t>
        </is>
      </c>
      <c r="C333" t="inlineStr">
        <is>
          <t>Q2 2024</t>
        </is>
      </c>
      <c r="D333" t="inlineStr">
        <is>
          <t>not disclosed</t>
        </is>
      </c>
      <c r="E333" t="inlineStr">
        <is>
          <t>Not disclosed</t>
        </is>
      </c>
      <c r="F333" t="inlineStr"/>
      <c r="G333" t="inlineStr"/>
    </row>
    <row r="334">
      <c r="A334" t="inlineStr">
        <is>
          <t>D35</t>
        </is>
      </c>
      <c r="B334" t="inlineStr">
        <is>
          <t>Customer concentration (&gt;10% of revenue, quarter)</t>
        </is>
      </c>
      <c r="C334" t="inlineStr">
        <is>
          <t>Q3 2024</t>
        </is>
      </c>
      <c r="D334" t="inlineStr">
        <is>
          <t>not disclosed</t>
        </is>
      </c>
      <c r="E334" t="inlineStr">
        <is>
          <t>Not disclosed</t>
        </is>
      </c>
      <c r="F334" t="inlineStr"/>
      <c r="G334" t="inlineStr"/>
    </row>
    <row r="335">
      <c r="A335" t="inlineStr">
        <is>
          <t>E35</t>
        </is>
      </c>
      <c r="B335" t="inlineStr">
        <is>
          <t>Customer concentration (&gt;10% of revenue, quarter)</t>
        </is>
      </c>
      <c r="C335" t="inlineStr">
        <is>
          <t>Q4 2024</t>
        </is>
      </c>
      <c r="D335" t="inlineStr">
        <is>
          <t>not disclosed</t>
        </is>
      </c>
      <c r="E335" t="inlineStr">
        <is>
          <t>Not disclosed</t>
        </is>
      </c>
      <c r="F335" t="inlineStr"/>
      <c r="G335" t="inlineStr"/>
    </row>
    <row r="336">
      <c r="A336" t="inlineStr">
        <is>
          <t>F35</t>
        </is>
      </c>
      <c r="B336" t="inlineStr">
        <is>
          <t>Customer concentration (&gt;10% of revenue, quarter)</t>
        </is>
      </c>
      <c r="C336" t="inlineStr">
        <is>
          <t>Q1 2025</t>
        </is>
      </c>
      <c r="D336" t="inlineStr">
        <is>
          <t>not disclosed</t>
        </is>
      </c>
      <c r="E336" t="inlineStr">
        <is>
          <t>Not disclosed</t>
        </is>
      </c>
      <c r="F336" t="inlineStr"/>
      <c r="G336" t="inlineStr"/>
    </row>
    <row r="337">
      <c r="A337" t="inlineStr">
        <is>
          <t>G35</t>
        </is>
      </c>
      <c r="B337" t="inlineStr">
        <is>
          <t>Customer concentration (&gt;10% of revenue, quarter)</t>
        </is>
      </c>
      <c r="C337" t="inlineStr">
        <is>
          <t>Q2 2025</t>
        </is>
      </c>
      <c r="D337" t="inlineStr">
        <is>
          <t>A 39%, B 15%</t>
        </is>
      </c>
      <c r="E337" t="inlineStr">
        <is>
          <t>Reported</t>
        </is>
      </c>
      <c r="F337" t="inlineStr">
        <is>
          <t>6-K 2026-08-12 acc 0001104659-26-094844 nbis-20260812xex99d2.htm Note 1 | https://www.sec.gov/Archives/edgar/data/1513845/000110465926094844/nbis-20260812xex99d2.htm</t>
        </is>
      </c>
      <c r="G337" t="inlineStr"/>
    </row>
    <row r="338">
      <c r="A338" t="inlineStr">
        <is>
          <t>H35</t>
        </is>
      </c>
      <c r="B338" t="inlineStr">
        <is>
          <t>Customer concentration (&gt;10% of revenue, quarter)</t>
        </is>
      </c>
      <c r="C338" t="inlineStr">
        <is>
          <t>Q3 2025</t>
        </is>
      </c>
      <c r="D338" t="inlineStr">
        <is>
          <t>not disclosed</t>
        </is>
      </c>
      <c r="E338" t="inlineStr">
        <is>
          <t>Not disclosed</t>
        </is>
      </c>
      <c r="F338" t="inlineStr"/>
      <c r="G338" t="inlineStr"/>
    </row>
    <row r="339">
      <c r="A339" t="inlineStr">
        <is>
          <t>I35</t>
        </is>
      </c>
      <c r="B339" t="inlineStr">
        <is>
          <t>Customer concentration (&gt;10% of revenue, quarter)</t>
        </is>
      </c>
      <c r="C339" t="inlineStr">
        <is>
          <t>Q4 2025</t>
        </is>
      </c>
      <c r="D339" t="inlineStr">
        <is>
          <t>FY25: A 25%, B 15%</t>
        </is>
      </c>
      <c r="E339" t="inlineStr">
        <is>
          <t>Reported</t>
        </is>
      </c>
      <c r="F339" t="inlineStr">
        <is>
          <t>20-F 2026-04-30 acc 0001104659-26-052948 nbis-20251231x20f.htm | https://www.sec.gov/Archives/edgar/data/1513845/000110465926052948/nbis-20251231x20f.htm</t>
        </is>
      </c>
      <c r="G339" t="inlineStr"/>
    </row>
    <row r="340">
      <c r="A340" t="inlineStr">
        <is>
          <t>J35</t>
        </is>
      </c>
      <c r="B340" t="inlineStr">
        <is>
          <t>Customer concentration (&gt;10% of revenue, quarter)</t>
        </is>
      </c>
      <c r="C340" t="inlineStr">
        <is>
          <t>Q1 2026</t>
        </is>
      </c>
      <c r="D340" t="inlineStr">
        <is>
          <t>not disclosed</t>
        </is>
      </c>
      <c r="E340" t="inlineStr">
        <is>
          <t>Not disclosed</t>
        </is>
      </c>
      <c r="F340" t="inlineStr"/>
      <c r="G340" t="inlineStr"/>
    </row>
    <row r="341">
      <c r="A341" t="inlineStr">
        <is>
          <t>K35</t>
        </is>
      </c>
      <c r="B341" t="inlineStr">
        <is>
          <t>Customer concentration (&gt;10% of revenue, quarter)</t>
        </is>
      </c>
      <c r="C341" t="inlineStr">
        <is>
          <t>Q2 2026</t>
        </is>
      </c>
      <c r="D341" t="inlineStr">
        <is>
          <t>C 24%, D 21%, E 14%</t>
        </is>
      </c>
      <c r="E341" t="inlineStr">
        <is>
          <t>Reported</t>
        </is>
      </c>
      <c r="F341" t="inlineStr">
        <is>
          <t>6-K 2026-08-12 acc 0001104659-26-094844 nbis-20260812xex99d2.htm Note 1 | https://www.sec.gov/Archives/edgar/data/1513845/000110465926094844/nbis-20260812xex99d2.htm</t>
        </is>
      </c>
      <c r="G3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Date</t>
        </is>
      </c>
      <c r="B1" s="1" t="inlineStr">
        <is>
          <t>Metric type</t>
        </is>
      </c>
      <c r="C1" s="1" t="inlineStr">
        <is>
          <t>Value</t>
        </is>
      </c>
      <c r="D1" s="1" t="inlineStr">
        <is>
          <t>Exact quote</t>
        </is>
      </c>
      <c r="E1" s="1" t="inlineStr">
        <is>
          <t>Document</t>
        </is>
      </c>
      <c r="F1" s="1" t="inlineStr">
        <is>
          <t>Page/section</t>
        </is>
      </c>
      <c r="G1" s="1" t="inlineStr">
        <is>
          <t>URL</t>
        </is>
      </c>
    </row>
    <row r="2">
      <c r="A2" t="inlineStr">
        <is>
          <t>2024-10-31</t>
        </is>
      </c>
      <c r="B2" t="inlineStr">
        <is>
          <t>Planned capacity / GPUs</t>
        </is>
      </c>
      <c r="C2" t="inlineStr">
        <is>
          <t>75 MW; up to 60,000 GPUs</t>
        </is>
      </c>
      <c r="D2" t="inlineStr">
        <is>
          <t>"Nebius announced a major expansion of its data center in Finland to triple capacity to 75 MW by the end of 2025 or early 2026. This will enable Nebius to accommodate up to 60,000 GPUs(3) at this location alone, with annual revenue potential of over USD 1 billion at full capacity utilization"</t>
        </is>
      </c>
      <c r="E2" t="inlineStr">
        <is>
          <t>6-K 2024-10-31 acc 0001104659-24-112875 tm2427209d1_ex99-1.htm</t>
        </is>
      </c>
      <c r="F2" t="inlineStr">
        <is>
          <t>Business highlights</t>
        </is>
      </c>
      <c r="G2" t="inlineStr">
        <is>
          <t>https://www.sec.gov/Archives/edgar/data/1513845/000110465924112875/tm2427209d1_ex99-1.htm</t>
        </is>
      </c>
    </row>
    <row r="3">
      <c r="A3" t="inlineStr">
        <is>
          <t>2025-02-20</t>
        </is>
      </c>
      <c r="B3" t="inlineStr">
        <is>
          <t>GPU plan / site MW</t>
        </is>
      </c>
      <c r="C3" t="inlineStr">
        <is>
          <t>&gt;22,000 Blackwell GPUs; Kansas City 5MW (exp. 40MW)</t>
        </is>
      </c>
      <c r="D3" t="inlineStr">
        <is>
          <t>"In December 2024, Nebius announced its intention to deploy over 22,000 NVIDIA Blackwell GPUs in data centers in the U..." ; "NVIDIA GPU cluster in Kansas City (5MW initial phase), set to go live at the end of Q1 2025 ... The facility is expandable to 40MW"</t>
        </is>
      </c>
      <c r="E3" t="inlineStr">
        <is>
          <t>6-K 2025-02-20 acc 0001104659-25-015480 tm257185d1_ex99-1.htm</t>
        </is>
      </c>
      <c r="F3" t="inlineStr">
        <is>
          <t>Highlights</t>
        </is>
      </c>
      <c r="G3" t="inlineStr">
        <is>
          <t>https://www.sec.gov/Archives/edgar/data/1513845/000110465925015480/tm257185d1_ex99-1.htm</t>
        </is>
      </c>
    </row>
    <row r="4">
      <c r="A4" t="inlineStr">
        <is>
          <t>2025-08-07</t>
        </is>
      </c>
      <c r="B4" t="inlineStr">
        <is>
          <t>Connected power target / contracted</t>
        </is>
      </c>
      <c r="C4" t="inlineStr">
        <is>
          <t>220 MW connected YE25; NJ 200 MW; Finland ~75 MW</t>
        </is>
      </c>
      <c r="D4" t="inlineStr">
        <is>
          <t>"We expect to have 220 MW of connected power, which includes both active power and power that is fully provisioned in our data centers..." ; "We now have 200 MW of contracted power that is in active construction in New Jersey, of which 100 MW will be made available this year, with the rest following in 2026"</t>
        </is>
      </c>
      <c r="E4" t="inlineStr">
        <is>
          <t>6-K 2025-08-07 acc 0001104659-25-075028 tm2522866d1_ex99-2.htm</t>
        </is>
      </c>
      <c r="F4" t="inlineStr">
        <is>
          <t>Group Business Update (p.3-4)</t>
        </is>
      </c>
      <c r="G4" t="inlineStr">
        <is>
          <t>https://www.sec.gov/Archives/edgar/data/1513845/000110465925075028/tm2522866d1_ex99-2.htm</t>
        </is>
      </c>
    </row>
    <row r="5">
      <c r="A5" t="inlineStr">
        <is>
          <t>2026-02-12</t>
        </is>
      </c>
      <c r="B5" t="inlineStr">
        <is>
          <t>Active power</t>
        </is>
      </c>
      <c r="C5" t="inlineStr">
        <is>
          <t>~170 MW at YE25</t>
        </is>
      </c>
      <c r="D5" t="inlineStr">
        <is>
          <t>"We ended the year with ~170 MW of active power, significantly exceeding our 100 MW target."</t>
        </is>
      </c>
      <c r="E5" t="inlineStr">
        <is>
          <t>6-K 2026-02-12 acc 0001104659-26-013946 tm266173d1_ex99-2.htm</t>
        </is>
      </c>
      <c r="F5" t="inlineStr">
        <is>
          <t>Letter / capacity section</t>
        </is>
      </c>
      <c r="G5" t="inlineStr">
        <is>
          <t>https://www.sec.gov/Archives/edgar/data/1513845/000110465926013946/tm266173d1_ex99-2.htm</t>
        </is>
      </c>
    </row>
    <row r="6">
      <c r="A6" t="inlineStr">
        <is>
          <t>2026-02-12</t>
        </is>
      </c>
      <c r="B6" t="inlineStr">
        <is>
          <t>Contracted / connected power</t>
        </is>
      </c>
      <c r="C6" t="inlineStr">
        <is>
          <t>&gt;2 GW secured; &gt;3 GW target; 800MW-1GW connected YE26</t>
        </is>
      </c>
      <c r="D6" t="inlineStr">
        <is>
          <t>"We have already secured more than 2 GW of contracted power ... we now expect to have more than 3 GW of contracted power by year-end." ; "We also remain well on track to reach 800 MW to 1 GW of connected power by the end of 2026."</t>
        </is>
      </c>
      <c r="E6" t="inlineStr">
        <is>
          <t>6-K 2026-02-12 acc 0001104659-26-013946 tm266173d1_ex99-2.htm</t>
        </is>
      </c>
      <c r="F6" t="inlineStr">
        <is>
          <t>Highlights</t>
        </is>
      </c>
      <c r="G6" t="inlineStr">
        <is>
          <t>https://www.sec.gov/Archives/edgar/data/1513845/000110465926013946/tm266173d1_ex99-2.htm</t>
        </is>
      </c>
    </row>
    <row r="7">
      <c r="A7" t="inlineStr">
        <is>
          <t>2026-05-13</t>
        </is>
      </c>
      <c r="B7" t="inlineStr">
        <is>
          <t>Definitions</t>
        </is>
      </c>
      <c r="C7" t="inlineStr">
        <is>
          <t>contracted / connected / active</t>
        </is>
      </c>
      <c r="D7" t="inlineStr">
        <is>
          <t>"(1) contracted power, or power secured by contracted land and power commitments; (2) connected power, or power connected into fully built and equipped data centers; and (3) active power, or power being consumed by installed, operational IT equipment and available for revenue generation."</t>
        </is>
      </c>
      <c r="E7" t="inlineStr">
        <is>
          <t>6-K 2026-05-13 acc 0001104659-26-059872 tm2614392d1_ex99-2.htm</t>
        </is>
      </c>
      <c r="F7" t="inlineStr">
        <is>
          <t>p.6</t>
        </is>
      </c>
      <c r="G7" t="inlineStr">
        <is>
          <t>https://www.sec.gov/Archives/edgar/data/1513845/000110465926059872/tm2614392d1_ex99-2.htm</t>
        </is>
      </c>
    </row>
    <row r="8">
      <c r="A8" t="inlineStr">
        <is>
          <t>2026-05-13</t>
        </is>
      </c>
      <c r="B8" t="inlineStr">
        <is>
          <t>Contracted power</t>
        </is>
      </c>
      <c r="C8" t="inlineStr">
        <is>
          <t>&gt;3.5 GW; &gt;75% owned; target &gt;4 GW</t>
        </is>
      </c>
      <c r="D8" t="inlineStr">
        <is>
          <t>"Our contracted capacity now exceeds 3.5 GW, with owned capacity representing more than 75% of the total. Given this momentum, we are raising our contracted power guidance to more than 4 GW by year-end"</t>
        </is>
      </c>
      <c r="E8" t="inlineStr">
        <is>
          <t>6-K 2026-05-13 acc 0001104659-26-059872 tm2614392d1_ex99-2.htm</t>
        </is>
      </c>
      <c r="F8" t="inlineStr">
        <is>
          <t>p.6 (also p.3)</t>
        </is>
      </c>
      <c r="G8" t="inlineStr">
        <is>
          <t>https://www.sec.gov/Archives/edgar/data/1513845/000110465926059872/tm2614392d1_ex99-2.htm</t>
        </is>
      </c>
    </row>
    <row r="9">
      <c r="A9" t="inlineStr">
        <is>
          <t>2026-05-13</t>
        </is>
      </c>
      <c r="B9" t="inlineStr">
        <is>
          <t>Owned sites</t>
        </is>
      </c>
      <c r="C9" t="inlineStr">
        <is>
          <t>Missouri 1.2 GW; Pennsylvania up to 1.2 GW; Finland 310 MW; 3 GW owned across 5 sites</t>
        </is>
      </c>
      <c r="D9" t="inlineStr">
        <is>
          <t>"new second owned giga-watt-scale site in the United States — in Pennsylvania, with up to 1.2 GW of power ... alongside the 1.2 GW AI factory in Independence, Missouri" ; "new owned location in Finland that when fully deployed at 310 MW" ; "our owned facilities will deliver 3 GW of capacity across five sites"</t>
        </is>
      </c>
      <c r="E9" t="inlineStr">
        <is>
          <t>6-K 2026-05-13 acc 0001104659-26-059872 tm2614392d1_ex99-2.htm</t>
        </is>
      </c>
      <c r="F9" t="inlineStr">
        <is>
          <t>p.6</t>
        </is>
      </c>
      <c r="G9" t="inlineStr">
        <is>
          <t>https://www.sec.gov/Archives/edgar/data/1513845/000110465926059872/tm2614392d1_ex99-2.htm</t>
        </is>
      </c>
    </row>
    <row r="10">
      <c r="A10" t="inlineStr">
        <is>
          <t>2026-05-13</t>
        </is>
      </c>
      <c r="B10" t="inlineStr">
        <is>
          <t>Connected power target</t>
        </is>
      </c>
      <c r="C10" t="inlineStr">
        <is>
          <t>800MW-1GW YE26</t>
        </is>
      </c>
      <c r="D10" t="inlineStr">
        <is>
          <t>"We continue to expect 800MW to 1GW of connected power by year-end."</t>
        </is>
      </c>
      <c r="E10" t="inlineStr">
        <is>
          <t>6-K 2026-05-13 acc 0001104659-26-059872 tm2614392d1_ex99-2.htm</t>
        </is>
      </c>
      <c r="F10" t="inlineStr">
        <is>
          <t>p.6</t>
        </is>
      </c>
      <c r="G10" t="inlineStr">
        <is>
          <t>https://www.sec.gov/Archives/edgar/data/1513845/000110465926059872/tm2614392d1_ex99-2.htm</t>
        </is>
      </c>
    </row>
    <row r="11">
      <c r="A11" t="inlineStr">
        <is>
          <t>2026-08-12</t>
        </is>
      </c>
      <c r="B11" t="inlineStr">
        <is>
          <t>Contracted power target</t>
        </is>
      </c>
      <c r="C11" t="inlineStr">
        <is>
          <t>5 GW YE26</t>
        </is>
      </c>
      <c r="D11" t="inlineStr">
        <is>
          <t>"We now anticipate ending 2026 with 5 GW of contracted power(5), up from the +4 GW we indicated last quarter." (5) "Contracted power, secured by contracted land and power commitments."</t>
        </is>
      </c>
      <c r="E11" t="inlineStr">
        <is>
          <t>6-K 2026-08-12 acc 0001104659-26-094568 tm2622968d1_ex99-2.htm</t>
        </is>
      </c>
      <c r="F11" t="inlineStr">
        <is>
          <t>p.5 (also p.3)</t>
        </is>
      </c>
      <c r="G11" t="inlineStr">
        <is>
          <t>https://www.sec.gov/Archives/edgar/data/1513845/000110465926094568/tm2622968d1_ex99-2.htm</t>
        </is>
      </c>
    </row>
    <row r="12">
      <c r="A12" t="inlineStr">
        <is>
          <t>2026-08-12</t>
        </is>
      </c>
      <c r="B12" t="inlineStr">
        <is>
          <t>Deployment pace</t>
        </is>
      </c>
      <c r="C12" t="inlineStr">
        <is>
          <t>&gt;1 GW/yr from 2027</t>
        </is>
      </c>
      <c r="D12" t="inlineStr">
        <is>
          <t>"The pace at which we bring capacity to market will accelerate as we plan to deploy more than 1 GW per year, starting in 2027."</t>
        </is>
      </c>
      <c r="E12" t="inlineStr">
        <is>
          <t>6-K 2026-08-12 acc 0001104659-26-094568 tm2622968d1_ex99-2.htm</t>
        </is>
      </c>
      <c r="F12" t="inlineStr">
        <is>
          <t>p.5</t>
        </is>
      </c>
      <c r="G12" t="inlineStr">
        <is>
          <t>https://www.sec.gov/Archives/edgar/data/1513845/000110465926094568/tm2622968d1_ex99-2.htm</t>
        </is>
      </c>
    </row>
    <row r="13">
      <c r="A13" t="inlineStr">
        <is>
          <t>2026-08-12</t>
        </is>
      </c>
      <c r="B13" t="inlineStr">
        <is>
          <t>Pricing per MW</t>
        </is>
      </c>
      <c r="C13" t="inlineStr">
        <is>
          <t>$20-25M ACV/MW; &gt;$40M short-term; $12M 2026 base</t>
        </is>
      </c>
      <c r="D13" t="inlineStr">
        <is>
          <t>"won deals averaging above $20 million in revenue per MW" ; "annual contract value of $20-25 million per MW" ; chart: "2026 base $12M ... Q2 deals &gt;$20M ... Q3 short-term capacity deals &gt;$40M"</t>
        </is>
      </c>
      <c r="E13" t="inlineStr">
        <is>
          <t>6-K 2026-08-12 acc 0001104659-26-094568 tm2622968d1_ex99-2.htm</t>
        </is>
      </c>
      <c r="F13" t="inlineStr">
        <is>
          <t>p.2 chart, p.3-4</t>
        </is>
      </c>
      <c r="G13" t="inlineStr">
        <is>
          <t>https://www.sec.gov/Archives/edgar/data/1513845/000110465926094568/tm2622968d1_ex99-2.htm</t>
        </is>
      </c>
    </row>
    <row r="14">
      <c r="A14" t="inlineStr">
        <is>
          <t>2026-08-12</t>
        </is>
      </c>
      <c r="B14" t="inlineStr">
        <is>
          <t>Microsoft delivery</t>
        </is>
      </c>
      <c r="C14" t="inlineStr">
        <is>
          <t>all tranches delivered</t>
        </is>
      </c>
      <c r="D14" t="inlineStr">
        <is>
          <t>"To date, we've delivered all capacity tranches to Microsoft under the contract, including two tranches over the past month."</t>
        </is>
      </c>
      <c r="E14" t="inlineStr">
        <is>
          <t>6-K 2026-08-12 acc 0001104659-26-094568 tm2622968d1_ex99-2.htm</t>
        </is>
      </c>
      <c r="F14" t="inlineStr">
        <is>
          <t>p.5</t>
        </is>
      </c>
      <c r="G14" t="inlineStr">
        <is>
          <t>https://www.sec.gov/Archives/edgar/data/1513845/000110465926094568/tm2622968d1_ex99-2.htm</t>
        </is>
      </c>
    </row>
    <row r="15">
      <c r="A15" t="inlineStr">
        <is>
          <t>2026-08-12</t>
        </is>
      </c>
      <c r="B15" t="inlineStr">
        <is>
          <t>Meta 2027 capacity</t>
        </is>
      </c>
      <c r="C15" t="inlineStr">
        <is>
          <t>second Meta deal capacity early 2027</t>
        </is>
      </c>
      <c r="D15" t="inlineStr">
        <is>
          <t>"We also continued to progress the buildout supporting our second Meta agreement, with capacity on track to come online in early 2027."</t>
        </is>
      </c>
      <c r="E15" t="inlineStr">
        <is>
          <t>6-K 2026-08-12 acc 0001104659-26-094568 tm2622968d1_ex99-2.htm</t>
        </is>
      </c>
      <c r="F15" t="inlineStr">
        <is>
          <t>p.5</t>
        </is>
      </c>
      <c r="G15" t="inlineStr">
        <is>
          <t>https://www.sec.gov/Archives/edgar/data/1513845/000110465926094568/tm2622968d1_ex99-2.htm</t>
        </is>
      </c>
    </row>
    <row r="16">
      <c r="A16" t="inlineStr">
        <is>
          <t>2026-04-30</t>
        </is>
      </c>
      <c r="B16" t="inlineStr">
        <is>
          <t>Microsoft contract - capacity terms</t>
        </is>
      </c>
      <c r="C16" t="inlineStr">
        <is>
          <t>9 tranches; no GPU/MW count</t>
        </is>
      </c>
      <c r="D16" t="inlineStr">
        <is>
          <t>"The Microsoft GPU Services are being deployed in nine tranches during 2025 and 2026 ... estimated to be up to $17,392.9 ... including aggregate upfront payments of approximately $6,958.1 ... through October 2031."</t>
        </is>
      </c>
      <c r="E16" t="inlineStr">
        <is>
          <t>20-F 2026-04-30 acc 0001104659-26-052948 nbis-20251231x20f.htm</t>
        </is>
      </c>
      <c r="F16" t="inlineStr">
        <is>
          <t>Note 1, p.F-17</t>
        </is>
      </c>
      <c r="G16" t="inlineStr">
        <is>
          <t>https://www.sec.gov/Archives/edgar/data/1513845/000110465926052948/nbis-20251231x20f.htm</t>
        </is>
      </c>
    </row>
    <row r="17">
      <c r="A17" t="inlineStr">
        <is>
          <t>2026-04-30</t>
        </is>
      </c>
      <c r="B17" t="inlineStr">
        <is>
          <t>Meta 2026 contract - capacity terms</t>
        </is>
      </c>
      <c r="C17" t="inlineStr">
        <is>
          <t>$12B dedicated, tranches 1H27; $15B backstop; no GPU/MW count</t>
        </is>
      </c>
      <c r="D17" t="inlineStr">
        <is>
          <t>"Certain of the Orders are for dedicated GPU capacity clusters across multiple locations ... with deployments in tranches throughout the first half of 2027 ... These Orders have a total contract value of $12 billion."</t>
        </is>
      </c>
      <c r="E17" t="inlineStr">
        <is>
          <t>20-F 2026-04-30 acc 0001104659-26-052948 nbis-20251231x20f.htm</t>
        </is>
      </c>
      <c r="F17" t="inlineStr">
        <is>
          <t>Item 10 Material Contracts, p.75</t>
        </is>
      </c>
      <c r="G17" t="inlineStr">
        <is>
          <t>https://www.sec.gov/Archives/edgar/data/1513845/000110465926052948/nbis-20251231x20f.htm</t>
        </is>
      </c>
    </row>
    <row r="18">
      <c r="A18" t="inlineStr">
        <is>
          <t>2025-11-12</t>
        </is>
      </c>
      <c r="B18" t="inlineStr">
        <is>
          <t>Meta #1 contract terms</t>
        </is>
      </c>
      <c r="C18" t="inlineStr">
        <is>
          <t>2 clusters, 2 tranches Dec-25/Feb-26, ~$2.9B, 5 yrs</t>
        </is>
      </c>
      <c r="D18" t="inlineStr">
        <is>
          <t>"the Company will provide Meta access to two dedicated GPU infrastructure capacity clusters (each, a GPU Service) over a five-year term. The GPU Services will be deployed in two tranches during December 2025 and February 2026 ... The Order has a total contract value of approximately $2.9 billion."</t>
        </is>
      </c>
      <c r="E18" t="inlineStr">
        <is>
          <t>6-K 2025-11-12 acc 0001104659-25-109803 tm2530882d2_6k.htm</t>
        </is>
      </c>
      <c r="F18" t="inlineStr">
        <is>
          <t>6-K body</t>
        </is>
      </c>
      <c r="G18" t="inlineStr">
        <is>
          <t>https://www.sec.gov/Archives/edgar/data/1513845/000110465925109803/tm2530882d2_6k.htm</t>
        </is>
      </c>
    </row>
    <row r="19">
      <c r="A19" t="inlineStr">
        <is>
          <t>2026-03-16</t>
        </is>
      </c>
      <c r="B19" t="inlineStr">
        <is>
          <t>Meta #2 contract terms</t>
        </is>
      </c>
      <c r="C19" t="inlineStr">
        <is>
          <t>$12B dedicated (tranches from early 2027) + up to $15B backstop</t>
        </is>
      </c>
      <c r="D19" t="inlineStr">
        <is>
          <t>"Certain of the Orders are for dedicated GPU capacity clusters across multiple locations, and for a duration of 5 years, with deployments in tranches starting early 2027 ... These Orders have a total contract value of $12 billion."</t>
        </is>
      </c>
      <c r="E19" t="inlineStr">
        <is>
          <t>6-K 2026-03-16 acc 0001104659-26-027886 tm268879d1_6k.htm</t>
        </is>
      </c>
      <c r="F19" t="inlineStr">
        <is>
          <t>6-K body</t>
        </is>
      </c>
      <c r="G19" t="inlineStr">
        <is>
          <t>https://www.sec.gov/Archives/edgar/data/1513845/000110465926027886/tm268879d1_6k.htm</t>
        </is>
      </c>
    </row>
    <row r="20">
      <c r="A20" t="inlineStr">
        <is>
          <t>n/a</t>
        </is>
      </c>
      <c r="B20" t="inlineStr">
        <is>
          <t>GPU count / MW tied to Microsoft or Meta contract</t>
        </is>
      </c>
      <c r="C20" t="inlineStr">
        <is>
          <t>not disclosed</t>
        </is>
      </c>
      <c r="D20" t="inlineStr">
        <is>
          <t>No filing reviewed ties Microsoft or Meta contract value to a GPU count or MW figure. Microsoft capacity is at Vineland NJ (200 MW NJ contracted per Q2-25 letter) but the contract share of that MW is not disclosed.</t>
        </is>
      </c>
      <c r="E20" t="inlineStr">
        <is>
          <t>20-F 2026-04-30 acc 0001104659-26-052948 nbis-20251231x20f.htm</t>
        </is>
      </c>
      <c r="F20" t="inlineStr"/>
      <c r="G20" t="inlineStr">
        <is>
          <t>https://www.sec.gov/Archives/edgar/data/1513845/000110465926052948/nbis-20251231x20f.htm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c r="A1" s="1" t="inlineStr">
        <is>
          <t>Item</t>
        </is>
      </c>
      <c r="B1" s="1" t="inlineStr">
        <is>
          <t>Value / quote</t>
        </is>
      </c>
      <c r="C1" s="1" t="inlineStr">
        <is>
          <t>Document</t>
        </is>
      </c>
      <c r="D1" s="1" t="inlineStr">
        <is>
          <t>Page/section</t>
        </is>
      </c>
      <c r="E1" s="1" t="inlineStr">
        <is>
          <t>URL</t>
        </is>
      </c>
    </row>
    <row r="2">
      <c r="A2" t="inlineStr">
        <is>
          <t>Useful lives table (FY2025)</t>
        </is>
      </c>
      <c r="B2" t="inlineStr">
        <is>
          <t>Server and network equipment 4.0 years; Infrastructure systems and equipment 3.0-10.0 years; Office furniture and equipment 3.0 years; Buildings 20.0 years; Other property and equipment 2.0-10.0 years; Land not depreciated</t>
        </is>
      </c>
      <c r="C2" t="inlineStr">
        <is>
          <t>20-F 2026-04-30 acc 0001104659-26-052948 nbis-20251231x20f.htm</t>
        </is>
      </c>
      <c r="D2" t="inlineStr">
        <is>
          <t>Note 2 PP&amp;E policy, p.F-22</t>
        </is>
      </c>
      <c r="E2" t="inlineStr">
        <is>
          <t>https://www.sec.gov/Archives/edgar/data/1513845/000110465926052948/nbis-20251231x20f.htm</t>
        </is>
      </c>
    </row>
    <row r="3">
      <c r="A3" t="inlineStr">
        <is>
          <t>Useful lives table (FY2024)</t>
        </is>
      </c>
      <c r="B3" t="inlineStr">
        <is>
          <t>Server and network equipment 4.0 years; Infrastructure systems and equipment 3.0-10.0 years; Office furniture and equipment 3.0 years; Buildings 20.0 years; Other property and equipment 2.0-5.0 years (FY2025 widened Other to 2.0-10.0)</t>
        </is>
      </c>
      <c r="C3" t="inlineStr">
        <is>
          <t>20-F 2025-04-30 acc 0001558370-25-005991 nbis-20241231x20f.htm</t>
        </is>
      </c>
      <c r="D3" t="inlineStr">
        <is>
          <t>Note 2 PP&amp;E policy, p.F-19</t>
        </is>
      </c>
      <c r="E3" t="inlineStr">
        <is>
          <t>https://www.sec.gov/Archives/edgar/data/1513845/000155837025005991/nbis-20241231x20f.htm</t>
        </is>
      </c>
    </row>
    <row r="4">
      <c r="A4" t="inlineStr">
        <is>
          <t>GPU useful life statement (FY2024 20-F)</t>
        </is>
      </c>
      <c r="B4" t="inlineStr">
        <is>
          <t>"Our main assets, GPUs, are currently depreciated over four years." No change in estimate recorded in FY2024; no rationale for life beyond usage given.</t>
        </is>
      </c>
      <c r="C4" t="inlineStr">
        <is>
          <t>20-F 2025-04-30 acc 0001558370-25-005991 nbis-20241231x20f.htm</t>
        </is>
      </c>
      <c r="D4" t="inlineStr">
        <is>
          <t>Item 5 Critical accounting estimates, p.48</t>
        </is>
      </c>
      <c r="E4" t="inlineStr">
        <is>
          <t>https://www.sec.gov/Archives/edgar/data/1513845/000155837025005991/nbis-20241231x20f.htm</t>
        </is>
      </c>
    </row>
    <row r="5">
      <c r="A5" t="inlineStr">
        <is>
          <t>Power gear useful life</t>
        </is>
      </c>
      <c r="B5" t="inlineStr">
        <is>
          <t>Not separately disclosed (power/electrical likely within "Infrastructure systems and equipment 3.0-10.0 years")</t>
        </is>
      </c>
      <c r="C5" t="inlineStr">
        <is>
          <t>20-F 2026-04-30 acc 0001104659-26-052948 nbis-20251231x20f.htm</t>
        </is>
      </c>
      <c r="D5" t="inlineStr">
        <is>
          <t>p.F-22</t>
        </is>
      </c>
      <c r="E5" t="inlineStr">
        <is>
          <t>https://www.sec.gov/Archives/edgar/data/1513845/000110465926052948/nbis-20251231x20f.htm</t>
        </is>
      </c>
    </row>
    <row r="6">
      <c r="A6" t="inlineStr">
        <is>
          <t>GPU useful life statement</t>
        </is>
      </c>
      <c r="B6" t="inlineStr">
        <is>
          <t>"Our main assets, GPUs, are currently depreciated over four years."</t>
        </is>
      </c>
      <c r="C6" t="inlineStr">
        <is>
          <t>20-F 2026-04-30 acc 0001104659-26-052948 nbis-20251231x20f.htm</t>
        </is>
      </c>
      <c r="D6" t="inlineStr">
        <is>
          <t>Item 5 Critical accounting estimates, p.56</t>
        </is>
      </c>
      <c r="E6" t="inlineStr">
        <is>
          <t>https://www.sec.gov/Archives/edgar/data/1513845/000110465926052948/nbis-20251231x20f.htm</t>
        </is>
      </c>
    </row>
    <row r="7">
      <c r="A7" t="inlineStr">
        <is>
          <t>Change in estimate (announced)</t>
        </is>
      </c>
      <c r="B7" t="inlineStr">
        <is>
          <t>"In January 2026, the Company completed an assessment of the useful lives of servers and network equipment ... should be extended from four to five years ... we expect this change in accounting estimate will reduce the depreciation expenses for fiscal year 2026 by approximately $167.6 million."</t>
        </is>
      </c>
      <c r="C7" t="inlineStr">
        <is>
          <t>20-F 2026-04-30 acc 0001104659-26-052948 nbis-20251231x20f.htm</t>
        </is>
      </c>
      <c r="D7" t="inlineStr">
        <is>
          <t>p.56; also Note 2 p.F-15</t>
        </is>
      </c>
      <c r="E7" t="inlineStr">
        <is>
          <t>https://www.sec.gov/Archives/edgar/data/1513845/000110465926052948/nbis-20251231x20f.htm</t>
        </is>
      </c>
    </row>
    <row r="8">
      <c r="A8" t="inlineStr">
        <is>
          <t>Change in estimate (applied) - impact</t>
        </is>
      </c>
      <c r="B8" t="inlineStr">
        <is>
          <t>"Management applied this change in accounting estimate prospectively beginning January 1, 2026 ... for the six months ended June 30, 2026 included a reduction in depreciation expense of $86.1 and an increase in net income ... of $75.7 ... for the three months ended June 30, 2026 ... reduction in depreciation expense of $43.0 and a decrease in net loss ... of $34.1."</t>
        </is>
      </c>
      <c r="C8" t="inlineStr">
        <is>
          <t>6-K 2026-08-12 acc 0001104659-26-094844 nbis-20260812xex99d2.htm</t>
        </is>
      </c>
      <c r="D8" t="inlineStr">
        <is>
          <t>Note 1, p.F-10</t>
        </is>
      </c>
      <c r="E8" t="inlineStr">
        <is>
          <t>https://www.sec.gov/Archives/edgar/data/1513845/000110465926094844/nbis-20260812xex99d2.htm</t>
        </is>
      </c>
    </row>
    <row r="9">
      <c r="A9" t="inlineStr">
        <is>
          <t>Shareholder letter on life change</t>
        </is>
      </c>
      <c r="B9" t="inlineStr">
        <is>
          <t>"We use a five-year useful life for our server and network equipment based on usage patterns and current utilization commitments, up from the four-year useful life used prior to 2026."</t>
        </is>
      </c>
      <c r="C9" t="inlineStr">
        <is>
          <t>6-K 2026-08-12 acc 0001104659-26-094568 tm2622968d1_ex99-2.htm</t>
        </is>
      </c>
      <c r="D9" t="inlineStr">
        <is>
          <t>p.10</t>
        </is>
      </c>
      <c r="E9" t="inlineStr">
        <is>
          <t>https://www.sec.gov/Archives/edgar/data/1513845/000110465926094568/tm2622968d1_ex99-2.htm</t>
        </is>
      </c>
    </row>
    <row r="10">
      <c r="A10" t="inlineStr">
        <is>
          <t>Impairment of PP&amp;E</t>
        </is>
      </c>
      <c r="B10" t="inlineStr">
        <is>
          <t>"No impairment of property and equipment was identified or recorded during the three and six months ended June 30, 2025 and 2026."</t>
        </is>
      </c>
      <c r="C10" t="inlineStr">
        <is>
          <t>6-K 2026-08-12 acc 0001104659-26-094844 nbis-20260812xex99d2.htm</t>
        </is>
      </c>
      <c r="D10" t="inlineStr">
        <is>
          <t>Note 7, p.F-24</t>
        </is>
      </c>
      <c r="E10" t="inlineStr">
        <is>
          <t>https://www.sec.gov/Archives/edgar/data/1513845/000110465926094844/nbis-20260812xex99d2.htm</t>
        </is>
      </c>
    </row>
    <row r="11">
      <c r="A11" t="inlineStr">
        <is>
          <t>Capitalized interest</t>
        </is>
      </c>
      <c r="B11" t="inlineStr">
        <is>
          <t>Capitalization of interest started Q3 2025; $28.0M capitalized in FY2025 (20-F p.F-38); $40.2M Q2-26 and $59.6M 1H-26 (Q2FS Note 12)</t>
        </is>
      </c>
      <c r="C11" t="inlineStr">
        <is>
          <t>6-K 2026-08-12 acc 0001104659-26-094844 nbis-20260812xex99d2.htm</t>
        </is>
      </c>
      <c r="D11" t="inlineStr">
        <is>
          <t>Note 12, p.F-28</t>
        </is>
      </c>
      <c r="E11" t="inlineStr">
        <is>
          <t>https://www.sec.gov/Archives/edgar/data/1513845/000110465926094844/nbis-20260812xex99d2.htm</t>
        </is>
      </c>
    </row>
    <row r="12">
      <c r="A12" t="inlineStr">
        <is>
          <t>PP&amp;E gross by class 31-Dec-2024</t>
        </is>
      </c>
      <c r="B12" t="inlineStr">
        <is>
          <t>Server &amp; network 794.9; Land/bldgs 48.5; Infrastructure 63.1; Other 12.7; Not yet in use 163.8; Total 1,083.0; Acc. dep. (236.3); Net 846.7</t>
        </is>
      </c>
      <c r="C12" t="inlineStr">
        <is>
          <t>20-F 2026-04-30 acc 0001104659-26-052948 nbis-20251231x20f.htm</t>
        </is>
      </c>
      <c r="D12" t="inlineStr">
        <is>
          <t>Note 7, p.F-38</t>
        </is>
      </c>
      <c r="E12" t="inlineStr">
        <is>
          <t>https://www.sec.gov/Archives/edgar/data/1513845/000110465926052948/nbis-20251231x20f.htm</t>
        </is>
      </c>
    </row>
    <row r="13">
      <c r="A13" t="inlineStr">
        <is>
          <t>PP&amp;E gross by class 31-Dec-2025</t>
        </is>
      </c>
      <c r="B13" t="inlineStr">
        <is>
          <t>Server &amp; network 3,123.6; Land/bldgs 381.4; Infrastructure 199.1; Other 68.8; Not yet in use 2,417.4; Total 6,190.3; Acc. dep. (637.0); Net 5,553.3</t>
        </is>
      </c>
      <c r="C13" t="inlineStr">
        <is>
          <t>20-F 2026-04-30 acc 0001104659-26-052948 nbis-20251231x20f.htm</t>
        </is>
      </c>
      <c r="D13" t="inlineStr">
        <is>
          <t>Note 7, p.F-38</t>
        </is>
      </c>
      <c r="E13" t="inlineStr">
        <is>
          <t>https://www.sec.gov/Archives/edgar/data/1513845/000110465926052948/nbis-20251231x20f.htm</t>
        </is>
      </c>
    </row>
    <row r="14">
      <c r="A14" t="inlineStr">
        <is>
          <t>PP&amp;E gross by class 30-Jun-2026</t>
        </is>
      </c>
      <c r="B14" t="inlineStr">
        <is>
          <t>Server &amp; network 5,197.7; Land/bldgs 593.4; Infrastructure 332.5; Other 189.5; Not yet in use 7,836.4; Total 14,149.5; Acc. dep. (1,104.3); Net 13,045.2</t>
        </is>
      </c>
      <c r="C14" t="inlineStr">
        <is>
          <t>6-K 2026-08-12 acc 0001104659-26-094844 nbis-20260812xex99d2.htm</t>
        </is>
      </c>
      <c r="D14" t="inlineStr">
        <is>
          <t>Note 7, p.F-23</t>
        </is>
      </c>
      <c r="E14" t="inlineStr">
        <is>
          <t>https://www.sec.gov/Archives/edgar/data/1513845/000110465926094844/nbis-20260812xex99d2.htm</t>
        </is>
      </c>
    </row>
    <row r="15">
      <c r="A15" t="inlineStr">
        <is>
          <t>Gross additions by class (Derived)</t>
        </is>
      </c>
      <c r="B15" t="inlineStr">
        <is>
          <t>FY2025: server &amp; network +2,328.7; land/bldgs +332.9; infra +136.0; other +56.1; not-yet-in-use +2,253.6 (net change in gross, ignores disposals/transfers). 1H2026: server &amp; network +2,074.1; land/bldgs +212.0; infra +133.4; other +120.7; not-yet-in-use +5,419.0</t>
        </is>
      </c>
      <c r="C15" t="inlineStr">
        <is>
          <t>20F25 / Q2FS</t>
        </is>
      </c>
      <c r="D15" t="inlineStr">
        <is>
          <t>Derived from tables above</t>
        </is>
      </c>
      <c r="E15" t="inlineStr">
        <is>
          <t>https://www.sec.gov/Archives/edgar/data/1513845/000110465926094844/nbis-20260812xex99d2.htm</t>
        </is>
      </c>
    </row>
    <row r="16">
      <c r="A16" t="inlineStr">
        <is>
          <t>Depreciation of PP&amp;E</t>
        </is>
      </c>
      <c r="B16" t="inlineStr">
        <is>
          <t>FY2023 27.9; FY2024 75.2; FY2025 411.0 (20-F p.F-38); Q2-25 72.6; Q2-26 253.8; 1H-25 121.2; 1H-26 462.6 (Q2FS p.F-24)</t>
        </is>
      </c>
      <c r="C16" t="inlineStr">
        <is>
          <t>6-K 2026-08-12 acc 0001104659-26-094844 nbis-20260812xex99d2.htm</t>
        </is>
      </c>
      <c r="D16" t="inlineStr">
        <is>
          <t>Note 7</t>
        </is>
      </c>
      <c r="E16" t="inlineStr">
        <is>
          <t>https://www.sec.gov/Archives/edgar/data/1513845/000110465926094844/nbis-20260812xex99d2.htm</t>
        </is>
      </c>
    </row>
    <row r="17">
      <c r="A17" t="inlineStr">
        <is>
          <t>Formal rollforward (additions/disposals by vintage)</t>
        </is>
      </c>
      <c r="B17" t="inlineStr">
        <is>
          <t>not disclosed - only gross balances by class; no GPU vintage schedule</t>
        </is>
      </c>
      <c r="C17" t="inlineStr">
        <is>
          <t>6-K 2026-08-12 acc 0001104659-26-094844 nbis-20260812xex99d2.htm</t>
        </is>
      </c>
      <c r="D17" t="inlineStr"/>
      <c r="E17" t="inlineStr">
        <is>
          <t>https://www.sec.gov/Archives/edgar/data/1513845/000110465926094844/nbis-20260812xex99d2.htm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cols>
    <col width="20" customWidth="1" min="1" max="1"/>
    <col width="30" customWidth="1" min="2" max="2"/>
    <col width="26" customWidth="1" min="3" max="3"/>
    <col width="40" customWidth="1" min="4" max="4"/>
    <col width="40" customWidth="1" min="5" max="5"/>
    <col width="34" customWidth="1" min="6" max="6"/>
    <col width="40" customWidth="1" min="7" max="7"/>
    <col width="16" customWidth="1" min="8" max="8"/>
    <col width="40" customWidth="1" min="9" max="9"/>
    <col width="30" customWidth="1" min="10" max="10"/>
    <col width="30" customWidth="1" min="11" max="11"/>
    <col width="40" customWidth="1" min="12" max="12"/>
    <col width="22" customWidth="1" min="13" max="13"/>
    <col width="26" customWidth="1" min="14" max="14"/>
    <col width="14" customWidth="1" min="15" max="15"/>
    <col width="12" customWidth="1" min="16" max="16"/>
    <col width="12" customWidth="1" min="17" max="17"/>
    <col width="12" customWidth="1" min="18" max="18"/>
    <col width="60" customWidth="1" min="19" max="19"/>
  </cols>
  <sheetData>
    <row r="1">
      <c r="A1" s="5" t="inlineStr">
        <is>
          <t>Convertible note indenture terms (all values Reported from indenture exhibits unless tagged). Settlement / redemption / make-whole / fundamental change.</t>
        </is>
      </c>
    </row>
    <row r="2">
      <c r="A2" s="6" t="inlineStr">
        <is>
          <t>Series</t>
        </is>
      </c>
      <c r="B2" s="6" t="inlineStr">
        <is>
          <t>Indenture (key)</t>
        </is>
      </c>
      <c r="C2" s="6" t="inlineStr">
        <is>
          <t>Default settlement method</t>
        </is>
      </c>
      <c r="D2" s="6" t="inlineStr">
        <is>
          <t>Settlement options at company election</t>
        </is>
      </c>
      <c r="E2" s="6" t="inlineStr">
        <is>
          <t>Net-share settlement (Combination Settlement)</t>
        </is>
      </c>
      <c r="F2" s="6" t="inlineStr">
        <is>
          <t>Dutch withholding override (Sec. 3.10)</t>
        </is>
      </c>
      <c r="G2" s="6" t="inlineStr">
        <is>
          <t>Holder conversion before earliest redemption date</t>
        </is>
      </c>
      <c r="H2" s="6" t="inlineStr">
        <is>
          <t>Provisional (soft) call: earliest redemption date</t>
        </is>
      </c>
      <c r="I2" s="6" t="inlineStr">
        <is>
          <t>Soft-call trigger</t>
        </is>
      </c>
      <c r="J2" s="6" t="inlineStr">
        <is>
          <t>Redemption price</t>
        </is>
      </c>
      <c r="K2" s="6" t="inlineStr">
        <is>
          <t>Partial redemption limit</t>
        </is>
      </c>
      <c r="L2" s="6" t="inlineStr">
        <is>
          <t>Fundamental change put</t>
        </is>
      </c>
      <c r="M2" s="6" t="inlineStr">
        <is>
          <t>Holder put on fixed dates</t>
        </is>
      </c>
      <c r="N2" s="6" t="inlineStr">
        <is>
          <t>Make-whole: table range (share price)</t>
        </is>
      </c>
      <c r="O2" s="6" t="inlineStr">
        <is>
          <t>Make-whole: max conversion rate (sh per $1k)</t>
        </is>
      </c>
      <c r="P2" s="6" t="inlineStr">
        <is>
          <t>Initial conv. rate</t>
        </is>
      </c>
      <c r="Q2" s="6" t="inlineStr">
        <is>
          <t>Capped call</t>
        </is>
      </c>
      <c r="R2" s="6" t="inlineStr">
        <is>
          <t>Tag</t>
        </is>
      </c>
      <c r="S2" s="6" t="inlineStr">
        <is>
          <t>Source</t>
        </is>
      </c>
    </row>
    <row r="3">
      <c r="A3" s="7" t="inlineStr">
        <is>
          <t>2.00% due Jun-2029</t>
        </is>
      </c>
      <c r="B3" s="7" t="inlineStr">
        <is>
          <t>IND29: tm2516825d1_ex99-4.htm</t>
        </is>
      </c>
      <c r="C3" s="7" t="inlineStr">
        <is>
          <t>"Default Settlement Method means Physical Settlement" (shares)</t>
        </is>
      </c>
      <c r="D3" s="7" t="inlineStr">
        <is>
          <t>Physical, Cash or Combination Settlement; company may change the default and may irrevocably fix or eliminate a method (Sec. 5.03(A))</t>
        </is>
      </c>
      <c r="E3" s="7" t="inlineStr">
        <is>
          <t>Available: Combination Settlement = cash up to a Specified Dollar Amount per $1,000 original principal + shares for the excess. Not the default.</t>
        </is>
      </c>
      <c r="F3" s="7" t="inlineStr">
        <is>
          <t>not included (June 2025 indentures pre-date Sec. 3.10 language; verify)</t>
        </is>
      </c>
      <c r="G3" s="7" t="inlineStr">
        <is>
          <t>Only on specified conditions (130% stock-price test, 98% trading-price test, certain corporate events); freely in final 2 months (per Q2FS Note 12)</t>
        </is>
      </c>
      <c r="H3" s="7" t="inlineStr">
        <is>
          <t>Dec 10, 2026</t>
        </is>
      </c>
      <c r="I3" s="7" t="inlineStr">
        <is>
          <t>130% x conv. price x Accretion Ratio, &gt;=20 of 30 consecutive trading days</t>
        </is>
      </c>
      <c r="J3" s="7" t="inlineStr">
        <is>
          <t>Cash = Accreted Principal Amount + accrued &amp; unpaid interest</t>
        </is>
      </c>
      <c r="K3" s="7" t="inlineStr">
        <is>
          <t>Partial redemption only if &gt;= $100M accreted principal remains outstanding</t>
        </is>
      </c>
      <c r="L3" s="7" t="inlineStr">
        <is>
          <t>Cash = Accreted Principal Amount + accrued &amp; unpaid interest (Sec. 4.02); make-whole additional shares on conversion in connection with a Make-Whole Fundamental Change</t>
        </is>
      </c>
      <c r="M3" s="7" t="inlineStr">
        <is>
          <t>none found (text search for optional repurchase/put dates: 0 hits)</t>
        </is>
      </c>
      <c r="N3" s="7" t="inlineStr">
        <is>
          <t>36.750 to 100.000 (5 effective dates)</t>
        </is>
      </c>
      <c r="O3" s="7" t="n">
        <v>27.2108</v>
      </c>
      <c r="P3" s="7" t="n">
        <v>19.4363</v>
      </c>
      <c r="Q3" s="7" t="inlineStr">
        <is>
          <t>none disclosed</t>
        </is>
      </c>
      <c r="R3" s="7" t="inlineStr">
        <is>
          <t>Reported</t>
        </is>
      </c>
      <c r="S3" s="7" t="inlineStr">
        <is>
          <t>6-K 2025-06-02 acc 0001104659-25-055197 tm2516825d1_ex99-4.htm | https://www.sec.gov/Archives/edgar/data/1513845/000110465925055197/tm2516825d1_ex99-4.htm</t>
        </is>
      </c>
    </row>
    <row r="4">
      <c r="A4" s="7" t="inlineStr">
        <is>
          <t>3.00% due Jun-2031</t>
        </is>
      </c>
      <c r="B4" s="7" t="inlineStr">
        <is>
          <t>IND31: tm2516825d1_ex99-5.htm</t>
        </is>
      </c>
      <c r="C4" s="7" t="inlineStr">
        <is>
          <t>"Default Settlement Method means Physical Settlement" (shares)</t>
        </is>
      </c>
      <c r="D4" s="7" t="inlineStr">
        <is>
          <t>Physical, Cash or Combination Settlement; company may change the default and may irrevocably fix or eliminate a method (Sec. 5.03(A))</t>
        </is>
      </c>
      <c r="E4" s="7" t="inlineStr">
        <is>
          <t>Available: Combination Settlement = cash up to a Specified Dollar Amount per $1,000 original principal + shares for the excess. Not the default.</t>
        </is>
      </c>
      <c r="F4" s="7" t="inlineStr">
        <is>
          <t>not included (June 2025 indentures; verify)</t>
        </is>
      </c>
      <c r="G4" s="7" t="inlineStr">
        <is>
          <t>Only on specified conditions (130% stock-price test, 98% trading-price test, certain corporate events); freely in final 2 months (per Q2FS Note 12)</t>
        </is>
      </c>
      <c r="H4" s="7" t="inlineStr">
        <is>
          <t>Jun 10, 2027</t>
        </is>
      </c>
      <c r="I4" s="7" t="inlineStr">
        <is>
          <t>130% x conv. price x Accretion Ratio, &gt;=20 of 30 trading days</t>
        </is>
      </c>
      <c r="J4" s="7" t="inlineStr">
        <is>
          <t>Cash = Accreted Principal Amount + accrued &amp; unpaid interest</t>
        </is>
      </c>
      <c r="K4" s="7" t="inlineStr">
        <is>
          <t>Partial redemption only if &gt;= $100M accreted principal remains outstanding</t>
        </is>
      </c>
      <c r="L4" s="7" t="inlineStr">
        <is>
          <t>Cash = Accreted Principal Amount + accrued &amp; unpaid interest (Sec. 4.02); make-whole additional shares on conversion in connection with a Make-Whole Fundamental Change</t>
        </is>
      </c>
      <c r="M4" s="7" t="inlineStr">
        <is>
          <t>none found (text search for optional repurchase/put dates: 0 hits)</t>
        </is>
      </c>
      <c r="N4" s="7" t="inlineStr">
        <is>
          <t>$36.750 to $110.000 (7 effective dates)</t>
        </is>
      </c>
      <c r="O4" s="7" t="n">
        <v>27.2108</v>
      </c>
      <c r="P4" s="7" t="n">
        <v>19.4363</v>
      </c>
      <c r="Q4" s="7" t="inlineStr">
        <is>
          <t>none disclosed</t>
        </is>
      </c>
      <c r="R4" s="7" t="inlineStr">
        <is>
          <t>Reported</t>
        </is>
      </c>
      <c r="S4" s="7" t="inlineStr">
        <is>
          <t>6-K 2025-06-02 acc 0001104659-25-055197 tm2516825d1_ex99-5.htm | https://www.sec.gov/Archives/edgar/data/1513845/000110465925055197/tm2516825d1_ex99-5.htm</t>
        </is>
      </c>
    </row>
    <row r="5">
      <c r="A5" s="7" t="inlineStr">
        <is>
          <t>1.00% due Sep-2030</t>
        </is>
      </c>
      <c r="B5" s="7" t="inlineStr">
        <is>
          <t>IND30S: tm2525580d4_ex4-1.htm</t>
        </is>
      </c>
      <c r="C5" s="7" t="inlineStr">
        <is>
          <t>"Default Settlement Method means Physical Settlement" (shares)</t>
        </is>
      </c>
      <c r="D5" s="7" t="inlineStr">
        <is>
          <t>Physical, Cash or Combination Settlement; company may change the default and may irrevocably fix or eliminate a method (Sec. 5.03(A))</t>
        </is>
      </c>
      <c r="E5" s="7" t="inlineStr">
        <is>
          <t>Available: Combination Settlement = cash up to a Specified Dollar Amount per $1,000 original principal + shares for the excess. Not the default.</t>
        </is>
      </c>
      <c r="F5" s="7" t="inlineStr">
        <is>
          <t>yes</t>
        </is>
      </c>
      <c r="G5" s="7" t="inlineStr">
        <is>
          <t>Only on specified conditions (130% stock-price test, 98% trading-price test, certain corporate events); freely in final 2 months (per Q2FS Note 12)</t>
        </is>
      </c>
      <c r="H5" s="7" t="inlineStr">
        <is>
          <t>Sep 20, 2028</t>
        </is>
      </c>
      <c r="I5" s="7" t="inlineStr">
        <is>
          <t>130% x conv. price x Accretion Ratio, &gt;=20 of 30 trading days</t>
        </is>
      </c>
      <c r="J5" s="7" t="inlineStr">
        <is>
          <t>Cash = Accreted Principal Amount + accrued &amp; unpaid interest</t>
        </is>
      </c>
      <c r="K5" s="7" t="inlineStr">
        <is>
          <t>Partial redemption only if &gt;= $100M accreted principal remains outstanding</t>
        </is>
      </c>
      <c r="L5" s="7" t="inlineStr">
        <is>
          <t>Cash = Accreted Principal Amount + accrued &amp; unpaid interest (Sec. 4.02); make-whole additional shares on conversion in connection with a Make-Whole Fundamental Change</t>
        </is>
      </c>
      <c r="M5" s="7" t="inlineStr">
        <is>
          <t>none found (text search for optional repurchase/put dates: 0 hits)</t>
        </is>
      </c>
      <c r="N5" s="7" t="inlineStr">
        <is>
          <t>$92.50 to $600.00 (6 effective dates)</t>
        </is>
      </c>
      <c r="O5" s="7" t="n">
        <v>10.8108</v>
      </c>
      <c r="P5" s="7" t="n">
        <v>7.2072</v>
      </c>
      <c r="Q5" s="7" t="inlineStr">
        <is>
          <t>none disclosed</t>
        </is>
      </c>
      <c r="R5" s="7" t="inlineStr">
        <is>
          <t>Reported</t>
        </is>
      </c>
      <c r="S5" s="7" t="inlineStr">
        <is>
          <t>6-K 2025-09-15 acc 0001104659-25-089969 tm2525580d4_ex4-1.htm | https://www.sec.gov/Archives/edgar/data/1513845/000110465925089969/tm2525580d4_ex4-1.htm</t>
        </is>
      </c>
    </row>
    <row r="6">
      <c r="A6" s="7" t="inlineStr">
        <is>
          <t>2.75% due Sep-2032</t>
        </is>
      </c>
      <c r="B6" s="7" t="inlineStr">
        <is>
          <t>IND32: tm2525580d4_ex4-3.htm</t>
        </is>
      </c>
      <c r="C6" s="7" t="inlineStr">
        <is>
          <t>"Default Settlement Method means Physical Settlement" (shares)</t>
        </is>
      </c>
      <c r="D6" s="7" t="inlineStr">
        <is>
          <t>Physical, Cash or Combination Settlement; company may change the default and may irrevocably fix or eliminate a method (Sec. 5.03(A))</t>
        </is>
      </c>
      <c r="E6" s="7" t="inlineStr">
        <is>
          <t>Available: Combination Settlement = cash up to a Specified Dollar Amount per $1,000 original principal + shares for the excess. Not the default.</t>
        </is>
      </c>
      <c r="F6" s="7" t="inlineStr">
        <is>
          <t>yes</t>
        </is>
      </c>
      <c r="G6" s="7" t="inlineStr">
        <is>
          <t>Only on specified conditions (130% stock-price test, 98% trading-price test, certain corporate events); freely in final 2 months (per Q2FS Note 12)</t>
        </is>
      </c>
      <c r="H6" s="7" t="inlineStr">
        <is>
          <t>Sep 20, 2028</t>
        </is>
      </c>
      <c r="I6" s="7" t="inlineStr">
        <is>
          <t>130% x conv. price x Accretion Ratio, &gt;=20 of 30 trading days</t>
        </is>
      </c>
      <c r="J6" s="7" t="inlineStr">
        <is>
          <t>Cash = Accreted Principal Amount + accrued &amp; unpaid interest</t>
        </is>
      </c>
      <c r="K6" s="7" t="inlineStr">
        <is>
          <t>Partial redemption only if &gt;= $100M accreted principal remains outstanding</t>
        </is>
      </c>
      <c r="L6" s="7" t="inlineStr">
        <is>
          <t>Cash = Accreted Principal Amount + accrued &amp; unpaid interest (Sec. 4.02); make-whole additional shares on conversion in connection with a Make-Whole Fundamental Change</t>
        </is>
      </c>
      <c r="M6" s="7" t="inlineStr">
        <is>
          <t>none found (text search for optional repurchase/put dates: 0 hits)</t>
        </is>
      </c>
      <c r="N6" s="7" t="inlineStr">
        <is>
          <t>$92.50 to $750.00 (8 effective dates)</t>
        </is>
      </c>
      <c r="O6" s="7" t="n">
        <v>10.8108</v>
      </c>
      <c r="P6" s="7" t="n">
        <v>7.2072</v>
      </c>
      <c r="Q6" s="7" t="inlineStr">
        <is>
          <t>none disclosed</t>
        </is>
      </c>
      <c r="R6" s="7" t="inlineStr">
        <is>
          <t>Reported</t>
        </is>
      </c>
      <c r="S6" s="7" t="inlineStr">
        <is>
          <t>6-K 2025-09-15 acc 0001104659-25-089969 tm2525580d4_ex4-3.htm | https://www.sec.gov/Archives/edgar/data/1513845/000110465925089969/tm2525580d4_ex4-3.htm</t>
        </is>
      </c>
    </row>
    <row r="7">
      <c r="A7" s="7" t="inlineStr">
        <is>
          <t>1.25% due Mar-2031</t>
        </is>
      </c>
      <c r="B7" s="7" t="inlineStr">
        <is>
          <t>IND31M: tm268409d4_ex4-1.htm</t>
        </is>
      </c>
      <c r="C7" s="7" t="inlineStr">
        <is>
          <t>"Default Settlement Method means Physical Settlement" (shares)</t>
        </is>
      </c>
      <c r="D7" s="7" t="inlineStr">
        <is>
          <t>Physical, Cash or Combination Settlement; company may change the default and may irrevocably fix or eliminate a method (Sec. 5.03(A))</t>
        </is>
      </c>
      <c r="E7" s="7" t="inlineStr">
        <is>
          <t>Available: Combination Settlement = cash up to a Specified Dollar Amount per $1,000 original principal + shares for the excess. Not the default.</t>
        </is>
      </c>
      <c r="F7" s="7" t="inlineStr">
        <is>
          <t>yes</t>
        </is>
      </c>
      <c r="G7" s="7" t="inlineStr">
        <is>
          <t>Only on specified conditions (130% stock-price test, 98% trading-price test, certain corporate events); freely in final 2 months (per Q2FS Note 12)</t>
        </is>
      </c>
      <c r="H7" s="7" t="inlineStr">
        <is>
          <t>Mar 20, 2029</t>
        </is>
      </c>
      <c r="I7" s="7" t="inlineStr">
        <is>
          <t>130% x conv. price x Accretion Ratio, &gt;=20 of 30 trading days</t>
        </is>
      </c>
      <c r="J7" s="7" t="inlineStr">
        <is>
          <t>Cash = Accreted Principal Amount + accrued &amp; unpaid interest</t>
        </is>
      </c>
      <c r="K7" s="7" t="inlineStr">
        <is>
          <t>Partial redemption only if &gt;= $100M accreted principal remains outstanding</t>
        </is>
      </c>
      <c r="L7" s="7" t="inlineStr">
        <is>
          <t>Cash = Accreted Principal Amount + accrued &amp; unpaid interest (Sec. 4.02); make-whole additional shares on conversion in connection with a Make-Whole Fundamental Change</t>
        </is>
      </c>
      <c r="M7" s="7" t="inlineStr">
        <is>
          <t>none found (text search for optional repurchase/put dates: 0 hits)</t>
        </is>
      </c>
      <c r="N7" s="7" t="inlineStr">
        <is>
          <t>$116.33 to $800.00 (6 effective dates)</t>
        </is>
      </c>
      <c r="O7" s="7" t="n">
        <v>8.5962</v>
      </c>
      <c r="P7" s="7" t="n">
        <v>5.4579</v>
      </c>
      <c r="Q7" s="7" t="inlineStr">
        <is>
          <t>none disclosed</t>
        </is>
      </c>
      <c r="R7" s="7" t="inlineStr">
        <is>
          <t>Reported</t>
        </is>
      </c>
      <c r="S7" s="7" t="inlineStr">
        <is>
          <t>6-K 2026-03-20 acc 0001104659-26-032735 tm268409d4_ex4-1.htm | https://www.sec.gov/Archives/edgar/data/1513845/000110465926032735/tm268409d4_ex4-1.htm</t>
        </is>
      </c>
    </row>
    <row r="8">
      <c r="A8" s="7" t="inlineStr">
        <is>
          <t>2.625% due Mar-2033</t>
        </is>
      </c>
      <c r="B8" s="7" t="inlineStr">
        <is>
          <t>IND33: tm268409d4_ex4-3.htm</t>
        </is>
      </c>
      <c r="C8" s="7" t="inlineStr">
        <is>
          <t>"Default Settlement Method means Physical Settlement" (shares)</t>
        </is>
      </c>
      <c r="D8" s="7" t="inlineStr">
        <is>
          <t>Physical, Cash or Combination Settlement; company may change the default and may irrevocably fix or eliminate a method (Sec. 5.03(A))</t>
        </is>
      </c>
      <c r="E8" s="7" t="inlineStr">
        <is>
          <t>Available: Combination Settlement = cash up to a Specified Dollar Amount per $1,000 original principal + shares for the excess. Not the default.</t>
        </is>
      </c>
      <c r="F8" s="7" t="inlineStr">
        <is>
          <t>yes</t>
        </is>
      </c>
      <c r="G8" s="7" t="inlineStr">
        <is>
          <t>Only on specified conditions (130% stock-price test, 98% trading-price test, certain corporate events); freely in final 2 months (per Q2FS Note 12)</t>
        </is>
      </c>
      <c r="H8" s="7" t="inlineStr">
        <is>
          <t>Mar 20, 2030</t>
        </is>
      </c>
      <c r="I8" s="7" t="inlineStr">
        <is>
          <t>130% x conv. price x Accretion Ratio, &gt;=20 of 30 trading days</t>
        </is>
      </c>
      <c r="J8" s="7" t="inlineStr">
        <is>
          <t>Cash = Accreted Principal Amount + accrued &amp; unpaid interest</t>
        </is>
      </c>
      <c r="K8" s="7" t="inlineStr">
        <is>
          <t>Partial redemption only if &gt;= $100M accreted principal remains outstanding</t>
        </is>
      </c>
      <c r="L8" s="7" t="inlineStr">
        <is>
          <t>Cash = Accreted Principal Amount + accrued &amp; unpaid interest (Sec. 4.02); make-whole additional shares on conversion in connection with a Make-Whole Fundamental Change</t>
        </is>
      </c>
      <c r="M8" s="7" t="inlineStr">
        <is>
          <t>none found (text search for optional repurchase/put dates: 0 hits)</t>
        </is>
      </c>
      <c r="N8" s="7" t="inlineStr">
        <is>
          <t>$116.33 to $800.00 (8 effective dates)</t>
        </is>
      </c>
      <c r="O8" s="7" t="n">
        <v>8.5962</v>
      </c>
      <c r="P8" s="7" t="n">
        <v>5.546</v>
      </c>
      <c r="Q8" s="7" t="inlineStr">
        <is>
          <t>none disclosed</t>
        </is>
      </c>
      <c r="R8" s="7" t="inlineStr">
        <is>
          <t>Reported</t>
        </is>
      </c>
      <c r="S8" s="7" t="inlineStr">
        <is>
          <t>6-K 2026-03-20 acc 0001104659-26-032735 tm268409d4_ex4-3.htm | https://www.sec.gov/Archives/edgar/data/1513845/000110465926032735/tm268409d4_ex4-3.htm</t>
        </is>
      </c>
    </row>
    <row r="9">
      <c r="A9" s="7" t="inlineStr">
        <is>
          <t>0.50% due Feb-2030</t>
        </is>
      </c>
      <c r="B9" s="7" t="inlineStr">
        <is>
          <t>IND30F: tm2623863d1_ex4-1.htm</t>
        </is>
      </c>
      <c r="C9" s="7" t="inlineStr">
        <is>
          <t>"Default Settlement Method means Physical Settlement" (shares)</t>
        </is>
      </c>
      <c r="D9" s="7" t="inlineStr">
        <is>
          <t>Physical, Cash or Combination Settlement; company may change the default and may irrevocably fix or eliminate a method (Sec. 5.03(A))</t>
        </is>
      </c>
      <c r="E9" s="7" t="inlineStr">
        <is>
          <t>Available: Combination Settlement = cash up to a Specified Dollar Amount per $1,000 original principal + shares for the excess. Not the default.</t>
        </is>
      </c>
      <c r="F9" s="7" t="inlineStr">
        <is>
          <t>yes</t>
        </is>
      </c>
      <c r="G9" s="7" t="inlineStr">
        <is>
          <t>Only on specified conditions (130% stock-price test, 98% trading-price test, certain corporate events); freely in final 2 months (per Q2FS Note 12)</t>
        </is>
      </c>
      <c r="H9" s="7" t="inlineStr">
        <is>
          <t>Feb 21, 2028</t>
        </is>
      </c>
      <c r="I9" s="7" t="inlineStr">
        <is>
          <t>130% x conv. price x Accretion Ratio, &gt;=20 of 30 trading days</t>
        </is>
      </c>
      <c r="J9" s="7" t="inlineStr">
        <is>
          <t>Cash = Accreted Principal Amount + accrued &amp; unpaid interest</t>
        </is>
      </c>
      <c r="K9" s="7" t="inlineStr">
        <is>
          <t>Partial redemption only if &gt;= $100M accreted principal remains outstanding</t>
        </is>
      </c>
      <c r="L9" s="7" t="inlineStr">
        <is>
          <t>Cash = Accreted Principal Amount + accrued &amp; unpaid interest (Sec. 4.02); make-whole additional shares on conversion in connection with a Make-Whole Fundamental Change</t>
        </is>
      </c>
      <c r="M9" s="7" t="inlineStr">
        <is>
          <t>none found (text search for optional repurchase/put dates: 0 hits)</t>
        </is>
      </c>
      <c r="N9" s="7" t="inlineStr">
        <is>
          <t>$223.90 to $1,000.00 (5 effective dates)</t>
        </is>
      </c>
      <c r="O9" s="7" t="n">
        <v>4.4662</v>
      </c>
      <c r="P9" s="7" t="n">
        <v>3.1902</v>
      </c>
      <c r="Q9" s="7" t="inlineStr">
        <is>
          <t>none disclosed</t>
        </is>
      </c>
      <c r="R9" s="7" t="inlineStr">
        <is>
          <t>Reported</t>
        </is>
      </c>
      <c r="S9" s="7" t="inlineStr">
        <is>
          <t>6-K 2026-08-24 acc 0001104659-26-100347 tm2623863d1_ex4-1.htm | https://www.sec.gov/Archives/edgar/data/1513845/000110465926100347/tm2623863d1_ex4-1.htm</t>
        </is>
      </c>
    </row>
    <row r="10">
      <c r="A10" s="7" t="inlineStr">
        <is>
          <t>4.50% due Feb-2034</t>
        </is>
      </c>
      <c r="B10" s="7" t="inlineStr">
        <is>
          <t>IND34: tm2623863d1_ex4-3.htm</t>
        </is>
      </c>
      <c r="C10" s="7" t="inlineStr">
        <is>
          <t>"Default Settlement Method means Physical Settlement" (shares)</t>
        </is>
      </c>
      <c r="D10" s="7" t="inlineStr">
        <is>
          <t>Physical, Cash or Combination Settlement; company may change the default and may irrevocably fix or eliminate a method (Sec. 5.03(A))</t>
        </is>
      </c>
      <c r="E10" s="7" t="inlineStr">
        <is>
          <t>Available: Combination Settlement = cash up to a Specified Dollar Amount per $1,000 original principal + shares for the excess. Not the default.</t>
        </is>
      </c>
      <c r="F10" s="7" t="inlineStr">
        <is>
          <t>yes</t>
        </is>
      </c>
      <c r="G10" s="7" t="inlineStr">
        <is>
          <t>Only on specified conditions (130% stock-price test, 98% trading-price test, certain corporate events); freely in final 2 months (per Q2FS Note 12)</t>
        </is>
      </c>
      <c r="H10" s="7" t="inlineStr">
        <is>
          <t>Aug 21, 2028</t>
        </is>
      </c>
      <c r="I10" s="7" t="inlineStr">
        <is>
          <t>150% if redeemed Aug 21, 2028 - Aug 20, 2029; 130% thereafter (x conv. price x Accretion Ratio, &gt;=20 of 30 trading days)</t>
        </is>
      </c>
      <c r="J10" s="7" t="inlineStr">
        <is>
          <t>Cash = Accreted Principal Amount + accrued &amp; unpaid interest</t>
        </is>
      </c>
      <c r="K10" s="7" t="inlineStr">
        <is>
          <t>Partial redemption only if &gt;= $100M accreted principal remains outstanding</t>
        </is>
      </c>
      <c r="L10" s="7" t="inlineStr">
        <is>
          <t>Cash = Accreted Principal Amount + accrued &amp; unpaid interest (Sec. 4.02); make-whole additional shares on conversion in connection with a Make-Whole Fundamental Change</t>
        </is>
      </c>
      <c r="M10" s="7" t="inlineStr">
        <is>
          <t>none found (text search for optional repurchase/put dates: 0 hits)</t>
        </is>
      </c>
      <c r="N10" s="7" t="inlineStr">
        <is>
          <t>$223.90 to $2,000.00 (9 effective dates)</t>
        </is>
      </c>
      <c r="O10" s="7" t="n">
        <v>4.4662</v>
      </c>
      <c r="P10" s="7" t="n">
        <v>3.0802</v>
      </c>
      <c r="Q10" s="7" t="inlineStr">
        <is>
          <t>none disclosed</t>
        </is>
      </c>
      <c r="R10" s="7" t="inlineStr">
        <is>
          <t>Reported</t>
        </is>
      </c>
      <c r="S10" s="7" t="inlineStr">
        <is>
          <t>6-K 2026-08-24 acc 0001104659-26-100347 tm2623863d1_ex4-3.htm | https://www.sec.gov/Archives/edgar/data/1513845/000110465926100347/tm2623863d1_ex4-3.htm</t>
        </is>
      </c>
    </row>
    <row r="11">
      <c r="A11" s="7" t="n"/>
      <c r="B11" s="7" t="n"/>
      <c r="C11" s="7" t="n"/>
      <c r="D11" s="7" t="n"/>
      <c r="E11" s="7" t="n"/>
      <c r="F11" s="7" t="n"/>
      <c r="G11" s="7" t="n"/>
      <c r="H11" s="7" t="n"/>
      <c r="I11" s="7" t="n"/>
      <c r="J11" s="7" t="n"/>
      <c r="K11" s="7" t="n"/>
      <c r="L11" s="7" t="n"/>
      <c r="M11" s="7" t="n"/>
      <c r="N11" s="7" t="n"/>
      <c r="O11" s="7" t="n"/>
      <c r="P11" s="7" t="n"/>
      <c r="Q11" s="7" t="n"/>
      <c r="R11" s="7" t="n"/>
      <c r="S11" s="7" t="n"/>
    </row>
    <row r="12">
      <c r="A12" s="7" t="inlineStr">
        <is>
          <t>Notes: (1) The FY2025 20-F states for the Sep-25 notes "Upon conversion, the Notes are settled entirely in shares" and for the Jun-25 notes "settled in shares" (20-F p.F-47/48) - consistent with the Physical default. (2) Q2FS Note 1: "In accordance with ASU 2020-06, share settlement is presumed" for diluted EPS. (3) Accretion: conversion rate is per $1,000 ORIGINAL principal; accretion raises the cash claim (redemption/put/maturity) but not the share count. (4) Aug-26 exchange (Ex.4.5 form): $4,403.18 per $1,000 of 2029s and $4,413.18 per $1,000 of 2031s + accrued interest from 6/5/26, paid in shares at the 8/19/26 close ($223.90); parity = 19.4363 x 223.90 = $4,351.79 -&gt; ~1.2% premium (Derived).</t>
        </is>
      </c>
      <c r="B12" s="7" t="inlineStr"/>
      <c r="C12" s="7" t="inlineStr"/>
      <c r="D12" s="7" t="inlineStr"/>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is>
          <t>6-K 2026-08-24 acc 0001104659-26-100347 tm2623863d1_ex4-5.htm | https://www.sec.gov/Archives/edgar/data/1513845/000110465926100347/tm2623863d1_ex4-5.htm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5" t="inlineStr">
        <is>
          <t>Make-whole tables: additional shares per $1,000 original principal on conversion in connection with a Make-Whole Fundamental Change (Reported, verbatim from indentures; straight-line interpolation per indenture; zero above top price; capped at the max conversion rate)</t>
        </is>
      </c>
    </row>
    <row r="2">
      <c r="A2" s="8" t="inlineStr">
        <is>
          <t>Jun-2029 notes - max conversion rate 27.2108 - source: 6-K 2025-06-02 acc 0001104659-25-055197 tm2516825d1_ex99-4.htm | https://www.sec.gov/Archives/edgar/data/1513845/000110465925055197/tm2516825d1_ex99-4.htm</t>
        </is>
      </c>
    </row>
    <row r="3">
      <c r="A3" s="1" t="inlineStr">
        <is>
          <t>Effective date \ Share price ($)</t>
        </is>
      </c>
      <c r="B3" s="1" t="n">
        <v>36.75</v>
      </c>
      <c r="C3" s="1" t="n">
        <v>42</v>
      </c>
      <c r="D3" s="1" t="n">
        <v>46</v>
      </c>
      <c r="E3" s="1" t="n">
        <v>50</v>
      </c>
      <c r="F3" s="1" t="n">
        <v>51.45</v>
      </c>
      <c r="G3" s="1" t="n">
        <v>58</v>
      </c>
      <c r="H3" s="1" t="n">
        <v>63</v>
      </c>
      <c r="I3" s="1" t="n">
        <v>66.88500000000001</v>
      </c>
      <c r="J3" s="1" t="n">
        <v>70</v>
      </c>
      <c r="K3" s="1" t="n">
        <v>80</v>
      </c>
      <c r="L3" s="1" t="n">
        <v>90</v>
      </c>
      <c r="M3" s="1" t="n">
        <v>100</v>
      </c>
    </row>
    <row r="4">
      <c r="A4" t="inlineStr">
        <is>
          <t>June 5, 2025</t>
        </is>
      </c>
      <c r="B4" t="n">
        <v>7.7745</v>
      </c>
      <c r="C4" t="n">
        <v>7.7745</v>
      </c>
      <c r="D4" t="n">
        <v>6.3347</v>
      </c>
      <c r="E4" t="n">
        <v>5.1198</v>
      </c>
      <c r="F4" t="n">
        <v>4.7399</v>
      </c>
      <c r="G4" t="n">
        <v>3.3356</v>
      </c>
      <c r="H4" t="n">
        <v>2.5303</v>
      </c>
      <c r="I4" t="n">
        <v>2.0239</v>
      </c>
      <c r="J4" t="n">
        <v>1.6763</v>
      </c>
      <c r="K4" t="n">
        <v>0.8376</v>
      </c>
      <c r="L4" t="n">
        <v>0.29</v>
      </c>
      <c r="M4" t="n">
        <v>0</v>
      </c>
    </row>
    <row r="5">
      <c r="A5" t="inlineStr">
        <is>
          <t>June 5, 2026</t>
        </is>
      </c>
      <c r="B5" t="n">
        <v>7.7745</v>
      </c>
      <c r="C5" t="n">
        <v>7.7745</v>
      </c>
      <c r="D5" t="n">
        <v>6.2871</v>
      </c>
      <c r="E5" t="n">
        <v>4.9043</v>
      </c>
      <c r="F5" t="n">
        <v>4.4723</v>
      </c>
      <c r="G5" t="n">
        <v>2.8873</v>
      </c>
      <c r="H5" t="n">
        <v>1.9984</v>
      </c>
      <c r="I5" t="n">
        <v>1.4553</v>
      </c>
      <c r="J5" t="n">
        <v>1.0933</v>
      </c>
      <c r="K5" t="n">
        <v>0.2735</v>
      </c>
      <c r="L5" t="n">
        <v>0</v>
      </c>
      <c r="M5" t="n">
        <v>0</v>
      </c>
    </row>
    <row r="6">
      <c r="A6" t="inlineStr">
        <is>
          <t>June 5, 2027</t>
        </is>
      </c>
      <c r="B6" t="n">
        <v>7.7745</v>
      </c>
      <c r="C6" t="n">
        <v>7.7745</v>
      </c>
      <c r="D6" t="n">
        <v>6.6171</v>
      </c>
      <c r="E6" t="n">
        <v>5.0875</v>
      </c>
      <c r="F6" t="n">
        <v>4.601</v>
      </c>
      <c r="G6" t="n">
        <v>2.7566</v>
      </c>
      <c r="H6" t="n">
        <v>1.6543</v>
      </c>
      <c r="I6" t="n">
        <v>0.9360000000000001</v>
      </c>
      <c r="J6" t="n">
        <v>0.4301</v>
      </c>
      <c r="K6" t="n">
        <v>0</v>
      </c>
      <c r="L6" t="n">
        <v>0</v>
      </c>
      <c r="M6" t="n">
        <v>0</v>
      </c>
    </row>
    <row r="7">
      <c r="A7" t="inlineStr">
        <is>
          <t>June 5, 2028</t>
        </is>
      </c>
      <c r="B7" t="n">
        <v>7.7745</v>
      </c>
      <c r="C7" t="n">
        <v>7.7745</v>
      </c>
      <c r="D7" t="n">
        <v>6.7872</v>
      </c>
      <c r="E7" t="n">
        <v>5.1979</v>
      </c>
      <c r="F7" t="n">
        <v>4.7002</v>
      </c>
      <c r="G7" t="n">
        <v>2.8546</v>
      </c>
      <c r="H7" t="n">
        <v>1.7874</v>
      </c>
      <c r="I7" t="n">
        <v>1.109</v>
      </c>
      <c r="J7" t="n">
        <v>0.6395</v>
      </c>
      <c r="K7" t="n">
        <v>0</v>
      </c>
      <c r="L7" t="n">
        <v>0</v>
      </c>
      <c r="M7" t="n">
        <v>0</v>
      </c>
    </row>
    <row r="8">
      <c r="A8" t="inlineStr">
        <is>
          <t>June 5, 2029</t>
        </is>
      </c>
      <c r="B8" t="n">
        <v>7.7745</v>
      </c>
      <c r="C8" t="n">
        <v>7.7745</v>
      </c>
      <c r="D8" t="n">
        <v>6.6507</v>
      </c>
      <c r="E8" t="n">
        <v>4.5637</v>
      </c>
      <c r="F8" t="n">
        <v>3.8873</v>
      </c>
      <c r="G8" t="n">
        <v>1.2534</v>
      </c>
      <c r="H8" t="n">
        <v>0</v>
      </c>
      <c r="I8" t="n">
        <v>0</v>
      </c>
      <c r="J8" t="n">
        <v>0</v>
      </c>
      <c r="K8" t="n">
        <v>0</v>
      </c>
      <c r="L8" t="n">
        <v>0</v>
      </c>
      <c r="M8" t="n">
        <v>0</v>
      </c>
    </row>
    <row r="9">
      <c r="A9" s="8" t="inlineStr">
        <is>
          <t>Jun-2031 notes - max conversion rate 27.2108 - source: 6-K 2025-06-02 acc 0001104659-25-055197 tm2516825d1_ex99-5.htm | https://www.sec.gov/Archives/edgar/data/1513845/000110465925055197/tm2516825d1_ex99-5.htm</t>
        </is>
      </c>
    </row>
    <row r="10">
      <c r="A10" s="1" t="inlineStr">
        <is>
          <t>Effective date \ Share price ($)</t>
        </is>
      </c>
      <c r="B10" s="1" t="n">
        <v>36.75</v>
      </c>
      <c r="C10" s="1" t="n">
        <v>42</v>
      </c>
      <c r="D10" s="1" t="n">
        <v>46</v>
      </c>
      <c r="E10" s="1" t="n">
        <v>50</v>
      </c>
      <c r="F10" s="1" t="n">
        <v>51.45</v>
      </c>
      <c r="G10" s="1" t="n">
        <v>58</v>
      </c>
      <c r="H10" s="1" t="n">
        <v>63</v>
      </c>
      <c r="I10" s="1" t="n">
        <v>66.88500000000001</v>
      </c>
      <c r="J10" s="1" t="n">
        <v>70</v>
      </c>
      <c r="K10" s="1" t="n">
        <v>80</v>
      </c>
      <c r="L10" s="1" t="n">
        <v>90</v>
      </c>
      <c r="M10" s="1" t="n">
        <v>100</v>
      </c>
      <c r="N10" s="1" t="n">
        <v>110</v>
      </c>
    </row>
    <row r="11">
      <c r="A11" t="inlineStr">
        <is>
          <t>June 5, 2025</t>
        </is>
      </c>
      <c r="B11" t="n">
        <v>7.7745</v>
      </c>
      <c r="C11" t="n">
        <v>7.7745</v>
      </c>
      <c r="D11" t="n">
        <v>7.1546</v>
      </c>
      <c r="E11" t="n">
        <v>6.394</v>
      </c>
      <c r="F11" t="n">
        <v>6.1326</v>
      </c>
      <c r="G11" t="n">
        <v>5.0384</v>
      </c>
      <c r="H11" t="n">
        <v>4.2908</v>
      </c>
      <c r="I11" t="n">
        <v>3.7574</v>
      </c>
      <c r="J11" t="n">
        <v>3.3435</v>
      </c>
      <c r="K11" t="n">
        <v>2.173</v>
      </c>
      <c r="L11" t="n">
        <v>1.1916</v>
      </c>
      <c r="M11" t="n">
        <v>0.3646</v>
      </c>
      <c r="N11" t="n">
        <v>0</v>
      </c>
    </row>
    <row r="12">
      <c r="A12" t="inlineStr">
        <is>
          <t>June 5, 2026</t>
        </is>
      </c>
      <c r="B12" t="n">
        <v>7.7745</v>
      </c>
      <c r="C12" t="n">
        <v>7.7745</v>
      </c>
      <c r="D12" t="n">
        <v>7.0706</v>
      </c>
      <c r="E12" t="n">
        <v>6.1759</v>
      </c>
      <c r="F12" t="n">
        <v>5.8691</v>
      </c>
      <c r="G12" t="n">
        <v>4.5946</v>
      </c>
      <c r="H12" t="n">
        <v>3.7377</v>
      </c>
      <c r="I12" t="n">
        <v>3.1366</v>
      </c>
      <c r="J12" t="n">
        <v>2.6808</v>
      </c>
      <c r="K12" t="n">
        <v>1.43</v>
      </c>
      <c r="L12" t="n">
        <v>0.4384</v>
      </c>
      <c r="M12" t="n">
        <v>0</v>
      </c>
      <c r="N12" t="n">
        <v>0</v>
      </c>
    </row>
    <row r="13">
      <c r="A13" t="inlineStr">
        <is>
          <t>June 5, 2027</t>
        </is>
      </c>
      <c r="B13" t="n">
        <v>7.7745</v>
      </c>
      <c r="C13" t="n">
        <v>7.7745</v>
      </c>
      <c r="D13" t="n">
        <v>7.0775</v>
      </c>
      <c r="E13" t="n">
        <v>5.9212</v>
      </c>
      <c r="F13" t="n">
        <v>5.5094</v>
      </c>
      <c r="G13" t="n">
        <v>3.692</v>
      </c>
      <c r="H13" t="n">
        <v>2.3212</v>
      </c>
      <c r="I13" t="n">
        <v>1.2197</v>
      </c>
      <c r="J13" t="n">
        <v>0.2923</v>
      </c>
      <c r="K13" t="n">
        <v>0</v>
      </c>
      <c r="L13" t="n">
        <v>0</v>
      </c>
      <c r="M13" t="n">
        <v>0</v>
      </c>
      <c r="N13" t="n">
        <v>0</v>
      </c>
    </row>
    <row r="14">
      <c r="A14" t="inlineStr">
        <is>
          <t>June 5, 2028</t>
        </is>
      </c>
      <c r="B14" t="n">
        <v>7.7745</v>
      </c>
      <c r="C14" t="n">
        <v>7.7745</v>
      </c>
      <c r="D14" t="n">
        <v>7.666</v>
      </c>
      <c r="E14" t="n">
        <v>6.4866</v>
      </c>
      <c r="F14" t="n">
        <v>6.0673</v>
      </c>
      <c r="G14" t="n">
        <v>4.2258</v>
      </c>
      <c r="H14" t="n">
        <v>2.8782</v>
      </c>
      <c r="I14" t="n">
        <v>1.8646</v>
      </c>
      <c r="J14" t="n">
        <v>1.0643</v>
      </c>
      <c r="K14" t="n">
        <v>0</v>
      </c>
      <c r="L14" t="n">
        <v>0</v>
      </c>
      <c r="M14" t="n">
        <v>0</v>
      </c>
      <c r="N14" t="n">
        <v>0</v>
      </c>
    </row>
    <row r="15">
      <c r="A15" t="inlineStr">
        <is>
          <t>June 5, 2029</t>
        </is>
      </c>
      <c r="B15" t="n">
        <v>7.7745</v>
      </c>
      <c r="C15" t="n">
        <v>7.7745</v>
      </c>
      <c r="D15" t="n">
        <v>7.7745</v>
      </c>
      <c r="E15" t="n">
        <v>6.9818</v>
      </c>
      <c r="F15" t="n">
        <v>6.5564</v>
      </c>
      <c r="G15" t="n">
        <v>4.696</v>
      </c>
      <c r="H15" t="n">
        <v>3.3374</v>
      </c>
      <c r="I15" t="n">
        <v>2.3164</v>
      </c>
      <c r="J15" t="n">
        <v>1.5142</v>
      </c>
      <c r="K15" t="n">
        <v>0</v>
      </c>
      <c r="L15" t="n">
        <v>0</v>
      </c>
      <c r="M15" t="n">
        <v>0</v>
      </c>
      <c r="N15" t="n">
        <v>0</v>
      </c>
    </row>
    <row r="16">
      <c r="A16" t="inlineStr">
        <is>
          <t>June 5, 2030</t>
        </is>
      </c>
      <c r="B16" t="n">
        <v>7.7745</v>
      </c>
      <c r="C16" t="n">
        <v>7.7745</v>
      </c>
      <c r="D16" t="n">
        <v>7.7745</v>
      </c>
      <c r="E16" t="n">
        <v>7.0927</v>
      </c>
      <c r="F16" t="n">
        <v>6.6488</v>
      </c>
      <c r="G16" t="n">
        <v>4.7754</v>
      </c>
      <c r="H16" t="n">
        <v>3.4767</v>
      </c>
      <c r="I16" t="n">
        <v>2.5371</v>
      </c>
      <c r="J16" t="n">
        <v>1.8202</v>
      </c>
      <c r="K16" t="n">
        <v>0</v>
      </c>
      <c r="L16" t="n">
        <v>0</v>
      </c>
      <c r="M16" t="n">
        <v>0</v>
      </c>
      <c r="N16" t="n">
        <v>0</v>
      </c>
    </row>
    <row r="17">
      <c r="A17" t="inlineStr">
        <is>
          <t>June 5, 2031</t>
        </is>
      </c>
      <c r="B17" t="n">
        <v>7.7745</v>
      </c>
      <c r="C17" t="n">
        <v>7.7745</v>
      </c>
      <c r="D17" t="n">
        <v>7.7745</v>
      </c>
      <c r="E17" t="n">
        <v>6.6235</v>
      </c>
      <c r="F17" t="n">
        <v>5.9524</v>
      </c>
      <c r="G17" t="n">
        <v>2.9213</v>
      </c>
      <c r="H17" t="n">
        <v>0.6075</v>
      </c>
      <c r="I17" t="n">
        <v>0</v>
      </c>
      <c r="J17" t="n">
        <v>0</v>
      </c>
      <c r="K17" t="n">
        <v>0</v>
      </c>
      <c r="L17" t="n">
        <v>0</v>
      </c>
      <c r="M17" t="n">
        <v>0</v>
      </c>
      <c r="N17" t="n">
        <v>0</v>
      </c>
    </row>
    <row r="18">
      <c r="A18" s="8" t="inlineStr">
        <is>
          <t>Sep-2030 notes - max conversion rate 10.8108 - source: 6-K 2025-09-15 acc 0001104659-25-089969 tm2525580d4_ex4-1.htm | https://www.sec.gov/Archives/edgar/data/1513845/000110465925089969/tm2525580d4_ex4-1.htm</t>
        </is>
      </c>
    </row>
    <row r="19">
      <c r="A19" s="1" t="inlineStr">
        <is>
          <t>Effective date \ Share price ($)</t>
        </is>
      </c>
      <c r="B19" s="1" t="n">
        <v>92.5</v>
      </c>
      <c r="C19" s="1" t="n">
        <v>105</v>
      </c>
      <c r="D19" s="1" t="n">
        <v>120</v>
      </c>
      <c r="E19" s="1" t="n">
        <v>138.75</v>
      </c>
      <c r="F19" s="1" t="n">
        <v>155</v>
      </c>
      <c r="G19" s="1" t="n">
        <v>180.38</v>
      </c>
      <c r="H19" s="1" t="n">
        <v>200</v>
      </c>
      <c r="I19" s="1" t="n">
        <v>225</v>
      </c>
      <c r="J19" s="1" t="n">
        <v>250</v>
      </c>
      <c r="K19" s="1" t="n">
        <v>300</v>
      </c>
      <c r="L19" s="1" t="n">
        <v>350</v>
      </c>
      <c r="M19" s="1" t="n">
        <v>400</v>
      </c>
      <c r="N19" s="1" t="n">
        <v>500</v>
      </c>
      <c r="O19" s="1" t="n">
        <v>600</v>
      </c>
    </row>
    <row r="20">
      <c r="A20" t="inlineStr">
        <is>
          <t>September 15, 2025</t>
        </is>
      </c>
      <c r="B20" t="n">
        <v>3.6036</v>
      </c>
      <c r="C20" t="n">
        <v>3.1377</v>
      </c>
      <c r="D20" t="n">
        <v>2.4557</v>
      </c>
      <c r="E20" t="n">
        <v>1.8515</v>
      </c>
      <c r="F20" t="n">
        <v>1.4733</v>
      </c>
      <c r="G20" t="n">
        <v>1.0553</v>
      </c>
      <c r="H20" t="n">
        <v>0.8267</v>
      </c>
      <c r="I20" t="n">
        <v>0.6132</v>
      </c>
      <c r="J20" t="n">
        <v>0.4591</v>
      </c>
      <c r="K20" t="n">
        <v>0.2601</v>
      </c>
      <c r="L20" t="n">
        <v>0.1459</v>
      </c>
      <c r="M20" t="n">
        <v>0.07829999999999999</v>
      </c>
      <c r="N20" t="n">
        <v>0.0154</v>
      </c>
      <c r="O20" t="n">
        <v>0</v>
      </c>
    </row>
    <row r="21">
      <c r="A21" t="inlineStr">
        <is>
          <t>September 15, 2026</t>
        </is>
      </c>
      <c r="B21" t="n">
        <v>3.6036</v>
      </c>
      <c r="C21" t="n">
        <v>3.2583</v>
      </c>
      <c r="D21" t="n">
        <v>2.5147</v>
      </c>
      <c r="E21" t="n">
        <v>1.8615</v>
      </c>
      <c r="F21" t="n">
        <v>1.4572</v>
      </c>
      <c r="G21" t="n">
        <v>1.015</v>
      </c>
      <c r="H21" t="n">
        <v>0.7775</v>
      </c>
      <c r="I21" t="n">
        <v>0.5598</v>
      </c>
      <c r="J21" t="n">
        <v>0.4062</v>
      </c>
      <c r="K21" t="n">
        <v>0.2146</v>
      </c>
      <c r="L21" t="n">
        <v>0.1103</v>
      </c>
      <c r="M21" t="n">
        <v>0.0524</v>
      </c>
      <c r="N21" t="n">
        <v>0.0053</v>
      </c>
      <c r="O21" t="n">
        <v>0</v>
      </c>
    </row>
    <row r="22">
      <c r="A22" t="inlineStr">
        <is>
          <t>September 15, 2027</t>
        </is>
      </c>
      <c r="B22" t="n">
        <v>3.6036</v>
      </c>
      <c r="C22" t="n">
        <v>3.2881</v>
      </c>
      <c r="D22" t="n">
        <v>2.4637</v>
      </c>
      <c r="E22" t="n">
        <v>1.7479</v>
      </c>
      <c r="F22" t="n">
        <v>1.3133</v>
      </c>
      <c r="G22" t="n">
        <v>0.852</v>
      </c>
      <c r="H22" t="n">
        <v>0.6145</v>
      </c>
      <c r="I22" t="n">
        <v>0.407</v>
      </c>
      <c r="J22" t="n">
        <v>0.2693</v>
      </c>
      <c r="K22" t="n">
        <v>0.1139</v>
      </c>
      <c r="L22" t="n">
        <v>0.0425</v>
      </c>
      <c r="M22" t="n">
        <v>0.0113</v>
      </c>
      <c r="N22" t="n">
        <v>0</v>
      </c>
      <c r="O22" t="n">
        <v>0</v>
      </c>
    </row>
    <row r="23">
      <c r="A23" t="inlineStr">
        <is>
          <t>September 15, 2028</t>
        </is>
      </c>
      <c r="B23" t="n">
        <v>3.6036</v>
      </c>
      <c r="C23" t="n">
        <v>3.3966</v>
      </c>
      <c r="D23" t="n">
        <v>2.4366</v>
      </c>
      <c r="E23" t="n">
        <v>1.5642</v>
      </c>
      <c r="F23" t="n">
        <v>0.9997</v>
      </c>
      <c r="G23" t="n">
        <v>0.3464</v>
      </c>
      <c r="H23" t="n">
        <v>0.0141</v>
      </c>
      <c r="I23" t="n">
        <v>0</v>
      </c>
      <c r="J23" t="n">
        <v>0</v>
      </c>
      <c r="K23" t="n">
        <v>0</v>
      </c>
      <c r="L23" t="n">
        <v>0</v>
      </c>
      <c r="M23" t="n">
        <v>0</v>
      </c>
      <c r="N23" t="n">
        <v>0</v>
      </c>
      <c r="O23" t="n">
        <v>0</v>
      </c>
    </row>
    <row r="24">
      <c r="A24" t="inlineStr">
        <is>
          <t>September 15, 2029</t>
        </is>
      </c>
      <c r="B24" t="n">
        <v>3.6036</v>
      </c>
      <c r="C24" t="n">
        <v>3.561</v>
      </c>
      <c r="D24" t="n">
        <v>2.5209</v>
      </c>
      <c r="E24" t="n">
        <v>1.6087</v>
      </c>
      <c r="F24" t="n">
        <v>1.0441</v>
      </c>
      <c r="G24" t="n">
        <v>0.4235</v>
      </c>
      <c r="H24" t="n">
        <v>0.0876</v>
      </c>
      <c r="I24" t="n">
        <v>0</v>
      </c>
      <c r="J24" t="n">
        <v>0</v>
      </c>
      <c r="K24" t="n">
        <v>0</v>
      </c>
      <c r="L24" t="n">
        <v>0</v>
      </c>
      <c r="M24" t="n">
        <v>0</v>
      </c>
      <c r="N24" t="n">
        <v>0</v>
      </c>
      <c r="O24" t="n">
        <v>0</v>
      </c>
    </row>
    <row r="25">
      <c r="A25" t="inlineStr">
        <is>
          <t>September 15, 2030</t>
        </is>
      </c>
      <c r="B25" t="n">
        <v>3.6036</v>
      </c>
      <c r="C25" t="n">
        <v>3.6036</v>
      </c>
      <c r="D25" t="n">
        <v>2.3761</v>
      </c>
      <c r="E25" t="n">
        <v>1.0811</v>
      </c>
      <c r="F25" t="n">
        <v>0.2122</v>
      </c>
      <c r="G25" t="n">
        <v>0</v>
      </c>
      <c r="H25" t="n">
        <v>0</v>
      </c>
      <c r="I25" t="n">
        <v>0</v>
      </c>
      <c r="J25" t="n">
        <v>0</v>
      </c>
      <c r="K25" t="n">
        <v>0</v>
      </c>
      <c r="L25" t="n">
        <v>0</v>
      </c>
      <c r="M25" t="n">
        <v>0</v>
      </c>
      <c r="N25" t="n">
        <v>0</v>
      </c>
      <c r="O25" t="n">
        <v>0</v>
      </c>
    </row>
    <row r="26">
      <c r="A26" s="8" t="inlineStr">
        <is>
          <t>Sep-2032 notes - max conversion rate 10.8108 - source: 6-K 2025-09-15 acc 0001104659-25-089969 tm2525580d4_ex4-3.htm | https://www.sec.gov/Archives/edgar/data/1513845/000110465925089969/tm2525580d4_ex4-3.htm</t>
        </is>
      </c>
    </row>
    <row r="27">
      <c r="A27" s="1" t="inlineStr">
        <is>
          <t>Effective date \ Share price ($)</t>
        </is>
      </c>
      <c r="B27" s="1" t="n">
        <v>92.5</v>
      </c>
      <c r="C27" s="1" t="n">
        <v>105</v>
      </c>
      <c r="D27" s="1" t="n">
        <v>120</v>
      </c>
      <c r="E27" s="1" t="n">
        <v>138.75</v>
      </c>
      <c r="F27" s="1" t="n">
        <v>155</v>
      </c>
      <c r="G27" s="1" t="n">
        <v>180.38</v>
      </c>
      <c r="H27" s="1" t="n">
        <v>200</v>
      </c>
      <c r="I27" s="1" t="n">
        <v>225</v>
      </c>
      <c r="J27" s="1" t="n">
        <v>250</v>
      </c>
      <c r="K27" s="1" t="n">
        <v>300</v>
      </c>
      <c r="L27" s="1" t="n">
        <v>350</v>
      </c>
      <c r="M27" s="1" t="n">
        <v>425</v>
      </c>
      <c r="N27" s="1" t="n">
        <v>500</v>
      </c>
      <c r="O27" s="1" t="n">
        <v>600</v>
      </c>
      <c r="P27" s="1" t="n">
        <v>750</v>
      </c>
    </row>
    <row r="28">
      <c r="A28" t="inlineStr">
        <is>
          <t>September 15, 2025</t>
        </is>
      </c>
      <c r="B28" t="n">
        <v>3.6036</v>
      </c>
      <c r="C28" t="n">
        <v>3.1788</v>
      </c>
      <c r="D28" t="n">
        <v>2.5222</v>
      </c>
      <c r="E28" t="n">
        <v>1.9359</v>
      </c>
      <c r="F28" t="n">
        <v>1.5659</v>
      </c>
      <c r="G28" t="n">
        <v>1.1515</v>
      </c>
      <c r="H28" t="n">
        <v>0.9221</v>
      </c>
      <c r="I28" t="n">
        <v>0.7048</v>
      </c>
      <c r="J28" t="n">
        <v>0.5452</v>
      </c>
      <c r="K28" t="n">
        <v>0.3338</v>
      </c>
      <c r="L28" t="n">
        <v>0.2068</v>
      </c>
      <c r="M28" t="n">
        <v>0.09859999999999999</v>
      </c>
      <c r="N28" t="n">
        <v>0.0423</v>
      </c>
      <c r="O28" t="n">
        <v>0.008</v>
      </c>
      <c r="P28" t="n">
        <v>0</v>
      </c>
    </row>
    <row r="29">
      <c r="A29" t="inlineStr">
        <is>
          <t>September 15, 2026</t>
        </is>
      </c>
      <c r="B29" t="n">
        <v>3.6036</v>
      </c>
      <c r="C29" t="n">
        <v>3.1878</v>
      </c>
      <c r="D29" t="n">
        <v>2.4892</v>
      </c>
      <c r="E29" t="n">
        <v>1.8711</v>
      </c>
      <c r="F29" t="n">
        <v>1.4854</v>
      </c>
      <c r="G29" t="n">
        <v>1.0605</v>
      </c>
      <c r="H29" t="n">
        <v>0.8296</v>
      </c>
      <c r="I29" t="n">
        <v>0.6153</v>
      </c>
      <c r="J29" t="n">
        <v>0.4615</v>
      </c>
      <c r="K29" t="n">
        <v>0.2648</v>
      </c>
      <c r="L29" t="n">
        <v>0.1524</v>
      </c>
      <c r="M29" t="n">
        <v>0.0626</v>
      </c>
      <c r="N29" t="n">
        <v>0.0204</v>
      </c>
      <c r="O29" t="n">
        <v>0.0005</v>
      </c>
      <c r="P29" t="n">
        <v>0</v>
      </c>
    </row>
    <row r="30">
      <c r="A30" t="inlineStr">
        <is>
          <t>September 15, 2027</t>
        </is>
      </c>
      <c r="B30" t="n">
        <v>3.6036</v>
      </c>
      <c r="C30" t="n">
        <v>3.1363</v>
      </c>
      <c r="D30" t="n">
        <v>2.3779</v>
      </c>
      <c r="E30" t="n">
        <v>1.7138</v>
      </c>
      <c r="F30" t="n">
        <v>1.3066</v>
      </c>
      <c r="G30" t="n">
        <v>0.8712</v>
      </c>
      <c r="H30" t="n">
        <v>0.644</v>
      </c>
      <c r="I30" t="n">
        <v>0.4425</v>
      </c>
      <c r="J30" t="n">
        <v>0.3061</v>
      </c>
      <c r="K30" t="n">
        <v>0.1464</v>
      </c>
      <c r="L30" t="n">
        <v>0.0669</v>
      </c>
      <c r="M30" t="n">
        <v>0.0148</v>
      </c>
      <c r="N30" t="n">
        <v>0</v>
      </c>
      <c r="O30" t="n">
        <v>0</v>
      </c>
      <c r="P30" t="n">
        <v>0</v>
      </c>
    </row>
    <row r="31">
      <c r="A31" t="inlineStr">
        <is>
          <t>September 15, 2028</t>
        </is>
      </c>
      <c r="B31" t="n">
        <v>3.6036</v>
      </c>
      <c r="C31" t="n">
        <v>3.122</v>
      </c>
      <c r="D31" t="n">
        <v>2.2331</v>
      </c>
      <c r="E31" t="n">
        <v>1.4167</v>
      </c>
      <c r="F31" t="n">
        <v>0.8877</v>
      </c>
      <c r="G31" t="n">
        <v>0.2767</v>
      </c>
      <c r="H31" t="n">
        <v>0.0128</v>
      </c>
      <c r="I31" t="n">
        <v>0</v>
      </c>
      <c r="J31" t="n">
        <v>0</v>
      </c>
      <c r="K31" t="n">
        <v>0</v>
      </c>
      <c r="L31" t="n">
        <v>0</v>
      </c>
      <c r="M31" t="n">
        <v>0</v>
      </c>
      <c r="N31" t="n">
        <v>0</v>
      </c>
      <c r="O31" t="n">
        <v>0</v>
      </c>
      <c r="P31" t="n">
        <v>0</v>
      </c>
    </row>
    <row r="32">
      <c r="A32" t="inlineStr">
        <is>
          <t>September 15, 2029</t>
        </is>
      </c>
      <c r="B32" t="n">
        <v>3.6036</v>
      </c>
      <c r="C32" t="n">
        <v>3.3292</v>
      </c>
      <c r="D32" t="n">
        <v>2.3932</v>
      </c>
      <c r="E32" t="n">
        <v>1.5362</v>
      </c>
      <c r="F32" t="n">
        <v>0.9822</v>
      </c>
      <c r="G32" t="n">
        <v>0.3433</v>
      </c>
      <c r="H32" t="n">
        <v>0.014</v>
      </c>
      <c r="I32" t="n">
        <v>0</v>
      </c>
      <c r="J32" t="n">
        <v>0</v>
      </c>
      <c r="K32" t="n">
        <v>0</v>
      </c>
      <c r="L32" t="n">
        <v>0</v>
      </c>
      <c r="M32" t="n">
        <v>0</v>
      </c>
      <c r="N32" t="n">
        <v>0</v>
      </c>
      <c r="O32" t="n">
        <v>0</v>
      </c>
      <c r="P32" t="n">
        <v>0</v>
      </c>
    </row>
    <row r="33">
      <c r="A33" t="inlineStr">
        <is>
          <t>September 15, 2030</t>
        </is>
      </c>
      <c r="B33" t="n">
        <v>3.6036</v>
      </c>
      <c r="C33" t="n">
        <v>3.5227</v>
      </c>
      <c r="D33" t="n">
        <v>2.5417</v>
      </c>
      <c r="E33" t="n">
        <v>1.6557</v>
      </c>
      <c r="F33" t="n">
        <v>1.0901</v>
      </c>
      <c r="G33" t="n">
        <v>0.4487</v>
      </c>
      <c r="H33" t="n">
        <v>0.0888</v>
      </c>
      <c r="I33" t="n">
        <v>0</v>
      </c>
      <c r="J33" t="n">
        <v>0</v>
      </c>
      <c r="K33" t="n">
        <v>0</v>
      </c>
      <c r="L33" t="n">
        <v>0</v>
      </c>
      <c r="M33" t="n">
        <v>0</v>
      </c>
      <c r="N33" t="n">
        <v>0</v>
      </c>
      <c r="O33" t="n">
        <v>0</v>
      </c>
      <c r="P33" t="n">
        <v>0</v>
      </c>
    </row>
    <row r="34">
      <c r="A34" t="inlineStr">
        <is>
          <t>September 15, 2031</t>
        </is>
      </c>
      <c r="B34" t="n">
        <v>3.6036</v>
      </c>
      <c r="C34" t="n">
        <v>3.6036</v>
      </c>
      <c r="D34" t="n">
        <v>2.5788</v>
      </c>
      <c r="E34" t="n">
        <v>1.6524</v>
      </c>
      <c r="F34" t="n">
        <v>1.0749</v>
      </c>
      <c r="G34" t="n">
        <v>0.4358</v>
      </c>
      <c r="H34" t="n">
        <v>0.0885</v>
      </c>
      <c r="I34" t="n">
        <v>0</v>
      </c>
      <c r="J34" t="n">
        <v>0</v>
      </c>
      <c r="K34" t="n">
        <v>0</v>
      </c>
      <c r="L34" t="n">
        <v>0</v>
      </c>
      <c r="M34" t="n">
        <v>0</v>
      </c>
      <c r="N34" t="n">
        <v>0</v>
      </c>
      <c r="O34" t="n">
        <v>0</v>
      </c>
      <c r="P34" t="n">
        <v>0</v>
      </c>
    </row>
    <row r="35">
      <c r="A35" t="inlineStr">
        <is>
          <t>September 15, 2032</t>
        </is>
      </c>
      <c r="B35" t="n">
        <v>3.6036</v>
      </c>
      <c r="C35" t="n">
        <v>3.6036</v>
      </c>
      <c r="D35" t="n">
        <v>2.3761</v>
      </c>
      <c r="E35" t="n">
        <v>1.0811</v>
      </c>
      <c r="F35" t="n">
        <v>0.2122</v>
      </c>
      <c r="G35" t="n">
        <v>0</v>
      </c>
      <c r="H35" t="n">
        <v>0</v>
      </c>
      <c r="I35" t="n">
        <v>0</v>
      </c>
      <c r="J35" t="n">
        <v>0</v>
      </c>
      <c r="K35" t="n">
        <v>0</v>
      </c>
      <c r="L35" t="n">
        <v>0</v>
      </c>
      <c r="M35" t="n">
        <v>0</v>
      </c>
      <c r="N35" t="n">
        <v>0</v>
      </c>
      <c r="O35" t="n">
        <v>0</v>
      </c>
      <c r="P35" t="n">
        <v>0</v>
      </c>
    </row>
    <row r="36">
      <c r="A36" s="8" t="inlineStr">
        <is>
          <t>Mar-2031 notes - max conversion rate 8.5962 - source: 6-K 2026-03-20 acc 0001104659-26-032735 tm268409d4_ex4-1.htm | https://www.sec.gov/Archives/edgar/data/1513845/000110465926032735/tm268409d4_ex4-1.htm</t>
        </is>
      </c>
    </row>
    <row r="37">
      <c r="A37" s="1" t="inlineStr">
        <is>
          <t>Effective date \ Share price ($)</t>
        </is>
      </c>
      <c r="B37" s="1" t="n">
        <v>116.33</v>
      </c>
      <c r="C37" s="1" t="n">
        <v>150</v>
      </c>
      <c r="D37" s="1" t="n">
        <v>183.22</v>
      </c>
      <c r="E37" s="1" t="n">
        <v>200</v>
      </c>
      <c r="F37" s="1" t="n">
        <v>238.19</v>
      </c>
      <c r="G37" s="1" t="n">
        <v>275</v>
      </c>
      <c r="H37" s="1" t="n">
        <v>325</v>
      </c>
      <c r="I37" s="1" t="n">
        <v>400</v>
      </c>
      <c r="J37" s="1" t="n">
        <v>500</v>
      </c>
      <c r="K37" s="1" t="n">
        <v>650</v>
      </c>
      <c r="L37" s="1" t="n">
        <v>800</v>
      </c>
      <c r="M37" s="1" t="n"/>
      <c r="N37" s="1" t="n"/>
      <c r="O37" s="1" t="n"/>
      <c r="P37" s="1" t="n"/>
    </row>
    <row r="38">
      <c r="A38" t="inlineStr">
        <is>
          <t>March 20, 2026</t>
        </is>
      </c>
      <c r="B38" t="n">
        <v>3.1383</v>
      </c>
      <c r="C38" t="n">
        <v>1.9631</v>
      </c>
      <c r="D38" t="n">
        <v>1.3039</v>
      </c>
      <c r="E38" t="n">
        <v>1.0753</v>
      </c>
      <c r="F38" t="n">
        <v>0.7101</v>
      </c>
      <c r="G38" t="n">
        <v>0.4861</v>
      </c>
      <c r="H38" t="n">
        <v>0.2953</v>
      </c>
      <c r="I38" t="n">
        <v>0.1392</v>
      </c>
      <c r="J38" t="n">
        <v>0.0451</v>
      </c>
      <c r="K38" t="n">
        <v>0.0021</v>
      </c>
      <c r="L38" t="n">
        <v>0</v>
      </c>
    </row>
    <row r="39">
      <c r="A39" t="inlineStr">
        <is>
          <t>March 15, 2027</t>
        </is>
      </c>
      <c r="B39" t="n">
        <v>3.1383</v>
      </c>
      <c r="C39" t="n">
        <v>2.0641</v>
      </c>
      <c r="D39" t="n">
        <v>1.3391</v>
      </c>
      <c r="E39" t="n">
        <v>1.09</v>
      </c>
      <c r="F39" t="n">
        <v>0.6972</v>
      </c>
      <c r="G39" t="n">
        <v>0.4617</v>
      </c>
      <c r="H39" t="n">
        <v>0.267</v>
      </c>
      <c r="I39" t="n">
        <v>0.1155</v>
      </c>
      <c r="J39" t="n">
        <v>0.0313</v>
      </c>
      <c r="K39" t="n">
        <v>0.0001</v>
      </c>
      <c r="L39" t="n">
        <v>0</v>
      </c>
    </row>
    <row r="40">
      <c r="A40" t="inlineStr">
        <is>
          <t>March 15, 2028</t>
        </is>
      </c>
      <c r="B40" t="n">
        <v>3.1383</v>
      </c>
      <c r="C40" t="n">
        <v>2.1509</v>
      </c>
      <c r="D40" t="n">
        <v>1.3378</v>
      </c>
      <c r="E40" t="n">
        <v>1.0607</v>
      </c>
      <c r="F40" t="n">
        <v>0.6319</v>
      </c>
      <c r="G40" t="n">
        <v>0.3853</v>
      </c>
      <c r="H40" t="n">
        <v>0.1952</v>
      </c>
      <c r="I40" t="n">
        <v>0.065</v>
      </c>
      <c r="J40" t="n">
        <v>0.0086</v>
      </c>
      <c r="K40" t="n">
        <v>0</v>
      </c>
      <c r="L40" t="n">
        <v>0</v>
      </c>
    </row>
    <row r="41">
      <c r="A41" t="inlineStr">
        <is>
          <t>March 15, 2029</t>
        </is>
      </c>
      <c r="B41" t="n">
        <v>3.1383</v>
      </c>
      <c r="C41" t="n">
        <v>2.2729</v>
      </c>
      <c r="D41" t="n">
        <v>1.3482</v>
      </c>
      <c r="E41" t="n">
        <v>1.0253</v>
      </c>
      <c r="F41" t="n">
        <v>0.5026</v>
      </c>
      <c r="G41" t="n">
        <v>0.1716</v>
      </c>
      <c r="H41" t="n">
        <v>0</v>
      </c>
      <c r="I41" t="n">
        <v>0</v>
      </c>
      <c r="J41" t="n">
        <v>0</v>
      </c>
      <c r="K41" t="n">
        <v>0</v>
      </c>
      <c r="L41" t="n">
        <v>0</v>
      </c>
    </row>
    <row r="42">
      <c r="A42" t="inlineStr">
        <is>
          <t>March 15, 2030</t>
        </is>
      </c>
      <c r="B42" t="n">
        <v>3.1383</v>
      </c>
      <c r="C42" t="n">
        <v>2.3756</v>
      </c>
      <c r="D42" t="n">
        <v>1.3439</v>
      </c>
      <c r="E42" t="n">
        <v>1.0022</v>
      </c>
      <c r="F42" t="n">
        <v>0.4883</v>
      </c>
      <c r="G42" t="n">
        <v>0.1962</v>
      </c>
      <c r="H42" t="n">
        <v>0</v>
      </c>
      <c r="I42" t="n">
        <v>0</v>
      </c>
      <c r="J42" t="n">
        <v>0</v>
      </c>
      <c r="K42" t="n">
        <v>0</v>
      </c>
      <c r="L42" t="n">
        <v>0</v>
      </c>
    </row>
    <row r="43">
      <c r="A43" t="inlineStr">
        <is>
          <t>March 15, 2031</t>
        </is>
      </c>
      <c r="B43" t="n">
        <v>3.1383</v>
      </c>
      <c r="C43" t="n">
        <v>2.5421</v>
      </c>
      <c r="D43" t="n">
        <v>1.0916</v>
      </c>
      <c r="E43" t="n">
        <v>0.5421</v>
      </c>
      <c r="F43" t="n">
        <v>0</v>
      </c>
      <c r="G43" t="n">
        <v>0</v>
      </c>
      <c r="H43" t="n">
        <v>0</v>
      </c>
      <c r="I43" t="n">
        <v>0</v>
      </c>
      <c r="J43" t="n">
        <v>0</v>
      </c>
      <c r="K43" t="n">
        <v>0</v>
      </c>
      <c r="L43" t="n">
        <v>0</v>
      </c>
    </row>
    <row r="44">
      <c r="A44" s="8" t="inlineStr">
        <is>
          <t>Mar-2033 notes - max conversion rate 8.5962 - source: 6-K 2026-03-20 acc 0001104659-26-032735 tm268409d4_ex4-3.htm | https://www.sec.gov/Archives/edgar/data/1513845/000110465926032735/tm268409d4_ex4-3.htm</t>
        </is>
      </c>
    </row>
    <row r="45">
      <c r="A45" s="1" t="inlineStr">
        <is>
          <t>Effective date \ Share price ($)</t>
        </is>
      </c>
      <c r="B45" s="1" t="n">
        <v>116.33</v>
      </c>
      <c r="C45" s="1" t="n">
        <v>150</v>
      </c>
      <c r="D45" s="1" t="n">
        <v>180.31</v>
      </c>
      <c r="E45" s="1" t="n">
        <v>200</v>
      </c>
      <c r="F45" s="1" t="n">
        <v>234.4</v>
      </c>
      <c r="G45" s="1" t="n">
        <v>275</v>
      </c>
      <c r="H45" s="1" t="n">
        <v>325</v>
      </c>
      <c r="I45" s="1" t="n">
        <v>400</v>
      </c>
      <c r="J45" s="1" t="n">
        <v>500</v>
      </c>
      <c r="K45" s="1" t="n">
        <v>650</v>
      </c>
      <c r="L45" s="1" t="n">
        <v>800</v>
      </c>
      <c r="M45" s="1" t="n"/>
      <c r="N45" s="1" t="n"/>
      <c r="O45" s="1" t="n"/>
      <c r="P45" s="1" t="n"/>
    </row>
    <row r="46">
      <c r="A46" t="inlineStr">
        <is>
          <t>March 20, 2026</t>
        </is>
      </c>
      <c r="B46" t="n">
        <v>3.0502</v>
      </c>
      <c r="C46" t="n">
        <v>1.9807</v>
      </c>
      <c r="D46" t="n">
        <v>1.412</v>
      </c>
      <c r="E46" t="n">
        <v>1.1536</v>
      </c>
      <c r="F46" t="n">
        <v>0.8303</v>
      </c>
      <c r="G46" t="n">
        <v>0.5796</v>
      </c>
      <c r="H46" t="n">
        <v>0.3823</v>
      </c>
      <c r="I46" t="n">
        <v>0.2102</v>
      </c>
      <c r="J46" t="n">
        <v>0.0935</v>
      </c>
      <c r="K46" t="n">
        <v>0.021</v>
      </c>
      <c r="L46" t="n">
        <v>0</v>
      </c>
    </row>
    <row r="47">
      <c r="A47" t="inlineStr">
        <is>
          <t>March 15, 2027</t>
        </is>
      </c>
      <c r="B47" t="n">
        <v>3.0502</v>
      </c>
      <c r="C47" t="n">
        <v>2.0331</v>
      </c>
      <c r="D47" t="n">
        <v>1.427</v>
      </c>
      <c r="E47" t="n">
        <v>1.1539</v>
      </c>
      <c r="F47" t="n">
        <v>0.8154</v>
      </c>
      <c r="G47" t="n">
        <v>0.5569</v>
      </c>
      <c r="H47" t="n">
        <v>0.3576</v>
      </c>
      <c r="I47" t="n">
        <v>0.1885</v>
      </c>
      <c r="J47" t="n">
        <v>0.0784</v>
      </c>
      <c r="K47" t="n">
        <v>0.0146</v>
      </c>
      <c r="L47" t="n">
        <v>0</v>
      </c>
    </row>
    <row r="48">
      <c r="A48" t="inlineStr">
        <is>
          <t>March 15, 2028</t>
        </is>
      </c>
      <c r="B48" t="n">
        <v>3.0502</v>
      </c>
      <c r="C48" t="n">
        <v>2.0676</v>
      </c>
      <c r="D48" t="n">
        <v>1.4155</v>
      </c>
      <c r="E48" t="n">
        <v>1.1246</v>
      </c>
      <c r="F48" t="n">
        <v>0.7692</v>
      </c>
      <c r="G48" t="n">
        <v>0.5044999999999999</v>
      </c>
      <c r="H48" t="n">
        <v>0.3074</v>
      </c>
      <c r="I48" t="n">
        <v>0.1488</v>
      </c>
      <c r="J48" t="n">
        <v>0.0537</v>
      </c>
      <c r="K48" t="n">
        <v>0.006</v>
      </c>
      <c r="L48" t="n">
        <v>0</v>
      </c>
    </row>
    <row r="49">
      <c r="A49" t="inlineStr">
        <is>
          <t>March 15, 2029</t>
        </is>
      </c>
      <c r="B49" t="n">
        <v>3.0502</v>
      </c>
      <c r="C49" t="n">
        <v>2.0959</v>
      </c>
      <c r="D49" t="n">
        <v>1.3758</v>
      </c>
      <c r="E49" t="n">
        <v>1.0565</v>
      </c>
      <c r="F49" t="n">
        <v>0.6732</v>
      </c>
      <c r="G49" t="n">
        <v>0.4</v>
      </c>
      <c r="H49" t="n">
        <v>0.2128</v>
      </c>
      <c r="I49" t="n">
        <v>0.0819</v>
      </c>
      <c r="J49" t="n">
        <v>0.0189</v>
      </c>
      <c r="K49" t="n">
        <v>0</v>
      </c>
      <c r="L49" t="n">
        <v>0</v>
      </c>
    </row>
    <row r="50">
      <c r="A50" t="inlineStr">
        <is>
          <t>March 15, 2030</t>
        </is>
      </c>
      <c r="B50" t="n">
        <v>3.0502</v>
      </c>
      <c r="C50" t="n">
        <v>2.181</v>
      </c>
      <c r="D50" t="n">
        <v>1.3686</v>
      </c>
      <c r="E50" t="n">
        <v>0.995</v>
      </c>
      <c r="F50" t="n">
        <v>0.5203</v>
      </c>
      <c r="G50" t="n">
        <v>0.142</v>
      </c>
      <c r="H50" t="n">
        <v>0</v>
      </c>
      <c r="I50" t="n">
        <v>0</v>
      </c>
      <c r="J50" t="n">
        <v>0</v>
      </c>
      <c r="K50" t="n">
        <v>0</v>
      </c>
      <c r="L50" t="n">
        <v>0</v>
      </c>
    </row>
    <row r="51">
      <c r="A51" t="inlineStr">
        <is>
          <t>March 15, 2031</t>
        </is>
      </c>
      <c r="B51" t="n">
        <v>3.0502</v>
      </c>
      <c r="C51" t="n">
        <v>2.3066</v>
      </c>
      <c r="D51" t="n">
        <v>1.4408</v>
      </c>
      <c r="E51" t="n">
        <v>1.0504</v>
      </c>
      <c r="F51" t="n">
        <v>0.5636</v>
      </c>
      <c r="G51" t="n">
        <v>0.1843</v>
      </c>
      <c r="H51" t="n">
        <v>0</v>
      </c>
      <c r="I51" t="n">
        <v>0</v>
      </c>
      <c r="J51" t="n">
        <v>0</v>
      </c>
      <c r="K51" t="n">
        <v>0</v>
      </c>
      <c r="L51" t="n">
        <v>0</v>
      </c>
    </row>
    <row r="52">
      <c r="A52" t="inlineStr">
        <is>
          <t>March 15, 2032</t>
        </is>
      </c>
      <c r="B52" t="n">
        <v>3.0502</v>
      </c>
      <c r="C52" t="n">
        <v>2.3645</v>
      </c>
      <c r="D52" t="n">
        <v>1.4112</v>
      </c>
      <c r="E52" t="n">
        <v>1.0038</v>
      </c>
      <c r="F52" t="n">
        <v>0.5304</v>
      </c>
      <c r="G52" t="n">
        <v>0.1965</v>
      </c>
      <c r="H52" t="n">
        <v>0</v>
      </c>
      <c r="I52" t="n">
        <v>0</v>
      </c>
      <c r="J52" t="n">
        <v>0</v>
      </c>
      <c r="K52" t="n">
        <v>0</v>
      </c>
      <c r="L52" t="n">
        <v>0</v>
      </c>
    </row>
    <row r="53">
      <c r="A53" t="inlineStr">
        <is>
          <t>March 15, 2033</t>
        </is>
      </c>
      <c r="B53" t="n">
        <v>3.0502</v>
      </c>
      <c r="C53" t="n">
        <v>2.4541</v>
      </c>
      <c r="D53" t="n">
        <v>1.1093</v>
      </c>
      <c r="E53" t="n">
        <v>0.4541</v>
      </c>
      <c r="F53" t="n">
        <v>0</v>
      </c>
      <c r="G53" t="n">
        <v>0</v>
      </c>
      <c r="H53" t="n">
        <v>0</v>
      </c>
      <c r="I53" t="n">
        <v>0</v>
      </c>
      <c r="J53" t="n">
        <v>0</v>
      </c>
      <c r="K53" t="n">
        <v>0</v>
      </c>
      <c r="L53" t="n">
        <v>0</v>
      </c>
    </row>
    <row r="54">
      <c r="A54" s="8" t="inlineStr">
        <is>
          <t>Feb-2030 notes - max conversion rate 4.4662 - source: 6-K 2026-08-24 acc 0001104659-26-100347 tm2623863d1_ex4-1.htm | https://www.sec.gov/Archives/edgar/data/1513845/000110465926100347/tm2623863d1_ex4-1.htm</t>
        </is>
      </c>
    </row>
    <row r="55">
      <c r="A55" s="1" t="inlineStr">
        <is>
          <t>Effective date \ Share price ($)</t>
        </is>
      </c>
      <c r="B55" s="1" t="n">
        <v>223.9</v>
      </c>
      <c r="C55" s="1" t="n">
        <v>270</v>
      </c>
      <c r="D55" s="1" t="n">
        <v>313.46</v>
      </c>
      <c r="E55" s="1" t="n">
        <v>350</v>
      </c>
      <c r="F55" s="1" t="n">
        <v>407.5</v>
      </c>
      <c r="G55" s="1" t="n">
        <v>500</v>
      </c>
      <c r="H55" s="1" t="n">
        <v>600</v>
      </c>
      <c r="I55" s="1" t="n">
        <v>700</v>
      </c>
      <c r="J55" s="1" t="n">
        <v>800</v>
      </c>
      <c r="K55" s="1" t="n">
        <v>900</v>
      </c>
      <c r="L55" s="1" t="n">
        <v>1000</v>
      </c>
      <c r="M55" s="1" t="n"/>
      <c r="N55" s="1" t="n"/>
      <c r="O55" s="1" t="n"/>
      <c r="P55" s="1" t="n"/>
    </row>
    <row r="56">
      <c r="A56" t="inlineStr">
        <is>
          <t>August 24, 2026</t>
        </is>
      </c>
      <c r="B56" t="n">
        <v>1.276</v>
      </c>
      <c r="C56" t="n">
        <v>0.8449</v>
      </c>
      <c r="D56" t="n">
        <v>0.5888</v>
      </c>
      <c r="E56" t="n">
        <v>0.4411</v>
      </c>
      <c r="F56" t="n">
        <v>0.2851</v>
      </c>
      <c r="G56" t="n">
        <v>0.1445</v>
      </c>
      <c r="H56" t="n">
        <v>0.0687</v>
      </c>
      <c r="I56" t="n">
        <v>0.0304</v>
      </c>
      <c r="J56" t="n">
        <v>0.0113</v>
      </c>
      <c r="K56" t="n">
        <v>0.0026</v>
      </c>
      <c r="L56" t="n">
        <v>0</v>
      </c>
    </row>
    <row r="57">
      <c r="A57" t="inlineStr">
        <is>
          <t>February 15, 2027</t>
        </is>
      </c>
      <c r="B57" t="n">
        <v>1.276</v>
      </c>
      <c r="C57" t="n">
        <v>0.8633999999999999</v>
      </c>
      <c r="D57" t="n">
        <v>0.5944</v>
      </c>
      <c r="E57" t="n">
        <v>0.4404</v>
      </c>
      <c r="F57" t="n">
        <v>0.2795</v>
      </c>
      <c r="G57" t="n">
        <v>0.1372</v>
      </c>
      <c r="H57" t="n">
        <v>0.0626</v>
      </c>
      <c r="I57" t="n">
        <v>0.0262</v>
      </c>
      <c r="J57" t="n">
        <v>0.008800000000000001</v>
      </c>
      <c r="K57" t="n">
        <v>0.0015</v>
      </c>
      <c r="L57" t="n">
        <v>0</v>
      </c>
    </row>
    <row r="58">
      <c r="A58" t="inlineStr">
        <is>
          <t>February 15, 2028</t>
        </is>
      </c>
      <c r="B58" t="n">
        <v>1.276</v>
      </c>
      <c r="C58" t="n">
        <v>0.8915</v>
      </c>
      <c r="D58" t="n">
        <v>0.5905</v>
      </c>
      <c r="E58" t="n">
        <v>0.4223</v>
      </c>
      <c r="F58" t="n">
        <v>0.2523</v>
      </c>
      <c r="G58" t="n">
        <v>0.1111</v>
      </c>
      <c r="H58" t="n">
        <v>0.0437</v>
      </c>
      <c r="I58" t="n">
        <v>0.0145</v>
      </c>
      <c r="J58" t="n">
        <v>0.0029</v>
      </c>
      <c r="K58" t="n">
        <v>0</v>
      </c>
      <c r="L58" t="n">
        <v>0</v>
      </c>
    </row>
    <row r="59">
      <c r="A59" t="inlineStr">
        <is>
          <t>February 15, 2029</t>
        </is>
      </c>
      <c r="B59" t="n">
        <v>1.276</v>
      </c>
      <c r="C59" t="n">
        <v>0.8892</v>
      </c>
      <c r="D59" t="n">
        <v>0.5393</v>
      </c>
      <c r="E59" t="n">
        <v>0.3535</v>
      </c>
      <c r="F59" t="n">
        <v>0.1807</v>
      </c>
      <c r="G59" t="n">
        <v>0.0589</v>
      </c>
      <c r="H59" t="n">
        <v>0.0145</v>
      </c>
      <c r="I59" t="n">
        <v>0.0016</v>
      </c>
      <c r="J59" t="n">
        <v>0</v>
      </c>
      <c r="K59" t="n">
        <v>0</v>
      </c>
      <c r="L59" t="n">
        <v>0</v>
      </c>
    </row>
    <row r="60">
      <c r="A60" t="inlineStr">
        <is>
          <t>February 15, 2030</t>
        </is>
      </c>
      <c r="B60" t="n">
        <v>1.276</v>
      </c>
      <c r="C60" t="n">
        <v>0.5135</v>
      </c>
      <c r="D60" t="n">
        <v>0</v>
      </c>
      <c r="E60" t="n">
        <v>0</v>
      </c>
      <c r="F60" t="n">
        <v>0</v>
      </c>
      <c r="G60" t="n">
        <v>0</v>
      </c>
      <c r="H60" t="n">
        <v>0</v>
      </c>
      <c r="I60" t="n">
        <v>0</v>
      </c>
      <c r="J60" t="n">
        <v>0</v>
      </c>
      <c r="K60" t="n">
        <v>0</v>
      </c>
      <c r="L60" t="n">
        <v>0</v>
      </c>
    </row>
    <row r="61">
      <c r="A61" s="8" t="inlineStr">
        <is>
          <t>Feb-2034 notes - max conversion rate 4.4662 - source: 6-K 2026-08-24 acc 0001104659-26-100347 tm2623863d1_ex4-3.htm | https://www.sec.gov/Archives/edgar/data/1513845/000110465926100347/tm2623863d1_ex4-3.htm</t>
        </is>
      </c>
    </row>
    <row r="62">
      <c r="A62" s="1" t="inlineStr">
        <is>
          <t>Effective date \ Share price ($)</t>
        </is>
      </c>
      <c r="B62" s="1" t="n">
        <v>223.9</v>
      </c>
      <c r="C62" s="1" t="n">
        <v>275</v>
      </c>
      <c r="D62" s="1" t="n">
        <v>324.65</v>
      </c>
      <c r="E62" s="1" t="n">
        <v>375</v>
      </c>
      <c r="F62" s="1" t="n">
        <v>422.05</v>
      </c>
      <c r="G62" s="1" t="n">
        <v>486.98</v>
      </c>
      <c r="H62" s="1" t="n">
        <v>600</v>
      </c>
      <c r="I62" s="1" t="n">
        <v>800</v>
      </c>
      <c r="J62" s="1" t="n">
        <v>1000</v>
      </c>
      <c r="K62" s="1" t="n">
        <v>1500</v>
      </c>
      <c r="L62" s="1" t="n">
        <v>2000</v>
      </c>
      <c r="M62" s="1" t="n"/>
      <c r="N62" s="1" t="n"/>
      <c r="O62" s="1" t="n"/>
      <c r="P62" s="1" t="n"/>
    </row>
    <row r="63">
      <c r="A63" t="inlineStr">
        <is>
          <t>August 24, 2026</t>
        </is>
      </c>
      <c r="B63" t="n">
        <v>1.386</v>
      </c>
      <c r="C63" t="n">
        <v>0.9739</v>
      </c>
      <c r="D63" t="n">
        <v>0.7239</v>
      </c>
      <c r="E63" t="n">
        <v>0.5542</v>
      </c>
      <c r="F63" t="n">
        <v>0.4419</v>
      </c>
      <c r="G63" t="n">
        <v>0.3323</v>
      </c>
      <c r="H63" t="n">
        <v>0.2133</v>
      </c>
      <c r="I63" t="n">
        <v>0.1062</v>
      </c>
      <c r="J63" t="n">
        <v>0.0548</v>
      </c>
      <c r="K63" t="n">
        <v>0.0073</v>
      </c>
      <c r="L63" t="n">
        <v>0</v>
      </c>
    </row>
    <row r="64">
      <c r="A64" t="inlineStr">
        <is>
          <t>February 15, 2027</t>
        </is>
      </c>
      <c r="B64" t="n">
        <v>1.386</v>
      </c>
      <c r="C64" t="n">
        <v>0.9813</v>
      </c>
      <c r="D64" t="n">
        <v>0.725</v>
      </c>
      <c r="E64" t="n">
        <v>0.5521</v>
      </c>
      <c r="F64" t="n">
        <v>0.4383</v>
      </c>
      <c r="G64" t="n">
        <v>0.328</v>
      </c>
      <c r="H64" t="n">
        <v>0.2092</v>
      </c>
      <c r="I64" t="n">
        <v>0.1035</v>
      </c>
      <c r="J64" t="n">
        <v>0.0531</v>
      </c>
      <c r="K64" t="n">
        <v>0.007</v>
      </c>
      <c r="L64" t="n">
        <v>0</v>
      </c>
    </row>
    <row r="65">
      <c r="A65" t="inlineStr">
        <is>
          <t>February 15, 2028</t>
        </is>
      </c>
      <c r="B65" t="n">
        <v>1.386</v>
      </c>
      <c r="C65" t="n">
        <v>0.9997</v>
      </c>
      <c r="D65" t="n">
        <v>0.7278</v>
      </c>
      <c r="E65" t="n">
        <v>0.5469000000000001</v>
      </c>
      <c r="F65" t="n">
        <v>0.4296</v>
      </c>
      <c r="G65" t="n">
        <v>0.3175</v>
      </c>
      <c r="H65" t="n">
        <v>0.1993</v>
      </c>
      <c r="I65" t="n">
        <v>0.0968</v>
      </c>
      <c r="J65" t="n">
        <v>0.0491</v>
      </c>
      <c r="K65" t="n">
        <v>0.0062</v>
      </c>
      <c r="L65" t="n">
        <v>0</v>
      </c>
    </row>
    <row r="66">
      <c r="A66" t="inlineStr">
        <is>
          <t>February 15, 2029</t>
        </is>
      </c>
      <c r="B66" t="n">
        <v>1.386</v>
      </c>
      <c r="C66" t="n">
        <v>1.0219</v>
      </c>
      <c r="D66" t="n">
        <v>0.7296</v>
      </c>
      <c r="E66" t="n">
        <v>0.5385</v>
      </c>
      <c r="F66" t="n">
        <v>0.4167</v>
      </c>
      <c r="G66" t="n">
        <v>0.3026</v>
      </c>
      <c r="H66" t="n">
        <v>0.1857</v>
      </c>
      <c r="I66" t="n">
        <v>0.0882</v>
      </c>
      <c r="J66" t="n">
        <v>0.0441</v>
      </c>
      <c r="K66" t="n">
        <v>0.0052</v>
      </c>
      <c r="L66" t="n">
        <v>0</v>
      </c>
    </row>
    <row r="67">
      <c r="A67" t="inlineStr">
        <is>
          <t>February 15, 2030</t>
        </is>
      </c>
      <c r="B67" t="n">
        <v>1.386</v>
      </c>
      <c r="C67" t="n">
        <v>1.0484</v>
      </c>
      <c r="D67" t="n">
        <v>0.729</v>
      </c>
      <c r="E67" t="n">
        <v>0.5242</v>
      </c>
      <c r="F67" t="n">
        <v>0.3967</v>
      </c>
      <c r="G67" t="n">
        <v>0.2808</v>
      </c>
      <c r="H67" t="n">
        <v>0.1667</v>
      </c>
      <c r="I67" t="n">
        <v>0.07679999999999999</v>
      </c>
      <c r="J67" t="n">
        <v>0.0377</v>
      </c>
      <c r="K67" t="n">
        <v>0.0039</v>
      </c>
      <c r="L67" t="n">
        <v>0</v>
      </c>
    </row>
    <row r="68">
      <c r="A68" t="inlineStr">
        <is>
          <t>February 15, 2031</t>
        </is>
      </c>
      <c r="B68" t="n">
        <v>1.386</v>
      </c>
      <c r="C68" t="n">
        <v>1.0836</v>
      </c>
      <c r="D68" t="n">
        <v>0.7252</v>
      </c>
      <c r="E68" t="n">
        <v>0.5011</v>
      </c>
      <c r="F68" t="n">
        <v>0.3661</v>
      </c>
      <c r="G68" t="n">
        <v>0.2484</v>
      </c>
      <c r="H68" t="n">
        <v>0.1401</v>
      </c>
      <c r="I68" t="n">
        <v>0.0619</v>
      </c>
      <c r="J68" t="n">
        <v>0.0299</v>
      </c>
      <c r="K68" t="n">
        <v>0.003</v>
      </c>
      <c r="L68" t="n">
        <v>0</v>
      </c>
    </row>
    <row r="69">
      <c r="A69" t="inlineStr">
        <is>
          <t>February 15, 2032</t>
        </is>
      </c>
      <c r="B69" t="n">
        <v>1.386</v>
      </c>
      <c r="C69" t="n">
        <v>1.1359</v>
      </c>
      <c r="D69" t="n">
        <v>0.7187</v>
      </c>
      <c r="E69" t="n">
        <v>0.4649</v>
      </c>
      <c r="F69" t="n">
        <v>0.3192</v>
      </c>
      <c r="G69" t="n">
        <v>0.2009</v>
      </c>
      <c r="H69" t="n">
        <v>0.1039</v>
      </c>
      <c r="I69" t="n">
        <v>0.0437</v>
      </c>
      <c r="J69" t="n">
        <v>0.0209</v>
      </c>
      <c r="K69" t="n">
        <v>0.0017</v>
      </c>
      <c r="L69" t="n">
        <v>0</v>
      </c>
    </row>
    <row r="70">
      <c r="A70" t="inlineStr">
        <is>
          <t>February 15, 2033</t>
        </is>
      </c>
      <c r="B70" t="n">
        <v>1.386</v>
      </c>
      <c r="C70" t="n">
        <v>1.2311</v>
      </c>
      <c r="D70" t="n">
        <v>0.7109</v>
      </c>
      <c r="E70" t="n">
        <v>0.3995</v>
      </c>
      <c r="F70" t="n">
        <v>0.236</v>
      </c>
      <c r="G70" t="n">
        <v>0.124</v>
      </c>
      <c r="H70" t="n">
        <v>0.0546</v>
      </c>
      <c r="I70" t="n">
        <v>0.0226</v>
      </c>
      <c r="J70" t="n">
        <v>0.0111</v>
      </c>
      <c r="K70" t="n">
        <v>0.0005999999999999999</v>
      </c>
      <c r="L70" t="n">
        <v>0</v>
      </c>
    </row>
    <row r="71">
      <c r="A71" t="inlineStr">
        <is>
          <t>February 15, 2034</t>
        </is>
      </c>
      <c r="B71" t="n">
        <v>1.386</v>
      </c>
      <c r="C71" t="n">
        <v>0.5561</v>
      </c>
      <c r="D71" t="n">
        <v>0</v>
      </c>
      <c r="E71" t="n">
        <v>0</v>
      </c>
      <c r="F71" t="n">
        <v>0</v>
      </c>
      <c r="G71" t="n">
        <v>0</v>
      </c>
      <c r="H71" t="n">
        <v>0</v>
      </c>
      <c r="I71" t="n">
        <v>0</v>
      </c>
      <c r="J71" t="n">
        <v>0</v>
      </c>
      <c r="K71" t="n">
        <v>0</v>
      </c>
      <c r="L7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3"/>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0" customWidth="1" min="5" max="5"/>
    <col width="16" customWidth="1" min="6" max="6"/>
    <col width="40" customWidth="1" min="7" max="7"/>
    <col width="18" customWidth="1" min="8" max="8"/>
    <col width="16" customWidth="1" min="9" max="9"/>
    <col width="30" customWidth="1" min="10" max="10"/>
    <col width="18" customWidth="1" min="11" max="11"/>
    <col width="26" customWidth="1" min="12" max="12"/>
    <col width="60" customWidth="1" min="13" max="13"/>
  </cols>
  <sheetData>
    <row r="1">
      <c r="A1" s="5" t="inlineStr">
        <is>
          <t>Nebius Group (NBIS) - capital structure &amp; dilution waterfall. $M unless stated; shares in units. Blue = hard-coded input (sourced); black = formula. As of 30-Jun-2026 balance sheet + disclosed post-period events through 1-Oct-2026.</t>
        </is>
      </c>
    </row>
    <row r="3">
      <c r="A3" t="inlineStr">
        <is>
          <t>Share price input ($/share)</t>
        </is>
      </c>
      <c r="B3" s="9" t="n">
        <v>242.81</v>
      </c>
      <c r="C3" t="inlineStr">
        <is>
          <t>Input - Oct 2, 2026 NBIS close as provided by user (not from an SEC filing; change freely)</t>
        </is>
      </c>
    </row>
    <row r="4">
      <c r="A4" t="inlineStr">
        <is>
          <t>Price date</t>
        </is>
      </c>
      <c r="B4" s="2" t="inlineStr">
        <is>
          <t>2026-10-02</t>
        </is>
      </c>
    </row>
    <row r="6">
      <c r="A6" s="10" t="inlineStr">
        <is>
          <t>A. Convertible notes - share count at input price (feeds waterfall)</t>
        </is>
      </c>
      <c r="B6" s="11" t="n"/>
      <c r="C6" s="11" t="n"/>
      <c r="D6" s="11" t="n"/>
      <c r="E6" s="11" t="n"/>
      <c r="F6" s="11" t="n"/>
      <c r="G6" s="11" t="n"/>
      <c r="H6" s="11" t="n"/>
      <c r="I6" s="11" t="n"/>
      <c r="J6" s="11" t="n"/>
      <c r="K6" s="11" t="n"/>
      <c r="L6" s="11" t="n"/>
      <c r="M6" s="11" t="n"/>
    </row>
    <row r="7">
      <c r="A7" s="6" t="inlineStr">
        <is>
          <t>Series</t>
        </is>
      </c>
      <c r="B7" s="6" t="inlineStr">
        <is>
          <t>Remaining orig. principal ($M)</t>
        </is>
      </c>
      <c r="C7" s="6" t="inlineStr">
        <is>
          <t>Conv. rate (sh/$1k orig)</t>
        </is>
      </c>
      <c r="D7" s="6" t="inlineStr">
        <is>
          <t>Conv. price ($)</t>
        </is>
      </c>
      <c r="E7" s="6" t="inlineStr">
        <is>
          <t>ITM at input price?</t>
        </is>
      </c>
      <c r="F7" s="6" t="inlineStr">
        <is>
          <t>If-converted shares</t>
        </is>
      </c>
      <c r="G7" s="6" t="inlineStr">
        <is>
          <t>If-converted shares (ITM only)</t>
        </is>
      </c>
      <c r="H7" s="6" t="inlineStr">
        <is>
          <t>NSS: cash per $1k (input)</t>
        </is>
      </c>
      <c r="I7" s="6" t="inlineStr">
        <is>
          <t>NSS shares (Combination, cash = H)</t>
        </is>
      </c>
      <c r="J7" s="6" t="inlineStr">
        <is>
          <t>Conversion value ($M)</t>
        </is>
      </c>
      <c r="K7" s="6" t="inlineStr">
        <is>
          <t>Accreted principal at maturity per $1k</t>
        </is>
      </c>
      <c r="L7" s="6" t="inlineStr">
        <is>
          <t>Tag</t>
        </is>
      </c>
      <c r="M7" s="6" t="inlineStr">
        <is>
          <t>Source / derivation</t>
        </is>
      </c>
    </row>
    <row r="8">
      <c r="A8" t="inlineStr">
        <is>
          <t>2.00% Jun-2029</t>
        </is>
      </c>
      <c r="B8" s="2" t="n">
        <v>87.5</v>
      </c>
      <c r="C8" s="2" t="n">
        <v>19.4363</v>
      </c>
      <c r="D8" s="2" t="n">
        <v>51.45</v>
      </c>
      <c r="E8">
        <f>IF($B$3&gt;D8,"ITM","OTM")</f>
        <v/>
      </c>
      <c r="F8">
        <f>B8*1000*C8</f>
        <v/>
      </c>
      <c r="G8">
        <f>IF(E8="ITM",F8,0)</f>
        <v/>
      </c>
      <c r="H8" s="2" t="n">
        <v>1000</v>
      </c>
      <c r="I8">
        <f>B8*1000*MAX(0,C8-H8/$B$3)</f>
        <v/>
      </c>
      <c r="J8">
        <f>F8*$B$3/1000000</f>
        <v/>
      </c>
      <c r="K8" s="2" t="n">
        <v>1200</v>
      </c>
      <c r="L8" t="inlineStr">
        <is>
          <t>Derived: 500 - 12.5 converted (2025) - 400 exchanged (Aug-26)</t>
        </is>
      </c>
      <c r="M8" t="inlineStr">
        <is>
          <t>6-K 2025-06-02 acc 0001104659-25-055197 tm2516825d1_ex99-4.htm | https://www.sec.gov/Archives/edgar/data/1513845/000110465925055197/tm2516825d1_ex99-4.htm ; also JUN25; 20F25 p.F-48; AUG26C</t>
        </is>
      </c>
    </row>
    <row r="9">
      <c r="A9" t="inlineStr">
        <is>
          <t>3.00% Jun-2031</t>
        </is>
      </c>
      <c r="B9" s="2" t="n">
        <v>87.5</v>
      </c>
      <c r="C9" s="2" t="n">
        <v>19.4363</v>
      </c>
      <c r="D9" s="2" t="n">
        <v>51.45</v>
      </c>
      <c r="E9">
        <f>IF($B$3&gt;D9,"ITM","OTM")</f>
        <v/>
      </c>
      <c r="F9">
        <f>B9*1000*C9</f>
        <v/>
      </c>
      <c r="G9">
        <f>IF(E9="ITM",F9,0)</f>
        <v/>
      </c>
      <c r="H9" s="2" t="n">
        <v>1000</v>
      </c>
      <c r="I9">
        <f>B9*1000*MAX(0,C9-H9/$B$3)</f>
        <v/>
      </c>
      <c r="J9">
        <f>F9*$B$3/1000000</f>
        <v/>
      </c>
      <c r="K9" s="2" t="n">
        <v>1250</v>
      </c>
      <c r="L9" t="inlineStr">
        <is>
          <t>Derived: 500 - 12.5 - 400</t>
        </is>
      </c>
      <c r="M9" t="inlineStr">
        <is>
          <t>6-K 2025-06-02 acc 0001104659-25-055197 tm2516825d1_ex99-5.htm | https://www.sec.gov/Archives/edgar/data/1513845/000110465925055197/tm2516825d1_ex99-5.htm ; also JUN25; 20F25 p.F-48; AUG26C</t>
        </is>
      </c>
    </row>
    <row r="10">
      <c r="A10" t="inlineStr">
        <is>
          <t>1.00% Sep-2030</t>
        </is>
      </c>
      <c r="B10" s="2" t="n">
        <v>1581.25</v>
      </c>
      <c r="C10" s="2" t="n">
        <v>7.2072</v>
      </c>
      <c r="D10" s="2" t="n">
        <v>138.75</v>
      </c>
      <c r="E10">
        <f>IF($B$3&gt;D10,"ITM","OTM")</f>
        <v/>
      </c>
      <c r="F10">
        <f>B10*1000*C10</f>
        <v/>
      </c>
      <c r="G10">
        <f>IF(E10="ITM",F10,0)</f>
        <v/>
      </c>
      <c r="H10" s="2" t="n">
        <v>1000</v>
      </c>
      <c r="I10">
        <f>B10*1000*MAX(0,C10-H10/$B$3)</f>
        <v/>
      </c>
      <c r="J10">
        <f>F10*$B$3/1000000</f>
        <v/>
      </c>
      <c r="K10" s="2" t="n">
        <v>1150</v>
      </c>
      <c r="L10" t="inlineStr">
        <is>
          <t>Derived: Note 12 accreted 1,818.4 / 1.15 = 1,581.2</t>
        </is>
      </c>
      <c r="M10" t="inlineStr">
        <is>
          <t>6-K 2025-09-15 acc 0001104659-25-089969 tm2525580d4_ex4-1.htm | https://www.sec.gov/Archives/edgar/data/1513845/000110465925089969/tm2525580d4_ex4-1.htm ; also SEP25C; Q2FS Note 12</t>
        </is>
      </c>
    </row>
    <row r="11">
      <c r="A11" t="inlineStr">
        <is>
          <t>2.75% Sep-2032</t>
        </is>
      </c>
      <c r="B11" s="2" t="n">
        <v>1581.25</v>
      </c>
      <c r="C11" s="2" t="n">
        <v>7.2072</v>
      </c>
      <c r="D11" s="2" t="n">
        <v>138.75</v>
      </c>
      <c r="E11">
        <f>IF($B$3&gt;D11,"ITM","OTM")</f>
        <v/>
      </c>
      <c r="F11">
        <f>B11*1000*C11</f>
        <v/>
      </c>
      <c r="G11">
        <f>IF(E11="ITM",F11,0)</f>
        <v/>
      </c>
      <c r="H11" s="2" t="n">
        <v>1000</v>
      </c>
      <c r="I11">
        <f>B11*1000*MAX(0,C11-H11/$B$3)</f>
        <v/>
      </c>
      <c r="J11">
        <f>F11*$B$3/1000000</f>
        <v/>
      </c>
      <c r="K11" s="2" t="n">
        <v>1150</v>
      </c>
      <c r="L11" t="inlineStr">
        <is>
          <t>Derived: Note 12 accreted 1,818.4 / 1.15</t>
        </is>
      </c>
      <c r="M11" t="inlineStr">
        <is>
          <t>6-K 2025-09-15 acc 0001104659-25-089969 tm2525580d4_ex4-3.htm | https://www.sec.gov/Archives/edgar/data/1513845/000110465925089969/tm2525580d4_ex4-3.htm ; also SEP25C; Q2FS Note 12</t>
        </is>
      </c>
    </row>
    <row r="12">
      <c r="A12" t="inlineStr">
        <is>
          <t>1.25% Mar-2031</t>
        </is>
      </c>
      <c r="B12" s="2" t="n">
        <v>2587.5</v>
      </c>
      <c r="C12" s="2" t="n">
        <v>5.4579</v>
      </c>
      <c r="D12" s="2" t="n">
        <v>183.22</v>
      </c>
      <c r="E12">
        <f>IF($B$3&gt;D12,"ITM","OTM")</f>
        <v/>
      </c>
      <c r="F12">
        <f>B12*1000*C12</f>
        <v/>
      </c>
      <c r="G12">
        <f>IF(E12="ITM",F12,0)</f>
        <v/>
      </c>
      <c r="H12" s="2" t="n">
        <v>1000</v>
      </c>
      <c r="I12">
        <f>B12*1000*MAX(0,C12-H12/$B$3)</f>
        <v/>
      </c>
      <c r="J12">
        <f>F12*$B$3/1000000</f>
        <v/>
      </c>
      <c r="K12" s="2" t="n">
        <v>1200</v>
      </c>
      <c r="L12" t="inlineStr">
        <is>
          <t>Reported</t>
        </is>
      </c>
      <c r="M12" t="inlineStr">
        <is>
          <t>6-K 2026-03-20 acc 0001104659-26-032735 tm268409d4_ex4-1.htm | https://www.sec.gov/Archives/edgar/data/1513845/000110465926032735/tm268409d4_ex4-1.htm ; also MAR26C; Q2FS Note 12</t>
        </is>
      </c>
    </row>
    <row r="13">
      <c r="A13" t="inlineStr">
        <is>
          <t>2.625% Mar-2033</t>
        </is>
      </c>
      <c r="B13" s="2" t="n">
        <v>1750</v>
      </c>
      <c r="C13" s="2" t="n">
        <v>5.546</v>
      </c>
      <c r="D13" s="2" t="n">
        <v>180.31</v>
      </c>
      <c r="E13">
        <f>IF($B$3&gt;D13,"ITM","OTM")</f>
        <v/>
      </c>
      <c r="F13">
        <f>B13*1000*C13</f>
        <v/>
      </c>
      <c r="G13">
        <f>IF(E13="ITM",F13,0)</f>
        <v/>
      </c>
      <c r="H13" s="2" t="n">
        <v>1000</v>
      </c>
      <c r="I13">
        <f>B13*1000*MAX(0,C13-H13/$B$3)</f>
        <v/>
      </c>
      <c r="J13">
        <f>F13*$B$3/1000000</f>
        <v/>
      </c>
      <c r="K13" s="2" t="n">
        <v>1200</v>
      </c>
      <c r="L13" t="inlineStr">
        <is>
          <t>Reported</t>
        </is>
      </c>
      <c r="M13" t="inlineStr">
        <is>
          <t>6-K 2026-03-20 acc 0001104659-26-032735 tm268409d4_ex4-3.htm | https://www.sec.gov/Archives/edgar/data/1513845/000110465926032735/tm268409d4_ex4-3.htm ; also MAR26C; Q2FS Note 12</t>
        </is>
      </c>
    </row>
    <row r="14">
      <c r="A14" t="inlineStr">
        <is>
          <t>0.50% Feb-2030</t>
        </is>
      </c>
      <c r="B14" s="2" t="n">
        <v>3450</v>
      </c>
      <c r="C14" s="2" t="n">
        <v>3.1902</v>
      </c>
      <c r="D14" s="2" t="n">
        <v>313.46</v>
      </c>
      <c r="E14">
        <f>IF($B$3&gt;D14,"ITM","OTM")</f>
        <v/>
      </c>
      <c r="F14">
        <f>B14*1000*C14</f>
        <v/>
      </c>
      <c r="G14">
        <f>IF(E14="ITM",F14,0)</f>
        <v/>
      </c>
      <c r="H14" s="2" t="n">
        <v>1000</v>
      </c>
      <c r="I14">
        <f>B14*1000*MAX(0,C14-H14/$B$3)</f>
        <v/>
      </c>
      <c r="J14">
        <f>F14*$B$3/1000000</f>
        <v/>
      </c>
      <c r="K14" s="2" t="n">
        <v>1100</v>
      </c>
      <c r="L14" t="inlineStr">
        <is>
          <t>Reported</t>
        </is>
      </c>
      <c r="M14" t="inlineStr">
        <is>
          <t>6-K 2026-08-24 acc 0001104659-26-100347 tm2623863d1_ex4-1.htm | https://www.sec.gov/Archives/edgar/data/1513845/000110465926100347/tm2623863d1_ex4-1.htm ; also AUG26C</t>
        </is>
      </c>
    </row>
    <row r="15">
      <c r="A15" t="inlineStr">
        <is>
          <t>4.50% Feb-2034</t>
        </is>
      </c>
      <c r="B15" s="2" t="n">
        <v>2300</v>
      </c>
      <c r="C15" s="2" t="n">
        <v>3.0802</v>
      </c>
      <c r="D15" s="2" t="n">
        <v>324.65</v>
      </c>
      <c r="E15">
        <f>IF($B$3&gt;D15,"ITM","OTM")</f>
        <v/>
      </c>
      <c r="F15">
        <f>B15*1000*C15</f>
        <v/>
      </c>
      <c r="G15">
        <f>IF(E15="ITM",F15,0)</f>
        <v/>
      </c>
      <c r="H15" s="2" t="n">
        <v>1000</v>
      </c>
      <c r="I15">
        <f>B15*1000*MAX(0,C15-H15/$B$3)</f>
        <v/>
      </c>
      <c r="J15">
        <f>F15*$B$3/1000000</f>
        <v/>
      </c>
      <c r="K15" s="2" t="n">
        <v>1250</v>
      </c>
      <c r="L15" t="inlineStr">
        <is>
          <t>Reported</t>
        </is>
      </c>
      <c r="M15" t="inlineStr">
        <is>
          <t>6-K 2026-08-24 acc 0001104659-26-100347 tm2623863d1_ex4-3.htm | https://www.sec.gov/Archives/edgar/data/1513845/000110465926100347/tm2623863d1_ex4-3.htm ; also AUG26C</t>
        </is>
      </c>
    </row>
    <row r="16">
      <c r="A16" s="8" t="inlineStr">
        <is>
          <t>Total converts</t>
        </is>
      </c>
      <c r="B16" s="8">
        <f>SUM(B8:B15)</f>
        <v/>
      </c>
      <c r="F16" s="8">
        <f>SUM(F8:F15)</f>
        <v/>
      </c>
      <c r="G16" s="8">
        <f>SUM(G8:G15)</f>
        <v/>
      </c>
      <c r="I16" s="8">
        <f>SUM(I8:I15)</f>
        <v/>
      </c>
      <c r="J16" s="8">
        <f>SUM(J8:J15)</f>
        <v/>
      </c>
      <c r="L16" t="inlineStr">
        <is>
          <t>Derived</t>
        </is>
      </c>
      <c r="M16" t="inlineStr">
        <is>
          <t>Sum of rows. Conversion shares ignore make-whole additional shares (only on a Make-Whole Fundamental Change or redemption notice; see MakeWhole_Tables).</t>
        </is>
      </c>
    </row>
    <row r="17">
      <c r="A17" t="inlineStr">
        <is>
          <t>NSS = net-share settlement via Combination Settlement: company pays H per $1k in cash, shares only for conversion value above H. Default H = $1,000 (original principal). Set H to column K to model cash = full accreted principal. Default settlement in all indentures is Physical (shares).</t>
        </is>
      </c>
    </row>
    <row r="19">
      <c r="A19" s="10" t="inlineStr">
        <is>
          <t>B. Dilution waterfall at input price</t>
        </is>
      </c>
      <c r="B19" s="11" t="n"/>
      <c r="C19" s="11" t="n"/>
      <c r="D19" s="11" t="n"/>
      <c r="E19" s="11" t="n"/>
      <c r="F19" s="11" t="n"/>
      <c r="G19" s="11" t="n"/>
      <c r="H19" s="11" t="n"/>
    </row>
    <row r="20">
      <c r="A20" s="6" t="inlineStr">
        <is>
          <t>Step</t>
        </is>
      </c>
      <c r="B20" s="6" t="inlineStr">
        <is>
          <t>Shares - base case (ITM converts if-converted)</t>
        </is>
      </c>
      <c r="C20" s="6" t="inlineStr">
        <is>
          <t>Shares - all converts if-converted (incl. OTM)</t>
        </is>
      </c>
      <c r="D20" s="6" t="inlineStr">
        <is>
          <t>Shares - ITM converts net-share settled (cash = H)</t>
        </is>
      </c>
      <c r="E20" s="6" t="inlineStr">
        <is>
          <t>Cumulative (base case)</t>
        </is>
      </c>
      <c r="F20" s="6" t="inlineStr">
        <is>
          <t>Tag</t>
        </is>
      </c>
      <c r="G20" s="6" t="inlineStr">
        <is>
          <t>Source / derivation</t>
        </is>
      </c>
      <c r="H20" s="6" t="inlineStr">
        <is>
          <t>% of basic (base case)</t>
        </is>
      </c>
    </row>
    <row r="21">
      <c r="A21" t="inlineStr">
        <is>
          <t>Shares issued &amp; outstanding 30-Jun-2026 (Class A 238,400,165 + Class B 33,455,053; excl. 50,185,726 treasury)</t>
        </is>
      </c>
      <c r="B21" s="12" t="n">
        <v>271855218</v>
      </c>
      <c r="C21" s="13">
        <f>B21</f>
        <v/>
      </c>
      <c r="D21" s="13">
        <f>B21</f>
        <v/>
      </c>
      <c r="E21" s="13">
        <f>B21</f>
        <v/>
      </c>
      <c r="F21" t="inlineStr">
        <is>
          <t>Reported</t>
        </is>
      </c>
      <c r="G21" t="inlineStr">
        <is>
          <t>6-K 2026-08-12 acc 0001104659-26-094568 tm2622968d1_ex99-1.htm Outstanding shares | https://www.sec.gov/Archives/edgar/data/1513845/000110465926094568/tm2622968d1_ex99-1.htm</t>
        </is>
      </c>
      <c r="H21" s="14">
        <f>B21/$B$24</f>
        <v/>
      </c>
    </row>
    <row r="22">
      <c r="A22" t="inlineStr">
        <is>
          <t>+ Aug-2026 exchange shares for $400M 2029s + $400M 2031s (post-period)</t>
        </is>
      </c>
      <c r="B22" s="13">
        <f>ROUNDDOWN((4403.18*400000+4413.18*400000+400000000*0.02*79/360+400000000*0.03*79/360)/223.9,0)</f>
        <v/>
      </c>
      <c r="C22" s="13">
        <f>B22</f>
        <v/>
      </c>
      <c r="D22" s="13">
        <f>B22</f>
        <v/>
      </c>
      <c r="E22" s="13">
        <f>E21+B22</f>
        <v/>
      </c>
      <c r="F22" t="inlineStr">
        <is>
          <t>Derived</t>
        </is>
      </c>
      <c r="G22" t="inlineStr">
        <is>
          <t>Ex.4.5 formula: (exchange price x principal + accrued interest 6/5-8/24/26, 30/360 = 79 days) / $223.90 close on 8/19/26. Company PR: "approximately 15.8 million". 6-K 2026-08-24 acc 0001104659-26-100347 tm2623863d1_ex4-5.htm | https://www.sec.gov/Archives/edgar/data/1513845/000110465926100347/tm2623863d1_ex4-5.htm ; 6-K 2026-08-20 acc 0001104659-26-098924 tm2623617d1_ex99-1.htm | https://www.sec.gov/Archives/edgar/data/1513845/000110465926098924/tm2623617d1_ex99-1.htm</t>
        </is>
      </c>
      <c r="H22" s="14">
        <f>B22/$B$24</f>
        <v/>
      </c>
    </row>
    <row r="23">
      <c r="A23" t="inlineStr">
        <is>
          <t>+ NVIDIA pre-funded warrant shares (exercise $0.0001; already in BASIC weighted shares; NOT in issued count - counted once here)</t>
        </is>
      </c>
      <c r="B23" s="12" t="n">
        <v>21065936</v>
      </c>
      <c r="C23" s="13">
        <f>B23</f>
        <v/>
      </c>
      <c r="D23" s="13">
        <f>B23</f>
        <v/>
      </c>
      <c r="E23" s="13">
        <f>E22+B23</f>
        <v/>
      </c>
      <c r="F23" t="inlineStr">
        <is>
          <t>Reported</t>
        </is>
      </c>
      <c r="G23" t="inlineStr">
        <is>
          <t>6-K 2026-08-12 acc 0001104659-26-094844 nbis-20260812xex99d2.htm Note 14, p.F-31 | https://www.sec.gov/Archives/edgar/data/1513845/000110465926094844/nbis-20260812xex99d2.htm ; 6-K 2026-08-12 acc 0001104659-26-094844 nbis-20260812xex99d2.htm Note 1 EPS policy, p.F-11 | https://www.sec.gov/Archives/edgar/data/1513845/000110465926094844/nbis-20260812xex99d2.htm</t>
        </is>
      </c>
      <c r="H23" s="14">
        <f>B23/$B$24</f>
        <v/>
      </c>
    </row>
    <row r="24">
      <c r="A24" s="8" t="inlineStr">
        <is>
          <t>Subtotal: Basic shares (economic, incl. warrant)</t>
        </is>
      </c>
      <c r="B24" s="15">
        <f>SUM(B21:B23)</f>
        <v/>
      </c>
      <c r="C24" s="15">
        <f>SUM(C21:C23)</f>
        <v/>
      </c>
      <c r="D24" s="15">
        <f>SUM(D21:D23)</f>
        <v/>
      </c>
      <c r="E24" s="15">
        <f>B24</f>
        <v/>
      </c>
      <c r="F24" s="8" t="inlineStr">
        <is>
          <t>Derived</t>
        </is>
      </c>
      <c r="G24" s="8" t="inlineStr">
        <is>
          <t>sum of above</t>
        </is>
      </c>
      <c r="H24" s="16">
        <f>B24/$B$24</f>
        <v/>
      </c>
    </row>
    <row r="25">
      <c r="A25" t="inlineStr">
        <is>
          <t>+ Unvested RSUs (no exercise price -&gt; full count)</t>
        </is>
      </c>
      <c r="B25" s="12" t="n">
        <v>6234091</v>
      </c>
      <c r="C25" s="13">
        <f>B25</f>
        <v/>
      </c>
      <c r="D25" s="13">
        <f>B25</f>
        <v/>
      </c>
      <c r="E25" s="13">
        <f>E24+B25</f>
        <v/>
      </c>
      <c r="F25" t="inlineStr">
        <is>
          <t>Reported</t>
        </is>
      </c>
      <c r="G25" t="inlineStr">
        <is>
          <t>6-K 2026-08-12 acc 0001104659-26-094844 nbis-20260812xex99d2.htm Note 13, p.F-29 | https://www.sec.gov/Archives/edgar/data/1513845/000110465926094844/nbis-20260812xex99d2.htm (unvested RSUs 30-Jun-2026; WA grant FV $58.22)</t>
        </is>
      </c>
      <c r="H25" s="14">
        <f>B25/$B$24</f>
        <v/>
      </c>
    </row>
    <row r="26">
      <c r="A26" t="inlineStr">
        <is>
          <t>+ Options, treasury stock method: N x (1 - WAEP/P) if P &gt; WAEP</t>
        </is>
      </c>
      <c r="B26" s="13">
        <f>IF($B$3&gt;88.65,6740600*(1-88.65/$B$3),0)</f>
        <v/>
      </c>
      <c r="C26" s="13">
        <f>B26</f>
        <v/>
      </c>
      <c r="D26" s="13">
        <f>B26</f>
        <v/>
      </c>
      <c r="E26" s="13">
        <f>E25+B26</f>
        <v/>
      </c>
      <c r="F26" t="inlineStr">
        <is>
          <t>Derived</t>
        </is>
      </c>
      <c r="G26" t="inlineStr">
        <is>
          <t>6,740,600 options, WAEP $88.65: 6-K 2026-08-12 acc 0001104659-26-094844 nbis-20260812xex99d2.htm Note 13, p.F-29 | https://www.sec.gov/Archives/edgar/data/1513845/000110465926094844/nbis-20260812xex99d2.htm. Aggregate-WAEP shortcut (tranche-level strikes not disclosed) -&gt; estimate.</t>
        </is>
      </c>
      <c r="H26" s="14">
        <f>B26/$B$24</f>
        <v/>
      </c>
    </row>
    <row r="27">
      <c r="A27" s="8" t="inlineStr">
        <is>
          <t>Subtotal: Basic + equity awards</t>
        </is>
      </c>
      <c r="B27" s="15">
        <f>B24+SUM(B25:B26)</f>
        <v/>
      </c>
      <c r="C27" s="15">
        <f>C24+SUM(C25:C26)</f>
        <v/>
      </c>
      <c r="D27" s="15">
        <f>D24+SUM(D25:D26)</f>
        <v/>
      </c>
      <c r="E27" s="15">
        <f>B27</f>
        <v/>
      </c>
      <c r="F27" s="8" t="inlineStr">
        <is>
          <t>Derived</t>
        </is>
      </c>
      <c r="G27" s="8" t="inlineStr">
        <is>
          <t>sum</t>
        </is>
      </c>
      <c r="H27" s="16">
        <f>B27/$B$24</f>
        <v/>
      </c>
    </row>
    <row r="28">
      <c r="A28" t="inlineStr">
        <is>
          <t>+ 2.00% Jun-2029 convert (conv. price $51.45)</t>
        </is>
      </c>
      <c r="B28" s="13">
        <f>G8</f>
        <v/>
      </c>
      <c r="C28" s="13">
        <f>F8</f>
        <v/>
      </c>
      <c r="D28" s="13">
        <f>IF(E8="ITM",I8,0)</f>
        <v/>
      </c>
      <c r="E28" s="13">
        <f>E27+B28</f>
        <v/>
      </c>
      <c r="F28" t="inlineStr">
        <is>
          <t>Derived</t>
        </is>
      </c>
      <c r="G28" t="inlineStr">
        <is>
          <t>Section A row 8: remaining orig principal x conv. rate; OTM = 0 in base case</t>
        </is>
      </c>
      <c r="H28" s="14">
        <f>B28/$B$24</f>
        <v/>
      </c>
    </row>
    <row r="29">
      <c r="A29" t="inlineStr">
        <is>
          <t>+ 3.00% Jun-2031 convert (conv. price $51.45)</t>
        </is>
      </c>
      <c r="B29" s="13">
        <f>G9</f>
        <v/>
      </c>
      <c r="C29" s="13">
        <f>F9</f>
        <v/>
      </c>
      <c r="D29" s="13">
        <f>IF(E9="ITM",I9,0)</f>
        <v/>
      </c>
      <c r="E29" s="13">
        <f>E28+B29</f>
        <v/>
      </c>
      <c r="F29" t="inlineStr">
        <is>
          <t>Derived</t>
        </is>
      </c>
      <c r="G29" t="inlineStr">
        <is>
          <t>Section A row 9: remaining orig principal x conv. rate; OTM = 0 in base case</t>
        </is>
      </c>
      <c r="H29" s="14">
        <f>B29/$B$24</f>
        <v/>
      </c>
    </row>
    <row r="30">
      <c r="A30" t="inlineStr">
        <is>
          <t>+ 1.00% Sep-2030 convert (conv. price $138.75)</t>
        </is>
      </c>
      <c r="B30" s="13">
        <f>G10</f>
        <v/>
      </c>
      <c r="C30" s="13">
        <f>F10</f>
        <v/>
      </c>
      <c r="D30" s="13">
        <f>IF(E10="ITM",I10,0)</f>
        <v/>
      </c>
      <c r="E30" s="13">
        <f>E29+B30</f>
        <v/>
      </c>
      <c r="F30" t="inlineStr">
        <is>
          <t>Derived</t>
        </is>
      </c>
      <c r="G30" t="inlineStr">
        <is>
          <t>Section A row 10: remaining orig principal x conv. rate; OTM = 0 in base case</t>
        </is>
      </c>
      <c r="H30" s="14">
        <f>B30/$B$24</f>
        <v/>
      </c>
    </row>
    <row r="31">
      <c r="A31" t="inlineStr">
        <is>
          <t>+ 2.75% Sep-2032 convert (conv. price $138.75)</t>
        </is>
      </c>
      <c r="B31" s="13">
        <f>G11</f>
        <v/>
      </c>
      <c r="C31" s="13">
        <f>F11</f>
        <v/>
      </c>
      <c r="D31" s="13">
        <f>IF(E11="ITM",I11,0)</f>
        <v/>
      </c>
      <c r="E31" s="13">
        <f>E30+B31</f>
        <v/>
      </c>
      <c r="F31" t="inlineStr">
        <is>
          <t>Derived</t>
        </is>
      </c>
      <c r="G31" t="inlineStr">
        <is>
          <t>Section A row 11: remaining orig principal x conv. rate; OTM = 0 in base case</t>
        </is>
      </c>
      <c r="H31" s="14">
        <f>B31/$B$24</f>
        <v/>
      </c>
    </row>
    <row r="32">
      <c r="A32" t="inlineStr">
        <is>
          <t>+ 1.25% Mar-2031 convert (conv. price $183.22)</t>
        </is>
      </c>
      <c r="B32" s="13">
        <f>G12</f>
        <v/>
      </c>
      <c r="C32" s="13">
        <f>F12</f>
        <v/>
      </c>
      <c r="D32" s="13">
        <f>IF(E12="ITM",I12,0)</f>
        <v/>
      </c>
      <c r="E32" s="13">
        <f>E31+B32</f>
        <v/>
      </c>
      <c r="F32" t="inlineStr">
        <is>
          <t>Derived</t>
        </is>
      </c>
      <c r="G32" t="inlineStr">
        <is>
          <t>Section A row 12: remaining orig principal x conv. rate; OTM = 0 in base case</t>
        </is>
      </c>
      <c r="H32" s="14">
        <f>B32/$B$24</f>
        <v/>
      </c>
    </row>
    <row r="33">
      <c r="A33" t="inlineStr">
        <is>
          <t>+ 2.625% Mar-2033 convert (conv. price $180.31)</t>
        </is>
      </c>
      <c r="B33" s="13">
        <f>G13</f>
        <v/>
      </c>
      <c r="C33" s="13">
        <f>F13</f>
        <v/>
      </c>
      <c r="D33" s="13">
        <f>IF(E13="ITM",I13,0)</f>
        <v/>
      </c>
      <c r="E33" s="13">
        <f>E32+B33</f>
        <v/>
      </c>
      <c r="F33" t="inlineStr">
        <is>
          <t>Derived</t>
        </is>
      </c>
      <c r="G33" t="inlineStr">
        <is>
          <t>Section A row 13: remaining orig principal x conv. rate; OTM = 0 in base case</t>
        </is>
      </c>
      <c r="H33" s="14">
        <f>B33/$B$24</f>
        <v/>
      </c>
    </row>
    <row r="34">
      <c r="A34" t="inlineStr">
        <is>
          <t>+ 0.50% Feb-2030 convert (conv. price $313.46)</t>
        </is>
      </c>
      <c r="B34" s="13">
        <f>G14</f>
        <v/>
      </c>
      <c r="C34" s="13">
        <f>F14</f>
        <v/>
      </c>
      <c r="D34" s="13">
        <f>IF(E14="ITM",I14,0)</f>
        <v/>
      </c>
      <c r="E34" s="13">
        <f>E33+B34</f>
        <v/>
      </c>
      <c r="F34" t="inlineStr">
        <is>
          <t>Derived</t>
        </is>
      </c>
      <c r="G34" t="inlineStr">
        <is>
          <t>Section A row 14: remaining orig principal x conv. rate; OTM = 0 in base case</t>
        </is>
      </c>
      <c r="H34" s="14">
        <f>B34/$B$24</f>
        <v/>
      </c>
    </row>
    <row r="35">
      <c r="A35" t="inlineStr">
        <is>
          <t>+ 4.50% Feb-2034 convert (conv. price $324.65)</t>
        </is>
      </c>
      <c r="B35" s="13">
        <f>G15</f>
        <v/>
      </c>
      <c r="C35" s="13">
        <f>F15</f>
        <v/>
      </c>
      <c r="D35" s="13">
        <f>IF(E15="ITM",I15,0)</f>
        <v/>
      </c>
      <c r="E35" s="13">
        <f>E34+B35</f>
        <v/>
      </c>
      <c r="F35" t="inlineStr">
        <is>
          <t>Derived</t>
        </is>
      </c>
      <c r="G35" t="inlineStr">
        <is>
          <t>Section A row 15: remaining orig principal x conv. rate; OTM = 0 in base case</t>
        </is>
      </c>
      <c r="H35" s="14">
        <f>B35/$B$24</f>
        <v/>
      </c>
    </row>
    <row r="36">
      <c r="A36" s="8" t="inlineStr">
        <is>
          <t>Subtotal: After converts</t>
        </is>
      </c>
      <c r="B36" s="15">
        <f>B27+SUM(B28:B35)</f>
        <v/>
      </c>
      <c r="C36" s="15">
        <f>C27+SUM(C28:C35)</f>
        <v/>
      </c>
      <c r="D36" s="15">
        <f>D27+SUM(D28:D35)</f>
        <v/>
      </c>
      <c r="E36" s="15">
        <f>B36</f>
        <v/>
      </c>
      <c r="F36" s="8" t="inlineStr">
        <is>
          <t>Derived</t>
        </is>
      </c>
      <c r="G36" s="8" t="inlineStr">
        <is>
          <t>sum</t>
        </is>
      </c>
      <c r="H36" s="16">
        <f>B36/$B$24</f>
        <v/>
      </c>
    </row>
    <row r="37">
      <c r="A37" t="inlineStr">
        <is>
          <t>+ ATM program remaining capacity (25,000,000 authorized - 12,729,493 sold in Q2-26; no later sales disclosed)</t>
        </is>
      </c>
      <c r="B37" s="12" t="n">
        <v>12270507</v>
      </c>
      <c r="C37" s="13">
        <f>B37</f>
        <v/>
      </c>
      <c r="D37" s="13">
        <f>B37</f>
        <v/>
      </c>
      <c r="E37" s="13">
        <f>E36+B37</f>
        <v/>
      </c>
      <c r="F37" t="inlineStr">
        <is>
          <t>Reported</t>
        </is>
      </c>
      <c r="G37" t="inlineStr">
        <is>
          <t>6-K 2026-08-12 acc 0001104659-26-094844 nbis-20260812xex99d2.htm Note 14, p.F-32 ("12,270,507 Class A shares remained available") | https://www.sec.gov/Archives/edgar/data/1513845/000110465926094844/nbis-20260812xex99d2.htm</t>
        </is>
      </c>
      <c r="H37" s="14">
        <f>B37/$B$24</f>
        <v/>
      </c>
    </row>
    <row r="38">
      <c r="A38" s="8" t="inlineStr">
        <is>
          <t>TOTAL: FULLY DILUTED SHARES</t>
        </is>
      </c>
      <c r="B38" s="15">
        <f>B36+SUM(B37:B37)</f>
        <v/>
      </c>
      <c r="C38" s="15">
        <f>C36+SUM(C37:C37)</f>
        <v/>
      </c>
      <c r="D38" s="15">
        <f>D36+SUM(D37:D37)</f>
        <v/>
      </c>
      <c r="E38" s="15">
        <f>B38</f>
        <v/>
      </c>
      <c r="F38" s="8" t="inlineStr">
        <is>
          <t>Derived</t>
        </is>
      </c>
      <c r="G38" s="8" t="inlineStr">
        <is>
          <t>sum</t>
        </is>
      </c>
      <c r="H38" s="16">
        <f>B38/$B$24</f>
        <v/>
      </c>
    </row>
    <row r="40">
      <c r="A40" s="10" t="inlineStr">
        <is>
          <t>C. Summary at input price</t>
        </is>
      </c>
      <c r="B40" s="11" t="n"/>
      <c r="C40" s="11" t="n"/>
      <c r="D40" s="11" t="n"/>
      <c r="E40" s="11" t="n"/>
      <c r="F40" s="11" t="n"/>
      <c r="G40" s="11" t="n"/>
      <c r="H40" s="11" t="n"/>
    </row>
    <row r="41">
      <c r="A41" s="6" t="inlineStr">
        <is>
          <t>Metric</t>
        </is>
      </c>
      <c r="B41" s="6" t="inlineStr">
        <is>
          <t>Base case (ITM if-converted)</t>
        </is>
      </c>
      <c r="C41" s="6" t="inlineStr">
        <is>
          <t>All converts if-converted</t>
        </is>
      </c>
      <c r="D41" s="6" t="inlineStr">
        <is>
          <t>ITM NSS</t>
        </is>
      </c>
      <c r="E41" s="6" t="inlineStr"/>
      <c r="F41" s="6" t="inlineStr">
        <is>
          <t>Tag</t>
        </is>
      </c>
      <c r="G41" s="6" t="inlineStr">
        <is>
          <t>Notes</t>
        </is>
      </c>
    </row>
    <row r="42">
      <c r="A42" t="inlineStr">
        <is>
          <t>Basic shares (economic)</t>
        </is>
      </c>
      <c r="B42" s="13">
        <f>B24</f>
        <v/>
      </c>
      <c r="C42" s="13">
        <f>C24</f>
        <v/>
      </c>
      <c r="D42" s="13">
        <f>D24</f>
        <v/>
      </c>
      <c r="F42" t="inlineStr">
        <is>
          <t>Derived</t>
        </is>
      </c>
    </row>
    <row r="43">
      <c r="A43" t="inlineStr">
        <is>
          <t>Fully diluted shares</t>
        </is>
      </c>
      <c r="B43" s="13">
        <f>B38</f>
        <v/>
      </c>
      <c r="C43" s="13">
        <f>C38</f>
        <v/>
      </c>
      <c r="D43" s="13">
        <f>D38</f>
        <v/>
      </c>
      <c r="F43" t="inlineStr">
        <is>
          <t>Derived</t>
        </is>
      </c>
    </row>
    <row r="44">
      <c r="A44" t="inlineStr">
        <is>
          <t>Dilution vs basic (shares)</t>
        </is>
      </c>
      <c r="B44" s="13">
        <f>B38-B24</f>
        <v/>
      </c>
      <c r="C44" s="13">
        <f>C38-C24</f>
        <v/>
      </c>
      <c r="D44" s="13">
        <f>D38-D24</f>
        <v/>
      </c>
      <c r="F44" t="inlineStr">
        <is>
          <t>Derived</t>
        </is>
      </c>
    </row>
    <row r="45">
      <c r="A45" t="inlineStr">
        <is>
          <t>Dilution vs basic (%)</t>
        </is>
      </c>
      <c r="B45" s="14">
        <f>B38/B24-1</f>
        <v/>
      </c>
      <c r="C45" s="14">
        <f>C38/C24-1</f>
        <v/>
      </c>
      <c r="D45" s="14">
        <f>D38/D24-1</f>
        <v/>
      </c>
      <c r="F45" t="inlineStr">
        <is>
          <t>Derived</t>
        </is>
      </c>
    </row>
    <row r="46">
      <c r="A46" t="inlineStr">
        <is>
          <t>FD excl. ATM remaining</t>
        </is>
      </c>
      <c r="B46" s="13">
        <f>B38-B37</f>
        <v/>
      </c>
      <c r="C46" s="13">
        <f>C38-C37</f>
        <v/>
      </c>
      <c r="D46" s="13">
        <f>D38-D37</f>
        <v/>
      </c>
      <c r="F46" t="inlineStr">
        <is>
          <t>Derived</t>
        </is>
      </c>
    </row>
    <row r="47">
      <c r="A47" t="inlineStr">
        <is>
          <t>Equity value at input price, basic ($M)</t>
        </is>
      </c>
      <c r="B47" s="17">
        <f>B24*$B$3/1000000</f>
        <v/>
      </c>
      <c r="C47" s="17">
        <f>C24*$B$3/1000000</f>
        <v/>
      </c>
      <c r="D47" s="17">
        <f>D24*$B$3/1000000</f>
        <v/>
      </c>
      <c r="F47" t="inlineStr">
        <is>
          <t>Derived</t>
        </is>
      </c>
    </row>
    <row r="48">
      <c r="A48" t="inlineStr">
        <is>
          <t>Equity value at input price, fully diluted ($M)</t>
        </is>
      </c>
      <c r="B48" s="17">
        <f>B38*$B$3/1000000</f>
        <v/>
      </c>
      <c r="C48" s="17">
        <f>C38*$B$3/1000000</f>
        <v/>
      </c>
      <c r="D48" s="17">
        <f>D38*$B$3/1000000</f>
        <v/>
      </c>
      <c r="F48" t="inlineStr">
        <is>
          <t>Derived</t>
        </is>
      </c>
    </row>
    <row r="49">
      <c r="A49" t="inlineStr">
        <is>
          <t>Memo: option exercise proceeds if ITM ($M)</t>
        </is>
      </c>
      <c r="B49" s="17">
        <f>IF($B$3&gt;88.65,6740600*88.65/1000000,0)</f>
        <v/>
      </c>
      <c r="C49" s="17" t="n"/>
      <c r="D49" s="17" t="n"/>
      <c r="F49" t="inlineStr">
        <is>
          <t>Derived</t>
        </is>
      </c>
    </row>
    <row r="50">
      <c r="A50" t="inlineStr">
        <is>
          <t>Memo: ATM gross proceeds if fully sold at input price ($M, before commissions)</t>
        </is>
      </c>
      <c r="B50" s="17">
        <f>B37*$B$3/1000000</f>
        <v/>
      </c>
      <c r="C50" s="17" t="n"/>
      <c r="D50" s="17" t="n"/>
      <c r="F50" t="inlineStr">
        <is>
          <t>Derived</t>
        </is>
      </c>
    </row>
    <row r="51">
      <c r="A51" t="inlineStr">
        <is>
          <t>Memo: converts ITM, original principal ($M) retired on conversion</t>
        </is>
      </c>
      <c r="B51" s="17">
        <f>SUMPRODUCT((E8:E15="ITM")*B8:B15)</f>
        <v/>
      </c>
      <c r="C51" s="17" t="n"/>
      <c r="D51" s="17" t="n"/>
      <c r="F51" t="inlineStr">
        <is>
          <t>Derived</t>
        </is>
      </c>
    </row>
    <row r="52">
      <c r="A52" t="inlineStr">
        <is>
          <t>Memo: NSS cash outlay on ITM converts at H ($M)</t>
        </is>
      </c>
      <c r="B52" s="17">
        <f>SUMPRODUCT((E8:E15="ITM")*B8:B15*H8:H15)/1000</f>
        <v/>
      </c>
      <c r="C52" s="17" t="n"/>
      <c r="D52" s="17" t="n"/>
      <c r="F52" t="inlineStr">
        <is>
          <t>Derived</t>
        </is>
      </c>
    </row>
    <row r="53">
      <c r="A53" t="inlineStr">
        <is>
          <t>Not in waterfall (disclosed but excluded): (i) 2,743,655 unvested Eigen AI restricted shares are legally issued and assumed inside the 271.9M issued count (excluded from weighted EPS counts) - not added again; (ii) make-whole additional shares (event-driven); (iii) awards granted after 30-Jun-2026 and any ATM sales after 30-Jun-2026 - not disclosed; (iv) Inferize acquisition (6-K 10/1/26) - "The terms of the transaction were not disclosed"; (v) AGM record-date Class A count 238,402,543 vs 238,400,165 at 30-Jun (+2,378) - immaterial, not added; (vi) no capped calls exist to offset convert dilution.</t>
        </is>
      </c>
    </row>
    <row r="54">
      <c r="A54" t="inlineStr">
        <is>
          <t>Cross-check (Derived): Q2FS Note 1 reports 65,416,804 weighted if-converted shares excluded as anti-dilutive in Q2-26 for the six pre-Aug series. At initial rates on pre-exchange principal: 2029 487.5 x 19.4363 = 9.475M; 2031 9.475M; Sep-30 11.396M; Sep-32 11.396M; Mar-31 14.122M; Mar-33 9.706M; total 65.57M (within 0.2% of the reported figure) -&gt; supports the remaining-principal inputs.</t>
        </is>
      </c>
    </row>
    <row r="56">
      <c r="A56" s="10" t="inlineStr">
        <is>
          <t>D. Debt &amp; financing register (30-Jun-2026 balance sheet + post-period)</t>
        </is>
      </c>
      <c r="B56" s="11" t="n"/>
      <c r="C56" s="11" t="n"/>
      <c r="D56" s="11" t="n"/>
      <c r="E56" s="11" t="n"/>
      <c r="F56" s="11" t="n"/>
      <c r="G56" s="11" t="n"/>
      <c r="H56" s="11" t="n"/>
      <c r="I56" s="11" t="n"/>
      <c r="J56" s="11" t="n"/>
      <c r="K56" s="11" t="n"/>
      <c r="L56" s="11" t="n"/>
      <c r="M56" s="11" t="n"/>
    </row>
    <row r="57">
      <c r="A57" s="6" t="inlineStr">
        <is>
          <t>Instrument</t>
        </is>
      </c>
      <c r="B57" s="6" t="inlineStr">
        <is>
          <t>Date</t>
        </is>
      </c>
      <c r="C57" s="6" t="inlineStr">
        <is>
          <t>Original principal ($M)</t>
        </is>
      </c>
      <c r="D57" s="6" t="inlineStr">
        <is>
          <t>Remaining orig principal ($M)</t>
        </is>
      </c>
      <c r="E57" s="6" t="inlineStr">
        <is>
          <t>Coupon / rate</t>
        </is>
      </c>
      <c r="F57" s="6" t="inlineStr">
        <is>
          <t>Maturity</t>
        </is>
      </c>
      <c r="G57" s="6" t="inlineStr">
        <is>
          <t>Accreted principal at maturity 30-Jun ($M)</t>
        </is>
      </c>
      <c r="H57" s="6" t="inlineStr">
        <is>
          <t>Carrying 30-Jun ($M)</t>
        </is>
      </c>
      <c r="I57" s="6" t="inlineStr">
        <is>
          <t>Fair value 30-Jun ($M)</t>
        </is>
      </c>
      <c r="J57" s="6" t="inlineStr">
        <is>
          <t>Security / ranking</t>
        </is>
      </c>
      <c r="K57" s="6" t="inlineStr">
        <is>
          <t>Prepay / earliest call</t>
        </is>
      </c>
      <c r="L57" s="6" t="inlineStr">
        <is>
          <t>Tag</t>
        </is>
      </c>
      <c r="M57" s="6" t="inlineStr">
        <is>
          <t>Source</t>
        </is>
      </c>
    </row>
    <row r="58">
      <c r="A58" t="inlineStr">
        <is>
          <t>2.00% conv. notes Jun-2029</t>
        </is>
      </c>
      <c r="B58" t="inlineStr">
        <is>
          <t>2025-06-05</t>
        </is>
      </c>
      <c r="C58" s="2" t="n">
        <v>500</v>
      </c>
      <c r="D58" s="2" t="n">
        <v>87.5</v>
      </c>
      <c r="E58" t="inlineStr">
        <is>
          <t>2.00%</t>
        </is>
      </c>
      <c r="F58" t="inlineStr">
        <is>
          <t>2029-06-05</t>
        </is>
      </c>
      <c r="G58" s="2" t="n">
        <v>587.5</v>
      </c>
      <c r="H58" s="2" t="n">
        <v>504.1</v>
      </c>
      <c r="I58" s="2" t="n">
        <v>2928.7</v>
      </c>
      <c r="J58" t="inlineStr">
        <is>
          <t>Senior unsecured</t>
        </is>
      </c>
      <c r="K58" t="inlineStr">
        <is>
          <t>Soft call from 2026-12-10</t>
        </is>
      </c>
      <c r="L58" t="inlineStr">
        <is>
          <t>Reported; remaining Derived</t>
        </is>
      </c>
      <c r="M58" t="inlineStr">
        <is>
          <t>6-K 2025-06-02 acc 0001104659-25-055197 tm2516825d1_ex99-4.htm | https://www.sec.gov/Archives/edgar/data/1513845/000110465925055197/tm2516825d1_ex99-4.htm ; 6-K 2026-08-12 acc 0001104659-26-094844 nbis-20260812xex99d2.htm Note 12, p.F-28 | https://www.sec.gov/Archives/edgar/data/1513845/000110465926094844/nbis-20260812xex99d2.htm</t>
        </is>
      </c>
    </row>
    <row r="59">
      <c r="A59" t="inlineStr">
        <is>
          <t>3.00% conv. notes Jun-2031</t>
        </is>
      </c>
      <c r="B59" t="inlineStr">
        <is>
          <t>2025-06-05</t>
        </is>
      </c>
      <c r="C59" s="2" t="n">
        <v>500</v>
      </c>
      <c r="D59" s="2" t="n">
        <v>87.5</v>
      </c>
      <c r="E59" t="inlineStr">
        <is>
          <t>3.00%</t>
        </is>
      </c>
      <c r="F59" t="inlineStr">
        <is>
          <t>2031-06-05</t>
        </is>
      </c>
      <c r="G59" s="2" t="n">
        <v>612.5</v>
      </c>
      <c r="H59" s="2" t="n">
        <v>498.4</v>
      </c>
      <c r="I59" s="2" t="n">
        <v>2908.4</v>
      </c>
      <c r="J59" t="inlineStr">
        <is>
          <t>Senior unsecured</t>
        </is>
      </c>
      <c r="K59" t="inlineStr">
        <is>
          <t>Soft call from 2027-06-10</t>
        </is>
      </c>
      <c r="L59" t="inlineStr">
        <is>
          <t>Reported; remaining Derived</t>
        </is>
      </c>
      <c r="M59" t="inlineStr">
        <is>
          <t>6-K 2025-06-02 acc 0001104659-25-055197 tm2516825d1_ex99-5.htm | https://www.sec.gov/Archives/edgar/data/1513845/000110465925055197/tm2516825d1_ex99-5.htm ; 6-K 2026-08-12 acc 0001104659-26-094844 nbis-20260812xex99d2.htm Note 12, p.F-28 | https://www.sec.gov/Archives/edgar/data/1513845/000110465926094844/nbis-20260812xex99d2.htm</t>
        </is>
      </c>
    </row>
    <row r="60">
      <c r="A60" t="inlineStr">
        <is>
          <t>1.00% conv. notes Sep-2030</t>
        </is>
      </c>
      <c r="B60" t="inlineStr">
        <is>
          <t>2025-09-15</t>
        </is>
      </c>
      <c r="C60" s="2" t="n">
        <v>1581.25</v>
      </c>
      <c r="D60" s="2" t="n">
        <v>1581.25</v>
      </c>
      <c r="E60" t="inlineStr">
        <is>
          <t>1.00%</t>
        </is>
      </c>
      <c r="F60" t="inlineStr">
        <is>
          <t>2030-09-15</t>
        </is>
      </c>
      <c r="G60" s="2" t="n">
        <v>1818.4</v>
      </c>
      <c r="H60" s="2" t="n">
        <v>1588.2</v>
      </c>
      <c r="I60" s="2" t="n">
        <v>3555.5</v>
      </c>
      <c r="J60" t="inlineStr">
        <is>
          <t>Senior unsecured</t>
        </is>
      </c>
      <c r="K60" t="inlineStr">
        <is>
          <t>Soft call from 2028-09-20</t>
        </is>
      </c>
      <c r="L60" t="inlineStr">
        <is>
          <t>Derived principal (1,818.4/1.15)</t>
        </is>
      </c>
      <c r="M60" t="inlineStr">
        <is>
          <t>6-K 2025-09-15 acc 0001104659-25-089969 tm2525580d4_ex4-1.htm | https://www.sec.gov/Archives/edgar/data/1513845/000110465925089969/tm2525580d4_ex4-1.htm ; 6-K 2026-08-12 acc 0001104659-26-094844 nbis-20260812xex99d2.htm Note 12, p.F-28 | https://www.sec.gov/Archives/edgar/data/1513845/000110465926094844/nbis-20260812xex99d2.htm</t>
        </is>
      </c>
    </row>
    <row r="61">
      <c r="A61" t="inlineStr">
        <is>
          <t>2.75% conv. notes Sep-2032</t>
        </is>
      </c>
      <c r="B61" t="inlineStr">
        <is>
          <t>2025-09-15</t>
        </is>
      </c>
      <c r="C61" s="2" t="n">
        <v>1581.25</v>
      </c>
      <c r="D61" s="2" t="n">
        <v>1581.25</v>
      </c>
      <c r="E61" t="inlineStr">
        <is>
          <t>2.75%</t>
        </is>
      </c>
      <c r="F61" t="inlineStr">
        <is>
          <t>2032-09-15</t>
        </is>
      </c>
      <c r="G61" s="2" t="n">
        <v>1818.4</v>
      </c>
      <c r="H61" s="2" t="n">
        <v>1575</v>
      </c>
      <c r="I61" s="2" t="n">
        <v>3488</v>
      </c>
      <c r="J61" t="inlineStr">
        <is>
          <t>Senior unsecured</t>
        </is>
      </c>
      <c r="K61" t="inlineStr">
        <is>
          <t>Soft call from 2028-09-20</t>
        </is>
      </c>
      <c r="L61" t="inlineStr">
        <is>
          <t>Derived principal</t>
        </is>
      </c>
      <c r="M61" t="inlineStr">
        <is>
          <t>6-K 2025-09-15 acc 0001104659-25-089969 tm2525580d4_ex4-3.htm | https://www.sec.gov/Archives/edgar/data/1513845/000110465925089969/tm2525580d4_ex4-3.htm ; 6-K 2026-08-12 acc 0001104659-26-094844 nbis-20260812xex99d2.htm Note 12, p.F-28 | https://www.sec.gov/Archives/edgar/data/1513845/000110465926094844/nbis-20260812xex99d2.htm</t>
        </is>
      </c>
    </row>
    <row r="62">
      <c r="A62" t="inlineStr">
        <is>
          <t>1.25% conv. notes Mar-2031</t>
        </is>
      </c>
      <c r="B62" t="inlineStr">
        <is>
          <t>2026-03-20</t>
        </is>
      </c>
      <c r="C62" s="2" t="n">
        <v>2587.5</v>
      </c>
      <c r="D62" s="2" t="n">
        <v>2587.5</v>
      </c>
      <c r="E62" t="inlineStr">
        <is>
          <t>1.25%</t>
        </is>
      </c>
      <c r="F62" t="inlineStr">
        <is>
          <t>2031-03</t>
        </is>
      </c>
      <c r="G62" s="2" t="n">
        <v>3105</v>
      </c>
      <c r="H62" s="2" t="n">
        <v>2588.6</v>
      </c>
      <c r="I62" s="2" t="n">
        <v>4696.5</v>
      </c>
      <c r="J62" t="inlineStr">
        <is>
          <t>Senior unsecured</t>
        </is>
      </c>
      <c r="K62" t="inlineStr">
        <is>
          <t>Soft call from 2029-03-20</t>
        </is>
      </c>
      <c r="L62" t="inlineStr">
        <is>
          <t>Reported</t>
        </is>
      </c>
      <c r="M62" t="inlineStr">
        <is>
          <t>6-K 2026-03-20 acc 0001104659-26-032735 tm268409d4_ex4-1.htm | https://www.sec.gov/Archives/edgar/data/1513845/000110465926032735/tm268409d4_ex4-1.htm ; 6-K 2026-08-12 acc 0001104659-26-094844 nbis-20260812xex99d2.htm Note 12, p.F-28 | https://www.sec.gov/Archives/edgar/data/1513845/000110465926094844/nbis-20260812xex99d2.htm</t>
        </is>
      </c>
    </row>
    <row r="63">
      <c r="A63" t="inlineStr">
        <is>
          <t>2.625% conv. notes Mar-2033</t>
        </is>
      </c>
      <c r="B63" t="inlineStr">
        <is>
          <t>2026-03-20</t>
        </is>
      </c>
      <c r="C63" s="2" t="n">
        <v>1750</v>
      </c>
      <c r="D63" s="2" t="n">
        <v>1750</v>
      </c>
      <c r="E63" t="inlineStr">
        <is>
          <t>2.625%</t>
        </is>
      </c>
      <c r="F63" t="inlineStr">
        <is>
          <t>2033-03</t>
        </is>
      </c>
      <c r="G63" s="2" t="n">
        <v>2100</v>
      </c>
      <c r="H63" s="2" t="n">
        <v>1744.7</v>
      </c>
      <c r="I63" s="2" t="n">
        <v>3246.6</v>
      </c>
      <c r="J63" t="inlineStr">
        <is>
          <t>Senior unsecured</t>
        </is>
      </c>
      <c r="K63" t="inlineStr">
        <is>
          <t>Soft call from 2030-03-20</t>
        </is>
      </c>
      <c r="L63" t="inlineStr">
        <is>
          <t>Reported</t>
        </is>
      </c>
      <c r="M63" t="inlineStr">
        <is>
          <t>6-K 2026-03-20 acc 0001104659-26-032735 tm268409d4_ex4-3.htm | https://www.sec.gov/Archives/edgar/data/1513845/000110465926032735/tm268409d4_ex4-3.htm ; 6-K 2026-08-12 acc 0001104659-26-094844 nbis-20260812xex99d2.htm Note 12, p.F-28 | https://www.sec.gov/Archives/edgar/data/1513845/000110465926094844/nbis-20260812xex99d2.htm</t>
        </is>
      </c>
    </row>
    <row r="64">
      <c r="A64" t="inlineStr">
        <is>
          <t>0.50% conv. notes Feb-2030 (post-period)</t>
        </is>
      </c>
      <c r="B64" t="inlineStr">
        <is>
          <t>2026-08-24</t>
        </is>
      </c>
      <c r="C64" s="2" t="n">
        <v>3450</v>
      </c>
      <c r="D64" s="2" t="n">
        <v>3450</v>
      </c>
      <c r="E64" t="inlineStr">
        <is>
          <t>0.50%</t>
        </is>
      </c>
      <c r="F64" t="inlineStr">
        <is>
          <t>2030-02-15</t>
        </is>
      </c>
      <c r="G64" t="inlineStr">
        <is>
          <t>n/a (post-period; 110% accretion = 3,795.0 Derived)</t>
        </is>
      </c>
      <c r="H64" t="inlineStr">
        <is>
          <t>n/a (post-period)</t>
        </is>
      </c>
      <c r="I64" t="inlineStr">
        <is>
          <t>n/a (post-period)</t>
        </is>
      </c>
      <c r="J64" t="inlineStr">
        <is>
          <t>Senior unsecured</t>
        </is>
      </c>
      <c r="K64" t="inlineStr">
        <is>
          <t>Soft call from 2028-02-21</t>
        </is>
      </c>
      <c r="L64" t="inlineStr">
        <is>
          <t>Reported</t>
        </is>
      </c>
      <c r="M64" t="inlineStr">
        <is>
          <t>6-K 2026-08-24 acc 0001104659-26-100347 tm2623863d1_ex4-1.htm | https://www.sec.gov/Archives/edgar/data/1513845/000110465926100347/tm2623863d1_ex4-1.htm</t>
        </is>
      </c>
    </row>
    <row r="65">
      <c r="A65" t="inlineStr">
        <is>
          <t>4.50% conv. notes Feb-2034 (post-period)</t>
        </is>
      </c>
      <c r="B65" t="inlineStr">
        <is>
          <t>2026-08-24</t>
        </is>
      </c>
      <c r="C65" s="2" t="n">
        <v>2300</v>
      </c>
      <c r="D65" s="2" t="n">
        <v>2300</v>
      </c>
      <c r="E65" t="inlineStr">
        <is>
          <t>4.50%</t>
        </is>
      </c>
      <c r="F65" t="inlineStr">
        <is>
          <t>2034-02-15</t>
        </is>
      </c>
      <c r="G65" t="inlineStr">
        <is>
          <t>n/a (post-period; 125% accretion = 2,875.0 Derived)</t>
        </is>
      </c>
      <c r="H65" t="inlineStr">
        <is>
          <t>n/a (post-period)</t>
        </is>
      </c>
      <c r="I65" t="inlineStr">
        <is>
          <t>n/a (post-period)</t>
        </is>
      </c>
      <c r="J65" t="inlineStr">
        <is>
          <t>Senior unsecured</t>
        </is>
      </c>
      <c r="K65" t="inlineStr">
        <is>
          <t>Soft call from 2028-08-21</t>
        </is>
      </c>
      <c r="L65" t="inlineStr">
        <is>
          <t>Reported</t>
        </is>
      </c>
      <c r="M65" t="inlineStr">
        <is>
          <t>6-K 2026-08-24 acc 0001104659-26-100347 tm2623863d1_ex4-3.htm | https://www.sec.gov/Archives/edgar/data/1513845/000110465926100347/tm2623863d1_ex4-3.htm</t>
        </is>
      </c>
    </row>
    <row r="66">
      <c r="A66" t="inlineStr">
        <is>
          <t>Senior secured asset-backed term loan (Nebius Compute II LLC / Oy; MUFG lead)</t>
        </is>
      </c>
      <c r="B66" t="inlineStr">
        <is>
          <t>2026-07-10</t>
        </is>
      </c>
      <c r="C66" s="2" t="n">
        <v>775</v>
      </c>
      <c r="D66" t="inlineStr">
        <is>
          <t>drawn amount not disclosed</t>
        </is>
      </c>
      <c r="E66" t="inlineStr">
        <is>
          <t>Term SOFR (0% floor) + 2.50%</t>
        </is>
      </c>
      <c r="F66" t="inlineStr">
        <is>
          <t>2030-10-31</t>
        </is>
      </c>
      <c r="G66" t="inlineStr">
        <is>
          <t>n/a</t>
        </is>
      </c>
      <c r="H66" t="inlineStr">
        <is>
          <t>n/a (post-period)</t>
        </is>
      </c>
      <c r="I66" t="inlineStr">
        <is>
          <t>n/a</t>
        </is>
      </c>
      <c r="J66" t="inlineStr">
        <is>
          <t>Secured by substantially all borrower assets + borrower shares; collateralized by deployed GPU infrastructure and contracted cash flows from an investment-grade customer; DSCR 1.15x + min. liquidity; non-recourse to parent except bad-acts/performance guarantees</t>
        </is>
      </c>
      <c r="K66" t="inlineStr">
        <is>
          <t>Prepayable without premium (breakage only)</t>
        </is>
      </c>
      <c r="L66" t="inlineStr">
        <is>
          <t>Reported</t>
        </is>
      </c>
      <c r="M66" t="inlineStr">
        <is>
          <t>6-K/A 2026-07-17 acc 0001104659-26-084606 tm2620779d1_6ka.htm | https://www.sec.gov/Archives/edgar/data/1513845/000110465926084606/tm2620779d1_6ka.htm</t>
        </is>
      </c>
    </row>
    <row r="67">
      <c r="A67" t="inlineStr">
        <is>
          <t>Debt, current (30-Jun-2026 balance sheet)</t>
        </is>
      </c>
      <c r="B67" t="inlineStr">
        <is>
          <t>2026-06-30</t>
        </is>
      </c>
      <c r="C67" t="inlineStr">
        <is>
          <t>n/a</t>
        </is>
      </c>
      <c r="D67" t="inlineStr">
        <is>
          <t>n/a</t>
        </is>
      </c>
      <c r="E67" t="inlineStr">
        <is>
          <t>not disclosed</t>
        </is>
      </c>
      <c r="F67" t="inlineStr">
        <is>
          <t>within 12 months</t>
        </is>
      </c>
      <c r="G67" t="inlineStr">
        <is>
          <t>n/a</t>
        </is>
      </c>
      <c r="H67" s="2" t="n">
        <v>46.7</v>
      </c>
      <c r="I67" t="inlineStr">
        <is>
          <t>not disclosed</t>
        </is>
      </c>
      <c r="J67" t="inlineStr">
        <is>
          <t>not disclosed (no breakdown in FS)</t>
        </is>
      </c>
      <c r="K67" t="inlineStr">
        <is>
          <t>n/a</t>
        </is>
      </c>
      <c r="L67" t="inlineStr">
        <is>
          <t>Reported</t>
        </is>
      </c>
      <c r="M67" t="inlineStr">
        <is>
          <t>6-K 2026-08-12 acc 0001104659-26-094568 tm2622968d1_ex99-1.htm | https://www.sec.gov/Archives/edgar/data/1513845/000110465926094568/tm2622968d1_ex99-1.htm</t>
        </is>
      </c>
    </row>
    <row r="68">
      <c r="A68" s="8" t="inlineStr">
        <is>
          <t>Total converts (pro forma, post Aug-26)</t>
        </is>
      </c>
      <c r="C68">
        <f>SUM(C58:C65)</f>
        <v/>
      </c>
      <c r="D68">
        <f>SUM(D58:D65)</f>
        <v/>
      </c>
      <c r="G68">
        <f>SUM(G58:G63)</f>
        <v/>
      </c>
      <c r="H68">
        <f>SUM(H58:H63)</f>
        <v/>
      </c>
      <c r="I68">
        <f>SUM(I58:I63)</f>
        <v/>
      </c>
      <c r="L68" t="inlineStr">
        <is>
          <t>Derived</t>
        </is>
      </c>
      <c r="M68" t="inlineStr">
        <is>
          <t>G/H/I = 30-Jun-2026 six series only (Note 12 totals 10,041.8 / 8,499.0 / 20,823.7); C/D include Aug-26 issues; D is after Aug-26 exchange (G/H/I still include the 800M exchanged)</t>
        </is>
      </c>
    </row>
    <row r="69">
      <c r="A69" t="inlineStr">
        <is>
          <t>Cash &amp; equivalents 30-Jun-2026</t>
        </is>
      </c>
      <c r="H69" s="2" t="n">
        <v>8042.1</v>
      </c>
      <c r="L69" t="inlineStr">
        <is>
          <t>Reported</t>
        </is>
      </c>
      <c r="M69" t="inlineStr">
        <is>
          <t>6-K 2026-08-12 acc 0001104659-26-094568 tm2622968d1_ex99-1.htm Balance sheet | https://www.sec.gov/Archives/edgar/data/1513845/000110465926094568/tm2622968d1_ex99-1.htm</t>
        </is>
      </c>
    </row>
    <row r="70">
      <c r="A70" t="inlineStr">
        <is>
          <t>Restricted cash 30-Jun-2026</t>
        </is>
      </c>
      <c r="H70" s="2" t="n">
        <v>1056</v>
      </c>
      <c r="L70" t="inlineStr">
        <is>
          <t>Reported</t>
        </is>
      </c>
      <c r="M70" t="inlineStr">
        <is>
          <t>6-K 2026-08-12 acc 0001104659-26-094568 tm2622968d1_ex99-1.htm Balance sheet | https://www.sec.gov/Archives/edgar/data/1513845/000110465926094568/tm2622968d1_ex99-1.htm</t>
        </is>
      </c>
    </row>
    <row r="71">
      <c r="A71" t="inlineStr">
        <is>
          <t>Aug-2026 convert gross proceeds (post-period)</t>
        </is>
      </c>
      <c r="H71">
        <f>C64+C65</f>
        <v/>
      </c>
      <c r="L71" t="inlineStr">
        <is>
          <t>Derived</t>
        </is>
      </c>
      <c r="M71" t="inlineStr">
        <is>
          <t>3,450 + 2,300 gross; net proceeds per AUG26C PR not re-stated here</t>
        </is>
      </c>
    </row>
    <row r="72">
      <c r="A72" t="inlineStr">
        <is>
          <t>Net debt 30-Jun-2026, carrying basis ($M) = debt current + convert carrying - cash (ex restricted)</t>
        </is>
      </c>
      <c r="H72">
        <f>46.7+H68-H69</f>
        <v/>
      </c>
      <c r="L72" t="inlineStr">
        <is>
          <t>Derived</t>
        </is>
      </c>
      <c r="M72" t="inlineStr">
        <is>
          <t>46.7 + 8,499.0 - 8,042.1</t>
        </is>
      </c>
    </row>
    <row r="73">
      <c r="A73" t="inlineStr">
        <is>
          <t>Pro forma remaining orig. convert principal ($M, post Aug-26)</t>
        </is>
      </c>
      <c r="H73">
        <f>D68</f>
        <v/>
      </c>
      <c r="L73" t="inlineStr">
        <is>
          <t>Derived</t>
        </is>
      </c>
    </row>
    <row r="75">
      <c r="A75" s="10" t="inlineStr">
        <is>
          <t>E. Lease obligations (ASC 842 - US GAAP filer; all operating leases) and other commitments</t>
        </is>
      </c>
      <c r="B75" s="11" t="n"/>
      <c r="C75" s="11" t="n"/>
      <c r="D75" s="11" t="n"/>
      <c r="E75" s="11" t="n"/>
      <c r="F75" s="11" t="n"/>
      <c r="G75" s="11" t="n"/>
      <c r="H75" s="11" t="n"/>
      <c r="I75" s="11" t="n"/>
      <c r="J75" s="11" t="n"/>
      <c r="K75" s="11" t="n"/>
      <c r="L75" s="11" t="n"/>
      <c r="M75" s="11" t="n"/>
    </row>
    <row r="76">
      <c r="A76" s="6" t="inlineStr">
        <is>
          <t>Item</t>
        </is>
      </c>
      <c r="B76" s="6" t="inlineStr">
        <is>
          <t>31-Dec-2025</t>
        </is>
      </c>
      <c r="C76" s="6" t="inlineStr">
        <is>
          <t>30-Jun-2026</t>
        </is>
      </c>
      <c r="D76" s="6" t="inlineStr"/>
      <c r="E76" s="6" t="inlineStr"/>
      <c r="F76" s="6" t="inlineStr"/>
      <c r="G76" s="6" t="inlineStr"/>
      <c r="H76" s="6" t="inlineStr"/>
      <c r="I76" s="6" t="inlineStr"/>
      <c r="J76" s="6" t="inlineStr"/>
      <c r="K76" s="6" t="inlineStr"/>
      <c r="L76" s="6" t="inlineStr">
        <is>
          <t>Tag</t>
        </is>
      </c>
      <c r="M76" s="6" t="inlineStr">
        <is>
          <t>Source</t>
        </is>
      </c>
    </row>
    <row r="77">
      <c r="A77" t="inlineStr">
        <is>
          <t>Operating lease ROU assets</t>
        </is>
      </c>
      <c r="B77" s="2" t="n">
        <v>918.8</v>
      </c>
      <c r="C77" s="2" t="n">
        <v>1855.1</v>
      </c>
      <c r="L77" t="inlineStr">
        <is>
          <t>Reported</t>
        </is>
      </c>
      <c r="M77"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78">
      <c r="A78" t="inlineStr">
        <is>
          <t>Operating lease liabilities - current</t>
        </is>
      </c>
      <c r="B78" s="2" t="n">
        <v>84.90000000000001</v>
      </c>
      <c r="C78" s="2" t="n">
        <v>114.9</v>
      </c>
      <c r="L78" t="inlineStr">
        <is>
          <t>Reported</t>
        </is>
      </c>
      <c r="M78"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79">
      <c r="A79" t="inlineStr">
        <is>
          <t>Operating lease liabilities - non-current</t>
        </is>
      </c>
      <c r="B79" s="2" t="n">
        <v>760.5</v>
      </c>
      <c r="C79" s="2" t="n">
        <v>1510.4</v>
      </c>
      <c r="L79" t="inlineStr">
        <is>
          <t>Reported</t>
        </is>
      </c>
      <c r="M79"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0">
      <c r="A80" t="inlineStr">
        <is>
          <t>Total operating lease liabilities</t>
        </is>
      </c>
      <c r="B80" s="2" t="n">
        <v>845.4</v>
      </c>
      <c r="C80" s="2" t="n">
        <v>1625.3</v>
      </c>
      <c r="L80" t="inlineStr">
        <is>
          <t>Reported</t>
        </is>
      </c>
      <c r="M80"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1">
      <c r="A81" t="inlineStr">
        <is>
          <t>Weighted avg remaining lease term (years)</t>
        </is>
      </c>
      <c r="B81" s="2" t="n">
        <v>8.6</v>
      </c>
      <c r="C81" s="2" t="n">
        <v>8.699999999999999</v>
      </c>
      <c r="L81" t="inlineStr">
        <is>
          <t>Reported</t>
        </is>
      </c>
      <c r="M81"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2">
      <c r="A82" t="inlineStr">
        <is>
          <t>Weighted avg discount rate (%)</t>
        </is>
      </c>
      <c r="B82" s="2" t="n">
        <v>6.3</v>
      </c>
      <c r="C82" s="2" t="n">
        <v>6.3</v>
      </c>
      <c r="L82" t="inlineStr">
        <is>
          <t>Reported</t>
        </is>
      </c>
      <c r="M82"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3">
      <c r="A83" t="inlineStr">
        <is>
          <t>Operating lease cost - 1H (Q2FS) / FY (20-F)</t>
        </is>
      </c>
      <c r="B83" t="inlineStr">
        <is>
          <t>not extracted for FY</t>
        </is>
      </c>
      <c r="C83" s="2" t="n">
        <v>99.7</v>
      </c>
      <c r="L83" t="inlineStr">
        <is>
          <t>Reported</t>
        </is>
      </c>
      <c r="M83"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4">
      <c r="A84" t="inlineStr">
        <is>
          <t>Leases signed, not yet commenced - undiscounted payments</t>
        </is>
      </c>
      <c r="B84" s="2" t="n">
        <v>9759.6</v>
      </c>
      <c r="C84" s="2" t="n">
        <v>12054.1</v>
      </c>
      <c r="L84" t="inlineStr">
        <is>
          <t>Reported</t>
        </is>
      </c>
      <c r="M84"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5">
      <c r="A85" t="inlineStr">
        <is>
          <t>Prepayments on not-yet-commenced leases</t>
        </is>
      </c>
      <c r="B85" s="2" t="n">
        <v>271</v>
      </c>
      <c r="C85" s="2" t="n">
        <v>612.4</v>
      </c>
      <c r="L85" t="inlineStr">
        <is>
          <t>Reported</t>
        </is>
      </c>
      <c r="M85" t="inlineStr">
        <is>
          <t>20-F 2026-04-30 acc 0001104659-26-052948 nbis-20251231x20f.htm Note 8, p.F-39/F-40 | https://www.sec.gov/Archives/edgar/data/1513845/000110465926052948/nbis-20251231x20f.htm ; 6-K 2026-08-12 acc 0001104659-26-094844 nbis-20260812xex99d2.htm Note 8, p.F-24/F-25 | https://www.sec.gov/Archives/edgar/data/1513845/000110465926094844/nbis-20260812xex99d2.htm</t>
        </is>
      </c>
    </row>
    <row r="86">
      <c r="A86" t="inlineStr">
        <is>
          <t>Finance leases</t>
        </is>
      </c>
      <c r="B86" t="inlineStr">
        <is>
          <t>none - "all of which are operating leases"</t>
        </is>
      </c>
      <c r="C86" t="inlineStr">
        <is>
          <t>none</t>
        </is>
      </c>
      <c r="L86" t="inlineStr">
        <is>
          <t>Reported</t>
        </is>
      </c>
      <c r="M86" t="inlineStr">
        <is>
          <t>6-K 2026-08-12 acc 0001104659-26-094844 nbis-20260812xex99d2.htm Note 8, p.F-24 | https://www.sec.gov/Archives/edgar/data/1513845/000110465926094844/nbis-20260812xex99d2.htm</t>
        </is>
      </c>
    </row>
    <row r="88">
      <c r="A88" s="6" t="inlineStr">
        <is>
          <t>Lease maturity table (undiscounted, $M)</t>
        </is>
      </c>
      <c r="B88" s="6" t="inlineStr">
        <is>
          <t>As of 31-Dec-2025</t>
        </is>
      </c>
      <c r="C88" s="6" t="inlineStr">
        <is>
          <t>As of 30-Jun-2026</t>
        </is>
      </c>
      <c r="D88" s="6" t="inlineStr"/>
      <c r="E88" s="6" t="inlineStr"/>
      <c r="F88" s="6" t="inlineStr"/>
      <c r="G88" s="6" t="inlineStr"/>
      <c r="H88" s="6" t="inlineStr"/>
      <c r="I88" s="6" t="inlineStr"/>
      <c r="J88" s="6" t="inlineStr"/>
      <c r="K88" s="6" t="inlineStr"/>
      <c r="L88" s="6" t="inlineStr">
        <is>
          <t>Tag</t>
        </is>
      </c>
      <c r="M88" s="6" t="inlineStr">
        <is>
          <t>Source</t>
        </is>
      </c>
    </row>
    <row r="89">
      <c r="A89" t="inlineStr">
        <is>
          <t>2026 (remainder of 2026 for Jun-26 column)</t>
        </is>
      </c>
      <c r="B89" s="2" t="n">
        <v>135.8</v>
      </c>
      <c r="C89" s="2" t="n">
        <v>91.59999999999999</v>
      </c>
      <c r="L89" t="inlineStr">
        <is>
          <t>Reported</t>
        </is>
      </c>
      <c r="M89"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0">
      <c r="A90" t="inlineStr">
        <is>
          <t>2027</t>
        </is>
      </c>
      <c r="B90" s="2" t="n">
        <v>124.3</v>
      </c>
      <c r="C90" s="2" t="n">
        <v>235.2</v>
      </c>
      <c r="L90" t="inlineStr">
        <is>
          <t>Reported</t>
        </is>
      </c>
      <c r="M90"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1">
      <c r="A91" t="inlineStr">
        <is>
          <t>2028</t>
        </is>
      </c>
      <c r="B91" s="2" t="n">
        <v>120.1</v>
      </c>
      <c r="C91" s="2" t="n">
        <v>234.2</v>
      </c>
      <c r="L91" t="inlineStr">
        <is>
          <t>Reported</t>
        </is>
      </c>
      <c r="M91"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2">
      <c r="A92" t="inlineStr">
        <is>
          <t>2029</t>
        </is>
      </c>
      <c r="B92" s="2" t="n">
        <v>125.7</v>
      </c>
      <c r="C92" s="2" t="n">
        <v>241.4</v>
      </c>
      <c r="L92" t="inlineStr">
        <is>
          <t>Reported</t>
        </is>
      </c>
      <c r="M92"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3">
      <c r="A93" t="inlineStr">
        <is>
          <t>2030</t>
        </is>
      </c>
      <c r="B93" s="2" t="n">
        <v>123.6</v>
      </c>
      <c r="C93" s="2" t="n">
        <v>242.7</v>
      </c>
      <c r="L93" t="inlineStr">
        <is>
          <t>Reported</t>
        </is>
      </c>
      <c r="M93"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4">
      <c r="A94" t="inlineStr">
        <is>
          <t>Thereafter</t>
        </is>
      </c>
      <c r="B94" s="2" t="n">
        <v>482</v>
      </c>
      <c r="C94" s="2" t="n">
        <v>1130</v>
      </c>
      <c r="L94" t="inlineStr">
        <is>
          <t>Reported</t>
        </is>
      </c>
      <c r="M94" t="inlineStr">
        <is>
          <t>20-F 2026-04-30 acc 0001104659-26-052948 nbis-20251231x20f.htm Note 8, p.F-39 | https://www.sec.gov/Archives/edgar/data/1513845/000110465926052948/nbis-20251231x20f.htm ; 6-K 2026-08-12 acc 0001104659-26-094844 nbis-20260812xex99d2.htm Note 8, p.F-24 | https://www.sec.gov/Archives/edgar/data/1513845/000110465926094844/nbis-20260812xex99d2.htm</t>
        </is>
      </c>
    </row>
    <row r="95">
      <c r="A95" t="inlineStr">
        <is>
          <t>Total lease payments</t>
        </is>
      </c>
      <c r="B95">
        <f>SUM(B89:B94)</f>
        <v/>
      </c>
      <c r="C95">
        <f>SUM(C89:C94)</f>
        <v/>
      </c>
      <c r="L95" t="inlineStr">
        <is>
          <t>Derived (ties to reported 1,111.5 / 2,175.1)</t>
        </is>
      </c>
    </row>
    <row r="96">
      <c r="A96" t="inlineStr">
        <is>
          <t>Less imputed interest</t>
        </is>
      </c>
      <c r="B96" s="2" t="n">
        <v>-266.1</v>
      </c>
      <c r="C96" s="2" t="n">
        <v>-549.8</v>
      </c>
      <c r="L96" t="inlineStr">
        <is>
          <t>Reported</t>
        </is>
      </c>
    </row>
    <row r="97">
      <c r="A97" t="inlineStr">
        <is>
          <t>Lease liabilities (PV)</t>
        </is>
      </c>
      <c r="B97">
        <f>B95+B96</f>
        <v/>
      </c>
      <c r="C97">
        <f>C95+C96</f>
        <v/>
      </c>
      <c r="L97" t="inlineStr">
        <is>
          <t>Derived (ties to 845.4 / 1,625.3)</t>
        </is>
      </c>
    </row>
    <row r="99">
      <c r="A99" t="inlineStr">
        <is>
          <t>Energy &amp; power supply commitments (fixed/minimum guaranteed), as of 30-Jun-2026 ($M)</t>
        </is>
      </c>
      <c r="L99" t="inlineStr">
        <is>
          <t>Reported</t>
        </is>
      </c>
      <c r="M99" t="inlineStr">
        <is>
          <t>6-K 2026-08-12 acc 0001104659-26-094844 nbis-20260812xex99d2.htm Note 11, p.F-26 | https://www.sec.gov/Archives/edgar/data/1513845/000110465926094844/nbis-20260812xex99d2.htm</t>
        </is>
      </c>
    </row>
    <row r="100">
      <c r="A100" t="inlineStr">
        <is>
          <t>2026 (remainder)</t>
        </is>
      </c>
      <c r="C100" s="2" t="n">
        <v>81.7</v>
      </c>
      <c r="L100" t="inlineStr">
        <is>
          <t>Reported</t>
        </is>
      </c>
    </row>
    <row r="101">
      <c r="A101" t="inlineStr">
        <is>
          <t>2027</t>
        </is>
      </c>
      <c r="C101" s="2" t="n">
        <v>541.8</v>
      </c>
      <c r="L101" t="inlineStr">
        <is>
          <t>Reported</t>
        </is>
      </c>
    </row>
    <row r="102">
      <c r="A102" t="inlineStr">
        <is>
          <t>2028</t>
        </is>
      </c>
      <c r="C102" s="2" t="n">
        <v>542</v>
      </c>
      <c r="L102" t="inlineStr">
        <is>
          <t>Reported</t>
        </is>
      </c>
    </row>
    <row r="103">
      <c r="A103" t="inlineStr">
        <is>
          <t>2029</t>
        </is>
      </c>
      <c r="C103" s="2" t="n">
        <v>540.5</v>
      </c>
      <c r="L103" t="inlineStr">
        <is>
          <t>Reported</t>
        </is>
      </c>
    </row>
    <row r="104">
      <c r="A104" t="inlineStr">
        <is>
          <t>2030</t>
        </is>
      </c>
      <c r="C104" s="2" t="n">
        <v>535.8</v>
      </c>
      <c r="L104" t="inlineStr">
        <is>
          <t>Reported</t>
        </is>
      </c>
    </row>
    <row r="105">
      <c r="A105" t="inlineStr">
        <is>
          <t>Thereafter</t>
        </is>
      </c>
      <c r="C105" s="2" t="n">
        <v>3082.3</v>
      </c>
      <c r="L105" t="inlineStr">
        <is>
          <t>Reported</t>
        </is>
      </c>
    </row>
    <row r="106">
      <c r="A106" t="inlineStr">
        <is>
          <t>Total power commitments</t>
        </is>
      </c>
      <c r="C106">
        <f>SUM(C100:C105)</f>
        <v/>
      </c>
      <c r="L106" t="inlineStr">
        <is>
          <t>Derived</t>
        </is>
      </c>
    </row>
    <row r="107">
      <c r="A107" t="inlineStr">
        <is>
          <t>GPU / equipment vendor financing, sale-leaseback or other asset-backed financing</t>
        </is>
      </c>
      <c r="C107" t="inlineStr">
        <is>
          <t>not disclosed beyond the $775M secured facility (none found in 20-F FY25, Q1/Q2 FS)</t>
        </is>
      </c>
      <c r="L107" t="inlineStr">
        <is>
          <t>Not disclosed</t>
        </is>
      </c>
    </row>
    <row r="109">
      <c r="A109" s="10" t="inlineStr">
        <is>
          <t>F. Equity issuance / share count history</t>
        </is>
      </c>
      <c r="B109" s="11" t="n"/>
      <c r="C109" s="11" t="n"/>
      <c r="D109" s="11" t="n"/>
      <c r="E109" s="11" t="n"/>
      <c r="F109" s="11" t="n"/>
      <c r="G109" s="11" t="n"/>
      <c r="H109" s="11" t="n"/>
      <c r="I109" s="11" t="n"/>
      <c r="J109" s="11" t="n"/>
      <c r="K109" s="11" t="n"/>
      <c r="L109" s="11" t="n"/>
      <c r="M109" s="11" t="n"/>
    </row>
    <row r="110">
      <c r="A110" s="6" t="inlineStr">
        <is>
          <t>Event</t>
        </is>
      </c>
      <c r="B110" s="6" t="inlineStr">
        <is>
          <t>Date</t>
        </is>
      </c>
      <c r="C110" s="6" t="inlineStr">
        <is>
          <t>Shares</t>
        </is>
      </c>
      <c r="D110" s="6" t="inlineStr">
        <is>
          <t>Price ($/sh)</t>
        </is>
      </c>
      <c r="E110" s="6" t="inlineStr">
        <is>
          <t>Gross ($M)</t>
        </is>
      </c>
      <c r="F110" s="6" t="inlineStr">
        <is>
          <t>Net ($M)</t>
        </is>
      </c>
      <c r="G110" s="6" t="inlineStr">
        <is>
          <t>Investors / mechanism</t>
        </is>
      </c>
      <c r="H110" s="6" t="inlineStr"/>
      <c r="I110" s="6" t="inlineStr"/>
      <c r="J110" s="6" t="inlineStr"/>
      <c r="K110" s="6" t="inlineStr"/>
      <c r="L110" s="6" t="inlineStr">
        <is>
          <t>Tag</t>
        </is>
      </c>
      <c r="M110" s="6" t="inlineStr">
        <is>
          <t>Source</t>
        </is>
      </c>
    </row>
    <row r="111">
      <c r="A111" t="inlineStr">
        <is>
          <t>Divestment consideration shares received into treasury (deemed repurchase)</t>
        </is>
      </c>
      <c r="B111" t="inlineStr">
        <is>
          <t>2024-05-17 / 2024-07-12</t>
        </is>
      </c>
      <c r="C111" s="2" t="n">
        <v>162485725</v>
      </c>
      <c r="D111" t="inlineStr">
        <is>
          <t>14.1 WA cost (RUB 1,251.8)</t>
        </is>
      </c>
      <c r="E111" t="inlineStr">
        <is>
          <t>not disclosed in $</t>
        </is>
      </c>
      <c r="F111" t="inlineStr">
        <is>
          <t>n/a</t>
        </is>
      </c>
      <c r="G111" t="inlineStr">
        <is>
          <t>67,632,122 at first closing + 94,853,603 at second; held in treasury</t>
        </is>
      </c>
      <c r="L111" t="inlineStr">
        <is>
          <t>Reported</t>
        </is>
      </c>
      <c r="M111" t="inlineStr">
        <is>
          <t>20-F 2025-04-30 acc 0001558370-25-005991 nbis-20241231x20f.htm p.79; Note 13 p.F-36 | https://www.sec.gov/Archives/edgar/data/1513845/000155837025005991/nbis-20241231x20f.htm</t>
        </is>
      </c>
    </row>
    <row r="112">
      <c r="A112" t="inlineStr">
        <is>
          <t>Private placement (from treasury)</t>
        </is>
      </c>
      <c r="B112" t="inlineStr">
        <is>
          <t>2024-12-02</t>
        </is>
      </c>
      <c r="C112" s="2" t="n">
        <v>33333334</v>
      </c>
      <c r="D112" s="2" t="n">
        <v>21</v>
      </c>
      <c r="E112" s="2" t="n">
        <v>700</v>
      </c>
      <c r="F112" s="2" t="n">
        <v>667.5</v>
      </c>
      <c r="G112" t="inlineStr">
        <is>
          <t>Accel, NVIDIA, Orbis-managed accounts + others; Accel observer seat</t>
        </is>
      </c>
      <c r="L112" t="inlineStr">
        <is>
          <t>Reported</t>
        </is>
      </c>
      <c r="M112" t="inlineStr">
        <is>
          <t>6-K 2024-12-02 acc 0001104659-24-124570 tm2429858d1_ex99-1.htm | https://www.sec.gov/Archives/edgar/data/1513845/000110465924124570/tm2429858d1_ex99-1.htm ; 20-F 2025-04-30 acc 0001558370-25-005991 nbis-20241231x20f.htm Note 13 p.F-36 | https://www.sec.gov/Archives/edgar/data/1513845/000155837025005991/nbis-20241231x20f.htm</t>
        </is>
      </c>
    </row>
    <row r="113">
      <c r="A113" t="inlineStr">
        <is>
          <t>Conversion of Jun-25 notes (one holder)</t>
        </is>
      </c>
      <c r="B113" t="inlineStr">
        <is>
          <t>2025 (H2)</t>
        </is>
      </c>
      <c r="C113" s="2" t="n">
        <v>485906</v>
      </c>
      <c r="D113" t="inlineStr">
        <is>
          <t>51.45 (conv.)</t>
        </is>
      </c>
      <c r="E113" t="inlineStr">
        <is>
          <t>25.0 principal</t>
        </is>
      </c>
      <c r="F113" t="inlineStr">
        <is>
          <t>n/a</t>
        </is>
      </c>
      <c r="G113" t="inlineStr">
        <is>
          <t>242,953 shares each for $12.5M of 2029s and 2031s</t>
        </is>
      </c>
      <c r="L113" t="inlineStr">
        <is>
          <t>Reported</t>
        </is>
      </c>
      <c r="M113" t="inlineStr">
        <is>
          <t>20-F 2026-04-30 acc 0001104659-26-052948 nbis-20251231x20f.htm p.F-48 | https://www.sec.gov/Archives/edgar/data/1513845/000110465926052948/nbis-20251231x20f.htm</t>
        </is>
      </c>
    </row>
    <row r="114">
      <c r="A114" t="inlineStr">
        <is>
          <t>Underwritten follow-on (concurrent with Sep-25 converts)</t>
        </is>
      </c>
      <c r="B114" t="inlineStr">
        <is>
          <t>2025-09-10 pricing / 09-15 close</t>
        </is>
      </c>
      <c r="C114" s="2" t="n">
        <v>10810811</v>
      </c>
      <c r="D114" s="2" t="n">
        <v>92.5</v>
      </c>
      <c r="E114" s="2" t="n">
        <v>1000</v>
      </c>
      <c r="F114" t="inlineStr">
        <is>
          <t>not disclosed</t>
        </is>
      </c>
      <c r="G114" t="inlineStr">
        <is>
          <t>Public offering</t>
        </is>
      </c>
      <c r="L114" t="inlineStr">
        <is>
          <t>Reported</t>
        </is>
      </c>
      <c r="M114" t="inlineStr">
        <is>
          <t>6-K 2025-09-15 acc 0001104659-25-089969 tm2525580d4_ex99-1.htm | https://www.sec.gov/Archives/edgar/data/1513845/000110465925089969/tm2525580d4_ex99-1.htm</t>
        </is>
      </c>
    </row>
    <row r="115">
      <c r="A115" t="inlineStr">
        <is>
          <t>Follow-on greenshoe (exercised in full)</t>
        </is>
      </c>
      <c r="B115" t="inlineStr">
        <is>
          <t>2025-09-22</t>
        </is>
      </c>
      <c r="C115" s="2" t="n">
        <v>1621621</v>
      </c>
      <c r="D115" s="2" t="n">
        <v>92.5</v>
      </c>
      <c r="E115" s="2" t="n">
        <v>150</v>
      </c>
      <c r="F115" t="inlineStr">
        <is>
          <t>not disclosed</t>
        </is>
      </c>
      <c r="G115" t="inlineStr">
        <is>
          <t>Underwriters option; total Class A offering gross ~$1.15B</t>
        </is>
      </c>
      <c r="L115" t="inlineStr">
        <is>
          <t>Reported (gross derived 1,621,621 x 92.50)</t>
        </is>
      </c>
      <c r="M115" t="inlineStr">
        <is>
          <t>6-K 2025-09-22 acc 0001104659-25-091939 tm2526625d1_ex99-1.htm | https://www.sec.gov/Archives/edgar/data/1513845/000110465925091939/tm2526625d1_ex99-1.htm</t>
        </is>
      </c>
    </row>
    <row r="116">
      <c r="A116" t="inlineStr">
        <is>
          <t>ATM program established (25,000,000 shares)</t>
        </is>
      </c>
      <c r="B116" t="inlineStr">
        <is>
          <t>2025-11-12</t>
        </is>
      </c>
      <c r="C116" t="inlineStr">
        <is>
          <t>25,000,000 authorized</t>
        </is>
      </c>
      <c r="D116" t="inlineStr">
        <is>
          <t>market</t>
        </is>
      </c>
      <c r="E116" t="inlineStr">
        <is>
          <t>n/a</t>
        </is>
      </c>
      <c r="F116" t="inlineStr">
        <is>
          <t>n/a</t>
        </is>
      </c>
      <c r="G116" t="inlineStr">
        <is>
          <t>Equity distribution agreement; sales began May 2026</t>
        </is>
      </c>
      <c r="L116" t="inlineStr">
        <is>
          <t>Reported</t>
        </is>
      </c>
      <c r="M116" t="inlineStr">
        <is>
          <t>6-K 2026-08-12 acc 0001104659-26-094844 nbis-20260812xex99d2.htm Note 14, p.F-32 | https://www.sec.gov/Archives/edgar/data/1513845/000110465926094844/nbis-20260812xex99d2.htm</t>
        </is>
      </c>
    </row>
    <row r="117">
      <c r="A117" t="inlineStr">
        <is>
          <t>NVIDIA pre-funded warrant</t>
        </is>
      </c>
      <c r="B117" t="inlineStr">
        <is>
          <t>2026-03-11</t>
        </is>
      </c>
      <c r="C117" s="2" t="n">
        <v>21065936</v>
      </c>
      <c r="D117" t="inlineStr">
        <is>
          <t>$0.0001 exercise; implied $94.94 purchase price (Derived 2,000/21.07M)</t>
        </is>
      </c>
      <c r="E117" s="2" t="n">
        <v>2000</v>
      </c>
      <c r="F117" t="inlineStr">
        <is>
          <t>not disclosed</t>
        </is>
      </c>
      <c r="G117" t="inlineStr">
        <is>
          <t>Securities purchase agreement; no expiry; HSR exercise blocker; 13G 7/20/26 shows 22,256,412 sh beneficial (9.3%)</t>
        </is>
      </c>
      <c r="L117" t="inlineStr">
        <is>
          <t>Reported; implied price Derived</t>
        </is>
      </c>
      <c r="M117" t="inlineStr">
        <is>
          <t>6-K 2026-03-11 acc 0001104659-26-026163 tm268532d1_ex99-1.htm | https://www.sec.gov/Archives/edgar/data/1513845/000110465926026163/tm268532d1_ex99-1.htm ; 6-K 2026-08-12 acc 0001104659-26-094844 nbis-20260812xex99d2.htm Note 14, p.F-31 | https://www.sec.gov/Archives/edgar/data/1513845/000110465926094844/nbis-20260812xex99d2.htm ; SC 13G 2026-07-20 acc 0001045810-26-000062 primary_doc.xml | https://www.sec.gov/Archives/edgar/data/1513845/000104581026000062/primary_doc.xml</t>
        </is>
      </c>
    </row>
    <row r="118">
      <c r="A118" t="inlineStr">
        <is>
          <t>ATM sales (from treasury)</t>
        </is>
      </c>
      <c r="B118" t="inlineStr">
        <is>
          <t>Q2 2026 (May-Jun)</t>
        </is>
      </c>
      <c r="C118" s="2" t="n">
        <v>12729493</v>
      </c>
      <c r="D118" s="2" t="n">
        <v>223.6</v>
      </c>
      <c r="E118" t="inlineStr">
        <is>
          <t>2,846.3 (Derived 12,729,493 x 223.60)</t>
        </is>
      </c>
      <c r="F118" s="2" t="n">
        <v>2811.1</v>
      </c>
      <c r="G118" t="inlineStr">
        <is>
          <t>At-the-market; 12,270,507 remain</t>
        </is>
      </c>
      <c r="L118" t="inlineStr">
        <is>
          <t>Reported; gross Derived</t>
        </is>
      </c>
      <c r="M118" t="inlineStr">
        <is>
          <t>6-K 2026-08-12 acc 0001104659-26-094844 nbis-20260812xex99d2.htm Note 14, p.F-32 | https://www.sec.gov/Archives/edgar/data/1513845/000110465926094844/nbis-20260812xex99d2.htm</t>
        </is>
      </c>
    </row>
    <row r="119">
      <c r="A119" t="inlineStr">
        <is>
          <t>Eigen AI acquisition - consideration shares</t>
        </is>
      </c>
      <c r="B119" t="inlineStr">
        <is>
          <t>2026-06-10</t>
        </is>
      </c>
      <c r="C119" t="inlineStr">
        <is>
          <t>~1.4 million</t>
        </is>
      </c>
      <c r="D119" s="2" t="n">
        <v>211.68</v>
      </c>
      <c r="E119" s="2" t="n">
        <v>298.7</v>
      </c>
      <c r="F119" t="inlineStr">
        <is>
          <t>n/a</t>
        </is>
      </c>
      <c r="G119" t="inlineStr">
        <is>
          <t>Purchase consideration</t>
        </is>
      </c>
      <c r="L119" t="inlineStr">
        <is>
          <t>Reported</t>
        </is>
      </c>
      <c r="M119" t="inlineStr">
        <is>
          <t>6-K 2026-08-12 acc 0001104659-26-094844 nbis-20260812xex99d2.htm Note 3, p.F-16 | https://www.sec.gov/Archives/edgar/data/1513845/000110465926094844/nbis-20260812xex99d2.htm</t>
        </is>
      </c>
    </row>
    <row r="120">
      <c r="A120" t="inlineStr">
        <is>
          <t>Eigen AI - employee restricted shares (4-yr vesting)</t>
        </is>
      </c>
      <c r="B120" t="inlineStr">
        <is>
          <t>2026-06-10</t>
        </is>
      </c>
      <c r="C120" t="inlineStr">
        <is>
          <t>~2.4 million per Note 3; 2,743,655 unvested per Note 1</t>
        </is>
      </c>
      <c r="D120" t="inlineStr">
        <is>
          <t>n/a</t>
        </is>
      </c>
      <c r="E120" t="inlineStr">
        <is>
          <t>508.1 FV (post-combination SBC)</t>
        </is>
      </c>
      <c r="F120" t="inlineStr">
        <is>
          <t>n/a</t>
        </is>
      </c>
      <c r="G120" t="inlineStr">
        <is>
          <t>Excluded from weighted counts; participating securities</t>
        </is>
      </c>
      <c r="L120" t="inlineStr">
        <is>
          <t>Reported (two figures as disclosed)</t>
        </is>
      </c>
      <c r="M120" t="inlineStr">
        <is>
          <t>6-K 2026-08-12 acc 0001104659-26-094844 nbis-20260812xex99d2.htm Note 3 p.F-16; Note 1 p.F-11 | https://www.sec.gov/Archives/edgar/data/1513845/000110465926094844/nbis-20260812xex99d2.htm</t>
        </is>
      </c>
    </row>
    <row r="121">
      <c r="A121" t="inlineStr">
        <is>
          <t>Exchange of $400M 2029s + $400M 2031s for shares</t>
        </is>
      </c>
      <c r="B121" t="inlineStr">
        <is>
          <t>2026-08-24</t>
        </is>
      </c>
      <c r="C121" t="inlineStr">
        <is>
          <t>~15.8 million (Derived 15.77M)</t>
        </is>
      </c>
      <c r="D121" t="inlineStr">
        <is>
          <t>223.90 reference close</t>
        </is>
      </c>
      <c r="E121" s="2" t="n">
        <v>800</v>
      </c>
      <c r="F121" t="inlineStr">
        <is>
          <t>n/a</t>
        </is>
      </c>
      <c r="G121" t="inlineStr">
        <is>
          <t>Privately negotiated exchange; ~1.2% premium to parity</t>
        </is>
      </c>
      <c r="L121" t="inlineStr">
        <is>
          <t>Reported / Derived</t>
        </is>
      </c>
      <c r="M121" t="inlineStr">
        <is>
          <t>6-K 2026-08-20 acc 0001104659-26-098924 tm2623617d1_ex99-1.htm | https://www.sec.gov/Archives/edgar/data/1513845/000110465926098924/tm2623617d1_ex99-1.htm ; 6-K 2026-08-24 acc 0001104659-26-100347 tm2623863d1_ex4-5.htm | https://www.sec.gov/Archives/edgar/data/1513845/000110465926100347/tm2623863d1_ex4-5.htm</t>
        </is>
      </c>
    </row>
    <row r="122">
      <c r="A122" t="inlineStr">
        <is>
          <t>Treasury shares remaining 30-Jun-2026</t>
        </is>
      </c>
      <c r="B122" t="inlineStr">
        <is>
          <t>2026-06-30</t>
        </is>
      </c>
      <c r="C122" s="2" t="n">
        <v>50185726</v>
      </c>
      <c r="D122" t="inlineStr">
        <is>
          <t>n/a</t>
        </is>
      </c>
      <c r="E122" t="inlineStr">
        <is>
          <t>n/a</t>
        </is>
      </c>
      <c r="F122" t="inlineStr">
        <is>
          <t>n/a</t>
        </is>
      </c>
      <c r="G122" t="inlineStr">
        <is>
          <t>Available to fund ATM/awards without new issuance</t>
        </is>
      </c>
      <c r="L122" t="inlineStr">
        <is>
          <t>Reported</t>
        </is>
      </c>
      <c r="M122" t="inlineStr">
        <is>
          <t>6-K 2026-08-12 acc 0001104659-26-094568 tm2622968d1_ex99-1.htm Outstanding shares | https://www.sec.gov/Archives/edgar/data/1513845/000110465926094568/tm2622968d1_ex99-1.htm</t>
        </is>
      </c>
    </row>
    <row r="123">
      <c r="A123" t="inlineStr">
        <is>
          <t>Buybacks after divestiture</t>
        </is>
      </c>
      <c r="B123" t="inlineStr">
        <is>
          <t>2024-2026</t>
        </is>
      </c>
      <c r="C123" t="inlineStr">
        <is>
          <t>none disclosed</t>
        </is>
      </c>
      <c r="D123" t="inlineStr">
        <is>
          <t>n/a</t>
        </is>
      </c>
      <c r="E123" t="inlineStr">
        <is>
          <t>n/a</t>
        </is>
      </c>
      <c r="F123" t="inlineStr">
        <is>
          <t>n/a</t>
        </is>
      </c>
      <c r="G123" t="inlineStr">
        <is>
          <t>AGM 8/25/26 renewed 18-month authority to repurchase up to 20% and 5-yr authority to issue up to 20%</t>
        </is>
      </c>
      <c r="L123" t="inlineStr">
        <is>
          <t>Reported</t>
        </is>
      </c>
      <c r="M123" t="inlineStr">
        <is>
          <t>6-K 2026-08-26 acc 0001104659-26-101076 tm2624077d1_ex99-1.htm | https://www.sec.gov/Archives/edgar/data/1513845/000110465926101076/tm2624077d1_ex99-1.htm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2" customWidth="1" min="1" max="1"/>
    <col width="14" customWidth="1" min="2" max="2"/>
    <col width="30" customWidth="1" min="3" max="3"/>
    <col width="22" customWidth="1" min="4" max="4"/>
    <col width="40" customWidth="1" min="5" max="5"/>
    <col width="60" customWidth="1" min="6" max="6"/>
    <col width="16" customWidth="1" min="7" max="7"/>
    <col width="14" customWidth="1" min="8" max="8"/>
    <col width="14" customWidth="1" min="9" max="9"/>
    <col width="50" customWidth="1" min="10" max="10"/>
    <col width="18" customWidth="1" min="11" max="11"/>
    <col width="18" customWidth="1" min="12" max="12"/>
  </cols>
  <sheetData>
    <row r="1">
      <c r="A1" s="5" t="inlineStr">
        <is>
          <t>Guidance &amp; wording log (raw, chronological, UNSCORED). Hit-rate scoring is in /workspace/nebius/filings/altdata/ (Guidance_HitRate); this log shares the same quote base (altdata/scripts/guidance_data.py, verified verbatim) plus additional reaffirmations/wording changes added here.</t>
        </is>
      </c>
    </row>
    <row r="2">
      <c r="A2" s="6" t="inlineStr">
        <is>
          <t>Date said</t>
        </is>
      </c>
      <c r="B2" s="6" t="inlineStr">
        <is>
          <t>Category</t>
        </is>
      </c>
      <c r="C2" s="6" t="inlineStr">
        <is>
          <t>Metric</t>
        </is>
      </c>
      <c r="D2" s="6" t="inlineStr">
        <is>
          <t>Figure</t>
        </is>
      </c>
      <c r="E2" s="6" t="inlineStr">
        <is>
          <t>Change vs prior / wording note</t>
        </is>
      </c>
      <c r="F2" s="6" t="inlineStr">
        <is>
          <t>Exact quote</t>
        </is>
      </c>
      <c r="G2" s="6" t="inlineStr">
        <is>
          <t>Channel</t>
        </is>
      </c>
      <c r="H2" s="6" t="inlineStr">
        <is>
          <t>Speaker/notes</t>
        </is>
      </c>
      <c r="I2" s="6" t="inlineStr">
        <is>
          <t>Source key</t>
        </is>
      </c>
      <c r="J2" s="6" t="inlineStr">
        <is>
          <t>Source URL</t>
        </is>
      </c>
      <c r="K2" s="6" t="inlineStr">
        <is>
          <t>Quote check (local text)</t>
        </is>
      </c>
      <c r="L2" s="6" t="inlineStr">
        <is>
          <t>Origin</t>
        </is>
      </c>
    </row>
    <row r="3">
      <c r="A3" s="7" t="inlineStr">
        <is>
          <t>2024-10-18</t>
        </is>
      </c>
      <c r="B3" s="7" t="inlineStr">
        <is>
          <t>ARR</t>
        </is>
      </c>
      <c r="C3" s="7" t="inlineStr">
        <is>
          <t>ARR Dec-2024</t>
        </is>
      </c>
      <c r="D3" s="7" t="inlineStr">
        <is>
          <t>$170-190M</t>
        </is>
      </c>
      <c r="E3" s="7" t="inlineStr">
        <is>
          <t>Company attributed to longer customer-acquisition lead times and platform migration. ~47-53% below range.</t>
        </is>
      </c>
      <c r="F3" s="7" t="inlineStr">
        <is>
          <t>С urrent trading and 2024 guidance $170 – 190m $ 1 2 1m ARR</t>
        </is>
      </c>
      <c r="G3" s="7" t="inlineStr">
        <is>
          <t>Investor presentation</t>
        </is>
      </c>
      <c r="H3" s="7" t="inlineStr"/>
      <c r="I3" s="7" t="inlineStr">
        <is>
          <t>OCT24_PRES</t>
        </is>
      </c>
      <c r="J3" s="7" t="inlineStr">
        <is>
          <t>https://www.sec.gov/Archives/edgar/data/1513845/000110465924109850/tm2426436d1_ex99-1.htm</t>
        </is>
      </c>
      <c r="K3" s="7" t="inlineStr">
        <is>
          <t>verified by altdata/verify_quotes.py</t>
        </is>
      </c>
      <c r="L3" s="7" t="inlineStr">
        <is>
          <t>altdata G ARR-1</t>
        </is>
      </c>
    </row>
    <row r="4">
      <c r="A4" s="7" t="inlineStr">
        <is>
          <t>2024-10-18</t>
        </is>
      </c>
      <c r="B4" s="7" t="inlineStr">
        <is>
          <t>ARR</t>
        </is>
      </c>
      <c r="C4" s="7" t="inlineStr">
        <is>
          <t>ARR Dec-2025 (original)</t>
        </is>
      </c>
      <c r="D4" s="7" t="inlineStr">
        <is>
          <t>$500M-1.0B</t>
        </is>
      </c>
      <c r="E4" s="7" t="inlineStr">
        <is>
          <t>Raised 3x before target date (Dec-24, Aug-25).</t>
        </is>
      </c>
      <c r="F4" s="7" t="inlineStr">
        <is>
          <t>g enerate $500 - 1,000m ARR by the end of 2025</t>
        </is>
      </c>
      <c r="G4" s="7" t="inlineStr">
        <is>
          <t>Investor presentation</t>
        </is>
      </c>
      <c r="H4" s="7" t="inlineStr"/>
      <c r="I4" s="7" t="inlineStr">
        <is>
          <t>OCT24_PRES</t>
        </is>
      </c>
      <c r="J4" s="7" t="inlineStr">
        <is>
          <t>https://www.sec.gov/Archives/edgar/data/1513845/000110465924109850/tm2426436d1_ex99-1.htm</t>
        </is>
      </c>
      <c r="K4" s="7" t="inlineStr">
        <is>
          <t>verified by altdata/verify_quotes.py</t>
        </is>
      </c>
      <c r="L4" s="7" t="inlineStr">
        <is>
          <t>altdata G ARR-2</t>
        </is>
      </c>
    </row>
    <row r="5">
      <c r="A5" s="7" t="inlineStr">
        <is>
          <t>2024-10-18</t>
        </is>
      </c>
      <c r="B5" s="7" t="inlineStr">
        <is>
          <t>Capex</t>
        </is>
      </c>
      <c r="C5" s="7" t="inlineStr">
        <is>
          <t>Group capex FY2024</t>
        </is>
      </c>
      <c r="D5" s="7" t="inlineStr">
        <is>
          <t>~$1.0-1.1B</t>
        </is>
      </c>
      <c r="E5" s="7" t="inlineStr">
        <is>
          <t>Under-spend ~20-27% vs guide (deployment lag).</t>
        </is>
      </c>
      <c r="F5" s="7" t="inlineStr">
        <is>
          <t>~$1 - 1.1bn $167m Capex</t>
        </is>
      </c>
      <c r="G5" s="7" t="inlineStr">
        <is>
          <t>Investor presentation</t>
        </is>
      </c>
      <c r="H5" s="7" t="inlineStr"/>
      <c r="I5" s="7" t="inlineStr">
        <is>
          <t>OCT24_PRES</t>
        </is>
      </c>
      <c r="J5" s="7" t="inlineStr">
        <is>
          <t>https://www.sec.gov/Archives/edgar/data/1513845/000110465924109850/tm2426436d1_ex99-1.htm</t>
        </is>
      </c>
      <c r="K5" s="7" t="inlineStr">
        <is>
          <t>verified by altdata/verify_quotes.py</t>
        </is>
      </c>
      <c r="L5" s="7" t="inlineStr">
        <is>
          <t>altdata G CAPEX-1</t>
        </is>
      </c>
    </row>
    <row r="6">
      <c r="A6" s="7" t="inlineStr">
        <is>
          <t>2024-10-18</t>
        </is>
      </c>
      <c r="B6" s="7" t="inlineStr">
        <is>
          <t>Capex</t>
        </is>
      </c>
      <c r="C6" s="7" t="inlineStr">
        <is>
          <t>Capex FY2025 (original)</t>
        </is>
      </c>
      <c r="D6" s="7" t="inlineStr">
        <is>
          <t>$0.6-1.5B</t>
        </is>
      </c>
      <c r="E6" s="7" t="inlineStr">
        <is>
          <t>Spent 2.7x the top of original range after MSFT/Meta wins (superseded by CAPEX-4/5).</t>
        </is>
      </c>
      <c r="F6" s="7" t="inlineStr">
        <is>
          <t>spend between $600m and $1.5bn on CAPEX</t>
        </is>
      </c>
      <c r="G6" s="7" t="inlineStr">
        <is>
          <t>Investor presentation</t>
        </is>
      </c>
      <c r="H6" s="7" t="inlineStr"/>
      <c r="I6" s="7" t="inlineStr">
        <is>
          <t>OCT24_PRES</t>
        </is>
      </c>
      <c r="J6" s="7" t="inlineStr">
        <is>
          <t>https://www.sec.gov/Archives/edgar/data/1513845/000110465924109850/tm2426436d1_ex99-1.htm</t>
        </is>
      </c>
      <c r="K6" s="7" t="inlineStr">
        <is>
          <t>verified by altdata/verify_quotes.py</t>
        </is>
      </c>
      <c r="L6" s="7" t="inlineStr">
        <is>
          <t>altdata G CAPEX-3</t>
        </is>
      </c>
    </row>
    <row r="7">
      <c r="A7" s="7" t="inlineStr">
        <is>
          <t>2024-10-18</t>
        </is>
      </c>
      <c r="B7" s="7" t="inlineStr">
        <is>
          <t>Revenue</t>
        </is>
      </c>
      <c r="C7" s="7" t="inlineStr">
        <is>
          <t>Group revenue FY2024</t>
        </is>
      </c>
      <c r="D7" s="7" t="inlineStr">
        <is>
          <t>$120-130M</t>
        </is>
      </c>
      <c r="E7" s="7" t="inlineStr">
        <is>
          <t>2.1% below low end. (Group incl. Toloka at the time.)</t>
        </is>
      </c>
      <c r="F7" s="7" t="inlineStr">
        <is>
          <t>2024E Q3’2024 3 С urrent trading and 2024 guidance $120 - 130m $43m Revenue</t>
        </is>
      </c>
      <c r="G7" s="7" t="inlineStr">
        <is>
          <t>Investor presentation</t>
        </is>
      </c>
      <c r="H7" s="7" t="inlineStr"/>
      <c r="I7" s="7" t="inlineStr">
        <is>
          <t>OCT24_PRES</t>
        </is>
      </c>
      <c r="J7" s="7" t="inlineStr">
        <is>
          <t>https://www.sec.gov/Archives/edgar/data/1513845/000110465924109850/tm2426436d1_ex99-1.htm</t>
        </is>
      </c>
      <c r="K7" s="7" t="inlineStr">
        <is>
          <t>verified by altdata/verify_quotes.py</t>
        </is>
      </c>
      <c r="L7" s="7" t="inlineStr">
        <is>
          <t>altdata G REV-1</t>
        </is>
      </c>
    </row>
    <row r="8">
      <c r="A8" s="7" t="inlineStr">
        <is>
          <t>2024-10-18</t>
        </is>
      </c>
      <c r="B8" s="7" t="inlineStr">
        <is>
          <t>Revenue</t>
        </is>
      </c>
      <c r="C8" s="7" t="inlineStr">
        <is>
          <t>Group revenue FY2025 (original)</t>
        </is>
      </c>
      <c r="D8" s="7" t="inlineStr">
        <is>
          <t>$500-700M</t>
        </is>
      </c>
      <c r="E8" s="7" t="inlineStr">
        <is>
          <t>Within range but lower half; perimeter changed (Toloka deconsolidated May-2025), so not like-for-like.</t>
        </is>
      </c>
      <c r="F8" s="7" t="inlineStr">
        <is>
          <t>grow revenue by 3 - 4x to $ 5 00 - 700m based on assumed capacity expansion</t>
        </is>
      </c>
      <c r="G8" s="7" t="inlineStr">
        <is>
          <t>Investor presentation</t>
        </is>
      </c>
      <c r="H8" s="7" t="inlineStr"/>
      <c r="I8" s="7" t="inlineStr">
        <is>
          <t>OCT24_PRES</t>
        </is>
      </c>
      <c r="J8" s="7" t="inlineStr">
        <is>
          <t>https://www.sec.gov/Archives/edgar/data/1513845/000110465924109850/tm2426436d1_ex99-1.htm</t>
        </is>
      </c>
      <c r="K8" s="7" t="inlineStr">
        <is>
          <t>verified by altdata/verify_quotes.py</t>
        </is>
      </c>
      <c r="L8" s="7" t="inlineStr">
        <is>
          <t>altdata G REV-2</t>
        </is>
      </c>
    </row>
    <row r="9">
      <c r="A9" s="7" t="inlineStr">
        <is>
          <t>2024-10-18</t>
        </is>
      </c>
      <c r="B9" s="7" t="inlineStr">
        <is>
          <t>Wording/definition</t>
        </is>
      </c>
      <c r="C9" s="7" t="inlineStr">
        <is>
          <t>Metric wording</t>
        </is>
      </c>
      <c r="D9" s="7" t="inlineStr">
        <is>
          <t>Capacity in "MW (adjusted for PUE)"; GPU capacity "In Nvidia H100 equivalent"</t>
        </is>
      </c>
      <c r="E9" s="7" t="inlineStr">
        <is>
          <t>Definition / wording change</t>
        </is>
      </c>
      <c r="F9" s="7" t="inlineStr">
        <is>
          <t>Finnish data center expansion : expected to triple power capacity to 75MW by the end of 2025 or early 2026</t>
        </is>
      </c>
      <c r="G9" s="7" t="inlineStr">
        <is>
          <t>Investor presentation</t>
        </is>
      </c>
      <c r="H9" s="7" t="inlineStr"/>
      <c r="I9" s="7" t="inlineStr">
        <is>
          <t>OCT24_PRES</t>
        </is>
      </c>
      <c r="J9" s="7" t="inlineStr">
        <is>
          <t>https://www.sec.gov/Archives/edgar/data/1513845/000110465924109850/tm2426436d1_ex99-1.htm</t>
        </is>
      </c>
      <c r="K9" s="7" t="inlineStr">
        <is>
          <t>verified by altdata/verify_quotes.py</t>
        </is>
      </c>
      <c r="L9" s="7" t="inlineStr">
        <is>
          <t>altdata W</t>
        </is>
      </c>
    </row>
    <row r="10">
      <c r="A10" s="7" t="inlineStr">
        <is>
          <t>2024-10-31</t>
        </is>
      </c>
      <c r="B10" s="7" t="inlineStr">
        <is>
          <t>ARR</t>
        </is>
      </c>
      <c r="C10" s="7" t="inlineStr">
        <is>
          <t>ARR Dec-2025 (original range)</t>
        </is>
      </c>
      <c r="D10" s="7" t="inlineStr">
        <is>
          <t>above midpoint of $500M-1B</t>
        </is>
      </c>
      <c r="E10" s="7" t="inlineStr">
        <is>
          <t>Reaffirmed with upside framing</t>
        </is>
      </c>
      <c r="F10" s="7" t="inlineStr">
        <is>
          <t>In that scenario where we're able to reallocate, we estimate that we'll be able to deliver above the midpoint of the $500 million-$1 billion ARR guidance range that we gave for a year in 2025.</t>
        </is>
      </c>
      <c r="G10" s="7" t="inlineStr">
        <is>
          <t>Earnings call</t>
        </is>
      </c>
      <c r="H10" s="7" t="inlineStr">
        <is>
          <t>call</t>
        </is>
      </c>
      <c r="I10" s="7" t="inlineStr">
        <is>
          <t>CALL_Q3_24</t>
        </is>
      </c>
      <c r="J10" s="7" t="inlineStr">
        <is>
          <t>https://stockanalysis.com/stocks/nbis/transcripts/216350-q3-2024/</t>
        </is>
      </c>
      <c r="K10" s="7" t="inlineStr">
        <is>
          <t>verified</t>
        </is>
      </c>
      <c r="L10" s="7" t="inlineStr">
        <is>
          <t>Filings worker (new)</t>
        </is>
      </c>
    </row>
    <row r="11">
      <c r="A11" s="7" t="inlineStr">
        <is>
          <t>2024-10-31</t>
        </is>
      </c>
      <c r="B11" s="7" t="inlineStr">
        <is>
          <t>Capex</t>
        </is>
      </c>
      <c r="C11" s="7" t="inlineStr">
        <is>
          <t>Q4-2024 capex &gt; 9M-2024 capex</t>
        </is>
      </c>
      <c r="D11" s="7" t="inlineStr">
        <is>
          <t>&gt; $387.6M in Q4-24</t>
        </is>
      </c>
      <c r="E11" s="7" t="inlineStr"/>
      <c r="F11" s="7" t="inlineStr">
        <is>
          <t>We anticipate capital expenditures in Q4 2024 to exceed the amount spent in the first nine months of 2024</t>
        </is>
      </c>
      <c r="G11" s="7" t="inlineStr">
        <is>
          <t>Press release / 6-K</t>
        </is>
      </c>
      <c r="H11" s="7" t="inlineStr"/>
      <c r="I11" s="7" t="inlineStr">
        <is>
          <t>Q3_24_PR</t>
        </is>
      </c>
      <c r="J11" s="7" t="inlineStr">
        <is>
          <t>https://www.sec.gov/Archives/edgar/data/1513845/000110465924112875/tm2427209d1_ex99-1.htm</t>
        </is>
      </c>
      <c r="K11" s="7" t="inlineStr">
        <is>
          <t>verified by altdata/verify_quotes.py</t>
        </is>
      </c>
      <c r="L11" s="7" t="inlineStr">
        <is>
          <t>altdata G CAPEX-2</t>
        </is>
      </c>
    </row>
    <row r="12">
      <c r="A12" s="7" t="inlineStr">
        <is>
          <t>2024-10-31</t>
        </is>
      </c>
      <c r="B12" s="7" t="inlineStr">
        <is>
          <t>GPU</t>
        </is>
      </c>
      <c r="C12" s="7" t="inlineStr">
        <is>
          <t>&gt;20k GPUs deployed by YE2024</t>
        </is>
      </c>
      <c r="D12" s="7" t="inlineStr">
        <is>
          <t>&gt;20,000 GPUs</t>
        </is>
      </c>
      <c r="E12" s="7" t="inlineStr">
        <is>
          <t>Medium confidence: verified one quarter after target date; Q4-24 PR says Hopper base "nearly doubled quarter-over-quarter".</t>
        </is>
      </c>
      <c r="F12" s="7" t="inlineStr">
        <is>
          <t>We expect to have deployed more than 20,000 GPUs by the end of this year.</t>
        </is>
      </c>
      <c r="G12" s="7" t="inlineStr">
        <is>
          <t>Earnings call</t>
        </is>
      </c>
      <c r="H12" s="7" t="inlineStr"/>
      <c r="I12" s="7" t="inlineStr">
        <is>
          <t>CALL_Q3_24</t>
        </is>
      </c>
      <c r="J12" s="7" t="inlineStr">
        <is>
          <t>https://stockanalysis.com/stocks/nbis/transcripts/216350-q3-2024/</t>
        </is>
      </c>
      <c r="K12" s="7" t="inlineStr">
        <is>
          <t>verified by altdata/verify_quotes.py</t>
        </is>
      </c>
      <c r="L12" s="7" t="inlineStr">
        <is>
          <t>altdata G GPU-1</t>
        </is>
      </c>
    </row>
    <row r="13">
      <c r="A13" s="7" t="inlineStr">
        <is>
          <t>2024-10-31</t>
        </is>
      </c>
      <c r="B13" s="7" t="inlineStr">
        <is>
          <t>MW</t>
        </is>
      </c>
      <c r="C13" s="7" t="inlineStr">
        <is>
          <t>Finland DC tripled to 75 MW</t>
        </is>
      </c>
      <c r="D13" s="7" t="inlineStr">
        <is>
          <t>75 MW</t>
        </is>
      </c>
      <c r="E13" s="7" t="inlineStr">
        <is>
          <t>Within the stated "end-2025 or early-2026" window (i.e., the back end).</t>
        </is>
      </c>
      <c r="F13" s="7" t="inlineStr">
        <is>
          <t>a major expansion of its data center in Finland to triple capacity to 75 MW by the end of 2025 or early 2026</t>
        </is>
      </c>
      <c r="G13" s="7" t="inlineStr">
        <is>
          <t>Press release / 6-K</t>
        </is>
      </c>
      <c r="H13" s="7" t="inlineStr"/>
      <c r="I13" s="7" t="inlineStr">
        <is>
          <t>Q3_24_PR</t>
        </is>
      </c>
      <c r="J13" s="7" t="inlineStr">
        <is>
          <t>https://www.sec.gov/Archives/edgar/data/1513845/000110465924112875/tm2427209d1_ex99-1.htm</t>
        </is>
      </c>
      <c r="K13" s="7" t="inlineStr">
        <is>
          <t>verified by altdata/verify_quotes.py</t>
        </is>
      </c>
      <c r="L13" s="7" t="inlineStr">
        <is>
          <t>altdata G MW-1</t>
        </is>
      </c>
    </row>
    <row r="14">
      <c r="A14" s="7" t="inlineStr">
        <is>
          <t>2024-12-02</t>
        </is>
      </c>
      <c r="B14" s="7" t="inlineStr">
        <is>
          <t>ARR</t>
        </is>
      </c>
      <c r="C14" s="7" t="inlineStr">
        <is>
          <t>ARR Dec-2025 (narrowed)</t>
        </is>
      </c>
      <c r="D14" s="7" t="inlineStr">
        <is>
          <t>$750M-1.0B</t>
        </is>
      </c>
      <c r="E14" s="7" t="inlineStr"/>
      <c r="F14" s="7" t="inlineStr">
        <is>
          <t>now expects to deliver an ARR by year-end 2025 of USD 750 million to USD 1.0 billion</t>
        </is>
      </c>
      <c r="G14" s="7" t="inlineStr">
        <is>
          <t>Press release / 6-K</t>
        </is>
      </c>
      <c r="H14" s="7" t="inlineStr"/>
      <c r="I14" s="7" t="inlineStr">
        <is>
          <t>DEC24_PIPE</t>
        </is>
      </c>
      <c r="J14" s="7" t="inlineStr">
        <is>
          <t>https://www.sec.gov/Archives/edgar/data/1513845/000110465924124570/tm2429858d1_ex99-1.htm</t>
        </is>
      </c>
      <c r="K14" s="7" t="inlineStr">
        <is>
          <t>verified by altdata/verify_quotes.py</t>
        </is>
      </c>
      <c r="L14" s="7" t="inlineStr">
        <is>
          <t>altdata G ARR-3</t>
        </is>
      </c>
    </row>
    <row r="15">
      <c r="A15" s="7" t="inlineStr">
        <is>
          <t>2025-02-20</t>
        </is>
      </c>
      <c r="B15" s="7" t="inlineStr">
        <is>
          <t>ARR</t>
        </is>
      </c>
      <c r="C15" s="7" t="inlineStr">
        <is>
          <t>ARR Mar-2025</t>
        </is>
      </c>
      <c r="D15" s="7" t="inlineStr">
        <is>
          <t>&gt;= $220M</t>
        </is>
      </c>
      <c r="E15" s="7" t="inlineStr">
        <is>
          <t>Rebuilt credibility after Dec-24 miss.</t>
        </is>
      </c>
      <c r="F15" s="7" t="inlineStr">
        <is>
          <t>Based on contracts already in place, March ARR will be at least $220 million</t>
        </is>
      </c>
      <c r="G15" s="7" t="inlineStr">
        <is>
          <t>Press release / 6-K</t>
        </is>
      </c>
      <c r="H15" s="7" t="inlineStr"/>
      <c r="I15" s="7" t="inlineStr">
        <is>
          <t>Q4_24_PR</t>
        </is>
      </c>
      <c r="J15" s="7" t="inlineStr">
        <is>
          <t>https://www.sec.gov/Archives/edgar/data/1513845/000110465925015480/tm257185d1_ex99-1.htm</t>
        </is>
      </c>
      <c r="K15" s="7" t="inlineStr">
        <is>
          <t>verified by altdata/verify_quotes.py</t>
        </is>
      </c>
      <c r="L15" s="7" t="inlineStr">
        <is>
          <t>altdata G ARR-4</t>
        </is>
      </c>
    </row>
    <row r="16">
      <c r="A16" s="7" t="inlineStr">
        <is>
          <t>2025-02-20</t>
        </is>
      </c>
      <c r="B16" s="7" t="inlineStr">
        <is>
          <t>GPU</t>
        </is>
      </c>
      <c r="C16" s="7" t="inlineStr">
        <is>
          <t>&gt;22k Blackwell GPUs in 2025</t>
        </is>
      </c>
      <c r="D16" s="7" t="inlineStr">
        <is>
          <t>&gt;22,000 Blackwell</t>
        </is>
      </c>
      <c r="E16" s="7" t="inlineStr">
        <is>
          <t>GPU-count disclosure ended after FY24 20-F.</t>
        </is>
      </c>
      <c r="F16" s="7" t="inlineStr">
        <is>
          <t>In December 2024, Nebius announced its intention to deploy over 22,000 NVIDIA Blackwell GPUs in data centers in the U.S. and Finland in 2025.</t>
        </is>
      </c>
      <c r="G16" s="7" t="inlineStr">
        <is>
          <t>Press release / 6-K</t>
        </is>
      </c>
      <c r="H16" s="7" t="inlineStr"/>
      <c r="I16" s="7" t="inlineStr">
        <is>
          <t>Q4_24_PR</t>
        </is>
      </c>
      <c r="J16" s="7" t="inlineStr">
        <is>
          <t>https://www.sec.gov/Archives/edgar/data/1513845/000110465925015480/tm257185d1_ex99-1.htm</t>
        </is>
      </c>
      <c r="K16" s="7" t="inlineStr">
        <is>
          <t>verified by altdata/verify_quotes.py</t>
        </is>
      </c>
      <c r="L16" s="7" t="inlineStr">
        <is>
          <t>altdata G GPU-2</t>
        </is>
      </c>
    </row>
    <row r="17">
      <c r="A17" s="7" t="inlineStr">
        <is>
          <t>2025-02-20</t>
        </is>
      </c>
      <c r="B17" s="7" t="inlineStr">
        <is>
          <t>GPU</t>
        </is>
      </c>
      <c r="C17" s="7" t="inlineStr">
        <is>
          <t>GPU deployments 2025</t>
        </is>
      </c>
      <c r="D17" s="7" t="inlineStr">
        <is>
          <t>"tens of thousands"</t>
        </is>
      </c>
      <c r="E17" s="7" t="inlineStr">
        <is>
          <t>Call statement; superseded by FY24 20-F actual (~30,000 GPUs at 31-Mar-2025)</t>
        </is>
      </c>
      <c r="F17" s="7" t="inlineStr">
        <is>
          <t>We deployed the first several tens of thousands of GPUs and waiting for the next generation with more tens of thousands of GPUs deployed, which will be deployed this year.</t>
        </is>
      </c>
      <c r="G17" s="7" t="inlineStr">
        <is>
          <t>Earnings call</t>
        </is>
      </c>
      <c r="H17" s="7" t="inlineStr">
        <is>
          <t>call</t>
        </is>
      </c>
      <c r="I17" s="7" t="inlineStr">
        <is>
          <t>CALL_Q4_24</t>
        </is>
      </c>
      <c r="J17" s="7" t="inlineStr">
        <is>
          <t>https://stockanalysis.com/stocks/nbis/transcripts/246397-q4-2024/</t>
        </is>
      </c>
      <c r="K17" s="7" t="inlineStr">
        <is>
          <t>verified</t>
        </is>
      </c>
      <c r="L17" s="7" t="inlineStr">
        <is>
          <t>Filings worker (new)</t>
        </is>
      </c>
    </row>
    <row r="18">
      <c r="A18" s="7" t="inlineStr">
        <is>
          <t>2025-02-20</t>
        </is>
      </c>
      <c r="B18" s="7" t="inlineStr">
        <is>
          <t>MW</t>
        </is>
      </c>
      <c r="C18" s="7" t="inlineStr">
        <is>
          <t>Kansas City go-live</t>
        </is>
      </c>
      <c r="D18" s="7" t="inlineStr">
        <is>
          <t>5 MW live</t>
        </is>
      </c>
      <c r="E18" s="7" t="inlineStr">
        <is>
          <t>Minor slip.</t>
        </is>
      </c>
      <c r="F18" s="7" t="inlineStr">
        <is>
          <t>first U.S. NVIDIA GPU cluster in Kansas City (5MW initial phase), set to go live at the end of Q1 2025</t>
        </is>
      </c>
      <c r="G18" s="7" t="inlineStr">
        <is>
          <t>Press release / 6-K</t>
        </is>
      </c>
      <c r="H18" s="7" t="inlineStr"/>
      <c r="I18" s="7" t="inlineStr">
        <is>
          <t>Q4_24_PR</t>
        </is>
      </c>
      <c r="J18" s="7" t="inlineStr">
        <is>
          <t>https://www.sec.gov/Archives/edgar/data/1513845/000110465925015480/tm257185d1_ex99-1.htm</t>
        </is>
      </c>
      <c r="K18" s="7" t="inlineStr">
        <is>
          <t>verified by altdata/verify_quotes.py</t>
        </is>
      </c>
      <c r="L18" s="7" t="inlineStr">
        <is>
          <t>altdata G MW-2</t>
        </is>
      </c>
    </row>
    <row r="19">
      <c r="A19" s="7" t="inlineStr">
        <is>
          <t>2025-02-20</t>
        </is>
      </c>
      <c r="B19" s="7" t="inlineStr">
        <is>
          <t>MW</t>
        </is>
      </c>
      <c r="C19" s="7" t="inlineStr">
        <is>
          <t>~100 MW "in operations" by YE2025</t>
        </is>
      </c>
      <c r="D19" s="7" t="inlineStr">
        <is>
          <t>100 MW (operations/active)</t>
        </is>
      </c>
      <c r="E19" s="7" t="inlineStr">
        <is>
          <t>Same 100 MW later re-labelled "contracted" (May-25 letter) then "active" (Aug-25 call). See MW_Wording.</t>
        </is>
      </c>
      <c r="F19" s="7" t="inlineStr">
        <is>
          <t>Our guidance calls for 100 megawatts in operations by the end of this year, and we are on track to deliver that.</t>
        </is>
      </c>
      <c r="G19" s="7" t="inlineStr">
        <is>
          <t>Earnings call</t>
        </is>
      </c>
      <c r="H19" s="7" t="inlineStr"/>
      <c r="I19" s="7" t="inlineStr">
        <is>
          <t>CALL_Q4_24</t>
        </is>
      </c>
      <c r="J19" s="7" t="inlineStr">
        <is>
          <t>https://stockanalysis.com/stocks/nbis/transcripts/246397-q4-2024/</t>
        </is>
      </c>
      <c r="K19" s="7" t="inlineStr">
        <is>
          <t>verified by altdata/verify_quotes.py</t>
        </is>
      </c>
      <c r="L19" s="7" t="inlineStr">
        <is>
          <t>altdata G MW-3</t>
        </is>
      </c>
    </row>
    <row r="20">
      <c r="A20" s="7" t="inlineStr">
        <is>
          <t>2025-02-20</t>
        </is>
      </c>
      <c r="B20" s="7" t="inlineStr">
        <is>
          <t>Wording/definition</t>
        </is>
      </c>
      <c r="C20" s="7" t="inlineStr">
        <is>
          <t>Metric wording</t>
        </is>
      </c>
      <c r="D20" s="7" t="inlineStr">
        <is>
          <t>"in operations" (undefined)</t>
        </is>
      </c>
      <c r="E20" s="7" t="inlineStr">
        <is>
          <t>Definition / wording change</t>
        </is>
      </c>
      <c r="F20" s="7" t="inlineStr">
        <is>
          <t>Our guidance calls for 100 megawatts in operations by the end of this year</t>
        </is>
      </c>
      <c r="G20" s="7" t="inlineStr">
        <is>
          <t>Earnings call</t>
        </is>
      </c>
      <c r="H20" s="7" t="inlineStr"/>
      <c r="I20" s="7" t="inlineStr">
        <is>
          <t>CALL_Q4_24</t>
        </is>
      </c>
      <c r="J20" s="7" t="inlineStr">
        <is>
          <t>https://stockanalysis.com/stocks/nbis/transcripts/246397-q4-2024/</t>
        </is>
      </c>
      <c r="K20" s="7" t="inlineStr">
        <is>
          <t>verified by altdata/verify_quotes.py</t>
        </is>
      </c>
      <c r="L20" s="7" t="inlineStr">
        <is>
          <t>altdata W</t>
        </is>
      </c>
    </row>
    <row r="21">
      <c r="A21" s="7" t="inlineStr">
        <is>
          <t>2025-04-30</t>
        </is>
      </c>
      <c r="B21" s="7" t="inlineStr">
        <is>
          <t>GPU</t>
        </is>
      </c>
      <c r="C21" s="7" t="inlineStr">
        <is>
          <t>GPUs deployed at 31-Mar-2025</t>
        </is>
      </c>
      <c r="D21" s="7" t="inlineStr">
        <is>
          <t>~30,000 (primarily H200)</t>
        </is>
      </c>
      <c r="E21" s="7" t="inlineStr">
        <is>
          <t>Last company GPU count (actual); none thereafter</t>
        </is>
      </c>
      <c r="F21" s="7" t="inlineStr">
        <is>
          <t>As of March 31, 2025, we have deployed approximately 30,000 GPUs across our global data center footprint, primarily NVIDIA H200s.</t>
        </is>
      </c>
      <c r="G21" s="7" t="inlineStr">
        <is>
          <t>20-F</t>
        </is>
      </c>
      <c r="H21" s="7" t="inlineStr">
        <is>
          <t>20-F</t>
        </is>
      </c>
      <c r="I21" s="7" t="inlineStr">
        <is>
          <t>FY24_20F</t>
        </is>
      </c>
      <c r="J21" s="7" t="inlineStr">
        <is>
          <t>https://www.sec.gov/Archives/edgar/data/1513845/000155837025005991/nbis-20241231x20f.htm</t>
        </is>
      </c>
      <c r="K21" s="7" t="inlineStr">
        <is>
          <t>verified</t>
        </is>
      </c>
      <c r="L21" s="7" t="inlineStr">
        <is>
          <t>Filings worker (new)</t>
        </is>
      </c>
    </row>
    <row r="22">
      <c r="A22" s="7" t="inlineStr">
        <is>
          <t>2025-04-30</t>
        </is>
      </c>
      <c r="B22" s="7" t="inlineStr">
        <is>
          <t>Wording/definition</t>
        </is>
      </c>
      <c r="C22" s="7" t="inlineStr">
        <is>
          <t>Metric wording</t>
        </is>
      </c>
      <c r="D22" s="7" t="inlineStr">
        <is>
          <t>"connected capacity" first used</t>
        </is>
      </c>
      <c r="E22" s="7" t="inlineStr">
        <is>
          <t>Definition / wording change</t>
        </is>
      </c>
      <c r="F22" s="7" t="inlineStr">
        <is>
          <t>As of March 31, 2025, we had approximately 45MW of connected capacity across both geographies</t>
        </is>
      </c>
      <c r="G22" s="7" t="inlineStr">
        <is>
          <t>20-F</t>
        </is>
      </c>
      <c r="H22" s="7" t="inlineStr"/>
      <c r="I22" s="7" t="inlineStr">
        <is>
          <t>FY24_20F</t>
        </is>
      </c>
      <c r="J22" s="7" t="inlineStr">
        <is>
          <t>https://www.sec.gov/Archives/edgar/data/1513845/000155837025005991/nbis-20241231x20f.htm</t>
        </is>
      </c>
      <c r="K22" s="7" t="inlineStr">
        <is>
          <t>verified by altdata/verify_quotes.py</t>
        </is>
      </c>
      <c r="L22" s="7" t="inlineStr">
        <is>
          <t>altdata W</t>
        </is>
      </c>
    </row>
    <row r="23">
      <c r="A23" s="7" t="inlineStr">
        <is>
          <t>2025-05-20</t>
        </is>
      </c>
      <c r="B23" s="7" t="inlineStr">
        <is>
          <t>Capex</t>
        </is>
      </c>
      <c r="C23" s="7" t="inlineStr">
        <is>
          <t>Capex FY2025 (raised)</t>
        </is>
      </c>
      <c r="D23" s="7" t="inlineStr">
        <is>
          <t>~$2B</t>
        </is>
      </c>
      <c r="E23" s="7" t="inlineStr">
        <is>
          <t>Superseded Nov-25.</t>
        </is>
      </c>
      <c r="F23" s="7" t="inlineStr">
        <is>
          <t>On CapEx, we're currently planning CapEx of approximately $2 billion for 2025. This is a bit up from the previous guidance of $1.5 billion</t>
        </is>
      </c>
      <c r="G23" s="7" t="inlineStr">
        <is>
          <t>Earnings call</t>
        </is>
      </c>
      <c r="H23" s="7" t="inlineStr"/>
      <c r="I23" s="7" t="inlineStr">
        <is>
          <t>CALL_Q1_25</t>
        </is>
      </c>
      <c r="J23" s="7" t="inlineStr">
        <is>
          <t>https://stockanalysis.com/stocks/nbis/transcripts/317636-q1-2025/</t>
        </is>
      </c>
      <c r="K23" s="7" t="inlineStr">
        <is>
          <t>verified by altdata/verify_quotes.py</t>
        </is>
      </c>
      <c r="L23" s="7" t="inlineStr">
        <is>
          <t>altdata G CAPEX-4</t>
        </is>
      </c>
    </row>
    <row r="24">
      <c r="A24" s="7" t="inlineStr">
        <is>
          <t>2025-05-20</t>
        </is>
      </c>
      <c r="B24" s="7" t="inlineStr">
        <is>
          <t>MW</t>
        </is>
      </c>
      <c r="C24" s="7" t="inlineStr">
        <is>
          <t>~100 MW contracted by YE2025</t>
        </is>
      </c>
      <c r="D24" s="7" t="inlineStr">
        <is>
          <t>~100 MW contracted</t>
        </is>
      </c>
      <c r="E24" s="7" t="inlineStr">
        <is>
          <t>Superseded within one quarter (Aug-25: &gt;1 GW for 2026).</t>
        </is>
      </c>
      <c r="F24" s="7" t="inlineStr">
        <is>
          <t>We expect that our global data center footprint will amount to approximately 100 MW of contracted capacity by the end of the year</t>
        </is>
      </c>
      <c r="G24" s="7" t="inlineStr">
        <is>
          <t>Shareholder letter</t>
        </is>
      </c>
      <c r="H24" s="7" t="inlineStr"/>
      <c r="I24" s="7" t="inlineStr">
        <is>
          <t>Q1_25_SHL</t>
        </is>
      </c>
      <c r="J24" s="7" t="inlineStr">
        <is>
          <t>https://www.sec.gov/Archives/edgar/data/1513845/000110465925050975/tm2515580d1_ex99-2.htm</t>
        </is>
      </c>
      <c r="K24" s="7" t="inlineStr">
        <is>
          <t>verified by altdata/verify_quotes.py</t>
        </is>
      </c>
      <c r="L24" s="7" t="inlineStr">
        <is>
          <t>altdata G MW-4</t>
        </is>
      </c>
    </row>
    <row r="25">
      <c r="A25" s="7" t="inlineStr">
        <is>
          <t>2025-05-20</t>
        </is>
      </c>
      <c r="B25" s="7" t="inlineStr">
        <is>
          <t>MW</t>
        </is>
      </c>
      <c r="C25" s="7" t="inlineStr">
        <is>
          <t>Vineland NJ first capacity</t>
        </is>
      </c>
      <c r="D25" s="7" t="inlineStr">
        <is>
          <t>first capacity</t>
        </is>
      </c>
      <c r="E25" s="7" t="inlineStr">
        <is>
          <t>Medium confidence: "first capacity available" vs first customer tranche delivered may not be identical events.</t>
        </is>
      </c>
      <c r="F25" s="7" t="inlineStr">
        <is>
          <t>we plan to make the site’s first capacity available in late summer 2025</t>
        </is>
      </c>
      <c r="G25" s="7" t="inlineStr">
        <is>
          <t>Shareholder letter</t>
        </is>
      </c>
      <c r="H25" s="7" t="inlineStr"/>
      <c r="I25" s="7" t="inlineStr">
        <is>
          <t>Q1_25_SHL</t>
        </is>
      </c>
      <c r="J25" s="7" t="inlineStr">
        <is>
          <t>https://www.sec.gov/Archives/edgar/data/1513845/000110465925050975/tm2515580d1_ex99-2.htm</t>
        </is>
      </c>
      <c r="K25" s="7" t="inlineStr">
        <is>
          <t>verified by altdata/verify_quotes.py</t>
        </is>
      </c>
      <c r="L25" s="7" t="inlineStr">
        <is>
          <t>altdata G MW-5</t>
        </is>
      </c>
    </row>
    <row r="26">
      <c r="A26" s="7" t="inlineStr">
        <is>
          <t>2025-05-20</t>
        </is>
      </c>
      <c r="B26" s="7" t="inlineStr">
        <is>
          <t>MW</t>
        </is>
      </c>
      <c r="C26" s="7" t="inlineStr">
        <is>
          <t>Capacity deployed 2025</t>
        </is>
      </c>
      <c r="D26" s="7" t="inlineStr">
        <is>
          <t>&gt;100 MW</t>
        </is>
      </c>
      <c r="E26" s="7" t="inlineStr">
        <is>
          <t>Wording "deployed" (vs "in operations" in Feb-25)</t>
        </is>
      </c>
      <c r="F26" s="7" t="inlineStr">
        <is>
          <t>I expect that operationally, we'll have over 100 MW of capacity deployed this year.</t>
        </is>
      </c>
      <c r="G26" s="7" t="inlineStr">
        <is>
          <t>Earnings call</t>
        </is>
      </c>
      <c r="H26" s="7" t="inlineStr">
        <is>
          <t>call</t>
        </is>
      </c>
      <c r="I26" s="7" t="inlineStr">
        <is>
          <t>CALL_Q1_25</t>
        </is>
      </c>
      <c r="J26" s="7" t="inlineStr">
        <is>
          <t>https://stockanalysis.com/stocks/nbis/transcripts/317636-q1-2025/</t>
        </is>
      </c>
      <c r="K26" s="7" t="inlineStr">
        <is>
          <t>verified</t>
        </is>
      </c>
      <c r="L26" s="7" t="inlineStr">
        <is>
          <t>Filings worker (new)</t>
        </is>
      </c>
    </row>
    <row r="27">
      <c r="A27" s="7" t="inlineStr">
        <is>
          <t>2025-05-20</t>
        </is>
      </c>
      <c r="B27" s="7" t="inlineStr">
        <is>
          <t>Margin</t>
        </is>
      </c>
      <c r="C27" s="7" t="inlineStr">
        <is>
          <t>Medium-term adj. EBIT margin</t>
        </is>
      </c>
      <c r="D27" s="7" t="inlineStr">
        <is>
          <t>20-30%</t>
        </is>
      </c>
      <c r="E27" s="7" t="inlineStr">
        <is>
          <t>NEW long-term target; explicitly tied to 4-year depreciation</t>
        </is>
      </c>
      <c r="F27" s="7" t="inlineStr">
        <is>
          <t>In the medium term, our base case expectations are to achieve billions of dollars in revenue with adjusted EBIT margins in the 20-30% range, assuming a conservative depreciation schedule of four years.</t>
        </is>
      </c>
      <c r="G27" s="7" t="inlineStr">
        <is>
          <t>Shareholder letter</t>
        </is>
      </c>
      <c r="H27" s="7" t="inlineStr">
        <is>
          <t>letter</t>
        </is>
      </c>
      <c r="I27" s="7" t="inlineStr">
        <is>
          <t>Q1_25_SHL</t>
        </is>
      </c>
      <c r="J27" s="7" t="inlineStr">
        <is>
          <t>https://www.sec.gov/Archives/edgar/data/1513845/000110465925050975/tm2515580d1_ex99-2.htm</t>
        </is>
      </c>
      <c r="K27" s="7" t="inlineStr">
        <is>
          <t>verified</t>
        </is>
      </c>
      <c r="L27" s="7" t="inlineStr">
        <is>
          <t>Filings worker (new)</t>
        </is>
      </c>
    </row>
    <row r="28">
      <c r="A28" s="7" t="inlineStr">
        <is>
          <t>2025-05-20</t>
        </is>
      </c>
      <c r="B28" s="7" t="inlineStr">
        <is>
          <t>Margin</t>
        </is>
      </c>
      <c r="C28" s="7" t="inlineStr">
        <is>
          <t>Medium-term EBIT margin</t>
        </is>
      </c>
      <c r="D28" s="7" t="inlineStr">
        <is>
          <t>20-30%</t>
        </is>
      </c>
      <c r="E28" s="7" t="inlineStr">
        <is>
          <t>Same target on call</t>
        </is>
      </c>
      <c r="F28" s="7" t="inlineStr">
        <is>
          <t>we anticipate medium-term EBIT margins to range in the sort of 20%-30% range.</t>
        </is>
      </c>
      <c r="G28" s="7" t="inlineStr">
        <is>
          <t>Earnings call</t>
        </is>
      </c>
      <c r="H28" s="7" t="inlineStr">
        <is>
          <t>call</t>
        </is>
      </c>
      <c r="I28" s="7" t="inlineStr">
        <is>
          <t>CALL_Q1_25</t>
        </is>
      </c>
      <c r="J28" s="7" t="inlineStr">
        <is>
          <t>https://stockanalysis.com/stocks/nbis/transcripts/317636-q1-2025/</t>
        </is>
      </c>
      <c r="K28" s="7" t="inlineStr">
        <is>
          <t>verified</t>
        </is>
      </c>
      <c r="L28" s="7" t="inlineStr">
        <is>
          <t>Filings worker (new)</t>
        </is>
      </c>
    </row>
    <row r="29">
      <c r="A29" s="7" t="inlineStr">
        <is>
          <t>2025-05-20</t>
        </is>
      </c>
      <c r="B29" s="7" t="inlineStr">
        <is>
          <t>Revenue</t>
        </is>
      </c>
      <c r="C29" s="7" t="inlineStr">
        <is>
          <t>Group adj. EBITDA positive by YE2025</t>
        </is>
      </c>
      <c r="D29" s="7" t="inlineStr">
        <is>
          <t>Adj. EBITDA &gt; 0 in 2H25</t>
        </is>
      </c>
      <c r="E29" s="7" t="inlineStr">
        <is>
          <t>Positive in Q4-25 only.</t>
        </is>
      </c>
      <c r="F29" s="7" t="inlineStr">
        <is>
          <t>we expect Nebius Group to turn adjusted EBITDA positive in the second half of 2025</t>
        </is>
      </c>
      <c r="G29" s="7" t="inlineStr">
        <is>
          <t>Shareholder letter</t>
        </is>
      </c>
      <c r="H29" s="7" t="inlineStr"/>
      <c r="I29" s="7" t="inlineStr">
        <is>
          <t>Q1_25_SHL</t>
        </is>
      </c>
      <c r="J29" s="7" t="inlineStr">
        <is>
          <t>https://www.sec.gov/Archives/edgar/data/1513845/000110465925050975/tm2515580d1_ex99-2.htm</t>
        </is>
      </c>
      <c r="K29" s="7" t="inlineStr">
        <is>
          <t>verified by altdata/verify_quotes.py</t>
        </is>
      </c>
      <c r="L29" s="7" t="inlineStr">
        <is>
          <t>altdata G EBITDA-1</t>
        </is>
      </c>
    </row>
    <row r="30">
      <c r="A30" s="7" t="inlineStr">
        <is>
          <t>2025-05-20</t>
        </is>
      </c>
      <c r="B30" s="7" t="inlineStr">
        <is>
          <t>Revenue</t>
        </is>
      </c>
      <c r="C30" s="7" t="inlineStr">
        <is>
          <t>Group revenue FY2025</t>
        </is>
      </c>
      <c r="D30" s="7" t="inlineStr">
        <is>
          <t>$500-700M</t>
        </is>
      </c>
      <c r="E30" s="7" t="inlineStr">
        <is>
          <t>Reiterated</t>
        </is>
      </c>
      <c r="F30" s="7" t="inlineStr">
        <is>
          <t>We're also reiterating our overall revenue guidance for the group, which is in the range of $500-$700 million.</t>
        </is>
      </c>
      <c r="G30" s="7" t="inlineStr">
        <is>
          <t>Earnings call</t>
        </is>
      </c>
      <c r="H30" s="7" t="inlineStr">
        <is>
          <t>call</t>
        </is>
      </c>
      <c r="I30" s="7" t="inlineStr">
        <is>
          <t>CALL_Q1_25</t>
        </is>
      </c>
      <c r="J30" s="7" t="inlineStr">
        <is>
          <t>https://stockanalysis.com/stocks/nbis/transcripts/317636-q1-2025/</t>
        </is>
      </c>
      <c r="K30" s="7" t="inlineStr">
        <is>
          <t>verified</t>
        </is>
      </c>
      <c r="L30" s="7" t="inlineStr">
        <is>
          <t>Filings worker (new)</t>
        </is>
      </c>
    </row>
    <row r="31">
      <c r="A31" s="7" t="inlineStr">
        <is>
          <t>2025-05-20</t>
        </is>
      </c>
      <c r="B31" s="7" t="inlineStr">
        <is>
          <t>Wording/definition</t>
        </is>
      </c>
      <c r="C31" s="7" t="inlineStr">
        <is>
          <t>Metric wording</t>
        </is>
      </c>
      <c r="D31" s="7" t="inlineStr">
        <is>
          <t>Same ~100 MW now called "contracted capacity"</t>
        </is>
      </c>
      <c r="E31" s="7" t="inlineStr">
        <is>
          <t>Definition / wording change</t>
        </is>
      </c>
      <c r="F31" s="7" t="inlineStr">
        <is>
          <t>approximately 100 MW of contracted capacity by the end of the year</t>
        </is>
      </c>
      <c r="G31" s="7" t="inlineStr">
        <is>
          <t>Shareholder letter</t>
        </is>
      </c>
      <c r="H31" s="7" t="inlineStr"/>
      <c r="I31" s="7" t="inlineStr">
        <is>
          <t>Q1_25_SHL</t>
        </is>
      </c>
      <c r="J31" s="7" t="inlineStr">
        <is>
          <t>https://www.sec.gov/Archives/edgar/data/1513845/000110465925050975/tm2515580d1_ex99-2.htm</t>
        </is>
      </c>
      <c r="K31" s="7" t="inlineStr">
        <is>
          <t>verified by altdata/verify_quotes.py</t>
        </is>
      </c>
      <c r="L31" s="7" t="inlineStr">
        <is>
          <t>altdata W</t>
        </is>
      </c>
    </row>
    <row r="32">
      <c r="A32" s="7" t="inlineStr">
        <is>
          <t>2025-05-20</t>
        </is>
      </c>
      <c r="B32" s="7" t="inlineStr">
        <is>
          <t>Wording/definition</t>
        </is>
      </c>
      <c r="C32" s="7" t="inlineStr">
        <is>
          <t>Metric wording</t>
        </is>
      </c>
      <c r="D32" s="7" t="inlineStr">
        <is>
          <t>"capacity deployed"</t>
        </is>
      </c>
      <c r="E32" s="7" t="inlineStr">
        <is>
          <t>Definition / wording change</t>
        </is>
      </c>
      <c r="F32" s="7" t="inlineStr">
        <is>
          <t>I expect that operationally, we'll have over 100 MW of capacity deployed this year.</t>
        </is>
      </c>
      <c r="G32" s="7" t="inlineStr">
        <is>
          <t>Earnings call</t>
        </is>
      </c>
      <c r="H32" s="7" t="inlineStr"/>
      <c r="I32" s="7" t="inlineStr">
        <is>
          <t>CALL_Q1_25</t>
        </is>
      </c>
      <c r="J32" s="7" t="inlineStr">
        <is>
          <t>https://stockanalysis.com/stocks/nbis/transcripts/317636-q1-2025/</t>
        </is>
      </c>
      <c r="K32" s="7" t="inlineStr">
        <is>
          <t>verified by altdata/verify_quotes.py</t>
        </is>
      </c>
      <c r="L32" s="7" t="inlineStr">
        <is>
          <t>altdata W</t>
        </is>
      </c>
    </row>
    <row r="33">
      <c r="A33" s="7" t="inlineStr">
        <is>
          <t>2025-08-07</t>
        </is>
      </c>
      <c r="B33" s="7" t="inlineStr">
        <is>
          <t>ARR</t>
        </is>
      </c>
      <c r="C33" s="7" t="inlineStr">
        <is>
          <t>ARR Dec-2025 (raised)</t>
        </is>
      </c>
      <c r="D33" s="7" t="inlineStr">
        <is>
          <t>$900M-1.1B</t>
        </is>
      </c>
      <c r="E33" s="7" t="inlineStr">
        <is>
          <t>+14% vs top of range.</t>
        </is>
      </c>
      <c r="F33" s="7" t="inlineStr">
        <is>
          <t>Annualized run-rate revenue(1) (ARR) guidance increased to $900 million to $1.1 billion for the end of 2025</t>
        </is>
      </c>
      <c r="G33" s="7" t="inlineStr">
        <is>
          <t>Press release / 6-K</t>
        </is>
      </c>
      <c r="H33" s="7" t="inlineStr"/>
      <c r="I33" s="7" t="inlineStr">
        <is>
          <t>Q2_25_PR</t>
        </is>
      </c>
      <c r="J33" s="7" t="inlineStr">
        <is>
          <t>https://www.sec.gov/Archives/edgar/data/1513845/000110465925075028/tm2522866d1_ex99-1.htm</t>
        </is>
      </c>
      <c r="K33" s="7" t="inlineStr">
        <is>
          <t>verified by altdata/verify_quotes.py</t>
        </is>
      </c>
      <c r="L33" s="7" t="inlineStr">
        <is>
          <t>altdata G ARR-5</t>
        </is>
      </c>
    </row>
    <row r="34">
      <c r="A34" s="7" t="inlineStr">
        <is>
          <t>2025-08-07</t>
        </is>
      </c>
      <c r="B34" s="7" t="inlineStr">
        <is>
          <t>Capex</t>
        </is>
      </c>
      <c r="C34" s="7" t="inlineStr">
        <is>
          <t>Capex FY2025</t>
        </is>
      </c>
      <c r="D34" s="7" t="inlineStr">
        <is>
          <t>~$2B</t>
        </is>
      </c>
      <c r="E34" s="7" t="inlineStr">
        <is>
          <t>Maintained</t>
        </is>
      </c>
      <c r="F34" s="7" t="inlineStr">
        <is>
          <t>Finally, we are maintaining our CapEx guidance of around $2 billion in 2025.</t>
        </is>
      </c>
      <c r="G34" s="7" t="inlineStr">
        <is>
          <t>Earnings call</t>
        </is>
      </c>
      <c r="H34" s="7" t="inlineStr">
        <is>
          <t>call</t>
        </is>
      </c>
      <c r="I34" s="7" t="inlineStr">
        <is>
          <t>CALL_Q2_25</t>
        </is>
      </c>
      <c r="J34" s="7" t="inlineStr">
        <is>
          <t>https://stockanalysis.com/stocks/nbis/transcripts/341044-q2-2025/</t>
        </is>
      </c>
      <c r="K34" s="7" t="inlineStr">
        <is>
          <t>verified</t>
        </is>
      </c>
      <c r="L34" s="7" t="inlineStr">
        <is>
          <t>Filings worker (new)</t>
        </is>
      </c>
    </row>
    <row r="35">
      <c r="A35" s="7" t="inlineStr">
        <is>
          <t>2025-08-07</t>
        </is>
      </c>
      <c r="B35" s="7" t="inlineStr">
        <is>
          <t>EBITDA</t>
        </is>
      </c>
      <c r="C35" s="7" t="inlineStr">
        <is>
          <t>Group adj. EBITDA positive</t>
        </is>
      </c>
      <c r="D35" s="7" t="inlineStr">
        <is>
          <t>by end of 2025</t>
        </is>
      </c>
      <c r="E35" s="7" t="inlineStr">
        <is>
          <t>Wording moved from "second half of 2025" (May-25) to "by the end of the year"</t>
        </is>
      </c>
      <c r="F35" s="7" t="inlineStr">
        <is>
          <t>At the group level, we anticipate turning adjusted EBITDA positive by the end of the year.</t>
        </is>
      </c>
      <c r="G35" s="7" t="inlineStr">
        <is>
          <t>Earnings call</t>
        </is>
      </c>
      <c r="H35" s="7" t="inlineStr">
        <is>
          <t>call</t>
        </is>
      </c>
      <c r="I35" s="7" t="inlineStr">
        <is>
          <t>CALL_Q2_25</t>
        </is>
      </c>
      <c r="J35" s="7" t="inlineStr">
        <is>
          <t>https://stockanalysis.com/stocks/nbis/transcripts/341044-q2-2025/</t>
        </is>
      </c>
      <c r="K35" s="7" t="inlineStr">
        <is>
          <t>verified</t>
        </is>
      </c>
      <c r="L35" s="7" t="inlineStr">
        <is>
          <t>Filings worker (new)</t>
        </is>
      </c>
    </row>
    <row r="36">
      <c r="A36" s="7" t="inlineStr">
        <is>
          <t>2025-08-07</t>
        </is>
      </c>
      <c r="B36" s="7" t="inlineStr">
        <is>
          <t>MW</t>
        </is>
      </c>
      <c r="C36" s="7" t="inlineStr">
        <is>
          <t>220 MW connected by YE2025</t>
        </is>
      </c>
      <c r="D36" s="7" t="inlineStr">
        <is>
          <t>220 MW connected</t>
        </is>
      </c>
      <c r="E36" s="7" t="inlineStr">
        <is>
          <t>Company stopped reporting the connected figure once the period closed; only the beat metric (active) was reported.</t>
        </is>
      </c>
      <c r="F36" s="7" t="inlineStr">
        <is>
          <t>By the end of 2025, we expect our connected power to reach 220 MW. This includes capacity that is or will be connected to our data centers.</t>
        </is>
      </c>
      <c r="G36" s="7" t="inlineStr">
        <is>
          <t>Shareholder letter</t>
        </is>
      </c>
      <c r="H36" s="7" t="inlineStr"/>
      <c r="I36" s="7" t="inlineStr">
        <is>
          <t>Q2_25_SHL</t>
        </is>
      </c>
      <c r="J36" s="7" t="inlineStr">
        <is>
          <t>https://www.sec.gov/Archives/edgar/data/1513845/000110465925075028/tm2522866d1_ex99-2.htm</t>
        </is>
      </c>
      <c r="K36" s="7" t="inlineStr">
        <is>
          <t>verified by altdata/verify_quotes.py</t>
        </is>
      </c>
      <c r="L36" s="7" t="inlineStr">
        <is>
          <t>altdata G MW-6</t>
        </is>
      </c>
    </row>
    <row r="37">
      <c r="A37" s="7" t="inlineStr">
        <is>
          <t>2025-08-07</t>
        </is>
      </c>
      <c r="B37" s="7" t="inlineStr">
        <is>
          <t>MW</t>
        </is>
      </c>
      <c r="C37" s="7" t="inlineStr">
        <is>
          <t>100 MW active by YE2025</t>
        </is>
      </c>
      <c r="D37" s="7" t="inlineStr">
        <is>
          <t>100 MW active</t>
        </is>
      </c>
      <c r="E37" s="7" t="inlineStr"/>
      <c r="F37" s="7" t="inlineStr">
        <is>
          <t>Of the 220 MW of connected power we expect to have at the end of the year, we will have 100 MW of active power.</t>
        </is>
      </c>
      <c r="G37" s="7" t="inlineStr">
        <is>
          <t>Earnings call</t>
        </is>
      </c>
      <c r="H37" s="7" t="inlineStr"/>
      <c r="I37" s="7" t="inlineStr">
        <is>
          <t>CALL_Q2_25</t>
        </is>
      </c>
      <c r="J37" s="7" t="inlineStr">
        <is>
          <t>https://stockanalysis.com/stocks/nbis/transcripts/341044-q2-2025/</t>
        </is>
      </c>
      <c r="K37" s="7" t="inlineStr">
        <is>
          <t>verified by altdata/verify_quotes.py</t>
        </is>
      </c>
      <c r="L37" s="7" t="inlineStr">
        <is>
          <t>altdata G MW-7</t>
        </is>
      </c>
    </row>
    <row r="38">
      <c r="A38" s="7" t="inlineStr">
        <is>
          <t>2025-08-07</t>
        </is>
      </c>
      <c r="B38" s="7" t="inlineStr">
        <is>
          <t>MW</t>
        </is>
      </c>
      <c r="C38" s="7" t="inlineStr">
        <is>
          <t>Contracted power YE2026: &gt;1 GW</t>
        </is>
      </c>
      <c r="D38" s="7" t="inlineStr">
        <is>
          <t>&gt;1 GW</t>
        </is>
      </c>
      <c r="E38" s="7" t="inlineStr">
        <is>
          <t>Achieved early; target raised 4 times.</t>
        </is>
      </c>
      <c r="F38" s="7" t="inlineStr">
        <is>
          <t>In the process of securing more than 1 GW of power by the end of 2026</t>
        </is>
      </c>
      <c r="G38" s="7" t="inlineStr">
        <is>
          <t>Press release / 6-K</t>
        </is>
      </c>
      <c r="H38" s="7" t="inlineStr"/>
      <c r="I38" s="7" t="inlineStr">
        <is>
          <t>Q2_25_PR</t>
        </is>
      </c>
      <c r="J38" s="7" t="inlineStr">
        <is>
          <t>https://www.sec.gov/Archives/edgar/data/1513845/000110465925075028/tm2522866d1_ex99-1.htm</t>
        </is>
      </c>
      <c r="K38" s="7" t="inlineStr">
        <is>
          <t>verified by altdata/verify_quotes.py</t>
        </is>
      </c>
      <c r="L38" s="7" t="inlineStr">
        <is>
          <t>altdata G MW-8</t>
        </is>
      </c>
    </row>
    <row r="39">
      <c r="A39" s="7" t="inlineStr">
        <is>
          <t>2025-08-07</t>
        </is>
      </c>
      <c r="B39" s="7" t="inlineStr">
        <is>
          <t>MW</t>
        </is>
      </c>
      <c r="C39" s="7" t="inlineStr">
        <is>
          <t>Power 2026</t>
        </is>
      </c>
      <c r="D39" s="7" t="inlineStr">
        <is>
          <t>1 GW</t>
        </is>
      </c>
      <c r="E39" s="7" t="inlineStr">
        <is>
          <t>First 2026 power target (type of MW unspecified)</t>
        </is>
      </c>
      <c r="F39" s="7" t="inlineStr">
        <is>
          <t>We are aggressively scaling capacity and targeting 1 GW of power in 2026.</t>
        </is>
      </c>
      <c r="G39" s="7" t="inlineStr">
        <is>
          <t>Shareholder letter</t>
        </is>
      </c>
      <c r="H39" s="7" t="inlineStr">
        <is>
          <t>letter</t>
        </is>
      </c>
      <c r="I39" s="7" t="inlineStr">
        <is>
          <t>Q2_25_SHL</t>
        </is>
      </c>
      <c r="J39" s="7" t="inlineStr">
        <is>
          <t>https://www.sec.gov/Archives/edgar/data/1513845/000110465925075028/tm2522866d1_ex99-2.htm</t>
        </is>
      </c>
      <c r="K39" s="7" t="inlineStr">
        <is>
          <t>verified</t>
        </is>
      </c>
      <c r="L39" s="7" t="inlineStr">
        <is>
          <t>Filings worker (new)</t>
        </is>
      </c>
    </row>
    <row r="40">
      <c r="A40" s="7" t="inlineStr">
        <is>
          <t>2025-08-07</t>
        </is>
      </c>
      <c r="B40" s="7" t="inlineStr">
        <is>
          <t>MW</t>
        </is>
      </c>
      <c r="C40" s="7" t="inlineStr">
        <is>
          <t>Finland additional MW 2025</t>
        </is>
      </c>
      <c r="D40" s="7" t="inlineStr">
        <is>
          <t>+50 MW</t>
        </is>
      </c>
      <c r="E40" s="7" t="inlineStr">
        <is>
          <t>New site-level target</t>
        </is>
      </c>
      <c r="F40" s="7" t="inlineStr">
        <is>
          <t>In Finland, we expect to have an additional 50 MW in operations this year, just like we spoke earlier.</t>
        </is>
      </c>
      <c r="G40" s="7" t="inlineStr">
        <is>
          <t>Earnings call</t>
        </is>
      </c>
      <c r="H40" s="7" t="inlineStr">
        <is>
          <t>call</t>
        </is>
      </c>
      <c r="I40" s="7" t="inlineStr">
        <is>
          <t>CALL_Q2_25</t>
        </is>
      </c>
      <c r="J40" s="7" t="inlineStr">
        <is>
          <t>https://stockanalysis.com/stocks/nbis/transcripts/341044-q2-2025/</t>
        </is>
      </c>
      <c r="K40" s="7" t="inlineStr">
        <is>
          <t>verified</t>
        </is>
      </c>
      <c r="L40" s="7" t="inlineStr">
        <is>
          <t>Filings worker (new)</t>
        </is>
      </c>
    </row>
    <row r="41">
      <c r="A41" s="7" t="inlineStr">
        <is>
          <t>2025-08-07</t>
        </is>
      </c>
      <c r="B41" s="7" t="inlineStr">
        <is>
          <t>Revenue</t>
        </is>
      </c>
      <c r="C41" s="7" t="inlineStr">
        <is>
          <t>Group revenue FY2025 (ex-Toloka)</t>
        </is>
      </c>
      <c r="D41" s="7" t="inlineStr">
        <is>
          <t>$450-630M</t>
        </is>
      </c>
      <c r="E41" s="7" t="inlineStr"/>
      <c r="F41" s="7" t="inlineStr">
        <is>
          <t>For group revenue, we are keeping the projections that we already provided. That is group revenue of $450 million- $630 million.</t>
        </is>
      </c>
      <c r="G41" s="7" t="inlineStr">
        <is>
          <t>Earnings call</t>
        </is>
      </c>
      <c r="H41" s="7" t="inlineStr"/>
      <c r="I41" s="7" t="inlineStr">
        <is>
          <t>CALL_Q2_25</t>
        </is>
      </c>
      <c r="J41" s="7" t="inlineStr">
        <is>
          <t>https://stockanalysis.com/stocks/nbis/transcripts/341044-q2-2025/</t>
        </is>
      </c>
      <c r="K41" s="7" t="inlineStr">
        <is>
          <t>verified by altdata/verify_quotes.py</t>
        </is>
      </c>
      <c r="L41" s="7" t="inlineStr">
        <is>
          <t>altdata G REV-3</t>
        </is>
      </c>
    </row>
    <row r="42">
      <c r="A42" s="7" t="inlineStr">
        <is>
          <t>2025-08-07</t>
        </is>
      </c>
      <c r="B42" s="7" t="inlineStr">
        <is>
          <t>Revenue</t>
        </is>
      </c>
      <c r="C42" s="7" t="inlineStr">
        <is>
          <t>Core business revenue FY2025</t>
        </is>
      </c>
      <c r="D42" s="7" t="inlineStr">
        <is>
          <t>$400-600M</t>
        </is>
      </c>
      <c r="E42" s="7" t="inlineStr">
        <is>
          <t>Maintained; perimeter now ex-Toloka</t>
        </is>
      </c>
      <c r="F42" s="7" t="inlineStr">
        <is>
          <t>For our core business revenue, we are maintaining our guidance of $400 million- $600 million.</t>
        </is>
      </c>
      <c r="G42" s="7" t="inlineStr">
        <is>
          <t>Earnings call</t>
        </is>
      </c>
      <c r="H42" s="7" t="inlineStr">
        <is>
          <t>call</t>
        </is>
      </c>
      <c r="I42" s="7" t="inlineStr">
        <is>
          <t>CALL_Q2_25</t>
        </is>
      </c>
      <c r="J42" s="7" t="inlineStr">
        <is>
          <t>https://stockanalysis.com/stocks/nbis/transcripts/341044-q2-2025/</t>
        </is>
      </c>
      <c r="K42" s="7" t="inlineStr">
        <is>
          <t>verified</t>
        </is>
      </c>
      <c r="L42" s="7" t="inlineStr">
        <is>
          <t>Filings worker (new)</t>
        </is>
      </c>
    </row>
    <row r="43">
      <c r="A43" s="7" t="inlineStr">
        <is>
          <t>2025-08-07</t>
        </is>
      </c>
      <c r="B43" s="7" t="inlineStr">
        <is>
          <t>Revenue</t>
        </is>
      </c>
      <c r="C43" s="7" t="inlineStr">
        <is>
          <t>Toloka revenue FY2025 guidance</t>
        </is>
      </c>
      <c r="D43" s="7" t="inlineStr">
        <is>
          <t>$50-70M</t>
        </is>
      </c>
      <c r="E43" s="7" t="inlineStr">
        <is>
          <t>Removed from group guidance after deconsolidation</t>
        </is>
      </c>
      <c r="F43" s="7" t="inlineStr">
        <is>
          <t>This excludes the 2025 revenue guidance of $50 million- $70 million we previously gave for Toloka.</t>
        </is>
      </c>
      <c r="G43" s="7" t="inlineStr">
        <is>
          <t>Earnings call</t>
        </is>
      </c>
      <c r="H43" s="7" t="inlineStr">
        <is>
          <t>call</t>
        </is>
      </c>
      <c r="I43" s="7" t="inlineStr">
        <is>
          <t>CALL_Q2_25</t>
        </is>
      </c>
      <c r="J43" s="7" t="inlineStr">
        <is>
          <t>https://stockanalysis.com/stocks/nbis/transcripts/341044-q2-2025/</t>
        </is>
      </c>
      <c r="K43" s="7" t="inlineStr">
        <is>
          <t>verified</t>
        </is>
      </c>
      <c r="L43" s="7" t="inlineStr">
        <is>
          <t>Filings worker (new)</t>
        </is>
      </c>
    </row>
    <row r="44">
      <c r="A44" s="7" t="inlineStr">
        <is>
          <t>2025-08-07</t>
        </is>
      </c>
      <c r="B44" s="7" t="inlineStr">
        <is>
          <t>Wording/definition</t>
        </is>
      </c>
      <c r="C44" s="7" t="inlineStr">
        <is>
          <t>Metric wording</t>
        </is>
      </c>
      <c r="D44" s="7" t="inlineStr">
        <is>
          <t>"connected power" defined to INCLUDE not-yet-active power</t>
        </is>
      </c>
      <c r="E44" s="7" t="inlineStr">
        <is>
          <t>Definition / wording change</t>
        </is>
      </c>
      <c r="F44" s="7" t="inlineStr">
        <is>
          <t>We expect to have 220 MW of connected power, which includes both active power and power that is fully provisioned in our data centers and can be activated immediately upon GPU installation.</t>
        </is>
      </c>
      <c r="G44" s="7" t="inlineStr">
        <is>
          <t>Shareholder letter</t>
        </is>
      </c>
      <c r="H44" s="7" t="inlineStr"/>
      <c r="I44" s="7" t="inlineStr">
        <is>
          <t>Q2_25_SHL</t>
        </is>
      </c>
      <c r="J44" s="7" t="inlineStr">
        <is>
          <t>https://www.sec.gov/Archives/edgar/data/1513845/000110465925075028/tm2522866d1_ex99-2.htm</t>
        </is>
      </c>
      <c r="K44" s="7" t="inlineStr">
        <is>
          <t>verified by altdata/verify_quotes.py</t>
        </is>
      </c>
      <c r="L44" s="7" t="inlineStr">
        <is>
          <t>altdata W</t>
        </is>
      </c>
    </row>
    <row r="45">
      <c r="A45" s="7" t="inlineStr">
        <is>
          <t>2025-08-07</t>
        </is>
      </c>
      <c r="B45" s="7" t="inlineStr">
        <is>
          <t>Wording/definition</t>
        </is>
      </c>
      <c r="C45" s="7" t="inlineStr">
        <is>
          <t>Metric wording</t>
        </is>
      </c>
      <c r="D45" s="7" t="inlineStr">
        <is>
          <t>"active" introduced as subset of connected; old 100 MW target re-labelled active</t>
        </is>
      </c>
      <c r="E45" s="7" t="inlineStr">
        <is>
          <t>Definition / wording change</t>
        </is>
      </c>
      <c r="F45" s="7" t="inlineStr">
        <is>
          <t>Of the 220 MW of connected power we expect to have at the end of the year, we will have 100 MW of active power.</t>
        </is>
      </c>
      <c r="G45" s="7" t="inlineStr">
        <is>
          <t>Earnings call</t>
        </is>
      </c>
      <c r="H45" s="7" t="inlineStr"/>
      <c r="I45" s="7" t="inlineStr">
        <is>
          <t>CALL_Q2_25</t>
        </is>
      </c>
      <c r="J45" s="7" t="inlineStr">
        <is>
          <t>https://stockanalysis.com/stocks/nbis/transcripts/341044-q2-2025/</t>
        </is>
      </c>
      <c r="K45" s="7" t="inlineStr">
        <is>
          <t>verified by altdata/verify_quotes.py</t>
        </is>
      </c>
      <c r="L45" s="7" t="inlineStr">
        <is>
          <t>altdata W</t>
        </is>
      </c>
    </row>
    <row r="46">
      <c r="A46" s="7" t="inlineStr">
        <is>
          <t>2025-08-07</t>
        </is>
      </c>
      <c r="B46" s="7" t="inlineStr">
        <is>
          <t>Wording/definition</t>
        </is>
      </c>
      <c r="C46" s="7" t="inlineStr">
        <is>
          <t>Metric wording</t>
        </is>
      </c>
      <c r="D46" s="7" t="inlineStr">
        <is>
          <t>2026 target is unlabeled "power" (later called contracted)</t>
        </is>
      </c>
      <c r="E46" s="7" t="inlineStr">
        <is>
          <t>Definition / wording change</t>
        </is>
      </c>
      <c r="F46" s="7" t="inlineStr">
        <is>
          <t>In the process of securing more than 1 GW of power by the end of 2026</t>
        </is>
      </c>
      <c r="G46" s="7" t="inlineStr">
        <is>
          <t>Press release / 6-K</t>
        </is>
      </c>
      <c r="H46" s="7" t="inlineStr"/>
      <c r="I46" s="7" t="inlineStr">
        <is>
          <t>Q2_25_PR</t>
        </is>
      </c>
      <c r="J46" s="7" t="inlineStr">
        <is>
          <t>https://www.sec.gov/Archives/edgar/data/1513845/000110465925075028/tm2522866d1_ex99-1.htm</t>
        </is>
      </c>
      <c r="K46" s="7" t="inlineStr">
        <is>
          <t>verified by altdata/verify_quotes.py</t>
        </is>
      </c>
      <c r="L46" s="7" t="inlineStr">
        <is>
          <t>altdata W</t>
        </is>
      </c>
    </row>
    <row r="47">
      <c r="A47" s="7" t="inlineStr">
        <is>
          <t>2025-11-11</t>
        </is>
      </c>
      <c r="B47" s="7" t="inlineStr">
        <is>
          <t>ARR</t>
        </is>
      </c>
      <c r="C47" s="7" t="inlineStr">
        <is>
          <t>ARR Dec-2026</t>
        </is>
      </c>
      <c r="D47" s="7" t="inlineStr">
        <is>
          <t>$7-9B</t>
        </is>
      </c>
      <c r="E47" s="7" t="inlineStr">
        <is>
          <t>Reaffirmed Feb-26, May-26, Aug-26. Requires 2.3-3.0x ARR growth in 2H26.</t>
        </is>
      </c>
      <c r="F47" s="7" t="inlineStr">
        <is>
          <t>$7–9 billion ... expected annualized run-rate revenue* at year-end 2026</t>
        </is>
      </c>
      <c r="G47" s="7" t="inlineStr">
        <is>
          <t>Shareholder letter</t>
        </is>
      </c>
      <c r="H47" s="7" t="inlineStr"/>
      <c r="I47" s="7" t="inlineStr">
        <is>
          <t>Q3_25_SHL</t>
        </is>
      </c>
      <c r="J47" s="7" t="inlineStr">
        <is>
          <t>https://www.sec.gov/Archives/edgar/data/1513845/000110465925109806/tm2530882d1_ex99-2.htm</t>
        </is>
      </c>
      <c r="K47" s="7" t="inlineStr">
        <is>
          <t>verified by altdata/verify_quotes.py</t>
        </is>
      </c>
      <c r="L47" s="7" t="inlineStr">
        <is>
          <t>altdata G ARR-6</t>
        </is>
      </c>
    </row>
    <row r="48">
      <c r="A48" s="7" t="inlineStr">
        <is>
          <t>2025-11-11</t>
        </is>
      </c>
      <c r="B48" s="7" t="inlineStr">
        <is>
          <t>ARR</t>
        </is>
      </c>
      <c r="C48" s="7" t="inlineStr">
        <is>
          <t>ARR Dec-2026</t>
        </is>
      </c>
      <c r="D48" s="7" t="inlineStr">
        <is>
          <t>$7-9B</t>
        </is>
      </c>
      <c r="E48" s="7" t="inlineStr">
        <is>
          <t>NEW; framed as conditional on financing ("Given the scale of the financing that we expect to put in place")</t>
        </is>
      </c>
      <c r="F48" s="7" t="inlineStr">
        <is>
          <t>we believe that we can achieve annualized run-rate revenue (ARR)1 of $7 billion to $9 billion by the end of 2026.</t>
        </is>
      </c>
      <c r="G48" s="7" t="inlineStr">
        <is>
          <t>Shareholder letter</t>
        </is>
      </c>
      <c r="H48" s="7" t="inlineStr">
        <is>
          <t>letter</t>
        </is>
      </c>
      <c r="I48" s="7" t="inlineStr">
        <is>
          <t>Q3_25_SHL</t>
        </is>
      </c>
      <c r="J48" s="7" t="inlineStr">
        <is>
          <t>https://www.sec.gov/Archives/edgar/data/1513845/000110465925109806/tm2530882d1_ex99-2.htm</t>
        </is>
      </c>
      <c r="K48" s="7" t="inlineStr">
        <is>
          <t>verified</t>
        </is>
      </c>
      <c r="L48" s="7" t="inlineStr">
        <is>
          <t>Filings worker (new)</t>
        </is>
      </c>
    </row>
    <row r="49">
      <c r="A49" s="7" t="inlineStr">
        <is>
          <t>2025-11-11</t>
        </is>
      </c>
      <c r="B49" s="7" t="inlineStr">
        <is>
          <t>ARR</t>
        </is>
      </c>
      <c r="C49" s="7" t="inlineStr">
        <is>
          <t>ARR Dec-2026 booked share</t>
        </is>
      </c>
      <c r="D49" s="7" t="inlineStr">
        <is>
          <t>&gt;50% booked</t>
        </is>
      </c>
      <c r="E49" s="7" t="inlineStr">
        <is>
          <t>Backlog coverage claim</t>
        </is>
      </c>
      <c r="F49" s="7" t="inlineStr">
        <is>
          <t>gives us the confidence that we can achieve the $7 billion-$9 billion of ARR, of which more than half is already booked.</t>
        </is>
      </c>
      <c r="G49" s="7" t="inlineStr">
        <is>
          <t>Earnings call</t>
        </is>
      </c>
      <c r="H49" s="7" t="inlineStr">
        <is>
          <t>call</t>
        </is>
      </c>
      <c r="I49" s="7" t="inlineStr">
        <is>
          <t>CALL_Q3_25</t>
        </is>
      </c>
      <c r="J49" s="7" t="inlineStr">
        <is>
          <t>https://stockanalysis.com/stocks/nbis/transcripts/367767-q3-2025/</t>
        </is>
      </c>
      <c r="K49" s="7" t="inlineStr">
        <is>
          <t>verified</t>
        </is>
      </c>
      <c r="L49" s="7" t="inlineStr">
        <is>
          <t>Filings worker (new)</t>
        </is>
      </c>
    </row>
    <row r="50">
      <c r="A50" s="7" t="inlineStr">
        <is>
          <t>2025-11-11</t>
        </is>
      </c>
      <c r="B50" s="7" t="inlineStr">
        <is>
          <t>Capex</t>
        </is>
      </c>
      <c r="C50" s="7" t="inlineStr">
        <is>
          <t>Capex FY2025 (raised again)</t>
        </is>
      </c>
      <c r="D50" s="7" t="inlineStr">
        <is>
          <t>~$5B</t>
        </is>
      </c>
      <c r="E50" s="7" t="inlineStr">
        <is>
          <t>Cash capex 19% below guide set only 7 weeks before YE: deployment/payment timing slip. (Cash-flow capex; accrual capex may differ.)</t>
        </is>
      </c>
      <c r="F50" s="7" t="inlineStr">
        <is>
          <t>Regarding CapEx, we are raising our 2025 guidance from approximately $2 billion to circa $5 billion.</t>
        </is>
      </c>
      <c r="G50" s="7" t="inlineStr">
        <is>
          <t>Earnings call</t>
        </is>
      </c>
      <c r="H50" s="7" t="inlineStr"/>
      <c r="I50" s="7" t="inlineStr">
        <is>
          <t>CALL_Q3_25</t>
        </is>
      </c>
      <c r="J50" s="7" t="inlineStr">
        <is>
          <t>https://stockanalysis.com/stocks/nbis/transcripts/367767-q3-2025/</t>
        </is>
      </c>
      <c r="K50" s="7" t="inlineStr">
        <is>
          <t>verified by altdata/verify_quotes.py</t>
        </is>
      </c>
      <c r="L50" s="7" t="inlineStr">
        <is>
          <t>altdata G CAPEX-5</t>
        </is>
      </c>
    </row>
    <row r="51">
      <c r="A51" s="7" t="inlineStr">
        <is>
          <t>2025-11-11</t>
        </is>
      </c>
      <c r="B51" s="7" t="inlineStr">
        <is>
          <t>Financing</t>
        </is>
      </c>
      <c r="C51" s="7" t="inlineStr">
        <is>
          <t>Funding mix</t>
        </is>
      </c>
      <c r="D51" s="7" t="inlineStr">
        <is>
          <t>corporate debt + asset-backed + equity</t>
        </is>
      </c>
      <c r="E51" s="7" t="inlineStr">
        <is>
          <t>NEW financing framework (asset-backed first delivered Jul-26, $775M)</t>
        </is>
      </c>
      <c r="F51" s="7" t="inlineStr">
        <is>
          <t>we will be utilizing at least three sources: corporate debt, asset-backed financing, and equity.</t>
        </is>
      </c>
      <c r="G51" s="7" t="inlineStr">
        <is>
          <t>Earnings call</t>
        </is>
      </c>
      <c r="H51" s="7" t="inlineStr">
        <is>
          <t>call</t>
        </is>
      </c>
      <c r="I51" s="7" t="inlineStr">
        <is>
          <t>CALL_Q3_25</t>
        </is>
      </c>
      <c r="J51" s="7" t="inlineStr">
        <is>
          <t>https://stockanalysis.com/stocks/nbis/transcripts/367767-q3-2025/</t>
        </is>
      </c>
      <c r="K51" s="7" t="inlineStr">
        <is>
          <t>verified</t>
        </is>
      </c>
      <c r="L51" s="7" t="inlineStr">
        <is>
          <t>Filings worker (new)</t>
        </is>
      </c>
    </row>
    <row r="52">
      <c r="A52" s="7" t="inlineStr">
        <is>
          <t>2025-11-11</t>
        </is>
      </c>
      <c r="B52" s="7" t="inlineStr">
        <is>
          <t>GPU</t>
        </is>
      </c>
      <c r="C52" s="7" t="inlineStr">
        <is>
          <t>Meta deal 1 deployment complete</t>
        </is>
      </c>
      <c r="D52" s="7" t="inlineStr">
        <is>
          <t>2 tranches delivered</t>
        </is>
      </c>
      <c r="E52" s="7" t="inlineStr"/>
      <c r="F52" s="7" t="inlineStr">
        <is>
          <t>With regards to Meta, we will be concluding the deployments within the next three months.</t>
        </is>
      </c>
      <c r="G52" s="7" t="inlineStr">
        <is>
          <t>Earnings call</t>
        </is>
      </c>
      <c r="H52" s="7" t="inlineStr"/>
      <c r="I52" s="7" t="inlineStr">
        <is>
          <t>CALL_Q3_25</t>
        </is>
      </c>
      <c r="J52" s="7" t="inlineStr">
        <is>
          <t>https://stockanalysis.com/stocks/nbis/transcripts/367767-q3-2025/</t>
        </is>
      </c>
      <c r="K52" s="7" t="inlineStr">
        <is>
          <t>verified by altdata/verify_quotes.py</t>
        </is>
      </c>
      <c r="L52" s="7" t="inlineStr">
        <is>
          <t>altdata G GPU-3</t>
        </is>
      </c>
    </row>
    <row r="53">
      <c r="A53" s="7" t="inlineStr">
        <is>
          <t>2025-11-11</t>
        </is>
      </c>
      <c r="B53" s="7" t="inlineStr">
        <is>
          <t>GPU</t>
        </is>
      </c>
      <c r="C53" s="7" t="inlineStr">
        <is>
          <t>Microsoft tranches through 2026</t>
        </is>
      </c>
      <c r="D53" s="7" t="inlineStr">
        <is>
          <t>9 tranches by YE2026</t>
        </is>
      </c>
      <c r="E53" s="7" t="inlineStr">
        <is>
          <t>On track per company.</t>
        </is>
      </c>
      <c r="F53" s="7" t="inlineStr">
        <is>
          <t>All of our remaining tranches will be delivered in 2026, with more than half of them during the second half.</t>
        </is>
      </c>
      <c r="G53" s="7" t="inlineStr">
        <is>
          <t>Earnings call</t>
        </is>
      </c>
      <c r="H53" s="7" t="inlineStr"/>
      <c r="I53" s="7" t="inlineStr">
        <is>
          <t>CALL_Q3_25</t>
        </is>
      </c>
      <c r="J53" s="7" t="inlineStr">
        <is>
          <t>https://stockanalysis.com/stocks/nbis/transcripts/367767-q3-2025/</t>
        </is>
      </c>
      <c r="K53" s="7" t="inlineStr">
        <is>
          <t>verified by altdata/verify_quotes.py</t>
        </is>
      </c>
      <c r="L53" s="7" t="inlineStr">
        <is>
          <t>altdata G GPU-4</t>
        </is>
      </c>
    </row>
    <row r="54">
      <c r="A54" s="7" t="inlineStr">
        <is>
          <t>2025-11-11</t>
        </is>
      </c>
      <c r="B54" s="7" t="inlineStr">
        <is>
          <t>MW</t>
        </is>
      </c>
      <c r="C54" s="7" t="inlineStr">
        <is>
          <t>Contracted power YE2026: &gt;2.5 GW</t>
        </is>
      </c>
      <c r="D54" s="7" t="inlineStr">
        <is>
          <t>&gt;2.5 GW</t>
        </is>
      </c>
      <c r="E54" s="7" t="inlineStr">
        <is>
          <t>Achieved early.</t>
        </is>
      </c>
      <c r="F54" s="7" t="inlineStr">
        <is>
          <t>We now expect to have over 2.5GW of contracted power by the end of 2026</t>
        </is>
      </c>
      <c r="G54" s="7" t="inlineStr">
        <is>
          <t>Shareholder letter</t>
        </is>
      </c>
      <c r="H54" s="7" t="inlineStr"/>
      <c r="I54" s="7" t="inlineStr">
        <is>
          <t>Q3_25_SHL</t>
        </is>
      </c>
      <c r="J54" s="7" t="inlineStr">
        <is>
          <t>https://www.sec.gov/Archives/edgar/data/1513845/000110465925109806/tm2530882d1_ex99-2.htm</t>
        </is>
      </c>
      <c r="K54" s="7" t="inlineStr">
        <is>
          <t>verified by altdata/verify_quotes.py</t>
        </is>
      </c>
      <c r="L54" s="7" t="inlineStr">
        <is>
          <t>altdata G MW-9</t>
        </is>
      </c>
    </row>
    <row r="55">
      <c r="A55" s="7" t="inlineStr">
        <is>
          <t>2025-11-11</t>
        </is>
      </c>
      <c r="B55" s="7" t="inlineStr">
        <is>
          <t>MW</t>
        </is>
      </c>
      <c r="C55" s="7" t="inlineStr">
        <is>
          <t>Connected power YE2026: 800 MW-1 GW</t>
        </is>
      </c>
      <c r="D55" s="7" t="inlineStr">
        <is>
          <t>0.8-1.0 GW connected</t>
        </is>
      </c>
      <c r="E55" s="7" t="inlineStr">
        <is>
          <t>Restated orally, dropped from letter. Korolenko on Aug-12-26 call: "we still expect to meet this guidance from 800 megawatts to 1 gigawatt of connected power this year" (Motley Fool transcript). Reaffirmed Feb-26 letter, May-26 letter; NOT restated in Aug-26 letter (zero mentions of "connected"); re</t>
        </is>
      </c>
      <c r="F55" s="7" t="inlineStr">
        <is>
          <t>we expect to have 800MW to 1GW of connected power (i.e, power con-nected to built data centers) by th[e end of 2026]</t>
        </is>
      </c>
      <c r="G55" s="7" t="inlineStr">
        <is>
          <t>Shareholder letter</t>
        </is>
      </c>
      <c r="H55" s="7" t="inlineStr"/>
      <c r="I55" s="7" t="inlineStr">
        <is>
          <t>Q3_25_SHL</t>
        </is>
      </c>
      <c r="J55" s="7" t="inlineStr">
        <is>
          <t>https://www.sec.gov/Archives/edgar/data/1513845/000110465925109806/tm2530882d1_ex99-2.htm</t>
        </is>
      </c>
      <c r="K55" s="7" t="inlineStr">
        <is>
          <t>verified by altdata/verify_quotes.py</t>
        </is>
      </c>
      <c r="L55" s="7" t="inlineStr">
        <is>
          <t>altdata G MW-13</t>
        </is>
      </c>
    </row>
    <row r="56">
      <c r="A56" s="7" t="inlineStr">
        <is>
          <t>2025-11-11</t>
        </is>
      </c>
      <c r="B56" s="7" t="inlineStr">
        <is>
          <t>Revenue</t>
        </is>
      </c>
      <c r="C56" s="7" t="inlineStr">
        <is>
          <t>Group revenue FY2025 (tightened)</t>
        </is>
      </c>
      <c r="D56" s="7" t="inlineStr">
        <is>
          <t>$500-550M</t>
        </is>
      </c>
      <c r="E56" s="7" t="inlineStr">
        <is>
          <t>Tightened toward low/mid of prior $450-630M range (i.e., implicit cut of top end).</t>
        </is>
      </c>
      <c r="F56" s="7" t="inlineStr">
        <is>
          <t>we are tightening our full-year group revenue guidance to a range of $500-$550 million, and we are currently pacing to the midpoint of that range.</t>
        </is>
      </c>
      <c r="G56" s="7" t="inlineStr">
        <is>
          <t>Earnings call</t>
        </is>
      </c>
      <c r="H56" s="7" t="inlineStr"/>
      <c r="I56" s="7" t="inlineStr">
        <is>
          <t>CALL_Q3_25</t>
        </is>
      </c>
      <c r="J56" s="7" t="inlineStr">
        <is>
          <t>https://stockanalysis.com/stocks/nbis/transcripts/367767-q3-2025/</t>
        </is>
      </c>
      <c r="K56" s="7" t="inlineStr">
        <is>
          <t>verified by altdata/verify_quotes.py</t>
        </is>
      </c>
      <c r="L56" s="7" t="inlineStr">
        <is>
          <t>altdata G REV-4</t>
        </is>
      </c>
    </row>
    <row r="57">
      <c r="A57" s="7" t="inlineStr">
        <is>
          <t>2025-11-11</t>
        </is>
      </c>
      <c r="B57" s="7" t="inlineStr">
        <is>
          <t>Wording/definition</t>
        </is>
      </c>
      <c r="C57" s="7" t="inlineStr">
        <is>
          <t>Metric wording</t>
        </is>
      </c>
      <c r="D57" s="7" t="inlineStr">
        <is>
          <t>"contracted" = secured land with power; "connected" = power connected to built data centers</t>
        </is>
      </c>
      <c r="E57" s="7" t="inlineStr">
        <is>
          <t>Definition / wording change</t>
        </is>
      </c>
      <c r="F57" s="7" t="inlineStr">
        <is>
          <t>total contracted power (i.e., secured land with power) to approximately 2.5GW by the end of 2026. Of this contracted amount, we expect to have 800MW to 1GW of connected power (i.e, power con-nected to built data centers)</t>
        </is>
      </c>
      <c r="G57" s="7" t="inlineStr">
        <is>
          <t>Shareholder letter</t>
        </is>
      </c>
      <c r="H57" s="7" t="inlineStr"/>
      <c r="I57" s="7" t="inlineStr">
        <is>
          <t>Q3_25_SHL</t>
        </is>
      </c>
      <c r="J57" s="7" t="inlineStr">
        <is>
          <t>https://www.sec.gov/Archives/edgar/data/1513845/000110465925109806/tm2530882d1_ex99-2.htm</t>
        </is>
      </c>
      <c r="K57" s="7" t="inlineStr">
        <is>
          <t>verified by altdata/verify_quotes.py</t>
        </is>
      </c>
      <c r="L57" s="7" t="inlineStr">
        <is>
          <t>altdata W</t>
        </is>
      </c>
    </row>
    <row r="58">
      <c r="A58" s="7" t="inlineStr">
        <is>
          <t>2025-11-11</t>
        </is>
      </c>
      <c r="B58" s="7" t="inlineStr">
        <is>
          <t>Wording/definition</t>
        </is>
      </c>
      <c r="C58" s="7" t="inlineStr">
        <is>
          <t>Metric wording</t>
        </is>
      </c>
      <c r="D58" s="7" t="inlineStr">
        <is>
          <t>CEO: connected = stage 2 (~18-20% of capex); GPUs = ~80%</t>
        </is>
      </c>
      <c r="E58" s="7" t="inlineStr">
        <is>
          <t>Definition / wording change</t>
        </is>
      </c>
      <c r="F58" s="7" t="inlineStr">
        <is>
          <t>The second stage, building the data centers, building connected power, is something around, I do not know, 18-20%. The remaining 80%, the main part, is for deploying the actual GPUs.</t>
        </is>
      </c>
      <c r="G58" s="7" t="inlineStr">
        <is>
          <t>Earnings call</t>
        </is>
      </c>
      <c r="H58" s="7" t="inlineStr"/>
      <c r="I58" s="7" t="inlineStr">
        <is>
          <t>CALL_Q3_25</t>
        </is>
      </c>
      <c r="J58" s="7" t="inlineStr">
        <is>
          <t>https://stockanalysis.com/stocks/nbis/transcripts/367767-q3-2025/</t>
        </is>
      </c>
      <c r="K58" s="7" t="inlineStr">
        <is>
          <t>verified by altdata/verify_quotes.py</t>
        </is>
      </c>
      <c r="L58" s="7" t="inlineStr">
        <is>
          <t>altdata W</t>
        </is>
      </c>
    </row>
    <row r="59">
      <c r="A59" s="7" t="inlineStr">
        <is>
          <t>2026-02-12</t>
        </is>
      </c>
      <c r="B59" s="7" t="inlineStr">
        <is>
          <t>ARR</t>
        </is>
      </c>
      <c r="C59" s="7" t="inlineStr">
        <is>
          <t>ARR Dec-2026</t>
        </is>
      </c>
      <c r="D59" s="7" t="inlineStr">
        <is>
          <t>$7-9B</t>
        </is>
      </c>
      <c r="E59" s="7" t="inlineStr">
        <is>
          <t>Reaffirmed; conditional financing language dropped</t>
        </is>
      </c>
      <c r="F59" s="7" t="inlineStr">
        <is>
          <t>We are on track to end the year with ARR1 of $7 billion to $9 billion.</t>
        </is>
      </c>
      <c r="G59" s="7" t="inlineStr">
        <is>
          <t>Shareholder letter</t>
        </is>
      </c>
      <c r="H59" s="7" t="inlineStr">
        <is>
          <t>letter</t>
        </is>
      </c>
      <c r="I59" s="7" t="inlineStr">
        <is>
          <t>Q4_25_SHL</t>
        </is>
      </c>
      <c r="J59" s="7" t="inlineStr">
        <is>
          <t>https://www.sec.gov/Archives/edgar/data/1513845/000110465926013946/tm266173d1_ex99-2.htm</t>
        </is>
      </c>
      <c r="K59" s="7" t="inlineStr">
        <is>
          <t>verified</t>
        </is>
      </c>
      <c r="L59" s="7" t="inlineStr">
        <is>
          <t>Filings worker (new)</t>
        </is>
      </c>
    </row>
    <row r="60">
      <c r="A60" s="7" t="inlineStr">
        <is>
          <t>2026-02-12</t>
        </is>
      </c>
      <c r="B60" s="7" t="inlineStr">
        <is>
          <t>Capex</t>
        </is>
      </c>
      <c r="C60" s="7" t="inlineStr">
        <is>
          <t>Capex FY2026 (original)</t>
        </is>
      </c>
      <c r="D60" s="7" t="inlineStr">
        <is>
          <t>$16-20B</t>
        </is>
      </c>
      <c r="E60" s="7" t="inlineStr">
        <is>
          <t>Raised to $20-25B on May 13 2026.</t>
        </is>
      </c>
      <c r="F60" s="7" t="inlineStr">
        <is>
          <t>we plan to invest in CapEx in the range of $16 billion-$20 billion in 2026.</t>
        </is>
      </c>
      <c r="G60" s="7" t="inlineStr">
        <is>
          <t>Earnings call</t>
        </is>
      </c>
      <c r="H60" s="7" t="inlineStr"/>
      <c r="I60" s="7" t="inlineStr">
        <is>
          <t>CALL_Q4_25</t>
        </is>
      </c>
      <c r="J60" s="7" t="inlineStr">
        <is>
          <t>https://stockanalysis.com/stocks/nbis/transcripts/402284-q4-2025/</t>
        </is>
      </c>
      <c r="K60" s="7" t="inlineStr">
        <is>
          <t>verified by altdata/verify_quotes.py</t>
        </is>
      </c>
      <c r="L60" s="7" t="inlineStr">
        <is>
          <t>altdata G CAPEX-6</t>
        </is>
      </c>
    </row>
    <row r="61">
      <c r="A61" s="7" t="inlineStr">
        <is>
          <t>2026-02-12</t>
        </is>
      </c>
      <c r="B61" s="7" t="inlineStr">
        <is>
          <t>EBITDA</t>
        </is>
      </c>
      <c r="C61" s="7" t="inlineStr">
        <is>
          <t>Group adj. EBITDA margin FY2026</t>
        </is>
      </c>
      <c r="D61" s="7" t="inlineStr">
        <is>
          <t>~40%</t>
        </is>
      </c>
      <c r="E61" s="7" t="inlineStr">
        <is>
          <t>NEW</t>
        </is>
      </c>
      <c r="F61" s="7" t="inlineStr">
        <is>
          <t>On adjusted EBITDA, we expect group adjusted EBITDA margin to be approximately 40% for 2026.</t>
        </is>
      </c>
      <c r="G61" s="7" t="inlineStr">
        <is>
          <t>Earnings call</t>
        </is>
      </c>
      <c r="H61" s="7" t="inlineStr">
        <is>
          <t>call</t>
        </is>
      </c>
      <c r="I61" s="7" t="inlineStr">
        <is>
          <t>CALL_Q4_25</t>
        </is>
      </c>
      <c r="J61" s="7" t="inlineStr">
        <is>
          <t>https://stockanalysis.com/stocks/nbis/transcripts/402284-q4-2025/</t>
        </is>
      </c>
      <c r="K61" s="7" t="inlineStr">
        <is>
          <t>verified</t>
        </is>
      </c>
      <c r="L61" s="7" t="inlineStr">
        <is>
          <t>Filings worker (new)</t>
        </is>
      </c>
    </row>
    <row r="62">
      <c r="A62" s="7" t="inlineStr">
        <is>
          <t>2026-02-12</t>
        </is>
      </c>
      <c r="B62" s="7" t="inlineStr">
        <is>
          <t>MW</t>
        </is>
      </c>
      <c r="C62" s="7" t="inlineStr">
        <is>
          <t>Contracted power YE2026: &gt;3 GW</t>
        </is>
      </c>
      <c r="D62" s="7" t="inlineStr">
        <is>
          <t>&gt;3 GW</t>
        </is>
      </c>
      <c r="E62" s="7" t="inlineStr">
        <is>
          <t>Achieved early.</t>
        </is>
      </c>
      <c r="F62" s="7" t="inlineStr">
        <is>
          <t>we now expect to have more than 3 GW of contracted power by year-end.</t>
        </is>
      </c>
      <c r="G62" s="7" t="inlineStr">
        <is>
          <t>Shareholder letter</t>
        </is>
      </c>
      <c r="H62" s="7" t="inlineStr"/>
      <c r="I62" s="7" t="inlineStr">
        <is>
          <t>Q4_25_SHL</t>
        </is>
      </c>
      <c r="J62" s="7" t="inlineStr">
        <is>
          <t>https://www.sec.gov/Archives/edgar/data/1513845/000110465926013946/tm266173d1_ex99-2.htm</t>
        </is>
      </c>
      <c r="K62" s="7" t="inlineStr">
        <is>
          <t>verified by altdata/verify_quotes.py</t>
        </is>
      </c>
      <c r="L62" s="7" t="inlineStr">
        <is>
          <t>altdata G MW-10</t>
        </is>
      </c>
    </row>
    <row r="63">
      <c r="A63" s="7" t="inlineStr">
        <is>
          <t>2026-02-12</t>
        </is>
      </c>
      <c r="B63" s="7" t="inlineStr">
        <is>
          <t>Margin</t>
        </is>
      </c>
      <c r="C63" s="7" t="inlineStr">
        <is>
          <t>Medium-term EBIT margin</t>
        </is>
      </c>
      <c r="D63" s="7" t="inlineStr">
        <is>
          <t>20-30%, "potential to go higher"</t>
        </is>
      </c>
      <c r="E63" s="7" t="inlineStr">
        <is>
          <t>Reaffirmed WITHOUT the 4-year-depreciation caveat, same call that announced 4-&gt;5 yr life change</t>
        </is>
      </c>
      <c r="F63" s="7" t="inlineStr">
        <is>
          <t>We believe the return on these investments are attractive and will remain committed to our medium-term EBIT target of 20%-30%, with the potential to go higher.</t>
        </is>
      </c>
      <c r="G63" s="7" t="inlineStr">
        <is>
          <t>Earnings call</t>
        </is>
      </c>
      <c r="H63" s="7" t="inlineStr">
        <is>
          <t>call</t>
        </is>
      </c>
      <c r="I63" s="7" t="inlineStr">
        <is>
          <t>CALL_Q4_25</t>
        </is>
      </c>
      <c r="J63" s="7" t="inlineStr">
        <is>
          <t>https://stockanalysis.com/stocks/nbis/transcripts/402284-q4-2025/</t>
        </is>
      </c>
      <c r="K63" s="7" t="inlineStr">
        <is>
          <t>verified</t>
        </is>
      </c>
      <c r="L63" s="7" t="inlineStr">
        <is>
          <t>Filings worker (new)</t>
        </is>
      </c>
    </row>
    <row r="64">
      <c r="A64" s="7" t="inlineStr">
        <is>
          <t>2026-02-12</t>
        </is>
      </c>
      <c r="B64" s="7" t="inlineStr">
        <is>
          <t>Pipeline</t>
        </is>
      </c>
      <c r="C64" s="7" t="inlineStr">
        <is>
          <t>Q1-26 pipeline creation</t>
        </is>
      </c>
      <c r="D64" s="7" t="inlineStr">
        <is>
          <t>&gt;$4B</t>
        </is>
      </c>
      <c r="E64" s="7" t="inlineStr">
        <is>
          <t>NEW metric (one-off)</t>
        </is>
      </c>
      <c r="F64" s="7" t="inlineStr">
        <is>
          <t>The pipeline creation trajectory in Q1 is on track to exceed $4 billion</t>
        </is>
      </c>
      <c r="G64" s="7" t="inlineStr">
        <is>
          <t>Earnings call</t>
        </is>
      </c>
      <c r="H64" s="7" t="inlineStr">
        <is>
          <t>call</t>
        </is>
      </c>
      <c r="I64" s="7" t="inlineStr">
        <is>
          <t>CALL_Q4_25</t>
        </is>
      </c>
      <c r="J64" s="7" t="inlineStr">
        <is>
          <t>https://stockanalysis.com/stocks/nbis/transcripts/402284-q4-2025/</t>
        </is>
      </c>
      <c r="K64" s="7" t="inlineStr">
        <is>
          <t>verified</t>
        </is>
      </c>
      <c r="L64" s="7" t="inlineStr">
        <is>
          <t>Filings worker (new)</t>
        </is>
      </c>
    </row>
    <row r="65">
      <c r="A65" s="7" t="inlineStr">
        <is>
          <t>2026-02-12</t>
        </is>
      </c>
      <c r="B65" s="7" t="inlineStr">
        <is>
          <t>Revenue</t>
        </is>
      </c>
      <c r="C65" s="7" t="inlineStr">
        <is>
          <t>Group revenue FY2026</t>
        </is>
      </c>
      <c r="D65" s="7" t="inlineStr">
        <is>
          <t>$3.0-3.4B</t>
        </is>
      </c>
      <c r="E65" s="7" t="inlineStr">
        <is>
          <t>Implies H2-26 revenue $2.02-2.42B (vs H1 $0.98B).</t>
        </is>
      </c>
      <c r="F65" s="7" t="inlineStr">
        <is>
          <t>For the full year, we expect to achieve between $3 billion and $3.4 billion in revenue.</t>
        </is>
      </c>
      <c r="G65" s="7" t="inlineStr">
        <is>
          <t>Earnings call</t>
        </is>
      </c>
      <c r="H65" s="7" t="inlineStr"/>
      <c r="I65" s="7" t="inlineStr">
        <is>
          <t>CALL_Q4_25</t>
        </is>
      </c>
      <c r="J65" s="7" t="inlineStr">
        <is>
          <t>https://stockanalysis.com/stocks/nbis/transcripts/402284-q4-2025/</t>
        </is>
      </c>
      <c r="K65" s="7" t="inlineStr">
        <is>
          <t>verified by altdata/verify_quotes.py</t>
        </is>
      </c>
      <c r="L65" s="7" t="inlineStr">
        <is>
          <t>altdata G REV-5</t>
        </is>
      </c>
    </row>
    <row r="66">
      <c r="A66" s="7" t="inlineStr">
        <is>
          <t>2026-02-12</t>
        </is>
      </c>
      <c r="B66" s="7" t="inlineStr">
        <is>
          <t>Wording/definition</t>
        </is>
      </c>
      <c r="C66" s="7" t="inlineStr">
        <is>
          <t>Metric wording</t>
        </is>
      </c>
      <c r="D66" s="7" t="inlineStr">
        <is>
          <t>Three forms formally defined (v1)</t>
        </is>
      </c>
      <c r="E66" s="7" t="inlineStr">
        <is>
          <t>Definition / wording change</t>
        </is>
      </c>
      <c r="F66" s="7" t="inlineStr">
        <is>
          <t>(1) contracted power, or power secured by contracts; (2) connected power, or power connected into data centers; and (3) active power, or power being consumed by IT equipment.</t>
        </is>
      </c>
      <c r="G66" s="7" t="inlineStr">
        <is>
          <t>Shareholder letter</t>
        </is>
      </c>
      <c r="H66" s="7" t="inlineStr"/>
      <c r="I66" s="7" t="inlineStr">
        <is>
          <t>Q4_25_SHL</t>
        </is>
      </c>
      <c r="J66" s="7" t="inlineStr">
        <is>
          <t>https://www.sec.gov/Archives/edgar/data/1513845/000110465926013946/tm266173d1_ex99-2.htm</t>
        </is>
      </c>
      <c r="K66" s="7" t="inlineStr">
        <is>
          <t>verified by altdata/verify_quotes.py</t>
        </is>
      </c>
      <c r="L66" s="7" t="inlineStr">
        <is>
          <t>altdata W</t>
        </is>
      </c>
    </row>
    <row r="67">
      <c r="A67" s="7" t="inlineStr">
        <is>
          <t>2026-02-12</t>
        </is>
      </c>
      <c r="B67" s="7" t="inlineStr">
        <is>
          <t>Wording/definition</t>
        </is>
      </c>
      <c r="C67" s="7" t="inlineStr">
        <is>
          <t>Metric wording</t>
        </is>
      </c>
      <c r="D67" s="7" t="inlineStr">
        <is>
          <t>CEO re-describes connected as "available data center capacity"</t>
        </is>
      </c>
      <c r="E67" s="7" t="inlineStr">
        <is>
          <t>Definition / wording change</t>
        </is>
      </c>
      <c r="F67" s="7" t="inlineStr">
        <is>
          <t>we are well on track to deliver 800 MW to 1 GW of those as available data center capacity</t>
        </is>
      </c>
      <c r="G67" s="7" t="inlineStr">
        <is>
          <t>Earnings call</t>
        </is>
      </c>
      <c r="H67" s="7" t="inlineStr"/>
      <c r="I67" s="7" t="inlineStr">
        <is>
          <t>CALL_Q4_25</t>
        </is>
      </c>
      <c r="J67" s="7" t="inlineStr">
        <is>
          <t>https://stockanalysis.com/stocks/nbis/transcripts/402284-q4-2025/</t>
        </is>
      </c>
      <c r="K67" s="7" t="inlineStr">
        <is>
          <t>verified by altdata/verify_quotes.py</t>
        </is>
      </c>
      <c r="L67" s="7" t="inlineStr">
        <is>
          <t>altdata W</t>
        </is>
      </c>
    </row>
    <row r="68">
      <c r="A68" s="7" t="inlineStr">
        <is>
          <t>2026-03-16</t>
        </is>
      </c>
      <c r="B68" s="7" t="inlineStr">
        <is>
          <t>GPU</t>
        </is>
      </c>
      <c r="C68" s="7" t="inlineStr">
        <is>
          <t>Meta deal 2 (Vera Rubin) delivery</t>
        </is>
      </c>
      <c r="D68" s="7" t="inlineStr">
        <is>
          <t>first delivery</t>
        </is>
      </c>
      <c r="E68" s="7" t="inlineStr"/>
      <c r="F68" s="7" t="inlineStr">
        <is>
          <t>with delivery expected to commence in early 2027</t>
        </is>
      </c>
      <c r="G68" s="7" t="inlineStr">
        <is>
          <t>20-F</t>
        </is>
      </c>
      <c r="H68" s="7" t="inlineStr"/>
      <c r="I68" s="7" t="inlineStr">
        <is>
          <t>FY25_20F</t>
        </is>
      </c>
      <c r="J68" s="7" t="inlineStr">
        <is>
          <t>https://www.sec.gov/Archives/edgar/data/1513845/000110465926052948/nbis-20251231x20f.htm</t>
        </is>
      </c>
      <c r="K68" s="7" t="inlineStr">
        <is>
          <t>verified by altdata/verify_quotes.py</t>
        </is>
      </c>
      <c r="L68" s="7" t="inlineStr">
        <is>
          <t>altdata G GPU-5</t>
        </is>
      </c>
    </row>
    <row r="69">
      <c r="A69" s="7" t="inlineStr">
        <is>
          <t>2026-05-13</t>
        </is>
      </c>
      <c r="B69" s="7" t="inlineStr">
        <is>
          <t>All</t>
        </is>
      </c>
      <c r="C69" s="7" t="inlineStr">
        <is>
          <t>FY2026 ARR / revenue / margin</t>
        </is>
      </c>
      <c r="D69" s="7" t="inlineStr">
        <is>
          <t>$7-9B / $3.0-3.4B / ~40%</t>
        </is>
      </c>
      <c r="E69" s="7" t="inlineStr">
        <is>
          <t>Reiterated (capex raised separately)</t>
        </is>
      </c>
      <c r="F69" s="7" t="inlineStr">
        <is>
          <t>As such, we are reiterating our full year 2026 guidance for annualized run rate revenue of $7 billion-$9 billion, group revenue of between $3 billion and $3.4 billion, and group-adjusted EBITDA margin of around 40%.</t>
        </is>
      </c>
      <c r="G69" s="7" t="inlineStr">
        <is>
          <t>Earnings call</t>
        </is>
      </c>
      <c r="H69" s="7" t="inlineStr">
        <is>
          <t>call</t>
        </is>
      </c>
      <c r="I69" s="7" t="inlineStr">
        <is>
          <t>CALL_Q1_26</t>
        </is>
      </c>
      <c r="J69" s="7" t="inlineStr">
        <is>
          <t>https://stockanalysis.com/stocks/nbis/transcripts/555850-q1-2026/</t>
        </is>
      </c>
      <c r="K69" s="7" t="inlineStr">
        <is>
          <t>verified</t>
        </is>
      </c>
      <c r="L69" s="7" t="inlineStr">
        <is>
          <t>Filings worker (new)</t>
        </is>
      </c>
    </row>
    <row r="70">
      <c r="A70" s="7" t="inlineStr">
        <is>
          <t>2026-05-13</t>
        </is>
      </c>
      <c r="B70" s="7" t="inlineStr">
        <is>
          <t>Capex</t>
        </is>
      </c>
      <c r="C70" s="7" t="inlineStr">
        <is>
          <t>Capex FY2026 (raised)</t>
        </is>
      </c>
      <c r="D70" s="7" t="inlineStr">
        <is>
          <t>$20-25B</t>
        </is>
      </c>
      <c r="E70" s="7" t="inlineStr">
        <is>
          <t>Reaffirmed Aug-12-26. Implies H2-26 capex $11.9-16.9B (1.5-2.1x H1). FY25 precedent: spent 81% of latest guide.</t>
        </is>
      </c>
      <c r="F70" s="7" t="inlineStr">
        <is>
          <t>raise our 2026 CapEx guidance to between $20 billion and $25 billion, which is up from our prior range of $16 billion- $20 billion.</t>
        </is>
      </c>
      <c r="G70" s="7" t="inlineStr">
        <is>
          <t>Earnings call</t>
        </is>
      </c>
      <c r="H70" s="7" t="inlineStr"/>
      <c r="I70" s="7" t="inlineStr">
        <is>
          <t>CALL_Q1_26</t>
        </is>
      </c>
      <c r="J70" s="7" t="inlineStr">
        <is>
          <t>https://stockanalysis.com/stocks/nbis/transcripts/555850-q1-2026/</t>
        </is>
      </c>
      <c r="K70" s="7" t="inlineStr">
        <is>
          <t>verified by altdata/verify_quotes.py</t>
        </is>
      </c>
      <c r="L70" s="7" t="inlineStr">
        <is>
          <t>altdata G CAPEX-7</t>
        </is>
      </c>
    </row>
    <row r="71">
      <c r="A71" s="7" t="inlineStr">
        <is>
          <t>2026-05-13</t>
        </is>
      </c>
      <c r="B71" s="7" t="inlineStr">
        <is>
          <t>EBITDA</t>
        </is>
      </c>
      <c r="C71" s="7" t="inlineStr">
        <is>
          <t>Quarterly margin path 2026</t>
        </is>
      </c>
      <c r="D71" s="7" t="inlineStr">
        <is>
          <t>non-linear</t>
        </is>
      </c>
      <c r="E71" s="7" t="inlineStr">
        <is>
          <t>NEW qualifier</t>
        </is>
      </c>
      <c r="F71" s="7" t="inlineStr">
        <is>
          <t>We anticipate a nonlinear quarterly adjusted EBITDA margin progression during 2026.</t>
        </is>
      </c>
      <c r="G71" s="7" t="inlineStr">
        <is>
          <t>Earnings call</t>
        </is>
      </c>
      <c r="H71" s="7" t="inlineStr">
        <is>
          <t>call</t>
        </is>
      </c>
      <c r="I71" s="7" t="inlineStr">
        <is>
          <t>CALL_Q1_26</t>
        </is>
      </c>
      <c r="J71" s="7" t="inlineStr">
        <is>
          <t>https://stockanalysis.com/stocks/nbis/transcripts/555850-q1-2026/</t>
        </is>
      </c>
      <c r="K71" s="7" t="inlineStr">
        <is>
          <t>verified</t>
        </is>
      </c>
      <c r="L71" s="7" t="inlineStr">
        <is>
          <t>Filings worker (new)</t>
        </is>
      </c>
    </row>
    <row r="72">
      <c r="A72" s="7" t="inlineStr">
        <is>
          <t>2026-05-13</t>
        </is>
      </c>
      <c r="B72" s="7" t="inlineStr">
        <is>
          <t>MW</t>
        </is>
      </c>
      <c r="C72" s="7" t="inlineStr">
        <is>
          <t>Contracted power YE2026: &gt;4 GW</t>
        </is>
      </c>
      <c r="D72" s="7" t="inlineStr">
        <is>
          <t>&gt;4 GW</t>
        </is>
      </c>
      <c r="E72" s="7" t="inlineStr">
        <is>
          <t>Tracking ahead.</t>
        </is>
      </c>
      <c r="F72" s="7" t="inlineStr">
        <is>
          <t>raise our contract-ed power guidance to more than 4 GW by year-end.</t>
        </is>
      </c>
      <c r="G72" s="7" t="inlineStr">
        <is>
          <t>Shareholder letter</t>
        </is>
      </c>
      <c r="H72" s="7" t="inlineStr"/>
      <c r="I72" s="7" t="inlineStr">
        <is>
          <t>Q1_26_SHL</t>
        </is>
      </c>
      <c r="J72" s="7" t="inlineStr">
        <is>
          <t>https://www.sec.gov/Archives/edgar/data/1513845/000110465926059872/tm2614392d1_ex99-2.htm</t>
        </is>
      </c>
      <c r="K72" s="7" t="inlineStr">
        <is>
          <t>verified by altdata/verify_quotes.py</t>
        </is>
      </c>
      <c r="L72" s="7" t="inlineStr">
        <is>
          <t>altdata G MW-11</t>
        </is>
      </c>
    </row>
    <row r="73">
      <c r="A73" s="7" t="inlineStr">
        <is>
          <t>2026-05-13</t>
        </is>
      </c>
      <c r="B73" s="7" t="inlineStr">
        <is>
          <t>MW</t>
        </is>
      </c>
      <c r="C73" s="7" t="inlineStr">
        <is>
          <t>Pennsylvania first phase</t>
        </is>
      </c>
      <c r="D73" s="7" t="inlineStr">
        <is>
          <t>250-300 MW</t>
        </is>
      </c>
      <c r="E73" s="7" t="inlineStr"/>
      <c r="F73" s="7" t="inlineStr">
        <is>
          <t>Pennsylvania is gonna have lights up by the end of 2027 with the first around 250 MW-300 MW probably.</t>
        </is>
      </c>
      <c r="G73" s="7" t="inlineStr">
        <is>
          <t>Earnings call</t>
        </is>
      </c>
      <c r="H73" s="7" t="inlineStr"/>
      <c r="I73" s="7" t="inlineStr">
        <is>
          <t>CALL_Q1_26</t>
        </is>
      </c>
      <c r="J73" s="7" t="inlineStr">
        <is>
          <t>https://stockanalysis.com/stocks/nbis/transcripts/555850-q1-2026/</t>
        </is>
      </c>
      <c r="K73" s="7" t="inlineStr">
        <is>
          <t>verified by altdata/verify_quotes.py</t>
        </is>
      </c>
      <c r="L73" s="7" t="inlineStr">
        <is>
          <t>altdata G MW-15</t>
        </is>
      </c>
    </row>
    <row r="74">
      <c r="A74" s="7" t="inlineStr">
        <is>
          <t>2026-05-13</t>
        </is>
      </c>
      <c r="B74" s="7" t="inlineStr">
        <is>
          <t>MW</t>
        </is>
      </c>
      <c r="C74" s="7" t="inlineStr">
        <is>
          <t>Connected power YE2026</t>
        </is>
      </c>
      <c r="D74" s="7" t="inlineStr">
        <is>
          <t>800MW-1GW</t>
        </is>
      </c>
      <c r="E74" s="7" t="inlineStr">
        <is>
          <t>Reaffirmed</t>
        </is>
      </c>
      <c r="F74" s="7" t="inlineStr">
        <is>
          <t>We continue to expect 800MW to 1GW of connected power by year-end.</t>
        </is>
      </c>
      <c r="G74" s="7" t="inlineStr">
        <is>
          <t>Shareholder letter</t>
        </is>
      </c>
      <c r="H74" s="7" t="inlineStr">
        <is>
          <t>letter</t>
        </is>
      </c>
      <c r="I74" s="7" t="inlineStr">
        <is>
          <t>Q1_26_SHL</t>
        </is>
      </c>
      <c r="J74" s="7" t="inlineStr">
        <is>
          <t>https://www.sec.gov/Archives/edgar/data/1513845/000110465926059872/tm2614392d1_ex99-2.htm</t>
        </is>
      </c>
      <c r="K74" s="7" t="inlineStr">
        <is>
          <t>verified</t>
        </is>
      </c>
      <c r="L74" s="7" t="inlineStr">
        <is>
          <t>Filings worker (new)</t>
        </is>
      </c>
    </row>
    <row r="75">
      <c r="A75" s="7" t="inlineStr">
        <is>
          <t>2026-05-13</t>
        </is>
      </c>
      <c r="B75" s="7" t="inlineStr">
        <is>
          <t>MW</t>
        </is>
      </c>
      <c r="C75" s="7" t="inlineStr">
        <is>
          <t>Owned capacity</t>
        </is>
      </c>
      <c r="D75" s="7" t="inlineStr">
        <is>
          <t>3 GW across five sites</t>
        </is>
      </c>
      <c r="E75" s="7" t="inlineStr">
        <is>
          <t>NEW</t>
        </is>
      </c>
      <c r="F75" s="7" t="inlineStr">
        <is>
          <t>In total, our owned facilities will deliver 3 GW of capacity across five sites</t>
        </is>
      </c>
      <c r="G75" s="7" t="inlineStr">
        <is>
          <t>Shareholder letter</t>
        </is>
      </c>
      <c r="H75" s="7" t="inlineStr">
        <is>
          <t>letter</t>
        </is>
      </c>
      <c r="I75" s="7" t="inlineStr">
        <is>
          <t>Q1_26_SHL</t>
        </is>
      </c>
      <c r="J75" s="7" t="inlineStr">
        <is>
          <t>https://www.sec.gov/Archives/edgar/data/1513845/000110465926059872/tm2614392d1_ex99-2.htm</t>
        </is>
      </c>
      <c r="K75" s="7" t="inlineStr">
        <is>
          <t>verified</t>
        </is>
      </c>
      <c r="L75" s="7" t="inlineStr">
        <is>
          <t>Filings worker (new)</t>
        </is>
      </c>
    </row>
    <row r="76">
      <c r="A76" s="7" t="inlineStr">
        <is>
          <t>2026-05-13</t>
        </is>
      </c>
      <c r="B76" s="7" t="inlineStr">
        <is>
          <t>Utilization</t>
        </is>
      </c>
      <c r="C76" s="7" t="inlineStr">
        <is>
          <t>Utilization</t>
        </is>
      </c>
      <c r="D76" s="7" t="inlineStr">
        <is>
          <t>"sell out" (qualitative)</t>
        </is>
      </c>
      <c r="E76" s="7" t="inlineStr">
        <is>
          <t>Qualitative only - no % ever given</t>
        </is>
      </c>
      <c r="F76" s="7" t="inlineStr">
        <is>
          <t>On utilization, we continue to sell out our capacity, and we expect this to be the case for the foreseeable future due to strong market demand and our healthy pipeline.</t>
        </is>
      </c>
      <c r="G76" s="7" t="inlineStr">
        <is>
          <t>Earnings call</t>
        </is>
      </c>
      <c r="H76" s="7" t="inlineStr">
        <is>
          <t>call</t>
        </is>
      </c>
      <c r="I76" s="7" t="inlineStr">
        <is>
          <t>CALL_Q1_26</t>
        </is>
      </c>
      <c r="J76" s="7" t="inlineStr">
        <is>
          <t>https://stockanalysis.com/stocks/nbis/transcripts/555850-q1-2026/</t>
        </is>
      </c>
      <c r="K76" s="7" t="inlineStr">
        <is>
          <t>verified</t>
        </is>
      </c>
      <c r="L76" s="7" t="inlineStr">
        <is>
          <t>Filings worker (new)</t>
        </is>
      </c>
    </row>
    <row r="77">
      <c r="A77" s="7" t="inlineStr">
        <is>
          <t>2026-05-13</t>
        </is>
      </c>
      <c r="B77" s="7" t="inlineStr">
        <is>
          <t>Wording/definition</t>
        </is>
      </c>
      <c r="C77" s="7" t="inlineStr">
        <is>
          <t>Metric wording</t>
        </is>
      </c>
      <c r="D77" s="7" t="inlineStr">
        <is>
          <t>Definitions tightened (v2): connected now "fully built and equipped"; active "available for revenue generation"</t>
        </is>
      </c>
      <c r="E77" s="7" t="inlineStr">
        <is>
          <t>Definition / wording change</t>
        </is>
      </c>
      <c r="F77" s="7" t="inlineStr">
        <is>
          <t>(1) contracted power, or power secured by contracted land and power commitments; (2) connected power, or power connected into fully built and equipped data centers; and (3) active power, or power being consumed by installed, oper-ational IT equipment and available for revenue generation.</t>
        </is>
      </c>
      <c r="G77" s="7" t="inlineStr">
        <is>
          <t>Shareholder letter</t>
        </is>
      </c>
      <c r="H77" s="7" t="inlineStr"/>
      <c r="I77" s="7" t="inlineStr">
        <is>
          <t>Q1_26_SHL</t>
        </is>
      </c>
      <c r="J77" s="7" t="inlineStr">
        <is>
          <t>https://www.sec.gov/Archives/edgar/data/1513845/000110465926059872/tm2614392d1_ex99-2.htm</t>
        </is>
      </c>
      <c r="K77" s="7" t="inlineStr">
        <is>
          <t>verified by altdata/verify_quotes.py</t>
        </is>
      </c>
      <c r="L77" s="7" t="inlineStr">
        <is>
          <t>altdata W</t>
        </is>
      </c>
    </row>
    <row r="78">
      <c r="A78" s="7" t="inlineStr">
        <is>
          <t>2026-08-12</t>
        </is>
      </c>
      <c r="B78" s="7" t="inlineStr">
        <is>
          <t>All</t>
        </is>
      </c>
      <c r="C78" s="7" t="inlineStr">
        <is>
          <t>FY2026 ARR / revenue / margin / capex</t>
        </is>
      </c>
      <c r="D78" s="7" t="inlineStr">
        <is>
          <t>$7-9B / $3.0-3.4B / ~40% / $20-25B</t>
        </is>
      </c>
      <c r="E78" s="7" t="inlineStr">
        <is>
          <t>Reiterated (unchanged despite contracted power raise to 5 GW)</t>
        </is>
      </c>
      <c r="F78" s="7" t="inlineStr">
        <is>
          <t>We continue to expect annualized run- rate revenue of $7 billion-$9 billion, group revenue of between $3 billion and $3.4 billion, group adjusted EBITDA margin of approximately 40%, and capital expenditures of $20 billion-$25 billion.</t>
        </is>
      </c>
      <c r="G78" s="7" t="inlineStr">
        <is>
          <t>Earnings call</t>
        </is>
      </c>
      <c r="H78" s="7" t="inlineStr">
        <is>
          <t>call</t>
        </is>
      </c>
      <c r="I78" s="7" t="inlineStr">
        <is>
          <t>CALL_Q2_26</t>
        </is>
      </c>
      <c r="J78" s="7" t="inlineStr">
        <is>
          <t>https://stockanalysis.com/stocks/nbis/transcripts/655490-q2-2026/</t>
        </is>
      </c>
      <c r="K78" s="7" t="inlineStr">
        <is>
          <t>verified</t>
        </is>
      </c>
      <c r="L78" s="7" t="inlineStr">
        <is>
          <t>Filings worker (new)</t>
        </is>
      </c>
    </row>
    <row r="79">
      <c r="A79" s="7" t="inlineStr">
        <is>
          <t>2026-08-12</t>
        </is>
      </c>
      <c r="B79" s="7" t="inlineStr">
        <is>
          <t>MW</t>
        </is>
      </c>
      <c r="C79" s="7" t="inlineStr">
        <is>
          <t>Contracted power YE2026: 5 GW</t>
        </is>
      </c>
      <c r="D79" s="7" t="inlineStr">
        <is>
          <t>5 GW</t>
        </is>
      </c>
      <c r="E79" s="7" t="inlineStr">
        <is>
          <t>Contracted = land + power commitments; ~1% of capex per CEO (Nov-25 call). Cheapest metric to beat.</t>
        </is>
      </c>
      <c r="F79" s="7" t="inlineStr">
        <is>
          <t>We now anticipate ending 2026 with 5 GW of contracted power(5), up from the +4 GW we indicated last quarter.</t>
        </is>
      </c>
      <c r="G79" s="7" t="inlineStr">
        <is>
          <t>Shareholder letter</t>
        </is>
      </c>
      <c r="H79" s="7" t="inlineStr"/>
      <c r="I79" s="7" t="inlineStr">
        <is>
          <t>Q2_26_SHL</t>
        </is>
      </c>
      <c r="J79" s="7" t="inlineStr">
        <is>
          <t>https://www.sec.gov/Archives/edgar/data/1513845/000110465926094568/tm2622968d1_ex99-2.htm</t>
        </is>
      </c>
      <c r="K79" s="7" t="inlineStr">
        <is>
          <t>verified by altdata/verify_quotes.py</t>
        </is>
      </c>
      <c r="L79" s="7" t="inlineStr">
        <is>
          <t>altdata G MW-12</t>
        </is>
      </c>
    </row>
    <row r="80">
      <c r="A80" s="7" t="inlineStr">
        <is>
          <t>2026-08-12</t>
        </is>
      </c>
      <c r="B80" s="7" t="inlineStr">
        <is>
          <t>MW</t>
        </is>
      </c>
      <c r="C80" s="7" t="inlineStr">
        <is>
          <t>&gt;1 GW/yr new capacity from 2027</t>
        </is>
      </c>
      <c r="D80" s="7" t="inlineStr">
        <is>
          <t>&gt;1 GW deployed in 2027</t>
        </is>
      </c>
      <c r="E80" s="7" t="inlineStr"/>
      <c r="F80" s="7" t="inlineStr">
        <is>
          <t>The pace in which we bring capacity to market will accelerate as we plan to deploy more than 1 GW per year — and we plan to do so starting in 2027.</t>
        </is>
      </c>
      <c r="G80" s="7" t="inlineStr">
        <is>
          <t>Shareholder letter</t>
        </is>
      </c>
      <c r="H80" s="7" t="inlineStr"/>
      <c r="I80" s="7" t="inlineStr">
        <is>
          <t>Q2_26_SHL</t>
        </is>
      </c>
      <c r="J80" s="7" t="inlineStr">
        <is>
          <t>https://www.sec.gov/Archives/edgar/data/1513845/000110465926094568/tm2622968d1_ex99-2.htm</t>
        </is>
      </c>
      <c r="K80" s="7" t="inlineStr">
        <is>
          <t>verified by altdata/verify_quotes.py</t>
        </is>
      </c>
      <c r="L80" s="7" t="inlineStr">
        <is>
          <t>altdata G MW-14</t>
        </is>
      </c>
    </row>
    <row r="81">
      <c r="A81" s="7" t="inlineStr">
        <is>
          <t>2026-08-12</t>
        </is>
      </c>
      <c r="B81" s="7" t="inlineStr">
        <is>
          <t>MW</t>
        </is>
      </c>
      <c r="C81" s="7" t="inlineStr">
        <is>
          <t>Connected power YE2026 (800MW-1GW) vs active</t>
        </is>
      </c>
      <c r="D81" s="7" t="inlineStr">
        <is>
          <t>800MW-1GW connected by YE26 (reaffirmed); active "throughout the first half of 2027"; connected-to-revenue lag "a few months"</t>
        </is>
      </c>
      <c r="E81" s="7" t="inlineStr">
        <is>
          <t>restated orally, dropped from letter. Not in Q2-26 shareholder letter or PR (no "800"/"connected" in tm2622968d1_ex99-1/-2); restated by Korolenko (Chief Infrastructure &amp; Product Officer) only in answer to Cantor Q. Note: "a few months" is the lag from connected power (data centers) to revenue, per transcript wording</t>
        </is>
      </c>
      <c r="F81" s="7" t="inlineStr">
        <is>
          <t>Yes, we still -- well, we still expect to meet this guidance from 800 megawatts to 1 gigawatt of connected power this year. ... You have to commission the data center, build the network, build the clusters, deploy the platform, then onboarding the customers, and then the revenue generation starts. So that takes a few months. ... And in terms of our guidance from 800 megawatts to 1 gigawatt, yes, that's more -- that's true about the connected, but I would think that about being active in -- throughout the first half of 2027.</t>
        </is>
      </c>
      <c r="G81" s="7" t="inlineStr">
        <is>
          <t>Earnings call</t>
        </is>
      </c>
      <c r="H81" s="7" t="inlineStr">
        <is>
          <t>call (Andrey Korolenko; Motley Fool transcript, 3rd party)</t>
        </is>
      </c>
      <c r="I81" s="7" t="inlineStr">
        <is>
          <t>FOOL_Q2_26</t>
        </is>
      </c>
      <c r="J81" s="7" t="inlineStr">
        <is>
          <t>https://www.fool.com/earnings/call-transcripts/2026/08/19/nebius-nbis-q2-2026-earnings-call-transcript/</t>
        </is>
      </c>
      <c r="K81" s="7" t="inlineStr">
        <is>
          <t>verified</t>
        </is>
      </c>
      <c r="L81" s="7" t="inlineStr">
        <is>
          <t>Filings worker (new)</t>
        </is>
      </c>
    </row>
    <row r="82">
      <c r="A82" s="7" t="inlineStr">
        <is>
          <t>2026-08-12</t>
        </is>
      </c>
      <c r="B82" s="7" t="inlineStr">
        <is>
          <t>Prepayments</t>
        </is>
      </c>
      <c r="C82" s="7" t="inlineStr">
        <is>
          <t>Customer prepayments 2026</t>
        </is>
      </c>
      <c r="D82" s="7" t="inlineStr">
        <is>
          <t>&gt;$9B</t>
        </is>
      </c>
      <c r="E82" s="7" t="inlineStr">
        <is>
          <t>Reaffirmed on call</t>
        </is>
      </c>
      <c r="F82" s="7" t="inlineStr">
        <is>
          <t>In total, customers' prepayments will bring in more than $9 billion of up-front funding this year, directly reducing the capital we need from debt and equity.</t>
        </is>
      </c>
      <c r="G82" s="7" t="inlineStr">
        <is>
          <t>Earnings call</t>
        </is>
      </c>
      <c r="H82" s="7" t="inlineStr">
        <is>
          <t>call</t>
        </is>
      </c>
      <c r="I82" s="7" t="inlineStr">
        <is>
          <t>CALL_Q2_26</t>
        </is>
      </c>
      <c r="J82" s="7" t="inlineStr">
        <is>
          <t>https://stockanalysis.com/stocks/nbis/transcripts/655490-q2-2026/</t>
        </is>
      </c>
      <c r="K82" s="7" t="inlineStr">
        <is>
          <t>verified</t>
        </is>
      </c>
      <c r="L82" s="7" t="inlineStr">
        <is>
          <t>Filings worker (new)</t>
        </is>
      </c>
    </row>
    <row r="83">
      <c r="A83" s="7" t="inlineStr">
        <is>
          <t>2026-08-12</t>
        </is>
      </c>
      <c r="B83" s="7" t="inlineStr">
        <is>
          <t>Pricing</t>
        </is>
      </c>
      <c r="C83" s="7" t="inlineStr">
        <is>
          <t>New deal economics</t>
        </is>
      </c>
      <c r="D83" s="7" t="inlineStr">
        <is>
          <t>&gt;$20M revenue/MW; &lt;2-yr payback</t>
        </is>
      </c>
      <c r="E83" s="7" t="inlineStr">
        <is>
          <t>NEW unit-economics disclosure (replaces any GPU-hour pricing)</t>
        </is>
      </c>
      <c r="F83" s="7" t="inlineStr">
        <is>
          <t>You should expect the deals we closed in this quarter with more than $20 million per megawatt deals and less than two-year payback period to start coming online from late Q4 and onwards.</t>
        </is>
      </c>
      <c r="G83" s="7" t="inlineStr">
        <is>
          <t>Earnings call</t>
        </is>
      </c>
      <c r="H83" s="7" t="inlineStr">
        <is>
          <t>call</t>
        </is>
      </c>
      <c r="I83" s="7" t="inlineStr">
        <is>
          <t>CALL_Q2_26</t>
        </is>
      </c>
      <c r="J83" s="7" t="inlineStr">
        <is>
          <t>https://stockanalysis.com/stocks/nbis/transcripts/655490-q2-2026/</t>
        </is>
      </c>
      <c r="K83" s="7" t="inlineStr">
        <is>
          <t>verified</t>
        </is>
      </c>
      <c r="L83" s="7" t="inlineStr">
        <is>
          <t>Filings worker (new)</t>
        </is>
      </c>
    </row>
    <row r="84">
      <c r="A84" s="7" t="inlineStr">
        <is>
          <t>2026-08-12</t>
        </is>
      </c>
      <c r="B84" s="7" t="inlineStr">
        <is>
          <t>Pricing</t>
        </is>
      </c>
      <c r="C84" s="7" t="inlineStr">
        <is>
          <t>ACV per MW</t>
        </is>
      </c>
      <c r="D84" s="7" t="inlineStr">
        <is>
          <t>$20-25M</t>
        </is>
      </c>
      <c r="E84" s="7" t="inlineStr">
        <is>
          <t>NEW</t>
        </is>
      </c>
      <c r="F84" s="7" t="inlineStr">
        <is>
          <t>annual contract value of $20-25 million per MW</t>
        </is>
      </c>
      <c r="G84" s="7" t="inlineStr">
        <is>
          <t>Shareholder letter</t>
        </is>
      </c>
      <c r="H84" s="7" t="inlineStr">
        <is>
          <t>letter</t>
        </is>
      </c>
      <c r="I84" s="7" t="inlineStr">
        <is>
          <t>Q2_26_SHL</t>
        </is>
      </c>
      <c r="J84" s="7" t="inlineStr">
        <is>
          <t>https://www.sec.gov/Archives/edgar/data/1513845/000110465926094568/tm2622968d1_ex99-2.htm</t>
        </is>
      </c>
      <c r="K84" s="7" t="inlineStr">
        <is>
          <t>verified</t>
        </is>
      </c>
      <c r="L84" s="7" t="inlineStr">
        <is>
          <t>Filings worker (new)</t>
        </is>
      </c>
    </row>
    <row r="85">
      <c r="A85" s="7" t="inlineStr">
        <is>
          <t>2026-08-12</t>
        </is>
      </c>
      <c r="B85" s="7" t="inlineStr">
        <is>
          <t>Revenue</t>
        </is>
      </c>
      <c r="C85" s="7" t="inlineStr">
        <is>
          <t>Customer prepayments 2026</t>
        </is>
      </c>
      <c r="D85" s="7" t="inlineStr">
        <is>
          <t>&gt; $9B</t>
        </is>
      </c>
      <c r="E85" s="7" t="inlineStr">
        <is>
          <t>Needs &gt;$4.6B more in 2H26.</t>
        </is>
      </c>
      <c r="F85" s="7" t="inlineStr">
        <is>
          <t>We expect over $9 billion in customer prepayments in 2026.</t>
        </is>
      </c>
      <c r="G85" s="7" t="inlineStr">
        <is>
          <t>Shareholder letter</t>
        </is>
      </c>
      <c r="H85" s="7" t="inlineStr"/>
      <c r="I85" s="7" t="inlineStr">
        <is>
          <t>Q2_26_SHL</t>
        </is>
      </c>
      <c r="J85" s="7" t="inlineStr">
        <is>
          <t>https://www.sec.gov/Archives/edgar/data/1513845/000110465926094568/tm2622968d1_ex99-2.htm</t>
        </is>
      </c>
      <c r="K85" s="7" t="inlineStr">
        <is>
          <t>verified by altdata/verify_quotes.py</t>
        </is>
      </c>
      <c r="L85" s="7" t="inlineStr">
        <is>
          <t>altdata G PREPAY-1</t>
        </is>
      </c>
    </row>
    <row r="86">
      <c r="A86" s="7" t="inlineStr">
        <is>
          <t>2026-08-12</t>
        </is>
      </c>
      <c r="B86" s="7" t="inlineStr">
        <is>
          <t>Wording/definition</t>
        </is>
      </c>
      <c r="C86" s="7" t="inlineStr">
        <is>
          <t>Metric wording</t>
        </is>
      </c>
      <c r="D86" s="7" t="inlineStr">
        <is>
          <t>Letter drops connected/active entirely; only contracted footnoted; 800MW-1GW guide not restated in letter</t>
        </is>
      </c>
      <c r="E86" s="7" t="inlineStr">
        <is>
          <t>Definition / wording change</t>
        </is>
      </c>
      <c r="F86" s="7" t="inlineStr">
        <is>
          <t>(5) Contracted power, secured by contracted land and power commitments.</t>
        </is>
      </c>
      <c r="G86" s="7" t="inlineStr">
        <is>
          <t>Shareholder letter</t>
        </is>
      </c>
      <c r="H86" s="7" t="inlineStr"/>
      <c r="I86" s="7" t="inlineStr">
        <is>
          <t>Q2_26_SHL</t>
        </is>
      </c>
      <c r="J86" s="7" t="inlineStr">
        <is>
          <t>https://www.sec.gov/Archives/edgar/data/1513845/000110465926094568/tm2622968d1_ex99-2.htm</t>
        </is>
      </c>
      <c r="K86" s="7" t="inlineStr">
        <is>
          <t>verified by altdata/verify_quotes.py</t>
        </is>
      </c>
      <c r="L86" s="7" t="inlineStr">
        <is>
          <t>altdata W</t>
        </is>
      </c>
    </row>
    <row r="87">
      <c r="A87" s="7" t="inlineStr">
        <is>
          <t>2026-08-12</t>
        </is>
      </c>
      <c r="B87" s="7" t="inlineStr">
        <is>
          <t>Wording/definition</t>
        </is>
      </c>
      <c r="C87" s="7" t="inlineStr">
        <is>
          <t>Metric wording</t>
        </is>
      </c>
      <c r="D87" s="7" t="inlineStr">
        <is>
          <t>Restated orally, dropped from letter: connected reaffirmed only under analyst Q; active pushed to 1H27</t>
        </is>
      </c>
      <c r="E87" s="7" t="inlineStr">
        <is>
          <t>Definition / wording change</t>
        </is>
      </c>
      <c r="F87" s="7" t="inlineStr">
        <is>
          <t>And in terms of our guidance from 800 megawatts to 1 gigawatt, yes, that's more -- that's true about the connected, but I would think that about being active in -- throughout the first half of 2027.</t>
        </is>
      </c>
      <c r="G87" s="7" t="inlineStr">
        <is>
          <t>Earnings call</t>
        </is>
      </c>
      <c r="H87" s="7" t="inlineStr"/>
      <c r="I87" s="7" t="inlineStr">
        <is>
          <t>FOOL_Q2_26</t>
        </is>
      </c>
      <c r="J87" s="7" t="inlineStr">
        <is>
          <t>https://www.fool.com/earnings/call-transcripts/2026/08/19/nebius-nbis-q2-2026-earnings-call-transcript/</t>
        </is>
      </c>
      <c r="K87" s="7" t="inlineStr">
        <is>
          <t>verified by altdata/verify_quotes.py</t>
        </is>
      </c>
      <c r="L87" s="7" t="inlineStr">
        <is>
          <t>altdata W</t>
        </is>
      </c>
    </row>
    <row r="88">
      <c r="A88" s="7" t="n"/>
      <c r="B88" s="7" t="n"/>
      <c r="C88" s="7" t="n"/>
      <c r="D88" s="7" t="n"/>
      <c r="E88" s="7" t="n"/>
      <c r="F88" s="7" t="n"/>
      <c r="G88" s="7" t="n"/>
      <c r="H88" s="7" t="n"/>
      <c r="I88" s="7" t="n"/>
      <c r="J88" s="7" t="n"/>
      <c r="K88" s="7" t="n"/>
      <c r="L88" s="7" t="n"/>
    </row>
    <row r="89">
      <c r="A89" s="18" t="inlineStr">
        <is>
          <t>What they stopped disclosing or never disclosed</t>
        </is>
      </c>
      <c r="B89" s="7" t="n"/>
      <c r="C89" s="7" t="n"/>
      <c r="D89" s="7" t="n"/>
      <c r="E89" s="7" t="n"/>
      <c r="F89" s="7" t="n"/>
      <c r="G89" s="7" t="n"/>
      <c r="H89" s="7" t="n"/>
      <c r="I89" s="7" t="n"/>
      <c r="J89" s="7" t="n"/>
      <c r="K89" s="7" t="n"/>
      <c r="L89" s="7" t="n"/>
    </row>
    <row r="90">
      <c r="A90" s="6" t="inlineStr">
        <is>
          <t>Item</t>
        </is>
      </c>
      <c r="B90" s="6" t="inlineStr">
        <is>
          <t>Status</t>
        </is>
      </c>
      <c r="C90" s="6" t="inlineStr">
        <is>
          <t>Last disclosed figure (date)</t>
        </is>
      </c>
      <c r="D90" s="6" t="inlineStr">
        <is>
          <t>Evidence / exact wording</t>
        </is>
      </c>
      <c r="E90" s="6" t="inlineStr"/>
      <c r="F90" s="6" t="inlineStr"/>
      <c r="G90" s="6" t="inlineStr"/>
      <c r="H90" s="6" t="inlineStr"/>
      <c r="I90" s="6" t="inlineStr">
        <is>
          <t>Source key</t>
        </is>
      </c>
      <c r="J90" s="6" t="inlineStr">
        <is>
          <t>Source URL</t>
        </is>
      </c>
      <c r="K90" s="6" t="inlineStr"/>
      <c r="L90" s="6" t="inlineStr"/>
    </row>
    <row r="91">
      <c r="A91" s="7" t="inlineStr">
        <is>
          <t>Utilization %</t>
        </is>
      </c>
      <c r="B91" s="7" t="inlineStr">
        <is>
          <t>NEVER disclosed (qualitative only)</t>
        </is>
      </c>
      <c r="C91" s="7" t="inlineStr">
        <is>
          <t>none - "peak utilization", "sold out" (Q4-25 letter; Q1-26 call)</t>
        </is>
      </c>
      <c r="D91" s="7" t="inlineStr">
        <is>
          <t>Q3-24 PR footnote: revenue potential "Based on assumed utilization and pricing as per the company's medium-term financial plan"; Q4-25 letter: "We operated at peak utilization during the quarter and were sold out of capacity in Q4"</t>
        </is>
      </c>
      <c r="E91" s="7" t="inlineStr"/>
      <c r="F91" s="7" t="inlineStr"/>
      <c r="G91" s="7" t="inlineStr"/>
      <c r="H91" s="7" t="inlineStr"/>
      <c r="I91" s="7" t="inlineStr">
        <is>
          <t>Q4_25_SHL</t>
        </is>
      </c>
      <c r="J91" s="7" t="inlineStr">
        <is>
          <t>https://www.sec.gov/Archives/edgar/data/1513845/000110465926013946/tm266173d1_ex99-2.htm</t>
        </is>
      </c>
      <c r="K91" s="7" t="inlineStr"/>
      <c r="L91" s="7" t="inlineStr"/>
    </row>
    <row r="92">
      <c r="A92" s="7" t="inlineStr">
        <is>
          <t>GPU pricing ($/GPU-hour)</t>
        </is>
      </c>
      <c r="B92" s="7" t="inlineStr">
        <is>
          <t>NEVER disclosed; replaced by $/MW revenue metrics in Q2-26</t>
        </is>
      </c>
      <c r="C92" s="7" t="inlineStr">
        <is>
          <t>n/a; Q2-26: $12M/MW 2026 base, &gt;$20M/MW Q2 deals, &gt;$40M short-term deals, ACV $20-25M/MW</t>
        </is>
      </c>
      <c r="D92" s="7" t="inlineStr">
        <is>
          <t>Q2-26 letter: "annual contract value of $20-25 million per MW"</t>
        </is>
      </c>
      <c r="E92" s="7" t="inlineStr"/>
      <c r="F92" s="7" t="inlineStr"/>
      <c r="G92" s="7" t="inlineStr"/>
      <c r="H92" s="7" t="inlineStr"/>
      <c r="I92" s="7" t="inlineStr">
        <is>
          <t>Q2_26_SHL</t>
        </is>
      </c>
      <c r="J92" s="7" t="inlineStr">
        <is>
          <t>https://www.sec.gov/Archives/edgar/data/1513845/000110465926094568/tm2622968d1_ex99-2.htm</t>
        </is>
      </c>
      <c r="K92" s="7" t="inlineStr"/>
      <c r="L92" s="7" t="inlineStr"/>
    </row>
    <row r="93">
      <c r="A93" s="7" t="inlineStr">
        <is>
          <t>GPU counts (installed / deployed)</t>
        </is>
      </c>
      <c r="B93" s="7" t="inlineStr">
        <is>
          <t>STOPPED after early 2025</t>
        </is>
      </c>
      <c r="C93" s="7" t="inlineStr">
        <is>
          <t>"&gt;20,000 GPUs" by YE24 target (Oct-24 call); "&gt;22,000 NVIDIA Blackwell GPUs" plan (Dec-24/Feb-25 PR); "tens of thousands" (Feb-25 call); ~30,000 deployed at 31-Mar-2025 (FY24 20-F, last actual count)</t>
        </is>
      </c>
      <c r="D93" s="7" t="inlineStr">
        <is>
          <t>No installed-GPU count after the FY24 20-F (as of 31-Mar-2025: ~30,000 GPUs, primarily H200) in any 2025-26 letter, 20-F or interim FS reviewed; Oct-24 presentation measured capacity "In Nvidia H100 equivalent"</t>
        </is>
      </c>
      <c r="E93" s="7" t="inlineStr"/>
      <c r="F93" s="7" t="inlineStr"/>
      <c r="G93" s="7" t="inlineStr"/>
      <c r="H93" s="7" t="inlineStr"/>
      <c r="I93" s="7" t="inlineStr">
        <is>
          <t>Q4_24_PR</t>
        </is>
      </c>
      <c r="J93" s="7" t="inlineStr">
        <is>
          <t>https://www.sec.gov/Archives/edgar/data/1513845/000110465925015480/tm257185d1_ex99-1.htm</t>
        </is>
      </c>
      <c r="K93" s="7" t="inlineStr"/>
      <c r="L93" s="7" t="inlineStr"/>
    </row>
    <row r="94">
      <c r="A94" s="7" t="inlineStr">
        <is>
          <t>Active MW</t>
        </is>
      </c>
      <c r="B94" s="7" t="inlineStr">
        <is>
          <t>STOPPED after YE25</t>
        </is>
      </c>
      <c r="C94" s="7" t="inlineStr">
        <is>
          <t>~170 MW active at 31-Dec-2025 (Q4-25 letter)</t>
        </is>
      </c>
      <c r="D94" s="7" t="inlineStr">
        <is>
          <t>Q1-26 letter re-defines active power ("power being consumed by installed, operational IT equipment and available for revenue generation") but gives no figure; Q2-26 letter none; Q2-26 call pushes "active" of the 800MW-1GW into 1H27</t>
        </is>
      </c>
      <c r="E94" s="7" t="inlineStr"/>
      <c r="F94" s="7" t="inlineStr"/>
      <c r="G94" s="7" t="inlineStr"/>
      <c r="H94" s="7" t="inlineStr"/>
      <c r="I94" s="7" t="inlineStr">
        <is>
          <t>Q1_26_SHL</t>
        </is>
      </c>
      <c r="J94" s="7" t="inlineStr">
        <is>
          <t>https://www.sec.gov/Archives/edgar/data/1513845/000110465926059872/tm2614392d1_ex99-2.htm</t>
        </is>
      </c>
      <c r="K94" s="7" t="inlineStr"/>
      <c r="L94" s="7" t="inlineStr"/>
    </row>
    <row r="95">
      <c r="A95" s="7" t="inlineStr">
        <is>
          <t>Connected MW actual</t>
        </is>
      </c>
      <c r="B95" s="7" t="inlineStr">
        <is>
          <t>Target given; YE25 actual not stated</t>
        </is>
      </c>
      <c r="C95" s="7" t="inlineStr">
        <is>
          <t>45 MW connected at 31-Mar-2025 (FY24 20-F); 220 MW YE25 target (Aug-25)</t>
        </is>
      </c>
      <c r="D95" s="7" t="inlineStr">
        <is>
          <t>Q4-25 letter reports ~170 MW active vs 100 MW target but no YE25 connected figure vs the 220 MW target</t>
        </is>
      </c>
      <c r="E95" s="7" t="inlineStr"/>
      <c r="F95" s="7" t="inlineStr"/>
      <c r="G95" s="7" t="inlineStr"/>
      <c r="H95" s="7" t="inlineStr"/>
      <c r="I95" s="7" t="inlineStr">
        <is>
          <t>FY24_20F</t>
        </is>
      </c>
      <c r="J95" s="7" t="inlineStr">
        <is>
          <t>https://www.sec.gov/Archives/edgar/data/1513845/000155837025005991/nbis-20241231x20f.htm</t>
        </is>
      </c>
      <c r="K95" s="7" t="inlineStr"/>
      <c r="L95" s="7" t="inlineStr"/>
    </row>
    <row r="96">
      <c r="A96" s="7" t="inlineStr">
        <is>
          <t>Customer names / mix</t>
        </is>
      </c>
      <c r="B96" s="7" t="inlineStr">
        <is>
          <t>Only contract-level 6-Ks (Microsoft, Meta); mix anonymized</t>
        </is>
      </c>
      <c r="C96" s="7" t="inlineStr">
        <is>
          <t>Customer A-E % of revenue (Q2-26: C 24%, D 21%, E 14%); "&gt;40 managed clients" (Q3-24 PR) - last customer count</t>
        </is>
      </c>
      <c r="D96" s="7" t="inlineStr">
        <is>
          <t>No customer count or industry mix since 2024; &gt;10% customers unnamed in FS notes</t>
        </is>
      </c>
      <c r="E96" s="7" t="inlineStr"/>
      <c r="F96" s="7" t="inlineStr"/>
      <c r="G96" s="7" t="inlineStr"/>
      <c r="H96" s="7" t="inlineStr"/>
      <c r="I96" s="7" t="inlineStr">
        <is>
          <t>Q2_26_FS</t>
        </is>
      </c>
      <c r="J96" s="7" t="inlineStr">
        <is>
          <t>https://www.sec.gov/Archives/edgar/data/1513845/000110465926094844/nbis-20260812xex99d2.htm</t>
        </is>
      </c>
      <c r="K96" s="7" t="inlineStr"/>
      <c r="L96" s="7" t="inlineStr"/>
    </row>
    <row r="97">
      <c r="A97" s="7" t="inlineStr">
        <is>
          <t>Useful life rationale</t>
        </is>
      </c>
      <c r="B97" s="7" t="inlineStr">
        <is>
          <t>Thin</t>
        </is>
      </c>
      <c r="C97" s="7" t="inlineStr">
        <is>
          <t>4 yrs through FY25 ("conservative depreciation schedule of four years", Q1-25 letter); 5 yrs from 1-Jan-2026</t>
        </is>
      </c>
      <c r="D97" s="7" t="inlineStr">
        <is>
          <t>Only rationale: "based on usage patterns and current utilization commitments" (Q2-26 letter p.10). No retirement / re-lease / residual-value data. Medium-term 20-30% EBIT target was first framed on 4-yr depreciation, then reaffirmed in Feb-26 without that caveat</t>
        </is>
      </c>
      <c r="E97" s="7" t="inlineStr"/>
      <c r="F97" s="7" t="inlineStr"/>
      <c r="G97" s="7" t="inlineStr"/>
      <c r="H97" s="7" t="inlineStr"/>
      <c r="I97" s="7" t="inlineStr">
        <is>
          <t>Q2_26_SHL</t>
        </is>
      </c>
      <c r="J97" s="7" t="inlineStr">
        <is>
          <t>https://www.sec.gov/Archives/edgar/data/1513845/000110465926094568/tm2622968d1_ex99-2.htm</t>
        </is>
      </c>
      <c r="K97" s="7" t="inlineStr"/>
      <c r="L97" s="7" t="inlineStr"/>
    </row>
    <row r="98">
      <c r="A98" s="7" t="inlineStr">
        <is>
          <t>Capex guidance in filings</t>
        </is>
      </c>
      <c r="B98" s="7" t="inlineStr">
        <is>
          <t>Call-only</t>
        </is>
      </c>
      <c r="C98" s="7" t="inlineStr">
        <is>
          <t>FY26 $20-25B (Q1-26 call, reiterated Q2-26 call)</t>
        </is>
      </c>
      <c r="D98" s="7" t="inlineStr">
        <is>
          <t>Capex guidance not in the 2026 shareholder letters or 6-K PR text reviewed; only on calls</t>
        </is>
      </c>
      <c r="E98" s="7" t="inlineStr"/>
      <c r="F98" s="7" t="inlineStr"/>
      <c r="G98" s="7" t="inlineStr"/>
      <c r="H98" s="7" t="inlineStr"/>
      <c r="I98" s="7" t="inlineStr">
        <is>
          <t>CALL_Q2_26</t>
        </is>
      </c>
      <c r="J98" s="7" t="inlineStr">
        <is>
          <t>https://stockanalysis.com/stocks/nbis/transcripts/655490-q2-2026/</t>
        </is>
      </c>
      <c r="K98" s="7" t="inlineStr"/>
      <c r="L98" s="7" t="inlineStr"/>
    </row>
    <row r="99">
      <c r="A99" s="7" t="inlineStr">
        <is>
          <t>Segment guidance (Avride, TripleTen)</t>
        </is>
      </c>
      <c r="B99" s="7" t="inlineStr">
        <is>
          <t>NEVER guided</t>
        </is>
      </c>
      <c r="C99" s="7" t="inlineStr">
        <is>
          <t>n/a</t>
        </is>
      </c>
      <c r="D99" s="7" t="inlineStr">
        <is>
          <t>No revenue/EBITDA guidance for Avride or TripleTen in any letter/call reviewed</t>
        </is>
      </c>
      <c r="E99" s="7" t="inlineStr"/>
      <c r="F99" s="7" t="inlineStr"/>
      <c r="G99" s="7" t="inlineStr"/>
      <c r="H99" s="7" t="inlineStr"/>
      <c r="I99" s="7" t="inlineStr">
        <is>
          <t>Q2_26_SHL</t>
        </is>
      </c>
      <c r="J99" s="7" t="inlineStr">
        <is>
          <t>https://www.sec.gov/Archives/edgar/data/1513845/000110465926094568/tm2622968d1_ex99-2.htm</t>
        </is>
      </c>
      <c r="K99" s="7" t="inlineStr"/>
      <c r="L99" s="7" t="inlineStr"/>
    </row>
    <row r="100">
      <c r="A100" s="7" t="inlineStr">
        <is>
          <t>RPO duration / ARR by contract type</t>
        </is>
      </c>
      <c r="B100" s="7" t="inlineStr">
        <is>
          <t>Partial</t>
        </is>
      </c>
      <c r="C100" s="7" t="inlineStr">
        <is>
          <t>RPO $37.5B (Q2-26); ARR definition = AI cloud month revenue x12</t>
        </is>
      </c>
      <c r="D100" s="7" t="inlineStr">
        <is>
          <t>Split of ARR between long-term contracts (Microsoft/Meta) and on-demand not disclosed</t>
        </is>
      </c>
      <c r="E100" s="7" t="inlineStr"/>
      <c r="F100" s="7" t="inlineStr"/>
      <c r="G100" s="7" t="inlineStr"/>
      <c r="H100" s="7" t="inlineStr"/>
      <c r="I100" s="7" t="inlineStr">
        <is>
          <t>Q2_26_FS</t>
        </is>
      </c>
      <c r="J100" s="7" t="inlineStr">
        <is>
          <t>https://www.sec.gov/Archives/edgar/data/1513845/000110465926094844/nbis-20260812xex99d2.htm</t>
        </is>
      </c>
      <c r="K100" s="7" t="inlineStr"/>
      <c r="L100" s="7" t="inlineStr"/>
    </row>
    <row r="101">
      <c r="A101" s="7" t="inlineStr">
        <is>
          <t>Microsoft/Meta MW or GPU per contract</t>
        </is>
      </c>
      <c r="B101" s="7" t="inlineStr">
        <is>
          <t>NEVER disclosed</t>
        </is>
      </c>
      <c r="C101" s="7" t="inlineStr">
        <is>
          <t>TCV only (MSFT up to $19.4B; Meta $2.9B + $12B + $15B backstop)</t>
        </is>
      </c>
      <c r="D101" s="7" t="inlineStr">
        <is>
          <t>See MW_Disclosures sheet</t>
        </is>
      </c>
      <c r="E101" s="7" t="inlineStr"/>
      <c r="F101" s="7" t="inlineStr"/>
      <c r="G101" s="7" t="inlineStr"/>
      <c r="H101" s="7" t="inlineStr"/>
      <c r="I101" s="7" t="inlineStr">
        <is>
          <t>FY25_20F</t>
        </is>
      </c>
      <c r="J101" s="7" t="inlineStr">
        <is>
          <t>https://www.sec.gov/Archives/edgar/data/1513845/000110465926052948/nbis-20251231x20f.htm</t>
        </is>
      </c>
      <c r="K101" s="7" t="inlineStr"/>
      <c r="L101"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0" customWidth="1" min="1" max="1"/>
    <col width="16" customWidth="1" min="2" max="2"/>
    <col width="60" customWidth="1" min="3" max="3"/>
    <col width="30" customWidth="1" min="4" max="4"/>
    <col width="18" customWidth="1" min="5" max="5"/>
    <col width="16" customWidth="1" min="6" max="6"/>
    <col width="60" customWidth="1" min="7" max="7"/>
    <col width="12" customWidth="1" min="8" max="8"/>
    <col width="22" customWidth="1" min="9" max="9"/>
    <col width="20" customWidth="1" min="10" max="10"/>
    <col width="40" customWidth="1" min="11" max="11"/>
    <col width="60" customWidth="1" min="12" max="12"/>
    <col width="60" customWidth="1" min="13" max="13"/>
  </cols>
  <sheetData>
    <row r="1">
      <c r="A1" s="5" t="inlineStr">
        <is>
          <t>Sum-of-the-parts inputs: non-core businesses &amp; equity stakes ($M). Blue = input (sourced). Filing figures Reported; public-press marks labelled. Estimated values show their method.</t>
        </is>
      </c>
    </row>
    <row r="3">
      <c r="A3" s="6" t="inlineStr">
        <is>
          <t>Asset</t>
        </is>
      </c>
      <c r="B3" s="6" t="inlineStr">
        <is>
          <t>Nebius ownership</t>
        </is>
      </c>
      <c r="C3" s="6" t="inlineStr">
        <is>
          <t>Ownership source / note</t>
        </is>
      </c>
      <c r="D3" s="6" t="inlineStr">
        <is>
          <t>Accounting (6/30/26)</t>
        </is>
      </c>
      <c r="E3" s="6" t="inlineStr">
        <is>
          <t>Carrying value 31-Dec-25</t>
        </is>
      </c>
      <c r="F3" s="6" t="inlineStr">
        <is>
          <t>Carrying value 30-Jun-26</t>
        </is>
      </c>
      <c r="G3" s="6" t="inlineStr">
        <is>
          <t>Latest transaction / mark</t>
        </is>
      </c>
      <c r="H3" s="6" t="inlineStr">
        <is>
          <t>Mark date</t>
        </is>
      </c>
      <c r="I3" s="6" t="inlineStr">
        <is>
          <t>Implied 100% equity value</t>
        </is>
      </c>
      <c r="J3" s="6" t="inlineStr">
        <is>
          <t>Implied Nebius share (Estimated)</t>
        </is>
      </c>
      <c r="K3" s="6" t="inlineStr">
        <is>
          <t>Tag</t>
        </is>
      </c>
      <c r="L3" s="6" t="inlineStr">
        <is>
          <t>Filing sources</t>
        </is>
      </c>
      <c r="M3" s="6" t="inlineStr">
        <is>
          <t>Public / third-party sources</t>
        </is>
      </c>
    </row>
    <row r="4">
      <c r="A4" s="7" t="inlineStr">
        <is>
          <t>ClickHouse Inc. (minority stake; spun off Sep-2021)</t>
        </is>
      </c>
      <c r="B4" s="19" t="n">
        <v>0.28</v>
      </c>
      <c r="C4" s="7" t="inlineStr">
        <is>
          <t>"Approximately 28% stake on a fully diluted basis, upon exercise of penny warrants" (Oct-24 investor presentation); "We hold a 28% ownership stake" (FY24 20-F p.37). FY25 20-F and 2026 letters only say "significant minority stake" (% no longer disclosed). Plus pre-funded Series C warrants bought for $50.0M (May-2025). Dilution from Series C/D/extension not disclosed -&gt; 28% is a STALE upper bound.</t>
        </is>
      </c>
      <c r="D4" s="7" t="inlineStr">
        <is>
          <t>ASC 321 measurement alternative (no significant influence since 2022); remeasured on observable rounds</t>
        </is>
      </c>
      <c r="E4" s="20" t="n">
        <v>737.1</v>
      </c>
      <c r="F4" s="20" t="n">
        <v>1517.7</v>
      </c>
      <c r="G4" s="7" t="inlineStr">
        <is>
          <t>Series D: $400M at ~$15B (Jan-2026; extended Sep-2026, same round). Prior: Series C ~$6.35B (May-2025); Series B $2B (Oct-2021). NBIS fair-value inputs: $159.59/share Series D price, 57.5% vol, 2-yr liquidity, 22.5% DLOM (Q2FS); Series C $72.50/share (FY25 20-F).</t>
        </is>
      </c>
      <c r="H4" s="7" t="inlineStr">
        <is>
          <t>2026-01-16</t>
        </is>
      </c>
      <c r="I4" s="20" t="n">
        <v>15000</v>
      </c>
      <c r="J4" s="21">
        <f>B4*I4</f>
        <v/>
      </c>
      <c r="K4" s="7" t="inlineStr">
        <is>
          <t>Carrying: Reported. Valuation: Reported in 20-F ("valuation of approximately $15 billion"). Nebius share: Estimated = stale 28% x $15B headline (upper bound, before dilution, liquidation preferences and DLOM)</t>
        </is>
      </c>
      <c r="L4" s="7" t="inlineStr">
        <is>
          <t>20-F 2026-04-30 acc 0001104659-26-052948 nbis-20251231x20f.htm p.52 (Item 5) &amp; subsequent events note | https://www.sec.gov/Archives/edgar/data/1513845/000110465926052948/nbis-20251231x20f.htm ; 6-K 2026-08-12 acc 0001104659-26-094844 nbis-20260812xex99d2.htm Note 5 p.F-20/21; Note 6 p.F-23 | https://www.sec.gov/Archives/edgar/data/1513845/000110465926094844/nbis-20260812xex99d2.htm ; 20-F 2025-04-30 acc 0001558370-25-005991 nbis-20241231x20f.htm p.37 | https://www.sec.gov/Archives/edgar/data/1513845/000155837025005991/nbis-20241231x20f.htm ; 6-K 2024-10-18 acc 0001104659-24-109850 tm2426436d1_ex99-1.htm p.4 footnote | https://www.sec.gov/Archives/edgar/data/1513845/000110465924109850/tm2426436d1_ex99-1.htm</t>
        </is>
      </c>
      <c r="M4" s="7" t="inlineStr">
        <is>
          <t>Reuters 2026-01-16 "ClickHouse valued at $15 billion" https://www.reuters.com/technology/database-management-firm-clickhouse-valued-15-billion-amid-ai-boom-2026-01-16/ ; ClickHouse blog 2026-01-16 https://clickhouse.com/blog/clickhouse-raises-400-million-series-d-acquires-langfuse-launches-postgres ; TechCrunch 2026-01-16 ("up from its $6.35 billion valuation last May") https://techcrunch.com/2026/01/16/snowflake-databricks-challenger-clickhouse-hits-15b-valuation/ ; ClickHouse blog 2026-09-22 (Series D "extended to include" JPM Private Capital, BDT &amp; MSD, Craft, 20VC; Scarpelli to board) https://clickhouse.com/blog/clickhouse-appoints-mike-scarpelli-to-board-of-directors ; TechCrunch 2026-05-27 (ARR &gt;$250M; IPO "within the next few years") https://techcrunch.com/2026/05/27/clickhouse-triples-annualized-revenue-to-250m-charting-a-path-toward-an-ipo/</t>
        </is>
      </c>
    </row>
    <row r="5">
      <c r="A5" s="7" t="inlineStr">
        <is>
          <t>Toloka Group, Inc. (deconsolidated 2-May-2025)</t>
        </is>
      </c>
      <c r="B5" s="19" t="n">
        <v>0.8100000000000001</v>
      </c>
      <c r="C5" s="7" t="inlineStr">
        <is>
          <t>"The Group holds 81% of the economic interest and 49% of the voting interest in Toloka on an outstanding basis" (FY25 20-F Note 5)</t>
        </is>
      </c>
      <c r="D5" s="7" t="inlineStr">
        <is>
          <t>Common: equity method (carrying reduced to nil by losses at 6/30/26); preferred: ASC 321 measurement alternative</t>
        </is>
      </c>
      <c r="E5" s="21" t="inlineStr">
        <is>
          <t>101.7 (common 4.7 + preferred 97.0)</t>
        </is>
      </c>
      <c r="F5" s="20" t="n">
        <v>86.5</v>
      </c>
      <c r="G5" s="7" t="inlineStr">
        <is>
          <t>Bezos Expeditions-led round (with Mikhail Parakhin), May-2025: $72M per Reuters (amount not given in Nebius 6-K). Retained stake remeasured to $130.6M fair value at deconsolidation (common 33.6 + preferred 97.0; OPM, 80% vol, 24% WACC).</t>
        </is>
      </c>
      <c r="H5" s="7" t="inlineStr">
        <is>
          <t>2025-05-07</t>
        </is>
      </c>
      <c r="I5" s="21">
        <f>130.6/B5</f>
        <v/>
      </c>
      <c r="J5" s="21">
        <f>130.6</f>
        <v/>
      </c>
      <c r="K5" s="7" t="inlineStr">
        <is>
          <t>Reported (FV 130.6, carrying 86.5); implied 100% value Derived = 130.6 / 81% (rough; OPM-allocated, not a headline post-money)</t>
        </is>
      </c>
      <c r="L5" s="7" t="inlineStr">
        <is>
          <t>20-F 2026-04-30 acc 0001104659-26-052948 nbis-20251231x20f.htm Note 3; Note 5 p.F-35/37; Note 6 p.F-37 | https://www.sec.gov/Archives/edgar/data/1513845/000110465926052948/nbis-20251231x20f.htm ; 6-K 2026-08-12 acc 0001104659-26-094844 nbis-20260812xex99d2.htm Note 5 p.F-20/21 | https://www.sec.gov/Archives/edgar/data/1513845/000110465926094844/nbis-20260812xex99d2.htm ; 6-K 2025-05-07 acc 0001104659-25-045373 tm2514304d1_ex99-1.htm | https://www.sec.gov/Archives/edgar/data/1513845/000110465925045373/tm2514304d1_ex99-1.htm</t>
        </is>
      </c>
      <c r="M5" s="7" t="inlineStr">
        <is>
          <t>Reuters 2025-05-07 ("Bezos Expeditions is leading a $72-million investment") https://www.reuters.com/business/amazons-bezos-leads-new-investment-ai-data-company-toloka-2025-05-07/</t>
        </is>
      </c>
    </row>
    <row r="6">
      <c r="A6" s="7" t="inlineStr">
        <is>
          <t>Avride (autonomous vehicles &amp; delivery robots; Avride Holding Inc.)</t>
        </is>
      </c>
      <c r="B6" s="7" t="inlineStr">
        <is>
          <t>consolidated subsidiary; ~100% of common before SAFE conversion &amp; Avride ESOP (exact % not disclosed)</t>
        </is>
      </c>
      <c r="C6" s="7" t="inlineStr">
        <is>
          <t>Avride ESOP authorizes up to 7,926,674 Avride Holding shares (total share count not disclosed). SAFEs to SMB Holding Corporation: $100.0M (Oct-2025) + $75.0M Milestone SAFE (Jun-2026); convert at 80% of next qualifying round price. NBIS filings do not state SMB's affiliation.</t>
        </is>
      </c>
      <c r="D6" s="7" t="inlineStr">
        <is>
          <t>Consolidated segment; SAFE liabilities at fair value (Level 3)</t>
        </is>
      </c>
      <c r="E6" s="7" t="inlineStr">
        <is>
          <t>not separately disclosed (consolidated)</t>
        </is>
      </c>
      <c r="F6" s="7" t="inlineStr">
        <is>
          <t>not separately disclosed (consolidated)</t>
        </is>
      </c>
      <c r="G6" s="7" t="inlineStr">
        <is>
          <t>Oct-2025: "strategic investments and other commitments of up to $375 million" from Uber and Nebius (split not disclosed). SAFE liabilities FV 6/30/26: $101.8M + $76.3M = $178.1M (claims senior to Nebius common in Avride). Hyundai (Mar-2025): development/fleet partnership, no investment disclosed. No priced round / valuation disclosed by Nebius.</t>
        </is>
      </c>
      <c r="H6" s="7" t="inlineStr">
        <is>
          <t>2025-10-22</t>
        </is>
      </c>
      <c r="I6" s="7" t="inlineStr">
        <is>
          <t>not disclosed (Caplight third-party estimate ~$2.75B - not a transaction price, low confidence)</t>
        </is>
      </c>
      <c r="J6" s="7" t="inlineStr">
        <is>
          <t>not disclosed</t>
        </is>
      </c>
      <c r="K6" s="7" t="inlineStr">
        <is>
          <t>Reported (transaction terms); valuation not disclosed</t>
        </is>
      </c>
      <c r="L6" s="7" t="inlineStr">
        <is>
          <t>6-K 2025-10-22 acc 0001104659-25-101520 tm2529289d1_ex99-1.htm | https://www.sec.gov/Archives/edgar/data/1513845/000110465925101520/tm2529289d1_ex99-1.htm ; 20-F 2026-04-30 acc 0001104659-26-052948 nbis-20251231x20f.htm p.13 risk factor (Uber up to $375M), p.41 (Hyundai), other accrued liabilities note | https://www.sec.gov/Archives/edgar/data/1513845/000110465926052948/nbis-20251231x20f.htm ; 6-K 2026-08-12 acc 0001104659-26-094844 nbis-20260812xex99d2.htm Note 6 p.F-22; Note 15 segments | https://www.sec.gov/Archives/edgar/data/1513845/000110465926094844/nbis-20260812xex99d2.htm</t>
        </is>
      </c>
      <c r="M6" s="7" t="inlineStr">
        <is>
          <t>Caplight (third-party estimate, not a transaction price) https://www.caplight.com/company/avride ; Reuters 2025-03-05 (Hyundai partnership; no investment disclosed) https://www.reuters.com/business/autos-transportation/self-driving-technology-startup-avride-partners-with-hyundai-expand-robotaxi-2025-03-05/</t>
        </is>
      </c>
    </row>
    <row r="7">
      <c r="A7" s="7" t="inlineStr">
        <is>
          <t>TripleTen (edtech)</t>
        </is>
      </c>
      <c r="B7" s="7" t="inlineStr">
        <is>
          <t>100% (consolidated subsidiary)</t>
        </is>
      </c>
      <c r="C7" s="7" t="inlineStr">
        <is>
          <t>Wholly owned; no external investors disclosed</t>
        </is>
      </c>
      <c r="D7" s="7" t="inlineStr">
        <is>
          <t>Consolidated segment</t>
        </is>
      </c>
      <c r="E7" s="7" t="inlineStr">
        <is>
          <t>not separately disclosed (consolidated)</t>
        </is>
      </c>
      <c r="F7" s="7" t="inlineStr">
        <is>
          <t>not separately disclosed (consolidated)</t>
        </is>
      </c>
      <c r="G7" s="7" t="inlineStr">
        <is>
          <t>No transaction or valuation ever disclosed. Third-party blog estimates ($320M-$800M) exist but are not company data and are not used.</t>
        </is>
      </c>
      <c r="H7" s="7" t="inlineStr">
        <is>
          <t>n/a</t>
        </is>
      </c>
      <c r="I7" s="7" t="inlineStr">
        <is>
          <t>not disclosed</t>
        </is>
      </c>
      <c r="J7" s="7" t="inlineStr">
        <is>
          <t>not disclosed</t>
        </is>
      </c>
      <c r="K7" s="7" t="inlineStr">
        <is>
          <t>Not disclosed</t>
        </is>
      </c>
      <c r="L7" s="7" t="inlineStr">
        <is>
          <t>20-F 2026-04-30 acc 0001104659-26-052948 nbis-20251231x20f.htm segment note; Item 15 material weakness re TripleTen revenue recognition | https://www.sec.gov/Archives/edgar/data/1513845/000110465926052948/nbis-20251231x20f.htm ; 6-K 2026-08-12 acc 0001104659-26-094844 nbis-20260812xex99d2.htm Note 15 | https://www.sec.gov/Archives/edgar/data/1513845/000110465926094844/nbis-20260812xex99d2.htm</t>
        </is>
      </c>
      <c r="M7" s="7" t="inlineStr">
        <is>
          <t>n/a</t>
        </is>
      </c>
    </row>
    <row r="8">
      <c r="A8" s="7" t="inlineStr">
        <is>
          <t>Venture capital fund (equity method)</t>
        </is>
      </c>
      <c r="B8" s="7" t="inlineStr">
        <is>
          <t>not disclosed</t>
        </is>
      </c>
      <c r="C8" s="7" t="inlineStr">
        <is>
          <t>Fund not named</t>
        </is>
      </c>
      <c r="D8" s="7" t="inlineStr">
        <is>
          <t>Equity method</t>
        </is>
      </c>
      <c r="E8" s="20" t="n">
        <v>6.4</v>
      </c>
      <c r="F8" s="20" t="n">
        <v>13.8</v>
      </c>
      <c r="G8" s="7" t="inlineStr">
        <is>
          <t>+7.4 change in fair value Q2-26</t>
        </is>
      </c>
      <c r="H8" s="7" t="inlineStr">
        <is>
          <t>2026-06-30</t>
        </is>
      </c>
      <c r="I8" s="21" t="inlineStr">
        <is>
          <t>not disclosed</t>
        </is>
      </c>
      <c r="J8" s="21">
        <f>F8</f>
        <v/>
      </c>
      <c r="K8" s="7" t="inlineStr">
        <is>
          <t>Reported (carrying used as value)</t>
        </is>
      </c>
      <c r="L8" s="7" t="inlineStr">
        <is>
          <t>6-K 2026-08-12 acc 0001104659-26-094844 nbis-20260812xex99d2.htm Note 5 p.F-20 | https://www.sec.gov/Archives/edgar/data/1513845/000110465926094844/nbis-20260812xex99d2.htm</t>
        </is>
      </c>
      <c r="M8" s="7" t="inlineStr">
        <is>
          <t>n/a</t>
        </is>
      </c>
    </row>
    <row r="9">
      <c r="A9" s="7" t="inlineStr">
        <is>
          <t>Other non-marketable equity securities</t>
        </is>
      </c>
      <c r="B9" s="7" t="inlineStr">
        <is>
          <t>not disclosed</t>
        </is>
      </c>
      <c r="C9" s="7" t="inlineStr">
        <is>
          <t>Not named</t>
        </is>
      </c>
      <c r="D9" s="7" t="inlineStr">
        <is>
          <t>ASC 321</t>
        </is>
      </c>
      <c r="E9" s="20" t="n">
        <v>2.5</v>
      </c>
      <c r="F9" s="20" t="n">
        <v>2.5</v>
      </c>
      <c r="G9" s="7" t="inlineStr">
        <is>
          <t>n/a</t>
        </is>
      </c>
      <c r="H9" s="7" t="inlineStr">
        <is>
          <t>n/a</t>
        </is>
      </c>
      <c r="I9" s="21" t="inlineStr">
        <is>
          <t>not disclosed</t>
        </is>
      </c>
      <c r="J9" s="21">
        <f>F9</f>
        <v/>
      </c>
      <c r="K9" s="7" t="inlineStr">
        <is>
          <t>Reported</t>
        </is>
      </c>
      <c r="L9" s="7" t="inlineStr">
        <is>
          <t>6-K 2026-08-12 acc 0001104659-26-094844 nbis-20260812xex99d2.htm Note 5 p.F-21 | https://www.sec.gov/Archives/edgar/data/1513845/000110465926094844/nbis-20260812xex99d2.htm</t>
        </is>
      </c>
      <c r="M9" s="7" t="inlineStr">
        <is>
          <t>n/a</t>
        </is>
      </c>
    </row>
    <row r="10">
      <c r="A10" s="22" t="inlineStr">
        <is>
          <t>Total (stakes with a value; Avride &amp; TripleTen excluded)</t>
        </is>
      </c>
      <c r="B10" s="7" t="n"/>
      <c r="C10" s="7" t="n"/>
      <c r="D10" s="7" t="n"/>
      <c r="E10" s="21" t="n"/>
      <c r="F10" s="21">
        <f>F4+F5+F8+F9</f>
        <v/>
      </c>
      <c r="G10" s="7" t="n"/>
      <c r="H10" s="7" t="n"/>
      <c r="I10" s="21" t="n"/>
      <c r="J10" s="21">
        <f>J4+J5+J8+J9</f>
        <v/>
      </c>
      <c r="K10" s="7" t="inlineStr">
        <is>
          <t>Derived</t>
        </is>
      </c>
      <c r="L10" s="7" t="inlineStr">
        <is>
          <t>Q2FS Note 5 totals: non-marketable 1,606.7 + equity method 13.8 = 1,620.5</t>
        </is>
      </c>
      <c r="M10" s="7" t="n"/>
    </row>
    <row r="11">
      <c r="A11" s="7" t="n"/>
      <c r="B11" s="7" t="n"/>
      <c r="C11" s="7" t="n"/>
      <c r="D11" s="7" t="n"/>
      <c r="E11" s="7" t="n"/>
      <c r="F11" s="7" t="n"/>
      <c r="G11" s="7" t="n"/>
      <c r="H11" s="7" t="n"/>
      <c r="I11" s="7" t="n"/>
      <c r="J11" s="7" t="n"/>
      <c r="K11" s="7" t="n"/>
      <c r="L11" s="7" t="n"/>
      <c r="M11" s="7" t="n"/>
    </row>
    <row r="12">
      <c r="A12" s="7" t="inlineStr">
        <is>
          <t>Per NBIS share (uses CapStructure fully diluted, base case)</t>
        </is>
      </c>
      <c r="B12" s="7" t="n"/>
      <c r="C12" s="7" t="n"/>
      <c r="D12" s="7" t="n"/>
      <c r="E12" s="7" t="n"/>
      <c r="F12" s="23">
        <f>F10*1000000/CapStructure!B38</f>
        <v/>
      </c>
      <c r="G12" s="7" t="n"/>
      <c r="H12" s="7" t="n"/>
      <c r="I12" s="7" t="n"/>
      <c r="J12" s="23">
        <f>J10*1000000/CapStructure!B38</f>
        <v/>
      </c>
      <c r="K12" s="7" t="inlineStr">
        <is>
          <t>Derived</t>
        </is>
      </c>
      <c r="L12" s="7" t="n"/>
      <c r="M12" s="7" t="n"/>
    </row>
    <row r="13">
      <c r="A13" s="7" t="n"/>
      <c r="B13" s="7" t="n"/>
      <c r="C13" s="7" t="n"/>
      <c r="D13" s="7" t="n"/>
      <c r="E13" s="7" t="n"/>
      <c r="F13" s="7" t="n"/>
      <c r="G13" s="7" t="n"/>
      <c r="H13" s="7" t="n"/>
      <c r="I13" s="7" t="n"/>
      <c r="J13" s="7" t="n"/>
      <c r="K13" s="7" t="n"/>
      <c r="L13" s="7" t="n"/>
      <c r="M13" s="7" t="n"/>
    </row>
    <row r="14">
      <c r="A14" s="6" t="inlineStr">
        <is>
          <t>Consolidated non-core segment data ($M)</t>
        </is>
      </c>
      <c r="B14" s="6" t="inlineStr">
        <is>
          <t>FY2024</t>
        </is>
      </c>
      <c r="C14" s="6" t="inlineStr">
        <is>
          <t>FY2025</t>
        </is>
      </c>
      <c r="D14" s="6" t="inlineStr">
        <is>
          <t>Q1 2026</t>
        </is>
      </c>
      <c r="E14" s="6" t="inlineStr">
        <is>
          <t>Q2 2026</t>
        </is>
      </c>
      <c r="F14" s="6" t="inlineStr">
        <is>
          <t>1H 2026</t>
        </is>
      </c>
      <c r="G14" s="6" t="inlineStr"/>
      <c r="H14" s="6" t="inlineStr"/>
      <c r="I14" s="6" t="inlineStr"/>
      <c r="J14" s="6" t="inlineStr"/>
      <c r="K14" s="6" t="inlineStr">
        <is>
          <t>Tag</t>
        </is>
      </c>
      <c r="L14" s="6" t="inlineStr">
        <is>
          <t>Source</t>
        </is>
      </c>
      <c r="M14" s="6" t="inlineStr"/>
    </row>
    <row r="15">
      <c r="A15" s="7" t="inlineStr">
        <is>
          <t>Avride revenue</t>
        </is>
      </c>
      <c r="B15" s="24" t="n">
        <v>0.3</v>
      </c>
      <c r="C15" s="24" t="n">
        <v>1.3</v>
      </c>
      <c r="D15" s="24" t="n">
        <v>0.9</v>
      </c>
      <c r="E15" s="24" t="n">
        <v>1</v>
      </c>
      <c r="F15" s="7">
        <f>D15+E15</f>
        <v/>
      </c>
      <c r="G15" s="7" t="n"/>
      <c r="H15" s="7" t="n"/>
      <c r="I15" s="7" t="n"/>
      <c r="J15" s="7" t="n"/>
      <c r="K15" s="7" t="inlineStr">
        <is>
          <t>Reported (1H Derived)</t>
        </is>
      </c>
      <c r="L15"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5" s="7" t="n"/>
    </row>
    <row r="16">
      <c r="A16" s="7" t="inlineStr">
        <is>
          <t>Avride adj. EBITDA</t>
        </is>
      </c>
      <c r="B16" s="24" t="n">
        <v>-67</v>
      </c>
      <c r="C16" s="24" t="n">
        <v>-82.7</v>
      </c>
      <c r="D16" s="24" t="n">
        <v>-34.1</v>
      </c>
      <c r="E16" s="24" t="n">
        <v>-40.1</v>
      </c>
      <c r="F16" s="7">
        <f>D16+E16</f>
        <v/>
      </c>
      <c r="G16" s="7" t="n"/>
      <c r="H16" s="7" t="n"/>
      <c r="I16" s="7" t="n"/>
      <c r="J16" s="7" t="n"/>
      <c r="K16" s="7" t="inlineStr">
        <is>
          <t>Reported (1H Derived)</t>
        </is>
      </c>
      <c r="L16"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6" s="7" t="n"/>
    </row>
    <row r="17">
      <c r="A17" s="7" t="inlineStr">
        <is>
          <t>TripleTen revenue</t>
        </is>
      </c>
      <c r="B17" s="24" t="n">
        <v>28.8</v>
      </c>
      <c r="C17" s="24" t="n">
        <v>54.1</v>
      </c>
      <c r="D17" s="24" t="n">
        <v>11.6</v>
      </c>
      <c r="E17" s="24" t="n">
        <v>10</v>
      </c>
      <c r="F17" s="7">
        <f>D17+E17</f>
        <v/>
      </c>
      <c r="G17" s="7" t="n"/>
      <c r="H17" s="7" t="n"/>
      <c r="I17" s="7" t="n"/>
      <c r="J17" s="7" t="n"/>
      <c r="K17" s="7" t="inlineStr">
        <is>
          <t>Reported (1H Derived)</t>
        </is>
      </c>
      <c r="L17"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7" s="7" t="n"/>
    </row>
    <row r="18">
      <c r="A18" s="7" t="inlineStr">
        <is>
          <t>TripleTen adj. EBITDA</t>
        </is>
      </c>
      <c r="B18" s="24" t="n">
        <v>-30.8</v>
      </c>
      <c r="C18" s="24" t="n">
        <v>-41.2</v>
      </c>
      <c r="D18" s="24" t="n">
        <v>-10.4</v>
      </c>
      <c r="E18" s="24" t="n">
        <v>-9.4</v>
      </c>
      <c r="F18" s="7">
        <f>D18+E18</f>
        <v/>
      </c>
      <c r="G18" s="7" t="n"/>
      <c r="H18" s="7" t="n"/>
      <c r="I18" s="7" t="n"/>
      <c r="J18" s="7" t="n"/>
      <c r="K18" s="7" t="inlineStr">
        <is>
          <t>Reported (1H Derived)</t>
        </is>
      </c>
      <c r="L18" s="7" t="inlineStr">
        <is>
          <t>20-F 2026-04-30 acc 0001104659-26-052948 nbis-20251231x20f.htm segment note | https://www.sec.gov/Archives/edgar/data/1513845/000110465926052948/nbis-20251231x20f.htm ; 6-K 2026-05-20 acc 0001104659-26-064092 nbis-20260331xex99d2.htm segment note | https://www.sec.gov/Archives/edgar/data/1513845/000110465926064092/nbis-20260331xex99d2.htm ; 6-K 2026-08-12 acc 0001104659-26-094844 nbis-20260812xex99d2.htm Note 15 | https://www.sec.gov/Archives/edgar/data/1513845/000110465926094844/nbis-20260812xex99d2.htm</t>
        </is>
      </c>
      <c r="M18" s="7" t="n"/>
    </row>
    <row r="19">
      <c r="A19" s="7" t="inlineStr">
        <is>
          <t>Operating KPIs: Avride &gt;60,000 commercial rides on Uber in Dallas; robodelivery in Arlington VA &amp; Miami via Uber Eats (Q2-26 letter). TripleTen revenue +10% YoY in Q1-26 (Q1-26 letter); Q2-26 revenue 10.0 vs 12.3 in Q2-25 (-19%, Derived).</t>
        </is>
      </c>
      <c r="B19" s="7" t="n"/>
      <c r="C19" s="7" t="n"/>
      <c r="D19" s="7" t="n"/>
      <c r="E19" s="7" t="n"/>
      <c r="F19" s="7" t="n"/>
      <c r="G19" s="7" t="n"/>
      <c r="H19" s="7" t="n"/>
      <c r="I19" s="7" t="n"/>
      <c r="J19" s="7" t="n"/>
      <c r="K19" s="7" t="n"/>
      <c r="L19" s="7" t="inlineStr">
        <is>
          <t>6-K 2026-08-12 acc 0001104659-26-094568 tm2622968d1_ex99-2.htm Other businesses section | https://www.sec.gov/Archives/edgar/data/1513845/000110465926094568/tm2622968d1_ex99-2.htm ; 6-K 2026-05-13 acc 0001104659-26-059872 tm2614392d1_ex99-2.htm Other businesses section | https://www.sec.gov/Archives/edgar/data/1513845/000110465926059872/tm2614392d1_ex99-2.htm</t>
        </is>
      </c>
      <c r="M19" s="7" t="n"/>
    </row>
    <row r="20">
      <c r="A20" s="7" t="n"/>
      <c r="B20" s="7" t="n"/>
      <c r="C20" s="7" t="n"/>
      <c r="D20" s="7" t="n"/>
      <c r="E20" s="7" t="n"/>
      <c r="F20" s="7" t="n"/>
      <c r="G20" s="7" t="n"/>
      <c r="H20" s="7" t="n"/>
      <c r="I20" s="7" t="n"/>
      <c r="J20" s="7" t="n"/>
      <c r="K20" s="7" t="n"/>
      <c r="L20" s="7" t="n"/>
      <c r="M20" s="7" t="n"/>
    </row>
    <row r="21">
      <c r="A21" s="7" t="inlineStr">
        <is>
          <t>Notes: (1) Nebius filings reported gains on ClickHouse revaluation of $597.4M (FY25, Series C) and $780.6M (Q1-26, Series D) - non-cash, flowed through net income. (2) ClickHouse carrying value ($1,517.7M) already reflects the OPM allocation and a 22.5% DLOM, so it sits well below stake x headline valuation. (3) Toloka preferred carrying fell 97.0 -&gt; 86.5 as equity-method losses were applied after common was written to nil. (4) The Avride SAFEs ($178.1M FV) would dilute Nebius at conversion (80% of the next round price).</t>
        </is>
      </c>
      <c r="B21" s="7" t="n"/>
      <c r="C21" s="7" t="n"/>
      <c r="D21" s="7" t="n"/>
      <c r="E21" s="7" t="n"/>
      <c r="F21" s="7" t="n"/>
      <c r="G21" s="7" t="n"/>
      <c r="H21" s="7" t="n"/>
      <c r="I21" s="7" t="n"/>
      <c r="J21" s="7" t="n"/>
      <c r="K21" s="7" t="n"/>
      <c r="L21" s="7" t="n"/>
      <c r="M21"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60" customWidth="1" min="4" max="4"/>
    <col width="45" customWidth="1" min="5" max="5"/>
    <col width="14" customWidth="1" min="6" max="6"/>
    <col width="12" customWidth="1" min="7" max="7"/>
    <col width="26" customWidth="1" min="8" max="8"/>
    <col width="26" customWidth="1" min="9" max="9"/>
    <col width="60" customWidth="1" min="10" max="10"/>
  </cols>
  <sheetData>
    <row r="1">
      <c r="A1" s="5" t="inlineStr">
        <is>
          <t>ICFR material weaknesses, auditor view, useful-life change (4-&gt;5 yrs from 1-Jan-2026) and post-Q2 6-K check. Exact quotes from filings; $M unless noted.</t>
        </is>
      </c>
    </row>
    <row r="3">
      <c r="A3" s="6" t="inlineStr">
        <is>
          <t>No.</t>
        </is>
      </c>
      <c r="B3" s="6" t="inlineStr">
        <is>
          <t>Topic</t>
        </is>
      </c>
      <c r="C3" s="6" t="inlineStr">
        <is>
          <t>Period / date</t>
        </is>
      </c>
      <c r="D3" s="6" t="inlineStr">
        <is>
          <t>Exact quote (verbatim from filing)</t>
        </is>
      </c>
      <c r="E3" s="6" t="inlineStr">
        <is>
          <t>Status / takeaway</t>
        </is>
      </c>
      <c r="F3" s="6" t="inlineStr">
        <is>
          <t>Value</t>
        </is>
      </c>
      <c r="G3" s="6" t="inlineStr">
        <is>
          <t>Tag</t>
        </is>
      </c>
      <c r="H3" s="6" t="inlineStr">
        <is>
          <t>Document</t>
        </is>
      </c>
      <c r="I3" s="6" t="inlineStr">
        <is>
          <t>Page / line</t>
        </is>
      </c>
      <c r="J3" s="6" t="inlineStr">
        <is>
          <t>Source (form, date, acc, doc | URL)</t>
        </is>
      </c>
    </row>
    <row r="4">
      <c r="A4" s="7" t="n">
        <v>1</v>
      </c>
      <c r="B4" s="7" t="inlineStr">
        <is>
          <t>ICFR conclusion FY25</t>
        </is>
      </c>
      <c r="C4" s="7" t="inlineStr">
        <is>
          <t>31-Dec-2025</t>
        </is>
      </c>
      <c r="D4" s="7" t="inlineStr">
        <is>
          <t>Based on that evaluation, we concluded that as of December 31, 2025, our internal control over financial reporting was not effective.</t>
        </is>
      </c>
      <c r="E4" s="7" t="inlineStr">
        <is>
          <t>NOT EFFECTIVE (2nd year running)</t>
        </is>
      </c>
      <c r="F4" s="7" t="inlineStr">
        <is>
          <t>not effective</t>
        </is>
      </c>
      <c r="G4" s="7" t="inlineStr">
        <is>
          <t>Reported</t>
        </is>
      </c>
      <c r="H4" s="7" t="inlineStr">
        <is>
          <t>nbis-20251231x20f.htm</t>
        </is>
      </c>
      <c r="I4" s="7" t="inlineStr">
        <is>
          <t>Item 15, p.85</t>
        </is>
      </c>
      <c r="J4" s="7" t="inlineStr">
        <is>
          <t>20-F 2026-04-30 acc 0001104659-26-052948 nbis-20251231x20f.htm Item 15, p.85 | https://www.sec.gov/Archives/edgar/data/1513845/000110465926052948/nbis-20251231x20f.htm</t>
        </is>
      </c>
    </row>
    <row r="5">
      <c r="A5" s="7" t="n">
        <v>2</v>
      </c>
      <c r="B5" s="7" t="inlineStr">
        <is>
          <t>Disclosure controls FY25</t>
        </is>
      </c>
      <c r="C5" s="7" t="inlineStr">
        <is>
          <t>31-Dec-2025</t>
        </is>
      </c>
      <c r="D5" s="7" t="inlineStr">
        <is>
          <t>the company’s principal executive officer and principal financial officer concluded that, as of such date, the company’s disclosure controls and procedures were effective at the reasonable assurance level.</t>
        </is>
      </c>
      <c r="E5" s="7" t="inlineStr">
        <is>
          <t>DC&amp;P concluded effective despite two ICFR MWs</t>
        </is>
      </c>
      <c r="F5" s="7" t="inlineStr">
        <is>
          <t>effective</t>
        </is>
      </c>
      <c r="G5" s="7" t="inlineStr">
        <is>
          <t>Reported</t>
        </is>
      </c>
      <c r="H5" s="7" t="inlineStr">
        <is>
          <t>nbis-20251231x20f.htm</t>
        </is>
      </c>
      <c r="I5" s="7" t="inlineStr">
        <is>
          <t>Item 15, p.84</t>
        </is>
      </c>
      <c r="J5" s="7" t="inlineStr">
        <is>
          <t>20-F 2026-04-30 acc 0001104659-26-052948 nbis-20251231x20f.htm Item 15, p.84 | https://www.sec.gov/Archives/edgar/data/1513845/000110465926052948/nbis-20251231x20f.htm</t>
        </is>
      </c>
    </row>
    <row r="6">
      <c r="A6" s="7" t="n">
        <v>3</v>
      </c>
      <c r="B6" s="7" t="inlineStr">
        <is>
          <t>MW link to FY24</t>
        </is>
      </c>
      <c r="C6" s="7" t="inlineStr">
        <is>
          <t>FY25 20-F</t>
        </is>
      </c>
      <c r="D6" s="7" t="inlineStr">
        <is>
          <t>We reported material weaknesses in our internal control over financial reporting in our 2024 Annual Report on Form 20-F. We have concluded that these material weaknesses reflected the significant growth in our business and the substantial changes in our organization following the complex divestment transaction we completed in 2024. ... we were unable to complete the implementation of all necessary controls during 2025.</t>
        </is>
      </c>
      <c r="E6" s="7" t="inlineStr">
        <is>
          <t>Carry-over from FY24</t>
        </is>
      </c>
      <c r="F6" s="7" t="inlineStr">
        <is>
          <t>not disclosed</t>
        </is>
      </c>
      <c r="G6" s="7" t="inlineStr">
        <is>
          <t>Reported</t>
        </is>
      </c>
      <c r="H6" s="7" t="inlineStr">
        <is>
          <t>nbis-20251231x20f.htm</t>
        </is>
      </c>
      <c r="I6" s="7" t="inlineStr">
        <is>
          <t>Item 15, p.85</t>
        </is>
      </c>
      <c r="J6" s="7" t="inlineStr">
        <is>
          <t>20-F 2026-04-30 acc 0001104659-26-052948 nbis-20251231x20f.htm Item 15, p.85 | https://www.sec.gov/Archives/edgar/data/1513845/000110465926052948/nbis-20251231x20f.htm</t>
        </is>
      </c>
    </row>
    <row r="7">
      <c r="A7" s="7" t="n">
        <v>4</v>
      </c>
      <c r="B7" s="7" t="inlineStr">
        <is>
          <t>MW 1 - Fixed assets / PP&amp;E (FY25)</t>
        </is>
      </c>
      <c r="C7" s="7" t="inlineStr">
        <is>
          <t>31-Dec-2025</t>
        </is>
      </c>
      <c r="D7" s="7" t="inlineStr">
        <is>
          <t>Our controls related to fixed assets were not adequately designed and were not operating effectively. Specifically, we did not fully implement and ensure the effectiveness of the relevant controls and procedures over depreciation start dates, and timely reconciliation around the asset count process. As a result of this deficiency, we were not able to rely on certain data and reports used in the accounting for fixed assets, including server and network equipment, to ensure the completeness and accuracy of such information</t>
        </is>
      </c>
      <c r="E7" s="7" t="inlineStr">
        <is>
          <t>OPEN. Covers depreciation start (placed-in-use) dates + asset count reconciliation. First disclosed FY24 20-F (30-Apr-2025)</t>
        </is>
      </c>
      <c r="F7" s="7" t="inlineStr">
        <is>
          <t>open</t>
        </is>
      </c>
      <c r="G7" s="7" t="inlineStr">
        <is>
          <t>Reported</t>
        </is>
      </c>
      <c r="H7" s="7" t="inlineStr">
        <is>
          <t>nbis-20251231x20f.htm</t>
        </is>
      </c>
      <c r="I7" s="7" t="inlineStr">
        <is>
          <t>Item 15, p.85 (also risk factor p.25)</t>
        </is>
      </c>
      <c r="J7" s="7" t="inlineStr">
        <is>
          <t>20-F 2026-04-30 acc 0001104659-26-052948 nbis-20251231x20f.htm Item 15, p.85 (also risk factor p.25) | https://www.sec.gov/Archives/edgar/data/1513845/000110465926052948/nbis-20251231x20f.htm</t>
        </is>
      </c>
    </row>
    <row r="8">
      <c r="A8" s="7" t="n">
        <v>5</v>
      </c>
      <c r="B8" s="7" t="inlineStr">
        <is>
          <t>MW 2 - TripleTen ITGC / revenue (FY25)</t>
        </is>
      </c>
      <c r="C8" s="7" t="inlineStr">
        <is>
          <t>31-Dec-2025</t>
        </is>
      </c>
      <c r="D8" s="7" t="inlineStr">
        <is>
          <t>We did not adequately and timely implement and maintain effective information technology general controls and have not consistently documented the execution of business process controls supporting revenue recognition in respect of our TripleTen business unit (representing approximately 10% of total revenues) commensurate with our financial reporting requirements.</t>
        </is>
      </c>
      <c r="E8" s="7" t="inlineStr">
        <is>
          <t>OPEN. Only ITGC MW still open; scoped to TripleTen (~10% of FY25 revenue)</t>
        </is>
      </c>
      <c r="F8" s="7" t="inlineStr">
        <is>
          <t>open</t>
        </is>
      </c>
      <c r="G8" s="7" t="inlineStr">
        <is>
          <t>Reported</t>
        </is>
      </c>
      <c r="H8" s="7" t="inlineStr">
        <is>
          <t>nbis-20251231x20f.htm</t>
        </is>
      </c>
      <c r="I8" s="7" t="inlineStr">
        <is>
          <t>Item 15, p.85</t>
        </is>
      </c>
      <c r="J8" s="7" t="inlineStr">
        <is>
          <t>20-F 2026-04-30 acc 0001104659-26-052948 nbis-20251231x20f.htm Item 15, p.85 | https://www.sec.gov/Archives/edgar/data/1513845/000110465926052948/nbis-20251231x20f.htm</t>
        </is>
      </c>
    </row>
    <row r="9">
      <c r="A9" s="7" t="n">
        <v>6</v>
      </c>
      <c r="B9" s="7" t="inlineStr">
        <is>
          <t>No misstatement (FY25)</t>
        </is>
      </c>
      <c r="C9" s="7" t="inlineStr">
        <is>
          <t>FY25</t>
        </is>
      </c>
      <c r="D9" s="7" t="inlineStr">
        <is>
          <t>We believe that these control deficiencies did not result in a misstatement to our annual or interim financial statements.</t>
        </is>
      </c>
      <c r="E9" s="7" t="inlineStr">
        <is>
          <t>No restatement</t>
        </is>
      </c>
      <c r="F9" s="7" t="inlineStr">
        <is>
          <t>none</t>
        </is>
      </c>
      <c r="G9" s="7" t="inlineStr">
        <is>
          <t>Reported</t>
        </is>
      </c>
      <c r="H9" s="7" t="inlineStr">
        <is>
          <t>nbis-20251231x20f.htm</t>
        </is>
      </c>
      <c r="I9" s="7" t="inlineStr">
        <is>
          <t>Item 15, p.86</t>
        </is>
      </c>
      <c r="J9" s="7" t="inlineStr">
        <is>
          <t>20-F 2026-04-30 acc 0001104659-26-052948 nbis-20251231x20f.htm Item 15, p.86 | https://www.sec.gov/Archives/edgar/data/1513845/000110465926052948/nbis-20251231x20f.htm</t>
        </is>
      </c>
    </row>
    <row r="10">
      <c r="A10" s="7" t="n">
        <v>7</v>
      </c>
      <c r="B10" s="7" t="inlineStr">
        <is>
          <t>Remediated in 2025</t>
        </is>
      </c>
      <c r="C10" s="7" t="inlineStr">
        <is>
          <t>FY25</t>
        </is>
      </c>
      <c r="D10" s="7" t="inlineStr">
        <is>
          <t>successfully remediated material weaknesses related to revenue recognition in our core business and information technology general controls, as well as a number of other control deficiencies that had been identified as of December 31, 2024.</t>
        </is>
      </c>
      <c r="E10" s="7" t="inlineStr">
        <is>
          <t>FY24 MWs (i) business-application ITGC and (ii) core revenue ITGC remediated; fixed-assets MW not</t>
        </is>
      </c>
      <c r="F10" s="7" t="inlineStr">
        <is>
          <t>2 of 3 remediated</t>
        </is>
      </c>
      <c r="G10" s="7" t="inlineStr">
        <is>
          <t>Reported</t>
        </is>
      </c>
      <c r="H10" s="7" t="inlineStr">
        <is>
          <t>nbis-20251231x20f.htm</t>
        </is>
      </c>
      <c r="I10" s="7" t="inlineStr">
        <is>
          <t>Item 15, p.86</t>
        </is>
      </c>
      <c r="J10" s="7" t="inlineStr">
        <is>
          <t>20-F 2026-04-30 acc 0001104659-26-052948 nbis-20251231x20f.htm Item 15, p.86 | https://www.sec.gov/Archives/edgar/data/1513845/000110465926052948/nbis-20251231x20f.htm</t>
        </is>
      </c>
    </row>
    <row r="11">
      <c r="A11" s="7" t="n">
        <v>8</v>
      </c>
      <c r="B11" s="7" t="inlineStr">
        <is>
          <t>Compensating control - depreciation start dates</t>
        </is>
      </c>
      <c r="C11" s="7" t="inlineStr">
        <is>
          <t>FY25</t>
        </is>
      </c>
      <c r="D11" s="7" t="inlineStr">
        <is>
          <t>We performed compensating control procedures over accuracy of our depreciation start dates for assets acquired in 2025, ensuring the accurate valuation of our fixed assets as of December 31, 2025;</t>
        </is>
      </c>
      <c r="E11" s="7" t="inlineStr">
        <is>
          <t>Year-end valuation relied on compensating procedures, not designed controls</t>
        </is>
      </c>
      <c r="F11" s="7" t="inlineStr">
        <is>
          <t>not disclosed</t>
        </is>
      </c>
      <c r="G11" s="7" t="inlineStr">
        <is>
          <t>Reported</t>
        </is>
      </c>
      <c r="H11" s="7" t="inlineStr">
        <is>
          <t>nbis-20251231x20f.htm</t>
        </is>
      </c>
      <c r="I11" s="7" t="inlineStr">
        <is>
          <t>Item 15, p.86</t>
        </is>
      </c>
      <c r="J11" s="7" t="inlineStr">
        <is>
          <t>20-F 2026-04-30 acc 0001104659-26-052948 nbis-20251231x20f.htm Item 15, p.86 | https://www.sec.gov/Archives/edgar/data/1513845/000110465926052948/nbis-20251231x20f.htm</t>
        </is>
      </c>
    </row>
    <row r="12">
      <c r="A12" s="7" t="n">
        <v>9</v>
      </c>
      <c r="B12" s="7" t="inlineStr">
        <is>
          <t>Remediation target date (FY25)</t>
        </is>
      </c>
      <c r="C12" s="7" t="inlineStr">
        <is>
          <t>FY25 20-F</t>
        </is>
      </c>
      <c r="D12" s="7" t="inlineStr">
        <is>
          <t>We continued to implement a company-wide remediation project, with the support of external consultants ... we expect that this project will improve our information technology systems relating to our fixed assets and revenue recognition reconciliation processes ... We expect to complete this project by the end of 2026.</t>
        </is>
      </c>
      <c r="E12" s="7" t="inlineStr">
        <is>
          <t>Target: end-2026 (slipped from Q4-2025 in FY24 20-F)</t>
        </is>
      </c>
      <c r="F12" s="7" t="inlineStr">
        <is>
          <t>end of 2026</t>
        </is>
      </c>
      <c r="G12" s="7" t="inlineStr">
        <is>
          <t>Reported</t>
        </is>
      </c>
      <c r="H12" s="7" t="inlineStr">
        <is>
          <t>nbis-20251231x20f.htm</t>
        </is>
      </c>
      <c r="I12" s="7" t="inlineStr">
        <is>
          <t>Item 15, p.86</t>
        </is>
      </c>
      <c r="J12" s="7" t="inlineStr">
        <is>
          <t>20-F 2026-04-30 acc 0001104659-26-052948 nbis-20251231x20f.htm Item 15, p.86 | https://www.sec.gov/Archives/edgar/data/1513845/000110465926052948/nbis-20251231x20f.htm</t>
        </is>
      </c>
    </row>
    <row r="13">
      <c r="A13" s="7" t="n">
        <v>10</v>
      </c>
      <c r="B13" s="7" t="inlineStr">
        <is>
          <t>Remediation caveat (FY25)</t>
        </is>
      </c>
      <c r="C13" s="7" t="inlineStr">
        <is>
          <t>FY25 20-F</t>
        </is>
      </c>
      <c r="D13" s="7" t="inlineStr">
        <is>
          <t>We believe we have already made progress and will continue to make progress in our remediation plan during the year ending December 31, 2026, but cannot assure you that we will be able to fully remediate the material weaknesses in 2026.</t>
        </is>
      </c>
      <c r="E13" s="7" t="inlineStr">
        <is>
          <t>Risk of 3rd consecutive adverse ICFR opinion for FY26</t>
        </is>
      </c>
      <c r="F13" s="7" t="inlineStr">
        <is>
          <t>not disclosed</t>
        </is>
      </c>
      <c r="G13" s="7" t="inlineStr">
        <is>
          <t>Reported</t>
        </is>
      </c>
      <c r="H13" s="7" t="inlineStr">
        <is>
          <t>nbis-20251231x20f.htm</t>
        </is>
      </c>
      <c r="I13" s="7" t="inlineStr">
        <is>
          <t>Item 15, p.86</t>
        </is>
      </c>
      <c r="J13" s="7" t="inlineStr">
        <is>
          <t>20-F 2026-04-30 acc 0001104659-26-052948 nbis-20251231x20f.htm Item 15, p.86 | https://www.sec.gov/Archives/edgar/data/1513845/000110465926052948/nbis-20251231x20f.htm</t>
        </is>
      </c>
    </row>
    <row r="14">
      <c r="A14" s="7" t="n">
        <v>11</v>
      </c>
      <c r="B14" s="7" t="inlineStr">
        <is>
          <t>Changes in ICFR (FY25)</t>
        </is>
      </c>
      <c r="C14" s="7" t="inlineStr">
        <is>
          <t>FY25</t>
        </is>
      </c>
      <c r="D14" s="7" t="inlineStr">
        <is>
          <t>In particular, we successfully remediated two material weaknesses that had been identified in the prior period, implemented a robust control framework regarding the revenue recognition process in Nebius AI business and implemented a robust control framework related to our overall IT general controls environment.</t>
        </is>
      </c>
      <c r="E14" s="7" t="inlineStr"/>
      <c r="F14" s="7" t="inlineStr">
        <is>
          <t>2 MWs remediated</t>
        </is>
      </c>
      <c r="G14" s="7" t="inlineStr">
        <is>
          <t>Reported</t>
        </is>
      </c>
      <c r="H14" s="7" t="inlineStr">
        <is>
          <t>nbis-20251231x20f.htm</t>
        </is>
      </c>
      <c r="I14" s="7" t="inlineStr">
        <is>
          <t>Item 15, p.87</t>
        </is>
      </c>
      <c r="J14" s="7" t="inlineStr">
        <is>
          <t>20-F 2026-04-30 acc 0001104659-26-052948 nbis-20251231x20f.htm Item 15, p.87 | https://www.sec.gov/Archives/edgar/data/1513845/000110465926052948/nbis-20251231x20f.htm</t>
        </is>
      </c>
    </row>
    <row r="15">
      <c r="A15" s="7" t="n">
        <v>12</v>
      </c>
      <c r="B15" s="7" t="inlineStr">
        <is>
          <t>Auditor ICFR opinion FY25 (adverse)</t>
        </is>
      </c>
      <c r="C15" s="7" t="inlineStr">
        <is>
          <t>30-Apr-2026</t>
        </is>
      </c>
      <c r="D15" s="7" t="inlineStr">
        <is>
          <t>In our opinion, because of the effect of the material weaknesses described below on the achievement of the objectives of the control criteria, the Company has not maintained effective internal control over financial reporting as of December 31, 2025 ... ● Material weakness in internal controls over property and equipment. ● Material weakness in internal controls over the revenue process for the TripleTen segment.</t>
        </is>
      </c>
      <c r="E15" s="7" t="inlineStr">
        <is>
          <t>ADVERSE 404(b) opinion - Reanda Audit &amp; Assurance B.V. (Amsterdam; auditor since 2024). Large accelerated filer; 404(b) box checked</t>
        </is>
      </c>
      <c r="F15" s="7" t="inlineStr">
        <is>
          <t>adverse</t>
        </is>
      </c>
      <c r="G15" s="7" t="inlineStr">
        <is>
          <t>Reported</t>
        </is>
      </c>
      <c r="H15" s="7" t="inlineStr">
        <is>
          <t>nbis-20251231x20f.htm</t>
        </is>
      </c>
      <c r="I15" s="7" t="inlineStr">
        <is>
          <t>Auditor ICFR report, p.F-5</t>
        </is>
      </c>
      <c r="J15" s="7" t="inlineStr">
        <is>
          <t>20-F 2026-04-30 acc 0001104659-26-052948 nbis-20251231x20f.htm Auditor ICFR report, p.F-5 | https://www.sec.gov/Archives/edgar/data/1513845/000110465926052948/nbis-20251231x20f.htm</t>
        </is>
      </c>
    </row>
    <row r="16">
      <c r="A16" s="7" t="n">
        <v>13</v>
      </c>
      <c r="B16" s="7" t="inlineStr">
        <is>
          <t>Auditor FS opinion FY25</t>
        </is>
      </c>
      <c r="C16" s="7" t="inlineStr">
        <is>
          <t>30-Apr-2026</t>
        </is>
      </c>
      <c r="D16" s="7" t="inlineStr">
        <is>
          <t>these material weaknesses were considered in determining the nature, timing and extent of audit tests applied in our audit of the 2025 consolidated financial statements, and this report does not affect our report dated April 30, 2026 which expressed an unqualified opinion thereon.</t>
        </is>
      </c>
      <c r="E16" s="7" t="inlineStr">
        <is>
          <t>Financial statements: UNQUALIFIED</t>
        </is>
      </c>
      <c r="F16" s="7" t="inlineStr">
        <is>
          <t>unqualified</t>
        </is>
      </c>
      <c r="G16" s="7" t="inlineStr">
        <is>
          <t>Reported</t>
        </is>
      </c>
      <c r="H16" s="7" t="inlineStr">
        <is>
          <t>nbis-20251231x20f.htm</t>
        </is>
      </c>
      <c r="I16" s="7" t="inlineStr">
        <is>
          <t>Auditor ICFR report, p.F-5</t>
        </is>
      </c>
      <c r="J16" s="7" t="inlineStr">
        <is>
          <t>20-F 2026-04-30 acc 0001104659-26-052948 nbis-20251231x20f.htm Auditor ICFR report, p.F-5 | https://www.sec.gov/Archives/edgar/data/1513845/000110465926052948/nbis-20251231x20f.htm</t>
        </is>
      </c>
    </row>
    <row r="17">
      <c r="A17" s="7" t="n">
        <v>14</v>
      </c>
      <c r="B17" s="7" t="inlineStr">
        <is>
          <t>CAM - Property and equipment (FY25)</t>
        </is>
      </c>
      <c r="C17" s="7" t="inlineStr">
        <is>
          <t>30-Apr-2026</t>
        </is>
      </c>
      <c r="D17" s="7" t="inlineStr">
        <is>
          <t>We identified property and equipment as a critical audit matter due to the significant increase in capital expenditure during the year and the judgment involved in determining the timing of placed-in-use dates, the appropriateness of capitalized costs. Auditing these areas required extensive effort and a high degree of auditor judgment.</t>
        </is>
      </c>
      <c r="E17" s="7" t="inlineStr">
        <is>
          <t>CAM is on capitalization + placed-in-use dates. The CAM text does NOT mention useful lives or the 4-&gt;5 yr change</t>
        </is>
      </c>
      <c r="F17" s="7" t="inlineStr">
        <is>
          <t>CAM (PP&amp;E)</t>
        </is>
      </c>
      <c r="G17" s="7" t="inlineStr">
        <is>
          <t>Reported</t>
        </is>
      </c>
      <c r="H17" s="7" t="inlineStr">
        <is>
          <t>nbis-20251231x20f.htm</t>
        </is>
      </c>
      <c r="I17" s="7" t="inlineStr">
        <is>
          <t>Auditor FS report, p.F-3/F-4</t>
        </is>
      </c>
      <c r="J17" s="7" t="inlineStr">
        <is>
          <t>20-F 2026-04-30 acc 0001104659-26-052948 nbis-20251231x20f.htm Auditor FS report, p.F-3/F-4 | https://www.sec.gov/Archives/edgar/data/1513845/000110465926052948/nbis-20251231x20f.htm</t>
        </is>
      </c>
    </row>
    <row r="18">
      <c r="A18" s="7" t="n">
        <v>15</v>
      </c>
      <c r="B18" s="7" t="inlineStr">
        <is>
          <t>CAM - PP&amp;E audit procedures</t>
        </is>
      </c>
      <c r="C18" s="7" t="inlineStr">
        <is>
          <t>30-Apr-2026</t>
        </is>
      </c>
      <c r="D18" s="7" t="inlineStr">
        <is>
          <t>We evaluated management’s determination of placed-in-use dates and tested the timing of depreciation commencement for a sample of assets. We also tested the mathematical accuracy of depreciation expense and evaluated the adequacy of related disclosures.</t>
        </is>
      </c>
      <c r="E18" s="7" t="inlineStr"/>
      <c r="F18" s="7" t="inlineStr">
        <is>
          <t>not disclosed</t>
        </is>
      </c>
      <c r="G18" s="7" t="inlineStr">
        <is>
          <t>Reported</t>
        </is>
      </c>
      <c r="H18" s="7" t="inlineStr">
        <is>
          <t>nbis-20251231x20f.htm</t>
        </is>
      </c>
      <c r="I18" s="7" t="inlineStr">
        <is>
          <t>Auditor FS report, p.F-4</t>
        </is>
      </c>
      <c r="J18" s="7" t="inlineStr">
        <is>
          <t>20-F 2026-04-30 acc 0001104659-26-052948 nbis-20251231x20f.htm Auditor FS report, p.F-4 | https://www.sec.gov/Archives/edgar/data/1513845/000110465926052948/nbis-20251231x20f.htm</t>
        </is>
      </c>
    </row>
    <row r="19">
      <c r="A19" s="7" t="n">
        <v>16</v>
      </c>
      <c r="B19" s="7" t="inlineStr">
        <is>
          <t>Other CAMs FY25</t>
        </is>
      </c>
      <c r="C19" s="7" t="inlineStr">
        <is>
          <t>30-Apr-2026</t>
        </is>
      </c>
      <c r="D19" s="7" t="inlineStr">
        <is>
          <t>Revenue Recognition (certain significant customer agreements: service vs lease) ; Investment in ClickHouse (ASC 321 remeasurement, $597.4 upward adjustment)</t>
        </is>
      </c>
      <c r="E19" s="7" t="inlineStr">
        <is>
          <t>Three CAMs total: revenue recognition, ClickHouse, PP&amp;E. Useful-life change is not a CAM</t>
        </is>
      </c>
      <c r="F19" s="7" t="inlineStr">
        <is>
          <t>3 CAMs</t>
        </is>
      </c>
      <c r="G19" s="7" t="inlineStr">
        <is>
          <t>Reported</t>
        </is>
      </c>
      <c r="H19" s="7" t="inlineStr">
        <is>
          <t>nbis-20251231x20f.htm</t>
        </is>
      </c>
      <c r="I19" s="7" t="inlineStr">
        <is>
          <t>Auditor FS report, p.F-2/F-3</t>
        </is>
      </c>
      <c r="J19" s="7" t="inlineStr">
        <is>
          <t>20-F 2026-04-30 acc 0001104659-26-052948 nbis-20251231x20f.htm Auditor FS report, p.F-2/F-3 | https://www.sec.gov/Archives/edgar/data/1513845/000110465926052948/nbis-20251231x20f.htm</t>
        </is>
      </c>
    </row>
    <row r="20">
      <c r="A20" s="7" t="n">
        <v>17</v>
      </c>
      <c r="B20" s="7" t="inlineStr">
        <is>
          <t>ICFR conclusion FY24</t>
        </is>
      </c>
      <c r="C20" s="7" t="inlineStr">
        <is>
          <t>31-Dec-2024</t>
        </is>
      </c>
      <c r="D20" s="7" t="inlineStr">
        <is>
          <t>Based on that evaluation, we concluded that as of December 31, 2024, our internal control over financial reporting was not effective.</t>
        </is>
      </c>
      <c r="E20" s="7" t="inlineStr">
        <is>
          <t>FIRST adverse year (FY23 Yandex 20-F concluded ICFR effective)</t>
        </is>
      </c>
      <c r="F20" s="7" t="inlineStr">
        <is>
          <t>not effective</t>
        </is>
      </c>
      <c r="G20" s="7" t="inlineStr">
        <is>
          <t>Reported</t>
        </is>
      </c>
      <c r="H20" s="7" t="inlineStr">
        <is>
          <t>nbis-20241231x20f.htm</t>
        </is>
      </c>
      <c r="I20" s="7" t="inlineStr">
        <is>
          <t>Item 15, p.76</t>
        </is>
      </c>
      <c r="J20" s="7" t="inlineStr">
        <is>
          <t>20-F 2025-04-30 acc 0001558370-25-005991 nbis-20241231x20f.htm Item 15, p.76 | https://www.sec.gov/Archives/edgar/data/1513845/000155837025005991/nbis-20241231x20f.htm</t>
        </is>
      </c>
    </row>
    <row r="21">
      <c r="A21" s="7" t="n">
        <v>18</v>
      </c>
      <c r="B21" s="7" t="inlineStr">
        <is>
          <t>MW (iii) FY24 - fixed assets</t>
        </is>
      </c>
      <c r="C21" s="7" t="inlineStr">
        <is>
          <t>31-Dec-2024</t>
        </is>
      </c>
      <c r="D21" s="7" t="inlineStr">
        <is>
          <t>We did not adequately and timely design and maintain effective information systems, policies and procedures for our reconciliation process for fixed assets. Specifically, we did not design, implement and ensure the effectiveness of the relevant operating system controls. In addition, we did not complete our asset validation policy and procedures. This resulted in the ineffectiveness of our ability to ensure the existence, ownership and accuracy of data in connection with our assets, which undermines the assurance of data accuracy and increases the risk of errors or misstatements.</t>
        </is>
      </c>
      <c r="E21" s="7" t="inlineStr">
        <is>
          <t>First disclosure of fixed-assets MW (20-F filed 30-Apr-2025); still open at FY25</t>
        </is>
      </c>
      <c r="F21" s="7" t="inlineStr">
        <is>
          <t>open</t>
        </is>
      </c>
      <c r="G21" s="7" t="inlineStr">
        <is>
          <t>Reported</t>
        </is>
      </c>
      <c r="H21" s="7" t="inlineStr">
        <is>
          <t>nbis-20241231x20f.htm</t>
        </is>
      </c>
      <c r="I21" s="7" t="inlineStr">
        <is>
          <t>Item 15, p.77</t>
        </is>
      </c>
      <c r="J21" s="7" t="inlineStr">
        <is>
          <t>20-F 2025-04-30 acc 0001558370-25-005991 nbis-20241231x20f.htm Item 15, p.77 | https://www.sec.gov/Archives/edgar/data/1513845/000155837025005991/nbis-20241231x20f.htm</t>
        </is>
      </c>
    </row>
    <row r="22">
      <c r="A22" s="7" t="n">
        <v>19</v>
      </c>
      <c r="B22" s="7" t="inlineStr">
        <is>
          <t>MW (i) FY24 - business applications ITGC</t>
        </is>
      </c>
      <c r="C22" s="7" t="inlineStr">
        <is>
          <t>31-Dec-2024</t>
        </is>
      </c>
      <c r="D22" s="7" t="inlineStr">
        <is>
          <t>We did not adequately and timely design and implement effective controls in business applications across our new information technology infrastructure. Specifically, we did not adequately and timely design, implement and ensure the effectiveness of controls in access management, system monitoring and change management.</t>
        </is>
      </c>
      <c r="E22" s="7" t="inlineStr">
        <is>
          <t>Remediated in 2025 (per FY25 20-F)</t>
        </is>
      </c>
      <c r="F22" s="7" t="inlineStr">
        <is>
          <t>remediated</t>
        </is>
      </c>
      <c r="G22" s="7" t="inlineStr">
        <is>
          <t>Reported</t>
        </is>
      </c>
      <c r="H22" s="7" t="inlineStr">
        <is>
          <t>nbis-20241231x20f.htm</t>
        </is>
      </c>
      <c r="I22" s="7" t="inlineStr">
        <is>
          <t>Item 15, p.77</t>
        </is>
      </c>
      <c r="J22" s="7" t="inlineStr">
        <is>
          <t>20-F 2025-04-30 acc 0001558370-25-005991 nbis-20241231x20f.htm Item 15, p.77 | https://www.sec.gov/Archives/edgar/data/1513845/000155837025005991/nbis-20241231x20f.htm</t>
        </is>
      </c>
    </row>
    <row r="23">
      <c r="A23" s="7" t="n">
        <v>20</v>
      </c>
      <c r="B23" s="7" t="inlineStr">
        <is>
          <t>MW (ii) FY24 - revenue ITGC</t>
        </is>
      </c>
      <c r="C23" s="7" t="inlineStr">
        <is>
          <t>31-Dec-2024</t>
        </is>
      </c>
      <c r="D23" s="7" t="inlineStr">
        <is>
          <t>Specifically, we did not adequately and timely design, implement and ensure the effectiveness of the operating system controls in connection with our revenue recognition process. This resulted in our inability to consistently establish accurate revenue statements</t>
        </is>
      </c>
      <c r="E23" s="7" t="inlineStr">
        <is>
          <t>Remediated for core business in 2025; residual TripleTen MW in FY25</t>
        </is>
      </c>
      <c r="F23" s="7" t="inlineStr">
        <is>
          <t>remediated (core)</t>
        </is>
      </c>
      <c r="G23" s="7" t="inlineStr">
        <is>
          <t>Reported</t>
        </is>
      </c>
      <c r="H23" s="7" t="inlineStr">
        <is>
          <t>nbis-20241231x20f.htm</t>
        </is>
      </c>
      <c r="I23" s="7" t="inlineStr">
        <is>
          <t>Item 15, p.77</t>
        </is>
      </c>
      <c r="J23" s="7" t="inlineStr">
        <is>
          <t>20-F 2025-04-30 acc 0001558370-25-005991 nbis-20241231x20f.htm Item 15, p.77 | https://www.sec.gov/Archives/edgar/data/1513845/000155837025005991/nbis-20241231x20f.htm</t>
        </is>
      </c>
    </row>
    <row r="24">
      <c r="A24" s="7" t="n">
        <v>21</v>
      </c>
      <c r="B24" s="7" t="inlineStr">
        <is>
          <t>FY24 root cause</t>
        </is>
      </c>
      <c r="C24" s="7" t="inlineStr">
        <is>
          <t>FY24</t>
        </is>
      </c>
      <c r="D24" s="7" t="inlineStr">
        <is>
          <t>In particular, as we continued to implement a new enterprise resource planning (ERP) system, we did not yet have in place all necessary business processes, systems, personnel, and related internal controls.</t>
        </is>
      </c>
      <c r="E24" s="7" t="inlineStr">
        <is>
          <t>New ERP post-divestment</t>
        </is>
      </c>
      <c r="F24" s="7" t="inlineStr">
        <is>
          <t>not disclosed</t>
        </is>
      </c>
      <c r="G24" s="7" t="inlineStr">
        <is>
          <t>Reported</t>
        </is>
      </c>
      <c r="H24" s="7" t="inlineStr">
        <is>
          <t>nbis-20241231x20f.htm</t>
        </is>
      </c>
      <c r="I24" s="7" t="inlineStr">
        <is>
          <t>Item 15, p.76</t>
        </is>
      </c>
      <c r="J24" s="7" t="inlineStr">
        <is>
          <t>20-F 2025-04-30 acc 0001558370-25-005991 nbis-20241231x20f.htm Item 15, p.76 | https://www.sec.gov/Archives/edgar/data/1513845/000155837025005991/nbis-20241231x20f.htm</t>
        </is>
      </c>
    </row>
    <row r="25">
      <c r="A25" s="7" t="n">
        <v>22</v>
      </c>
      <c r="B25" s="7" t="inlineStr">
        <is>
          <t>FY24 remediation target</t>
        </is>
      </c>
      <c r="C25" s="7" t="inlineStr">
        <is>
          <t>FY24 20-F</t>
        </is>
      </c>
      <c r="D25" s="7" t="inlineStr">
        <is>
          <t>We conducted a stock count at key asset locations across our businesses to validate the existence, ownership and accuracy of data in connection with our assets as reported for our 2024 fiscal year. ... We expect to complete this project by the fourth quarter of 2025.</t>
        </is>
      </c>
      <c r="E25" s="7" t="inlineStr">
        <is>
          <t>Target Q4-2025 -&gt; missed; reset to end-2026 in FY25 20-F</t>
        </is>
      </c>
      <c r="F25" s="7" t="inlineStr">
        <is>
          <t>Q4 2025</t>
        </is>
      </c>
      <c r="G25" s="7" t="inlineStr">
        <is>
          <t>Reported</t>
        </is>
      </c>
      <c r="H25" s="7" t="inlineStr">
        <is>
          <t>nbis-20241231x20f.htm</t>
        </is>
      </c>
      <c r="I25" s="7" t="inlineStr">
        <is>
          <t>Item 15, p.77</t>
        </is>
      </c>
      <c r="J25" s="7" t="inlineStr">
        <is>
          <t>20-F 2025-04-30 acc 0001558370-25-005991 nbis-20241231x20f.htm Item 15, p.77 | https://www.sec.gov/Archives/edgar/data/1513845/000155837025005991/nbis-20241231x20f.htm</t>
        </is>
      </c>
    </row>
    <row r="26">
      <c r="A26" s="7" t="n">
        <v>23</v>
      </c>
      <c r="B26" s="7" t="inlineStr">
        <is>
          <t>Auditor ICFR opinion FY24 (adverse)</t>
        </is>
      </c>
      <c r="C26" s="7" t="inlineStr">
        <is>
          <t>30-Apr-2025</t>
        </is>
      </c>
      <c r="D26" s="7" t="inlineStr">
        <is>
          <t>the Company has not maintained effective internal control over financial reporting as of December 31, 2024 ... ● Management also has identified a material weakness in internal controls over fixed assets.</t>
        </is>
      </c>
      <c r="E26" s="7" t="inlineStr">
        <is>
          <t>ADVERSE - Reanda Audit &amp; Assurance B.V.</t>
        </is>
      </c>
      <c r="F26" s="7" t="inlineStr">
        <is>
          <t>adverse</t>
        </is>
      </c>
      <c r="G26" s="7" t="inlineStr">
        <is>
          <t>Reported</t>
        </is>
      </c>
      <c r="H26" s="7" t="inlineStr">
        <is>
          <t>nbis-20241231x20f.htm</t>
        </is>
      </c>
      <c r="I26" s="7" t="inlineStr">
        <is>
          <t>Auditor ICFR report, p.F-4</t>
        </is>
      </c>
      <c r="J26" s="7" t="inlineStr">
        <is>
          <t>20-F 2025-04-30 acc 0001558370-25-005991 nbis-20241231x20f.htm Auditor ICFR report, p.F-4 | https://www.sec.gov/Archives/edgar/data/1513845/000155837025005991/nbis-20241231x20f.htm</t>
        </is>
      </c>
    </row>
    <row r="27">
      <c r="A27" s="7" t="n">
        <v>24</v>
      </c>
      <c r="B27" s="7" t="inlineStr">
        <is>
          <t>FY23 baseline</t>
        </is>
      </c>
      <c r="C27" s="7" t="inlineStr">
        <is>
          <t>31-Dec-2023</t>
        </is>
      </c>
      <c r="D27" s="7" t="inlineStr">
        <is>
          <t>Based on that evaluation, we concluded that as of December 31, 2023, our internal control over financial reporting was effective.</t>
        </is>
      </c>
      <c r="E27" s="7" t="inlineStr">
        <is>
          <t>Confirms MWs first disclosed in FY24 20-F</t>
        </is>
      </c>
      <c r="F27" s="7" t="inlineStr">
        <is>
          <t>effective</t>
        </is>
      </c>
      <c r="G27" s="7" t="inlineStr">
        <is>
          <t>Reported</t>
        </is>
      </c>
      <c r="H27" s="7" t="inlineStr">
        <is>
          <t>yndx-20231231x20f.htm</t>
        </is>
      </c>
      <c r="I27" s="7" t="inlineStr">
        <is>
          <t>Item 15</t>
        </is>
      </c>
      <c r="J27" s="7" t="inlineStr">
        <is>
          <t>20-F 2024-04-26 acc 0001558370-24-005891 yndx-20231231x20f.htm Item 15 | https://www.sec.gov/Archives/edgar/data/1513845/000155837024005891/yndx-20231231x20f.htm</t>
        </is>
      </c>
    </row>
    <row r="28">
      <c r="A28" s="7" t="n">
        <v>25</v>
      </c>
      <c r="B28" s="7" t="inlineStr">
        <is>
          <t>20-F/A relevance</t>
        </is>
      </c>
      <c r="C28" s="7" t="inlineStr">
        <is>
          <t>22-May-2026</t>
        </is>
      </c>
      <c r="D28" s="7" t="inlineStr">
        <is>
          <t>is filing this Amendment No. 1 ... solely for the purpose of including Exhibit 97.1. ... does not ... modify or update any of the other disclosures contained therein in any way.</t>
        </is>
      </c>
      <c r="E28" s="7" t="inlineStr">
        <is>
          <t>20-F/A is irrelevant to ICFR (adds Ex.97.1 clawback policy only)</t>
        </is>
      </c>
      <c r="F28" s="7" t="inlineStr">
        <is>
          <t>n/a</t>
        </is>
      </c>
      <c r="G28" s="7" t="inlineStr">
        <is>
          <t>Reported</t>
        </is>
      </c>
      <c r="H28" s="7" t="inlineStr">
        <is>
          <t>nbis-20251231x20fa.htm</t>
        </is>
      </c>
      <c r="I28" s="7" t="inlineStr">
        <is>
          <t>Explanatory Note</t>
        </is>
      </c>
      <c r="J28" s="7" t="inlineStr">
        <is>
          <t>20-F/A 2026-05-22 acc 0001104659-26-065681 nbis-20251231x20fa.htm Explanatory Note | https://www.sec.gov/Archives/edgar/data/1513845/000110465926065681/nbis-20251231x20fa.htm</t>
        </is>
      </c>
    </row>
    <row r="29">
      <c r="A29" s="7" t="n">
        <v>26</v>
      </c>
      <c r="B29" s="7" t="inlineStr">
        <is>
          <t>Interim reports - remediation update</t>
        </is>
      </c>
      <c r="C29" s="7" t="inlineStr">
        <is>
          <t>Q1/Q2 2026</t>
        </is>
      </c>
      <c r="D29" s="7" t="inlineStr">
        <is>
          <t>No occurrence of "material weakness", "remediat" or "internal control" in Q1-26 or Q2-26 interim financial statements (Ex.99.2) or interim MD&amp;A/OFR (Ex.99.1).</t>
        </is>
      </c>
      <c r="E29" s="7" t="inlineStr">
        <is>
          <t>NO interim remediation update; next status = FY26 20-F (expected ~Apr-2027)</t>
        </is>
      </c>
      <c r="F29" s="7" t="inlineStr">
        <is>
          <t>not disclosed</t>
        </is>
      </c>
      <c r="G29" s="7" t="inlineStr">
        <is>
          <t>Reported</t>
        </is>
      </c>
      <c r="H29" s="7" t="inlineStr">
        <is>
          <t>nbis-20260812xex99d2.htm</t>
        </is>
      </c>
      <c r="I29" s="7" t="inlineStr">
        <is>
          <t>full-text search of Q1FS, Q1MDA, Q2FS, Q2MDA</t>
        </is>
      </c>
      <c r="J29" s="7" t="inlineStr">
        <is>
          <t>6-K 2026-08-12 acc 0001104659-26-094844 nbis-20260812xex99d2.htm full-text search of Q1FS, Q1MDA, Q2FS, Q2MDA | https://www.sec.gov/Archives/edgar/data/1513845/000110465926094844/nbis-20260812xex99d2.htm</t>
        </is>
      </c>
    </row>
    <row r="30">
      <c r="A30" s="7" t="n">
        <v>27</v>
      </c>
      <c r="B30" s="7" t="inlineStr">
        <is>
          <t>Useful-life change - rationale (FY25 20-F)</t>
        </is>
      </c>
      <c r="C30" s="7" t="inlineStr">
        <is>
          <t>Jan-2026</t>
        </is>
      </c>
      <c r="D30" s="7" t="inlineStr">
        <is>
          <t>In January 2026, the Company completed an assessment of the useful lives of servers and network equipment based on updated information and usage patterns obtained subsequent to year-end and concluded that the estimated useful lives of such assets should be extended from four to five years. Management is considering the application of this change in accounting estimate prospectively beginning January 1, 2026.</t>
        </is>
      </c>
      <c r="E30" s="7" t="inlineStr">
        <is>
          <t>Rationale: "updated information and usage patterns"; prospective change in estimate (ASC 250)</t>
        </is>
      </c>
      <c r="F30" s="7" t="inlineStr">
        <is>
          <t>4 -&gt; 5 years</t>
        </is>
      </c>
      <c r="G30" s="7" t="inlineStr">
        <is>
          <t>Reported</t>
        </is>
      </c>
      <c r="H30" s="7" t="inlineStr">
        <is>
          <t>nbis-20251231x20f.htm</t>
        </is>
      </c>
      <c r="I30" s="7" t="inlineStr">
        <is>
          <t>Critical accounting estimates p.56; Note 2 p.F-15</t>
        </is>
      </c>
      <c r="J30" s="7" t="inlineStr">
        <is>
          <t>20-F 2026-04-30 acc 0001104659-26-052948 nbis-20251231x20f.htm Critical accounting estimates p.56; Note 2 p.F-15 | https://www.sec.gov/Archives/edgar/data/1513845/000110465926052948/nbis-20251231x20f.htm</t>
        </is>
      </c>
    </row>
    <row r="31">
      <c r="A31" s="7" t="n">
        <v>28</v>
      </c>
      <c r="B31" s="7" t="inlineStr">
        <is>
          <t>Useful-life change - FY26 impact estimate</t>
        </is>
      </c>
      <c r="C31" s="7" t="inlineStr">
        <is>
          <t>FY2026E</t>
        </is>
      </c>
      <c r="D31" s="7" t="inlineStr">
        <is>
          <t>Based on the servers and network equipment placed in service as of December 31, 2025, we expect this change in accounting estimate will reduce the depreciation expenses for fiscal year 2026 by approximately $167.6 million. The actual impact in future periods will depend on the timing and level of future capital expenditures and asset retirements.</t>
        </is>
      </c>
      <c r="E31" s="7" t="inlineStr">
        <is>
          <t>Estimate covers only assets in service at 31-Dec-2025</t>
        </is>
      </c>
      <c r="F31" s="24" t="n">
        <v>167.6</v>
      </c>
      <c r="G31" s="7" t="inlineStr">
        <is>
          <t>Reported</t>
        </is>
      </c>
      <c r="H31" s="7" t="inlineStr">
        <is>
          <t>nbis-20251231x20f.htm</t>
        </is>
      </c>
      <c r="I31" s="7" t="inlineStr">
        <is>
          <t>Item 5 critical accounting estimates, p.56</t>
        </is>
      </c>
      <c r="J31" s="7" t="inlineStr">
        <is>
          <t>20-F 2026-04-30 acc 0001104659-26-052948 nbis-20251231x20f.htm Item 5 critical accounting estimates, p.56 | https://www.sec.gov/Archives/edgar/data/1513845/000110465926052948/nbis-20251231x20f.htm</t>
        </is>
      </c>
    </row>
    <row r="32">
      <c r="A32" s="7" t="n">
        <v>29</v>
      </c>
      <c r="B32" s="7" t="inlineStr">
        <is>
          <t>Useful life used for FY25 / policy table</t>
        </is>
      </c>
      <c r="C32" s="7" t="inlineStr">
        <is>
          <t>31-Dec-2025</t>
        </is>
      </c>
      <c r="D32" s="7" t="inlineStr">
        <is>
          <t>Server and network equipment | 4.0 years</t>
        </is>
      </c>
      <c r="E32" s="7" t="inlineStr">
        <is>
          <t>FY25 statements still on 4 years</t>
        </is>
      </c>
      <c r="F32" s="7" t="inlineStr">
        <is>
          <t>4.0 years</t>
        </is>
      </c>
      <c r="G32" s="7" t="inlineStr">
        <is>
          <t>Reported</t>
        </is>
      </c>
      <c r="H32" s="7" t="inlineStr">
        <is>
          <t>nbis-20251231x20f.htm</t>
        </is>
      </c>
      <c r="I32" s="7" t="inlineStr">
        <is>
          <t>Note 2, p.F-22</t>
        </is>
      </c>
      <c r="J32" s="7" t="inlineStr">
        <is>
          <t>20-F 2026-04-30 acc 0001104659-26-052948 nbis-20251231x20f.htm Note 2, p.F-22 | https://www.sec.gov/Archives/edgar/data/1513845/000110465926052948/nbis-20251231x20f.htm</t>
        </is>
      </c>
    </row>
    <row r="33">
      <c r="A33" s="7" t="n">
        <v>30</v>
      </c>
      <c r="B33" s="7" t="inlineStr">
        <is>
          <t>Useful-life risk factor</t>
        </is>
      </c>
      <c r="C33" s="7" t="inlineStr">
        <is>
          <t>FY25 20-F</t>
        </is>
      </c>
      <c r="D33" s="7" t="inlineStr">
        <is>
          <t>Given our limited history of operations in respect of our current business, and the immature and evolving market in which we operate, our estimates of the useful lives of such assets may be subject to change.</t>
        </is>
      </c>
      <c r="E33" s="7" t="inlineStr"/>
      <c r="F33" s="7" t="inlineStr">
        <is>
          <t>not disclosed</t>
        </is>
      </c>
      <c r="G33" s="7" t="inlineStr">
        <is>
          <t>Reported</t>
        </is>
      </c>
      <c r="H33" s="7" t="inlineStr">
        <is>
          <t>nbis-20251231x20f.htm</t>
        </is>
      </c>
      <c r="I33" s="7" t="inlineStr">
        <is>
          <t>Risk factors, p.27</t>
        </is>
      </c>
      <c r="J33" s="7" t="inlineStr">
        <is>
          <t>20-F 2026-04-30 acc 0001104659-26-052948 nbis-20251231x20f.htm Risk factors, p.27 | https://www.sec.gov/Archives/edgar/data/1513845/000110465926052948/nbis-20251231x20f.htm</t>
        </is>
      </c>
    </row>
    <row r="34">
      <c r="A34" s="7" t="n">
        <v>31</v>
      </c>
      <c r="B34" s="7" t="inlineStr">
        <is>
          <t>Q1-26 actual impact</t>
        </is>
      </c>
      <c r="C34" s="7" t="inlineStr">
        <is>
          <t>Q1 2026</t>
        </is>
      </c>
      <c r="D34" s="7" t="inlineStr">
        <is>
          <t>the financial impact of this change in estimate included a reduction in depreciation expense of $43.1 and an increase in net income of $41.6, for the three months ended March 31, 2026.</t>
        </is>
      </c>
      <c r="E34" s="7" t="inlineStr"/>
      <c r="F34" s="24" t="n">
        <v>43.1</v>
      </c>
      <c r="G34" s="7" t="inlineStr">
        <is>
          <t>Reported</t>
        </is>
      </c>
      <c r="H34" s="7" t="inlineStr">
        <is>
          <t>nbis-20260331xex99d2.htm</t>
        </is>
      </c>
      <c r="I34" s="7" t="inlineStr">
        <is>
          <t>Note 1, p.F-9</t>
        </is>
      </c>
      <c r="J34" s="7" t="inlineStr">
        <is>
          <t>6-K 2026-05-20 acc 0001104659-26-064092 nbis-20260331xex99d2.htm Note 1, p.F-9 | https://www.sec.gov/Archives/edgar/data/1513845/000110465926064092/nbis-20260331xex99d2.htm</t>
        </is>
      </c>
    </row>
    <row r="35">
      <c r="A35" s="7" t="n">
        <v>32</v>
      </c>
      <c r="B35" s="7" t="inlineStr">
        <is>
          <t>1H-26 actual impact</t>
        </is>
      </c>
      <c r="C35" s="7" t="inlineStr">
        <is>
          <t>1H 2026</t>
        </is>
      </c>
      <c r="D35" s="7" t="inlineStr">
        <is>
          <t>the financial impact of this change in estimate for the six months ended June 30, 2026 included a reduction in depreciation expense of $86.1 and an increase in net income and net income from continuing operations of $75.7.</t>
        </is>
      </c>
      <c r="E35" s="7" t="inlineStr">
        <is>
          <t>Net income +$75.7</t>
        </is>
      </c>
      <c r="F35" s="24" t="n">
        <v>86.09999999999999</v>
      </c>
      <c r="G35" s="7" t="inlineStr">
        <is>
          <t>Reported</t>
        </is>
      </c>
      <c r="H35" s="7" t="inlineStr">
        <is>
          <t>nbis-20260812xex99d2.htm</t>
        </is>
      </c>
      <c r="I35" s="7" t="inlineStr">
        <is>
          <t>Note 1, p.F-10</t>
        </is>
      </c>
      <c r="J35" s="7" t="inlineStr">
        <is>
          <t>6-K 2026-08-12 acc 0001104659-26-094844 nbis-20260812xex99d2.htm Note 1, p.F-10 | https://www.sec.gov/Archives/edgar/data/1513845/000110465926094844/nbis-20260812xex99d2.htm</t>
        </is>
      </c>
    </row>
    <row r="36">
      <c r="A36" s="7" t="n">
        <v>33</v>
      </c>
      <c r="B36" s="7" t="inlineStr">
        <is>
          <t>Q2-26 actual impact</t>
        </is>
      </c>
      <c r="C36" s="7" t="inlineStr">
        <is>
          <t>Q2 2026</t>
        </is>
      </c>
      <c r="D36" s="7" t="inlineStr">
        <is>
          <t>The financial impact of this change in estimate for the three months ended June 30, 2026 included a reduction in depreciation expense of $43.0 and a decrease in net loss and net loss from continuing operations of $34.1.</t>
        </is>
      </c>
      <c r="E36" s="7" t="inlineStr">
        <is>
          <t>Q2 D&amp;A reported $259.7; ex-change ~$302.7 (Derived)</t>
        </is>
      </c>
      <c r="F36" s="24" t="n">
        <v>43</v>
      </c>
      <c r="G36" s="7" t="inlineStr">
        <is>
          <t>Reported</t>
        </is>
      </c>
      <c r="H36" s="7" t="inlineStr">
        <is>
          <t>nbis-20260812xex99d2.htm</t>
        </is>
      </c>
      <c r="I36" s="7" t="inlineStr">
        <is>
          <t>Note 1, p.F-10</t>
        </is>
      </c>
      <c r="J36" s="7" t="inlineStr">
        <is>
          <t>6-K 2026-08-12 acc 0001104659-26-094844 nbis-20260812xex99d2.htm Note 1, p.F-10 | https://www.sec.gov/Archives/edgar/data/1513845/000110465926094844/nbis-20260812xex99d2.htm</t>
        </is>
      </c>
    </row>
    <row r="37">
      <c r="A37" s="7" t="n">
        <v>34</v>
      </c>
      <c r="B37" s="7" t="inlineStr">
        <is>
          <t>1H-26 impact vs FY26 estimate</t>
        </is>
      </c>
      <c r="C37" s="7" t="inlineStr">
        <is>
          <t>1H 2026</t>
        </is>
      </c>
      <c r="D37" s="7" t="inlineStr">
        <is>
          <t>86.1 / 167.6</t>
        </is>
      </c>
      <c r="E37" s="7" t="inlineStr">
        <is>
          <t>Derived: 1H26 = 51% of FY26 estimate - on pace (estimate excludes 2026 additions)</t>
        </is>
      </c>
      <c r="F37" s="25">
        <f>86.1/167.6</f>
        <v/>
      </c>
      <c r="G37" s="7" t="inlineStr">
        <is>
          <t>Derived</t>
        </is>
      </c>
      <c r="H37" s="7" t="inlineStr">
        <is>
          <t>calc</t>
        </is>
      </c>
      <c r="I37" s="7" t="inlineStr">
        <is>
          <t>n/a</t>
        </is>
      </c>
      <c r="J37" s="7" t="inlineStr">
        <is>
          <t>Q2FS Note 1 p.F-10 and 20F25 p.56</t>
        </is>
      </c>
    </row>
    <row r="38">
      <c r="A38" s="7" t="n">
        <v>35</v>
      </c>
      <c r="B38" s="7" t="inlineStr">
        <is>
          <t>Q2-26 MD&amp;A wording</t>
        </is>
      </c>
      <c r="C38" s="7" t="inlineStr">
        <is>
          <t>Q2 2026</t>
        </is>
      </c>
      <c r="D38" s="7" t="inlineStr">
        <is>
          <t>Starting in the first quarter of 2026, we revised the useful life for our server and network equipment from four years to five years to reflect usage patterns and current utilization commitments. The change in accounting estimate has been applied prospectively from 2026 and partially offset the increase in depreciation expense during the period.</t>
        </is>
      </c>
      <c r="E38" s="7" t="inlineStr">
        <is>
          <t>Adds "current utilization commitments" to rationale</t>
        </is>
      </c>
      <c r="F38" s="7" t="inlineStr">
        <is>
          <t>5 years</t>
        </is>
      </c>
      <c r="G38" s="7" t="inlineStr">
        <is>
          <t>Reported</t>
        </is>
      </c>
      <c r="H38" s="7" t="inlineStr">
        <is>
          <t>nbis-20260812xex99d1.htm</t>
        </is>
      </c>
      <c r="I38" s="7" t="inlineStr">
        <is>
          <t>p.6</t>
        </is>
      </c>
      <c r="J38" s="7" t="inlineStr">
        <is>
          <t>6-K 2026-08-12 acc 0001104659-26-094844 nbis-20260812xex99d1.htm p.6 | https://www.sec.gov/Archives/edgar/data/1513845/000110465926094844/nbis-20260812xex99d1.htm</t>
        </is>
      </c>
    </row>
    <row r="39">
      <c r="A39" s="7" t="n">
        <v>36</v>
      </c>
      <c r="B39" s="7" t="inlineStr">
        <is>
          <t>Q2-26 letter wording</t>
        </is>
      </c>
      <c r="C39" s="7" t="inlineStr">
        <is>
          <t>Q2 2026</t>
        </is>
      </c>
      <c r="D39" s="7" t="inlineStr">
        <is>
          <t>We use a five-year useful life for our server and network equipment based on usage patterns and current utilization commitments, up from the four-year useful life used prior to 2026.</t>
        </is>
      </c>
      <c r="E39" s="7" t="inlineStr"/>
      <c r="F39" s="7" t="inlineStr">
        <is>
          <t>5 years</t>
        </is>
      </c>
      <c r="G39" s="7" t="inlineStr">
        <is>
          <t>Reported</t>
        </is>
      </c>
      <c r="H39" s="7" t="inlineStr">
        <is>
          <t>tm2622968d1_ex99-2.htm</t>
        </is>
      </c>
      <c r="I39" s="7" t="inlineStr">
        <is>
          <t>p.10</t>
        </is>
      </c>
      <c r="J39" s="7" t="inlineStr">
        <is>
          <t>6-K 2026-08-12 acc 0001104659-26-094568 tm2622968d1_ex99-2.htm p.10 | https://www.sec.gov/Archives/edgar/data/1513845/000110465926094568/tm2622968d1_ex99-2.htm</t>
        </is>
      </c>
    </row>
    <row r="40">
      <c r="A40" s="7" t="n">
        <v>37</v>
      </c>
      <c r="B40" s="7" t="inlineStr">
        <is>
          <t>Medium-term target tied to 4 yrs (context)</t>
        </is>
      </c>
      <c r="C40" s="7" t="inlineStr">
        <is>
          <t>20-May-2025</t>
        </is>
      </c>
      <c r="D40" s="7" t="inlineStr">
        <is>
          <t>assuming a conservative depreciation schedule of four years.</t>
        </is>
      </c>
      <c r="E40" s="7" t="inlineStr">
        <is>
          <t>2025 EBIT-margin target (20-30%) was framed on 4-yr depreciation; not restated on 5-yr basis</t>
        </is>
      </c>
      <c r="F40" s="7" t="inlineStr">
        <is>
          <t>4 years</t>
        </is>
      </c>
      <c r="G40" s="7" t="inlineStr">
        <is>
          <t>Reported</t>
        </is>
      </c>
      <c r="H40" s="7" t="inlineStr">
        <is>
          <t>tm2515580d1_ex99-2.htm</t>
        </is>
      </c>
      <c r="I40" s="7" t="inlineStr">
        <is>
          <t>Q1-25 shareholder letter</t>
        </is>
      </c>
      <c r="J40" s="7" t="inlineStr">
        <is>
          <t>6-K 2025-05-20 acc 0001104659-25-050975 tm2515580d1_ex99-2.htm Q1-25 shareholder letter | https://www.sec.gov/Archives/edgar/data/1513845/000110465925050975/tm2515580d1_ex99-2.htm</t>
        </is>
      </c>
    </row>
    <row r="41">
      <c r="A41" s="7" t="n">
        <v>38</v>
      </c>
      <c r="B41" s="7" t="inlineStr">
        <is>
          <t>Auditor on useful-life change</t>
        </is>
      </c>
      <c r="C41" s="7" t="inlineStr">
        <is>
          <t>30-Apr-2026</t>
        </is>
      </c>
      <c r="D41" s="7" t="inlineStr">
        <is>
          <t>Not a CAM. CAMs = revenue recognition; ClickHouse; property &amp; equipment (capitalization + placed-in-use dates). Useful lives not mentioned in auditor report.</t>
        </is>
      </c>
      <c r="E41" s="7" t="inlineStr">
        <is>
          <t>Change occurred after FY25 year-end and is applied from FY26; next audit (FY26) will cover it</t>
        </is>
      </c>
      <c r="F41" s="7" t="inlineStr">
        <is>
          <t>not a CAM</t>
        </is>
      </c>
      <c r="G41" s="7" t="inlineStr">
        <is>
          <t>Reported</t>
        </is>
      </c>
      <c r="H41" s="7" t="inlineStr">
        <is>
          <t>nbis-20251231x20f.htm</t>
        </is>
      </c>
      <c r="I41" s="7" t="inlineStr">
        <is>
          <t>Auditor FS report, p.F-2 to F-4</t>
        </is>
      </c>
      <c r="J41" s="7" t="inlineStr">
        <is>
          <t>20-F 2026-04-30 acc 0001104659-26-052948 nbis-20251231x20f.htm Auditor FS report, p.F-2 to F-4 | https://www.sec.gov/Archives/edgar/data/1513845/000110465926052948/nbis-20251231x20f.htm</t>
        </is>
      </c>
    </row>
    <row r="42">
      <c r="A42" s="7" t="n">
        <v>39</v>
      </c>
      <c r="B42" s="7" t="inlineStr">
        <is>
          <t>PP&amp;E impairment - 1H26</t>
        </is>
      </c>
      <c r="C42" s="7" t="inlineStr">
        <is>
          <t>1H 2026</t>
        </is>
      </c>
      <c r="D42" s="7" t="inlineStr">
        <is>
          <t>No impairment of property and equipment was identified or recorded during the three and six months ended June 30, 2025 and 2026.</t>
        </is>
      </c>
      <c r="E42" s="7" t="inlineStr">
        <is>
          <t>None recorded</t>
        </is>
      </c>
      <c r="F42" s="7" t="inlineStr">
        <is>
          <t>0</t>
        </is>
      </c>
      <c r="G42" s="7" t="inlineStr">
        <is>
          <t>Reported</t>
        </is>
      </c>
      <c r="H42" s="7" t="inlineStr">
        <is>
          <t>nbis-20260812xex99d2.htm</t>
        </is>
      </c>
      <c r="I42" s="7" t="inlineStr">
        <is>
          <t>Note 7, p.F-24</t>
        </is>
      </c>
      <c r="J42" s="7" t="inlineStr">
        <is>
          <t>6-K 2026-08-12 acc 0001104659-26-094844 nbis-20260812xex99d2.htm Note 7, p.F-24 | https://www.sec.gov/Archives/edgar/data/1513845/000110465926094844/nbis-20260812xex99d2.htm</t>
        </is>
      </c>
    </row>
    <row r="43">
      <c r="A43" s="7" t="n">
        <v>40</v>
      </c>
      <c r="B43" s="7" t="inlineStr">
        <is>
          <t>6-K since 12-Aug-2026: 2026-08-19 convert launch</t>
        </is>
      </c>
      <c r="C43" s="7" t="inlineStr">
        <is>
          <t>2026-08-19</t>
        </is>
      </c>
      <c r="D43" s="7" t="inlineStr">
        <is>
          <t>No mention of useful life, depreciation, impairment, write-down or write-off (only boilerplate "impair any right" language in indentures).</t>
        </is>
      </c>
      <c r="E43" s="7" t="inlineStr">
        <is>
          <t>CONFIRMED: no useful-life change, no impairment</t>
        </is>
      </c>
      <c r="F43" s="7" t="inlineStr">
        <is>
          <t>none</t>
        </is>
      </c>
      <c r="G43" s="7" t="inlineStr">
        <is>
          <t>Reported</t>
        </is>
      </c>
      <c r="H43" s="7" t="inlineStr">
        <is>
          <t>tm2623513d1_ex99-1.htm</t>
        </is>
      </c>
      <c r="I43" s="7" t="inlineStr">
        <is>
          <t>full-text search of 6-K cover + all exhibits</t>
        </is>
      </c>
      <c r="J43" s="7" t="inlineStr">
        <is>
          <t>6-K 2026-08-19 acc 0001104659-26-098590 tm2623513d1_ex99-1.htm full-text search of 6-K cover + all exhibits | https://www.sec.gov/Archives/edgar/data/1513845/000110465926098590/tm2623513d1_ex99-1.htm</t>
        </is>
      </c>
    </row>
    <row r="44">
      <c r="A44" s="7" t="n">
        <v>41</v>
      </c>
      <c r="B44" s="7" t="inlineStr">
        <is>
          <t>6-K since 12-Aug-2026: 2026-08-20 convert pricing/exchange</t>
        </is>
      </c>
      <c r="C44" s="7" t="inlineStr">
        <is>
          <t>2026-08-20</t>
        </is>
      </c>
      <c r="D44" s="7" t="inlineStr">
        <is>
          <t>No mention of useful life, depreciation, impairment, write-down or write-off (only boilerplate "impair any right" language in indentures).</t>
        </is>
      </c>
      <c r="E44" s="7" t="inlineStr">
        <is>
          <t>CONFIRMED: no useful-life change, no impairment</t>
        </is>
      </c>
      <c r="F44" s="7" t="inlineStr">
        <is>
          <t>none</t>
        </is>
      </c>
      <c r="G44" s="7" t="inlineStr">
        <is>
          <t>Reported</t>
        </is>
      </c>
      <c r="H44" s="7" t="inlineStr">
        <is>
          <t>tm2623617d1_ex99-1.htm</t>
        </is>
      </c>
      <c r="I44" s="7" t="inlineStr">
        <is>
          <t>full-text search of 6-K cover + all exhibits</t>
        </is>
      </c>
      <c r="J44" s="7" t="inlineStr">
        <is>
          <t>6-K 2026-08-20 acc 0001104659-26-098924 tm2623617d1_ex99-1.htm full-text search of 6-K cover + all exhibits | https://www.sec.gov/Archives/edgar/data/1513845/000110465926098924/tm2623617d1_ex99-1.htm</t>
        </is>
      </c>
    </row>
    <row r="45">
      <c r="A45" s="7" t="n">
        <v>42</v>
      </c>
      <c r="B45" s="7" t="inlineStr">
        <is>
          <t>6-K since 12-Aug-2026: 2026-08-24 convert closing + indentures Ex.4.1/4.3, exchange agmt Ex.4.5</t>
        </is>
      </c>
      <c r="C45" s="7" t="inlineStr">
        <is>
          <t>2026-08-24</t>
        </is>
      </c>
      <c r="D45" s="7" t="inlineStr">
        <is>
          <t>No mention of useful life, depreciation, impairment, write-down or write-off (only boilerplate "impair any right" language in indentures).</t>
        </is>
      </c>
      <c r="E45" s="7" t="inlineStr">
        <is>
          <t>CONFIRMED: no useful-life change, no impairment</t>
        </is>
      </c>
      <c r="F45" s="7" t="inlineStr">
        <is>
          <t>none</t>
        </is>
      </c>
      <c r="G45" s="7" t="inlineStr">
        <is>
          <t>Reported</t>
        </is>
      </c>
      <c r="H45" s="7" t="inlineStr">
        <is>
          <t>tm2623863d1_ex99-1.htm</t>
        </is>
      </c>
      <c r="I45" s="7" t="inlineStr">
        <is>
          <t>full-text search of 6-K cover + all exhibits</t>
        </is>
      </c>
      <c r="J45" s="7" t="inlineStr">
        <is>
          <t>6-K 2026-08-24 acc 0001104659-26-100347 tm2623863d1_ex99-1.htm full-text search of 6-K cover + all exhibits | https://www.sec.gov/Archives/edgar/data/1513845/000110465926100347/tm2623863d1_ex99-1.htm</t>
        </is>
      </c>
    </row>
    <row r="46">
      <c r="A46" s="7" t="n">
        <v>43</v>
      </c>
      <c r="B46" s="7" t="inlineStr">
        <is>
          <t>6-K since 12-Aug-2026: 2026-08-26 AGM results</t>
        </is>
      </c>
      <c r="C46" s="7" t="inlineStr">
        <is>
          <t>2026-08-26</t>
        </is>
      </c>
      <c r="D46" s="7" t="inlineStr">
        <is>
          <t>No mention of useful life, depreciation, impairment, write-down or write-off (only boilerplate "impair any right" language in indentures).</t>
        </is>
      </c>
      <c r="E46" s="7" t="inlineStr">
        <is>
          <t>CONFIRMED: no useful-life change, no impairment</t>
        </is>
      </c>
      <c r="F46" s="7" t="inlineStr">
        <is>
          <t>none</t>
        </is>
      </c>
      <c r="G46" s="7" t="inlineStr">
        <is>
          <t>Reported</t>
        </is>
      </c>
      <c r="H46" s="7" t="inlineStr">
        <is>
          <t>tm2624077d1_ex99-1.htm</t>
        </is>
      </c>
      <c r="I46" s="7" t="inlineStr">
        <is>
          <t>full-text search of 6-K cover + all exhibits</t>
        </is>
      </c>
      <c r="J46" s="7" t="inlineStr">
        <is>
          <t>6-K 2026-08-26 acc 0001104659-26-101076 tm2624077d1_ex99-1.htm full-text search of 6-K cover + all exhibits | https://www.sec.gov/Archives/edgar/data/1513845/000110465926101076/tm2624077d1_ex99-1.htm</t>
        </is>
      </c>
    </row>
    <row r="47">
      <c r="A47" s="7" t="n">
        <v>44</v>
      </c>
      <c r="B47" s="7" t="inlineStr">
        <is>
          <t>6-K since 12-Aug-2026: 2026-09-08 Palantir partnership</t>
        </is>
      </c>
      <c r="C47" s="7" t="inlineStr">
        <is>
          <t>2026-09-08</t>
        </is>
      </c>
      <c r="D47" s="7" t="inlineStr">
        <is>
          <t>No mention of useful life, depreciation, impairment, write-down or write-off (only boilerplate "impair any right" language in indentures).</t>
        </is>
      </c>
      <c r="E47" s="7" t="inlineStr">
        <is>
          <t>CONFIRMED: no useful-life change, no impairment</t>
        </is>
      </c>
      <c r="F47" s="7" t="inlineStr">
        <is>
          <t>none</t>
        </is>
      </c>
      <c r="G47" s="7" t="inlineStr">
        <is>
          <t>Reported</t>
        </is>
      </c>
      <c r="H47" s="7" t="inlineStr">
        <is>
          <t>tm2624958d1_ex99-1.htm</t>
        </is>
      </c>
      <c r="I47" s="7" t="inlineStr">
        <is>
          <t>full-text search of 6-K cover + all exhibits</t>
        </is>
      </c>
      <c r="J47" s="7" t="inlineStr">
        <is>
          <t>6-K 2026-09-08 acc 0001104659-26-105749 tm2624958d1_ex99-1.htm full-text search of 6-K cover + all exhibits | https://www.sec.gov/Archives/edgar/data/1513845/000110465926105749/tm2624958d1_ex99-1.htm</t>
        </is>
      </c>
    </row>
    <row r="48">
      <c r="A48" s="7" t="n">
        <v>45</v>
      </c>
      <c r="B48" s="7" t="inlineStr">
        <is>
          <t>6-K since 12-Aug-2026: 2026-10-01 Inferize acquisition</t>
        </is>
      </c>
      <c r="C48" s="7" t="inlineStr">
        <is>
          <t>2026-10-01</t>
        </is>
      </c>
      <c r="D48" s="7" t="inlineStr">
        <is>
          <t>No mention of useful life, depreciation, impairment, write-down or write-off (only boilerplate "impair any right" language in indentures).</t>
        </is>
      </c>
      <c r="E48" s="7" t="inlineStr">
        <is>
          <t>CONFIRMED: no useful-life change, no impairment</t>
        </is>
      </c>
      <c r="F48" s="7" t="inlineStr">
        <is>
          <t>none</t>
        </is>
      </c>
      <c r="G48" s="7" t="inlineStr">
        <is>
          <t>Reported</t>
        </is>
      </c>
      <c r="H48" s="7" t="inlineStr">
        <is>
          <t>tm2626792d1_ex99-1.htm</t>
        </is>
      </c>
      <c r="I48" s="7" t="inlineStr">
        <is>
          <t>full-text search of 6-K cover + all exhibits</t>
        </is>
      </c>
      <c r="J48" s="7" t="inlineStr">
        <is>
          <t>6-K 2026-10-01 acc 0001104659-26-112824 tm2626792d1_ex99-1.htm full-text search of 6-K cover + all exhibits | https://www.sec.gov/Archives/edgar/data/1513845/000110465926112824/tm2626792d1_ex99-1.htm</t>
        </is>
      </c>
    </row>
    <row r="49">
      <c r="A49" s="7" t="n">
        <v>46</v>
      </c>
      <c r="B49" s="7" t="inlineStr">
        <is>
          <t>EDGAR filing list check</t>
        </is>
      </c>
      <c r="C49" s="7" t="inlineStr">
        <is>
          <t>through 04-Oct-2026</t>
        </is>
      </c>
      <c r="D49" s="7" t="inlineStr">
        <is>
          <t>EDGAR submissions index: 6 6-Ks after the 12-Aug-2026 Q2 filings (8/19, 8/20, 8/24, 8/26, 9/8, 10/1); other filings are Forms 4 and 144 only. No 6-K/A, 20-F/A or 8-K-type restatement.</t>
        </is>
      </c>
      <c r="E49" s="7" t="inlineStr">
        <is>
          <t>Checked 4-Oct-2026 ~6:30 PM ET</t>
        </is>
      </c>
      <c r="F49" s="7" t="inlineStr">
        <is>
          <t>6 6-Ks</t>
        </is>
      </c>
      <c r="G49" s="7" t="inlineStr">
        <is>
          <t>Reported</t>
        </is>
      </c>
      <c r="H49" s="7" t="inlineStr">
        <is>
          <t>EDGAR index</t>
        </is>
      </c>
      <c r="I49" s="7" t="inlineStr">
        <is>
          <t>n/a</t>
        </is>
      </c>
      <c r="J49" s="7" t="inlineStr">
        <is>
          <t>https://www.sec.gov/cgi-bin/browse-edgar?action=getcompany&amp;CIK=1513845&amp;type=6-K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Key</t>
        </is>
      </c>
      <c r="B1" s="1" t="inlineStr">
        <is>
          <t>Form</t>
        </is>
      </c>
      <c r="C1" s="1" t="inlineStr">
        <is>
          <t>Filing date</t>
        </is>
      </c>
      <c r="D1" s="1" t="inlineStr">
        <is>
          <t>Accession</t>
        </is>
      </c>
      <c r="E1" s="1" t="inlineStr">
        <is>
          <t>Document</t>
        </is>
      </c>
      <c r="F1" s="1" t="inlineStr">
        <is>
          <t>Description</t>
        </is>
      </c>
      <c r="G1" s="1" t="inlineStr">
        <is>
          <t>URL</t>
        </is>
      </c>
    </row>
    <row r="2">
      <c r="A2" t="inlineStr">
        <is>
          <t>Q2PR</t>
        </is>
      </c>
      <c r="B2" t="inlineStr">
        <is>
          <t>6-K</t>
        </is>
      </c>
      <c r="C2" t="inlineStr">
        <is>
          <t>2026-08-12</t>
        </is>
      </c>
      <c r="D2" t="inlineStr">
        <is>
          <t>0001104659-26-094568</t>
        </is>
      </c>
      <c r="E2" t="inlineStr">
        <is>
          <t>tm2622968d1_ex99-1.htm</t>
        </is>
      </c>
      <c r="F2" t="inlineStr">
        <is>
          <t>Q2 2026 results press release (Ex.99.1)</t>
        </is>
      </c>
      <c r="G2" t="inlineStr">
        <is>
          <t>https://www.sec.gov/Archives/edgar/data/1513845/000110465926094568/tm2622968d1_ex99-1.htm</t>
        </is>
      </c>
    </row>
    <row r="3">
      <c r="A3" t="inlineStr">
        <is>
          <t>Q2LTR</t>
        </is>
      </c>
      <c r="B3" t="inlineStr">
        <is>
          <t>6-K</t>
        </is>
      </c>
      <c r="C3" t="inlineStr">
        <is>
          <t>2026-08-12</t>
        </is>
      </c>
      <c r="D3" t="inlineStr">
        <is>
          <t>0001104659-26-094568</t>
        </is>
      </c>
      <c r="E3" t="inlineStr">
        <is>
          <t>tm2622968d1_ex99-2.htm</t>
        </is>
      </c>
      <c r="F3" t="inlineStr">
        <is>
          <t>Q2 2026 shareholder letter (Ex.99.2)</t>
        </is>
      </c>
      <c r="G3" t="inlineStr">
        <is>
          <t>https://www.sec.gov/Archives/edgar/data/1513845/000110465926094568/tm2622968d1_ex99-2.htm</t>
        </is>
      </c>
    </row>
    <row r="4">
      <c r="A4" t="inlineStr">
        <is>
          <t>Q2FS</t>
        </is>
      </c>
      <c r="B4" t="inlineStr">
        <is>
          <t>6-K</t>
        </is>
      </c>
      <c r="C4" t="inlineStr">
        <is>
          <t>2026-08-12</t>
        </is>
      </c>
      <c r="D4" t="inlineStr">
        <is>
          <t>0001104659-26-094844</t>
        </is>
      </c>
      <c r="E4" t="inlineStr">
        <is>
          <t>nbis-20260812xex99d2.htm</t>
        </is>
      </c>
      <c r="F4" t="inlineStr">
        <is>
          <t>Q2 2026 unaudited interim financial statements (Ex.99.2)</t>
        </is>
      </c>
      <c r="G4" t="inlineStr">
        <is>
          <t>https://www.sec.gov/Archives/edgar/data/1513845/000110465926094844/nbis-20260812xex99d2.htm</t>
        </is>
      </c>
    </row>
    <row r="5">
      <c r="A5" t="inlineStr">
        <is>
          <t>Q2MDA</t>
        </is>
      </c>
      <c r="B5" t="inlineStr">
        <is>
          <t>6-K</t>
        </is>
      </c>
      <c r="C5" t="inlineStr">
        <is>
          <t>2026-08-12</t>
        </is>
      </c>
      <c r="D5" t="inlineStr">
        <is>
          <t>0001104659-26-094844</t>
        </is>
      </c>
      <c r="E5" t="inlineStr">
        <is>
          <t>nbis-20260812xex99d1.htm</t>
        </is>
      </c>
      <c r="F5" t="inlineStr">
        <is>
          <t>Q2 2026 interim MD&amp;A/OFR (Ex.99.1)</t>
        </is>
      </c>
      <c r="G5" t="inlineStr">
        <is>
          <t>https://www.sec.gov/Archives/edgar/data/1513845/000110465926094844/nbis-20260812xex99d1.htm</t>
        </is>
      </c>
    </row>
    <row r="6">
      <c r="A6" t="inlineStr">
        <is>
          <t>Q1PR</t>
        </is>
      </c>
      <c r="B6" t="inlineStr">
        <is>
          <t>6-K</t>
        </is>
      </c>
      <c r="C6" t="inlineStr">
        <is>
          <t>2026-05-13</t>
        </is>
      </c>
      <c r="D6" t="inlineStr">
        <is>
          <t>0001104659-26-059872</t>
        </is>
      </c>
      <c r="E6" t="inlineStr">
        <is>
          <t>tm2614392d1_ex99-1.htm</t>
        </is>
      </c>
      <c r="F6" t="inlineStr">
        <is>
          <t>Q1 2026 results press release (Ex.99.1)</t>
        </is>
      </c>
      <c r="G6" t="inlineStr">
        <is>
          <t>https://www.sec.gov/Archives/edgar/data/1513845/000110465926059872/tm2614392d1_ex99-1.htm</t>
        </is>
      </c>
    </row>
    <row r="7">
      <c r="A7" t="inlineStr">
        <is>
          <t>Q1LTR</t>
        </is>
      </c>
      <c r="B7" t="inlineStr">
        <is>
          <t>6-K</t>
        </is>
      </c>
      <c r="C7" t="inlineStr">
        <is>
          <t>2026-05-13</t>
        </is>
      </c>
      <c r="D7" t="inlineStr">
        <is>
          <t>0001104659-26-059872</t>
        </is>
      </c>
      <c r="E7" t="inlineStr">
        <is>
          <t>tm2614392d1_ex99-2.htm</t>
        </is>
      </c>
      <c r="F7" t="inlineStr">
        <is>
          <t>Q1 2026 shareholder letter (Ex.99.2)</t>
        </is>
      </c>
      <c r="G7" t="inlineStr">
        <is>
          <t>https://www.sec.gov/Archives/edgar/data/1513845/000110465926059872/tm2614392d1_ex99-2.htm</t>
        </is>
      </c>
    </row>
    <row r="8">
      <c r="A8" t="inlineStr">
        <is>
          <t>Q1FS</t>
        </is>
      </c>
      <c r="B8" t="inlineStr">
        <is>
          <t>6-K</t>
        </is>
      </c>
      <c r="C8" t="inlineStr">
        <is>
          <t>2026-05-20</t>
        </is>
      </c>
      <c r="D8" t="inlineStr">
        <is>
          <t>0001104659-26-064092</t>
        </is>
      </c>
      <c r="E8" t="inlineStr">
        <is>
          <t>nbis-20260331xex99d2.htm</t>
        </is>
      </c>
      <c r="F8" t="inlineStr">
        <is>
          <t>Q1 2026 unaudited interim financial statements (Ex.99.2)</t>
        </is>
      </c>
      <c r="G8" t="inlineStr">
        <is>
          <t>https://www.sec.gov/Archives/edgar/data/1513845/000110465926064092/nbis-20260331xex99d2.htm</t>
        </is>
      </c>
    </row>
    <row r="9">
      <c r="A9" t="inlineStr">
        <is>
          <t>Q4PR</t>
        </is>
      </c>
      <c r="B9" t="inlineStr">
        <is>
          <t>6-K</t>
        </is>
      </c>
      <c r="C9" t="inlineStr">
        <is>
          <t>2026-02-12</t>
        </is>
      </c>
      <c r="D9" t="inlineStr">
        <is>
          <t>0001104659-26-013946</t>
        </is>
      </c>
      <c r="E9" t="inlineStr">
        <is>
          <t>tm266173d1_ex99-1.htm</t>
        </is>
      </c>
      <c r="F9" t="inlineStr">
        <is>
          <t>Q4/FY2025 results press release (Ex.99.1)</t>
        </is>
      </c>
      <c r="G9" t="inlineStr">
        <is>
          <t>https://www.sec.gov/Archives/edgar/data/1513845/000110465926013946/tm266173d1_ex99-1.htm</t>
        </is>
      </c>
    </row>
    <row r="10">
      <c r="A10" t="inlineStr">
        <is>
          <t>Q4LTR</t>
        </is>
      </c>
      <c r="B10" t="inlineStr">
        <is>
          <t>6-K</t>
        </is>
      </c>
      <c r="C10" t="inlineStr">
        <is>
          <t>2026-02-12</t>
        </is>
      </c>
      <c r="D10" t="inlineStr">
        <is>
          <t>0001104659-26-013946</t>
        </is>
      </c>
      <c r="E10" t="inlineStr">
        <is>
          <t>tm266173d1_ex99-2.htm</t>
        </is>
      </c>
      <c r="F10" t="inlineStr">
        <is>
          <t>Q4 2025 shareholder letter (Ex.99.2)</t>
        </is>
      </c>
      <c r="G10" t="inlineStr">
        <is>
          <t>https://www.sec.gov/Archives/edgar/data/1513845/000110465926013946/tm266173d1_ex99-2.htm</t>
        </is>
      </c>
    </row>
    <row r="11">
      <c r="A11" t="inlineStr">
        <is>
          <t>20F25</t>
        </is>
      </c>
      <c r="B11" t="inlineStr">
        <is>
          <t>20-F</t>
        </is>
      </c>
      <c r="C11" t="inlineStr">
        <is>
          <t>2026-04-30</t>
        </is>
      </c>
      <c r="D11" t="inlineStr">
        <is>
          <t>0001104659-26-052948</t>
        </is>
      </c>
      <c r="E11" t="inlineStr">
        <is>
          <t>nbis-20251231x20f.htm</t>
        </is>
      </c>
      <c r="F11" t="inlineStr">
        <is>
          <t>Annual report FY2025</t>
        </is>
      </c>
      <c r="G11" t="inlineStr">
        <is>
          <t>https://www.sec.gov/Archives/edgar/data/1513845/000110465926052948/nbis-20251231x20f.htm</t>
        </is>
      </c>
    </row>
    <row r="12">
      <c r="A12" t="inlineStr">
        <is>
          <t>20FA25</t>
        </is>
      </c>
      <c r="B12" t="inlineStr">
        <is>
          <t>20-F/A</t>
        </is>
      </c>
      <c r="C12" t="inlineStr">
        <is>
          <t>2026-05-22</t>
        </is>
      </c>
      <c r="D12" t="inlineStr">
        <is>
          <t>0001104659-26-065681</t>
        </is>
      </c>
      <c r="E12" t="inlineStr">
        <is>
          <t>nbis-20251231x20fa.htm</t>
        </is>
      </c>
      <c r="F12" t="inlineStr">
        <is>
          <t>Amendment to FY2025 20-F</t>
        </is>
      </c>
      <c r="G12" t="inlineStr">
        <is>
          <t>https://www.sec.gov/Archives/edgar/data/1513845/000110465926065681/nbis-20251231x20fa.htm</t>
        </is>
      </c>
    </row>
    <row r="13">
      <c r="A13" t="inlineStr">
        <is>
          <t>Q3PR25</t>
        </is>
      </c>
      <c r="B13" t="inlineStr">
        <is>
          <t>6-K</t>
        </is>
      </c>
      <c r="C13" t="inlineStr">
        <is>
          <t>2025-11-12</t>
        </is>
      </c>
      <c r="D13" t="inlineStr">
        <is>
          <t>0001104659-25-109806</t>
        </is>
      </c>
      <c r="E13" t="inlineStr">
        <is>
          <t>tm2530882d1_ex99-1.htm</t>
        </is>
      </c>
      <c r="F13" t="inlineStr">
        <is>
          <t>Q3 2025 results press release (Ex.99.1)</t>
        </is>
      </c>
      <c r="G13" t="inlineStr">
        <is>
          <t>https://www.sec.gov/Archives/edgar/data/1513845/000110465925109806/tm2530882d1_ex99-1.htm</t>
        </is>
      </c>
    </row>
    <row r="14">
      <c r="A14" t="inlineStr">
        <is>
          <t>Q3LTR25</t>
        </is>
      </c>
      <c r="B14" t="inlineStr">
        <is>
          <t>6-K</t>
        </is>
      </c>
      <c r="C14" t="inlineStr">
        <is>
          <t>2025-11-12</t>
        </is>
      </c>
      <c r="D14" t="inlineStr">
        <is>
          <t>0001104659-25-109806</t>
        </is>
      </c>
      <c r="E14" t="inlineStr">
        <is>
          <t>tm2530882d1_ex99-2.htm</t>
        </is>
      </c>
      <c r="F14" t="inlineStr">
        <is>
          <t>Q3 2025 shareholder letter (Ex.99.2)</t>
        </is>
      </c>
      <c r="G14" t="inlineStr">
        <is>
          <t>https://www.sec.gov/Archives/edgar/data/1513845/000110465925109806/tm2530882d1_ex99-2.htm</t>
        </is>
      </c>
    </row>
    <row r="15">
      <c r="A15" t="inlineStr">
        <is>
          <t>Q3FS25</t>
        </is>
      </c>
      <c r="B15" t="inlineStr">
        <is>
          <t>6-K</t>
        </is>
      </c>
      <c r="C15" t="inlineStr">
        <is>
          <t>2025-11-13</t>
        </is>
      </c>
      <c r="D15" t="inlineStr">
        <is>
          <t>0001104659-25-110831</t>
        </is>
      </c>
      <c r="E15" t="inlineStr">
        <is>
          <t>tm2531034d1_ex99-1.htm</t>
        </is>
      </c>
      <c r="F15" t="inlineStr">
        <is>
          <t>Q3 2025 interim OFR/financial info (Ex.99.1)</t>
        </is>
      </c>
      <c r="G15" t="inlineStr">
        <is>
          <t>https://www.sec.gov/Archives/edgar/data/1513845/000110465925110831/tm2531034d1_ex99-1.htm</t>
        </is>
      </c>
    </row>
    <row r="16">
      <c r="A16" t="inlineStr">
        <is>
          <t>Q2PR25</t>
        </is>
      </c>
      <c r="B16" t="inlineStr">
        <is>
          <t>6-K</t>
        </is>
      </c>
      <c r="C16" t="inlineStr">
        <is>
          <t>2025-08-07</t>
        </is>
      </c>
      <c r="D16" t="inlineStr">
        <is>
          <t>0001104659-25-075028</t>
        </is>
      </c>
      <c r="E16" t="inlineStr">
        <is>
          <t>tm2522866d1_ex99-1.htm</t>
        </is>
      </c>
      <c r="F16" t="inlineStr">
        <is>
          <t>Q2 2025 results press release (Ex.99.1)</t>
        </is>
      </c>
      <c r="G16" t="inlineStr">
        <is>
          <t>https://www.sec.gov/Archives/edgar/data/1513845/000110465925075028/tm2522866d1_ex99-1.htm</t>
        </is>
      </c>
    </row>
    <row r="17">
      <c r="A17" t="inlineStr">
        <is>
          <t>Q2LTR25</t>
        </is>
      </c>
      <c r="B17" t="inlineStr">
        <is>
          <t>6-K</t>
        </is>
      </c>
      <c r="C17" t="inlineStr">
        <is>
          <t>2025-08-07</t>
        </is>
      </c>
      <c r="D17" t="inlineStr">
        <is>
          <t>0001104659-25-075028</t>
        </is>
      </c>
      <c r="E17" t="inlineStr">
        <is>
          <t>tm2522866d1_ex99-2.htm</t>
        </is>
      </c>
      <c r="F17" t="inlineStr">
        <is>
          <t>Q2 2025 shareholder letter (Ex.99.2)</t>
        </is>
      </c>
      <c r="G17" t="inlineStr">
        <is>
          <t>https://www.sec.gov/Archives/edgar/data/1513845/000110465925075028/tm2522866d1_ex99-2.htm</t>
        </is>
      </c>
    </row>
    <row r="18">
      <c r="A18" t="inlineStr">
        <is>
          <t>H1FS25</t>
        </is>
      </c>
      <c r="B18" t="inlineStr">
        <is>
          <t>6-K</t>
        </is>
      </c>
      <c r="C18" t="inlineStr">
        <is>
          <t>2025-09-10</t>
        </is>
      </c>
      <c r="D18" t="inlineStr">
        <is>
          <t>0001104659-25-088860</t>
        </is>
      </c>
      <c r="E18" t="inlineStr">
        <is>
          <t>tm2525580d2_ex99-1.htm</t>
        </is>
      </c>
      <c r="F18" t="inlineStr">
        <is>
          <t>H1 2025 interim OFR/financial info (Ex.99.1)</t>
        </is>
      </c>
      <c r="G18" t="inlineStr">
        <is>
          <t>https://www.sec.gov/Archives/edgar/data/1513845/000110465925088860/tm2525580d2_ex99-1.htm</t>
        </is>
      </c>
    </row>
    <row r="19">
      <c r="A19" t="inlineStr">
        <is>
          <t>Q1PR25</t>
        </is>
      </c>
      <c r="B19" t="inlineStr">
        <is>
          <t>6-K</t>
        </is>
      </c>
      <c r="C19" t="inlineStr">
        <is>
          <t>2025-05-20</t>
        </is>
      </c>
      <c r="D19" t="inlineStr">
        <is>
          <t>0001104659-25-050975</t>
        </is>
      </c>
      <c r="E19" t="inlineStr">
        <is>
          <t>tm2515580d1_ex99-1.htm</t>
        </is>
      </c>
      <c r="F19" t="inlineStr">
        <is>
          <t>Q1 2025 results press release (Ex.99.1)</t>
        </is>
      </c>
      <c r="G19" t="inlineStr">
        <is>
          <t>https://www.sec.gov/Archives/edgar/data/1513845/000110465925050975/tm2515580d1_ex99-1.htm</t>
        </is>
      </c>
    </row>
    <row r="20">
      <c r="A20" t="inlineStr">
        <is>
          <t>Q1LTR25</t>
        </is>
      </c>
      <c r="B20" t="inlineStr">
        <is>
          <t>6-K</t>
        </is>
      </c>
      <c r="C20" t="inlineStr">
        <is>
          <t>2025-05-20</t>
        </is>
      </c>
      <c r="D20" t="inlineStr">
        <is>
          <t>0001104659-25-050975</t>
        </is>
      </c>
      <c r="E20" t="inlineStr">
        <is>
          <t>tm2515580d1_ex99-2.htm</t>
        </is>
      </c>
      <c r="F20" t="inlineStr">
        <is>
          <t>Q1 2025 shareholder letter (Ex.99.2)</t>
        </is>
      </c>
      <c r="G20" t="inlineStr">
        <is>
          <t>https://www.sec.gov/Archives/edgar/data/1513845/000110465925050975/tm2515580d1_ex99-2.htm</t>
        </is>
      </c>
    </row>
    <row r="21">
      <c r="A21" t="inlineStr">
        <is>
          <t>Q4PR24</t>
        </is>
      </c>
      <c r="B21" t="inlineStr">
        <is>
          <t>6-K</t>
        </is>
      </c>
      <c r="C21" t="inlineStr">
        <is>
          <t>2025-02-20</t>
        </is>
      </c>
      <c r="D21" t="inlineStr">
        <is>
          <t>0001104659-25-015480</t>
        </is>
      </c>
      <c r="E21" t="inlineStr">
        <is>
          <t>tm257185d1_ex99-1.htm</t>
        </is>
      </c>
      <c r="F21" t="inlineStr">
        <is>
          <t>Q4/FY2024 results press release (Ex.99.1)</t>
        </is>
      </c>
      <c r="G21" t="inlineStr">
        <is>
          <t>https://www.sec.gov/Archives/edgar/data/1513845/000110465925015480/tm257185d1_ex99-1.htm</t>
        </is>
      </c>
    </row>
    <row r="22">
      <c r="A22" t="inlineStr">
        <is>
          <t>20F24</t>
        </is>
      </c>
      <c r="B22" t="inlineStr">
        <is>
          <t>20-F</t>
        </is>
      </c>
      <c r="C22" t="inlineStr">
        <is>
          <t>2025-04-30</t>
        </is>
      </c>
      <c r="D22" t="inlineStr">
        <is>
          <t>0001558370-25-005991</t>
        </is>
      </c>
      <c r="E22" t="inlineStr">
        <is>
          <t>nbis-20241231x20f.htm</t>
        </is>
      </c>
      <c r="F22" t="inlineStr">
        <is>
          <t>Annual report FY2024</t>
        </is>
      </c>
      <c r="G22" t="inlineStr">
        <is>
          <t>https://www.sec.gov/Archives/edgar/data/1513845/000155837025005991/nbis-20241231x20f.htm</t>
        </is>
      </c>
    </row>
    <row r="23">
      <c r="A23" t="inlineStr">
        <is>
          <t>Q3PR24</t>
        </is>
      </c>
      <c r="B23" t="inlineStr">
        <is>
          <t>6-K</t>
        </is>
      </c>
      <c r="C23" t="inlineStr">
        <is>
          <t>2024-10-31</t>
        </is>
      </c>
      <c r="D23" t="inlineStr">
        <is>
          <t>0001104659-24-112875</t>
        </is>
      </c>
      <c r="E23" t="inlineStr">
        <is>
          <t>tm2427209d1_ex99-1.htm</t>
        </is>
      </c>
      <c r="F23" t="inlineStr">
        <is>
          <t>Q3 2024 results press release (Ex.99.1)</t>
        </is>
      </c>
      <c r="G23" t="inlineStr">
        <is>
          <t>https://www.sec.gov/Archives/edgar/data/1513845/000110465924112875/tm2427209d1_ex99-1.htm</t>
        </is>
      </c>
    </row>
    <row r="24">
      <c r="A24" t="inlineStr">
        <is>
          <t>PRES24</t>
        </is>
      </c>
      <c r="B24" t="inlineStr">
        <is>
          <t>6-K</t>
        </is>
      </c>
      <c r="C24" t="inlineStr">
        <is>
          <t>2024-10-18</t>
        </is>
      </c>
      <c r="D24" t="inlineStr">
        <is>
          <t>0001104659-24-109850</t>
        </is>
      </c>
      <c r="E24" t="inlineStr">
        <is>
          <t>tm2426436d1_ex99-1.htm</t>
        </is>
      </c>
      <c r="F24" t="inlineStr">
        <is>
          <t>Investor presentation Oct 2024 (Ex.99.1)</t>
        </is>
      </c>
      <c r="G24" t="inlineStr">
        <is>
          <t>https://www.sec.gov/Archives/edgar/data/1513845/000110465924109850/tm2426436d1_ex99-1.htm</t>
        </is>
      </c>
    </row>
    <row r="25">
      <c r="A25" t="inlineStr">
        <is>
          <t>Q2PR24</t>
        </is>
      </c>
      <c r="B25" t="inlineStr">
        <is>
          <t>6-K</t>
        </is>
      </c>
      <c r="C25" t="inlineStr">
        <is>
          <t>2024-08-01</t>
        </is>
      </c>
      <c r="D25" t="inlineStr">
        <is>
          <t>0001513845-24-000024</t>
        </is>
      </c>
      <c r="E25" t="inlineStr">
        <is>
          <t>tmb-20240630xex99d1.htm</t>
        </is>
      </c>
      <c r="F25" t="inlineStr">
        <is>
          <t>Q2 2024 results press release (Ex.99.1)</t>
        </is>
      </c>
      <c r="G25" t="inlineStr">
        <is>
          <t>https://www.sec.gov/Archives/edgar/data/1513845/000151384524000024/tmb-20240630xex99d1.htm</t>
        </is>
      </c>
    </row>
    <row r="26">
      <c r="A26" t="inlineStr">
        <is>
          <t>JUN25</t>
        </is>
      </c>
      <c r="B26" t="inlineStr">
        <is>
          <t>6-K</t>
        </is>
      </c>
      <c r="C26" t="inlineStr">
        <is>
          <t>2025-06-02</t>
        </is>
      </c>
      <c r="D26" t="inlineStr">
        <is>
          <t>0001104659-25-055197</t>
        </is>
      </c>
      <c r="E26" t="inlineStr">
        <is>
          <t>tm2516825d1_ex99-1.htm</t>
        </is>
      </c>
      <c r="F26" t="inlineStr">
        <is>
          <t>June 2025 $1B convertible notes PR (Ex.99.1)</t>
        </is>
      </c>
      <c r="G26" t="inlineStr">
        <is>
          <t>https://www.sec.gov/Archives/edgar/data/1513845/000110465925055197/tm2516825d1_ex99-1.htm</t>
        </is>
      </c>
    </row>
    <row r="27">
      <c r="A27" t="inlineStr">
        <is>
          <t>SEP25P</t>
        </is>
      </c>
      <c r="B27" t="inlineStr">
        <is>
          <t>6-K</t>
        </is>
      </c>
      <c r="C27" t="inlineStr">
        <is>
          <t>2025-09-12</t>
        </is>
      </c>
      <c r="D27" t="inlineStr">
        <is>
          <t>0001410578-25-002149</t>
        </is>
      </c>
      <c r="E27" t="inlineStr">
        <is>
          <t>tm2525503d8_ex99-2.htm</t>
        </is>
      </c>
      <c r="F27" t="inlineStr">
        <is>
          <t>Sept 2025 convert pricing PR (Ex.99.2)</t>
        </is>
      </c>
      <c r="G27" t="inlineStr">
        <is>
          <t>https://www.sec.gov/Archives/edgar/data/1513845/000141057825002149/tm2525503d8_ex99-2.htm</t>
        </is>
      </c>
    </row>
    <row r="28">
      <c r="A28" t="inlineStr">
        <is>
          <t>SEP25C</t>
        </is>
      </c>
      <c r="B28" t="inlineStr">
        <is>
          <t>6-K</t>
        </is>
      </c>
      <c r="C28" t="inlineStr">
        <is>
          <t>2025-09-15</t>
        </is>
      </c>
      <c r="D28" t="inlineStr">
        <is>
          <t>0001104659-25-089969</t>
        </is>
      </c>
      <c r="E28" t="inlineStr">
        <is>
          <t>tm2525580d4_ex99-1.htm</t>
        </is>
      </c>
      <c r="F28" t="inlineStr">
        <is>
          <t>Sept 2025 convert/equity closing PR (Ex.99.1)</t>
        </is>
      </c>
      <c r="G28" t="inlineStr">
        <is>
          <t>https://www.sec.gov/Archives/edgar/data/1513845/000110465925089969/tm2525580d4_ex99-1.htm</t>
        </is>
      </c>
    </row>
    <row r="29">
      <c r="A29" t="inlineStr">
        <is>
          <t>MAR26P</t>
        </is>
      </c>
      <c r="B29" t="inlineStr">
        <is>
          <t>6-K</t>
        </is>
      </c>
      <c r="C29" t="inlineStr">
        <is>
          <t>2026-03-18</t>
        </is>
      </c>
      <c r="D29" t="inlineStr">
        <is>
          <t>0001104659-26-029863</t>
        </is>
      </c>
      <c r="E29" t="inlineStr">
        <is>
          <t>tm268409d3_ex99-1.htm</t>
        </is>
      </c>
      <c r="F29" t="inlineStr">
        <is>
          <t>Mar 2026 convert pricing PR (Ex.99.1)</t>
        </is>
      </c>
      <c r="G29" t="inlineStr">
        <is>
          <t>https://www.sec.gov/Archives/edgar/data/1513845/000110465926029863/tm268409d3_ex99-1.htm</t>
        </is>
      </c>
    </row>
    <row r="30">
      <c r="A30" t="inlineStr">
        <is>
          <t>MAR26C</t>
        </is>
      </c>
      <c r="B30" t="inlineStr">
        <is>
          <t>6-K</t>
        </is>
      </c>
      <c r="C30" t="inlineStr">
        <is>
          <t>2026-03-20</t>
        </is>
      </c>
      <c r="D30" t="inlineStr">
        <is>
          <t>0001104659-26-032735</t>
        </is>
      </c>
      <c r="E30" t="inlineStr">
        <is>
          <t>tm268409d4_ex99-1.htm</t>
        </is>
      </c>
      <c r="F30" t="inlineStr">
        <is>
          <t>Mar 2026 convert closing PR (Ex.99.1); indentures Ex.4.1/4.3</t>
        </is>
      </c>
      <c r="G30" t="inlineStr">
        <is>
          <t>https://www.sec.gov/Archives/edgar/data/1513845/000110465926032735/tm268409d4_ex99-1.htm</t>
        </is>
      </c>
    </row>
    <row r="31">
      <c r="A31" t="inlineStr">
        <is>
          <t>AUG26L</t>
        </is>
      </c>
      <c r="B31" t="inlineStr">
        <is>
          <t>6-K</t>
        </is>
      </c>
      <c r="C31" t="inlineStr">
        <is>
          <t>2026-08-19</t>
        </is>
      </c>
      <c r="D31" t="inlineStr">
        <is>
          <t>0001104659-26-098590</t>
        </is>
      </c>
      <c r="E31" t="inlineStr">
        <is>
          <t>tm2623513d1_ex99-1.htm</t>
        </is>
      </c>
      <c r="F31" t="inlineStr">
        <is>
          <t>Aug 2026 convert launch PR (Ex.99.1)</t>
        </is>
      </c>
      <c r="G31" t="inlineStr">
        <is>
          <t>https://www.sec.gov/Archives/edgar/data/1513845/000110465926098590/tm2623513d1_ex99-1.htm</t>
        </is>
      </c>
    </row>
    <row r="32">
      <c r="A32" t="inlineStr">
        <is>
          <t>AUG26P</t>
        </is>
      </c>
      <c r="B32" t="inlineStr">
        <is>
          <t>6-K</t>
        </is>
      </c>
      <c r="C32" t="inlineStr">
        <is>
          <t>2026-08-20</t>
        </is>
      </c>
      <c r="D32" t="inlineStr">
        <is>
          <t>0001104659-26-098924</t>
        </is>
      </c>
      <c r="E32" t="inlineStr">
        <is>
          <t>tm2623617d1_ex99-1.htm</t>
        </is>
      </c>
      <c r="F32" t="inlineStr">
        <is>
          <t>Aug 2026 convert pricing + exchange PR (Ex.99.1)</t>
        </is>
      </c>
      <c r="G32" t="inlineStr">
        <is>
          <t>https://www.sec.gov/Archives/edgar/data/1513845/000110465926098924/tm2623617d1_ex99-1.htm</t>
        </is>
      </c>
    </row>
    <row r="33">
      <c r="A33" t="inlineStr">
        <is>
          <t>AUG26C</t>
        </is>
      </c>
      <c r="B33" t="inlineStr">
        <is>
          <t>6-K</t>
        </is>
      </c>
      <c r="C33" t="inlineStr">
        <is>
          <t>2026-08-24</t>
        </is>
      </c>
      <c r="D33" t="inlineStr">
        <is>
          <t>0001104659-26-100347</t>
        </is>
      </c>
      <c r="E33" t="inlineStr">
        <is>
          <t>tm2623863d1_ex99-1.htm</t>
        </is>
      </c>
      <c r="F33" t="inlineStr">
        <is>
          <t>Aug 2026 convert closing PR (Ex.99.1); indentures Ex.4.1 (2030), Ex.4.3 (2034), exchange agmt Ex.4.5</t>
        </is>
      </c>
      <c r="G33" t="inlineStr">
        <is>
          <t>https://www.sec.gov/Archives/edgar/data/1513845/000110465926100347/tm2623863d1_ex99-1.htm</t>
        </is>
      </c>
    </row>
    <row r="34">
      <c r="A34" t="inlineStr">
        <is>
          <t>ABL</t>
        </is>
      </c>
      <c r="B34" t="inlineStr">
        <is>
          <t>6-K/A</t>
        </is>
      </c>
      <c r="C34" t="inlineStr">
        <is>
          <t>2026-07-17</t>
        </is>
      </c>
      <c r="D34" t="inlineStr">
        <is>
          <t>0001104659-26-084606</t>
        </is>
      </c>
      <c r="E34" t="inlineStr">
        <is>
          <t>tm2620779d1_6ka.htm</t>
        </is>
      </c>
      <c r="F34" t="inlineStr">
        <is>
          <t>Senior secured facility ($775M) 6-K/A + PR Ex.99.1</t>
        </is>
      </c>
      <c r="G34" t="inlineStr">
        <is>
          <t>https://www.sec.gov/Archives/edgar/data/1513845/000110465926084606/tm2620779d1_6ka.htm</t>
        </is>
      </c>
    </row>
    <row r="35">
      <c r="A35" t="inlineStr">
        <is>
          <t>MSFT</t>
        </is>
      </c>
      <c r="B35" t="inlineStr">
        <is>
          <t>6-K</t>
        </is>
      </c>
      <c r="C35" t="inlineStr">
        <is>
          <t>2025-09-08</t>
        </is>
      </c>
      <c r="D35" t="inlineStr">
        <is>
          <t>0001104659-25-088312</t>
        </is>
      </c>
      <c r="E35" t="inlineStr">
        <is>
          <t>tm2525580d1_6k.htm</t>
        </is>
      </c>
      <c r="F35" t="inlineStr">
        <is>
          <t>Microsoft commercial agreement 6-K</t>
        </is>
      </c>
      <c r="G35" t="inlineStr">
        <is>
          <t>https://www.sec.gov/Archives/edgar/data/1513845/000110465925088312/tm2525580d1_6k.htm</t>
        </is>
      </c>
    </row>
    <row r="36">
      <c r="A36" t="inlineStr">
        <is>
          <t>META26</t>
        </is>
      </c>
      <c r="B36" t="inlineStr">
        <is>
          <t>6-K</t>
        </is>
      </c>
      <c r="C36" t="inlineStr">
        <is>
          <t>2026-03-16</t>
        </is>
      </c>
      <c r="D36" t="inlineStr">
        <is>
          <t>0001104659-26-027886</t>
        </is>
      </c>
      <c r="E36" t="inlineStr">
        <is>
          <t>tm268879d1_ex99-1.htm</t>
        </is>
      </c>
      <c r="F36" t="inlineStr">
        <is>
          <t>Meta $27B agreement PR (Ex.99.1)</t>
        </is>
      </c>
      <c r="G36" t="inlineStr">
        <is>
          <t>https://www.sec.gov/Archives/edgar/data/1513845/000110465926027886/tm268879d1_ex99-1.htm</t>
        </is>
      </c>
    </row>
    <row r="37">
      <c r="A37" t="inlineStr">
        <is>
          <t>META25</t>
        </is>
      </c>
      <c r="B37" t="inlineStr">
        <is>
          <t>6-K</t>
        </is>
      </c>
      <c r="C37" t="inlineStr">
        <is>
          <t>2025-11-12</t>
        </is>
      </c>
      <c r="D37" t="inlineStr">
        <is>
          <t>0001104659-25-109803</t>
        </is>
      </c>
      <c r="E37" t="inlineStr">
        <is>
          <t>tm2530882d2_6k.htm</t>
        </is>
      </c>
      <c r="F37" t="inlineStr">
        <is>
          <t>Meta commercial agreement 6-K (Nov 2025)</t>
        </is>
      </c>
      <c r="G37" t="inlineStr">
        <is>
          <t>https://www.sec.gov/Archives/edgar/data/1513845/000110465925109803/tm2530882d2_6k.htm</t>
        </is>
      </c>
    </row>
    <row r="38">
      <c r="A38" t="inlineStr">
        <is>
          <t>META26K</t>
        </is>
      </c>
      <c r="B38" t="inlineStr">
        <is>
          <t>6-K</t>
        </is>
      </c>
      <c r="C38" t="inlineStr">
        <is>
          <t>2026-03-16</t>
        </is>
      </c>
      <c r="D38" t="inlineStr">
        <is>
          <t>0001104659-26-027886</t>
        </is>
      </c>
      <c r="E38" t="inlineStr">
        <is>
          <t>tm268879d1_6k.htm</t>
        </is>
      </c>
      <c r="F38" t="inlineStr">
        <is>
          <t>Meta $27B agreement 6-K body</t>
        </is>
      </c>
      <c r="G38" t="inlineStr">
        <is>
          <t>https://www.sec.gov/Archives/edgar/data/1513845/000110465926027886/tm268879d1_6k.htm</t>
        </is>
      </c>
    </row>
    <row r="39">
      <c r="A39" t="inlineStr">
        <is>
          <t>NVDA</t>
        </is>
      </c>
      <c r="B39" t="inlineStr">
        <is>
          <t>6-K</t>
        </is>
      </c>
      <c r="C39" t="inlineStr">
        <is>
          <t>2026-03-11</t>
        </is>
      </c>
      <c r="D39" t="inlineStr">
        <is>
          <t>0001104659-26-026163</t>
        </is>
      </c>
      <c r="E39" t="inlineStr">
        <is>
          <t>tm268532d1_ex99-1.htm</t>
        </is>
      </c>
      <c r="F39" t="inlineStr">
        <is>
          <t>NVIDIA partnership / $2B investment PR (Ex.99.1)</t>
        </is>
      </c>
      <c r="G39" t="inlineStr">
        <is>
          <t>https://www.sec.gov/Archives/edgar/data/1513845/000110465926026163/tm268532d1_ex99-1.htm</t>
        </is>
      </c>
    </row>
    <row r="40">
      <c r="A40" t="inlineStr">
        <is>
          <t>NVDA13G</t>
        </is>
      </c>
      <c r="B40" t="inlineStr">
        <is>
          <t>SC 13G</t>
        </is>
      </c>
      <c r="C40" t="inlineStr">
        <is>
          <t>2026-07-20</t>
        </is>
      </c>
      <c r="D40" t="inlineStr">
        <is>
          <t>0001045810-26-000062</t>
        </is>
      </c>
      <c r="E40" t="inlineStr">
        <is>
          <t>primary_doc.xml</t>
        </is>
      </c>
      <c r="F40" t="inlineStr">
        <is>
          <t>NVIDIA Schedule 13G on NBIS</t>
        </is>
      </c>
      <c r="G40" t="inlineStr">
        <is>
          <t>https://www.sec.gov/Archives/edgar/data/1513845/000104581026000062/primary_doc.xml</t>
        </is>
      </c>
    </row>
    <row r="41">
      <c r="A41" t="inlineStr">
        <is>
          <t>AGM</t>
        </is>
      </c>
      <c r="B41" t="inlineStr">
        <is>
          <t>6-K</t>
        </is>
      </c>
      <c r="C41" t="inlineStr">
        <is>
          <t>2026-08-26</t>
        </is>
      </c>
      <c r="D41" t="inlineStr">
        <is>
          <t>0001104659-26-101076</t>
        </is>
      </c>
      <c r="E41" t="inlineStr">
        <is>
          <t>tm2624077d1_ex99-1.htm</t>
        </is>
      </c>
      <c r="F41" t="inlineStr">
        <is>
          <t>AGM results (share counts at record date)</t>
        </is>
      </c>
      <c r="G41" t="inlineStr">
        <is>
          <t>https://www.sec.gov/Archives/edgar/data/1513845/000110465926101076/tm2624077d1_ex99-1.htm</t>
        </is>
      </c>
    </row>
    <row r="42">
      <c r="A42" t="inlineStr">
        <is>
          <t>PLTR</t>
        </is>
      </c>
      <c r="B42" t="inlineStr">
        <is>
          <t>6-K</t>
        </is>
      </c>
      <c r="C42" t="inlineStr">
        <is>
          <t>2026-09-08</t>
        </is>
      </c>
      <c r="D42" t="inlineStr">
        <is>
          <t>0001104659-26-105749</t>
        </is>
      </c>
      <c r="E42" t="inlineStr">
        <is>
          <t>tm2624958d1_ex99-1.htm</t>
        </is>
      </c>
      <c r="F42" t="inlineStr">
        <is>
          <t>Palantir partnership PR</t>
        </is>
      </c>
      <c r="G42" t="inlineStr">
        <is>
          <t>https://www.sec.gov/Archives/edgar/data/1513845/000110465926105749/tm2624958d1_ex99-1.htm</t>
        </is>
      </c>
    </row>
    <row r="43">
      <c r="A43" t="inlineStr">
        <is>
          <t>INFZ</t>
        </is>
      </c>
      <c r="B43" t="inlineStr">
        <is>
          <t>6-K</t>
        </is>
      </c>
      <c r="C43" t="inlineStr">
        <is>
          <t>2026-10-01</t>
        </is>
      </c>
      <c r="D43" t="inlineStr">
        <is>
          <t>0001104659-26-112824</t>
        </is>
      </c>
      <c r="E43" t="inlineStr">
        <is>
          <t>tm2626792d1_ex99-1.htm</t>
        </is>
      </c>
      <c r="F43" t="inlineStr">
        <is>
          <t>Inferize acquisition PR</t>
        </is>
      </c>
      <c r="G43" t="inlineStr">
        <is>
          <t>https://www.sec.gov/Archives/edgar/data/1513845/000110465926112824/tm2626792d1_ex99-1.htm</t>
        </is>
      </c>
    </row>
    <row r="44">
      <c r="A44" t="inlineStr">
        <is>
          <t>CALL</t>
        </is>
      </c>
      <c r="B44" t="inlineStr">
        <is>
          <t>Transcript</t>
        </is>
      </c>
      <c r="C44" t="inlineStr">
        <is>
          <t>2026-08-12</t>
        </is>
      </c>
      <c r="D44" t="inlineStr">
        <is>
          <t>n/a</t>
        </is>
      </c>
      <c r="E44" t="inlineStr">
        <is>
          <t>fool.com</t>
        </is>
      </c>
      <c r="F44" t="inlineStr">
        <is>
          <t>Q2 2026 earnings call transcript (Motley Fool, 3rd party)</t>
        </is>
      </c>
      <c r="G44" t="inlineStr">
        <is>
          <t>https://www.fool.com/earnings/call-transcripts/2026/08/19/nebius-nbis-q2-2026-earnings-call-transcript/</t>
        </is>
      </c>
    </row>
    <row r="45">
      <c r="A45" t="inlineStr">
        <is>
          <t>PP24</t>
        </is>
      </c>
      <c r="B45" t="inlineStr">
        <is>
          <t>6-K</t>
        </is>
      </c>
      <c r="C45" t="inlineStr">
        <is>
          <t>2024-12-02</t>
        </is>
      </c>
      <c r="D45" t="inlineStr">
        <is>
          <t>0001104659-24-124570</t>
        </is>
      </c>
      <c r="E45" t="inlineStr">
        <is>
          <t>tm2429858d1_ex99-1.htm</t>
        </is>
      </c>
      <c r="F45" t="inlineStr">
        <is>
          <t>Dec 2024 $700M private placement PR (Ex.99.1)</t>
        </is>
      </c>
      <c r="G45" t="inlineStr">
        <is>
          <t>https://www.sec.gov/Archives/edgar/data/1513845/000110465924124570/tm2429858d1_ex99-1.htm</t>
        </is>
      </c>
    </row>
    <row r="46">
      <c r="A46" t="inlineStr">
        <is>
          <t>SEP25G</t>
        </is>
      </c>
      <c r="B46" t="inlineStr">
        <is>
          <t>6-K</t>
        </is>
      </c>
      <c r="C46" t="inlineStr">
        <is>
          <t>2025-09-22</t>
        </is>
      </c>
      <c r="D46" t="inlineStr">
        <is>
          <t>0001104659-25-091939</t>
        </is>
      </c>
      <c r="E46" t="inlineStr">
        <is>
          <t>tm2526625d1_ex99-1.htm</t>
        </is>
      </c>
      <c r="F46" t="inlineStr">
        <is>
          <t>Sept 2025 equity offering greenshoe exercise PR (Ex.99.1)</t>
        </is>
      </c>
      <c r="G46" t="inlineStr">
        <is>
          <t>https://www.sec.gov/Archives/edgar/data/1513845/000110465925091939/tm2526625d1_ex99-1.htm</t>
        </is>
      </c>
    </row>
    <row r="47">
      <c r="A47" t="inlineStr">
        <is>
          <t>IND29</t>
        </is>
      </c>
      <c r="B47" t="inlineStr">
        <is>
          <t>6-K</t>
        </is>
      </c>
      <c r="C47" t="inlineStr">
        <is>
          <t>2025-06-02</t>
        </is>
      </c>
      <c r="D47" t="inlineStr">
        <is>
          <t>0001104659-25-055197</t>
        </is>
      </c>
      <c r="E47" t="inlineStr">
        <is>
          <t>tm2516825d1_ex99-4.htm</t>
        </is>
      </c>
      <c r="F47" t="inlineStr">
        <is>
          <t>Indenture - 2.00% notes due 2029 (Ex.99.4)</t>
        </is>
      </c>
      <c r="G47" t="inlineStr">
        <is>
          <t>https://www.sec.gov/Archives/edgar/data/1513845/000110465925055197/tm2516825d1_ex99-4.htm</t>
        </is>
      </c>
    </row>
    <row r="48">
      <c r="A48" t="inlineStr">
        <is>
          <t>IND31</t>
        </is>
      </c>
      <c r="B48" t="inlineStr">
        <is>
          <t>6-K</t>
        </is>
      </c>
      <c r="C48" t="inlineStr">
        <is>
          <t>2025-06-02</t>
        </is>
      </c>
      <c r="D48" t="inlineStr">
        <is>
          <t>0001104659-25-055197</t>
        </is>
      </c>
      <c r="E48" t="inlineStr">
        <is>
          <t>tm2516825d1_ex99-5.htm</t>
        </is>
      </c>
      <c r="F48" t="inlineStr">
        <is>
          <t>Indenture - 3.00% notes due 2031 (Ex.99.5)</t>
        </is>
      </c>
      <c r="G48" t="inlineStr">
        <is>
          <t>https://www.sec.gov/Archives/edgar/data/1513845/000110465925055197/tm2516825d1_ex99-5.htm</t>
        </is>
      </c>
    </row>
    <row r="49">
      <c r="A49" t="inlineStr">
        <is>
          <t>IND30S</t>
        </is>
      </c>
      <c r="B49" t="inlineStr">
        <is>
          <t>6-K</t>
        </is>
      </c>
      <c r="C49" t="inlineStr">
        <is>
          <t>2025-09-15</t>
        </is>
      </c>
      <c r="D49" t="inlineStr">
        <is>
          <t>0001104659-25-089969</t>
        </is>
      </c>
      <c r="E49" t="inlineStr">
        <is>
          <t>tm2525580d4_ex4-1.htm</t>
        </is>
      </c>
      <c r="F49" t="inlineStr">
        <is>
          <t>Indenture - 1.00% notes due Sep-2030 (Ex.4.1)</t>
        </is>
      </c>
      <c r="G49" t="inlineStr">
        <is>
          <t>https://www.sec.gov/Archives/edgar/data/1513845/000110465925089969/tm2525580d4_ex4-1.htm</t>
        </is>
      </c>
    </row>
    <row r="50">
      <c r="A50" t="inlineStr">
        <is>
          <t>IND32</t>
        </is>
      </c>
      <c r="B50" t="inlineStr">
        <is>
          <t>6-K</t>
        </is>
      </c>
      <c r="C50" t="inlineStr">
        <is>
          <t>2025-09-15</t>
        </is>
      </c>
      <c r="D50" t="inlineStr">
        <is>
          <t>0001104659-25-089969</t>
        </is>
      </c>
      <c r="E50" t="inlineStr">
        <is>
          <t>tm2525580d4_ex4-3.htm</t>
        </is>
      </c>
      <c r="F50" t="inlineStr">
        <is>
          <t>Indenture - 2.75% notes due Sep-2032 (Ex.4.3)</t>
        </is>
      </c>
      <c r="G50" t="inlineStr">
        <is>
          <t>https://www.sec.gov/Archives/edgar/data/1513845/000110465925089969/tm2525580d4_ex4-3.htm</t>
        </is>
      </c>
    </row>
    <row r="51">
      <c r="A51" t="inlineStr">
        <is>
          <t>IND31M</t>
        </is>
      </c>
      <c r="B51" t="inlineStr">
        <is>
          <t>6-K</t>
        </is>
      </c>
      <c r="C51" t="inlineStr">
        <is>
          <t>2026-03-20</t>
        </is>
      </c>
      <c r="D51" t="inlineStr">
        <is>
          <t>0001104659-26-032735</t>
        </is>
      </c>
      <c r="E51" t="inlineStr">
        <is>
          <t>tm268409d4_ex4-1.htm</t>
        </is>
      </c>
      <c r="F51" t="inlineStr">
        <is>
          <t>Indenture - 1.25% notes due Mar-2031 (Ex.4.1)</t>
        </is>
      </c>
      <c r="G51" t="inlineStr">
        <is>
          <t>https://www.sec.gov/Archives/edgar/data/1513845/000110465926032735/tm268409d4_ex4-1.htm</t>
        </is>
      </c>
    </row>
    <row r="52">
      <c r="A52" t="inlineStr">
        <is>
          <t>IND33</t>
        </is>
      </c>
      <c r="B52" t="inlineStr">
        <is>
          <t>6-K</t>
        </is>
      </c>
      <c r="C52" t="inlineStr">
        <is>
          <t>2026-03-20</t>
        </is>
      </c>
      <c r="D52" t="inlineStr">
        <is>
          <t>0001104659-26-032735</t>
        </is>
      </c>
      <c r="E52" t="inlineStr">
        <is>
          <t>tm268409d4_ex4-3.htm</t>
        </is>
      </c>
      <c r="F52" t="inlineStr">
        <is>
          <t>Indenture - 2.625% notes due Mar-2033 (Ex.4.3)</t>
        </is>
      </c>
      <c r="G52" t="inlineStr">
        <is>
          <t>https://www.sec.gov/Archives/edgar/data/1513845/000110465926032735/tm268409d4_ex4-3.htm</t>
        </is>
      </c>
    </row>
    <row r="53">
      <c r="A53" t="inlineStr">
        <is>
          <t>IND30F</t>
        </is>
      </c>
      <c r="B53" t="inlineStr">
        <is>
          <t>6-K</t>
        </is>
      </c>
      <c r="C53" t="inlineStr">
        <is>
          <t>2026-08-24</t>
        </is>
      </c>
      <c r="D53" t="inlineStr">
        <is>
          <t>0001104659-26-100347</t>
        </is>
      </c>
      <c r="E53" t="inlineStr">
        <is>
          <t>tm2623863d1_ex4-1.htm</t>
        </is>
      </c>
      <c r="F53" t="inlineStr">
        <is>
          <t>Indenture - 0.50% notes due Feb-2030 (Ex.4.1)</t>
        </is>
      </c>
      <c r="G53" t="inlineStr">
        <is>
          <t>https://www.sec.gov/Archives/edgar/data/1513845/000110465926100347/tm2623863d1_ex4-1.htm</t>
        </is>
      </c>
    </row>
    <row r="54">
      <c r="A54" t="inlineStr">
        <is>
          <t>IND34</t>
        </is>
      </c>
      <c r="B54" t="inlineStr">
        <is>
          <t>6-K</t>
        </is>
      </c>
      <c r="C54" t="inlineStr">
        <is>
          <t>2026-08-24</t>
        </is>
      </c>
      <c r="D54" t="inlineStr">
        <is>
          <t>0001104659-26-100347</t>
        </is>
      </c>
      <c r="E54" t="inlineStr">
        <is>
          <t>tm2623863d1_ex4-3.htm</t>
        </is>
      </c>
      <c r="F54" t="inlineStr">
        <is>
          <t>Indenture - 4.50% notes due Feb-2034 (Ex.4.3)</t>
        </is>
      </c>
      <c r="G54" t="inlineStr">
        <is>
          <t>https://www.sec.gov/Archives/edgar/data/1513845/000110465926100347/tm2623863d1_ex4-3.htm</t>
        </is>
      </c>
    </row>
    <row r="55">
      <c r="A55" t="inlineStr">
        <is>
          <t>EXAG</t>
        </is>
      </c>
      <c r="B55" t="inlineStr">
        <is>
          <t>6-K</t>
        </is>
      </c>
      <c r="C55" t="inlineStr">
        <is>
          <t>2026-08-24</t>
        </is>
      </c>
      <c r="D55" t="inlineStr">
        <is>
          <t>0001104659-26-100347</t>
        </is>
      </c>
      <c r="E55" t="inlineStr">
        <is>
          <t>tm2623863d1_ex4-5.htm</t>
        </is>
      </c>
      <c r="F55" t="inlineStr">
        <is>
          <t>Form of exchange agreement, 2029/2031 notes for shares (Ex.4.5)</t>
        </is>
      </c>
      <c r="G55" t="inlineStr">
        <is>
          <t>https://www.sec.gov/Archives/edgar/data/1513845/000110465926100347/tm2623863d1_ex4-5.htm</t>
        </is>
      </c>
    </row>
    <row r="56">
      <c r="A56" t="inlineStr">
        <is>
          <t>ABLPR</t>
        </is>
      </c>
      <c r="B56" t="inlineStr">
        <is>
          <t>6-K/A</t>
        </is>
      </c>
      <c r="C56" t="inlineStr">
        <is>
          <t>2026-07-17</t>
        </is>
      </c>
      <c r="D56" t="inlineStr">
        <is>
          <t>0001104659-26-084606</t>
        </is>
      </c>
      <c r="E56" t="inlineStr">
        <is>
          <t>tm2620779d1_ex99-1.htm</t>
        </is>
      </c>
      <c r="F56" t="inlineStr">
        <is>
          <t>Senior secured facility PR (Ex.99.1)</t>
        </is>
      </c>
      <c r="G56" t="inlineStr">
        <is>
          <t>https://www.sec.gov/Archives/edgar/data/1513845/000110465926084606/tm2620779d1_ex99-1.htm</t>
        </is>
      </c>
    </row>
    <row r="57">
      <c r="A57" t="inlineStr">
        <is>
          <t>TOLOKA6K</t>
        </is>
      </c>
      <c r="B57" t="inlineStr">
        <is>
          <t>6-K</t>
        </is>
      </c>
      <c r="C57" t="inlineStr">
        <is>
          <t>2025-05-07</t>
        </is>
      </c>
      <c r="D57" t="inlineStr">
        <is>
          <t>0001104659-25-045373</t>
        </is>
      </c>
      <c r="E57" t="inlineStr">
        <is>
          <t>tm2514304d1_ex99-1.htm</t>
        </is>
      </c>
      <c r="F57" t="inlineStr">
        <is>
          <t>Toloka strategic investment led by Bezos Expeditions PR (Ex.99.1)</t>
        </is>
      </c>
      <c r="G57" t="inlineStr">
        <is>
          <t>https://www.sec.gov/Archives/edgar/data/1513845/000110465925045373/tm2514304d1_ex99-1.htm</t>
        </is>
      </c>
    </row>
    <row r="58">
      <c r="A58" t="inlineStr">
        <is>
          <t>AVRIDE6K</t>
        </is>
      </c>
      <c r="B58" t="inlineStr">
        <is>
          <t>6-K</t>
        </is>
      </c>
      <c r="C58" t="inlineStr">
        <is>
          <t>2025-10-22</t>
        </is>
      </c>
      <c r="D58" t="inlineStr">
        <is>
          <t>0001104659-25-101520</t>
        </is>
      </c>
      <c r="E58" t="inlineStr">
        <is>
          <t>tm2529289d1_ex99-1.htm</t>
        </is>
      </c>
      <c r="F58" t="inlineStr">
        <is>
          <t>Avride up to $375M Uber/Nebius investment PR (Ex.99.1)</t>
        </is>
      </c>
      <c r="G58" t="inlineStr">
        <is>
          <t>https://www.sec.gov/Archives/edgar/data/1513845/000110465925101520/tm2529289d1_ex99-1.htm</t>
        </is>
      </c>
    </row>
    <row r="59">
      <c r="A59" t="inlineStr">
        <is>
          <t>Q1MDA</t>
        </is>
      </c>
      <c r="B59" t="inlineStr">
        <is>
          <t>6-K</t>
        </is>
      </c>
      <c r="C59" t="inlineStr">
        <is>
          <t>2026-05-20</t>
        </is>
      </c>
      <c r="D59" t="inlineStr">
        <is>
          <t>0001104659-26-064092</t>
        </is>
      </c>
      <c r="E59" t="inlineStr">
        <is>
          <t>nbis-20260331xex99d1.htm</t>
        </is>
      </c>
      <c r="F59" t="inlineStr">
        <is>
          <t>Q1 2026 interim MD&amp;A/OFR (Ex.99.1)</t>
        </is>
      </c>
      <c r="G59" t="inlineStr">
        <is>
          <t>https://www.sec.gov/Archives/edgar/data/1513845/000110465926064092/nbis-20260331xex99d1.htm</t>
        </is>
      </c>
    </row>
    <row r="60">
      <c r="A60" t="inlineStr">
        <is>
          <t>20F23</t>
        </is>
      </c>
      <c r="B60" t="inlineStr">
        <is>
          <t>20-F</t>
        </is>
      </c>
      <c r="C60" t="inlineStr">
        <is>
          <t>2024-04-26</t>
        </is>
      </c>
      <c r="D60" t="inlineStr">
        <is>
          <t>0001558370-24-005891</t>
        </is>
      </c>
      <c r="E60" t="inlineStr">
        <is>
          <t>yndx-20231231x20f.htm</t>
        </is>
      </c>
      <c r="F60" t="inlineStr">
        <is>
          <t>Annual report FY2023 (Yandex N.V.)</t>
        </is>
      </c>
      <c r="G60" t="inlineStr">
        <is>
          <t>https://www.sec.gov/Archives/edgar/data/1513845/000155837024005891/yndx-20231231x20f.htm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2026-10-05T00:47:15Z</dcterms:created>
  <dcterms:modified xmlns:dcterms="http://purl.org/dc/terms/" xmlns:xsi="http://www.w3.org/2001/XMLSchema-instance" xsi:type="dcterms:W3CDTF">2026-10-05T00:47:16Z</dcterms:modified>
</cp:coreProperties>
</file>