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Prices_Monthly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C65911"/>
    </font>
    <font>
      <color rgb="000000FF"/>
    </font>
    <font>
      <color rgb="0080808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6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2" fontId="4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3" fontId="3" fillId="0" borderId="0" pivotButton="0" quotePrefix="0" xfId="0"/>
    <xf numFmtId="2" fontId="6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5" fillId="0" borderId="0" pivotButton="0" quotePrefix="0" xfId="0"/>
    <xf numFmtId="165" fontId="3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60" customWidth="1" min="2" max="2"/>
  </cols>
  <sheetData>
    <row r="1">
      <c r="A1" s="1" t="inlineStr">
        <is>
          <t>Nebius Group (NBIS) consolidated KPI history</t>
        </is>
      </c>
      <c r="B1" s="2" t="inlineStr">
        <is>
          <t>Built 2026-10-05 08:31 ET by Filings &amp; Capital. Script: /workspace/nebius/filings/kpi/kpi_build.py. Public information only.</t>
        </is>
      </c>
    </row>
    <row r="2">
      <c r="A2" s="1" t="inlineStr">
        <is>
          <t>Tabs</t>
        </is>
      </c>
      <c r="B2" s="2" t="inlineStr">
        <is>
          <t>KPI (main grid, 10 quarters), Prices_Monthly (market inputs feeding quarter averages), Checks (tie-outs), Sources (one row per populated cell: tag, source with URL, note).</t>
        </is>
      </c>
    </row>
    <row r="3">
      <c r="A3" s="1" t="inlineStr">
        <is>
          <t>Tags</t>
        </is>
      </c>
      <c r="B3" s="2" t="inlineStr">
        <is>
          <t>Reported = number as printed in an SEC filing / company page / snapshot. Derived = live formula on Reported inputs (or arithmetic on reported totals, math shown). Estimated = a team model value or a formula using one (method in Sources). n.d. = not disclosed / input missing; never filled.</t>
        </is>
      </c>
    </row>
    <row r="4">
      <c r="A4" s="1" t="inlineStr">
        <is>
          <t>Colours</t>
        </is>
      </c>
      <c r="B4" s="2" t="inlineStr">
        <is>
          <t>Blue = Reported input; black = formula on Reported/Derived inputs; orange italic = Estimated (input, or a formula that uses an Estimated input); grey = n.d.</t>
        </is>
      </c>
    </row>
    <row r="5">
      <c r="A5" s="1" t="inlineStr">
        <is>
          <t>ARR</t>
        </is>
      </c>
      <c r="B5" s="2" t="inlineStr">
        <is>
          <t>Annualized run-rate revenue = Nebius AI cloud revenue from the last month of the quarter x 12 (Q2-26 shareholder letter, footnote 4; same wording Q1-26). Q3-25/Q4-25 letters: "revenue from the last month of the quarter multiplied by 12"; Q1-25 letter: "revenue for last month of the period multiplied by twelve". 2024 values read from the Oct-2024 investor presentation chart; Dec-24 $90M from Q4-24 PR.</t>
        </is>
      </c>
    </row>
    <row r="6">
      <c r="A6" s="1" t="inlineStr">
        <is>
          <t>MW basis</t>
        </is>
      </c>
      <c r="B6" s="2" t="inlineStr">
        <is>
          <t>Energized MW is the Capacity &amp; Power team ESTIMATE of power physically live (closest to Nebius "active power"); not "connected" (built and equipped) or "contracted" (land + power secured). Nebius never states IT vs gross. Vineland, Modi'in and AIB rows are IT MW; others as stated (mostly gross/unknown), so totals mix bases (1.1-1.45x PUE ambiguity). Management figures: YE24 25 MW CONNECTED; YE25 ~170 MW ACTIVE.</t>
        </is>
      </c>
    </row>
    <row r="7">
      <c r="A7" s="1" t="inlineStr">
        <is>
          <t>Quarter-end vs average</t>
        </is>
      </c>
      <c r="B7" s="2" t="inlineStr">
        <is>
          <t>Stock measures (MW, GPUs, PP&amp;E) are quarter-end. Per-unit revenue KPIs are shown on average (opening+closing)/2 and, where noted, quarter-end. With fast build-outs the two can differ a lot (e.g., Q4-25 GPUs 31.8k -&gt; 69.0k).</t>
        </is>
      </c>
    </row>
    <row r="8">
      <c r="A8" s="1" t="inlineStr">
        <is>
          <t>GPUs</t>
        </is>
      </c>
      <c r="B8" s="2" t="inlineStr">
        <is>
          <t>Modeled = energized base MW x GPUs per MW by generation (capacity/gpu_mw_capex.xlsx); company counts are sparse: only actual is ~30,000 deployed at 31-Mar-25 (FY24 20-F; the earlier ~38k from the Feb-25 call was a forward-looking target, superseded); Q3-24 ~10k and Q4-24 &gt;20k are Estimated/targets and ran ahead of powered MW. Generation per site mostly assumed by the Capacity team.</t>
        </is>
      </c>
    </row>
    <row r="9">
      <c r="A9" s="1" t="inlineStr">
        <is>
          <t>Implied utilization</t>
        </is>
      </c>
      <c r="B9" s="2" t="inlineStr">
        <is>
          <t>AI cloud revenue / (average modeled GPUs x hours in quarter x fleet-weighted blended LIST price). It mixes utilization with the realized-vs-list discount (commit deals up to 35% below list; large contracts lower), and revenue includes non-GPU-hour items. Hopper priced at H100 list; GB300 (no public price) proxied by B300 list (Q2-26) or B200 list (earlier, floor). Treat as an index, not a measured utilization.</t>
        </is>
      </c>
    </row>
    <row r="10">
      <c r="A10" s="1" t="inlineStr">
        <is>
          <t>Capex per MW</t>
        </is>
      </c>
      <c r="B10" s="2" t="inlineStr">
        <is>
          <t>Cash capex / change in energized MW. Capex largely funds capacity not yet energized (assets not yet in use rose $2.4B -&gt; $7.8B in 1H26), so quarterly ratios are "n.m." when MW added &lt;= 5 MW; use trailing-4Q and the placed-in-service basis (change in gross in-service PP&amp;E / MW added).</t>
        </is>
      </c>
    </row>
    <row r="11">
      <c r="A11" s="1" t="inlineStr">
        <is>
          <t>June step-up</t>
        </is>
      </c>
      <c r="B11" s="2" t="inlineStr">
        <is>
          <t>ARR/12 (implied last-month revenue) vs AI cloud quarter monthly average. Q2-26: $250M vs $191.6M (+30%); Q1-26: $160M vs $129.9M.</t>
        </is>
      </c>
    </row>
    <row r="12">
      <c r="A12" s="1" t="inlineStr">
        <is>
          <t>Restatements</t>
        </is>
      </c>
      <c r="B12" s="2" t="inlineStr">
        <is>
          <t>Revenue/OCF on latest restated basis (Toloka deconsolidated Q2-25, in discontinued ops). Small company rounding differences noted in Sources (e.g., Q2-25 OCF 167.7 vs 167.9; Q3-24 34.9 vs 34.8).</t>
        </is>
      </c>
    </row>
    <row r="13">
      <c r="A13" s="1" t="inlineStr">
        <is>
          <t>Inputs</t>
        </is>
      </c>
      <c r="B13" s="2" t="inlineStr">
        <is>
          <t>Filings: /workspace/nebius/filings/nebius_filings.xlsx (Quarterly tab via quarterly_rows.json) + edgar/*.txt. Capacity: /workspace/nebius/capacity/nebius_capacity.xlsx (Quarterly MW rows 119-125, GPUs deployed rows 11-31). Market: /workspace/nebius/market/gpu_price_history.xlsx (Price_History_Quarterly, Price_History_Monthly, Monthly_FFill, H100_Nebius_vs_Medians).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70" customWidth="1" min="13" max="13"/>
    <col width="24" customWidth="1" min="14" max="14"/>
  </cols>
  <sheetData>
    <row r="1">
      <c r="A1" s="3" t="inlineStr">
        <is>
          <t>Nebius Group (NBIS) - consolidated tagged KPI history, Q1 2024 - Q2 2026. $M unless noted. Blue = Reported input; black = formula on Reported/Derived inputs; orange italic = Estimated (input, or formula using an Estimated input); grey = n.d. Per-cell sources in Sources tab.</t>
        </is>
      </c>
    </row>
    <row r="3">
      <c r="A3" s="4" t="inlineStr">
        <is>
          <t>Metric</t>
        </is>
      </c>
      <c r="B3" s="4" t="inlineStr">
        <is>
          <t>Unit</t>
        </is>
      </c>
      <c r="C3" s="4" t="inlineStr">
        <is>
          <t>Q1 2024</t>
        </is>
      </c>
      <c r="D3" s="4" t="inlineStr">
        <is>
          <t>Q2 2024</t>
        </is>
      </c>
      <c r="E3" s="4" t="inlineStr">
        <is>
          <t>Q3 2024</t>
        </is>
      </c>
      <c r="F3" s="4" t="inlineStr">
        <is>
          <t>Q4 2024</t>
        </is>
      </c>
      <c r="G3" s="4" t="inlineStr">
        <is>
          <t>Q1 2025</t>
        </is>
      </c>
      <c r="H3" s="4" t="inlineStr">
        <is>
          <t>Q2 2025</t>
        </is>
      </c>
      <c r="I3" s="4" t="inlineStr">
        <is>
          <t>Q3 2025</t>
        </is>
      </c>
      <c r="J3" s="4" t="inlineStr">
        <is>
          <t>Q4 2025</t>
        </is>
      </c>
      <c r="K3" s="4" t="inlineStr">
        <is>
          <t>Q1 2026</t>
        </is>
      </c>
      <c r="L3" s="4" t="inlineStr">
        <is>
          <t>Q2 2026</t>
        </is>
      </c>
      <c r="M3" s="4" t="inlineStr">
        <is>
          <t>Basis / caveat</t>
        </is>
      </c>
      <c r="N3" s="4" t="inlineStr">
        <is>
          <t>Owner / origin</t>
        </is>
      </c>
    </row>
    <row r="4">
      <c r="A4" s="5" t="inlineStr">
        <is>
          <t>A. Financials (Filings &amp; Capital: nebius_filings.xlsx Quarterly tab; SEC filings)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t="inlineStr">
        <is>
          <t>Group revenue (continuing ops, restated)</t>
        </is>
      </c>
      <c r="B5" t="inlineStr">
        <is>
          <t>$M</t>
        </is>
      </c>
      <c r="C5" s="7" t="n">
        <v>9.699999999999999</v>
      </c>
      <c r="D5" s="8" t="n">
        <v>14.5</v>
      </c>
      <c r="E5" s="8" t="n">
        <v>32.1</v>
      </c>
      <c r="F5" s="8" t="n">
        <v>35.2</v>
      </c>
      <c r="G5" s="8" t="n">
        <v>50.9</v>
      </c>
      <c r="H5" s="8" t="n">
        <v>105.1</v>
      </c>
      <c r="I5" s="8" t="n">
        <v>146.1</v>
      </c>
      <c r="J5" s="8" t="n">
        <v>227.7</v>
      </c>
      <c r="K5" s="8" t="n">
        <v>399</v>
      </c>
      <c r="L5" s="8" t="n">
        <v>582.3</v>
      </c>
      <c r="N5" t="inlineStr">
        <is>
          <t>Filings &amp; Capital</t>
        </is>
      </c>
    </row>
    <row r="6">
      <c r="A6" t="inlineStr">
        <is>
          <t>Nebius AI cloud segment revenue</t>
        </is>
      </c>
      <c r="B6" t="inlineStr">
        <is>
          <t>$M</t>
        </is>
      </c>
      <c r="C6" s="9" t="inlineStr">
        <is>
          <t>n.d.</t>
        </is>
      </c>
      <c r="D6" s="9" t="inlineStr">
        <is>
          <t>n.d.</t>
        </is>
      </c>
      <c r="E6" s="7" t="n">
        <v>27.1</v>
      </c>
      <c r="F6" s="7" t="n">
        <v>23.8</v>
      </c>
      <c r="G6" s="8" t="n">
        <v>41.4</v>
      </c>
      <c r="H6" s="8" t="n">
        <v>93.7</v>
      </c>
      <c r="I6" s="8" t="n">
        <v>131.1</v>
      </c>
      <c r="J6" s="7" t="n">
        <v>214.1</v>
      </c>
      <c r="K6" s="8" t="n">
        <v>389.7</v>
      </c>
      <c r="L6" s="8" t="n">
        <v>574.9</v>
      </c>
      <c r="M6" t="inlineStr">
        <is>
          <t>Segment revenue; Q1/Q2 2024 split not disclosed (H1-24 total 17.4).</t>
        </is>
      </c>
      <c r="N6" t="inlineStr">
        <is>
          <t>Filings &amp; Capital</t>
        </is>
      </c>
    </row>
    <row r="7">
      <c r="A7" t="inlineStr">
        <is>
          <t>ARR (as stated; last-month revenue x12)</t>
        </is>
      </c>
      <c r="B7" t="inlineStr">
        <is>
          <t>$M</t>
        </is>
      </c>
      <c r="C7" s="8" t="n">
        <v>32</v>
      </c>
      <c r="D7" s="8" t="n">
        <v>45</v>
      </c>
      <c r="E7" s="8" t="n">
        <v>121</v>
      </c>
      <c r="F7" s="8" t="n">
        <v>90</v>
      </c>
      <c r="G7" s="8" t="n">
        <v>249</v>
      </c>
      <c r="H7" s="8" t="n">
        <v>430</v>
      </c>
      <c r="I7" s="8" t="n">
        <v>551</v>
      </c>
      <c r="J7" s="8" t="n">
        <v>1250</v>
      </c>
      <c r="K7" s="8" t="n">
        <v>1920</v>
      </c>
      <c r="L7" s="8" t="n">
        <v>3000</v>
      </c>
      <c r="M7" t="inlineStr">
        <is>
          <t>Pre-Q1-26 letters: "revenue from the last month of the quarter x12"; Q1-26 on: "Nebius AI cloud revenue from the last month of the quarter multiplied by 12". 2024 values from Oct-24 investor presentation chart.</t>
        </is>
      </c>
      <c r="N7" t="inlineStr">
        <is>
          <t>Filings &amp; Capital</t>
        </is>
      </c>
    </row>
    <row r="8">
      <c r="A8" t="inlineStr">
        <is>
          <t>Adjusted EBITDA - group</t>
        </is>
      </c>
      <c r="B8" t="inlineStr">
        <is>
          <t>$M</t>
        </is>
      </c>
      <c r="C8" s="7" t="n">
        <v>-58.4</v>
      </c>
      <c r="D8" s="8" t="n">
        <v>-58.1</v>
      </c>
      <c r="E8" s="8" t="n">
        <v>-45.9</v>
      </c>
      <c r="F8" s="8" t="n">
        <v>-63.9</v>
      </c>
      <c r="G8" s="8" t="n">
        <v>-53.7</v>
      </c>
      <c r="H8" s="8" t="n">
        <v>-21</v>
      </c>
      <c r="I8" s="8" t="n">
        <v>-5.2</v>
      </c>
      <c r="J8" s="8" t="n">
        <v>15</v>
      </c>
      <c r="K8" s="8" t="n">
        <v>129.5</v>
      </c>
      <c r="L8" s="8" t="n">
        <v>236.2</v>
      </c>
      <c r="N8" t="inlineStr">
        <is>
          <t>Filings &amp; Capital</t>
        </is>
      </c>
    </row>
    <row r="9">
      <c r="A9" t="inlineStr">
        <is>
          <t>Adjusted EBITDA - Nebius AI cloud segment</t>
        </is>
      </c>
      <c r="B9" t="inlineStr">
        <is>
          <t>$M</t>
        </is>
      </c>
      <c r="C9" s="9" t="inlineStr">
        <is>
          <t>n.d.</t>
        </is>
      </c>
      <c r="D9" s="9" t="inlineStr">
        <is>
          <t>n.d.</t>
        </is>
      </c>
      <c r="E9" s="8" t="n">
        <v>-21.5</v>
      </c>
      <c r="F9" s="7" t="n">
        <v>-38.5</v>
      </c>
      <c r="G9" s="8" t="n">
        <v>-27.4</v>
      </c>
      <c r="H9" s="8" t="n">
        <v>9.5</v>
      </c>
      <c r="I9" s="8" t="n">
        <v>25.1</v>
      </c>
      <c r="J9" s="7" t="n">
        <v>51.8</v>
      </c>
      <c r="K9" s="8" t="n">
        <v>174</v>
      </c>
      <c r="L9" s="8" t="n">
        <v>285.7</v>
      </c>
      <c r="N9" t="inlineStr">
        <is>
          <t>Filings &amp; Capital</t>
        </is>
      </c>
    </row>
    <row r="10">
      <c r="A10" t="inlineStr">
        <is>
          <t>Depreciation &amp; amortization</t>
        </is>
      </c>
      <c r="B10" t="inlineStr">
        <is>
          <t>$M</t>
        </is>
      </c>
      <c r="C10" s="7" t="n">
        <v>8.9</v>
      </c>
      <c r="D10" s="8" t="n">
        <v>11.4</v>
      </c>
      <c r="E10" s="8" t="n">
        <v>23.5</v>
      </c>
      <c r="F10" s="8" t="n">
        <v>33.3</v>
      </c>
      <c r="G10" s="8" t="n">
        <v>49.1</v>
      </c>
      <c r="H10" s="8" t="n">
        <v>75.2</v>
      </c>
      <c r="I10" s="8" t="n">
        <v>99</v>
      </c>
      <c r="J10" s="8" t="n">
        <v>180.7</v>
      </c>
      <c r="K10" s="8" t="n">
        <v>212</v>
      </c>
      <c r="L10" s="8" t="n">
        <v>259.7</v>
      </c>
      <c r="N10" t="inlineStr">
        <is>
          <t>Filings &amp; Capital</t>
        </is>
      </c>
    </row>
    <row r="11">
      <c r="A11" t="inlineStr">
        <is>
          <t>Capex - cash purchases of PP&amp;E and intangibles</t>
        </is>
      </c>
      <c r="B11" t="inlineStr">
        <is>
          <t>$M</t>
        </is>
      </c>
      <c r="C11" s="7" t="n">
        <v>58.9</v>
      </c>
      <c r="D11" s="8" t="n">
        <v>159</v>
      </c>
      <c r="E11" s="8" t="n">
        <v>172.1</v>
      </c>
      <c r="F11" s="8" t="n">
        <v>417.5</v>
      </c>
      <c r="G11" s="8" t="n">
        <v>543.9</v>
      </c>
      <c r="H11" s="8" t="n">
        <v>510.6</v>
      </c>
      <c r="I11" s="8" t="n">
        <v>955.5</v>
      </c>
      <c r="J11" s="8" t="n">
        <v>2056</v>
      </c>
      <c r="K11" s="8" t="n">
        <v>2472.9</v>
      </c>
      <c r="L11" s="8" t="n">
        <v>5657.4</v>
      </c>
      <c r="M11" t="inlineStr">
        <is>
          <t>Cash flow statement, continuing ops.</t>
        </is>
      </c>
      <c r="N11" t="inlineStr">
        <is>
          <t>Filings &amp; Capital</t>
        </is>
      </c>
    </row>
    <row r="12">
      <c r="A12" t="inlineStr">
        <is>
          <t>PP&amp;E, net (period end)</t>
        </is>
      </c>
      <c r="B12" t="inlineStr">
        <is>
          <t>$M</t>
        </is>
      </c>
      <c r="C12" s="10" t="inlineStr">
        <is>
          <t>n.d.</t>
        </is>
      </c>
      <c r="D12" s="11" t="n">
        <v>328.3</v>
      </c>
      <c r="E12" s="11" t="n">
        <v>475.3</v>
      </c>
      <c r="F12" s="11" t="n">
        <v>846.7</v>
      </c>
      <c r="G12" s="11" t="n">
        <v>1334.1</v>
      </c>
      <c r="H12" s="11" t="n">
        <v>1789.4</v>
      </c>
      <c r="I12" s="11" t="n">
        <v>3314.4</v>
      </c>
      <c r="J12" s="11" t="n">
        <v>5553.3</v>
      </c>
      <c r="K12" s="11" t="n">
        <v>7131.7</v>
      </c>
      <c r="L12" s="11" t="n">
        <v>13045.2</v>
      </c>
      <c r="N12" t="inlineStr">
        <is>
          <t>Filings &amp; Capital</t>
        </is>
      </c>
    </row>
    <row r="13">
      <c r="A13" t="inlineStr">
        <is>
          <t>Cash &amp; cash equivalents (period end)</t>
        </is>
      </c>
      <c r="B13" t="inlineStr">
        <is>
          <t>$M</t>
        </is>
      </c>
      <c r="C13" s="9" t="inlineStr">
        <is>
          <t>n.d.</t>
        </is>
      </c>
      <c r="D13" s="8" t="n">
        <v>2325.5</v>
      </c>
      <c r="E13" s="8" t="n">
        <v>2288.2</v>
      </c>
      <c r="F13" s="8" t="n">
        <v>2434.7</v>
      </c>
      <c r="G13" s="8" t="n">
        <v>1447</v>
      </c>
      <c r="H13" s="8" t="n">
        <v>1679.3</v>
      </c>
      <c r="I13" s="8" t="n">
        <v>4794.8</v>
      </c>
      <c r="J13" s="8" t="n">
        <v>3678.1</v>
      </c>
      <c r="K13" s="8" t="n">
        <v>9298.200000000001</v>
      </c>
      <c r="L13" s="8" t="n">
        <v>8042.1</v>
      </c>
      <c r="N13" t="inlineStr">
        <is>
          <t>Filings &amp; Capital</t>
        </is>
      </c>
    </row>
    <row r="14">
      <c r="A14" t="inlineStr">
        <is>
          <t>Total debt, carrying (period end)</t>
        </is>
      </c>
      <c r="B14" t="inlineStr">
        <is>
          <t>$M</t>
        </is>
      </c>
      <c r="C14" s="9" t="inlineStr">
        <is>
          <t>n.d.</t>
        </is>
      </c>
      <c r="D14" s="8" t="n">
        <v>6.5</v>
      </c>
      <c r="E14" s="8" t="n">
        <v>6.2</v>
      </c>
      <c r="F14" s="8" t="n">
        <v>6.1</v>
      </c>
      <c r="G14" s="8" t="n">
        <v>6.2</v>
      </c>
      <c r="H14" s="7" t="n">
        <v>986.2</v>
      </c>
      <c r="I14" s="7" t="n">
        <v>4106.8</v>
      </c>
      <c r="J14" s="7" t="n">
        <v>4127.7</v>
      </c>
      <c r="K14" s="7" t="n">
        <v>8450.4</v>
      </c>
      <c r="L14" s="7" t="n">
        <v>8545.700000000001</v>
      </c>
      <c r="N14" t="inlineStr">
        <is>
          <t>Filings &amp; Capital</t>
        </is>
      </c>
    </row>
    <row r="15">
      <c r="A15" t="inlineStr">
        <is>
          <t>Deferred revenue, total (period end)</t>
        </is>
      </c>
      <c r="B15" t="inlineStr">
        <is>
          <t>$M</t>
        </is>
      </c>
      <c r="C15" s="9" t="inlineStr">
        <is>
          <t>n.d.</t>
        </is>
      </c>
      <c r="D15" s="9" t="inlineStr">
        <is>
          <t>n.d.</t>
        </is>
      </c>
      <c r="E15" s="9" t="inlineStr">
        <is>
          <t>n.d.</t>
        </is>
      </c>
      <c r="F15" s="8" t="n">
        <v>16.3</v>
      </c>
      <c r="G15" s="8" t="n">
        <v>19</v>
      </c>
      <c r="H15" s="8" t="n">
        <v>19.3</v>
      </c>
      <c r="I15" s="8" t="n">
        <v>15.6</v>
      </c>
      <c r="J15" s="8" t="n">
        <v>1577.5</v>
      </c>
      <c r="K15" s="8" t="n">
        <v>4778.1</v>
      </c>
      <c r="L15" s="8" t="n">
        <v>5975.2</v>
      </c>
      <c r="N15" t="inlineStr">
        <is>
          <t>Filings &amp; Capital</t>
        </is>
      </c>
    </row>
    <row r="16">
      <c r="A16" t="inlineStr">
        <is>
          <t>Remaining performance obligations (period end)</t>
        </is>
      </c>
      <c r="B16" t="inlineStr">
        <is>
          <t>$M</t>
        </is>
      </c>
      <c r="C16" s="9" t="inlineStr">
        <is>
          <t>n.d.</t>
        </is>
      </c>
      <c r="D16" s="9" t="inlineStr">
        <is>
          <t>n.d.</t>
        </is>
      </c>
      <c r="E16" s="9" t="inlineStr">
        <is>
          <t>n.d.</t>
        </is>
      </c>
      <c r="F16" s="9" t="inlineStr">
        <is>
          <t>n.d.</t>
        </is>
      </c>
      <c r="G16" s="9" t="inlineStr">
        <is>
          <t>n.d.</t>
        </is>
      </c>
      <c r="H16" s="9" t="inlineStr">
        <is>
          <t>n.d.</t>
        </is>
      </c>
      <c r="I16" s="9" t="inlineStr">
        <is>
          <t>n.d.</t>
        </is>
      </c>
      <c r="J16" s="8" t="n">
        <v>21333</v>
      </c>
      <c r="K16" s="8" t="n">
        <v>33585.3</v>
      </c>
      <c r="L16" s="8" t="n">
        <v>37490.6</v>
      </c>
      <c r="N16" t="inlineStr">
        <is>
          <t>Filings &amp; Capital</t>
        </is>
      </c>
    </row>
    <row r="17">
      <c r="A17" t="inlineStr">
        <is>
          <t>Shares issued &amp; outstanding (period end; excl. NVIDIA pre-funded warrant)</t>
        </is>
      </c>
      <c r="B17" t="inlineStr">
        <is>
          <t>shares</t>
        </is>
      </c>
      <c r="C17" s="12" t="inlineStr">
        <is>
          <t>n.d.</t>
        </is>
      </c>
      <c r="D17" s="13" t="n">
        <v>293850159</v>
      </c>
      <c r="E17" s="13" t="n">
        <v>199340118</v>
      </c>
      <c r="F17" s="13" t="n">
        <v>235753600</v>
      </c>
      <c r="G17" s="13" t="n">
        <v>238108831</v>
      </c>
      <c r="H17" s="13" t="n">
        <v>238705092</v>
      </c>
      <c r="I17" s="13" t="n">
        <v>251807222</v>
      </c>
      <c r="J17" s="13" t="n">
        <v>253016971</v>
      </c>
      <c r="K17" s="13" t="n">
        <v>253898194</v>
      </c>
      <c r="L17" s="13" t="n">
        <v>271855218</v>
      </c>
      <c r="M17" t="inlineStr">
        <is>
          <t>Excludes 21,065,936 NVIDIA pre-funded warrant shares (unexercised).</t>
        </is>
      </c>
      <c r="N17" t="inlineStr">
        <is>
          <t>Filings &amp; Capital</t>
        </is>
      </c>
    </row>
    <row r="18">
      <c r="A18" t="inlineStr">
        <is>
          <t>Weighted-average shares - basic</t>
        </is>
      </c>
      <c r="B18" t="inlineStr">
        <is>
          <t>shares</t>
        </is>
      </c>
      <c r="C18" s="12" t="inlineStr">
        <is>
          <t>n.d.</t>
        </is>
      </c>
      <c r="D18" s="12" t="inlineStr">
        <is>
          <t>n.d.</t>
        </is>
      </c>
      <c r="E18" s="14" t="n">
        <v>246595139</v>
      </c>
      <c r="F18" s="14" t="n">
        <v>217546859</v>
      </c>
      <c r="G18" s="13" t="n">
        <v>237916047</v>
      </c>
      <c r="H18" s="13" t="n">
        <v>238520244</v>
      </c>
      <c r="I18" s="14" t="n">
        <v>245256157</v>
      </c>
      <c r="J18" s="14" t="n">
        <v>252412097</v>
      </c>
      <c r="K18" s="13" t="n">
        <v>258298911</v>
      </c>
      <c r="L18" s="13" t="n">
        <v>280381615</v>
      </c>
      <c r="N18" t="inlineStr">
        <is>
          <t>Filings &amp; Capital</t>
        </is>
      </c>
    </row>
    <row r="19">
      <c r="A19" t="inlineStr">
        <is>
          <t>Customer concentration (&gt;10% of revenue)</t>
        </is>
      </c>
      <c r="B19" t="inlineStr">
        <is>
          <t>text</t>
        </is>
      </c>
      <c r="C19" s="9" t="inlineStr">
        <is>
          <t>n.d.</t>
        </is>
      </c>
      <c r="D19" s="9" t="inlineStr">
        <is>
          <t>n.d.</t>
        </is>
      </c>
      <c r="E19" s="9" t="inlineStr">
        <is>
          <t>n.d.</t>
        </is>
      </c>
      <c r="F19" s="8" t="inlineStr">
        <is>
          <t>FY24: A 27%, C 11%</t>
        </is>
      </c>
      <c r="G19" s="9" t="inlineStr">
        <is>
          <t>n.d.</t>
        </is>
      </c>
      <c r="H19" s="8" t="inlineStr">
        <is>
          <t>A 39%, B 15%</t>
        </is>
      </c>
      <c r="I19" s="9" t="inlineStr">
        <is>
          <t>n.d.</t>
        </is>
      </c>
      <c r="J19" s="8" t="inlineStr">
        <is>
          <t>FY25: A 25%, B 15%</t>
        </is>
      </c>
      <c r="K19" s="9" t="inlineStr">
        <is>
          <t>n.d.</t>
        </is>
      </c>
      <c r="L19" s="8" t="inlineStr">
        <is>
          <t>C 24%, D 21%, E 14%</t>
        </is>
      </c>
      <c r="N19" t="inlineStr">
        <is>
          <t>Filings &amp; Capital</t>
        </is>
      </c>
    </row>
    <row r="20">
      <c r="A20" t="inlineStr">
        <is>
          <t>Net cash from operating activities - continuing ops</t>
        </is>
      </c>
      <c r="B20" t="inlineStr">
        <is>
          <t>$M</t>
        </is>
      </c>
      <c r="C20" s="7" t="n">
        <v>-63</v>
      </c>
      <c r="D20" s="8" t="n">
        <v>-99</v>
      </c>
      <c r="E20" s="8" t="n">
        <v>-34.8</v>
      </c>
      <c r="F20" s="8" t="n">
        <v>-73.09999999999999</v>
      </c>
      <c r="G20" s="8" t="n">
        <v>-184.1</v>
      </c>
      <c r="H20" s="8" t="n">
        <v>-167.7</v>
      </c>
      <c r="I20" s="8" t="n">
        <v>-80.59999999999999</v>
      </c>
      <c r="J20" s="8" t="n">
        <v>834.3</v>
      </c>
      <c r="K20" s="8" t="n">
        <v>2258</v>
      </c>
      <c r="L20" s="8" t="n">
        <v>2246.1</v>
      </c>
      <c r="M20" t="inlineStr">
        <is>
          <t>Quarterly; latest restated basis (Toloka in discontinued ops).</t>
        </is>
      </c>
      <c r="N20" t="inlineStr">
        <is>
          <t>Filings &amp; Capital (new)</t>
        </is>
      </c>
    </row>
    <row r="21">
      <c r="A21" t="inlineStr">
        <is>
          <t>Change in deferred revenue (cash flow statement, operating)</t>
        </is>
      </c>
      <c r="B21" t="inlineStr">
        <is>
          <t>$M</t>
        </is>
      </c>
      <c r="C21" s="9" t="inlineStr">
        <is>
          <t>n.d.</t>
        </is>
      </c>
      <c r="D21" s="9" t="inlineStr">
        <is>
          <t>n.d.</t>
        </is>
      </c>
      <c r="E21" s="8" t="n">
        <v>3.7</v>
      </c>
      <c r="F21" s="8" t="n">
        <v>-0.4</v>
      </c>
      <c r="G21" s="8" t="n">
        <v>2.4</v>
      </c>
      <c r="H21" s="8" t="n">
        <v>0.6</v>
      </c>
      <c r="I21" s="8" t="n">
        <v>-3.8</v>
      </c>
      <c r="J21" s="8" t="n">
        <v>1566.5</v>
      </c>
      <c r="K21" s="8" t="n">
        <v>3198</v>
      </c>
      <c r="L21" s="8" t="n">
        <v>1197</v>
      </c>
      <c r="M21" t="inlineStr">
        <is>
          <t>Increase = cash collected ahead of revenue (customer prepayments).</t>
        </is>
      </c>
      <c r="N21" t="inlineStr">
        <is>
          <t>Filings &amp; Capital (new)</t>
        </is>
      </c>
    </row>
    <row r="22">
      <c r="A22" t="inlineStr">
        <is>
          <t>OCF excluding change in deferred revenue</t>
        </is>
      </c>
      <c r="B22" t="inlineStr">
        <is>
          <t>$M</t>
        </is>
      </c>
      <c r="C22" s="9" t="inlineStr">
        <is>
          <t>n.d.</t>
        </is>
      </c>
      <c r="D22" s="9" t="inlineStr">
        <is>
          <t>n.d.</t>
        </is>
      </c>
      <c r="E22" s="7">
        <f>E20-E21</f>
        <v/>
      </c>
      <c r="F22" s="7">
        <f>F20-F21</f>
        <v/>
      </c>
      <c r="G22" s="7">
        <f>G20-G21</f>
        <v/>
      </c>
      <c r="H22" s="7">
        <f>H20-H21</f>
        <v/>
      </c>
      <c r="I22" s="7">
        <f>I20-I21</f>
        <v/>
      </c>
      <c r="J22" s="7">
        <f>J20-J21</f>
        <v/>
      </c>
      <c r="K22" s="7">
        <f>K20-K21</f>
        <v/>
      </c>
      <c r="L22" s="7">
        <f>L20-L21</f>
        <v/>
      </c>
      <c r="M22" t="inlineStr">
        <is>
          <t>OCF minus change in deferred revenue (prepayment-free operating cash).</t>
        </is>
      </c>
      <c r="N22" t="inlineStr">
        <is>
          <t>Derived</t>
        </is>
      </c>
    </row>
    <row r="23">
      <c r="A23" t="inlineStr">
        <is>
          <t>Server and network equipment, gross (in service)</t>
        </is>
      </c>
      <c r="B23" t="inlineStr">
        <is>
          <t>$M</t>
        </is>
      </c>
      <c r="C23" s="9" t="inlineStr">
        <is>
          <t>n.d.</t>
        </is>
      </c>
      <c r="D23" s="9" t="inlineStr">
        <is>
          <t>n.d.</t>
        </is>
      </c>
      <c r="E23" s="9" t="inlineStr">
        <is>
          <t>n.d.</t>
        </is>
      </c>
      <c r="F23" s="8" t="n">
        <v>794.9</v>
      </c>
      <c r="G23" s="9" t="inlineStr">
        <is>
          <t>n.d.</t>
        </is>
      </c>
      <c r="H23" s="9" t="inlineStr">
        <is>
          <t>n.d.</t>
        </is>
      </c>
      <c r="I23" s="9" t="inlineStr">
        <is>
          <t>n.d.</t>
        </is>
      </c>
      <c r="J23" s="8" t="n">
        <v>3123.6</v>
      </c>
      <c r="K23" s="8" t="n">
        <v>4692.7</v>
      </c>
      <c r="L23" s="8" t="n">
        <v>5197.7</v>
      </c>
      <c r="M23" t="inlineStr">
        <is>
          <t>PP&amp;E note breakdown only in 20-F and 2026 interim statements; 2024/2025 interim OFRs give no breakdown.</t>
        </is>
      </c>
      <c r="N23" t="inlineStr">
        <is>
          <t>Filings &amp; Capital (new)</t>
        </is>
      </c>
    </row>
    <row r="24">
      <c r="A24" t="inlineStr">
        <is>
          <t>Assets not yet in use (gross; under installation incl. prepayments)</t>
        </is>
      </c>
      <c r="B24" t="inlineStr">
        <is>
          <t>$M</t>
        </is>
      </c>
      <c r="C24" s="9" t="inlineStr">
        <is>
          <t>n.d.</t>
        </is>
      </c>
      <c r="D24" s="9" t="inlineStr">
        <is>
          <t>n.d.</t>
        </is>
      </c>
      <c r="E24" s="9" t="inlineStr">
        <is>
          <t>n.d.</t>
        </is>
      </c>
      <c r="F24" s="8" t="n">
        <v>163.8</v>
      </c>
      <c r="G24" s="9" t="inlineStr">
        <is>
          <t>n.d.</t>
        </is>
      </c>
      <c r="H24" s="9" t="inlineStr">
        <is>
          <t>n.d.</t>
        </is>
      </c>
      <c r="I24" s="9" t="inlineStr">
        <is>
          <t>n.d.</t>
        </is>
      </c>
      <c r="J24" s="8" t="n">
        <v>2417.4</v>
      </c>
      <c r="K24" s="8" t="n">
        <v>2427.9</v>
      </c>
      <c r="L24" s="8" t="n">
        <v>7836.4</v>
      </c>
      <c r="M24" t="inlineStr">
        <is>
          <t>FY24 20-F showed 163.9 for Dec-24 (later 163.8)</t>
        </is>
      </c>
      <c r="N24" t="inlineStr">
        <is>
          <t>Filings &amp; Capital (new)</t>
        </is>
      </c>
    </row>
    <row r="25">
      <c r="A25" t="inlineStr">
        <is>
          <t>PP&amp;E, gross (total before accumulated depreciation)</t>
        </is>
      </c>
      <c r="B25" t="inlineStr">
        <is>
          <t>$M</t>
        </is>
      </c>
      <c r="C25" s="10" t="inlineStr">
        <is>
          <t>n.d.</t>
        </is>
      </c>
      <c r="D25" s="10" t="inlineStr">
        <is>
          <t>n.d.</t>
        </is>
      </c>
      <c r="E25" s="10" t="inlineStr">
        <is>
          <t>n.d.</t>
        </is>
      </c>
      <c r="F25" s="11" t="n">
        <v>1083</v>
      </c>
      <c r="G25" s="10" t="inlineStr">
        <is>
          <t>n.d.</t>
        </is>
      </c>
      <c r="H25" s="10" t="inlineStr">
        <is>
          <t>n.d.</t>
        </is>
      </c>
      <c r="I25" s="10" t="inlineStr">
        <is>
          <t>n.d.</t>
        </is>
      </c>
      <c r="J25" s="11" t="n">
        <v>6190.3</v>
      </c>
      <c r="K25" s="11" t="n">
        <v>7976.6</v>
      </c>
      <c r="L25" s="11" t="n">
        <v>14149.5</v>
      </c>
      <c r="N25" t="inlineStr">
        <is>
          <t>Filings &amp; Capital (new)</t>
        </is>
      </c>
    </row>
    <row r="26">
      <c r="A26" t="inlineStr">
        <is>
          <t>PP&amp;E gross in service (= gross - assets not yet in use)</t>
        </is>
      </c>
      <c r="B26" t="inlineStr">
        <is>
          <t>$M</t>
        </is>
      </c>
      <c r="C26" s="9" t="inlineStr">
        <is>
          <t>n.d.</t>
        </is>
      </c>
      <c r="D26" s="9" t="inlineStr">
        <is>
          <t>n.d.</t>
        </is>
      </c>
      <c r="E26" s="9" t="inlineStr">
        <is>
          <t>n.d.</t>
        </is>
      </c>
      <c r="F26" s="7">
        <f>F25-F24</f>
        <v/>
      </c>
      <c r="G26" s="9" t="inlineStr">
        <is>
          <t>n.d.</t>
        </is>
      </c>
      <c r="H26" s="9" t="inlineStr">
        <is>
          <t>n.d.</t>
        </is>
      </c>
      <c r="I26" s="9" t="inlineStr">
        <is>
          <t>n.d.</t>
        </is>
      </c>
      <c r="J26" s="7">
        <f>J25-J24</f>
        <v/>
      </c>
      <c r="K26" s="7">
        <f>K25-K24</f>
        <v/>
      </c>
      <c r="L26" s="7">
        <f>L25-L24</f>
        <v/>
      </c>
      <c r="N26" t="inlineStr">
        <is>
          <t>Derived</t>
        </is>
      </c>
    </row>
    <row r="27">
      <c r="A27" t="inlineStr">
        <is>
          <t>Change in assets not yet in use (QoQ)</t>
        </is>
      </c>
      <c r="B27" t="inlineStr">
        <is>
          <t>$M</t>
        </is>
      </c>
      <c r="C27" s="9" t="inlineStr">
        <is>
          <t>n.d.</t>
        </is>
      </c>
      <c r="D27" s="9" t="inlineStr">
        <is>
          <t>n.d.</t>
        </is>
      </c>
      <c r="E27" s="9" t="inlineStr">
        <is>
          <t>n.d.</t>
        </is>
      </c>
      <c r="F27" s="9" t="inlineStr">
        <is>
          <t>n.d.</t>
        </is>
      </c>
      <c r="G27" s="9" t="inlineStr">
        <is>
          <t>n.d.</t>
        </is>
      </c>
      <c r="H27" s="9" t="inlineStr">
        <is>
          <t>n.d.</t>
        </is>
      </c>
      <c r="I27" s="9" t="inlineStr">
        <is>
          <t>n.d.</t>
        </is>
      </c>
      <c r="J27" s="9" t="inlineStr">
        <is>
          <t>n.d.</t>
        </is>
      </c>
      <c r="K27" s="7">
        <f>K24-J24</f>
        <v/>
      </c>
      <c r="L27" s="7">
        <f>L24-K24</f>
        <v/>
      </c>
      <c r="M27" t="inlineStr">
        <is>
          <t>Derived: period-end ANIU minus prior period-end ANIU from Note 7. Positive = net additions to installation pipeline (purchases/prepayments exceed transfers into service). Only where consecutive breakdowns exist (Q4-24→Q4-25 annual gap skipped; Q1-26 and Q2-26 QoQ).</t>
        </is>
      </c>
      <c r="N27" t="inlineStr">
        <is>
          <t>Derived</t>
        </is>
      </c>
    </row>
    <row r="28">
      <c r="A28" t="inlineStr">
        <is>
          <t>Servers placed in service (QoQ change in server &amp; network equipment, gross)</t>
        </is>
      </c>
      <c r="B28" t="inlineStr">
        <is>
          <t>$M</t>
        </is>
      </c>
      <c r="C28" s="10" t="inlineStr">
        <is>
          <t>n.d.</t>
        </is>
      </c>
      <c r="D28" s="10" t="inlineStr">
        <is>
          <t>n.d.</t>
        </is>
      </c>
      <c r="E28" s="10" t="inlineStr">
        <is>
          <t>n.d.</t>
        </is>
      </c>
      <c r="F28" s="10" t="inlineStr">
        <is>
          <t>n.d.</t>
        </is>
      </c>
      <c r="G28" s="10" t="inlineStr">
        <is>
          <t>n.d.</t>
        </is>
      </c>
      <c r="H28" s="10" t="inlineStr">
        <is>
          <t>n.d.</t>
        </is>
      </c>
      <c r="I28" s="10" t="inlineStr">
        <is>
          <t>n.d.</t>
        </is>
      </c>
      <c r="J28" s="10" t="inlineStr">
        <is>
          <t>n.d.</t>
        </is>
      </c>
      <c r="K28" s="15">
        <f>K23-J23</f>
        <v/>
      </c>
      <c r="L28" s="15">
        <f>L23-K23</f>
        <v/>
      </c>
      <c r="M28" t="inlineStr">
        <is>
          <t>Derived: QoQ change in Server and network equipment, gross (Note 7). Proxy for servers transferred into service; does not equal -Δ ANIU because new purchases enter ANIU first. Available Q1-26 (vs YE25) and Q2-26 (vs Q1-26).</t>
        </is>
      </c>
      <c r="N28" t="inlineStr">
        <is>
          <t>Derived</t>
        </is>
      </c>
    </row>
    <row r="29">
      <c r="A29" s="5" t="inlineStr">
        <is>
          <t>B. Capacity &amp; Power (capacity/nebius_capacity.xlsx; Capacity &amp; Power team - tags carried)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t="inlineStr">
        <is>
          <t>Energized MW - company total incl. plug (Capacity base case)</t>
        </is>
      </c>
      <c r="B30" t="inlineStr">
        <is>
          <t>MW</t>
        </is>
      </c>
      <c r="C30" s="16" t="n">
        <v>25</v>
      </c>
      <c r="D30" s="16" t="n">
        <v>25</v>
      </c>
      <c r="E30" s="16" t="n">
        <v>25</v>
      </c>
      <c r="F30" s="16" t="n">
        <v>25</v>
      </c>
      <c r="G30" s="16" t="n">
        <v>50</v>
      </c>
      <c r="H30" s="16" t="n">
        <v>50</v>
      </c>
      <c r="I30" s="16" t="n">
        <v>62.5</v>
      </c>
      <c r="J30" s="16" t="n">
        <v>170</v>
      </c>
      <c r="K30" s="16" t="n">
        <v>181.5</v>
      </c>
      <c r="L30" s="16" t="n">
        <v>193</v>
      </c>
      <c r="M30" t="inlineStr">
        <is>
          <t>Ties to mgmt figures where given (YE25 ~170 MW active). Capacity Quarterly MW row 130 (Total incl. plug). MIXED basis: Vineland, Modi'in, AIB = IT MW; other sites as stated (mostly gross/unknown). Closest to Nebius "active" power; NOT connected or contracted.</t>
        </is>
      </c>
      <c r="N30" t="inlineStr">
        <is>
          <t>Capacity &amp; Power</t>
        </is>
      </c>
    </row>
    <row r="31">
      <c r="A31" t="inlineStr">
        <is>
          <t>Energized MW - identified sites, low</t>
        </is>
      </c>
      <c r="B31" t="inlineStr">
        <is>
          <t>MW</t>
        </is>
      </c>
      <c r="C31" s="16" t="n">
        <v>25</v>
      </c>
      <c r="D31" s="16" t="n">
        <v>25</v>
      </c>
      <c r="E31" s="16" t="n">
        <v>25</v>
      </c>
      <c r="F31" s="16" t="n">
        <v>30</v>
      </c>
      <c r="G31" s="16" t="n">
        <v>45</v>
      </c>
      <c r="H31" s="16" t="n">
        <v>45</v>
      </c>
      <c r="I31" s="16" t="n">
        <v>45</v>
      </c>
      <c r="J31" s="16" t="n">
        <v>115.8</v>
      </c>
      <c r="K31" s="16" t="n">
        <v>154</v>
      </c>
      <c r="L31" s="16" t="n">
        <v>157</v>
      </c>
      <c r="M31" t="inlineStr">
        <is>
          <t>Excludes plug for undisclosed sites. Capacity Quarterly MW row 124.</t>
        </is>
      </c>
      <c r="N31" t="inlineStr">
        <is>
          <t>Capacity &amp; Power</t>
        </is>
      </c>
    </row>
    <row r="32">
      <c r="A32" t="inlineStr">
        <is>
          <t>Energized MW - identified sites, high</t>
        </is>
      </c>
      <c r="B32" t="inlineStr">
        <is>
          <t>MW</t>
        </is>
      </c>
      <c r="C32" s="16" t="n">
        <v>25</v>
      </c>
      <c r="D32" s="16" t="n">
        <v>25</v>
      </c>
      <c r="E32" s="16" t="n">
        <v>25</v>
      </c>
      <c r="F32" s="16" t="n">
        <v>30</v>
      </c>
      <c r="G32" s="16" t="n">
        <v>55</v>
      </c>
      <c r="H32" s="16" t="n">
        <v>55</v>
      </c>
      <c r="I32" s="16" t="n">
        <v>80</v>
      </c>
      <c r="J32" s="16" t="n">
        <v>179.6</v>
      </c>
      <c r="K32" s="16" t="n">
        <v>209</v>
      </c>
      <c r="L32" s="16" t="n">
        <v>229</v>
      </c>
      <c r="M32" t="inlineStr">
        <is>
          <t>Excludes plug. Capacity Quarterly MW row 125.</t>
        </is>
      </c>
      <c r="N32" t="inlineStr">
        <is>
          <t>Capacity &amp; Power</t>
        </is>
      </c>
    </row>
    <row r="33">
      <c r="A33" t="inlineStr">
        <is>
          <t>MW as stated by management</t>
        </is>
      </c>
      <c r="B33" t="inlineStr">
        <is>
          <t>MW</t>
        </is>
      </c>
      <c r="C33" s="9" t="inlineStr">
        <is>
          <t>n.d.</t>
        </is>
      </c>
      <c r="D33" s="9" t="inlineStr">
        <is>
          <t>n.d.</t>
        </is>
      </c>
      <c r="E33" s="9" t="inlineStr">
        <is>
          <t>n.d.</t>
        </is>
      </c>
      <c r="F33" s="8" t="n">
        <v>25</v>
      </c>
      <c r="G33" s="9" t="inlineStr">
        <is>
          <t>n.d.</t>
        </is>
      </c>
      <c r="H33" s="9" t="inlineStr">
        <is>
          <t>n.d.</t>
        </is>
      </c>
      <c r="I33" s="9" t="inlineStr">
        <is>
          <t>n.d.</t>
        </is>
      </c>
      <c r="J33" s="8" t="n">
        <v>170</v>
      </c>
      <c r="K33" s="9" t="inlineStr">
        <is>
          <t>n.d.</t>
        </is>
      </c>
      <c r="L33" s="9" t="inlineStr">
        <is>
          <t>n.d.</t>
        </is>
      </c>
      <c r="M33" t="inlineStr">
        <is>
          <t>YE24 = connected (Q3-25 letter chart); YE25 = ACTIVE (Q4-25 letter). Different definitions.</t>
        </is>
      </c>
      <c r="N33" t="inlineStr">
        <is>
          <t>Capacity &amp; Power / filings</t>
        </is>
      </c>
    </row>
    <row r="34">
      <c r="A34" t="inlineStr">
        <is>
          <t>GPUs deployed - modeled (Capacity: energized MW x GPUs/MW)</t>
        </is>
      </c>
      <c r="B34" t="inlineStr">
        <is>
          <t>GPUs</t>
        </is>
      </c>
      <c r="C34" s="14" t="n">
        <v>13713</v>
      </c>
      <c r="D34" s="14" t="n">
        <v>13713</v>
      </c>
      <c r="E34" s="14" t="n">
        <v>13713</v>
      </c>
      <c r="F34" s="14" t="n">
        <v>16456</v>
      </c>
      <c r="G34" s="14" t="n">
        <v>27426</v>
      </c>
      <c r="H34" s="14" t="n">
        <v>27426</v>
      </c>
      <c r="I34" s="14" t="n">
        <v>32542</v>
      </c>
      <c r="J34" s="14" t="n">
        <v>69797</v>
      </c>
      <c r="K34" s="14" t="n">
        <v>84323</v>
      </c>
      <c r="L34" s="14" t="n">
        <v>89153</v>
      </c>
      <c r="M34" t="inlineStr">
        <is>
          <t>Modeled from MW, not a company count. Company counts ran ahead of powered MW.</t>
        </is>
      </c>
      <c r="N34" t="inlineStr">
        <is>
          <t>Capacity &amp; Power</t>
        </is>
      </c>
    </row>
    <row r="35">
      <c r="A35" t="inlineStr">
        <is>
          <t xml:space="preserve">  of which Hopper (H100-class; Mantsala first 25 MW, Paris, Keflavik)</t>
        </is>
      </c>
      <c r="B35" t="inlineStr">
        <is>
          <t>GPUs</t>
        </is>
      </c>
      <c r="C35" s="14" t="n">
        <v>13713</v>
      </c>
      <c r="D35" s="14" t="n">
        <v>13713</v>
      </c>
      <c r="E35" s="14" t="n">
        <v>13713</v>
      </c>
      <c r="F35" s="14" t="n">
        <v>16456</v>
      </c>
      <c r="G35" s="14" t="n">
        <v>21941</v>
      </c>
      <c r="H35" s="14" t="n">
        <v>21941</v>
      </c>
      <c r="I35" s="14" t="n">
        <v>21941</v>
      </c>
      <c r="J35" s="14" t="n">
        <v>21941</v>
      </c>
      <c r="K35" s="14" t="n">
        <v>21941</v>
      </c>
      <c r="L35" s="14" t="n">
        <v>21941</v>
      </c>
      <c r="M35" t="inlineStr">
        <is>
          <t>Generation per site mostly ASSUMED by Capacity team (GPU vintage tab).</t>
        </is>
      </c>
      <c r="N35" t="inlineStr">
        <is>
          <t>Capacity &amp; Power (split by Filings)</t>
        </is>
      </c>
    </row>
    <row r="36">
      <c r="A36" t="inlineStr">
        <is>
          <t xml:space="preserve">  of which H200 (Kansas City first 10 MW @ 548.5 GPUs/MW)</t>
        </is>
      </c>
      <c r="B36" t="inlineStr">
        <is>
          <t>GPUs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5485</v>
      </c>
      <c r="H36" s="14" t="n">
        <v>5485</v>
      </c>
      <c r="I36" s="14" t="n">
        <v>5485</v>
      </c>
      <c r="J36" s="14" t="n">
        <v>5485</v>
      </c>
      <c r="K36" s="14" t="n">
        <v>5485</v>
      </c>
      <c r="L36" s="14" t="n">
        <v>5485</v>
      </c>
      <c r="M36" t="inlineStr">
        <is>
          <t>Generation per site mostly ASSUMED by Capacity team (GPU vintage tab).</t>
        </is>
      </c>
      <c r="N36" t="inlineStr">
        <is>
          <t>Capacity &amp; Power (split by Filings)</t>
        </is>
      </c>
    </row>
    <row r="37">
      <c r="A37" t="inlineStr">
        <is>
          <t xml:space="preserve">  of which B200 (Kansas City expansion, Modi'in)</t>
        </is>
      </c>
      <c r="B37" t="inlineStr">
        <is>
          <t>GPUs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7981</v>
      </c>
      <c r="K37" s="14" t="n">
        <v>7981</v>
      </c>
      <c r="L37" s="14" t="n">
        <v>7981</v>
      </c>
      <c r="M37" t="inlineStr">
        <is>
          <t>Generation per site mostly ASSUMED by Capacity team (GPU vintage tab).</t>
        </is>
      </c>
      <c r="N37" t="inlineStr">
        <is>
          <t>Capacity &amp; Power (split by Filings)</t>
        </is>
      </c>
    </row>
    <row r="38">
      <c r="A38" t="inlineStr">
        <is>
          <t xml:space="preserve">  of which B300 HGX (Longcross)</t>
        </is>
      </c>
      <c r="B38" t="inlineStr">
        <is>
          <t>GPUs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6173</v>
      </c>
      <c r="K38" s="14" t="n">
        <v>10031</v>
      </c>
      <c r="L38" s="14" t="n">
        <v>10031</v>
      </c>
      <c r="M38" t="inlineStr">
        <is>
          <t>Generation per site mostly ASSUMED by Capacity team (GPU vintage tab).</t>
        </is>
      </c>
      <c r="N38" t="inlineStr">
        <is>
          <t>Capacity &amp; Power (split by Filings)</t>
        </is>
      </c>
    </row>
    <row r="39">
      <c r="A39" t="inlineStr">
        <is>
          <t xml:space="preserve">  of which GB300 NVL72 (Vineland, Mantsala expansion)</t>
        </is>
      </c>
      <c r="B39" t="inlineStr">
        <is>
          <t>GPUs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5116</v>
      </c>
      <c r="J39" s="14" t="n">
        <v>28217</v>
      </c>
      <c r="K39" s="14" t="n">
        <v>38885</v>
      </c>
      <c r="L39" s="14" t="n">
        <v>43715</v>
      </c>
      <c r="M39" t="inlineStr">
        <is>
          <t>Generation per site mostly ASSUMED by Capacity team (GPU vintage tab).</t>
        </is>
      </c>
      <c r="N39" t="inlineStr">
        <is>
          <t>Capacity &amp; Power (split by Filings)</t>
        </is>
      </c>
    </row>
    <row r="40">
      <c r="A40" t="inlineStr">
        <is>
          <t>GPU count as stated by company (for comparison)</t>
        </is>
      </c>
      <c r="B40" t="inlineStr">
        <is>
          <t>GPUs</t>
        </is>
      </c>
      <c r="C40" s="12" t="inlineStr">
        <is>
          <t>n.d.</t>
        </is>
      </c>
      <c r="D40" s="12" t="inlineStr">
        <is>
          <t>n.d.</t>
        </is>
      </c>
      <c r="E40" s="14" t="n">
        <v>10000</v>
      </c>
      <c r="F40" s="14" t="n">
        <v>20000</v>
      </c>
      <c r="G40" s="13" t="n">
        <v>30000</v>
      </c>
      <c r="H40" s="12" t="inlineStr">
        <is>
          <t>n.d.</t>
        </is>
      </c>
      <c r="I40" s="12" t="inlineStr">
        <is>
          <t>n.d.</t>
        </is>
      </c>
      <c r="J40" s="12" t="inlineStr">
        <is>
          <t>n.d.</t>
        </is>
      </c>
      <c r="K40" s="12" t="inlineStr">
        <is>
          <t>n.d.</t>
        </is>
      </c>
      <c r="L40" s="12" t="inlineStr">
        <is>
          <t>n.d.</t>
        </is>
      </c>
      <c r="M40" t="inlineStr">
        <is>
          <t>Not used in formulas.</t>
        </is>
      </c>
      <c r="N40" t="inlineStr">
        <is>
          <t>Capacity &amp; Power / filings</t>
        </is>
      </c>
    </row>
    <row r="41">
      <c r="A41" s="5" t="inlineStr">
        <is>
          <t>C. GPU list pricing (GPU Market &amp; Comps: market/gpu_price_history.xlsx)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t="inlineStr">
        <is>
          <t>Nebius H100 SXM on-demand list - quarter-end (latest snapshot in quarter)</t>
        </is>
      </c>
      <c r="B42" t="inlineStr">
        <is>
          <t>$/GPU-hr</t>
        </is>
      </c>
      <c r="C42" s="11" t="n">
        <v>4.85</v>
      </c>
      <c r="D42" s="11" t="n">
        <v>4.85</v>
      </c>
      <c r="E42" s="11" t="n">
        <v>3.5</v>
      </c>
      <c r="F42" s="11" t="n">
        <v>2.95</v>
      </c>
      <c r="G42" s="11" t="n">
        <v>2.95</v>
      </c>
      <c r="H42" s="11" t="n">
        <v>2.95</v>
      </c>
      <c r="I42" s="11" t="n">
        <v>2.95</v>
      </c>
      <c r="J42" s="11" t="n">
        <v>2.95</v>
      </c>
      <c r="K42" s="11" t="n">
        <v>2.95</v>
      </c>
      <c r="L42" s="11" t="n">
        <v>3.85</v>
      </c>
      <c r="M42" t="inlineStr">
        <is>
          <t>Public on-demand list; commitments "up to 35% less" (nebius.com/prices).</t>
        </is>
      </c>
      <c r="N42" t="inlineStr">
        <is>
          <t>GPU Market &amp; Comps</t>
        </is>
      </c>
    </row>
    <row r="43">
      <c r="A43" t="inlineStr">
        <is>
          <t>Nebius H200 on-demand list - quarter-end (latest snapshot in quarter)</t>
        </is>
      </c>
      <c r="B43" t="inlineStr">
        <is>
          <t>$/GPU-hr</t>
        </is>
      </c>
      <c r="C43" s="10" t="inlineStr">
        <is>
          <t>n.d.</t>
        </is>
      </c>
      <c r="D43" s="10" t="inlineStr">
        <is>
          <t>n.d.</t>
        </is>
      </c>
      <c r="E43" s="10" t="inlineStr">
        <is>
          <t>n.d.</t>
        </is>
      </c>
      <c r="F43" s="11" t="n">
        <v>3.5</v>
      </c>
      <c r="G43" s="11" t="n">
        <v>3.5</v>
      </c>
      <c r="H43" s="11" t="n">
        <v>3.5</v>
      </c>
      <c r="I43" s="11" t="n">
        <v>3.5</v>
      </c>
      <c r="J43" s="11" t="n">
        <v>3.5</v>
      </c>
      <c r="K43" s="11" t="n">
        <v>3.5</v>
      </c>
      <c r="L43" s="11" t="n">
        <v>4.5</v>
      </c>
      <c r="M43" t="inlineStr">
        <is>
          <t>Public on-demand list; commitments "up to 35% less" (nebius.com/prices).</t>
        </is>
      </c>
      <c r="N43" t="inlineStr">
        <is>
          <t>GPU Market &amp; Comps</t>
        </is>
      </c>
    </row>
    <row r="44">
      <c r="A44" t="inlineStr">
        <is>
          <t>Nebius B200 on-demand list - quarter-end (latest snapshot in quarter)</t>
        </is>
      </c>
      <c r="B44" t="inlineStr">
        <is>
          <t>$/GPU-hr</t>
        </is>
      </c>
      <c r="C44" s="10" t="inlineStr">
        <is>
          <t>n.d.</t>
        </is>
      </c>
      <c r="D44" s="10" t="inlineStr">
        <is>
          <t>n.d.</t>
        </is>
      </c>
      <c r="E44" s="10" t="inlineStr">
        <is>
          <t>n.d.</t>
        </is>
      </c>
      <c r="F44" s="10" t="inlineStr">
        <is>
          <t>n.d.</t>
        </is>
      </c>
      <c r="G44" s="10" t="inlineStr">
        <is>
          <t>n.d.</t>
        </is>
      </c>
      <c r="H44" s="10" t="inlineStr">
        <is>
          <t>n.d.</t>
        </is>
      </c>
      <c r="I44" s="11" t="n">
        <v>5.5</v>
      </c>
      <c r="J44" s="11" t="n">
        <v>5.5</v>
      </c>
      <c r="K44" s="11" t="n">
        <v>5.5</v>
      </c>
      <c r="L44" s="11" t="n">
        <v>7.15</v>
      </c>
      <c r="M44" t="inlineStr">
        <is>
          <t>Public on-demand list; commitments "up to 35% less" (nebius.com/prices).</t>
        </is>
      </c>
      <c r="N44" t="inlineStr">
        <is>
          <t>GPU Market &amp; Comps</t>
        </is>
      </c>
    </row>
    <row r="45">
      <c r="A45" t="inlineStr">
        <is>
          <t>Nebius B300 on-demand list - quarter-end (latest snapshot in quarter)</t>
        </is>
      </c>
      <c r="B45" t="inlineStr">
        <is>
          <t>$/GPU-hr</t>
        </is>
      </c>
      <c r="C45" s="10" t="inlineStr">
        <is>
          <t>n.d.</t>
        </is>
      </c>
      <c r="D45" s="10" t="inlineStr">
        <is>
          <t>n.d.</t>
        </is>
      </c>
      <c r="E45" s="10" t="inlineStr">
        <is>
          <t>n.d.</t>
        </is>
      </c>
      <c r="F45" s="10" t="inlineStr">
        <is>
          <t>n.d.</t>
        </is>
      </c>
      <c r="G45" s="10" t="inlineStr">
        <is>
          <t>n.d.</t>
        </is>
      </c>
      <c r="H45" s="10" t="inlineStr">
        <is>
          <t>n.d.</t>
        </is>
      </c>
      <c r="I45" s="10" t="inlineStr">
        <is>
          <t>n.d.</t>
        </is>
      </c>
      <c r="J45" s="10" t="inlineStr">
        <is>
          <t>n.d.</t>
        </is>
      </c>
      <c r="K45" s="10" t="inlineStr">
        <is>
          <t>n.d.</t>
        </is>
      </c>
      <c r="L45" s="11" t="n">
        <v>7.85</v>
      </c>
      <c r="M45" t="inlineStr">
        <is>
          <t>Public on-demand list; commitments "up to 35% less" (nebius.com/prices).</t>
        </is>
      </c>
      <c r="N45" t="inlineStr">
        <is>
          <t>GPU Market &amp; Comps</t>
        </is>
      </c>
    </row>
    <row r="46">
      <c r="A46" t="inlineStr">
        <is>
          <t>Nebius H100 SXM on-demand list - quarter average (3 months)</t>
        </is>
      </c>
      <c r="B46" t="inlineStr">
        <is>
          <t>$/GPU-hr</t>
        </is>
      </c>
      <c r="C46" s="17">
        <f>AVERAGE(Prices_Monthly!B4:D4)</f>
        <v/>
      </c>
      <c r="D46" s="17">
        <f>AVERAGE(Prices_Monthly!E4:G4)</f>
        <v/>
      </c>
      <c r="E46" s="15">
        <f>AVERAGE(Prices_Monthly!H4:J4)</f>
        <v/>
      </c>
      <c r="F46" s="15">
        <f>AVERAGE(Prices_Monthly!K4:M4)</f>
        <v/>
      </c>
      <c r="G46" s="17">
        <f>AVERAGE(Prices_Monthly!N4:P4)</f>
        <v/>
      </c>
      <c r="H46" s="15">
        <f>AVERAGE(Prices_Monthly!Q4:S4)</f>
        <v/>
      </c>
      <c r="I46" s="15">
        <f>AVERAGE(Prices_Monthly!T4:V4)</f>
        <v/>
      </c>
      <c r="J46" s="15">
        <f>AVERAGE(Prices_Monthly!W4:Y4)</f>
        <v/>
      </c>
      <c r="K46" s="15">
        <f>AVERAGE(Prices_Monthly!Z4:AB4)</f>
        <v/>
      </c>
      <c r="L46" s="15">
        <f>AVERAGE(Prices_Monthly!AC4:AE4)</f>
        <v/>
      </c>
      <c r="M46" t="inlineStr">
        <is>
          <t>AVERAGE of Prices_Monthly; orange if any month forward-filled.</t>
        </is>
      </c>
      <c r="N46" t="inlineStr">
        <is>
          <t>Derived from GPU Market &amp; Comps</t>
        </is>
      </c>
    </row>
    <row r="47">
      <c r="A47" t="inlineStr">
        <is>
          <t>Nebius H200 on-demand list - quarter average (3 months)</t>
        </is>
      </c>
      <c r="B47" t="inlineStr">
        <is>
          <t>$/GPU-hr</t>
        </is>
      </c>
      <c r="C47" s="10" t="inlineStr">
        <is>
          <t>n.d.</t>
        </is>
      </c>
      <c r="D47" s="10" t="inlineStr">
        <is>
          <t>n.d.</t>
        </is>
      </c>
      <c r="E47" s="10" t="inlineStr">
        <is>
          <t>n.d.</t>
        </is>
      </c>
      <c r="F47" s="15">
        <f>AVERAGE(Prices_Monthly!K5:M5)</f>
        <v/>
      </c>
      <c r="G47" s="17">
        <f>AVERAGE(Prices_Monthly!N5:P5)</f>
        <v/>
      </c>
      <c r="H47" s="15">
        <f>AVERAGE(Prices_Monthly!Q5:S5)</f>
        <v/>
      </c>
      <c r="I47" s="15">
        <f>AVERAGE(Prices_Monthly!T5:V5)</f>
        <v/>
      </c>
      <c r="J47" s="15">
        <f>AVERAGE(Prices_Monthly!W5:Y5)</f>
        <v/>
      </c>
      <c r="K47" s="15">
        <f>AVERAGE(Prices_Monthly!Z5:AB5)</f>
        <v/>
      </c>
      <c r="L47" s="15">
        <f>AVERAGE(Prices_Monthly!AC5:AE5)</f>
        <v/>
      </c>
      <c r="M47" t="inlineStr">
        <is>
          <t>AVERAGE of Prices_Monthly; orange if any month forward-filled.</t>
        </is>
      </c>
      <c r="N47" t="inlineStr">
        <is>
          <t>Derived from GPU Market &amp; Comps</t>
        </is>
      </c>
    </row>
    <row r="48">
      <c r="A48" t="inlineStr">
        <is>
          <t>Nebius B200 on-demand list - quarter average (3 months)</t>
        </is>
      </c>
      <c r="B48" t="inlineStr">
        <is>
          <t>$/GPU-hr</t>
        </is>
      </c>
      <c r="C48" s="10" t="inlineStr">
        <is>
          <t>n.d.</t>
        </is>
      </c>
      <c r="D48" s="10" t="inlineStr">
        <is>
          <t>n.d.</t>
        </is>
      </c>
      <c r="E48" s="10" t="inlineStr">
        <is>
          <t>n.d.</t>
        </is>
      </c>
      <c r="F48" s="10" t="inlineStr">
        <is>
          <t>n.d.</t>
        </is>
      </c>
      <c r="G48" s="10" t="inlineStr">
        <is>
          <t>n.d.</t>
        </is>
      </c>
      <c r="H48" s="10" t="inlineStr">
        <is>
          <t>n.d.</t>
        </is>
      </c>
      <c r="I48" s="15">
        <f>AVERAGE(Prices_Monthly!T6:V6)</f>
        <v/>
      </c>
      <c r="J48" s="15">
        <f>AVERAGE(Prices_Monthly!W6:Y6)</f>
        <v/>
      </c>
      <c r="K48" s="15">
        <f>AVERAGE(Prices_Monthly!Z6:AB6)</f>
        <v/>
      </c>
      <c r="L48" s="15">
        <f>AVERAGE(Prices_Monthly!AC6:AE6)</f>
        <v/>
      </c>
      <c r="M48" t="inlineStr">
        <is>
          <t>AVERAGE of Prices_Monthly; orange if any month forward-filled.</t>
        </is>
      </c>
      <c r="N48" t="inlineStr">
        <is>
          <t>Derived from GPU Market &amp; Comps</t>
        </is>
      </c>
    </row>
    <row r="49">
      <c r="A49" t="inlineStr">
        <is>
          <t>Nebius B300 on-demand list - quarter average (3 months)</t>
        </is>
      </c>
      <c r="B49" t="inlineStr">
        <is>
          <t>$/GPU-hr</t>
        </is>
      </c>
      <c r="C49" s="10" t="inlineStr">
        <is>
          <t>n.d.</t>
        </is>
      </c>
      <c r="D49" s="10" t="inlineStr">
        <is>
          <t>n.d.</t>
        </is>
      </c>
      <c r="E49" s="10" t="inlineStr">
        <is>
          <t>n.d.</t>
        </is>
      </c>
      <c r="F49" s="10" t="inlineStr">
        <is>
          <t>n.d.</t>
        </is>
      </c>
      <c r="G49" s="10" t="inlineStr">
        <is>
          <t>n.d.</t>
        </is>
      </c>
      <c r="H49" s="10" t="inlineStr">
        <is>
          <t>n.d.</t>
        </is>
      </c>
      <c r="I49" s="10" t="inlineStr">
        <is>
          <t>n.d.</t>
        </is>
      </c>
      <c r="J49" s="10" t="inlineStr">
        <is>
          <t>n.d.</t>
        </is>
      </c>
      <c r="K49" s="10" t="inlineStr">
        <is>
          <t>n.d.</t>
        </is>
      </c>
      <c r="L49" s="15">
        <f>AVERAGE(Prices_Monthly!AC7:AE7)</f>
        <v/>
      </c>
      <c r="M49" t="inlineStr">
        <is>
          <t>AVERAGE of Prices_Monthly; orange if any month forward-filled.</t>
        </is>
      </c>
      <c r="N49" t="inlineStr">
        <is>
          <t>Derived from GPU Market &amp; Comps</t>
        </is>
      </c>
    </row>
    <row r="50">
      <c r="A50" t="inlineStr">
        <is>
          <t>Neocloud median H100 SXM on-demand (last month of quarter)</t>
        </is>
      </c>
      <c r="B50" t="inlineStr">
        <is>
          <t>$/GPU-hr</t>
        </is>
      </c>
      <c r="C50" s="17" t="n">
        <v>4.09</v>
      </c>
      <c r="D50" s="17" t="n">
        <v>4.09</v>
      </c>
      <c r="E50" s="17" t="n">
        <v>3.49</v>
      </c>
      <c r="F50" s="17" t="n">
        <v>2.99</v>
      </c>
      <c r="G50" s="17" t="n">
        <v>2.99</v>
      </c>
      <c r="H50" s="17" t="n">
        <v>3.445</v>
      </c>
      <c r="I50" s="17" t="n">
        <v>2.99</v>
      </c>
      <c r="J50" s="17" t="n">
        <v>2.99</v>
      </c>
      <c r="K50" s="17" t="n">
        <v>3.44</v>
      </c>
      <c r="L50" s="17" t="n">
        <v>3.99</v>
      </c>
      <c r="M50" t="inlineStr">
        <is>
          <t>Forward-filled median across neoclouds (n in source tab).</t>
        </is>
      </c>
      <c r="N50" t="inlineStr">
        <is>
          <t>GPU Market &amp; Comps</t>
        </is>
      </c>
    </row>
    <row r="51">
      <c r="A51" t="inlineStr">
        <is>
          <t>Price used for B300 / GB300 GPUs (proxy)</t>
        </is>
      </c>
      <c r="B51" t="inlineStr">
        <is>
          <t>$/GPU-hr</t>
        </is>
      </c>
      <c r="C51" s="10" t="inlineStr">
        <is>
          <t>n.d.</t>
        </is>
      </c>
      <c r="D51" s="10" t="inlineStr">
        <is>
          <t>n.d.</t>
        </is>
      </c>
      <c r="E51" s="10" t="inlineStr">
        <is>
          <t>n.d.</t>
        </is>
      </c>
      <c r="F51" s="10" t="inlineStr">
        <is>
          <t>n.d.</t>
        </is>
      </c>
      <c r="G51" s="10" t="inlineStr">
        <is>
          <t>n.d.</t>
        </is>
      </c>
      <c r="H51" s="10" t="inlineStr">
        <is>
          <t>n.d.</t>
        </is>
      </c>
      <c r="I51" s="17">
        <f>I48</f>
        <v/>
      </c>
      <c r="J51" s="17">
        <f>J48</f>
        <v/>
      </c>
      <c r="K51" s="17">
        <f>K48</f>
        <v/>
      </c>
      <c r="L51" s="17">
        <f>L49</f>
        <v/>
      </c>
      <c r="M51" t="inlineStr">
        <is>
          <t>GB300 has no public Nebius price ("contact us"). Proxy = B300 quarter-avg list when listed (Q2-26), else B200 quarter-avg list (floor).</t>
        </is>
      </c>
      <c r="N51" t="inlineStr">
        <is>
          <t>Filings (method)</t>
        </is>
      </c>
    </row>
    <row r="52">
      <c r="A52" t="inlineStr">
        <is>
          <t>Fleet-weighted blended list price (quarter avg)</t>
        </is>
      </c>
      <c r="B52" t="inlineStr">
        <is>
          <t>$/GPU-hr</t>
        </is>
      </c>
      <c r="C52" s="17">
        <f>(C35*C46)/C34</f>
        <v/>
      </c>
      <c r="D52" s="17">
        <f>(D35*D46)/D34</f>
        <v/>
      </c>
      <c r="E52" s="17">
        <f>(E35*E46)/E34</f>
        <v/>
      </c>
      <c r="F52" s="17">
        <f>(F35*F46)/F34</f>
        <v/>
      </c>
      <c r="G52" s="17">
        <f>(G35*G46+G36*G47)/G34</f>
        <v/>
      </c>
      <c r="H52" s="17">
        <f>(H35*H46+H36*H47)/H34</f>
        <v/>
      </c>
      <c r="I52" s="17">
        <f>(I35*I46+I36*I47+(I38+I39)*I51)/I34</f>
        <v/>
      </c>
      <c r="J52" s="17">
        <f>(J35*J46+J36*J47+J37*J48+(J38+J39)*J51)/J34</f>
        <v/>
      </c>
      <c r="K52" s="17">
        <f>(K35*K46+K36*K47+K37*K48+(K38+K39)*K51)/K34</f>
        <v/>
      </c>
      <c r="L52" s="17">
        <f>(L35*L46+L36*L47+L37*L48+(L38+L39)*L51)/L34</f>
        <v/>
      </c>
      <c r="M52" t="inlineStr">
        <is>
          <t>Hopper priced at H100 list (H200 mix unknown -&gt; conservative). Weights = modeled GPUs at quarter end.</t>
        </is>
      </c>
      <c r="N52" t="inlineStr">
        <is>
          <t>Derived (Estimated inputs)</t>
        </is>
      </c>
    </row>
    <row r="53">
      <c r="A53" s="5" t="inlineStr">
        <is>
          <t>D. Derived KPIs (live formulas; n.d. where an input is missing)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t="inlineStr">
        <is>
          <t>Hours in quarter</t>
        </is>
      </c>
      <c r="B54" t="inlineStr">
        <is>
          <t>hours</t>
        </is>
      </c>
      <c r="C54" s="7">
        <f>91*24</f>
        <v/>
      </c>
      <c r="D54" s="7">
        <f>91*24</f>
        <v/>
      </c>
      <c r="E54" s="7">
        <f>92*24</f>
        <v/>
      </c>
      <c r="F54" s="7">
        <f>92*24</f>
        <v/>
      </c>
      <c r="G54" s="7">
        <f>90*24</f>
        <v/>
      </c>
      <c r="H54" s="7">
        <f>91*24</f>
        <v/>
      </c>
      <c r="I54" s="7">
        <f>92*24</f>
        <v/>
      </c>
      <c r="J54" s="7">
        <f>92*24</f>
        <v/>
      </c>
      <c r="K54" s="7">
        <f>90*24</f>
        <v/>
      </c>
      <c r="L54" s="7">
        <f>91*24</f>
        <v/>
      </c>
      <c r="M54" t="inlineStr">
        <is>
          <t>calendar days x 24</t>
        </is>
      </c>
      <c r="N54" t="inlineStr">
        <is>
          <t>Derived</t>
        </is>
      </c>
    </row>
    <row r="55">
      <c r="A55" t="inlineStr">
        <is>
          <t>Average GPUs in quarter (opening+closing)/2</t>
        </is>
      </c>
      <c r="B55" t="inlineStr">
        <is>
          <t>GPUs</t>
        </is>
      </c>
      <c r="C55" s="12" t="inlineStr">
        <is>
          <t>n.d.</t>
        </is>
      </c>
      <c r="D55" s="14">
        <f>AVERAGE(C34,D34)</f>
        <v/>
      </c>
      <c r="E55" s="14">
        <f>AVERAGE(D34,E34)</f>
        <v/>
      </c>
      <c r="F55" s="14">
        <f>AVERAGE(E34,F34)</f>
        <v/>
      </c>
      <c r="G55" s="14">
        <f>AVERAGE(F34,G34)</f>
        <v/>
      </c>
      <c r="H55" s="14">
        <f>AVERAGE(G34,H34)</f>
        <v/>
      </c>
      <c r="I55" s="14">
        <f>AVERAGE(H34,I34)</f>
        <v/>
      </c>
      <c r="J55" s="14">
        <f>AVERAGE(I34,J34)</f>
        <v/>
      </c>
      <c r="K55" s="14">
        <f>AVERAGE(J34,K34)</f>
        <v/>
      </c>
      <c r="L55" s="14">
        <f>AVERAGE(K34,L34)</f>
        <v/>
      </c>
      <c r="M55" t="inlineStr">
        <is>
          <t>Q1-24 n.d. (no Q4-23 model value).</t>
        </is>
      </c>
      <c r="N55" t="inlineStr">
        <is>
          <t>Derived</t>
        </is>
      </c>
    </row>
    <row r="56">
      <c r="A56" t="inlineStr">
        <is>
          <t>Implied realized revenue per GPU-hour (AI cloud rev / avg GPUs / hours)</t>
        </is>
      </c>
      <c r="B56" t="inlineStr">
        <is>
          <t>$/GPU-hr</t>
        </is>
      </c>
      <c r="C56" s="10" t="inlineStr">
        <is>
          <t>n.d.</t>
        </is>
      </c>
      <c r="D56" s="10" t="inlineStr">
        <is>
          <t>n.d.</t>
        </is>
      </c>
      <c r="E56" s="17">
        <f>E6*1000000/(E55*E54)</f>
        <v/>
      </c>
      <c r="F56" s="17">
        <f>F6*1000000/(F55*F54)</f>
        <v/>
      </c>
      <c r="G56" s="17">
        <f>G6*1000000/(G55*G54)</f>
        <v/>
      </c>
      <c r="H56" s="17">
        <f>H6*1000000/(H55*H54)</f>
        <v/>
      </c>
      <c r="I56" s="17">
        <f>I6*1000000/(I55*I54)</f>
        <v/>
      </c>
      <c r="J56" s="17">
        <f>J6*1000000/(J55*J54)</f>
        <v/>
      </c>
      <c r="K56" s="17">
        <f>K6*1000000/(K55*K54)</f>
        <v/>
      </c>
      <c r="L56" s="17">
        <f>L6*1000000/(L55*L54)</f>
        <v/>
      </c>
      <c r="M56" t="inlineStr">
        <is>
          <t>Revenue includes non-GPU-hour items (Token Factory, storage, software, asset-light).</t>
        </is>
      </c>
      <c r="N56" t="inlineStr">
        <is>
          <t>Derived</t>
        </is>
      </c>
    </row>
    <row r="57">
      <c r="A57" t="inlineStr">
        <is>
          <t>Implied utilization = AI cloud rev / (avg GPUs x hours x blended list $/GPU-hr)</t>
        </is>
      </c>
      <c r="B57" t="inlineStr">
        <is>
          <t>%</t>
        </is>
      </c>
      <c r="C57" s="18" t="inlineStr">
        <is>
          <t>n.d.</t>
        </is>
      </c>
      <c r="D57" s="18" t="inlineStr">
        <is>
          <t>n.d.</t>
        </is>
      </c>
      <c r="E57" s="19">
        <f>E6*1000000/(E55*E54*E52)</f>
        <v/>
      </c>
      <c r="F57" s="19">
        <f>F6*1000000/(F55*F54*F52)</f>
        <v/>
      </c>
      <c r="G57" s="19">
        <f>G6*1000000/(G55*G54*G52)</f>
        <v/>
      </c>
      <c r="H57" s="19">
        <f>H6*1000000/(H55*H54*H52)</f>
        <v/>
      </c>
      <c r="I57" s="19">
        <f>I6*1000000/(I55*I54*I52)</f>
        <v/>
      </c>
      <c r="J57" s="19">
        <f>J6*1000000/(J55*J54*J52)</f>
        <v/>
      </c>
      <c r="K57" s="19">
        <f>K6*1000000/(K55*K54*K52)</f>
        <v/>
      </c>
      <c r="L57" s="19">
        <f>L6*1000000/(L55*L54*L52)</f>
        <v/>
      </c>
      <c r="M57" t="inlineStr">
        <is>
          <t>Mixes utilization with realized-vs-list discount (commit deals priced below list); &gt;100% possible if modeled GPUs understate fleet or revenue includes non-GPU items. Indicative only.</t>
        </is>
      </c>
      <c r="N57" t="inlineStr">
        <is>
          <t>Derived</t>
        </is>
      </c>
    </row>
    <row r="58">
      <c r="A58" t="inlineStr">
        <is>
          <t>Implied utilization on quarter-end GPUs (variant)</t>
        </is>
      </c>
      <c r="B58" t="inlineStr">
        <is>
          <t>%</t>
        </is>
      </c>
      <c r="C58" s="18" t="inlineStr">
        <is>
          <t>n.d.</t>
        </is>
      </c>
      <c r="D58" s="18" t="inlineStr">
        <is>
          <t>n.d.</t>
        </is>
      </c>
      <c r="E58" s="19">
        <f>E6*1000000/(E34*E54*E52)</f>
        <v/>
      </c>
      <c r="F58" s="19">
        <f>F6*1000000/(F34*F54*F52)</f>
        <v/>
      </c>
      <c r="G58" s="19">
        <f>G6*1000000/(G34*G54*G52)</f>
        <v/>
      </c>
      <c r="H58" s="19">
        <f>H6*1000000/(H34*H54*H52)</f>
        <v/>
      </c>
      <c r="I58" s="19">
        <f>I6*1000000/(I34*I54*I52)</f>
        <v/>
      </c>
      <c r="J58" s="19">
        <f>J6*1000000/(J34*J54*J52)</f>
        <v/>
      </c>
      <c r="K58" s="19">
        <f>K6*1000000/(K34*K54*K52)</f>
        <v/>
      </c>
      <c r="L58" s="19">
        <f>L6*1000000/(L34*L54*L52)</f>
        <v/>
      </c>
      <c r="M58" t="inlineStr">
        <is>
          <t>Lower bound vs average-GPU version when fleet is growing.</t>
        </is>
      </c>
      <c r="N58" t="inlineStr">
        <is>
          <t>Derived</t>
        </is>
      </c>
    </row>
    <row r="59">
      <c r="A59" t="inlineStr">
        <is>
          <t>AI cloud revenue per energized MW, annualized (quarter-end MW)</t>
        </is>
      </c>
      <c r="B59" t="inlineStr">
        <is>
          <t>$M/MW-yr</t>
        </is>
      </c>
      <c r="C59" s="9" t="inlineStr">
        <is>
          <t>n.d.</t>
        </is>
      </c>
      <c r="D59" s="9" t="inlineStr">
        <is>
          <t>n.d.</t>
        </is>
      </c>
      <c r="E59" s="16">
        <f>E6*4/E30</f>
        <v/>
      </c>
      <c r="F59" s="16">
        <f>F6*4/F30</f>
        <v/>
      </c>
      <c r="G59" s="16">
        <f>G6*4/G30</f>
        <v/>
      </c>
      <c r="H59" s="16">
        <f>H6*4/H30</f>
        <v/>
      </c>
      <c r="I59" s="16">
        <f>I6*4/I30</f>
        <v/>
      </c>
      <c r="J59" s="16">
        <f>J6*4/J30</f>
        <v/>
      </c>
      <c r="K59" s="16">
        <f>K6*4/K30</f>
        <v/>
      </c>
      <c r="L59" s="16">
        <f>L6*4/L30</f>
        <v/>
      </c>
      <c r="M59" t="inlineStr">
        <is>
          <t>Mixed IT/gross MW basis. Compare: Q2-26 letter ~$12M/MW 2026 installed base; &gt;$20M/MW new deals.</t>
        </is>
      </c>
      <c r="N59" t="inlineStr">
        <is>
          <t>Derived</t>
        </is>
      </c>
    </row>
    <row r="60">
      <c r="A60" t="inlineStr">
        <is>
          <t>AI cloud revenue per energized MW, annualized (average MW)</t>
        </is>
      </c>
      <c r="B60" t="inlineStr">
        <is>
          <t>$M/MW-yr</t>
        </is>
      </c>
      <c r="C60" s="9" t="inlineStr">
        <is>
          <t>n.d.</t>
        </is>
      </c>
      <c r="D60" s="9" t="inlineStr">
        <is>
          <t>n.d.</t>
        </is>
      </c>
      <c r="E60" s="16">
        <f>E6*4/AVERAGE(D30,E30)</f>
        <v/>
      </c>
      <c r="F60" s="16">
        <f>F6*4/AVERAGE(E30,F30)</f>
        <v/>
      </c>
      <c r="G60" s="16">
        <f>G6*4/AVERAGE(F30,G30)</f>
        <v/>
      </c>
      <c r="H60" s="16">
        <f>H6*4/AVERAGE(G30,H30)</f>
        <v/>
      </c>
      <c r="I60" s="16">
        <f>I6*4/AVERAGE(H30,I30)</f>
        <v/>
      </c>
      <c r="J60" s="16">
        <f>J6*4/AVERAGE(I30,J30)</f>
        <v/>
      </c>
      <c r="K60" s="16">
        <f>K6*4/AVERAGE(J30,K30)</f>
        <v/>
      </c>
      <c r="L60" s="16">
        <f>L6*4/AVERAGE(K30,L30)</f>
        <v/>
      </c>
      <c r="N60" t="inlineStr">
        <is>
          <t>Derived</t>
        </is>
      </c>
    </row>
    <row r="61">
      <c r="A61" t="inlineStr">
        <is>
          <t>AI cloud revenue per MW as stated by mgmt (YE MW), annualized</t>
        </is>
      </c>
      <c r="B61" t="inlineStr">
        <is>
          <t>$M/MW-yr</t>
        </is>
      </c>
      <c r="C61" s="9" t="inlineStr">
        <is>
          <t>n.d.</t>
        </is>
      </c>
      <c r="D61" s="9" t="inlineStr">
        <is>
          <t>n.d.</t>
        </is>
      </c>
      <c r="E61" s="9" t="inlineStr">
        <is>
          <t>n.d.</t>
        </is>
      </c>
      <c r="F61" s="7">
        <f>F6*4/F33</f>
        <v/>
      </c>
      <c r="G61" s="9" t="inlineStr">
        <is>
          <t>n.d.</t>
        </is>
      </c>
      <c r="H61" s="9" t="inlineStr">
        <is>
          <t>n.d.</t>
        </is>
      </c>
      <c r="I61" s="9" t="inlineStr">
        <is>
          <t>n.d.</t>
        </is>
      </c>
      <c r="J61" s="7">
        <f>J6*4/J33</f>
        <v/>
      </c>
      <c r="K61" s="9" t="inlineStr">
        <is>
          <t>n.d.</t>
        </is>
      </c>
      <c r="L61" s="9" t="inlineStr">
        <is>
          <t>n.d.</t>
        </is>
      </c>
      <c r="M61" t="inlineStr">
        <is>
          <t>Only where mgmt gave a MW figure (YE25 active).</t>
        </is>
      </c>
      <c r="N61" t="inlineStr">
        <is>
          <t>Derived</t>
        </is>
      </c>
    </row>
    <row r="62">
      <c r="A62" t="inlineStr">
        <is>
          <t>AI cloud revenue per GPU, annualized (average GPUs)</t>
        </is>
      </c>
      <c r="B62" t="inlineStr">
        <is>
          <t>$K/GPU-yr</t>
        </is>
      </c>
      <c r="C62" s="9" t="inlineStr">
        <is>
          <t>n.d.</t>
        </is>
      </c>
      <c r="D62" s="9" t="inlineStr">
        <is>
          <t>n.d.</t>
        </is>
      </c>
      <c r="E62" s="16">
        <f>E6*4*1000/E55</f>
        <v/>
      </c>
      <c r="F62" s="16">
        <f>F6*4*1000/F55</f>
        <v/>
      </c>
      <c r="G62" s="16">
        <f>G6*4*1000/G55</f>
        <v/>
      </c>
      <c r="H62" s="16">
        <f>H6*4*1000/H55</f>
        <v/>
      </c>
      <c r="I62" s="16">
        <f>I6*4*1000/I55</f>
        <v/>
      </c>
      <c r="J62" s="16">
        <f>J6*4*1000/J55</f>
        <v/>
      </c>
      <c r="K62" s="16">
        <f>K6*4*1000/K55</f>
        <v/>
      </c>
      <c r="L62" s="16">
        <f>L6*4*1000/L55</f>
        <v/>
      </c>
      <c r="N62" t="inlineStr">
        <is>
          <t>Derived</t>
        </is>
      </c>
    </row>
    <row r="63">
      <c r="A63" t="inlineStr">
        <is>
          <t>Change in energized MW vs prior quarter</t>
        </is>
      </c>
      <c r="B63" t="inlineStr">
        <is>
          <t>MW</t>
        </is>
      </c>
      <c r="C63" s="9" t="inlineStr">
        <is>
          <t>n.d.</t>
        </is>
      </c>
      <c r="D63" s="16">
        <f>D30-C30</f>
        <v/>
      </c>
      <c r="E63" s="16">
        <f>E30-D30</f>
        <v/>
      </c>
      <c r="F63" s="16">
        <f>F30-E30</f>
        <v/>
      </c>
      <c r="G63" s="16">
        <f>G30-F30</f>
        <v/>
      </c>
      <c r="H63" s="16">
        <f>H30-G30</f>
        <v/>
      </c>
      <c r="I63" s="16">
        <f>I30-H30</f>
        <v/>
      </c>
      <c r="J63" s="16">
        <f>J30-I30</f>
        <v/>
      </c>
      <c r="K63" s="16">
        <f>K30-J30</f>
        <v/>
      </c>
      <c r="L63" s="16">
        <f>L30-K30</f>
        <v/>
      </c>
      <c r="N63" t="inlineStr">
        <is>
          <t>Derived</t>
        </is>
      </c>
    </row>
    <row r="64">
      <c r="A64" t="inlineStr">
        <is>
          <t>Cash capex per MW added (quarter)</t>
        </is>
      </c>
      <c r="B64" t="inlineStr">
        <is>
          <t>$M/MW</t>
        </is>
      </c>
      <c r="C64" s="9" t="inlineStr">
        <is>
          <t>n.d.</t>
        </is>
      </c>
      <c r="D64" s="16">
        <f>IF(D63&lt;=5,"n.m. (dMW&lt;=5)",D11/D63)</f>
        <v/>
      </c>
      <c r="E64" s="16">
        <f>IF(E63&lt;=5,"n.m. (dMW&lt;=5)",E11/E63)</f>
        <v/>
      </c>
      <c r="F64" s="16">
        <f>IF(F63&lt;=5,"n.m. (dMW&lt;=5)",F11/F63)</f>
        <v/>
      </c>
      <c r="G64" s="16">
        <f>IF(G63&lt;=5,"n.m. (dMW&lt;=5)",G11/G63)</f>
        <v/>
      </c>
      <c r="H64" s="16">
        <f>IF(H63&lt;=5,"n.m. (dMW&lt;=5)",H11/H63)</f>
        <v/>
      </c>
      <c r="I64" s="16">
        <f>IF(I63&lt;=5,"n.m. (dMW&lt;=5)",I11/I63)</f>
        <v/>
      </c>
      <c r="J64" s="16">
        <f>IF(J63&lt;=5,"n.m. (dMW&lt;=5)",J11/J63)</f>
        <v/>
      </c>
      <c r="K64" s="16">
        <f>IF(K63&lt;=5,"n.m. (dMW&lt;=5)",K11/K63)</f>
        <v/>
      </c>
      <c r="L64" s="16">
        <f>IF(L63&lt;=5,"n.m. (dMW&lt;=5)",L11/L63)</f>
        <v/>
      </c>
      <c r="M64" t="inlineStr">
        <is>
          <t>Capex funds future capacity (assets not yet in use); quarterly ratio not meaningful when MW added is ~0.</t>
        </is>
      </c>
      <c r="N64" t="inlineStr">
        <is>
          <t>Derived</t>
        </is>
      </c>
    </row>
    <row r="65">
      <c r="A65" t="inlineStr">
        <is>
          <t>Cash capex per MW added, trailing 4 quarters</t>
        </is>
      </c>
      <c r="B65" t="inlineStr">
        <is>
          <t>$M/MW</t>
        </is>
      </c>
      <c r="C65" s="9" t="inlineStr">
        <is>
          <t>n.d.</t>
        </is>
      </c>
      <c r="D65" s="9" t="inlineStr">
        <is>
          <t>n.d.</t>
        </is>
      </c>
      <c r="E65" s="9" t="inlineStr">
        <is>
          <t>n.d.</t>
        </is>
      </c>
      <c r="F65" s="9" t="inlineStr">
        <is>
          <t>n.d.</t>
        </is>
      </c>
      <c r="G65" s="16">
        <f>IF(G30-C30&lt;=5,"n.m. (dMW&lt;=5)",SUM(D11:G11)/(G30-C30))</f>
        <v/>
      </c>
      <c r="H65" s="16">
        <f>IF(H30-D30&lt;=5,"n.m. (dMW&lt;=5)",SUM(E11:H11)/(H30-D30))</f>
        <v/>
      </c>
      <c r="I65" s="16">
        <f>IF(I30-E30&lt;=5,"n.m. (dMW&lt;=5)",SUM(F11:I11)/(I30-E30))</f>
        <v/>
      </c>
      <c r="J65" s="16">
        <f>IF(J30-F30&lt;=5,"n.m. (dMW&lt;=5)",SUM(G11:J11)/(J30-F30))</f>
        <v/>
      </c>
      <c r="K65" s="16">
        <f>IF(K30-G30&lt;=5,"n.m. (dMW&lt;=5)",SUM(H11:K11)/(K30-G30))</f>
        <v/>
      </c>
      <c r="L65" s="16">
        <f>IF(L30-H30&lt;=5,"n.m. (dMW&lt;=5)",SUM(I11:L11)/(L30-H30))</f>
        <v/>
      </c>
      <c r="N65" t="inlineStr">
        <is>
          <t>Derived</t>
        </is>
      </c>
    </row>
    <row r="66">
      <c r="A66" t="inlineStr">
        <is>
          <t>Placed-in-service PP&amp;E per MW added (gross in-service PP&amp;E change / MW change)</t>
        </is>
      </c>
      <c r="B66" t="inlineStr">
        <is>
          <t>$M/MW</t>
        </is>
      </c>
      <c r="C66" s="10" t="inlineStr">
        <is>
          <t>n.d.</t>
        </is>
      </c>
      <c r="D66" s="10" t="inlineStr">
        <is>
          <t>n.d.</t>
        </is>
      </c>
      <c r="E66" s="10" t="inlineStr">
        <is>
          <t>n.d.</t>
        </is>
      </c>
      <c r="F66" s="10" t="inlineStr">
        <is>
          <t>n.d.</t>
        </is>
      </c>
      <c r="G66" s="10" t="inlineStr">
        <is>
          <t>n.d.</t>
        </is>
      </c>
      <c r="H66" s="10" t="inlineStr">
        <is>
          <t>n.d.</t>
        </is>
      </c>
      <c r="I66" s="10" t="inlineStr">
        <is>
          <t>n.d.</t>
        </is>
      </c>
      <c r="J66" s="10" t="inlineStr">
        <is>
          <t>n.d.</t>
        </is>
      </c>
      <c r="K66" s="17">
        <f>IF(K30-J30&lt;=5,"n.m. (dMW&lt;=5)",(K26-J26)/(K30-J30))</f>
        <v/>
      </c>
      <c r="L66" s="17">
        <f>IF(L30-K30&lt;=5,"n.m. (dMW&lt;=5)",(L26-K26)/(L30-K30))</f>
        <v/>
      </c>
      <c r="M66" t="inlineStr">
        <is>
          <t>Quarterly where consecutive breakdowns exist (Q1-26, Q2-26).</t>
        </is>
      </c>
      <c r="N66" t="inlineStr">
        <is>
          <t>Derived</t>
        </is>
      </c>
    </row>
    <row r="67">
      <c r="A67" t="inlineStr">
        <is>
          <t>Placed-in-service PP&amp;E per MW added, FY basis (Q4 prior -&gt; Q4)</t>
        </is>
      </c>
      <c r="B67" t="inlineStr">
        <is>
          <t>$M/MW</t>
        </is>
      </c>
      <c r="C67" s="10" t="inlineStr">
        <is>
          <t>n.d.</t>
        </is>
      </c>
      <c r="D67" s="10" t="inlineStr">
        <is>
          <t>n.d.</t>
        </is>
      </c>
      <c r="E67" s="10" t="inlineStr">
        <is>
          <t>n.d.</t>
        </is>
      </c>
      <c r="F67" s="10" t="inlineStr">
        <is>
          <t>n.d.</t>
        </is>
      </c>
      <c r="G67" s="10" t="inlineStr">
        <is>
          <t>n.d.</t>
        </is>
      </c>
      <c r="H67" s="10" t="inlineStr">
        <is>
          <t>n.d.</t>
        </is>
      </c>
      <c r="I67" s="10" t="inlineStr">
        <is>
          <t>n.d.</t>
        </is>
      </c>
      <c r="J67" s="17">
        <f>(J26-F26)/(J30-F30)</f>
        <v/>
      </c>
      <c r="K67" s="10" t="inlineStr">
        <is>
          <t>n.d.</t>
        </is>
      </c>
      <c r="L67" s="10" t="inlineStr">
        <is>
          <t>n.d.</t>
        </is>
      </c>
      <c r="M67" t="inlineStr">
        <is>
          <t>FY2025 only (Dec-24 -&gt; Dec-25 breakdowns).</t>
        </is>
      </c>
      <c r="N67" t="inlineStr">
        <is>
          <t>Derived</t>
        </is>
      </c>
    </row>
    <row r="68">
      <c r="A68" t="inlineStr">
        <is>
          <t>ARR / 12 = implied last-month AI cloud revenue</t>
        </is>
      </c>
      <c r="B68" t="inlineStr">
        <is>
          <t>$M</t>
        </is>
      </c>
      <c r="C68" s="7">
        <f>C7/12</f>
        <v/>
      </c>
      <c r="D68" s="7">
        <f>D7/12</f>
        <v/>
      </c>
      <c r="E68" s="7">
        <f>E7/12</f>
        <v/>
      </c>
      <c r="F68" s="7">
        <f>F7/12</f>
        <v/>
      </c>
      <c r="G68" s="7">
        <f>G7/12</f>
        <v/>
      </c>
      <c r="H68" s="7">
        <f>H7/12</f>
        <v/>
      </c>
      <c r="I68" s="7">
        <f>I7/12</f>
        <v/>
      </c>
      <c r="J68" s="7">
        <f>J7/12</f>
        <v/>
      </c>
      <c r="K68" s="7">
        <f>K7/12</f>
        <v/>
      </c>
      <c r="L68" s="7">
        <f>L7/12</f>
        <v/>
      </c>
      <c r="M68" t="inlineStr">
        <is>
          <t>Definition: last month of quarter x12 (Q2-26 letter footnote 4).</t>
        </is>
      </c>
      <c r="N68" t="inlineStr">
        <is>
          <t>Derived</t>
        </is>
      </c>
    </row>
    <row r="69">
      <c r="A69" t="inlineStr">
        <is>
          <t>AI cloud revenue - quarter monthly average</t>
        </is>
      </c>
      <c r="B69" t="inlineStr">
        <is>
          <t>$M</t>
        </is>
      </c>
      <c r="C69" s="9" t="inlineStr">
        <is>
          <t>n.d.</t>
        </is>
      </c>
      <c r="D69" s="9" t="inlineStr">
        <is>
          <t>n.d.</t>
        </is>
      </c>
      <c r="E69" s="7">
        <f>E6/3</f>
        <v/>
      </c>
      <c r="F69" s="7">
        <f>F6/3</f>
        <v/>
      </c>
      <c r="G69" s="7">
        <f>G6/3</f>
        <v/>
      </c>
      <c r="H69" s="7">
        <f>H6/3</f>
        <v/>
      </c>
      <c r="I69" s="7">
        <f>I6/3</f>
        <v/>
      </c>
      <c r="J69" s="7">
        <f>J6/3</f>
        <v/>
      </c>
      <c r="K69" s="7">
        <f>K6/3</f>
        <v/>
      </c>
      <c r="L69" s="7">
        <f>L6/3</f>
        <v/>
      </c>
      <c r="N69" t="inlineStr">
        <is>
          <t>Derived</t>
        </is>
      </c>
    </row>
    <row r="70">
      <c r="A70" t="inlineStr">
        <is>
          <t>Last-month vs quarter-average step-up</t>
        </is>
      </c>
      <c r="B70" t="inlineStr">
        <is>
          <t>%</t>
        </is>
      </c>
      <c r="C70" s="18" t="inlineStr">
        <is>
          <t>n.d.</t>
        </is>
      </c>
      <c r="D70" s="18" t="inlineStr">
        <is>
          <t>n.d.</t>
        </is>
      </c>
      <c r="E70" s="20">
        <f>E68/E69-1</f>
        <v/>
      </c>
      <c r="F70" s="20">
        <f>F68/F69-1</f>
        <v/>
      </c>
      <c r="G70" s="20">
        <f>G68/G69-1</f>
        <v/>
      </c>
      <c r="H70" s="20">
        <f>H68/H69-1</f>
        <v/>
      </c>
      <c r="I70" s="20">
        <f>I68/I69-1</f>
        <v/>
      </c>
      <c r="J70" s="20">
        <f>J68/J69-1</f>
        <v/>
      </c>
      <c r="K70" s="20">
        <f>K68/K69-1</f>
        <v/>
      </c>
      <c r="L70" s="20">
        <f>L68/L69-1</f>
        <v/>
      </c>
      <c r="M70" t="inlineStr">
        <is>
          <t>Pre-2026 ARR scope = "revenue" (core AI infra; 2024 from presentation charts) vs AI cloud segment revenue: scope mismatch possible.</t>
        </is>
      </c>
      <c r="N70" t="inlineStr">
        <is>
          <t>Derived</t>
        </is>
      </c>
    </row>
    <row r="71">
      <c r="A71" t="inlineStr">
        <is>
          <t>Annualized AI cloud revenue per $1 server &amp; network equipment in service (period end)</t>
        </is>
      </c>
      <c r="B71" t="inlineStr">
        <is>
          <t>$/$</t>
        </is>
      </c>
      <c r="C71" s="10" t="inlineStr">
        <is>
          <t>n.d.</t>
        </is>
      </c>
      <c r="D71" s="10" t="inlineStr">
        <is>
          <t>n.d.</t>
        </is>
      </c>
      <c r="E71" s="10" t="inlineStr">
        <is>
          <t>n.d.</t>
        </is>
      </c>
      <c r="F71" s="15">
        <f>F6*4/F23</f>
        <v/>
      </c>
      <c r="G71" s="10" t="inlineStr">
        <is>
          <t>n.d.</t>
        </is>
      </c>
      <c r="H71" s="10" t="inlineStr">
        <is>
          <t>n.d.</t>
        </is>
      </c>
      <c r="I71" s="10" t="inlineStr">
        <is>
          <t>n.d.</t>
        </is>
      </c>
      <c r="J71" s="15">
        <f>J6*4/J23</f>
        <v/>
      </c>
      <c r="K71" s="15">
        <f>K6*4/K23</f>
        <v/>
      </c>
      <c r="L71" s="15">
        <f>L6*4/L23</f>
        <v/>
      </c>
      <c r="M71" t="inlineStr">
        <is>
          <t>Gross cost basis.</t>
        </is>
      </c>
      <c r="N71" t="inlineStr">
        <is>
          <t>Derived</t>
        </is>
      </c>
    </row>
    <row r="72">
      <c r="A72" t="inlineStr">
        <is>
          <t>Annualized AI cloud revenue per $1 server &amp; network equipment in service (average)</t>
        </is>
      </c>
      <c r="B72" t="inlineStr">
        <is>
          <t>$/$</t>
        </is>
      </c>
      <c r="C72" s="10" t="inlineStr">
        <is>
          <t>n.d.</t>
        </is>
      </c>
      <c r="D72" s="10" t="inlineStr">
        <is>
          <t>n.d.</t>
        </is>
      </c>
      <c r="E72" s="10" t="inlineStr">
        <is>
          <t>n.d.</t>
        </is>
      </c>
      <c r="F72" s="10" t="inlineStr">
        <is>
          <t>n.d.</t>
        </is>
      </c>
      <c r="G72" s="10" t="inlineStr">
        <is>
          <t>n.d.</t>
        </is>
      </c>
      <c r="H72" s="10" t="inlineStr">
        <is>
          <t>n.d.</t>
        </is>
      </c>
      <c r="I72" s="10" t="inlineStr">
        <is>
          <t>n.d.</t>
        </is>
      </c>
      <c r="J72" s="10" t="inlineStr">
        <is>
          <t>n.d.</t>
        </is>
      </c>
      <c r="K72" s="15">
        <f>K6*4/AVERAGE(J23,K23)</f>
        <v/>
      </c>
      <c r="L72" s="15">
        <f>L6*4/AVERAGE(K23,L23)</f>
        <v/>
      </c>
      <c r="N72" t="inlineStr">
        <is>
          <t>Derived</t>
        </is>
      </c>
    </row>
    <row r="73">
      <c r="A73" t="inlineStr">
        <is>
          <t>AI cloud adj. EBITDA per energized MW, annualized (average MW)</t>
        </is>
      </c>
      <c r="B73" t="inlineStr">
        <is>
          <t>$M/MW-yr</t>
        </is>
      </c>
      <c r="C73" s="9" t="inlineStr">
        <is>
          <t>n.d.</t>
        </is>
      </c>
      <c r="D73" s="9" t="inlineStr">
        <is>
          <t>n.d.</t>
        </is>
      </c>
      <c r="E73" s="16">
        <f>E9*4/AVERAGE(D30,E30)</f>
        <v/>
      </c>
      <c r="F73" s="16">
        <f>F9*4/AVERAGE(E30,F30)</f>
        <v/>
      </c>
      <c r="G73" s="16">
        <f>G9*4/AVERAGE(F30,G30)</f>
        <v/>
      </c>
      <c r="H73" s="16">
        <f>H9*4/AVERAGE(G30,H30)</f>
        <v/>
      </c>
      <c r="I73" s="16">
        <f>I9*4/AVERAGE(H30,I30)</f>
        <v/>
      </c>
      <c r="J73" s="16">
        <f>J9*4/AVERAGE(I30,J30)</f>
        <v/>
      </c>
      <c r="K73" s="16">
        <f>K9*4/AVERAGE(J30,K30)</f>
        <v/>
      </c>
      <c r="L73" s="16">
        <f>L9*4/AVERAGE(K30,L30)</f>
        <v/>
      </c>
      <c r="N73" t="inlineStr">
        <is>
          <t>Derived</t>
        </is>
      </c>
    </row>
    <row r="74">
      <c r="A74" t="inlineStr">
        <is>
          <t>Change in deferred revenue as % of capex</t>
        </is>
      </c>
      <c r="B74" t="inlineStr">
        <is>
          <t>%</t>
        </is>
      </c>
      <c r="C74" s="18" t="inlineStr">
        <is>
          <t>n.d.</t>
        </is>
      </c>
      <c r="D74" s="18" t="inlineStr">
        <is>
          <t>n.d.</t>
        </is>
      </c>
      <c r="E74" s="20">
        <f>E21/E11</f>
        <v/>
      </c>
      <c r="F74" s="20">
        <f>F21/F11</f>
        <v/>
      </c>
      <c r="G74" s="20">
        <f>G21/G11</f>
        <v/>
      </c>
      <c r="H74" s="20">
        <f>H21/H11</f>
        <v/>
      </c>
      <c r="I74" s="20">
        <f>I21/I11</f>
        <v/>
      </c>
      <c r="J74" s="20">
        <f>J21/J11</f>
        <v/>
      </c>
      <c r="K74" s="20">
        <f>K21/K11</f>
        <v/>
      </c>
      <c r="L74" s="20">
        <f>L21/L11</f>
        <v/>
      </c>
      <c r="M74" t="inlineStr">
        <is>
          <t>Prepayment funding of capex.</t>
        </is>
      </c>
      <c r="N74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Nebius public on-demand list prices, $/GPU-hr, monthly (GPU Market &amp; Comps team: gpu_price_history.xlsx). Blue = observed in a Wayback/live snapshot that month (Reported); orange italic = carried forward from the last observation (Estimated, forward-fill); grey = no observation yet.</t>
        </is>
      </c>
    </row>
    <row r="3">
      <c r="A3" s="1" t="inlineStr">
        <is>
          <t>SKU</t>
        </is>
      </c>
      <c r="B3" s="1" t="inlineStr">
        <is>
          <t>2024-01</t>
        </is>
      </c>
      <c r="C3" s="1" t="inlineStr">
        <is>
          <t>2024-02</t>
        </is>
      </c>
      <c r="D3" s="1" t="inlineStr">
        <is>
          <t>2024-03</t>
        </is>
      </c>
      <c r="E3" s="1" t="inlineStr">
        <is>
          <t>2024-04</t>
        </is>
      </c>
      <c r="F3" s="1" t="inlineStr">
        <is>
          <t>2024-05</t>
        </is>
      </c>
      <c r="G3" s="1" t="inlineStr">
        <is>
          <t>2024-06</t>
        </is>
      </c>
      <c r="H3" s="1" t="inlineStr">
        <is>
          <t>2024-07</t>
        </is>
      </c>
      <c r="I3" s="1" t="inlineStr">
        <is>
          <t>2024-08</t>
        </is>
      </c>
      <c r="J3" s="1" t="inlineStr">
        <is>
          <t>2024-09</t>
        </is>
      </c>
      <c r="K3" s="1" t="inlineStr">
        <is>
          <t>2024-10</t>
        </is>
      </c>
      <c r="L3" s="1" t="inlineStr">
        <is>
          <t>2024-11</t>
        </is>
      </c>
      <c r="M3" s="1" t="inlineStr">
        <is>
          <t>2024-12</t>
        </is>
      </c>
      <c r="N3" s="1" t="inlineStr">
        <is>
          <t>2025-01</t>
        </is>
      </c>
      <c r="O3" s="1" t="inlineStr">
        <is>
          <t>2025-02</t>
        </is>
      </c>
      <c r="P3" s="1" t="inlineStr">
        <is>
          <t>2025-03</t>
        </is>
      </c>
      <c r="Q3" s="1" t="inlineStr">
        <is>
          <t>2025-04</t>
        </is>
      </c>
      <c r="R3" s="1" t="inlineStr">
        <is>
          <t>2025-05</t>
        </is>
      </c>
      <c r="S3" s="1" t="inlineStr">
        <is>
          <t>2025-06</t>
        </is>
      </c>
      <c r="T3" s="1" t="inlineStr">
        <is>
          <t>2025-07</t>
        </is>
      </c>
      <c r="U3" s="1" t="inlineStr">
        <is>
          <t>2025-08</t>
        </is>
      </c>
      <c r="V3" s="1" t="inlineStr">
        <is>
          <t>2025-09</t>
        </is>
      </c>
      <c r="W3" s="1" t="inlineStr">
        <is>
          <t>2025-10</t>
        </is>
      </c>
      <c r="X3" s="1" t="inlineStr">
        <is>
          <t>2025-11</t>
        </is>
      </c>
      <c r="Y3" s="1" t="inlineStr">
        <is>
          <t>2025-12</t>
        </is>
      </c>
      <c r="Z3" s="1" t="inlineStr">
        <is>
          <t>2026-01</t>
        </is>
      </c>
      <c r="AA3" s="1" t="inlineStr">
        <is>
          <t>2026-02</t>
        </is>
      </c>
      <c r="AB3" s="1" t="inlineStr">
        <is>
          <t>2026-03</t>
        </is>
      </c>
      <c r="AC3" s="1" t="inlineStr">
        <is>
          <t>2026-04</t>
        </is>
      </c>
      <c r="AD3" s="1" t="inlineStr">
        <is>
          <t>2026-05</t>
        </is>
      </c>
      <c r="AE3" s="1" t="inlineStr">
        <is>
          <t>2026-06</t>
        </is>
      </c>
    </row>
    <row r="4">
      <c r="A4" t="inlineStr">
        <is>
          <t>Nebius H100 SXM on-demand</t>
        </is>
      </c>
      <c r="B4" s="21" t="n">
        <v>4.85</v>
      </c>
      <c r="C4" s="21" t="n">
        <v>4.85</v>
      </c>
      <c r="D4" s="22" t="n">
        <v>4.85</v>
      </c>
      <c r="E4" s="21" t="n">
        <v>4.85</v>
      </c>
      <c r="F4" s="22" t="n">
        <v>4.85</v>
      </c>
      <c r="G4" s="21" t="n">
        <v>4.85</v>
      </c>
      <c r="H4" s="22" t="n">
        <v>4.85</v>
      </c>
      <c r="I4" s="22" t="n">
        <v>4.85</v>
      </c>
      <c r="J4" s="22" t="n">
        <v>3.5</v>
      </c>
      <c r="K4" s="22" t="n">
        <v>3.5</v>
      </c>
      <c r="L4" s="22" t="n">
        <v>2.95</v>
      </c>
      <c r="M4" s="22" t="n">
        <v>2.95</v>
      </c>
      <c r="N4" s="22" t="n">
        <v>2.95</v>
      </c>
      <c r="O4" s="21" t="n">
        <v>2.95</v>
      </c>
      <c r="P4" s="22" t="n">
        <v>2.95</v>
      </c>
      <c r="Q4" s="22" t="n">
        <v>2.95</v>
      </c>
      <c r="R4" s="22" t="n">
        <v>2.95</v>
      </c>
      <c r="S4" s="22" t="n">
        <v>2.95</v>
      </c>
      <c r="T4" s="22" t="n">
        <v>2.95</v>
      </c>
      <c r="U4" s="22" t="n">
        <v>2.95</v>
      </c>
      <c r="V4" s="22" t="n">
        <v>2.95</v>
      </c>
      <c r="W4" s="22" t="n">
        <v>2.95</v>
      </c>
      <c r="X4" s="22" t="n">
        <v>2.95</v>
      </c>
      <c r="Y4" s="22" t="n">
        <v>2.95</v>
      </c>
      <c r="Z4" s="22" t="n">
        <v>2.95</v>
      </c>
      <c r="AA4" s="22" t="n">
        <v>2.95</v>
      </c>
      <c r="AB4" s="22" t="n">
        <v>2.95</v>
      </c>
      <c r="AC4" s="22" t="n">
        <v>2.95</v>
      </c>
      <c r="AD4" s="22" t="n">
        <v>2.95</v>
      </c>
      <c r="AE4" s="22" t="n">
        <v>3.85</v>
      </c>
    </row>
    <row r="5">
      <c r="A5" t="inlineStr">
        <is>
          <t>Nebius H200 on-demand</t>
        </is>
      </c>
      <c r="B5" s="23" t="inlineStr">
        <is>
          <t>n.d.</t>
        </is>
      </c>
      <c r="C5" s="23" t="inlineStr">
        <is>
          <t>n.d.</t>
        </is>
      </c>
      <c r="D5" s="23" t="inlineStr">
        <is>
          <t>n.d.</t>
        </is>
      </c>
      <c r="E5" s="23" t="inlineStr">
        <is>
          <t>n.d.</t>
        </is>
      </c>
      <c r="F5" s="23" t="inlineStr">
        <is>
          <t>n.d.</t>
        </is>
      </c>
      <c r="G5" s="23" t="inlineStr">
        <is>
          <t>n.d.</t>
        </is>
      </c>
      <c r="H5" s="23" t="inlineStr">
        <is>
          <t>n.d.</t>
        </is>
      </c>
      <c r="I5" s="23" t="inlineStr">
        <is>
          <t>n.d.</t>
        </is>
      </c>
      <c r="J5" s="23" t="inlineStr">
        <is>
          <t>n.d.</t>
        </is>
      </c>
      <c r="K5" s="22" t="n">
        <v>4.85</v>
      </c>
      <c r="L5" s="22" t="n">
        <v>3.5</v>
      </c>
      <c r="M5" s="22" t="n">
        <v>3.5</v>
      </c>
      <c r="N5" s="22" t="n">
        <v>3.5</v>
      </c>
      <c r="O5" s="21" t="n">
        <v>3.5</v>
      </c>
      <c r="P5" s="22" t="n">
        <v>3.5</v>
      </c>
      <c r="Q5" s="22" t="n">
        <v>3.5</v>
      </c>
      <c r="R5" s="22" t="n">
        <v>3.5</v>
      </c>
      <c r="S5" s="22" t="n">
        <v>3.5</v>
      </c>
      <c r="T5" s="22" t="n">
        <v>3.5</v>
      </c>
      <c r="U5" s="22" t="n">
        <v>3.5</v>
      </c>
      <c r="V5" s="22" t="n">
        <v>3.5</v>
      </c>
      <c r="W5" s="22" t="n">
        <v>3.5</v>
      </c>
      <c r="X5" s="22" t="n">
        <v>3.5</v>
      </c>
      <c r="Y5" s="22" t="n">
        <v>3.5</v>
      </c>
      <c r="Z5" s="22" t="n">
        <v>3.5</v>
      </c>
      <c r="AA5" s="22" t="n">
        <v>3.5</v>
      </c>
      <c r="AB5" s="22" t="n">
        <v>3.5</v>
      </c>
      <c r="AC5" s="22" t="n">
        <v>3.5</v>
      </c>
      <c r="AD5" s="22" t="n">
        <v>3.5</v>
      </c>
      <c r="AE5" s="22" t="n">
        <v>4.5</v>
      </c>
    </row>
    <row r="6">
      <c r="A6" t="inlineStr">
        <is>
          <t>Nebius B200 on-demand</t>
        </is>
      </c>
      <c r="B6" s="23" t="inlineStr">
        <is>
          <t>n.d.</t>
        </is>
      </c>
      <c r="C6" s="23" t="inlineStr">
        <is>
          <t>n.d.</t>
        </is>
      </c>
      <c r="D6" s="23" t="inlineStr">
        <is>
          <t>n.d.</t>
        </is>
      </c>
      <c r="E6" s="23" t="inlineStr">
        <is>
          <t>n.d.</t>
        </is>
      </c>
      <c r="F6" s="23" t="inlineStr">
        <is>
          <t>n.d.</t>
        </is>
      </c>
      <c r="G6" s="23" t="inlineStr">
        <is>
          <t>n.d.</t>
        </is>
      </c>
      <c r="H6" s="23" t="inlineStr">
        <is>
          <t>n.d.</t>
        </is>
      </c>
      <c r="I6" s="23" t="inlineStr">
        <is>
          <t>n.d.</t>
        </is>
      </c>
      <c r="J6" s="23" t="inlineStr">
        <is>
          <t>n.d.</t>
        </is>
      </c>
      <c r="K6" s="23" t="inlineStr">
        <is>
          <t>n.d.</t>
        </is>
      </c>
      <c r="L6" s="23" t="inlineStr">
        <is>
          <t>n.d.</t>
        </is>
      </c>
      <c r="M6" s="23" t="inlineStr">
        <is>
          <t>n.d.</t>
        </is>
      </c>
      <c r="N6" s="23" t="inlineStr">
        <is>
          <t>n.d.</t>
        </is>
      </c>
      <c r="O6" s="23" t="inlineStr">
        <is>
          <t>n.d.</t>
        </is>
      </c>
      <c r="P6" s="23" t="inlineStr">
        <is>
          <t>n.d.</t>
        </is>
      </c>
      <c r="Q6" s="23" t="inlineStr">
        <is>
          <t>n.d.</t>
        </is>
      </c>
      <c r="R6" s="23" t="inlineStr">
        <is>
          <t>n.d.</t>
        </is>
      </c>
      <c r="S6" s="23" t="inlineStr">
        <is>
          <t>n.d.</t>
        </is>
      </c>
      <c r="T6" s="22" t="n">
        <v>5.5</v>
      </c>
      <c r="U6" s="22" t="n">
        <v>5.5</v>
      </c>
      <c r="V6" s="22" t="n">
        <v>5.5</v>
      </c>
      <c r="W6" s="22" t="n">
        <v>5.5</v>
      </c>
      <c r="X6" s="22" t="n">
        <v>5.5</v>
      </c>
      <c r="Y6" s="22" t="n">
        <v>5.5</v>
      </c>
      <c r="Z6" s="22" t="n">
        <v>5.5</v>
      </c>
      <c r="AA6" s="22" t="n">
        <v>5.5</v>
      </c>
      <c r="AB6" s="22" t="n">
        <v>5.5</v>
      </c>
      <c r="AC6" s="22" t="n">
        <v>5.5</v>
      </c>
      <c r="AD6" s="22" t="n">
        <v>5.5</v>
      </c>
      <c r="AE6" s="22" t="n">
        <v>7.15</v>
      </c>
    </row>
    <row r="7">
      <c r="A7" t="inlineStr">
        <is>
          <t>Nebius B300 on-demand</t>
        </is>
      </c>
      <c r="B7" s="23" t="inlineStr">
        <is>
          <t>n.d.</t>
        </is>
      </c>
      <c r="C7" s="23" t="inlineStr">
        <is>
          <t>n.d.</t>
        </is>
      </c>
      <c r="D7" s="23" t="inlineStr">
        <is>
          <t>n.d.</t>
        </is>
      </c>
      <c r="E7" s="23" t="inlineStr">
        <is>
          <t>n.d.</t>
        </is>
      </c>
      <c r="F7" s="23" t="inlineStr">
        <is>
          <t>n.d.</t>
        </is>
      </c>
      <c r="G7" s="23" t="inlineStr">
        <is>
          <t>n.d.</t>
        </is>
      </c>
      <c r="H7" s="23" t="inlineStr">
        <is>
          <t>n.d.</t>
        </is>
      </c>
      <c r="I7" s="23" t="inlineStr">
        <is>
          <t>n.d.</t>
        </is>
      </c>
      <c r="J7" s="23" t="inlineStr">
        <is>
          <t>n.d.</t>
        </is>
      </c>
      <c r="K7" s="23" t="inlineStr">
        <is>
          <t>n.d.</t>
        </is>
      </c>
      <c r="L7" s="23" t="inlineStr">
        <is>
          <t>n.d.</t>
        </is>
      </c>
      <c r="M7" s="23" t="inlineStr">
        <is>
          <t>n.d.</t>
        </is>
      </c>
      <c r="N7" s="23" t="inlineStr">
        <is>
          <t>n.d.</t>
        </is>
      </c>
      <c r="O7" s="23" t="inlineStr">
        <is>
          <t>n.d.</t>
        </is>
      </c>
      <c r="P7" s="23" t="inlineStr">
        <is>
          <t>n.d.</t>
        </is>
      </c>
      <c r="Q7" s="23" t="inlineStr">
        <is>
          <t>n.d.</t>
        </is>
      </c>
      <c r="R7" s="23" t="inlineStr">
        <is>
          <t>n.d.</t>
        </is>
      </c>
      <c r="S7" s="23" t="inlineStr">
        <is>
          <t>n.d.</t>
        </is>
      </c>
      <c r="T7" s="23" t="inlineStr">
        <is>
          <t>n.d.</t>
        </is>
      </c>
      <c r="U7" s="23" t="inlineStr">
        <is>
          <t>n.d.</t>
        </is>
      </c>
      <c r="V7" s="23" t="inlineStr">
        <is>
          <t>n.d.</t>
        </is>
      </c>
      <c r="W7" s="23" t="inlineStr">
        <is>
          <t>n.d.</t>
        </is>
      </c>
      <c r="X7" s="23" t="inlineStr">
        <is>
          <t>n.d.</t>
        </is>
      </c>
      <c r="Y7" s="23" t="inlineStr">
        <is>
          <t>n.d.</t>
        </is>
      </c>
      <c r="Z7" s="23" t="inlineStr">
        <is>
          <t>n.d.</t>
        </is>
      </c>
      <c r="AA7" s="23" t="inlineStr">
        <is>
          <t>n.d.</t>
        </is>
      </c>
      <c r="AB7" s="23" t="inlineStr">
        <is>
          <t>n.d.</t>
        </is>
      </c>
      <c r="AC7" s="22" t="n">
        <v>6.1</v>
      </c>
      <c r="AD7" s="22" t="n">
        <v>6.1</v>
      </c>
      <c r="AE7" s="22" t="n">
        <v>7.85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90" customWidth="1" min="6" max="6"/>
  </cols>
  <sheetData>
    <row r="1">
      <c r="A1" s="3" t="inlineStr">
        <is>
          <t>Checks: Q2 2026 tie-outs to filings and cross-team references (live formulas).</t>
        </is>
      </c>
    </row>
    <row r="3">
      <c r="A3" s="1" t="inlineStr">
        <is>
          <t>Check</t>
        </is>
      </c>
      <c r="B3" s="1" t="inlineStr">
        <is>
          <t>Workbook value (formula)</t>
        </is>
      </c>
      <c r="C3" s="1" t="inlineStr">
        <is>
          <t>Expected</t>
        </is>
      </c>
      <c r="D3" s="1" t="inlineStr">
        <is>
          <t>Difference</t>
        </is>
      </c>
      <c r="E3" s="1" t="inlineStr">
        <is>
          <t>Result</t>
        </is>
      </c>
      <c r="F3" s="1" t="inlineStr">
        <is>
          <t>Expected source</t>
        </is>
      </c>
    </row>
    <row r="4">
      <c r="A4" t="inlineStr">
        <is>
          <t>AI cloud segment revenue Q2-26 ($M)</t>
        </is>
      </c>
      <c r="B4">
        <f>KPI!L6</f>
        <v/>
      </c>
      <c r="C4" t="n">
        <v>574.9</v>
      </c>
      <c r="D4">
        <f>B4-C4</f>
        <v/>
      </c>
      <c r="E4">
        <f>IF(ABS(D4)&lt;=0.25,"PASS","CHECK")</f>
        <v/>
      </c>
      <c r="F4" t="inlineStr">
        <is>
          <t>6-K 2026-08-12 acc 0001104659-26-094844 nbis-20260812xex99d2.htm Note 15 segment table | https://www.sec.gov/Archives/edgar/data/1513845/000110465926094844/nbis-20260812xex99d2.htm</t>
        </is>
      </c>
    </row>
    <row r="5">
      <c r="A5" t="inlineStr">
        <is>
          <t>ARR end-Jun-26 ($M)</t>
        </is>
      </c>
      <c r="B5">
        <f>KPI!L7</f>
        <v/>
      </c>
      <c r="C5" t="n">
        <v>3000</v>
      </c>
      <c r="D5">
        <f>B5-C5</f>
        <v/>
      </c>
      <c r="E5">
        <f>IF(ABS(D5)&lt;=0.25,"PASS","CHECK")</f>
        <v/>
      </c>
      <c r="F5" t="inlineStr">
        <is>
          <t>6-K 2026-08-12 acc 0001104659-26-094568 tm2622968d1_ex99-2.htm p.9 ("ARR reached $3.0 billion") | https://www.sec.gov/Archives/edgar/data/1513845/000110465926094568/tm2622968d1_ex99-2.htm</t>
        </is>
      </c>
    </row>
    <row r="6">
      <c r="A6" t="inlineStr">
        <is>
          <t>Deferred revenue 30-Jun-26 ($M) = current 979.4 + non-current 4,995.8</t>
        </is>
      </c>
      <c r="B6">
        <f>KPI!L15</f>
        <v/>
      </c>
      <c r="C6">
        <f>979.4+4995.8</f>
        <v/>
      </c>
      <c r="D6">
        <f>B6-C6</f>
        <v/>
      </c>
      <c r="E6">
        <f>IF(ABS(D6)&lt;=0.25,"PASS","CHECK")</f>
        <v/>
      </c>
      <c r="F6" t="inlineStr">
        <is>
          <t>6-K 2026-08-12 acc 0001104659-26-094844 nbis-20260812xex99d2.htm balance sheet p.F-3 | https://www.sec.gov/Archives/edgar/data/1513845/000110465926094844/nbis-20260812xex99d2.htm</t>
        </is>
      </c>
    </row>
    <row r="7">
      <c r="A7" t="inlineStr">
        <is>
          <t>RPO 30-Jun-26 ($M)</t>
        </is>
      </c>
      <c r="B7">
        <f>KPI!L16</f>
        <v/>
      </c>
      <c r="C7" t="n">
        <v>37490.6</v>
      </c>
      <c r="D7">
        <f>B7-C7</f>
        <v/>
      </c>
      <c r="E7">
        <f>IF(ABS(D7)&lt;=0.25,"PASS","CHECK")</f>
        <v/>
      </c>
      <c r="F7" t="inlineStr">
        <is>
          <t>6-K 2026-08-12 acc 0001104659-26-094844 nbis-20260812xex99d2.htm Note 1 p.F-19 | https://www.sec.gov/Archives/edgar/data/1513845/000110465926094844/nbis-20260812xex99d2.htm</t>
        </is>
      </c>
    </row>
    <row r="8">
      <c r="A8" t="inlineStr">
        <is>
          <t>Segment sum = group revenue Q2-26 (574.9+1.0+10.0-3.6)</t>
        </is>
      </c>
      <c r="B8">
        <f>KPI!L5</f>
        <v/>
      </c>
      <c r="C8">
        <f>574.9+1.0+10.0-3.6</f>
        <v/>
      </c>
      <c r="D8">
        <f>B8-C8</f>
        <v/>
      </c>
      <c r="E8">
        <f>IF(ABS(D8)&lt;=0.25,"PASS","CHECK")</f>
        <v/>
      </c>
      <c r="F8" t="inlineStr">
        <is>
          <t>6-K 2026-08-12 acc 0001104659-26-094844 nbis-20260812xex99d2.htm Note 15 | https://www.sec.gov/Archives/edgar/data/1513845/000110465926094844/nbis-20260812xex99d2.htm</t>
        </is>
      </c>
    </row>
    <row r="9">
      <c r="A9" t="inlineStr">
        <is>
          <t>ARR/12 = June AI cloud revenue ($M)</t>
        </is>
      </c>
      <c r="B9">
        <f>KPI!L68</f>
        <v/>
      </c>
      <c r="C9" t="n">
        <v>250</v>
      </c>
      <c r="D9">
        <f>B9-C9</f>
        <v/>
      </c>
      <c r="E9">
        <f>IF(ABS(D9)&lt;=0.25,"PASS","CHECK")</f>
        <v/>
      </c>
      <c r="F9" t="inlineStr">
        <is>
          <t>Q2-26 letter (ARR $3.0B / 12)</t>
        </is>
      </c>
    </row>
    <row r="10">
      <c r="A10" t="inlineStr">
        <is>
          <t>Q2-26 AI cloud monthly average ($M)</t>
        </is>
      </c>
      <c r="B10">
        <f>KPI!L69</f>
        <v/>
      </c>
      <c r="C10">
        <f>574.9/3</f>
        <v/>
      </c>
      <c r="D10">
        <f>B10-C10</f>
        <v/>
      </c>
      <c r="E10">
        <f>IF(ABS(D10)&lt;=0.25,"PASS","CHECK")</f>
        <v/>
      </c>
      <c r="F10" t="inlineStr">
        <is>
          <t>arithmetic</t>
        </is>
      </c>
    </row>
    <row r="11">
      <c r="A11" t="inlineStr">
        <is>
          <t>FY25 OCF: sum of quarters = 401.9 (20-F)</t>
        </is>
      </c>
      <c r="B11">
        <f>SUM(KPI!G20:J20)</f>
        <v/>
      </c>
      <c r="C11" t="n">
        <v>401.9</v>
      </c>
      <c r="D11">
        <f>B11-C11</f>
        <v/>
      </c>
      <c r="E11">
        <f>IF(ABS(D11)&lt;=0.25,"PASS","CHECK")</f>
        <v/>
      </c>
      <c r="F11" t="inlineStr">
        <is>
          <t>20-F 2026-04-30 acc 0001104659-26-052948 nbis-20251231x20f.htm cash flow statement p.F-12 | https://www.sec.gov/Archives/edgar/data/1513845/000110465926052948/nbis-20251231x20f.htm</t>
        </is>
      </c>
    </row>
    <row r="12">
      <c r="A12" t="inlineStr">
        <is>
          <t>1H26 OCF: sum = 4,504.1</t>
        </is>
      </c>
      <c r="B12">
        <f>SUM(KPI!K20:L20)</f>
        <v/>
      </c>
      <c r="C12" t="n">
        <v>4504.1</v>
      </c>
      <c r="D12">
        <f>B12-C12</f>
        <v/>
      </c>
      <c r="E12">
        <f>IF(ABS(D12)&lt;=0.25,"PASS","CHECK")</f>
        <v/>
      </c>
      <c r="F12" t="inlineStr">
        <is>
          <t>6-K 2026-08-12 acc 0001104659-26-094568 tm2622968d1_ex99-1.htm cash flow statement | https://www.sec.gov/Archives/edgar/data/1513845/000110465926094568/tm2622968d1_ex99-1.htm</t>
        </is>
      </c>
    </row>
    <row r="13">
      <c r="A13" t="inlineStr">
        <is>
          <t>1H26 change in deferred revenue = 4,395.0</t>
        </is>
      </c>
      <c r="B13">
        <f>SUM(KPI!K21:L21)</f>
        <v/>
      </c>
      <c r="C13" t="n">
        <v>4395</v>
      </c>
      <c r="D13">
        <f>B13-C13</f>
        <v/>
      </c>
      <c r="E13">
        <f>IF(ABS(D13)&lt;=0.25,"PASS","CHECK")</f>
        <v/>
      </c>
      <c r="F13" t="inlineStr">
        <is>
          <t>6-K 2026-08-12 acc 0001104659-26-094568 tm2622968d1_ex99-1.htm cash flow statement | https://www.sec.gov/Archives/edgar/data/1513845/000110465926094568/tm2622968d1_ex99-1.htm</t>
        </is>
      </c>
    </row>
    <row r="14">
      <c r="A14" t="inlineStr">
        <is>
          <t>Deferred revenue YE24 ($M)</t>
        </is>
      </c>
      <c r="B14">
        <f>KPI!F15</f>
        <v/>
      </c>
      <c r="C14" t="n">
        <v>16.3</v>
      </c>
      <c r="D14">
        <f>B14-C14</f>
        <v/>
      </c>
      <c r="E14">
        <f>IF(ABS(D14)&lt;=0.25,"PASS","CHECK")</f>
        <v/>
      </c>
      <c r="F14" t="inlineStr">
        <is>
          <t>6-K 2025-08-07 acc 0001104659-25-075028 tm2522866d1_ex99-1.htm BS comparative Dec-24 | https://www.sec.gov/Archives/edgar/data/1513845/000110465925075028/tm2522866d1_ex99-1.htm / 20-F 2026-04-30 acc 0001104659-26-052948 nbis-20251231x20f.htm BS | https://www.sec.gov/Archives/edgar/data/1513845/000110465926052948/nbis-20251231x20f.htm</t>
        </is>
      </c>
    </row>
    <row r="15">
      <c r="A15" t="inlineStr">
        <is>
          <t>Deferred revenue 30-Jun-25 ($M)</t>
        </is>
      </c>
      <c r="B15">
        <f>KPI!H15</f>
        <v/>
      </c>
      <c r="C15" t="n">
        <v>19.3</v>
      </c>
      <c r="D15">
        <f>B15-C15</f>
        <v/>
      </c>
      <c r="E15">
        <f>IF(ABS(D15)&lt;=0.25,"PASS","CHECK")</f>
        <v/>
      </c>
      <c r="F15" t="inlineStr">
        <is>
          <t>6-K 2025-08-07 acc 0001104659-25-075028 tm2522866d1_ex99-1.htm BS Jun-30-2025 | https://www.sec.gov/Archives/edgar/data/1513845/000110465925075028/tm2522866d1_ex99-1.htm</t>
        </is>
      </c>
    </row>
    <row r="16">
      <c r="A16" t="inlineStr">
        <is>
          <t>Q1-26 servers placed in service = 4692.7-3123.6</t>
        </is>
      </c>
      <c r="B16">
        <f>KPI!K28</f>
        <v/>
      </c>
      <c r="C16">
        <f>4692.7-3123.6</f>
        <v/>
      </c>
      <c r="D16">
        <f>B16-C16</f>
        <v/>
      </c>
      <c r="E16">
        <f>IF(ABS(D16)&lt;=0.25,"PASS","CHECK")</f>
        <v/>
      </c>
      <c r="F16" t="inlineStr">
        <is>
          <t>6-K 2026-05-20 acc 0001104659-26-064092 nbis-20260331xex99d2.htm Note 7 | https://www.sec.gov/Archives/edgar/data/1513845/000110465926064092/nbis-20260331xex99d2.htm vs YE25</t>
        </is>
      </c>
    </row>
    <row r="17">
      <c r="A17" t="inlineStr">
        <is>
          <t>Q2-26 servers placed in service = 5197.7-4692.7</t>
        </is>
      </c>
      <c r="B17">
        <f>KPI!L28</f>
        <v/>
      </c>
      <c r="C17">
        <f>5197.7-4692.7</f>
        <v/>
      </c>
      <c r="D17">
        <f>B17-C17</f>
        <v/>
      </c>
      <c r="E17">
        <f>IF(ABS(D17)&lt;=0.25,"PASS","CHECK")</f>
        <v/>
      </c>
      <c r="F17" t="inlineStr">
        <is>
          <t>6-K 2026-08-12 acc 0001104659-26-094844 nbis-20260812xex99d2.htm Note 7 | https://www.sec.gov/Archives/edgar/data/1513845/000110465926094844/nbis-20260812xex99d2.htm vs Q1FS</t>
        </is>
      </c>
    </row>
    <row r="18">
      <c r="A18" t="inlineStr">
        <is>
          <t>Q1-26 Δ ANIU = 2427.9-2417.4</t>
        </is>
      </c>
      <c r="B18">
        <f>KPI!K27</f>
        <v/>
      </c>
      <c r="C18">
        <f>2427.9-2417.4</f>
        <v/>
      </c>
      <c r="D18">
        <f>B18-C18</f>
        <v/>
      </c>
      <c r="E18">
        <f>IF(ABS(D18)&lt;=0.25,"PASS","CHECK")</f>
        <v/>
      </c>
      <c r="F18" t="inlineStr">
        <is>
          <t>6-K 2026-05-20 acc 0001104659-26-064092 nbis-20260331xex99d2.htm Note 7 | https://www.sec.gov/Archives/edgar/data/1513845/000110465926064092/nbis-20260331xex99d2.htm</t>
        </is>
      </c>
    </row>
    <row r="19">
      <c r="A19" t="inlineStr">
        <is>
          <t>Q2-26 Δ ANIU = 7836.4-2427.9</t>
        </is>
      </c>
      <c r="B19">
        <f>KPI!L27</f>
        <v/>
      </c>
      <c r="C19">
        <f>7836.4-2427.9</f>
        <v/>
      </c>
      <c r="D19">
        <f>B19-C19</f>
        <v/>
      </c>
      <c r="E19">
        <f>IF(ABS(D19)&lt;=0.25,"PASS","CHECK")</f>
        <v/>
      </c>
      <c r="F19" t="inlineStr">
        <is>
          <t>6-K 2026-08-12 acc 0001104659-26-094844 nbis-20260812xex99d2.htm Note 7 | https://www.sec.gov/Archives/edgar/data/1513845/000110465926094844/nbis-20260812xex99d2.htm</t>
        </is>
      </c>
    </row>
    <row r="20">
      <c r="A20" t="inlineStr">
        <is>
          <t>FY24 OCF: sum of quarters = (269.9)</t>
        </is>
      </c>
      <c r="B20">
        <f>SUM(KPI!C20:F20)</f>
        <v/>
      </c>
      <c r="C20" t="n">
        <v>-269.9</v>
      </c>
      <c r="D20">
        <f>B20-C20</f>
        <v/>
      </c>
      <c r="E20">
        <f>IF(ABS(D20)&lt;=0.25,"PASS","CHECK")</f>
        <v/>
      </c>
      <c r="F20" t="inlineStr">
        <is>
          <t>20-F 2026-04-30 acc 0001104659-26-052948 nbis-20251231x20f.htm cash flow statement | https://www.sec.gov/Archives/edgar/data/1513845/000110465926052948/nbis-20251231x20f.htm</t>
        </is>
      </c>
    </row>
    <row r="21">
      <c r="A21" t="inlineStr">
        <is>
          <t>PP&amp;E gross - accumulated depreciation = net 30-Jun-26</t>
        </is>
      </c>
      <c r="B21">
        <f>KPI!L25-1104.3</f>
        <v/>
      </c>
      <c r="C21">
        <f>KPI!L12</f>
        <v/>
      </c>
      <c r="D21">
        <f>B21-C21</f>
        <v/>
      </c>
      <c r="E21">
        <f>IF(ABS(D21)&lt;=0.25,"PASS","CHECK")</f>
        <v/>
      </c>
      <c r="F21" t="inlineStr">
        <is>
          <t>6-K 2026-08-12 acc 0001104659-26-094844 nbis-20260812xex99d2.htm Note 7 p.F-23 | https://www.sec.gov/Archives/edgar/data/1513845/000110465926094844/nbis-20260812xex99d2.htm</t>
        </is>
      </c>
    </row>
    <row r="22">
      <c r="A22" t="inlineStr">
        <is>
          <t>Energized MW Q2-26 (Capacity team reference ~193)</t>
        </is>
      </c>
      <c r="B22">
        <f>KPI!L30</f>
        <v/>
      </c>
      <c r="C22" t="n">
        <v>193</v>
      </c>
      <c r="D22">
        <f>B22-C22</f>
        <v/>
      </c>
      <c r="E22">
        <f>IF(ABS(D22)&lt;=0.5,"PASS","CHECK")</f>
        <v/>
      </c>
      <c r="F22" t="inlineStr">
        <is>
          <t>Capacity &amp; Power Quarterly MW row 130 Q2-26</t>
        </is>
      </c>
    </row>
    <row r="23">
      <c r="A23" t="inlineStr">
        <is>
          <t>Modeled GPUs Q2-26 (Capacity team reference ~89,153)</t>
        </is>
      </c>
      <c r="B23">
        <f>KPI!L34</f>
        <v/>
      </c>
      <c r="C23" t="n">
        <v>89153</v>
      </c>
      <c r="D23">
        <f>B23-C23</f>
        <v/>
      </c>
      <c r="E23">
        <f>IF(ABS(D23)&lt;=100,"PASS","CHECK")</f>
        <v/>
      </c>
      <c r="F23" t="inlineStr">
        <is>
          <t>Capacity &amp; Power GPUs deployed row 34 Q2-26 (tolerance 100)</t>
        </is>
      </c>
    </row>
    <row r="24">
      <c r="A24" t="inlineStr">
        <is>
          <t>GPU generation split sums to total Q2-26</t>
        </is>
      </c>
      <c r="B24">
        <f>SUM(KPI!L35:L39)</f>
        <v/>
      </c>
      <c r="C24">
        <f>KPI!L34</f>
        <v/>
      </c>
      <c r="D24">
        <f>B24-C24</f>
        <v/>
      </c>
      <c r="E24">
        <f>IF(ABS(D24)&lt;=0.25,"PASS","CHECK")</f>
        <v/>
      </c>
      <c r="F24" t="inlineStr">
        <is>
          <t>internal</t>
        </is>
      </c>
    </row>
    <row r="26">
      <c r="A26" s="1" t="inlineStr">
        <is>
          <t>Filings &amp; Capital n.d. notes (2026-10-05)</t>
        </is>
      </c>
    </row>
    <row r="27">
      <c r="A27" t="inlineStr">
        <is>
          <t>RPO before YE25: FIRST disclosure = YE25 20-F $21,333.0 [R] at 12/31/25. No RPO $ in FY24 20-F or 2025 quarterly 6-Ks/letters searched. Leave Q1’24–Q3’25 n.d. Detail: kpi_nd_notes.md</t>
        </is>
      </c>
    </row>
    <row r="28">
      <c r="A28" t="inlineStr">
        <is>
          <t>Mid-2025 PP&amp;E Note 7: Q1’25 / Q2’25 / Q3’25 LACK servers &amp; ANIU roll. Disclosed at YE24, YE25, Q1’26, Q2’26 (H1’26) only. Do not invent fills. Detail: kpi_nd_notes.md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  <col width="10" customWidth="1" min="4" max="4"/>
    <col width="40" customWidth="1" min="5" max="5"/>
    <col width="13" customWidth="1" min="6" max="6"/>
    <col width="110" customWidth="1" min="7" max="7"/>
    <col width="80" customWidth="1" min="8" max="8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Metric</t>
        </is>
      </c>
      <c r="D1" s="1" t="inlineStr">
        <is>
          <t>Period</t>
        </is>
      </c>
      <c r="E1" s="1" t="inlineStr">
        <is>
          <t>Value / formula</t>
        </is>
      </c>
      <c r="F1" s="1" t="inlineStr">
        <is>
          <t>Tag</t>
        </is>
      </c>
      <c r="G1" s="1" t="inlineStr">
        <is>
          <t>Source (form date acc doc ref | URL, or file/sheet/cell)</t>
        </is>
      </c>
      <c r="H1" s="1" t="inlineStr">
        <is>
          <t>Note / derivation</t>
        </is>
      </c>
    </row>
    <row r="2">
      <c r="A2" t="inlineStr">
        <is>
          <t>Prices_Monthly</t>
        </is>
      </c>
      <c r="B2" t="inlineStr">
        <is>
          <t>B4</t>
        </is>
      </c>
      <c r="C2" t="inlineStr">
        <is>
          <t>Nebius H100 SXM on-demand</t>
        </is>
      </c>
      <c r="D2" t="inlineStr">
        <is>
          <t>2024-01</t>
        </is>
      </c>
      <c r="E2" t="n">
        <v>4.85</v>
      </c>
      <c r="F2" t="inlineStr">
        <is>
          <t>Estimated</t>
        </is>
      </c>
      <c r="G2" t="inlineStr">
        <is>
          <t>/workspace/nebius/market/gpu_price_history.xlsx Monthly_FFill 'Nebius | H100 SXM 80GB | on-demand | PAYG' 2024-01</t>
        </is>
      </c>
      <c r="H2" t="inlineStr">
        <is>
          <t>no snapshot this month; carried forward from last observation (market-team forward-fill)</t>
        </is>
      </c>
    </row>
    <row r="3">
      <c r="A3" t="inlineStr">
        <is>
          <t>Prices_Monthly</t>
        </is>
      </c>
      <c r="B3" t="inlineStr">
        <is>
          <t>C4</t>
        </is>
      </c>
      <c r="C3" t="inlineStr">
        <is>
          <t>Nebius H100 SXM on-demand</t>
        </is>
      </c>
      <c r="D3" t="inlineStr">
        <is>
          <t>2024-02</t>
        </is>
      </c>
      <c r="E3" t="n">
        <v>4.85</v>
      </c>
      <c r="F3" t="inlineStr">
        <is>
          <t>Estimated</t>
        </is>
      </c>
      <c r="G3" t="inlineStr">
        <is>
          <t>/workspace/nebius/market/gpu_price_history.xlsx Monthly_FFill 'Nebius | H100 SXM 80GB | on-demand | PAYG' 2024-02</t>
        </is>
      </c>
      <c r="H3" t="inlineStr">
        <is>
          <t>no snapshot this month; carried forward from last observation (market-team forward-fill)</t>
        </is>
      </c>
    </row>
    <row r="4">
      <c r="A4" t="inlineStr">
        <is>
          <t>Prices_Monthly</t>
        </is>
      </c>
      <c r="B4" t="inlineStr">
        <is>
          <t>D4</t>
        </is>
      </c>
      <c r="C4" t="inlineStr">
        <is>
          <t>Nebius H100 SXM on-demand</t>
        </is>
      </c>
      <c r="D4" t="inlineStr">
        <is>
          <t>2024-03</t>
        </is>
      </c>
      <c r="E4" t="n">
        <v>4.85</v>
      </c>
      <c r="F4" t="inlineStr">
        <is>
          <t>Reported</t>
        </is>
      </c>
      <c r="G4" t="inlineStr">
        <is>
          <t>/workspace/nebius/market/gpu_price_history.xlsx Price_History_Monthly 'Nebius | H100 SXM 80GB | on-demand | PAYG' 2024-03 (snapshot rows in Price_History_Long; nebius.com/prices via web.archive.org)</t>
        </is>
      </c>
    </row>
    <row r="5">
      <c r="A5" t="inlineStr">
        <is>
          <t>Prices_Monthly</t>
        </is>
      </c>
      <c r="B5" t="inlineStr">
        <is>
          <t>E4</t>
        </is>
      </c>
      <c r="C5" t="inlineStr">
        <is>
          <t>Nebius H100 SXM on-demand</t>
        </is>
      </c>
      <c r="D5" t="inlineStr">
        <is>
          <t>2024-04</t>
        </is>
      </c>
      <c r="E5" t="n">
        <v>4.85</v>
      </c>
      <c r="F5" t="inlineStr">
        <is>
          <t>Estimated</t>
        </is>
      </c>
      <c r="G5" t="inlineStr">
        <is>
          <t>/workspace/nebius/market/gpu_price_history.xlsx Monthly_FFill 'Nebius | H100 SXM 80GB | on-demand | PAYG' 2024-04</t>
        </is>
      </c>
      <c r="H5" t="inlineStr">
        <is>
          <t>no snapshot this month; carried forward from last observation (market-team forward-fill)</t>
        </is>
      </c>
    </row>
    <row r="6">
      <c r="A6" t="inlineStr">
        <is>
          <t>Prices_Monthly</t>
        </is>
      </c>
      <c r="B6" t="inlineStr">
        <is>
          <t>F4</t>
        </is>
      </c>
      <c r="C6" t="inlineStr">
        <is>
          <t>Nebius H100 SXM on-demand</t>
        </is>
      </c>
      <c r="D6" t="inlineStr">
        <is>
          <t>2024-05</t>
        </is>
      </c>
      <c r="E6" t="n">
        <v>4.85</v>
      </c>
      <c r="F6" t="inlineStr">
        <is>
          <t>Reported</t>
        </is>
      </c>
      <c r="G6" t="inlineStr">
        <is>
          <t>/workspace/nebius/market/gpu_price_history.xlsx Price_History_Monthly 'Nebius | H100 SXM 80GB | on-demand | PAYG' 2024-05 (snapshot rows in Price_History_Long; nebius.com/prices via web.archive.org)</t>
        </is>
      </c>
    </row>
    <row r="7">
      <c r="A7" t="inlineStr">
        <is>
          <t>Prices_Monthly</t>
        </is>
      </c>
      <c r="B7" t="inlineStr">
        <is>
          <t>G4</t>
        </is>
      </c>
      <c r="C7" t="inlineStr">
        <is>
          <t>Nebius H100 SXM on-demand</t>
        </is>
      </c>
      <c r="D7" t="inlineStr">
        <is>
          <t>2024-06</t>
        </is>
      </c>
      <c r="E7" t="n">
        <v>4.85</v>
      </c>
      <c r="F7" t="inlineStr">
        <is>
          <t>Estimated</t>
        </is>
      </c>
      <c r="G7" t="inlineStr">
        <is>
          <t>/workspace/nebius/market/gpu_price_history.xlsx Monthly_FFill 'Nebius | H100 SXM 80GB | on-demand | PAYG' 2024-06</t>
        </is>
      </c>
      <c r="H7" t="inlineStr">
        <is>
          <t>no snapshot this month; carried forward from last observation (market-team forward-fill)</t>
        </is>
      </c>
    </row>
    <row r="8">
      <c r="A8" t="inlineStr">
        <is>
          <t>Prices_Monthly</t>
        </is>
      </c>
      <c r="B8" t="inlineStr">
        <is>
          <t>H4</t>
        </is>
      </c>
      <c r="C8" t="inlineStr">
        <is>
          <t>Nebius H100 SXM on-demand</t>
        </is>
      </c>
      <c r="D8" t="inlineStr">
        <is>
          <t>2024-07</t>
        </is>
      </c>
      <c r="E8" t="n">
        <v>4.85</v>
      </c>
      <c r="F8" t="inlineStr">
        <is>
          <t>Reported</t>
        </is>
      </c>
      <c r="G8" t="inlineStr">
        <is>
          <t>/workspace/nebius/market/gpu_price_history.xlsx Price_History_Monthly 'Nebius | H100 SXM 80GB | on-demand | PAYG' 2024-07 (snapshot rows in Price_History_Long; nebius.com/prices via web.archive.org)</t>
        </is>
      </c>
    </row>
    <row r="9">
      <c r="A9" t="inlineStr">
        <is>
          <t>Prices_Monthly</t>
        </is>
      </c>
      <c r="B9" t="inlineStr">
        <is>
          <t>I4</t>
        </is>
      </c>
      <c r="C9" t="inlineStr">
        <is>
          <t>Nebius H100 SXM on-demand</t>
        </is>
      </c>
      <c r="D9" t="inlineStr">
        <is>
          <t>2024-08</t>
        </is>
      </c>
      <c r="E9" t="n">
        <v>4.85</v>
      </c>
      <c r="F9" t="inlineStr">
        <is>
          <t>Reported</t>
        </is>
      </c>
      <c r="G9" t="inlineStr">
        <is>
          <t>/workspace/nebius/market/gpu_price_history.xlsx Price_History_Monthly 'Nebius | H100 SXM 80GB | on-demand | PAYG' 2024-08 (snapshot rows in Price_History_Long; nebius.com/prices via web.archive.org)</t>
        </is>
      </c>
    </row>
    <row r="10">
      <c r="A10" t="inlineStr">
        <is>
          <t>Prices_Monthly</t>
        </is>
      </c>
      <c r="B10" t="inlineStr">
        <is>
          <t>J4</t>
        </is>
      </c>
      <c r="C10" t="inlineStr">
        <is>
          <t>Nebius H100 SXM on-demand</t>
        </is>
      </c>
      <c r="D10" t="inlineStr">
        <is>
          <t>2024-09</t>
        </is>
      </c>
      <c r="E10" t="n">
        <v>3.5</v>
      </c>
      <c r="F10" t="inlineStr">
        <is>
          <t>Reported</t>
        </is>
      </c>
      <c r="G10" t="inlineStr">
        <is>
          <t>/workspace/nebius/market/gpu_price_history.xlsx Price_History_Monthly 'Nebius | H100 SXM 80GB | on-demand | PAYG' 2024-09 (snapshot rows in Price_History_Long; nebius.com/prices via web.archive.org)</t>
        </is>
      </c>
    </row>
    <row r="11">
      <c r="A11" t="inlineStr">
        <is>
          <t>Prices_Monthly</t>
        </is>
      </c>
      <c r="B11" t="inlineStr">
        <is>
          <t>K4</t>
        </is>
      </c>
      <c r="C11" t="inlineStr">
        <is>
          <t>Nebius H100 SXM on-demand</t>
        </is>
      </c>
      <c r="D11" t="inlineStr">
        <is>
          <t>2024-10</t>
        </is>
      </c>
      <c r="E11" t="n">
        <v>3.5</v>
      </c>
      <c r="F11" t="inlineStr">
        <is>
          <t>Reported</t>
        </is>
      </c>
      <c r="G11" t="inlineStr">
        <is>
          <t>/workspace/nebius/market/gpu_price_history.xlsx Price_History_Monthly 'Nebius | H100 SXM 80GB | on-demand | PAYG' 2024-10 (snapshot rows in Price_History_Long; nebius.com/prices via web.archive.org)</t>
        </is>
      </c>
    </row>
    <row r="12">
      <c r="A12" t="inlineStr">
        <is>
          <t>Prices_Monthly</t>
        </is>
      </c>
      <c r="B12" t="inlineStr">
        <is>
          <t>L4</t>
        </is>
      </c>
      <c r="C12" t="inlineStr">
        <is>
          <t>Nebius H100 SXM on-demand</t>
        </is>
      </c>
      <c r="D12" t="inlineStr">
        <is>
          <t>2024-11</t>
        </is>
      </c>
      <c r="E12" t="n">
        <v>2.95</v>
      </c>
      <c r="F12" t="inlineStr">
        <is>
          <t>Reported</t>
        </is>
      </c>
      <c r="G12" t="inlineStr">
        <is>
          <t>/workspace/nebius/market/gpu_price_history.xlsx Price_History_Monthly 'Nebius | H100 SXM 80GB | on-demand | PAYG' 2024-11 (snapshot rows in Price_History_Long; nebius.com/prices via web.archive.org)</t>
        </is>
      </c>
    </row>
    <row r="13">
      <c r="A13" t="inlineStr">
        <is>
          <t>Prices_Monthly</t>
        </is>
      </c>
      <c r="B13" t="inlineStr">
        <is>
          <t>M4</t>
        </is>
      </c>
      <c r="C13" t="inlineStr">
        <is>
          <t>Nebius H100 SXM on-demand</t>
        </is>
      </c>
      <c r="D13" t="inlineStr">
        <is>
          <t>2024-12</t>
        </is>
      </c>
      <c r="E13" t="n">
        <v>2.95</v>
      </c>
      <c r="F13" t="inlineStr">
        <is>
          <t>Reported</t>
        </is>
      </c>
      <c r="G13" t="inlineStr">
        <is>
          <t>/workspace/nebius/market/gpu_price_history.xlsx Price_History_Monthly 'Nebius | H100 SXM 80GB | on-demand | PAYG' 2024-12 (snapshot rows in Price_History_Long; nebius.com/prices via web.archive.org)</t>
        </is>
      </c>
    </row>
    <row r="14">
      <c r="A14" t="inlineStr">
        <is>
          <t>Prices_Monthly</t>
        </is>
      </c>
      <c r="B14" t="inlineStr">
        <is>
          <t>N4</t>
        </is>
      </c>
      <c r="C14" t="inlineStr">
        <is>
          <t>Nebius H100 SXM on-demand</t>
        </is>
      </c>
      <c r="D14" t="inlineStr">
        <is>
          <t>2025-01</t>
        </is>
      </c>
      <c r="E14" t="n">
        <v>2.95</v>
      </c>
      <c r="F14" t="inlineStr">
        <is>
          <t>Reported</t>
        </is>
      </c>
      <c r="G14" t="inlineStr">
        <is>
          <t>/workspace/nebius/market/gpu_price_history.xlsx Price_History_Monthly 'Nebius | H100 SXM 80GB | on-demand | PAYG' 2025-01 (snapshot rows in Price_History_Long; nebius.com/prices via web.archive.org)</t>
        </is>
      </c>
    </row>
    <row r="15">
      <c r="A15" t="inlineStr">
        <is>
          <t>Prices_Monthly</t>
        </is>
      </c>
      <c r="B15" t="inlineStr">
        <is>
          <t>O4</t>
        </is>
      </c>
      <c r="C15" t="inlineStr">
        <is>
          <t>Nebius H100 SXM on-demand</t>
        </is>
      </c>
      <c r="D15" t="inlineStr">
        <is>
          <t>2025-02</t>
        </is>
      </c>
      <c r="E15" t="n">
        <v>2.95</v>
      </c>
      <c r="F15" t="inlineStr">
        <is>
          <t>Estimated</t>
        </is>
      </c>
      <c r="G15" t="inlineStr">
        <is>
          <t>/workspace/nebius/market/gpu_price_history.xlsx Monthly_FFill 'Nebius | H100 SXM 80GB | on-demand | PAYG' 2025-02</t>
        </is>
      </c>
      <c r="H15" t="inlineStr">
        <is>
          <t>no snapshot this month; carried forward from last observation (market-team forward-fill)</t>
        </is>
      </c>
    </row>
    <row r="16">
      <c r="A16" t="inlineStr">
        <is>
          <t>Prices_Monthly</t>
        </is>
      </c>
      <c r="B16" t="inlineStr">
        <is>
          <t>P4</t>
        </is>
      </c>
      <c r="C16" t="inlineStr">
        <is>
          <t>Nebius H100 SXM on-demand</t>
        </is>
      </c>
      <c r="D16" t="inlineStr">
        <is>
          <t>2025-03</t>
        </is>
      </c>
      <c r="E16" t="n">
        <v>2.95</v>
      </c>
      <c r="F16" t="inlineStr">
        <is>
          <t>Reported</t>
        </is>
      </c>
      <c r="G16" t="inlineStr">
        <is>
          <t>/workspace/nebius/market/gpu_price_history.xlsx Price_History_Monthly 'Nebius | H100 SXM 80GB | on-demand | PAYG' 2025-03 (snapshot rows in Price_History_Long; nebius.com/prices via web.archive.org)</t>
        </is>
      </c>
    </row>
    <row r="17">
      <c r="A17" t="inlineStr">
        <is>
          <t>Prices_Monthly</t>
        </is>
      </c>
      <c r="B17" t="inlineStr">
        <is>
          <t>Q4</t>
        </is>
      </c>
      <c r="C17" t="inlineStr">
        <is>
          <t>Nebius H100 SXM on-demand</t>
        </is>
      </c>
      <c r="D17" t="inlineStr">
        <is>
          <t>2025-04</t>
        </is>
      </c>
      <c r="E17" t="n">
        <v>2.95</v>
      </c>
      <c r="F17" t="inlineStr">
        <is>
          <t>Reported</t>
        </is>
      </c>
      <c r="G17" t="inlineStr">
        <is>
          <t>/workspace/nebius/market/gpu_price_history.xlsx Price_History_Monthly 'Nebius | H100 SXM 80GB | on-demand | PAYG' 2025-04 (snapshot rows in Price_History_Long; nebius.com/prices via web.archive.org)</t>
        </is>
      </c>
    </row>
    <row r="18">
      <c r="A18" t="inlineStr">
        <is>
          <t>Prices_Monthly</t>
        </is>
      </c>
      <c r="B18" t="inlineStr">
        <is>
          <t>R4</t>
        </is>
      </c>
      <c r="C18" t="inlineStr">
        <is>
          <t>Nebius H100 SXM on-demand</t>
        </is>
      </c>
      <c r="D18" t="inlineStr">
        <is>
          <t>2025-05</t>
        </is>
      </c>
      <c r="E18" t="n">
        <v>2.95</v>
      </c>
      <c r="F18" t="inlineStr">
        <is>
          <t>Reported</t>
        </is>
      </c>
      <c r="G18" t="inlineStr">
        <is>
          <t>/workspace/nebius/market/gpu_price_history.xlsx Price_History_Monthly 'Nebius | H100 SXM 80GB | on-demand | PAYG' 2025-05 (snapshot rows in Price_History_Long; nebius.com/prices via web.archive.org)</t>
        </is>
      </c>
    </row>
    <row r="19">
      <c r="A19" t="inlineStr">
        <is>
          <t>Prices_Monthly</t>
        </is>
      </c>
      <c r="B19" t="inlineStr">
        <is>
          <t>S4</t>
        </is>
      </c>
      <c r="C19" t="inlineStr">
        <is>
          <t>Nebius H100 SXM on-demand</t>
        </is>
      </c>
      <c r="D19" t="inlineStr">
        <is>
          <t>2025-06</t>
        </is>
      </c>
      <c r="E19" t="n">
        <v>2.95</v>
      </c>
      <c r="F19" t="inlineStr">
        <is>
          <t>Reported</t>
        </is>
      </c>
      <c r="G19" t="inlineStr">
        <is>
          <t>/workspace/nebius/market/gpu_price_history.xlsx Price_History_Monthly 'Nebius | H100 SXM 80GB | on-demand | PAYG' 2025-06 (snapshot rows in Price_History_Long; nebius.com/prices via web.archive.org)</t>
        </is>
      </c>
    </row>
    <row r="20">
      <c r="A20" t="inlineStr">
        <is>
          <t>Prices_Monthly</t>
        </is>
      </c>
      <c r="B20" t="inlineStr">
        <is>
          <t>T4</t>
        </is>
      </c>
      <c r="C20" t="inlineStr">
        <is>
          <t>Nebius H100 SXM on-demand</t>
        </is>
      </c>
      <c r="D20" t="inlineStr">
        <is>
          <t>2025-07</t>
        </is>
      </c>
      <c r="E20" t="n">
        <v>2.95</v>
      </c>
      <c r="F20" t="inlineStr">
        <is>
          <t>Reported</t>
        </is>
      </c>
      <c r="G20" t="inlineStr">
        <is>
          <t>/workspace/nebius/market/gpu_price_history.xlsx Price_History_Monthly 'Nebius | H100 SXM 80GB | on-demand | PAYG' 2025-07 (snapshot rows in Price_History_Long; nebius.com/prices via web.archive.org)</t>
        </is>
      </c>
    </row>
    <row r="21">
      <c r="A21" t="inlineStr">
        <is>
          <t>Prices_Monthly</t>
        </is>
      </c>
      <c r="B21" t="inlineStr">
        <is>
          <t>U4</t>
        </is>
      </c>
      <c r="C21" t="inlineStr">
        <is>
          <t>Nebius H100 SXM on-demand</t>
        </is>
      </c>
      <c r="D21" t="inlineStr">
        <is>
          <t>2025-08</t>
        </is>
      </c>
      <c r="E21" t="n">
        <v>2.95</v>
      </c>
      <c r="F21" t="inlineStr">
        <is>
          <t>Reported</t>
        </is>
      </c>
      <c r="G21" t="inlineStr">
        <is>
          <t>/workspace/nebius/market/gpu_price_history.xlsx Price_History_Monthly 'Nebius | H100 SXM 80GB | on-demand | PAYG' 2025-08 (snapshot rows in Price_History_Long; nebius.com/prices via web.archive.org)</t>
        </is>
      </c>
    </row>
    <row r="22">
      <c r="A22" t="inlineStr">
        <is>
          <t>Prices_Monthly</t>
        </is>
      </c>
      <c r="B22" t="inlineStr">
        <is>
          <t>V4</t>
        </is>
      </c>
      <c r="C22" t="inlineStr">
        <is>
          <t>Nebius H100 SXM on-demand</t>
        </is>
      </c>
      <c r="D22" t="inlineStr">
        <is>
          <t>2025-09</t>
        </is>
      </c>
      <c r="E22" t="n">
        <v>2.95</v>
      </c>
      <c r="F22" t="inlineStr">
        <is>
          <t>Reported</t>
        </is>
      </c>
      <c r="G22" t="inlineStr">
        <is>
          <t>/workspace/nebius/market/gpu_price_history.xlsx Price_History_Monthly 'Nebius | H100 SXM 80GB | on-demand | PAYG' 2025-09 (snapshot rows in Price_History_Long; nebius.com/prices via web.archive.org)</t>
        </is>
      </c>
    </row>
    <row r="23">
      <c r="A23" t="inlineStr">
        <is>
          <t>Prices_Monthly</t>
        </is>
      </c>
      <c r="B23" t="inlineStr">
        <is>
          <t>W4</t>
        </is>
      </c>
      <c r="C23" t="inlineStr">
        <is>
          <t>Nebius H100 SXM on-demand</t>
        </is>
      </c>
      <c r="D23" t="inlineStr">
        <is>
          <t>2025-10</t>
        </is>
      </c>
      <c r="E23" t="n">
        <v>2.95</v>
      </c>
      <c r="F23" t="inlineStr">
        <is>
          <t>Reported</t>
        </is>
      </c>
      <c r="G23" t="inlineStr">
        <is>
          <t>/workspace/nebius/market/gpu_price_history.xlsx Price_History_Monthly 'Nebius | H100 SXM 80GB | on-demand | PAYG' 2025-10 (snapshot rows in Price_History_Long; nebius.com/prices via web.archive.org)</t>
        </is>
      </c>
    </row>
    <row r="24">
      <c r="A24" t="inlineStr">
        <is>
          <t>Prices_Monthly</t>
        </is>
      </c>
      <c r="B24" t="inlineStr">
        <is>
          <t>X4</t>
        </is>
      </c>
      <c r="C24" t="inlineStr">
        <is>
          <t>Nebius H100 SXM on-demand</t>
        </is>
      </c>
      <c r="D24" t="inlineStr">
        <is>
          <t>2025-11</t>
        </is>
      </c>
      <c r="E24" t="n">
        <v>2.95</v>
      </c>
      <c r="F24" t="inlineStr">
        <is>
          <t>Reported</t>
        </is>
      </c>
      <c r="G24" t="inlineStr">
        <is>
          <t>/workspace/nebius/market/gpu_price_history.xlsx Price_History_Monthly 'Nebius | H100 SXM 80GB | on-demand | PAYG' 2025-11 (snapshot rows in Price_History_Long; nebius.com/prices via web.archive.org)</t>
        </is>
      </c>
    </row>
    <row r="25">
      <c r="A25" t="inlineStr">
        <is>
          <t>Prices_Monthly</t>
        </is>
      </c>
      <c r="B25" t="inlineStr">
        <is>
          <t>Y4</t>
        </is>
      </c>
      <c r="C25" t="inlineStr">
        <is>
          <t>Nebius H100 SXM on-demand</t>
        </is>
      </c>
      <c r="D25" t="inlineStr">
        <is>
          <t>2025-12</t>
        </is>
      </c>
      <c r="E25" t="n">
        <v>2.95</v>
      </c>
      <c r="F25" t="inlineStr">
        <is>
          <t>Reported</t>
        </is>
      </c>
      <c r="G25" t="inlineStr">
        <is>
          <t>/workspace/nebius/market/gpu_price_history.xlsx Price_History_Monthly 'Nebius | H100 SXM 80GB | on-demand | PAYG' 2025-12 (snapshot rows in Price_History_Long; nebius.com/prices via web.archive.org)</t>
        </is>
      </c>
    </row>
    <row r="26">
      <c r="A26" t="inlineStr">
        <is>
          <t>Prices_Monthly</t>
        </is>
      </c>
      <c r="B26" t="inlineStr">
        <is>
          <t>Z4</t>
        </is>
      </c>
      <c r="C26" t="inlineStr">
        <is>
          <t>Nebius H100 SXM on-demand</t>
        </is>
      </c>
      <c r="D26" t="inlineStr">
        <is>
          <t>2026-01</t>
        </is>
      </c>
      <c r="E26" t="n">
        <v>2.95</v>
      </c>
      <c r="F26" t="inlineStr">
        <is>
          <t>Reported</t>
        </is>
      </c>
      <c r="G26" t="inlineStr">
        <is>
          <t>/workspace/nebius/market/gpu_price_history.xlsx Price_History_Monthly 'Nebius | H100 SXM 80GB | on-demand | PAYG' 2026-01 (snapshot rows in Price_History_Long; nebius.com/prices via web.archive.org)</t>
        </is>
      </c>
    </row>
    <row r="27">
      <c r="A27" t="inlineStr">
        <is>
          <t>Prices_Monthly</t>
        </is>
      </c>
      <c r="B27" t="inlineStr">
        <is>
          <t>AA4</t>
        </is>
      </c>
      <c r="C27" t="inlineStr">
        <is>
          <t>Nebius H100 SXM on-demand</t>
        </is>
      </c>
      <c r="D27" t="inlineStr">
        <is>
          <t>2026-02</t>
        </is>
      </c>
      <c r="E27" t="n">
        <v>2.95</v>
      </c>
      <c r="F27" t="inlineStr">
        <is>
          <t>Reported</t>
        </is>
      </c>
      <c r="G27" t="inlineStr">
        <is>
          <t>/workspace/nebius/market/gpu_price_history.xlsx Price_History_Monthly 'Nebius | H100 SXM 80GB | on-demand | PAYG' 2026-02 (snapshot rows in Price_History_Long; nebius.com/prices via web.archive.org)</t>
        </is>
      </c>
    </row>
    <row r="28">
      <c r="A28" t="inlineStr">
        <is>
          <t>Prices_Monthly</t>
        </is>
      </c>
      <c r="B28" t="inlineStr">
        <is>
          <t>AB4</t>
        </is>
      </c>
      <c r="C28" t="inlineStr">
        <is>
          <t>Nebius H100 SXM on-demand</t>
        </is>
      </c>
      <c r="D28" t="inlineStr">
        <is>
          <t>2026-03</t>
        </is>
      </c>
      <c r="E28" t="n">
        <v>2.95</v>
      </c>
      <c r="F28" t="inlineStr">
        <is>
          <t>Reported</t>
        </is>
      </c>
      <c r="G28" t="inlineStr">
        <is>
          <t>/workspace/nebius/market/gpu_price_history.xlsx Price_History_Monthly 'Nebius | H100 SXM 80GB | on-demand | PAYG' 2026-03 (snapshot rows in Price_History_Long; nebius.com/prices via web.archive.org)</t>
        </is>
      </c>
    </row>
    <row r="29">
      <c r="A29" t="inlineStr">
        <is>
          <t>Prices_Monthly</t>
        </is>
      </c>
      <c r="B29" t="inlineStr">
        <is>
          <t>AC4</t>
        </is>
      </c>
      <c r="C29" t="inlineStr">
        <is>
          <t>Nebius H100 SXM on-demand</t>
        </is>
      </c>
      <c r="D29" t="inlineStr">
        <is>
          <t>2026-04</t>
        </is>
      </c>
      <c r="E29" t="n">
        <v>2.95</v>
      </c>
      <c r="F29" t="inlineStr">
        <is>
          <t>Reported</t>
        </is>
      </c>
      <c r="G29" t="inlineStr">
        <is>
          <t>/workspace/nebius/market/gpu_price_history.xlsx Price_History_Monthly 'Nebius | H100 SXM 80GB | on-demand | PAYG' 2026-04 (snapshot rows in Price_History_Long; nebius.com/prices via web.archive.org)</t>
        </is>
      </c>
    </row>
    <row r="30">
      <c r="A30" t="inlineStr">
        <is>
          <t>Prices_Monthly</t>
        </is>
      </c>
      <c r="B30" t="inlineStr">
        <is>
          <t>AD4</t>
        </is>
      </c>
      <c r="C30" t="inlineStr">
        <is>
          <t>Nebius H100 SXM on-demand</t>
        </is>
      </c>
      <c r="D30" t="inlineStr">
        <is>
          <t>2026-05</t>
        </is>
      </c>
      <c r="E30" t="n">
        <v>2.95</v>
      </c>
      <c r="F30" t="inlineStr">
        <is>
          <t>Reported</t>
        </is>
      </c>
      <c r="G30" t="inlineStr">
        <is>
          <t>/workspace/nebius/market/gpu_price_history.xlsx Price_History_Monthly 'Nebius | H100 SXM 80GB | on-demand | PAYG' 2026-05 (snapshot rows in Price_History_Long; nebius.com/prices via web.archive.org)</t>
        </is>
      </c>
    </row>
    <row r="31">
      <c r="A31" t="inlineStr">
        <is>
          <t>Prices_Monthly</t>
        </is>
      </c>
      <c r="B31" t="inlineStr">
        <is>
          <t>AE4</t>
        </is>
      </c>
      <c r="C31" t="inlineStr">
        <is>
          <t>Nebius H100 SXM on-demand</t>
        </is>
      </c>
      <c r="D31" t="inlineStr">
        <is>
          <t>2026-06</t>
        </is>
      </c>
      <c r="E31" t="n">
        <v>3.85</v>
      </c>
      <c r="F31" t="inlineStr">
        <is>
          <t>Reported</t>
        </is>
      </c>
      <c r="G31" t="inlineStr">
        <is>
          <t>/workspace/nebius/market/gpu_price_history.xlsx Price_History_Monthly 'Nebius | H100 SXM 80GB | on-demand | PAYG' 2026-06 (snapshot rows in Price_History_Long; nebius.com/prices via web.archive.org)</t>
        </is>
      </c>
    </row>
    <row r="32">
      <c r="A32" t="inlineStr">
        <is>
          <t>Prices_Monthly</t>
        </is>
      </c>
      <c r="B32" t="inlineStr">
        <is>
          <t>B5</t>
        </is>
      </c>
      <c r="C32" t="inlineStr">
        <is>
          <t>Nebius H200 on-demand</t>
        </is>
      </c>
      <c r="D32" t="inlineStr">
        <is>
          <t>2024-01</t>
        </is>
      </c>
      <c r="E32" t="inlineStr">
        <is>
          <t>n.d.</t>
        </is>
      </c>
      <c r="F32" t="inlineStr">
        <is>
          <t>not disclosed</t>
        </is>
      </c>
      <c r="G32" t="inlineStr">
        <is>
          <t>/workspace/nebius/market/gpu_price_history.xlsx (no observation)</t>
        </is>
      </c>
      <c r="H32" t="inlineStr">
        <is>
          <t>SKU not listed / no snapshot</t>
        </is>
      </c>
    </row>
    <row r="33">
      <c r="A33" t="inlineStr">
        <is>
          <t>Prices_Monthly</t>
        </is>
      </c>
      <c r="B33" t="inlineStr">
        <is>
          <t>C5</t>
        </is>
      </c>
      <c r="C33" t="inlineStr">
        <is>
          <t>Nebius H200 on-demand</t>
        </is>
      </c>
      <c r="D33" t="inlineStr">
        <is>
          <t>2024-02</t>
        </is>
      </c>
      <c r="E33" t="inlineStr">
        <is>
          <t>n.d.</t>
        </is>
      </c>
      <c r="F33" t="inlineStr">
        <is>
          <t>not disclosed</t>
        </is>
      </c>
      <c r="G33" t="inlineStr">
        <is>
          <t>/workspace/nebius/market/gpu_price_history.xlsx (no observation)</t>
        </is>
      </c>
      <c r="H33" t="inlineStr">
        <is>
          <t>SKU not listed / no snapshot</t>
        </is>
      </c>
    </row>
    <row r="34">
      <c r="A34" t="inlineStr">
        <is>
          <t>Prices_Monthly</t>
        </is>
      </c>
      <c r="B34" t="inlineStr">
        <is>
          <t>D5</t>
        </is>
      </c>
      <c r="C34" t="inlineStr">
        <is>
          <t>Nebius H200 on-demand</t>
        </is>
      </c>
      <c r="D34" t="inlineStr">
        <is>
          <t>2024-03</t>
        </is>
      </c>
      <c r="E34" t="inlineStr">
        <is>
          <t>n.d.</t>
        </is>
      </c>
      <c r="F34" t="inlineStr">
        <is>
          <t>not disclosed</t>
        </is>
      </c>
      <c r="G34" t="inlineStr">
        <is>
          <t>/workspace/nebius/market/gpu_price_history.xlsx (no observation)</t>
        </is>
      </c>
      <c r="H34" t="inlineStr">
        <is>
          <t>SKU not listed / no snapshot</t>
        </is>
      </c>
    </row>
    <row r="35">
      <c r="A35" t="inlineStr">
        <is>
          <t>Prices_Monthly</t>
        </is>
      </c>
      <c r="B35" t="inlineStr">
        <is>
          <t>E5</t>
        </is>
      </c>
      <c r="C35" t="inlineStr">
        <is>
          <t>Nebius H200 on-demand</t>
        </is>
      </c>
      <c r="D35" t="inlineStr">
        <is>
          <t>2024-04</t>
        </is>
      </c>
      <c r="E35" t="inlineStr">
        <is>
          <t>n.d.</t>
        </is>
      </c>
      <c r="F35" t="inlineStr">
        <is>
          <t>not disclosed</t>
        </is>
      </c>
      <c r="G35" t="inlineStr">
        <is>
          <t>/workspace/nebius/market/gpu_price_history.xlsx (no observation)</t>
        </is>
      </c>
      <c r="H35" t="inlineStr">
        <is>
          <t>SKU not listed / no snapshot</t>
        </is>
      </c>
    </row>
    <row r="36">
      <c r="A36" t="inlineStr">
        <is>
          <t>Prices_Monthly</t>
        </is>
      </c>
      <c r="B36" t="inlineStr">
        <is>
          <t>F5</t>
        </is>
      </c>
      <c r="C36" t="inlineStr">
        <is>
          <t>Nebius H200 on-demand</t>
        </is>
      </c>
      <c r="D36" t="inlineStr">
        <is>
          <t>2024-05</t>
        </is>
      </c>
      <c r="E36" t="inlineStr">
        <is>
          <t>n.d.</t>
        </is>
      </c>
      <c r="F36" t="inlineStr">
        <is>
          <t>not disclosed</t>
        </is>
      </c>
      <c r="G36" t="inlineStr">
        <is>
          <t>/workspace/nebius/market/gpu_price_history.xlsx (no observation)</t>
        </is>
      </c>
      <c r="H36" t="inlineStr">
        <is>
          <t>SKU not listed / no snapshot</t>
        </is>
      </c>
    </row>
    <row r="37">
      <c r="A37" t="inlineStr">
        <is>
          <t>Prices_Monthly</t>
        </is>
      </c>
      <c r="B37" t="inlineStr">
        <is>
          <t>G5</t>
        </is>
      </c>
      <c r="C37" t="inlineStr">
        <is>
          <t>Nebius H200 on-demand</t>
        </is>
      </c>
      <c r="D37" t="inlineStr">
        <is>
          <t>2024-06</t>
        </is>
      </c>
      <c r="E37" t="inlineStr">
        <is>
          <t>n.d.</t>
        </is>
      </c>
      <c r="F37" t="inlineStr">
        <is>
          <t>not disclosed</t>
        </is>
      </c>
      <c r="G37" t="inlineStr">
        <is>
          <t>/workspace/nebius/market/gpu_price_history.xlsx (no observation)</t>
        </is>
      </c>
      <c r="H37" t="inlineStr">
        <is>
          <t>SKU not listed / no snapshot</t>
        </is>
      </c>
    </row>
    <row r="38">
      <c r="A38" t="inlineStr">
        <is>
          <t>Prices_Monthly</t>
        </is>
      </c>
      <c r="B38" t="inlineStr">
        <is>
          <t>H5</t>
        </is>
      </c>
      <c r="C38" t="inlineStr">
        <is>
          <t>Nebius H200 on-demand</t>
        </is>
      </c>
      <c r="D38" t="inlineStr">
        <is>
          <t>2024-07</t>
        </is>
      </c>
      <c r="E38" t="inlineStr">
        <is>
          <t>n.d.</t>
        </is>
      </c>
      <c r="F38" t="inlineStr">
        <is>
          <t>not disclosed</t>
        </is>
      </c>
      <c r="G38" t="inlineStr">
        <is>
          <t>/workspace/nebius/market/gpu_price_history.xlsx (no observation)</t>
        </is>
      </c>
      <c r="H38" t="inlineStr">
        <is>
          <t>SKU not listed / no snapshot</t>
        </is>
      </c>
    </row>
    <row r="39">
      <c r="A39" t="inlineStr">
        <is>
          <t>Prices_Monthly</t>
        </is>
      </c>
      <c r="B39" t="inlineStr">
        <is>
          <t>I5</t>
        </is>
      </c>
      <c r="C39" t="inlineStr">
        <is>
          <t>Nebius H200 on-demand</t>
        </is>
      </c>
      <c r="D39" t="inlineStr">
        <is>
          <t>2024-08</t>
        </is>
      </c>
      <c r="E39" t="inlineStr">
        <is>
          <t>n.d.</t>
        </is>
      </c>
      <c r="F39" t="inlineStr">
        <is>
          <t>not disclosed</t>
        </is>
      </c>
      <c r="G39" t="inlineStr">
        <is>
          <t>/workspace/nebius/market/gpu_price_history.xlsx (no observation)</t>
        </is>
      </c>
      <c r="H39" t="inlineStr">
        <is>
          <t>SKU not listed / no snapshot</t>
        </is>
      </c>
    </row>
    <row r="40">
      <c r="A40" t="inlineStr">
        <is>
          <t>Prices_Monthly</t>
        </is>
      </c>
      <c r="B40" t="inlineStr">
        <is>
          <t>J5</t>
        </is>
      </c>
      <c r="C40" t="inlineStr">
        <is>
          <t>Nebius H200 on-demand</t>
        </is>
      </c>
      <c r="D40" t="inlineStr">
        <is>
          <t>2024-09</t>
        </is>
      </c>
      <c r="E40" t="inlineStr">
        <is>
          <t>n.d.</t>
        </is>
      </c>
      <c r="F40" t="inlineStr">
        <is>
          <t>not disclosed</t>
        </is>
      </c>
      <c r="G40" t="inlineStr">
        <is>
          <t>/workspace/nebius/market/gpu_price_history.xlsx (no observation)</t>
        </is>
      </c>
      <c r="H40" t="inlineStr">
        <is>
          <t>SKU not listed / no snapshot</t>
        </is>
      </c>
    </row>
    <row r="41">
      <c r="A41" t="inlineStr">
        <is>
          <t>Prices_Monthly</t>
        </is>
      </c>
      <c r="B41" t="inlineStr">
        <is>
          <t>K5</t>
        </is>
      </c>
      <c r="C41" t="inlineStr">
        <is>
          <t>Nebius H200 on-demand</t>
        </is>
      </c>
      <c r="D41" t="inlineStr">
        <is>
          <t>2024-10</t>
        </is>
      </c>
      <c r="E41" t="n">
        <v>4.85</v>
      </c>
      <c r="F41" t="inlineStr">
        <is>
          <t>Reported</t>
        </is>
      </c>
      <c r="G41" t="inlineStr">
        <is>
          <t>/workspace/nebius/market/gpu_price_history.xlsx Price_History_Monthly 'Nebius | H200 141GB | on-demand | PAYG' 2024-10 (snapshot rows in Price_History_Long; nebius.com/prices via web.archive.org)</t>
        </is>
      </c>
    </row>
    <row r="42">
      <c r="A42" t="inlineStr">
        <is>
          <t>Prices_Monthly</t>
        </is>
      </c>
      <c r="B42" t="inlineStr">
        <is>
          <t>L5</t>
        </is>
      </c>
      <c r="C42" t="inlineStr">
        <is>
          <t>Nebius H200 on-demand</t>
        </is>
      </c>
      <c r="D42" t="inlineStr">
        <is>
          <t>2024-11</t>
        </is>
      </c>
      <c r="E42" t="n">
        <v>3.5</v>
      </c>
      <c r="F42" t="inlineStr">
        <is>
          <t>Reported</t>
        </is>
      </c>
      <c r="G42" t="inlineStr">
        <is>
          <t>/workspace/nebius/market/gpu_price_history.xlsx Price_History_Monthly 'Nebius | H200 141GB | on-demand | PAYG' 2024-11 (snapshot rows in Price_History_Long; nebius.com/prices via web.archive.org)</t>
        </is>
      </c>
    </row>
    <row r="43">
      <c r="A43" t="inlineStr">
        <is>
          <t>Prices_Monthly</t>
        </is>
      </c>
      <c r="B43" t="inlineStr">
        <is>
          <t>M5</t>
        </is>
      </c>
      <c r="C43" t="inlineStr">
        <is>
          <t>Nebius H200 on-demand</t>
        </is>
      </c>
      <c r="D43" t="inlineStr">
        <is>
          <t>2024-12</t>
        </is>
      </c>
      <c r="E43" t="n">
        <v>3.5</v>
      </c>
      <c r="F43" t="inlineStr">
        <is>
          <t>Reported</t>
        </is>
      </c>
      <c r="G43" t="inlineStr">
        <is>
          <t>/workspace/nebius/market/gpu_price_history.xlsx Price_History_Monthly 'Nebius | H200 141GB | on-demand | PAYG' 2024-12 (snapshot rows in Price_History_Long; nebius.com/prices via web.archive.org)</t>
        </is>
      </c>
    </row>
    <row r="44">
      <c r="A44" t="inlineStr">
        <is>
          <t>Prices_Monthly</t>
        </is>
      </c>
      <c r="B44" t="inlineStr">
        <is>
          <t>N5</t>
        </is>
      </c>
      <c r="C44" t="inlineStr">
        <is>
          <t>Nebius H200 on-demand</t>
        </is>
      </c>
      <c r="D44" t="inlineStr">
        <is>
          <t>2025-01</t>
        </is>
      </c>
      <c r="E44" t="n">
        <v>3.5</v>
      </c>
      <c r="F44" t="inlineStr">
        <is>
          <t>Reported</t>
        </is>
      </c>
      <c r="G44" t="inlineStr">
        <is>
          <t>/workspace/nebius/market/gpu_price_history.xlsx Price_History_Monthly 'Nebius | H200 141GB | on-demand | PAYG' 2025-01 (snapshot rows in Price_History_Long; nebius.com/prices via web.archive.org)</t>
        </is>
      </c>
    </row>
    <row r="45">
      <c r="A45" t="inlineStr">
        <is>
          <t>Prices_Monthly</t>
        </is>
      </c>
      <c r="B45" t="inlineStr">
        <is>
          <t>O5</t>
        </is>
      </c>
      <c r="C45" t="inlineStr">
        <is>
          <t>Nebius H200 on-demand</t>
        </is>
      </c>
      <c r="D45" t="inlineStr">
        <is>
          <t>2025-02</t>
        </is>
      </c>
      <c r="E45" t="n">
        <v>3.5</v>
      </c>
      <c r="F45" t="inlineStr">
        <is>
          <t>Estimated</t>
        </is>
      </c>
      <c r="G45" t="inlineStr">
        <is>
          <t>/workspace/nebius/market/gpu_price_history.xlsx Monthly_FFill 'Nebius | H200 141GB | on-demand | PAYG' 2025-02</t>
        </is>
      </c>
      <c r="H45" t="inlineStr">
        <is>
          <t>no snapshot this month; carried forward from last observation (market-team forward-fill)</t>
        </is>
      </c>
    </row>
    <row r="46">
      <c r="A46" t="inlineStr">
        <is>
          <t>Prices_Monthly</t>
        </is>
      </c>
      <c r="B46" t="inlineStr">
        <is>
          <t>P5</t>
        </is>
      </c>
      <c r="C46" t="inlineStr">
        <is>
          <t>Nebius H200 on-demand</t>
        </is>
      </c>
      <c r="D46" t="inlineStr">
        <is>
          <t>2025-03</t>
        </is>
      </c>
      <c r="E46" t="n">
        <v>3.5</v>
      </c>
      <c r="F46" t="inlineStr">
        <is>
          <t>Reported</t>
        </is>
      </c>
      <c r="G46" t="inlineStr">
        <is>
          <t>/workspace/nebius/market/gpu_price_history.xlsx Price_History_Monthly 'Nebius | H200 141GB | on-demand | PAYG' 2025-03 (snapshot rows in Price_History_Long; nebius.com/prices via web.archive.org)</t>
        </is>
      </c>
    </row>
    <row r="47">
      <c r="A47" t="inlineStr">
        <is>
          <t>Prices_Monthly</t>
        </is>
      </c>
      <c r="B47" t="inlineStr">
        <is>
          <t>Q5</t>
        </is>
      </c>
      <c r="C47" t="inlineStr">
        <is>
          <t>Nebius H200 on-demand</t>
        </is>
      </c>
      <c r="D47" t="inlineStr">
        <is>
          <t>2025-04</t>
        </is>
      </c>
      <c r="E47" t="n">
        <v>3.5</v>
      </c>
      <c r="F47" t="inlineStr">
        <is>
          <t>Reported</t>
        </is>
      </c>
      <c r="G47" t="inlineStr">
        <is>
          <t>/workspace/nebius/market/gpu_price_history.xlsx Price_History_Monthly 'Nebius | H200 141GB | on-demand | PAYG' 2025-04 (snapshot rows in Price_History_Long; nebius.com/prices via web.archive.org)</t>
        </is>
      </c>
    </row>
    <row r="48">
      <c r="A48" t="inlineStr">
        <is>
          <t>Prices_Monthly</t>
        </is>
      </c>
      <c r="B48" t="inlineStr">
        <is>
          <t>R5</t>
        </is>
      </c>
      <c r="C48" t="inlineStr">
        <is>
          <t>Nebius H200 on-demand</t>
        </is>
      </c>
      <c r="D48" t="inlineStr">
        <is>
          <t>2025-05</t>
        </is>
      </c>
      <c r="E48" t="n">
        <v>3.5</v>
      </c>
      <c r="F48" t="inlineStr">
        <is>
          <t>Reported</t>
        </is>
      </c>
      <c r="G48" t="inlineStr">
        <is>
          <t>/workspace/nebius/market/gpu_price_history.xlsx Price_History_Monthly 'Nebius | H200 141GB | on-demand | PAYG' 2025-05 (snapshot rows in Price_History_Long; nebius.com/prices via web.archive.org)</t>
        </is>
      </c>
    </row>
    <row r="49">
      <c r="A49" t="inlineStr">
        <is>
          <t>Prices_Monthly</t>
        </is>
      </c>
      <c r="B49" t="inlineStr">
        <is>
          <t>S5</t>
        </is>
      </c>
      <c r="C49" t="inlineStr">
        <is>
          <t>Nebius H200 on-demand</t>
        </is>
      </c>
      <c r="D49" t="inlineStr">
        <is>
          <t>2025-06</t>
        </is>
      </c>
      <c r="E49" t="n">
        <v>3.5</v>
      </c>
      <c r="F49" t="inlineStr">
        <is>
          <t>Reported</t>
        </is>
      </c>
      <c r="G49" t="inlineStr">
        <is>
          <t>/workspace/nebius/market/gpu_price_history.xlsx Price_History_Monthly 'Nebius | H200 141GB | on-demand | PAYG' 2025-06 (snapshot rows in Price_History_Long; nebius.com/prices via web.archive.org)</t>
        </is>
      </c>
    </row>
    <row r="50">
      <c r="A50" t="inlineStr">
        <is>
          <t>Prices_Monthly</t>
        </is>
      </c>
      <c r="B50" t="inlineStr">
        <is>
          <t>T5</t>
        </is>
      </c>
      <c r="C50" t="inlineStr">
        <is>
          <t>Nebius H200 on-demand</t>
        </is>
      </c>
      <c r="D50" t="inlineStr">
        <is>
          <t>2025-07</t>
        </is>
      </c>
      <c r="E50" t="n">
        <v>3.5</v>
      </c>
      <c r="F50" t="inlineStr">
        <is>
          <t>Reported</t>
        </is>
      </c>
      <c r="G50" t="inlineStr">
        <is>
          <t>/workspace/nebius/market/gpu_price_history.xlsx Price_History_Monthly 'Nebius | H200 141GB | on-demand | PAYG' 2025-07 (snapshot rows in Price_History_Long; nebius.com/prices via web.archive.org)</t>
        </is>
      </c>
    </row>
    <row r="51">
      <c r="A51" t="inlineStr">
        <is>
          <t>Prices_Monthly</t>
        </is>
      </c>
      <c r="B51" t="inlineStr">
        <is>
          <t>U5</t>
        </is>
      </c>
      <c r="C51" t="inlineStr">
        <is>
          <t>Nebius H200 on-demand</t>
        </is>
      </c>
      <c r="D51" t="inlineStr">
        <is>
          <t>2025-08</t>
        </is>
      </c>
      <c r="E51" t="n">
        <v>3.5</v>
      </c>
      <c r="F51" t="inlineStr">
        <is>
          <t>Reported</t>
        </is>
      </c>
      <c r="G51" t="inlineStr">
        <is>
          <t>/workspace/nebius/market/gpu_price_history.xlsx Price_History_Monthly 'Nebius | H200 141GB | on-demand | PAYG' 2025-08 (snapshot rows in Price_History_Long; nebius.com/prices via web.archive.org)</t>
        </is>
      </c>
    </row>
    <row r="52">
      <c r="A52" t="inlineStr">
        <is>
          <t>Prices_Monthly</t>
        </is>
      </c>
      <c r="B52" t="inlineStr">
        <is>
          <t>V5</t>
        </is>
      </c>
      <c r="C52" t="inlineStr">
        <is>
          <t>Nebius H200 on-demand</t>
        </is>
      </c>
      <c r="D52" t="inlineStr">
        <is>
          <t>2025-09</t>
        </is>
      </c>
      <c r="E52" t="n">
        <v>3.5</v>
      </c>
      <c r="F52" t="inlineStr">
        <is>
          <t>Reported</t>
        </is>
      </c>
      <c r="G52" t="inlineStr">
        <is>
          <t>/workspace/nebius/market/gpu_price_history.xlsx Price_History_Monthly 'Nebius | H200 141GB | on-demand | PAYG' 2025-09 (snapshot rows in Price_History_Long; nebius.com/prices via web.archive.org)</t>
        </is>
      </c>
    </row>
    <row r="53">
      <c r="A53" t="inlineStr">
        <is>
          <t>Prices_Monthly</t>
        </is>
      </c>
      <c r="B53" t="inlineStr">
        <is>
          <t>W5</t>
        </is>
      </c>
      <c r="C53" t="inlineStr">
        <is>
          <t>Nebius H200 on-demand</t>
        </is>
      </c>
      <c r="D53" t="inlineStr">
        <is>
          <t>2025-10</t>
        </is>
      </c>
      <c r="E53" t="n">
        <v>3.5</v>
      </c>
      <c r="F53" t="inlineStr">
        <is>
          <t>Reported</t>
        </is>
      </c>
      <c r="G53" t="inlineStr">
        <is>
          <t>/workspace/nebius/market/gpu_price_history.xlsx Price_History_Monthly 'Nebius | H200 141GB | on-demand | PAYG' 2025-10 (snapshot rows in Price_History_Long; nebius.com/prices via web.archive.org)</t>
        </is>
      </c>
    </row>
    <row r="54">
      <c r="A54" t="inlineStr">
        <is>
          <t>Prices_Monthly</t>
        </is>
      </c>
      <c r="B54" t="inlineStr">
        <is>
          <t>X5</t>
        </is>
      </c>
      <c r="C54" t="inlineStr">
        <is>
          <t>Nebius H200 on-demand</t>
        </is>
      </c>
      <c r="D54" t="inlineStr">
        <is>
          <t>2025-11</t>
        </is>
      </c>
      <c r="E54" t="n">
        <v>3.5</v>
      </c>
      <c r="F54" t="inlineStr">
        <is>
          <t>Reported</t>
        </is>
      </c>
      <c r="G54" t="inlineStr">
        <is>
          <t>/workspace/nebius/market/gpu_price_history.xlsx Price_History_Monthly 'Nebius | H200 141GB | on-demand | PAYG' 2025-11 (snapshot rows in Price_History_Long; nebius.com/prices via web.archive.org)</t>
        </is>
      </c>
    </row>
    <row r="55">
      <c r="A55" t="inlineStr">
        <is>
          <t>Prices_Monthly</t>
        </is>
      </c>
      <c r="B55" t="inlineStr">
        <is>
          <t>Y5</t>
        </is>
      </c>
      <c r="C55" t="inlineStr">
        <is>
          <t>Nebius H200 on-demand</t>
        </is>
      </c>
      <c r="D55" t="inlineStr">
        <is>
          <t>2025-12</t>
        </is>
      </c>
      <c r="E55" t="n">
        <v>3.5</v>
      </c>
      <c r="F55" t="inlineStr">
        <is>
          <t>Reported</t>
        </is>
      </c>
      <c r="G55" t="inlineStr">
        <is>
          <t>/workspace/nebius/market/gpu_price_history.xlsx Price_History_Monthly 'Nebius | H200 141GB | on-demand | PAYG' 2025-12 (snapshot rows in Price_History_Long; nebius.com/prices via web.archive.org)</t>
        </is>
      </c>
    </row>
    <row r="56">
      <c r="A56" t="inlineStr">
        <is>
          <t>Prices_Monthly</t>
        </is>
      </c>
      <c r="B56" t="inlineStr">
        <is>
          <t>Z5</t>
        </is>
      </c>
      <c r="C56" t="inlineStr">
        <is>
          <t>Nebius H200 on-demand</t>
        </is>
      </c>
      <c r="D56" t="inlineStr">
        <is>
          <t>2026-01</t>
        </is>
      </c>
      <c r="E56" t="n">
        <v>3.5</v>
      </c>
      <c r="F56" t="inlineStr">
        <is>
          <t>Reported</t>
        </is>
      </c>
      <c r="G56" t="inlineStr">
        <is>
          <t>/workspace/nebius/market/gpu_price_history.xlsx Price_History_Monthly 'Nebius | H200 141GB | on-demand | PAYG' 2026-01 (snapshot rows in Price_History_Long; nebius.com/prices via web.archive.org)</t>
        </is>
      </c>
    </row>
    <row r="57">
      <c r="A57" t="inlineStr">
        <is>
          <t>Prices_Monthly</t>
        </is>
      </c>
      <c r="B57" t="inlineStr">
        <is>
          <t>AA5</t>
        </is>
      </c>
      <c r="C57" t="inlineStr">
        <is>
          <t>Nebius H200 on-demand</t>
        </is>
      </c>
      <c r="D57" t="inlineStr">
        <is>
          <t>2026-02</t>
        </is>
      </c>
      <c r="E57" t="n">
        <v>3.5</v>
      </c>
      <c r="F57" t="inlineStr">
        <is>
          <t>Reported</t>
        </is>
      </c>
      <c r="G57" t="inlineStr">
        <is>
          <t>/workspace/nebius/market/gpu_price_history.xlsx Price_History_Monthly 'Nebius | H200 141GB | on-demand | PAYG' 2026-02 (snapshot rows in Price_History_Long; nebius.com/prices via web.archive.org)</t>
        </is>
      </c>
    </row>
    <row r="58">
      <c r="A58" t="inlineStr">
        <is>
          <t>Prices_Monthly</t>
        </is>
      </c>
      <c r="B58" t="inlineStr">
        <is>
          <t>AB5</t>
        </is>
      </c>
      <c r="C58" t="inlineStr">
        <is>
          <t>Nebius H200 on-demand</t>
        </is>
      </c>
      <c r="D58" t="inlineStr">
        <is>
          <t>2026-03</t>
        </is>
      </c>
      <c r="E58" t="n">
        <v>3.5</v>
      </c>
      <c r="F58" t="inlineStr">
        <is>
          <t>Reported</t>
        </is>
      </c>
      <c r="G58" t="inlineStr">
        <is>
          <t>/workspace/nebius/market/gpu_price_history.xlsx Price_History_Monthly 'Nebius | H200 141GB | on-demand | PAYG' 2026-03 (snapshot rows in Price_History_Long; nebius.com/prices via web.archive.org)</t>
        </is>
      </c>
    </row>
    <row r="59">
      <c r="A59" t="inlineStr">
        <is>
          <t>Prices_Monthly</t>
        </is>
      </c>
      <c r="B59" t="inlineStr">
        <is>
          <t>AC5</t>
        </is>
      </c>
      <c r="C59" t="inlineStr">
        <is>
          <t>Nebius H200 on-demand</t>
        </is>
      </c>
      <c r="D59" t="inlineStr">
        <is>
          <t>2026-04</t>
        </is>
      </c>
      <c r="E59" t="n">
        <v>3.5</v>
      </c>
      <c r="F59" t="inlineStr">
        <is>
          <t>Reported</t>
        </is>
      </c>
      <c r="G59" t="inlineStr">
        <is>
          <t>/workspace/nebius/market/gpu_price_history.xlsx Price_History_Monthly 'Nebius | H200 141GB | on-demand | PAYG' 2026-04 (snapshot rows in Price_History_Long; nebius.com/prices via web.archive.org)</t>
        </is>
      </c>
    </row>
    <row r="60">
      <c r="A60" t="inlineStr">
        <is>
          <t>Prices_Monthly</t>
        </is>
      </c>
      <c r="B60" t="inlineStr">
        <is>
          <t>AD5</t>
        </is>
      </c>
      <c r="C60" t="inlineStr">
        <is>
          <t>Nebius H200 on-demand</t>
        </is>
      </c>
      <c r="D60" t="inlineStr">
        <is>
          <t>2026-05</t>
        </is>
      </c>
      <c r="E60" t="n">
        <v>3.5</v>
      </c>
      <c r="F60" t="inlineStr">
        <is>
          <t>Reported</t>
        </is>
      </c>
      <c r="G60" t="inlineStr">
        <is>
          <t>/workspace/nebius/market/gpu_price_history.xlsx Price_History_Monthly 'Nebius | H200 141GB | on-demand | PAYG' 2026-05 (snapshot rows in Price_History_Long; nebius.com/prices via web.archive.org)</t>
        </is>
      </c>
    </row>
    <row r="61">
      <c r="A61" t="inlineStr">
        <is>
          <t>Prices_Monthly</t>
        </is>
      </c>
      <c r="B61" t="inlineStr">
        <is>
          <t>AE5</t>
        </is>
      </c>
      <c r="C61" t="inlineStr">
        <is>
          <t>Nebius H200 on-demand</t>
        </is>
      </c>
      <c r="D61" t="inlineStr">
        <is>
          <t>2026-06</t>
        </is>
      </c>
      <c r="E61" t="n">
        <v>4.5</v>
      </c>
      <c r="F61" t="inlineStr">
        <is>
          <t>Reported</t>
        </is>
      </c>
      <c r="G61" t="inlineStr">
        <is>
          <t>/workspace/nebius/market/gpu_price_history.xlsx Price_History_Monthly 'Nebius | H200 141GB | on-demand | PAYG' 2026-06 (snapshot rows in Price_History_Long; nebius.com/prices via web.archive.org)</t>
        </is>
      </c>
    </row>
    <row r="62">
      <c r="A62" t="inlineStr">
        <is>
          <t>Prices_Monthly</t>
        </is>
      </c>
      <c r="B62" t="inlineStr">
        <is>
          <t>B6</t>
        </is>
      </c>
      <c r="C62" t="inlineStr">
        <is>
          <t>Nebius B200 on-demand</t>
        </is>
      </c>
      <c r="D62" t="inlineStr">
        <is>
          <t>2024-01</t>
        </is>
      </c>
      <c r="E62" t="inlineStr">
        <is>
          <t>n.d.</t>
        </is>
      </c>
      <c r="F62" t="inlineStr">
        <is>
          <t>not disclosed</t>
        </is>
      </c>
      <c r="G62" t="inlineStr">
        <is>
          <t>/workspace/nebius/market/gpu_price_history.xlsx (no observation)</t>
        </is>
      </c>
      <c r="H62" t="inlineStr">
        <is>
          <t>SKU not listed / no snapshot</t>
        </is>
      </c>
    </row>
    <row r="63">
      <c r="A63" t="inlineStr">
        <is>
          <t>Prices_Monthly</t>
        </is>
      </c>
      <c r="B63" t="inlineStr">
        <is>
          <t>C6</t>
        </is>
      </c>
      <c r="C63" t="inlineStr">
        <is>
          <t>Nebius B200 on-demand</t>
        </is>
      </c>
      <c r="D63" t="inlineStr">
        <is>
          <t>2024-02</t>
        </is>
      </c>
      <c r="E63" t="inlineStr">
        <is>
          <t>n.d.</t>
        </is>
      </c>
      <c r="F63" t="inlineStr">
        <is>
          <t>not disclosed</t>
        </is>
      </c>
      <c r="G63" t="inlineStr">
        <is>
          <t>/workspace/nebius/market/gpu_price_history.xlsx (no observation)</t>
        </is>
      </c>
      <c r="H63" t="inlineStr">
        <is>
          <t>SKU not listed / no snapshot</t>
        </is>
      </c>
    </row>
    <row r="64">
      <c r="A64" t="inlineStr">
        <is>
          <t>Prices_Monthly</t>
        </is>
      </c>
      <c r="B64" t="inlineStr">
        <is>
          <t>D6</t>
        </is>
      </c>
      <c r="C64" t="inlineStr">
        <is>
          <t>Nebius B200 on-demand</t>
        </is>
      </c>
      <c r="D64" t="inlineStr">
        <is>
          <t>2024-03</t>
        </is>
      </c>
      <c r="E64" t="inlineStr">
        <is>
          <t>n.d.</t>
        </is>
      </c>
      <c r="F64" t="inlineStr">
        <is>
          <t>not disclosed</t>
        </is>
      </c>
      <c r="G64" t="inlineStr">
        <is>
          <t>/workspace/nebius/market/gpu_price_history.xlsx (no observation)</t>
        </is>
      </c>
      <c r="H64" t="inlineStr">
        <is>
          <t>SKU not listed / no snapshot</t>
        </is>
      </c>
    </row>
    <row r="65">
      <c r="A65" t="inlineStr">
        <is>
          <t>Prices_Monthly</t>
        </is>
      </c>
      <c r="B65" t="inlineStr">
        <is>
          <t>E6</t>
        </is>
      </c>
      <c r="C65" t="inlineStr">
        <is>
          <t>Nebius B200 on-demand</t>
        </is>
      </c>
      <c r="D65" t="inlineStr">
        <is>
          <t>2024-04</t>
        </is>
      </c>
      <c r="E65" t="inlineStr">
        <is>
          <t>n.d.</t>
        </is>
      </c>
      <c r="F65" t="inlineStr">
        <is>
          <t>not disclosed</t>
        </is>
      </c>
      <c r="G65" t="inlineStr">
        <is>
          <t>/workspace/nebius/market/gpu_price_history.xlsx (no observation)</t>
        </is>
      </c>
      <c r="H65" t="inlineStr">
        <is>
          <t>SKU not listed / no snapshot</t>
        </is>
      </c>
    </row>
    <row r="66">
      <c r="A66" t="inlineStr">
        <is>
          <t>Prices_Monthly</t>
        </is>
      </c>
      <c r="B66" t="inlineStr">
        <is>
          <t>F6</t>
        </is>
      </c>
      <c r="C66" t="inlineStr">
        <is>
          <t>Nebius B200 on-demand</t>
        </is>
      </c>
      <c r="D66" t="inlineStr">
        <is>
          <t>2024-05</t>
        </is>
      </c>
      <c r="E66" t="inlineStr">
        <is>
          <t>n.d.</t>
        </is>
      </c>
      <c r="F66" t="inlineStr">
        <is>
          <t>not disclosed</t>
        </is>
      </c>
      <c r="G66" t="inlineStr">
        <is>
          <t>/workspace/nebius/market/gpu_price_history.xlsx (no observation)</t>
        </is>
      </c>
      <c r="H66" t="inlineStr">
        <is>
          <t>SKU not listed / no snapshot</t>
        </is>
      </c>
    </row>
    <row r="67">
      <c r="A67" t="inlineStr">
        <is>
          <t>Prices_Monthly</t>
        </is>
      </c>
      <c r="B67" t="inlineStr">
        <is>
          <t>G6</t>
        </is>
      </c>
      <c r="C67" t="inlineStr">
        <is>
          <t>Nebius B200 on-demand</t>
        </is>
      </c>
      <c r="D67" t="inlineStr">
        <is>
          <t>2024-06</t>
        </is>
      </c>
      <c r="E67" t="inlineStr">
        <is>
          <t>n.d.</t>
        </is>
      </c>
      <c r="F67" t="inlineStr">
        <is>
          <t>not disclosed</t>
        </is>
      </c>
      <c r="G67" t="inlineStr">
        <is>
          <t>/workspace/nebius/market/gpu_price_history.xlsx (no observation)</t>
        </is>
      </c>
      <c r="H67" t="inlineStr">
        <is>
          <t>SKU not listed / no snapshot</t>
        </is>
      </c>
    </row>
    <row r="68">
      <c r="A68" t="inlineStr">
        <is>
          <t>Prices_Monthly</t>
        </is>
      </c>
      <c r="B68" t="inlineStr">
        <is>
          <t>H6</t>
        </is>
      </c>
      <c r="C68" t="inlineStr">
        <is>
          <t>Nebius B200 on-demand</t>
        </is>
      </c>
      <c r="D68" t="inlineStr">
        <is>
          <t>2024-07</t>
        </is>
      </c>
      <c r="E68" t="inlineStr">
        <is>
          <t>n.d.</t>
        </is>
      </c>
      <c r="F68" t="inlineStr">
        <is>
          <t>not disclosed</t>
        </is>
      </c>
      <c r="G68" t="inlineStr">
        <is>
          <t>/workspace/nebius/market/gpu_price_history.xlsx (no observation)</t>
        </is>
      </c>
      <c r="H68" t="inlineStr">
        <is>
          <t>SKU not listed / no snapshot</t>
        </is>
      </c>
    </row>
    <row r="69">
      <c r="A69" t="inlineStr">
        <is>
          <t>Prices_Monthly</t>
        </is>
      </c>
      <c r="B69" t="inlineStr">
        <is>
          <t>I6</t>
        </is>
      </c>
      <c r="C69" t="inlineStr">
        <is>
          <t>Nebius B200 on-demand</t>
        </is>
      </c>
      <c r="D69" t="inlineStr">
        <is>
          <t>2024-08</t>
        </is>
      </c>
      <c r="E69" t="inlineStr">
        <is>
          <t>n.d.</t>
        </is>
      </c>
      <c r="F69" t="inlineStr">
        <is>
          <t>not disclosed</t>
        </is>
      </c>
      <c r="G69" t="inlineStr">
        <is>
          <t>/workspace/nebius/market/gpu_price_history.xlsx (no observation)</t>
        </is>
      </c>
      <c r="H69" t="inlineStr">
        <is>
          <t>SKU not listed / no snapshot</t>
        </is>
      </c>
    </row>
    <row r="70">
      <c r="A70" t="inlineStr">
        <is>
          <t>Prices_Monthly</t>
        </is>
      </c>
      <c r="B70" t="inlineStr">
        <is>
          <t>J6</t>
        </is>
      </c>
      <c r="C70" t="inlineStr">
        <is>
          <t>Nebius B200 on-demand</t>
        </is>
      </c>
      <c r="D70" t="inlineStr">
        <is>
          <t>2024-09</t>
        </is>
      </c>
      <c r="E70" t="inlineStr">
        <is>
          <t>n.d.</t>
        </is>
      </c>
      <c r="F70" t="inlineStr">
        <is>
          <t>not disclosed</t>
        </is>
      </c>
      <c r="G70" t="inlineStr">
        <is>
          <t>/workspace/nebius/market/gpu_price_history.xlsx (no observation)</t>
        </is>
      </c>
      <c r="H70" t="inlineStr">
        <is>
          <t>SKU not listed / no snapshot</t>
        </is>
      </c>
    </row>
    <row r="71">
      <c r="A71" t="inlineStr">
        <is>
          <t>Prices_Monthly</t>
        </is>
      </c>
      <c r="B71" t="inlineStr">
        <is>
          <t>K6</t>
        </is>
      </c>
      <c r="C71" t="inlineStr">
        <is>
          <t>Nebius B200 on-demand</t>
        </is>
      </c>
      <c r="D71" t="inlineStr">
        <is>
          <t>2024-10</t>
        </is>
      </c>
      <c r="E71" t="inlineStr">
        <is>
          <t>n.d.</t>
        </is>
      </c>
      <c r="F71" t="inlineStr">
        <is>
          <t>not disclosed</t>
        </is>
      </c>
      <c r="G71" t="inlineStr">
        <is>
          <t>/workspace/nebius/market/gpu_price_history.xlsx (no observation)</t>
        </is>
      </c>
      <c r="H71" t="inlineStr">
        <is>
          <t>SKU not listed / no snapshot</t>
        </is>
      </c>
    </row>
    <row r="72">
      <c r="A72" t="inlineStr">
        <is>
          <t>Prices_Monthly</t>
        </is>
      </c>
      <c r="B72" t="inlineStr">
        <is>
          <t>L6</t>
        </is>
      </c>
      <c r="C72" t="inlineStr">
        <is>
          <t>Nebius B200 on-demand</t>
        </is>
      </c>
      <c r="D72" t="inlineStr">
        <is>
          <t>2024-11</t>
        </is>
      </c>
      <c r="E72" t="inlineStr">
        <is>
          <t>n.d.</t>
        </is>
      </c>
      <c r="F72" t="inlineStr">
        <is>
          <t>not disclosed</t>
        </is>
      </c>
      <c r="G72" t="inlineStr">
        <is>
          <t>/workspace/nebius/market/gpu_price_history.xlsx (no observation)</t>
        </is>
      </c>
      <c r="H72" t="inlineStr">
        <is>
          <t>SKU not listed / no snapshot</t>
        </is>
      </c>
    </row>
    <row r="73">
      <c r="A73" t="inlineStr">
        <is>
          <t>Prices_Monthly</t>
        </is>
      </c>
      <c r="B73" t="inlineStr">
        <is>
          <t>M6</t>
        </is>
      </c>
      <c r="C73" t="inlineStr">
        <is>
          <t>Nebius B200 on-demand</t>
        </is>
      </c>
      <c r="D73" t="inlineStr">
        <is>
          <t>2024-12</t>
        </is>
      </c>
      <c r="E73" t="inlineStr">
        <is>
          <t>n.d.</t>
        </is>
      </c>
      <c r="F73" t="inlineStr">
        <is>
          <t>not disclosed</t>
        </is>
      </c>
      <c r="G73" t="inlineStr">
        <is>
          <t>/workspace/nebius/market/gpu_price_history.xlsx (no observation)</t>
        </is>
      </c>
      <c r="H73" t="inlineStr">
        <is>
          <t>SKU not listed / no snapshot</t>
        </is>
      </c>
    </row>
    <row r="74">
      <c r="A74" t="inlineStr">
        <is>
          <t>Prices_Monthly</t>
        </is>
      </c>
      <c r="B74" t="inlineStr">
        <is>
          <t>N6</t>
        </is>
      </c>
      <c r="C74" t="inlineStr">
        <is>
          <t>Nebius B200 on-demand</t>
        </is>
      </c>
      <c r="D74" t="inlineStr">
        <is>
          <t>2025-01</t>
        </is>
      </c>
      <c r="E74" t="inlineStr">
        <is>
          <t>n.d.</t>
        </is>
      </c>
      <c r="F74" t="inlineStr">
        <is>
          <t>not disclosed</t>
        </is>
      </c>
      <c r="G74" t="inlineStr">
        <is>
          <t>/workspace/nebius/market/gpu_price_history.xlsx (no observation)</t>
        </is>
      </c>
      <c r="H74" t="inlineStr">
        <is>
          <t>SKU not listed / no snapshot</t>
        </is>
      </c>
    </row>
    <row r="75">
      <c r="A75" t="inlineStr">
        <is>
          <t>Prices_Monthly</t>
        </is>
      </c>
      <c r="B75" t="inlineStr">
        <is>
          <t>O6</t>
        </is>
      </c>
      <c r="C75" t="inlineStr">
        <is>
          <t>Nebius B200 on-demand</t>
        </is>
      </c>
      <c r="D75" t="inlineStr">
        <is>
          <t>2025-02</t>
        </is>
      </c>
      <c r="E75" t="inlineStr">
        <is>
          <t>n.d.</t>
        </is>
      </c>
      <c r="F75" t="inlineStr">
        <is>
          <t>not disclosed</t>
        </is>
      </c>
      <c r="G75" t="inlineStr">
        <is>
          <t>/workspace/nebius/market/gpu_price_history.xlsx (no observation)</t>
        </is>
      </c>
      <c r="H75" t="inlineStr">
        <is>
          <t>SKU not listed / no snapshot</t>
        </is>
      </c>
    </row>
    <row r="76">
      <c r="A76" t="inlineStr">
        <is>
          <t>Prices_Monthly</t>
        </is>
      </c>
      <c r="B76" t="inlineStr">
        <is>
          <t>P6</t>
        </is>
      </c>
      <c r="C76" t="inlineStr">
        <is>
          <t>Nebius B200 on-demand</t>
        </is>
      </c>
      <c r="D76" t="inlineStr">
        <is>
          <t>2025-03</t>
        </is>
      </c>
      <c r="E76" t="inlineStr">
        <is>
          <t>n.d.</t>
        </is>
      </c>
      <c r="F76" t="inlineStr">
        <is>
          <t>not disclosed</t>
        </is>
      </c>
      <c r="G76" t="inlineStr">
        <is>
          <t>/workspace/nebius/market/gpu_price_history.xlsx (no observation)</t>
        </is>
      </c>
      <c r="H76" t="inlineStr">
        <is>
          <t>SKU not listed / no snapshot</t>
        </is>
      </c>
    </row>
    <row r="77">
      <c r="A77" t="inlineStr">
        <is>
          <t>Prices_Monthly</t>
        </is>
      </c>
      <c r="B77" t="inlineStr">
        <is>
          <t>Q6</t>
        </is>
      </c>
      <c r="C77" t="inlineStr">
        <is>
          <t>Nebius B200 on-demand</t>
        </is>
      </c>
      <c r="D77" t="inlineStr">
        <is>
          <t>2025-04</t>
        </is>
      </c>
      <c r="E77" t="inlineStr">
        <is>
          <t>n.d.</t>
        </is>
      </c>
      <c r="F77" t="inlineStr">
        <is>
          <t>not disclosed</t>
        </is>
      </c>
      <c r="G77" t="inlineStr">
        <is>
          <t>/workspace/nebius/market/gpu_price_history.xlsx (no observation)</t>
        </is>
      </c>
      <c r="H77" t="inlineStr">
        <is>
          <t>SKU not listed / no snapshot</t>
        </is>
      </c>
    </row>
    <row r="78">
      <c r="A78" t="inlineStr">
        <is>
          <t>Prices_Monthly</t>
        </is>
      </c>
      <c r="B78" t="inlineStr">
        <is>
          <t>R6</t>
        </is>
      </c>
      <c r="C78" t="inlineStr">
        <is>
          <t>Nebius B200 on-demand</t>
        </is>
      </c>
      <c r="D78" t="inlineStr">
        <is>
          <t>2025-05</t>
        </is>
      </c>
      <c r="E78" t="inlineStr">
        <is>
          <t>n.d.</t>
        </is>
      </c>
      <c r="F78" t="inlineStr">
        <is>
          <t>not disclosed</t>
        </is>
      </c>
      <c r="G78" t="inlineStr">
        <is>
          <t>/workspace/nebius/market/gpu_price_history.xlsx (no observation)</t>
        </is>
      </c>
      <c r="H78" t="inlineStr">
        <is>
          <t>SKU not listed / no snapshot</t>
        </is>
      </c>
    </row>
    <row r="79">
      <c r="A79" t="inlineStr">
        <is>
          <t>Prices_Monthly</t>
        </is>
      </c>
      <c r="B79" t="inlineStr">
        <is>
          <t>S6</t>
        </is>
      </c>
      <c r="C79" t="inlineStr">
        <is>
          <t>Nebius B200 on-demand</t>
        </is>
      </c>
      <c r="D79" t="inlineStr">
        <is>
          <t>2025-06</t>
        </is>
      </c>
      <c r="E79" t="inlineStr">
        <is>
          <t>n.d.</t>
        </is>
      </c>
      <c r="F79" t="inlineStr">
        <is>
          <t>not disclosed</t>
        </is>
      </c>
      <c r="G79" t="inlineStr">
        <is>
          <t>/workspace/nebius/market/gpu_price_history.xlsx (no observation)</t>
        </is>
      </c>
      <c r="H79" t="inlineStr">
        <is>
          <t>SKU not listed / no snapshot</t>
        </is>
      </c>
    </row>
    <row r="80">
      <c r="A80" t="inlineStr">
        <is>
          <t>Prices_Monthly</t>
        </is>
      </c>
      <c r="B80" t="inlineStr">
        <is>
          <t>T6</t>
        </is>
      </c>
      <c r="C80" t="inlineStr">
        <is>
          <t>Nebius B200 on-demand</t>
        </is>
      </c>
      <c r="D80" t="inlineStr">
        <is>
          <t>2025-07</t>
        </is>
      </c>
      <c r="E80" t="n">
        <v>5.5</v>
      </c>
      <c r="F80" t="inlineStr">
        <is>
          <t>Reported</t>
        </is>
      </c>
      <c r="G80" t="inlineStr">
        <is>
          <t>/workspace/nebius/market/gpu_price_history.xlsx Price_History_Monthly 'Nebius | B200 | on-demand | PAYG' 2025-07 (snapshot rows in Price_History_Long; nebius.com/prices via web.archive.org)</t>
        </is>
      </c>
    </row>
    <row r="81">
      <c r="A81" t="inlineStr">
        <is>
          <t>Prices_Monthly</t>
        </is>
      </c>
      <c r="B81" t="inlineStr">
        <is>
          <t>U6</t>
        </is>
      </c>
      <c r="C81" t="inlineStr">
        <is>
          <t>Nebius B200 on-demand</t>
        </is>
      </c>
      <c r="D81" t="inlineStr">
        <is>
          <t>2025-08</t>
        </is>
      </c>
      <c r="E81" t="n">
        <v>5.5</v>
      </c>
      <c r="F81" t="inlineStr">
        <is>
          <t>Reported</t>
        </is>
      </c>
      <c r="G81" t="inlineStr">
        <is>
          <t>/workspace/nebius/market/gpu_price_history.xlsx Price_History_Monthly 'Nebius | B200 | on-demand | PAYG' 2025-08 (snapshot rows in Price_History_Long; nebius.com/prices via web.archive.org)</t>
        </is>
      </c>
    </row>
    <row r="82">
      <c r="A82" t="inlineStr">
        <is>
          <t>Prices_Monthly</t>
        </is>
      </c>
      <c r="B82" t="inlineStr">
        <is>
          <t>V6</t>
        </is>
      </c>
      <c r="C82" t="inlineStr">
        <is>
          <t>Nebius B200 on-demand</t>
        </is>
      </c>
      <c r="D82" t="inlineStr">
        <is>
          <t>2025-09</t>
        </is>
      </c>
      <c r="E82" t="n">
        <v>5.5</v>
      </c>
      <c r="F82" t="inlineStr">
        <is>
          <t>Reported</t>
        </is>
      </c>
      <c r="G82" t="inlineStr">
        <is>
          <t>/workspace/nebius/market/gpu_price_history.xlsx Price_History_Monthly 'Nebius | B200 | on-demand | PAYG' 2025-09 (snapshot rows in Price_History_Long; nebius.com/prices via web.archive.org)</t>
        </is>
      </c>
    </row>
    <row r="83">
      <c r="A83" t="inlineStr">
        <is>
          <t>Prices_Monthly</t>
        </is>
      </c>
      <c r="B83" t="inlineStr">
        <is>
          <t>W6</t>
        </is>
      </c>
      <c r="C83" t="inlineStr">
        <is>
          <t>Nebius B200 on-demand</t>
        </is>
      </c>
      <c r="D83" t="inlineStr">
        <is>
          <t>2025-10</t>
        </is>
      </c>
      <c r="E83" t="n">
        <v>5.5</v>
      </c>
      <c r="F83" t="inlineStr">
        <is>
          <t>Reported</t>
        </is>
      </c>
      <c r="G83" t="inlineStr">
        <is>
          <t>/workspace/nebius/market/gpu_price_history.xlsx Price_History_Monthly 'Nebius | B200 | on-demand | PAYG' 2025-10 (snapshot rows in Price_History_Long; nebius.com/prices via web.archive.org)</t>
        </is>
      </c>
    </row>
    <row r="84">
      <c r="A84" t="inlineStr">
        <is>
          <t>Prices_Monthly</t>
        </is>
      </c>
      <c r="B84" t="inlineStr">
        <is>
          <t>X6</t>
        </is>
      </c>
      <c r="C84" t="inlineStr">
        <is>
          <t>Nebius B200 on-demand</t>
        </is>
      </c>
      <c r="D84" t="inlineStr">
        <is>
          <t>2025-11</t>
        </is>
      </c>
      <c r="E84" t="n">
        <v>5.5</v>
      </c>
      <c r="F84" t="inlineStr">
        <is>
          <t>Reported</t>
        </is>
      </c>
      <c r="G84" t="inlineStr">
        <is>
          <t>/workspace/nebius/market/gpu_price_history.xlsx Price_History_Monthly 'Nebius | B200 | on-demand | PAYG' 2025-11 (snapshot rows in Price_History_Long; nebius.com/prices via web.archive.org)</t>
        </is>
      </c>
    </row>
    <row r="85">
      <c r="A85" t="inlineStr">
        <is>
          <t>Prices_Monthly</t>
        </is>
      </c>
      <c r="B85" t="inlineStr">
        <is>
          <t>Y6</t>
        </is>
      </c>
      <c r="C85" t="inlineStr">
        <is>
          <t>Nebius B200 on-demand</t>
        </is>
      </c>
      <c r="D85" t="inlineStr">
        <is>
          <t>2025-12</t>
        </is>
      </c>
      <c r="E85" t="n">
        <v>5.5</v>
      </c>
      <c r="F85" t="inlineStr">
        <is>
          <t>Reported</t>
        </is>
      </c>
      <c r="G85" t="inlineStr">
        <is>
          <t>/workspace/nebius/market/gpu_price_history.xlsx Price_History_Monthly 'Nebius | B200 | on-demand | PAYG' 2025-12 (snapshot rows in Price_History_Long; nebius.com/prices via web.archive.org)</t>
        </is>
      </c>
    </row>
    <row r="86">
      <c r="A86" t="inlineStr">
        <is>
          <t>Prices_Monthly</t>
        </is>
      </c>
      <c r="B86" t="inlineStr">
        <is>
          <t>Z6</t>
        </is>
      </c>
      <c r="C86" t="inlineStr">
        <is>
          <t>Nebius B200 on-demand</t>
        </is>
      </c>
      <c r="D86" t="inlineStr">
        <is>
          <t>2026-01</t>
        </is>
      </c>
      <c r="E86" t="n">
        <v>5.5</v>
      </c>
      <c r="F86" t="inlineStr">
        <is>
          <t>Reported</t>
        </is>
      </c>
      <c r="G86" t="inlineStr">
        <is>
          <t>/workspace/nebius/market/gpu_price_history.xlsx Price_History_Monthly 'Nebius | B200 | on-demand | PAYG' 2026-01 (snapshot rows in Price_History_Long; nebius.com/prices via web.archive.org)</t>
        </is>
      </c>
    </row>
    <row r="87">
      <c r="A87" t="inlineStr">
        <is>
          <t>Prices_Monthly</t>
        </is>
      </c>
      <c r="B87" t="inlineStr">
        <is>
          <t>AA6</t>
        </is>
      </c>
      <c r="C87" t="inlineStr">
        <is>
          <t>Nebius B200 on-demand</t>
        </is>
      </c>
      <c r="D87" t="inlineStr">
        <is>
          <t>2026-02</t>
        </is>
      </c>
      <c r="E87" t="n">
        <v>5.5</v>
      </c>
      <c r="F87" t="inlineStr">
        <is>
          <t>Reported</t>
        </is>
      </c>
      <c r="G87" t="inlineStr">
        <is>
          <t>/workspace/nebius/market/gpu_price_history.xlsx Price_History_Monthly 'Nebius | B200 | on-demand | PAYG' 2026-02 (snapshot rows in Price_History_Long; nebius.com/prices via web.archive.org)</t>
        </is>
      </c>
    </row>
    <row r="88">
      <c r="A88" t="inlineStr">
        <is>
          <t>Prices_Monthly</t>
        </is>
      </c>
      <c r="B88" t="inlineStr">
        <is>
          <t>AB6</t>
        </is>
      </c>
      <c r="C88" t="inlineStr">
        <is>
          <t>Nebius B200 on-demand</t>
        </is>
      </c>
      <c r="D88" t="inlineStr">
        <is>
          <t>2026-03</t>
        </is>
      </c>
      <c r="E88" t="n">
        <v>5.5</v>
      </c>
      <c r="F88" t="inlineStr">
        <is>
          <t>Reported</t>
        </is>
      </c>
      <c r="G88" t="inlineStr">
        <is>
          <t>/workspace/nebius/market/gpu_price_history.xlsx Price_History_Monthly 'Nebius | B200 | on-demand | PAYG' 2026-03 (snapshot rows in Price_History_Long; nebius.com/prices via web.archive.org)</t>
        </is>
      </c>
    </row>
    <row r="89">
      <c r="A89" t="inlineStr">
        <is>
          <t>Prices_Monthly</t>
        </is>
      </c>
      <c r="B89" t="inlineStr">
        <is>
          <t>AC6</t>
        </is>
      </c>
      <c r="C89" t="inlineStr">
        <is>
          <t>Nebius B200 on-demand</t>
        </is>
      </c>
      <c r="D89" t="inlineStr">
        <is>
          <t>2026-04</t>
        </is>
      </c>
      <c r="E89" t="n">
        <v>5.5</v>
      </c>
      <c r="F89" t="inlineStr">
        <is>
          <t>Reported</t>
        </is>
      </c>
      <c r="G89" t="inlineStr">
        <is>
          <t>/workspace/nebius/market/gpu_price_history.xlsx Price_History_Monthly 'Nebius | B200 | on-demand | PAYG' 2026-04 (snapshot rows in Price_History_Long; nebius.com/prices via web.archive.org)</t>
        </is>
      </c>
    </row>
    <row r="90">
      <c r="A90" t="inlineStr">
        <is>
          <t>Prices_Monthly</t>
        </is>
      </c>
      <c r="B90" t="inlineStr">
        <is>
          <t>AD6</t>
        </is>
      </c>
      <c r="C90" t="inlineStr">
        <is>
          <t>Nebius B200 on-demand</t>
        </is>
      </c>
      <c r="D90" t="inlineStr">
        <is>
          <t>2026-05</t>
        </is>
      </c>
      <c r="E90" t="n">
        <v>5.5</v>
      </c>
      <c r="F90" t="inlineStr">
        <is>
          <t>Reported</t>
        </is>
      </c>
      <c r="G90" t="inlineStr">
        <is>
          <t>/workspace/nebius/market/gpu_price_history.xlsx Price_History_Monthly 'Nebius | B200 | on-demand | PAYG' 2026-05 (snapshot rows in Price_History_Long; nebius.com/prices via web.archive.org)</t>
        </is>
      </c>
    </row>
    <row r="91">
      <c r="A91" t="inlineStr">
        <is>
          <t>Prices_Monthly</t>
        </is>
      </c>
      <c r="B91" t="inlineStr">
        <is>
          <t>AE6</t>
        </is>
      </c>
      <c r="C91" t="inlineStr">
        <is>
          <t>Nebius B200 on-demand</t>
        </is>
      </c>
      <c r="D91" t="inlineStr">
        <is>
          <t>2026-06</t>
        </is>
      </c>
      <c r="E91" t="n">
        <v>7.15</v>
      </c>
      <c r="F91" t="inlineStr">
        <is>
          <t>Reported</t>
        </is>
      </c>
      <c r="G91" t="inlineStr">
        <is>
          <t>/workspace/nebius/market/gpu_price_history.xlsx Price_History_Monthly 'Nebius | B200 | on-demand | PAYG' 2026-06 (snapshot rows in Price_History_Long; nebius.com/prices via web.archive.org)</t>
        </is>
      </c>
    </row>
    <row r="92">
      <c r="A92" t="inlineStr">
        <is>
          <t>Prices_Monthly</t>
        </is>
      </c>
      <c r="B92" t="inlineStr">
        <is>
          <t>B7</t>
        </is>
      </c>
      <c r="C92" t="inlineStr">
        <is>
          <t>Nebius B300 on-demand</t>
        </is>
      </c>
      <c r="D92" t="inlineStr">
        <is>
          <t>2024-01</t>
        </is>
      </c>
      <c r="E92" t="inlineStr">
        <is>
          <t>n.d.</t>
        </is>
      </c>
      <c r="F92" t="inlineStr">
        <is>
          <t>not disclosed</t>
        </is>
      </c>
      <c r="G92" t="inlineStr">
        <is>
          <t>/workspace/nebius/market/gpu_price_history.xlsx (no observation)</t>
        </is>
      </c>
      <c r="H92" t="inlineStr">
        <is>
          <t>SKU not listed / no snapshot</t>
        </is>
      </c>
    </row>
    <row r="93">
      <c r="A93" t="inlineStr">
        <is>
          <t>Prices_Monthly</t>
        </is>
      </c>
      <c r="B93" t="inlineStr">
        <is>
          <t>C7</t>
        </is>
      </c>
      <c r="C93" t="inlineStr">
        <is>
          <t>Nebius B300 on-demand</t>
        </is>
      </c>
      <c r="D93" t="inlineStr">
        <is>
          <t>2024-02</t>
        </is>
      </c>
      <c r="E93" t="inlineStr">
        <is>
          <t>n.d.</t>
        </is>
      </c>
      <c r="F93" t="inlineStr">
        <is>
          <t>not disclosed</t>
        </is>
      </c>
      <c r="G93" t="inlineStr">
        <is>
          <t>/workspace/nebius/market/gpu_price_history.xlsx (no observation)</t>
        </is>
      </c>
      <c r="H93" t="inlineStr">
        <is>
          <t>SKU not listed / no snapshot</t>
        </is>
      </c>
    </row>
    <row r="94">
      <c r="A94" t="inlineStr">
        <is>
          <t>Prices_Monthly</t>
        </is>
      </c>
      <c r="B94" t="inlineStr">
        <is>
          <t>D7</t>
        </is>
      </c>
      <c r="C94" t="inlineStr">
        <is>
          <t>Nebius B300 on-demand</t>
        </is>
      </c>
      <c r="D94" t="inlineStr">
        <is>
          <t>2024-03</t>
        </is>
      </c>
      <c r="E94" t="inlineStr">
        <is>
          <t>n.d.</t>
        </is>
      </c>
      <c r="F94" t="inlineStr">
        <is>
          <t>not disclosed</t>
        </is>
      </c>
      <c r="G94" t="inlineStr">
        <is>
          <t>/workspace/nebius/market/gpu_price_history.xlsx (no observation)</t>
        </is>
      </c>
      <c r="H94" t="inlineStr">
        <is>
          <t>SKU not listed / no snapshot</t>
        </is>
      </c>
    </row>
    <row r="95">
      <c r="A95" t="inlineStr">
        <is>
          <t>Prices_Monthly</t>
        </is>
      </c>
      <c r="B95" t="inlineStr">
        <is>
          <t>E7</t>
        </is>
      </c>
      <c r="C95" t="inlineStr">
        <is>
          <t>Nebius B300 on-demand</t>
        </is>
      </c>
      <c r="D95" t="inlineStr">
        <is>
          <t>2024-04</t>
        </is>
      </c>
      <c r="E95" t="inlineStr">
        <is>
          <t>n.d.</t>
        </is>
      </c>
      <c r="F95" t="inlineStr">
        <is>
          <t>not disclosed</t>
        </is>
      </c>
      <c r="G95" t="inlineStr">
        <is>
          <t>/workspace/nebius/market/gpu_price_history.xlsx (no observation)</t>
        </is>
      </c>
      <c r="H95" t="inlineStr">
        <is>
          <t>SKU not listed / no snapshot</t>
        </is>
      </c>
    </row>
    <row r="96">
      <c r="A96" t="inlineStr">
        <is>
          <t>Prices_Monthly</t>
        </is>
      </c>
      <c r="B96" t="inlineStr">
        <is>
          <t>F7</t>
        </is>
      </c>
      <c r="C96" t="inlineStr">
        <is>
          <t>Nebius B300 on-demand</t>
        </is>
      </c>
      <c r="D96" t="inlineStr">
        <is>
          <t>2024-05</t>
        </is>
      </c>
      <c r="E96" t="inlineStr">
        <is>
          <t>n.d.</t>
        </is>
      </c>
      <c r="F96" t="inlineStr">
        <is>
          <t>not disclosed</t>
        </is>
      </c>
      <c r="G96" t="inlineStr">
        <is>
          <t>/workspace/nebius/market/gpu_price_history.xlsx (no observation)</t>
        </is>
      </c>
      <c r="H96" t="inlineStr">
        <is>
          <t>SKU not listed / no snapshot</t>
        </is>
      </c>
    </row>
    <row r="97">
      <c r="A97" t="inlineStr">
        <is>
          <t>Prices_Monthly</t>
        </is>
      </c>
      <c r="B97" t="inlineStr">
        <is>
          <t>G7</t>
        </is>
      </c>
      <c r="C97" t="inlineStr">
        <is>
          <t>Nebius B300 on-demand</t>
        </is>
      </c>
      <c r="D97" t="inlineStr">
        <is>
          <t>2024-06</t>
        </is>
      </c>
      <c r="E97" t="inlineStr">
        <is>
          <t>n.d.</t>
        </is>
      </c>
      <c r="F97" t="inlineStr">
        <is>
          <t>not disclosed</t>
        </is>
      </c>
      <c r="G97" t="inlineStr">
        <is>
          <t>/workspace/nebius/market/gpu_price_history.xlsx (no observation)</t>
        </is>
      </c>
      <c r="H97" t="inlineStr">
        <is>
          <t>SKU not listed / no snapshot</t>
        </is>
      </c>
    </row>
    <row r="98">
      <c r="A98" t="inlineStr">
        <is>
          <t>Prices_Monthly</t>
        </is>
      </c>
      <c r="B98" t="inlineStr">
        <is>
          <t>H7</t>
        </is>
      </c>
      <c r="C98" t="inlineStr">
        <is>
          <t>Nebius B300 on-demand</t>
        </is>
      </c>
      <c r="D98" t="inlineStr">
        <is>
          <t>2024-07</t>
        </is>
      </c>
      <c r="E98" t="inlineStr">
        <is>
          <t>n.d.</t>
        </is>
      </c>
      <c r="F98" t="inlineStr">
        <is>
          <t>not disclosed</t>
        </is>
      </c>
      <c r="G98" t="inlineStr">
        <is>
          <t>/workspace/nebius/market/gpu_price_history.xlsx (no observation)</t>
        </is>
      </c>
      <c r="H98" t="inlineStr">
        <is>
          <t>SKU not listed / no snapshot</t>
        </is>
      </c>
    </row>
    <row r="99">
      <c r="A99" t="inlineStr">
        <is>
          <t>Prices_Monthly</t>
        </is>
      </c>
      <c r="B99" t="inlineStr">
        <is>
          <t>I7</t>
        </is>
      </c>
      <c r="C99" t="inlineStr">
        <is>
          <t>Nebius B300 on-demand</t>
        </is>
      </c>
      <c r="D99" t="inlineStr">
        <is>
          <t>2024-08</t>
        </is>
      </c>
      <c r="E99" t="inlineStr">
        <is>
          <t>n.d.</t>
        </is>
      </c>
      <c r="F99" t="inlineStr">
        <is>
          <t>not disclosed</t>
        </is>
      </c>
      <c r="G99" t="inlineStr">
        <is>
          <t>/workspace/nebius/market/gpu_price_history.xlsx (no observation)</t>
        </is>
      </c>
      <c r="H99" t="inlineStr">
        <is>
          <t>SKU not listed / no snapshot</t>
        </is>
      </c>
    </row>
    <row r="100">
      <c r="A100" t="inlineStr">
        <is>
          <t>Prices_Monthly</t>
        </is>
      </c>
      <c r="B100" t="inlineStr">
        <is>
          <t>J7</t>
        </is>
      </c>
      <c r="C100" t="inlineStr">
        <is>
          <t>Nebius B300 on-demand</t>
        </is>
      </c>
      <c r="D100" t="inlineStr">
        <is>
          <t>2024-09</t>
        </is>
      </c>
      <c r="E100" t="inlineStr">
        <is>
          <t>n.d.</t>
        </is>
      </c>
      <c r="F100" t="inlineStr">
        <is>
          <t>not disclosed</t>
        </is>
      </c>
      <c r="G100" t="inlineStr">
        <is>
          <t>/workspace/nebius/market/gpu_price_history.xlsx (no observation)</t>
        </is>
      </c>
      <c r="H100" t="inlineStr">
        <is>
          <t>SKU not listed / no snapshot</t>
        </is>
      </c>
    </row>
    <row r="101">
      <c r="A101" t="inlineStr">
        <is>
          <t>Prices_Monthly</t>
        </is>
      </c>
      <c r="B101" t="inlineStr">
        <is>
          <t>K7</t>
        </is>
      </c>
      <c r="C101" t="inlineStr">
        <is>
          <t>Nebius B300 on-demand</t>
        </is>
      </c>
      <c r="D101" t="inlineStr">
        <is>
          <t>2024-10</t>
        </is>
      </c>
      <c r="E101" t="inlineStr">
        <is>
          <t>n.d.</t>
        </is>
      </c>
      <c r="F101" t="inlineStr">
        <is>
          <t>not disclosed</t>
        </is>
      </c>
      <c r="G101" t="inlineStr">
        <is>
          <t>/workspace/nebius/market/gpu_price_history.xlsx (no observation)</t>
        </is>
      </c>
      <c r="H101" t="inlineStr">
        <is>
          <t>SKU not listed / no snapshot</t>
        </is>
      </c>
    </row>
    <row r="102">
      <c r="A102" t="inlineStr">
        <is>
          <t>Prices_Monthly</t>
        </is>
      </c>
      <c r="B102" t="inlineStr">
        <is>
          <t>L7</t>
        </is>
      </c>
      <c r="C102" t="inlineStr">
        <is>
          <t>Nebius B300 on-demand</t>
        </is>
      </c>
      <c r="D102" t="inlineStr">
        <is>
          <t>2024-11</t>
        </is>
      </c>
      <c r="E102" t="inlineStr">
        <is>
          <t>n.d.</t>
        </is>
      </c>
      <c r="F102" t="inlineStr">
        <is>
          <t>not disclosed</t>
        </is>
      </c>
      <c r="G102" t="inlineStr">
        <is>
          <t>/workspace/nebius/market/gpu_price_history.xlsx (no observation)</t>
        </is>
      </c>
      <c r="H102" t="inlineStr">
        <is>
          <t>SKU not listed / no snapshot</t>
        </is>
      </c>
    </row>
    <row r="103">
      <c r="A103" t="inlineStr">
        <is>
          <t>Prices_Monthly</t>
        </is>
      </c>
      <c r="B103" t="inlineStr">
        <is>
          <t>M7</t>
        </is>
      </c>
      <c r="C103" t="inlineStr">
        <is>
          <t>Nebius B300 on-demand</t>
        </is>
      </c>
      <c r="D103" t="inlineStr">
        <is>
          <t>2024-12</t>
        </is>
      </c>
      <c r="E103" t="inlineStr">
        <is>
          <t>n.d.</t>
        </is>
      </c>
      <c r="F103" t="inlineStr">
        <is>
          <t>not disclosed</t>
        </is>
      </c>
      <c r="G103" t="inlineStr">
        <is>
          <t>/workspace/nebius/market/gpu_price_history.xlsx (no observation)</t>
        </is>
      </c>
      <c r="H103" t="inlineStr">
        <is>
          <t>SKU not listed / no snapshot</t>
        </is>
      </c>
    </row>
    <row r="104">
      <c r="A104" t="inlineStr">
        <is>
          <t>Prices_Monthly</t>
        </is>
      </c>
      <c r="B104" t="inlineStr">
        <is>
          <t>N7</t>
        </is>
      </c>
      <c r="C104" t="inlineStr">
        <is>
          <t>Nebius B300 on-demand</t>
        </is>
      </c>
      <c r="D104" t="inlineStr">
        <is>
          <t>2025-01</t>
        </is>
      </c>
      <c r="E104" t="inlineStr">
        <is>
          <t>n.d.</t>
        </is>
      </c>
      <c r="F104" t="inlineStr">
        <is>
          <t>not disclosed</t>
        </is>
      </c>
      <c r="G104" t="inlineStr">
        <is>
          <t>/workspace/nebius/market/gpu_price_history.xlsx (no observation)</t>
        </is>
      </c>
      <c r="H104" t="inlineStr">
        <is>
          <t>SKU not listed / no snapshot</t>
        </is>
      </c>
    </row>
    <row r="105">
      <c r="A105" t="inlineStr">
        <is>
          <t>Prices_Monthly</t>
        </is>
      </c>
      <c r="B105" t="inlineStr">
        <is>
          <t>O7</t>
        </is>
      </c>
      <c r="C105" t="inlineStr">
        <is>
          <t>Nebius B300 on-demand</t>
        </is>
      </c>
      <c r="D105" t="inlineStr">
        <is>
          <t>2025-02</t>
        </is>
      </c>
      <c r="E105" t="inlineStr">
        <is>
          <t>n.d.</t>
        </is>
      </c>
      <c r="F105" t="inlineStr">
        <is>
          <t>not disclosed</t>
        </is>
      </c>
      <c r="G105" t="inlineStr">
        <is>
          <t>/workspace/nebius/market/gpu_price_history.xlsx (no observation)</t>
        </is>
      </c>
      <c r="H105" t="inlineStr">
        <is>
          <t>SKU not listed / no snapshot</t>
        </is>
      </c>
    </row>
    <row r="106">
      <c r="A106" t="inlineStr">
        <is>
          <t>Prices_Monthly</t>
        </is>
      </c>
      <c r="B106" t="inlineStr">
        <is>
          <t>P7</t>
        </is>
      </c>
      <c r="C106" t="inlineStr">
        <is>
          <t>Nebius B300 on-demand</t>
        </is>
      </c>
      <c r="D106" t="inlineStr">
        <is>
          <t>2025-03</t>
        </is>
      </c>
      <c r="E106" t="inlineStr">
        <is>
          <t>n.d.</t>
        </is>
      </c>
      <c r="F106" t="inlineStr">
        <is>
          <t>not disclosed</t>
        </is>
      </c>
      <c r="G106" t="inlineStr">
        <is>
          <t>/workspace/nebius/market/gpu_price_history.xlsx (no observation)</t>
        </is>
      </c>
      <c r="H106" t="inlineStr">
        <is>
          <t>SKU not listed / no snapshot</t>
        </is>
      </c>
    </row>
    <row r="107">
      <c r="A107" t="inlineStr">
        <is>
          <t>Prices_Monthly</t>
        </is>
      </c>
      <c r="B107" t="inlineStr">
        <is>
          <t>Q7</t>
        </is>
      </c>
      <c r="C107" t="inlineStr">
        <is>
          <t>Nebius B300 on-demand</t>
        </is>
      </c>
      <c r="D107" t="inlineStr">
        <is>
          <t>2025-04</t>
        </is>
      </c>
      <c r="E107" t="inlineStr">
        <is>
          <t>n.d.</t>
        </is>
      </c>
      <c r="F107" t="inlineStr">
        <is>
          <t>not disclosed</t>
        </is>
      </c>
      <c r="G107" t="inlineStr">
        <is>
          <t>/workspace/nebius/market/gpu_price_history.xlsx (no observation)</t>
        </is>
      </c>
      <c r="H107" t="inlineStr">
        <is>
          <t>SKU not listed / no snapshot</t>
        </is>
      </c>
    </row>
    <row r="108">
      <c r="A108" t="inlineStr">
        <is>
          <t>Prices_Monthly</t>
        </is>
      </c>
      <c r="B108" t="inlineStr">
        <is>
          <t>R7</t>
        </is>
      </c>
      <c r="C108" t="inlineStr">
        <is>
          <t>Nebius B300 on-demand</t>
        </is>
      </c>
      <c r="D108" t="inlineStr">
        <is>
          <t>2025-05</t>
        </is>
      </c>
      <c r="E108" t="inlineStr">
        <is>
          <t>n.d.</t>
        </is>
      </c>
      <c r="F108" t="inlineStr">
        <is>
          <t>not disclosed</t>
        </is>
      </c>
      <c r="G108" t="inlineStr">
        <is>
          <t>/workspace/nebius/market/gpu_price_history.xlsx (no observation)</t>
        </is>
      </c>
      <c r="H108" t="inlineStr">
        <is>
          <t>SKU not listed / no snapshot</t>
        </is>
      </c>
    </row>
    <row r="109">
      <c r="A109" t="inlineStr">
        <is>
          <t>Prices_Monthly</t>
        </is>
      </c>
      <c r="B109" t="inlineStr">
        <is>
          <t>S7</t>
        </is>
      </c>
      <c r="C109" t="inlineStr">
        <is>
          <t>Nebius B300 on-demand</t>
        </is>
      </c>
      <c r="D109" t="inlineStr">
        <is>
          <t>2025-06</t>
        </is>
      </c>
      <c r="E109" t="inlineStr">
        <is>
          <t>n.d.</t>
        </is>
      </c>
      <c r="F109" t="inlineStr">
        <is>
          <t>not disclosed</t>
        </is>
      </c>
      <c r="G109" t="inlineStr">
        <is>
          <t>/workspace/nebius/market/gpu_price_history.xlsx (no observation)</t>
        </is>
      </c>
      <c r="H109" t="inlineStr">
        <is>
          <t>SKU not listed / no snapshot</t>
        </is>
      </c>
    </row>
    <row r="110">
      <c r="A110" t="inlineStr">
        <is>
          <t>Prices_Monthly</t>
        </is>
      </c>
      <c r="B110" t="inlineStr">
        <is>
          <t>T7</t>
        </is>
      </c>
      <c r="C110" t="inlineStr">
        <is>
          <t>Nebius B300 on-demand</t>
        </is>
      </c>
      <c r="D110" t="inlineStr">
        <is>
          <t>2025-07</t>
        </is>
      </c>
      <c r="E110" t="inlineStr">
        <is>
          <t>n.d.</t>
        </is>
      </c>
      <c r="F110" t="inlineStr">
        <is>
          <t>not disclosed</t>
        </is>
      </c>
      <c r="G110" t="inlineStr">
        <is>
          <t>/workspace/nebius/market/gpu_price_history.xlsx (no observation)</t>
        </is>
      </c>
      <c r="H110" t="inlineStr">
        <is>
          <t>SKU not listed / no snapshot</t>
        </is>
      </c>
    </row>
    <row r="111">
      <c r="A111" t="inlineStr">
        <is>
          <t>Prices_Monthly</t>
        </is>
      </c>
      <c r="B111" t="inlineStr">
        <is>
          <t>U7</t>
        </is>
      </c>
      <c r="C111" t="inlineStr">
        <is>
          <t>Nebius B300 on-demand</t>
        </is>
      </c>
      <c r="D111" t="inlineStr">
        <is>
          <t>2025-08</t>
        </is>
      </c>
      <c r="E111" t="inlineStr">
        <is>
          <t>n.d.</t>
        </is>
      </c>
      <c r="F111" t="inlineStr">
        <is>
          <t>not disclosed</t>
        </is>
      </c>
      <c r="G111" t="inlineStr">
        <is>
          <t>/workspace/nebius/market/gpu_price_history.xlsx (no observation)</t>
        </is>
      </c>
      <c r="H111" t="inlineStr">
        <is>
          <t>SKU not listed / no snapshot</t>
        </is>
      </c>
    </row>
    <row r="112">
      <c r="A112" t="inlineStr">
        <is>
          <t>Prices_Monthly</t>
        </is>
      </c>
      <c r="B112" t="inlineStr">
        <is>
          <t>V7</t>
        </is>
      </c>
      <c r="C112" t="inlineStr">
        <is>
          <t>Nebius B300 on-demand</t>
        </is>
      </c>
      <c r="D112" t="inlineStr">
        <is>
          <t>2025-09</t>
        </is>
      </c>
      <c r="E112" t="inlineStr">
        <is>
          <t>n.d.</t>
        </is>
      </c>
      <c r="F112" t="inlineStr">
        <is>
          <t>not disclosed</t>
        </is>
      </c>
      <c r="G112" t="inlineStr">
        <is>
          <t>/workspace/nebius/market/gpu_price_history.xlsx (no observation)</t>
        </is>
      </c>
      <c r="H112" t="inlineStr">
        <is>
          <t>SKU not listed / no snapshot</t>
        </is>
      </c>
    </row>
    <row r="113">
      <c r="A113" t="inlineStr">
        <is>
          <t>Prices_Monthly</t>
        </is>
      </c>
      <c r="B113" t="inlineStr">
        <is>
          <t>W7</t>
        </is>
      </c>
      <c r="C113" t="inlineStr">
        <is>
          <t>Nebius B300 on-demand</t>
        </is>
      </c>
      <c r="D113" t="inlineStr">
        <is>
          <t>2025-10</t>
        </is>
      </c>
      <c r="E113" t="inlineStr">
        <is>
          <t>n.d.</t>
        </is>
      </c>
      <c r="F113" t="inlineStr">
        <is>
          <t>not disclosed</t>
        </is>
      </c>
      <c r="G113" t="inlineStr">
        <is>
          <t>/workspace/nebius/market/gpu_price_history.xlsx (no observation)</t>
        </is>
      </c>
      <c r="H113" t="inlineStr">
        <is>
          <t>SKU not listed / no snapshot</t>
        </is>
      </c>
    </row>
    <row r="114">
      <c r="A114" t="inlineStr">
        <is>
          <t>Prices_Monthly</t>
        </is>
      </c>
      <c r="B114" t="inlineStr">
        <is>
          <t>X7</t>
        </is>
      </c>
      <c r="C114" t="inlineStr">
        <is>
          <t>Nebius B300 on-demand</t>
        </is>
      </c>
      <c r="D114" t="inlineStr">
        <is>
          <t>2025-11</t>
        </is>
      </c>
      <c r="E114" t="inlineStr">
        <is>
          <t>n.d.</t>
        </is>
      </c>
      <c r="F114" t="inlineStr">
        <is>
          <t>not disclosed</t>
        </is>
      </c>
      <c r="G114" t="inlineStr">
        <is>
          <t>/workspace/nebius/market/gpu_price_history.xlsx (no observation)</t>
        </is>
      </c>
      <c r="H114" t="inlineStr">
        <is>
          <t>SKU not listed / no snapshot</t>
        </is>
      </c>
    </row>
    <row r="115">
      <c r="A115" t="inlineStr">
        <is>
          <t>Prices_Monthly</t>
        </is>
      </c>
      <c r="B115" t="inlineStr">
        <is>
          <t>Y7</t>
        </is>
      </c>
      <c r="C115" t="inlineStr">
        <is>
          <t>Nebius B300 on-demand</t>
        </is>
      </c>
      <c r="D115" t="inlineStr">
        <is>
          <t>2025-12</t>
        </is>
      </c>
      <c r="E115" t="inlineStr">
        <is>
          <t>n.d.</t>
        </is>
      </c>
      <c r="F115" t="inlineStr">
        <is>
          <t>not disclosed</t>
        </is>
      </c>
      <c r="G115" t="inlineStr">
        <is>
          <t>/workspace/nebius/market/gpu_price_history.xlsx (no observation)</t>
        </is>
      </c>
      <c r="H115" t="inlineStr">
        <is>
          <t>SKU not listed / no snapshot</t>
        </is>
      </c>
    </row>
    <row r="116">
      <c r="A116" t="inlineStr">
        <is>
          <t>Prices_Monthly</t>
        </is>
      </c>
      <c r="B116" t="inlineStr">
        <is>
          <t>Z7</t>
        </is>
      </c>
      <c r="C116" t="inlineStr">
        <is>
          <t>Nebius B300 on-demand</t>
        </is>
      </c>
      <c r="D116" t="inlineStr">
        <is>
          <t>2026-01</t>
        </is>
      </c>
      <c r="E116" t="inlineStr">
        <is>
          <t>n.d.</t>
        </is>
      </c>
      <c r="F116" t="inlineStr">
        <is>
          <t>not disclosed</t>
        </is>
      </c>
      <c r="G116" t="inlineStr">
        <is>
          <t>/workspace/nebius/market/gpu_price_history.xlsx (no observation)</t>
        </is>
      </c>
      <c r="H116" t="inlineStr">
        <is>
          <t>SKU not listed / no snapshot</t>
        </is>
      </c>
    </row>
    <row r="117">
      <c r="A117" t="inlineStr">
        <is>
          <t>Prices_Monthly</t>
        </is>
      </c>
      <c r="B117" t="inlineStr">
        <is>
          <t>AA7</t>
        </is>
      </c>
      <c r="C117" t="inlineStr">
        <is>
          <t>Nebius B300 on-demand</t>
        </is>
      </c>
      <c r="D117" t="inlineStr">
        <is>
          <t>2026-02</t>
        </is>
      </c>
      <c r="E117" t="inlineStr">
        <is>
          <t>n.d.</t>
        </is>
      </c>
      <c r="F117" t="inlineStr">
        <is>
          <t>not disclosed</t>
        </is>
      </c>
      <c r="G117" t="inlineStr">
        <is>
          <t>/workspace/nebius/market/gpu_price_history.xlsx (no observation)</t>
        </is>
      </c>
      <c r="H117" t="inlineStr">
        <is>
          <t>SKU not listed / no snapshot</t>
        </is>
      </c>
    </row>
    <row r="118">
      <c r="A118" t="inlineStr">
        <is>
          <t>Prices_Monthly</t>
        </is>
      </c>
      <c r="B118" t="inlineStr">
        <is>
          <t>AB7</t>
        </is>
      </c>
      <c r="C118" t="inlineStr">
        <is>
          <t>Nebius B300 on-demand</t>
        </is>
      </c>
      <c r="D118" t="inlineStr">
        <is>
          <t>2026-03</t>
        </is>
      </c>
      <c r="E118" t="inlineStr">
        <is>
          <t>n.d.</t>
        </is>
      </c>
      <c r="F118" t="inlineStr">
        <is>
          <t>not disclosed</t>
        </is>
      </c>
      <c r="G118" t="inlineStr">
        <is>
          <t>/workspace/nebius/market/gpu_price_history.xlsx (no observation)</t>
        </is>
      </c>
      <c r="H118" t="inlineStr">
        <is>
          <t>SKU not listed / no snapshot</t>
        </is>
      </c>
    </row>
    <row r="119">
      <c r="A119" t="inlineStr">
        <is>
          <t>Prices_Monthly</t>
        </is>
      </c>
      <c r="B119" t="inlineStr">
        <is>
          <t>AC7</t>
        </is>
      </c>
      <c r="C119" t="inlineStr">
        <is>
          <t>Nebius B300 on-demand</t>
        </is>
      </c>
      <c r="D119" t="inlineStr">
        <is>
          <t>2026-04</t>
        </is>
      </c>
      <c r="E119" t="n">
        <v>6.1</v>
      </c>
      <c r="F119" t="inlineStr">
        <is>
          <t>Reported</t>
        </is>
      </c>
      <c r="G119" t="inlineStr">
        <is>
          <t>/workspace/nebius/market/gpu_price_history.xlsx Price_History_Monthly 'Nebius | B300 | on-demand | PAYG' 2026-04 (snapshot rows in Price_History_Long; nebius.com/prices via web.archive.org)</t>
        </is>
      </c>
    </row>
    <row r="120">
      <c r="A120" t="inlineStr">
        <is>
          <t>Prices_Monthly</t>
        </is>
      </c>
      <c r="B120" t="inlineStr">
        <is>
          <t>AD7</t>
        </is>
      </c>
      <c r="C120" t="inlineStr">
        <is>
          <t>Nebius B300 on-demand</t>
        </is>
      </c>
      <c r="D120" t="inlineStr">
        <is>
          <t>2026-05</t>
        </is>
      </c>
      <c r="E120" t="n">
        <v>6.1</v>
      </c>
      <c r="F120" t="inlineStr">
        <is>
          <t>Reported</t>
        </is>
      </c>
      <c r="G120" t="inlineStr">
        <is>
          <t>/workspace/nebius/market/gpu_price_history.xlsx Price_History_Monthly 'Nebius | B300 | on-demand | PAYG' 2026-05 (snapshot rows in Price_History_Long; nebius.com/prices via web.archive.org)</t>
        </is>
      </c>
    </row>
    <row r="121">
      <c r="A121" t="inlineStr">
        <is>
          <t>Prices_Monthly</t>
        </is>
      </c>
      <c r="B121" t="inlineStr">
        <is>
          <t>AE7</t>
        </is>
      </c>
      <c r="C121" t="inlineStr">
        <is>
          <t>Nebius B300 on-demand</t>
        </is>
      </c>
      <c r="D121" t="inlineStr">
        <is>
          <t>2026-06</t>
        </is>
      </c>
      <c r="E121" t="n">
        <v>7.85</v>
      </c>
      <c r="F121" t="inlineStr">
        <is>
          <t>Reported</t>
        </is>
      </c>
      <c r="G121" t="inlineStr">
        <is>
          <t>/workspace/nebius/market/gpu_price_history.xlsx Price_History_Monthly 'Nebius | B300 | on-demand | PAYG' 2026-06 (snapshot rows in Price_History_Long; nebius.com/prices via web.archive.org)</t>
        </is>
      </c>
    </row>
    <row r="122">
      <c r="A122" t="inlineStr">
        <is>
          <t>KPI</t>
        </is>
      </c>
      <c r="B122" t="inlineStr">
        <is>
          <t>C5</t>
        </is>
      </c>
      <c r="C122" t="inlineStr">
        <is>
          <t>Group revenue (continuing ops, restated)</t>
        </is>
      </c>
      <c r="D122" t="inlineStr">
        <is>
          <t>Q1 2024</t>
        </is>
      </c>
      <c r="E122" t="n">
        <v>9.699999999999999</v>
      </c>
      <c r="F122" t="inlineStr">
        <is>
          <t>Derived</t>
        </is>
      </c>
      <c r="G122" t="inlineStr">
        <is>
          <t>6-K 2025-08-07 acc 0001104659-25-075028 tm2522866d1_ex99-1.htm H1 24.2 - Q2 14.5 | https://www.sec.gov/Archives/edgar/data/1513845/000110465925075028/tm2522866d1_ex99-1.htm</t>
        </is>
      </c>
      <c r="H122" t="inlineStr">
        <is>
          <t>restated ex-Toloka; orig. reported incl. Toloka 11.4</t>
        </is>
      </c>
    </row>
    <row r="123">
      <c r="A123" t="inlineStr">
        <is>
          <t>KPI</t>
        </is>
      </c>
      <c r="B123" t="inlineStr">
        <is>
          <t>D5</t>
        </is>
      </c>
      <c r="C123" t="inlineStr">
        <is>
          <t>Group revenue (continuing ops, restated)</t>
        </is>
      </c>
      <c r="D123" t="inlineStr">
        <is>
          <t>Q2 2024</t>
        </is>
      </c>
      <c r="E123" t="n">
        <v>14.5</v>
      </c>
      <c r="F123" t="inlineStr">
        <is>
          <t>Reported</t>
        </is>
      </c>
      <c r="G123" t="inlineStr">
        <is>
          <t>6-K 2025-08-07 acc 0001104659-25-075028 tm2522866d1_ex99-1.htm comparative | https://www.sec.gov/Archives/edgar/data/1513845/000110465925075028/tm2522866d1_ex99-1.htm</t>
        </is>
      </c>
    </row>
    <row r="124">
      <c r="A124" t="inlineStr">
        <is>
          <t>KPI</t>
        </is>
      </c>
      <c r="B124" t="inlineStr">
        <is>
          <t>E5</t>
        </is>
      </c>
      <c r="C124" t="inlineStr">
        <is>
          <t>Group revenue (continuing ops, restated)</t>
        </is>
      </c>
      <c r="D124" t="inlineStr">
        <is>
          <t>Q3 2024</t>
        </is>
      </c>
      <c r="E124" t="n">
        <v>32.1</v>
      </c>
      <c r="F124" t="inlineStr">
        <is>
          <t>Reported</t>
        </is>
      </c>
      <c r="G124" t="inlineStr">
        <is>
          <t>6-K 2025-11-12 acc 0001104659-25-109806 tm2530882d1_ex99-1.htm comparative | https://www.sec.gov/Archives/edgar/data/1513845/000110465925109806/tm2530882d1_ex99-1.htm</t>
        </is>
      </c>
      <c r="H124" t="inlineStr">
        <is>
          <t>orig. 43.3 incl. Toloka</t>
        </is>
      </c>
    </row>
    <row r="125">
      <c r="A125" t="inlineStr">
        <is>
          <t>KPI</t>
        </is>
      </c>
      <c r="B125" t="inlineStr">
        <is>
          <t>F5</t>
        </is>
      </c>
      <c r="C125" t="inlineStr">
        <is>
          <t>Group revenue (continuing ops, restated)</t>
        </is>
      </c>
      <c r="D125" t="inlineStr">
        <is>
          <t>Q4 2024</t>
        </is>
      </c>
      <c r="E125" t="n">
        <v>35.2</v>
      </c>
      <c r="F125" t="inlineStr">
        <is>
          <t>Reported</t>
        </is>
      </c>
      <c r="G125" t="inlineStr">
        <is>
          <t>6-K 2026-02-12 acc 0001104659-26-013946 tm266173d1_ex99-1.htm comparative | https://www.sec.gov/Archives/edgar/data/1513845/000110465926013946/tm266173d1_ex99-1.htm</t>
        </is>
      </c>
      <c r="H125" t="inlineStr">
        <is>
          <t>orig. 37.9 incl. Toloka</t>
        </is>
      </c>
    </row>
    <row r="126">
      <c r="A126" t="inlineStr">
        <is>
          <t>KPI</t>
        </is>
      </c>
      <c r="B126" t="inlineStr">
        <is>
          <t>G5</t>
        </is>
      </c>
      <c r="C126" t="inlineStr">
        <is>
          <t>Group revenue (continuing ops, restated)</t>
        </is>
      </c>
      <c r="D126" t="inlineStr">
        <is>
          <t>Q1 2025</t>
        </is>
      </c>
      <c r="E126" t="n">
        <v>50.9</v>
      </c>
      <c r="F126" t="inlineStr">
        <is>
          <t>Reported</t>
        </is>
      </c>
      <c r="G126" t="inlineStr">
        <is>
          <t>6-K 2026-05-13 acc 0001104659-26-059872 tm2614392d1_ex99-1.htm comparative | https://www.sec.gov/Archives/edgar/data/1513845/000110465926059872/tm2614392d1_ex99-1.htm</t>
        </is>
      </c>
      <c r="H126" t="inlineStr">
        <is>
          <t>orig. 55.3 incl. Toloka</t>
        </is>
      </c>
    </row>
    <row r="127">
      <c r="A127" t="inlineStr">
        <is>
          <t>KPI</t>
        </is>
      </c>
      <c r="B127" t="inlineStr">
        <is>
          <t>H5</t>
        </is>
      </c>
      <c r="C127" t="inlineStr">
        <is>
          <t>Group revenue (continuing ops, restated)</t>
        </is>
      </c>
      <c r="D127" t="inlineStr">
        <is>
          <t>Q2 2025</t>
        </is>
      </c>
      <c r="E127" t="n">
        <v>105.1</v>
      </c>
      <c r="F127" t="inlineStr">
        <is>
          <t>Reported</t>
        </is>
      </c>
      <c r="G127" t="inlineStr">
        <is>
          <t>6-K 2025-08-07 acc 0001104659-25-075028 tm2522866d1_ex99-1.htm | https://www.sec.gov/Archives/edgar/data/1513845/000110465925075028/tm2522866d1_ex99-1.htm</t>
        </is>
      </c>
    </row>
    <row r="128">
      <c r="A128" t="inlineStr">
        <is>
          <t>KPI</t>
        </is>
      </c>
      <c r="B128" t="inlineStr">
        <is>
          <t>I5</t>
        </is>
      </c>
      <c r="C128" t="inlineStr">
        <is>
          <t>Group revenue (continuing ops, restated)</t>
        </is>
      </c>
      <c r="D128" t="inlineStr">
        <is>
          <t>Q3 2025</t>
        </is>
      </c>
      <c r="E128" t="n">
        <v>146.1</v>
      </c>
      <c r="F128" t="inlineStr">
        <is>
          <t>Reported</t>
        </is>
      </c>
      <c r="G128" t="inlineStr">
        <is>
          <t>6-K 2025-11-12 acc 0001104659-25-109806 tm2530882d1_ex99-1.htm | https://www.sec.gov/Archives/edgar/data/1513845/000110465925109806/tm2530882d1_ex99-1.htm</t>
        </is>
      </c>
    </row>
    <row r="129">
      <c r="A129" t="inlineStr">
        <is>
          <t>KPI</t>
        </is>
      </c>
      <c r="B129" t="inlineStr">
        <is>
          <t>J5</t>
        </is>
      </c>
      <c r="C129" t="inlineStr">
        <is>
          <t>Group revenue (continuing ops, restated)</t>
        </is>
      </c>
      <c r="D129" t="inlineStr">
        <is>
          <t>Q4 2025</t>
        </is>
      </c>
      <c r="E129" t="n">
        <v>227.7</v>
      </c>
      <c r="F129" t="inlineStr">
        <is>
          <t>Reported</t>
        </is>
      </c>
      <c r="G129" t="inlineStr">
        <is>
          <t>6-K 2026-02-12 acc 0001104659-26-013946 tm266173d1_ex99-1.htm | https://www.sec.gov/Archives/edgar/data/1513845/000110465926013946/tm266173d1_ex99-1.htm</t>
        </is>
      </c>
    </row>
    <row r="130">
      <c r="A130" t="inlineStr">
        <is>
          <t>KPI</t>
        </is>
      </c>
      <c r="B130" t="inlineStr">
        <is>
          <t>K5</t>
        </is>
      </c>
      <c r="C130" t="inlineStr">
        <is>
          <t>Group revenue (continuing ops, restated)</t>
        </is>
      </c>
      <c r="D130" t="inlineStr">
        <is>
          <t>Q1 2026</t>
        </is>
      </c>
      <c r="E130" t="n">
        <v>399</v>
      </c>
      <c r="F130" t="inlineStr">
        <is>
          <t>Reported</t>
        </is>
      </c>
      <c r="G130" t="inlineStr">
        <is>
          <t>6-K 2026-05-13 acc 0001104659-26-059872 tm2614392d1_ex99-1.htm | https://www.sec.gov/Archives/edgar/data/1513845/000110465926059872/tm2614392d1_ex99-1.htm</t>
        </is>
      </c>
    </row>
    <row r="131">
      <c r="A131" t="inlineStr">
        <is>
          <t>KPI</t>
        </is>
      </c>
      <c r="B131" t="inlineStr">
        <is>
          <t>L5</t>
        </is>
      </c>
      <c r="C131" t="inlineStr">
        <is>
          <t>Group revenue (continuing ops, restated)</t>
        </is>
      </c>
      <c r="D131" t="inlineStr">
        <is>
          <t>Q2 2026</t>
        </is>
      </c>
      <c r="E131" t="n">
        <v>582.3</v>
      </c>
      <c r="F131" t="inlineStr">
        <is>
          <t>Reported</t>
        </is>
      </c>
      <c r="G131" t="inlineStr">
        <is>
          <t>6-K 2026-08-12 acc 0001104659-26-094568 tm2622968d1_ex99-1.htm | https://www.sec.gov/Archives/edgar/data/1513845/000110465926094568/tm2622968d1_ex99-1.htm</t>
        </is>
      </c>
    </row>
    <row r="132">
      <c r="A132" t="inlineStr">
        <is>
          <t>KPI</t>
        </is>
      </c>
      <c r="B132" t="inlineStr">
        <is>
          <t>C6</t>
        </is>
      </c>
      <c r="C132" t="inlineStr">
        <is>
          <t>Nebius AI cloud segment revenue</t>
        </is>
      </c>
      <c r="D132" t="inlineStr">
        <is>
          <t>Q1 2024</t>
        </is>
      </c>
      <c r="E132" t="inlineStr">
        <is>
          <t>n.d.</t>
        </is>
      </c>
      <c r="F132" t="inlineStr">
        <is>
          <t>not disclosed</t>
        </is>
      </c>
      <c r="G132" t="inlineStr">
        <is>
          <t>6-K 2025-09-10 acc 0001104659-25-088860 tm2525580d2_ex99-1.htm | https://www.sec.gov/Archives/edgar/data/1513845/000110465925088860/tm2525580d2_ex99-1.htm</t>
        </is>
      </c>
      <c r="H132" t="inlineStr">
        <is>
          <t xml:space="preserve"> ; H1-24 total 17.4 (H1FS25); quarterly split not disclosed</t>
        </is>
      </c>
    </row>
    <row r="133">
      <c r="A133" t="inlineStr">
        <is>
          <t>KPI</t>
        </is>
      </c>
      <c r="B133" t="inlineStr">
        <is>
          <t>D6</t>
        </is>
      </c>
      <c r="C133" t="inlineStr">
        <is>
          <t>Nebius AI cloud segment revenue</t>
        </is>
      </c>
      <c r="D133" t="inlineStr">
        <is>
          <t>Q2 2024</t>
        </is>
      </c>
      <c r="E133" t="inlineStr">
        <is>
          <t>n.d.</t>
        </is>
      </c>
      <c r="F133" t="inlineStr">
        <is>
          <t>not disclosed</t>
        </is>
      </c>
      <c r="G133" t="inlineStr">
        <is>
          <t>6-K 2025-09-10 acc 0001104659-25-088860 tm2525580d2_ex99-1.htm | https://www.sec.gov/Archives/edgar/data/1513845/000110465925088860/tm2525580d2_ex99-1.htm</t>
        </is>
      </c>
      <c r="H133" t="inlineStr">
        <is>
          <t xml:space="preserve"> ; H1-24 total 17.4</t>
        </is>
      </c>
    </row>
    <row r="134">
      <c r="A134" t="inlineStr">
        <is>
          <t>KPI</t>
        </is>
      </c>
      <c r="B134" t="inlineStr">
        <is>
          <t>E6</t>
        </is>
      </c>
      <c r="C134" t="inlineStr">
        <is>
          <t>Nebius AI cloud segment revenue</t>
        </is>
      </c>
      <c r="D134" t="inlineStr">
        <is>
          <t>Q3 2024</t>
        </is>
      </c>
      <c r="E134" t="n">
        <v>27.1</v>
      </c>
      <c r="F134" t="inlineStr">
        <is>
          <t>Derived</t>
        </is>
      </c>
      <c r="G134" t="inlineStr">
        <is>
          <t>6-K 2025-11-13 acc 0001104659-25-110831 tm2531034d1_ex99-1.htm 9M 44.5 - H1 17.4; also reported Q3 comparative | https://www.sec.gov/Archives/edgar/data/1513845/000110465925110831/tm2531034d1_ex99-1.htm</t>
        </is>
      </c>
      <c r="H134" t="inlineStr">
        <is>
          <t>reported 27.1</t>
        </is>
      </c>
    </row>
    <row r="135">
      <c r="A135" t="inlineStr">
        <is>
          <t>KPI</t>
        </is>
      </c>
      <c r="B135" t="inlineStr">
        <is>
          <t>F6</t>
        </is>
      </c>
      <c r="C135" t="inlineStr">
        <is>
          <t>Nebius AI cloud segment revenue</t>
        </is>
      </c>
      <c r="D135" t="inlineStr">
        <is>
          <t>Q4 2024</t>
        </is>
      </c>
      <c r="E135" t="n">
        <v>23.8</v>
      </c>
      <c r="F135" t="inlineStr">
        <is>
          <t>Derived</t>
        </is>
      </c>
      <c r="G135" t="inlineStr">
        <is>
          <t>20-F 2026-04-30 acc 0001104659-26-052948 nbis-20251231x20f.htm FY24 68.3 - 9M 44.5 | https://www.sec.gov/Archives/edgar/data/1513845/000110465926052948/nbis-20251231x20f.htm</t>
        </is>
      </c>
    </row>
    <row r="136">
      <c r="A136" t="inlineStr">
        <is>
          <t>KPI</t>
        </is>
      </c>
      <c r="B136" t="inlineStr">
        <is>
          <t>G6</t>
        </is>
      </c>
      <c r="C136" t="inlineStr">
        <is>
          <t>Nebius AI cloud segment revenue</t>
        </is>
      </c>
      <c r="D136" t="inlineStr">
        <is>
          <t>Q1 2025</t>
        </is>
      </c>
      <c r="E136" t="n">
        <v>41.4</v>
      </c>
      <c r="F136" t="inlineStr">
        <is>
          <t>Reported</t>
        </is>
      </c>
      <c r="G136" t="inlineStr">
        <is>
          <t>6-K 2026-05-20 acc 0001104659-26-064092 nbis-20260331xex99d2.htm Note segments | https://www.sec.gov/Archives/edgar/data/1513845/000110465926064092/nbis-20260331xex99d2.htm</t>
        </is>
      </c>
    </row>
    <row r="137">
      <c r="A137" t="inlineStr">
        <is>
          <t>KPI</t>
        </is>
      </c>
      <c r="B137" t="inlineStr">
        <is>
          <t>H6</t>
        </is>
      </c>
      <c r="C137" t="inlineStr">
        <is>
          <t>Nebius AI cloud segment revenue</t>
        </is>
      </c>
      <c r="D137" t="inlineStr">
        <is>
          <t>Q2 2025</t>
        </is>
      </c>
      <c r="E137" t="n">
        <v>93.7</v>
      </c>
      <c r="F137" t="inlineStr">
        <is>
          <t>Reported</t>
        </is>
      </c>
      <c r="G137" t="inlineStr">
        <is>
          <t>6-K 2026-08-12 acc 0001104659-26-094844 nbis-20260812xex99d2.htm Note 15 | https://www.sec.gov/Archives/edgar/data/1513845/000110465926094844/nbis-20260812xex99d2.htm</t>
        </is>
      </c>
    </row>
    <row r="138">
      <c r="A138" t="inlineStr">
        <is>
          <t>KPI</t>
        </is>
      </c>
      <c r="B138" t="inlineStr">
        <is>
          <t>I6</t>
        </is>
      </c>
      <c r="C138" t="inlineStr">
        <is>
          <t>Nebius AI cloud segment revenue</t>
        </is>
      </c>
      <c r="D138" t="inlineStr">
        <is>
          <t>Q3 2025</t>
        </is>
      </c>
      <c r="E138" t="n">
        <v>131.1</v>
      </c>
      <c r="F138" t="inlineStr">
        <is>
          <t>Reported</t>
        </is>
      </c>
      <c r="G138" t="inlineStr">
        <is>
          <t>6-K 2025-11-13 acc 0001104659-25-110831 tm2531034d1_ex99-1.htm | https://www.sec.gov/Archives/edgar/data/1513845/000110465925110831/tm2531034d1_ex99-1.htm</t>
        </is>
      </c>
    </row>
    <row r="139">
      <c r="A139" t="inlineStr">
        <is>
          <t>KPI</t>
        </is>
      </c>
      <c r="B139" t="inlineStr">
        <is>
          <t>J6</t>
        </is>
      </c>
      <c r="C139" t="inlineStr">
        <is>
          <t>Nebius AI cloud segment revenue</t>
        </is>
      </c>
      <c r="D139" t="inlineStr">
        <is>
          <t>Q4 2025</t>
        </is>
      </c>
      <c r="E139" t="n">
        <v>214.1</v>
      </c>
      <c r="F139" t="inlineStr">
        <is>
          <t>Derived</t>
        </is>
      </c>
      <c r="G139" t="inlineStr">
        <is>
          <t>20-F 2026-04-30 acc 0001104659-26-052948 nbis-20251231x20f.htm FY25 480.3 - 9M 266.2 | https://www.sec.gov/Archives/edgar/data/1513845/000110465926052948/nbis-20251231x20f.htm</t>
        </is>
      </c>
    </row>
    <row r="140">
      <c r="A140" t="inlineStr">
        <is>
          <t>KPI</t>
        </is>
      </c>
      <c r="B140" t="inlineStr">
        <is>
          <t>K6</t>
        </is>
      </c>
      <c r="C140" t="inlineStr">
        <is>
          <t>Nebius AI cloud segment revenue</t>
        </is>
      </c>
      <c r="D140" t="inlineStr">
        <is>
          <t>Q1 2026</t>
        </is>
      </c>
      <c r="E140" t="n">
        <v>389.7</v>
      </c>
      <c r="F140" t="inlineStr">
        <is>
          <t>Reported</t>
        </is>
      </c>
      <c r="G140" t="inlineStr">
        <is>
          <t>6-K 2026-05-20 acc 0001104659-26-064092 nbis-20260331xex99d2.htm | https://www.sec.gov/Archives/edgar/data/1513845/000110465926064092/nbis-20260331xex99d2.htm</t>
        </is>
      </c>
    </row>
    <row r="141">
      <c r="A141" t="inlineStr">
        <is>
          <t>KPI</t>
        </is>
      </c>
      <c r="B141" t="inlineStr">
        <is>
          <t>L6</t>
        </is>
      </c>
      <c r="C141" t="inlineStr">
        <is>
          <t>Nebius AI cloud segment revenue</t>
        </is>
      </c>
      <c r="D141" t="inlineStr">
        <is>
          <t>Q2 2026</t>
        </is>
      </c>
      <c r="E141" t="n">
        <v>574.9</v>
      </c>
      <c r="F141" t="inlineStr">
        <is>
          <t>Reported</t>
        </is>
      </c>
      <c r="G141" t="inlineStr">
        <is>
          <t>6-K 2026-08-12 acc 0001104659-26-094844 nbis-20260812xex99d2.htm Note 15 | https://www.sec.gov/Archives/edgar/data/1513845/000110465926094844/nbis-20260812xex99d2.htm</t>
        </is>
      </c>
    </row>
    <row r="142">
      <c r="A142" t="inlineStr">
        <is>
          <t>KPI</t>
        </is>
      </c>
      <c r="B142" t="inlineStr">
        <is>
          <t>C7</t>
        </is>
      </c>
      <c r="C142" t="inlineStr">
        <is>
          <t>ARR (as stated; last-month revenue x12)</t>
        </is>
      </c>
      <c r="D142" t="inlineStr">
        <is>
          <t>Q1 2024</t>
        </is>
      </c>
      <c r="E142" t="n">
        <v>32</v>
      </c>
      <c r="F142" t="inlineStr">
        <is>
          <t>Reported</t>
        </is>
      </c>
      <c r="G142" t="inlineStr">
        <is>
          <t>6-K 2024-10-18 acc 0001104659-24-109850 tm2426436d1_ex99-1.htm ARR chart (1Q24) | https://www.sec.gov/Archives/edgar/data/1513845/000110465924109850/tm2426436d1_ex99-1.htm</t>
        </is>
      </c>
      <c r="H142" t="inlineStr">
        <is>
          <t>investor presentation</t>
        </is>
      </c>
    </row>
    <row r="143">
      <c r="A143" t="inlineStr">
        <is>
          <t>KPI</t>
        </is>
      </c>
      <c r="B143" t="inlineStr">
        <is>
          <t>D7</t>
        </is>
      </c>
      <c r="C143" t="inlineStr">
        <is>
          <t>ARR (as stated; last-month revenue x12)</t>
        </is>
      </c>
      <c r="D143" t="inlineStr">
        <is>
          <t>Q2 2024</t>
        </is>
      </c>
      <c r="E143" t="n">
        <v>45</v>
      </c>
      <c r="F143" t="inlineStr">
        <is>
          <t>Reported</t>
        </is>
      </c>
      <c r="G143" t="inlineStr">
        <is>
          <t>6-K 2024-10-18 acc 0001104659-24-109850 tm2426436d1_ex99-1.htm ARR chart (2Q24) | https://www.sec.gov/Archives/edgar/data/1513845/000110465924109850/tm2426436d1_ex99-1.htm</t>
        </is>
      </c>
      <c r="H143" t="inlineStr">
        <is>
          <t>Q2-24 PR: "&gt;$80M as of July 2024"</t>
        </is>
      </c>
    </row>
    <row r="144">
      <c r="A144" t="inlineStr">
        <is>
          <t>KPI</t>
        </is>
      </c>
      <c r="B144" t="inlineStr">
        <is>
          <t>E7</t>
        </is>
      </c>
      <c r="C144" t="inlineStr">
        <is>
          <t>ARR (as stated; last-month revenue x12)</t>
        </is>
      </c>
      <c r="D144" t="inlineStr">
        <is>
          <t>Q3 2024</t>
        </is>
      </c>
      <c r="E144" t="n">
        <v>121</v>
      </c>
      <c r="F144" t="inlineStr">
        <is>
          <t>Reported</t>
        </is>
      </c>
      <c r="G144" t="inlineStr">
        <is>
          <t>6-K 2024-10-18 acc 0001104659-24-109850 tm2426436d1_ex99-1.htm ARR chart (3Q24) | https://www.sec.gov/Archives/edgar/data/1513845/000110465924109850/tm2426436d1_ex99-1.htm</t>
        </is>
      </c>
      <c r="H144" t="inlineStr">
        <is>
          <t>Q3-24 PR: "surpassing $120M as of September 2024"</t>
        </is>
      </c>
    </row>
    <row r="145">
      <c r="A145" t="inlineStr">
        <is>
          <t>KPI</t>
        </is>
      </c>
      <c r="B145" t="inlineStr">
        <is>
          <t>F7</t>
        </is>
      </c>
      <c r="C145" t="inlineStr">
        <is>
          <t>ARR (as stated; last-month revenue x12)</t>
        </is>
      </c>
      <c r="D145" t="inlineStr">
        <is>
          <t>Q4 2024</t>
        </is>
      </c>
      <c r="E145" t="n">
        <v>90</v>
      </c>
      <c r="F145" t="inlineStr">
        <is>
          <t>Reported</t>
        </is>
      </c>
      <c r="G145" t="inlineStr">
        <is>
          <t>6-K 2025-02-20 acc 0001104659-25-015480 tm257185d1_ex99-1.htm highlights | https://www.sec.gov/Archives/edgar/data/1513845/000110465925015480/tm257185d1_ex99-1.htm</t>
        </is>
      </c>
      <c r="H145" t="inlineStr">
        <is>
          <t>"December 2024 ARR ... $90 million, below previous guidance"</t>
        </is>
      </c>
    </row>
    <row r="146">
      <c r="A146" t="inlineStr">
        <is>
          <t>KPI</t>
        </is>
      </c>
      <c r="B146" t="inlineStr">
        <is>
          <t>G7</t>
        </is>
      </c>
      <c r="C146" t="inlineStr">
        <is>
          <t>ARR (as stated; last-month revenue x12)</t>
        </is>
      </c>
      <c r="D146" t="inlineStr">
        <is>
          <t>Q1 2025</t>
        </is>
      </c>
      <c r="E146" t="n">
        <v>249</v>
      </c>
      <c r="F146" t="inlineStr">
        <is>
          <t>Reported</t>
        </is>
      </c>
      <c r="G146" t="inlineStr">
        <is>
          <t>6-K 2025-05-20 acc 0001104659-25-050975 tm2515580d1_ex99-2.htm | https://www.sec.gov/Archives/edgar/data/1513845/000110465925050975/tm2515580d1_ex99-2.htm</t>
        </is>
      </c>
    </row>
    <row r="147">
      <c r="A147" t="inlineStr">
        <is>
          <t>KPI</t>
        </is>
      </c>
      <c r="B147" t="inlineStr">
        <is>
          <t>H7</t>
        </is>
      </c>
      <c r="C147" t="inlineStr">
        <is>
          <t>ARR (as stated; last-month revenue x12)</t>
        </is>
      </c>
      <c r="D147" t="inlineStr">
        <is>
          <t>Q2 2025</t>
        </is>
      </c>
      <c r="E147" t="n">
        <v>430</v>
      </c>
      <c r="F147" t="inlineStr">
        <is>
          <t>Reported</t>
        </is>
      </c>
      <c r="G147" t="inlineStr">
        <is>
          <t>6-K 2025-08-07 acc 0001104659-25-075028 tm2522866d1_ex99-1.htm highlights | https://www.sec.gov/Archives/edgar/data/1513845/000110465925075028/tm2522866d1_ex99-1.htm</t>
        </is>
      </c>
    </row>
    <row r="148">
      <c r="A148" t="inlineStr">
        <is>
          <t>KPI</t>
        </is>
      </c>
      <c r="B148" t="inlineStr">
        <is>
          <t>I7</t>
        </is>
      </c>
      <c r="C148" t="inlineStr">
        <is>
          <t>ARR (as stated; last-month revenue x12)</t>
        </is>
      </c>
      <c r="D148" t="inlineStr">
        <is>
          <t>Q3 2025</t>
        </is>
      </c>
      <c r="E148" t="n">
        <v>551</v>
      </c>
      <c r="F148" t="inlineStr">
        <is>
          <t>Reported</t>
        </is>
      </c>
      <c r="G148" t="inlineStr">
        <is>
          <t>6-K 2025-11-12 acc 0001104659-25-109806 tm2530882d1_ex99-2.htm "approximately $551 million" | https://www.sec.gov/Archives/edgar/data/1513845/000110465925109806/tm2530882d1_ex99-2.htm</t>
        </is>
      </c>
    </row>
    <row r="149">
      <c r="A149" t="inlineStr">
        <is>
          <t>KPI</t>
        </is>
      </c>
      <c r="B149" t="inlineStr">
        <is>
          <t>J7</t>
        </is>
      </c>
      <c r="C149" t="inlineStr">
        <is>
          <t>ARR (as stated; last-month revenue x12)</t>
        </is>
      </c>
      <c r="D149" t="inlineStr">
        <is>
          <t>Q4 2025</t>
        </is>
      </c>
      <c r="E149" t="n">
        <v>1250</v>
      </c>
      <c r="F149" t="inlineStr">
        <is>
          <t>Reported</t>
        </is>
      </c>
      <c r="G149" t="inlineStr">
        <is>
          <t>6-K 2026-02-12 acc 0001104659-26-013946 tm266173d1_ex99-2.htm | https://www.sec.gov/Archives/edgar/data/1513845/000110465926013946/tm266173d1_ex99-2.htm</t>
        </is>
      </c>
    </row>
    <row r="150">
      <c r="A150" t="inlineStr">
        <is>
          <t>KPI</t>
        </is>
      </c>
      <c r="B150" t="inlineStr">
        <is>
          <t>K7</t>
        </is>
      </c>
      <c r="C150" t="inlineStr">
        <is>
          <t>ARR (as stated; last-month revenue x12)</t>
        </is>
      </c>
      <c r="D150" t="inlineStr">
        <is>
          <t>Q1 2026</t>
        </is>
      </c>
      <c r="E150" t="n">
        <v>1920</v>
      </c>
      <c r="F150" t="inlineStr">
        <is>
          <t>Reported</t>
        </is>
      </c>
      <c r="G150" t="inlineStr">
        <is>
          <t>6-K 2026-05-13 acc 0001104659-26-059872 tm2614392d1_ex99-2.htm p.9 ($1.92B) | https://www.sec.gov/Archives/edgar/data/1513845/000110465926059872/tm2614392d1_ex99-2.htm</t>
        </is>
      </c>
    </row>
    <row r="151">
      <c r="A151" t="inlineStr">
        <is>
          <t>KPI</t>
        </is>
      </c>
      <c r="B151" t="inlineStr">
        <is>
          <t>L7</t>
        </is>
      </c>
      <c r="C151" t="inlineStr">
        <is>
          <t>ARR (as stated; last-month revenue x12)</t>
        </is>
      </c>
      <c r="D151" t="inlineStr">
        <is>
          <t>Q2 2026</t>
        </is>
      </c>
      <c r="E151" t="n">
        <v>3000</v>
      </c>
      <c r="F151" t="inlineStr">
        <is>
          <t>Reported</t>
        </is>
      </c>
      <c r="G151" t="inlineStr">
        <is>
          <t>6-K 2026-08-12 acc 0001104659-26-094568 tm2622968d1_ex99-2.htm p.9 | https://www.sec.gov/Archives/edgar/data/1513845/000110465926094568/tm2622968d1_ex99-2.htm</t>
        </is>
      </c>
    </row>
    <row r="152">
      <c r="A152" t="inlineStr">
        <is>
          <t>KPI</t>
        </is>
      </c>
      <c r="B152" t="inlineStr">
        <is>
          <t>C8</t>
        </is>
      </c>
      <c r="C152" t="inlineStr">
        <is>
          <t>Adjusted EBITDA - group</t>
        </is>
      </c>
      <c r="D152" t="inlineStr">
        <is>
          <t>Q1 2024</t>
        </is>
      </c>
      <c r="E152" t="n">
        <v>-58.4</v>
      </c>
      <c r="F152" t="inlineStr">
        <is>
          <t>Derived</t>
        </is>
      </c>
      <c r="G152" t="inlineStr">
        <is>
          <t>6-K 2025-08-07 acc 0001104659-25-075028 tm2522866d1_ex99-1.htm H1 -116.5 - Q2 -58.1 | https://www.sec.gov/Archives/edgar/data/1513845/000110465925075028/tm2522866d1_ex99-1.htm</t>
        </is>
      </c>
      <c r="H152" t="inlineStr">
        <is>
          <t>restated basis</t>
        </is>
      </c>
    </row>
    <row r="153">
      <c r="A153" t="inlineStr">
        <is>
          <t>KPI</t>
        </is>
      </c>
      <c r="B153" t="inlineStr">
        <is>
          <t>D8</t>
        </is>
      </c>
      <c r="C153" t="inlineStr">
        <is>
          <t>Adjusted EBITDA - group</t>
        </is>
      </c>
      <c r="D153" t="inlineStr">
        <is>
          <t>Q2 2024</t>
        </is>
      </c>
      <c r="E153" t="n">
        <v>-58.1</v>
      </c>
      <c r="F153" t="inlineStr">
        <is>
          <t>Reported</t>
        </is>
      </c>
      <c r="G153" t="inlineStr">
        <is>
          <t>6-K 2025-08-07 acc 0001104659-25-075028 tm2522866d1_ex99-1.htm | https://www.sec.gov/Archives/edgar/data/1513845/000110465925075028/tm2522866d1_ex99-1.htm</t>
        </is>
      </c>
    </row>
    <row r="154">
      <c r="A154" t="inlineStr">
        <is>
          <t>KPI</t>
        </is>
      </c>
      <c r="B154" t="inlineStr">
        <is>
          <t>E8</t>
        </is>
      </c>
      <c r="C154" t="inlineStr">
        <is>
          <t>Adjusted EBITDA - group</t>
        </is>
      </c>
      <c r="D154" t="inlineStr">
        <is>
          <t>Q3 2024</t>
        </is>
      </c>
      <c r="E154" t="n">
        <v>-45.9</v>
      </c>
      <c r="F154" t="inlineStr">
        <is>
          <t>Reported</t>
        </is>
      </c>
      <c r="G154" t="inlineStr">
        <is>
          <t>6-K 2025-11-12 acc 0001104659-25-109806 tm2530882d1_ex99-1.htm | https://www.sec.gov/Archives/edgar/data/1513845/000110465925109806/tm2530882d1_ex99-1.htm</t>
        </is>
      </c>
    </row>
    <row r="155">
      <c r="A155" t="inlineStr">
        <is>
          <t>KPI</t>
        </is>
      </c>
      <c r="B155" t="inlineStr">
        <is>
          <t>F8</t>
        </is>
      </c>
      <c r="C155" t="inlineStr">
        <is>
          <t>Adjusted EBITDA - group</t>
        </is>
      </c>
      <c r="D155" t="inlineStr">
        <is>
          <t>Q4 2024</t>
        </is>
      </c>
      <c r="E155" t="n">
        <v>-63.9</v>
      </c>
      <c r="F155" t="inlineStr">
        <is>
          <t>Reported</t>
        </is>
      </c>
      <c r="G155" t="inlineStr">
        <is>
          <t>6-K 2026-02-12 acc 0001104659-26-013946 tm266173d1_ex99-1.htm | https://www.sec.gov/Archives/edgar/data/1513845/000110465926013946/tm266173d1_ex99-1.htm</t>
        </is>
      </c>
    </row>
    <row r="156">
      <c r="A156" t="inlineStr">
        <is>
          <t>KPI</t>
        </is>
      </c>
      <c r="B156" t="inlineStr">
        <is>
          <t>G8</t>
        </is>
      </c>
      <c r="C156" t="inlineStr">
        <is>
          <t>Adjusted EBITDA - group</t>
        </is>
      </c>
      <c r="D156" t="inlineStr">
        <is>
          <t>Q1 2025</t>
        </is>
      </c>
      <c r="E156" t="n">
        <v>-53.7</v>
      </c>
      <c r="F156" t="inlineStr">
        <is>
          <t>Reported</t>
        </is>
      </c>
      <c r="G156" t="inlineStr">
        <is>
          <t>6-K 2026-05-13 acc 0001104659-26-059872 tm2614392d1_ex99-1.htm | https://www.sec.gov/Archives/edgar/data/1513845/000110465926059872/tm2614392d1_ex99-1.htm</t>
        </is>
      </c>
    </row>
    <row r="157">
      <c r="A157" t="inlineStr">
        <is>
          <t>KPI</t>
        </is>
      </c>
      <c r="B157" t="inlineStr">
        <is>
          <t>H8</t>
        </is>
      </c>
      <c r="C157" t="inlineStr">
        <is>
          <t>Adjusted EBITDA - group</t>
        </is>
      </c>
      <c r="D157" t="inlineStr">
        <is>
          <t>Q2 2025</t>
        </is>
      </c>
      <c r="E157" t="n">
        <v>-21</v>
      </c>
      <c r="F157" t="inlineStr">
        <is>
          <t>Reported</t>
        </is>
      </c>
      <c r="G157" t="inlineStr">
        <is>
          <t>6-K 2025-08-07 acc 0001104659-25-075028 tm2522866d1_ex99-1.htm | https://www.sec.gov/Archives/edgar/data/1513845/000110465925075028/tm2522866d1_ex99-1.htm</t>
        </is>
      </c>
    </row>
    <row r="158">
      <c r="A158" t="inlineStr">
        <is>
          <t>KPI</t>
        </is>
      </c>
      <c r="B158" t="inlineStr">
        <is>
          <t>I8</t>
        </is>
      </c>
      <c r="C158" t="inlineStr">
        <is>
          <t>Adjusted EBITDA - group</t>
        </is>
      </c>
      <c r="D158" t="inlineStr">
        <is>
          <t>Q3 2025</t>
        </is>
      </c>
      <c r="E158" t="n">
        <v>-5.2</v>
      </c>
      <c r="F158" t="inlineStr">
        <is>
          <t>Reported</t>
        </is>
      </c>
      <c r="G158" t="inlineStr">
        <is>
          <t>6-K 2025-11-12 acc 0001104659-25-109806 tm2530882d1_ex99-1.htm | https://www.sec.gov/Archives/edgar/data/1513845/000110465925109806/tm2530882d1_ex99-1.htm</t>
        </is>
      </c>
    </row>
    <row r="159">
      <c r="A159" t="inlineStr">
        <is>
          <t>KPI</t>
        </is>
      </c>
      <c r="B159" t="inlineStr">
        <is>
          <t>J8</t>
        </is>
      </c>
      <c r="C159" t="inlineStr">
        <is>
          <t>Adjusted EBITDA - group</t>
        </is>
      </c>
      <c r="D159" t="inlineStr">
        <is>
          <t>Q4 2025</t>
        </is>
      </c>
      <c r="E159" t="n">
        <v>15</v>
      </c>
      <c r="F159" t="inlineStr">
        <is>
          <t>Reported</t>
        </is>
      </c>
      <c r="G159" t="inlineStr">
        <is>
          <t>6-K 2026-02-12 acc 0001104659-26-013946 tm266173d1_ex99-1.htm | https://www.sec.gov/Archives/edgar/data/1513845/000110465926013946/tm266173d1_ex99-1.htm</t>
        </is>
      </c>
    </row>
    <row r="160">
      <c r="A160" t="inlineStr">
        <is>
          <t>KPI</t>
        </is>
      </c>
      <c r="B160" t="inlineStr">
        <is>
          <t>K8</t>
        </is>
      </c>
      <c r="C160" t="inlineStr">
        <is>
          <t>Adjusted EBITDA - group</t>
        </is>
      </c>
      <c r="D160" t="inlineStr">
        <is>
          <t>Q1 2026</t>
        </is>
      </c>
      <c r="E160" t="n">
        <v>129.5</v>
      </c>
      <c r="F160" t="inlineStr">
        <is>
          <t>Reported</t>
        </is>
      </c>
      <c r="G160" t="inlineStr">
        <is>
          <t>6-K 2026-05-13 acc 0001104659-26-059872 tm2614392d1_ex99-1.htm | https://www.sec.gov/Archives/edgar/data/1513845/000110465926059872/tm2614392d1_ex99-1.htm</t>
        </is>
      </c>
    </row>
    <row r="161">
      <c r="A161" t="inlineStr">
        <is>
          <t>KPI</t>
        </is>
      </c>
      <c r="B161" t="inlineStr">
        <is>
          <t>L8</t>
        </is>
      </c>
      <c r="C161" t="inlineStr">
        <is>
          <t>Adjusted EBITDA - group</t>
        </is>
      </c>
      <c r="D161" t="inlineStr">
        <is>
          <t>Q2 2026</t>
        </is>
      </c>
      <c r="E161" t="n">
        <v>236.2</v>
      </c>
      <c r="F161" t="inlineStr">
        <is>
          <t>Reported</t>
        </is>
      </c>
      <c r="G161" t="inlineStr">
        <is>
          <t>6-K 2026-08-12 acc 0001104659-26-094568 tm2622968d1_ex99-1.htm | https://www.sec.gov/Archives/edgar/data/1513845/000110465926094568/tm2622968d1_ex99-1.htm</t>
        </is>
      </c>
    </row>
    <row r="162">
      <c r="A162" t="inlineStr">
        <is>
          <t>KPI</t>
        </is>
      </c>
      <c r="B162" t="inlineStr">
        <is>
          <t>C9</t>
        </is>
      </c>
      <c r="C162" t="inlineStr">
        <is>
          <t>Adjusted EBITDA - Nebius AI cloud segment</t>
        </is>
      </c>
      <c r="D162" t="inlineStr">
        <is>
          <t>Q1 2024</t>
        </is>
      </c>
      <c r="E162" t="inlineStr">
        <is>
          <t>n.d.</t>
        </is>
      </c>
      <c r="F162" t="inlineStr">
        <is>
          <t>not disclosed</t>
        </is>
      </c>
      <c r="G162" t="inlineStr">
        <is>
          <t>6-K 2025-09-10 acc 0001104659-25-088860 tm2525580d2_ex99-1.htm | https://www.sec.gov/Archives/edgar/data/1513845/000110465925088860/tm2525580d2_ex99-1.htm</t>
        </is>
      </c>
      <c r="H162" t="inlineStr">
        <is>
          <t xml:space="preserve"> ; H1-24 total -68.5</t>
        </is>
      </c>
    </row>
    <row r="163">
      <c r="A163" t="inlineStr">
        <is>
          <t>KPI</t>
        </is>
      </c>
      <c r="B163" t="inlineStr">
        <is>
          <t>D9</t>
        </is>
      </c>
      <c r="C163" t="inlineStr">
        <is>
          <t>Adjusted EBITDA - Nebius AI cloud segment</t>
        </is>
      </c>
      <c r="D163" t="inlineStr">
        <is>
          <t>Q2 2024</t>
        </is>
      </c>
      <c r="E163" t="inlineStr">
        <is>
          <t>n.d.</t>
        </is>
      </c>
      <c r="F163" t="inlineStr">
        <is>
          <t>not disclosed</t>
        </is>
      </c>
      <c r="G163" t="inlineStr">
        <is>
          <t>6-K 2025-09-10 acc 0001104659-25-088860 tm2525580d2_ex99-1.htm | https://www.sec.gov/Archives/edgar/data/1513845/000110465925088860/tm2525580d2_ex99-1.htm</t>
        </is>
      </c>
      <c r="H163" t="inlineStr">
        <is>
          <t xml:space="preserve"> ; H1-24 total -68.5</t>
        </is>
      </c>
    </row>
    <row r="164">
      <c r="A164" t="inlineStr">
        <is>
          <t>KPI</t>
        </is>
      </c>
      <c r="B164" t="inlineStr">
        <is>
          <t>E9</t>
        </is>
      </c>
      <c r="C164" t="inlineStr">
        <is>
          <t>Adjusted EBITDA - Nebius AI cloud segment</t>
        </is>
      </c>
      <c r="D164" t="inlineStr">
        <is>
          <t>Q3 2024</t>
        </is>
      </c>
      <c r="E164" t="n">
        <v>-21.5</v>
      </c>
      <c r="F164" t="inlineStr">
        <is>
          <t>Reported</t>
        </is>
      </c>
      <c r="G164" t="inlineStr">
        <is>
          <t>6-K 2025-11-13 acc 0001104659-25-110831 tm2531034d1_ex99-1.htm | https://www.sec.gov/Archives/edgar/data/1513845/000110465925110831/tm2531034d1_ex99-1.htm</t>
        </is>
      </c>
    </row>
    <row r="165">
      <c r="A165" t="inlineStr">
        <is>
          <t>KPI</t>
        </is>
      </c>
      <c r="B165" t="inlineStr">
        <is>
          <t>F9</t>
        </is>
      </c>
      <c r="C165" t="inlineStr">
        <is>
          <t>Adjusted EBITDA - Nebius AI cloud segment</t>
        </is>
      </c>
      <c r="D165" t="inlineStr">
        <is>
          <t>Q4 2024</t>
        </is>
      </c>
      <c r="E165" t="n">
        <v>-38.5</v>
      </c>
      <c r="F165" t="inlineStr">
        <is>
          <t>Derived</t>
        </is>
      </c>
      <c r="G165" t="inlineStr">
        <is>
          <t>20-F 2026-04-30 acc 0001104659-26-052948 nbis-20251231x20f.htm FY -128.5 - 9M -90.0 | https://www.sec.gov/Archives/edgar/data/1513845/000110465926052948/nbis-20251231x20f.htm</t>
        </is>
      </c>
    </row>
    <row r="166">
      <c r="A166" t="inlineStr">
        <is>
          <t>KPI</t>
        </is>
      </c>
      <c r="B166" t="inlineStr">
        <is>
          <t>G9</t>
        </is>
      </c>
      <c r="C166" t="inlineStr">
        <is>
          <t>Adjusted EBITDA - Nebius AI cloud segment</t>
        </is>
      </c>
      <c r="D166" t="inlineStr">
        <is>
          <t>Q1 2025</t>
        </is>
      </c>
      <c r="E166" t="n">
        <v>-27.4</v>
      </c>
      <c r="F166" t="inlineStr">
        <is>
          <t>Reported</t>
        </is>
      </c>
      <c r="G166" t="inlineStr">
        <is>
          <t>6-K 2026-05-20 acc 0001104659-26-064092 nbis-20260331xex99d2.htm | https://www.sec.gov/Archives/edgar/data/1513845/000110465926064092/nbis-20260331xex99d2.htm</t>
        </is>
      </c>
    </row>
    <row r="167">
      <c r="A167" t="inlineStr">
        <is>
          <t>KPI</t>
        </is>
      </c>
      <c r="B167" t="inlineStr">
        <is>
          <t>H9</t>
        </is>
      </c>
      <c r="C167" t="inlineStr">
        <is>
          <t>Adjusted EBITDA - Nebius AI cloud segment</t>
        </is>
      </c>
      <c r="D167" t="inlineStr">
        <is>
          <t>Q2 2025</t>
        </is>
      </c>
      <c r="E167" t="n">
        <v>9.5</v>
      </c>
      <c r="F167" t="inlineStr">
        <is>
          <t>Reported</t>
        </is>
      </c>
      <c r="G167" t="inlineStr">
        <is>
          <t>6-K 2026-08-12 acc 0001104659-26-094844 nbis-20260812xex99d2.htm | https://www.sec.gov/Archives/edgar/data/1513845/000110465926094844/nbis-20260812xex99d2.htm</t>
        </is>
      </c>
    </row>
    <row r="168">
      <c r="A168" t="inlineStr">
        <is>
          <t>KPI</t>
        </is>
      </c>
      <c r="B168" t="inlineStr">
        <is>
          <t>I9</t>
        </is>
      </c>
      <c r="C168" t="inlineStr">
        <is>
          <t>Adjusted EBITDA - Nebius AI cloud segment</t>
        </is>
      </c>
      <c r="D168" t="inlineStr">
        <is>
          <t>Q3 2025</t>
        </is>
      </c>
      <c r="E168" t="n">
        <v>25.1</v>
      </c>
      <c r="F168" t="inlineStr">
        <is>
          <t>Reported</t>
        </is>
      </c>
      <c r="G168" t="inlineStr">
        <is>
          <t>6-K 2025-11-13 acc 0001104659-25-110831 tm2531034d1_ex99-1.htm | https://www.sec.gov/Archives/edgar/data/1513845/000110465925110831/tm2531034d1_ex99-1.htm</t>
        </is>
      </c>
    </row>
    <row r="169">
      <c r="A169" t="inlineStr">
        <is>
          <t>KPI</t>
        </is>
      </c>
      <c r="B169" t="inlineStr">
        <is>
          <t>J9</t>
        </is>
      </c>
      <c r="C169" t="inlineStr">
        <is>
          <t>Adjusted EBITDA - Nebius AI cloud segment</t>
        </is>
      </c>
      <c r="D169" t="inlineStr">
        <is>
          <t>Q4 2025</t>
        </is>
      </c>
      <c r="E169" t="n">
        <v>51.8</v>
      </c>
      <c r="F169" t="inlineStr">
        <is>
          <t>Derived</t>
        </is>
      </c>
      <c r="G169" t="inlineStr">
        <is>
          <t>20-F 2026-04-30 acc 0001104659-26-052948 nbis-20251231x20f.htm FY 59.0 - 9M 7.2 | https://www.sec.gov/Archives/edgar/data/1513845/000110465926052948/nbis-20251231x20f.htm</t>
        </is>
      </c>
    </row>
    <row r="170">
      <c r="A170" t="inlineStr">
        <is>
          <t>KPI</t>
        </is>
      </c>
      <c r="B170" t="inlineStr">
        <is>
          <t>K9</t>
        </is>
      </c>
      <c r="C170" t="inlineStr">
        <is>
          <t>Adjusted EBITDA - Nebius AI cloud segment</t>
        </is>
      </c>
      <c r="D170" t="inlineStr">
        <is>
          <t>Q1 2026</t>
        </is>
      </c>
      <c r="E170" t="n">
        <v>174</v>
      </c>
      <c r="F170" t="inlineStr">
        <is>
          <t>Reported</t>
        </is>
      </c>
      <c r="G170" t="inlineStr">
        <is>
          <t>6-K 2026-05-20 acc 0001104659-26-064092 nbis-20260331xex99d2.htm | https://www.sec.gov/Archives/edgar/data/1513845/000110465926064092/nbis-20260331xex99d2.htm</t>
        </is>
      </c>
    </row>
    <row r="171">
      <c r="A171" t="inlineStr">
        <is>
          <t>KPI</t>
        </is>
      </c>
      <c r="B171" t="inlineStr">
        <is>
          <t>L9</t>
        </is>
      </c>
      <c r="C171" t="inlineStr">
        <is>
          <t>Adjusted EBITDA - Nebius AI cloud segment</t>
        </is>
      </c>
      <c r="D171" t="inlineStr">
        <is>
          <t>Q2 2026</t>
        </is>
      </c>
      <c r="E171" t="n">
        <v>285.7</v>
      </c>
      <c r="F171" t="inlineStr">
        <is>
          <t>Reported</t>
        </is>
      </c>
      <c r="G171" t="inlineStr">
        <is>
          <t>6-K 2026-08-12 acc 0001104659-26-094844 nbis-20260812xex99d2.htm | https://www.sec.gov/Archives/edgar/data/1513845/000110465926094844/nbis-20260812xex99d2.htm</t>
        </is>
      </c>
    </row>
    <row r="172">
      <c r="A172" t="inlineStr">
        <is>
          <t>KPI</t>
        </is>
      </c>
      <c r="B172" t="inlineStr">
        <is>
          <t>C10</t>
        </is>
      </c>
      <c r="C172" t="inlineStr">
        <is>
          <t>Depreciation &amp; amortization</t>
        </is>
      </c>
      <c r="D172" t="inlineStr">
        <is>
          <t>Q1 2024</t>
        </is>
      </c>
      <c r="E172" t="n">
        <v>8.9</v>
      </c>
      <c r="F172" t="inlineStr">
        <is>
          <t>Derived</t>
        </is>
      </c>
      <c r="G172" t="inlineStr">
        <is>
          <t>6-K 2025-08-07 acc 0001104659-25-075028 tm2522866d1_ex99-1.htm H1 20.3 - Q2 11.4 | https://www.sec.gov/Archives/edgar/data/1513845/000110465925075028/tm2522866d1_ex99-1.htm</t>
        </is>
      </c>
      <c r="H172" t="inlineStr">
        <is>
          <t>Q1-25 PR comparative also 8.9</t>
        </is>
      </c>
    </row>
    <row r="173">
      <c r="A173" t="inlineStr">
        <is>
          <t>KPI</t>
        </is>
      </c>
      <c r="B173" t="inlineStr">
        <is>
          <t>D10</t>
        </is>
      </c>
      <c r="C173" t="inlineStr">
        <is>
          <t>Depreciation &amp; amortization</t>
        </is>
      </c>
      <c r="D173" t="inlineStr">
        <is>
          <t>Q2 2024</t>
        </is>
      </c>
      <c r="E173" t="n">
        <v>11.4</v>
      </c>
      <c r="F173" t="inlineStr">
        <is>
          <t>Reported</t>
        </is>
      </c>
      <c r="G173" t="inlineStr">
        <is>
          <t>6-K 2025-08-07 acc 0001104659-25-075028 tm2522866d1_ex99-1.htm | https://www.sec.gov/Archives/edgar/data/1513845/000110465925075028/tm2522866d1_ex99-1.htm</t>
        </is>
      </c>
    </row>
    <row r="174">
      <c r="A174" t="inlineStr">
        <is>
          <t>KPI</t>
        </is>
      </c>
      <c r="B174" t="inlineStr">
        <is>
          <t>E10</t>
        </is>
      </c>
      <c r="C174" t="inlineStr">
        <is>
          <t>Depreciation &amp; amortization</t>
        </is>
      </c>
      <c r="D174" t="inlineStr">
        <is>
          <t>Q3 2024</t>
        </is>
      </c>
      <c r="E174" t="n">
        <v>23.5</v>
      </c>
      <c r="F174" t="inlineStr">
        <is>
          <t>Reported</t>
        </is>
      </c>
      <c r="G174" t="inlineStr">
        <is>
          <t>6-K 2025-11-12 acc 0001104659-25-109806 tm2530882d1_ex99-1.htm | https://www.sec.gov/Archives/edgar/data/1513845/000110465925109806/tm2530882d1_ex99-1.htm</t>
        </is>
      </c>
    </row>
    <row r="175">
      <c r="A175" t="inlineStr">
        <is>
          <t>KPI</t>
        </is>
      </c>
      <c r="B175" t="inlineStr">
        <is>
          <t>F10</t>
        </is>
      </c>
      <c r="C175" t="inlineStr">
        <is>
          <t>Depreciation &amp; amortization</t>
        </is>
      </c>
      <c r="D175" t="inlineStr">
        <is>
          <t>Q4 2024</t>
        </is>
      </c>
      <c r="E175" t="n">
        <v>33.3</v>
      </c>
      <c r="F175" t="inlineStr">
        <is>
          <t>Reported</t>
        </is>
      </c>
      <c r="G175" t="inlineStr">
        <is>
          <t>6-K 2026-02-12 acc 0001104659-26-013946 tm266173d1_ex99-1.htm | https://www.sec.gov/Archives/edgar/data/1513845/000110465926013946/tm266173d1_ex99-1.htm</t>
        </is>
      </c>
    </row>
    <row r="176">
      <c r="A176" t="inlineStr">
        <is>
          <t>KPI</t>
        </is>
      </c>
      <c r="B176" t="inlineStr">
        <is>
          <t>G10</t>
        </is>
      </c>
      <c r="C176" t="inlineStr">
        <is>
          <t>Depreciation &amp; amortization</t>
        </is>
      </c>
      <c r="D176" t="inlineStr">
        <is>
          <t>Q1 2025</t>
        </is>
      </c>
      <c r="E176" t="n">
        <v>49.1</v>
      </c>
      <c r="F176" t="inlineStr">
        <is>
          <t>Reported</t>
        </is>
      </c>
      <c r="G176" t="inlineStr">
        <is>
          <t>6-K 2026-05-13 acc 0001104659-26-059872 tm2614392d1_ex99-1.htm | https://www.sec.gov/Archives/edgar/data/1513845/000110465926059872/tm2614392d1_ex99-1.htm</t>
        </is>
      </c>
      <c r="H176" t="inlineStr">
        <is>
          <t>Q1-25 PR originally 49.2</t>
        </is>
      </c>
    </row>
    <row r="177">
      <c r="A177" t="inlineStr">
        <is>
          <t>KPI</t>
        </is>
      </c>
      <c r="B177" t="inlineStr">
        <is>
          <t>H10</t>
        </is>
      </c>
      <c r="C177" t="inlineStr">
        <is>
          <t>Depreciation &amp; amortization</t>
        </is>
      </c>
      <c r="D177" t="inlineStr">
        <is>
          <t>Q2 2025</t>
        </is>
      </c>
      <c r="E177" t="n">
        <v>75.2</v>
      </c>
      <c r="F177" t="inlineStr">
        <is>
          <t>Reported</t>
        </is>
      </c>
      <c r="G177" t="inlineStr">
        <is>
          <t>6-K 2025-08-07 acc 0001104659-25-075028 tm2522866d1_ex99-1.htm | https://www.sec.gov/Archives/edgar/data/1513845/000110465925075028/tm2522866d1_ex99-1.htm</t>
        </is>
      </c>
    </row>
    <row r="178">
      <c r="A178" t="inlineStr">
        <is>
          <t>KPI</t>
        </is>
      </c>
      <c r="B178" t="inlineStr">
        <is>
          <t>I10</t>
        </is>
      </c>
      <c r="C178" t="inlineStr">
        <is>
          <t>Depreciation &amp; amortization</t>
        </is>
      </c>
      <c r="D178" t="inlineStr">
        <is>
          <t>Q3 2025</t>
        </is>
      </c>
      <c r="E178" t="n">
        <v>99</v>
      </c>
      <c r="F178" t="inlineStr">
        <is>
          <t>Reported</t>
        </is>
      </c>
      <c r="G178" t="inlineStr">
        <is>
          <t>6-K 2025-11-12 acc 0001104659-25-109806 tm2530882d1_ex99-1.htm | https://www.sec.gov/Archives/edgar/data/1513845/000110465925109806/tm2530882d1_ex99-1.htm</t>
        </is>
      </c>
    </row>
    <row r="179">
      <c r="A179" t="inlineStr">
        <is>
          <t>KPI</t>
        </is>
      </c>
      <c r="B179" t="inlineStr">
        <is>
          <t>J10</t>
        </is>
      </c>
      <c r="C179" t="inlineStr">
        <is>
          <t>Depreciation &amp; amortization</t>
        </is>
      </c>
      <c r="D179" t="inlineStr">
        <is>
          <t>Q4 2025</t>
        </is>
      </c>
      <c r="E179" t="n">
        <v>180.7</v>
      </c>
      <c r="F179" t="inlineStr">
        <is>
          <t>Reported</t>
        </is>
      </c>
      <c r="G179" t="inlineStr">
        <is>
          <t>6-K 2026-02-12 acc 0001104659-26-013946 tm266173d1_ex99-1.htm | https://www.sec.gov/Archives/edgar/data/1513845/000110465926013946/tm266173d1_ex99-1.htm</t>
        </is>
      </c>
    </row>
    <row r="180">
      <c r="A180" t="inlineStr">
        <is>
          <t>KPI</t>
        </is>
      </c>
      <c r="B180" t="inlineStr">
        <is>
          <t>K10</t>
        </is>
      </c>
      <c r="C180" t="inlineStr">
        <is>
          <t>Depreciation &amp; amortization</t>
        </is>
      </c>
      <c r="D180" t="inlineStr">
        <is>
          <t>Q1 2026</t>
        </is>
      </c>
      <c r="E180" t="n">
        <v>212</v>
      </c>
      <c r="F180" t="inlineStr">
        <is>
          <t>Reported</t>
        </is>
      </c>
      <c r="G180" t="inlineStr">
        <is>
          <t>6-K 2026-05-13 acc 0001104659-26-059872 tm2614392d1_ex99-1.htm | https://www.sec.gov/Archives/edgar/data/1513845/000110465926059872/tm2614392d1_ex99-1.htm</t>
        </is>
      </c>
    </row>
    <row r="181">
      <c r="A181" t="inlineStr">
        <is>
          <t>KPI</t>
        </is>
      </c>
      <c r="B181" t="inlineStr">
        <is>
          <t>L10</t>
        </is>
      </c>
      <c r="C181" t="inlineStr">
        <is>
          <t>Depreciation &amp; amortization</t>
        </is>
      </c>
      <c r="D181" t="inlineStr">
        <is>
          <t>Q2 2026</t>
        </is>
      </c>
      <c r="E181" t="n">
        <v>259.7</v>
      </c>
      <c r="F181" t="inlineStr">
        <is>
          <t>Reported</t>
        </is>
      </c>
      <c r="G181" t="inlineStr">
        <is>
          <t>6-K 2026-08-12 acc 0001104659-26-094568 tm2622968d1_ex99-1.htm | https://www.sec.gov/Archives/edgar/data/1513845/000110465926094568/tm2622968d1_ex99-1.htm</t>
        </is>
      </c>
      <c r="H181" t="inlineStr">
        <is>
          <t>4-&gt;5yr life change cut Q2 depreciation by $43.0M</t>
        </is>
      </c>
    </row>
    <row r="182">
      <c r="A182" t="inlineStr">
        <is>
          <t>KPI</t>
        </is>
      </c>
      <c r="B182" t="inlineStr">
        <is>
          <t>C11</t>
        </is>
      </c>
      <c r="C182" t="inlineStr">
        <is>
          <t>Capex - cash purchases of PP&amp;E and intangibles</t>
        </is>
      </c>
      <c r="D182" t="inlineStr">
        <is>
          <t>Q1 2024</t>
        </is>
      </c>
      <c r="E182" t="n">
        <v>58.9</v>
      </c>
      <c r="F182" t="inlineStr">
        <is>
          <t>Derived</t>
        </is>
      </c>
      <c r="G182" t="inlineStr">
        <is>
          <t>6-K 2025-08-07 acc 0001104659-25-075028 tm2522866d1_ex99-1.htm H1 217.9 - Q2 159.0 | https://www.sec.gov/Archives/edgar/data/1513845/000110465925075028/tm2522866d1_ex99-1.htm</t>
        </is>
      </c>
    </row>
    <row r="183">
      <c r="A183" t="inlineStr">
        <is>
          <t>KPI</t>
        </is>
      </c>
      <c r="B183" t="inlineStr">
        <is>
          <t>D11</t>
        </is>
      </c>
      <c r="C183" t="inlineStr">
        <is>
          <t>Capex - cash purchases of PP&amp;E and intangibles</t>
        </is>
      </c>
      <c r="D183" t="inlineStr">
        <is>
          <t>Q2 2024</t>
        </is>
      </c>
      <c r="E183" t="n">
        <v>159</v>
      </c>
      <c r="F183" t="inlineStr">
        <is>
          <t>Reported</t>
        </is>
      </c>
      <c r="G183" t="inlineStr">
        <is>
          <t>6-K 2025-08-07 acc 0001104659-25-075028 tm2522866d1_ex99-1.htm | https://www.sec.gov/Archives/edgar/data/1513845/000110465925075028/tm2522866d1_ex99-1.htm</t>
        </is>
      </c>
    </row>
    <row r="184">
      <c r="A184" t="inlineStr">
        <is>
          <t>KPI</t>
        </is>
      </c>
      <c r="B184" t="inlineStr">
        <is>
          <t>E11</t>
        </is>
      </c>
      <c r="C184" t="inlineStr">
        <is>
          <t>Capex - cash purchases of PP&amp;E and intangibles</t>
        </is>
      </c>
      <c r="D184" t="inlineStr">
        <is>
          <t>Q3 2024</t>
        </is>
      </c>
      <c r="E184" t="n">
        <v>172.1</v>
      </c>
      <c r="F184" t="inlineStr">
        <is>
          <t>Reported</t>
        </is>
      </c>
      <c r="G184" t="inlineStr">
        <is>
          <t>6-K 2025-11-12 acc 0001104659-25-109806 tm2530882d1_ex99-1.htm | https://www.sec.gov/Archives/edgar/data/1513845/000110465925109806/tm2530882d1_ex99-1.htm</t>
        </is>
      </c>
    </row>
    <row r="185">
      <c r="A185" t="inlineStr">
        <is>
          <t>KPI</t>
        </is>
      </c>
      <c r="B185" t="inlineStr">
        <is>
          <t>F11</t>
        </is>
      </c>
      <c r="C185" t="inlineStr">
        <is>
          <t>Capex - cash purchases of PP&amp;E and intangibles</t>
        </is>
      </c>
      <c r="D185" t="inlineStr">
        <is>
          <t>Q4 2024</t>
        </is>
      </c>
      <c r="E185" t="n">
        <v>417.5</v>
      </c>
      <c r="F185" t="inlineStr">
        <is>
          <t>Reported</t>
        </is>
      </c>
      <c r="G185" t="inlineStr">
        <is>
          <t>6-K 2026-02-12 acc 0001104659-26-013946 tm266173d1_ex99-1.htm | https://www.sec.gov/Archives/edgar/data/1513845/000110465926013946/tm266173d1_ex99-1.htm</t>
        </is>
      </c>
    </row>
    <row r="186">
      <c r="A186" t="inlineStr">
        <is>
          <t>KPI</t>
        </is>
      </c>
      <c r="B186" t="inlineStr">
        <is>
          <t>G11</t>
        </is>
      </c>
      <c r="C186" t="inlineStr">
        <is>
          <t>Capex - cash purchases of PP&amp;E and intangibles</t>
        </is>
      </c>
      <c r="D186" t="inlineStr">
        <is>
          <t>Q1 2025</t>
        </is>
      </c>
      <c r="E186" t="n">
        <v>543.9</v>
      </c>
      <c r="F186" t="inlineStr">
        <is>
          <t>Reported</t>
        </is>
      </c>
      <c r="G186" t="inlineStr">
        <is>
          <t>6-K 2026-05-13 acc 0001104659-26-059872 tm2614392d1_ex99-1.htm | https://www.sec.gov/Archives/edgar/data/1513845/000110465926059872/tm2614392d1_ex99-1.htm</t>
        </is>
      </c>
    </row>
    <row r="187">
      <c r="A187" t="inlineStr">
        <is>
          <t>KPI</t>
        </is>
      </c>
      <c r="B187" t="inlineStr">
        <is>
          <t>H11</t>
        </is>
      </c>
      <c r="C187" t="inlineStr">
        <is>
          <t>Capex - cash purchases of PP&amp;E and intangibles</t>
        </is>
      </c>
      <c r="D187" t="inlineStr">
        <is>
          <t>Q2 2025</t>
        </is>
      </c>
      <c r="E187" t="n">
        <v>510.6</v>
      </c>
      <c r="F187" t="inlineStr">
        <is>
          <t>Reported</t>
        </is>
      </c>
      <c r="G187" t="inlineStr">
        <is>
          <t>6-K 2025-08-07 acc 0001104659-25-075028 tm2522866d1_ex99-1.htm | https://www.sec.gov/Archives/edgar/data/1513845/000110465925075028/tm2522866d1_ex99-1.htm</t>
        </is>
      </c>
    </row>
    <row r="188">
      <c r="A188" t="inlineStr">
        <is>
          <t>KPI</t>
        </is>
      </c>
      <c r="B188" t="inlineStr">
        <is>
          <t>I11</t>
        </is>
      </c>
      <c r="C188" t="inlineStr">
        <is>
          <t>Capex - cash purchases of PP&amp;E and intangibles</t>
        </is>
      </c>
      <c r="D188" t="inlineStr">
        <is>
          <t>Q3 2025</t>
        </is>
      </c>
      <c r="E188" t="n">
        <v>955.5</v>
      </c>
      <c r="F188" t="inlineStr">
        <is>
          <t>Reported</t>
        </is>
      </c>
      <c r="G188" t="inlineStr">
        <is>
          <t>6-K 2025-11-12 acc 0001104659-25-109806 tm2530882d1_ex99-1.htm | https://www.sec.gov/Archives/edgar/data/1513845/000110465925109806/tm2530882d1_ex99-1.htm</t>
        </is>
      </c>
    </row>
    <row r="189">
      <c r="A189" t="inlineStr">
        <is>
          <t>KPI</t>
        </is>
      </c>
      <c r="B189" t="inlineStr">
        <is>
          <t>J11</t>
        </is>
      </c>
      <c r="C189" t="inlineStr">
        <is>
          <t>Capex - cash purchases of PP&amp;E and intangibles</t>
        </is>
      </c>
      <c r="D189" t="inlineStr">
        <is>
          <t>Q4 2025</t>
        </is>
      </c>
      <c r="E189" t="n">
        <v>2056</v>
      </c>
      <c r="F189" t="inlineStr">
        <is>
          <t>Reported</t>
        </is>
      </c>
      <c r="G189" t="inlineStr">
        <is>
          <t>6-K 2026-02-12 acc 0001104659-26-013946 tm266173d1_ex99-1.htm | https://www.sec.gov/Archives/edgar/data/1513845/000110465926013946/tm266173d1_ex99-1.htm</t>
        </is>
      </c>
    </row>
    <row r="190">
      <c r="A190" t="inlineStr">
        <is>
          <t>KPI</t>
        </is>
      </c>
      <c r="B190" t="inlineStr">
        <is>
          <t>K11</t>
        </is>
      </c>
      <c r="C190" t="inlineStr">
        <is>
          <t>Capex - cash purchases of PP&amp;E and intangibles</t>
        </is>
      </c>
      <c r="D190" t="inlineStr">
        <is>
          <t>Q1 2026</t>
        </is>
      </c>
      <c r="E190" t="n">
        <v>2472.9</v>
      </c>
      <c r="F190" t="inlineStr">
        <is>
          <t>Reported</t>
        </is>
      </c>
      <c r="G190" t="inlineStr">
        <is>
          <t>6-K 2026-05-13 acc 0001104659-26-059872 tm2614392d1_ex99-1.htm | https://www.sec.gov/Archives/edgar/data/1513845/000110465926059872/tm2614392d1_ex99-1.htm</t>
        </is>
      </c>
    </row>
    <row r="191">
      <c r="A191" t="inlineStr">
        <is>
          <t>KPI</t>
        </is>
      </c>
      <c r="B191" t="inlineStr">
        <is>
          <t>L11</t>
        </is>
      </c>
      <c r="C191" t="inlineStr">
        <is>
          <t>Capex - cash purchases of PP&amp;E and intangibles</t>
        </is>
      </c>
      <c r="D191" t="inlineStr">
        <is>
          <t>Q2 2026</t>
        </is>
      </c>
      <c r="E191" t="n">
        <v>5657.4</v>
      </c>
      <c r="F191" t="inlineStr">
        <is>
          <t>Reported</t>
        </is>
      </c>
      <c r="G191" t="inlineStr">
        <is>
          <t>6-K 2026-08-12 acc 0001104659-26-094568 tm2622968d1_ex99-1.htm | https://www.sec.gov/Archives/edgar/data/1513845/000110465926094568/tm2622968d1_ex99-1.htm</t>
        </is>
      </c>
    </row>
    <row r="192">
      <c r="A192" t="inlineStr">
        <is>
          <t>KPI</t>
        </is>
      </c>
      <c r="B192" t="inlineStr">
        <is>
          <t>C12</t>
        </is>
      </c>
      <c r="C192" t="inlineStr">
        <is>
          <t>PP&amp;E, net (period end)</t>
        </is>
      </c>
      <c r="D192" t="inlineStr">
        <is>
          <t>Q1 2024</t>
        </is>
      </c>
      <c r="E192" t="inlineStr">
        <is>
          <t>n.d.</t>
        </is>
      </c>
      <c r="F192" t="inlineStr">
        <is>
          <t>not disclosed</t>
        </is>
      </c>
      <c r="G192" t="inlineStr">
        <is>
          <t>n/a</t>
        </is>
      </c>
      <c r="H192" t="inlineStr">
        <is>
          <t xml:space="preserve"> ; pre-divestiture (Yandex N.V.) balance sheet not comparable</t>
        </is>
      </c>
    </row>
    <row r="193">
      <c r="A193" t="inlineStr">
        <is>
          <t>KPI</t>
        </is>
      </c>
      <c r="B193" t="inlineStr">
        <is>
          <t>D12</t>
        </is>
      </c>
      <c r="C193" t="inlineStr">
        <is>
          <t>PP&amp;E, net (period end)</t>
        </is>
      </c>
      <c r="D193" t="inlineStr">
        <is>
          <t>Q2 2024</t>
        </is>
      </c>
      <c r="E193" t="n">
        <v>328.3</v>
      </c>
      <c r="F193" t="inlineStr">
        <is>
          <t>Reported</t>
        </is>
      </c>
      <c r="G193" t="inlineStr">
        <is>
          <t>6-K 2024-08-01 acc 0001513845-24-000024 tmb-20240630xex99d1.htm BS | https://www.sec.gov/Archives/edgar/data/1513845/000151384524000024/tmb-20240630xex99d1.htm</t>
        </is>
      </c>
      <c r="H193" t="inlineStr">
        <is>
          <t>as reported Aug-24 (incl. Toloka)</t>
        </is>
      </c>
    </row>
    <row r="194">
      <c r="A194" t="inlineStr">
        <is>
          <t>KPI</t>
        </is>
      </c>
      <c r="B194" t="inlineStr">
        <is>
          <t>E12</t>
        </is>
      </c>
      <c r="C194" t="inlineStr">
        <is>
          <t>PP&amp;E, net (period end)</t>
        </is>
      </c>
      <c r="D194" t="inlineStr">
        <is>
          <t>Q3 2024</t>
        </is>
      </c>
      <c r="E194" t="n">
        <v>475.3</v>
      </c>
      <c r="F194" t="inlineStr">
        <is>
          <t>Reported</t>
        </is>
      </c>
      <c r="G194" t="inlineStr">
        <is>
          <t>6-K 2024-10-31 acc 0001104659-24-112875 tm2427209d1_ex99-1.htm BS | https://www.sec.gov/Archives/edgar/data/1513845/000110465924112875/tm2427209d1_ex99-1.htm</t>
        </is>
      </c>
      <c r="H194" t="inlineStr">
        <is>
          <t>as reported</t>
        </is>
      </c>
    </row>
    <row r="195">
      <c r="A195" t="inlineStr">
        <is>
          <t>KPI</t>
        </is>
      </c>
      <c r="B195" t="inlineStr">
        <is>
          <t>F12</t>
        </is>
      </c>
      <c r="C195" t="inlineStr">
        <is>
          <t>PP&amp;E, net (period end)</t>
        </is>
      </c>
      <c r="D195" t="inlineStr">
        <is>
          <t>Q4 2024</t>
        </is>
      </c>
      <c r="E195" t="n">
        <v>846.7</v>
      </c>
      <c r="F195" t="inlineStr">
        <is>
          <t>Reported</t>
        </is>
      </c>
      <c r="G195" t="inlineStr">
        <is>
          <t>6-K 2026-02-12 acc 0001104659-26-013946 tm266173d1_ex99-1.htm BS comparative | https://www.sec.gov/Archives/edgar/data/1513845/000110465926013946/tm266173d1_ex99-1.htm</t>
        </is>
      </c>
      <c r="H195" t="inlineStr">
        <is>
          <t>orig. 849.3 (Q4-24 PR)</t>
        </is>
      </c>
    </row>
    <row r="196">
      <c r="A196" t="inlineStr">
        <is>
          <t>KPI</t>
        </is>
      </c>
      <c r="B196" t="inlineStr">
        <is>
          <t>G12</t>
        </is>
      </c>
      <c r="C196" t="inlineStr">
        <is>
          <t>PP&amp;E, net (period end)</t>
        </is>
      </c>
      <c r="D196" t="inlineStr">
        <is>
          <t>Q1 2025</t>
        </is>
      </c>
      <c r="E196" t="n">
        <v>1334.1</v>
      </c>
      <c r="F196" t="inlineStr">
        <is>
          <t>Reported</t>
        </is>
      </c>
      <c r="G196" t="inlineStr">
        <is>
          <t>6-K 2025-05-20 acc 0001104659-25-050975 tm2515580d1_ex99-1.htm BS | https://www.sec.gov/Archives/edgar/data/1513845/000110465925050975/tm2515580d1_ex99-1.htm</t>
        </is>
      </c>
      <c r="H196" t="inlineStr">
        <is>
          <t>as reported (incl. Toloka)</t>
        </is>
      </c>
    </row>
    <row r="197">
      <c r="A197" t="inlineStr">
        <is>
          <t>KPI</t>
        </is>
      </c>
      <c r="B197" t="inlineStr">
        <is>
          <t>H12</t>
        </is>
      </c>
      <c r="C197" t="inlineStr">
        <is>
          <t>PP&amp;E, net (period end)</t>
        </is>
      </c>
      <c r="D197" t="inlineStr">
        <is>
          <t>Q2 2025</t>
        </is>
      </c>
      <c r="E197" t="n">
        <v>1789.4</v>
      </c>
      <c r="F197" t="inlineStr">
        <is>
          <t>Reported</t>
        </is>
      </c>
      <c r="G197" t="inlineStr">
        <is>
          <t>6-K 2025-08-07 acc 0001104659-25-075028 tm2522866d1_ex99-1.htm | https://www.sec.gov/Archives/edgar/data/1513845/000110465925075028/tm2522866d1_ex99-1.htm</t>
        </is>
      </c>
    </row>
    <row r="198">
      <c r="A198" t="inlineStr">
        <is>
          <t>KPI</t>
        </is>
      </c>
      <c r="B198" t="inlineStr">
        <is>
          <t>I12</t>
        </is>
      </c>
      <c r="C198" t="inlineStr">
        <is>
          <t>PP&amp;E, net (period end)</t>
        </is>
      </c>
      <c r="D198" t="inlineStr">
        <is>
          <t>Q3 2025</t>
        </is>
      </c>
      <c r="E198" t="n">
        <v>3314.4</v>
      </c>
      <c r="F198" t="inlineStr">
        <is>
          <t>Reported</t>
        </is>
      </c>
      <c r="G198" t="inlineStr">
        <is>
          <t>6-K 2025-11-12 acc 0001104659-25-109806 tm2530882d1_ex99-1.htm | https://www.sec.gov/Archives/edgar/data/1513845/000110465925109806/tm2530882d1_ex99-1.htm</t>
        </is>
      </c>
    </row>
    <row r="199">
      <c r="A199" t="inlineStr">
        <is>
          <t>KPI</t>
        </is>
      </c>
      <c r="B199" t="inlineStr">
        <is>
          <t>J12</t>
        </is>
      </c>
      <c r="C199" t="inlineStr">
        <is>
          <t>PP&amp;E, net (period end)</t>
        </is>
      </c>
      <c r="D199" t="inlineStr">
        <is>
          <t>Q4 2025</t>
        </is>
      </c>
      <c r="E199" t="n">
        <v>5553.3</v>
      </c>
      <c r="F199" t="inlineStr">
        <is>
          <t>Reported</t>
        </is>
      </c>
      <c r="G199" t="inlineStr">
        <is>
          <t>6-K 2026-08-12 acc 0001104659-26-094568 tm2622968d1_ex99-1.htm BS comparative | https://www.sec.gov/Archives/edgar/data/1513845/000110465926094568/tm2622968d1_ex99-1.htm</t>
        </is>
      </c>
      <c r="H199" t="inlineStr">
        <is>
          <t>Q4-25 PR originally 5,572.5</t>
        </is>
      </c>
    </row>
    <row r="200">
      <c r="A200" t="inlineStr">
        <is>
          <t>KPI</t>
        </is>
      </c>
      <c r="B200" t="inlineStr">
        <is>
          <t>K12</t>
        </is>
      </c>
      <c r="C200" t="inlineStr">
        <is>
          <t>PP&amp;E, net (period end)</t>
        </is>
      </c>
      <c r="D200" t="inlineStr">
        <is>
          <t>Q1 2026</t>
        </is>
      </c>
      <c r="E200" t="n">
        <v>7131.7</v>
      </c>
      <c r="F200" t="inlineStr">
        <is>
          <t>Reported</t>
        </is>
      </c>
      <c r="G200" t="inlineStr">
        <is>
          <t>6-K 2026-05-13 acc 0001104659-26-059872 tm2614392d1_ex99-1.htm | https://www.sec.gov/Archives/edgar/data/1513845/000110465926059872/tm2614392d1_ex99-1.htm</t>
        </is>
      </c>
    </row>
    <row r="201">
      <c r="A201" t="inlineStr">
        <is>
          <t>KPI</t>
        </is>
      </c>
      <c r="B201" t="inlineStr">
        <is>
          <t>L12</t>
        </is>
      </c>
      <c r="C201" t="inlineStr">
        <is>
          <t>PP&amp;E, net (period end)</t>
        </is>
      </c>
      <c r="D201" t="inlineStr">
        <is>
          <t>Q2 2026</t>
        </is>
      </c>
      <c r="E201" t="n">
        <v>13045.2</v>
      </c>
      <c r="F201" t="inlineStr">
        <is>
          <t>Reported</t>
        </is>
      </c>
      <c r="G201" t="inlineStr">
        <is>
          <t>6-K 2026-08-12 acc 0001104659-26-094568 tm2622968d1_ex99-1.htm | https://www.sec.gov/Archives/edgar/data/1513845/000110465926094568/tm2622968d1_ex99-1.htm</t>
        </is>
      </c>
    </row>
    <row r="202">
      <c r="A202" t="inlineStr">
        <is>
          <t>KPI</t>
        </is>
      </c>
      <c r="B202" t="inlineStr">
        <is>
          <t>C13</t>
        </is>
      </c>
      <c r="C202" t="inlineStr">
        <is>
          <t>Cash &amp; cash equivalents (period end)</t>
        </is>
      </c>
      <c r="D202" t="inlineStr">
        <is>
          <t>Q1 2024</t>
        </is>
      </c>
      <c r="E202" t="inlineStr">
        <is>
          <t>n.d.</t>
        </is>
      </c>
      <c r="F202" t="inlineStr">
        <is>
          <t>not disclosed</t>
        </is>
      </c>
      <c r="G202" t="inlineStr">
        <is>
          <t>n/a</t>
        </is>
      </c>
      <c r="H202" t="inlineStr">
        <is>
          <t xml:space="preserve"> ; pre-divestiture balance sheet not comparable</t>
        </is>
      </c>
    </row>
    <row r="203">
      <c r="A203" t="inlineStr">
        <is>
          <t>KPI</t>
        </is>
      </c>
      <c r="B203" t="inlineStr">
        <is>
          <t>D13</t>
        </is>
      </c>
      <c r="C203" t="inlineStr">
        <is>
          <t>Cash &amp; cash equivalents (period end)</t>
        </is>
      </c>
      <c r="D203" t="inlineStr">
        <is>
          <t>Q2 2024</t>
        </is>
      </c>
      <c r="E203" t="n">
        <v>2325.5</v>
      </c>
      <c r="F203" t="inlineStr">
        <is>
          <t>Reported</t>
        </is>
      </c>
      <c r="G203" t="inlineStr">
        <is>
          <t>6-K 2024-08-01 acc 0001513845-24-000024 tmb-20240630xex99d1.htm BS | https://www.sec.gov/Archives/edgar/data/1513845/000151384524000024/tmb-20240630xex99d1.htm</t>
        </is>
      </c>
      <c r="H203" t="inlineStr">
        <is>
          <t>as reported (incl. Toloka)</t>
        </is>
      </c>
    </row>
    <row r="204">
      <c r="A204" t="inlineStr">
        <is>
          <t>KPI</t>
        </is>
      </c>
      <c r="B204" t="inlineStr">
        <is>
          <t>E13</t>
        </is>
      </c>
      <c r="C204" t="inlineStr">
        <is>
          <t>Cash &amp; cash equivalents (period end)</t>
        </is>
      </c>
      <c r="D204" t="inlineStr">
        <is>
          <t>Q3 2024</t>
        </is>
      </c>
      <c r="E204" t="n">
        <v>2288.2</v>
      </c>
      <c r="F204" t="inlineStr">
        <is>
          <t>Reported</t>
        </is>
      </c>
      <c r="G204" t="inlineStr">
        <is>
          <t>6-K 2024-10-31 acc 0001104659-24-112875 tm2427209d1_ex99-1.htm BS | https://www.sec.gov/Archives/edgar/data/1513845/000110465924112875/tm2427209d1_ex99-1.htm</t>
        </is>
      </c>
      <c r="H204" t="inlineStr">
        <is>
          <t>continuing ops 2,277.8 per Q3-25 PR</t>
        </is>
      </c>
    </row>
    <row r="205">
      <c r="A205" t="inlineStr">
        <is>
          <t>KPI</t>
        </is>
      </c>
      <c r="B205" t="inlineStr">
        <is>
          <t>F13</t>
        </is>
      </c>
      <c r="C205" t="inlineStr">
        <is>
          <t>Cash &amp; cash equivalents (period end)</t>
        </is>
      </c>
      <c r="D205" t="inlineStr">
        <is>
          <t>Q4 2024</t>
        </is>
      </c>
      <c r="E205" t="n">
        <v>2434.7</v>
      </c>
      <c r="F205" t="inlineStr">
        <is>
          <t>Reported</t>
        </is>
      </c>
      <c r="G205" t="inlineStr">
        <is>
          <t>6-K 2026-02-12 acc 0001104659-26-013946 tm266173d1_ex99-1.htm BS comparative | https://www.sec.gov/Archives/edgar/data/1513845/000110465926013946/tm266173d1_ex99-1.htm</t>
        </is>
      </c>
      <c r="H205" t="inlineStr">
        <is>
          <t>orig. 2,449.6 incl. Toloka</t>
        </is>
      </c>
    </row>
    <row r="206">
      <c r="A206" t="inlineStr">
        <is>
          <t>KPI</t>
        </is>
      </c>
      <c r="B206" t="inlineStr">
        <is>
          <t>G13</t>
        </is>
      </c>
      <c r="C206" t="inlineStr">
        <is>
          <t>Cash &amp; cash equivalents (period end)</t>
        </is>
      </c>
      <c r="D206" t="inlineStr">
        <is>
          <t>Q1 2025</t>
        </is>
      </c>
      <c r="E206" t="n">
        <v>1447</v>
      </c>
      <c r="F206" t="inlineStr">
        <is>
          <t>Reported</t>
        </is>
      </c>
      <c r="G206" t="inlineStr">
        <is>
          <t>6-K 2025-05-20 acc 0001104659-25-050975 tm2515580d1_ex99-1.htm BS | https://www.sec.gov/Archives/edgar/data/1513845/000110465925050975/tm2515580d1_ex99-1.htm</t>
        </is>
      </c>
      <c r="H206" t="inlineStr">
        <is>
          <t>continuing ops 1,439.7 per Q1-26 PR</t>
        </is>
      </c>
    </row>
    <row r="207">
      <c r="A207" t="inlineStr">
        <is>
          <t>KPI</t>
        </is>
      </c>
      <c r="B207" t="inlineStr">
        <is>
          <t>H13</t>
        </is>
      </c>
      <c r="C207" t="inlineStr">
        <is>
          <t>Cash &amp; cash equivalents (period end)</t>
        </is>
      </c>
      <c r="D207" t="inlineStr">
        <is>
          <t>Q2 2025</t>
        </is>
      </c>
      <c r="E207" t="n">
        <v>1679.3</v>
      </c>
      <c r="F207" t="inlineStr">
        <is>
          <t>Reported</t>
        </is>
      </c>
      <c r="G207" t="inlineStr">
        <is>
          <t>6-K 2025-08-07 acc 0001104659-25-075028 tm2522866d1_ex99-1.htm | https://www.sec.gov/Archives/edgar/data/1513845/000110465925075028/tm2522866d1_ex99-1.htm</t>
        </is>
      </c>
    </row>
    <row r="208">
      <c r="A208" t="inlineStr">
        <is>
          <t>KPI</t>
        </is>
      </c>
      <c r="B208" t="inlineStr">
        <is>
          <t>I13</t>
        </is>
      </c>
      <c r="C208" t="inlineStr">
        <is>
          <t>Cash &amp; cash equivalents (period end)</t>
        </is>
      </c>
      <c r="D208" t="inlineStr">
        <is>
          <t>Q3 2025</t>
        </is>
      </c>
      <c r="E208" t="n">
        <v>4794.8</v>
      </c>
      <c r="F208" t="inlineStr">
        <is>
          <t>Reported</t>
        </is>
      </c>
      <c r="G208" t="inlineStr">
        <is>
          <t>6-K 2025-11-12 acc 0001104659-25-109806 tm2530882d1_ex99-1.htm | https://www.sec.gov/Archives/edgar/data/1513845/000110465925109806/tm2530882d1_ex99-1.htm</t>
        </is>
      </c>
    </row>
    <row r="209">
      <c r="A209" t="inlineStr">
        <is>
          <t>KPI</t>
        </is>
      </c>
      <c r="B209" t="inlineStr">
        <is>
          <t>J13</t>
        </is>
      </c>
      <c r="C209" t="inlineStr">
        <is>
          <t>Cash &amp; cash equivalents (period end)</t>
        </is>
      </c>
      <c r="D209" t="inlineStr">
        <is>
          <t>Q4 2025</t>
        </is>
      </c>
      <c r="E209" t="n">
        <v>3678.1</v>
      </c>
      <c r="F209" t="inlineStr">
        <is>
          <t>Reported</t>
        </is>
      </c>
      <c r="G209" t="inlineStr">
        <is>
          <t>6-K 2026-02-12 acc 0001104659-26-013946 tm266173d1_ex99-1.htm | https://www.sec.gov/Archives/edgar/data/1513845/000110465926013946/tm266173d1_ex99-1.htm</t>
        </is>
      </c>
    </row>
    <row r="210">
      <c r="A210" t="inlineStr">
        <is>
          <t>KPI</t>
        </is>
      </c>
      <c r="B210" t="inlineStr">
        <is>
          <t>K13</t>
        </is>
      </c>
      <c r="C210" t="inlineStr">
        <is>
          <t>Cash &amp; cash equivalents (period end)</t>
        </is>
      </c>
      <c r="D210" t="inlineStr">
        <is>
          <t>Q1 2026</t>
        </is>
      </c>
      <c r="E210" t="n">
        <v>9298.200000000001</v>
      </c>
      <c r="F210" t="inlineStr">
        <is>
          <t>Reported</t>
        </is>
      </c>
      <c r="G210" t="inlineStr">
        <is>
          <t>6-K 2026-05-13 acc 0001104659-26-059872 tm2614392d1_ex99-1.htm | https://www.sec.gov/Archives/edgar/data/1513845/000110465926059872/tm2614392d1_ex99-1.htm</t>
        </is>
      </c>
    </row>
    <row r="211">
      <c r="A211" t="inlineStr">
        <is>
          <t>KPI</t>
        </is>
      </c>
      <c r="B211" t="inlineStr">
        <is>
          <t>L13</t>
        </is>
      </c>
      <c r="C211" t="inlineStr">
        <is>
          <t>Cash &amp; cash equivalents (period end)</t>
        </is>
      </c>
      <c r="D211" t="inlineStr">
        <is>
          <t>Q2 2026</t>
        </is>
      </c>
      <c r="E211" t="n">
        <v>8042.1</v>
      </c>
      <c r="F211" t="inlineStr">
        <is>
          <t>Reported</t>
        </is>
      </c>
      <c r="G211" t="inlineStr">
        <is>
          <t>6-K 2026-08-12 acc 0001104659-26-094568 tm2622968d1_ex99-1.htm | https://www.sec.gov/Archives/edgar/data/1513845/000110465926094568/tm2622968d1_ex99-1.htm</t>
        </is>
      </c>
      <c r="H211" t="inlineStr">
        <is>
          <t>restricted cash +1,056.0</t>
        </is>
      </c>
    </row>
    <row r="212">
      <c r="A212" t="inlineStr">
        <is>
          <t>KPI</t>
        </is>
      </c>
      <c r="B212" t="inlineStr">
        <is>
          <t>C14</t>
        </is>
      </c>
      <c r="C212" t="inlineStr">
        <is>
          <t>Total debt, carrying (period end)</t>
        </is>
      </c>
      <c r="D212" t="inlineStr">
        <is>
          <t>Q1 2024</t>
        </is>
      </c>
      <c r="E212" t="inlineStr">
        <is>
          <t>n.d.</t>
        </is>
      </c>
      <c r="F212" t="inlineStr">
        <is>
          <t>not disclosed</t>
        </is>
      </c>
      <c r="G212" t="inlineStr">
        <is>
          <t>n/a</t>
        </is>
      </c>
      <c r="H212" t="inlineStr">
        <is>
          <t xml:space="preserve"> ; pre-divestiture</t>
        </is>
      </c>
    </row>
    <row r="213">
      <c r="A213" t="inlineStr">
        <is>
          <t>KPI</t>
        </is>
      </c>
      <c r="B213" t="inlineStr">
        <is>
          <t>D14</t>
        </is>
      </c>
      <c r="C213" t="inlineStr">
        <is>
          <t>Total debt, carrying (period end)</t>
        </is>
      </c>
      <c r="D213" t="inlineStr">
        <is>
          <t>Q2 2024</t>
        </is>
      </c>
      <c r="E213" t="n">
        <v>6.5</v>
      </c>
      <c r="F213" t="inlineStr">
        <is>
          <t>Reported</t>
        </is>
      </c>
      <c r="G213" t="inlineStr">
        <is>
          <t>6-K 2024-08-01 acc 0001513845-24-000024 tmb-20240630xex99d1.htm BS current portion | https://www.sec.gov/Archives/edgar/data/1513845/000151384524000024/tmb-20240630xex99d1.htm</t>
        </is>
      </c>
      <c r="H213" t="inlineStr">
        <is>
          <t>non-current not shown</t>
        </is>
      </c>
    </row>
    <row r="214">
      <c r="A214" t="inlineStr">
        <is>
          <t>KPI</t>
        </is>
      </c>
      <c r="B214" t="inlineStr">
        <is>
          <t>E14</t>
        </is>
      </c>
      <c r="C214" t="inlineStr">
        <is>
          <t>Total debt, carrying (period end)</t>
        </is>
      </c>
      <c r="D214" t="inlineStr">
        <is>
          <t>Q3 2024</t>
        </is>
      </c>
      <c r="E214" t="n">
        <v>6.2</v>
      </c>
      <c r="F214" t="inlineStr">
        <is>
          <t>Reported</t>
        </is>
      </c>
      <c r="G214" t="inlineStr">
        <is>
          <t>6-K 2024-10-31 acc 0001104659-24-112875 tm2427209d1_ex99-1.htm BS current portion | https://www.sec.gov/Archives/edgar/data/1513845/000110465924112875/tm2427209d1_ex99-1.htm</t>
        </is>
      </c>
    </row>
    <row r="215">
      <c r="A215" t="inlineStr">
        <is>
          <t>KPI</t>
        </is>
      </c>
      <c r="B215" t="inlineStr">
        <is>
          <t>F14</t>
        </is>
      </c>
      <c r="C215" t="inlineStr">
        <is>
          <t>Total debt, carrying (period end)</t>
        </is>
      </c>
      <c r="D215" t="inlineStr">
        <is>
          <t>Q4 2024</t>
        </is>
      </c>
      <c r="E215" t="n">
        <v>6.1</v>
      </c>
      <c r="F215" t="inlineStr">
        <is>
          <t>Reported</t>
        </is>
      </c>
      <c r="G215" t="inlineStr">
        <is>
          <t>6-K 2026-02-12 acc 0001104659-26-013946 tm266173d1_ex99-1.htm BS | https://www.sec.gov/Archives/edgar/data/1513845/000110465926013946/tm266173d1_ex99-1.htm</t>
        </is>
      </c>
    </row>
    <row r="216">
      <c r="A216" t="inlineStr">
        <is>
          <t>KPI</t>
        </is>
      </c>
      <c r="B216" t="inlineStr">
        <is>
          <t>G14</t>
        </is>
      </c>
      <c r="C216" t="inlineStr">
        <is>
          <t>Total debt, carrying (period end)</t>
        </is>
      </c>
      <c r="D216" t="inlineStr">
        <is>
          <t>Q1 2025</t>
        </is>
      </c>
      <c r="E216" t="n">
        <v>6.2</v>
      </c>
      <c r="F216" t="inlineStr">
        <is>
          <t>Reported</t>
        </is>
      </c>
      <c r="G216" t="inlineStr">
        <is>
          <t>6-K 2025-05-20 acc 0001104659-25-050975 tm2515580d1_ex99-1.htm BS current portion | https://www.sec.gov/Archives/edgar/data/1513845/000110465925050975/tm2515580d1_ex99-1.htm</t>
        </is>
      </c>
    </row>
    <row r="217">
      <c r="A217" t="inlineStr">
        <is>
          <t>KPI</t>
        </is>
      </c>
      <c r="B217" t="inlineStr">
        <is>
          <t>H14</t>
        </is>
      </c>
      <c r="C217" t="inlineStr">
        <is>
          <t>Total debt, carrying (period end)</t>
        </is>
      </c>
      <c r="D217" t="inlineStr">
        <is>
          <t>Q2 2025</t>
        </is>
      </c>
      <c r="E217" t="n">
        <v>986.2</v>
      </c>
      <c r="F217" t="inlineStr">
        <is>
          <t>Derived</t>
        </is>
      </c>
      <c r="G217" t="inlineStr">
        <is>
          <t>6-K 2025-08-07 acc 0001104659-25-075028 tm2522866d1_ex99-1.htm 8.0 + 978.2 | https://www.sec.gov/Archives/edgar/data/1513845/000110465925075028/tm2522866d1_ex99-1.htm</t>
        </is>
      </c>
      <c r="H217" t="inlineStr">
        <is>
          <t>June-25 converts</t>
        </is>
      </c>
    </row>
    <row r="218">
      <c r="A218" t="inlineStr">
        <is>
          <t>KPI</t>
        </is>
      </c>
      <c r="B218" t="inlineStr">
        <is>
          <t>I14</t>
        </is>
      </c>
      <c r="C218" t="inlineStr">
        <is>
          <t>Total debt, carrying (period end)</t>
        </is>
      </c>
      <c r="D218" t="inlineStr">
        <is>
          <t>Q3 2025</t>
        </is>
      </c>
      <c r="E218" t="n">
        <v>4106.8</v>
      </c>
      <c r="F218" t="inlineStr">
        <is>
          <t>Derived</t>
        </is>
      </c>
      <c r="G218" t="inlineStr">
        <is>
          <t>6-K 2025-11-12 acc 0001104659-25-109806 tm2530882d1_ex99-1.htm 16.0 + 4,090.8 | https://www.sec.gov/Archives/edgar/data/1513845/000110465925109806/tm2530882d1_ex99-1.htm</t>
        </is>
      </c>
    </row>
    <row r="219">
      <c r="A219" t="inlineStr">
        <is>
          <t>KPI</t>
        </is>
      </c>
      <c r="B219" t="inlineStr">
        <is>
          <t>J14</t>
        </is>
      </c>
      <c r="C219" t="inlineStr">
        <is>
          <t>Total debt, carrying (period end)</t>
        </is>
      </c>
      <c r="D219" t="inlineStr">
        <is>
          <t>Q4 2025</t>
        </is>
      </c>
      <c r="E219" t="n">
        <v>4127.7</v>
      </c>
      <c r="F219" t="inlineStr">
        <is>
          <t>Derived</t>
        </is>
      </c>
      <c r="G219" t="inlineStr">
        <is>
          <t>6-K 2026-02-12 acc 0001104659-26-013946 tm266173d1_ex99-1.htm 24.5 + 4,103.2 | https://www.sec.gov/Archives/edgar/data/1513845/000110465926013946/tm266173d1_ex99-1.htm</t>
        </is>
      </c>
    </row>
    <row r="220">
      <c r="A220" t="inlineStr">
        <is>
          <t>KPI</t>
        </is>
      </c>
      <c r="B220" t="inlineStr">
        <is>
          <t>K14</t>
        </is>
      </c>
      <c r="C220" t="inlineStr">
        <is>
          <t>Total debt, carrying (period end)</t>
        </is>
      </c>
      <c r="D220" t="inlineStr">
        <is>
          <t>Q1 2026</t>
        </is>
      </c>
      <c r="E220" t="n">
        <v>8450.4</v>
      </c>
      <c r="F220" t="inlineStr">
        <is>
          <t>Derived</t>
        </is>
      </c>
      <c r="G220" t="inlineStr">
        <is>
          <t>6-K 2026-05-13 acc 0001104659-26-059872 tm2614392d1_ex99-1.htm 18.4 + 8,432.0 | https://www.sec.gov/Archives/edgar/data/1513845/000110465926059872/tm2614392d1_ex99-1.htm</t>
        </is>
      </c>
    </row>
    <row r="221">
      <c r="A221" t="inlineStr">
        <is>
          <t>KPI</t>
        </is>
      </c>
      <c r="B221" t="inlineStr">
        <is>
          <t>L14</t>
        </is>
      </c>
      <c r="C221" t="inlineStr">
        <is>
          <t>Total debt, carrying (period end)</t>
        </is>
      </c>
      <c r="D221" t="inlineStr">
        <is>
          <t>Q2 2026</t>
        </is>
      </c>
      <c r="E221" t="n">
        <v>8545.700000000001</v>
      </c>
      <c r="F221" t="inlineStr">
        <is>
          <t>Derived</t>
        </is>
      </c>
      <c r="G221" t="inlineStr">
        <is>
          <t>6-K 2026-08-12 acc 0001104659-26-094568 tm2622968d1_ex99-1.htm 46.7 + 8,499.0 | https://www.sec.gov/Archives/edgar/data/1513845/000110465926094568/tm2622968d1_ex99-1.htm</t>
        </is>
      </c>
    </row>
    <row r="222">
      <c r="A222" t="inlineStr">
        <is>
          <t>KPI</t>
        </is>
      </c>
      <c r="B222" t="inlineStr">
        <is>
          <t>C15</t>
        </is>
      </c>
      <c r="C222" t="inlineStr">
        <is>
          <t>Deferred revenue, total (period end)</t>
        </is>
      </c>
      <c r="D222" t="inlineStr">
        <is>
          <t>Q1 2024</t>
        </is>
      </c>
      <c r="E222" t="inlineStr">
        <is>
          <t>n.d.</t>
        </is>
      </c>
      <c r="F222" t="inlineStr">
        <is>
          <t>not disclosed</t>
        </is>
      </c>
      <c r="G222" t="inlineStr">
        <is>
          <t>n/a</t>
        </is>
      </c>
    </row>
    <row r="223">
      <c r="A223" t="inlineStr">
        <is>
          <t>KPI</t>
        </is>
      </c>
      <c r="B223" t="inlineStr">
        <is>
          <t>D15</t>
        </is>
      </c>
      <c r="C223" t="inlineStr">
        <is>
          <t>Deferred revenue, total (period end)</t>
        </is>
      </c>
      <c r="D223" t="inlineStr">
        <is>
          <t>Q2 2024</t>
        </is>
      </c>
      <c r="E223" t="inlineStr">
        <is>
          <t>n.d.</t>
        </is>
      </c>
      <c r="F223" t="inlineStr">
        <is>
          <t>not disclosed</t>
        </is>
      </c>
      <c r="G223" t="inlineStr">
        <is>
          <t>n/a</t>
        </is>
      </c>
    </row>
    <row r="224">
      <c r="A224" t="inlineStr">
        <is>
          <t>KPI</t>
        </is>
      </c>
      <c r="B224" t="inlineStr">
        <is>
          <t>E15</t>
        </is>
      </c>
      <c r="C224" t="inlineStr">
        <is>
          <t>Deferred revenue, total (period end)</t>
        </is>
      </c>
      <c r="D224" t="inlineStr">
        <is>
          <t>Q3 2024</t>
        </is>
      </c>
      <c r="E224" t="inlineStr">
        <is>
          <t>n.d.</t>
        </is>
      </c>
      <c r="F224" t="inlineStr">
        <is>
          <t>not disclosed</t>
        </is>
      </c>
      <c r="G224" t="inlineStr">
        <is>
          <t>n/a</t>
        </is>
      </c>
    </row>
    <row r="225">
      <c r="A225" t="inlineStr">
        <is>
          <t>KPI</t>
        </is>
      </c>
      <c r="B225" t="inlineStr">
        <is>
          <t>F15</t>
        </is>
      </c>
      <c r="C225" t="inlineStr">
        <is>
          <t>Deferred revenue, total (period end)</t>
        </is>
      </c>
      <c r="D225" t="inlineStr">
        <is>
          <t>Q4 2024</t>
        </is>
      </c>
      <c r="E225" t="n">
        <v>16.3</v>
      </c>
      <c r="F225" t="inlineStr">
        <is>
          <t>Reported</t>
        </is>
      </c>
      <c r="G225" t="inlineStr">
        <is>
          <t>6-K 2025-08-07 acc 0001104659-25-075028 tm2522866d1_ex99-1.htm Balance sheet Deferred revenue (Dec 31, 2024 comparative) | https://www.sec.gov/Archives/edgar/data/1513845/000110465925075028/tm2522866d1_ex99-1.htm</t>
        </is>
      </c>
      <c r="H225" t="inlineStr">
        <is>
          <t>Restated vs FY24 20-F $16.5; confirmed in FY25 20-F BS</t>
        </is>
      </c>
    </row>
    <row r="226">
      <c r="A226" t="inlineStr">
        <is>
          <t>KPI</t>
        </is>
      </c>
      <c r="B226" t="inlineStr">
        <is>
          <t>G15</t>
        </is>
      </c>
      <c r="C226" t="inlineStr">
        <is>
          <t>Deferred revenue, total (period end)</t>
        </is>
      </c>
      <c r="D226" t="inlineStr">
        <is>
          <t>Q1 2025</t>
        </is>
      </c>
      <c r="E226" t="n">
        <v>19</v>
      </c>
      <c r="F226" t="inlineStr">
        <is>
          <t>Reported</t>
        </is>
      </c>
      <c r="G226" t="inlineStr">
        <is>
          <t>6-K 2025-05-20 acc 0001104659-25-050975 tm2515580d1_ex99-1.htm Balance sheet Deferred revenue (Mar 31, 2025) | https://www.sec.gov/Archives/edgar/data/1513845/000110465925050975/tm2515580d1_ex99-1.htm</t>
        </is>
      </c>
      <c r="H226" t="inlineStr">
        <is>
          <t>As originally reported; YE24 comparative in that PR was $16.5 (later restated to $16.3). No subsequent filing restates the Mar-31-2025 deferred balance.</t>
        </is>
      </c>
    </row>
    <row r="227">
      <c r="A227" t="inlineStr">
        <is>
          <t>KPI</t>
        </is>
      </c>
      <c r="B227" t="inlineStr">
        <is>
          <t>H15</t>
        </is>
      </c>
      <c r="C227" t="inlineStr">
        <is>
          <t>Deferred revenue, total (period end)</t>
        </is>
      </c>
      <c r="D227" t="inlineStr">
        <is>
          <t>Q2 2025</t>
        </is>
      </c>
      <c r="E227" t="n">
        <v>19.3</v>
      </c>
      <c r="F227" t="inlineStr">
        <is>
          <t>Reported</t>
        </is>
      </c>
      <c r="G227" t="inlineStr">
        <is>
          <t>6-K 2025-08-07 acc 0001104659-25-075028 tm2522866d1_ex99-1.htm Balance sheet Deferred revenue (Jun 30, 2025) | https://www.sec.gov/Archives/edgar/data/1513845/000110465925075028/tm2522866d1_ex99-1.htm</t>
        </is>
      </c>
      <c r="H227" t="inlineStr">
        <is>
          <t>Current line only; no non-current deferred revenue presented</t>
        </is>
      </c>
    </row>
    <row r="228">
      <c r="A228" t="inlineStr">
        <is>
          <t>KPI</t>
        </is>
      </c>
      <c r="B228" t="inlineStr">
        <is>
          <t>I15</t>
        </is>
      </c>
      <c r="C228" t="inlineStr">
        <is>
          <t>Deferred revenue, total (period end)</t>
        </is>
      </c>
      <c r="D228" t="inlineStr">
        <is>
          <t>Q3 2025</t>
        </is>
      </c>
      <c r="E228" t="n">
        <v>15.6</v>
      </c>
      <c r="F228" t="inlineStr">
        <is>
          <t>Reported</t>
        </is>
      </c>
      <c r="G228" t="inlineStr">
        <is>
          <t>6-K 2025-11-12 acc 0001104659-25-109806 tm2530882d1_ex99-1.htm Balance sheet Deferred revenue (Sep 30, 2025) | https://www.sec.gov/Archives/edgar/data/1513845/000110465925109806/tm2530882d1_ex99-1.htm</t>
        </is>
      </c>
      <c r="H228" t="inlineStr">
        <is>
          <t>Current line only; no non-current presented</t>
        </is>
      </c>
    </row>
    <row r="229">
      <c r="A229" t="inlineStr">
        <is>
          <t>KPI</t>
        </is>
      </c>
      <c r="B229" t="inlineStr">
        <is>
          <t>J15</t>
        </is>
      </c>
      <c r="C229" t="inlineStr">
        <is>
          <t>Deferred revenue, total (period end)</t>
        </is>
      </c>
      <c r="D229" t="inlineStr">
        <is>
          <t>Q4 2025</t>
        </is>
      </c>
      <c r="E229" t="n">
        <v>1577.5</v>
      </c>
      <c r="F229" t="inlineStr">
        <is>
          <t>Reported</t>
        </is>
      </c>
      <c r="G229" t="inlineStr">
        <is>
          <t>6-K 2026-08-12 acc 0001104659-26-094844 nbis-20260812xex99d2.htm Note 1 | https://www.sec.gov/Archives/edgar/data/1513845/000110465926094844/nbis-20260812xex99d2.htm</t>
        </is>
      </c>
    </row>
    <row r="230">
      <c r="A230" t="inlineStr">
        <is>
          <t>KPI</t>
        </is>
      </c>
      <c r="B230" t="inlineStr">
        <is>
          <t>K15</t>
        </is>
      </c>
      <c r="C230" t="inlineStr">
        <is>
          <t>Deferred revenue, total (period end)</t>
        </is>
      </c>
      <c r="D230" t="inlineStr">
        <is>
          <t>Q1 2026</t>
        </is>
      </c>
      <c r="E230" t="n">
        <v>4778.1</v>
      </c>
      <c r="F230" t="inlineStr">
        <is>
          <t>Reported</t>
        </is>
      </c>
      <c r="G230" t="inlineStr">
        <is>
          <t>6-K 2026-05-20 acc 0001104659-26-064092 nbis-20260331xex99d2.htm Note 1 | https://www.sec.gov/Archives/edgar/data/1513845/000110465926064092/nbis-20260331xex99d2.htm</t>
        </is>
      </c>
    </row>
    <row r="231">
      <c r="A231" t="inlineStr">
        <is>
          <t>KPI</t>
        </is>
      </c>
      <c r="B231" t="inlineStr">
        <is>
          <t>L15</t>
        </is>
      </c>
      <c r="C231" t="inlineStr">
        <is>
          <t>Deferred revenue, total (period end)</t>
        </is>
      </c>
      <c r="D231" t="inlineStr">
        <is>
          <t>Q2 2026</t>
        </is>
      </c>
      <c r="E231" t="n">
        <v>5975.2</v>
      </c>
      <c r="F231" t="inlineStr">
        <is>
          <t>Reported</t>
        </is>
      </c>
      <c r="G231" t="inlineStr">
        <is>
          <t>6-K 2026-08-12 acc 0001104659-26-094844 nbis-20260812xex99d2.htm Note 1 | https://www.sec.gov/Archives/edgar/data/1513845/000110465926094844/nbis-20260812xex99d2.htm</t>
        </is>
      </c>
    </row>
    <row r="232">
      <c r="A232" t="inlineStr">
        <is>
          <t>KPI</t>
        </is>
      </c>
      <c r="B232" t="inlineStr">
        <is>
          <t>C16</t>
        </is>
      </c>
      <c r="C232" t="inlineStr">
        <is>
          <t>Remaining performance obligations (period end)</t>
        </is>
      </c>
      <c r="D232" t="inlineStr">
        <is>
          <t>Q1 2024</t>
        </is>
      </c>
      <c r="E232" t="inlineStr">
        <is>
          <t>n.d.</t>
        </is>
      </c>
      <c r="F232" t="inlineStr">
        <is>
          <t>not disclosed</t>
        </is>
      </c>
      <c r="G232" t="inlineStr">
        <is>
          <t>n/a</t>
        </is>
      </c>
    </row>
    <row r="233">
      <c r="A233" t="inlineStr">
        <is>
          <t>KPI</t>
        </is>
      </c>
      <c r="B233" t="inlineStr">
        <is>
          <t>D16</t>
        </is>
      </c>
      <c r="C233" t="inlineStr">
        <is>
          <t>Remaining performance obligations (period end)</t>
        </is>
      </c>
      <c r="D233" t="inlineStr">
        <is>
          <t>Q2 2024</t>
        </is>
      </c>
      <c r="E233" t="inlineStr">
        <is>
          <t>n.d.</t>
        </is>
      </c>
      <c r="F233" t="inlineStr">
        <is>
          <t>not disclosed</t>
        </is>
      </c>
      <c r="G233" t="inlineStr">
        <is>
          <t>n/a</t>
        </is>
      </c>
    </row>
    <row r="234">
      <c r="A234" t="inlineStr">
        <is>
          <t>KPI</t>
        </is>
      </c>
      <c r="B234" t="inlineStr">
        <is>
          <t>E16</t>
        </is>
      </c>
      <c r="C234" t="inlineStr">
        <is>
          <t>Remaining performance obligations (period end)</t>
        </is>
      </c>
      <c r="D234" t="inlineStr">
        <is>
          <t>Q3 2024</t>
        </is>
      </c>
      <c r="E234" t="inlineStr">
        <is>
          <t>n.d.</t>
        </is>
      </c>
      <c r="F234" t="inlineStr">
        <is>
          <t>not disclosed</t>
        </is>
      </c>
      <c r="G234" t="inlineStr">
        <is>
          <t>n/a</t>
        </is>
      </c>
    </row>
    <row r="235">
      <c r="A235" t="inlineStr">
        <is>
          <t>KPI</t>
        </is>
      </c>
      <c r="B235" t="inlineStr">
        <is>
          <t>F16</t>
        </is>
      </c>
      <c r="C235" t="inlineStr">
        <is>
          <t>Remaining performance obligations (period end)</t>
        </is>
      </c>
      <c r="D235" t="inlineStr">
        <is>
          <t>Q4 2024</t>
        </is>
      </c>
      <c r="E235" t="inlineStr">
        <is>
          <t>n.d.</t>
        </is>
      </c>
      <c r="F235" t="inlineStr">
        <is>
          <t>not disclosed</t>
        </is>
      </c>
      <c r="G235" t="inlineStr">
        <is>
          <t>n/a</t>
        </is>
      </c>
    </row>
    <row r="236">
      <c r="A236" t="inlineStr">
        <is>
          <t>KPI</t>
        </is>
      </c>
      <c r="B236" t="inlineStr">
        <is>
          <t>G16</t>
        </is>
      </c>
      <c r="C236" t="inlineStr">
        <is>
          <t>Remaining performance obligations (period end)</t>
        </is>
      </c>
      <c r="D236" t="inlineStr">
        <is>
          <t>Q1 2025</t>
        </is>
      </c>
      <c r="E236" t="inlineStr">
        <is>
          <t>n.d.</t>
        </is>
      </c>
      <c r="F236" t="inlineStr">
        <is>
          <t>not disclosed</t>
        </is>
      </c>
      <c r="G236" t="inlineStr">
        <is>
          <t>n/a</t>
        </is>
      </c>
    </row>
    <row r="237">
      <c r="A237" t="inlineStr">
        <is>
          <t>KPI</t>
        </is>
      </c>
      <c r="B237" t="inlineStr">
        <is>
          <t>H16</t>
        </is>
      </c>
      <c r="C237" t="inlineStr">
        <is>
          <t>Remaining performance obligations (period end)</t>
        </is>
      </c>
      <c r="D237" t="inlineStr">
        <is>
          <t>Q2 2025</t>
        </is>
      </c>
      <c r="E237" t="inlineStr">
        <is>
          <t>n.d.</t>
        </is>
      </c>
      <c r="F237" t="inlineStr">
        <is>
          <t>not disclosed</t>
        </is>
      </c>
      <c r="G237" t="inlineStr">
        <is>
          <t>n/a</t>
        </is>
      </c>
    </row>
    <row r="238">
      <c r="A238" t="inlineStr">
        <is>
          <t>KPI</t>
        </is>
      </c>
      <c r="B238" t="inlineStr">
        <is>
          <t>I16</t>
        </is>
      </c>
      <c r="C238" t="inlineStr">
        <is>
          <t>Remaining performance obligations (period end)</t>
        </is>
      </c>
      <c r="D238" t="inlineStr">
        <is>
          <t>Q3 2025</t>
        </is>
      </c>
      <c r="E238" t="inlineStr">
        <is>
          <t>n.d.</t>
        </is>
      </c>
      <c r="F238" t="inlineStr">
        <is>
          <t>not disclosed</t>
        </is>
      </c>
      <c r="G238" t="inlineStr">
        <is>
          <t>n/a</t>
        </is>
      </c>
    </row>
    <row r="239">
      <c r="A239" t="inlineStr">
        <is>
          <t>KPI</t>
        </is>
      </c>
      <c r="B239" t="inlineStr">
        <is>
          <t>J16</t>
        </is>
      </c>
      <c r="C239" t="inlineStr">
        <is>
          <t>Remaining performance obligations (period end)</t>
        </is>
      </c>
      <c r="D239" t="inlineStr">
        <is>
          <t>Q4 2025</t>
        </is>
      </c>
      <c r="E239" t="n">
        <v>21333</v>
      </c>
      <c r="F239" t="inlineStr">
        <is>
          <t>Reported</t>
        </is>
      </c>
      <c r="G239" t="inlineStr">
        <is>
          <t>20-F 2026-04-30 acc 0001104659-26-052948 nbis-20251231x20f.htm Note (revenue) | https://www.sec.gov/Archives/edgar/data/1513845/000110465926052948/nbis-20251231x20f.htm</t>
        </is>
      </c>
    </row>
    <row r="240">
      <c r="A240" t="inlineStr">
        <is>
          <t>KPI</t>
        </is>
      </c>
      <c r="B240" t="inlineStr">
        <is>
          <t>K16</t>
        </is>
      </c>
      <c r="C240" t="inlineStr">
        <is>
          <t>Remaining performance obligations (period end)</t>
        </is>
      </c>
      <c r="D240" t="inlineStr">
        <is>
          <t>Q1 2026</t>
        </is>
      </c>
      <c r="E240" t="n">
        <v>33585.3</v>
      </c>
      <c r="F240" t="inlineStr">
        <is>
          <t>Reported</t>
        </is>
      </c>
      <c r="G240" t="inlineStr">
        <is>
          <t>6-K 2026-05-20 acc 0001104659-26-064092 nbis-20260331xex99d2.htm Note 1 | https://www.sec.gov/Archives/edgar/data/1513845/000110465926064092/nbis-20260331xex99d2.htm</t>
        </is>
      </c>
    </row>
    <row r="241">
      <c r="A241" t="inlineStr">
        <is>
          <t>KPI</t>
        </is>
      </c>
      <c r="B241" t="inlineStr">
        <is>
          <t>L16</t>
        </is>
      </c>
      <c r="C241" t="inlineStr">
        <is>
          <t>Remaining performance obligations (period end)</t>
        </is>
      </c>
      <c r="D241" t="inlineStr">
        <is>
          <t>Q2 2026</t>
        </is>
      </c>
      <c r="E241" t="n">
        <v>37490.6</v>
      </c>
      <c r="F241" t="inlineStr">
        <is>
          <t>Reported</t>
        </is>
      </c>
      <c r="G241" t="inlineStr">
        <is>
          <t>6-K 2026-08-12 acc 0001104659-26-094844 nbis-20260812xex99d2.htm Note 1 | https://www.sec.gov/Archives/edgar/data/1513845/000110465926094844/nbis-20260812xex99d2.htm</t>
        </is>
      </c>
    </row>
    <row r="242">
      <c r="A242" t="inlineStr">
        <is>
          <t>KPI</t>
        </is>
      </c>
      <c r="B242" t="inlineStr">
        <is>
          <t>C17</t>
        </is>
      </c>
      <c r="C242" t="inlineStr">
        <is>
          <t>Shares issued &amp; outstanding (period end; excl. NVIDIA pre-funded warrant)</t>
        </is>
      </c>
      <c r="D242" t="inlineStr">
        <is>
          <t>Q1 2024</t>
        </is>
      </c>
      <c r="E242" t="inlineStr">
        <is>
          <t>n.d.</t>
        </is>
      </c>
      <c r="F242" t="inlineStr">
        <is>
          <t>not disclosed</t>
        </is>
      </c>
      <c r="G242" t="inlineStr">
        <is>
          <t>n/a</t>
        </is>
      </c>
      <c r="H242" t="inlineStr">
        <is>
          <t xml:space="preserve"> ; Yandex N.V. pre-divestiture</t>
        </is>
      </c>
    </row>
    <row r="243">
      <c r="A243" t="inlineStr">
        <is>
          <t>KPI</t>
        </is>
      </c>
      <c r="B243" t="inlineStr">
        <is>
          <t>D17</t>
        </is>
      </c>
      <c r="C243" t="inlineStr">
        <is>
          <t>Shares issued &amp; outstanding (period end; excl. NVIDIA pre-funded warrant)</t>
        </is>
      </c>
      <c r="D243" t="inlineStr">
        <is>
          <t>Q2 2024</t>
        </is>
      </c>
      <c r="E243" t="n">
        <v>293850159</v>
      </c>
      <c r="F243" t="inlineStr">
        <is>
          <t>Reported</t>
        </is>
      </c>
      <c r="G243" t="inlineStr">
        <is>
          <t>6-K 2024-08-01 acc 0001513845-24-000024 tmb-20240630xex99d1.htm | https://www.sec.gov/Archives/edgar/data/1513845/000151384524000024/tmb-20240630xex99d1.htm</t>
        </is>
      </c>
      <c r="H243" t="inlineStr">
        <is>
          <t>before final divestiture closing/treasury</t>
        </is>
      </c>
    </row>
    <row r="244">
      <c r="A244" t="inlineStr">
        <is>
          <t>KPI</t>
        </is>
      </c>
      <c r="B244" t="inlineStr">
        <is>
          <t>E17</t>
        </is>
      </c>
      <c r="C244" t="inlineStr">
        <is>
          <t>Shares issued &amp; outstanding (period end; excl. NVIDIA pre-funded warrant)</t>
        </is>
      </c>
      <c r="D244" t="inlineStr">
        <is>
          <t>Q3 2024</t>
        </is>
      </c>
      <c r="E244" t="n">
        <v>199340118</v>
      </c>
      <c r="F244" t="inlineStr">
        <is>
          <t>Reported</t>
        </is>
      </c>
      <c r="G244" t="inlineStr">
        <is>
          <t>6-K 2024-10-31 acc 0001104659-24-112875 tm2427209d1_ex99-1.htm | https://www.sec.gov/Archives/edgar/data/1513845/000110465924112875/tm2427209d1_ex99-1.htm</t>
        </is>
      </c>
    </row>
    <row r="245">
      <c r="A245" t="inlineStr">
        <is>
          <t>KPI</t>
        </is>
      </c>
      <c r="B245" t="inlineStr">
        <is>
          <t>F17</t>
        </is>
      </c>
      <c r="C245" t="inlineStr">
        <is>
          <t>Shares issued &amp; outstanding (period end; excl. NVIDIA pre-funded warrant)</t>
        </is>
      </c>
      <c r="D245" t="inlineStr">
        <is>
          <t>Q4 2024</t>
        </is>
      </c>
      <c r="E245" t="n">
        <v>235753600</v>
      </c>
      <c r="F245" t="inlineStr">
        <is>
          <t>Reported</t>
        </is>
      </c>
      <c r="G245" t="inlineStr">
        <is>
          <t>6-K 2025-02-20 acc 0001104659-25-015480 tm257185d1_ex99-1.htm | https://www.sec.gov/Archives/edgar/data/1513845/000110465925015480/tm257185d1_ex99-1.htm</t>
        </is>
      </c>
    </row>
    <row r="246">
      <c r="A246" t="inlineStr">
        <is>
          <t>KPI</t>
        </is>
      </c>
      <c r="B246" t="inlineStr">
        <is>
          <t>G17</t>
        </is>
      </c>
      <c r="C246" t="inlineStr">
        <is>
          <t>Shares issued &amp; outstanding (period end; excl. NVIDIA pre-funded warrant)</t>
        </is>
      </c>
      <c r="D246" t="inlineStr">
        <is>
          <t>Q1 2025</t>
        </is>
      </c>
      <c r="E246" t="n">
        <v>238108831</v>
      </c>
      <c r="F246" t="inlineStr">
        <is>
          <t>Reported</t>
        </is>
      </c>
      <c r="G246" t="inlineStr">
        <is>
          <t>6-K 2025-05-20 acc 0001104659-25-050975 tm2515580d1_ex99-1.htm | https://www.sec.gov/Archives/edgar/data/1513845/000110465925050975/tm2515580d1_ex99-1.htm</t>
        </is>
      </c>
    </row>
    <row r="247">
      <c r="A247" t="inlineStr">
        <is>
          <t>KPI</t>
        </is>
      </c>
      <c r="B247" t="inlineStr">
        <is>
          <t>H17</t>
        </is>
      </c>
      <c r="C247" t="inlineStr">
        <is>
          <t>Shares issued &amp; outstanding (period end; excl. NVIDIA pre-funded warrant)</t>
        </is>
      </c>
      <c r="D247" t="inlineStr">
        <is>
          <t>Q2 2025</t>
        </is>
      </c>
      <c r="E247" t="n">
        <v>238705092</v>
      </c>
      <c r="F247" t="inlineStr">
        <is>
          <t>Reported</t>
        </is>
      </c>
      <c r="G247" t="inlineStr">
        <is>
          <t>6-K 2025-08-07 acc 0001104659-25-075028 tm2522866d1_ex99-1.htm | https://www.sec.gov/Archives/edgar/data/1513845/000110465925075028/tm2522866d1_ex99-1.htm</t>
        </is>
      </c>
    </row>
    <row r="248">
      <c r="A248" t="inlineStr">
        <is>
          <t>KPI</t>
        </is>
      </c>
      <c r="B248" t="inlineStr">
        <is>
          <t>I17</t>
        </is>
      </c>
      <c r="C248" t="inlineStr">
        <is>
          <t>Shares issued &amp; outstanding (period end; excl. NVIDIA pre-funded warrant)</t>
        </is>
      </c>
      <c r="D248" t="inlineStr">
        <is>
          <t>Q3 2025</t>
        </is>
      </c>
      <c r="E248" t="n">
        <v>251807222</v>
      </c>
      <c r="F248" t="inlineStr">
        <is>
          <t>Reported</t>
        </is>
      </c>
      <c r="G248" t="inlineStr">
        <is>
          <t>6-K 2025-11-12 acc 0001104659-25-109806 tm2530882d1_ex99-1.htm | https://www.sec.gov/Archives/edgar/data/1513845/000110465925109806/tm2530882d1_ex99-1.htm</t>
        </is>
      </c>
    </row>
    <row r="249">
      <c r="A249" t="inlineStr">
        <is>
          <t>KPI</t>
        </is>
      </c>
      <c r="B249" t="inlineStr">
        <is>
          <t>J17</t>
        </is>
      </c>
      <c r="C249" t="inlineStr">
        <is>
          <t>Shares issued &amp; outstanding (period end; excl. NVIDIA pre-funded warrant)</t>
        </is>
      </c>
      <c r="D249" t="inlineStr">
        <is>
          <t>Q4 2025</t>
        </is>
      </c>
      <c r="E249" t="n">
        <v>253016971</v>
      </c>
      <c r="F249" t="inlineStr">
        <is>
          <t>Reported</t>
        </is>
      </c>
      <c r="G249" t="inlineStr">
        <is>
          <t>6-K 2026-02-12 acc 0001104659-26-013946 tm266173d1_ex99-1.htm | https://www.sec.gov/Archives/edgar/data/1513845/000110465926013946/tm266173d1_ex99-1.htm</t>
        </is>
      </c>
    </row>
    <row r="250">
      <c r="A250" t="inlineStr">
        <is>
          <t>KPI</t>
        </is>
      </c>
      <c r="B250" t="inlineStr">
        <is>
          <t>K17</t>
        </is>
      </c>
      <c r="C250" t="inlineStr">
        <is>
          <t>Shares issued &amp; outstanding (period end; excl. NVIDIA pre-funded warrant)</t>
        </is>
      </c>
      <c r="D250" t="inlineStr">
        <is>
          <t>Q1 2026</t>
        </is>
      </c>
      <c r="E250" t="n">
        <v>253898194</v>
      </c>
      <c r="F250" t="inlineStr">
        <is>
          <t>Reported</t>
        </is>
      </c>
      <c r="G250" t="inlineStr">
        <is>
          <t>6-K 2026-05-13 acc 0001104659-26-059872 tm2614392d1_ex99-1.htm | https://www.sec.gov/Archives/edgar/data/1513845/000110465926059872/tm2614392d1_ex99-1.htm</t>
        </is>
      </c>
    </row>
    <row r="251">
      <c r="A251" t="inlineStr">
        <is>
          <t>KPI</t>
        </is>
      </c>
      <c r="B251" t="inlineStr">
        <is>
          <t>L17</t>
        </is>
      </c>
      <c r="C251" t="inlineStr">
        <is>
          <t>Shares issued &amp; outstanding (period end; excl. NVIDIA pre-funded warrant)</t>
        </is>
      </c>
      <c r="D251" t="inlineStr">
        <is>
          <t>Q2 2026</t>
        </is>
      </c>
      <c r="E251" t="n">
        <v>271855218</v>
      </c>
      <c r="F251" t="inlineStr">
        <is>
          <t>Reported</t>
        </is>
      </c>
      <c r="G251" t="inlineStr">
        <is>
          <t>6-K 2026-08-12 acc 0001104659-26-094568 tm2622968d1_ex99-1.htm | https://www.sec.gov/Archives/edgar/data/1513845/000110465926094568/tm2622968d1_ex99-1.htm</t>
        </is>
      </c>
    </row>
    <row r="252">
      <c r="A252" t="inlineStr">
        <is>
          <t>KPI</t>
        </is>
      </c>
      <c r="B252" t="inlineStr">
        <is>
          <t>C18</t>
        </is>
      </c>
      <c r="C252" t="inlineStr">
        <is>
          <t>Weighted-average shares - basic</t>
        </is>
      </c>
      <c r="D252" t="inlineStr">
        <is>
          <t>Q1 2024</t>
        </is>
      </c>
      <c r="E252" t="inlineStr">
        <is>
          <t>n.d.</t>
        </is>
      </c>
      <c r="F252" t="inlineStr">
        <is>
          <t>not disclosed</t>
        </is>
      </c>
      <c r="G252" t="inlineStr">
        <is>
          <t>20-F 2025-04-30 acc 0001558370-25-005991 nbis-20241231x20f.htm | https://www.sec.gov/Archives/edgar/data/1513845/000155837025005991/nbis-20241231x20f.htm</t>
        </is>
      </c>
      <c r="H252" t="inlineStr">
        <is>
          <t xml:space="preserve"> ; not disclosed quarterly (Yandex N.V. pre-divestiture; no EPS table in PR). FY2024 basic = 281,005,226 (20-F FY24)</t>
        </is>
      </c>
    </row>
    <row r="253">
      <c r="A253" t="inlineStr">
        <is>
          <t>KPI</t>
        </is>
      </c>
      <c r="B253" t="inlineStr">
        <is>
          <t>D18</t>
        </is>
      </c>
      <c r="C253" t="inlineStr">
        <is>
          <t>Weighted-average shares - basic</t>
        </is>
      </c>
      <c r="D253" t="inlineStr">
        <is>
          <t>Q2 2024</t>
        </is>
      </c>
      <c r="E253" t="inlineStr">
        <is>
          <t>n.d.</t>
        </is>
      </c>
      <c r="F253" t="inlineStr">
        <is>
          <t>not disclosed</t>
        </is>
      </c>
      <c r="G253" t="inlineStr">
        <is>
          <t>20-F 2025-04-30 acc 0001558370-25-005991 nbis-20241231x20f.htm | https://www.sec.gov/Archives/edgar/data/1513845/000155837025005991/nbis-20241231x20f.htm</t>
        </is>
      </c>
      <c r="H253" t="inlineStr">
        <is>
          <t xml:space="preserve"> ; not disclosed quarterly; FY2024 basic = 281,005,226; period-end Q2-24 count 293,850,159 is pre-Second Completion</t>
        </is>
      </c>
    </row>
    <row r="254">
      <c r="A254" t="inlineStr">
        <is>
          <t>KPI</t>
        </is>
      </c>
      <c r="B254" t="inlineStr">
        <is>
          <t>E18</t>
        </is>
      </c>
      <c r="C254" t="inlineStr">
        <is>
          <t>Weighted-average shares - basic</t>
        </is>
      </c>
      <c r="D254" t="inlineStr">
        <is>
          <t>Q3 2024</t>
        </is>
      </c>
      <c r="E254" t="n">
        <v>246595139</v>
      </c>
      <c r="F254" t="inlineStr">
        <is>
          <t>Estimated</t>
        </is>
      </c>
      <c r="G254" t="inlineStr">
        <is>
          <t>6-K 2024-10-31 acc 0001104659-24-112875 tm2427209d1_ex99-1.htm avg(293,850,159 Q2-end; 199,340,118 Q3-end) | https://www.sec.gov/Archives/edgar/data/1513845/000110465924112875/tm2427209d1_ex99-1.htm</t>
        </is>
      </c>
      <c r="H254" t="inlineStr">
        <is>
          <t>ESTIMATE only: weighted count not disclosed; 94.9M treasury shares received 12-Jul-2024 so true average is lower than simple avg</t>
        </is>
      </c>
    </row>
    <row r="255">
      <c r="A255" t="inlineStr">
        <is>
          <t>KPI</t>
        </is>
      </c>
      <c r="B255" t="inlineStr">
        <is>
          <t>F18</t>
        </is>
      </c>
      <c r="C255" t="inlineStr">
        <is>
          <t>Weighted-average shares - basic</t>
        </is>
      </c>
      <c r="D255" t="inlineStr">
        <is>
          <t>Q4 2024</t>
        </is>
      </c>
      <c r="E255" t="n">
        <v>217546859</v>
      </c>
      <c r="F255" t="inlineStr">
        <is>
          <t>Estimated</t>
        </is>
      </c>
      <c r="G255" t="inlineStr">
        <is>
          <t>6-K 2025-02-20 acc 0001104659-25-015480 tm257185d1_ex99-1.htm avg(199,340,118; 235,753,600) | https://www.sec.gov/Archives/edgar/data/1513845/000110465925015480/tm257185d1_ex99-1.htm</t>
        </is>
      </c>
      <c r="H255" t="inlineStr">
        <is>
          <t>ESTIMATE only: not disclosed; 33.3M placement shares issued Dec-2024 so true average is closer to Q3-end count</t>
        </is>
      </c>
    </row>
    <row r="256">
      <c r="A256" t="inlineStr">
        <is>
          <t>KPI</t>
        </is>
      </c>
      <c r="B256" t="inlineStr">
        <is>
          <t>G18</t>
        </is>
      </c>
      <c r="C256" t="inlineStr">
        <is>
          <t>Weighted-average shares - basic</t>
        </is>
      </c>
      <c r="D256" t="inlineStr">
        <is>
          <t>Q1 2025</t>
        </is>
      </c>
      <c r="E256" t="n">
        <v>237916047</v>
      </c>
      <c r="F256" t="inlineStr">
        <is>
          <t>Reported</t>
        </is>
      </c>
      <c r="G256" t="inlineStr">
        <is>
          <t>6-K 2026-05-13 acc 0001104659-26-059872 tm2614392d1_ex99-1.htm comparative | https://www.sec.gov/Archives/edgar/data/1513845/000110465926059872/tm2614392d1_ex99-1.htm</t>
        </is>
      </c>
    </row>
    <row r="257">
      <c r="A257" t="inlineStr">
        <is>
          <t>KPI</t>
        </is>
      </c>
      <c r="B257" t="inlineStr">
        <is>
          <t>H18</t>
        </is>
      </c>
      <c r="C257" t="inlineStr">
        <is>
          <t>Weighted-average shares - basic</t>
        </is>
      </c>
      <c r="D257" t="inlineStr">
        <is>
          <t>Q2 2025</t>
        </is>
      </c>
      <c r="E257" t="n">
        <v>238520244</v>
      </c>
      <c r="F257" t="inlineStr">
        <is>
          <t>Reported</t>
        </is>
      </c>
      <c r="G257" t="inlineStr">
        <is>
          <t>6-K 2026-08-12 acc 0001104659-26-094568 tm2622968d1_ex99-1.htm comparative | https://www.sec.gov/Archives/edgar/data/1513845/000110465926094568/tm2622968d1_ex99-1.htm</t>
        </is>
      </c>
    </row>
    <row r="258">
      <c r="A258" t="inlineStr">
        <is>
          <t>KPI</t>
        </is>
      </c>
      <c r="B258" t="inlineStr">
        <is>
          <t>I18</t>
        </is>
      </c>
      <c r="C258" t="inlineStr">
        <is>
          <t>Weighted-average shares - basic</t>
        </is>
      </c>
      <c r="D258" t="inlineStr">
        <is>
          <t>Q3 2025</t>
        </is>
      </c>
      <c r="E258" t="n">
        <v>245256157</v>
      </c>
      <c r="F258" t="inlineStr">
        <is>
          <t>Estimated</t>
        </is>
      </c>
      <c r="G258" t="inlineStr">
        <is>
          <t>6-K 2025-11-12 acc 0001104659-25-109806 tm2530882d1_ex99-1.htm avg(238,705,092; 251,807,222) | https://www.sec.gov/Archives/edgar/data/1513845/000110465925109806/tm2530882d1_ex99-1.htm</t>
        </is>
      </c>
      <c r="H258" t="inlineStr">
        <is>
          <t>ESTIMATE only: not disclosed in Q3-25 PR/OFR. Cross-check: FY25 basic 242,531,291 x4 - Q1 - Q2 = 493,688,873 implied H2 sum vs estimate sum 497,668,254 (+0.8%)</t>
        </is>
      </c>
    </row>
    <row r="259">
      <c r="A259" t="inlineStr">
        <is>
          <t>KPI</t>
        </is>
      </c>
      <c r="B259" t="inlineStr">
        <is>
          <t>J18</t>
        </is>
      </c>
      <c r="C259" t="inlineStr">
        <is>
          <t>Weighted-average shares - basic</t>
        </is>
      </c>
      <c r="D259" t="inlineStr">
        <is>
          <t>Q4 2025</t>
        </is>
      </c>
      <c r="E259" t="n">
        <v>252412097</v>
      </c>
      <c r="F259" t="inlineStr">
        <is>
          <t>Estimated</t>
        </is>
      </c>
      <c r="G259" t="inlineStr">
        <is>
          <t>6-K 2026-02-12 acc 0001104659-26-013946 tm266173d1_ex99-1.htm avg(251,807,222; 253,016,971) | https://www.sec.gov/Archives/edgar/data/1513845/000110465926013946/tm266173d1_ex99-1.htm</t>
        </is>
      </c>
      <c r="H259" t="inlineStr">
        <is>
          <t>ESTIMATE only: not disclosed; see Q3-25 cross-check</t>
        </is>
      </c>
    </row>
    <row r="260">
      <c r="A260" t="inlineStr">
        <is>
          <t>KPI</t>
        </is>
      </c>
      <c r="B260" t="inlineStr">
        <is>
          <t>K18</t>
        </is>
      </c>
      <c r="C260" t="inlineStr">
        <is>
          <t>Weighted-average shares - basic</t>
        </is>
      </c>
      <c r="D260" t="inlineStr">
        <is>
          <t>Q1 2026</t>
        </is>
      </c>
      <c r="E260" t="n">
        <v>258298911</v>
      </c>
      <c r="F260" t="inlineStr">
        <is>
          <t>Reported</t>
        </is>
      </c>
      <c r="G260" t="inlineStr">
        <is>
          <t>6-K 2026-05-13 acc 0001104659-26-059872 tm2614392d1_ex99-1.htm | https://www.sec.gov/Archives/edgar/data/1513845/000110465926059872/tm2614392d1_ex99-1.htm</t>
        </is>
      </c>
    </row>
    <row r="261">
      <c r="A261" t="inlineStr">
        <is>
          <t>KPI</t>
        </is>
      </c>
      <c r="B261" t="inlineStr">
        <is>
          <t>L18</t>
        </is>
      </c>
      <c r="C261" t="inlineStr">
        <is>
          <t>Weighted-average shares - basic</t>
        </is>
      </c>
      <c r="D261" t="inlineStr">
        <is>
          <t>Q2 2026</t>
        </is>
      </c>
      <c r="E261" t="n">
        <v>280381615</v>
      </c>
      <c r="F261" t="inlineStr">
        <is>
          <t>Reported</t>
        </is>
      </c>
      <c r="G261" t="inlineStr">
        <is>
          <t>6-K 2026-08-12 acc 0001104659-26-094568 tm2622968d1_ex99-1.htm | https://www.sec.gov/Archives/edgar/data/1513845/000110465926094568/tm2622968d1_ex99-1.htm</t>
        </is>
      </c>
      <c r="H261" t="inlineStr">
        <is>
          <t>includes 21,065,936 NVIDIA pre-funded warrant shares; excludes 2,743,655 unvested Eigen AI shares</t>
        </is>
      </c>
    </row>
    <row r="262">
      <c r="A262" t="inlineStr">
        <is>
          <t>KPI</t>
        </is>
      </c>
      <c r="B262" t="inlineStr">
        <is>
          <t>C19</t>
        </is>
      </c>
      <c r="C262" t="inlineStr">
        <is>
          <t>Customer concentration (&gt;10% of revenue)</t>
        </is>
      </c>
      <c r="D262" t="inlineStr">
        <is>
          <t>Q1 2024</t>
        </is>
      </c>
      <c r="E262" t="inlineStr">
        <is>
          <t>n.d.</t>
        </is>
      </c>
      <c r="F262" t="inlineStr">
        <is>
          <t>not disclosed</t>
        </is>
      </c>
      <c r="G262" t="inlineStr">
        <is>
          <t>n/a</t>
        </is>
      </c>
    </row>
    <row r="263">
      <c r="A263" t="inlineStr">
        <is>
          <t>KPI</t>
        </is>
      </c>
      <c r="B263" t="inlineStr">
        <is>
          <t>D19</t>
        </is>
      </c>
      <c r="C263" t="inlineStr">
        <is>
          <t>Customer concentration (&gt;10% of revenue)</t>
        </is>
      </c>
      <c r="D263" t="inlineStr">
        <is>
          <t>Q2 2024</t>
        </is>
      </c>
      <c r="E263" t="inlineStr">
        <is>
          <t>n.d.</t>
        </is>
      </c>
      <c r="F263" t="inlineStr">
        <is>
          <t>not disclosed</t>
        </is>
      </c>
      <c r="G263" t="inlineStr">
        <is>
          <t>n/a</t>
        </is>
      </c>
    </row>
    <row r="264">
      <c r="A264" t="inlineStr">
        <is>
          <t>KPI</t>
        </is>
      </c>
      <c r="B264" t="inlineStr">
        <is>
          <t>E19</t>
        </is>
      </c>
      <c r="C264" t="inlineStr">
        <is>
          <t>Customer concentration (&gt;10% of revenue)</t>
        </is>
      </c>
      <c r="D264" t="inlineStr">
        <is>
          <t>Q3 2024</t>
        </is>
      </c>
      <c r="E264" t="inlineStr">
        <is>
          <t>n.d.</t>
        </is>
      </c>
      <c r="F264" t="inlineStr">
        <is>
          <t>not disclosed</t>
        </is>
      </c>
      <c r="G264" t="inlineStr">
        <is>
          <t>n/a</t>
        </is>
      </c>
    </row>
    <row r="265">
      <c r="A265" t="inlineStr">
        <is>
          <t>KPI</t>
        </is>
      </c>
      <c r="B265" t="inlineStr">
        <is>
          <t>F19</t>
        </is>
      </c>
      <c r="C265" t="inlineStr">
        <is>
          <t>Customer concentration (&gt;10% of revenue)</t>
        </is>
      </c>
      <c r="D265" t="inlineStr">
        <is>
          <t>Q4 2024</t>
        </is>
      </c>
      <c r="E265" t="inlineStr">
        <is>
          <t>FY24: A 27%, C 11%</t>
        </is>
      </c>
      <c r="F265" t="inlineStr">
        <is>
          <t>Reported</t>
        </is>
      </c>
      <c r="G265" t="inlineStr">
        <is>
          <t>20-F 2026-04-30 acc 0001104659-26-052948 nbis-20251231x20f.htm Note Significant Customers (years ended Dec 31) | https://www.sec.gov/Archives/edgar/data/1513845/000110465926052948/nbis-20251231x20f.htm</t>
        </is>
      </c>
      <c r="H265" t="inlineStr">
        <is>
          <t>Annual, not quarterly; Customer B &lt;10% in 2024</t>
        </is>
      </c>
    </row>
    <row r="266">
      <c r="A266" t="inlineStr">
        <is>
          <t>KPI</t>
        </is>
      </c>
      <c r="B266" t="inlineStr">
        <is>
          <t>G19</t>
        </is>
      </c>
      <c r="C266" t="inlineStr">
        <is>
          <t>Customer concentration (&gt;10% of revenue)</t>
        </is>
      </c>
      <c r="D266" t="inlineStr">
        <is>
          <t>Q1 2025</t>
        </is>
      </c>
      <c r="E266" t="inlineStr">
        <is>
          <t>n.d.</t>
        </is>
      </c>
      <c r="F266" t="inlineStr">
        <is>
          <t>not disclosed</t>
        </is>
      </c>
      <c r="G266" t="inlineStr">
        <is>
          <t>n/a</t>
        </is>
      </c>
    </row>
    <row r="267">
      <c r="A267" t="inlineStr">
        <is>
          <t>KPI</t>
        </is>
      </c>
      <c r="B267" t="inlineStr">
        <is>
          <t>H19</t>
        </is>
      </c>
      <c r="C267" t="inlineStr">
        <is>
          <t>Customer concentration (&gt;10% of revenue)</t>
        </is>
      </c>
      <c r="D267" t="inlineStr">
        <is>
          <t>Q2 2025</t>
        </is>
      </c>
      <c r="E267" t="inlineStr">
        <is>
          <t>A 39%, B 15%</t>
        </is>
      </c>
      <c r="F267" t="inlineStr">
        <is>
          <t>Reported</t>
        </is>
      </c>
      <c r="G267" t="inlineStr">
        <is>
          <t>6-K 2026-08-12 acc 0001104659-26-094844 nbis-20260812xex99d2.htm Note 1 | https://www.sec.gov/Archives/edgar/data/1513845/000110465926094844/nbis-20260812xex99d2.htm</t>
        </is>
      </c>
    </row>
    <row r="268">
      <c r="A268" t="inlineStr">
        <is>
          <t>KPI</t>
        </is>
      </c>
      <c r="B268" t="inlineStr">
        <is>
          <t>I19</t>
        </is>
      </c>
      <c r="C268" t="inlineStr">
        <is>
          <t>Customer concentration (&gt;10% of revenue)</t>
        </is>
      </c>
      <c r="D268" t="inlineStr">
        <is>
          <t>Q3 2025</t>
        </is>
      </c>
      <c r="E268" t="inlineStr">
        <is>
          <t>n.d.</t>
        </is>
      </c>
      <c r="F268" t="inlineStr">
        <is>
          <t>not disclosed</t>
        </is>
      </c>
      <c r="G268" t="inlineStr">
        <is>
          <t>n/a</t>
        </is>
      </c>
    </row>
    <row r="269">
      <c r="A269" t="inlineStr">
        <is>
          <t>KPI</t>
        </is>
      </c>
      <c r="B269" t="inlineStr">
        <is>
          <t>J19</t>
        </is>
      </c>
      <c r="C269" t="inlineStr">
        <is>
          <t>Customer concentration (&gt;10% of revenue)</t>
        </is>
      </c>
      <c r="D269" t="inlineStr">
        <is>
          <t>Q4 2025</t>
        </is>
      </c>
      <c r="E269" t="inlineStr">
        <is>
          <t>FY25: A 25%, B 15%</t>
        </is>
      </c>
      <c r="F269" t="inlineStr">
        <is>
          <t>Reported</t>
        </is>
      </c>
      <c r="G269" t="inlineStr">
        <is>
          <t>20-F 2026-04-30 acc 0001104659-26-052948 nbis-20251231x20f.htm | https://www.sec.gov/Archives/edgar/data/1513845/000110465926052948/nbis-20251231x20f.htm</t>
        </is>
      </c>
    </row>
    <row r="270">
      <c r="A270" t="inlineStr">
        <is>
          <t>KPI</t>
        </is>
      </c>
      <c r="B270" t="inlineStr">
        <is>
          <t>K19</t>
        </is>
      </c>
      <c r="C270" t="inlineStr">
        <is>
          <t>Customer concentration (&gt;10% of revenue)</t>
        </is>
      </c>
      <c r="D270" t="inlineStr">
        <is>
          <t>Q1 2026</t>
        </is>
      </c>
      <c r="E270" t="inlineStr">
        <is>
          <t>n.d.</t>
        </is>
      </c>
      <c r="F270" t="inlineStr">
        <is>
          <t>not disclosed</t>
        </is>
      </c>
      <c r="G270" t="inlineStr">
        <is>
          <t>n/a</t>
        </is>
      </c>
    </row>
    <row r="271">
      <c r="A271" t="inlineStr">
        <is>
          <t>KPI</t>
        </is>
      </c>
      <c r="B271" t="inlineStr">
        <is>
          <t>L19</t>
        </is>
      </c>
      <c r="C271" t="inlineStr">
        <is>
          <t>Customer concentration (&gt;10% of revenue)</t>
        </is>
      </c>
      <c r="D271" t="inlineStr">
        <is>
          <t>Q2 2026</t>
        </is>
      </c>
      <c r="E271" t="inlineStr">
        <is>
          <t>C 24%, D 21%, E 14%</t>
        </is>
      </c>
      <c r="F271" t="inlineStr">
        <is>
          <t>Reported</t>
        </is>
      </c>
      <c r="G271" t="inlineStr">
        <is>
          <t>6-K 2026-08-12 acc 0001104659-26-094844 nbis-20260812xex99d2.htm Note 1 | https://www.sec.gov/Archives/edgar/data/1513845/000110465926094844/nbis-20260812xex99d2.htm</t>
        </is>
      </c>
    </row>
    <row r="272">
      <c r="A272" t="inlineStr">
        <is>
          <t>KPI</t>
        </is>
      </c>
      <c r="B272" t="inlineStr">
        <is>
          <t>C20</t>
        </is>
      </c>
      <c r="C272" t="inlineStr">
        <is>
          <t>Net cash from operating activities - continuing ops</t>
        </is>
      </c>
      <c r="D272" t="inlineStr">
        <is>
          <t>Q1 2024</t>
        </is>
      </c>
      <c r="E272" t="n">
        <v>-63</v>
      </c>
      <c r="F272" t="inlineStr">
        <is>
          <t>Derived</t>
        </is>
      </c>
      <c r="G272" t="inlineStr">
        <is>
          <t>6-K 2025-09-10 acc 0001104659-25-088860 tm2525580d2_ex99-1.htm Cash flow summary: 1H24 (162.0) | https://www.sec.gov/Archives/edgar/data/1513845/000110465925088860/tm2525580d2_ex99-1.htm</t>
        </is>
      </c>
      <c r="H272" t="inlineStr">
        <is>
          <t>Q1-24 = 1H24 (162.0) - Q2-24 (99.0) [Q2PR25 highlights]; FY24 check: -63.0-99.0-34.8-73.1 = -269.9 (20F25)</t>
        </is>
      </c>
    </row>
    <row r="273">
      <c r="A273" t="inlineStr">
        <is>
          <t>KPI</t>
        </is>
      </c>
      <c r="B273" t="inlineStr">
        <is>
          <t>D20</t>
        </is>
      </c>
      <c r="C273" t="inlineStr">
        <is>
          <t>Net cash from operating activities - continuing ops</t>
        </is>
      </c>
      <c r="D273" t="inlineStr">
        <is>
          <t>Q2 2024</t>
        </is>
      </c>
      <c r="E273" t="n">
        <v>-99</v>
      </c>
      <c r="F273" t="inlineStr">
        <is>
          <t>Reported</t>
        </is>
      </c>
      <c r="G273" t="inlineStr">
        <is>
          <t>6-K 2025-08-07 acc 0001104659-25-075028 tm2522866d1_ex99-1.htm Highlights table (Q2-24 comparative) | https://www.sec.gov/Archives/edgar/data/1513845/000110465925075028/tm2522866d1_ex99-1.htm</t>
        </is>
      </c>
    </row>
    <row r="274">
      <c r="A274" t="inlineStr">
        <is>
          <t>KPI</t>
        </is>
      </c>
      <c r="B274" t="inlineStr">
        <is>
          <t>E20</t>
        </is>
      </c>
      <c r="C274" t="inlineStr">
        <is>
          <t>Net cash from operating activities - continuing ops</t>
        </is>
      </c>
      <c r="D274" t="inlineStr">
        <is>
          <t>Q3 2024</t>
        </is>
      </c>
      <c r="E274" t="n">
        <v>-34.8</v>
      </c>
      <c r="F274" t="inlineStr">
        <is>
          <t>Reported</t>
        </is>
      </c>
      <c r="G274" t="inlineStr">
        <is>
          <t>6-K 2025-11-12 acc 0001104659-25-109806 tm2530882d1_ex99-1.htm Cash flow statement, three months (Q3-24 comparative) | https://www.sec.gov/Archives/edgar/data/1513845/000110465925109806/tm2530882d1_ex99-1.htm</t>
        </is>
      </c>
      <c r="H274" t="inlineStr">
        <is>
          <t>Q3-25 PR highlights table shows (34.9)</t>
        </is>
      </c>
    </row>
    <row r="275">
      <c r="A275" t="inlineStr">
        <is>
          <t>KPI</t>
        </is>
      </c>
      <c r="B275" t="inlineStr">
        <is>
          <t>F20</t>
        </is>
      </c>
      <c r="C275" t="inlineStr">
        <is>
          <t>Net cash from operating activities - continuing ops</t>
        </is>
      </c>
      <c r="D275" t="inlineStr">
        <is>
          <t>Q4 2024</t>
        </is>
      </c>
      <c r="E275" t="n">
        <v>-73.09999999999999</v>
      </c>
      <c r="F275" t="inlineStr">
        <is>
          <t>Reported</t>
        </is>
      </c>
      <c r="G275" t="inlineStr">
        <is>
          <t>6-K 2026-02-12 acc 0001104659-26-013946 tm266173d1_ex99-1.htm Cash flow statement, three months (Q4-24 comparative) | https://www.sec.gov/Archives/edgar/data/1513845/000110465926013946/tm266173d1_ex99-1.htm</t>
        </is>
      </c>
    </row>
    <row r="276">
      <c r="A276" t="inlineStr">
        <is>
          <t>KPI</t>
        </is>
      </c>
      <c r="B276" t="inlineStr">
        <is>
          <t>G20</t>
        </is>
      </c>
      <c r="C276" t="inlineStr">
        <is>
          <t>Net cash from operating activities - continuing ops</t>
        </is>
      </c>
      <c r="D276" t="inlineStr">
        <is>
          <t>Q1 2025</t>
        </is>
      </c>
      <c r="E276" t="n">
        <v>-184.1</v>
      </c>
      <c r="F276" t="inlineStr">
        <is>
          <t>Reported</t>
        </is>
      </c>
      <c r="G276" t="inlineStr">
        <is>
          <t>6-K 2026-05-13 acc 0001104659-26-059872 tm2614392d1_ex99-1.htm Cash flow statement (Q1-25 comparative, restated) | https://www.sec.gov/Archives/edgar/data/1513845/000110465926059872/tm2614392d1_ex99-1.htm</t>
        </is>
      </c>
      <c r="H276" t="inlineStr">
        <is>
          <t>Q1-25 PR originally (197.8) incl. Toloka</t>
        </is>
      </c>
    </row>
    <row r="277">
      <c r="A277" t="inlineStr">
        <is>
          <t>KPI</t>
        </is>
      </c>
      <c r="B277" t="inlineStr">
        <is>
          <t>H20</t>
        </is>
      </c>
      <c r="C277" t="inlineStr">
        <is>
          <t>Net cash from operating activities - continuing ops</t>
        </is>
      </c>
      <c r="D277" t="inlineStr">
        <is>
          <t>Q2 2025</t>
        </is>
      </c>
      <c r="E277" t="n">
        <v>-167.7</v>
      </c>
      <c r="F277" t="inlineStr">
        <is>
          <t>Reported</t>
        </is>
      </c>
      <c r="G277" t="inlineStr">
        <is>
          <t>6-K 2025-08-07 acc 0001104659-25-075028 tm2522866d1_ex99-1.htm Highlights table | https://www.sec.gov/Archives/edgar/data/1513845/000110465925075028/tm2522866d1_ex99-1.htm</t>
        </is>
      </c>
      <c r="H277" t="inlineStr">
        <is>
          <t>Q2-26 PR cash flow statement shows Q2-25 as (167.9); 1H25 (352.0) - Q1-25 (184.1) = (167.9)</t>
        </is>
      </c>
    </row>
    <row r="278">
      <c r="A278" t="inlineStr">
        <is>
          <t>KPI</t>
        </is>
      </c>
      <c r="B278" t="inlineStr">
        <is>
          <t>I20</t>
        </is>
      </c>
      <c r="C278" t="inlineStr">
        <is>
          <t>Net cash from operating activities - continuing ops</t>
        </is>
      </c>
      <c r="D278" t="inlineStr">
        <is>
          <t>Q3 2025</t>
        </is>
      </c>
      <c r="E278" t="n">
        <v>-80.59999999999999</v>
      </c>
      <c r="F278" t="inlineStr">
        <is>
          <t>Reported</t>
        </is>
      </c>
      <c r="G278" t="inlineStr">
        <is>
          <t>6-K 2025-11-12 acc 0001104659-25-109806 tm2530882d1_ex99-1.htm Cash flow statement, three months | https://www.sec.gov/Archives/edgar/data/1513845/000110465925109806/tm2530882d1_ex99-1.htm</t>
        </is>
      </c>
    </row>
    <row r="279">
      <c r="A279" t="inlineStr">
        <is>
          <t>KPI</t>
        </is>
      </c>
      <c r="B279" t="inlineStr">
        <is>
          <t>J20</t>
        </is>
      </c>
      <c r="C279" t="inlineStr">
        <is>
          <t>Net cash from operating activities - continuing ops</t>
        </is>
      </c>
      <c r="D279" t="inlineStr">
        <is>
          <t>Q4 2025</t>
        </is>
      </c>
      <c r="E279" t="n">
        <v>834.3</v>
      </c>
      <c r="F279" t="inlineStr">
        <is>
          <t>Reported</t>
        </is>
      </c>
      <c r="G279" t="inlineStr">
        <is>
          <t>6-K 2026-02-12 acc 0001104659-26-013946 tm266173d1_ex99-1.htm Cash flow statement, three months | https://www.sec.gov/Archives/edgar/data/1513845/000110465926013946/tm266173d1_ex99-1.htm</t>
        </is>
      </c>
      <c r="H279" t="inlineStr">
        <is>
          <t>FY25 401.9</t>
        </is>
      </c>
    </row>
    <row r="280">
      <c r="A280" t="inlineStr">
        <is>
          <t>KPI</t>
        </is>
      </c>
      <c r="B280" t="inlineStr">
        <is>
          <t>K20</t>
        </is>
      </c>
      <c r="C280" t="inlineStr">
        <is>
          <t>Net cash from operating activities - continuing ops</t>
        </is>
      </c>
      <c r="D280" t="inlineStr">
        <is>
          <t>Q1 2026</t>
        </is>
      </c>
      <c r="E280" t="n">
        <v>2258</v>
      </c>
      <c r="F280" t="inlineStr">
        <is>
          <t>Reported</t>
        </is>
      </c>
      <c r="G280" t="inlineStr">
        <is>
          <t>6-K 2026-05-13 acc 0001104659-26-059872 tm2614392d1_ex99-1.htm Cash flow statement | https://www.sec.gov/Archives/edgar/data/1513845/000110465926059872/tm2614392d1_ex99-1.htm</t>
        </is>
      </c>
    </row>
    <row r="281">
      <c r="A281" t="inlineStr">
        <is>
          <t>KPI</t>
        </is>
      </c>
      <c r="B281" t="inlineStr">
        <is>
          <t>L20</t>
        </is>
      </c>
      <c r="C281" t="inlineStr">
        <is>
          <t>Net cash from operating activities - continuing ops</t>
        </is>
      </c>
      <c r="D281" t="inlineStr">
        <is>
          <t>Q2 2026</t>
        </is>
      </c>
      <c r="E281" t="n">
        <v>2246.1</v>
      </c>
      <c r="F281" t="inlineStr">
        <is>
          <t>Reported</t>
        </is>
      </c>
      <c r="G281" t="inlineStr">
        <is>
          <t>6-K 2026-08-12 acc 0001104659-26-094568 tm2622968d1_ex99-1.htm Cash flow statement, three months | https://www.sec.gov/Archives/edgar/data/1513845/000110465926094568/tm2622968d1_ex99-1.htm</t>
        </is>
      </c>
      <c r="H281" t="inlineStr">
        <is>
          <t>1H26 4,504.1</t>
        </is>
      </c>
    </row>
    <row r="282">
      <c r="A282" t="inlineStr">
        <is>
          <t>KPI</t>
        </is>
      </c>
      <c r="B282" t="inlineStr">
        <is>
          <t>C21</t>
        </is>
      </c>
      <c r="C282" t="inlineStr">
        <is>
          <t>Change in deferred revenue (cash flow statement, operating)</t>
        </is>
      </c>
      <c r="D282" t="inlineStr">
        <is>
          <t>Q1 2024</t>
        </is>
      </c>
      <c r="E282" t="inlineStr">
        <is>
          <t>n.d.</t>
        </is>
      </c>
      <c r="F282" t="inlineStr">
        <is>
          <t>not disclosed</t>
        </is>
      </c>
      <c r="G282" t="inlineStr">
        <is>
          <t>6-K 2025-11-12 acc 0001104659-25-109806 tm2530882d1_ex99-1.htm cash flow statement (9M24 10.4; Q3-24 3.7) | https://www.sec.gov/Archives/edgar/data/1513845/000110465925109806/tm2530882d1_ex99-1.htm</t>
        </is>
      </c>
      <c r="H282" t="inlineStr">
        <is>
          <t>quarterly split not disclosed; 1H24 = 9M24 10.4 - Q3-24 3.7 = 6.7 (Derived)</t>
        </is>
      </c>
    </row>
    <row r="283">
      <c r="A283" t="inlineStr">
        <is>
          <t>KPI</t>
        </is>
      </c>
      <c r="B283" t="inlineStr">
        <is>
          <t>D21</t>
        </is>
      </c>
      <c r="C283" t="inlineStr">
        <is>
          <t>Change in deferred revenue (cash flow statement, operating)</t>
        </is>
      </c>
      <c r="D283" t="inlineStr">
        <is>
          <t>Q2 2024</t>
        </is>
      </c>
      <c r="E283" t="inlineStr">
        <is>
          <t>n.d.</t>
        </is>
      </c>
      <c r="F283" t="inlineStr">
        <is>
          <t>not disclosed</t>
        </is>
      </c>
      <c r="G283" t="inlineStr">
        <is>
          <t>6-K 2025-11-12 acc 0001104659-25-109806 tm2530882d1_ex99-1.htm cash flow statement (9M24 10.4; Q3-24 3.7) | https://www.sec.gov/Archives/edgar/data/1513845/000110465925109806/tm2530882d1_ex99-1.htm</t>
        </is>
      </c>
      <c r="H283" t="inlineStr">
        <is>
          <t>see Q1 2024 note (1H24 6.7)</t>
        </is>
      </c>
    </row>
    <row r="284">
      <c r="A284" t="inlineStr">
        <is>
          <t>KPI</t>
        </is>
      </c>
      <c r="B284" t="inlineStr">
        <is>
          <t>E21</t>
        </is>
      </c>
      <c r="C284" t="inlineStr">
        <is>
          <t>Change in deferred revenue (cash flow statement, operating)</t>
        </is>
      </c>
      <c r="D284" t="inlineStr">
        <is>
          <t>Q3 2024</t>
        </is>
      </c>
      <c r="E284" t="n">
        <v>3.7</v>
      </c>
      <c r="F284" t="inlineStr">
        <is>
          <t>Reported</t>
        </is>
      </c>
      <c r="G284" t="inlineStr">
        <is>
          <t>6-K 2025-11-12 acc 0001104659-25-109806 tm2530882d1_ex99-1.htm Cash flow statement, three months (Q3-24 comparative) | https://www.sec.gov/Archives/edgar/data/1513845/000110465925109806/tm2530882d1_ex99-1.htm</t>
        </is>
      </c>
    </row>
    <row r="285">
      <c r="A285" t="inlineStr">
        <is>
          <t>KPI</t>
        </is>
      </c>
      <c r="B285" t="inlineStr">
        <is>
          <t>F21</t>
        </is>
      </c>
      <c r="C285" t="inlineStr">
        <is>
          <t>Change in deferred revenue (cash flow statement, operating)</t>
        </is>
      </c>
      <c r="D285" t="inlineStr">
        <is>
          <t>Q4 2024</t>
        </is>
      </c>
      <c r="E285" t="n">
        <v>-0.4</v>
      </c>
      <c r="F285" t="inlineStr">
        <is>
          <t>Reported</t>
        </is>
      </c>
      <c r="G285" t="inlineStr">
        <is>
          <t>6-K 2026-02-12 acc 0001104659-26-013946 tm266173d1_ex99-1.htm Cash flow statement, three months (Q4-24 comparative) | https://www.sec.gov/Archives/edgar/data/1513845/000110465926013946/tm266173d1_ex99-1.htm</t>
        </is>
      </c>
      <c r="H285" t="inlineStr">
        <is>
          <t>FY24 10.0</t>
        </is>
      </c>
    </row>
    <row r="286">
      <c r="A286" t="inlineStr">
        <is>
          <t>KPI</t>
        </is>
      </c>
      <c r="B286" t="inlineStr">
        <is>
          <t>G21</t>
        </is>
      </c>
      <c r="C286" t="inlineStr">
        <is>
          <t>Change in deferred revenue (cash flow statement, operating)</t>
        </is>
      </c>
      <c r="D286" t="inlineStr">
        <is>
          <t>Q1 2025</t>
        </is>
      </c>
      <c r="E286" t="n">
        <v>2.4</v>
      </c>
      <c r="F286" t="inlineStr">
        <is>
          <t>Reported</t>
        </is>
      </c>
      <c r="G286" t="inlineStr">
        <is>
          <t>6-K 2026-05-13 acc 0001104659-26-059872 tm2614392d1_ex99-1.htm Cash flow statement (Q1-25 comparative) | https://www.sec.gov/Archives/edgar/data/1513845/000110465926059872/tm2614392d1_ex99-1.htm</t>
        </is>
      </c>
    </row>
    <row r="287">
      <c r="A287" t="inlineStr">
        <is>
          <t>KPI</t>
        </is>
      </c>
      <c r="B287" t="inlineStr">
        <is>
          <t>H21</t>
        </is>
      </c>
      <c r="C287" t="inlineStr">
        <is>
          <t>Change in deferred revenue (cash flow statement, operating)</t>
        </is>
      </c>
      <c r="D287" t="inlineStr">
        <is>
          <t>Q2 2025</t>
        </is>
      </c>
      <c r="E287" t="n">
        <v>0.6</v>
      </c>
      <c r="F287" t="inlineStr">
        <is>
          <t>Reported</t>
        </is>
      </c>
      <c r="G287" t="inlineStr">
        <is>
          <t>6-K 2026-08-12 acc 0001104659-26-094568 tm2622968d1_ex99-1.htm Cash flow statement, three months (Q2-25 comparative) | https://www.sec.gov/Archives/edgar/data/1513845/000110465926094568/tm2622968d1_ex99-1.htm</t>
        </is>
      </c>
      <c r="H287" t="inlineStr">
        <is>
          <t>1H25 3.0</t>
        </is>
      </c>
    </row>
    <row r="288">
      <c r="A288" t="inlineStr">
        <is>
          <t>KPI</t>
        </is>
      </c>
      <c r="B288" t="inlineStr">
        <is>
          <t>I21</t>
        </is>
      </c>
      <c r="C288" t="inlineStr">
        <is>
          <t>Change in deferred revenue (cash flow statement, operating)</t>
        </is>
      </c>
      <c r="D288" t="inlineStr">
        <is>
          <t>Q3 2025</t>
        </is>
      </c>
      <c r="E288" t="n">
        <v>-3.8</v>
      </c>
      <c r="F288" t="inlineStr">
        <is>
          <t>Reported</t>
        </is>
      </c>
      <c r="G288" t="inlineStr">
        <is>
          <t>6-K 2025-11-12 acc 0001104659-25-109806 tm2530882d1_ex99-1.htm Cash flow statement, three months | https://www.sec.gov/Archives/edgar/data/1513845/000110465925109806/tm2530882d1_ex99-1.htm</t>
        </is>
      </c>
      <c r="H288" t="inlineStr">
        <is>
          <t>9M25 (0.7)</t>
        </is>
      </c>
    </row>
    <row r="289">
      <c r="A289" t="inlineStr">
        <is>
          <t>KPI</t>
        </is>
      </c>
      <c r="B289" t="inlineStr">
        <is>
          <t>J21</t>
        </is>
      </c>
      <c r="C289" t="inlineStr">
        <is>
          <t>Change in deferred revenue (cash flow statement, operating)</t>
        </is>
      </c>
      <c r="D289" t="inlineStr">
        <is>
          <t>Q4 2025</t>
        </is>
      </c>
      <c r="E289" t="n">
        <v>1566.5</v>
      </c>
      <c r="F289" t="inlineStr">
        <is>
          <t>Reported</t>
        </is>
      </c>
      <c r="G289" t="inlineStr">
        <is>
          <t>6-K 2026-02-12 acc 0001104659-26-013946 tm266173d1_ex99-1.htm Cash flow statement, three months | https://www.sec.gov/Archives/edgar/data/1513845/000110465926013946/tm266173d1_ex99-1.htm</t>
        </is>
      </c>
      <c r="H289" t="inlineStr">
        <is>
          <t>FY25 1,565.8</t>
        </is>
      </c>
    </row>
    <row r="290">
      <c r="A290" t="inlineStr">
        <is>
          <t>KPI</t>
        </is>
      </c>
      <c r="B290" t="inlineStr">
        <is>
          <t>K21</t>
        </is>
      </c>
      <c r="C290" t="inlineStr">
        <is>
          <t>Change in deferred revenue (cash flow statement, operating)</t>
        </is>
      </c>
      <c r="D290" t="inlineStr">
        <is>
          <t>Q1 2026</t>
        </is>
      </c>
      <c r="E290" t="n">
        <v>3198</v>
      </c>
      <c r="F290" t="inlineStr">
        <is>
          <t>Reported</t>
        </is>
      </c>
      <c r="G290" t="inlineStr">
        <is>
          <t>6-K 2026-05-13 acc 0001104659-26-059872 tm2614392d1_ex99-1.htm Cash flow statement | https://www.sec.gov/Archives/edgar/data/1513845/000110465926059872/tm2614392d1_ex99-1.htm</t>
        </is>
      </c>
    </row>
    <row r="291">
      <c r="A291" t="inlineStr">
        <is>
          <t>KPI</t>
        </is>
      </c>
      <c r="B291" t="inlineStr">
        <is>
          <t>L21</t>
        </is>
      </c>
      <c r="C291" t="inlineStr">
        <is>
          <t>Change in deferred revenue (cash flow statement, operating)</t>
        </is>
      </c>
      <c r="D291" t="inlineStr">
        <is>
          <t>Q2 2026</t>
        </is>
      </c>
      <c r="E291" t="n">
        <v>1197</v>
      </c>
      <c r="F291" t="inlineStr">
        <is>
          <t>Reported</t>
        </is>
      </c>
      <c r="G291" t="inlineStr">
        <is>
          <t>6-K 2026-08-12 acc 0001104659-26-094568 tm2622968d1_ex99-1.htm Cash flow statement, three months | https://www.sec.gov/Archives/edgar/data/1513845/000110465926094568/tm2622968d1_ex99-1.htm</t>
        </is>
      </c>
      <c r="H291" t="inlineStr">
        <is>
          <t>1H26 4,395.0</t>
        </is>
      </c>
    </row>
    <row r="292">
      <c r="A292" t="inlineStr">
        <is>
          <t>KPI</t>
        </is>
      </c>
      <c r="B292" t="inlineStr">
        <is>
          <t>C23</t>
        </is>
      </c>
      <c r="C292" t="inlineStr">
        <is>
          <t>Server and network equipment, gross (in service)</t>
        </is>
      </c>
      <c r="D292" t="inlineStr">
        <is>
          <t>Q1 2024</t>
        </is>
      </c>
      <c r="E292" t="inlineStr">
        <is>
          <t>n.d.</t>
        </is>
      </c>
      <c r="F292" t="inlineStr">
        <is>
          <t>not disclosed</t>
        </is>
      </c>
      <c r="G292" t="inlineStr">
        <is>
          <t>PP&amp;E breakdown not in interim report for this quarter</t>
        </is>
      </c>
    </row>
    <row r="293">
      <c r="A293" t="inlineStr">
        <is>
          <t>KPI</t>
        </is>
      </c>
      <c r="B293" t="inlineStr">
        <is>
          <t>D23</t>
        </is>
      </c>
      <c r="C293" t="inlineStr">
        <is>
          <t>Server and network equipment, gross (in service)</t>
        </is>
      </c>
      <c r="D293" t="inlineStr">
        <is>
          <t>Q2 2024</t>
        </is>
      </c>
      <c r="E293" t="inlineStr">
        <is>
          <t>n.d.</t>
        </is>
      </c>
      <c r="F293" t="inlineStr">
        <is>
          <t>not disclosed</t>
        </is>
      </c>
      <c r="G293" t="inlineStr">
        <is>
          <t>PP&amp;E breakdown not in interim report for this quarter</t>
        </is>
      </c>
    </row>
    <row r="294">
      <c r="A294" t="inlineStr">
        <is>
          <t>KPI</t>
        </is>
      </c>
      <c r="B294" t="inlineStr">
        <is>
          <t>E23</t>
        </is>
      </c>
      <c r="C294" t="inlineStr">
        <is>
          <t>Server and network equipment, gross (in service)</t>
        </is>
      </c>
      <c r="D294" t="inlineStr">
        <is>
          <t>Q3 2024</t>
        </is>
      </c>
      <c r="E294" t="inlineStr">
        <is>
          <t>n.d.</t>
        </is>
      </c>
      <c r="F294" t="inlineStr">
        <is>
          <t>not disclosed</t>
        </is>
      </c>
      <c r="G294" t="inlineStr">
        <is>
          <t>PP&amp;E breakdown not in interim report for this quarter</t>
        </is>
      </c>
    </row>
    <row r="295">
      <c r="A295" t="inlineStr">
        <is>
          <t>KPI</t>
        </is>
      </c>
      <c r="B295" t="inlineStr">
        <is>
          <t>F23</t>
        </is>
      </c>
      <c r="C295" t="inlineStr">
        <is>
          <t>Server and network equipment, gross (in service)</t>
        </is>
      </c>
      <c r="D295" t="inlineStr">
        <is>
          <t>Q4 2024</t>
        </is>
      </c>
      <c r="E295" t="n">
        <v>794.9</v>
      </c>
      <c r="F295" t="inlineStr">
        <is>
          <t>Reported</t>
        </is>
      </c>
      <c r="G295" t="inlineStr">
        <is>
          <t>20-F 2026-04-30 acc 0001104659-26-052948 nbis-20251231x20f.htm Note 7 p.F-38 | https://www.sec.gov/Archives/edgar/data/1513845/000110465926052948/nbis-20251231x20f.htm</t>
        </is>
      </c>
    </row>
    <row r="296">
      <c r="A296" t="inlineStr">
        <is>
          <t>KPI</t>
        </is>
      </c>
      <c r="B296" t="inlineStr">
        <is>
          <t>G23</t>
        </is>
      </c>
      <c r="C296" t="inlineStr">
        <is>
          <t>Server and network equipment, gross (in service)</t>
        </is>
      </c>
      <c r="D296" t="inlineStr">
        <is>
          <t>Q1 2025</t>
        </is>
      </c>
      <c r="E296" t="inlineStr">
        <is>
          <t>n.d.</t>
        </is>
      </c>
      <c r="F296" t="inlineStr">
        <is>
          <t>not disclosed</t>
        </is>
      </c>
      <c r="G296" t="inlineStr">
        <is>
          <t>PP&amp;E breakdown not in interim report for this quarter</t>
        </is>
      </c>
    </row>
    <row r="297">
      <c r="A297" t="inlineStr">
        <is>
          <t>KPI</t>
        </is>
      </c>
      <c r="B297" t="inlineStr">
        <is>
          <t>H23</t>
        </is>
      </c>
      <c r="C297" t="inlineStr">
        <is>
          <t>Server and network equipment, gross (in service)</t>
        </is>
      </c>
      <c r="D297" t="inlineStr">
        <is>
          <t>Q2 2025</t>
        </is>
      </c>
      <c r="E297" t="inlineStr">
        <is>
          <t>n.d.</t>
        </is>
      </c>
      <c r="F297" t="inlineStr">
        <is>
          <t>not disclosed</t>
        </is>
      </c>
      <c r="G297" t="inlineStr">
        <is>
          <t>PP&amp;E breakdown not in interim report for this quarter</t>
        </is>
      </c>
    </row>
    <row r="298">
      <c r="A298" t="inlineStr">
        <is>
          <t>KPI</t>
        </is>
      </c>
      <c r="B298" t="inlineStr">
        <is>
          <t>I23</t>
        </is>
      </c>
      <c r="C298" t="inlineStr">
        <is>
          <t>Server and network equipment, gross (in service)</t>
        </is>
      </c>
      <c r="D298" t="inlineStr">
        <is>
          <t>Q3 2025</t>
        </is>
      </c>
      <c r="E298" t="inlineStr">
        <is>
          <t>n.d.</t>
        </is>
      </c>
      <c r="F298" t="inlineStr">
        <is>
          <t>not disclosed</t>
        </is>
      </c>
      <c r="G298" t="inlineStr">
        <is>
          <t>PP&amp;E breakdown not in interim report for this quarter</t>
        </is>
      </c>
    </row>
    <row r="299">
      <c r="A299" t="inlineStr">
        <is>
          <t>KPI</t>
        </is>
      </c>
      <c r="B299" t="inlineStr">
        <is>
          <t>J23</t>
        </is>
      </c>
      <c r="C299" t="inlineStr">
        <is>
          <t>Server and network equipment, gross (in service)</t>
        </is>
      </c>
      <c r="D299" t="inlineStr">
        <is>
          <t>Q4 2025</t>
        </is>
      </c>
      <c r="E299" t="n">
        <v>3123.6</v>
      </c>
      <c r="F299" t="inlineStr">
        <is>
          <t>Reported</t>
        </is>
      </c>
      <c r="G299" t="inlineStr">
        <is>
          <t>20-F 2026-04-30 acc 0001104659-26-052948 nbis-20251231x20f.htm Note 7 p.F-38 | https://www.sec.gov/Archives/edgar/data/1513845/000110465926052948/nbis-20251231x20f.htm</t>
        </is>
      </c>
    </row>
    <row r="300">
      <c r="A300" t="inlineStr">
        <is>
          <t>KPI</t>
        </is>
      </c>
      <c r="B300" t="inlineStr">
        <is>
          <t>K23</t>
        </is>
      </c>
      <c r="C300" t="inlineStr">
        <is>
          <t>Server and network equipment, gross (in service)</t>
        </is>
      </c>
      <c r="D300" t="inlineStr">
        <is>
          <t>Q1 2026</t>
        </is>
      </c>
      <c r="E300" t="n">
        <v>4692.7</v>
      </c>
      <c r="F300" t="inlineStr">
        <is>
          <t>Reported</t>
        </is>
      </c>
      <c r="G300" t="inlineStr">
        <is>
          <t>6-K 2026-05-20 acc 0001104659-26-064092 nbis-20260331xex99d2.htm Note 7 p.F-19 | https://www.sec.gov/Archives/edgar/data/1513845/000110465926064092/nbis-20260331xex99d2.htm</t>
        </is>
      </c>
    </row>
    <row r="301">
      <c r="A301" t="inlineStr">
        <is>
          <t>KPI</t>
        </is>
      </c>
      <c r="B301" t="inlineStr">
        <is>
          <t>L23</t>
        </is>
      </c>
      <c r="C301" t="inlineStr">
        <is>
          <t>Server and network equipment, gross (in service)</t>
        </is>
      </c>
      <c r="D301" t="inlineStr">
        <is>
          <t>Q2 2026</t>
        </is>
      </c>
      <c r="E301" t="n">
        <v>5197.7</v>
      </c>
      <c r="F301" t="inlineStr">
        <is>
          <t>Reported</t>
        </is>
      </c>
      <c r="G301" t="inlineStr">
        <is>
          <t>6-K 2026-08-12 acc 0001104659-26-094844 nbis-20260812xex99d2.htm Note 7 p.F-23 | https://www.sec.gov/Archives/edgar/data/1513845/000110465926094844/nbis-20260812xex99d2.htm</t>
        </is>
      </c>
    </row>
    <row r="302">
      <c r="A302" t="inlineStr">
        <is>
          <t>KPI</t>
        </is>
      </c>
      <c r="B302" t="inlineStr">
        <is>
          <t>C24</t>
        </is>
      </c>
      <c r="C302" t="inlineStr">
        <is>
          <t>Assets not yet in use (gross; under installation incl. prepayments)</t>
        </is>
      </c>
      <c r="D302" t="inlineStr">
        <is>
          <t>Q1 2024</t>
        </is>
      </c>
      <c r="E302" t="inlineStr">
        <is>
          <t>n.d.</t>
        </is>
      </c>
      <c r="F302" t="inlineStr">
        <is>
          <t>not disclosed</t>
        </is>
      </c>
      <c r="G302" t="inlineStr">
        <is>
          <t>PP&amp;E breakdown not in interim report for this quarter</t>
        </is>
      </c>
    </row>
    <row r="303">
      <c r="A303" t="inlineStr">
        <is>
          <t>KPI</t>
        </is>
      </c>
      <c r="B303" t="inlineStr">
        <is>
          <t>D24</t>
        </is>
      </c>
      <c r="C303" t="inlineStr">
        <is>
          <t>Assets not yet in use (gross; under installation incl. prepayments)</t>
        </is>
      </c>
      <c r="D303" t="inlineStr">
        <is>
          <t>Q2 2024</t>
        </is>
      </c>
      <c r="E303" t="inlineStr">
        <is>
          <t>n.d.</t>
        </is>
      </c>
      <c r="F303" t="inlineStr">
        <is>
          <t>not disclosed</t>
        </is>
      </c>
      <c r="G303" t="inlineStr">
        <is>
          <t>PP&amp;E breakdown not in interim report for this quarter</t>
        </is>
      </c>
    </row>
    <row r="304">
      <c r="A304" t="inlineStr">
        <is>
          <t>KPI</t>
        </is>
      </c>
      <c r="B304" t="inlineStr">
        <is>
          <t>E24</t>
        </is>
      </c>
      <c r="C304" t="inlineStr">
        <is>
          <t>Assets not yet in use (gross; under installation incl. prepayments)</t>
        </is>
      </c>
      <c r="D304" t="inlineStr">
        <is>
          <t>Q3 2024</t>
        </is>
      </c>
      <c r="E304" t="inlineStr">
        <is>
          <t>n.d.</t>
        </is>
      </c>
      <c r="F304" t="inlineStr">
        <is>
          <t>not disclosed</t>
        </is>
      </c>
      <c r="G304" t="inlineStr">
        <is>
          <t>PP&amp;E breakdown not in interim report for this quarter</t>
        </is>
      </c>
    </row>
    <row r="305">
      <c r="A305" t="inlineStr">
        <is>
          <t>KPI</t>
        </is>
      </c>
      <c r="B305" t="inlineStr">
        <is>
          <t>F24</t>
        </is>
      </c>
      <c r="C305" t="inlineStr">
        <is>
          <t>Assets not yet in use (gross; under installation incl. prepayments)</t>
        </is>
      </c>
      <c r="D305" t="inlineStr">
        <is>
          <t>Q4 2024</t>
        </is>
      </c>
      <c r="E305" t="n">
        <v>163.8</v>
      </c>
      <c r="F305" t="inlineStr">
        <is>
          <t>Reported</t>
        </is>
      </c>
      <c r="G305" t="inlineStr">
        <is>
          <t>20-F 2026-04-30 acc 0001104659-26-052948 nbis-20251231x20f.htm Note 7 p.F-38 | https://www.sec.gov/Archives/edgar/data/1513845/000110465926052948/nbis-20251231x20f.htm</t>
        </is>
      </c>
    </row>
    <row r="306">
      <c r="A306" t="inlineStr">
        <is>
          <t>KPI</t>
        </is>
      </c>
      <c r="B306" t="inlineStr">
        <is>
          <t>G24</t>
        </is>
      </c>
      <c r="C306" t="inlineStr">
        <is>
          <t>Assets not yet in use (gross; under installation incl. prepayments)</t>
        </is>
      </c>
      <c r="D306" t="inlineStr">
        <is>
          <t>Q1 2025</t>
        </is>
      </c>
      <c r="E306" t="inlineStr">
        <is>
          <t>n.d.</t>
        </is>
      </c>
      <c r="F306" t="inlineStr">
        <is>
          <t>not disclosed</t>
        </is>
      </c>
      <c r="G306" t="inlineStr">
        <is>
          <t>PP&amp;E breakdown not in interim report for this quarter</t>
        </is>
      </c>
    </row>
    <row r="307">
      <c r="A307" t="inlineStr">
        <is>
          <t>KPI</t>
        </is>
      </c>
      <c r="B307" t="inlineStr">
        <is>
          <t>H24</t>
        </is>
      </c>
      <c r="C307" t="inlineStr">
        <is>
          <t>Assets not yet in use (gross; under installation incl. prepayments)</t>
        </is>
      </c>
      <c r="D307" t="inlineStr">
        <is>
          <t>Q2 2025</t>
        </is>
      </c>
      <c r="E307" t="inlineStr">
        <is>
          <t>n.d.</t>
        </is>
      </c>
      <c r="F307" t="inlineStr">
        <is>
          <t>not disclosed</t>
        </is>
      </c>
      <c r="G307" t="inlineStr">
        <is>
          <t>PP&amp;E breakdown not in interim report for this quarter</t>
        </is>
      </c>
    </row>
    <row r="308">
      <c r="A308" t="inlineStr">
        <is>
          <t>KPI</t>
        </is>
      </c>
      <c r="B308" t="inlineStr">
        <is>
          <t>I24</t>
        </is>
      </c>
      <c r="C308" t="inlineStr">
        <is>
          <t>Assets not yet in use (gross; under installation incl. prepayments)</t>
        </is>
      </c>
      <c r="D308" t="inlineStr">
        <is>
          <t>Q3 2025</t>
        </is>
      </c>
      <c r="E308" t="inlineStr">
        <is>
          <t>n.d.</t>
        </is>
      </c>
      <c r="F308" t="inlineStr">
        <is>
          <t>not disclosed</t>
        </is>
      </c>
      <c r="G308" t="inlineStr">
        <is>
          <t>PP&amp;E breakdown not in interim report for this quarter</t>
        </is>
      </c>
    </row>
    <row r="309">
      <c r="A309" t="inlineStr">
        <is>
          <t>KPI</t>
        </is>
      </c>
      <c r="B309" t="inlineStr">
        <is>
          <t>J24</t>
        </is>
      </c>
      <c r="C309" t="inlineStr">
        <is>
          <t>Assets not yet in use (gross; under installation incl. prepayments)</t>
        </is>
      </c>
      <c r="D309" t="inlineStr">
        <is>
          <t>Q4 2025</t>
        </is>
      </c>
      <c r="E309" t="n">
        <v>2417.4</v>
      </c>
      <c r="F309" t="inlineStr">
        <is>
          <t>Reported</t>
        </is>
      </c>
      <c r="G309" t="inlineStr">
        <is>
          <t>20-F 2026-04-30 acc 0001104659-26-052948 nbis-20251231x20f.htm Note 7 p.F-38 | https://www.sec.gov/Archives/edgar/data/1513845/000110465926052948/nbis-20251231x20f.htm</t>
        </is>
      </c>
    </row>
    <row r="310">
      <c r="A310" t="inlineStr">
        <is>
          <t>KPI</t>
        </is>
      </c>
      <c r="B310" t="inlineStr">
        <is>
          <t>K24</t>
        </is>
      </c>
      <c r="C310" t="inlineStr">
        <is>
          <t>Assets not yet in use (gross; under installation incl. prepayments)</t>
        </is>
      </c>
      <c r="D310" t="inlineStr">
        <is>
          <t>Q1 2026</t>
        </is>
      </c>
      <c r="E310" t="n">
        <v>2427.9</v>
      </c>
      <c r="F310" t="inlineStr">
        <is>
          <t>Reported</t>
        </is>
      </c>
      <c r="G310" t="inlineStr">
        <is>
          <t>6-K 2026-05-20 acc 0001104659-26-064092 nbis-20260331xex99d2.htm Note 7 p.F-19 | https://www.sec.gov/Archives/edgar/data/1513845/000110465926064092/nbis-20260331xex99d2.htm</t>
        </is>
      </c>
    </row>
    <row r="311">
      <c r="A311" t="inlineStr">
        <is>
          <t>KPI</t>
        </is>
      </c>
      <c r="B311" t="inlineStr">
        <is>
          <t>L24</t>
        </is>
      </c>
      <c r="C311" t="inlineStr">
        <is>
          <t>Assets not yet in use (gross; under installation incl. prepayments)</t>
        </is>
      </c>
      <c r="D311" t="inlineStr">
        <is>
          <t>Q2 2026</t>
        </is>
      </c>
      <c r="E311" t="n">
        <v>7836.4</v>
      </c>
      <c r="F311" t="inlineStr">
        <is>
          <t>Reported</t>
        </is>
      </c>
      <c r="G311" t="inlineStr">
        <is>
          <t>6-K 2026-08-12 acc 0001104659-26-094844 nbis-20260812xex99d2.htm Note 7 p.F-23 | https://www.sec.gov/Archives/edgar/data/1513845/000110465926094844/nbis-20260812xex99d2.htm</t>
        </is>
      </c>
    </row>
    <row r="312">
      <c r="A312" t="inlineStr">
        <is>
          <t>KPI</t>
        </is>
      </c>
      <c r="B312" t="inlineStr">
        <is>
          <t>C25</t>
        </is>
      </c>
      <c r="C312" t="inlineStr">
        <is>
          <t>PP&amp;E, gross (total before accumulated depreciation)</t>
        </is>
      </c>
      <c r="D312" t="inlineStr">
        <is>
          <t>Q1 2024</t>
        </is>
      </c>
      <c r="E312" t="inlineStr">
        <is>
          <t>n.d.</t>
        </is>
      </c>
      <c r="F312" t="inlineStr">
        <is>
          <t>not disclosed</t>
        </is>
      </c>
      <c r="G312" t="inlineStr">
        <is>
          <t>PP&amp;E breakdown not in interim report for this quarter</t>
        </is>
      </c>
    </row>
    <row r="313">
      <c r="A313" t="inlineStr">
        <is>
          <t>KPI</t>
        </is>
      </c>
      <c r="B313" t="inlineStr">
        <is>
          <t>D25</t>
        </is>
      </c>
      <c r="C313" t="inlineStr">
        <is>
          <t>PP&amp;E, gross (total before accumulated depreciation)</t>
        </is>
      </c>
      <c r="D313" t="inlineStr">
        <is>
          <t>Q2 2024</t>
        </is>
      </c>
      <c r="E313" t="inlineStr">
        <is>
          <t>n.d.</t>
        </is>
      </c>
      <c r="F313" t="inlineStr">
        <is>
          <t>not disclosed</t>
        </is>
      </c>
      <c r="G313" t="inlineStr">
        <is>
          <t>PP&amp;E breakdown not in interim report for this quarter</t>
        </is>
      </c>
    </row>
    <row r="314">
      <c r="A314" t="inlineStr">
        <is>
          <t>KPI</t>
        </is>
      </c>
      <c r="B314" t="inlineStr">
        <is>
          <t>E25</t>
        </is>
      </c>
      <c r="C314" t="inlineStr">
        <is>
          <t>PP&amp;E, gross (total before accumulated depreciation)</t>
        </is>
      </c>
      <c r="D314" t="inlineStr">
        <is>
          <t>Q3 2024</t>
        </is>
      </c>
      <c r="E314" t="inlineStr">
        <is>
          <t>n.d.</t>
        </is>
      </c>
      <c r="F314" t="inlineStr">
        <is>
          <t>not disclosed</t>
        </is>
      </c>
      <c r="G314" t="inlineStr">
        <is>
          <t>PP&amp;E breakdown not in interim report for this quarter</t>
        </is>
      </c>
    </row>
    <row r="315">
      <c r="A315" t="inlineStr">
        <is>
          <t>KPI</t>
        </is>
      </c>
      <c r="B315" t="inlineStr">
        <is>
          <t>F25</t>
        </is>
      </c>
      <c r="C315" t="inlineStr">
        <is>
          <t>PP&amp;E, gross (total before accumulated depreciation)</t>
        </is>
      </c>
      <c r="D315" t="inlineStr">
        <is>
          <t>Q4 2024</t>
        </is>
      </c>
      <c r="E315" t="n">
        <v>1083</v>
      </c>
      <c r="F315" t="inlineStr">
        <is>
          <t>Reported</t>
        </is>
      </c>
      <c r="G315" t="inlineStr">
        <is>
          <t>20-F 2026-04-30 acc 0001104659-26-052948 nbis-20251231x20f.htm Note 7 p.F-38 | https://www.sec.gov/Archives/edgar/data/1513845/000110465926052948/nbis-20251231x20f.htm</t>
        </is>
      </c>
    </row>
    <row r="316">
      <c r="A316" t="inlineStr">
        <is>
          <t>KPI</t>
        </is>
      </c>
      <c r="B316" t="inlineStr">
        <is>
          <t>G25</t>
        </is>
      </c>
      <c r="C316" t="inlineStr">
        <is>
          <t>PP&amp;E, gross (total before accumulated depreciation)</t>
        </is>
      </c>
      <c r="D316" t="inlineStr">
        <is>
          <t>Q1 2025</t>
        </is>
      </c>
      <c r="E316" t="inlineStr">
        <is>
          <t>n.d.</t>
        </is>
      </c>
      <c r="F316" t="inlineStr">
        <is>
          <t>not disclosed</t>
        </is>
      </c>
      <c r="G316" t="inlineStr">
        <is>
          <t>PP&amp;E breakdown not in interim report for this quarter</t>
        </is>
      </c>
    </row>
    <row r="317">
      <c r="A317" t="inlineStr">
        <is>
          <t>KPI</t>
        </is>
      </c>
      <c r="B317" t="inlineStr">
        <is>
          <t>H25</t>
        </is>
      </c>
      <c r="C317" t="inlineStr">
        <is>
          <t>PP&amp;E, gross (total before accumulated depreciation)</t>
        </is>
      </c>
      <c r="D317" t="inlineStr">
        <is>
          <t>Q2 2025</t>
        </is>
      </c>
      <c r="E317" t="inlineStr">
        <is>
          <t>n.d.</t>
        </is>
      </c>
      <c r="F317" t="inlineStr">
        <is>
          <t>not disclosed</t>
        </is>
      </c>
      <c r="G317" t="inlineStr">
        <is>
          <t>PP&amp;E breakdown not in interim report for this quarter</t>
        </is>
      </c>
    </row>
    <row r="318">
      <c r="A318" t="inlineStr">
        <is>
          <t>KPI</t>
        </is>
      </c>
      <c r="B318" t="inlineStr">
        <is>
          <t>I25</t>
        </is>
      </c>
      <c r="C318" t="inlineStr">
        <is>
          <t>PP&amp;E, gross (total before accumulated depreciation)</t>
        </is>
      </c>
      <c r="D318" t="inlineStr">
        <is>
          <t>Q3 2025</t>
        </is>
      </c>
      <c r="E318" t="inlineStr">
        <is>
          <t>n.d.</t>
        </is>
      </c>
      <c r="F318" t="inlineStr">
        <is>
          <t>not disclosed</t>
        </is>
      </c>
      <c r="G318" t="inlineStr">
        <is>
          <t>PP&amp;E breakdown not in interim report for this quarter</t>
        </is>
      </c>
    </row>
    <row r="319">
      <c r="A319" t="inlineStr">
        <is>
          <t>KPI</t>
        </is>
      </c>
      <c r="B319" t="inlineStr">
        <is>
          <t>J25</t>
        </is>
      </c>
      <c r="C319" t="inlineStr">
        <is>
          <t>PP&amp;E, gross (total before accumulated depreciation)</t>
        </is>
      </c>
      <c r="D319" t="inlineStr">
        <is>
          <t>Q4 2025</t>
        </is>
      </c>
      <c r="E319" t="n">
        <v>6190.3</v>
      </c>
      <c r="F319" t="inlineStr">
        <is>
          <t>Reported</t>
        </is>
      </c>
      <c r="G319" t="inlineStr">
        <is>
          <t>20-F 2026-04-30 acc 0001104659-26-052948 nbis-20251231x20f.htm Note 7 p.F-38 | https://www.sec.gov/Archives/edgar/data/1513845/000110465926052948/nbis-20251231x20f.htm</t>
        </is>
      </c>
    </row>
    <row r="320">
      <c r="A320" t="inlineStr">
        <is>
          <t>KPI</t>
        </is>
      </c>
      <c r="B320" t="inlineStr">
        <is>
          <t>K25</t>
        </is>
      </c>
      <c r="C320" t="inlineStr">
        <is>
          <t>PP&amp;E, gross (total before accumulated depreciation)</t>
        </is>
      </c>
      <c r="D320" t="inlineStr">
        <is>
          <t>Q1 2026</t>
        </is>
      </c>
      <c r="E320" t="n">
        <v>7976.6</v>
      </c>
      <c r="F320" t="inlineStr">
        <is>
          <t>Reported</t>
        </is>
      </c>
      <c r="G320" t="inlineStr">
        <is>
          <t>6-K 2026-05-20 acc 0001104659-26-064092 nbis-20260331xex99d2.htm Note 7 p.F-19 | https://www.sec.gov/Archives/edgar/data/1513845/000110465926064092/nbis-20260331xex99d2.htm</t>
        </is>
      </c>
    </row>
    <row r="321">
      <c r="A321" t="inlineStr">
        <is>
          <t>KPI</t>
        </is>
      </c>
      <c r="B321" t="inlineStr">
        <is>
          <t>L25</t>
        </is>
      </c>
      <c r="C321" t="inlineStr">
        <is>
          <t>PP&amp;E, gross (total before accumulated depreciation)</t>
        </is>
      </c>
      <c r="D321" t="inlineStr">
        <is>
          <t>Q2 2026</t>
        </is>
      </c>
      <c r="E321" t="n">
        <v>14149.5</v>
      </c>
      <c r="F321" t="inlineStr">
        <is>
          <t>Reported</t>
        </is>
      </c>
      <c r="G321" t="inlineStr">
        <is>
          <t>6-K 2026-08-12 acc 0001104659-26-094844 nbis-20260812xex99d2.htm Note 7 p.F-23 | https://www.sec.gov/Archives/edgar/data/1513845/000110465926094844/nbis-20260812xex99d2.htm</t>
        </is>
      </c>
    </row>
    <row r="322">
      <c r="A322" t="inlineStr">
        <is>
          <t>KPI</t>
        </is>
      </c>
      <c r="B322" t="inlineStr">
        <is>
          <t>C30</t>
        </is>
      </c>
      <c r="C322" t="inlineStr">
        <is>
          <t>Energized MW - company total incl. plug (Capacity base case)</t>
        </is>
      </c>
      <c r="D322" t="inlineStr">
        <is>
          <t>Q1 2024</t>
        </is>
      </c>
      <c r="E322" t="n">
        <v>25</v>
      </c>
      <c r="F322" t="inlineStr">
        <is>
          <t>Estimated</t>
        </is>
      </c>
      <c r="G322" t="inlineStr">
        <is>
          <t>/workspace/nebius/capacity/nebius_capacity.xlsx 'Quarterly MW'!E130 (Capacity model; sum of per-site estimates, site sources in Tags_Sources)</t>
        </is>
      </c>
      <c r="H322" t="inlineStr">
        <is>
          <t>Capacity tag on cell: Derived (sum) of Estimated site inputs -&gt; carried as Estimated</t>
        </is>
      </c>
    </row>
    <row r="323">
      <c r="A323" t="inlineStr">
        <is>
          <t>KPI</t>
        </is>
      </c>
      <c r="B323" t="inlineStr">
        <is>
          <t>D30</t>
        </is>
      </c>
      <c r="C323" t="inlineStr">
        <is>
          <t>Energized MW - company total incl. plug (Capacity base case)</t>
        </is>
      </c>
      <c r="D323" t="inlineStr">
        <is>
          <t>Q2 2024</t>
        </is>
      </c>
      <c r="E323" t="n">
        <v>25</v>
      </c>
      <c r="F323" t="inlineStr">
        <is>
          <t>Estimated</t>
        </is>
      </c>
      <c r="G323" t="inlineStr">
        <is>
          <t>/workspace/nebius/capacity/nebius_capacity.xlsx 'Quarterly MW'!F130 (Capacity model; sum of per-site estimates, site sources in Tags_Sources)</t>
        </is>
      </c>
      <c r="H323" t="inlineStr">
        <is>
          <t>Capacity tag on cell: Derived (sum) of Estimated site inputs -&gt; carried as Estimated</t>
        </is>
      </c>
    </row>
    <row r="324">
      <c r="A324" t="inlineStr">
        <is>
          <t>KPI</t>
        </is>
      </c>
      <c r="B324" t="inlineStr">
        <is>
          <t>E30</t>
        </is>
      </c>
      <c r="C324" t="inlineStr">
        <is>
          <t>Energized MW - company total incl. plug (Capacity base case)</t>
        </is>
      </c>
      <c r="D324" t="inlineStr">
        <is>
          <t>Q3 2024</t>
        </is>
      </c>
      <c r="E324" t="n">
        <v>25</v>
      </c>
      <c r="F324" t="inlineStr">
        <is>
          <t>Estimated</t>
        </is>
      </c>
      <c r="G324" t="inlineStr">
        <is>
          <t>/workspace/nebius/capacity/nebius_capacity.xlsx 'Quarterly MW'!G130 (Capacity model; sum of per-site estimates, site sources in Tags_Sources)</t>
        </is>
      </c>
      <c r="H324" t="inlineStr">
        <is>
          <t>Capacity tag on cell: Derived (sum) of Estimated site inputs -&gt; carried as Estimated</t>
        </is>
      </c>
    </row>
    <row r="325">
      <c r="A325" t="inlineStr">
        <is>
          <t>KPI</t>
        </is>
      </c>
      <c r="B325" t="inlineStr">
        <is>
          <t>F30</t>
        </is>
      </c>
      <c r="C325" t="inlineStr">
        <is>
          <t>Energized MW - company total incl. plug (Capacity base case)</t>
        </is>
      </c>
      <c r="D325" t="inlineStr">
        <is>
          <t>Q4 2024</t>
        </is>
      </c>
      <c r="E325" t="n">
        <v>25</v>
      </c>
      <c r="F325" t="inlineStr">
        <is>
          <t>Estimated</t>
        </is>
      </c>
      <c r="G325" t="inlineStr">
        <is>
          <t>/workspace/nebius/capacity/nebius_capacity.xlsx 'Quarterly MW'!H130 (Capacity model; sum of per-site estimates, site sources in Tags_Sources)</t>
        </is>
      </c>
      <c r="H325" t="inlineStr">
        <is>
          <t>Capacity tag on cell: Derived (sum) of Estimated site inputs -&gt; carried as Estimated</t>
        </is>
      </c>
    </row>
    <row r="326">
      <c r="A326" t="inlineStr">
        <is>
          <t>KPI</t>
        </is>
      </c>
      <c r="B326" t="inlineStr">
        <is>
          <t>G30</t>
        </is>
      </c>
      <c r="C326" t="inlineStr">
        <is>
          <t>Energized MW - company total incl. plug (Capacity base case)</t>
        </is>
      </c>
      <c r="D326" t="inlineStr">
        <is>
          <t>Q1 2025</t>
        </is>
      </c>
      <c r="E326" t="n">
        <v>50</v>
      </c>
      <c r="F326" t="inlineStr">
        <is>
          <t>Estimated</t>
        </is>
      </c>
      <c r="G326" t="inlineStr">
        <is>
          <t>/workspace/nebius/capacity/nebius_capacity.xlsx 'Quarterly MW'!I130 (Capacity model; sum of per-site estimates, site sources in Tags_Sources)</t>
        </is>
      </c>
      <c r="H326" t="inlineStr">
        <is>
          <t>Capacity tag on cell: Derived (sum) of Estimated site inputs -&gt; carried as Estimated</t>
        </is>
      </c>
    </row>
    <row r="327">
      <c r="A327" t="inlineStr">
        <is>
          <t>KPI</t>
        </is>
      </c>
      <c r="B327" t="inlineStr">
        <is>
          <t>H30</t>
        </is>
      </c>
      <c r="C327" t="inlineStr">
        <is>
          <t>Energized MW - company total incl. plug (Capacity base case)</t>
        </is>
      </c>
      <c r="D327" t="inlineStr">
        <is>
          <t>Q2 2025</t>
        </is>
      </c>
      <c r="E327" t="n">
        <v>50</v>
      </c>
      <c r="F327" t="inlineStr">
        <is>
          <t>Estimated</t>
        </is>
      </c>
      <c r="G327" t="inlineStr">
        <is>
          <t>/workspace/nebius/capacity/nebius_capacity.xlsx 'Quarterly MW'!J130 (Capacity model; sum of per-site estimates, site sources in Tags_Sources)</t>
        </is>
      </c>
      <c r="H327" t="inlineStr">
        <is>
          <t>Capacity tag on cell: Derived (sum) of Estimated site inputs -&gt; carried as Estimated</t>
        </is>
      </c>
    </row>
    <row r="328">
      <c r="A328" t="inlineStr">
        <is>
          <t>KPI</t>
        </is>
      </c>
      <c r="B328" t="inlineStr">
        <is>
          <t>I30</t>
        </is>
      </c>
      <c r="C328" t="inlineStr">
        <is>
          <t>Energized MW - company total incl. plug (Capacity base case)</t>
        </is>
      </c>
      <c r="D328" t="inlineStr">
        <is>
          <t>Q3 2025</t>
        </is>
      </c>
      <c r="E328" t="n">
        <v>62.5</v>
      </c>
      <c r="F328" t="inlineStr">
        <is>
          <t>Estimated</t>
        </is>
      </c>
      <c r="G328" t="inlineStr">
        <is>
          <t>/workspace/nebius/capacity/nebius_capacity.xlsx 'Quarterly MW'!K130 (Capacity model; sum of per-site estimates, site sources in Tags_Sources)</t>
        </is>
      </c>
      <c r="H328" t="inlineStr">
        <is>
          <t>Capacity tag on cell: Derived (sum) of Estimated site inputs -&gt; carried as Estimated</t>
        </is>
      </c>
    </row>
    <row r="329">
      <c r="A329" t="inlineStr">
        <is>
          <t>KPI</t>
        </is>
      </c>
      <c r="B329" t="inlineStr">
        <is>
          <t>J30</t>
        </is>
      </c>
      <c r="C329" t="inlineStr">
        <is>
          <t>Energized MW - company total incl. plug (Capacity base case)</t>
        </is>
      </c>
      <c r="D329" t="inlineStr">
        <is>
          <t>Q4 2025</t>
        </is>
      </c>
      <c r="E329" t="n">
        <v>170</v>
      </c>
      <c r="F329" t="inlineStr">
        <is>
          <t>Estimated</t>
        </is>
      </c>
      <c r="G329" t="inlineStr">
        <is>
          <t>/workspace/nebius/capacity/nebius_capacity.xlsx 'Quarterly MW'!L130 (Capacity model; sum of per-site estimates, site sources in Tags_Sources)</t>
        </is>
      </c>
      <c r="H329" t="inlineStr">
        <is>
          <t>Capacity tag on cell: Derived (sum) of Estimated site inputs -&gt; carried as Estimated</t>
        </is>
      </c>
    </row>
    <row r="330">
      <c r="A330" t="inlineStr">
        <is>
          <t>KPI</t>
        </is>
      </c>
      <c r="B330" t="inlineStr">
        <is>
          <t>K30</t>
        </is>
      </c>
      <c r="C330" t="inlineStr">
        <is>
          <t>Energized MW - company total incl. plug (Capacity base case)</t>
        </is>
      </c>
      <c r="D330" t="inlineStr">
        <is>
          <t>Q1 2026</t>
        </is>
      </c>
      <c r="E330" t="n">
        <v>181.5</v>
      </c>
      <c r="F330" t="inlineStr">
        <is>
          <t>Estimated</t>
        </is>
      </c>
      <c r="G330" t="inlineStr">
        <is>
          <t>/workspace/nebius/capacity/nebius_capacity.xlsx 'Quarterly MW'!M130 (Capacity model; sum of per-site estimates, site sources in Tags_Sources)</t>
        </is>
      </c>
      <c r="H330" t="inlineStr">
        <is>
          <t>Capacity tag on cell: Derived (sum) of Estimated site inputs -&gt; carried as Estimated</t>
        </is>
      </c>
    </row>
    <row r="331">
      <c r="A331" t="inlineStr">
        <is>
          <t>KPI</t>
        </is>
      </c>
      <c r="B331" t="inlineStr">
        <is>
          <t>L30</t>
        </is>
      </c>
      <c r="C331" t="inlineStr">
        <is>
          <t>Energized MW - company total incl. plug (Capacity base case)</t>
        </is>
      </c>
      <c r="D331" t="inlineStr">
        <is>
          <t>Q2 2026</t>
        </is>
      </c>
      <c r="E331" t="n">
        <v>193</v>
      </c>
      <c r="F331" t="inlineStr">
        <is>
          <t>Estimated</t>
        </is>
      </c>
      <c r="G331" t="inlineStr">
        <is>
          <t>/workspace/nebius/capacity/nebius_capacity.xlsx 'Quarterly MW'!N130 (Capacity model; sum of per-site estimates, site sources in Tags_Sources)</t>
        </is>
      </c>
      <c r="H331" t="inlineStr">
        <is>
          <t>Capacity tag on cell: Derived (sum) of Estimated site inputs -&gt; carried as Estimated</t>
        </is>
      </c>
    </row>
    <row r="332">
      <c r="A332" t="inlineStr">
        <is>
          <t>KPI</t>
        </is>
      </c>
      <c r="B332" t="inlineStr">
        <is>
          <t>C31</t>
        </is>
      </c>
      <c r="C332" t="inlineStr">
        <is>
          <t>Energized MW - identified sites, low</t>
        </is>
      </c>
      <c r="D332" t="inlineStr">
        <is>
          <t>Q1 2024</t>
        </is>
      </c>
      <c r="E332" t="n">
        <v>25</v>
      </c>
      <c r="F332" t="inlineStr">
        <is>
          <t>Estimated</t>
        </is>
      </c>
      <c r="G332" t="inlineStr">
        <is>
          <t>/workspace/nebius/capacity/nebius_capacity.xlsx 'Quarterly MW'!E124 (Capacity model; sum of per-site estimates, site sources in Tags_Sources)</t>
        </is>
      </c>
      <c r="H332" t="inlineStr">
        <is>
          <t>Capacity tag on cell: Derived (sum) of Estimated site inputs -&gt; carried as Estimated</t>
        </is>
      </c>
    </row>
    <row r="333">
      <c r="A333" t="inlineStr">
        <is>
          <t>KPI</t>
        </is>
      </c>
      <c r="B333" t="inlineStr">
        <is>
          <t>D31</t>
        </is>
      </c>
      <c r="C333" t="inlineStr">
        <is>
          <t>Energized MW - identified sites, low</t>
        </is>
      </c>
      <c r="D333" t="inlineStr">
        <is>
          <t>Q2 2024</t>
        </is>
      </c>
      <c r="E333" t="n">
        <v>25</v>
      </c>
      <c r="F333" t="inlineStr">
        <is>
          <t>Estimated</t>
        </is>
      </c>
      <c r="G333" t="inlineStr">
        <is>
          <t>/workspace/nebius/capacity/nebius_capacity.xlsx 'Quarterly MW'!F124 (Capacity model; sum of per-site estimates, site sources in Tags_Sources)</t>
        </is>
      </c>
      <c r="H333" t="inlineStr">
        <is>
          <t>Capacity tag on cell: Derived (sum) of Estimated site inputs -&gt; carried as Estimated</t>
        </is>
      </c>
    </row>
    <row r="334">
      <c r="A334" t="inlineStr">
        <is>
          <t>KPI</t>
        </is>
      </c>
      <c r="B334" t="inlineStr">
        <is>
          <t>E31</t>
        </is>
      </c>
      <c r="C334" t="inlineStr">
        <is>
          <t>Energized MW - identified sites, low</t>
        </is>
      </c>
      <c r="D334" t="inlineStr">
        <is>
          <t>Q3 2024</t>
        </is>
      </c>
      <c r="E334" t="n">
        <v>25</v>
      </c>
      <c r="F334" t="inlineStr">
        <is>
          <t>Estimated</t>
        </is>
      </c>
      <c r="G334" t="inlineStr">
        <is>
          <t>/workspace/nebius/capacity/nebius_capacity.xlsx 'Quarterly MW'!G124 (Capacity model; sum of per-site estimates, site sources in Tags_Sources)</t>
        </is>
      </c>
      <c r="H334" t="inlineStr">
        <is>
          <t>Capacity tag on cell: Derived (sum) of Estimated site inputs -&gt; carried as Estimated</t>
        </is>
      </c>
    </row>
    <row r="335">
      <c r="A335" t="inlineStr">
        <is>
          <t>KPI</t>
        </is>
      </c>
      <c r="B335" t="inlineStr">
        <is>
          <t>F31</t>
        </is>
      </c>
      <c r="C335" t="inlineStr">
        <is>
          <t>Energized MW - identified sites, low</t>
        </is>
      </c>
      <c r="D335" t="inlineStr">
        <is>
          <t>Q4 2024</t>
        </is>
      </c>
      <c r="E335" t="n">
        <v>30</v>
      </c>
      <c r="F335" t="inlineStr">
        <is>
          <t>Estimated</t>
        </is>
      </c>
      <c r="G335" t="inlineStr">
        <is>
          <t>/workspace/nebius/capacity/nebius_capacity.xlsx 'Quarterly MW'!H124 (Capacity model; sum of per-site estimates, site sources in Tags_Sources)</t>
        </is>
      </c>
      <c r="H335" t="inlineStr">
        <is>
          <t>Capacity tag on cell: Derived (sum) of Estimated site inputs -&gt; carried as Estimated</t>
        </is>
      </c>
    </row>
    <row r="336">
      <c r="A336" t="inlineStr">
        <is>
          <t>KPI</t>
        </is>
      </c>
      <c r="B336" t="inlineStr">
        <is>
          <t>G31</t>
        </is>
      </c>
      <c r="C336" t="inlineStr">
        <is>
          <t>Energized MW - identified sites, low</t>
        </is>
      </c>
      <c r="D336" t="inlineStr">
        <is>
          <t>Q1 2025</t>
        </is>
      </c>
      <c r="E336" t="n">
        <v>45</v>
      </c>
      <c r="F336" t="inlineStr">
        <is>
          <t>Estimated</t>
        </is>
      </c>
      <c r="G336" t="inlineStr">
        <is>
          <t>/workspace/nebius/capacity/nebius_capacity.xlsx 'Quarterly MW'!I124 (Capacity model; sum of per-site estimates, site sources in Tags_Sources)</t>
        </is>
      </c>
      <c r="H336" t="inlineStr">
        <is>
          <t>Capacity tag on cell: Derived (sum) of Estimated site inputs -&gt; carried as Estimated</t>
        </is>
      </c>
    </row>
    <row r="337">
      <c r="A337" t="inlineStr">
        <is>
          <t>KPI</t>
        </is>
      </c>
      <c r="B337" t="inlineStr">
        <is>
          <t>H31</t>
        </is>
      </c>
      <c r="C337" t="inlineStr">
        <is>
          <t>Energized MW - identified sites, low</t>
        </is>
      </c>
      <c r="D337" t="inlineStr">
        <is>
          <t>Q2 2025</t>
        </is>
      </c>
      <c r="E337" t="n">
        <v>45</v>
      </c>
      <c r="F337" t="inlineStr">
        <is>
          <t>Estimated</t>
        </is>
      </c>
      <c r="G337" t="inlineStr">
        <is>
          <t>/workspace/nebius/capacity/nebius_capacity.xlsx 'Quarterly MW'!J124 (Capacity model; sum of per-site estimates, site sources in Tags_Sources)</t>
        </is>
      </c>
      <c r="H337" t="inlineStr">
        <is>
          <t>Capacity tag on cell: Derived (sum) of Estimated site inputs -&gt; carried as Estimated</t>
        </is>
      </c>
    </row>
    <row r="338">
      <c r="A338" t="inlineStr">
        <is>
          <t>KPI</t>
        </is>
      </c>
      <c r="B338" t="inlineStr">
        <is>
          <t>I31</t>
        </is>
      </c>
      <c r="C338" t="inlineStr">
        <is>
          <t>Energized MW - identified sites, low</t>
        </is>
      </c>
      <c r="D338" t="inlineStr">
        <is>
          <t>Q3 2025</t>
        </is>
      </c>
      <c r="E338" t="n">
        <v>45</v>
      </c>
      <c r="F338" t="inlineStr">
        <is>
          <t>Estimated</t>
        </is>
      </c>
      <c r="G338" t="inlineStr">
        <is>
          <t>/workspace/nebius/capacity/nebius_capacity.xlsx 'Quarterly MW'!K124 (Capacity model; sum of per-site estimates, site sources in Tags_Sources)</t>
        </is>
      </c>
      <c r="H338" t="inlineStr">
        <is>
          <t>Capacity tag on cell: Derived (sum) of Estimated site inputs -&gt; carried as Estimated</t>
        </is>
      </c>
    </row>
    <row r="339">
      <c r="A339" t="inlineStr">
        <is>
          <t>KPI</t>
        </is>
      </c>
      <c r="B339" t="inlineStr">
        <is>
          <t>J31</t>
        </is>
      </c>
      <c r="C339" t="inlineStr">
        <is>
          <t>Energized MW - identified sites, low</t>
        </is>
      </c>
      <c r="D339" t="inlineStr">
        <is>
          <t>Q4 2025</t>
        </is>
      </c>
      <c r="E339" t="n">
        <v>115.8</v>
      </c>
      <c r="F339" t="inlineStr">
        <is>
          <t>Estimated</t>
        </is>
      </c>
      <c r="G339" t="inlineStr">
        <is>
          <t>/workspace/nebius/capacity/nebius_capacity.xlsx 'Quarterly MW'!L124 (Capacity model; sum of per-site estimates, site sources in Tags_Sources)</t>
        </is>
      </c>
      <c r="H339" t="inlineStr">
        <is>
          <t>Capacity tag on cell: Derived (sum) of Estimated site inputs -&gt; carried as Estimated</t>
        </is>
      </c>
    </row>
    <row r="340">
      <c r="A340" t="inlineStr">
        <is>
          <t>KPI</t>
        </is>
      </c>
      <c r="B340" t="inlineStr">
        <is>
          <t>K31</t>
        </is>
      </c>
      <c r="C340" t="inlineStr">
        <is>
          <t>Energized MW - identified sites, low</t>
        </is>
      </c>
      <c r="D340" t="inlineStr">
        <is>
          <t>Q1 2026</t>
        </is>
      </c>
      <c r="E340" t="n">
        <v>154</v>
      </c>
      <c r="F340" t="inlineStr">
        <is>
          <t>Estimated</t>
        </is>
      </c>
      <c r="G340" t="inlineStr">
        <is>
          <t>/workspace/nebius/capacity/nebius_capacity.xlsx 'Quarterly MW'!M124 (Capacity model; sum of per-site estimates, site sources in Tags_Sources)</t>
        </is>
      </c>
      <c r="H340" t="inlineStr">
        <is>
          <t>Capacity tag on cell: Derived (sum) of Estimated site inputs -&gt; carried as Estimated</t>
        </is>
      </c>
    </row>
    <row r="341">
      <c r="A341" t="inlineStr">
        <is>
          <t>KPI</t>
        </is>
      </c>
      <c r="B341" t="inlineStr">
        <is>
          <t>L31</t>
        </is>
      </c>
      <c r="C341" t="inlineStr">
        <is>
          <t>Energized MW - identified sites, low</t>
        </is>
      </c>
      <c r="D341" t="inlineStr">
        <is>
          <t>Q2 2026</t>
        </is>
      </c>
      <c r="E341" t="n">
        <v>157</v>
      </c>
      <c r="F341" t="inlineStr">
        <is>
          <t>Estimated</t>
        </is>
      </c>
      <c r="G341" t="inlineStr">
        <is>
          <t>/workspace/nebius/capacity/nebius_capacity.xlsx 'Quarterly MW'!N124 (Capacity model; sum of per-site estimates, site sources in Tags_Sources)</t>
        </is>
      </c>
      <c r="H341" t="inlineStr">
        <is>
          <t>Capacity tag on cell: Derived (sum) of Estimated site inputs -&gt; carried as Estimated</t>
        </is>
      </c>
    </row>
    <row r="342">
      <c r="A342" t="inlineStr">
        <is>
          <t>KPI</t>
        </is>
      </c>
      <c r="B342" t="inlineStr">
        <is>
          <t>C32</t>
        </is>
      </c>
      <c r="C342" t="inlineStr">
        <is>
          <t>Energized MW - identified sites, high</t>
        </is>
      </c>
      <c r="D342" t="inlineStr">
        <is>
          <t>Q1 2024</t>
        </is>
      </c>
      <c r="E342" t="n">
        <v>25</v>
      </c>
      <c r="F342" t="inlineStr">
        <is>
          <t>Estimated</t>
        </is>
      </c>
      <c r="G342" t="inlineStr">
        <is>
          <t>/workspace/nebius/capacity/nebius_capacity.xlsx 'Quarterly MW'!E125 (Capacity model; sum of per-site estimates, site sources in Tags_Sources)</t>
        </is>
      </c>
      <c r="H342" t="inlineStr">
        <is>
          <t>Capacity tag on cell: Derived (sum) of Estimated site inputs -&gt; carried as Estimated</t>
        </is>
      </c>
    </row>
    <row r="343">
      <c r="A343" t="inlineStr">
        <is>
          <t>KPI</t>
        </is>
      </c>
      <c r="B343" t="inlineStr">
        <is>
          <t>D32</t>
        </is>
      </c>
      <c r="C343" t="inlineStr">
        <is>
          <t>Energized MW - identified sites, high</t>
        </is>
      </c>
      <c r="D343" t="inlineStr">
        <is>
          <t>Q2 2024</t>
        </is>
      </c>
      <c r="E343" t="n">
        <v>25</v>
      </c>
      <c r="F343" t="inlineStr">
        <is>
          <t>Estimated</t>
        </is>
      </c>
      <c r="G343" t="inlineStr">
        <is>
          <t>/workspace/nebius/capacity/nebius_capacity.xlsx 'Quarterly MW'!F125 (Capacity model; sum of per-site estimates, site sources in Tags_Sources)</t>
        </is>
      </c>
      <c r="H343" t="inlineStr">
        <is>
          <t>Capacity tag on cell: Derived (sum) of Estimated site inputs -&gt; carried as Estimated</t>
        </is>
      </c>
    </row>
    <row r="344">
      <c r="A344" t="inlineStr">
        <is>
          <t>KPI</t>
        </is>
      </c>
      <c r="B344" t="inlineStr">
        <is>
          <t>E32</t>
        </is>
      </c>
      <c r="C344" t="inlineStr">
        <is>
          <t>Energized MW - identified sites, high</t>
        </is>
      </c>
      <c r="D344" t="inlineStr">
        <is>
          <t>Q3 2024</t>
        </is>
      </c>
      <c r="E344" t="n">
        <v>25</v>
      </c>
      <c r="F344" t="inlineStr">
        <is>
          <t>Estimated</t>
        </is>
      </c>
      <c r="G344" t="inlineStr">
        <is>
          <t>/workspace/nebius/capacity/nebius_capacity.xlsx 'Quarterly MW'!G125 (Capacity model; sum of per-site estimates, site sources in Tags_Sources)</t>
        </is>
      </c>
      <c r="H344" t="inlineStr">
        <is>
          <t>Capacity tag on cell: Derived (sum) of Estimated site inputs -&gt; carried as Estimated</t>
        </is>
      </c>
    </row>
    <row r="345">
      <c r="A345" t="inlineStr">
        <is>
          <t>KPI</t>
        </is>
      </c>
      <c r="B345" t="inlineStr">
        <is>
          <t>F32</t>
        </is>
      </c>
      <c r="C345" t="inlineStr">
        <is>
          <t>Energized MW - identified sites, high</t>
        </is>
      </c>
      <c r="D345" t="inlineStr">
        <is>
          <t>Q4 2024</t>
        </is>
      </c>
      <c r="E345" t="n">
        <v>30</v>
      </c>
      <c r="F345" t="inlineStr">
        <is>
          <t>Estimated</t>
        </is>
      </c>
      <c r="G345" t="inlineStr">
        <is>
          <t>/workspace/nebius/capacity/nebius_capacity.xlsx 'Quarterly MW'!H125 (Capacity model; sum of per-site estimates, site sources in Tags_Sources)</t>
        </is>
      </c>
      <c r="H345" t="inlineStr">
        <is>
          <t>Capacity tag on cell: Derived (sum) of Estimated site inputs -&gt; carried as Estimated</t>
        </is>
      </c>
    </row>
    <row r="346">
      <c r="A346" t="inlineStr">
        <is>
          <t>KPI</t>
        </is>
      </c>
      <c r="B346" t="inlineStr">
        <is>
          <t>G32</t>
        </is>
      </c>
      <c r="C346" t="inlineStr">
        <is>
          <t>Energized MW - identified sites, high</t>
        </is>
      </c>
      <c r="D346" t="inlineStr">
        <is>
          <t>Q1 2025</t>
        </is>
      </c>
      <c r="E346" t="n">
        <v>55</v>
      </c>
      <c r="F346" t="inlineStr">
        <is>
          <t>Estimated</t>
        </is>
      </c>
      <c r="G346" t="inlineStr">
        <is>
          <t>/workspace/nebius/capacity/nebius_capacity.xlsx 'Quarterly MW'!I125 (Capacity model; sum of per-site estimates, site sources in Tags_Sources)</t>
        </is>
      </c>
      <c r="H346" t="inlineStr">
        <is>
          <t>Capacity tag on cell: Derived (sum) of Estimated site inputs -&gt; carried as Estimated</t>
        </is>
      </c>
    </row>
    <row r="347">
      <c r="A347" t="inlineStr">
        <is>
          <t>KPI</t>
        </is>
      </c>
      <c r="B347" t="inlineStr">
        <is>
          <t>H32</t>
        </is>
      </c>
      <c r="C347" t="inlineStr">
        <is>
          <t>Energized MW - identified sites, high</t>
        </is>
      </c>
      <c r="D347" t="inlineStr">
        <is>
          <t>Q2 2025</t>
        </is>
      </c>
      <c r="E347" t="n">
        <v>55</v>
      </c>
      <c r="F347" t="inlineStr">
        <is>
          <t>Estimated</t>
        </is>
      </c>
      <c r="G347" t="inlineStr">
        <is>
          <t>/workspace/nebius/capacity/nebius_capacity.xlsx 'Quarterly MW'!J125 (Capacity model; sum of per-site estimates, site sources in Tags_Sources)</t>
        </is>
      </c>
      <c r="H347" t="inlineStr">
        <is>
          <t>Capacity tag on cell: Derived (sum) of Estimated site inputs -&gt; carried as Estimated</t>
        </is>
      </c>
    </row>
    <row r="348">
      <c r="A348" t="inlineStr">
        <is>
          <t>KPI</t>
        </is>
      </c>
      <c r="B348" t="inlineStr">
        <is>
          <t>I32</t>
        </is>
      </c>
      <c r="C348" t="inlineStr">
        <is>
          <t>Energized MW - identified sites, high</t>
        </is>
      </c>
      <c r="D348" t="inlineStr">
        <is>
          <t>Q3 2025</t>
        </is>
      </c>
      <c r="E348" t="n">
        <v>80</v>
      </c>
      <c r="F348" t="inlineStr">
        <is>
          <t>Estimated</t>
        </is>
      </c>
      <c r="G348" t="inlineStr">
        <is>
          <t>/workspace/nebius/capacity/nebius_capacity.xlsx 'Quarterly MW'!K125 (Capacity model; sum of per-site estimates, site sources in Tags_Sources)</t>
        </is>
      </c>
      <c r="H348" t="inlineStr">
        <is>
          <t>Capacity tag on cell: Derived (sum) of Estimated site inputs -&gt; carried as Estimated</t>
        </is>
      </c>
    </row>
    <row r="349">
      <c r="A349" t="inlineStr">
        <is>
          <t>KPI</t>
        </is>
      </c>
      <c r="B349" t="inlineStr">
        <is>
          <t>J32</t>
        </is>
      </c>
      <c r="C349" t="inlineStr">
        <is>
          <t>Energized MW - identified sites, high</t>
        </is>
      </c>
      <c r="D349" t="inlineStr">
        <is>
          <t>Q4 2025</t>
        </is>
      </c>
      <c r="E349" t="n">
        <v>179.6</v>
      </c>
      <c r="F349" t="inlineStr">
        <is>
          <t>Estimated</t>
        </is>
      </c>
      <c r="G349" t="inlineStr">
        <is>
          <t>/workspace/nebius/capacity/nebius_capacity.xlsx 'Quarterly MW'!L125 (Capacity model; sum of per-site estimates, site sources in Tags_Sources)</t>
        </is>
      </c>
      <c r="H349" t="inlineStr">
        <is>
          <t>Capacity tag on cell: Derived (sum) of Estimated site inputs -&gt; carried as Estimated</t>
        </is>
      </c>
    </row>
    <row r="350">
      <c r="A350" t="inlineStr">
        <is>
          <t>KPI</t>
        </is>
      </c>
      <c r="B350" t="inlineStr">
        <is>
          <t>K32</t>
        </is>
      </c>
      <c r="C350" t="inlineStr">
        <is>
          <t>Energized MW - identified sites, high</t>
        </is>
      </c>
      <c r="D350" t="inlineStr">
        <is>
          <t>Q1 2026</t>
        </is>
      </c>
      <c r="E350" t="n">
        <v>209</v>
      </c>
      <c r="F350" t="inlineStr">
        <is>
          <t>Estimated</t>
        </is>
      </c>
      <c r="G350" t="inlineStr">
        <is>
          <t>/workspace/nebius/capacity/nebius_capacity.xlsx 'Quarterly MW'!M125 (Capacity model; sum of per-site estimates, site sources in Tags_Sources)</t>
        </is>
      </c>
      <c r="H350" t="inlineStr">
        <is>
          <t>Capacity tag on cell: Derived (sum) of Estimated site inputs -&gt; carried as Estimated</t>
        </is>
      </c>
    </row>
    <row r="351">
      <c r="A351" t="inlineStr">
        <is>
          <t>KPI</t>
        </is>
      </c>
      <c r="B351" t="inlineStr">
        <is>
          <t>L32</t>
        </is>
      </c>
      <c r="C351" t="inlineStr">
        <is>
          <t>Energized MW - identified sites, high</t>
        </is>
      </c>
      <c r="D351" t="inlineStr">
        <is>
          <t>Q2 2026</t>
        </is>
      </c>
      <c r="E351" t="n">
        <v>229</v>
      </c>
      <c r="F351" t="inlineStr">
        <is>
          <t>Estimated</t>
        </is>
      </c>
      <c r="G351" t="inlineStr">
        <is>
          <t>/workspace/nebius/capacity/nebius_capacity.xlsx 'Quarterly MW'!N125 (Capacity model; sum of per-site estimates, site sources in Tags_Sources)</t>
        </is>
      </c>
      <c r="H351" t="inlineStr">
        <is>
          <t>Capacity tag on cell: Derived (sum) of Estimated site inputs -&gt; carried as Estimated</t>
        </is>
      </c>
    </row>
    <row r="352">
      <c r="A352" t="inlineStr">
        <is>
          <t>KPI</t>
        </is>
      </c>
      <c r="B352" t="inlineStr">
        <is>
          <t>C33</t>
        </is>
      </c>
      <c r="C352" t="inlineStr">
        <is>
          <t>MW as stated by management</t>
        </is>
      </c>
      <c r="D352" t="inlineStr">
        <is>
          <t>Q1 2024</t>
        </is>
      </c>
      <c r="E352" t="inlineStr">
        <is>
          <t>n.d.</t>
        </is>
      </c>
      <c r="F352" t="inlineStr">
        <is>
          <t>not disclosed</t>
        </is>
      </c>
      <c r="G352" t="inlineStr">
        <is>
          <t>n/a</t>
        </is>
      </c>
      <c r="H352" t="inlineStr">
        <is>
          <t>no MW figure stated for this quarter end</t>
        </is>
      </c>
    </row>
    <row r="353">
      <c r="A353" t="inlineStr">
        <is>
          <t>KPI</t>
        </is>
      </c>
      <c r="B353" t="inlineStr">
        <is>
          <t>D33</t>
        </is>
      </c>
      <c r="C353" t="inlineStr">
        <is>
          <t>MW as stated by management</t>
        </is>
      </c>
      <c r="D353" t="inlineStr">
        <is>
          <t>Q2 2024</t>
        </is>
      </c>
      <c r="E353" t="inlineStr">
        <is>
          <t>n.d.</t>
        </is>
      </c>
      <c r="F353" t="inlineStr">
        <is>
          <t>not disclosed</t>
        </is>
      </c>
      <c r="G353" t="inlineStr">
        <is>
          <t>n/a</t>
        </is>
      </c>
      <c r="H353" t="inlineStr">
        <is>
          <t>no MW figure stated for this quarter end</t>
        </is>
      </c>
    </row>
    <row r="354">
      <c r="A354" t="inlineStr">
        <is>
          <t>KPI</t>
        </is>
      </c>
      <c r="B354" t="inlineStr">
        <is>
          <t>E33</t>
        </is>
      </c>
      <c r="C354" t="inlineStr">
        <is>
          <t>MW as stated by management</t>
        </is>
      </c>
      <c r="D354" t="inlineStr">
        <is>
          <t>Q3 2024</t>
        </is>
      </c>
      <c r="E354" t="inlineStr">
        <is>
          <t>n.d.</t>
        </is>
      </c>
      <c r="F354" t="inlineStr">
        <is>
          <t>not disclosed</t>
        </is>
      </c>
      <c r="G354" t="inlineStr">
        <is>
          <t>n/a</t>
        </is>
      </c>
      <c r="H354" t="inlineStr">
        <is>
          <t>no MW figure stated for this quarter end</t>
        </is>
      </c>
    </row>
    <row r="355">
      <c r="A355" t="inlineStr">
        <is>
          <t>KPI</t>
        </is>
      </c>
      <c r="B355" t="inlineStr">
        <is>
          <t>F33</t>
        </is>
      </c>
      <c r="C355" t="inlineStr">
        <is>
          <t>MW as stated by management</t>
        </is>
      </c>
      <c r="D355" t="inlineStr">
        <is>
          <t>Q4 2024</t>
        </is>
      </c>
      <c r="E355" t="n">
        <v>25</v>
      </c>
      <c r="F355" t="inlineStr">
        <is>
          <t>Reported</t>
        </is>
      </c>
      <c r="G355" t="inlineStr">
        <is>
          <t>6-K 2025-11-12 Q3-25 shareholder letter chart (connected MW YE24) | https://www.sec.gov/Archives/edgar/data/1513845/000110465925109806/tm2530882d1_ex99-2.htm</t>
        </is>
      </c>
      <c r="H355" t="inlineStr">
        <is>
          <t>connected power</t>
        </is>
      </c>
    </row>
    <row r="356">
      <c r="A356" t="inlineStr">
        <is>
          <t>KPI</t>
        </is>
      </c>
      <c r="B356" t="inlineStr">
        <is>
          <t>G33</t>
        </is>
      </c>
      <c r="C356" t="inlineStr">
        <is>
          <t>MW as stated by management</t>
        </is>
      </c>
      <c r="D356" t="inlineStr">
        <is>
          <t>Q1 2025</t>
        </is>
      </c>
      <c r="E356" t="inlineStr">
        <is>
          <t>n.d.</t>
        </is>
      </c>
      <c r="F356" t="inlineStr">
        <is>
          <t>not disclosed</t>
        </is>
      </c>
      <c r="G356" t="inlineStr">
        <is>
          <t>n/a</t>
        </is>
      </c>
      <c r="H356" t="inlineStr">
        <is>
          <t>no MW figure stated for this quarter end</t>
        </is>
      </c>
    </row>
    <row r="357">
      <c r="A357" t="inlineStr">
        <is>
          <t>KPI</t>
        </is>
      </c>
      <c r="B357" t="inlineStr">
        <is>
          <t>H33</t>
        </is>
      </c>
      <c r="C357" t="inlineStr">
        <is>
          <t>MW as stated by management</t>
        </is>
      </c>
      <c r="D357" t="inlineStr">
        <is>
          <t>Q2 2025</t>
        </is>
      </c>
      <c r="E357" t="inlineStr">
        <is>
          <t>n.d.</t>
        </is>
      </c>
      <c r="F357" t="inlineStr">
        <is>
          <t>not disclosed</t>
        </is>
      </c>
      <c r="G357" t="inlineStr">
        <is>
          <t>n/a</t>
        </is>
      </c>
      <c r="H357" t="inlineStr">
        <is>
          <t>no MW figure stated for this quarter end</t>
        </is>
      </c>
    </row>
    <row r="358">
      <c r="A358" t="inlineStr">
        <is>
          <t>KPI</t>
        </is>
      </c>
      <c r="B358" t="inlineStr">
        <is>
          <t>I33</t>
        </is>
      </c>
      <c r="C358" t="inlineStr">
        <is>
          <t>MW as stated by management</t>
        </is>
      </c>
      <c r="D358" t="inlineStr">
        <is>
          <t>Q3 2025</t>
        </is>
      </c>
      <c r="E358" t="inlineStr">
        <is>
          <t>n.d.</t>
        </is>
      </c>
      <c r="F358" t="inlineStr">
        <is>
          <t>not disclosed</t>
        </is>
      </c>
      <c r="G358" t="inlineStr">
        <is>
          <t>n/a</t>
        </is>
      </c>
      <c r="H358" t="inlineStr">
        <is>
          <t>no MW figure stated for this quarter end</t>
        </is>
      </c>
    </row>
    <row r="359">
      <c r="A359" t="inlineStr">
        <is>
          <t>KPI</t>
        </is>
      </c>
      <c r="B359" t="inlineStr">
        <is>
          <t>J33</t>
        </is>
      </c>
      <c r="C359" t="inlineStr">
        <is>
          <t>MW as stated by management</t>
        </is>
      </c>
      <c r="D359" t="inlineStr">
        <is>
          <t>Q4 2025</t>
        </is>
      </c>
      <c r="E359" t="n">
        <v>170</v>
      </c>
      <c r="F359" t="inlineStr">
        <is>
          <t>Reported</t>
        </is>
      </c>
      <c r="G359" t="inlineStr">
        <is>
          <t>6-K 2026-02-12 acc 0001104659-26-013946 tm266173d1_ex99-2.htm highlights ("~170 MW of active power") | https://www.sec.gov/Archives/edgar/data/1513845/000110465926013946/tm266173d1_ex99-2.htm</t>
        </is>
      </c>
      <c r="H359" t="inlineStr">
        <is>
          <t>active power, approximate</t>
        </is>
      </c>
    </row>
    <row r="360">
      <c r="A360" t="inlineStr">
        <is>
          <t>KPI</t>
        </is>
      </c>
      <c r="B360" t="inlineStr">
        <is>
          <t>K33</t>
        </is>
      </c>
      <c r="C360" t="inlineStr">
        <is>
          <t>MW as stated by management</t>
        </is>
      </c>
      <c r="D360" t="inlineStr">
        <is>
          <t>Q1 2026</t>
        </is>
      </c>
      <c r="E360" t="inlineStr">
        <is>
          <t>n.d.</t>
        </is>
      </c>
      <c r="F360" t="inlineStr">
        <is>
          <t>not disclosed</t>
        </is>
      </c>
      <c r="G360" t="inlineStr">
        <is>
          <t>n/a</t>
        </is>
      </c>
      <c r="H360" t="inlineStr">
        <is>
          <t>no MW figure stated for this quarter end</t>
        </is>
      </c>
    </row>
    <row r="361">
      <c r="A361" t="inlineStr">
        <is>
          <t>KPI</t>
        </is>
      </c>
      <c r="B361" t="inlineStr">
        <is>
          <t>L33</t>
        </is>
      </c>
      <c r="C361" t="inlineStr">
        <is>
          <t>MW as stated by management</t>
        </is>
      </c>
      <c r="D361" t="inlineStr">
        <is>
          <t>Q2 2026</t>
        </is>
      </c>
      <c r="E361" t="inlineStr">
        <is>
          <t>n.d.</t>
        </is>
      </c>
      <c r="F361" t="inlineStr">
        <is>
          <t>not disclosed</t>
        </is>
      </c>
      <c r="G361" t="inlineStr">
        <is>
          <t>n/a</t>
        </is>
      </c>
      <c r="H361" t="inlineStr">
        <is>
          <t>no MW figure stated for this quarter end</t>
        </is>
      </c>
    </row>
    <row r="362">
      <c r="A362" t="inlineStr">
        <is>
          <t>KPI</t>
        </is>
      </c>
      <c r="B362" t="inlineStr">
        <is>
          <t>C34</t>
        </is>
      </c>
      <c r="C362" t="inlineStr">
        <is>
          <t>GPUs deployed - modeled (Capacity: energized MW x GPUs/MW)</t>
        </is>
      </c>
      <c r="D362" t="inlineStr">
        <is>
          <t>Q1 2024</t>
        </is>
      </c>
      <c r="E362" t="n">
        <v>13713</v>
      </c>
      <c r="F362" t="inlineStr">
        <is>
          <t>Estimated</t>
        </is>
      </c>
      <c r="G362" t="inlineStr">
        <is>
          <t>/workspace/nebius/capacity/nebius_capacity.xlsx 'GPUs deployed'!E34 (sum of site rows 11-29: energized base MW x GPUs/MW from gpu_mw_capex.xlsx)</t>
        </is>
      </c>
    </row>
    <row r="363">
      <c r="A363" t="inlineStr">
        <is>
          <t>KPI</t>
        </is>
      </c>
      <c r="B363" t="inlineStr">
        <is>
          <t>D34</t>
        </is>
      </c>
      <c r="C363" t="inlineStr">
        <is>
          <t>GPUs deployed - modeled (Capacity: energized MW x GPUs/MW)</t>
        </is>
      </c>
      <c r="D363" t="inlineStr">
        <is>
          <t>Q2 2024</t>
        </is>
      </c>
      <c r="E363" t="n">
        <v>13713</v>
      </c>
      <c r="F363" t="inlineStr">
        <is>
          <t>Estimated</t>
        </is>
      </c>
      <c r="G363" t="inlineStr">
        <is>
          <t>/workspace/nebius/capacity/nebius_capacity.xlsx 'GPUs deployed'!F34 (sum of site rows 11-29: energized base MW x GPUs/MW from gpu_mw_capex.xlsx)</t>
        </is>
      </c>
    </row>
    <row r="364">
      <c r="A364" t="inlineStr">
        <is>
          <t>KPI</t>
        </is>
      </c>
      <c r="B364" t="inlineStr">
        <is>
          <t>E34</t>
        </is>
      </c>
      <c r="C364" t="inlineStr">
        <is>
          <t>GPUs deployed - modeled (Capacity: energized MW x GPUs/MW)</t>
        </is>
      </c>
      <c r="D364" t="inlineStr">
        <is>
          <t>Q3 2024</t>
        </is>
      </c>
      <c r="E364" t="n">
        <v>13713</v>
      </c>
      <c r="F364" t="inlineStr">
        <is>
          <t>Estimated</t>
        </is>
      </c>
      <c r="G364" t="inlineStr">
        <is>
          <t>/workspace/nebius/capacity/nebius_capacity.xlsx 'GPUs deployed'!G34 (sum of site rows 11-29: energized base MW x GPUs/MW from gpu_mw_capex.xlsx)</t>
        </is>
      </c>
    </row>
    <row r="365">
      <c r="A365" t="inlineStr">
        <is>
          <t>KPI</t>
        </is>
      </c>
      <c r="B365" t="inlineStr">
        <is>
          <t>F34</t>
        </is>
      </c>
      <c r="C365" t="inlineStr">
        <is>
          <t>GPUs deployed - modeled (Capacity: energized MW x GPUs/MW)</t>
        </is>
      </c>
      <c r="D365" t="inlineStr">
        <is>
          <t>Q4 2024</t>
        </is>
      </c>
      <c r="E365" t="n">
        <v>16456</v>
      </c>
      <c r="F365" t="inlineStr">
        <is>
          <t>Estimated</t>
        </is>
      </c>
      <c r="G365" t="inlineStr">
        <is>
          <t>/workspace/nebius/capacity/nebius_capacity.xlsx 'GPUs deployed'!H34 (sum of site rows 11-29: energized base MW x GPUs/MW from gpu_mw_capex.xlsx)</t>
        </is>
      </c>
    </row>
    <row r="366">
      <c r="A366" t="inlineStr">
        <is>
          <t>KPI</t>
        </is>
      </c>
      <c r="B366" t="inlineStr">
        <is>
          <t>G34</t>
        </is>
      </c>
      <c r="C366" t="inlineStr">
        <is>
          <t>GPUs deployed - modeled (Capacity: energized MW x GPUs/MW)</t>
        </is>
      </c>
      <c r="D366" t="inlineStr">
        <is>
          <t>Q1 2025</t>
        </is>
      </c>
      <c r="E366" t="n">
        <v>27426</v>
      </c>
      <c r="F366" t="inlineStr">
        <is>
          <t>Estimated</t>
        </is>
      </c>
      <c r="G366" t="inlineStr">
        <is>
          <t>/workspace/nebius/capacity/nebius_capacity.xlsx 'GPUs deployed'!I34 (sum of site rows 11-29: energized base MW x GPUs/MW from gpu_mw_capex.xlsx)</t>
        </is>
      </c>
    </row>
    <row r="367">
      <c r="A367" t="inlineStr">
        <is>
          <t>KPI</t>
        </is>
      </c>
      <c r="B367" t="inlineStr">
        <is>
          <t>H34</t>
        </is>
      </c>
      <c r="C367" t="inlineStr">
        <is>
          <t>GPUs deployed - modeled (Capacity: energized MW x GPUs/MW)</t>
        </is>
      </c>
      <c r="D367" t="inlineStr">
        <is>
          <t>Q2 2025</t>
        </is>
      </c>
      <c r="E367" t="n">
        <v>27426</v>
      </c>
      <c r="F367" t="inlineStr">
        <is>
          <t>Estimated</t>
        </is>
      </c>
      <c r="G367" t="inlineStr">
        <is>
          <t>/workspace/nebius/capacity/nebius_capacity.xlsx 'GPUs deployed'!J34 (sum of site rows 11-29: energized base MW x GPUs/MW from gpu_mw_capex.xlsx)</t>
        </is>
      </c>
    </row>
    <row r="368">
      <c r="A368" t="inlineStr">
        <is>
          <t>KPI</t>
        </is>
      </c>
      <c r="B368" t="inlineStr">
        <is>
          <t>I34</t>
        </is>
      </c>
      <c r="C368" t="inlineStr">
        <is>
          <t>GPUs deployed - modeled (Capacity: energized MW x GPUs/MW)</t>
        </is>
      </c>
      <c r="D368" t="inlineStr">
        <is>
          <t>Q3 2025</t>
        </is>
      </c>
      <c r="E368" t="n">
        <v>32542</v>
      </c>
      <c r="F368" t="inlineStr">
        <is>
          <t>Estimated</t>
        </is>
      </c>
      <c r="G368" t="inlineStr">
        <is>
          <t>/workspace/nebius/capacity/nebius_capacity.xlsx 'GPUs deployed'!K34 (sum of site rows 11-29: energized base MW x GPUs/MW from gpu_mw_capex.xlsx)</t>
        </is>
      </c>
    </row>
    <row r="369">
      <c r="A369" t="inlineStr">
        <is>
          <t>KPI</t>
        </is>
      </c>
      <c r="B369" t="inlineStr">
        <is>
          <t>J34</t>
        </is>
      </c>
      <c r="C369" t="inlineStr">
        <is>
          <t>GPUs deployed - modeled (Capacity: energized MW x GPUs/MW)</t>
        </is>
      </c>
      <c r="D369" t="inlineStr">
        <is>
          <t>Q4 2025</t>
        </is>
      </c>
      <c r="E369" t="n">
        <v>69797</v>
      </c>
      <c r="F369" t="inlineStr">
        <is>
          <t>Estimated</t>
        </is>
      </c>
      <c r="G369" t="inlineStr">
        <is>
          <t>/workspace/nebius/capacity/nebius_capacity.xlsx 'GPUs deployed'!L34 (sum of site rows 11-29: energized base MW x GPUs/MW from gpu_mw_capex.xlsx)</t>
        </is>
      </c>
    </row>
    <row r="370">
      <c r="A370" t="inlineStr">
        <is>
          <t>KPI</t>
        </is>
      </c>
      <c r="B370" t="inlineStr">
        <is>
          <t>K34</t>
        </is>
      </c>
      <c r="C370" t="inlineStr">
        <is>
          <t>GPUs deployed - modeled (Capacity: energized MW x GPUs/MW)</t>
        </is>
      </c>
      <c r="D370" t="inlineStr">
        <is>
          <t>Q1 2026</t>
        </is>
      </c>
      <c r="E370" t="n">
        <v>84323</v>
      </c>
      <c r="F370" t="inlineStr">
        <is>
          <t>Estimated</t>
        </is>
      </c>
      <c r="G370" t="inlineStr">
        <is>
          <t>/workspace/nebius/capacity/nebius_capacity.xlsx 'GPUs deployed'!M34 (sum of site rows 11-29: energized base MW x GPUs/MW from gpu_mw_capex.xlsx)</t>
        </is>
      </c>
    </row>
    <row r="371">
      <c r="A371" t="inlineStr">
        <is>
          <t>KPI</t>
        </is>
      </c>
      <c r="B371" t="inlineStr">
        <is>
          <t>L34</t>
        </is>
      </c>
      <c r="C371" t="inlineStr">
        <is>
          <t>GPUs deployed - modeled (Capacity: energized MW x GPUs/MW)</t>
        </is>
      </c>
      <c r="D371" t="inlineStr">
        <is>
          <t>Q2 2026</t>
        </is>
      </c>
      <c r="E371" t="n">
        <v>89153</v>
      </c>
      <c r="F371" t="inlineStr">
        <is>
          <t>Estimated</t>
        </is>
      </c>
      <c r="G371" t="inlineStr">
        <is>
          <t>/workspace/nebius/capacity/nebius_capacity.xlsx 'GPUs deployed'!N34 (sum of site rows 11-29: energized base MW x GPUs/MW from gpu_mw_capex.xlsx)</t>
        </is>
      </c>
    </row>
    <row r="372">
      <c r="A372" t="inlineStr">
        <is>
          <t>KPI</t>
        </is>
      </c>
      <c r="B372" t="inlineStr">
        <is>
          <t>C35</t>
        </is>
      </c>
      <c r="C372" t="inlineStr">
        <is>
          <t xml:space="preserve">  of which Hopper (H100-class; Mantsala first 25 MW, Paris, Keflavik)</t>
        </is>
      </c>
      <c r="D372" t="inlineStr">
        <is>
          <t>Q1 2024</t>
        </is>
      </c>
      <c r="E372" t="n">
        <v>13713</v>
      </c>
      <c r="F372" t="inlineStr">
        <is>
          <t>Estimated</t>
        </is>
      </c>
      <c r="G372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3">
      <c r="A373" t="inlineStr">
        <is>
          <t>KPI</t>
        </is>
      </c>
      <c r="B373" t="inlineStr">
        <is>
          <t>D35</t>
        </is>
      </c>
      <c r="C373" t="inlineStr">
        <is>
          <t xml:space="preserve">  of which Hopper (H100-class; Mantsala first 25 MW, Paris, Keflavik)</t>
        </is>
      </c>
      <c r="D373" t="inlineStr">
        <is>
          <t>Q2 2024</t>
        </is>
      </c>
      <c r="E373" t="n">
        <v>13713</v>
      </c>
      <c r="F373" t="inlineStr">
        <is>
          <t>Estimated</t>
        </is>
      </c>
      <c r="G373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4">
      <c r="A374" t="inlineStr">
        <is>
          <t>KPI</t>
        </is>
      </c>
      <c r="B374" t="inlineStr">
        <is>
          <t>E35</t>
        </is>
      </c>
      <c r="C374" t="inlineStr">
        <is>
          <t xml:space="preserve">  of which Hopper (H100-class; Mantsala first 25 MW, Paris, Keflavik)</t>
        </is>
      </c>
      <c r="D374" t="inlineStr">
        <is>
          <t>Q3 2024</t>
        </is>
      </c>
      <c r="E374" t="n">
        <v>13713</v>
      </c>
      <c r="F374" t="inlineStr">
        <is>
          <t>Estimated</t>
        </is>
      </c>
      <c r="G374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5">
      <c r="A375" t="inlineStr">
        <is>
          <t>KPI</t>
        </is>
      </c>
      <c r="B375" t="inlineStr">
        <is>
          <t>F35</t>
        </is>
      </c>
      <c r="C375" t="inlineStr">
        <is>
          <t xml:space="preserve">  of which Hopper (H100-class; Mantsala first 25 MW, Paris, Keflavik)</t>
        </is>
      </c>
      <c r="D375" t="inlineStr">
        <is>
          <t>Q4 2024</t>
        </is>
      </c>
      <c r="E375" t="n">
        <v>16456</v>
      </c>
      <c r="F375" t="inlineStr">
        <is>
          <t>Estimated</t>
        </is>
      </c>
      <c r="G375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6">
      <c r="A376" t="inlineStr">
        <is>
          <t>KPI</t>
        </is>
      </c>
      <c r="B376" t="inlineStr">
        <is>
          <t>G35</t>
        </is>
      </c>
      <c r="C376" t="inlineStr">
        <is>
          <t xml:space="preserve">  of which Hopper (H100-class; Mantsala first 25 MW, Paris, Keflavik)</t>
        </is>
      </c>
      <c r="D376" t="inlineStr">
        <is>
          <t>Q1 2025</t>
        </is>
      </c>
      <c r="E376" t="n">
        <v>21941</v>
      </c>
      <c r="F376" t="inlineStr">
        <is>
          <t>Estimated</t>
        </is>
      </c>
      <c r="G376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7">
      <c r="A377" t="inlineStr">
        <is>
          <t>KPI</t>
        </is>
      </c>
      <c r="B377" t="inlineStr">
        <is>
          <t>H35</t>
        </is>
      </c>
      <c r="C377" t="inlineStr">
        <is>
          <t xml:space="preserve">  of which Hopper (H100-class; Mantsala first 25 MW, Paris, Keflavik)</t>
        </is>
      </c>
      <c r="D377" t="inlineStr">
        <is>
          <t>Q2 2025</t>
        </is>
      </c>
      <c r="E377" t="n">
        <v>21941</v>
      </c>
      <c r="F377" t="inlineStr">
        <is>
          <t>Estimated</t>
        </is>
      </c>
      <c r="G377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8">
      <c r="A378" t="inlineStr">
        <is>
          <t>KPI</t>
        </is>
      </c>
      <c r="B378" t="inlineStr">
        <is>
          <t>I35</t>
        </is>
      </c>
      <c r="C378" t="inlineStr">
        <is>
          <t xml:space="preserve">  of which Hopper (H100-class; Mantsala first 25 MW, Paris, Keflavik)</t>
        </is>
      </c>
      <c r="D378" t="inlineStr">
        <is>
          <t>Q3 2025</t>
        </is>
      </c>
      <c r="E378" t="n">
        <v>21941</v>
      </c>
      <c r="F378" t="inlineStr">
        <is>
          <t>Estimated</t>
        </is>
      </c>
      <c r="G378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79">
      <c r="A379" t="inlineStr">
        <is>
          <t>KPI</t>
        </is>
      </c>
      <c r="B379" t="inlineStr">
        <is>
          <t>J35</t>
        </is>
      </c>
      <c r="C379" t="inlineStr">
        <is>
          <t xml:space="preserve">  of which Hopper (H100-class; Mantsala first 25 MW, Paris, Keflavik)</t>
        </is>
      </c>
      <c r="D379" t="inlineStr">
        <is>
          <t>Q4 2025</t>
        </is>
      </c>
      <c r="E379" t="n">
        <v>21941</v>
      </c>
      <c r="F379" t="inlineStr">
        <is>
          <t>Estimated</t>
        </is>
      </c>
      <c r="G379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0">
      <c r="A380" t="inlineStr">
        <is>
          <t>KPI</t>
        </is>
      </c>
      <c r="B380" t="inlineStr">
        <is>
          <t>K35</t>
        </is>
      </c>
      <c r="C380" t="inlineStr">
        <is>
          <t xml:space="preserve">  of which Hopper (H100-class; Mantsala first 25 MW, Paris, Keflavik)</t>
        </is>
      </c>
      <c r="D380" t="inlineStr">
        <is>
          <t>Q1 2026</t>
        </is>
      </c>
      <c r="E380" t="n">
        <v>21941</v>
      </c>
      <c r="F380" t="inlineStr">
        <is>
          <t>Estimated</t>
        </is>
      </c>
      <c r="G380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1">
      <c r="A381" t="inlineStr">
        <is>
          <t>KPI</t>
        </is>
      </c>
      <c r="B381" t="inlineStr">
        <is>
          <t>L35</t>
        </is>
      </c>
      <c r="C381" t="inlineStr">
        <is>
          <t xml:space="preserve">  of which Hopper (H100-class; Mantsala first 25 MW, Paris, Keflavik)</t>
        </is>
      </c>
      <c r="D381" t="inlineStr">
        <is>
          <t>Q2 2026</t>
        </is>
      </c>
      <c r="E381" t="n">
        <v>21941</v>
      </c>
      <c r="F381" t="inlineStr">
        <is>
          <t>Estimated</t>
        </is>
      </c>
      <c r="G381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2">
      <c r="A382" t="inlineStr">
        <is>
          <t>KPI</t>
        </is>
      </c>
      <c r="B382" t="inlineStr">
        <is>
          <t>C36</t>
        </is>
      </c>
      <c r="C382" t="inlineStr">
        <is>
          <t xml:space="preserve">  of which H200 (Kansas City first 10 MW @ 548.5 GPUs/MW)</t>
        </is>
      </c>
      <c r="D382" t="inlineStr">
        <is>
          <t>Q1 2024</t>
        </is>
      </c>
      <c r="E382" t="n">
        <v>0</v>
      </c>
      <c r="F382" t="inlineStr">
        <is>
          <t>Estimated</t>
        </is>
      </c>
      <c r="G382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3">
      <c r="A383" t="inlineStr">
        <is>
          <t>KPI</t>
        </is>
      </c>
      <c r="B383" t="inlineStr">
        <is>
          <t>D36</t>
        </is>
      </c>
      <c r="C383" t="inlineStr">
        <is>
          <t xml:space="preserve">  of which H200 (Kansas City first 10 MW @ 548.5 GPUs/MW)</t>
        </is>
      </c>
      <c r="D383" t="inlineStr">
        <is>
          <t>Q2 2024</t>
        </is>
      </c>
      <c r="E383" t="n">
        <v>0</v>
      </c>
      <c r="F383" t="inlineStr">
        <is>
          <t>Estimated</t>
        </is>
      </c>
      <c r="G383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4">
      <c r="A384" t="inlineStr">
        <is>
          <t>KPI</t>
        </is>
      </c>
      <c r="B384" t="inlineStr">
        <is>
          <t>E36</t>
        </is>
      </c>
      <c r="C384" t="inlineStr">
        <is>
          <t xml:space="preserve">  of which H200 (Kansas City first 10 MW @ 548.5 GPUs/MW)</t>
        </is>
      </c>
      <c r="D384" t="inlineStr">
        <is>
          <t>Q3 2024</t>
        </is>
      </c>
      <c r="E384" t="n">
        <v>0</v>
      </c>
      <c r="F384" t="inlineStr">
        <is>
          <t>Estimated</t>
        </is>
      </c>
      <c r="G384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5">
      <c r="A385" t="inlineStr">
        <is>
          <t>KPI</t>
        </is>
      </c>
      <c r="B385" t="inlineStr">
        <is>
          <t>F36</t>
        </is>
      </c>
      <c r="C385" t="inlineStr">
        <is>
          <t xml:space="preserve">  of which H200 (Kansas City first 10 MW @ 548.5 GPUs/MW)</t>
        </is>
      </c>
      <c r="D385" t="inlineStr">
        <is>
          <t>Q4 2024</t>
        </is>
      </c>
      <c r="E385" t="n">
        <v>0</v>
      </c>
      <c r="F385" t="inlineStr">
        <is>
          <t>Estimated</t>
        </is>
      </c>
      <c r="G385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6">
      <c r="A386" t="inlineStr">
        <is>
          <t>KPI</t>
        </is>
      </c>
      <c r="B386" t="inlineStr">
        <is>
          <t>G36</t>
        </is>
      </c>
      <c r="C386" t="inlineStr">
        <is>
          <t xml:space="preserve">  of which H200 (Kansas City first 10 MW @ 548.5 GPUs/MW)</t>
        </is>
      </c>
      <c r="D386" t="inlineStr">
        <is>
          <t>Q1 2025</t>
        </is>
      </c>
      <c r="E386" t="n">
        <v>5485</v>
      </c>
      <c r="F386" t="inlineStr">
        <is>
          <t>Estimated</t>
        </is>
      </c>
      <c r="G386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7">
      <c r="A387" t="inlineStr">
        <is>
          <t>KPI</t>
        </is>
      </c>
      <c r="B387" t="inlineStr">
        <is>
          <t>H36</t>
        </is>
      </c>
      <c r="C387" t="inlineStr">
        <is>
          <t xml:space="preserve">  of which H200 (Kansas City first 10 MW @ 548.5 GPUs/MW)</t>
        </is>
      </c>
      <c r="D387" t="inlineStr">
        <is>
          <t>Q2 2025</t>
        </is>
      </c>
      <c r="E387" t="n">
        <v>5485</v>
      </c>
      <c r="F387" t="inlineStr">
        <is>
          <t>Estimated</t>
        </is>
      </c>
      <c r="G387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8">
      <c r="A388" t="inlineStr">
        <is>
          <t>KPI</t>
        </is>
      </c>
      <c r="B388" t="inlineStr">
        <is>
          <t>I36</t>
        </is>
      </c>
      <c r="C388" t="inlineStr">
        <is>
          <t xml:space="preserve">  of which H200 (Kansas City first 10 MW @ 548.5 GPUs/MW)</t>
        </is>
      </c>
      <c r="D388" t="inlineStr">
        <is>
          <t>Q3 2025</t>
        </is>
      </c>
      <c r="E388" t="n">
        <v>5485</v>
      </c>
      <c r="F388" t="inlineStr">
        <is>
          <t>Estimated</t>
        </is>
      </c>
      <c r="G388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89">
      <c r="A389" t="inlineStr">
        <is>
          <t>KPI</t>
        </is>
      </c>
      <c r="B389" t="inlineStr">
        <is>
          <t>J36</t>
        </is>
      </c>
      <c r="C389" t="inlineStr">
        <is>
          <t xml:space="preserve">  of which H200 (Kansas City first 10 MW @ 548.5 GPUs/MW)</t>
        </is>
      </c>
      <c r="D389" t="inlineStr">
        <is>
          <t>Q4 2025</t>
        </is>
      </c>
      <c r="E389" t="n">
        <v>5485</v>
      </c>
      <c r="F389" t="inlineStr">
        <is>
          <t>Estimated</t>
        </is>
      </c>
      <c r="G389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0">
      <c r="A390" t="inlineStr">
        <is>
          <t>KPI</t>
        </is>
      </c>
      <c r="B390" t="inlineStr">
        <is>
          <t>K36</t>
        </is>
      </c>
      <c r="C390" t="inlineStr">
        <is>
          <t xml:space="preserve">  of which H200 (Kansas City first 10 MW @ 548.5 GPUs/MW)</t>
        </is>
      </c>
      <c r="D390" t="inlineStr">
        <is>
          <t>Q1 2026</t>
        </is>
      </c>
      <c r="E390" t="n">
        <v>5485</v>
      </c>
      <c r="F390" t="inlineStr">
        <is>
          <t>Estimated</t>
        </is>
      </c>
      <c r="G390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1">
      <c r="A391" t="inlineStr">
        <is>
          <t>KPI</t>
        </is>
      </c>
      <c r="B391" t="inlineStr">
        <is>
          <t>L36</t>
        </is>
      </c>
      <c r="C391" t="inlineStr">
        <is>
          <t xml:space="preserve">  of which H200 (Kansas City first 10 MW @ 548.5 GPUs/MW)</t>
        </is>
      </c>
      <c r="D391" t="inlineStr">
        <is>
          <t>Q2 2026</t>
        </is>
      </c>
      <c r="E391" t="n">
        <v>5485</v>
      </c>
      <c r="F391" t="inlineStr">
        <is>
          <t>Estimated</t>
        </is>
      </c>
      <c r="G391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2">
      <c r="A392" t="inlineStr">
        <is>
          <t>KPI</t>
        </is>
      </c>
      <c r="B392" t="inlineStr">
        <is>
          <t>C37</t>
        </is>
      </c>
      <c r="C392" t="inlineStr">
        <is>
          <t xml:space="preserve">  of which B200 (Kansas City expansion, Modi'in)</t>
        </is>
      </c>
      <c r="D392" t="inlineStr">
        <is>
          <t>Q1 2024</t>
        </is>
      </c>
      <c r="E392" t="n">
        <v>0</v>
      </c>
      <c r="F392" t="inlineStr">
        <is>
          <t>Estimated</t>
        </is>
      </c>
      <c r="G392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3">
      <c r="A393" t="inlineStr">
        <is>
          <t>KPI</t>
        </is>
      </c>
      <c r="B393" t="inlineStr">
        <is>
          <t>D37</t>
        </is>
      </c>
      <c r="C393" t="inlineStr">
        <is>
          <t xml:space="preserve">  of which B200 (Kansas City expansion, Modi'in)</t>
        </is>
      </c>
      <c r="D393" t="inlineStr">
        <is>
          <t>Q2 2024</t>
        </is>
      </c>
      <c r="E393" t="n">
        <v>0</v>
      </c>
      <c r="F393" t="inlineStr">
        <is>
          <t>Estimated</t>
        </is>
      </c>
      <c r="G393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4">
      <c r="A394" t="inlineStr">
        <is>
          <t>KPI</t>
        </is>
      </c>
      <c r="B394" t="inlineStr">
        <is>
          <t>E37</t>
        </is>
      </c>
      <c r="C394" t="inlineStr">
        <is>
          <t xml:space="preserve">  of which B200 (Kansas City expansion, Modi'in)</t>
        </is>
      </c>
      <c r="D394" t="inlineStr">
        <is>
          <t>Q3 2024</t>
        </is>
      </c>
      <c r="E394" t="n">
        <v>0</v>
      </c>
      <c r="F394" t="inlineStr">
        <is>
          <t>Estimated</t>
        </is>
      </c>
      <c r="G394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5">
      <c r="A395" t="inlineStr">
        <is>
          <t>KPI</t>
        </is>
      </c>
      <c r="B395" t="inlineStr">
        <is>
          <t>F37</t>
        </is>
      </c>
      <c r="C395" t="inlineStr">
        <is>
          <t xml:space="preserve">  of which B200 (Kansas City expansion, Modi'in)</t>
        </is>
      </c>
      <c r="D395" t="inlineStr">
        <is>
          <t>Q4 2024</t>
        </is>
      </c>
      <c r="E395" t="n">
        <v>0</v>
      </c>
      <c r="F395" t="inlineStr">
        <is>
          <t>Estimated</t>
        </is>
      </c>
      <c r="G395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6">
      <c r="A396" t="inlineStr">
        <is>
          <t>KPI</t>
        </is>
      </c>
      <c r="B396" t="inlineStr">
        <is>
          <t>G37</t>
        </is>
      </c>
      <c r="C396" t="inlineStr">
        <is>
          <t xml:space="preserve">  of which B200 (Kansas City expansion, Modi'in)</t>
        </is>
      </c>
      <c r="D396" t="inlineStr">
        <is>
          <t>Q1 2025</t>
        </is>
      </c>
      <c r="E396" t="n">
        <v>0</v>
      </c>
      <c r="F396" t="inlineStr">
        <is>
          <t>Estimated</t>
        </is>
      </c>
      <c r="G396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7">
      <c r="A397" t="inlineStr">
        <is>
          <t>KPI</t>
        </is>
      </c>
      <c r="B397" t="inlineStr">
        <is>
          <t>H37</t>
        </is>
      </c>
      <c r="C397" t="inlineStr">
        <is>
          <t xml:space="preserve">  of which B200 (Kansas City expansion, Modi'in)</t>
        </is>
      </c>
      <c r="D397" t="inlineStr">
        <is>
          <t>Q2 2025</t>
        </is>
      </c>
      <c r="E397" t="n">
        <v>0</v>
      </c>
      <c r="F397" t="inlineStr">
        <is>
          <t>Estimated</t>
        </is>
      </c>
      <c r="G397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8">
      <c r="A398" t="inlineStr">
        <is>
          <t>KPI</t>
        </is>
      </c>
      <c r="B398" t="inlineStr">
        <is>
          <t>I37</t>
        </is>
      </c>
      <c r="C398" t="inlineStr">
        <is>
          <t xml:space="preserve">  of which B200 (Kansas City expansion, Modi'in)</t>
        </is>
      </c>
      <c r="D398" t="inlineStr">
        <is>
          <t>Q3 2025</t>
        </is>
      </c>
      <c r="E398" t="n">
        <v>0</v>
      </c>
      <c r="F398" t="inlineStr">
        <is>
          <t>Estimated</t>
        </is>
      </c>
      <c r="G398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399">
      <c r="A399" t="inlineStr">
        <is>
          <t>KPI</t>
        </is>
      </c>
      <c r="B399" t="inlineStr">
        <is>
          <t>J37</t>
        </is>
      </c>
      <c r="C399" t="inlineStr">
        <is>
          <t xml:space="preserve">  of which B200 (Kansas City expansion, Modi'in)</t>
        </is>
      </c>
      <c r="D399" t="inlineStr">
        <is>
          <t>Q4 2025</t>
        </is>
      </c>
      <c r="E399" t="n">
        <v>7981</v>
      </c>
      <c r="F399" t="inlineStr">
        <is>
          <t>Estimated</t>
        </is>
      </c>
      <c r="G399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0">
      <c r="A400" t="inlineStr">
        <is>
          <t>KPI</t>
        </is>
      </c>
      <c r="B400" t="inlineStr">
        <is>
          <t>K37</t>
        </is>
      </c>
      <c r="C400" t="inlineStr">
        <is>
          <t xml:space="preserve">  of which B200 (Kansas City expansion, Modi'in)</t>
        </is>
      </c>
      <c r="D400" t="inlineStr">
        <is>
          <t>Q1 2026</t>
        </is>
      </c>
      <c r="E400" t="n">
        <v>7981</v>
      </c>
      <c r="F400" t="inlineStr">
        <is>
          <t>Estimated</t>
        </is>
      </c>
      <c r="G400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1">
      <c r="A401" t="inlineStr">
        <is>
          <t>KPI</t>
        </is>
      </c>
      <c r="B401" t="inlineStr">
        <is>
          <t>L37</t>
        </is>
      </c>
      <c r="C401" t="inlineStr">
        <is>
          <t xml:space="preserve">  of which B200 (Kansas City expansion, Modi'in)</t>
        </is>
      </c>
      <c r="D401" t="inlineStr">
        <is>
          <t>Q2 2026</t>
        </is>
      </c>
      <c r="E401" t="n">
        <v>7981</v>
      </c>
      <c r="F401" t="inlineStr">
        <is>
          <t>Estimated</t>
        </is>
      </c>
      <c r="G401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2">
      <c r="A402" t="inlineStr">
        <is>
          <t>KPI</t>
        </is>
      </c>
      <c r="B402" t="inlineStr">
        <is>
          <t>C38</t>
        </is>
      </c>
      <c r="C402" t="inlineStr">
        <is>
          <t xml:space="preserve">  of which B300 HGX (Longcross)</t>
        </is>
      </c>
      <c r="D402" t="inlineStr">
        <is>
          <t>Q1 2024</t>
        </is>
      </c>
      <c r="E402" t="n">
        <v>0</v>
      </c>
      <c r="F402" t="inlineStr">
        <is>
          <t>Estimated</t>
        </is>
      </c>
      <c r="G402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3">
      <c r="A403" t="inlineStr">
        <is>
          <t>KPI</t>
        </is>
      </c>
      <c r="B403" t="inlineStr">
        <is>
          <t>D38</t>
        </is>
      </c>
      <c r="C403" t="inlineStr">
        <is>
          <t xml:space="preserve">  of which B300 HGX (Longcross)</t>
        </is>
      </c>
      <c r="D403" t="inlineStr">
        <is>
          <t>Q2 2024</t>
        </is>
      </c>
      <c r="E403" t="n">
        <v>0</v>
      </c>
      <c r="F403" t="inlineStr">
        <is>
          <t>Estimated</t>
        </is>
      </c>
      <c r="G403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4">
      <c r="A404" t="inlineStr">
        <is>
          <t>KPI</t>
        </is>
      </c>
      <c r="B404" t="inlineStr">
        <is>
          <t>E38</t>
        </is>
      </c>
      <c r="C404" t="inlineStr">
        <is>
          <t xml:space="preserve">  of which B300 HGX (Longcross)</t>
        </is>
      </c>
      <c r="D404" t="inlineStr">
        <is>
          <t>Q3 2024</t>
        </is>
      </c>
      <c r="E404" t="n">
        <v>0</v>
      </c>
      <c r="F404" t="inlineStr">
        <is>
          <t>Estimated</t>
        </is>
      </c>
      <c r="G404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5">
      <c r="A405" t="inlineStr">
        <is>
          <t>KPI</t>
        </is>
      </c>
      <c r="B405" t="inlineStr">
        <is>
          <t>F38</t>
        </is>
      </c>
      <c r="C405" t="inlineStr">
        <is>
          <t xml:space="preserve">  of which B300 HGX (Longcross)</t>
        </is>
      </c>
      <c r="D405" t="inlineStr">
        <is>
          <t>Q4 2024</t>
        </is>
      </c>
      <c r="E405" t="n">
        <v>0</v>
      </c>
      <c r="F405" t="inlineStr">
        <is>
          <t>Estimated</t>
        </is>
      </c>
      <c r="G405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6">
      <c r="A406" t="inlineStr">
        <is>
          <t>KPI</t>
        </is>
      </c>
      <c r="B406" t="inlineStr">
        <is>
          <t>G38</t>
        </is>
      </c>
      <c r="C406" t="inlineStr">
        <is>
          <t xml:space="preserve">  of which B300 HGX (Longcross)</t>
        </is>
      </c>
      <c r="D406" t="inlineStr">
        <is>
          <t>Q1 2025</t>
        </is>
      </c>
      <c r="E406" t="n">
        <v>0</v>
      </c>
      <c r="F406" t="inlineStr">
        <is>
          <t>Estimated</t>
        </is>
      </c>
      <c r="G406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7">
      <c r="A407" t="inlineStr">
        <is>
          <t>KPI</t>
        </is>
      </c>
      <c r="B407" t="inlineStr">
        <is>
          <t>H38</t>
        </is>
      </c>
      <c r="C407" t="inlineStr">
        <is>
          <t xml:space="preserve">  of which B300 HGX (Longcross)</t>
        </is>
      </c>
      <c r="D407" t="inlineStr">
        <is>
          <t>Q2 2025</t>
        </is>
      </c>
      <c r="E407" t="n">
        <v>0</v>
      </c>
      <c r="F407" t="inlineStr">
        <is>
          <t>Estimated</t>
        </is>
      </c>
      <c r="G407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8">
      <c r="A408" t="inlineStr">
        <is>
          <t>KPI</t>
        </is>
      </c>
      <c r="B408" t="inlineStr">
        <is>
          <t>I38</t>
        </is>
      </c>
      <c r="C408" t="inlineStr">
        <is>
          <t xml:space="preserve">  of which B300 HGX (Longcross)</t>
        </is>
      </c>
      <c r="D408" t="inlineStr">
        <is>
          <t>Q3 2025</t>
        </is>
      </c>
      <c r="E408" t="n">
        <v>0</v>
      </c>
      <c r="F408" t="inlineStr">
        <is>
          <t>Estimated</t>
        </is>
      </c>
      <c r="G408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09">
      <c r="A409" t="inlineStr">
        <is>
          <t>KPI</t>
        </is>
      </c>
      <c r="B409" t="inlineStr">
        <is>
          <t>J38</t>
        </is>
      </c>
      <c r="C409" t="inlineStr">
        <is>
          <t xml:space="preserve">  of which B300 HGX (Longcross)</t>
        </is>
      </c>
      <c r="D409" t="inlineStr">
        <is>
          <t>Q4 2025</t>
        </is>
      </c>
      <c r="E409" t="n">
        <v>6173</v>
      </c>
      <c r="F409" t="inlineStr">
        <is>
          <t>Estimated</t>
        </is>
      </c>
      <c r="G409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0">
      <c r="A410" t="inlineStr">
        <is>
          <t>KPI</t>
        </is>
      </c>
      <c r="B410" t="inlineStr">
        <is>
          <t>K38</t>
        </is>
      </c>
      <c r="C410" t="inlineStr">
        <is>
          <t xml:space="preserve">  of which B300 HGX (Longcross)</t>
        </is>
      </c>
      <c r="D410" t="inlineStr">
        <is>
          <t>Q1 2026</t>
        </is>
      </c>
      <c r="E410" t="n">
        <v>10031</v>
      </c>
      <c r="F410" t="inlineStr">
        <is>
          <t>Estimated</t>
        </is>
      </c>
      <c r="G410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1">
      <c r="A411" t="inlineStr">
        <is>
          <t>KPI</t>
        </is>
      </c>
      <c r="B411" t="inlineStr">
        <is>
          <t>L38</t>
        </is>
      </c>
      <c r="C411" t="inlineStr">
        <is>
          <t xml:space="preserve">  of which B300 HGX (Longcross)</t>
        </is>
      </c>
      <c r="D411" t="inlineStr">
        <is>
          <t>Q2 2026</t>
        </is>
      </c>
      <c r="E411" t="n">
        <v>10031</v>
      </c>
      <c r="F411" t="inlineStr">
        <is>
          <t>Estimated</t>
        </is>
      </c>
      <c r="G411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2">
      <c r="A412" t="inlineStr">
        <is>
          <t>KPI</t>
        </is>
      </c>
      <c r="B412" t="inlineStr">
        <is>
          <t>C39</t>
        </is>
      </c>
      <c r="C412" t="inlineStr">
        <is>
          <t xml:space="preserve">  of which GB300 NVL72 (Vineland, Mantsala expansion)</t>
        </is>
      </c>
      <c r="D412" t="inlineStr">
        <is>
          <t>Q1 2024</t>
        </is>
      </c>
      <c r="E412" t="n">
        <v>0</v>
      </c>
      <c r="F412" t="inlineStr">
        <is>
          <t>Estimated</t>
        </is>
      </c>
      <c r="G412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3">
      <c r="A413" t="inlineStr">
        <is>
          <t>KPI</t>
        </is>
      </c>
      <c r="B413" t="inlineStr">
        <is>
          <t>D39</t>
        </is>
      </c>
      <c r="C413" t="inlineStr">
        <is>
          <t xml:space="preserve">  of which GB300 NVL72 (Vineland, Mantsala expansion)</t>
        </is>
      </c>
      <c r="D413" t="inlineStr">
        <is>
          <t>Q2 2024</t>
        </is>
      </c>
      <c r="E413" t="n">
        <v>0</v>
      </c>
      <c r="F413" t="inlineStr">
        <is>
          <t>Estimated</t>
        </is>
      </c>
      <c r="G413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4">
      <c r="A414" t="inlineStr">
        <is>
          <t>KPI</t>
        </is>
      </c>
      <c r="B414" t="inlineStr">
        <is>
          <t>E39</t>
        </is>
      </c>
      <c r="C414" t="inlineStr">
        <is>
          <t xml:space="preserve">  of which GB300 NVL72 (Vineland, Mantsala expansion)</t>
        </is>
      </c>
      <c r="D414" t="inlineStr">
        <is>
          <t>Q3 2024</t>
        </is>
      </c>
      <c r="E414" t="n">
        <v>0</v>
      </c>
      <c r="F414" t="inlineStr">
        <is>
          <t>Estimated</t>
        </is>
      </c>
      <c r="G414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5">
      <c r="A415" t="inlineStr">
        <is>
          <t>KPI</t>
        </is>
      </c>
      <c r="B415" t="inlineStr">
        <is>
          <t>F39</t>
        </is>
      </c>
      <c r="C415" t="inlineStr">
        <is>
          <t xml:space="preserve">  of which GB300 NVL72 (Vineland, Mantsala expansion)</t>
        </is>
      </c>
      <c r="D415" t="inlineStr">
        <is>
          <t>Q4 2024</t>
        </is>
      </c>
      <c r="E415" t="n">
        <v>0</v>
      </c>
      <c r="F415" t="inlineStr">
        <is>
          <t>Estimated</t>
        </is>
      </c>
      <c r="G415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6">
      <c r="A416" t="inlineStr">
        <is>
          <t>KPI</t>
        </is>
      </c>
      <c r="B416" t="inlineStr">
        <is>
          <t>G39</t>
        </is>
      </c>
      <c r="C416" t="inlineStr">
        <is>
          <t xml:space="preserve">  of which GB300 NVL72 (Vineland, Mantsala expansion)</t>
        </is>
      </c>
      <c r="D416" t="inlineStr">
        <is>
          <t>Q1 2025</t>
        </is>
      </c>
      <c r="E416" t="n">
        <v>0</v>
      </c>
      <c r="F416" t="inlineStr">
        <is>
          <t>Estimated</t>
        </is>
      </c>
      <c r="G416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7">
      <c r="A417" t="inlineStr">
        <is>
          <t>KPI</t>
        </is>
      </c>
      <c r="B417" t="inlineStr">
        <is>
          <t>H39</t>
        </is>
      </c>
      <c r="C417" t="inlineStr">
        <is>
          <t xml:space="preserve">  of which GB300 NVL72 (Vineland, Mantsala expansion)</t>
        </is>
      </c>
      <c r="D417" t="inlineStr">
        <is>
          <t>Q2 2025</t>
        </is>
      </c>
      <c r="E417" t="n">
        <v>0</v>
      </c>
      <c r="F417" t="inlineStr">
        <is>
          <t>Estimated</t>
        </is>
      </c>
      <c r="G417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8">
      <c r="A418" t="inlineStr">
        <is>
          <t>KPI</t>
        </is>
      </c>
      <c r="B418" t="inlineStr">
        <is>
          <t>I39</t>
        </is>
      </c>
      <c r="C418" t="inlineStr">
        <is>
          <t xml:space="preserve">  of which GB300 NVL72 (Vineland, Mantsala expansion)</t>
        </is>
      </c>
      <c r="D418" t="inlineStr">
        <is>
          <t>Q3 2025</t>
        </is>
      </c>
      <c r="E418" t="n">
        <v>5116</v>
      </c>
      <c r="F418" t="inlineStr">
        <is>
          <t>Estimated</t>
        </is>
      </c>
      <c r="G418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19">
      <c r="A419" t="inlineStr">
        <is>
          <t>KPI</t>
        </is>
      </c>
      <c r="B419" t="inlineStr">
        <is>
          <t>J39</t>
        </is>
      </c>
      <c r="C419" t="inlineStr">
        <is>
          <t xml:space="preserve">  of which GB300 NVL72 (Vineland, Mantsala expansion)</t>
        </is>
      </c>
      <c r="D419" t="inlineStr">
        <is>
          <t>Q4 2025</t>
        </is>
      </c>
      <c r="E419" t="n">
        <v>28217</v>
      </c>
      <c r="F419" t="inlineStr">
        <is>
          <t>Estimated</t>
        </is>
      </c>
      <c r="G419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20">
      <c r="A420" t="inlineStr">
        <is>
          <t>KPI</t>
        </is>
      </c>
      <c r="B420" t="inlineStr">
        <is>
          <t>K39</t>
        </is>
      </c>
      <c r="C420" t="inlineStr">
        <is>
          <t xml:space="preserve">  of which GB300 NVL72 (Vineland, Mantsala expansion)</t>
        </is>
      </c>
      <c r="D420" t="inlineStr">
        <is>
          <t>Q1 2026</t>
        </is>
      </c>
      <c r="E420" t="n">
        <v>38885</v>
      </c>
      <c r="F420" t="inlineStr">
        <is>
          <t>Estimated</t>
        </is>
      </c>
      <c r="G420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21">
      <c r="A421" t="inlineStr">
        <is>
          <t>KPI</t>
        </is>
      </c>
      <c r="B421" t="inlineStr">
        <is>
          <t>L39</t>
        </is>
      </c>
      <c r="C421" t="inlineStr">
        <is>
          <t xml:space="preserve">  of which GB300 NVL72 (Vineland, Mantsala expansion)</t>
        </is>
      </c>
      <c r="D421" t="inlineStr">
        <is>
          <t>Q2 2026</t>
        </is>
      </c>
      <c r="E421" t="n">
        <v>43715</v>
      </c>
      <c r="F421" t="inlineStr">
        <is>
          <t>Estimated</t>
        </is>
      </c>
      <c r="G421" t="inlineStr">
        <is>
          <t>/workspace/nebius/capacity/nebius_capacity.xlsx 'GPUs deployed' site rows 11-29 by generation col B; mixed sites split at Mantsala 13,713 Hopper (25 MW x 548.5) and Kansas City 2,743 H200 (5 MW x 548.5)</t>
        </is>
      </c>
    </row>
    <row r="422">
      <c r="A422" t="inlineStr">
        <is>
          <t>KPI</t>
        </is>
      </c>
      <c r="B422" t="inlineStr">
        <is>
          <t>C40</t>
        </is>
      </c>
      <c r="C422" t="inlineStr">
        <is>
          <t>GPU count as stated by company (for comparison)</t>
        </is>
      </c>
      <c r="D422" t="inlineStr">
        <is>
          <t>Q1 2024</t>
        </is>
      </c>
      <c r="E422" t="inlineStr">
        <is>
          <t>n.d.</t>
        </is>
      </c>
      <c r="F422" t="inlineStr">
        <is>
          <t>not disclosed</t>
        </is>
      </c>
      <c r="G422" t="inlineStr">
        <is>
          <t>Q2-26 letter / 20-F: installed GPU count not disclosed</t>
        </is>
      </c>
    </row>
    <row r="423">
      <c r="A423" t="inlineStr">
        <is>
          <t>KPI</t>
        </is>
      </c>
      <c r="B423" t="inlineStr">
        <is>
          <t>D40</t>
        </is>
      </c>
      <c r="C423" t="inlineStr">
        <is>
          <t>GPU count as stated by company (for comparison)</t>
        </is>
      </c>
      <c r="D423" t="inlineStr">
        <is>
          <t>Q2 2024</t>
        </is>
      </c>
      <c r="E423" t="inlineStr">
        <is>
          <t>n.d.</t>
        </is>
      </c>
      <c r="F423" t="inlineStr">
        <is>
          <t>not disclosed</t>
        </is>
      </c>
      <c r="G423" t="inlineStr">
        <is>
          <t>Q2-26 letter / 20-F: installed GPU count not disclosed</t>
        </is>
      </c>
    </row>
    <row r="424">
      <c r="A424" t="inlineStr">
        <is>
          <t>KPI</t>
        </is>
      </c>
      <c r="B424" t="inlineStr">
        <is>
          <t>E40</t>
        </is>
      </c>
      <c r="C424" t="inlineStr">
        <is>
          <t>GPU count as stated by company (for comparison)</t>
        </is>
      </c>
      <c r="D424" t="inlineStr">
        <is>
          <t>Q3 2024</t>
        </is>
      </c>
      <c r="E424" t="n">
        <v>10000</v>
      </c>
      <c r="F424" t="inlineStr">
        <is>
          <t>Estimated</t>
        </is>
      </c>
      <c r="G424" t="inlineStr">
        <is>
          <t>Estimated/target - NOT a company actual. capacity 'GPUs deployed'!G31: site_list KPI pivot ~10k (from '&gt;20k by YE24' / 'nearly doubled' commentary)</t>
        </is>
      </c>
    </row>
    <row r="425">
      <c r="A425" t="inlineStr">
        <is>
          <t>KPI</t>
        </is>
      </c>
      <c r="B425" t="inlineStr">
        <is>
          <t>F40</t>
        </is>
      </c>
      <c r="C425" t="inlineStr">
        <is>
          <t>GPU count as stated by company (for comparison)</t>
        </is>
      </c>
      <c r="D425" t="inlineStr">
        <is>
          <t>Q4 2024</t>
        </is>
      </c>
      <c r="E425" t="n">
        <v>20000</v>
      </c>
      <c r="F425" t="inlineStr">
        <is>
          <t>Estimated</t>
        </is>
      </c>
      <c r="G425" t="inlineStr">
        <is>
          <t>Estimated/target - NOT a company actual. capacity 'GPUs deployed'!H31: '&gt;20,000 GPUs by YE2024' target (Q3-24 call, Oct-31-2024) - a forward-looking target</t>
        </is>
      </c>
    </row>
    <row r="426">
      <c r="A426" t="inlineStr">
        <is>
          <t>KPI</t>
        </is>
      </c>
      <c r="B426" t="inlineStr">
        <is>
          <t>G40</t>
        </is>
      </c>
      <c r="C426" t="inlineStr">
        <is>
          <t>GPU count as stated by company (for comparison)</t>
        </is>
      </c>
      <c r="D426" t="inlineStr">
        <is>
          <t>Q1 2025</t>
        </is>
      </c>
      <c r="E426" t="n">
        <v>30000</v>
      </c>
      <c r="F426" t="inlineStr">
        <is>
          <t>Reported</t>
        </is>
      </c>
      <c r="G426" t="inlineStr">
        <is>
          <t>20-F FY2024 (filed 2025-04-30, acc 0001558370-25-005991, nbis-20241231x20f.htm; local edgar/nbis-20241231x20f.htm.txt line ~571): 'As of March 31, 2025, we have deployed approximately 30,000 GPUs across our global data center footprint, primarily NVIDIA H200s.' | https://www.sec.gov/Archives/edgar/data/1513845/000155837025005991/nbis-20241231x20f.htm</t>
        </is>
      </c>
      <c r="H426" t="inlineStr">
        <is>
          <t>Supersedes the ~38,000 figure previously carried from the Feb-20-2025 Q4-24 call, which was a forward-looking target, not an actual.</t>
        </is>
      </c>
    </row>
    <row r="427">
      <c r="A427" t="inlineStr">
        <is>
          <t>KPI</t>
        </is>
      </c>
      <c r="B427" t="inlineStr">
        <is>
          <t>H40</t>
        </is>
      </c>
      <c r="C427" t="inlineStr">
        <is>
          <t>GPU count as stated by company (for comparison)</t>
        </is>
      </c>
      <c r="D427" t="inlineStr">
        <is>
          <t>Q2 2025</t>
        </is>
      </c>
      <c r="E427" t="inlineStr">
        <is>
          <t>n.d.</t>
        </is>
      </c>
      <c r="F427" t="inlineStr">
        <is>
          <t>not disclosed</t>
        </is>
      </c>
      <c r="G427" t="inlineStr">
        <is>
          <t>Q2-26 letter / 20-F: installed GPU count not disclosed</t>
        </is>
      </c>
    </row>
    <row r="428">
      <c r="A428" t="inlineStr">
        <is>
          <t>KPI</t>
        </is>
      </c>
      <c r="B428" t="inlineStr">
        <is>
          <t>I40</t>
        </is>
      </c>
      <c r="C428" t="inlineStr">
        <is>
          <t>GPU count as stated by company (for comparison)</t>
        </is>
      </c>
      <c r="D428" t="inlineStr">
        <is>
          <t>Q3 2025</t>
        </is>
      </c>
      <c r="E428" t="inlineStr">
        <is>
          <t>n.d.</t>
        </is>
      </c>
      <c r="F428" t="inlineStr">
        <is>
          <t>not disclosed</t>
        </is>
      </c>
      <c r="G428" t="inlineStr">
        <is>
          <t>Q2-26 letter / 20-F: installed GPU count not disclosed</t>
        </is>
      </c>
    </row>
    <row r="429">
      <c r="A429" t="inlineStr">
        <is>
          <t>KPI</t>
        </is>
      </c>
      <c r="B429" t="inlineStr">
        <is>
          <t>J40</t>
        </is>
      </c>
      <c r="C429" t="inlineStr">
        <is>
          <t>GPU count as stated by company (for comparison)</t>
        </is>
      </c>
      <c r="D429" t="inlineStr">
        <is>
          <t>Q4 2025</t>
        </is>
      </c>
      <c r="E429" t="inlineStr">
        <is>
          <t>n.d.</t>
        </is>
      </c>
      <c r="F429" t="inlineStr">
        <is>
          <t>not disclosed</t>
        </is>
      </c>
      <c r="G429" t="inlineStr">
        <is>
          <t>Q2-26 letter / 20-F: installed GPU count not disclosed</t>
        </is>
      </c>
    </row>
    <row r="430">
      <c r="A430" t="inlineStr">
        <is>
          <t>KPI</t>
        </is>
      </c>
      <c r="B430" t="inlineStr">
        <is>
          <t>K40</t>
        </is>
      </c>
      <c r="C430" t="inlineStr">
        <is>
          <t>GPU count as stated by company (for comparison)</t>
        </is>
      </c>
      <c r="D430" t="inlineStr">
        <is>
          <t>Q1 2026</t>
        </is>
      </c>
      <c r="E430" t="inlineStr">
        <is>
          <t>n.d.</t>
        </is>
      </c>
      <c r="F430" t="inlineStr">
        <is>
          <t>not disclosed</t>
        </is>
      </c>
      <c r="G430" t="inlineStr">
        <is>
          <t>Q2-26 letter / 20-F: installed GPU count not disclosed</t>
        </is>
      </c>
    </row>
    <row r="431">
      <c r="A431" t="inlineStr">
        <is>
          <t>KPI</t>
        </is>
      </c>
      <c r="B431" t="inlineStr">
        <is>
          <t>L40</t>
        </is>
      </c>
      <c r="C431" t="inlineStr">
        <is>
          <t>GPU count as stated by company (for comparison)</t>
        </is>
      </c>
      <c r="D431" t="inlineStr">
        <is>
          <t>Q2 2026</t>
        </is>
      </c>
      <c r="E431" t="inlineStr">
        <is>
          <t>n.d.</t>
        </is>
      </c>
      <c r="F431" t="inlineStr">
        <is>
          <t>not disclosed</t>
        </is>
      </c>
      <c r="G431" t="inlineStr">
        <is>
          <t>Q2-26 letter / 20-F: installed GPU count not disclosed</t>
        </is>
      </c>
    </row>
    <row r="432">
      <c r="A432" t="inlineStr">
        <is>
          <t>KPI</t>
        </is>
      </c>
      <c r="B432" t="inlineStr">
        <is>
          <t>C42</t>
        </is>
      </c>
      <c r="C432" t="inlineStr">
        <is>
          <t>Nebius H100 SXM on-demand list - quarter-end (latest snapshot in quarter)</t>
        </is>
      </c>
      <c r="D432" t="inlineStr">
        <is>
          <t>Q1 2024</t>
        </is>
      </c>
      <c r="E432" t="n">
        <v>4.85</v>
      </c>
      <c r="F432" t="inlineStr">
        <is>
          <t>Reported</t>
        </is>
      </c>
      <c r="G432" t="inlineStr">
        <is>
          <t>/workspace/nebius/market/gpu_price_history.xlsx Price_History_Quarterly 'Nebius | H100 SXM 80GB | on-demand | PAYG' 2024Q1</t>
        </is>
      </c>
      <c r="H432" t="inlineStr">
        <is>
          <t>Reported (snapshot 2024-03-26)</t>
        </is>
      </c>
    </row>
    <row r="433">
      <c r="A433" t="inlineStr">
        <is>
          <t>KPI</t>
        </is>
      </c>
      <c r="B433" t="inlineStr">
        <is>
          <t>D42</t>
        </is>
      </c>
      <c r="C433" t="inlineStr">
        <is>
          <t>Nebius H100 SXM on-demand list - quarter-end (latest snapshot in quarter)</t>
        </is>
      </c>
      <c r="D433" t="inlineStr">
        <is>
          <t>Q2 2024</t>
        </is>
      </c>
      <c r="E433" t="n">
        <v>4.85</v>
      </c>
      <c r="F433" t="inlineStr">
        <is>
          <t>Reported</t>
        </is>
      </c>
      <c r="G433" t="inlineStr">
        <is>
          <t>/workspace/nebius/market/gpu_price_history.xlsx Price_History_Quarterly 'Nebius | H100 SXM 80GB | on-demand | PAYG' 2024Q2</t>
        </is>
      </c>
      <c r="H433" t="inlineStr">
        <is>
          <t>Reported (snapshot 2024-05-27)</t>
        </is>
      </c>
    </row>
    <row r="434">
      <c r="A434" t="inlineStr">
        <is>
          <t>KPI</t>
        </is>
      </c>
      <c r="B434" t="inlineStr">
        <is>
          <t>E42</t>
        </is>
      </c>
      <c r="C434" t="inlineStr">
        <is>
          <t>Nebius H100 SXM on-demand list - quarter-end (latest snapshot in quarter)</t>
        </is>
      </c>
      <c r="D434" t="inlineStr">
        <is>
          <t>Q3 2024</t>
        </is>
      </c>
      <c r="E434" t="n">
        <v>3.5</v>
      </c>
      <c r="F434" t="inlineStr">
        <is>
          <t>Reported</t>
        </is>
      </c>
      <c r="G434" t="inlineStr">
        <is>
          <t>/workspace/nebius/market/gpu_price_history.xlsx Price_History_Quarterly 'Nebius | H100 SXM 80GB | on-demand | PAYG' 2024Q3</t>
        </is>
      </c>
      <c r="H434" t="inlineStr">
        <is>
          <t>Reported (snapshot 2024-09-07)</t>
        </is>
      </c>
    </row>
    <row r="435">
      <c r="A435" t="inlineStr">
        <is>
          <t>KPI</t>
        </is>
      </c>
      <c r="B435" t="inlineStr">
        <is>
          <t>F42</t>
        </is>
      </c>
      <c r="C435" t="inlineStr">
        <is>
          <t>Nebius H100 SXM on-demand list - quarter-end (latest snapshot in quarter)</t>
        </is>
      </c>
      <c r="D435" t="inlineStr">
        <is>
          <t>Q4 2024</t>
        </is>
      </c>
      <c r="E435" t="n">
        <v>2.95</v>
      </c>
      <c r="F435" t="inlineStr">
        <is>
          <t>Reported</t>
        </is>
      </c>
      <c r="G435" t="inlineStr">
        <is>
          <t>/workspace/nebius/market/gpu_price_history.xlsx Price_History_Quarterly 'Nebius | H100 SXM 80GB | on-demand | PAYG' 2024Q4</t>
        </is>
      </c>
      <c r="H435" t="inlineStr">
        <is>
          <t>Reported (snapshot 2024-12-06)</t>
        </is>
      </c>
    </row>
    <row r="436">
      <c r="A436" t="inlineStr">
        <is>
          <t>KPI</t>
        </is>
      </c>
      <c r="B436" t="inlineStr">
        <is>
          <t>G42</t>
        </is>
      </c>
      <c r="C436" t="inlineStr">
        <is>
          <t>Nebius H100 SXM on-demand list - quarter-end (latest snapshot in quarter)</t>
        </is>
      </c>
      <c r="D436" t="inlineStr">
        <is>
          <t>Q1 2025</t>
        </is>
      </c>
      <c r="E436" t="n">
        <v>2.95</v>
      </c>
      <c r="F436" t="inlineStr">
        <is>
          <t>Reported</t>
        </is>
      </c>
      <c r="G436" t="inlineStr">
        <is>
          <t>/workspace/nebius/market/gpu_price_history.xlsx Price_History_Quarterly 'Nebius | H100 SXM 80GB | on-demand | PAYG' 2025Q1</t>
        </is>
      </c>
      <c r="H436" t="inlineStr">
        <is>
          <t>Reported (snapshot 2025-03-05)</t>
        </is>
      </c>
    </row>
    <row r="437">
      <c r="A437" t="inlineStr">
        <is>
          <t>KPI</t>
        </is>
      </c>
      <c r="B437" t="inlineStr">
        <is>
          <t>H42</t>
        </is>
      </c>
      <c r="C437" t="inlineStr">
        <is>
          <t>Nebius H100 SXM on-demand list - quarter-end (latest snapshot in quarter)</t>
        </is>
      </c>
      <c r="D437" t="inlineStr">
        <is>
          <t>Q2 2025</t>
        </is>
      </c>
      <c r="E437" t="n">
        <v>2.95</v>
      </c>
      <c r="F437" t="inlineStr">
        <is>
          <t>Reported</t>
        </is>
      </c>
      <c r="G437" t="inlineStr">
        <is>
          <t>/workspace/nebius/market/gpu_price_history.xlsx Price_History_Quarterly 'Nebius | H100 SXM 80GB | on-demand | PAYG' 2025Q2</t>
        </is>
      </c>
      <c r="H437" t="inlineStr">
        <is>
          <t>Reported (snapshot 2025-06-29)</t>
        </is>
      </c>
    </row>
    <row r="438">
      <c r="A438" t="inlineStr">
        <is>
          <t>KPI</t>
        </is>
      </c>
      <c r="B438" t="inlineStr">
        <is>
          <t>I42</t>
        </is>
      </c>
      <c r="C438" t="inlineStr">
        <is>
          <t>Nebius H100 SXM on-demand list - quarter-end (latest snapshot in quarter)</t>
        </is>
      </c>
      <c r="D438" t="inlineStr">
        <is>
          <t>Q3 2025</t>
        </is>
      </c>
      <c r="E438" t="n">
        <v>2.95</v>
      </c>
      <c r="F438" t="inlineStr">
        <is>
          <t>Reported</t>
        </is>
      </c>
      <c r="G438" t="inlineStr">
        <is>
          <t>/workspace/nebius/market/gpu_price_history.xlsx Price_History_Quarterly 'Nebius | H100 SXM 80GB | on-demand | PAYG' 2025Q3</t>
        </is>
      </c>
      <c r="H438" t="inlineStr">
        <is>
          <t>Reported (snapshot 2025-09-17)</t>
        </is>
      </c>
    </row>
    <row r="439">
      <c r="A439" t="inlineStr">
        <is>
          <t>KPI</t>
        </is>
      </c>
      <c r="B439" t="inlineStr">
        <is>
          <t>J42</t>
        </is>
      </c>
      <c r="C439" t="inlineStr">
        <is>
          <t>Nebius H100 SXM on-demand list - quarter-end (latest snapshot in quarter)</t>
        </is>
      </c>
      <c r="D439" t="inlineStr">
        <is>
          <t>Q4 2025</t>
        </is>
      </c>
      <c r="E439" t="n">
        <v>2.95</v>
      </c>
      <c r="F439" t="inlineStr">
        <is>
          <t>Reported</t>
        </is>
      </c>
      <c r="G439" t="inlineStr">
        <is>
          <t>/workspace/nebius/market/gpu_price_history.xlsx Price_History_Quarterly 'Nebius | H100 SXM 80GB | on-demand | PAYG' 2025Q4</t>
        </is>
      </c>
      <c r="H439" t="inlineStr">
        <is>
          <t>Reported (snapshot 2025-12-21)</t>
        </is>
      </c>
    </row>
    <row r="440">
      <c r="A440" t="inlineStr">
        <is>
          <t>KPI</t>
        </is>
      </c>
      <c r="B440" t="inlineStr">
        <is>
          <t>K42</t>
        </is>
      </c>
      <c r="C440" t="inlineStr">
        <is>
          <t>Nebius H100 SXM on-demand list - quarter-end (latest snapshot in quarter)</t>
        </is>
      </c>
      <c r="D440" t="inlineStr">
        <is>
          <t>Q1 2026</t>
        </is>
      </c>
      <c r="E440" t="n">
        <v>2.95</v>
      </c>
      <c r="F440" t="inlineStr">
        <is>
          <t>Reported</t>
        </is>
      </c>
      <c r="G440" t="inlineStr">
        <is>
          <t>/workspace/nebius/market/gpu_price_history.xlsx Price_History_Quarterly 'Nebius | H100 SXM 80GB | on-demand | PAYG' 2026Q1</t>
        </is>
      </c>
      <c r="H440" t="inlineStr">
        <is>
          <t>Reported (snapshot 2026-03-01)</t>
        </is>
      </c>
    </row>
    <row r="441">
      <c r="A441" t="inlineStr">
        <is>
          <t>KPI</t>
        </is>
      </c>
      <c r="B441" t="inlineStr">
        <is>
          <t>L42</t>
        </is>
      </c>
      <c r="C441" t="inlineStr">
        <is>
          <t>Nebius H100 SXM on-demand list - quarter-end (latest snapshot in quarter)</t>
        </is>
      </c>
      <c r="D441" t="inlineStr">
        <is>
          <t>Q2 2026</t>
        </is>
      </c>
      <c r="E441" t="n">
        <v>3.85</v>
      </c>
      <c r="F441" t="inlineStr">
        <is>
          <t>Reported</t>
        </is>
      </c>
      <c r="G441" t="inlineStr">
        <is>
          <t>/workspace/nebius/market/gpu_price_history.xlsx Price_History_Quarterly 'Nebius | H100 SXM 80GB | on-demand | PAYG' 2026Q2</t>
        </is>
      </c>
      <c r="H441" t="inlineStr">
        <is>
          <t>Reported (snapshot 2026-06-25)</t>
        </is>
      </c>
    </row>
    <row r="442">
      <c r="A442" t="inlineStr">
        <is>
          <t>KPI</t>
        </is>
      </c>
      <c r="B442" t="inlineStr">
        <is>
          <t>C43</t>
        </is>
      </c>
      <c r="C442" t="inlineStr">
        <is>
          <t>Nebius H200 on-demand list - quarter-end (latest snapshot in quarter)</t>
        </is>
      </c>
      <c r="D442" t="inlineStr">
        <is>
          <t>Q1 2024</t>
        </is>
      </c>
      <c r="E442" t="inlineStr">
        <is>
          <t>n.d.</t>
        </is>
      </c>
      <c r="F442" t="inlineStr">
        <is>
          <t>not disclosed</t>
        </is>
      </c>
      <c r="G442" t="inlineStr">
        <is>
          <t>/workspace/nebius/market/gpu_price_history.xlsx Price_History_Quarterly 'Nebius | H200 141GB | on-demand | PAYG' 2024Q1</t>
        </is>
      </c>
      <c r="H442" t="inlineStr">
        <is>
          <t>no snapshot / not disclosed (no earlier observation; SKU not yet listed or page not archived/parseable)</t>
        </is>
      </c>
    </row>
    <row r="443">
      <c r="A443" t="inlineStr">
        <is>
          <t>KPI</t>
        </is>
      </c>
      <c r="B443" t="inlineStr">
        <is>
          <t>D43</t>
        </is>
      </c>
      <c r="C443" t="inlineStr">
        <is>
          <t>Nebius H200 on-demand list - quarter-end (latest snapshot in quarter)</t>
        </is>
      </c>
      <c r="D443" t="inlineStr">
        <is>
          <t>Q2 2024</t>
        </is>
      </c>
      <c r="E443" t="inlineStr">
        <is>
          <t>n.d.</t>
        </is>
      </c>
      <c r="F443" t="inlineStr">
        <is>
          <t>not disclosed</t>
        </is>
      </c>
      <c r="G443" t="inlineStr">
        <is>
          <t>/workspace/nebius/market/gpu_price_history.xlsx Price_History_Quarterly 'Nebius | H200 141GB | on-demand | PAYG' 2024Q2</t>
        </is>
      </c>
      <c r="H443" t="inlineStr">
        <is>
          <t>no snapshot / not disclosed (no earlier observation; SKU not yet listed or page not archived/parseable)</t>
        </is>
      </c>
    </row>
    <row r="444">
      <c r="A444" t="inlineStr">
        <is>
          <t>KPI</t>
        </is>
      </c>
      <c r="B444" t="inlineStr">
        <is>
          <t>E43</t>
        </is>
      </c>
      <c r="C444" t="inlineStr">
        <is>
          <t>Nebius H200 on-demand list - quarter-end (latest snapshot in quarter)</t>
        </is>
      </c>
      <c r="D444" t="inlineStr">
        <is>
          <t>Q3 2024</t>
        </is>
      </c>
      <c r="E444" t="inlineStr">
        <is>
          <t>n.d.</t>
        </is>
      </c>
      <c r="F444" t="inlineStr">
        <is>
          <t>not disclosed</t>
        </is>
      </c>
      <c r="G444" t="inlineStr">
        <is>
          <t>/workspace/nebius/market/gpu_price_history.xlsx Price_History_Quarterly 'Nebius | H200 141GB | on-demand | PAYG' 2024Q3</t>
        </is>
      </c>
      <c r="H444" t="inlineStr">
        <is>
          <t>no snapshot / not disclosed (no earlier observation; SKU not yet listed or page not archived/parseable)</t>
        </is>
      </c>
    </row>
    <row r="445">
      <c r="A445" t="inlineStr">
        <is>
          <t>KPI</t>
        </is>
      </c>
      <c r="B445" t="inlineStr">
        <is>
          <t>F43</t>
        </is>
      </c>
      <c r="C445" t="inlineStr">
        <is>
          <t>Nebius H200 on-demand list - quarter-end (latest snapshot in quarter)</t>
        </is>
      </c>
      <c r="D445" t="inlineStr">
        <is>
          <t>Q4 2024</t>
        </is>
      </c>
      <c r="E445" t="n">
        <v>3.5</v>
      </c>
      <c r="F445" t="inlineStr">
        <is>
          <t>Reported</t>
        </is>
      </c>
      <c r="G445" t="inlineStr">
        <is>
          <t>/workspace/nebius/market/gpu_price_history.xlsx Price_History_Quarterly 'Nebius | H200 141GB | on-demand | PAYG' 2024Q4</t>
        </is>
      </c>
      <c r="H445" t="inlineStr">
        <is>
          <t>Reported (snapshot 2024-12-06)</t>
        </is>
      </c>
    </row>
    <row r="446">
      <c r="A446" t="inlineStr">
        <is>
          <t>KPI</t>
        </is>
      </c>
      <c r="B446" t="inlineStr">
        <is>
          <t>G43</t>
        </is>
      </c>
      <c r="C446" t="inlineStr">
        <is>
          <t>Nebius H200 on-demand list - quarter-end (latest snapshot in quarter)</t>
        </is>
      </c>
      <c r="D446" t="inlineStr">
        <is>
          <t>Q1 2025</t>
        </is>
      </c>
      <c r="E446" t="n">
        <v>3.5</v>
      </c>
      <c r="F446" t="inlineStr">
        <is>
          <t>Reported</t>
        </is>
      </c>
      <c r="G446" t="inlineStr">
        <is>
          <t>/workspace/nebius/market/gpu_price_history.xlsx Price_History_Quarterly 'Nebius | H200 141GB | on-demand | PAYG' 2025Q1</t>
        </is>
      </c>
      <c r="H446" t="inlineStr">
        <is>
          <t>Reported (snapshot 2025-03-05)</t>
        </is>
      </c>
    </row>
    <row r="447">
      <c r="A447" t="inlineStr">
        <is>
          <t>KPI</t>
        </is>
      </c>
      <c r="B447" t="inlineStr">
        <is>
          <t>H43</t>
        </is>
      </c>
      <c r="C447" t="inlineStr">
        <is>
          <t>Nebius H200 on-demand list - quarter-end (latest snapshot in quarter)</t>
        </is>
      </c>
      <c r="D447" t="inlineStr">
        <is>
          <t>Q2 2025</t>
        </is>
      </c>
      <c r="E447" t="n">
        <v>3.5</v>
      </c>
      <c r="F447" t="inlineStr">
        <is>
          <t>Reported</t>
        </is>
      </c>
      <c r="G447" t="inlineStr">
        <is>
          <t>/workspace/nebius/market/gpu_price_history.xlsx Price_History_Quarterly 'Nebius | H200 141GB | on-demand | PAYG' 2025Q2</t>
        </is>
      </c>
      <c r="H447" t="inlineStr">
        <is>
          <t>Reported (snapshot 2025-06-29)</t>
        </is>
      </c>
    </row>
    <row r="448">
      <c r="A448" t="inlineStr">
        <is>
          <t>KPI</t>
        </is>
      </c>
      <c r="B448" t="inlineStr">
        <is>
          <t>I43</t>
        </is>
      </c>
      <c r="C448" t="inlineStr">
        <is>
          <t>Nebius H200 on-demand list - quarter-end (latest snapshot in quarter)</t>
        </is>
      </c>
      <c r="D448" t="inlineStr">
        <is>
          <t>Q3 2025</t>
        </is>
      </c>
      <c r="E448" t="n">
        <v>3.5</v>
      </c>
      <c r="F448" t="inlineStr">
        <is>
          <t>Reported</t>
        </is>
      </c>
      <c r="G448" t="inlineStr">
        <is>
          <t>/workspace/nebius/market/gpu_price_history.xlsx Price_History_Quarterly 'Nebius | H200 141GB | on-demand | PAYG' 2025Q3</t>
        </is>
      </c>
      <c r="H448" t="inlineStr">
        <is>
          <t>Reported (snapshot 2025-09-17)</t>
        </is>
      </c>
    </row>
    <row r="449">
      <c r="A449" t="inlineStr">
        <is>
          <t>KPI</t>
        </is>
      </c>
      <c r="B449" t="inlineStr">
        <is>
          <t>J43</t>
        </is>
      </c>
      <c r="C449" t="inlineStr">
        <is>
          <t>Nebius H200 on-demand list - quarter-end (latest snapshot in quarter)</t>
        </is>
      </c>
      <c r="D449" t="inlineStr">
        <is>
          <t>Q4 2025</t>
        </is>
      </c>
      <c r="E449" t="n">
        <v>3.5</v>
      </c>
      <c r="F449" t="inlineStr">
        <is>
          <t>Reported</t>
        </is>
      </c>
      <c r="G449" t="inlineStr">
        <is>
          <t>/workspace/nebius/market/gpu_price_history.xlsx Price_History_Quarterly 'Nebius | H200 141GB | on-demand | PAYG' 2025Q4</t>
        </is>
      </c>
      <c r="H449" t="inlineStr">
        <is>
          <t>Reported (snapshot 2025-12-21)</t>
        </is>
      </c>
    </row>
    <row r="450">
      <c r="A450" t="inlineStr">
        <is>
          <t>KPI</t>
        </is>
      </c>
      <c r="B450" t="inlineStr">
        <is>
          <t>K43</t>
        </is>
      </c>
      <c r="C450" t="inlineStr">
        <is>
          <t>Nebius H200 on-demand list - quarter-end (latest snapshot in quarter)</t>
        </is>
      </c>
      <c r="D450" t="inlineStr">
        <is>
          <t>Q1 2026</t>
        </is>
      </c>
      <c r="E450" t="n">
        <v>3.5</v>
      </c>
      <c r="F450" t="inlineStr">
        <is>
          <t>Reported</t>
        </is>
      </c>
      <c r="G450" t="inlineStr">
        <is>
          <t>/workspace/nebius/market/gpu_price_history.xlsx Price_History_Quarterly 'Nebius | H200 141GB | on-demand | PAYG' 2026Q1</t>
        </is>
      </c>
      <c r="H450" t="inlineStr">
        <is>
          <t>Reported (snapshot 2026-03-01)</t>
        </is>
      </c>
    </row>
    <row r="451">
      <c r="A451" t="inlineStr">
        <is>
          <t>KPI</t>
        </is>
      </c>
      <c r="B451" t="inlineStr">
        <is>
          <t>L43</t>
        </is>
      </c>
      <c r="C451" t="inlineStr">
        <is>
          <t>Nebius H200 on-demand list - quarter-end (latest snapshot in quarter)</t>
        </is>
      </c>
      <c r="D451" t="inlineStr">
        <is>
          <t>Q2 2026</t>
        </is>
      </c>
      <c r="E451" t="n">
        <v>4.5</v>
      </c>
      <c r="F451" t="inlineStr">
        <is>
          <t>Reported</t>
        </is>
      </c>
      <c r="G451" t="inlineStr">
        <is>
          <t>/workspace/nebius/market/gpu_price_history.xlsx Price_History_Quarterly 'Nebius | H200 141GB | on-demand | PAYG' 2026Q2</t>
        </is>
      </c>
      <c r="H451" t="inlineStr">
        <is>
          <t>Reported (snapshot 2026-06-25)</t>
        </is>
      </c>
    </row>
    <row r="452">
      <c r="A452" t="inlineStr">
        <is>
          <t>KPI</t>
        </is>
      </c>
      <c r="B452" t="inlineStr">
        <is>
          <t>C44</t>
        </is>
      </c>
      <c r="C452" t="inlineStr">
        <is>
          <t>Nebius B200 on-demand list - quarter-end (latest snapshot in quarter)</t>
        </is>
      </c>
      <c r="D452" t="inlineStr">
        <is>
          <t>Q1 2024</t>
        </is>
      </c>
      <c r="E452" t="inlineStr">
        <is>
          <t>n.d.</t>
        </is>
      </c>
      <c r="F452" t="inlineStr">
        <is>
          <t>not disclosed</t>
        </is>
      </c>
      <c r="G452" t="inlineStr">
        <is>
          <t>/workspace/nebius/market/gpu_price_history.xlsx Price_History_Quarterly 'Nebius | B200 | on-demand | PAYG' 2024Q1</t>
        </is>
      </c>
      <c r="H452" t="inlineStr">
        <is>
          <t>no snapshot / not disclosed (no earlier observation; SKU not yet listed or page not archived/parseable)</t>
        </is>
      </c>
    </row>
    <row r="453">
      <c r="A453" t="inlineStr">
        <is>
          <t>KPI</t>
        </is>
      </c>
      <c r="B453" t="inlineStr">
        <is>
          <t>D44</t>
        </is>
      </c>
      <c r="C453" t="inlineStr">
        <is>
          <t>Nebius B200 on-demand list - quarter-end (latest snapshot in quarter)</t>
        </is>
      </c>
      <c r="D453" t="inlineStr">
        <is>
          <t>Q2 2024</t>
        </is>
      </c>
      <c r="E453" t="inlineStr">
        <is>
          <t>n.d.</t>
        </is>
      </c>
      <c r="F453" t="inlineStr">
        <is>
          <t>not disclosed</t>
        </is>
      </c>
      <c r="G453" t="inlineStr">
        <is>
          <t>/workspace/nebius/market/gpu_price_history.xlsx Price_History_Quarterly 'Nebius | B200 | on-demand | PAYG' 2024Q2</t>
        </is>
      </c>
      <c r="H453" t="inlineStr">
        <is>
          <t>no snapshot / not disclosed (no earlier observation; SKU not yet listed or page not archived/parseable)</t>
        </is>
      </c>
    </row>
    <row r="454">
      <c r="A454" t="inlineStr">
        <is>
          <t>KPI</t>
        </is>
      </c>
      <c r="B454" t="inlineStr">
        <is>
          <t>E44</t>
        </is>
      </c>
      <c r="C454" t="inlineStr">
        <is>
          <t>Nebius B200 on-demand list - quarter-end (latest snapshot in quarter)</t>
        </is>
      </c>
      <c r="D454" t="inlineStr">
        <is>
          <t>Q3 2024</t>
        </is>
      </c>
      <c r="E454" t="inlineStr">
        <is>
          <t>n.d.</t>
        </is>
      </c>
      <c r="F454" t="inlineStr">
        <is>
          <t>not disclosed</t>
        </is>
      </c>
      <c r="G454" t="inlineStr">
        <is>
          <t>/workspace/nebius/market/gpu_price_history.xlsx Price_History_Quarterly 'Nebius | B200 | on-demand | PAYG' 2024Q3</t>
        </is>
      </c>
      <c r="H454" t="inlineStr">
        <is>
          <t>no snapshot / not disclosed (no earlier observation; SKU not yet listed or page not archived/parseable)</t>
        </is>
      </c>
    </row>
    <row r="455">
      <c r="A455" t="inlineStr">
        <is>
          <t>KPI</t>
        </is>
      </c>
      <c r="B455" t="inlineStr">
        <is>
          <t>F44</t>
        </is>
      </c>
      <c r="C455" t="inlineStr">
        <is>
          <t>Nebius B200 on-demand list - quarter-end (latest snapshot in quarter)</t>
        </is>
      </c>
      <c r="D455" t="inlineStr">
        <is>
          <t>Q4 2024</t>
        </is>
      </c>
      <c r="E455" t="inlineStr">
        <is>
          <t>n.d.</t>
        </is>
      </c>
      <c r="F455" t="inlineStr">
        <is>
          <t>not disclosed</t>
        </is>
      </c>
      <c r="G455" t="inlineStr">
        <is>
          <t>/workspace/nebius/market/gpu_price_history.xlsx Price_History_Quarterly 'Nebius | B200 | on-demand | PAYG' 2024Q4</t>
        </is>
      </c>
      <c r="H455" t="inlineStr">
        <is>
          <t>no snapshot / not disclosed (no earlier observation; SKU not yet listed or page not archived/parseable)</t>
        </is>
      </c>
    </row>
    <row r="456">
      <c r="A456" t="inlineStr">
        <is>
          <t>KPI</t>
        </is>
      </c>
      <c r="B456" t="inlineStr">
        <is>
          <t>G44</t>
        </is>
      </c>
      <c r="C456" t="inlineStr">
        <is>
          <t>Nebius B200 on-demand list - quarter-end (latest snapshot in quarter)</t>
        </is>
      </c>
      <c r="D456" t="inlineStr">
        <is>
          <t>Q1 2025</t>
        </is>
      </c>
      <c r="E456" t="inlineStr">
        <is>
          <t>n.d.</t>
        </is>
      </c>
      <c r="F456" t="inlineStr">
        <is>
          <t>not disclosed</t>
        </is>
      </c>
      <c r="G456" t="inlineStr">
        <is>
          <t>/workspace/nebius/market/gpu_price_history.xlsx Price_History_Quarterly 'Nebius | B200 | on-demand | PAYG' 2025Q1</t>
        </is>
      </c>
      <c r="H456" t="inlineStr">
        <is>
          <t>no snapshot / not disclosed (no earlier observation; SKU not yet listed or page not archived/parseable)</t>
        </is>
      </c>
    </row>
    <row r="457">
      <c r="A457" t="inlineStr">
        <is>
          <t>KPI</t>
        </is>
      </c>
      <c r="B457" t="inlineStr">
        <is>
          <t>H44</t>
        </is>
      </c>
      <c r="C457" t="inlineStr">
        <is>
          <t>Nebius B200 on-demand list - quarter-end (latest snapshot in quarter)</t>
        </is>
      </c>
      <c r="D457" t="inlineStr">
        <is>
          <t>Q2 2025</t>
        </is>
      </c>
      <c r="E457" t="inlineStr">
        <is>
          <t>n.d.</t>
        </is>
      </c>
      <c r="F457" t="inlineStr">
        <is>
          <t>not disclosed</t>
        </is>
      </c>
      <c r="G457" t="inlineStr">
        <is>
          <t>/workspace/nebius/market/gpu_price_history.xlsx Price_History_Quarterly 'Nebius | B200 | on-demand | PAYG' 2025Q2</t>
        </is>
      </c>
      <c r="H457" t="inlineStr">
        <is>
          <t>no snapshot / not disclosed (no earlier observation; SKU not yet listed or page not archived/parseable)</t>
        </is>
      </c>
    </row>
    <row r="458">
      <c r="A458" t="inlineStr">
        <is>
          <t>KPI</t>
        </is>
      </c>
      <c r="B458" t="inlineStr">
        <is>
          <t>I44</t>
        </is>
      </c>
      <c r="C458" t="inlineStr">
        <is>
          <t>Nebius B200 on-demand list - quarter-end (latest snapshot in quarter)</t>
        </is>
      </c>
      <c r="D458" t="inlineStr">
        <is>
          <t>Q3 2025</t>
        </is>
      </c>
      <c r="E458" t="n">
        <v>5.5</v>
      </c>
      <c r="F458" t="inlineStr">
        <is>
          <t>Reported</t>
        </is>
      </c>
      <c r="G458" t="inlineStr">
        <is>
          <t>/workspace/nebius/market/gpu_price_history.xlsx Price_History_Quarterly 'Nebius | B200 | on-demand | PAYG' 2025Q3</t>
        </is>
      </c>
      <c r="H458" t="inlineStr">
        <is>
          <t>Reported (snapshot 2025-09-17)</t>
        </is>
      </c>
    </row>
    <row r="459">
      <c r="A459" t="inlineStr">
        <is>
          <t>KPI</t>
        </is>
      </c>
      <c r="B459" t="inlineStr">
        <is>
          <t>J44</t>
        </is>
      </c>
      <c r="C459" t="inlineStr">
        <is>
          <t>Nebius B200 on-demand list - quarter-end (latest snapshot in quarter)</t>
        </is>
      </c>
      <c r="D459" t="inlineStr">
        <is>
          <t>Q4 2025</t>
        </is>
      </c>
      <c r="E459" t="n">
        <v>5.5</v>
      </c>
      <c r="F459" t="inlineStr">
        <is>
          <t>Reported</t>
        </is>
      </c>
      <c r="G459" t="inlineStr">
        <is>
          <t>/workspace/nebius/market/gpu_price_history.xlsx Price_History_Quarterly 'Nebius | B200 | on-demand | PAYG' 2025Q4</t>
        </is>
      </c>
      <c r="H459" t="inlineStr">
        <is>
          <t>Reported (snapshot 2025-12-21)</t>
        </is>
      </c>
    </row>
    <row r="460">
      <c r="A460" t="inlineStr">
        <is>
          <t>KPI</t>
        </is>
      </c>
      <c r="B460" t="inlineStr">
        <is>
          <t>K44</t>
        </is>
      </c>
      <c r="C460" t="inlineStr">
        <is>
          <t>Nebius B200 on-demand list - quarter-end (latest snapshot in quarter)</t>
        </is>
      </c>
      <c r="D460" t="inlineStr">
        <is>
          <t>Q1 2026</t>
        </is>
      </c>
      <c r="E460" t="n">
        <v>5.5</v>
      </c>
      <c r="F460" t="inlineStr">
        <is>
          <t>Reported</t>
        </is>
      </c>
      <c r="G460" t="inlineStr">
        <is>
          <t>/workspace/nebius/market/gpu_price_history.xlsx Price_History_Quarterly 'Nebius | B200 | on-demand | PAYG' 2026Q1</t>
        </is>
      </c>
      <c r="H460" t="inlineStr">
        <is>
          <t>Reported (snapshot 2026-03-01)</t>
        </is>
      </c>
    </row>
    <row r="461">
      <c r="A461" t="inlineStr">
        <is>
          <t>KPI</t>
        </is>
      </c>
      <c r="B461" t="inlineStr">
        <is>
          <t>L44</t>
        </is>
      </c>
      <c r="C461" t="inlineStr">
        <is>
          <t>Nebius B200 on-demand list - quarter-end (latest snapshot in quarter)</t>
        </is>
      </c>
      <c r="D461" t="inlineStr">
        <is>
          <t>Q2 2026</t>
        </is>
      </c>
      <c r="E461" t="n">
        <v>7.15</v>
      </c>
      <c r="F461" t="inlineStr">
        <is>
          <t>Reported</t>
        </is>
      </c>
      <c r="G461" t="inlineStr">
        <is>
          <t>/workspace/nebius/market/gpu_price_history.xlsx Price_History_Quarterly 'Nebius | B200 | on-demand | PAYG' 2026Q2</t>
        </is>
      </c>
      <c r="H461" t="inlineStr">
        <is>
          <t>Reported (snapshot 2026-06-25)</t>
        </is>
      </c>
    </row>
    <row r="462">
      <c r="A462" t="inlineStr">
        <is>
          <t>KPI</t>
        </is>
      </c>
      <c r="B462" t="inlineStr">
        <is>
          <t>C45</t>
        </is>
      </c>
      <c r="C462" t="inlineStr">
        <is>
          <t>Nebius B300 on-demand list - quarter-end (latest snapshot in quarter)</t>
        </is>
      </c>
      <c r="D462" t="inlineStr">
        <is>
          <t>Q1 2024</t>
        </is>
      </c>
      <c r="E462" t="inlineStr">
        <is>
          <t>n.d.</t>
        </is>
      </c>
      <c r="F462" t="inlineStr">
        <is>
          <t>not disclosed</t>
        </is>
      </c>
      <c r="G462" t="inlineStr">
        <is>
          <t>/workspace/nebius/market/gpu_price_history.xlsx Price_History_Quarterly 'Nebius | B300 | on-demand | PAYG' 2024Q1</t>
        </is>
      </c>
      <c r="H462" t="inlineStr">
        <is>
          <t>no snapshot / not disclosed (no earlier observation; SKU not yet listed or page not archived/parseable)</t>
        </is>
      </c>
    </row>
    <row r="463">
      <c r="A463" t="inlineStr">
        <is>
          <t>KPI</t>
        </is>
      </c>
      <c r="B463" t="inlineStr">
        <is>
          <t>D45</t>
        </is>
      </c>
      <c r="C463" t="inlineStr">
        <is>
          <t>Nebius B300 on-demand list - quarter-end (latest snapshot in quarter)</t>
        </is>
      </c>
      <c r="D463" t="inlineStr">
        <is>
          <t>Q2 2024</t>
        </is>
      </c>
      <c r="E463" t="inlineStr">
        <is>
          <t>n.d.</t>
        </is>
      </c>
      <c r="F463" t="inlineStr">
        <is>
          <t>not disclosed</t>
        </is>
      </c>
      <c r="G463" t="inlineStr">
        <is>
          <t>/workspace/nebius/market/gpu_price_history.xlsx Price_History_Quarterly 'Nebius | B300 | on-demand | PAYG' 2024Q2</t>
        </is>
      </c>
      <c r="H463" t="inlineStr">
        <is>
          <t>no snapshot / not disclosed (no earlier observation; SKU not yet listed or page not archived/parseable)</t>
        </is>
      </c>
    </row>
    <row r="464">
      <c r="A464" t="inlineStr">
        <is>
          <t>KPI</t>
        </is>
      </c>
      <c r="B464" t="inlineStr">
        <is>
          <t>E45</t>
        </is>
      </c>
      <c r="C464" t="inlineStr">
        <is>
          <t>Nebius B300 on-demand list - quarter-end (latest snapshot in quarter)</t>
        </is>
      </c>
      <c r="D464" t="inlineStr">
        <is>
          <t>Q3 2024</t>
        </is>
      </c>
      <c r="E464" t="inlineStr">
        <is>
          <t>n.d.</t>
        </is>
      </c>
      <c r="F464" t="inlineStr">
        <is>
          <t>not disclosed</t>
        </is>
      </c>
      <c r="G464" t="inlineStr">
        <is>
          <t>/workspace/nebius/market/gpu_price_history.xlsx Price_History_Quarterly 'Nebius | B300 | on-demand | PAYG' 2024Q3</t>
        </is>
      </c>
      <c r="H464" t="inlineStr">
        <is>
          <t>no snapshot / not disclosed (no earlier observation; SKU not yet listed or page not archived/parseable)</t>
        </is>
      </c>
    </row>
    <row r="465">
      <c r="A465" t="inlineStr">
        <is>
          <t>KPI</t>
        </is>
      </c>
      <c r="B465" t="inlineStr">
        <is>
          <t>F45</t>
        </is>
      </c>
      <c r="C465" t="inlineStr">
        <is>
          <t>Nebius B300 on-demand list - quarter-end (latest snapshot in quarter)</t>
        </is>
      </c>
      <c r="D465" t="inlineStr">
        <is>
          <t>Q4 2024</t>
        </is>
      </c>
      <c r="E465" t="inlineStr">
        <is>
          <t>n.d.</t>
        </is>
      </c>
      <c r="F465" t="inlineStr">
        <is>
          <t>not disclosed</t>
        </is>
      </c>
      <c r="G465" t="inlineStr">
        <is>
          <t>/workspace/nebius/market/gpu_price_history.xlsx Price_History_Quarterly 'Nebius | B300 | on-demand | PAYG' 2024Q4</t>
        </is>
      </c>
      <c r="H465" t="inlineStr">
        <is>
          <t>no snapshot / not disclosed (no earlier observation; SKU not yet listed or page not archived/parseable)</t>
        </is>
      </c>
    </row>
    <row r="466">
      <c r="A466" t="inlineStr">
        <is>
          <t>KPI</t>
        </is>
      </c>
      <c r="B466" t="inlineStr">
        <is>
          <t>G45</t>
        </is>
      </c>
      <c r="C466" t="inlineStr">
        <is>
          <t>Nebius B300 on-demand list - quarter-end (latest snapshot in quarter)</t>
        </is>
      </c>
      <c r="D466" t="inlineStr">
        <is>
          <t>Q1 2025</t>
        </is>
      </c>
      <c r="E466" t="inlineStr">
        <is>
          <t>n.d.</t>
        </is>
      </c>
      <c r="F466" t="inlineStr">
        <is>
          <t>not disclosed</t>
        </is>
      </c>
      <c r="G466" t="inlineStr">
        <is>
          <t>/workspace/nebius/market/gpu_price_history.xlsx Price_History_Quarterly 'Nebius | B300 | on-demand | PAYG' 2025Q1</t>
        </is>
      </c>
      <c r="H466" t="inlineStr">
        <is>
          <t>no snapshot / not disclosed (no earlier observation; SKU not yet listed or page not archived/parseable)</t>
        </is>
      </c>
    </row>
    <row r="467">
      <c r="A467" t="inlineStr">
        <is>
          <t>KPI</t>
        </is>
      </c>
      <c r="B467" t="inlineStr">
        <is>
          <t>H45</t>
        </is>
      </c>
      <c r="C467" t="inlineStr">
        <is>
          <t>Nebius B300 on-demand list - quarter-end (latest snapshot in quarter)</t>
        </is>
      </c>
      <c r="D467" t="inlineStr">
        <is>
          <t>Q2 2025</t>
        </is>
      </c>
      <c r="E467" t="inlineStr">
        <is>
          <t>n.d.</t>
        </is>
      </c>
      <c r="F467" t="inlineStr">
        <is>
          <t>not disclosed</t>
        </is>
      </c>
      <c r="G467" t="inlineStr">
        <is>
          <t>/workspace/nebius/market/gpu_price_history.xlsx Price_History_Quarterly 'Nebius | B300 | on-demand | PAYG' 2025Q2</t>
        </is>
      </c>
      <c r="H467" t="inlineStr">
        <is>
          <t>no snapshot / not disclosed (no earlier observation; SKU not yet listed or page not archived/parseable)</t>
        </is>
      </c>
    </row>
    <row r="468">
      <c r="A468" t="inlineStr">
        <is>
          <t>KPI</t>
        </is>
      </c>
      <c r="B468" t="inlineStr">
        <is>
          <t>I45</t>
        </is>
      </c>
      <c r="C468" t="inlineStr">
        <is>
          <t>Nebius B300 on-demand list - quarter-end (latest snapshot in quarter)</t>
        </is>
      </c>
      <c r="D468" t="inlineStr">
        <is>
          <t>Q3 2025</t>
        </is>
      </c>
      <c r="E468" t="inlineStr">
        <is>
          <t>n.d.</t>
        </is>
      </c>
      <c r="F468" t="inlineStr">
        <is>
          <t>not disclosed</t>
        </is>
      </c>
      <c r="G468" t="inlineStr">
        <is>
          <t>/workspace/nebius/market/gpu_price_history.xlsx Price_History_Quarterly 'Nebius | B300 | on-demand | PAYG' 2025Q3</t>
        </is>
      </c>
      <c r="H468" t="inlineStr">
        <is>
          <t>no snapshot / not disclosed (no earlier observation; SKU not yet listed or page not archived/parseable)</t>
        </is>
      </c>
    </row>
    <row r="469">
      <c r="A469" t="inlineStr">
        <is>
          <t>KPI</t>
        </is>
      </c>
      <c r="B469" t="inlineStr">
        <is>
          <t>J45</t>
        </is>
      </c>
      <c r="C469" t="inlineStr">
        <is>
          <t>Nebius B300 on-demand list - quarter-end (latest snapshot in quarter)</t>
        </is>
      </c>
      <c r="D469" t="inlineStr">
        <is>
          <t>Q4 2025</t>
        </is>
      </c>
      <c r="E469" t="inlineStr">
        <is>
          <t>n.d.</t>
        </is>
      </c>
      <c r="F469" t="inlineStr">
        <is>
          <t>not disclosed</t>
        </is>
      </c>
      <c r="G469" t="inlineStr">
        <is>
          <t>/workspace/nebius/market/gpu_price_history.xlsx Price_History_Quarterly 'Nebius | B300 | on-demand | PAYG' 2025Q4</t>
        </is>
      </c>
      <c r="H469" t="inlineStr">
        <is>
          <t>no snapshot / not disclosed (no earlier observation; SKU not yet listed or page not archived/parseable)</t>
        </is>
      </c>
    </row>
    <row r="470">
      <c r="A470" t="inlineStr">
        <is>
          <t>KPI</t>
        </is>
      </c>
      <c r="B470" t="inlineStr">
        <is>
          <t>K45</t>
        </is>
      </c>
      <c r="C470" t="inlineStr">
        <is>
          <t>Nebius B300 on-demand list - quarter-end (latest snapshot in quarter)</t>
        </is>
      </c>
      <c r="D470" t="inlineStr">
        <is>
          <t>Q1 2026</t>
        </is>
      </c>
      <c r="E470" t="inlineStr">
        <is>
          <t>n.d.</t>
        </is>
      </c>
      <c r="F470" t="inlineStr">
        <is>
          <t>not disclosed</t>
        </is>
      </c>
      <c r="G470" t="inlineStr">
        <is>
          <t>/workspace/nebius/market/gpu_price_history.xlsx Price_History_Quarterly 'Nebius | B300 | on-demand | PAYG' 2026Q1</t>
        </is>
      </c>
      <c r="H470" t="inlineStr">
        <is>
          <t>no snapshot / not disclosed (no earlier observation; SKU not yet listed or page not archived/parseable)</t>
        </is>
      </c>
    </row>
    <row r="471">
      <c r="A471" t="inlineStr">
        <is>
          <t>KPI</t>
        </is>
      </c>
      <c r="B471" t="inlineStr">
        <is>
          <t>L45</t>
        </is>
      </c>
      <c r="C471" t="inlineStr">
        <is>
          <t>Nebius B300 on-demand list - quarter-end (latest snapshot in quarter)</t>
        </is>
      </c>
      <c r="D471" t="inlineStr">
        <is>
          <t>Q2 2026</t>
        </is>
      </c>
      <c r="E471" t="n">
        <v>7.85</v>
      </c>
      <c r="F471" t="inlineStr">
        <is>
          <t>Reported</t>
        </is>
      </c>
      <c r="G471" t="inlineStr">
        <is>
          <t>/workspace/nebius/market/gpu_price_history.xlsx Price_History_Quarterly 'Nebius | B300 | on-demand | PAYG' 2026Q2</t>
        </is>
      </c>
      <c r="H471" t="inlineStr">
        <is>
          <t>Reported (snapshot 2026-06-25)</t>
        </is>
      </c>
    </row>
    <row r="472">
      <c r="A472" t="inlineStr">
        <is>
          <t>KPI</t>
        </is>
      </c>
      <c r="B472" t="inlineStr">
        <is>
          <t>C46</t>
        </is>
      </c>
      <c r="C472" t="inlineStr">
        <is>
          <t>Nebius H100 SXM on-demand list - quarter average (3 months)</t>
        </is>
      </c>
      <c r="D472" t="inlineStr">
        <is>
          <t>Q1 2024</t>
        </is>
      </c>
      <c r="E472" t="inlineStr">
        <is>
          <t>formula: =AVERAGE(Prices_Monthly!B4:D4)</t>
        </is>
      </c>
      <c r="F472" t="inlineStr">
        <is>
          <t>Estimated</t>
        </is>
      </c>
      <c r="G472" t="inlineStr">
        <is>
          <t>Prices_Monthly!B4:D4</t>
        </is>
      </c>
      <c r="H472" t="inlineStr">
        <is>
          <t>formula</t>
        </is>
      </c>
    </row>
    <row r="473">
      <c r="A473" t="inlineStr">
        <is>
          <t>KPI</t>
        </is>
      </c>
      <c r="B473" t="inlineStr">
        <is>
          <t>D46</t>
        </is>
      </c>
      <c r="C473" t="inlineStr">
        <is>
          <t>Nebius H100 SXM on-demand list - quarter average (3 months)</t>
        </is>
      </c>
      <c r="D473" t="inlineStr">
        <is>
          <t>Q2 2024</t>
        </is>
      </c>
      <c r="E473" t="inlineStr">
        <is>
          <t>formula: =AVERAGE(Prices_Monthly!E4:G4)</t>
        </is>
      </c>
      <c r="F473" t="inlineStr">
        <is>
          <t>Estimated</t>
        </is>
      </c>
      <c r="G473" t="inlineStr">
        <is>
          <t>Prices_Monthly!E4:G4</t>
        </is>
      </c>
      <c r="H473" t="inlineStr">
        <is>
          <t>formula</t>
        </is>
      </c>
    </row>
    <row r="474">
      <c r="A474" t="inlineStr">
        <is>
          <t>KPI</t>
        </is>
      </c>
      <c r="B474" t="inlineStr">
        <is>
          <t>E46</t>
        </is>
      </c>
      <c r="C474" t="inlineStr">
        <is>
          <t>Nebius H100 SXM on-demand list - quarter average (3 months)</t>
        </is>
      </c>
      <c r="D474" t="inlineStr">
        <is>
          <t>Q3 2024</t>
        </is>
      </c>
      <c r="E474" t="inlineStr">
        <is>
          <t>formula: =AVERAGE(Prices_Monthly!H4:J4)</t>
        </is>
      </c>
      <c r="F474" t="inlineStr">
        <is>
          <t>Derived</t>
        </is>
      </c>
      <c r="G474" t="inlineStr">
        <is>
          <t>Prices_Monthly!H4:J4</t>
        </is>
      </c>
      <c r="H474" t="inlineStr">
        <is>
          <t>formula</t>
        </is>
      </c>
    </row>
    <row r="475">
      <c r="A475" t="inlineStr">
        <is>
          <t>KPI</t>
        </is>
      </c>
      <c r="B475" t="inlineStr">
        <is>
          <t>F46</t>
        </is>
      </c>
      <c r="C475" t="inlineStr">
        <is>
          <t>Nebius H100 SXM on-demand list - quarter average (3 months)</t>
        </is>
      </c>
      <c r="D475" t="inlineStr">
        <is>
          <t>Q4 2024</t>
        </is>
      </c>
      <c r="E475" t="inlineStr">
        <is>
          <t>formula: =AVERAGE(Prices_Monthly!K4:M4)</t>
        </is>
      </c>
      <c r="F475" t="inlineStr">
        <is>
          <t>Derived</t>
        </is>
      </c>
      <c r="G475" t="inlineStr">
        <is>
          <t>Prices_Monthly!K4:M4</t>
        </is>
      </c>
      <c r="H475" t="inlineStr">
        <is>
          <t>formula</t>
        </is>
      </c>
    </row>
    <row r="476">
      <c r="A476" t="inlineStr">
        <is>
          <t>KPI</t>
        </is>
      </c>
      <c r="B476" t="inlineStr">
        <is>
          <t>G46</t>
        </is>
      </c>
      <c r="C476" t="inlineStr">
        <is>
          <t>Nebius H100 SXM on-demand list - quarter average (3 months)</t>
        </is>
      </c>
      <c r="D476" t="inlineStr">
        <is>
          <t>Q1 2025</t>
        </is>
      </c>
      <c r="E476" t="inlineStr">
        <is>
          <t>formula: =AVERAGE(Prices_Monthly!N4:P4)</t>
        </is>
      </c>
      <c r="F476" t="inlineStr">
        <is>
          <t>Estimated</t>
        </is>
      </c>
      <c r="G476" t="inlineStr">
        <is>
          <t>Prices_Monthly!N4:P4</t>
        </is>
      </c>
      <c r="H476" t="inlineStr">
        <is>
          <t>formula</t>
        </is>
      </c>
    </row>
    <row r="477">
      <c r="A477" t="inlineStr">
        <is>
          <t>KPI</t>
        </is>
      </c>
      <c r="B477" t="inlineStr">
        <is>
          <t>H46</t>
        </is>
      </c>
      <c r="C477" t="inlineStr">
        <is>
          <t>Nebius H100 SXM on-demand list - quarter average (3 months)</t>
        </is>
      </c>
      <c r="D477" t="inlineStr">
        <is>
          <t>Q2 2025</t>
        </is>
      </c>
      <c r="E477" t="inlineStr">
        <is>
          <t>formula: =AVERAGE(Prices_Monthly!Q4:S4)</t>
        </is>
      </c>
      <c r="F477" t="inlineStr">
        <is>
          <t>Derived</t>
        </is>
      </c>
      <c r="G477" t="inlineStr">
        <is>
          <t>Prices_Monthly!Q4:S4</t>
        </is>
      </c>
      <c r="H477" t="inlineStr">
        <is>
          <t>formula</t>
        </is>
      </c>
    </row>
    <row r="478">
      <c r="A478" t="inlineStr">
        <is>
          <t>KPI</t>
        </is>
      </c>
      <c r="B478" t="inlineStr">
        <is>
          <t>I46</t>
        </is>
      </c>
      <c r="C478" t="inlineStr">
        <is>
          <t>Nebius H100 SXM on-demand list - quarter average (3 months)</t>
        </is>
      </c>
      <c r="D478" t="inlineStr">
        <is>
          <t>Q3 2025</t>
        </is>
      </c>
      <c r="E478" t="inlineStr">
        <is>
          <t>formula: =AVERAGE(Prices_Monthly!T4:V4)</t>
        </is>
      </c>
      <c r="F478" t="inlineStr">
        <is>
          <t>Derived</t>
        </is>
      </c>
      <c r="G478" t="inlineStr">
        <is>
          <t>Prices_Monthly!T4:V4</t>
        </is>
      </c>
      <c r="H478" t="inlineStr">
        <is>
          <t>formula</t>
        </is>
      </c>
    </row>
    <row r="479">
      <c r="A479" t="inlineStr">
        <is>
          <t>KPI</t>
        </is>
      </c>
      <c r="B479" t="inlineStr">
        <is>
          <t>J46</t>
        </is>
      </c>
      <c r="C479" t="inlineStr">
        <is>
          <t>Nebius H100 SXM on-demand list - quarter average (3 months)</t>
        </is>
      </c>
      <c r="D479" t="inlineStr">
        <is>
          <t>Q4 2025</t>
        </is>
      </c>
      <c r="E479" t="inlineStr">
        <is>
          <t>formula: =AVERAGE(Prices_Monthly!W4:Y4)</t>
        </is>
      </c>
      <c r="F479" t="inlineStr">
        <is>
          <t>Derived</t>
        </is>
      </c>
      <c r="G479" t="inlineStr">
        <is>
          <t>Prices_Monthly!W4:Y4</t>
        </is>
      </c>
      <c r="H479" t="inlineStr">
        <is>
          <t>formula</t>
        </is>
      </c>
    </row>
    <row r="480">
      <c r="A480" t="inlineStr">
        <is>
          <t>KPI</t>
        </is>
      </c>
      <c r="B480" t="inlineStr">
        <is>
          <t>K46</t>
        </is>
      </c>
      <c r="C480" t="inlineStr">
        <is>
          <t>Nebius H100 SXM on-demand list - quarter average (3 months)</t>
        </is>
      </c>
      <c r="D480" t="inlineStr">
        <is>
          <t>Q1 2026</t>
        </is>
      </c>
      <c r="E480" t="inlineStr">
        <is>
          <t>formula: =AVERAGE(Prices_Monthly!Z4:AB4)</t>
        </is>
      </c>
      <c r="F480" t="inlineStr">
        <is>
          <t>Derived</t>
        </is>
      </c>
      <c r="G480" t="inlineStr">
        <is>
          <t>Prices_Monthly!Z4:AB4</t>
        </is>
      </c>
      <c r="H480" t="inlineStr">
        <is>
          <t>formula</t>
        </is>
      </c>
    </row>
    <row r="481">
      <c r="A481" t="inlineStr">
        <is>
          <t>KPI</t>
        </is>
      </c>
      <c r="B481" t="inlineStr">
        <is>
          <t>L46</t>
        </is>
      </c>
      <c r="C481" t="inlineStr">
        <is>
          <t>Nebius H100 SXM on-demand list - quarter average (3 months)</t>
        </is>
      </c>
      <c r="D481" t="inlineStr">
        <is>
          <t>Q2 2026</t>
        </is>
      </c>
      <c r="E481" t="inlineStr">
        <is>
          <t>formula: =AVERAGE(Prices_Monthly!AC4:AE4)</t>
        </is>
      </c>
      <c r="F481" t="inlineStr">
        <is>
          <t>Derived</t>
        </is>
      </c>
      <c r="G481" t="inlineStr">
        <is>
          <t>Prices_Monthly!AC4:AE4</t>
        </is>
      </c>
      <c r="H481" t="inlineStr">
        <is>
          <t>formula</t>
        </is>
      </c>
    </row>
    <row r="482">
      <c r="A482" t="inlineStr">
        <is>
          <t>KPI</t>
        </is>
      </c>
      <c r="B482" t="inlineStr">
        <is>
          <t>C47</t>
        </is>
      </c>
      <c r="C482" t="inlineStr">
        <is>
          <t>Nebius H200 on-demand list - quarter average (3 months)</t>
        </is>
      </c>
      <c r="D482" t="inlineStr">
        <is>
          <t>Q1 2024</t>
        </is>
      </c>
      <c r="E482" t="inlineStr">
        <is>
          <t>n.d.</t>
        </is>
      </c>
      <c r="F482" t="inlineStr">
        <is>
          <t>not disclosed</t>
        </is>
      </c>
      <c r="G482" t="inlineStr">
        <is>
          <t>Prices_Monthly!B5:D5</t>
        </is>
      </c>
      <c r="H482" t="inlineStr">
        <is>
          <t>SKU not listed for the full quarter</t>
        </is>
      </c>
    </row>
    <row r="483">
      <c r="A483" t="inlineStr">
        <is>
          <t>KPI</t>
        </is>
      </c>
      <c r="B483" t="inlineStr">
        <is>
          <t>D47</t>
        </is>
      </c>
      <c r="C483" t="inlineStr">
        <is>
          <t>Nebius H200 on-demand list - quarter average (3 months)</t>
        </is>
      </c>
      <c r="D483" t="inlineStr">
        <is>
          <t>Q2 2024</t>
        </is>
      </c>
      <c r="E483" t="inlineStr">
        <is>
          <t>n.d.</t>
        </is>
      </c>
      <c r="F483" t="inlineStr">
        <is>
          <t>not disclosed</t>
        </is>
      </c>
      <c r="G483" t="inlineStr">
        <is>
          <t>Prices_Monthly!E5:G5</t>
        </is>
      </c>
      <c r="H483" t="inlineStr">
        <is>
          <t>SKU not listed for the full quarter</t>
        </is>
      </c>
    </row>
    <row r="484">
      <c r="A484" t="inlineStr">
        <is>
          <t>KPI</t>
        </is>
      </c>
      <c r="B484" t="inlineStr">
        <is>
          <t>E47</t>
        </is>
      </c>
      <c r="C484" t="inlineStr">
        <is>
          <t>Nebius H200 on-demand list - quarter average (3 months)</t>
        </is>
      </c>
      <c r="D484" t="inlineStr">
        <is>
          <t>Q3 2024</t>
        </is>
      </c>
      <c r="E484" t="inlineStr">
        <is>
          <t>n.d.</t>
        </is>
      </c>
      <c r="F484" t="inlineStr">
        <is>
          <t>not disclosed</t>
        </is>
      </c>
      <c r="G484" t="inlineStr">
        <is>
          <t>Prices_Monthly!H5:J5</t>
        </is>
      </c>
      <c r="H484" t="inlineStr">
        <is>
          <t>SKU not listed for the full quarter</t>
        </is>
      </c>
    </row>
    <row r="485">
      <c r="A485" t="inlineStr">
        <is>
          <t>KPI</t>
        </is>
      </c>
      <c r="B485" t="inlineStr">
        <is>
          <t>F47</t>
        </is>
      </c>
      <c r="C485" t="inlineStr">
        <is>
          <t>Nebius H200 on-demand list - quarter average (3 months)</t>
        </is>
      </c>
      <c r="D485" t="inlineStr">
        <is>
          <t>Q4 2024</t>
        </is>
      </c>
      <c r="E485" t="inlineStr">
        <is>
          <t>formula: =AVERAGE(Prices_Monthly!K5:M5)</t>
        </is>
      </c>
      <c r="F485" t="inlineStr">
        <is>
          <t>Derived</t>
        </is>
      </c>
      <c r="G485" t="inlineStr">
        <is>
          <t>Prices_Monthly!K5:M5</t>
        </is>
      </c>
      <c r="H485" t="inlineStr">
        <is>
          <t>formula</t>
        </is>
      </c>
    </row>
    <row r="486">
      <c r="A486" t="inlineStr">
        <is>
          <t>KPI</t>
        </is>
      </c>
      <c r="B486" t="inlineStr">
        <is>
          <t>G47</t>
        </is>
      </c>
      <c r="C486" t="inlineStr">
        <is>
          <t>Nebius H200 on-demand list - quarter average (3 months)</t>
        </is>
      </c>
      <c r="D486" t="inlineStr">
        <is>
          <t>Q1 2025</t>
        </is>
      </c>
      <c r="E486" t="inlineStr">
        <is>
          <t>formula: =AVERAGE(Prices_Monthly!N5:P5)</t>
        </is>
      </c>
      <c r="F486" t="inlineStr">
        <is>
          <t>Estimated</t>
        </is>
      </c>
      <c r="G486" t="inlineStr">
        <is>
          <t>Prices_Monthly!N5:P5</t>
        </is>
      </c>
      <c r="H486" t="inlineStr">
        <is>
          <t>formula</t>
        </is>
      </c>
    </row>
    <row r="487">
      <c r="A487" t="inlineStr">
        <is>
          <t>KPI</t>
        </is>
      </c>
      <c r="B487" t="inlineStr">
        <is>
          <t>H47</t>
        </is>
      </c>
      <c r="C487" t="inlineStr">
        <is>
          <t>Nebius H200 on-demand list - quarter average (3 months)</t>
        </is>
      </c>
      <c r="D487" t="inlineStr">
        <is>
          <t>Q2 2025</t>
        </is>
      </c>
      <c r="E487" t="inlineStr">
        <is>
          <t>formula: =AVERAGE(Prices_Monthly!Q5:S5)</t>
        </is>
      </c>
      <c r="F487" t="inlineStr">
        <is>
          <t>Derived</t>
        </is>
      </c>
      <c r="G487" t="inlineStr">
        <is>
          <t>Prices_Monthly!Q5:S5</t>
        </is>
      </c>
      <c r="H487" t="inlineStr">
        <is>
          <t>formula</t>
        </is>
      </c>
    </row>
    <row r="488">
      <c r="A488" t="inlineStr">
        <is>
          <t>KPI</t>
        </is>
      </c>
      <c r="B488" t="inlineStr">
        <is>
          <t>I47</t>
        </is>
      </c>
      <c r="C488" t="inlineStr">
        <is>
          <t>Nebius H200 on-demand list - quarter average (3 months)</t>
        </is>
      </c>
      <c r="D488" t="inlineStr">
        <is>
          <t>Q3 2025</t>
        </is>
      </c>
      <c r="E488" t="inlineStr">
        <is>
          <t>formula: =AVERAGE(Prices_Monthly!T5:V5)</t>
        </is>
      </c>
      <c r="F488" t="inlineStr">
        <is>
          <t>Derived</t>
        </is>
      </c>
      <c r="G488" t="inlineStr">
        <is>
          <t>Prices_Monthly!T5:V5</t>
        </is>
      </c>
      <c r="H488" t="inlineStr">
        <is>
          <t>formula</t>
        </is>
      </c>
    </row>
    <row r="489">
      <c r="A489" t="inlineStr">
        <is>
          <t>KPI</t>
        </is>
      </c>
      <c r="B489" t="inlineStr">
        <is>
          <t>J47</t>
        </is>
      </c>
      <c r="C489" t="inlineStr">
        <is>
          <t>Nebius H200 on-demand list - quarter average (3 months)</t>
        </is>
      </c>
      <c r="D489" t="inlineStr">
        <is>
          <t>Q4 2025</t>
        </is>
      </c>
      <c r="E489" t="inlineStr">
        <is>
          <t>formula: =AVERAGE(Prices_Monthly!W5:Y5)</t>
        </is>
      </c>
      <c r="F489" t="inlineStr">
        <is>
          <t>Derived</t>
        </is>
      </c>
      <c r="G489" t="inlineStr">
        <is>
          <t>Prices_Monthly!W5:Y5</t>
        </is>
      </c>
      <c r="H489" t="inlineStr">
        <is>
          <t>formula</t>
        </is>
      </c>
    </row>
    <row r="490">
      <c r="A490" t="inlineStr">
        <is>
          <t>KPI</t>
        </is>
      </c>
      <c r="B490" t="inlineStr">
        <is>
          <t>K47</t>
        </is>
      </c>
      <c r="C490" t="inlineStr">
        <is>
          <t>Nebius H200 on-demand list - quarter average (3 months)</t>
        </is>
      </c>
      <c r="D490" t="inlineStr">
        <is>
          <t>Q1 2026</t>
        </is>
      </c>
      <c r="E490" t="inlineStr">
        <is>
          <t>formula: =AVERAGE(Prices_Monthly!Z5:AB5)</t>
        </is>
      </c>
      <c r="F490" t="inlineStr">
        <is>
          <t>Derived</t>
        </is>
      </c>
      <c r="G490" t="inlineStr">
        <is>
          <t>Prices_Monthly!Z5:AB5</t>
        </is>
      </c>
      <c r="H490" t="inlineStr">
        <is>
          <t>formula</t>
        </is>
      </c>
    </row>
    <row r="491">
      <c r="A491" t="inlineStr">
        <is>
          <t>KPI</t>
        </is>
      </c>
      <c r="B491" t="inlineStr">
        <is>
          <t>L47</t>
        </is>
      </c>
      <c r="C491" t="inlineStr">
        <is>
          <t>Nebius H200 on-demand list - quarter average (3 months)</t>
        </is>
      </c>
      <c r="D491" t="inlineStr">
        <is>
          <t>Q2 2026</t>
        </is>
      </c>
      <c r="E491" t="inlineStr">
        <is>
          <t>formula: =AVERAGE(Prices_Monthly!AC5:AE5)</t>
        </is>
      </c>
      <c r="F491" t="inlineStr">
        <is>
          <t>Derived</t>
        </is>
      </c>
      <c r="G491" t="inlineStr">
        <is>
          <t>Prices_Monthly!AC5:AE5</t>
        </is>
      </c>
      <c r="H491" t="inlineStr">
        <is>
          <t>formula</t>
        </is>
      </c>
    </row>
    <row r="492">
      <c r="A492" t="inlineStr">
        <is>
          <t>KPI</t>
        </is>
      </c>
      <c r="B492" t="inlineStr">
        <is>
          <t>C48</t>
        </is>
      </c>
      <c r="C492" t="inlineStr">
        <is>
          <t>Nebius B200 on-demand list - quarter average (3 months)</t>
        </is>
      </c>
      <c r="D492" t="inlineStr">
        <is>
          <t>Q1 2024</t>
        </is>
      </c>
      <c r="E492" t="inlineStr">
        <is>
          <t>n.d.</t>
        </is>
      </c>
      <c r="F492" t="inlineStr">
        <is>
          <t>not disclosed</t>
        </is>
      </c>
      <c r="G492" t="inlineStr">
        <is>
          <t>Prices_Monthly!B6:D6</t>
        </is>
      </c>
      <c r="H492" t="inlineStr">
        <is>
          <t>SKU not listed for the full quarter</t>
        </is>
      </c>
    </row>
    <row r="493">
      <c r="A493" t="inlineStr">
        <is>
          <t>KPI</t>
        </is>
      </c>
      <c r="B493" t="inlineStr">
        <is>
          <t>D48</t>
        </is>
      </c>
      <c r="C493" t="inlineStr">
        <is>
          <t>Nebius B200 on-demand list - quarter average (3 months)</t>
        </is>
      </c>
      <c r="D493" t="inlineStr">
        <is>
          <t>Q2 2024</t>
        </is>
      </c>
      <c r="E493" t="inlineStr">
        <is>
          <t>n.d.</t>
        </is>
      </c>
      <c r="F493" t="inlineStr">
        <is>
          <t>not disclosed</t>
        </is>
      </c>
      <c r="G493" t="inlineStr">
        <is>
          <t>Prices_Monthly!E6:G6</t>
        </is>
      </c>
      <c r="H493" t="inlineStr">
        <is>
          <t>SKU not listed for the full quarter</t>
        </is>
      </c>
    </row>
    <row r="494">
      <c r="A494" t="inlineStr">
        <is>
          <t>KPI</t>
        </is>
      </c>
      <c r="B494" t="inlineStr">
        <is>
          <t>E48</t>
        </is>
      </c>
      <c r="C494" t="inlineStr">
        <is>
          <t>Nebius B200 on-demand list - quarter average (3 months)</t>
        </is>
      </c>
      <c r="D494" t="inlineStr">
        <is>
          <t>Q3 2024</t>
        </is>
      </c>
      <c r="E494" t="inlineStr">
        <is>
          <t>n.d.</t>
        </is>
      </c>
      <c r="F494" t="inlineStr">
        <is>
          <t>not disclosed</t>
        </is>
      </c>
      <c r="G494" t="inlineStr">
        <is>
          <t>Prices_Monthly!H6:J6</t>
        </is>
      </c>
      <c r="H494" t="inlineStr">
        <is>
          <t>SKU not listed for the full quarter</t>
        </is>
      </c>
    </row>
    <row r="495">
      <c r="A495" t="inlineStr">
        <is>
          <t>KPI</t>
        </is>
      </c>
      <c r="B495" t="inlineStr">
        <is>
          <t>F48</t>
        </is>
      </c>
      <c r="C495" t="inlineStr">
        <is>
          <t>Nebius B200 on-demand list - quarter average (3 months)</t>
        </is>
      </c>
      <c r="D495" t="inlineStr">
        <is>
          <t>Q4 2024</t>
        </is>
      </c>
      <c r="E495" t="inlineStr">
        <is>
          <t>n.d.</t>
        </is>
      </c>
      <c r="F495" t="inlineStr">
        <is>
          <t>not disclosed</t>
        </is>
      </c>
      <c r="G495" t="inlineStr">
        <is>
          <t>Prices_Monthly!K6:M6</t>
        </is>
      </c>
      <c r="H495" t="inlineStr">
        <is>
          <t>SKU not listed for the full quarter</t>
        </is>
      </c>
    </row>
    <row r="496">
      <c r="A496" t="inlineStr">
        <is>
          <t>KPI</t>
        </is>
      </c>
      <c r="B496" t="inlineStr">
        <is>
          <t>G48</t>
        </is>
      </c>
      <c r="C496" t="inlineStr">
        <is>
          <t>Nebius B200 on-demand list - quarter average (3 months)</t>
        </is>
      </c>
      <c r="D496" t="inlineStr">
        <is>
          <t>Q1 2025</t>
        </is>
      </c>
      <c r="E496" t="inlineStr">
        <is>
          <t>n.d.</t>
        </is>
      </c>
      <c r="F496" t="inlineStr">
        <is>
          <t>not disclosed</t>
        </is>
      </c>
      <c r="G496" t="inlineStr">
        <is>
          <t>Prices_Monthly!N6:P6</t>
        </is>
      </c>
      <c r="H496" t="inlineStr">
        <is>
          <t>SKU not listed for the full quarter</t>
        </is>
      </c>
    </row>
    <row r="497">
      <c r="A497" t="inlineStr">
        <is>
          <t>KPI</t>
        </is>
      </c>
      <c r="B497" t="inlineStr">
        <is>
          <t>H48</t>
        </is>
      </c>
      <c r="C497" t="inlineStr">
        <is>
          <t>Nebius B200 on-demand list - quarter average (3 months)</t>
        </is>
      </c>
      <c r="D497" t="inlineStr">
        <is>
          <t>Q2 2025</t>
        </is>
      </c>
      <c r="E497" t="inlineStr">
        <is>
          <t>n.d.</t>
        </is>
      </c>
      <c r="F497" t="inlineStr">
        <is>
          <t>not disclosed</t>
        </is>
      </c>
      <c r="G497" t="inlineStr">
        <is>
          <t>Prices_Monthly!Q6:S6</t>
        </is>
      </c>
      <c r="H497" t="inlineStr">
        <is>
          <t>SKU not listed for the full quarter</t>
        </is>
      </c>
    </row>
    <row r="498">
      <c r="A498" t="inlineStr">
        <is>
          <t>KPI</t>
        </is>
      </c>
      <c r="B498" t="inlineStr">
        <is>
          <t>I48</t>
        </is>
      </c>
      <c r="C498" t="inlineStr">
        <is>
          <t>Nebius B200 on-demand list - quarter average (3 months)</t>
        </is>
      </c>
      <c r="D498" t="inlineStr">
        <is>
          <t>Q3 2025</t>
        </is>
      </c>
      <c r="E498" t="inlineStr">
        <is>
          <t>formula: =AVERAGE(Prices_Monthly!T6:V6)</t>
        </is>
      </c>
      <c r="F498" t="inlineStr">
        <is>
          <t>Derived</t>
        </is>
      </c>
      <c r="G498" t="inlineStr">
        <is>
          <t>Prices_Monthly!T6:V6</t>
        </is>
      </c>
      <c r="H498" t="inlineStr">
        <is>
          <t>formula</t>
        </is>
      </c>
    </row>
    <row r="499">
      <c r="A499" t="inlineStr">
        <is>
          <t>KPI</t>
        </is>
      </c>
      <c r="B499" t="inlineStr">
        <is>
          <t>J48</t>
        </is>
      </c>
      <c r="C499" t="inlineStr">
        <is>
          <t>Nebius B200 on-demand list - quarter average (3 months)</t>
        </is>
      </c>
      <c r="D499" t="inlineStr">
        <is>
          <t>Q4 2025</t>
        </is>
      </c>
      <c r="E499" t="inlineStr">
        <is>
          <t>formula: =AVERAGE(Prices_Monthly!W6:Y6)</t>
        </is>
      </c>
      <c r="F499" t="inlineStr">
        <is>
          <t>Derived</t>
        </is>
      </c>
      <c r="G499" t="inlineStr">
        <is>
          <t>Prices_Monthly!W6:Y6</t>
        </is>
      </c>
      <c r="H499" t="inlineStr">
        <is>
          <t>formula</t>
        </is>
      </c>
    </row>
    <row r="500">
      <c r="A500" t="inlineStr">
        <is>
          <t>KPI</t>
        </is>
      </c>
      <c r="B500" t="inlineStr">
        <is>
          <t>K48</t>
        </is>
      </c>
      <c r="C500" t="inlineStr">
        <is>
          <t>Nebius B200 on-demand list - quarter average (3 months)</t>
        </is>
      </c>
      <c r="D500" t="inlineStr">
        <is>
          <t>Q1 2026</t>
        </is>
      </c>
      <c r="E500" t="inlineStr">
        <is>
          <t>formula: =AVERAGE(Prices_Monthly!Z6:AB6)</t>
        </is>
      </c>
      <c r="F500" t="inlineStr">
        <is>
          <t>Derived</t>
        </is>
      </c>
      <c r="G500" t="inlineStr">
        <is>
          <t>Prices_Monthly!Z6:AB6</t>
        </is>
      </c>
      <c r="H500" t="inlineStr">
        <is>
          <t>formula</t>
        </is>
      </c>
    </row>
    <row r="501">
      <c r="A501" t="inlineStr">
        <is>
          <t>KPI</t>
        </is>
      </c>
      <c r="B501" t="inlineStr">
        <is>
          <t>L48</t>
        </is>
      </c>
      <c r="C501" t="inlineStr">
        <is>
          <t>Nebius B200 on-demand list - quarter average (3 months)</t>
        </is>
      </c>
      <c r="D501" t="inlineStr">
        <is>
          <t>Q2 2026</t>
        </is>
      </c>
      <c r="E501" t="inlineStr">
        <is>
          <t>formula: =AVERAGE(Prices_Monthly!AC6:AE6)</t>
        </is>
      </c>
      <c r="F501" t="inlineStr">
        <is>
          <t>Derived</t>
        </is>
      </c>
      <c r="G501" t="inlineStr">
        <is>
          <t>Prices_Monthly!AC6:AE6</t>
        </is>
      </c>
      <c r="H501" t="inlineStr">
        <is>
          <t>formula</t>
        </is>
      </c>
    </row>
    <row r="502">
      <c r="A502" t="inlineStr">
        <is>
          <t>KPI</t>
        </is>
      </c>
      <c r="B502" t="inlineStr">
        <is>
          <t>C49</t>
        </is>
      </c>
      <c r="C502" t="inlineStr">
        <is>
          <t>Nebius B300 on-demand list - quarter average (3 months)</t>
        </is>
      </c>
      <c r="D502" t="inlineStr">
        <is>
          <t>Q1 2024</t>
        </is>
      </c>
      <c r="E502" t="inlineStr">
        <is>
          <t>n.d.</t>
        </is>
      </c>
      <c r="F502" t="inlineStr">
        <is>
          <t>not disclosed</t>
        </is>
      </c>
      <c r="G502" t="inlineStr">
        <is>
          <t>Prices_Monthly!B7:D7</t>
        </is>
      </c>
      <c r="H502" t="inlineStr">
        <is>
          <t>SKU not listed for the full quarter</t>
        </is>
      </c>
    </row>
    <row r="503">
      <c r="A503" t="inlineStr">
        <is>
          <t>KPI</t>
        </is>
      </c>
      <c r="B503" t="inlineStr">
        <is>
          <t>D49</t>
        </is>
      </c>
      <c r="C503" t="inlineStr">
        <is>
          <t>Nebius B300 on-demand list - quarter average (3 months)</t>
        </is>
      </c>
      <c r="D503" t="inlineStr">
        <is>
          <t>Q2 2024</t>
        </is>
      </c>
      <c r="E503" t="inlineStr">
        <is>
          <t>n.d.</t>
        </is>
      </c>
      <c r="F503" t="inlineStr">
        <is>
          <t>not disclosed</t>
        </is>
      </c>
      <c r="G503" t="inlineStr">
        <is>
          <t>Prices_Monthly!E7:G7</t>
        </is>
      </c>
      <c r="H503" t="inlineStr">
        <is>
          <t>SKU not listed for the full quarter</t>
        </is>
      </c>
    </row>
    <row r="504">
      <c r="A504" t="inlineStr">
        <is>
          <t>KPI</t>
        </is>
      </c>
      <c r="B504" t="inlineStr">
        <is>
          <t>E49</t>
        </is>
      </c>
      <c r="C504" t="inlineStr">
        <is>
          <t>Nebius B300 on-demand list - quarter average (3 months)</t>
        </is>
      </c>
      <c r="D504" t="inlineStr">
        <is>
          <t>Q3 2024</t>
        </is>
      </c>
      <c r="E504" t="inlineStr">
        <is>
          <t>n.d.</t>
        </is>
      </c>
      <c r="F504" t="inlineStr">
        <is>
          <t>not disclosed</t>
        </is>
      </c>
      <c r="G504" t="inlineStr">
        <is>
          <t>Prices_Monthly!H7:J7</t>
        </is>
      </c>
      <c r="H504" t="inlineStr">
        <is>
          <t>SKU not listed for the full quarter</t>
        </is>
      </c>
    </row>
    <row r="505">
      <c r="A505" t="inlineStr">
        <is>
          <t>KPI</t>
        </is>
      </c>
      <c r="B505" t="inlineStr">
        <is>
          <t>F49</t>
        </is>
      </c>
      <c r="C505" t="inlineStr">
        <is>
          <t>Nebius B300 on-demand list - quarter average (3 months)</t>
        </is>
      </c>
      <c r="D505" t="inlineStr">
        <is>
          <t>Q4 2024</t>
        </is>
      </c>
      <c r="E505" t="inlineStr">
        <is>
          <t>n.d.</t>
        </is>
      </c>
      <c r="F505" t="inlineStr">
        <is>
          <t>not disclosed</t>
        </is>
      </c>
      <c r="G505" t="inlineStr">
        <is>
          <t>Prices_Monthly!K7:M7</t>
        </is>
      </c>
      <c r="H505" t="inlineStr">
        <is>
          <t>SKU not listed for the full quarter</t>
        </is>
      </c>
    </row>
    <row r="506">
      <c r="A506" t="inlineStr">
        <is>
          <t>KPI</t>
        </is>
      </c>
      <c r="B506" t="inlineStr">
        <is>
          <t>G49</t>
        </is>
      </c>
      <c r="C506" t="inlineStr">
        <is>
          <t>Nebius B300 on-demand list - quarter average (3 months)</t>
        </is>
      </c>
      <c r="D506" t="inlineStr">
        <is>
          <t>Q1 2025</t>
        </is>
      </c>
      <c r="E506" t="inlineStr">
        <is>
          <t>n.d.</t>
        </is>
      </c>
      <c r="F506" t="inlineStr">
        <is>
          <t>not disclosed</t>
        </is>
      </c>
      <c r="G506" t="inlineStr">
        <is>
          <t>Prices_Monthly!N7:P7</t>
        </is>
      </c>
      <c r="H506" t="inlineStr">
        <is>
          <t>SKU not listed for the full quarter</t>
        </is>
      </c>
    </row>
    <row r="507">
      <c r="A507" t="inlineStr">
        <is>
          <t>KPI</t>
        </is>
      </c>
      <c r="B507" t="inlineStr">
        <is>
          <t>H49</t>
        </is>
      </c>
      <c r="C507" t="inlineStr">
        <is>
          <t>Nebius B300 on-demand list - quarter average (3 months)</t>
        </is>
      </c>
      <c r="D507" t="inlineStr">
        <is>
          <t>Q2 2025</t>
        </is>
      </c>
      <c r="E507" t="inlineStr">
        <is>
          <t>n.d.</t>
        </is>
      </c>
      <c r="F507" t="inlineStr">
        <is>
          <t>not disclosed</t>
        </is>
      </c>
      <c r="G507" t="inlineStr">
        <is>
          <t>Prices_Monthly!Q7:S7</t>
        </is>
      </c>
      <c r="H507" t="inlineStr">
        <is>
          <t>SKU not listed for the full quarter</t>
        </is>
      </c>
    </row>
    <row r="508">
      <c r="A508" t="inlineStr">
        <is>
          <t>KPI</t>
        </is>
      </c>
      <c r="B508" t="inlineStr">
        <is>
          <t>I49</t>
        </is>
      </c>
      <c r="C508" t="inlineStr">
        <is>
          <t>Nebius B300 on-demand list - quarter average (3 months)</t>
        </is>
      </c>
      <c r="D508" t="inlineStr">
        <is>
          <t>Q3 2025</t>
        </is>
      </c>
      <c r="E508" t="inlineStr">
        <is>
          <t>n.d.</t>
        </is>
      </c>
      <c r="F508" t="inlineStr">
        <is>
          <t>not disclosed</t>
        </is>
      </c>
      <c r="G508" t="inlineStr">
        <is>
          <t>Prices_Monthly!T7:V7</t>
        </is>
      </c>
      <c r="H508" t="inlineStr">
        <is>
          <t>SKU not listed for the full quarter</t>
        </is>
      </c>
    </row>
    <row r="509">
      <c r="A509" t="inlineStr">
        <is>
          <t>KPI</t>
        </is>
      </c>
      <c r="B509" t="inlineStr">
        <is>
          <t>J49</t>
        </is>
      </c>
      <c r="C509" t="inlineStr">
        <is>
          <t>Nebius B300 on-demand list - quarter average (3 months)</t>
        </is>
      </c>
      <c r="D509" t="inlineStr">
        <is>
          <t>Q4 2025</t>
        </is>
      </c>
      <c r="E509" t="inlineStr">
        <is>
          <t>n.d.</t>
        </is>
      </c>
      <c r="F509" t="inlineStr">
        <is>
          <t>not disclosed</t>
        </is>
      </c>
      <c r="G509" t="inlineStr">
        <is>
          <t>Prices_Monthly!W7:Y7</t>
        </is>
      </c>
      <c r="H509" t="inlineStr">
        <is>
          <t>SKU not listed for the full quarter</t>
        </is>
      </c>
    </row>
    <row r="510">
      <c r="A510" t="inlineStr">
        <is>
          <t>KPI</t>
        </is>
      </c>
      <c r="B510" t="inlineStr">
        <is>
          <t>K49</t>
        </is>
      </c>
      <c r="C510" t="inlineStr">
        <is>
          <t>Nebius B300 on-demand list - quarter average (3 months)</t>
        </is>
      </c>
      <c r="D510" t="inlineStr">
        <is>
          <t>Q1 2026</t>
        </is>
      </c>
      <c r="E510" t="inlineStr">
        <is>
          <t>n.d.</t>
        </is>
      </c>
      <c r="F510" t="inlineStr">
        <is>
          <t>not disclosed</t>
        </is>
      </c>
      <c r="G510" t="inlineStr">
        <is>
          <t>Prices_Monthly!Z7:AB7</t>
        </is>
      </c>
      <c r="H510" t="inlineStr">
        <is>
          <t>SKU not listed for the full quarter</t>
        </is>
      </c>
    </row>
    <row r="511">
      <c r="A511" t="inlineStr">
        <is>
          <t>KPI</t>
        </is>
      </c>
      <c r="B511" t="inlineStr">
        <is>
          <t>L49</t>
        </is>
      </c>
      <c r="C511" t="inlineStr">
        <is>
          <t>Nebius B300 on-demand list - quarter average (3 months)</t>
        </is>
      </c>
      <c r="D511" t="inlineStr">
        <is>
          <t>Q2 2026</t>
        </is>
      </c>
      <c r="E511" t="inlineStr">
        <is>
          <t>formula: =AVERAGE(Prices_Monthly!AC7:AE7)</t>
        </is>
      </c>
      <c r="F511" t="inlineStr">
        <is>
          <t>Derived</t>
        </is>
      </c>
      <c r="G511" t="inlineStr">
        <is>
          <t>Prices_Monthly!AC7:AE7</t>
        </is>
      </c>
      <c r="H511" t="inlineStr">
        <is>
          <t>formula</t>
        </is>
      </c>
    </row>
    <row r="512">
      <c r="A512" t="inlineStr">
        <is>
          <t>KPI</t>
        </is>
      </c>
      <c r="B512" t="inlineStr">
        <is>
          <t>C50</t>
        </is>
      </c>
      <c r="C512" t="inlineStr">
        <is>
          <t>Neocloud median H100 SXM on-demand (last month of quarter)</t>
        </is>
      </c>
      <c r="D512" t="inlineStr">
        <is>
          <t>Q1 2024</t>
        </is>
      </c>
      <c r="E512" t="n">
        <v>4.09</v>
      </c>
      <c r="F512" t="inlineStr">
        <is>
          <t>Estimated</t>
        </is>
      </c>
      <c r="G512" t="inlineStr">
        <is>
          <t>/workspace/nebius/market/gpu_price_history.xlsx H100_Nebius_vs_Medians 2024-03 (n_neoclouds=2)</t>
        </is>
      </c>
      <c r="H512" t="inlineStr">
        <is>
          <t>median of forward-filled series</t>
        </is>
      </c>
    </row>
    <row r="513">
      <c r="A513" t="inlineStr">
        <is>
          <t>KPI</t>
        </is>
      </c>
      <c r="B513" t="inlineStr">
        <is>
          <t>D50</t>
        </is>
      </c>
      <c r="C513" t="inlineStr">
        <is>
          <t>Neocloud median H100 SXM on-demand (last month of quarter)</t>
        </is>
      </c>
      <c r="D513" t="inlineStr">
        <is>
          <t>Q2 2024</t>
        </is>
      </c>
      <c r="E513" t="n">
        <v>4.09</v>
      </c>
      <c r="F513" t="inlineStr">
        <is>
          <t>Estimated</t>
        </is>
      </c>
      <c r="G513" t="inlineStr">
        <is>
          <t>/workspace/nebius/market/gpu_price_history.xlsx H100_Nebius_vs_Medians 2024-06 (n_neoclouds=2)</t>
        </is>
      </c>
      <c r="H513" t="inlineStr">
        <is>
          <t>median of forward-filled series</t>
        </is>
      </c>
    </row>
    <row r="514">
      <c r="A514" t="inlineStr">
        <is>
          <t>KPI</t>
        </is>
      </c>
      <c r="B514" t="inlineStr">
        <is>
          <t>E50</t>
        </is>
      </c>
      <c r="C514" t="inlineStr">
        <is>
          <t>Neocloud median H100 SXM on-demand (last month of quarter)</t>
        </is>
      </c>
      <c r="D514" t="inlineStr">
        <is>
          <t>Q3 2024</t>
        </is>
      </c>
      <c r="E514" t="n">
        <v>3.49</v>
      </c>
      <c r="F514" t="inlineStr">
        <is>
          <t>Estimated</t>
        </is>
      </c>
      <c r="G514" t="inlineStr">
        <is>
          <t>/workspace/nebius/market/gpu_price_history.xlsx H100_Nebius_vs_Medians 2024-09 (n_neoclouds=3)</t>
        </is>
      </c>
      <c r="H514" t="inlineStr">
        <is>
          <t>median of forward-filled series</t>
        </is>
      </c>
    </row>
    <row r="515">
      <c r="A515" t="inlineStr">
        <is>
          <t>KPI</t>
        </is>
      </c>
      <c r="B515" t="inlineStr">
        <is>
          <t>F50</t>
        </is>
      </c>
      <c r="C515" t="inlineStr">
        <is>
          <t>Neocloud median H100 SXM on-demand (last month of quarter)</t>
        </is>
      </c>
      <c r="D515" t="inlineStr">
        <is>
          <t>Q4 2024</t>
        </is>
      </c>
      <c r="E515" t="n">
        <v>2.99</v>
      </c>
      <c r="F515" t="inlineStr">
        <is>
          <t>Estimated</t>
        </is>
      </c>
      <c r="G515" t="inlineStr">
        <is>
          <t>/workspace/nebius/market/gpu_price_history.xlsx H100_Nebius_vs_Medians 2024-12 (n_neoclouds=3)</t>
        </is>
      </c>
      <c r="H515" t="inlineStr">
        <is>
          <t>median of forward-filled series</t>
        </is>
      </c>
    </row>
    <row r="516">
      <c r="A516" t="inlineStr">
        <is>
          <t>KPI</t>
        </is>
      </c>
      <c r="B516" t="inlineStr">
        <is>
          <t>G50</t>
        </is>
      </c>
      <c r="C516" t="inlineStr">
        <is>
          <t>Neocloud median H100 SXM on-demand (last month of quarter)</t>
        </is>
      </c>
      <c r="D516" t="inlineStr">
        <is>
          <t>Q1 2025</t>
        </is>
      </c>
      <c r="E516" t="n">
        <v>2.99</v>
      </c>
      <c r="F516" t="inlineStr">
        <is>
          <t>Estimated</t>
        </is>
      </c>
      <c r="G516" t="inlineStr">
        <is>
          <t>/workspace/nebius/market/gpu_price_history.xlsx H100_Nebius_vs_Medians 2025-03 (n_neoclouds=3)</t>
        </is>
      </c>
      <c r="H516" t="inlineStr">
        <is>
          <t>median of forward-filled series</t>
        </is>
      </c>
    </row>
    <row r="517">
      <c r="A517" t="inlineStr">
        <is>
          <t>KPI</t>
        </is>
      </c>
      <c r="B517" t="inlineStr">
        <is>
          <t>H50</t>
        </is>
      </c>
      <c r="C517" t="inlineStr">
        <is>
          <t>Neocloud median H100 SXM on-demand (last month of quarter)</t>
        </is>
      </c>
      <c r="D517" t="inlineStr">
        <is>
          <t>Q2 2025</t>
        </is>
      </c>
      <c r="E517" t="n">
        <v>3.445</v>
      </c>
      <c r="F517" t="inlineStr">
        <is>
          <t>Estimated</t>
        </is>
      </c>
      <c r="G517" t="inlineStr">
        <is>
          <t>/workspace/nebius/market/gpu_price_history.xlsx H100_Nebius_vs_Medians 2025-06 (n_neoclouds=4)</t>
        </is>
      </c>
      <c r="H517" t="inlineStr">
        <is>
          <t>median of forward-filled series</t>
        </is>
      </c>
    </row>
    <row r="518">
      <c r="A518" t="inlineStr">
        <is>
          <t>KPI</t>
        </is>
      </c>
      <c r="B518" t="inlineStr">
        <is>
          <t>I50</t>
        </is>
      </c>
      <c r="C518" t="inlineStr">
        <is>
          <t>Neocloud median H100 SXM on-demand (last month of quarter)</t>
        </is>
      </c>
      <c r="D518" t="inlineStr">
        <is>
          <t>Q3 2025</t>
        </is>
      </c>
      <c r="E518" t="n">
        <v>2.99</v>
      </c>
      <c r="F518" t="inlineStr">
        <is>
          <t>Estimated</t>
        </is>
      </c>
      <c r="G518" t="inlineStr">
        <is>
          <t>/workspace/nebius/market/gpu_price_history.xlsx H100_Nebius_vs_Medians 2025-09 (n_neoclouds=5)</t>
        </is>
      </c>
      <c r="H518" t="inlineStr">
        <is>
          <t>median of forward-filled series</t>
        </is>
      </c>
    </row>
    <row r="519">
      <c r="A519" t="inlineStr">
        <is>
          <t>KPI</t>
        </is>
      </c>
      <c r="B519" t="inlineStr">
        <is>
          <t>J50</t>
        </is>
      </c>
      <c r="C519" t="inlineStr">
        <is>
          <t>Neocloud median H100 SXM on-demand (last month of quarter)</t>
        </is>
      </c>
      <c r="D519" t="inlineStr">
        <is>
          <t>Q4 2025</t>
        </is>
      </c>
      <c r="E519" t="n">
        <v>2.99</v>
      </c>
      <c r="F519" t="inlineStr">
        <is>
          <t>Estimated</t>
        </is>
      </c>
      <c r="G519" t="inlineStr">
        <is>
          <t>/workspace/nebius/market/gpu_price_history.xlsx H100_Nebius_vs_Medians 2025-12 (n_neoclouds=5)</t>
        </is>
      </c>
      <c r="H519" t="inlineStr">
        <is>
          <t>median of forward-filled series</t>
        </is>
      </c>
    </row>
    <row r="520">
      <c r="A520" t="inlineStr">
        <is>
          <t>KPI</t>
        </is>
      </c>
      <c r="B520" t="inlineStr">
        <is>
          <t>K50</t>
        </is>
      </c>
      <c r="C520" t="inlineStr">
        <is>
          <t>Neocloud median H100 SXM on-demand (last month of quarter)</t>
        </is>
      </c>
      <c r="D520" t="inlineStr">
        <is>
          <t>Q1 2026</t>
        </is>
      </c>
      <c r="E520" t="n">
        <v>3.44</v>
      </c>
      <c r="F520" t="inlineStr">
        <is>
          <t>Estimated</t>
        </is>
      </c>
      <c r="G520" t="inlineStr">
        <is>
          <t>/workspace/nebius/market/gpu_price_history.xlsx H100_Nebius_vs_Medians 2026-03 (n_neoclouds=5)</t>
        </is>
      </c>
      <c r="H520" t="inlineStr">
        <is>
          <t>median of forward-filled series</t>
        </is>
      </c>
    </row>
    <row r="521">
      <c r="A521" t="inlineStr">
        <is>
          <t>KPI</t>
        </is>
      </c>
      <c r="B521" t="inlineStr">
        <is>
          <t>L50</t>
        </is>
      </c>
      <c r="C521" t="inlineStr">
        <is>
          <t>Neocloud median H100 SXM on-demand (last month of quarter)</t>
        </is>
      </c>
      <c r="D521" t="inlineStr">
        <is>
          <t>Q2 2026</t>
        </is>
      </c>
      <c r="E521" t="n">
        <v>3.99</v>
      </c>
      <c r="F521" t="inlineStr">
        <is>
          <t>Estimated</t>
        </is>
      </c>
      <c r="G521" t="inlineStr">
        <is>
          <t>/workspace/nebius/market/gpu_price_history.xlsx H100_Nebius_vs_Medians 2026-06 (n_neoclouds=5)</t>
        </is>
      </c>
      <c r="H521" t="inlineStr">
        <is>
          <t>median of forward-filled series</t>
        </is>
      </c>
    </row>
    <row r="522">
      <c r="A522" t="inlineStr">
        <is>
          <t>KPI</t>
        </is>
      </c>
      <c r="B522" t="inlineStr">
        <is>
          <t>C51</t>
        </is>
      </c>
      <c r="C522" t="inlineStr">
        <is>
          <t>Price used for B300 / GB300 GPUs (proxy)</t>
        </is>
      </c>
      <c r="D522" t="inlineStr">
        <is>
          <t>Q1 2024</t>
        </is>
      </c>
      <c r="E522" t="inlineStr">
        <is>
          <t>n.d.</t>
        </is>
      </c>
      <c r="F522" t="inlineStr">
        <is>
          <t>not disclosed</t>
        </is>
      </c>
      <c r="G522" t="inlineStr">
        <is>
          <t>no B300/GB300 GPUs modeled</t>
        </is>
      </c>
    </row>
    <row r="523">
      <c r="A523" t="inlineStr">
        <is>
          <t>KPI</t>
        </is>
      </c>
      <c r="B523" t="inlineStr">
        <is>
          <t>D51</t>
        </is>
      </c>
      <c r="C523" t="inlineStr">
        <is>
          <t>Price used for B300 / GB300 GPUs (proxy)</t>
        </is>
      </c>
      <c r="D523" t="inlineStr">
        <is>
          <t>Q2 2024</t>
        </is>
      </c>
      <c r="E523" t="inlineStr">
        <is>
          <t>n.d.</t>
        </is>
      </c>
      <c r="F523" t="inlineStr">
        <is>
          <t>not disclosed</t>
        </is>
      </c>
      <c r="G523" t="inlineStr">
        <is>
          <t>no B300/GB300 GPUs modeled</t>
        </is>
      </c>
    </row>
    <row r="524">
      <c r="A524" t="inlineStr">
        <is>
          <t>KPI</t>
        </is>
      </c>
      <c r="B524" t="inlineStr">
        <is>
          <t>E51</t>
        </is>
      </c>
      <c r="C524" t="inlineStr">
        <is>
          <t>Price used for B300 / GB300 GPUs (proxy)</t>
        </is>
      </c>
      <c r="D524" t="inlineStr">
        <is>
          <t>Q3 2024</t>
        </is>
      </c>
      <c r="E524" t="inlineStr">
        <is>
          <t>n.d.</t>
        </is>
      </c>
      <c r="F524" t="inlineStr">
        <is>
          <t>not disclosed</t>
        </is>
      </c>
      <c r="G524" t="inlineStr">
        <is>
          <t>no B300/GB300 GPUs modeled</t>
        </is>
      </c>
    </row>
    <row r="525">
      <c r="A525" t="inlineStr">
        <is>
          <t>KPI</t>
        </is>
      </c>
      <c r="B525" t="inlineStr">
        <is>
          <t>F51</t>
        </is>
      </c>
      <c r="C525" t="inlineStr">
        <is>
          <t>Price used for B300 / GB300 GPUs (proxy)</t>
        </is>
      </c>
      <c r="D525" t="inlineStr">
        <is>
          <t>Q4 2024</t>
        </is>
      </c>
      <c r="E525" t="inlineStr">
        <is>
          <t>n.d.</t>
        </is>
      </c>
      <c r="F525" t="inlineStr">
        <is>
          <t>not disclosed</t>
        </is>
      </c>
      <c r="G525" t="inlineStr">
        <is>
          <t>no B300/GB300 GPUs modeled</t>
        </is>
      </c>
    </row>
    <row r="526">
      <c r="A526" t="inlineStr">
        <is>
          <t>KPI</t>
        </is>
      </c>
      <c r="B526" t="inlineStr">
        <is>
          <t>G51</t>
        </is>
      </c>
      <c r="C526" t="inlineStr">
        <is>
          <t>Price used for B300 / GB300 GPUs (proxy)</t>
        </is>
      </c>
      <c r="D526" t="inlineStr">
        <is>
          <t>Q1 2025</t>
        </is>
      </c>
      <c r="E526" t="inlineStr">
        <is>
          <t>n.d.</t>
        </is>
      </c>
      <c r="F526" t="inlineStr">
        <is>
          <t>not disclosed</t>
        </is>
      </c>
      <c r="G526" t="inlineStr">
        <is>
          <t>no B300/GB300 GPUs modeled</t>
        </is>
      </c>
    </row>
    <row r="527">
      <c r="A527" t="inlineStr">
        <is>
          <t>KPI</t>
        </is>
      </c>
      <c r="B527" t="inlineStr">
        <is>
          <t>H51</t>
        </is>
      </c>
      <c r="C527" t="inlineStr">
        <is>
          <t>Price used for B300 / GB300 GPUs (proxy)</t>
        </is>
      </c>
      <c r="D527" t="inlineStr">
        <is>
          <t>Q2 2025</t>
        </is>
      </c>
      <c r="E527" t="inlineStr">
        <is>
          <t>n.d.</t>
        </is>
      </c>
      <c r="F527" t="inlineStr">
        <is>
          <t>not disclosed</t>
        </is>
      </c>
      <c r="G527" t="inlineStr">
        <is>
          <t>no B300/GB300 GPUs modeled</t>
        </is>
      </c>
    </row>
    <row r="528">
      <c r="A528" t="inlineStr">
        <is>
          <t>KPI</t>
        </is>
      </c>
      <c r="B528" t="inlineStr">
        <is>
          <t>I51</t>
        </is>
      </c>
      <c r="C528" t="inlineStr">
        <is>
          <t>Price used for B300 / GB300 GPUs (proxy)</t>
        </is>
      </c>
      <c r="D528" t="inlineStr">
        <is>
          <t>Q3 2025</t>
        </is>
      </c>
      <c r="E528" t="inlineStr">
        <is>
          <t>formula: =I48</t>
        </is>
      </c>
      <c r="F528" t="inlineStr">
        <is>
          <t>Estimated</t>
        </is>
      </c>
      <c r="G528" t="inlineStr">
        <is>
          <t>proxy: B200 list (B300 not listed)</t>
        </is>
      </c>
      <c r="H528" t="inlineStr">
        <is>
          <t>floor proxy</t>
        </is>
      </c>
    </row>
    <row r="529">
      <c r="A529" t="inlineStr">
        <is>
          <t>KPI</t>
        </is>
      </c>
      <c r="B529" t="inlineStr">
        <is>
          <t>J51</t>
        </is>
      </c>
      <c r="C529" t="inlineStr">
        <is>
          <t>Price used for B300 / GB300 GPUs (proxy)</t>
        </is>
      </c>
      <c r="D529" t="inlineStr">
        <is>
          <t>Q4 2025</t>
        </is>
      </c>
      <c r="E529" t="inlineStr">
        <is>
          <t>formula: =J48</t>
        </is>
      </c>
      <c r="F529" t="inlineStr">
        <is>
          <t>Estimated</t>
        </is>
      </c>
      <c r="G529" t="inlineStr">
        <is>
          <t>proxy: B200 list (B300 not listed)</t>
        </is>
      </c>
      <c r="H529" t="inlineStr">
        <is>
          <t>floor proxy</t>
        </is>
      </c>
    </row>
    <row r="530">
      <c r="A530" t="inlineStr">
        <is>
          <t>KPI</t>
        </is>
      </c>
      <c r="B530" t="inlineStr">
        <is>
          <t>K51</t>
        </is>
      </c>
      <c r="C530" t="inlineStr">
        <is>
          <t>Price used for B300 / GB300 GPUs (proxy)</t>
        </is>
      </c>
      <c r="D530" t="inlineStr">
        <is>
          <t>Q1 2026</t>
        </is>
      </c>
      <c r="E530" t="inlineStr">
        <is>
          <t>formula: =K48</t>
        </is>
      </c>
      <c r="F530" t="inlineStr">
        <is>
          <t>Estimated</t>
        </is>
      </c>
      <c r="G530" t="inlineStr">
        <is>
          <t>proxy: B200 list (B300 not listed)</t>
        </is>
      </c>
      <c r="H530" t="inlineStr">
        <is>
          <t>floor proxy</t>
        </is>
      </c>
    </row>
    <row r="531">
      <c r="A531" t="inlineStr">
        <is>
          <t>KPI</t>
        </is>
      </c>
      <c r="B531" t="inlineStr">
        <is>
          <t>L51</t>
        </is>
      </c>
      <c r="C531" t="inlineStr">
        <is>
          <t>Price used for B300 / GB300 GPUs (proxy)</t>
        </is>
      </c>
      <c r="D531" t="inlineStr">
        <is>
          <t>Q2 2026</t>
        </is>
      </c>
      <c r="E531" t="inlineStr">
        <is>
          <t>formula: =L49</t>
        </is>
      </c>
      <c r="F531" t="inlineStr">
        <is>
          <t>Estimated</t>
        </is>
      </c>
      <c r="G531" t="inlineStr">
        <is>
          <t>proxy: B300 list</t>
        </is>
      </c>
      <c r="H531" t="inlineStr">
        <is>
          <t>GB300 priced at B300 HGX list</t>
        </is>
      </c>
    </row>
    <row r="532">
      <c r="A532" t="inlineStr">
        <is>
          <t>KPI</t>
        </is>
      </c>
      <c r="B532" t="inlineStr">
        <is>
          <t>C52</t>
        </is>
      </c>
      <c r="C532" t="inlineStr">
        <is>
          <t>Fleet-weighted blended list price (quarter avg)</t>
        </is>
      </c>
      <c r="D532" t="inlineStr">
        <is>
          <t>Q1 2024</t>
        </is>
      </c>
      <c r="E532" t="inlineStr">
        <is>
          <t>formula: =(C35*C46)/C34</t>
        </is>
      </c>
      <c r="F532" t="inlineStr">
        <is>
          <t>Estimated</t>
        </is>
      </c>
      <c r="G532" t="inlineStr">
        <is>
          <t>formula on KPI rows</t>
        </is>
      </c>
    </row>
    <row r="533">
      <c r="A533" t="inlineStr">
        <is>
          <t>KPI</t>
        </is>
      </c>
      <c r="B533" t="inlineStr">
        <is>
          <t>D52</t>
        </is>
      </c>
      <c r="C533" t="inlineStr">
        <is>
          <t>Fleet-weighted blended list price (quarter avg)</t>
        </is>
      </c>
      <c r="D533" t="inlineStr">
        <is>
          <t>Q2 2024</t>
        </is>
      </c>
      <c r="E533" t="inlineStr">
        <is>
          <t>formula: =(D35*D46)/D34</t>
        </is>
      </c>
      <c r="F533" t="inlineStr">
        <is>
          <t>Estimated</t>
        </is>
      </c>
      <c r="G533" t="inlineStr">
        <is>
          <t>formula on KPI rows</t>
        </is>
      </c>
    </row>
    <row r="534">
      <c r="A534" t="inlineStr">
        <is>
          <t>KPI</t>
        </is>
      </c>
      <c r="B534" t="inlineStr">
        <is>
          <t>E52</t>
        </is>
      </c>
      <c r="C534" t="inlineStr">
        <is>
          <t>Fleet-weighted blended list price (quarter avg)</t>
        </is>
      </c>
      <c r="D534" t="inlineStr">
        <is>
          <t>Q3 2024</t>
        </is>
      </c>
      <c r="E534" t="inlineStr">
        <is>
          <t>formula: =(E35*E46)/E34</t>
        </is>
      </c>
      <c r="F534" t="inlineStr">
        <is>
          <t>Estimated</t>
        </is>
      </c>
      <c r="G534" t="inlineStr">
        <is>
          <t>formula on KPI rows</t>
        </is>
      </c>
    </row>
    <row r="535">
      <c r="A535" t="inlineStr">
        <is>
          <t>KPI</t>
        </is>
      </c>
      <c r="B535" t="inlineStr">
        <is>
          <t>F52</t>
        </is>
      </c>
      <c r="C535" t="inlineStr">
        <is>
          <t>Fleet-weighted blended list price (quarter avg)</t>
        </is>
      </c>
      <c r="D535" t="inlineStr">
        <is>
          <t>Q4 2024</t>
        </is>
      </c>
      <c r="E535" t="inlineStr">
        <is>
          <t>formula: =(F35*F46)/F34</t>
        </is>
      </c>
      <c r="F535" t="inlineStr">
        <is>
          <t>Estimated</t>
        </is>
      </c>
      <c r="G535" t="inlineStr">
        <is>
          <t>formula on KPI rows</t>
        </is>
      </c>
    </row>
    <row r="536">
      <c r="A536" t="inlineStr">
        <is>
          <t>KPI</t>
        </is>
      </c>
      <c r="B536" t="inlineStr">
        <is>
          <t>G52</t>
        </is>
      </c>
      <c r="C536" t="inlineStr">
        <is>
          <t>Fleet-weighted blended list price (quarter avg)</t>
        </is>
      </c>
      <c r="D536" t="inlineStr">
        <is>
          <t>Q1 2025</t>
        </is>
      </c>
      <c r="E536" t="inlineStr">
        <is>
          <t>formula: =(G35*G46+G36*G47)/G34</t>
        </is>
      </c>
      <c r="F536" t="inlineStr">
        <is>
          <t>Estimated</t>
        </is>
      </c>
      <c r="G536" t="inlineStr">
        <is>
          <t>formula on KPI rows</t>
        </is>
      </c>
    </row>
    <row r="537">
      <c r="A537" t="inlineStr">
        <is>
          <t>KPI</t>
        </is>
      </c>
      <c r="B537" t="inlineStr">
        <is>
          <t>H52</t>
        </is>
      </c>
      <c r="C537" t="inlineStr">
        <is>
          <t>Fleet-weighted blended list price (quarter avg)</t>
        </is>
      </c>
      <c r="D537" t="inlineStr">
        <is>
          <t>Q2 2025</t>
        </is>
      </c>
      <c r="E537" t="inlineStr">
        <is>
          <t>formula: =(H35*H46+H36*H47)/H34</t>
        </is>
      </c>
      <c r="F537" t="inlineStr">
        <is>
          <t>Estimated</t>
        </is>
      </c>
      <c r="G537" t="inlineStr">
        <is>
          <t>formula on KPI rows</t>
        </is>
      </c>
    </row>
    <row r="538">
      <c r="A538" t="inlineStr">
        <is>
          <t>KPI</t>
        </is>
      </c>
      <c r="B538" t="inlineStr">
        <is>
          <t>I52</t>
        </is>
      </c>
      <c r="C538" t="inlineStr">
        <is>
          <t>Fleet-weighted blended list price (quarter avg)</t>
        </is>
      </c>
      <c r="D538" t="inlineStr">
        <is>
          <t>Q3 2025</t>
        </is>
      </c>
      <c r="E538" t="inlineStr">
        <is>
          <t>formula: =(I35*I46+I36*I47+(I38+I39)*I51)/I34</t>
        </is>
      </c>
      <c r="F538" t="inlineStr">
        <is>
          <t>Estimated</t>
        </is>
      </c>
      <c r="G538" t="inlineStr">
        <is>
          <t>formula on KPI rows</t>
        </is>
      </c>
    </row>
    <row r="539">
      <c r="A539" t="inlineStr">
        <is>
          <t>KPI</t>
        </is>
      </c>
      <c r="B539" t="inlineStr">
        <is>
          <t>J52</t>
        </is>
      </c>
      <c r="C539" t="inlineStr">
        <is>
          <t>Fleet-weighted blended list price (quarter avg)</t>
        </is>
      </c>
      <c r="D539" t="inlineStr">
        <is>
          <t>Q4 2025</t>
        </is>
      </c>
      <c r="E539" t="inlineStr">
        <is>
          <t>formula: =(J35*J46+J36*J47+J37*J48+(J38+J39)*J51)/J34</t>
        </is>
      </c>
      <c r="F539" t="inlineStr">
        <is>
          <t>Estimated</t>
        </is>
      </c>
      <c r="G539" t="inlineStr">
        <is>
          <t>formula on KPI rows</t>
        </is>
      </c>
    </row>
    <row r="540">
      <c r="A540" t="inlineStr">
        <is>
          <t>KPI</t>
        </is>
      </c>
      <c r="B540" t="inlineStr">
        <is>
          <t>K52</t>
        </is>
      </c>
      <c r="C540" t="inlineStr">
        <is>
          <t>Fleet-weighted blended list price (quarter avg)</t>
        </is>
      </c>
      <c r="D540" t="inlineStr">
        <is>
          <t>Q1 2026</t>
        </is>
      </c>
      <c r="E540" t="inlineStr">
        <is>
          <t>formula: =(K35*K46+K36*K47+K37*K48+(K38+K39)*K51)/K34</t>
        </is>
      </c>
      <c r="F540" t="inlineStr">
        <is>
          <t>Estimated</t>
        </is>
      </c>
      <c r="G540" t="inlineStr">
        <is>
          <t>formula on KPI rows</t>
        </is>
      </c>
    </row>
    <row r="541">
      <c r="A541" t="inlineStr">
        <is>
          <t>KPI</t>
        </is>
      </c>
      <c r="B541" t="inlineStr">
        <is>
          <t>L52</t>
        </is>
      </c>
      <c r="C541" t="inlineStr">
        <is>
          <t>Fleet-weighted blended list price (quarter avg)</t>
        </is>
      </c>
      <c r="D541" t="inlineStr">
        <is>
          <t>Q2 2026</t>
        </is>
      </c>
      <c r="E541" t="inlineStr">
        <is>
          <t>formula: =(L35*L46+L36*L47+L37*L48+(L38+L39)*L51)/L34</t>
        </is>
      </c>
      <c r="F541" t="inlineStr">
        <is>
          <t>Estimated</t>
        </is>
      </c>
      <c r="G541" t="inlineStr">
        <is>
          <t>formula on KPI rows</t>
        </is>
      </c>
    </row>
    <row r="542">
      <c r="A542" t="inlineStr">
        <is>
          <t>KPI</t>
        </is>
      </c>
      <c r="B542" t="inlineStr">
        <is>
          <t>C54</t>
        </is>
      </c>
      <c r="C542" t="inlineStr">
        <is>
          <t>Hours in quarter</t>
        </is>
      </c>
      <c r="D542" t="inlineStr">
        <is>
          <t>Q1 2024</t>
        </is>
      </c>
      <c r="E542" t="inlineStr">
        <is>
          <t>formula: =91*24</t>
        </is>
      </c>
      <c r="F542" t="inlineStr">
        <is>
          <t>Derived</t>
        </is>
      </c>
      <c r="G542" t="inlineStr">
        <is>
          <t>calendar</t>
        </is>
      </c>
      <c r="H542" t="inlineStr">
        <is>
          <t>91 days</t>
        </is>
      </c>
    </row>
    <row r="543">
      <c r="A543" t="inlineStr">
        <is>
          <t>KPI</t>
        </is>
      </c>
      <c r="B543" t="inlineStr">
        <is>
          <t>D54</t>
        </is>
      </c>
      <c r="C543" t="inlineStr">
        <is>
          <t>Hours in quarter</t>
        </is>
      </c>
      <c r="D543" t="inlineStr">
        <is>
          <t>Q2 2024</t>
        </is>
      </c>
      <c r="E543" t="inlineStr">
        <is>
          <t>formula: =91*24</t>
        </is>
      </c>
      <c r="F543" t="inlineStr">
        <is>
          <t>Derived</t>
        </is>
      </c>
      <c r="G543" t="inlineStr">
        <is>
          <t>calendar</t>
        </is>
      </c>
      <c r="H543" t="inlineStr">
        <is>
          <t>91 days</t>
        </is>
      </c>
    </row>
    <row r="544">
      <c r="A544" t="inlineStr">
        <is>
          <t>KPI</t>
        </is>
      </c>
      <c r="B544" t="inlineStr">
        <is>
          <t>E54</t>
        </is>
      </c>
      <c r="C544" t="inlineStr">
        <is>
          <t>Hours in quarter</t>
        </is>
      </c>
      <c r="D544" t="inlineStr">
        <is>
          <t>Q3 2024</t>
        </is>
      </c>
      <c r="E544" t="inlineStr">
        <is>
          <t>formula: =92*24</t>
        </is>
      </c>
      <c r="F544" t="inlineStr">
        <is>
          <t>Derived</t>
        </is>
      </c>
      <c r="G544" t="inlineStr">
        <is>
          <t>calendar</t>
        </is>
      </c>
      <c r="H544" t="inlineStr">
        <is>
          <t>92 days</t>
        </is>
      </c>
    </row>
    <row r="545">
      <c r="A545" t="inlineStr">
        <is>
          <t>KPI</t>
        </is>
      </c>
      <c r="B545" t="inlineStr">
        <is>
          <t>F54</t>
        </is>
      </c>
      <c r="C545" t="inlineStr">
        <is>
          <t>Hours in quarter</t>
        </is>
      </c>
      <c r="D545" t="inlineStr">
        <is>
          <t>Q4 2024</t>
        </is>
      </c>
      <c r="E545" t="inlineStr">
        <is>
          <t>formula: =92*24</t>
        </is>
      </c>
      <c r="F545" t="inlineStr">
        <is>
          <t>Derived</t>
        </is>
      </c>
      <c r="G545" t="inlineStr">
        <is>
          <t>calendar</t>
        </is>
      </c>
      <c r="H545" t="inlineStr">
        <is>
          <t>92 days</t>
        </is>
      </c>
    </row>
    <row r="546">
      <c r="A546" t="inlineStr">
        <is>
          <t>KPI</t>
        </is>
      </c>
      <c r="B546" t="inlineStr">
        <is>
          <t>G54</t>
        </is>
      </c>
      <c r="C546" t="inlineStr">
        <is>
          <t>Hours in quarter</t>
        </is>
      </c>
      <c r="D546" t="inlineStr">
        <is>
          <t>Q1 2025</t>
        </is>
      </c>
      <c r="E546" t="inlineStr">
        <is>
          <t>formula: =90*24</t>
        </is>
      </c>
      <c r="F546" t="inlineStr">
        <is>
          <t>Derived</t>
        </is>
      </c>
      <c r="G546" t="inlineStr">
        <is>
          <t>calendar</t>
        </is>
      </c>
      <c r="H546" t="inlineStr">
        <is>
          <t>90 days</t>
        </is>
      </c>
    </row>
    <row r="547">
      <c r="A547" t="inlineStr">
        <is>
          <t>KPI</t>
        </is>
      </c>
      <c r="B547" t="inlineStr">
        <is>
          <t>H54</t>
        </is>
      </c>
      <c r="C547" t="inlineStr">
        <is>
          <t>Hours in quarter</t>
        </is>
      </c>
      <c r="D547" t="inlineStr">
        <is>
          <t>Q2 2025</t>
        </is>
      </c>
      <c r="E547" t="inlineStr">
        <is>
          <t>formula: =91*24</t>
        </is>
      </c>
      <c r="F547" t="inlineStr">
        <is>
          <t>Derived</t>
        </is>
      </c>
      <c r="G547" t="inlineStr">
        <is>
          <t>calendar</t>
        </is>
      </c>
      <c r="H547" t="inlineStr">
        <is>
          <t>91 days</t>
        </is>
      </c>
    </row>
    <row r="548">
      <c r="A548" t="inlineStr">
        <is>
          <t>KPI</t>
        </is>
      </c>
      <c r="B548" t="inlineStr">
        <is>
          <t>I54</t>
        </is>
      </c>
      <c r="C548" t="inlineStr">
        <is>
          <t>Hours in quarter</t>
        </is>
      </c>
      <c r="D548" t="inlineStr">
        <is>
          <t>Q3 2025</t>
        </is>
      </c>
      <c r="E548" t="inlineStr">
        <is>
          <t>formula: =92*24</t>
        </is>
      </c>
      <c r="F548" t="inlineStr">
        <is>
          <t>Derived</t>
        </is>
      </c>
      <c r="G548" t="inlineStr">
        <is>
          <t>calendar</t>
        </is>
      </c>
      <c r="H548" t="inlineStr">
        <is>
          <t>92 days</t>
        </is>
      </c>
    </row>
    <row r="549">
      <c r="A549" t="inlineStr">
        <is>
          <t>KPI</t>
        </is>
      </c>
      <c r="B549" t="inlineStr">
        <is>
          <t>J54</t>
        </is>
      </c>
      <c r="C549" t="inlineStr">
        <is>
          <t>Hours in quarter</t>
        </is>
      </c>
      <c r="D549" t="inlineStr">
        <is>
          <t>Q4 2025</t>
        </is>
      </c>
      <c r="E549" t="inlineStr">
        <is>
          <t>formula: =92*24</t>
        </is>
      </c>
      <c r="F549" t="inlineStr">
        <is>
          <t>Derived</t>
        </is>
      </c>
      <c r="G549" t="inlineStr">
        <is>
          <t>calendar</t>
        </is>
      </c>
      <c r="H549" t="inlineStr">
        <is>
          <t>92 days</t>
        </is>
      </c>
    </row>
    <row r="550">
      <c r="A550" t="inlineStr">
        <is>
          <t>KPI</t>
        </is>
      </c>
      <c r="B550" t="inlineStr">
        <is>
          <t>K54</t>
        </is>
      </c>
      <c r="C550" t="inlineStr">
        <is>
          <t>Hours in quarter</t>
        </is>
      </c>
      <c r="D550" t="inlineStr">
        <is>
          <t>Q1 2026</t>
        </is>
      </c>
      <c r="E550" t="inlineStr">
        <is>
          <t>formula: =90*24</t>
        </is>
      </c>
      <c r="F550" t="inlineStr">
        <is>
          <t>Derived</t>
        </is>
      </c>
      <c r="G550" t="inlineStr">
        <is>
          <t>calendar</t>
        </is>
      </c>
      <c r="H550" t="inlineStr">
        <is>
          <t>90 days</t>
        </is>
      </c>
    </row>
    <row r="551">
      <c r="A551" t="inlineStr">
        <is>
          <t>KPI</t>
        </is>
      </c>
      <c r="B551" t="inlineStr">
        <is>
          <t>L54</t>
        </is>
      </c>
      <c r="C551" t="inlineStr">
        <is>
          <t>Hours in quarter</t>
        </is>
      </c>
      <c r="D551" t="inlineStr">
        <is>
          <t>Q2 2026</t>
        </is>
      </c>
      <c r="E551" t="inlineStr">
        <is>
          <t>formula: =91*24</t>
        </is>
      </c>
      <c r="F551" t="inlineStr">
        <is>
          <t>Derived</t>
        </is>
      </c>
      <c r="G551" t="inlineStr">
        <is>
          <t>calendar</t>
        </is>
      </c>
      <c r="H551" t="inlineStr">
        <is>
          <t>91 days</t>
        </is>
      </c>
    </row>
    <row r="552">
      <c r="A552" t="inlineStr">
        <is>
          <t>KPI</t>
        </is>
      </c>
      <c r="B552" t="inlineStr">
        <is>
          <t>C22</t>
        </is>
      </c>
      <c r="C552" t="inlineStr">
        <is>
          <t>OCF excluding change in deferred revenue</t>
        </is>
      </c>
      <c r="D552" t="inlineStr">
        <is>
          <t>Q1 2024</t>
        </is>
      </c>
      <c r="E552" t="inlineStr">
        <is>
          <t>n.d.</t>
        </is>
      </c>
      <c r="F552" t="inlineStr">
        <is>
          <t>not disclosed</t>
        </is>
      </c>
      <c r="G552" t="inlineStr">
        <is>
          <t>input n.d.</t>
        </is>
      </c>
      <c r="H552" t="inlineStr">
        <is>
          <t>missing: ddr@Q1 2024</t>
        </is>
      </c>
    </row>
    <row r="553">
      <c r="A553" t="inlineStr">
        <is>
          <t>KPI</t>
        </is>
      </c>
      <c r="B553" t="inlineStr">
        <is>
          <t>D22</t>
        </is>
      </c>
      <c r="C553" t="inlineStr">
        <is>
          <t>OCF excluding change in deferred revenue</t>
        </is>
      </c>
      <c r="D553" t="inlineStr">
        <is>
          <t>Q2 2024</t>
        </is>
      </c>
      <c r="E553" t="inlineStr">
        <is>
          <t>n.d.</t>
        </is>
      </c>
      <c r="F553" t="inlineStr">
        <is>
          <t>not disclosed</t>
        </is>
      </c>
      <c r="G553" t="inlineStr">
        <is>
          <t>input n.d.</t>
        </is>
      </c>
      <c r="H553" t="inlineStr">
        <is>
          <t>missing: ddr@Q2 2024</t>
        </is>
      </c>
    </row>
    <row r="554">
      <c r="A554" t="inlineStr">
        <is>
          <t>KPI</t>
        </is>
      </c>
      <c r="B554" t="inlineStr">
        <is>
          <t>E22</t>
        </is>
      </c>
      <c r="C554" t="inlineStr">
        <is>
          <t>OCF excluding change in deferred revenue</t>
        </is>
      </c>
      <c r="D554" t="inlineStr">
        <is>
          <t>Q3 2024</t>
        </is>
      </c>
      <c r="E554" t="inlineStr">
        <is>
          <t>formula: =E20-E21</t>
        </is>
      </c>
      <c r="F554" t="inlineStr">
        <is>
          <t>Derived</t>
        </is>
      </c>
      <c r="G554" t="inlineStr">
        <is>
          <t>formula: =E20-E21</t>
        </is>
      </c>
      <c r="H554" t="inlineStr">
        <is>
          <t>inputs: ocf[Q3 2024], ddr[Q3 2024]</t>
        </is>
      </c>
    </row>
    <row r="555">
      <c r="A555" t="inlineStr">
        <is>
          <t>KPI</t>
        </is>
      </c>
      <c r="B555" t="inlineStr">
        <is>
          <t>F22</t>
        </is>
      </c>
      <c r="C555" t="inlineStr">
        <is>
          <t>OCF excluding change in deferred revenue</t>
        </is>
      </c>
      <c r="D555" t="inlineStr">
        <is>
          <t>Q4 2024</t>
        </is>
      </c>
      <c r="E555" t="inlineStr">
        <is>
          <t>formula: =F20-F21</t>
        </is>
      </c>
      <c r="F555" t="inlineStr">
        <is>
          <t>Derived</t>
        </is>
      </c>
      <c r="G555" t="inlineStr">
        <is>
          <t>formula: =F20-F21</t>
        </is>
      </c>
      <c r="H555" t="inlineStr">
        <is>
          <t>inputs: ocf[Q4 2024], ddr[Q4 2024]</t>
        </is>
      </c>
    </row>
    <row r="556">
      <c r="A556" t="inlineStr">
        <is>
          <t>KPI</t>
        </is>
      </c>
      <c r="B556" t="inlineStr">
        <is>
          <t>G22</t>
        </is>
      </c>
      <c r="C556" t="inlineStr">
        <is>
          <t>OCF excluding change in deferred revenue</t>
        </is>
      </c>
      <c r="D556" t="inlineStr">
        <is>
          <t>Q1 2025</t>
        </is>
      </c>
      <c r="E556" t="inlineStr">
        <is>
          <t>formula: =G20-G21</t>
        </is>
      </c>
      <c r="F556" t="inlineStr">
        <is>
          <t>Derived</t>
        </is>
      </c>
      <c r="G556" t="inlineStr">
        <is>
          <t>formula: =G20-G21</t>
        </is>
      </c>
      <c r="H556" t="inlineStr">
        <is>
          <t>inputs: ocf[Q1 2025], ddr[Q1 2025]</t>
        </is>
      </c>
    </row>
    <row r="557">
      <c r="A557" t="inlineStr">
        <is>
          <t>KPI</t>
        </is>
      </c>
      <c r="B557" t="inlineStr">
        <is>
          <t>H22</t>
        </is>
      </c>
      <c r="C557" t="inlineStr">
        <is>
          <t>OCF excluding change in deferred revenue</t>
        </is>
      </c>
      <c r="D557" t="inlineStr">
        <is>
          <t>Q2 2025</t>
        </is>
      </c>
      <c r="E557" t="inlineStr">
        <is>
          <t>formula: =H20-H21</t>
        </is>
      </c>
      <c r="F557" t="inlineStr">
        <is>
          <t>Derived</t>
        </is>
      </c>
      <c r="G557" t="inlineStr">
        <is>
          <t>formula: =H20-H21</t>
        </is>
      </c>
      <c r="H557" t="inlineStr">
        <is>
          <t>inputs: ocf[Q2 2025], ddr[Q2 2025]</t>
        </is>
      </c>
    </row>
    <row r="558">
      <c r="A558" t="inlineStr">
        <is>
          <t>KPI</t>
        </is>
      </c>
      <c r="B558" t="inlineStr">
        <is>
          <t>I22</t>
        </is>
      </c>
      <c r="C558" t="inlineStr">
        <is>
          <t>OCF excluding change in deferred revenue</t>
        </is>
      </c>
      <c r="D558" t="inlineStr">
        <is>
          <t>Q3 2025</t>
        </is>
      </c>
      <c r="E558" t="inlineStr">
        <is>
          <t>formula: =I20-I21</t>
        </is>
      </c>
      <c r="F558" t="inlineStr">
        <is>
          <t>Derived</t>
        </is>
      </c>
      <c r="G558" t="inlineStr">
        <is>
          <t>formula: =I20-I21</t>
        </is>
      </c>
      <c r="H558" t="inlineStr">
        <is>
          <t>inputs: ocf[Q3 2025], ddr[Q3 2025]</t>
        </is>
      </c>
    </row>
    <row r="559">
      <c r="A559" t="inlineStr">
        <is>
          <t>KPI</t>
        </is>
      </c>
      <c r="B559" t="inlineStr">
        <is>
          <t>J22</t>
        </is>
      </c>
      <c r="C559" t="inlineStr">
        <is>
          <t>OCF excluding change in deferred revenue</t>
        </is>
      </c>
      <c r="D559" t="inlineStr">
        <is>
          <t>Q4 2025</t>
        </is>
      </c>
      <c r="E559" t="inlineStr">
        <is>
          <t>formula: =J20-J21</t>
        </is>
      </c>
      <c r="F559" t="inlineStr">
        <is>
          <t>Derived</t>
        </is>
      </c>
      <c r="G559" t="inlineStr">
        <is>
          <t>formula: =J20-J21</t>
        </is>
      </c>
      <c r="H559" t="inlineStr">
        <is>
          <t>inputs: ocf[Q4 2025], ddr[Q4 2025]</t>
        </is>
      </c>
    </row>
    <row r="560">
      <c r="A560" t="inlineStr">
        <is>
          <t>KPI</t>
        </is>
      </c>
      <c r="B560" t="inlineStr">
        <is>
          <t>K22</t>
        </is>
      </c>
      <c r="C560" t="inlineStr">
        <is>
          <t>OCF excluding change in deferred revenue</t>
        </is>
      </c>
      <c r="D560" t="inlineStr">
        <is>
          <t>Q1 2026</t>
        </is>
      </c>
      <c r="E560" t="inlineStr">
        <is>
          <t>formula: =K20-K21</t>
        </is>
      </c>
      <c r="F560" t="inlineStr">
        <is>
          <t>Derived</t>
        </is>
      </c>
      <c r="G560" t="inlineStr">
        <is>
          <t>formula: =K20-K21</t>
        </is>
      </c>
      <c r="H560" t="inlineStr">
        <is>
          <t>inputs: ocf[Q1 2026], ddr[Q1 2026]</t>
        </is>
      </c>
    </row>
    <row r="561">
      <c r="A561" t="inlineStr">
        <is>
          <t>KPI</t>
        </is>
      </c>
      <c r="B561" t="inlineStr">
        <is>
          <t>L22</t>
        </is>
      </c>
      <c r="C561" t="inlineStr">
        <is>
          <t>OCF excluding change in deferred revenue</t>
        </is>
      </c>
      <c r="D561" t="inlineStr">
        <is>
          <t>Q2 2026</t>
        </is>
      </c>
      <c r="E561" t="inlineStr">
        <is>
          <t>formula: =L20-L21</t>
        </is>
      </c>
      <c r="F561" t="inlineStr">
        <is>
          <t>Derived</t>
        </is>
      </c>
      <c r="G561" t="inlineStr">
        <is>
          <t>formula: =L20-L21</t>
        </is>
      </c>
      <c r="H561" t="inlineStr">
        <is>
          <t>inputs: ocf[Q2 2026], ddr[Q2 2026]</t>
        </is>
      </c>
    </row>
    <row r="562">
      <c r="A562" t="inlineStr">
        <is>
          <t>KPI</t>
        </is>
      </c>
      <c r="B562" t="inlineStr">
        <is>
          <t>C26</t>
        </is>
      </c>
      <c r="C562" t="inlineStr">
        <is>
          <t>PP&amp;E gross in service (= gross - assets not yet in use)</t>
        </is>
      </c>
      <c r="D562" t="inlineStr">
        <is>
          <t>Q1 2024</t>
        </is>
      </c>
      <c r="E562" t="inlineStr">
        <is>
          <t>n.d.</t>
        </is>
      </c>
      <c r="F562" t="inlineStr">
        <is>
          <t>not disclosed</t>
        </is>
      </c>
      <c r="G562" t="inlineStr">
        <is>
          <t>input n.d.</t>
        </is>
      </c>
      <c r="H562" t="inlineStr">
        <is>
          <t>missing: ppeg@Q1 2024, aniu@Q1 2024</t>
        </is>
      </c>
    </row>
    <row r="563">
      <c r="A563" t="inlineStr">
        <is>
          <t>KPI</t>
        </is>
      </c>
      <c r="B563" t="inlineStr">
        <is>
          <t>D26</t>
        </is>
      </c>
      <c r="C563" t="inlineStr">
        <is>
          <t>PP&amp;E gross in service (= gross - assets not yet in use)</t>
        </is>
      </c>
      <c r="D563" t="inlineStr">
        <is>
          <t>Q2 2024</t>
        </is>
      </c>
      <c r="E563" t="inlineStr">
        <is>
          <t>n.d.</t>
        </is>
      </c>
      <c r="F563" t="inlineStr">
        <is>
          <t>not disclosed</t>
        </is>
      </c>
      <c r="G563" t="inlineStr">
        <is>
          <t>input n.d.</t>
        </is>
      </c>
      <c r="H563" t="inlineStr">
        <is>
          <t>missing: ppeg@Q2 2024, aniu@Q2 2024</t>
        </is>
      </c>
    </row>
    <row r="564">
      <c r="A564" t="inlineStr">
        <is>
          <t>KPI</t>
        </is>
      </c>
      <c r="B564" t="inlineStr">
        <is>
          <t>E26</t>
        </is>
      </c>
      <c r="C564" t="inlineStr">
        <is>
          <t>PP&amp;E gross in service (= gross - assets not yet in use)</t>
        </is>
      </c>
      <c r="D564" t="inlineStr">
        <is>
          <t>Q3 2024</t>
        </is>
      </c>
      <c r="E564" t="inlineStr">
        <is>
          <t>n.d.</t>
        </is>
      </c>
      <c r="F564" t="inlineStr">
        <is>
          <t>not disclosed</t>
        </is>
      </c>
      <c r="G564" t="inlineStr">
        <is>
          <t>input n.d.</t>
        </is>
      </c>
      <c r="H564" t="inlineStr">
        <is>
          <t>missing: ppeg@Q3 2024, aniu@Q3 2024</t>
        </is>
      </c>
    </row>
    <row r="565">
      <c r="A565" t="inlineStr">
        <is>
          <t>KPI</t>
        </is>
      </c>
      <c r="B565" t="inlineStr">
        <is>
          <t>F26</t>
        </is>
      </c>
      <c r="C565" t="inlineStr">
        <is>
          <t>PP&amp;E gross in service (= gross - assets not yet in use)</t>
        </is>
      </c>
      <c r="D565" t="inlineStr">
        <is>
          <t>Q4 2024</t>
        </is>
      </c>
      <c r="E565" t="inlineStr">
        <is>
          <t>formula: =F25-F24</t>
        </is>
      </c>
      <c r="F565" t="inlineStr">
        <is>
          <t>Derived</t>
        </is>
      </c>
      <c r="G565" t="inlineStr">
        <is>
          <t>formula: =F25-F24</t>
        </is>
      </c>
      <c r="H565" t="inlineStr">
        <is>
          <t>inputs: ppeg[Q4 2024], aniu[Q4 2024]</t>
        </is>
      </c>
    </row>
    <row r="566">
      <c r="A566" t="inlineStr">
        <is>
          <t>KPI</t>
        </is>
      </c>
      <c r="B566" t="inlineStr">
        <is>
          <t>G26</t>
        </is>
      </c>
      <c r="C566" t="inlineStr">
        <is>
          <t>PP&amp;E gross in service (= gross - assets not yet in use)</t>
        </is>
      </c>
      <c r="D566" t="inlineStr">
        <is>
          <t>Q1 2025</t>
        </is>
      </c>
      <c r="E566" t="inlineStr">
        <is>
          <t>n.d.</t>
        </is>
      </c>
      <c r="F566" t="inlineStr">
        <is>
          <t>not disclosed</t>
        </is>
      </c>
      <c r="G566" t="inlineStr">
        <is>
          <t>input n.d.</t>
        </is>
      </c>
      <c r="H566" t="inlineStr">
        <is>
          <t>missing: ppeg@Q1 2025, aniu@Q1 2025</t>
        </is>
      </c>
    </row>
    <row r="567">
      <c r="A567" t="inlineStr">
        <is>
          <t>KPI</t>
        </is>
      </c>
      <c r="B567" t="inlineStr">
        <is>
          <t>H26</t>
        </is>
      </c>
      <c r="C567" t="inlineStr">
        <is>
          <t>PP&amp;E gross in service (= gross - assets not yet in use)</t>
        </is>
      </c>
      <c r="D567" t="inlineStr">
        <is>
          <t>Q2 2025</t>
        </is>
      </c>
      <c r="E567" t="inlineStr">
        <is>
          <t>n.d.</t>
        </is>
      </c>
      <c r="F567" t="inlineStr">
        <is>
          <t>not disclosed</t>
        </is>
      </c>
      <c r="G567" t="inlineStr">
        <is>
          <t>input n.d.</t>
        </is>
      </c>
      <c r="H567" t="inlineStr">
        <is>
          <t>missing: ppeg@Q2 2025, aniu@Q2 2025</t>
        </is>
      </c>
    </row>
    <row r="568">
      <c r="A568" t="inlineStr">
        <is>
          <t>KPI</t>
        </is>
      </c>
      <c r="B568" t="inlineStr">
        <is>
          <t>I26</t>
        </is>
      </c>
      <c r="C568" t="inlineStr">
        <is>
          <t>PP&amp;E gross in service (= gross - assets not yet in use)</t>
        </is>
      </c>
      <c r="D568" t="inlineStr">
        <is>
          <t>Q3 2025</t>
        </is>
      </c>
      <c r="E568" t="inlineStr">
        <is>
          <t>n.d.</t>
        </is>
      </c>
      <c r="F568" t="inlineStr">
        <is>
          <t>not disclosed</t>
        </is>
      </c>
      <c r="G568" t="inlineStr">
        <is>
          <t>input n.d.</t>
        </is>
      </c>
      <c r="H568" t="inlineStr">
        <is>
          <t>missing: ppeg@Q3 2025, aniu@Q3 2025</t>
        </is>
      </c>
    </row>
    <row r="569">
      <c r="A569" t="inlineStr">
        <is>
          <t>KPI</t>
        </is>
      </c>
      <c r="B569" t="inlineStr">
        <is>
          <t>J26</t>
        </is>
      </c>
      <c r="C569" t="inlineStr">
        <is>
          <t>PP&amp;E gross in service (= gross - assets not yet in use)</t>
        </is>
      </c>
      <c r="D569" t="inlineStr">
        <is>
          <t>Q4 2025</t>
        </is>
      </c>
      <c r="E569" t="inlineStr">
        <is>
          <t>formula: =J25-J24</t>
        </is>
      </c>
      <c r="F569" t="inlineStr">
        <is>
          <t>Derived</t>
        </is>
      </c>
      <c r="G569" t="inlineStr">
        <is>
          <t>formula: =J25-J24</t>
        </is>
      </c>
      <c r="H569" t="inlineStr">
        <is>
          <t>inputs: ppeg[Q4 2025], aniu[Q4 2025]</t>
        </is>
      </c>
    </row>
    <row r="570">
      <c r="A570" t="inlineStr">
        <is>
          <t>KPI</t>
        </is>
      </c>
      <c r="B570" t="inlineStr">
        <is>
          <t>K26</t>
        </is>
      </c>
      <c r="C570" t="inlineStr">
        <is>
          <t>PP&amp;E gross in service (= gross - assets not yet in use)</t>
        </is>
      </c>
      <c r="D570" t="inlineStr">
        <is>
          <t>Q1 2026</t>
        </is>
      </c>
      <c r="E570" t="inlineStr">
        <is>
          <t>formula: =K25-K24</t>
        </is>
      </c>
      <c r="F570" t="inlineStr">
        <is>
          <t>Derived</t>
        </is>
      </c>
      <c r="G570" t="inlineStr">
        <is>
          <t>formula: =K25-K24</t>
        </is>
      </c>
      <c r="H570" t="inlineStr">
        <is>
          <t>inputs: ppeg[Q1 2026], aniu[Q1 2026]</t>
        </is>
      </c>
    </row>
    <row r="571">
      <c r="A571" t="inlineStr">
        <is>
          <t>KPI</t>
        </is>
      </c>
      <c r="B571" t="inlineStr">
        <is>
          <t>L26</t>
        </is>
      </c>
      <c r="C571" t="inlineStr">
        <is>
          <t>PP&amp;E gross in service (= gross - assets not yet in use)</t>
        </is>
      </c>
      <c r="D571" t="inlineStr">
        <is>
          <t>Q2 2026</t>
        </is>
      </c>
      <c r="E571" t="inlineStr">
        <is>
          <t>formula: =L25-L24</t>
        </is>
      </c>
      <c r="F571" t="inlineStr">
        <is>
          <t>Derived</t>
        </is>
      </c>
      <c r="G571" t="inlineStr">
        <is>
          <t>formula: =L25-L24</t>
        </is>
      </c>
      <c r="H571" t="inlineStr">
        <is>
          <t>inputs: ppeg[Q2 2026], aniu[Q2 2026]</t>
        </is>
      </c>
    </row>
    <row r="572">
      <c r="A572" t="inlineStr">
        <is>
          <t>KPI</t>
        </is>
      </c>
      <c r="B572" t="inlineStr">
        <is>
          <t>C27</t>
        </is>
      </c>
      <c r="C572" t="inlineStr">
        <is>
          <t>Change in assets not yet in use (QoQ)</t>
        </is>
      </c>
      <c r="D572" t="inlineStr">
        <is>
          <t>Q1 2024</t>
        </is>
      </c>
      <c r="E572" t="inlineStr">
        <is>
          <t>n.d.</t>
        </is>
      </c>
      <c r="F572" t="inlineStr">
        <is>
          <t>not disclosed</t>
        </is>
      </c>
      <c r="G572" t="inlineStr">
        <is>
          <t>input n.d.</t>
        </is>
      </c>
      <c r="H572" t="inlineStr">
        <is>
          <t>missing: aniu@pre-Q1-24, aniu@Q1 2024</t>
        </is>
      </c>
    </row>
    <row r="573">
      <c r="A573" t="inlineStr">
        <is>
          <t>KPI</t>
        </is>
      </c>
      <c r="B573" t="inlineStr">
        <is>
          <t>D27</t>
        </is>
      </c>
      <c r="C573" t="inlineStr">
        <is>
          <t>Change in assets not yet in use (QoQ)</t>
        </is>
      </c>
      <c r="D573" t="inlineStr">
        <is>
          <t>Q2 2024</t>
        </is>
      </c>
      <c r="E573" t="inlineStr">
        <is>
          <t>n.d.</t>
        </is>
      </c>
      <c r="F573" t="inlineStr">
        <is>
          <t>not disclosed</t>
        </is>
      </c>
      <c r="G573" t="inlineStr">
        <is>
          <t>input n.d.</t>
        </is>
      </c>
      <c r="H573" t="inlineStr">
        <is>
          <t>missing: aniu@Q1 2024, aniu@Q2 2024</t>
        </is>
      </c>
    </row>
    <row r="574">
      <c r="A574" t="inlineStr">
        <is>
          <t>KPI</t>
        </is>
      </c>
      <c r="B574" t="inlineStr">
        <is>
          <t>E27</t>
        </is>
      </c>
      <c r="C574" t="inlineStr">
        <is>
          <t>Change in assets not yet in use (QoQ)</t>
        </is>
      </c>
      <c r="D574" t="inlineStr">
        <is>
          <t>Q3 2024</t>
        </is>
      </c>
      <c r="E574" t="inlineStr">
        <is>
          <t>n.d.</t>
        </is>
      </c>
      <c r="F574" t="inlineStr">
        <is>
          <t>not disclosed</t>
        </is>
      </c>
      <c r="G574" t="inlineStr">
        <is>
          <t>input n.d.</t>
        </is>
      </c>
      <c r="H574" t="inlineStr">
        <is>
          <t>missing: aniu@Q2 2024, aniu@Q3 2024</t>
        </is>
      </c>
    </row>
    <row r="575">
      <c r="A575" t="inlineStr">
        <is>
          <t>KPI</t>
        </is>
      </c>
      <c r="B575" t="inlineStr">
        <is>
          <t>F27</t>
        </is>
      </c>
      <c r="C575" t="inlineStr">
        <is>
          <t>Change in assets not yet in use (QoQ)</t>
        </is>
      </c>
      <c r="D575" t="inlineStr">
        <is>
          <t>Q4 2024</t>
        </is>
      </c>
      <c r="E575" t="inlineStr">
        <is>
          <t>n.d.</t>
        </is>
      </c>
      <c r="F575" t="inlineStr">
        <is>
          <t>not disclosed</t>
        </is>
      </c>
      <c r="G575" t="inlineStr">
        <is>
          <t>input n.d.</t>
        </is>
      </c>
      <c r="H575" t="inlineStr">
        <is>
          <t>missing: aniu@Q3 2024</t>
        </is>
      </c>
    </row>
    <row r="576">
      <c r="A576" t="inlineStr">
        <is>
          <t>KPI</t>
        </is>
      </c>
      <c r="B576" t="inlineStr">
        <is>
          <t>G27</t>
        </is>
      </c>
      <c r="C576" t="inlineStr">
        <is>
          <t>Change in assets not yet in use (QoQ)</t>
        </is>
      </c>
      <c r="D576" t="inlineStr">
        <is>
          <t>Q1 2025</t>
        </is>
      </c>
      <c r="E576" t="inlineStr">
        <is>
          <t>n.d.</t>
        </is>
      </c>
      <c r="F576" t="inlineStr">
        <is>
          <t>not disclosed</t>
        </is>
      </c>
      <c r="G576" t="inlineStr">
        <is>
          <t>input n.d.</t>
        </is>
      </c>
      <c r="H576" t="inlineStr">
        <is>
          <t>missing: aniu@Q1 2025</t>
        </is>
      </c>
    </row>
    <row r="577">
      <c r="A577" t="inlineStr">
        <is>
          <t>KPI</t>
        </is>
      </c>
      <c r="B577" t="inlineStr">
        <is>
          <t>H27</t>
        </is>
      </c>
      <c r="C577" t="inlineStr">
        <is>
          <t>Change in assets not yet in use (QoQ)</t>
        </is>
      </c>
      <c r="D577" t="inlineStr">
        <is>
          <t>Q2 2025</t>
        </is>
      </c>
      <c r="E577" t="inlineStr">
        <is>
          <t>n.d.</t>
        </is>
      </c>
      <c r="F577" t="inlineStr">
        <is>
          <t>not disclosed</t>
        </is>
      </c>
      <c r="G577" t="inlineStr">
        <is>
          <t>input n.d.</t>
        </is>
      </c>
      <c r="H577" t="inlineStr">
        <is>
          <t>missing: aniu@Q1 2025, aniu@Q2 2025</t>
        </is>
      </c>
    </row>
    <row r="578">
      <c r="A578" t="inlineStr">
        <is>
          <t>KPI</t>
        </is>
      </c>
      <c r="B578" t="inlineStr">
        <is>
          <t>I27</t>
        </is>
      </c>
      <c r="C578" t="inlineStr">
        <is>
          <t>Change in assets not yet in use (QoQ)</t>
        </is>
      </c>
      <c r="D578" t="inlineStr">
        <is>
          <t>Q3 2025</t>
        </is>
      </c>
      <c r="E578" t="inlineStr">
        <is>
          <t>n.d.</t>
        </is>
      </c>
      <c r="F578" t="inlineStr">
        <is>
          <t>not disclosed</t>
        </is>
      </c>
      <c r="G578" t="inlineStr">
        <is>
          <t>input n.d.</t>
        </is>
      </c>
      <c r="H578" t="inlineStr">
        <is>
          <t>missing: aniu@Q2 2025, aniu@Q3 2025</t>
        </is>
      </c>
    </row>
    <row r="579">
      <c r="A579" t="inlineStr">
        <is>
          <t>KPI</t>
        </is>
      </c>
      <c r="B579" t="inlineStr">
        <is>
          <t>J27</t>
        </is>
      </c>
      <c r="C579" t="inlineStr">
        <is>
          <t>Change in assets not yet in use (QoQ)</t>
        </is>
      </c>
      <c r="D579" t="inlineStr">
        <is>
          <t>Q4 2025</t>
        </is>
      </c>
      <c r="E579" t="inlineStr">
        <is>
          <t>n.d.</t>
        </is>
      </c>
      <c r="F579" t="inlineStr">
        <is>
          <t>not disclosed</t>
        </is>
      </c>
      <c r="G579" t="inlineStr">
        <is>
          <t>input n.d.</t>
        </is>
      </c>
      <c r="H579" t="inlineStr">
        <is>
          <t>missing: aniu@Q3 2025</t>
        </is>
      </c>
    </row>
    <row r="580">
      <c r="A580" t="inlineStr">
        <is>
          <t>KPI</t>
        </is>
      </c>
      <c r="B580" t="inlineStr">
        <is>
          <t>K27</t>
        </is>
      </c>
      <c r="C580" t="inlineStr">
        <is>
          <t>Change in assets not yet in use (QoQ)</t>
        </is>
      </c>
      <c r="D580" t="inlineStr">
        <is>
          <t>Q1 2026</t>
        </is>
      </c>
      <c r="E580" t="inlineStr">
        <is>
          <t>formula: =K24-J24</t>
        </is>
      </c>
      <c r="F580" t="inlineStr">
        <is>
          <t>Derived</t>
        </is>
      </c>
      <c r="G580" t="inlineStr">
        <is>
          <t>formula: =K24-J24</t>
        </is>
      </c>
      <c r="H580" t="inlineStr">
        <is>
          <t>inputs: aniu[Q4 2025], aniu[Q1 2026]</t>
        </is>
      </c>
    </row>
    <row r="581">
      <c r="A581" t="inlineStr">
        <is>
          <t>KPI</t>
        </is>
      </c>
      <c r="B581" t="inlineStr">
        <is>
          <t>L27</t>
        </is>
      </c>
      <c r="C581" t="inlineStr">
        <is>
          <t>Change in assets not yet in use (QoQ)</t>
        </is>
      </c>
      <c r="D581" t="inlineStr">
        <is>
          <t>Q2 2026</t>
        </is>
      </c>
      <c r="E581" t="inlineStr">
        <is>
          <t>formula: =L24-K24</t>
        </is>
      </c>
      <c r="F581" t="inlineStr">
        <is>
          <t>Derived</t>
        </is>
      </c>
      <c r="G581" t="inlineStr">
        <is>
          <t>formula: =L24-K24</t>
        </is>
      </c>
      <c r="H581" t="inlineStr">
        <is>
          <t>inputs: aniu[Q1 2026], aniu[Q2 2026]</t>
        </is>
      </c>
    </row>
    <row r="582">
      <c r="A582" t="inlineStr">
        <is>
          <t>KPI</t>
        </is>
      </c>
      <c r="B582" t="inlineStr">
        <is>
          <t>C28</t>
        </is>
      </c>
      <c r="C582" t="inlineStr">
        <is>
          <t>Servers placed in service (QoQ change in server &amp; network equipment, gross)</t>
        </is>
      </c>
      <c r="D582" t="inlineStr">
        <is>
          <t>Q1 2024</t>
        </is>
      </c>
      <c r="E582" t="inlineStr">
        <is>
          <t>n.d.</t>
        </is>
      </c>
      <c r="F582" t="inlineStr">
        <is>
          <t>not disclosed</t>
        </is>
      </c>
      <c r="G582" t="inlineStr">
        <is>
          <t>input n.d.</t>
        </is>
      </c>
      <c r="H582" t="inlineStr">
        <is>
          <t>missing: sng@pre-Q1-24, sng@Q1 2024</t>
        </is>
      </c>
    </row>
    <row r="583">
      <c r="A583" t="inlineStr">
        <is>
          <t>KPI</t>
        </is>
      </c>
      <c r="B583" t="inlineStr">
        <is>
          <t>D28</t>
        </is>
      </c>
      <c r="C583" t="inlineStr">
        <is>
          <t>Servers placed in service (QoQ change in server &amp; network equipment, gross)</t>
        </is>
      </c>
      <c r="D583" t="inlineStr">
        <is>
          <t>Q2 2024</t>
        </is>
      </c>
      <c r="E583" t="inlineStr">
        <is>
          <t>n.d.</t>
        </is>
      </c>
      <c r="F583" t="inlineStr">
        <is>
          <t>not disclosed</t>
        </is>
      </c>
      <c r="G583" t="inlineStr">
        <is>
          <t>input n.d.</t>
        </is>
      </c>
      <c r="H583" t="inlineStr">
        <is>
          <t>missing: sng@Q1 2024, sng@Q2 2024</t>
        </is>
      </c>
    </row>
    <row r="584">
      <c r="A584" t="inlineStr">
        <is>
          <t>KPI</t>
        </is>
      </c>
      <c r="B584" t="inlineStr">
        <is>
          <t>E28</t>
        </is>
      </c>
      <c r="C584" t="inlineStr">
        <is>
          <t>Servers placed in service (QoQ change in server &amp; network equipment, gross)</t>
        </is>
      </c>
      <c r="D584" t="inlineStr">
        <is>
          <t>Q3 2024</t>
        </is>
      </c>
      <c r="E584" t="inlineStr">
        <is>
          <t>n.d.</t>
        </is>
      </c>
      <c r="F584" t="inlineStr">
        <is>
          <t>not disclosed</t>
        </is>
      </c>
      <c r="G584" t="inlineStr">
        <is>
          <t>input n.d.</t>
        </is>
      </c>
      <c r="H584" t="inlineStr">
        <is>
          <t>missing: sng@Q2 2024, sng@Q3 2024</t>
        </is>
      </c>
    </row>
    <row r="585">
      <c r="A585" t="inlineStr">
        <is>
          <t>KPI</t>
        </is>
      </c>
      <c r="B585" t="inlineStr">
        <is>
          <t>F28</t>
        </is>
      </c>
      <c r="C585" t="inlineStr">
        <is>
          <t>Servers placed in service (QoQ change in server &amp; network equipment, gross)</t>
        </is>
      </c>
      <c r="D585" t="inlineStr">
        <is>
          <t>Q4 2024</t>
        </is>
      </c>
      <c r="E585" t="inlineStr">
        <is>
          <t>n.d.</t>
        </is>
      </c>
      <c r="F585" t="inlineStr">
        <is>
          <t>not disclosed</t>
        </is>
      </c>
      <c r="G585" t="inlineStr">
        <is>
          <t>input n.d.</t>
        </is>
      </c>
      <c r="H585" t="inlineStr">
        <is>
          <t>missing: sng@Q3 2024</t>
        </is>
      </c>
    </row>
    <row r="586">
      <c r="A586" t="inlineStr">
        <is>
          <t>KPI</t>
        </is>
      </c>
      <c r="B586" t="inlineStr">
        <is>
          <t>G28</t>
        </is>
      </c>
      <c r="C586" t="inlineStr">
        <is>
          <t>Servers placed in service (QoQ change in server &amp; network equipment, gross)</t>
        </is>
      </c>
      <c r="D586" t="inlineStr">
        <is>
          <t>Q1 2025</t>
        </is>
      </c>
      <c r="E586" t="inlineStr">
        <is>
          <t>n.d.</t>
        </is>
      </c>
      <c r="F586" t="inlineStr">
        <is>
          <t>not disclosed</t>
        </is>
      </c>
      <c r="G586" t="inlineStr">
        <is>
          <t>input n.d.</t>
        </is>
      </c>
      <c r="H586" t="inlineStr">
        <is>
          <t>missing: sng@Q1 2025</t>
        </is>
      </c>
    </row>
    <row r="587">
      <c r="A587" t="inlineStr">
        <is>
          <t>KPI</t>
        </is>
      </c>
      <c r="B587" t="inlineStr">
        <is>
          <t>H28</t>
        </is>
      </c>
      <c r="C587" t="inlineStr">
        <is>
          <t>Servers placed in service (QoQ change in server &amp; network equipment, gross)</t>
        </is>
      </c>
      <c r="D587" t="inlineStr">
        <is>
          <t>Q2 2025</t>
        </is>
      </c>
      <c r="E587" t="inlineStr">
        <is>
          <t>n.d.</t>
        </is>
      </c>
      <c r="F587" t="inlineStr">
        <is>
          <t>not disclosed</t>
        </is>
      </c>
      <c r="G587" t="inlineStr">
        <is>
          <t>input n.d.</t>
        </is>
      </c>
      <c r="H587" t="inlineStr">
        <is>
          <t>missing: sng@Q1 2025, sng@Q2 2025</t>
        </is>
      </c>
    </row>
    <row r="588">
      <c r="A588" t="inlineStr">
        <is>
          <t>KPI</t>
        </is>
      </c>
      <c r="B588" t="inlineStr">
        <is>
          <t>I28</t>
        </is>
      </c>
      <c r="C588" t="inlineStr">
        <is>
          <t>Servers placed in service (QoQ change in server &amp; network equipment, gross)</t>
        </is>
      </c>
      <c r="D588" t="inlineStr">
        <is>
          <t>Q3 2025</t>
        </is>
      </c>
      <c r="E588" t="inlineStr">
        <is>
          <t>n.d.</t>
        </is>
      </c>
      <c r="F588" t="inlineStr">
        <is>
          <t>not disclosed</t>
        </is>
      </c>
      <c r="G588" t="inlineStr">
        <is>
          <t>input n.d.</t>
        </is>
      </c>
      <c r="H588" t="inlineStr">
        <is>
          <t>missing: sng@Q2 2025, sng@Q3 2025</t>
        </is>
      </c>
    </row>
    <row r="589">
      <c r="A589" t="inlineStr">
        <is>
          <t>KPI</t>
        </is>
      </c>
      <c r="B589" t="inlineStr">
        <is>
          <t>J28</t>
        </is>
      </c>
      <c r="C589" t="inlineStr">
        <is>
          <t>Servers placed in service (QoQ change in server &amp; network equipment, gross)</t>
        </is>
      </c>
      <c r="D589" t="inlineStr">
        <is>
          <t>Q4 2025</t>
        </is>
      </c>
      <c r="E589" t="inlineStr">
        <is>
          <t>n.d.</t>
        </is>
      </c>
      <c r="F589" t="inlineStr">
        <is>
          <t>not disclosed</t>
        </is>
      </c>
      <c r="G589" t="inlineStr">
        <is>
          <t>input n.d.</t>
        </is>
      </c>
      <c r="H589" t="inlineStr">
        <is>
          <t>missing: sng@Q3 2025</t>
        </is>
      </c>
    </row>
    <row r="590">
      <c r="A590" t="inlineStr">
        <is>
          <t>KPI</t>
        </is>
      </c>
      <c r="B590" t="inlineStr">
        <is>
          <t>K28</t>
        </is>
      </c>
      <c r="C590" t="inlineStr">
        <is>
          <t>Servers placed in service (QoQ change in server &amp; network equipment, gross)</t>
        </is>
      </c>
      <c r="D590" t="inlineStr">
        <is>
          <t>Q1 2026</t>
        </is>
      </c>
      <c r="E590" t="inlineStr">
        <is>
          <t>formula: =K23-J23</t>
        </is>
      </c>
      <c r="F590" t="inlineStr">
        <is>
          <t>Derived</t>
        </is>
      </c>
      <c r="G590" t="inlineStr">
        <is>
          <t>formula: =K23-J23</t>
        </is>
      </c>
      <c r="H590" t="inlineStr">
        <is>
          <t>inputs: sng[Q4 2025], sng[Q1 2026]</t>
        </is>
      </c>
    </row>
    <row r="591">
      <c r="A591" t="inlineStr">
        <is>
          <t>KPI</t>
        </is>
      </c>
      <c r="B591" t="inlineStr">
        <is>
          <t>L28</t>
        </is>
      </c>
      <c r="C591" t="inlineStr">
        <is>
          <t>Servers placed in service (QoQ change in server &amp; network equipment, gross)</t>
        </is>
      </c>
      <c r="D591" t="inlineStr">
        <is>
          <t>Q2 2026</t>
        </is>
      </c>
      <c r="E591" t="inlineStr">
        <is>
          <t>formula: =L23-K23</t>
        </is>
      </c>
      <c r="F591" t="inlineStr">
        <is>
          <t>Derived</t>
        </is>
      </c>
      <c r="G591" t="inlineStr">
        <is>
          <t>formula: =L23-K23</t>
        </is>
      </c>
      <c r="H591" t="inlineStr">
        <is>
          <t>inputs: sng[Q1 2026], sng[Q2 2026]</t>
        </is>
      </c>
    </row>
    <row r="592">
      <c r="A592" t="inlineStr">
        <is>
          <t>KPI</t>
        </is>
      </c>
      <c r="B592" t="inlineStr">
        <is>
          <t>C55</t>
        </is>
      </c>
      <c r="C592" t="inlineStr">
        <is>
          <t>Average GPUs in quarter (opening+closing)/2</t>
        </is>
      </c>
      <c r="D592" t="inlineStr">
        <is>
          <t>Q1 2024</t>
        </is>
      </c>
      <c r="E592" t="inlineStr">
        <is>
          <t>n.d.</t>
        </is>
      </c>
      <c r="F592" t="inlineStr">
        <is>
          <t>not disclosed</t>
        </is>
      </c>
      <c r="G592" t="inlineStr">
        <is>
          <t>input n.d.</t>
        </is>
      </c>
      <c r="H592" t="inlineStr">
        <is>
          <t>missing: gpu@pre-Q1-24</t>
        </is>
      </c>
    </row>
    <row r="593">
      <c r="A593" t="inlineStr">
        <is>
          <t>KPI</t>
        </is>
      </c>
      <c r="B593" t="inlineStr">
        <is>
          <t>D55</t>
        </is>
      </c>
      <c r="C593" t="inlineStr">
        <is>
          <t>Average GPUs in quarter (opening+closing)/2</t>
        </is>
      </c>
      <c r="D593" t="inlineStr">
        <is>
          <t>Q2 2024</t>
        </is>
      </c>
      <c r="E593" t="inlineStr">
        <is>
          <t>formula: =AVERAGE(C34,D34)</t>
        </is>
      </c>
      <c r="F593" t="inlineStr">
        <is>
          <t>Estimated</t>
        </is>
      </c>
      <c r="G593" t="inlineStr">
        <is>
          <t>formula: =AVERAGE(C34,D34)</t>
        </is>
      </c>
      <c r="H593" t="inlineStr">
        <is>
          <t>inputs: gpu[Q1 2024], gpu[Q2 2024]</t>
        </is>
      </c>
    </row>
    <row r="594">
      <c r="A594" t="inlineStr">
        <is>
          <t>KPI</t>
        </is>
      </c>
      <c r="B594" t="inlineStr">
        <is>
          <t>E55</t>
        </is>
      </c>
      <c r="C594" t="inlineStr">
        <is>
          <t>Average GPUs in quarter (opening+closing)/2</t>
        </is>
      </c>
      <c r="D594" t="inlineStr">
        <is>
          <t>Q3 2024</t>
        </is>
      </c>
      <c r="E594" t="inlineStr">
        <is>
          <t>formula: =AVERAGE(D34,E34)</t>
        </is>
      </c>
      <c r="F594" t="inlineStr">
        <is>
          <t>Estimated</t>
        </is>
      </c>
      <c r="G594" t="inlineStr">
        <is>
          <t>formula: =AVERAGE(D34,E34)</t>
        </is>
      </c>
      <c r="H594" t="inlineStr">
        <is>
          <t>inputs: gpu[Q2 2024], gpu[Q3 2024]</t>
        </is>
      </c>
    </row>
    <row r="595">
      <c r="A595" t="inlineStr">
        <is>
          <t>KPI</t>
        </is>
      </c>
      <c r="B595" t="inlineStr">
        <is>
          <t>F55</t>
        </is>
      </c>
      <c r="C595" t="inlineStr">
        <is>
          <t>Average GPUs in quarter (opening+closing)/2</t>
        </is>
      </c>
      <c r="D595" t="inlineStr">
        <is>
          <t>Q4 2024</t>
        </is>
      </c>
      <c r="E595" t="inlineStr">
        <is>
          <t>formula: =AVERAGE(E34,F34)</t>
        </is>
      </c>
      <c r="F595" t="inlineStr">
        <is>
          <t>Estimated</t>
        </is>
      </c>
      <c r="G595" t="inlineStr">
        <is>
          <t>formula: =AVERAGE(E34,F34)</t>
        </is>
      </c>
      <c r="H595" t="inlineStr">
        <is>
          <t>inputs: gpu[Q3 2024], gpu[Q4 2024]</t>
        </is>
      </c>
    </row>
    <row r="596">
      <c r="A596" t="inlineStr">
        <is>
          <t>KPI</t>
        </is>
      </c>
      <c r="B596" t="inlineStr">
        <is>
          <t>G55</t>
        </is>
      </c>
      <c r="C596" t="inlineStr">
        <is>
          <t>Average GPUs in quarter (opening+closing)/2</t>
        </is>
      </c>
      <c r="D596" t="inlineStr">
        <is>
          <t>Q1 2025</t>
        </is>
      </c>
      <c r="E596" t="inlineStr">
        <is>
          <t>formula: =AVERAGE(F34,G34)</t>
        </is>
      </c>
      <c r="F596" t="inlineStr">
        <is>
          <t>Estimated</t>
        </is>
      </c>
      <c r="G596" t="inlineStr">
        <is>
          <t>formula: =AVERAGE(F34,G34)</t>
        </is>
      </c>
      <c r="H596" t="inlineStr">
        <is>
          <t>inputs: gpu[Q4 2024], gpu[Q1 2025]</t>
        </is>
      </c>
    </row>
    <row r="597">
      <c r="A597" t="inlineStr">
        <is>
          <t>KPI</t>
        </is>
      </c>
      <c r="B597" t="inlineStr">
        <is>
          <t>H55</t>
        </is>
      </c>
      <c r="C597" t="inlineStr">
        <is>
          <t>Average GPUs in quarter (opening+closing)/2</t>
        </is>
      </c>
      <c r="D597" t="inlineStr">
        <is>
          <t>Q2 2025</t>
        </is>
      </c>
      <c r="E597" t="inlineStr">
        <is>
          <t>formula: =AVERAGE(G34,H34)</t>
        </is>
      </c>
      <c r="F597" t="inlineStr">
        <is>
          <t>Estimated</t>
        </is>
      </c>
      <c r="G597" t="inlineStr">
        <is>
          <t>formula: =AVERAGE(G34,H34)</t>
        </is>
      </c>
      <c r="H597" t="inlineStr">
        <is>
          <t>inputs: gpu[Q1 2025], gpu[Q2 2025]</t>
        </is>
      </c>
    </row>
    <row r="598">
      <c r="A598" t="inlineStr">
        <is>
          <t>KPI</t>
        </is>
      </c>
      <c r="B598" t="inlineStr">
        <is>
          <t>I55</t>
        </is>
      </c>
      <c r="C598" t="inlineStr">
        <is>
          <t>Average GPUs in quarter (opening+closing)/2</t>
        </is>
      </c>
      <c r="D598" t="inlineStr">
        <is>
          <t>Q3 2025</t>
        </is>
      </c>
      <c r="E598" t="inlineStr">
        <is>
          <t>formula: =AVERAGE(H34,I34)</t>
        </is>
      </c>
      <c r="F598" t="inlineStr">
        <is>
          <t>Estimated</t>
        </is>
      </c>
      <c r="G598" t="inlineStr">
        <is>
          <t>formula: =AVERAGE(H34,I34)</t>
        </is>
      </c>
      <c r="H598" t="inlineStr">
        <is>
          <t>inputs: gpu[Q2 2025], gpu[Q3 2025]</t>
        </is>
      </c>
    </row>
    <row r="599">
      <c r="A599" t="inlineStr">
        <is>
          <t>KPI</t>
        </is>
      </c>
      <c r="B599" t="inlineStr">
        <is>
          <t>J55</t>
        </is>
      </c>
      <c r="C599" t="inlineStr">
        <is>
          <t>Average GPUs in quarter (opening+closing)/2</t>
        </is>
      </c>
      <c r="D599" t="inlineStr">
        <is>
          <t>Q4 2025</t>
        </is>
      </c>
      <c r="E599" t="inlineStr">
        <is>
          <t>formula: =AVERAGE(I34,J34)</t>
        </is>
      </c>
      <c r="F599" t="inlineStr">
        <is>
          <t>Estimated</t>
        </is>
      </c>
      <c r="G599" t="inlineStr">
        <is>
          <t>formula: =AVERAGE(I34,J34)</t>
        </is>
      </c>
      <c r="H599" t="inlineStr">
        <is>
          <t>inputs: gpu[Q3 2025], gpu[Q4 2025]</t>
        </is>
      </c>
    </row>
    <row r="600">
      <c r="A600" t="inlineStr">
        <is>
          <t>KPI</t>
        </is>
      </c>
      <c r="B600" t="inlineStr">
        <is>
          <t>K55</t>
        </is>
      </c>
      <c r="C600" t="inlineStr">
        <is>
          <t>Average GPUs in quarter (opening+closing)/2</t>
        </is>
      </c>
      <c r="D600" t="inlineStr">
        <is>
          <t>Q1 2026</t>
        </is>
      </c>
      <c r="E600" t="inlineStr">
        <is>
          <t>formula: =AVERAGE(J34,K34)</t>
        </is>
      </c>
      <c r="F600" t="inlineStr">
        <is>
          <t>Estimated</t>
        </is>
      </c>
      <c r="G600" t="inlineStr">
        <is>
          <t>formula: =AVERAGE(J34,K34)</t>
        </is>
      </c>
      <c r="H600" t="inlineStr">
        <is>
          <t>inputs: gpu[Q4 2025], gpu[Q1 2026]</t>
        </is>
      </c>
    </row>
    <row r="601">
      <c r="A601" t="inlineStr">
        <is>
          <t>KPI</t>
        </is>
      </c>
      <c r="B601" t="inlineStr">
        <is>
          <t>L55</t>
        </is>
      </c>
      <c r="C601" t="inlineStr">
        <is>
          <t>Average GPUs in quarter (opening+closing)/2</t>
        </is>
      </c>
      <c r="D601" t="inlineStr">
        <is>
          <t>Q2 2026</t>
        </is>
      </c>
      <c r="E601" t="inlineStr">
        <is>
          <t>formula: =AVERAGE(K34,L34)</t>
        </is>
      </c>
      <c r="F601" t="inlineStr">
        <is>
          <t>Estimated</t>
        </is>
      </c>
      <c r="G601" t="inlineStr">
        <is>
          <t>formula: =AVERAGE(K34,L34)</t>
        </is>
      </c>
      <c r="H601" t="inlineStr">
        <is>
          <t>inputs: gpu[Q1 2026], gpu[Q2 2026]</t>
        </is>
      </c>
    </row>
    <row r="602">
      <c r="A602" t="inlineStr">
        <is>
          <t>KPI</t>
        </is>
      </c>
      <c r="B602" t="inlineStr">
        <is>
          <t>C56</t>
        </is>
      </c>
      <c r="C602" t="inlineStr">
        <is>
          <t>Implied realized revenue per GPU-hour (AI cloud rev / avg GPUs / hours)</t>
        </is>
      </c>
      <c r="D602" t="inlineStr">
        <is>
          <t>Q1 2024</t>
        </is>
      </c>
      <c r="E602" t="inlineStr">
        <is>
          <t>n.d.</t>
        </is>
      </c>
      <c r="F602" t="inlineStr">
        <is>
          <t>not disclosed</t>
        </is>
      </c>
      <c r="G602" t="inlineStr">
        <is>
          <t>input n.d.</t>
        </is>
      </c>
      <c r="H602" t="inlineStr">
        <is>
          <t>missing: ai@Q1 2024, gpu_avg@Q1 2024</t>
        </is>
      </c>
    </row>
    <row r="603">
      <c r="A603" t="inlineStr">
        <is>
          <t>KPI</t>
        </is>
      </c>
      <c r="B603" t="inlineStr">
        <is>
          <t>D56</t>
        </is>
      </c>
      <c r="C603" t="inlineStr">
        <is>
          <t>Implied realized revenue per GPU-hour (AI cloud rev / avg GPUs / hours)</t>
        </is>
      </c>
      <c r="D603" t="inlineStr">
        <is>
          <t>Q2 2024</t>
        </is>
      </c>
      <c r="E603" t="inlineStr">
        <is>
          <t>n.d.</t>
        </is>
      </c>
      <c r="F603" t="inlineStr">
        <is>
          <t>not disclosed</t>
        </is>
      </c>
      <c r="G603" t="inlineStr">
        <is>
          <t>input n.d.</t>
        </is>
      </c>
      <c r="H603" t="inlineStr">
        <is>
          <t>missing: ai@Q2 2024</t>
        </is>
      </c>
    </row>
    <row r="604">
      <c r="A604" t="inlineStr">
        <is>
          <t>KPI</t>
        </is>
      </c>
      <c r="B604" t="inlineStr">
        <is>
          <t>E56</t>
        </is>
      </c>
      <c r="C604" t="inlineStr">
        <is>
          <t>Implied realized revenue per GPU-hour (AI cloud rev / avg GPUs / hours)</t>
        </is>
      </c>
      <c r="D604" t="inlineStr">
        <is>
          <t>Q3 2024</t>
        </is>
      </c>
      <c r="E604" t="inlineStr">
        <is>
          <t>formula: =E6*1000000/(E55*E54)</t>
        </is>
      </c>
      <c r="F604" t="inlineStr">
        <is>
          <t>Estimated</t>
        </is>
      </c>
      <c r="G604" t="inlineStr">
        <is>
          <t>formula: =E6*1000000/(E55*E54)</t>
        </is>
      </c>
      <c r="H604" t="inlineStr">
        <is>
          <t>inputs: ai[Q3 2024], gpu_avg[Q3 2024], hrs[Q3 2024]</t>
        </is>
      </c>
    </row>
    <row r="605">
      <c r="A605" t="inlineStr">
        <is>
          <t>KPI</t>
        </is>
      </c>
      <c r="B605" t="inlineStr">
        <is>
          <t>F56</t>
        </is>
      </c>
      <c r="C605" t="inlineStr">
        <is>
          <t>Implied realized revenue per GPU-hour (AI cloud rev / avg GPUs / hours)</t>
        </is>
      </c>
      <c r="D605" t="inlineStr">
        <is>
          <t>Q4 2024</t>
        </is>
      </c>
      <c r="E605" t="inlineStr">
        <is>
          <t>formula: =F6*1000000/(F55*F54)</t>
        </is>
      </c>
      <c r="F605" t="inlineStr">
        <is>
          <t>Estimated</t>
        </is>
      </c>
      <c r="G605" t="inlineStr">
        <is>
          <t>formula: =F6*1000000/(F55*F54)</t>
        </is>
      </c>
      <c r="H605" t="inlineStr">
        <is>
          <t>inputs: ai[Q4 2024], gpu_avg[Q4 2024], hrs[Q4 2024]</t>
        </is>
      </c>
    </row>
    <row r="606">
      <c r="A606" t="inlineStr">
        <is>
          <t>KPI</t>
        </is>
      </c>
      <c r="B606" t="inlineStr">
        <is>
          <t>G56</t>
        </is>
      </c>
      <c r="C606" t="inlineStr">
        <is>
          <t>Implied realized revenue per GPU-hour (AI cloud rev / avg GPUs / hours)</t>
        </is>
      </c>
      <c r="D606" t="inlineStr">
        <is>
          <t>Q1 2025</t>
        </is>
      </c>
      <c r="E606" t="inlineStr">
        <is>
          <t>formula: =G6*1000000/(G55*G54)</t>
        </is>
      </c>
      <c r="F606" t="inlineStr">
        <is>
          <t>Estimated</t>
        </is>
      </c>
      <c r="G606" t="inlineStr">
        <is>
          <t>formula: =G6*1000000/(G55*G54)</t>
        </is>
      </c>
      <c r="H606" t="inlineStr">
        <is>
          <t>inputs: ai[Q1 2025], gpu_avg[Q1 2025], hrs[Q1 2025]</t>
        </is>
      </c>
    </row>
    <row r="607">
      <c r="A607" t="inlineStr">
        <is>
          <t>KPI</t>
        </is>
      </c>
      <c r="B607" t="inlineStr">
        <is>
          <t>H56</t>
        </is>
      </c>
      <c r="C607" t="inlineStr">
        <is>
          <t>Implied realized revenue per GPU-hour (AI cloud rev / avg GPUs / hours)</t>
        </is>
      </c>
      <c r="D607" t="inlineStr">
        <is>
          <t>Q2 2025</t>
        </is>
      </c>
      <c r="E607" t="inlineStr">
        <is>
          <t>formula: =H6*1000000/(H55*H54)</t>
        </is>
      </c>
      <c r="F607" t="inlineStr">
        <is>
          <t>Estimated</t>
        </is>
      </c>
      <c r="G607" t="inlineStr">
        <is>
          <t>formula: =H6*1000000/(H55*H54)</t>
        </is>
      </c>
      <c r="H607" t="inlineStr">
        <is>
          <t>inputs: ai[Q2 2025], gpu_avg[Q2 2025], hrs[Q2 2025]</t>
        </is>
      </c>
    </row>
    <row r="608">
      <c r="A608" t="inlineStr">
        <is>
          <t>KPI</t>
        </is>
      </c>
      <c r="B608" t="inlineStr">
        <is>
          <t>I56</t>
        </is>
      </c>
      <c r="C608" t="inlineStr">
        <is>
          <t>Implied realized revenue per GPU-hour (AI cloud rev / avg GPUs / hours)</t>
        </is>
      </c>
      <c r="D608" t="inlineStr">
        <is>
          <t>Q3 2025</t>
        </is>
      </c>
      <c r="E608" t="inlineStr">
        <is>
          <t>formula: =I6*1000000/(I55*I54)</t>
        </is>
      </c>
      <c r="F608" t="inlineStr">
        <is>
          <t>Estimated</t>
        </is>
      </c>
      <c r="G608" t="inlineStr">
        <is>
          <t>formula: =I6*1000000/(I55*I54)</t>
        </is>
      </c>
      <c r="H608" t="inlineStr">
        <is>
          <t>inputs: ai[Q3 2025], gpu_avg[Q3 2025], hrs[Q3 2025]</t>
        </is>
      </c>
    </row>
    <row r="609">
      <c r="A609" t="inlineStr">
        <is>
          <t>KPI</t>
        </is>
      </c>
      <c r="B609" t="inlineStr">
        <is>
          <t>J56</t>
        </is>
      </c>
      <c r="C609" t="inlineStr">
        <is>
          <t>Implied realized revenue per GPU-hour (AI cloud rev / avg GPUs / hours)</t>
        </is>
      </c>
      <c r="D609" t="inlineStr">
        <is>
          <t>Q4 2025</t>
        </is>
      </c>
      <c r="E609" t="inlineStr">
        <is>
          <t>formula: =J6*1000000/(J55*J54)</t>
        </is>
      </c>
      <c r="F609" t="inlineStr">
        <is>
          <t>Estimated</t>
        </is>
      </c>
      <c r="G609" t="inlineStr">
        <is>
          <t>formula: =J6*1000000/(J55*J54)</t>
        </is>
      </c>
      <c r="H609" t="inlineStr">
        <is>
          <t>inputs: ai[Q4 2025], gpu_avg[Q4 2025], hrs[Q4 2025]</t>
        </is>
      </c>
    </row>
    <row r="610">
      <c r="A610" t="inlineStr">
        <is>
          <t>KPI</t>
        </is>
      </c>
      <c r="B610" t="inlineStr">
        <is>
          <t>K56</t>
        </is>
      </c>
      <c r="C610" t="inlineStr">
        <is>
          <t>Implied realized revenue per GPU-hour (AI cloud rev / avg GPUs / hours)</t>
        </is>
      </c>
      <c r="D610" t="inlineStr">
        <is>
          <t>Q1 2026</t>
        </is>
      </c>
      <c r="E610" t="inlineStr">
        <is>
          <t>formula: =K6*1000000/(K55*K54)</t>
        </is>
      </c>
      <c r="F610" t="inlineStr">
        <is>
          <t>Estimated</t>
        </is>
      </c>
      <c r="G610" t="inlineStr">
        <is>
          <t>formula: =K6*1000000/(K55*K54)</t>
        </is>
      </c>
      <c r="H610" t="inlineStr">
        <is>
          <t>inputs: ai[Q1 2026], gpu_avg[Q1 2026], hrs[Q1 2026]</t>
        </is>
      </c>
    </row>
    <row r="611">
      <c r="A611" t="inlineStr">
        <is>
          <t>KPI</t>
        </is>
      </c>
      <c r="B611" t="inlineStr">
        <is>
          <t>L56</t>
        </is>
      </c>
      <c r="C611" t="inlineStr">
        <is>
          <t>Implied realized revenue per GPU-hour (AI cloud rev / avg GPUs / hours)</t>
        </is>
      </c>
      <c r="D611" t="inlineStr">
        <is>
          <t>Q2 2026</t>
        </is>
      </c>
      <c r="E611" t="inlineStr">
        <is>
          <t>formula: =L6*1000000/(L55*L54)</t>
        </is>
      </c>
      <c r="F611" t="inlineStr">
        <is>
          <t>Estimated</t>
        </is>
      </c>
      <c r="G611" t="inlineStr">
        <is>
          <t>formula: =L6*1000000/(L55*L54)</t>
        </is>
      </c>
      <c r="H611" t="inlineStr">
        <is>
          <t>inputs: ai[Q2 2026], gpu_avg[Q2 2026], hrs[Q2 2026]</t>
        </is>
      </c>
    </row>
    <row r="612">
      <c r="A612" t="inlineStr">
        <is>
          <t>KPI</t>
        </is>
      </c>
      <c r="B612" t="inlineStr">
        <is>
          <t>C57</t>
        </is>
      </c>
      <c r="C612" t="inlineStr">
        <is>
          <t>Implied utilization = AI cloud rev / (avg GPUs x hours x blended list $/GPU-hr)</t>
        </is>
      </c>
      <c r="D612" t="inlineStr">
        <is>
          <t>Q1 2024</t>
        </is>
      </c>
      <c r="E612" t="inlineStr">
        <is>
          <t>n.d.</t>
        </is>
      </c>
      <c r="F612" t="inlineStr">
        <is>
          <t>not disclosed</t>
        </is>
      </c>
      <c r="G612" t="inlineStr">
        <is>
          <t>input n.d.</t>
        </is>
      </c>
      <c r="H612" t="inlineStr">
        <is>
          <t>missing: ai@Q1 2024, gpu_avg@Q1 2024</t>
        </is>
      </c>
    </row>
    <row r="613">
      <c r="A613" t="inlineStr">
        <is>
          <t>KPI</t>
        </is>
      </c>
      <c r="B613" t="inlineStr">
        <is>
          <t>D57</t>
        </is>
      </c>
      <c r="C613" t="inlineStr">
        <is>
          <t>Implied utilization = AI cloud rev / (avg GPUs x hours x blended list $/GPU-hr)</t>
        </is>
      </c>
      <c r="D613" t="inlineStr">
        <is>
          <t>Q2 2024</t>
        </is>
      </c>
      <c r="E613" t="inlineStr">
        <is>
          <t>n.d.</t>
        </is>
      </c>
      <c r="F613" t="inlineStr">
        <is>
          <t>not disclosed</t>
        </is>
      </c>
      <c r="G613" t="inlineStr">
        <is>
          <t>input n.d.</t>
        </is>
      </c>
      <c r="H613" t="inlineStr">
        <is>
          <t>missing: ai@Q2 2024</t>
        </is>
      </c>
    </row>
    <row r="614">
      <c r="A614" t="inlineStr">
        <is>
          <t>KPI</t>
        </is>
      </c>
      <c r="B614" t="inlineStr">
        <is>
          <t>E57</t>
        </is>
      </c>
      <c r="C614" t="inlineStr">
        <is>
          <t>Implied utilization = AI cloud rev / (avg GPUs x hours x blended list $/GPU-hr)</t>
        </is>
      </c>
      <c r="D614" t="inlineStr">
        <is>
          <t>Q3 2024</t>
        </is>
      </c>
      <c r="E614" t="inlineStr">
        <is>
          <t>formula: =E6*1000000/(E55*E54*E52)</t>
        </is>
      </c>
      <c r="F614" t="inlineStr">
        <is>
          <t>Estimated</t>
        </is>
      </c>
      <c r="G614" t="inlineStr">
        <is>
          <t>formula: =E6*1000000/(E55*E54*E52)</t>
        </is>
      </c>
      <c r="H614" t="inlineStr">
        <is>
          <t>inputs: ai[Q3 2024], gpu_avg[Q3 2024], hrs[Q3 2024], px_blend[Q3 2024]</t>
        </is>
      </c>
    </row>
    <row r="615">
      <c r="A615" t="inlineStr">
        <is>
          <t>KPI</t>
        </is>
      </c>
      <c r="B615" t="inlineStr">
        <is>
          <t>F57</t>
        </is>
      </c>
      <c r="C615" t="inlineStr">
        <is>
          <t>Implied utilization = AI cloud rev / (avg GPUs x hours x blended list $/GPU-hr)</t>
        </is>
      </c>
      <c r="D615" t="inlineStr">
        <is>
          <t>Q4 2024</t>
        </is>
      </c>
      <c r="E615" t="inlineStr">
        <is>
          <t>formula: =F6*1000000/(F55*F54*F52)</t>
        </is>
      </c>
      <c r="F615" t="inlineStr">
        <is>
          <t>Estimated</t>
        </is>
      </c>
      <c r="G615" t="inlineStr">
        <is>
          <t>formula: =F6*1000000/(F55*F54*F52)</t>
        </is>
      </c>
      <c r="H615" t="inlineStr">
        <is>
          <t>inputs: ai[Q4 2024], gpu_avg[Q4 2024], hrs[Q4 2024], px_blend[Q4 2024]</t>
        </is>
      </c>
    </row>
    <row r="616">
      <c r="A616" t="inlineStr">
        <is>
          <t>KPI</t>
        </is>
      </c>
      <c r="B616" t="inlineStr">
        <is>
          <t>G57</t>
        </is>
      </c>
      <c r="C616" t="inlineStr">
        <is>
          <t>Implied utilization = AI cloud rev / (avg GPUs x hours x blended list $/GPU-hr)</t>
        </is>
      </c>
      <c r="D616" t="inlineStr">
        <is>
          <t>Q1 2025</t>
        </is>
      </c>
      <c r="E616" t="inlineStr">
        <is>
          <t>formula: =G6*1000000/(G55*G54*G52)</t>
        </is>
      </c>
      <c r="F616" t="inlineStr">
        <is>
          <t>Estimated</t>
        </is>
      </c>
      <c r="G616" t="inlineStr">
        <is>
          <t>formula: =G6*1000000/(G55*G54*G52)</t>
        </is>
      </c>
      <c r="H616" t="inlineStr">
        <is>
          <t>inputs: ai[Q1 2025], gpu_avg[Q1 2025], hrs[Q1 2025], px_blend[Q1 2025]</t>
        </is>
      </c>
    </row>
    <row r="617">
      <c r="A617" t="inlineStr">
        <is>
          <t>KPI</t>
        </is>
      </c>
      <c r="B617" t="inlineStr">
        <is>
          <t>H57</t>
        </is>
      </c>
      <c r="C617" t="inlineStr">
        <is>
          <t>Implied utilization = AI cloud rev / (avg GPUs x hours x blended list $/GPU-hr)</t>
        </is>
      </c>
      <c r="D617" t="inlineStr">
        <is>
          <t>Q2 2025</t>
        </is>
      </c>
      <c r="E617" t="inlineStr">
        <is>
          <t>formula: =H6*1000000/(H55*H54*H52)</t>
        </is>
      </c>
      <c r="F617" t="inlineStr">
        <is>
          <t>Estimated</t>
        </is>
      </c>
      <c r="G617" t="inlineStr">
        <is>
          <t>formula: =H6*1000000/(H55*H54*H52)</t>
        </is>
      </c>
      <c r="H617" t="inlineStr">
        <is>
          <t>inputs: ai[Q2 2025], gpu_avg[Q2 2025], hrs[Q2 2025], px_blend[Q2 2025]</t>
        </is>
      </c>
    </row>
    <row r="618">
      <c r="A618" t="inlineStr">
        <is>
          <t>KPI</t>
        </is>
      </c>
      <c r="B618" t="inlineStr">
        <is>
          <t>I57</t>
        </is>
      </c>
      <c r="C618" t="inlineStr">
        <is>
          <t>Implied utilization = AI cloud rev / (avg GPUs x hours x blended list $/GPU-hr)</t>
        </is>
      </c>
      <c r="D618" t="inlineStr">
        <is>
          <t>Q3 2025</t>
        </is>
      </c>
      <c r="E618" t="inlineStr">
        <is>
          <t>formula: =I6*1000000/(I55*I54*I52)</t>
        </is>
      </c>
      <c r="F618" t="inlineStr">
        <is>
          <t>Estimated</t>
        </is>
      </c>
      <c r="G618" t="inlineStr">
        <is>
          <t>formula: =I6*1000000/(I55*I54*I52)</t>
        </is>
      </c>
      <c r="H618" t="inlineStr">
        <is>
          <t>inputs: ai[Q3 2025], gpu_avg[Q3 2025], hrs[Q3 2025], px_blend[Q3 2025]</t>
        </is>
      </c>
    </row>
    <row r="619">
      <c r="A619" t="inlineStr">
        <is>
          <t>KPI</t>
        </is>
      </c>
      <c r="B619" t="inlineStr">
        <is>
          <t>J57</t>
        </is>
      </c>
      <c r="C619" t="inlineStr">
        <is>
          <t>Implied utilization = AI cloud rev / (avg GPUs x hours x blended list $/GPU-hr)</t>
        </is>
      </c>
      <c r="D619" t="inlineStr">
        <is>
          <t>Q4 2025</t>
        </is>
      </c>
      <c r="E619" t="inlineStr">
        <is>
          <t>formula: =J6*1000000/(J55*J54*J52)</t>
        </is>
      </c>
      <c r="F619" t="inlineStr">
        <is>
          <t>Estimated</t>
        </is>
      </c>
      <c r="G619" t="inlineStr">
        <is>
          <t>formula: =J6*1000000/(J55*J54*J52)</t>
        </is>
      </c>
      <c r="H619" t="inlineStr">
        <is>
          <t>inputs: ai[Q4 2025], gpu_avg[Q4 2025], hrs[Q4 2025], px_blend[Q4 2025]</t>
        </is>
      </c>
    </row>
    <row r="620">
      <c r="A620" t="inlineStr">
        <is>
          <t>KPI</t>
        </is>
      </c>
      <c r="B620" t="inlineStr">
        <is>
          <t>K57</t>
        </is>
      </c>
      <c r="C620" t="inlineStr">
        <is>
          <t>Implied utilization = AI cloud rev / (avg GPUs x hours x blended list $/GPU-hr)</t>
        </is>
      </c>
      <c r="D620" t="inlineStr">
        <is>
          <t>Q1 2026</t>
        </is>
      </c>
      <c r="E620" t="inlineStr">
        <is>
          <t>formula: =K6*1000000/(K55*K54*K52)</t>
        </is>
      </c>
      <c r="F620" t="inlineStr">
        <is>
          <t>Estimated</t>
        </is>
      </c>
      <c r="G620" t="inlineStr">
        <is>
          <t>formula: =K6*1000000/(K55*K54*K52)</t>
        </is>
      </c>
      <c r="H620" t="inlineStr">
        <is>
          <t>inputs: ai[Q1 2026], gpu_avg[Q1 2026], hrs[Q1 2026], px_blend[Q1 2026]</t>
        </is>
      </c>
    </row>
    <row r="621">
      <c r="A621" t="inlineStr">
        <is>
          <t>KPI</t>
        </is>
      </c>
      <c r="B621" t="inlineStr">
        <is>
          <t>L57</t>
        </is>
      </c>
      <c r="C621" t="inlineStr">
        <is>
          <t>Implied utilization = AI cloud rev / (avg GPUs x hours x blended list $/GPU-hr)</t>
        </is>
      </c>
      <c r="D621" t="inlineStr">
        <is>
          <t>Q2 2026</t>
        </is>
      </c>
      <c r="E621" t="inlineStr">
        <is>
          <t>formula: =L6*1000000/(L55*L54*L52)</t>
        </is>
      </c>
      <c r="F621" t="inlineStr">
        <is>
          <t>Estimated</t>
        </is>
      </c>
      <c r="G621" t="inlineStr">
        <is>
          <t>formula: =L6*1000000/(L55*L54*L52)</t>
        </is>
      </c>
      <c r="H621" t="inlineStr">
        <is>
          <t>inputs: ai[Q2 2026], gpu_avg[Q2 2026], hrs[Q2 2026], px_blend[Q2 2026]</t>
        </is>
      </c>
    </row>
    <row r="622">
      <c r="A622" t="inlineStr">
        <is>
          <t>KPI</t>
        </is>
      </c>
      <c r="B622" t="inlineStr">
        <is>
          <t>C58</t>
        </is>
      </c>
      <c r="C622" t="inlineStr">
        <is>
          <t>Implied utilization on quarter-end GPUs (variant)</t>
        </is>
      </c>
      <c r="D622" t="inlineStr">
        <is>
          <t>Q1 2024</t>
        </is>
      </c>
      <c r="E622" t="inlineStr">
        <is>
          <t>n.d.</t>
        </is>
      </c>
      <c r="F622" t="inlineStr">
        <is>
          <t>not disclosed</t>
        </is>
      </c>
      <c r="G622" t="inlineStr">
        <is>
          <t>input n.d.</t>
        </is>
      </c>
      <c r="H622" t="inlineStr">
        <is>
          <t>missing: ai@Q1 2024</t>
        </is>
      </c>
    </row>
    <row r="623">
      <c r="A623" t="inlineStr">
        <is>
          <t>KPI</t>
        </is>
      </c>
      <c r="B623" t="inlineStr">
        <is>
          <t>D58</t>
        </is>
      </c>
      <c r="C623" t="inlineStr">
        <is>
          <t>Implied utilization on quarter-end GPUs (variant)</t>
        </is>
      </c>
      <c r="D623" t="inlineStr">
        <is>
          <t>Q2 2024</t>
        </is>
      </c>
      <c r="E623" t="inlineStr">
        <is>
          <t>n.d.</t>
        </is>
      </c>
      <c r="F623" t="inlineStr">
        <is>
          <t>not disclosed</t>
        </is>
      </c>
      <c r="G623" t="inlineStr">
        <is>
          <t>input n.d.</t>
        </is>
      </c>
      <c r="H623" t="inlineStr">
        <is>
          <t>missing: ai@Q2 2024</t>
        </is>
      </c>
    </row>
    <row r="624">
      <c r="A624" t="inlineStr">
        <is>
          <t>KPI</t>
        </is>
      </c>
      <c r="B624" t="inlineStr">
        <is>
          <t>E58</t>
        </is>
      </c>
      <c r="C624" t="inlineStr">
        <is>
          <t>Implied utilization on quarter-end GPUs (variant)</t>
        </is>
      </c>
      <c r="D624" t="inlineStr">
        <is>
          <t>Q3 2024</t>
        </is>
      </c>
      <c r="E624" t="inlineStr">
        <is>
          <t>formula: =E6*1000000/(E34*E54*E52)</t>
        </is>
      </c>
      <c r="F624" t="inlineStr">
        <is>
          <t>Estimated</t>
        </is>
      </c>
      <c r="G624" t="inlineStr">
        <is>
          <t>formula: =E6*1000000/(E34*E54*E52)</t>
        </is>
      </c>
      <c r="H624" t="inlineStr">
        <is>
          <t>inputs: ai[Q3 2024], gpu[Q3 2024], hrs[Q3 2024], px_blend[Q3 2024]</t>
        </is>
      </c>
    </row>
    <row r="625">
      <c r="A625" t="inlineStr">
        <is>
          <t>KPI</t>
        </is>
      </c>
      <c r="B625" t="inlineStr">
        <is>
          <t>F58</t>
        </is>
      </c>
      <c r="C625" t="inlineStr">
        <is>
          <t>Implied utilization on quarter-end GPUs (variant)</t>
        </is>
      </c>
      <c r="D625" t="inlineStr">
        <is>
          <t>Q4 2024</t>
        </is>
      </c>
      <c r="E625" t="inlineStr">
        <is>
          <t>formula: =F6*1000000/(F34*F54*F52)</t>
        </is>
      </c>
      <c r="F625" t="inlineStr">
        <is>
          <t>Estimated</t>
        </is>
      </c>
      <c r="G625" t="inlineStr">
        <is>
          <t>formula: =F6*1000000/(F34*F54*F52)</t>
        </is>
      </c>
      <c r="H625" t="inlineStr">
        <is>
          <t>inputs: ai[Q4 2024], gpu[Q4 2024], hrs[Q4 2024], px_blend[Q4 2024]</t>
        </is>
      </c>
    </row>
    <row r="626">
      <c r="A626" t="inlineStr">
        <is>
          <t>KPI</t>
        </is>
      </c>
      <c r="B626" t="inlineStr">
        <is>
          <t>G58</t>
        </is>
      </c>
      <c r="C626" t="inlineStr">
        <is>
          <t>Implied utilization on quarter-end GPUs (variant)</t>
        </is>
      </c>
      <c r="D626" t="inlineStr">
        <is>
          <t>Q1 2025</t>
        </is>
      </c>
      <c r="E626" t="inlineStr">
        <is>
          <t>formula: =G6*1000000/(G34*G54*G52)</t>
        </is>
      </c>
      <c r="F626" t="inlineStr">
        <is>
          <t>Estimated</t>
        </is>
      </c>
      <c r="G626" t="inlineStr">
        <is>
          <t>formula: =G6*1000000/(G34*G54*G52)</t>
        </is>
      </c>
      <c r="H626" t="inlineStr">
        <is>
          <t>inputs: ai[Q1 2025], gpu[Q1 2025], hrs[Q1 2025], px_blend[Q1 2025]</t>
        </is>
      </c>
    </row>
    <row r="627">
      <c r="A627" t="inlineStr">
        <is>
          <t>KPI</t>
        </is>
      </c>
      <c r="B627" t="inlineStr">
        <is>
          <t>H58</t>
        </is>
      </c>
      <c r="C627" t="inlineStr">
        <is>
          <t>Implied utilization on quarter-end GPUs (variant)</t>
        </is>
      </c>
      <c r="D627" t="inlineStr">
        <is>
          <t>Q2 2025</t>
        </is>
      </c>
      <c r="E627" t="inlineStr">
        <is>
          <t>formula: =H6*1000000/(H34*H54*H52)</t>
        </is>
      </c>
      <c r="F627" t="inlineStr">
        <is>
          <t>Estimated</t>
        </is>
      </c>
      <c r="G627" t="inlineStr">
        <is>
          <t>formula: =H6*1000000/(H34*H54*H52)</t>
        </is>
      </c>
      <c r="H627" t="inlineStr">
        <is>
          <t>inputs: ai[Q2 2025], gpu[Q2 2025], hrs[Q2 2025], px_blend[Q2 2025]</t>
        </is>
      </c>
    </row>
    <row r="628">
      <c r="A628" t="inlineStr">
        <is>
          <t>KPI</t>
        </is>
      </c>
      <c r="B628" t="inlineStr">
        <is>
          <t>I58</t>
        </is>
      </c>
      <c r="C628" t="inlineStr">
        <is>
          <t>Implied utilization on quarter-end GPUs (variant)</t>
        </is>
      </c>
      <c r="D628" t="inlineStr">
        <is>
          <t>Q3 2025</t>
        </is>
      </c>
      <c r="E628" t="inlineStr">
        <is>
          <t>formula: =I6*1000000/(I34*I54*I52)</t>
        </is>
      </c>
      <c r="F628" t="inlineStr">
        <is>
          <t>Estimated</t>
        </is>
      </c>
      <c r="G628" t="inlineStr">
        <is>
          <t>formula: =I6*1000000/(I34*I54*I52)</t>
        </is>
      </c>
      <c r="H628" t="inlineStr">
        <is>
          <t>inputs: ai[Q3 2025], gpu[Q3 2025], hrs[Q3 2025], px_blend[Q3 2025]</t>
        </is>
      </c>
    </row>
    <row r="629">
      <c r="A629" t="inlineStr">
        <is>
          <t>KPI</t>
        </is>
      </c>
      <c r="B629" t="inlineStr">
        <is>
          <t>J58</t>
        </is>
      </c>
      <c r="C629" t="inlineStr">
        <is>
          <t>Implied utilization on quarter-end GPUs (variant)</t>
        </is>
      </c>
      <c r="D629" t="inlineStr">
        <is>
          <t>Q4 2025</t>
        </is>
      </c>
      <c r="E629" t="inlineStr">
        <is>
          <t>formula: =J6*1000000/(J34*J54*J52)</t>
        </is>
      </c>
      <c r="F629" t="inlineStr">
        <is>
          <t>Estimated</t>
        </is>
      </c>
      <c r="G629" t="inlineStr">
        <is>
          <t>formula: =J6*1000000/(J34*J54*J52)</t>
        </is>
      </c>
      <c r="H629" t="inlineStr">
        <is>
          <t>inputs: ai[Q4 2025], gpu[Q4 2025], hrs[Q4 2025], px_blend[Q4 2025]</t>
        </is>
      </c>
    </row>
    <row r="630">
      <c r="A630" t="inlineStr">
        <is>
          <t>KPI</t>
        </is>
      </c>
      <c r="B630" t="inlineStr">
        <is>
          <t>K58</t>
        </is>
      </c>
      <c r="C630" t="inlineStr">
        <is>
          <t>Implied utilization on quarter-end GPUs (variant)</t>
        </is>
      </c>
      <c r="D630" t="inlineStr">
        <is>
          <t>Q1 2026</t>
        </is>
      </c>
      <c r="E630" t="inlineStr">
        <is>
          <t>formula: =K6*1000000/(K34*K54*K52)</t>
        </is>
      </c>
      <c r="F630" t="inlineStr">
        <is>
          <t>Estimated</t>
        </is>
      </c>
      <c r="G630" t="inlineStr">
        <is>
          <t>formula: =K6*1000000/(K34*K54*K52)</t>
        </is>
      </c>
      <c r="H630" t="inlineStr">
        <is>
          <t>inputs: ai[Q1 2026], gpu[Q1 2026], hrs[Q1 2026], px_blend[Q1 2026]</t>
        </is>
      </c>
    </row>
    <row r="631">
      <c r="A631" t="inlineStr">
        <is>
          <t>KPI</t>
        </is>
      </c>
      <c r="B631" t="inlineStr">
        <is>
          <t>L58</t>
        </is>
      </c>
      <c r="C631" t="inlineStr">
        <is>
          <t>Implied utilization on quarter-end GPUs (variant)</t>
        </is>
      </c>
      <c r="D631" t="inlineStr">
        <is>
          <t>Q2 2026</t>
        </is>
      </c>
      <c r="E631" t="inlineStr">
        <is>
          <t>formula: =L6*1000000/(L34*L54*L52)</t>
        </is>
      </c>
      <c r="F631" t="inlineStr">
        <is>
          <t>Estimated</t>
        </is>
      </c>
      <c r="G631" t="inlineStr">
        <is>
          <t>formula: =L6*1000000/(L34*L54*L52)</t>
        </is>
      </c>
      <c r="H631" t="inlineStr">
        <is>
          <t>inputs: ai[Q2 2026], gpu[Q2 2026], hrs[Q2 2026], px_blend[Q2 2026]</t>
        </is>
      </c>
    </row>
    <row r="632">
      <c r="A632" t="inlineStr">
        <is>
          <t>KPI</t>
        </is>
      </c>
      <c r="B632" t="inlineStr">
        <is>
          <t>C59</t>
        </is>
      </c>
      <c r="C632" t="inlineStr">
        <is>
          <t>AI cloud revenue per energized MW, annualized (quarter-end MW)</t>
        </is>
      </c>
      <c r="D632" t="inlineStr">
        <is>
          <t>Q1 2024</t>
        </is>
      </c>
      <c r="E632" t="inlineStr">
        <is>
          <t>n.d.</t>
        </is>
      </c>
      <c r="F632" t="inlineStr">
        <is>
          <t>not disclosed</t>
        </is>
      </c>
      <c r="G632" t="inlineStr">
        <is>
          <t>input n.d.</t>
        </is>
      </c>
      <c r="H632" t="inlineStr">
        <is>
          <t>missing: ai@Q1 2024</t>
        </is>
      </c>
    </row>
    <row r="633">
      <c r="A633" t="inlineStr">
        <is>
          <t>KPI</t>
        </is>
      </c>
      <c r="B633" t="inlineStr">
        <is>
          <t>D59</t>
        </is>
      </c>
      <c r="C633" t="inlineStr">
        <is>
          <t>AI cloud revenue per energized MW, annualized (quarter-end MW)</t>
        </is>
      </c>
      <c r="D633" t="inlineStr">
        <is>
          <t>Q2 2024</t>
        </is>
      </c>
      <c r="E633" t="inlineStr">
        <is>
          <t>n.d.</t>
        </is>
      </c>
      <c r="F633" t="inlineStr">
        <is>
          <t>not disclosed</t>
        </is>
      </c>
      <c r="G633" t="inlineStr">
        <is>
          <t>input n.d.</t>
        </is>
      </c>
      <c r="H633" t="inlineStr">
        <is>
          <t>missing: ai@Q2 2024</t>
        </is>
      </c>
    </row>
    <row r="634">
      <c r="A634" t="inlineStr">
        <is>
          <t>KPI</t>
        </is>
      </c>
      <c r="B634" t="inlineStr">
        <is>
          <t>E59</t>
        </is>
      </c>
      <c r="C634" t="inlineStr">
        <is>
          <t>AI cloud revenue per energized MW, annualized (quarter-end MW)</t>
        </is>
      </c>
      <c r="D634" t="inlineStr">
        <is>
          <t>Q3 2024</t>
        </is>
      </c>
      <c r="E634" t="inlineStr">
        <is>
          <t>formula: =E6*4/E30</t>
        </is>
      </c>
      <c r="F634" t="inlineStr">
        <is>
          <t>Estimated</t>
        </is>
      </c>
      <c r="G634" t="inlineStr">
        <is>
          <t>formula: =E6*4/E30</t>
        </is>
      </c>
      <c r="H634" t="inlineStr">
        <is>
          <t>inputs: ai[Q3 2024], mw[Q3 2024]</t>
        </is>
      </c>
    </row>
    <row r="635">
      <c r="A635" t="inlineStr">
        <is>
          <t>KPI</t>
        </is>
      </c>
      <c r="B635" t="inlineStr">
        <is>
          <t>F59</t>
        </is>
      </c>
      <c r="C635" t="inlineStr">
        <is>
          <t>AI cloud revenue per energized MW, annualized (quarter-end MW)</t>
        </is>
      </c>
      <c r="D635" t="inlineStr">
        <is>
          <t>Q4 2024</t>
        </is>
      </c>
      <c r="E635" t="inlineStr">
        <is>
          <t>formula: =F6*4/F30</t>
        </is>
      </c>
      <c r="F635" t="inlineStr">
        <is>
          <t>Estimated</t>
        </is>
      </c>
      <c r="G635" t="inlineStr">
        <is>
          <t>formula: =F6*4/F30</t>
        </is>
      </c>
      <c r="H635" t="inlineStr">
        <is>
          <t>inputs: ai[Q4 2024], mw[Q4 2024]</t>
        </is>
      </c>
    </row>
    <row r="636">
      <c r="A636" t="inlineStr">
        <is>
          <t>KPI</t>
        </is>
      </c>
      <c r="B636" t="inlineStr">
        <is>
          <t>G59</t>
        </is>
      </c>
      <c r="C636" t="inlineStr">
        <is>
          <t>AI cloud revenue per energized MW, annualized (quarter-end MW)</t>
        </is>
      </c>
      <c r="D636" t="inlineStr">
        <is>
          <t>Q1 2025</t>
        </is>
      </c>
      <c r="E636" t="inlineStr">
        <is>
          <t>formula: =G6*4/G30</t>
        </is>
      </c>
      <c r="F636" t="inlineStr">
        <is>
          <t>Estimated</t>
        </is>
      </c>
      <c r="G636" t="inlineStr">
        <is>
          <t>formula: =G6*4/G30</t>
        </is>
      </c>
      <c r="H636" t="inlineStr">
        <is>
          <t>inputs: ai[Q1 2025], mw[Q1 2025]</t>
        </is>
      </c>
    </row>
    <row r="637">
      <c r="A637" t="inlineStr">
        <is>
          <t>KPI</t>
        </is>
      </c>
      <c r="B637" t="inlineStr">
        <is>
          <t>H59</t>
        </is>
      </c>
      <c r="C637" t="inlineStr">
        <is>
          <t>AI cloud revenue per energized MW, annualized (quarter-end MW)</t>
        </is>
      </c>
      <c r="D637" t="inlineStr">
        <is>
          <t>Q2 2025</t>
        </is>
      </c>
      <c r="E637" t="inlineStr">
        <is>
          <t>formula: =H6*4/H30</t>
        </is>
      </c>
      <c r="F637" t="inlineStr">
        <is>
          <t>Estimated</t>
        </is>
      </c>
      <c r="G637" t="inlineStr">
        <is>
          <t>formula: =H6*4/H30</t>
        </is>
      </c>
      <c r="H637" t="inlineStr">
        <is>
          <t>inputs: ai[Q2 2025], mw[Q2 2025]</t>
        </is>
      </c>
    </row>
    <row r="638">
      <c r="A638" t="inlineStr">
        <is>
          <t>KPI</t>
        </is>
      </c>
      <c r="B638" t="inlineStr">
        <is>
          <t>I59</t>
        </is>
      </c>
      <c r="C638" t="inlineStr">
        <is>
          <t>AI cloud revenue per energized MW, annualized (quarter-end MW)</t>
        </is>
      </c>
      <c r="D638" t="inlineStr">
        <is>
          <t>Q3 2025</t>
        </is>
      </c>
      <c r="E638" t="inlineStr">
        <is>
          <t>formula: =I6*4/I30</t>
        </is>
      </c>
      <c r="F638" t="inlineStr">
        <is>
          <t>Estimated</t>
        </is>
      </c>
      <c r="G638" t="inlineStr">
        <is>
          <t>formula: =I6*4/I30</t>
        </is>
      </c>
      <c r="H638" t="inlineStr">
        <is>
          <t>inputs: ai[Q3 2025], mw[Q3 2025]</t>
        </is>
      </c>
    </row>
    <row r="639">
      <c r="A639" t="inlineStr">
        <is>
          <t>KPI</t>
        </is>
      </c>
      <c r="B639" t="inlineStr">
        <is>
          <t>J59</t>
        </is>
      </c>
      <c r="C639" t="inlineStr">
        <is>
          <t>AI cloud revenue per energized MW, annualized (quarter-end MW)</t>
        </is>
      </c>
      <c r="D639" t="inlineStr">
        <is>
          <t>Q4 2025</t>
        </is>
      </c>
      <c r="E639" t="inlineStr">
        <is>
          <t>formula: =J6*4/J30</t>
        </is>
      </c>
      <c r="F639" t="inlineStr">
        <is>
          <t>Estimated</t>
        </is>
      </c>
      <c r="G639" t="inlineStr">
        <is>
          <t>formula: =J6*4/J30</t>
        </is>
      </c>
      <c r="H639" t="inlineStr">
        <is>
          <t>inputs: ai[Q4 2025], mw[Q4 2025]</t>
        </is>
      </c>
    </row>
    <row r="640">
      <c r="A640" t="inlineStr">
        <is>
          <t>KPI</t>
        </is>
      </c>
      <c r="B640" t="inlineStr">
        <is>
          <t>K59</t>
        </is>
      </c>
      <c r="C640" t="inlineStr">
        <is>
          <t>AI cloud revenue per energized MW, annualized (quarter-end MW)</t>
        </is>
      </c>
      <c r="D640" t="inlineStr">
        <is>
          <t>Q1 2026</t>
        </is>
      </c>
      <c r="E640" t="inlineStr">
        <is>
          <t>formula: =K6*4/K30</t>
        </is>
      </c>
      <c r="F640" t="inlineStr">
        <is>
          <t>Estimated</t>
        </is>
      </c>
      <c r="G640" t="inlineStr">
        <is>
          <t>formula: =K6*4/K30</t>
        </is>
      </c>
      <c r="H640" t="inlineStr">
        <is>
          <t>inputs: ai[Q1 2026], mw[Q1 2026]</t>
        </is>
      </c>
    </row>
    <row r="641">
      <c r="A641" t="inlineStr">
        <is>
          <t>KPI</t>
        </is>
      </c>
      <c r="B641" t="inlineStr">
        <is>
          <t>L59</t>
        </is>
      </c>
      <c r="C641" t="inlineStr">
        <is>
          <t>AI cloud revenue per energized MW, annualized (quarter-end MW)</t>
        </is>
      </c>
      <c r="D641" t="inlineStr">
        <is>
          <t>Q2 2026</t>
        </is>
      </c>
      <c r="E641" t="inlineStr">
        <is>
          <t>formula: =L6*4/L30</t>
        </is>
      </c>
      <c r="F641" t="inlineStr">
        <is>
          <t>Estimated</t>
        </is>
      </c>
      <c r="G641" t="inlineStr">
        <is>
          <t>formula: =L6*4/L30</t>
        </is>
      </c>
      <c r="H641" t="inlineStr">
        <is>
          <t>inputs: ai[Q2 2026], mw[Q2 2026]</t>
        </is>
      </c>
    </row>
    <row r="642">
      <c r="A642" t="inlineStr">
        <is>
          <t>KPI</t>
        </is>
      </c>
      <c r="B642" t="inlineStr">
        <is>
          <t>C60</t>
        </is>
      </c>
      <c r="C642" t="inlineStr">
        <is>
          <t>AI cloud revenue per energized MW, annualized (average MW)</t>
        </is>
      </c>
      <c r="D642" t="inlineStr">
        <is>
          <t>Q1 2024</t>
        </is>
      </c>
      <c r="E642" t="inlineStr">
        <is>
          <t>n.d.</t>
        </is>
      </c>
      <c r="F642" t="inlineStr">
        <is>
          <t>not disclosed</t>
        </is>
      </c>
      <c r="G642" t="inlineStr">
        <is>
          <t>input n.d.</t>
        </is>
      </c>
      <c r="H642" t="inlineStr">
        <is>
          <t>missing: ai@Q1 2024, mw@pre-Q1-24</t>
        </is>
      </c>
    </row>
    <row r="643">
      <c r="A643" t="inlineStr">
        <is>
          <t>KPI</t>
        </is>
      </c>
      <c r="B643" t="inlineStr">
        <is>
          <t>D60</t>
        </is>
      </c>
      <c r="C643" t="inlineStr">
        <is>
          <t>AI cloud revenue per energized MW, annualized (average MW)</t>
        </is>
      </c>
      <c r="D643" t="inlineStr">
        <is>
          <t>Q2 2024</t>
        </is>
      </c>
      <c r="E643" t="inlineStr">
        <is>
          <t>n.d.</t>
        </is>
      </c>
      <c r="F643" t="inlineStr">
        <is>
          <t>not disclosed</t>
        </is>
      </c>
      <c r="G643" t="inlineStr">
        <is>
          <t>input n.d.</t>
        </is>
      </c>
      <c r="H643" t="inlineStr">
        <is>
          <t>missing: ai@Q2 2024</t>
        </is>
      </c>
    </row>
    <row r="644">
      <c r="A644" t="inlineStr">
        <is>
          <t>KPI</t>
        </is>
      </c>
      <c r="B644" t="inlineStr">
        <is>
          <t>E60</t>
        </is>
      </c>
      <c r="C644" t="inlineStr">
        <is>
          <t>AI cloud revenue per energized MW, annualized (average MW)</t>
        </is>
      </c>
      <c r="D644" t="inlineStr">
        <is>
          <t>Q3 2024</t>
        </is>
      </c>
      <c r="E644" t="inlineStr">
        <is>
          <t>formula: =E6*4/AVERAGE(D30,E30)</t>
        </is>
      </c>
      <c r="F644" t="inlineStr">
        <is>
          <t>Estimated</t>
        </is>
      </c>
      <c r="G644" t="inlineStr">
        <is>
          <t>formula: =E6*4/AVERAGE(D30,E30)</t>
        </is>
      </c>
      <c r="H644" t="inlineStr">
        <is>
          <t>inputs: ai[Q3 2024], mw[Q2 2024], mw[Q3 2024]</t>
        </is>
      </c>
    </row>
    <row r="645">
      <c r="A645" t="inlineStr">
        <is>
          <t>KPI</t>
        </is>
      </c>
      <c r="B645" t="inlineStr">
        <is>
          <t>F60</t>
        </is>
      </c>
      <c r="C645" t="inlineStr">
        <is>
          <t>AI cloud revenue per energized MW, annualized (average MW)</t>
        </is>
      </c>
      <c r="D645" t="inlineStr">
        <is>
          <t>Q4 2024</t>
        </is>
      </c>
      <c r="E645" t="inlineStr">
        <is>
          <t>formula: =F6*4/AVERAGE(E30,F30)</t>
        </is>
      </c>
      <c r="F645" t="inlineStr">
        <is>
          <t>Estimated</t>
        </is>
      </c>
      <c r="G645" t="inlineStr">
        <is>
          <t>formula: =F6*4/AVERAGE(E30,F30)</t>
        </is>
      </c>
      <c r="H645" t="inlineStr">
        <is>
          <t>inputs: ai[Q4 2024], mw[Q3 2024], mw[Q4 2024]</t>
        </is>
      </c>
    </row>
    <row r="646">
      <c r="A646" t="inlineStr">
        <is>
          <t>KPI</t>
        </is>
      </c>
      <c r="B646" t="inlineStr">
        <is>
          <t>G60</t>
        </is>
      </c>
      <c r="C646" t="inlineStr">
        <is>
          <t>AI cloud revenue per energized MW, annualized (average MW)</t>
        </is>
      </c>
      <c r="D646" t="inlineStr">
        <is>
          <t>Q1 2025</t>
        </is>
      </c>
      <c r="E646" t="inlineStr">
        <is>
          <t>formula: =G6*4/AVERAGE(F30,G30)</t>
        </is>
      </c>
      <c r="F646" t="inlineStr">
        <is>
          <t>Estimated</t>
        </is>
      </c>
      <c r="G646" t="inlineStr">
        <is>
          <t>formula: =G6*4/AVERAGE(F30,G30)</t>
        </is>
      </c>
      <c r="H646" t="inlineStr">
        <is>
          <t>inputs: ai[Q1 2025], mw[Q4 2024], mw[Q1 2025]</t>
        </is>
      </c>
    </row>
    <row r="647">
      <c r="A647" t="inlineStr">
        <is>
          <t>KPI</t>
        </is>
      </c>
      <c r="B647" t="inlineStr">
        <is>
          <t>H60</t>
        </is>
      </c>
      <c r="C647" t="inlineStr">
        <is>
          <t>AI cloud revenue per energized MW, annualized (average MW)</t>
        </is>
      </c>
      <c r="D647" t="inlineStr">
        <is>
          <t>Q2 2025</t>
        </is>
      </c>
      <c r="E647" t="inlineStr">
        <is>
          <t>formula: =H6*4/AVERAGE(G30,H30)</t>
        </is>
      </c>
      <c r="F647" t="inlineStr">
        <is>
          <t>Estimated</t>
        </is>
      </c>
      <c r="G647" t="inlineStr">
        <is>
          <t>formula: =H6*4/AVERAGE(G30,H30)</t>
        </is>
      </c>
      <c r="H647" t="inlineStr">
        <is>
          <t>inputs: ai[Q2 2025], mw[Q1 2025], mw[Q2 2025]</t>
        </is>
      </c>
    </row>
    <row r="648">
      <c r="A648" t="inlineStr">
        <is>
          <t>KPI</t>
        </is>
      </c>
      <c r="B648" t="inlineStr">
        <is>
          <t>I60</t>
        </is>
      </c>
      <c r="C648" t="inlineStr">
        <is>
          <t>AI cloud revenue per energized MW, annualized (average MW)</t>
        </is>
      </c>
      <c r="D648" t="inlineStr">
        <is>
          <t>Q3 2025</t>
        </is>
      </c>
      <c r="E648" t="inlineStr">
        <is>
          <t>formula: =I6*4/AVERAGE(H30,I30)</t>
        </is>
      </c>
      <c r="F648" t="inlineStr">
        <is>
          <t>Estimated</t>
        </is>
      </c>
      <c r="G648" t="inlineStr">
        <is>
          <t>formula: =I6*4/AVERAGE(H30,I30)</t>
        </is>
      </c>
      <c r="H648" t="inlineStr">
        <is>
          <t>inputs: ai[Q3 2025], mw[Q2 2025], mw[Q3 2025]</t>
        </is>
      </c>
    </row>
    <row r="649">
      <c r="A649" t="inlineStr">
        <is>
          <t>KPI</t>
        </is>
      </c>
      <c r="B649" t="inlineStr">
        <is>
          <t>J60</t>
        </is>
      </c>
      <c r="C649" t="inlineStr">
        <is>
          <t>AI cloud revenue per energized MW, annualized (average MW)</t>
        </is>
      </c>
      <c r="D649" t="inlineStr">
        <is>
          <t>Q4 2025</t>
        </is>
      </c>
      <c r="E649" t="inlineStr">
        <is>
          <t>formula: =J6*4/AVERAGE(I30,J30)</t>
        </is>
      </c>
      <c r="F649" t="inlineStr">
        <is>
          <t>Estimated</t>
        </is>
      </c>
      <c r="G649" t="inlineStr">
        <is>
          <t>formula: =J6*4/AVERAGE(I30,J30)</t>
        </is>
      </c>
      <c r="H649" t="inlineStr">
        <is>
          <t>inputs: ai[Q4 2025], mw[Q3 2025], mw[Q4 2025]</t>
        </is>
      </c>
    </row>
    <row r="650">
      <c r="A650" t="inlineStr">
        <is>
          <t>KPI</t>
        </is>
      </c>
      <c r="B650" t="inlineStr">
        <is>
          <t>K60</t>
        </is>
      </c>
      <c r="C650" t="inlineStr">
        <is>
          <t>AI cloud revenue per energized MW, annualized (average MW)</t>
        </is>
      </c>
      <c r="D650" t="inlineStr">
        <is>
          <t>Q1 2026</t>
        </is>
      </c>
      <c r="E650" t="inlineStr">
        <is>
          <t>formula: =K6*4/AVERAGE(J30,K30)</t>
        </is>
      </c>
      <c r="F650" t="inlineStr">
        <is>
          <t>Estimated</t>
        </is>
      </c>
      <c r="G650" t="inlineStr">
        <is>
          <t>formula: =K6*4/AVERAGE(J30,K30)</t>
        </is>
      </c>
      <c r="H650" t="inlineStr">
        <is>
          <t>inputs: ai[Q1 2026], mw[Q4 2025], mw[Q1 2026]</t>
        </is>
      </c>
    </row>
    <row r="651">
      <c r="A651" t="inlineStr">
        <is>
          <t>KPI</t>
        </is>
      </c>
      <c r="B651" t="inlineStr">
        <is>
          <t>L60</t>
        </is>
      </c>
      <c r="C651" t="inlineStr">
        <is>
          <t>AI cloud revenue per energized MW, annualized (average MW)</t>
        </is>
      </c>
      <c r="D651" t="inlineStr">
        <is>
          <t>Q2 2026</t>
        </is>
      </c>
      <c r="E651" t="inlineStr">
        <is>
          <t>formula: =L6*4/AVERAGE(K30,L30)</t>
        </is>
      </c>
      <c r="F651" t="inlineStr">
        <is>
          <t>Estimated</t>
        </is>
      </c>
      <c r="G651" t="inlineStr">
        <is>
          <t>formula: =L6*4/AVERAGE(K30,L30)</t>
        </is>
      </c>
      <c r="H651" t="inlineStr">
        <is>
          <t>inputs: ai[Q2 2026], mw[Q1 2026], mw[Q2 2026]</t>
        </is>
      </c>
    </row>
    <row r="652">
      <c r="A652" t="inlineStr">
        <is>
          <t>KPI</t>
        </is>
      </c>
      <c r="B652" t="inlineStr">
        <is>
          <t>C61</t>
        </is>
      </c>
      <c r="C652" t="inlineStr">
        <is>
          <t>AI cloud revenue per MW as stated by mgmt (YE MW), annualized</t>
        </is>
      </c>
      <c r="D652" t="inlineStr">
        <is>
          <t>Q1 2024</t>
        </is>
      </c>
      <c r="E652" t="inlineStr">
        <is>
          <t>n.d.</t>
        </is>
      </c>
      <c r="F652" t="inlineStr">
        <is>
          <t>not disclosed</t>
        </is>
      </c>
      <c r="G652" t="inlineStr">
        <is>
          <t>input n.d.</t>
        </is>
      </c>
      <c r="H652" t="inlineStr">
        <is>
          <t>missing: ai@Q1 2024, mw_mgmt@Q1 2024</t>
        </is>
      </c>
    </row>
    <row r="653">
      <c r="A653" t="inlineStr">
        <is>
          <t>KPI</t>
        </is>
      </c>
      <c r="B653" t="inlineStr">
        <is>
          <t>D61</t>
        </is>
      </c>
      <c r="C653" t="inlineStr">
        <is>
          <t>AI cloud revenue per MW as stated by mgmt (YE MW), annualized</t>
        </is>
      </c>
      <c r="D653" t="inlineStr">
        <is>
          <t>Q2 2024</t>
        </is>
      </c>
      <c r="E653" t="inlineStr">
        <is>
          <t>n.d.</t>
        </is>
      </c>
      <c r="F653" t="inlineStr">
        <is>
          <t>not disclosed</t>
        </is>
      </c>
      <c r="G653" t="inlineStr">
        <is>
          <t>input n.d.</t>
        </is>
      </c>
      <c r="H653" t="inlineStr">
        <is>
          <t>missing: ai@Q2 2024, mw_mgmt@Q2 2024</t>
        </is>
      </c>
    </row>
    <row r="654">
      <c r="A654" t="inlineStr">
        <is>
          <t>KPI</t>
        </is>
      </c>
      <c r="B654" t="inlineStr">
        <is>
          <t>E61</t>
        </is>
      </c>
      <c r="C654" t="inlineStr">
        <is>
          <t>AI cloud revenue per MW as stated by mgmt (YE MW), annualized</t>
        </is>
      </c>
      <c r="D654" t="inlineStr">
        <is>
          <t>Q3 2024</t>
        </is>
      </c>
      <c r="E654" t="inlineStr">
        <is>
          <t>n.d.</t>
        </is>
      </c>
      <c r="F654" t="inlineStr">
        <is>
          <t>not disclosed</t>
        </is>
      </c>
      <c r="G654" t="inlineStr">
        <is>
          <t>input n.d.</t>
        </is>
      </c>
      <c r="H654" t="inlineStr">
        <is>
          <t>missing: mw_mgmt@Q3 2024</t>
        </is>
      </c>
    </row>
    <row r="655">
      <c r="A655" t="inlineStr">
        <is>
          <t>KPI</t>
        </is>
      </c>
      <c r="B655" t="inlineStr">
        <is>
          <t>F61</t>
        </is>
      </c>
      <c r="C655" t="inlineStr">
        <is>
          <t>AI cloud revenue per MW as stated by mgmt (YE MW), annualized</t>
        </is>
      </c>
      <c r="D655" t="inlineStr">
        <is>
          <t>Q4 2024</t>
        </is>
      </c>
      <c r="E655" t="inlineStr">
        <is>
          <t>formula: =F6*4/F33</t>
        </is>
      </c>
      <c r="F655" t="inlineStr">
        <is>
          <t>Derived</t>
        </is>
      </c>
      <c r="G655" t="inlineStr">
        <is>
          <t>formula: =F6*4/F33</t>
        </is>
      </c>
      <c r="H655" t="inlineStr">
        <is>
          <t>inputs: ai[Q4 2024], mw_mgmt[Q4 2024]</t>
        </is>
      </c>
    </row>
    <row r="656">
      <c r="A656" t="inlineStr">
        <is>
          <t>KPI</t>
        </is>
      </c>
      <c r="B656" t="inlineStr">
        <is>
          <t>G61</t>
        </is>
      </c>
      <c r="C656" t="inlineStr">
        <is>
          <t>AI cloud revenue per MW as stated by mgmt (YE MW), annualized</t>
        </is>
      </c>
      <c r="D656" t="inlineStr">
        <is>
          <t>Q1 2025</t>
        </is>
      </c>
      <c r="E656" t="inlineStr">
        <is>
          <t>n.d.</t>
        </is>
      </c>
      <c r="F656" t="inlineStr">
        <is>
          <t>not disclosed</t>
        </is>
      </c>
      <c r="G656" t="inlineStr">
        <is>
          <t>input n.d.</t>
        </is>
      </c>
      <c r="H656" t="inlineStr">
        <is>
          <t>missing: mw_mgmt@Q1 2025</t>
        </is>
      </c>
    </row>
    <row r="657">
      <c r="A657" t="inlineStr">
        <is>
          <t>KPI</t>
        </is>
      </c>
      <c r="B657" t="inlineStr">
        <is>
          <t>H61</t>
        </is>
      </c>
      <c r="C657" t="inlineStr">
        <is>
          <t>AI cloud revenue per MW as stated by mgmt (YE MW), annualized</t>
        </is>
      </c>
      <c r="D657" t="inlineStr">
        <is>
          <t>Q2 2025</t>
        </is>
      </c>
      <c r="E657" t="inlineStr">
        <is>
          <t>n.d.</t>
        </is>
      </c>
      <c r="F657" t="inlineStr">
        <is>
          <t>not disclosed</t>
        </is>
      </c>
      <c r="G657" t="inlineStr">
        <is>
          <t>input n.d.</t>
        </is>
      </c>
      <c r="H657" t="inlineStr">
        <is>
          <t>missing: mw_mgmt@Q2 2025</t>
        </is>
      </c>
    </row>
    <row r="658">
      <c r="A658" t="inlineStr">
        <is>
          <t>KPI</t>
        </is>
      </c>
      <c r="B658" t="inlineStr">
        <is>
          <t>I61</t>
        </is>
      </c>
      <c r="C658" t="inlineStr">
        <is>
          <t>AI cloud revenue per MW as stated by mgmt (YE MW), annualized</t>
        </is>
      </c>
      <c r="D658" t="inlineStr">
        <is>
          <t>Q3 2025</t>
        </is>
      </c>
      <c r="E658" t="inlineStr">
        <is>
          <t>n.d.</t>
        </is>
      </c>
      <c r="F658" t="inlineStr">
        <is>
          <t>not disclosed</t>
        </is>
      </c>
      <c r="G658" t="inlineStr">
        <is>
          <t>input n.d.</t>
        </is>
      </c>
      <c r="H658" t="inlineStr">
        <is>
          <t>missing: mw_mgmt@Q3 2025</t>
        </is>
      </c>
    </row>
    <row r="659">
      <c r="A659" t="inlineStr">
        <is>
          <t>KPI</t>
        </is>
      </c>
      <c r="B659" t="inlineStr">
        <is>
          <t>J61</t>
        </is>
      </c>
      <c r="C659" t="inlineStr">
        <is>
          <t>AI cloud revenue per MW as stated by mgmt (YE MW), annualized</t>
        </is>
      </c>
      <c r="D659" t="inlineStr">
        <is>
          <t>Q4 2025</t>
        </is>
      </c>
      <c r="E659" t="inlineStr">
        <is>
          <t>formula: =J6*4/J33</t>
        </is>
      </c>
      <c r="F659" t="inlineStr">
        <is>
          <t>Derived</t>
        </is>
      </c>
      <c r="G659" t="inlineStr">
        <is>
          <t>formula: =J6*4/J33</t>
        </is>
      </c>
      <c r="H659" t="inlineStr">
        <is>
          <t>inputs: ai[Q4 2025], mw_mgmt[Q4 2025]</t>
        </is>
      </c>
    </row>
    <row r="660">
      <c r="A660" t="inlineStr">
        <is>
          <t>KPI</t>
        </is>
      </c>
      <c r="B660" t="inlineStr">
        <is>
          <t>K61</t>
        </is>
      </c>
      <c r="C660" t="inlineStr">
        <is>
          <t>AI cloud revenue per MW as stated by mgmt (YE MW), annualized</t>
        </is>
      </c>
      <c r="D660" t="inlineStr">
        <is>
          <t>Q1 2026</t>
        </is>
      </c>
      <c r="E660" t="inlineStr">
        <is>
          <t>n.d.</t>
        </is>
      </c>
      <c r="F660" t="inlineStr">
        <is>
          <t>not disclosed</t>
        </is>
      </c>
      <c r="G660" t="inlineStr">
        <is>
          <t>input n.d.</t>
        </is>
      </c>
      <c r="H660" t="inlineStr">
        <is>
          <t>missing: mw_mgmt@Q1 2026</t>
        </is>
      </c>
    </row>
    <row r="661">
      <c r="A661" t="inlineStr">
        <is>
          <t>KPI</t>
        </is>
      </c>
      <c r="B661" t="inlineStr">
        <is>
          <t>L61</t>
        </is>
      </c>
      <c r="C661" t="inlineStr">
        <is>
          <t>AI cloud revenue per MW as stated by mgmt (YE MW), annualized</t>
        </is>
      </c>
      <c r="D661" t="inlineStr">
        <is>
          <t>Q2 2026</t>
        </is>
      </c>
      <c r="E661" t="inlineStr">
        <is>
          <t>n.d.</t>
        </is>
      </c>
      <c r="F661" t="inlineStr">
        <is>
          <t>not disclosed</t>
        </is>
      </c>
      <c r="G661" t="inlineStr">
        <is>
          <t>input n.d.</t>
        </is>
      </c>
      <c r="H661" t="inlineStr">
        <is>
          <t>missing: mw_mgmt@Q2 2026</t>
        </is>
      </c>
    </row>
    <row r="662">
      <c r="A662" t="inlineStr">
        <is>
          <t>KPI</t>
        </is>
      </c>
      <c r="B662" t="inlineStr">
        <is>
          <t>C62</t>
        </is>
      </c>
      <c r="C662" t="inlineStr">
        <is>
          <t>AI cloud revenue per GPU, annualized (average GPUs)</t>
        </is>
      </c>
      <c r="D662" t="inlineStr">
        <is>
          <t>Q1 2024</t>
        </is>
      </c>
      <c r="E662" t="inlineStr">
        <is>
          <t>n.d.</t>
        </is>
      </c>
      <c r="F662" t="inlineStr">
        <is>
          <t>not disclosed</t>
        </is>
      </c>
      <c r="G662" t="inlineStr">
        <is>
          <t>input n.d.</t>
        </is>
      </c>
      <c r="H662" t="inlineStr">
        <is>
          <t>missing: ai@Q1 2024, gpu_avg@Q1 2024</t>
        </is>
      </c>
    </row>
    <row r="663">
      <c r="A663" t="inlineStr">
        <is>
          <t>KPI</t>
        </is>
      </c>
      <c r="B663" t="inlineStr">
        <is>
          <t>D62</t>
        </is>
      </c>
      <c r="C663" t="inlineStr">
        <is>
          <t>AI cloud revenue per GPU, annualized (average GPUs)</t>
        </is>
      </c>
      <c r="D663" t="inlineStr">
        <is>
          <t>Q2 2024</t>
        </is>
      </c>
      <c r="E663" t="inlineStr">
        <is>
          <t>n.d.</t>
        </is>
      </c>
      <c r="F663" t="inlineStr">
        <is>
          <t>not disclosed</t>
        </is>
      </c>
      <c r="G663" t="inlineStr">
        <is>
          <t>input n.d.</t>
        </is>
      </c>
      <c r="H663" t="inlineStr">
        <is>
          <t>missing: ai@Q2 2024</t>
        </is>
      </c>
    </row>
    <row r="664">
      <c r="A664" t="inlineStr">
        <is>
          <t>KPI</t>
        </is>
      </c>
      <c r="B664" t="inlineStr">
        <is>
          <t>E62</t>
        </is>
      </c>
      <c r="C664" t="inlineStr">
        <is>
          <t>AI cloud revenue per GPU, annualized (average GPUs)</t>
        </is>
      </c>
      <c r="D664" t="inlineStr">
        <is>
          <t>Q3 2024</t>
        </is>
      </c>
      <c r="E664" t="inlineStr">
        <is>
          <t>formula: =E6*4*1000/E55</t>
        </is>
      </c>
      <c r="F664" t="inlineStr">
        <is>
          <t>Estimated</t>
        </is>
      </c>
      <c r="G664" t="inlineStr">
        <is>
          <t>formula: =E6*4*1000/E55</t>
        </is>
      </c>
      <c r="H664" t="inlineStr">
        <is>
          <t>inputs: ai[Q3 2024], gpu_avg[Q3 2024]</t>
        </is>
      </c>
    </row>
    <row r="665">
      <c r="A665" t="inlineStr">
        <is>
          <t>KPI</t>
        </is>
      </c>
      <c r="B665" t="inlineStr">
        <is>
          <t>F62</t>
        </is>
      </c>
      <c r="C665" t="inlineStr">
        <is>
          <t>AI cloud revenue per GPU, annualized (average GPUs)</t>
        </is>
      </c>
      <c r="D665" t="inlineStr">
        <is>
          <t>Q4 2024</t>
        </is>
      </c>
      <c r="E665" t="inlineStr">
        <is>
          <t>formula: =F6*4*1000/F55</t>
        </is>
      </c>
      <c r="F665" t="inlineStr">
        <is>
          <t>Estimated</t>
        </is>
      </c>
      <c r="G665" t="inlineStr">
        <is>
          <t>formula: =F6*4*1000/F55</t>
        </is>
      </c>
      <c r="H665" t="inlineStr">
        <is>
          <t>inputs: ai[Q4 2024], gpu_avg[Q4 2024]</t>
        </is>
      </c>
    </row>
    <row r="666">
      <c r="A666" t="inlineStr">
        <is>
          <t>KPI</t>
        </is>
      </c>
      <c r="B666" t="inlineStr">
        <is>
          <t>G62</t>
        </is>
      </c>
      <c r="C666" t="inlineStr">
        <is>
          <t>AI cloud revenue per GPU, annualized (average GPUs)</t>
        </is>
      </c>
      <c r="D666" t="inlineStr">
        <is>
          <t>Q1 2025</t>
        </is>
      </c>
      <c r="E666" t="inlineStr">
        <is>
          <t>formula: =G6*4*1000/G55</t>
        </is>
      </c>
      <c r="F666" t="inlineStr">
        <is>
          <t>Estimated</t>
        </is>
      </c>
      <c r="G666" t="inlineStr">
        <is>
          <t>formula: =G6*4*1000/G55</t>
        </is>
      </c>
      <c r="H666" t="inlineStr">
        <is>
          <t>inputs: ai[Q1 2025], gpu_avg[Q1 2025]</t>
        </is>
      </c>
    </row>
    <row r="667">
      <c r="A667" t="inlineStr">
        <is>
          <t>KPI</t>
        </is>
      </c>
      <c r="B667" t="inlineStr">
        <is>
          <t>H62</t>
        </is>
      </c>
      <c r="C667" t="inlineStr">
        <is>
          <t>AI cloud revenue per GPU, annualized (average GPUs)</t>
        </is>
      </c>
      <c r="D667" t="inlineStr">
        <is>
          <t>Q2 2025</t>
        </is>
      </c>
      <c r="E667" t="inlineStr">
        <is>
          <t>formula: =H6*4*1000/H55</t>
        </is>
      </c>
      <c r="F667" t="inlineStr">
        <is>
          <t>Estimated</t>
        </is>
      </c>
      <c r="G667" t="inlineStr">
        <is>
          <t>formula: =H6*4*1000/H55</t>
        </is>
      </c>
      <c r="H667" t="inlineStr">
        <is>
          <t>inputs: ai[Q2 2025], gpu_avg[Q2 2025]</t>
        </is>
      </c>
    </row>
    <row r="668">
      <c r="A668" t="inlineStr">
        <is>
          <t>KPI</t>
        </is>
      </c>
      <c r="B668" t="inlineStr">
        <is>
          <t>I62</t>
        </is>
      </c>
      <c r="C668" t="inlineStr">
        <is>
          <t>AI cloud revenue per GPU, annualized (average GPUs)</t>
        </is>
      </c>
      <c r="D668" t="inlineStr">
        <is>
          <t>Q3 2025</t>
        </is>
      </c>
      <c r="E668" t="inlineStr">
        <is>
          <t>formula: =I6*4*1000/I55</t>
        </is>
      </c>
      <c r="F668" t="inlineStr">
        <is>
          <t>Estimated</t>
        </is>
      </c>
      <c r="G668" t="inlineStr">
        <is>
          <t>formula: =I6*4*1000/I55</t>
        </is>
      </c>
      <c r="H668" t="inlineStr">
        <is>
          <t>inputs: ai[Q3 2025], gpu_avg[Q3 2025]</t>
        </is>
      </c>
    </row>
    <row r="669">
      <c r="A669" t="inlineStr">
        <is>
          <t>KPI</t>
        </is>
      </c>
      <c r="B669" t="inlineStr">
        <is>
          <t>J62</t>
        </is>
      </c>
      <c r="C669" t="inlineStr">
        <is>
          <t>AI cloud revenue per GPU, annualized (average GPUs)</t>
        </is>
      </c>
      <c r="D669" t="inlineStr">
        <is>
          <t>Q4 2025</t>
        </is>
      </c>
      <c r="E669" t="inlineStr">
        <is>
          <t>formula: =J6*4*1000/J55</t>
        </is>
      </c>
      <c r="F669" t="inlineStr">
        <is>
          <t>Estimated</t>
        </is>
      </c>
      <c r="G669" t="inlineStr">
        <is>
          <t>formula: =J6*4*1000/J55</t>
        </is>
      </c>
      <c r="H669" t="inlineStr">
        <is>
          <t>inputs: ai[Q4 2025], gpu_avg[Q4 2025]</t>
        </is>
      </c>
    </row>
    <row r="670">
      <c r="A670" t="inlineStr">
        <is>
          <t>KPI</t>
        </is>
      </c>
      <c r="B670" t="inlineStr">
        <is>
          <t>K62</t>
        </is>
      </c>
      <c r="C670" t="inlineStr">
        <is>
          <t>AI cloud revenue per GPU, annualized (average GPUs)</t>
        </is>
      </c>
      <c r="D670" t="inlineStr">
        <is>
          <t>Q1 2026</t>
        </is>
      </c>
      <c r="E670" t="inlineStr">
        <is>
          <t>formula: =K6*4*1000/K55</t>
        </is>
      </c>
      <c r="F670" t="inlineStr">
        <is>
          <t>Estimated</t>
        </is>
      </c>
      <c r="G670" t="inlineStr">
        <is>
          <t>formula: =K6*4*1000/K55</t>
        </is>
      </c>
      <c r="H670" t="inlineStr">
        <is>
          <t>inputs: ai[Q1 2026], gpu_avg[Q1 2026]</t>
        </is>
      </c>
    </row>
    <row r="671">
      <c r="A671" t="inlineStr">
        <is>
          <t>KPI</t>
        </is>
      </c>
      <c r="B671" t="inlineStr">
        <is>
          <t>L62</t>
        </is>
      </c>
      <c r="C671" t="inlineStr">
        <is>
          <t>AI cloud revenue per GPU, annualized (average GPUs)</t>
        </is>
      </c>
      <c r="D671" t="inlineStr">
        <is>
          <t>Q2 2026</t>
        </is>
      </c>
      <c r="E671" t="inlineStr">
        <is>
          <t>formula: =L6*4*1000/L55</t>
        </is>
      </c>
      <c r="F671" t="inlineStr">
        <is>
          <t>Estimated</t>
        </is>
      </c>
      <c r="G671" t="inlineStr">
        <is>
          <t>formula: =L6*4*1000/L55</t>
        </is>
      </c>
      <c r="H671" t="inlineStr">
        <is>
          <t>inputs: ai[Q2 2026], gpu_avg[Q2 2026]</t>
        </is>
      </c>
    </row>
    <row r="672">
      <c r="A672" t="inlineStr">
        <is>
          <t>KPI</t>
        </is>
      </c>
      <c r="B672" t="inlineStr">
        <is>
          <t>C63</t>
        </is>
      </c>
      <c r="C672" t="inlineStr">
        <is>
          <t>Change in energized MW vs prior quarter</t>
        </is>
      </c>
      <c r="D672" t="inlineStr">
        <is>
          <t>Q1 2024</t>
        </is>
      </c>
      <c r="E672" t="inlineStr">
        <is>
          <t>n.d.</t>
        </is>
      </c>
      <c r="F672" t="inlineStr">
        <is>
          <t>not disclosed</t>
        </is>
      </c>
      <c r="G672" t="inlineStr">
        <is>
          <t>input n.d.</t>
        </is>
      </c>
      <c r="H672" t="inlineStr">
        <is>
          <t>missing: mw@pre-Q1-24</t>
        </is>
      </c>
    </row>
    <row r="673">
      <c r="A673" t="inlineStr">
        <is>
          <t>KPI</t>
        </is>
      </c>
      <c r="B673" t="inlineStr">
        <is>
          <t>D63</t>
        </is>
      </c>
      <c r="C673" t="inlineStr">
        <is>
          <t>Change in energized MW vs prior quarter</t>
        </is>
      </c>
      <c r="D673" t="inlineStr">
        <is>
          <t>Q2 2024</t>
        </is>
      </c>
      <c r="E673" t="inlineStr">
        <is>
          <t>formula: =D30-C30</t>
        </is>
      </c>
      <c r="F673" t="inlineStr">
        <is>
          <t>Estimated</t>
        </is>
      </c>
      <c r="G673" t="inlineStr">
        <is>
          <t>formula: =D30-C30</t>
        </is>
      </c>
      <c r="H673" t="inlineStr">
        <is>
          <t>inputs: mw[Q1 2024], mw[Q2 2024]</t>
        </is>
      </c>
    </row>
    <row r="674">
      <c r="A674" t="inlineStr">
        <is>
          <t>KPI</t>
        </is>
      </c>
      <c r="B674" t="inlineStr">
        <is>
          <t>E63</t>
        </is>
      </c>
      <c r="C674" t="inlineStr">
        <is>
          <t>Change in energized MW vs prior quarter</t>
        </is>
      </c>
      <c r="D674" t="inlineStr">
        <is>
          <t>Q3 2024</t>
        </is>
      </c>
      <c r="E674" t="inlineStr">
        <is>
          <t>formula: =E30-D30</t>
        </is>
      </c>
      <c r="F674" t="inlineStr">
        <is>
          <t>Estimated</t>
        </is>
      </c>
      <c r="G674" t="inlineStr">
        <is>
          <t>formula: =E30-D30</t>
        </is>
      </c>
      <c r="H674" t="inlineStr">
        <is>
          <t>inputs: mw[Q2 2024], mw[Q3 2024]</t>
        </is>
      </c>
    </row>
    <row r="675">
      <c r="A675" t="inlineStr">
        <is>
          <t>KPI</t>
        </is>
      </c>
      <c r="B675" t="inlineStr">
        <is>
          <t>F63</t>
        </is>
      </c>
      <c r="C675" t="inlineStr">
        <is>
          <t>Change in energized MW vs prior quarter</t>
        </is>
      </c>
      <c r="D675" t="inlineStr">
        <is>
          <t>Q4 2024</t>
        </is>
      </c>
      <c r="E675" t="inlineStr">
        <is>
          <t>formula: =F30-E30</t>
        </is>
      </c>
      <c r="F675" t="inlineStr">
        <is>
          <t>Estimated</t>
        </is>
      </c>
      <c r="G675" t="inlineStr">
        <is>
          <t>formula: =F30-E30</t>
        </is>
      </c>
      <c r="H675" t="inlineStr">
        <is>
          <t>inputs: mw[Q3 2024], mw[Q4 2024]</t>
        </is>
      </c>
    </row>
    <row r="676">
      <c r="A676" t="inlineStr">
        <is>
          <t>KPI</t>
        </is>
      </c>
      <c r="B676" t="inlineStr">
        <is>
          <t>G63</t>
        </is>
      </c>
      <c r="C676" t="inlineStr">
        <is>
          <t>Change in energized MW vs prior quarter</t>
        </is>
      </c>
      <c r="D676" t="inlineStr">
        <is>
          <t>Q1 2025</t>
        </is>
      </c>
      <c r="E676" t="inlineStr">
        <is>
          <t>formula: =G30-F30</t>
        </is>
      </c>
      <c r="F676" t="inlineStr">
        <is>
          <t>Estimated</t>
        </is>
      </c>
      <c r="G676" t="inlineStr">
        <is>
          <t>formula: =G30-F30</t>
        </is>
      </c>
      <c r="H676" t="inlineStr">
        <is>
          <t>inputs: mw[Q4 2024], mw[Q1 2025]</t>
        </is>
      </c>
    </row>
    <row r="677">
      <c r="A677" t="inlineStr">
        <is>
          <t>KPI</t>
        </is>
      </c>
      <c r="B677" t="inlineStr">
        <is>
          <t>H63</t>
        </is>
      </c>
      <c r="C677" t="inlineStr">
        <is>
          <t>Change in energized MW vs prior quarter</t>
        </is>
      </c>
      <c r="D677" t="inlineStr">
        <is>
          <t>Q2 2025</t>
        </is>
      </c>
      <c r="E677" t="inlineStr">
        <is>
          <t>formula: =H30-G30</t>
        </is>
      </c>
      <c r="F677" t="inlineStr">
        <is>
          <t>Estimated</t>
        </is>
      </c>
      <c r="G677" t="inlineStr">
        <is>
          <t>formula: =H30-G30</t>
        </is>
      </c>
      <c r="H677" t="inlineStr">
        <is>
          <t>inputs: mw[Q1 2025], mw[Q2 2025]</t>
        </is>
      </c>
    </row>
    <row r="678">
      <c r="A678" t="inlineStr">
        <is>
          <t>KPI</t>
        </is>
      </c>
      <c r="B678" t="inlineStr">
        <is>
          <t>I63</t>
        </is>
      </c>
      <c r="C678" t="inlineStr">
        <is>
          <t>Change in energized MW vs prior quarter</t>
        </is>
      </c>
      <c r="D678" t="inlineStr">
        <is>
          <t>Q3 2025</t>
        </is>
      </c>
      <c r="E678" t="inlineStr">
        <is>
          <t>formula: =I30-H30</t>
        </is>
      </c>
      <c r="F678" t="inlineStr">
        <is>
          <t>Estimated</t>
        </is>
      </c>
      <c r="G678" t="inlineStr">
        <is>
          <t>formula: =I30-H30</t>
        </is>
      </c>
      <c r="H678" t="inlineStr">
        <is>
          <t>inputs: mw[Q2 2025], mw[Q3 2025]</t>
        </is>
      </c>
    </row>
    <row r="679">
      <c r="A679" t="inlineStr">
        <is>
          <t>KPI</t>
        </is>
      </c>
      <c r="B679" t="inlineStr">
        <is>
          <t>J63</t>
        </is>
      </c>
      <c r="C679" t="inlineStr">
        <is>
          <t>Change in energized MW vs prior quarter</t>
        </is>
      </c>
      <c r="D679" t="inlineStr">
        <is>
          <t>Q4 2025</t>
        </is>
      </c>
      <c r="E679" t="inlineStr">
        <is>
          <t>formula: =J30-I30</t>
        </is>
      </c>
      <c r="F679" t="inlineStr">
        <is>
          <t>Estimated</t>
        </is>
      </c>
      <c r="G679" t="inlineStr">
        <is>
          <t>formula: =J30-I30</t>
        </is>
      </c>
      <c r="H679" t="inlineStr">
        <is>
          <t>inputs: mw[Q3 2025], mw[Q4 2025]</t>
        </is>
      </c>
    </row>
    <row r="680">
      <c r="A680" t="inlineStr">
        <is>
          <t>KPI</t>
        </is>
      </c>
      <c r="B680" t="inlineStr">
        <is>
          <t>K63</t>
        </is>
      </c>
      <c r="C680" t="inlineStr">
        <is>
          <t>Change in energized MW vs prior quarter</t>
        </is>
      </c>
      <c r="D680" t="inlineStr">
        <is>
          <t>Q1 2026</t>
        </is>
      </c>
      <c r="E680" t="inlineStr">
        <is>
          <t>formula: =K30-J30</t>
        </is>
      </c>
      <c r="F680" t="inlineStr">
        <is>
          <t>Estimated</t>
        </is>
      </c>
      <c r="G680" t="inlineStr">
        <is>
          <t>formula: =K30-J30</t>
        </is>
      </c>
      <c r="H680" t="inlineStr">
        <is>
          <t>inputs: mw[Q4 2025], mw[Q1 2026]</t>
        </is>
      </c>
    </row>
    <row r="681">
      <c r="A681" t="inlineStr">
        <is>
          <t>KPI</t>
        </is>
      </c>
      <c r="B681" t="inlineStr">
        <is>
          <t>L63</t>
        </is>
      </c>
      <c r="C681" t="inlineStr">
        <is>
          <t>Change in energized MW vs prior quarter</t>
        </is>
      </c>
      <c r="D681" t="inlineStr">
        <is>
          <t>Q2 2026</t>
        </is>
      </c>
      <c r="E681" t="inlineStr">
        <is>
          <t>formula: =L30-K30</t>
        </is>
      </c>
      <c r="F681" t="inlineStr">
        <is>
          <t>Estimated</t>
        </is>
      </c>
      <c r="G681" t="inlineStr">
        <is>
          <t>formula: =L30-K30</t>
        </is>
      </c>
      <c r="H681" t="inlineStr">
        <is>
          <t>inputs: mw[Q1 2026], mw[Q2 2026]</t>
        </is>
      </c>
    </row>
    <row r="682">
      <c r="A682" t="inlineStr">
        <is>
          <t>KPI</t>
        </is>
      </c>
      <c r="B682" t="inlineStr">
        <is>
          <t>C64</t>
        </is>
      </c>
      <c r="C682" t="inlineStr">
        <is>
          <t>Cash capex per MW added (quarter)</t>
        </is>
      </c>
      <c r="D682" t="inlineStr">
        <is>
          <t>Q1 2024</t>
        </is>
      </c>
      <c r="E682" t="inlineStr">
        <is>
          <t>n.d.</t>
        </is>
      </c>
      <c r="F682" t="inlineStr">
        <is>
          <t>not disclosed</t>
        </is>
      </c>
      <c r="G682" t="inlineStr">
        <is>
          <t>input n.d.</t>
        </is>
      </c>
      <c r="H682" t="inlineStr">
        <is>
          <t>missing: dmw@Q1 2024</t>
        </is>
      </c>
    </row>
    <row r="683">
      <c r="A683" t="inlineStr">
        <is>
          <t>KPI</t>
        </is>
      </c>
      <c r="B683" t="inlineStr">
        <is>
          <t>D64</t>
        </is>
      </c>
      <c r="C683" t="inlineStr">
        <is>
          <t>Cash capex per MW added (quarter)</t>
        </is>
      </c>
      <c r="D683" t="inlineStr">
        <is>
          <t>Q2 2024</t>
        </is>
      </c>
      <c r="E683" t="inlineStr">
        <is>
          <t>formula: =IF(D63&lt;=5,"n.m. (dMW&lt;=5)",D11/D63)</t>
        </is>
      </c>
      <c r="F683" t="inlineStr">
        <is>
          <t>Estimated</t>
        </is>
      </c>
      <c r="G683" t="inlineStr">
        <is>
          <t>formula: =IF(D63&lt;=5,"n.m. (dMW&lt;=5)",D11/D63)</t>
        </is>
      </c>
      <c r="H683" t="inlineStr">
        <is>
          <t>inputs: capex[Q2 2024], dmw[Q2 2024]</t>
        </is>
      </c>
    </row>
    <row r="684">
      <c r="A684" t="inlineStr">
        <is>
          <t>KPI</t>
        </is>
      </c>
      <c r="B684" t="inlineStr">
        <is>
          <t>E64</t>
        </is>
      </c>
      <c r="C684" t="inlineStr">
        <is>
          <t>Cash capex per MW added (quarter)</t>
        </is>
      </c>
      <c r="D684" t="inlineStr">
        <is>
          <t>Q3 2024</t>
        </is>
      </c>
      <c r="E684" t="inlineStr">
        <is>
          <t>formula: =IF(E63&lt;=5,"n.m. (dMW&lt;=5)",E11/E63)</t>
        </is>
      </c>
      <c r="F684" t="inlineStr">
        <is>
          <t>Estimated</t>
        </is>
      </c>
      <c r="G684" t="inlineStr">
        <is>
          <t>formula: =IF(E63&lt;=5,"n.m. (dMW&lt;=5)",E11/E63)</t>
        </is>
      </c>
      <c r="H684" t="inlineStr">
        <is>
          <t>inputs: capex[Q3 2024], dmw[Q3 2024]</t>
        </is>
      </c>
    </row>
    <row r="685">
      <c r="A685" t="inlineStr">
        <is>
          <t>KPI</t>
        </is>
      </c>
      <c r="B685" t="inlineStr">
        <is>
          <t>F64</t>
        </is>
      </c>
      <c r="C685" t="inlineStr">
        <is>
          <t>Cash capex per MW added (quarter)</t>
        </is>
      </c>
      <c r="D685" t="inlineStr">
        <is>
          <t>Q4 2024</t>
        </is>
      </c>
      <c r="E685" t="inlineStr">
        <is>
          <t>formula: =IF(F63&lt;=5,"n.m. (dMW&lt;=5)",F11/F63)</t>
        </is>
      </c>
      <c r="F685" t="inlineStr">
        <is>
          <t>Estimated</t>
        </is>
      </c>
      <c r="G685" t="inlineStr">
        <is>
          <t>formula: =IF(F63&lt;=5,"n.m. (dMW&lt;=5)",F11/F63)</t>
        </is>
      </c>
      <c r="H685" t="inlineStr">
        <is>
          <t>inputs: capex[Q4 2024], dmw[Q4 2024]</t>
        </is>
      </c>
    </row>
    <row r="686">
      <c r="A686" t="inlineStr">
        <is>
          <t>KPI</t>
        </is>
      </c>
      <c r="B686" t="inlineStr">
        <is>
          <t>G64</t>
        </is>
      </c>
      <c r="C686" t="inlineStr">
        <is>
          <t>Cash capex per MW added (quarter)</t>
        </is>
      </c>
      <c r="D686" t="inlineStr">
        <is>
          <t>Q1 2025</t>
        </is>
      </c>
      <c r="E686" t="inlineStr">
        <is>
          <t>formula: =IF(G63&lt;=5,"n.m. (dMW&lt;=5)",G11/G63)</t>
        </is>
      </c>
      <c r="F686" t="inlineStr">
        <is>
          <t>Estimated</t>
        </is>
      </c>
      <c r="G686" t="inlineStr">
        <is>
          <t>formula: =IF(G63&lt;=5,"n.m. (dMW&lt;=5)",G11/G63)</t>
        </is>
      </c>
      <c r="H686" t="inlineStr">
        <is>
          <t>inputs: capex[Q1 2025], dmw[Q1 2025]</t>
        </is>
      </c>
    </row>
    <row r="687">
      <c r="A687" t="inlineStr">
        <is>
          <t>KPI</t>
        </is>
      </c>
      <c r="B687" t="inlineStr">
        <is>
          <t>H64</t>
        </is>
      </c>
      <c r="C687" t="inlineStr">
        <is>
          <t>Cash capex per MW added (quarter)</t>
        </is>
      </c>
      <c r="D687" t="inlineStr">
        <is>
          <t>Q2 2025</t>
        </is>
      </c>
      <c r="E687" t="inlineStr">
        <is>
          <t>formula: =IF(H63&lt;=5,"n.m. (dMW&lt;=5)",H11/H63)</t>
        </is>
      </c>
      <c r="F687" t="inlineStr">
        <is>
          <t>Estimated</t>
        </is>
      </c>
      <c r="G687" t="inlineStr">
        <is>
          <t>formula: =IF(H63&lt;=5,"n.m. (dMW&lt;=5)",H11/H63)</t>
        </is>
      </c>
      <c r="H687" t="inlineStr">
        <is>
          <t>inputs: capex[Q2 2025], dmw[Q2 2025]</t>
        </is>
      </c>
    </row>
    <row r="688">
      <c r="A688" t="inlineStr">
        <is>
          <t>KPI</t>
        </is>
      </c>
      <c r="B688" t="inlineStr">
        <is>
          <t>I64</t>
        </is>
      </c>
      <c r="C688" t="inlineStr">
        <is>
          <t>Cash capex per MW added (quarter)</t>
        </is>
      </c>
      <c r="D688" t="inlineStr">
        <is>
          <t>Q3 2025</t>
        </is>
      </c>
      <c r="E688" t="inlineStr">
        <is>
          <t>formula: =IF(I63&lt;=5,"n.m. (dMW&lt;=5)",I11/I63)</t>
        </is>
      </c>
      <c r="F688" t="inlineStr">
        <is>
          <t>Estimated</t>
        </is>
      </c>
      <c r="G688" t="inlineStr">
        <is>
          <t>formula: =IF(I63&lt;=5,"n.m. (dMW&lt;=5)",I11/I63)</t>
        </is>
      </c>
      <c r="H688" t="inlineStr">
        <is>
          <t>inputs: capex[Q3 2025], dmw[Q3 2025]</t>
        </is>
      </c>
    </row>
    <row r="689">
      <c r="A689" t="inlineStr">
        <is>
          <t>KPI</t>
        </is>
      </c>
      <c r="B689" t="inlineStr">
        <is>
          <t>J64</t>
        </is>
      </c>
      <c r="C689" t="inlineStr">
        <is>
          <t>Cash capex per MW added (quarter)</t>
        </is>
      </c>
      <c r="D689" t="inlineStr">
        <is>
          <t>Q4 2025</t>
        </is>
      </c>
      <c r="E689" t="inlineStr">
        <is>
          <t>formula: =IF(J63&lt;=5,"n.m. (dMW&lt;=5)",J11/J63)</t>
        </is>
      </c>
      <c r="F689" t="inlineStr">
        <is>
          <t>Estimated</t>
        </is>
      </c>
      <c r="G689" t="inlineStr">
        <is>
          <t>formula: =IF(J63&lt;=5,"n.m. (dMW&lt;=5)",J11/J63)</t>
        </is>
      </c>
      <c r="H689" t="inlineStr">
        <is>
          <t>inputs: capex[Q4 2025], dmw[Q4 2025]</t>
        </is>
      </c>
    </row>
    <row r="690">
      <c r="A690" t="inlineStr">
        <is>
          <t>KPI</t>
        </is>
      </c>
      <c r="B690" t="inlineStr">
        <is>
          <t>K64</t>
        </is>
      </c>
      <c r="C690" t="inlineStr">
        <is>
          <t>Cash capex per MW added (quarter)</t>
        </is>
      </c>
      <c r="D690" t="inlineStr">
        <is>
          <t>Q1 2026</t>
        </is>
      </c>
      <c r="E690" t="inlineStr">
        <is>
          <t>formula: =IF(K63&lt;=5,"n.m. (dMW&lt;=5)",K11/K63)</t>
        </is>
      </c>
      <c r="F690" t="inlineStr">
        <is>
          <t>Estimated</t>
        </is>
      </c>
      <c r="G690" t="inlineStr">
        <is>
          <t>formula: =IF(K63&lt;=5,"n.m. (dMW&lt;=5)",K11/K63)</t>
        </is>
      </c>
      <c r="H690" t="inlineStr">
        <is>
          <t>inputs: capex[Q1 2026], dmw[Q1 2026]</t>
        </is>
      </c>
    </row>
    <row r="691">
      <c r="A691" t="inlineStr">
        <is>
          <t>KPI</t>
        </is>
      </c>
      <c r="B691" t="inlineStr">
        <is>
          <t>L64</t>
        </is>
      </c>
      <c r="C691" t="inlineStr">
        <is>
          <t>Cash capex per MW added (quarter)</t>
        </is>
      </c>
      <c r="D691" t="inlineStr">
        <is>
          <t>Q2 2026</t>
        </is>
      </c>
      <c r="E691" t="inlineStr">
        <is>
          <t>formula: =IF(L63&lt;=5,"n.m. (dMW&lt;=5)",L11/L63)</t>
        </is>
      </c>
      <c r="F691" t="inlineStr">
        <is>
          <t>Estimated</t>
        </is>
      </c>
      <c r="G691" t="inlineStr">
        <is>
          <t>formula: =IF(L63&lt;=5,"n.m. (dMW&lt;=5)",L11/L63)</t>
        </is>
      </c>
      <c r="H691" t="inlineStr">
        <is>
          <t>inputs: capex[Q2 2026], dmw[Q2 2026]</t>
        </is>
      </c>
    </row>
    <row r="692">
      <c r="A692" t="inlineStr">
        <is>
          <t>KPI</t>
        </is>
      </c>
      <c r="B692" t="inlineStr">
        <is>
          <t>C65</t>
        </is>
      </c>
      <c r="C692" t="inlineStr">
        <is>
          <t>Cash capex per MW added, trailing 4 quarters</t>
        </is>
      </c>
      <c r="D692" t="inlineStr">
        <is>
          <t>Q1 2024</t>
        </is>
      </c>
      <c r="E692" t="inlineStr">
        <is>
          <t>n.d.</t>
        </is>
      </c>
      <c r="F692" t="inlineStr">
        <is>
          <t>not disclosed</t>
        </is>
      </c>
      <c r="G692" t="inlineStr">
        <is>
          <t>input n.d.</t>
        </is>
      </c>
      <c r="H692" t="inlineStr">
        <is>
          <t>missing: capex@pre-Q1-24, capex@pre-Q1-24, capex@pre-Q1-24, mw@pre-Q1-24</t>
        </is>
      </c>
    </row>
    <row r="693">
      <c r="A693" t="inlineStr">
        <is>
          <t>KPI</t>
        </is>
      </c>
      <c r="B693" t="inlineStr">
        <is>
          <t>D65</t>
        </is>
      </c>
      <c r="C693" t="inlineStr">
        <is>
          <t>Cash capex per MW added, trailing 4 quarters</t>
        </is>
      </c>
      <c r="D693" t="inlineStr">
        <is>
          <t>Q2 2024</t>
        </is>
      </c>
      <c r="E693" t="inlineStr">
        <is>
          <t>n.d.</t>
        </is>
      </c>
      <c r="F693" t="inlineStr">
        <is>
          <t>not disclosed</t>
        </is>
      </c>
      <c r="G693" t="inlineStr">
        <is>
          <t>input n.d.</t>
        </is>
      </c>
      <c r="H693" t="inlineStr">
        <is>
          <t>missing: capex@pre-Q1-24, capex@pre-Q1-24, mw@pre-Q1-24</t>
        </is>
      </c>
    </row>
    <row r="694">
      <c r="A694" t="inlineStr">
        <is>
          <t>KPI</t>
        </is>
      </c>
      <c r="B694" t="inlineStr">
        <is>
          <t>E65</t>
        </is>
      </c>
      <c r="C694" t="inlineStr">
        <is>
          <t>Cash capex per MW added, trailing 4 quarters</t>
        </is>
      </c>
      <c r="D694" t="inlineStr">
        <is>
          <t>Q3 2024</t>
        </is>
      </c>
      <c r="E694" t="inlineStr">
        <is>
          <t>n.d.</t>
        </is>
      </c>
      <c r="F694" t="inlineStr">
        <is>
          <t>not disclosed</t>
        </is>
      </c>
      <c r="G694" t="inlineStr">
        <is>
          <t>input n.d.</t>
        </is>
      </c>
      <c r="H694" t="inlineStr">
        <is>
          <t>missing: capex@pre-Q1-24, mw@pre-Q1-24</t>
        </is>
      </c>
    </row>
    <row r="695">
      <c r="A695" t="inlineStr">
        <is>
          <t>KPI</t>
        </is>
      </c>
      <c r="B695" t="inlineStr">
        <is>
          <t>F65</t>
        </is>
      </c>
      <c r="C695" t="inlineStr">
        <is>
          <t>Cash capex per MW added, trailing 4 quarters</t>
        </is>
      </c>
      <c r="D695" t="inlineStr">
        <is>
          <t>Q4 2024</t>
        </is>
      </c>
      <c r="E695" t="inlineStr">
        <is>
          <t>n.d.</t>
        </is>
      </c>
      <c r="F695" t="inlineStr">
        <is>
          <t>not disclosed</t>
        </is>
      </c>
      <c r="G695" t="inlineStr">
        <is>
          <t>input n.d.</t>
        </is>
      </c>
      <c r="H695" t="inlineStr">
        <is>
          <t>missing: mw@pre-Q1-24</t>
        </is>
      </c>
    </row>
    <row r="696">
      <c r="A696" t="inlineStr">
        <is>
          <t>KPI</t>
        </is>
      </c>
      <c r="B696" t="inlineStr">
        <is>
          <t>G65</t>
        </is>
      </c>
      <c r="C696" t="inlineStr">
        <is>
          <t>Cash capex per MW added, trailing 4 quarters</t>
        </is>
      </c>
      <c r="D696" t="inlineStr">
        <is>
          <t>Q1 2025</t>
        </is>
      </c>
      <c r="E696" t="inlineStr">
        <is>
          <t>formula: =IF(G30-C30&lt;=5,"n.m. (dMW&lt;=5)",SUM(D11:G11)/(G30-C30))</t>
        </is>
      </c>
      <c r="F696" t="inlineStr">
        <is>
          <t>Estimated</t>
        </is>
      </c>
      <c r="G696" t="inlineStr">
        <is>
          <t>formula: =IF(G30-C30&lt;=5,"n.m. (dMW&lt;=5)",SUM(D11:G11)/(G30-C30))</t>
        </is>
      </c>
      <c r="H696" t="inlineStr">
        <is>
          <t>inputs: capex[Q2 2024], capex[Q3 2024], capex[Q4 2024], capex[Q1 2025], mw[Q1 2024], mw[Q1 2025]</t>
        </is>
      </c>
    </row>
    <row r="697">
      <c r="A697" t="inlineStr">
        <is>
          <t>KPI</t>
        </is>
      </c>
      <c r="B697" t="inlineStr">
        <is>
          <t>H65</t>
        </is>
      </c>
      <c r="C697" t="inlineStr">
        <is>
          <t>Cash capex per MW added, trailing 4 quarters</t>
        </is>
      </c>
      <c r="D697" t="inlineStr">
        <is>
          <t>Q2 2025</t>
        </is>
      </c>
      <c r="E697" t="inlineStr">
        <is>
          <t>formula: =IF(H30-D30&lt;=5,"n.m. (dMW&lt;=5)",SUM(E11:H11)/(H30-D30))</t>
        </is>
      </c>
      <c r="F697" t="inlineStr">
        <is>
          <t>Estimated</t>
        </is>
      </c>
      <c r="G697" t="inlineStr">
        <is>
          <t>formula: =IF(H30-D30&lt;=5,"n.m. (dMW&lt;=5)",SUM(E11:H11)/(H30-D30))</t>
        </is>
      </c>
      <c r="H697" t="inlineStr">
        <is>
          <t>inputs: capex[Q3 2024], capex[Q4 2024], capex[Q1 2025], capex[Q2 2025], mw[Q2 2024], mw[Q2 2025]</t>
        </is>
      </c>
    </row>
    <row r="698">
      <c r="A698" t="inlineStr">
        <is>
          <t>KPI</t>
        </is>
      </c>
      <c r="B698" t="inlineStr">
        <is>
          <t>I65</t>
        </is>
      </c>
      <c r="C698" t="inlineStr">
        <is>
          <t>Cash capex per MW added, trailing 4 quarters</t>
        </is>
      </c>
      <c r="D698" t="inlineStr">
        <is>
          <t>Q3 2025</t>
        </is>
      </c>
      <c r="E698" t="inlineStr">
        <is>
          <t>formula: =IF(I30-E30&lt;=5,"n.m. (dMW&lt;=5)",SUM(F11:I11)/(I30-E30))</t>
        </is>
      </c>
      <c r="F698" t="inlineStr">
        <is>
          <t>Estimated</t>
        </is>
      </c>
      <c r="G698" t="inlineStr">
        <is>
          <t>formula: =IF(I30-E30&lt;=5,"n.m. (dMW&lt;=5)",SUM(F11:I11)/(I30-E30))</t>
        </is>
      </c>
      <c r="H698" t="inlineStr">
        <is>
          <t>inputs: capex[Q4 2024], capex[Q1 2025], capex[Q2 2025], capex[Q3 2025], mw[Q3 2024], mw[Q3 2025]</t>
        </is>
      </c>
    </row>
    <row r="699">
      <c r="A699" t="inlineStr">
        <is>
          <t>KPI</t>
        </is>
      </c>
      <c r="B699" t="inlineStr">
        <is>
          <t>J65</t>
        </is>
      </c>
      <c r="C699" t="inlineStr">
        <is>
          <t>Cash capex per MW added, trailing 4 quarters</t>
        </is>
      </c>
      <c r="D699" t="inlineStr">
        <is>
          <t>Q4 2025</t>
        </is>
      </c>
      <c r="E699" t="inlineStr">
        <is>
          <t>formula: =IF(J30-F30&lt;=5,"n.m. (dMW&lt;=5)",SUM(G11:J11)/(J30-F30))</t>
        </is>
      </c>
      <c r="F699" t="inlineStr">
        <is>
          <t>Estimated</t>
        </is>
      </c>
      <c r="G699" t="inlineStr">
        <is>
          <t>formula: =IF(J30-F30&lt;=5,"n.m. (dMW&lt;=5)",SUM(G11:J11)/(J30-F30))</t>
        </is>
      </c>
      <c r="H699" t="inlineStr">
        <is>
          <t>inputs: capex[Q1 2025], capex[Q2 2025], capex[Q3 2025], capex[Q4 2025], mw[Q4 2024], mw[Q4 2025]</t>
        </is>
      </c>
    </row>
    <row r="700">
      <c r="A700" t="inlineStr">
        <is>
          <t>KPI</t>
        </is>
      </c>
      <c r="B700" t="inlineStr">
        <is>
          <t>K65</t>
        </is>
      </c>
      <c r="C700" t="inlineStr">
        <is>
          <t>Cash capex per MW added, trailing 4 quarters</t>
        </is>
      </c>
      <c r="D700" t="inlineStr">
        <is>
          <t>Q1 2026</t>
        </is>
      </c>
      <c r="E700" t="inlineStr">
        <is>
          <t>formula: =IF(K30-G30&lt;=5,"n.m. (dMW&lt;=5)",SUM(H11:K11)/(K30-G30))</t>
        </is>
      </c>
      <c r="F700" t="inlineStr">
        <is>
          <t>Estimated</t>
        </is>
      </c>
      <c r="G700" t="inlineStr">
        <is>
          <t>formula: =IF(K30-G30&lt;=5,"n.m. (dMW&lt;=5)",SUM(H11:K11)/(K30-G30))</t>
        </is>
      </c>
      <c r="H700" t="inlineStr">
        <is>
          <t>inputs: capex[Q2 2025], capex[Q3 2025], capex[Q4 2025], capex[Q1 2026], mw[Q1 2025], mw[Q1 2026]</t>
        </is>
      </c>
    </row>
    <row r="701">
      <c r="A701" t="inlineStr">
        <is>
          <t>KPI</t>
        </is>
      </c>
      <c r="B701" t="inlineStr">
        <is>
          <t>L65</t>
        </is>
      </c>
      <c r="C701" t="inlineStr">
        <is>
          <t>Cash capex per MW added, trailing 4 quarters</t>
        </is>
      </c>
      <c r="D701" t="inlineStr">
        <is>
          <t>Q2 2026</t>
        </is>
      </c>
      <c r="E701" t="inlineStr">
        <is>
          <t>formula: =IF(L30-H30&lt;=5,"n.m. (dMW&lt;=5)",SUM(I11:L11)/(L30-H30))</t>
        </is>
      </c>
      <c r="F701" t="inlineStr">
        <is>
          <t>Estimated</t>
        </is>
      </c>
      <c r="G701" t="inlineStr">
        <is>
          <t>formula: =IF(L30-H30&lt;=5,"n.m. (dMW&lt;=5)",SUM(I11:L11)/(L30-H30))</t>
        </is>
      </c>
      <c r="H701" t="inlineStr">
        <is>
          <t>inputs: capex[Q3 2025], capex[Q4 2025], capex[Q1 2026], capex[Q2 2026], mw[Q2 2025], mw[Q2 2026]</t>
        </is>
      </c>
    </row>
    <row r="702">
      <c r="A702" t="inlineStr">
        <is>
          <t>KPI</t>
        </is>
      </c>
      <c r="B702" t="inlineStr">
        <is>
          <t>C66</t>
        </is>
      </c>
      <c r="C702" t="inlineStr">
        <is>
          <t>Placed-in-service PP&amp;E per MW added (gross in-service PP&amp;E change / MW change)</t>
        </is>
      </c>
      <c r="D702" t="inlineStr">
        <is>
          <t>Q1 2024</t>
        </is>
      </c>
      <c r="E702" t="inlineStr">
        <is>
          <t>n.d.</t>
        </is>
      </c>
      <c r="F702" t="inlineStr">
        <is>
          <t>not disclosed</t>
        </is>
      </c>
      <c r="G702" t="inlineStr">
        <is>
          <t>input n.d.</t>
        </is>
      </c>
      <c r="H702" t="inlineStr">
        <is>
          <t>missing: inserv@pre-Q1-24, inserv@Q1 2024, mw@pre-Q1-24</t>
        </is>
      </c>
    </row>
    <row r="703">
      <c r="A703" t="inlineStr">
        <is>
          <t>KPI</t>
        </is>
      </c>
      <c r="B703" t="inlineStr">
        <is>
          <t>D66</t>
        </is>
      </c>
      <c r="C703" t="inlineStr">
        <is>
          <t>Placed-in-service PP&amp;E per MW added (gross in-service PP&amp;E change / MW change)</t>
        </is>
      </c>
      <c r="D703" t="inlineStr">
        <is>
          <t>Q2 2024</t>
        </is>
      </c>
      <c r="E703" t="inlineStr">
        <is>
          <t>n.d.</t>
        </is>
      </c>
      <c r="F703" t="inlineStr">
        <is>
          <t>not disclosed</t>
        </is>
      </c>
      <c r="G703" t="inlineStr">
        <is>
          <t>input n.d.</t>
        </is>
      </c>
      <c r="H703" t="inlineStr">
        <is>
          <t>missing: inserv@Q1 2024, inserv@Q2 2024</t>
        </is>
      </c>
    </row>
    <row r="704">
      <c r="A704" t="inlineStr">
        <is>
          <t>KPI</t>
        </is>
      </c>
      <c r="B704" t="inlineStr">
        <is>
          <t>E66</t>
        </is>
      </c>
      <c r="C704" t="inlineStr">
        <is>
          <t>Placed-in-service PP&amp;E per MW added (gross in-service PP&amp;E change / MW change)</t>
        </is>
      </c>
      <c r="D704" t="inlineStr">
        <is>
          <t>Q3 2024</t>
        </is>
      </c>
      <c r="E704" t="inlineStr">
        <is>
          <t>n.d.</t>
        </is>
      </c>
      <c r="F704" t="inlineStr">
        <is>
          <t>not disclosed</t>
        </is>
      </c>
      <c r="G704" t="inlineStr">
        <is>
          <t>input n.d.</t>
        </is>
      </c>
      <c r="H704" t="inlineStr">
        <is>
          <t>missing: inserv@Q2 2024, inserv@Q3 2024</t>
        </is>
      </c>
    </row>
    <row r="705">
      <c r="A705" t="inlineStr">
        <is>
          <t>KPI</t>
        </is>
      </c>
      <c r="B705" t="inlineStr">
        <is>
          <t>F66</t>
        </is>
      </c>
      <c r="C705" t="inlineStr">
        <is>
          <t>Placed-in-service PP&amp;E per MW added (gross in-service PP&amp;E change / MW change)</t>
        </is>
      </c>
      <c r="D705" t="inlineStr">
        <is>
          <t>Q4 2024</t>
        </is>
      </c>
      <c r="E705" t="inlineStr">
        <is>
          <t>n.d.</t>
        </is>
      </c>
      <c r="F705" t="inlineStr">
        <is>
          <t>not disclosed</t>
        </is>
      </c>
      <c r="G705" t="inlineStr">
        <is>
          <t>input n.d.</t>
        </is>
      </c>
      <c r="H705" t="inlineStr">
        <is>
          <t>missing: inserv@Q3 2024</t>
        </is>
      </c>
    </row>
    <row r="706">
      <c r="A706" t="inlineStr">
        <is>
          <t>KPI</t>
        </is>
      </c>
      <c r="B706" t="inlineStr">
        <is>
          <t>G66</t>
        </is>
      </c>
      <c r="C706" t="inlineStr">
        <is>
          <t>Placed-in-service PP&amp;E per MW added (gross in-service PP&amp;E change / MW change)</t>
        </is>
      </c>
      <c r="D706" t="inlineStr">
        <is>
          <t>Q1 2025</t>
        </is>
      </c>
      <c r="E706" t="inlineStr">
        <is>
          <t>n.d.</t>
        </is>
      </c>
      <c r="F706" t="inlineStr">
        <is>
          <t>not disclosed</t>
        </is>
      </c>
      <c r="G706" t="inlineStr">
        <is>
          <t>input n.d.</t>
        </is>
      </c>
      <c r="H706" t="inlineStr">
        <is>
          <t>missing: inserv@Q1 2025</t>
        </is>
      </c>
    </row>
    <row r="707">
      <c r="A707" t="inlineStr">
        <is>
          <t>KPI</t>
        </is>
      </c>
      <c r="B707" t="inlineStr">
        <is>
          <t>H66</t>
        </is>
      </c>
      <c r="C707" t="inlineStr">
        <is>
          <t>Placed-in-service PP&amp;E per MW added (gross in-service PP&amp;E change / MW change)</t>
        </is>
      </c>
      <c r="D707" t="inlineStr">
        <is>
          <t>Q2 2025</t>
        </is>
      </c>
      <c r="E707" t="inlineStr">
        <is>
          <t>n.d.</t>
        </is>
      </c>
      <c r="F707" t="inlineStr">
        <is>
          <t>not disclosed</t>
        </is>
      </c>
      <c r="G707" t="inlineStr">
        <is>
          <t>input n.d.</t>
        </is>
      </c>
      <c r="H707" t="inlineStr">
        <is>
          <t>missing: inserv@Q1 2025, inserv@Q2 2025</t>
        </is>
      </c>
    </row>
    <row r="708">
      <c r="A708" t="inlineStr">
        <is>
          <t>KPI</t>
        </is>
      </c>
      <c r="B708" t="inlineStr">
        <is>
          <t>I66</t>
        </is>
      </c>
      <c r="C708" t="inlineStr">
        <is>
          <t>Placed-in-service PP&amp;E per MW added (gross in-service PP&amp;E change / MW change)</t>
        </is>
      </c>
      <c r="D708" t="inlineStr">
        <is>
          <t>Q3 2025</t>
        </is>
      </c>
      <c r="E708" t="inlineStr">
        <is>
          <t>n.d.</t>
        </is>
      </c>
      <c r="F708" t="inlineStr">
        <is>
          <t>not disclosed</t>
        </is>
      </c>
      <c r="G708" t="inlineStr">
        <is>
          <t>input n.d.</t>
        </is>
      </c>
      <c r="H708" t="inlineStr">
        <is>
          <t>missing: inserv@Q2 2025, inserv@Q3 2025</t>
        </is>
      </c>
    </row>
    <row r="709">
      <c r="A709" t="inlineStr">
        <is>
          <t>KPI</t>
        </is>
      </c>
      <c r="B709" t="inlineStr">
        <is>
          <t>J66</t>
        </is>
      </c>
      <c r="C709" t="inlineStr">
        <is>
          <t>Placed-in-service PP&amp;E per MW added (gross in-service PP&amp;E change / MW change)</t>
        </is>
      </c>
      <c r="D709" t="inlineStr">
        <is>
          <t>Q4 2025</t>
        </is>
      </c>
      <c r="E709" t="inlineStr">
        <is>
          <t>n.d.</t>
        </is>
      </c>
      <c r="F709" t="inlineStr">
        <is>
          <t>not disclosed</t>
        </is>
      </c>
      <c r="G709" t="inlineStr">
        <is>
          <t>input n.d.</t>
        </is>
      </c>
      <c r="H709" t="inlineStr">
        <is>
          <t>missing: inserv@Q3 2025</t>
        </is>
      </c>
    </row>
    <row r="710">
      <c r="A710" t="inlineStr">
        <is>
          <t>KPI</t>
        </is>
      </c>
      <c r="B710" t="inlineStr">
        <is>
          <t>K66</t>
        </is>
      </c>
      <c r="C710" t="inlineStr">
        <is>
          <t>Placed-in-service PP&amp;E per MW added (gross in-service PP&amp;E change / MW change)</t>
        </is>
      </c>
      <c r="D710" t="inlineStr">
        <is>
          <t>Q1 2026</t>
        </is>
      </c>
      <c r="E710" t="inlineStr">
        <is>
          <t>formula: =IF(K30-J30&lt;=5,"n.m. (dMW&lt;=5)",(K26-J26)/(K30-J30))</t>
        </is>
      </c>
      <c r="F710" t="inlineStr">
        <is>
          <t>Estimated</t>
        </is>
      </c>
      <c r="G710" t="inlineStr">
        <is>
          <t>formula: =IF(K30-J30&lt;=5,"n.m. (dMW&lt;=5)",(K26-J26)/(K30-J30))</t>
        </is>
      </c>
      <c r="H710" t="inlineStr">
        <is>
          <t>inputs: inserv[Q4 2025], inserv[Q1 2026], mw[Q4 2025], mw[Q1 2026]</t>
        </is>
      </c>
    </row>
    <row r="711">
      <c r="A711" t="inlineStr">
        <is>
          <t>KPI</t>
        </is>
      </c>
      <c r="B711" t="inlineStr">
        <is>
          <t>L66</t>
        </is>
      </c>
      <c r="C711" t="inlineStr">
        <is>
          <t>Placed-in-service PP&amp;E per MW added (gross in-service PP&amp;E change / MW change)</t>
        </is>
      </c>
      <c r="D711" t="inlineStr">
        <is>
          <t>Q2 2026</t>
        </is>
      </c>
      <c r="E711" t="inlineStr">
        <is>
          <t>formula: =IF(L30-K30&lt;=5,"n.m. (dMW&lt;=5)",(L26-K26)/(L30-K30))</t>
        </is>
      </c>
      <c r="F711" t="inlineStr">
        <is>
          <t>Estimated</t>
        </is>
      </c>
      <c r="G711" t="inlineStr">
        <is>
          <t>formula: =IF(L30-K30&lt;=5,"n.m. (dMW&lt;=5)",(L26-K26)/(L30-K30))</t>
        </is>
      </c>
      <c r="H711" t="inlineStr">
        <is>
          <t>inputs: inserv[Q1 2026], inserv[Q2 2026], mw[Q1 2026], mw[Q2 2026]</t>
        </is>
      </c>
    </row>
    <row r="712">
      <c r="A712" t="inlineStr">
        <is>
          <t>KPI</t>
        </is>
      </c>
      <c r="B712" t="inlineStr">
        <is>
          <t>C67</t>
        </is>
      </c>
      <c r="C712" t="inlineStr">
        <is>
          <t>Placed-in-service PP&amp;E per MW added, FY basis (Q4 prior -&gt; Q4)</t>
        </is>
      </c>
      <c r="D712" t="inlineStr">
        <is>
          <t>Q1 2024</t>
        </is>
      </c>
      <c r="E712" t="inlineStr">
        <is>
          <t>n.d.</t>
        </is>
      </c>
      <c r="F712" t="inlineStr">
        <is>
          <t>not disclosed</t>
        </is>
      </c>
      <c r="H712" t="inlineStr">
        <is>
          <t>FY basis only computed for FY2025</t>
        </is>
      </c>
    </row>
    <row r="713">
      <c r="A713" t="inlineStr">
        <is>
          <t>KPI</t>
        </is>
      </c>
      <c r="B713" t="inlineStr">
        <is>
          <t>D67</t>
        </is>
      </c>
      <c r="C713" t="inlineStr">
        <is>
          <t>Placed-in-service PP&amp;E per MW added, FY basis (Q4 prior -&gt; Q4)</t>
        </is>
      </c>
      <c r="D713" t="inlineStr">
        <is>
          <t>Q2 2024</t>
        </is>
      </c>
      <c r="E713" t="inlineStr">
        <is>
          <t>n.d.</t>
        </is>
      </c>
      <c r="F713" t="inlineStr">
        <is>
          <t>not disclosed</t>
        </is>
      </c>
      <c r="H713" t="inlineStr">
        <is>
          <t>FY basis only computed for FY2025</t>
        </is>
      </c>
    </row>
    <row r="714">
      <c r="A714" t="inlineStr">
        <is>
          <t>KPI</t>
        </is>
      </c>
      <c r="B714" t="inlineStr">
        <is>
          <t>E67</t>
        </is>
      </c>
      <c r="C714" t="inlineStr">
        <is>
          <t>Placed-in-service PP&amp;E per MW added, FY basis (Q4 prior -&gt; Q4)</t>
        </is>
      </c>
      <c r="D714" t="inlineStr">
        <is>
          <t>Q3 2024</t>
        </is>
      </c>
      <c r="E714" t="inlineStr">
        <is>
          <t>n.d.</t>
        </is>
      </c>
      <c r="F714" t="inlineStr">
        <is>
          <t>not disclosed</t>
        </is>
      </c>
      <c r="H714" t="inlineStr">
        <is>
          <t>FY basis only computed for FY2025</t>
        </is>
      </c>
    </row>
    <row r="715">
      <c r="A715" t="inlineStr">
        <is>
          <t>KPI</t>
        </is>
      </c>
      <c r="B715" t="inlineStr">
        <is>
          <t>F67</t>
        </is>
      </c>
      <c r="C715" t="inlineStr">
        <is>
          <t>Placed-in-service PP&amp;E per MW added, FY basis (Q4 prior -&gt; Q4)</t>
        </is>
      </c>
      <c r="D715" t="inlineStr">
        <is>
          <t>Q4 2024</t>
        </is>
      </c>
      <c r="E715" t="inlineStr">
        <is>
          <t>n.d.</t>
        </is>
      </c>
      <c r="F715" t="inlineStr">
        <is>
          <t>not disclosed</t>
        </is>
      </c>
      <c r="H715" t="inlineStr">
        <is>
          <t>FY basis only computed for FY2025</t>
        </is>
      </c>
    </row>
    <row r="716">
      <c r="A716" t="inlineStr">
        <is>
          <t>KPI</t>
        </is>
      </c>
      <c r="B716" t="inlineStr">
        <is>
          <t>G67</t>
        </is>
      </c>
      <c r="C716" t="inlineStr">
        <is>
          <t>Placed-in-service PP&amp;E per MW added, FY basis (Q4 prior -&gt; Q4)</t>
        </is>
      </c>
      <c r="D716" t="inlineStr">
        <is>
          <t>Q1 2025</t>
        </is>
      </c>
      <c r="E716" t="inlineStr">
        <is>
          <t>n.d.</t>
        </is>
      </c>
      <c r="F716" t="inlineStr">
        <is>
          <t>not disclosed</t>
        </is>
      </c>
      <c r="H716" t="inlineStr">
        <is>
          <t>FY basis only computed for FY2025</t>
        </is>
      </c>
    </row>
    <row r="717">
      <c r="A717" t="inlineStr">
        <is>
          <t>KPI</t>
        </is>
      </c>
      <c r="B717" t="inlineStr">
        <is>
          <t>H67</t>
        </is>
      </c>
      <c r="C717" t="inlineStr">
        <is>
          <t>Placed-in-service PP&amp;E per MW added, FY basis (Q4 prior -&gt; Q4)</t>
        </is>
      </c>
      <c r="D717" t="inlineStr">
        <is>
          <t>Q2 2025</t>
        </is>
      </c>
      <c r="E717" t="inlineStr">
        <is>
          <t>n.d.</t>
        </is>
      </c>
      <c r="F717" t="inlineStr">
        <is>
          <t>not disclosed</t>
        </is>
      </c>
      <c r="H717" t="inlineStr">
        <is>
          <t>FY basis only computed for FY2025</t>
        </is>
      </c>
    </row>
    <row r="718">
      <c r="A718" t="inlineStr">
        <is>
          <t>KPI</t>
        </is>
      </c>
      <c r="B718" t="inlineStr">
        <is>
          <t>I67</t>
        </is>
      </c>
      <c r="C718" t="inlineStr">
        <is>
          <t>Placed-in-service PP&amp;E per MW added, FY basis (Q4 prior -&gt; Q4)</t>
        </is>
      </c>
      <c r="D718" t="inlineStr">
        <is>
          <t>Q3 2025</t>
        </is>
      </c>
      <c r="E718" t="inlineStr">
        <is>
          <t>n.d.</t>
        </is>
      </c>
      <c r="F718" t="inlineStr">
        <is>
          <t>not disclosed</t>
        </is>
      </c>
      <c r="H718" t="inlineStr">
        <is>
          <t>FY basis only computed for FY2025</t>
        </is>
      </c>
    </row>
    <row r="719">
      <c r="A719" t="inlineStr">
        <is>
          <t>KPI</t>
        </is>
      </c>
      <c r="B719" t="inlineStr">
        <is>
          <t>J67</t>
        </is>
      </c>
      <c r="C719" t="inlineStr">
        <is>
          <t>Placed-in-service PP&amp;E per MW added, FY basis (Q4 prior -&gt; Q4)</t>
        </is>
      </c>
      <c r="D719" t="inlineStr">
        <is>
          <t>Q4 2025</t>
        </is>
      </c>
      <c r="E719" t="inlineStr">
        <is>
          <t>formula: =(J26-F26)/(J30-F30)</t>
        </is>
      </c>
      <c r="F719" t="inlineStr">
        <is>
          <t>Estimated</t>
        </is>
      </c>
      <c r="G719" t="inlineStr">
        <is>
          <t>formula: =(J26-F26)/(J30-F30)</t>
        </is>
      </c>
      <c r="H719" t="inlineStr">
        <is>
          <t>Dec-24 -&gt; Dec-25; MW Estimated</t>
        </is>
      </c>
    </row>
    <row r="720">
      <c r="A720" t="inlineStr">
        <is>
          <t>KPI</t>
        </is>
      </c>
      <c r="B720" t="inlineStr">
        <is>
          <t>K67</t>
        </is>
      </c>
      <c r="C720" t="inlineStr">
        <is>
          <t>Placed-in-service PP&amp;E per MW added, FY basis (Q4 prior -&gt; Q4)</t>
        </is>
      </c>
      <c r="D720" t="inlineStr">
        <is>
          <t>Q1 2026</t>
        </is>
      </c>
      <c r="E720" t="inlineStr">
        <is>
          <t>n.d.</t>
        </is>
      </c>
      <c r="F720" t="inlineStr">
        <is>
          <t>not disclosed</t>
        </is>
      </c>
      <c r="H720" t="inlineStr">
        <is>
          <t>FY basis only computed for FY2025</t>
        </is>
      </c>
    </row>
    <row r="721">
      <c r="A721" t="inlineStr">
        <is>
          <t>KPI</t>
        </is>
      </c>
      <c r="B721" t="inlineStr">
        <is>
          <t>L67</t>
        </is>
      </c>
      <c r="C721" t="inlineStr">
        <is>
          <t>Placed-in-service PP&amp;E per MW added, FY basis (Q4 prior -&gt; Q4)</t>
        </is>
      </c>
      <c r="D721" t="inlineStr">
        <is>
          <t>Q2 2026</t>
        </is>
      </c>
      <c r="E721" t="inlineStr">
        <is>
          <t>n.d.</t>
        </is>
      </c>
      <c r="F721" t="inlineStr">
        <is>
          <t>not disclosed</t>
        </is>
      </c>
      <c r="H721" t="inlineStr">
        <is>
          <t>FY basis only computed for FY2025</t>
        </is>
      </c>
    </row>
    <row r="722">
      <c r="A722" t="inlineStr">
        <is>
          <t>KPI</t>
        </is>
      </c>
      <c r="B722" t="inlineStr">
        <is>
          <t>C68</t>
        </is>
      </c>
      <c r="C722" t="inlineStr">
        <is>
          <t>ARR / 12 = implied last-month AI cloud revenue</t>
        </is>
      </c>
      <c r="D722" t="inlineStr">
        <is>
          <t>Q1 2024</t>
        </is>
      </c>
      <c r="E722" t="inlineStr">
        <is>
          <t>formula: =C7/12</t>
        </is>
      </c>
      <c r="F722" t="inlineStr">
        <is>
          <t>Derived</t>
        </is>
      </c>
      <c r="G722" t="inlineStr">
        <is>
          <t>formula: =C7/12</t>
        </is>
      </c>
      <c r="H722" t="inlineStr">
        <is>
          <t>inputs: arr[Q1 2024]</t>
        </is>
      </c>
    </row>
    <row r="723">
      <c r="A723" t="inlineStr">
        <is>
          <t>KPI</t>
        </is>
      </c>
      <c r="B723" t="inlineStr">
        <is>
          <t>D68</t>
        </is>
      </c>
      <c r="C723" t="inlineStr">
        <is>
          <t>ARR / 12 = implied last-month AI cloud revenue</t>
        </is>
      </c>
      <c r="D723" t="inlineStr">
        <is>
          <t>Q2 2024</t>
        </is>
      </c>
      <c r="E723" t="inlineStr">
        <is>
          <t>formula: =D7/12</t>
        </is>
      </c>
      <c r="F723" t="inlineStr">
        <is>
          <t>Derived</t>
        </is>
      </c>
      <c r="G723" t="inlineStr">
        <is>
          <t>formula: =D7/12</t>
        </is>
      </c>
      <c r="H723" t="inlineStr">
        <is>
          <t>inputs: arr[Q2 2024]</t>
        </is>
      </c>
    </row>
    <row r="724">
      <c r="A724" t="inlineStr">
        <is>
          <t>KPI</t>
        </is>
      </c>
      <c r="B724" t="inlineStr">
        <is>
          <t>E68</t>
        </is>
      </c>
      <c r="C724" t="inlineStr">
        <is>
          <t>ARR / 12 = implied last-month AI cloud revenue</t>
        </is>
      </c>
      <c r="D724" t="inlineStr">
        <is>
          <t>Q3 2024</t>
        </is>
      </c>
      <c r="E724" t="inlineStr">
        <is>
          <t>formula: =E7/12</t>
        </is>
      </c>
      <c r="F724" t="inlineStr">
        <is>
          <t>Derived</t>
        </is>
      </c>
      <c r="G724" t="inlineStr">
        <is>
          <t>formula: =E7/12</t>
        </is>
      </c>
      <c r="H724" t="inlineStr">
        <is>
          <t>inputs: arr[Q3 2024]</t>
        </is>
      </c>
    </row>
    <row r="725">
      <c r="A725" t="inlineStr">
        <is>
          <t>KPI</t>
        </is>
      </c>
      <c r="B725" t="inlineStr">
        <is>
          <t>F68</t>
        </is>
      </c>
      <c r="C725" t="inlineStr">
        <is>
          <t>ARR / 12 = implied last-month AI cloud revenue</t>
        </is>
      </c>
      <c r="D725" t="inlineStr">
        <is>
          <t>Q4 2024</t>
        </is>
      </c>
      <c r="E725" t="inlineStr">
        <is>
          <t>formula: =F7/12</t>
        </is>
      </c>
      <c r="F725" t="inlineStr">
        <is>
          <t>Derived</t>
        </is>
      </c>
      <c r="G725" t="inlineStr">
        <is>
          <t>formula: =F7/12</t>
        </is>
      </c>
      <c r="H725" t="inlineStr">
        <is>
          <t>inputs: arr[Q4 2024]</t>
        </is>
      </c>
    </row>
    <row r="726">
      <c r="A726" t="inlineStr">
        <is>
          <t>KPI</t>
        </is>
      </c>
      <c r="B726" t="inlineStr">
        <is>
          <t>G68</t>
        </is>
      </c>
      <c r="C726" t="inlineStr">
        <is>
          <t>ARR / 12 = implied last-month AI cloud revenue</t>
        </is>
      </c>
      <c r="D726" t="inlineStr">
        <is>
          <t>Q1 2025</t>
        </is>
      </c>
      <c r="E726" t="inlineStr">
        <is>
          <t>formula: =G7/12</t>
        </is>
      </c>
      <c r="F726" t="inlineStr">
        <is>
          <t>Derived</t>
        </is>
      </c>
      <c r="G726" t="inlineStr">
        <is>
          <t>formula: =G7/12</t>
        </is>
      </c>
      <c r="H726" t="inlineStr">
        <is>
          <t>inputs: arr[Q1 2025]</t>
        </is>
      </c>
    </row>
    <row r="727">
      <c r="A727" t="inlineStr">
        <is>
          <t>KPI</t>
        </is>
      </c>
      <c r="B727" t="inlineStr">
        <is>
          <t>H68</t>
        </is>
      </c>
      <c r="C727" t="inlineStr">
        <is>
          <t>ARR / 12 = implied last-month AI cloud revenue</t>
        </is>
      </c>
      <c r="D727" t="inlineStr">
        <is>
          <t>Q2 2025</t>
        </is>
      </c>
      <c r="E727" t="inlineStr">
        <is>
          <t>formula: =H7/12</t>
        </is>
      </c>
      <c r="F727" t="inlineStr">
        <is>
          <t>Derived</t>
        </is>
      </c>
      <c r="G727" t="inlineStr">
        <is>
          <t>formula: =H7/12</t>
        </is>
      </c>
      <c r="H727" t="inlineStr">
        <is>
          <t>inputs: arr[Q2 2025]</t>
        </is>
      </c>
    </row>
    <row r="728">
      <c r="A728" t="inlineStr">
        <is>
          <t>KPI</t>
        </is>
      </c>
      <c r="B728" t="inlineStr">
        <is>
          <t>I68</t>
        </is>
      </c>
      <c r="C728" t="inlineStr">
        <is>
          <t>ARR / 12 = implied last-month AI cloud revenue</t>
        </is>
      </c>
      <c r="D728" t="inlineStr">
        <is>
          <t>Q3 2025</t>
        </is>
      </c>
      <c r="E728" t="inlineStr">
        <is>
          <t>formula: =I7/12</t>
        </is>
      </c>
      <c r="F728" t="inlineStr">
        <is>
          <t>Derived</t>
        </is>
      </c>
      <c r="G728" t="inlineStr">
        <is>
          <t>formula: =I7/12</t>
        </is>
      </c>
      <c r="H728" t="inlineStr">
        <is>
          <t>inputs: arr[Q3 2025]</t>
        </is>
      </c>
    </row>
    <row r="729">
      <c r="A729" t="inlineStr">
        <is>
          <t>KPI</t>
        </is>
      </c>
      <c r="B729" t="inlineStr">
        <is>
          <t>J68</t>
        </is>
      </c>
      <c r="C729" t="inlineStr">
        <is>
          <t>ARR / 12 = implied last-month AI cloud revenue</t>
        </is>
      </c>
      <c r="D729" t="inlineStr">
        <is>
          <t>Q4 2025</t>
        </is>
      </c>
      <c r="E729" t="inlineStr">
        <is>
          <t>formula: =J7/12</t>
        </is>
      </c>
      <c r="F729" t="inlineStr">
        <is>
          <t>Derived</t>
        </is>
      </c>
      <c r="G729" t="inlineStr">
        <is>
          <t>formula: =J7/12</t>
        </is>
      </c>
      <c r="H729" t="inlineStr">
        <is>
          <t>inputs: arr[Q4 2025]</t>
        </is>
      </c>
    </row>
    <row r="730">
      <c r="A730" t="inlineStr">
        <is>
          <t>KPI</t>
        </is>
      </c>
      <c r="B730" t="inlineStr">
        <is>
          <t>K68</t>
        </is>
      </c>
      <c r="C730" t="inlineStr">
        <is>
          <t>ARR / 12 = implied last-month AI cloud revenue</t>
        </is>
      </c>
      <c r="D730" t="inlineStr">
        <is>
          <t>Q1 2026</t>
        </is>
      </c>
      <c r="E730" t="inlineStr">
        <is>
          <t>formula: =K7/12</t>
        </is>
      </c>
      <c r="F730" t="inlineStr">
        <is>
          <t>Derived</t>
        </is>
      </c>
      <c r="G730" t="inlineStr">
        <is>
          <t>formula: =K7/12</t>
        </is>
      </c>
      <c r="H730" t="inlineStr">
        <is>
          <t>inputs: arr[Q1 2026]</t>
        </is>
      </c>
    </row>
    <row r="731">
      <c r="A731" t="inlineStr">
        <is>
          <t>KPI</t>
        </is>
      </c>
      <c r="B731" t="inlineStr">
        <is>
          <t>L68</t>
        </is>
      </c>
      <c r="C731" t="inlineStr">
        <is>
          <t>ARR / 12 = implied last-month AI cloud revenue</t>
        </is>
      </c>
      <c r="D731" t="inlineStr">
        <is>
          <t>Q2 2026</t>
        </is>
      </c>
      <c r="E731" t="inlineStr">
        <is>
          <t>formula: =L7/12</t>
        </is>
      </c>
      <c r="F731" t="inlineStr">
        <is>
          <t>Derived</t>
        </is>
      </c>
      <c r="G731" t="inlineStr">
        <is>
          <t>formula: =L7/12</t>
        </is>
      </c>
      <c r="H731" t="inlineStr">
        <is>
          <t>inputs: arr[Q2 2026]</t>
        </is>
      </c>
    </row>
    <row r="732">
      <c r="A732" t="inlineStr">
        <is>
          <t>KPI</t>
        </is>
      </c>
      <c r="B732" t="inlineStr">
        <is>
          <t>C69</t>
        </is>
      </c>
      <c r="C732" t="inlineStr">
        <is>
          <t>AI cloud revenue - quarter monthly average</t>
        </is>
      </c>
      <c r="D732" t="inlineStr">
        <is>
          <t>Q1 2024</t>
        </is>
      </c>
      <c r="E732" t="inlineStr">
        <is>
          <t>n.d.</t>
        </is>
      </c>
      <c r="F732" t="inlineStr">
        <is>
          <t>not disclosed</t>
        </is>
      </c>
      <c r="G732" t="inlineStr">
        <is>
          <t>input n.d.</t>
        </is>
      </c>
      <c r="H732" t="inlineStr">
        <is>
          <t>missing: ai@Q1 2024</t>
        </is>
      </c>
    </row>
    <row r="733">
      <c r="A733" t="inlineStr">
        <is>
          <t>KPI</t>
        </is>
      </c>
      <c r="B733" t="inlineStr">
        <is>
          <t>D69</t>
        </is>
      </c>
      <c r="C733" t="inlineStr">
        <is>
          <t>AI cloud revenue - quarter monthly average</t>
        </is>
      </c>
      <c r="D733" t="inlineStr">
        <is>
          <t>Q2 2024</t>
        </is>
      </c>
      <c r="E733" t="inlineStr">
        <is>
          <t>n.d.</t>
        </is>
      </c>
      <c r="F733" t="inlineStr">
        <is>
          <t>not disclosed</t>
        </is>
      </c>
      <c r="G733" t="inlineStr">
        <is>
          <t>input n.d.</t>
        </is>
      </c>
      <c r="H733" t="inlineStr">
        <is>
          <t>missing: ai@Q2 2024</t>
        </is>
      </c>
    </row>
    <row r="734">
      <c r="A734" t="inlineStr">
        <is>
          <t>KPI</t>
        </is>
      </c>
      <c r="B734" t="inlineStr">
        <is>
          <t>E69</t>
        </is>
      </c>
      <c r="C734" t="inlineStr">
        <is>
          <t>AI cloud revenue - quarter monthly average</t>
        </is>
      </c>
      <c r="D734" t="inlineStr">
        <is>
          <t>Q3 2024</t>
        </is>
      </c>
      <c r="E734" t="inlineStr">
        <is>
          <t>formula: =E6/3</t>
        </is>
      </c>
      <c r="F734" t="inlineStr">
        <is>
          <t>Derived</t>
        </is>
      </c>
      <c r="G734" t="inlineStr">
        <is>
          <t>formula: =E6/3</t>
        </is>
      </c>
      <c r="H734" t="inlineStr">
        <is>
          <t>inputs: ai[Q3 2024]</t>
        </is>
      </c>
    </row>
    <row r="735">
      <c r="A735" t="inlineStr">
        <is>
          <t>KPI</t>
        </is>
      </c>
      <c r="B735" t="inlineStr">
        <is>
          <t>F69</t>
        </is>
      </c>
      <c r="C735" t="inlineStr">
        <is>
          <t>AI cloud revenue - quarter monthly average</t>
        </is>
      </c>
      <c r="D735" t="inlineStr">
        <is>
          <t>Q4 2024</t>
        </is>
      </c>
      <c r="E735" t="inlineStr">
        <is>
          <t>formula: =F6/3</t>
        </is>
      </c>
      <c r="F735" t="inlineStr">
        <is>
          <t>Derived</t>
        </is>
      </c>
      <c r="G735" t="inlineStr">
        <is>
          <t>formula: =F6/3</t>
        </is>
      </c>
      <c r="H735" t="inlineStr">
        <is>
          <t>inputs: ai[Q4 2024]</t>
        </is>
      </c>
    </row>
    <row r="736">
      <c r="A736" t="inlineStr">
        <is>
          <t>KPI</t>
        </is>
      </c>
      <c r="B736" t="inlineStr">
        <is>
          <t>G69</t>
        </is>
      </c>
      <c r="C736" t="inlineStr">
        <is>
          <t>AI cloud revenue - quarter monthly average</t>
        </is>
      </c>
      <c r="D736" t="inlineStr">
        <is>
          <t>Q1 2025</t>
        </is>
      </c>
      <c r="E736" t="inlineStr">
        <is>
          <t>formula: =G6/3</t>
        </is>
      </c>
      <c r="F736" t="inlineStr">
        <is>
          <t>Derived</t>
        </is>
      </c>
      <c r="G736" t="inlineStr">
        <is>
          <t>formula: =G6/3</t>
        </is>
      </c>
      <c r="H736" t="inlineStr">
        <is>
          <t>inputs: ai[Q1 2025]</t>
        </is>
      </c>
    </row>
    <row r="737">
      <c r="A737" t="inlineStr">
        <is>
          <t>KPI</t>
        </is>
      </c>
      <c r="B737" t="inlineStr">
        <is>
          <t>H69</t>
        </is>
      </c>
      <c r="C737" t="inlineStr">
        <is>
          <t>AI cloud revenue - quarter monthly average</t>
        </is>
      </c>
      <c r="D737" t="inlineStr">
        <is>
          <t>Q2 2025</t>
        </is>
      </c>
      <c r="E737" t="inlineStr">
        <is>
          <t>formula: =H6/3</t>
        </is>
      </c>
      <c r="F737" t="inlineStr">
        <is>
          <t>Derived</t>
        </is>
      </c>
      <c r="G737" t="inlineStr">
        <is>
          <t>formula: =H6/3</t>
        </is>
      </c>
      <c r="H737" t="inlineStr">
        <is>
          <t>inputs: ai[Q2 2025]</t>
        </is>
      </c>
    </row>
    <row r="738">
      <c r="A738" t="inlineStr">
        <is>
          <t>KPI</t>
        </is>
      </c>
      <c r="B738" t="inlineStr">
        <is>
          <t>I69</t>
        </is>
      </c>
      <c r="C738" t="inlineStr">
        <is>
          <t>AI cloud revenue - quarter monthly average</t>
        </is>
      </c>
      <c r="D738" t="inlineStr">
        <is>
          <t>Q3 2025</t>
        </is>
      </c>
      <c r="E738" t="inlineStr">
        <is>
          <t>formula: =I6/3</t>
        </is>
      </c>
      <c r="F738" t="inlineStr">
        <is>
          <t>Derived</t>
        </is>
      </c>
      <c r="G738" t="inlineStr">
        <is>
          <t>formula: =I6/3</t>
        </is>
      </c>
      <c r="H738" t="inlineStr">
        <is>
          <t>inputs: ai[Q3 2025]</t>
        </is>
      </c>
    </row>
    <row r="739">
      <c r="A739" t="inlineStr">
        <is>
          <t>KPI</t>
        </is>
      </c>
      <c r="B739" t="inlineStr">
        <is>
          <t>J69</t>
        </is>
      </c>
      <c r="C739" t="inlineStr">
        <is>
          <t>AI cloud revenue - quarter monthly average</t>
        </is>
      </c>
      <c r="D739" t="inlineStr">
        <is>
          <t>Q4 2025</t>
        </is>
      </c>
      <c r="E739" t="inlineStr">
        <is>
          <t>formula: =J6/3</t>
        </is>
      </c>
      <c r="F739" t="inlineStr">
        <is>
          <t>Derived</t>
        </is>
      </c>
      <c r="G739" t="inlineStr">
        <is>
          <t>formula: =J6/3</t>
        </is>
      </c>
      <c r="H739" t="inlineStr">
        <is>
          <t>inputs: ai[Q4 2025]</t>
        </is>
      </c>
    </row>
    <row r="740">
      <c r="A740" t="inlineStr">
        <is>
          <t>KPI</t>
        </is>
      </c>
      <c r="B740" t="inlineStr">
        <is>
          <t>K69</t>
        </is>
      </c>
      <c r="C740" t="inlineStr">
        <is>
          <t>AI cloud revenue - quarter monthly average</t>
        </is>
      </c>
      <c r="D740" t="inlineStr">
        <is>
          <t>Q1 2026</t>
        </is>
      </c>
      <c r="E740" t="inlineStr">
        <is>
          <t>formula: =K6/3</t>
        </is>
      </c>
      <c r="F740" t="inlineStr">
        <is>
          <t>Derived</t>
        </is>
      </c>
      <c r="G740" t="inlineStr">
        <is>
          <t>formula: =K6/3</t>
        </is>
      </c>
      <c r="H740" t="inlineStr">
        <is>
          <t>inputs: ai[Q1 2026]</t>
        </is>
      </c>
    </row>
    <row r="741">
      <c r="A741" t="inlineStr">
        <is>
          <t>KPI</t>
        </is>
      </c>
      <c r="B741" t="inlineStr">
        <is>
          <t>L69</t>
        </is>
      </c>
      <c r="C741" t="inlineStr">
        <is>
          <t>AI cloud revenue - quarter monthly average</t>
        </is>
      </c>
      <c r="D741" t="inlineStr">
        <is>
          <t>Q2 2026</t>
        </is>
      </c>
      <c r="E741" t="inlineStr">
        <is>
          <t>formula: =L6/3</t>
        </is>
      </c>
      <c r="F741" t="inlineStr">
        <is>
          <t>Derived</t>
        </is>
      </c>
      <c r="G741" t="inlineStr">
        <is>
          <t>formula: =L6/3</t>
        </is>
      </c>
      <c r="H741" t="inlineStr">
        <is>
          <t>inputs: ai[Q2 2026]</t>
        </is>
      </c>
    </row>
    <row r="742">
      <c r="A742" t="inlineStr">
        <is>
          <t>KPI</t>
        </is>
      </c>
      <c r="B742" t="inlineStr">
        <is>
          <t>C70</t>
        </is>
      </c>
      <c r="C742" t="inlineStr">
        <is>
          <t>Last-month vs quarter-average step-up</t>
        </is>
      </c>
      <c r="D742" t="inlineStr">
        <is>
          <t>Q1 2024</t>
        </is>
      </c>
      <c r="E742" t="inlineStr">
        <is>
          <t>n.d.</t>
        </is>
      </c>
      <c r="F742" t="inlineStr">
        <is>
          <t>not disclosed</t>
        </is>
      </c>
      <c r="G742" t="inlineStr">
        <is>
          <t>input n.d.</t>
        </is>
      </c>
      <c r="H742" t="inlineStr">
        <is>
          <t>missing: ai_m@Q1 2024</t>
        </is>
      </c>
    </row>
    <row r="743">
      <c r="A743" t="inlineStr">
        <is>
          <t>KPI</t>
        </is>
      </c>
      <c r="B743" t="inlineStr">
        <is>
          <t>D70</t>
        </is>
      </c>
      <c r="C743" t="inlineStr">
        <is>
          <t>Last-month vs quarter-average step-up</t>
        </is>
      </c>
      <c r="D743" t="inlineStr">
        <is>
          <t>Q2 2024</t>
        </is>
      </c>
      <c r="E743" t="inlineStr">
        <is>
          <t>n.d.</t>
        </is>
      </c>
      <c r="F743" t="inlineStr">
        <is>
          <t>not disclosed</t>
        </is>
      </c>
      <c r="G743" t="inlineStr">
        <is>
          <t>input n.d.</t>
        </is>
      </c>
      <c r="H743" t="inlineStr">
        <is>
          <t>missing: ai_m@Q2 2024</t>
        </is>
      </c>
    </row>
    <row r="744">
      <c r="A744" t="inlineStr">
        <is>
          <t>KPI</t>
        </is>
      </c>
      <c r="B744" t="inlineStr">
        <is>
          <t>E70</t>
        </is>
      </c>
      <c r="C744" t="inlineStr">
        <is>
          <t>Last-month vs quarter-average step-up</t>
        </is>
      </c>
      <c r="D744" t="inlineStr">
        <is>
          <t>Q3 2024</t>
        </is>
      </c>
      <c r="E744" t="inlineStr">
        <is>
          <t>formula: =E68/E69-1</t>
        </is>
      </c>
      <c r="F744" t="inlineStr">
        <is>
          <t>Derived</t>
        </is>
      </c>
      <c r="G744" t="inlineStr">
        <is>
          <t>formula: =E68/E69-1</t>
        </is>
      </c>
      <c r="H744" t="inlineStr">
        <is>
          <t>inputs: arr_m[Q3 2024], ai_m[Q3 2024]</t>
        </is>
      </c>
    </row>
    <row r="745">
      <c r="A745" t="inlineStr">
        <is>
          <t>KPI</t>
        </is>
      </c>
      <c r="B745" t="inlineStr">
        <is>
          <t>F70</t>
        </is>
      </c>
      <c r="C745" t="inlineStr">
        <is>
          <t>Last-month vs quarter-average step-up</t>
        </is>
      </c>
      <c r="D745" t="inlineStr">
        <is>
          <t>Q4 2024</t>
        </is>
      </c>
      <c r="E745" t="inlineStr">
        <is>
          <t>formula: =F68/F69-1</t>
        </is>
      </c>
      <c r="F745" t="inlineStr">
        <is>
          <t>Derived</t>
        </is>
      </c>
      <c r="G745" t="inlineStr">
        <is>
          <t>formula: =F68/F69-1</t>
        </is>
      </c>
      <c r="H745" t="inlineStr">
        <is>
          <t>inputs: arr_m[Q4 2024], ai_m[Q4 2024]</t>
        </is>
      </c>
    </row>
    <row r="746">
      <c r="A746" t="inlineStr">
        <is>
          <t>KPI</t>
        </is>
      </c>
      <c r="B746" t="inlineStr">
        <is>
          <t>G70</t>
        </is>
      </c>
      <c r="C746" t="inlineStr">
        <is>
          <t>Last-month vs quarter-average step-up</t>
        </is>
      </c>
      <c r="D746" t="inlineStr">
        <is>
          <t>Q1 2025</t>
        </is>
      </c>
      <c r="E746" t="inlineStr">
        <is>
          <t>formula: =G68/G69-1</t>
        </is>
      </c>
      <c r="F746" t="inlineStr">
        <is>
          <t>Derived</t>
        </is>
      </c>
      <c r="G746" t="inlineStr">
        <is>
          <t>formula: =G68/G69-1</t>
        </is>
      </c>
      <c r="H746" t="inlineStr">
        <is>
          <t>inputs: arr_m[Q1 2025], ai_m[Q1 2025]</t>
        </is>
      </c>
    </row>
    <row r="747">
      <c r="A747" t="inlineStr">
        <is>
          <t>KPI</t>
        </is>
      </c>
      <c r="B747" t="inlineStr">
        <is>
          <t>H70</t>
        </is>
      </c>
      <c r="C747" t="inlineStr">
        <is>
          <t>Last-month vs quarter-average step-up</t>
        </is>
      </c>
      <c r="D747" t="inlineStr">
        <is>
          <t>Q2 2025</t>
        </is>
      </c>
      <c r="E747" t="inlineStr">
        <is>
          <t>formula: =H68/H69-1</t>
        </is>
      </c>
      <c r="F747" t="inlineStr">
        <is>
          <t>Derived</t>
        </is>
      </c>
      <c r="G747" t="inlineStr">
        <is>
          <t>formula: =H68/H69-1</t>
        </is>
      </c>
      <c r="H747" t="inlineStr">
        <is>
          <t>inputs: arr_m[Q2 2025], ai_m[Q2 2025]</t>
        </is>
      </c>
    </row>
    <row r="748">
      <c r="A748" t="inlineStr">
        <is>
          <t>KPI</t>
        </is>
      </c>
      <c r="B748" t="inlineStr">
        <is>
          <t>I70</t>
        </is>
      </c>
      <c r="C748" t="inlineStr">
        <is>
          <t>Last-month vs quarter-average step-up</t>
        </is>
      </c>
      <c r="D748" t="inlineStr">
        <is>
          <t>Q3 2025</t>
        </is>
      </c>
      <c r="E748" t="inlineStr">
        <is>
          <t>formula: =I68/I69-1</t>
        </is>
      </c>
      <c r="F748" t="inlineStr">
        <is>
          <t>Derived</t>
        </is>
      </c>
      <c r="G748" t="inlineStr">
        <is>
          <t>formula: =I68/I69-1</t>
        </is>
      </c>
      <c r="H748" t="inlineStr">
        <is>
          <t>inputs: arr_m[Q3 2025], ai_m[Q3 2025]</t>
        </is>
      </c>
    </row>
    <row r="749">
      <c r="A749" t="inlineStr">
        <is>
          <t>KPI</t>
        </is>
      </c>
      <c r="B749" t="inlineStr">
        <is>
          <t>J70</t>
        </is>
      </c>
      <c r="C749" t="inlineStr">
        <is>
          <t>Last-month vs quarter-average step-up</t>
        </is>
      </c>
      <c r="D749" t="inlineStr">
        <is>
          <t>Q4 2025</t>
        </is>
      </c>
      <c r="E749" t="inlineStr">
        <is>
          <t>formula: =J68/J69-1</t>
        </is>
      </c>
      <c r="F749" t="inlineStr">
        <is>
          <t>Derived</t>
        </is>
      </c>
      <c r="G749" t="inlineStr">
        <is>
          <t>formula: =J68/J69-1</t>
        </is>
      </c>
      <c r="H749" t="inlineStr">
        <is>
          <t>inputs: arr_m[Q4 2025], ai_m[Q4 2025]</t>
        </is>
      </c>
    </row>
    <row r="750">
      <c r="A750" t="inlineStr">
        <is>
          <t>KPI</t>
        </is>
      </c>
      <c r="B750" t="inlineStr">
        <is>
          <t>K70</t>
        </is>
      </c>
      <c r="C750" t="inlineStr">
        <is>
          <t>Last-month vs quarter-average step-up</t>
        </is>
      </c>
      <c r="D750" t="inlineStr">
        <is>
          <t>Q1 2026</t>
        </is>
      </c>
      <c r="E750" t="inlineStr">
        <is>
          <t>formula: =K68/K69-1</t>
        </is>
      </c>
      <c r="F750" t="inlineStr">
        <is>
          <t>Derived</t>
        </is>
      </c>
      <c r="G750" t="inlineStr">
        <is>
          <t>formula: =K68/K69-1</t>
        </is>
      </c>
      <c r="H750" t="inlineStr">
        <is>
          <t>inputs: arr_m[Q1 2026], ai_m[Q1 2026]</t>
        </is>
      </c>
    </row>
    <row r="751">
      <c r="A751" t="inlineStr">
        <is>
          <t>KPI</t>
        </is>
      </c>
      <c r="B751" t="inlineStr">
        <is>
          <t>L70</t>
        </is>
      </c>
      <c r="C751" t="inlineStr">
        <is>
          <t>Last-month vs quarter-average step-up</t>
        </is>
      </c>
      <c r="D751" t="inlineStr">
        <is>
          <t>Q2 2026</t>
        </is>
      </c>
      <c r="E751" t="inlineStr">
        <is>
          <t>formula: =L68/L69-1</t>
        </is>
      </c>
      <c r="F751" t="inlineStr">
        <is>
          <t>Derived</t>
        </is>
      </c>
      <c r="G751" t="inlineStr">
        <is>
          <t>formula: =L68/L69-1</t>
        </is>
      </c>
      <c r="H751" t="inlineStr">
        <is>
          <t>inputs: arr_m[Q2 2026], ai_m[Q2 2026]</t>
        </is>
      </c>
    </row>
    <row r="752">
      <c r="A752" t="inlineStr">
        <is>
          <t>KPI</t>
        </is>
      </c>
      <c r="B752" t="inlineStr">
        <is>
          <t>C71</t>
        </is>
      </c>
      <c r="C752" t="inlineStr">
        <is>
          <t>Annualized AI cloud revenue per $1 server &amp; network equipment in service (period end)</t>
        </is>
      </c>
      <c r="D752" t="inlineStr">
        <is>
          <t>Q1 2024</t>
        </is>
      </c>
      <c r="E752" t="inlineStr">
        <is>
          <t>n.d.</t>
        </is>
      </c>
      <c r="F752" t="inlineStr">
        <is>
          <t>not disclosed</t>
        </is>
      </c>
      <c r="G752" t="inlineStr">
        <is>
          <t>input n.d.</t>
        </is>
      </c>
      <c r="H752" t="inlineStr">
        <is>
          <t>missing: ai@Q1 2024, sng@Q1 2024</t>
        </is>
      </c>
    </row>
    <row r="753">
      <c r="A753" t="inlineStr">
        <is>
          <t>KPI</t>
        </is>
      </c>
      <c r="B753" t="inlineStr">
        <is>
          <t>D71</t>
        </is>
      </c>
      <c r="C753" t="inlineStr">
        <is>
          <t>Annualized AI cloud revenue per $1 server &amp; network equipment in service (period end)</t>
        </is>
      </c>
      <c r="D753" t="inlineStr">
        <is>
          <t>Q2 2024</t>
        </is>
      </c>
      <c r="E753" t="inlineStr">
        <is>
          <t>n.d.</t>
        </is>
      </c>
      <c r="F753" t="inlineStr">
        <is>
          <t>not disclosed</t>
        </is>
      </c>
      <c r="G753" t="inlineStr">
        <is>
          <t>input n.d.</t>
        </is>
      </c>
      <c r="H753" t="inlineStr">
        <is>
          <t>missing: ai@Q2 2024, sng@Q2 2024</t>
        </is>
      </c>
    </row>
    <row r="754">
      <c r="A754" t="inlineStr">
        <is>
          <t>KPI</t>
        </is>
      </c>
      <c r="B754" t="inlineStr">
        <is>
          <t>E71</t>
        </is>
      </c>
      <c r="C754" t="inlineStr">
        <is>
          <t>Annualized AI cloud revenue per $1 server &amp; network equipment in service (period end)</t>
        </is>
      </c>
      <c r="D754" t="inlineStr">
        <is>
          <t>Q3 2024</t>
        </is>
      </c>
      <c r="E754" t="inlineStr">
        <is>
          <t>n.d.</t>
        </is>
      </c>
      <c r="F754" t="inlineStr">
        <is>
          <t>not disclosed</t>
        </is>
      </c>
      <c r="G754" t="inlineStr">
        <is>
          <t>input n.d.</t>
        </is>
      </c>
      <c r="H754" t="inlineStr">
        <is>
          <t>missing: sng@Q3 2024</t>
        </is>
      </c>
    </row>
    <row r="755">
      <c r="A755" t="inlineStr">
        <is>
          <t>KPI</t>
        </is>
      </c>
      <c r="B755" t="inlineStr">
        <is>
          <t>F71</t>
        </is>
      </c>
      <c r="C755" t="inlineStr">
        <is>
          <t>Annualized AI cloud revenue per $1 server &amp; network equipment in service (period end)</t>
        </is>
      </c>
      <c r="D755" t="inlineStr">
        <is>
          <t>Q4 2024</t>
        </is>
      </c>
      <c r="E755" t="inlineStr">
        <is>
          <t>formula: =F6*4/F23</t>
        </is>
      </c>
      <c r="F755" t="inlineStr">
        <is>
          <t>Derived</t>
        </is>
      </c>
      <c r="G755" t="inlineStr">
        <is>
          <t>formula: =F6*4/F23</t>
        </is>
      </c>
      <c r="H755" t="inlineStr">
        <is>
          <t>inputs: ai[Q4 2024], sng[Q4 2024]</t>
        </is>
      </c>
    </row>
    <row r="756">
      <c r="A756" t="inlineStr">
        <is>
          <t>KPI</t>
        </is>
      </c>
      <c r="B756" t="inlineStr">
        <is>
          <t>G71</t>
        </is>
      </c>
      <c r="C756" t="inlineStr">
        <is>
          <t>Annualized AI cloud revenue per $1 server &amp; network equipment in service (period end)</t>
        </is>
      </c>
      <c r="D756" t="inlineStr">
        <is>
          <t>Q1 2025</t>
        </is>
      </c>
      <c r="E756" t="inlineStr">
        <is>
          <t>n.d.</t>
        </is>
      </c>
      <c r="F756" t="inlineStr">
        <is>
          <t>not disclosed</t>
        </is>
      </c>
      <c r="G756" t="inlineStr">
        <is>
          <t>input n.d.</t>
        </is>
      </c>
      <c r="H756" t="inlineStr">
        <is>
          <t>missing: sng@Q1 2025</t>
        </is>
      </c>
    </row>
    <row r="757">
      <c r="A757" t="inlineStr">
        <is>
          <t>KPI</t>
        </is>
      </c>
      <c r="B757" t="inlineStr">
        <is>
          <t>H71</t>
        </is>
      </c>
      <c r="C757" t="inlineStr">
        <is>
          <t>Annualized AI cloud revenue per $1 server &amp; network equipment in service (period end)</t>
        </is>
      </c>
      <c r="D757" t="inlineStr">
        <is>
          <t>Q2 2025</t>
        </is>
      </c>
      <c r="E757" t="inlineStr">
        <is>
          <t>n.d.</t>
        </is>
      </c>
      <c r="F757" t="inlineStr">
        <is>
          <t>not disclosed</t>
        </is>
      </c>
      <c r="G757" t="inlineStr">
        <is>
          <t>input n.d.</t>
        </is>
      </c>
      <c r="H757" t="inlineStr">
        <is>
          <t>missing: sng@Q2 2025</t>
        </is>
      </c>
    </row>
    <row r="758">
      <c r="A758" t="inlineStr">
        <is>
          <t>KPI</t>
        </is>
      </c>
      <c r="B758" t="inlineStr">
        <is>
          <t>I71</t>
        </is>
      </c>
      <c r="C758" t="inlineStr">
        <is>
          <t>Annualized AI cloud revenue per $1 server &amp; network equipment in service (period end)</t>
        </is>
      </c>
      <c r="D758" t="inlineStr">
        <is>
          <t>Q3 2025</t>
        </is>
      </c>
      <c r="E758" t="inlineStr">
        <is>
          <t>n.d.</t>
        </is>
      </c>
      <c r="F758" t="inlineStr">
        <is>
          <t>not disclosed</t>
        </is>
      </c>
      <c r="G758" t="inlineStr">
        <is>
          <t>input n.d.</t>
        </is>
      </c>
      <c r="H758" t="inlineStr">
        <is>
          <t>missing: sng@Q3 2025</t>
        </is>
      </c>
    </row>
    <row r="759">
      <c r="A759" t="inlineStr">
        <is>
          <t>KPI</t>
        </is>
      </c>
      <c r="B759" t="inlineStr">
        <is>
          <t>J71</t>
        </is>
      </c>
      <c r="C759" t="inlineStr">
        <is>
          <t>Annualized AI cloud revenue per $1 server &amp; network equipment in service (period end)</t>
        </is>
      </c>
      <c r="D759" t="inlineStr">
        <is>
          <t>Q4 2025</t>
        </is>
      </c>
      <c r="E759" t="inlineStr">
        <is>
          <t>formula: =J6*4/J23</t>
        </is>
      </c>
      <c r="F759" t="inlineStr">
        <is>
          <t>Derived</t>
        </is>
      </c>
      <c r="G759" t="inlineStr">
        <is>
          <t>formula: =J6*4/J23</t>
        </is>
      </c>
      <c r="H759" t="inlineStr">
        <is>
          <t>inputs: ai[Q4 2025], sng[Q4 2025]</t>
        </is>
      </c>
    </row>
    <row r="760">
      <c r="A760" t="inlineStr">
        <is>
          <t>KPI</t>
        </is>
      </c>
      <c r="B760" t="inlineStr">
        <is>
          <t>K71</t>
        </is>
      </c>
      <c r="C760" t="inlineStr">
        <is>
          <t>Annualized AI cloud revenue per $1 server &amp; network equipment in service (period end)</t>
        </is>
      </c>
      <c r="D760" t="inlineStr">
        <is>
          <t>Q1 2026</t>
        </is>
      </c>
      <c r="E760" t="inlineStr">
        <is>
          <t>formula: =K6*4/K23</t>
        </is>
      </c>
      <c r="F760" t="inlineStr">
        <is>
          <t>Derived</t>
        </is>
      </c>
      <c r="G760" t="inlineStr">
        <is>
          <t>formula: =K6*4/K23</t>
        </is>
      </c>
      <c r="H760" t="inlineStr">
        <is>
          <t>inputs: ai[Q1 2026], sng[Q1 2026]</t>
        </is>
      </c>
    </row>
    <row r="761">
      <c r="A761" t="inlineStr">
        <is>
          <t>KPI</t>
        </is>
      </c>
      <c r="B761" t="inlineStr">
        <is>
          <t>L71</t>
        </is>
      </c>
      <c r="C761" t="inlineStr">
        <is>
          <t>Annualized AI cloud revenue per $1 server &amp; network equipment in service (period end)</t>
        </is>
      </c>
      <c r="D761" t="inlineStr">
        <is>
          <t>Q2 2026</t>
        </is>
      </c>
      <c r="E761" t="inlineStr">
        <is>
          <t>formula: =L6*4/L23</t>
        </is>
      </c>
      <c r="F761" t="inlineStr">
        <is>
          <t>Derived</t>
        </is>
      </c>
      <c r="G761" t="inlineStr">
        <is>
          <t>formula: =L6*4/L23</t>
        </is>
      </c>
      <c r="H761" t="inlineStr">
        <is>
          <t>inputs: ai[Q2 2026], sng[Q2 2026]</t>
        </is>
      </c>
    </row>
    <row r="762">
      <c r="A762" t="inlineStr">
        <is>
          <t>KPI</t>
        </is>
      </c>
      <c r="B762" t="inlineStr">
        <is>
          <t>C72</t>
        </is>
      </c>
      <c r="C762" t="inlineStr">
        <is>
          <t>Annualized AI cloud revenue per $1 server &amp; network equipment in service (average)</t>
        </is>
      </c>
      <c r="D762" t="inlineStr">
        <is>
          <t>Q1 2024</t>
        </is>
      </c>
      <c r="E762" t="inlineStr">
        <is>
          <t>n.d.</t>
        </is>
      </c>
      <c r="F762" t="inlineStr">
        <is>
          <t>not disclosed</t>
        </is>
      </c>
      <c r="G762" t="inlineStr">
        <is>
          <t>input n.d.</t>
        </is>
      </c>
      <c r="H762" t="inlineStr">
        <is>
          <t>missing: ai@Q1 2024, sng@pre-Q1-24, sng@Q1 2024</t>
        </is>
      </c>
    </row>
    <row r="763">
      <c r="A763" t="inlineStr">
        <is>
          <t>KPI</t>
        </is>
      </c>
      <c r="B763" t="inlineStr">
        <is>
          <t>D72</t>
        </is>
      </c>
      <c r="C763" t="inlineStr">
        <is>
          <t>Annualized AI cloud revenue per $1 server &amp; network equipment in service (average)</t>
        </is>
      </c>
      <c r="D763" t="inlineStr">
        <is>
          <t>Q2 2024</t>
        </is>
      </c>
      <c r="E763" t="inlineStr">
        <is>
          <t>n.d.</t>
        </is>
      </c>
      <c r="F763" t="inlineStr">
        <is>
          <t>not disclosed</t>
        </is>
      </c>
      <c r="G763" t="inlineStr">
        <is>
          <t>input n.d.</t>
        </is>
      </c>
      <c r="H763" t="inlineStr">
        <is>
          <t>missing: ai@Q2 2024, sng@Q1 2024, sng@Q2 2024</t>
        </is>
      </c>
    </row>
    <row r="764">
      <c r="A764" t="inlineStr">
        <is>
          <t>KPI</t>
        </is>
      </c>
      <c r="B764" t="inlineStr">
        <is>
          <t>E72</t>
        </is>
      </c>
      <c r="C764" t="inlineStr">
        <is>
          <t>Annualized AI cloud revenue per $1 server &amp; network equipment in service (average)</t>
        </is>
      </c>
      <c r="D764" t="inlineStr">
        <is>
          <t>Q3 2024</t>
        </is>
      </c>
      <c r="E764" t="inlineStr">
        <is>
          <t>n.d.</t>
        </is>
      </c>
      <c r="F764" t="inlineStr">
        <is>
          <t>not disclosed</t>
        </is>
      </c>
      <c r="G764" t="inlineStr">
        <is>
          <t>input n.d.</t>
        </is>
      </c>
      <c r="H764" t="inlineStr">
        <is>
          <t>missing: sng@Q2 2024, sng@Q3 2024</t>
        </is>
      </c>
    </row>
    <row r="765">
      <c r="A765" t="inlineStr">
        <is>
          <t>KPI</t>
        </is>
      </c>
      <c r="B765" t="inlineStr">
        <is>
          <t>F72</t>
        </is>
      </c>
      <c r="C765" t="inlineStr">
        <is>
          <t>Annualized AI cloud revenue per $1 server &amp; network equipment in service (average)</t>
        </is>
      </c>
      <c r="D765" t="inlineStr">
        <is>
          <t>Q4 2024</t>
        </is>
      </c>
      <c r="E765" t="inlineStr">
        <is>
          <t>n.d.</t>
        </is>
      </c>
      <c r="F765" t="inlineStr">
        <is>
          <t>not disclosed</t>
        </is>
      </c>
      <c r="G765" t="inlineStr">
        <is>
          <t>input n.d.</t>
        </is>
      </c>
      <c r="H765" t="inlineStr">
        <is>
          <t>missing: sng@Q3 2024</t>
        </is>
      </c>
    </row>
    <row r="766">
      <c r="A766" t="inlineStr">
        <is>
          <t>KPI</t>
        </is>
      </c>
      <c r="B766" t="inlineStr">
        <is>
          <t>G72</t>
        </is>
      </c>
      <c r="C766" t="inlineStr">
        <is>
          <t>Annualized AI cloud revenue per $1 server &amp; network equipment in service (average)</t>
        </is>
      </c>
      <c r="D766" t="inlineStr">
        <is>
          <t>Q1 2025</t>
        </is>
      </c>
      <c r="E766" t="inlineStr">
        <is>
          <t>n.d.</t>
        </is>
      </c>
      <c r="F766" t="inlineStr">
        <is>
          <t>not disclosed</t>
        </is>
      </c>
      <c r="G766" t="inlineStr">
        <is>
          <t>input n.d.</t>
        </is>
      </c>
      <c r="H766" t="inlineStr">
        <is>
          <t>missing: sng@Q1 2025</t>
        </is>
      </c>
    </row>
    <row r="767">
      <c r="A767" t="inlineStr">
        <is>
          <t>KPI</t>
        </is>
      </c>
      <c r="B767" t="inlineStr">
        <is>
          <t>H72</t>
        </is>
      </c>
      <c r="C767" t="inlineStr">
        <is>
          <t>Annualized AI cloud revenue per $1 server &amp; network equipment in service (average)</t>
        </is>
      </c>
      <c r="D767" t="inlineStr">
        <is>
          <t>Q2 2025</t>
        </is>
      </c>
      <c r="E767" t="inlineStr">
        <is>
          <t>n.d.</t>
        </is>
      </c>
      <c r="F767" t="inlineStr">
        <is>
          <t>not disclosed</t>
        </is>
      </c>
      <c r="G767" t="inlineStr">
        <is>
          <t>input n.d.</t>
        </is>
      </c>
      <c r="H767" t="inlineStr">
        <is>
          <t>missing: sng@Q1 2025, sng@Q2 2025</t>
        </is>
      </c>
    </row>
    <row r="768">
      <c r="A768" t="inlineStr">
        <is>
          <t>KPI</t>
        </is>
      </c>
      <c r="B768" t="inlineStr">
        <is>
          <t>I72</t>
        </is>
      </c>
      <c r="C768" t="inlineStr">
        <is>
          <t>Annualized AI cloud revenue per $1 server &amp; network equipment in service (average)</t>
        </is>
      </c>
      <c r="D768" t="inlineStr">
        <is>
          <t>Q3 2025</t>
        </is>
      </c>
      <c r="E768" t="inlineStr">
        <is>
          <t>n.d.</t>
        </is>
      </c>
      <c r="F768" t="inlineStr">
        <is>
          <t>not disclosed</t>
        </is>
      </c>
      <c r="G768" t="inlineStr">
        <is>
          <t>input n.d.</t>
        </is>
      </c>
      <c r="H768" t="inlineStr">
        <is>
          <t>missing: sng@Q2 2025, sng@Q3 2025</t>
        </is>
      </c>
    </row>
    <row r="769">
      <c r="A769" t="inlineStr">
        <is>
          <t>KPI</t>
        </is>
      </c>
      <c r="B769" t="inlineStr">
        <is>
          <t>J72</t>
        </is>
      </c>
      <c r="C769" t="inlineStr">
        <is>
          <t>Annualized AI cloud revenue per $1 server &amp; network equipment in service (average)</t>
        </is>
      </c>
      <c r="D769" t="inlineStr">
        <is>
          <t>Q4 2025</t>
        </is>
      </c>
      <c r="E769" t="inlineStr">
        <is>
          <t>n.d.</t>
        </is>
      </c>
      <c r="F769" t="inlineStr">
        <is>
          <t>not disclosed</t>
        </is>
      </c>
      <c r="G769" t="inlineStr">
        <is>
          <t>input n.d.</t>
        </is>
      </c>
      <c r="H769" t="inlineStr">
        <is>
          <t>missing: sng@Q3 2025</t>
        </is>
      </c>
    </row>
    <row r="770">
      <c r="A770" t="inlineStr">
        <is>
          <t>KPI</t>
        </is>
      </c>
      <c r="B770" t="inlineStr">
        <is>
          <t>K72</t>
        </is>
      </c>
      <c r="C770" t="inlineStr">
        <is>
          <t>Annualized AI cloud revenue per $1 server &amp; network equipment in service (average)</t>
        </is>
      </c>
      <c r="D770" t="inlineStr">
        <is>
          <t>Q1 2026</t>
        </is>
      </c>
      <c r="E770" t="inlineStr">
        <is>
          <t>formula: =K6*4/AVERAGE(J23,K23)</t>
        </is>
      </c>
      <c r="F770" t="inlineStr">
        <is>
          <t>Derived</t>
        </is>
      </c>
      <c r="G770" t="inlineStr">
        <is>
          <t>formula: =K6*4/AVERAGE(J23,K23)</t>
        </is>
      </c>
      <c r="H770" t="inlineStr">
        <is>
          <t>inputs: ai[Q1 2026], sng[Q4 2025], sng[Q1 2026]</t>
        </is>
      </c>
    </row>
    <row r="771">
      <c r="A771" t="inlineStr">
        <is>
          <t>KPI</t>
        </is>
      </c>
      <c r="B771" t="inlineStr">
        <is>
          <t>L72</t>
        </is>
      </c>
      <c r="C771" t="inlineStr">
        <is>
          <t>Annualized AI cloud revenue per $1 server &amp; network equipment in service (average)</t>
        </is>
      </c>
      <c r="D771" t="inlineStr">
        <is>
          <t>Q2 2026</t>
        </is>
      </c>
      <c r="E771" t="inlineStr">
        <is>
          <t>formula: =L6*4/AVERAGE(K23,L23)</t>
        </is>
      </c>
      <c r="F771" t="inlineStr">
        <is>
          <t>Derived</t>
        </is>
      </c>
      <c r="G771" t="inlineStr">
        <is>
          <t>formula: =L6*4/AVERAGE(K23,L23)</t>
        </is>
      </c>
      <c r="H771" t="inlineStr">
        <is>
          <t>inputs: ai[Q2 2026], sng[Q1 2026], sng[Q2 2026]</t>
        </is>
      </c>
    </row>
    <row r="772">
      <c r="A772" t="inlineStr">
        <is>
          <t>KPI</t>
        </is>
      </c>
      <c r="B772" t="inlineStr">
        <is>
          <t>C73</t>
        </is>
      </c>
      <c r="C772" t="inlineStr">
        <is>
          <t>AI cloud adj. EBITDA per energized MW, annualized (average MW)</t>
        </is>
      </c>
      <c r="D772" t="inlineStr">
        <is>
          <t>Q1 2024</t>
        </is>
      </c>
      <c r="E772" t="inlineStr">
        <is>
          <t>n.d.</t>
        </is>
      </c>
      <c r="F772" t="inlineStr">
        <is>
          <t>not disclosed</t>
        </is>
      </c>
      <c r="G772" t="inlineStr">
        <is>
          <t>input n.d.</t>
        </is>
      </c>
      <c r="H772" t="inlineStr">
        <is>
          <t>missing: ebitda_ai@Q1 2024, mw@pre-Q1-24</t>
        </is>
      </c>
    </row>
    <row r="773">
      <c r="A773" t="inlineStr">
        <is>
          <t>KPI</t>
        </is>
      </c>
      <c r="B773" t="inlineStr">
        <is>
          <t>D73</t>
        </is>
      </c>
      <c r="C773" t="inlineStr">
        <is>
          <t>AI cloud adj. EBITDA per energized MW, annualized (average MW)</t>
        </is>
      </c>
      <c r="D773" t="inlineStr">
        <is>
          <t>Q2 2024</t>
        </is>
      </c>
      <c r="E773" t="inlineStr">
        <is>
          <t>n.d.</t>
        </is>
      </c>
      <c r="F773" t="inlineStr">
        <is>
          <t>not disclosed</t>
        </is>
      </c>
      <c r="G773" t="inlineStr">
        <is>
          <t>input n.d.</t>
        </is>
      </c>
      <c r="H773" t="inlineStr">
        <is>
          <t>missing: ebitda_ai@Q2 2024</t>
        </is>
      </c>
    </row>
    <row r="774">
      <c r="A774" t="inlineStr">
        <is>
          <t>KPI</t>
        </is>
      </c>
      <c r="B774" t="inlineStr">
        <is>
          <t>E73</t>
        </is>
      </c>
      <c r="C774" t="inlineStr">
        <is>
          <t>AI cloud adj. EBITDA per energized MW, annualized (average MW)</t>
        </is>
      </c>
      <c r="D774" t="inlineStr">
        <is>
          <t>Q3 2024</t>
        </is>
      </c>
      <c r="E774" t="inlineStr">
        <is>
          <t>formula: =E9*4/AVERAGE(D30,E30)</t>
        </is>
      </c>
      <c r="F774" t="inlineStr">
        <is>
          <t>Estimated</t>
        </is>
      </c>
      <c r="G774" t="inlineStr">
        <is>
          <t>formula: =E9*4/AVERAGE(D30,E30)</t>
        </is>
      </c>
      <c r="H774" t="inlineStr">
        <is>
          <t>inputs: ebitda_ai[Q3 2024], mw[Q2 2024], mw[Q3 2024]</t>
        </is>
      </c>
    </row>
    <row r="775">
      <c r="A775" t="inlineStr">
        <is>
          <t>KPI</t>
        </is>
      </c>
      <c r="B775" t="inlineStr">
        <is>
          <t>F73</t>
        </is>
      </c>
      <c r="C775" t="inlineStr">
        <is>
          <t>AI cloud adj. EBITDA per energized MW, annualized (average MW)</t>
        </is>
      </c>
      <c r="D775" t="inlineStr">
        <is>
          <t>Q4 2024</t>
        </is>
      </c>
      <c r="E775" t="inlineStr">
        <is>
          <t>formula: =F9*4/AVERAGE(E30,F30)</t>
        </is>
      </c>
      <c r="F775" t="inlineStr">
        <is>
          <t>Estimated</t>
        </is>
      </c>
      <c r="G775" t="inlineStr">
        <is>
          <t>formula: =F9*4/AVERAGE(E30,F30)</t>
        </is>
      </c>
      <c r="H775" t="inlineStr">
        <is>
          <t>inputs: ebitda_ai[Q4 2024], mw[Q3 2024], mw[Q4 2024]</t>
        </is>
      </c>
    </row>
    <row r="776">
      <c r="A776" t="inlineStr">
        <is>
          <t>KPI</t>
        </is>
      </c>
      <c r="B776" t="inlineStr">
        <is>
          <t>G73</t>
        </is>
      </c>
      <c r="C776" t="inlineStr">
        <is>
          <t>AI cloud adj. EBITDA per energized MW, annualized (average MW)</t>
        </is>
      </c>
      <c r="D776" t="inlineStr">
        <is>
          <t>Q1 2025</t>
        </is>
      </c>
      <c r="E776" t="inlineStr">
        <is>
          <t>formula: =G9*4/AVERAGE(F30,G30)</t>
        </is>
      </c>
      <c r="F776" t="inlineStr">
        <is>
          <t>Estimated</t>
        </is>
      </c>
      <c r="G776" t="inlineStr">
        <is>
          <t>formula: =G9*4/AVERAGE(F30,G30)</t>
        </is>
      </c>
      <c r="H776" t="inlineStr">
        <is>
          <t>inputs: ebitda_ai[Q1 2025], mw[Q4 2024], mw[Q1 2025]</t>
        </is>
      </c>
    </row>
    <row r="777">
      <c r="A777" t="inlineStr">
        <is>
          <t>KPI</t>
        </is>
      </c>
      <c r="B777" t="inlineStr">
        <is>
          <t>H73</t>
        </is>
      </c>
      <c r="C777" t="inlineStr">
        <is>
          <t>AI cloud adj. EBITDA per energized MW, annualized (average MW)</t>
        </is>
      </c>
      <c r="D777" t="inlineStr">
        <is>
          <t>Q2 2025</t>
        </is>
      </c>
      <c r="E777" t="inlineStr">
        <is>
          <t>formula: =H9*4/AVERAGE(G30,H30)</t>
        </is>
      </c>
      <c r="F777" t="inlineStr">
        <is>
          <t>Estimated</t>
        </is>
      </c>
      <c r="G777" t="inlineStr">
        <is>
          <t>formula: =H9*4/AVERAGE(G30,H30)</t>
        </is>
      </c>
      <c r="H777" t="inlineStr">
        <is>
          <t>inputs: ebitda_ai[Q2 2025], mw[Q1 2025], mw[Q2 2025]</t>
        </is>
      </c>
    </row>
    <row r="778">
      <c r="A778" t="inlineStr">
        <is>
          <t>KPI</t>
        </is>
      </c>
      <c r="B778" t="inlineStr">
        <is>
          <t>I73</t>
        </is>
      </c>
      <c r="C778" t="inlineStr">
        <is>
          <t>AI cloud adj. EBITDA per energized MW, annualized (average MW)</t>
        </is>
      </c>
      <c r="D778" t="inlineStr">
        <is>
          <t>Q3 2025</t>
        </is>
      </c>
      <c r="E778" t="inlineStr">
        <is>
          <t>formula: =I9*4/AVERAGE(H30,I30)</t>
        </is>
      </c>
      <c r="F778" t="inlineStr">
        <is>
          <t>Estimated</t>
        </is>
      </c>
      <c r="G778" t="inlineStr">
        <is>
          <t>formula: =I9*4/AVERAGE(H30,I30)</t>
        </is>
      </c>
      <c r="H778" t="inlineStr">
        <is>
          <t>inputs: ebitda_ai[Q3 2025], mw[Q2 2025], mw[Q3 2025]</t>
        </is>
      </c>
    </row>
    <row r="779">
      <c r="A779" t="inlineStr">
        <is>
          <t>KPI</t>
        </is>
      </c>
      <c r="B779" t="inlineStr">
        <is>
          <t>J73</t>
        </is>
      </c>
      <c r="C779" t="inlineStr">
        <is>
          <t>AI cloud adj. EBITDA per energized MW, annualized (average MW)</t>
        </is>
      </c>
      <c r="D779" t="inlineStr">
        <is>
          <t>Q4 2025</t>
        </is>
      </c>
      <c r="E779" t="inlineStr">
        <is>
          <t>formula: =J9*4/AVERAGE(I30,J30)</t>
        </is>
      </c>
      <c r="F779" t="inlineStr">
        <is>
          <t>Estimated</t>
        </is>
      </c>
      <c r="G779" t="inlineStr">
        <is>
          <t>formula: =J9*4/AVERAGE(I30,J30)</t>
        </is>
      </c>
      <c r="H779" t="inlineStr">
        <is>
          <t>inputs: ebitda_ai[Q4 2025], mw[Q3 2025], mw[Q4 2025]</t>
        </is>
      </c>
    </row>
    <row r="780">
      <c r="A780" t="inlineStr">
        <is>
          <t>KPI</t>
        </is>
      </c>
      <c r="B780" t="inlineStr">
        <is>
          <t>K73</t>
        </is>
      </c>
      <c r="C780" t="inlineStr">
        <is>
          <t>AI cloud adj. EBITDA per energized MW, annualized (average MW)</t>
        </is>
      </c>
      <c r="D780" t="inlineStr">
        <is>
          <t>Q1 2026</t>
        </is>
      </c>
      <c r="E780" t="inlineStr">
        <is>
          <t>formula: =K9*4/AVERAGE(J30,K30)</t>
        </is>
      </c>
      <c r="F780" t="inlineStr">
        <is>
          <t>Estimated</t>
        </is>
      </c>
      <c r="G780" t="inlineStr">
        <is>
          <t>formula: =K9*4/AVERAGE(J30,K30)</t>
        </is>
      </c>
      <c r="H780" t="inlineStr">
        <is>
          <t>inputs: ebitda_ai[Q1 2026], mw[Q4 2025], mw[Q1 2026]</t>
        </is>
      </c>
    </row>
    <row r="781">
      <c r="A781" t="inlineStr">
        <is>
          <t>KPI</t>
        </is>
      </c>
      <c r="B781" t="inlineStr">
        <is>
          <t>L73</t>
        </is>
      </c>
      <c r="C781" t="inlineStr">
        <is>
          <t>AI cloud adj. EBITDA per energized MW, annualized (average MW)</t>
        </is>
      </c>
      <c r="D781" t="inlineStr">
        <is>
          <t>Q2 2026</t>
        </is>
      </c>
      <c r="E781" t="inlineStr">
        <is>
          <t>formula: =L9*4/AVERAGE(K30,L30)</t>
        </is>
      </c>
      <c r="F781" t="inlineStr">
        <is>
          <t>Estimated</t>
        </is>
      </c>
      <c r="G781" t="inlineStr">
        <is>
          <t>formula: =L9*4/AVERAGE(K30,L30)</t>
        </is>
      </c>
      <c r="H781" t="inlineStr">
        <is>
          <t>inputs: ebitda_ai[Q2 2026], mw[Q1 2026], mw[Q2 2026]</t>
        </is>
      </c>
    </row>
    <row r="782">
      <c r="A782" t="inlineStr">
        <is>
          <t>KPI</t>
        </is>
      </c>
      <c r="B782" t="inlineStr">
        <is>
          <t>C74</t>
        </is>
      </c>
      <c r="C782" t="inlineStr">
        <is>
          <t>Change in deferred revenue as % of capex</t>
        </is>
      </c>
      <c r="D782" t="inlineStr">
        <is>
          <t>Q1 2024</t>
        </is>
      </c>
      <c r="E782" t="inlineStr">
        <is>
          <t>n.d.</t>
        </is>
      </c>
      <c r="F782" t="inlineStr">
        <is>
          <t>not disclosed</t>
        </is>
      </c>
      <c r="G782" t="inlineStr">
        <is>
          <t>input n.d.</t>
        </is>
      </c>
      <c r="H782" t="inlineStr">
        <is>
          <t>missing: ddr@Q1 2024</t>
        </is>
      </c>
    </row>
    <row r="783">
      <c r="A783" t="inlineStr">
        <is>
          <t>KPI</t>
        </is>
      </c>
      <c r="B783" t="inlineStr">
        <is>
          <t>D74</t>
        </is>
      </c>
      <c r="C783" t="inlineStr">
        <is>
          <t>Change in deferred revenue as % of capex</t>
        </is>
      </c>
      <c r="D783" t="inlineStr">
        <is>
          <t>Q2 2024</t>
        </is>
      </c>
      <c r="E783" t="inlineStr">
        <is>
          <t>n.d.</t>
        </is>
      </c>
      <c r="F783" t="inlineStr">
        <is>
          <t>not disclosed</t>
        </is>
      </c>
      <c r="G783" t="inlineStr">
        <is>
          <t>input n.d.</t>
        </is>
      </c>
      <c r="H783" t="inlineStr">
        <is>
          <t>missing: ddr@Q2 2024</t>
        </is>
      </c>
    </row>
    <row r="784">
      <c r="A784" t="inlineStr">
        <is>
          <t>KPI</t>
        </is>
      </c>
      <c r="B784" t="inlineStr">
        <is>
          <t>E74</t>
        </is>
      </c>
      <c r="C784" t="inlineStr">
        <is>
          <t>Change in deferred revenue as % of capex</t>
        </is>
      </c>
      <c r="D784" t="inlineStr">
        <is>
          <t>Q3 2024</t>
        </is>
      </c>
      <c r="E784" t="inlineStr">
        <is>
          <t>formula: =E21/E11</t>
        </is>
      </c>
      <c r="F784" t="inlineStr">
        <is>
          <t>Derived</t>
        </is>
      </c>
      <c r="G784" t="inlineStr">
        <is>
          <t>formula: =E21/E11</t>
        </is>
      </c>
      <c r="H784" t="inlineStr">
        <is>
          <t>inputs: ddr[Q3 2024], capex[Q3 2024]</t>
        </is>
      </c>
    </row>
    <row r="785">
      <c r="A785" t="inlineStr">
        <is>
          <t>KPI</t>
        </is>
      </c>
      <c r="B785" t="inlineStr">
        <is>
          <t>F74</t>
        </is>
      </c>
      <c r="C785" t="inlineStr">
        <is>
          <t>Change in deferred revenue as % of capex</t>
        </is>
      </c>
      <c r="D785" t="inlineStr">
        <is>
          <t>Q4 2024</t>
        </is>
      </c>
      <c r="E785" t="inlineStr">
        <is>
          <t>formula: =F21/F11</t>
        </is>
      </c>
      <c r="F785" t="inlineStr">
        <is>
          <t>Derived</t>
        </is>
      </c>
      <c r="G785" t="inlineStr">
        <is>
          <t>formula: =F21/F11</t>
        </is>
      </c>
      <c r="H785" t="inlineStr">
        <is>
          <t>inputs: ddr[Q4 2024], capex[Q4 2024]</t>
        </is>
      </c>
    </row>
    <row r="786">
      <c r="A786" t="inlineStr">
        <is>
          <t>KPI</t>
        </is>
      </c>
      <c r="B786" t="inlineStr">
        <is>
          <t>G74</t>
        </is>
      </c>
      <c r="C786" t="inlineStr">
        <is>
          <t>Change in deferred revenue as % of capex</t>
        </is>
      </c>
      <c r="D786" t="inlineStr">
        <is>
          <t>Q1 2025</t>
        </is>
      </c>
      <c r="E786" t="inlineStr">
        <is>
          <t>formula: =G21/G11</t>
        </is>
      </c>
      <c r="F786" t="inlineStr">
        <is>
          <t>Derived</t>
        </is>
      </c>
      <c r="G786" t="inlineStr">
        <is>
          <t>formula: =G21/G11</t>
        </is>
      </c>
      <c r="H786" t="inlineStr">
        <is>
          <t>inputs: ddr[Q1 2025], capex[Q1 2025]</t>
        </is>
      </c>
    </row>
    <row r="787">
      <c r="A787" t="inlineStr">
        <is>
          <t>KPI</t>
        </is>
      </c>
      <c r="B787" t="inlineStr">
        <is>
          <t>H74</t>
        </is>
      </c>
      <c r="C787" t="inlineStr">
        <is>
          <t>Change in deferred revenue as % of capex</t>
        </is>
      </c>
      <c r="D787" t="inlineStr">
        <is>
          <t>Q2 2025</t>
        </is>
      </c>
      <c r="E787" t="inlineStr">
        <is>
          <t>formula: =H21/H11</t>
        </is>
      </c>
      <c r="F787" t="inlineStr">
        <is>
          <t>Derived</t>
        </is>
      </c>
      <c r="G787" t="inlineStr">
        <is>
          <t>formula: =H21/H11</t>
        </is>
      </c>
      <c r="H787" t="inlineStr">
        <is>
          <t>inputs: ddr[Q2 2025], capex[Q2 2025]</t>
        </is>
      </c>
    </row>
    <row r="788">
      <c r="A788" t="inlineStr">
        <is>
          <t>KPI</t>
        </is>
      </c>
      <c r="B788" t="inlineStr">
        <is>
          <t>I74</t>
        </is>
      </c>
      <c r="C788" t="inlineStr">
        <is>
          <t>Change in deferred revenue as % of capex</t>
        </is>
      </c>
      <c r="D788" t="inlineStr">
        <is>
          <t>Q3 2025</t>
        </is>
      </c>
      <c r="E788" t="inlineStr">
        <is>
          <t>formula: =I21/I11</t>
        </is>
      </c>
      <c r="F788" t="inlineStr">
        <is>
          <t>Derived</t>
        </is>
      </c>
      <c r="G788" t="inlineStr">
        <is>
          <t>formula: =I21/I11</t>
        </is>
      </c>
      <c r="H788" t="inlineStr">
        <is>
          <t>inputs: ddr[Q3 2025], capex[Q3 2025]</t>
        </is>
      </c>
    </row>
    <row r="789">
      <c r="A789" t="inlineStr">
        <is>
          <t>KPI</t>
        </is>
      </c>
      <c r="B789" t="inlineStr">
        <is>
          <t>J74</t>
        </is>
      </c>
      <c r="C789" t="inlineStr">
        <is>
          <t>Change in deferred revenue as % of capex</t>
        </is>
      </c>
      <c r="D789" t="inlineStr">
        <is>
          <t>Q4 2025</t>
        </is>
      </c>
      <c r="E789" t="inlineStr">
        <is>
          <t>formula: =J21/J11</t>
        </is>
      </c>
      <c r="F789" t="inlineStr">
        <is>
          <t>Derived</t>
        </is>
      </c>
      <c r="G789" t="inlineStr">
        <is>
          <t>formula: =J21/J11</t>
        </is>
      </c>
      <c r="H789" t="inlineStr">
        <is>
          <t>inputs: ddr[Q4 2025], capex[Q4 2025]</t>
        </is>
      </c>
    </row>
    <row r="790">
      <c r="A790" t="inlineStr">
        <is>
          <t>KPI</t>
        </is>
      </c>
      <c r="B790" t="inlineStr">
        <is>
          <t>K74</t>
        </is>
      </c>
      <c r="C790" t="inlineStr">
        <is>
          <t>Change in deferred revenue as % of capex</t>
        </is>
      </c>
      <c r="D790" t="inlineStr">
        <is>
          <t>Q1 2026</t>
        </is>
      </c>
      <c r="E790" t="inlineStr">
        <is>
          <t>formula: =K21/K11</t>
        </is>
      </c>
      <c r="F790" t="inlineStr">
        <is>
          <t>Derived</t>
        </is>
      </c>
      <c r="G790" t="inlineStr">
        <is>
          <t>formula: =K21/K11</t>
        </is>
      </c>
      <c r="H790" t="inlineStr">
        <is>
          <t>inputs: ddr[Q1 2026], capex[Q1 2026]</t>
        </is>
      </c>
    </row>
    <row r="791">
      <c r="A791" t="inlineStr">
        <is>
          <t>KPI</t>
        </is>
      </c>
      <c r="B791" t="inlineStr">
        <is>
          <t>L74</t>
        </is>
      </c>
      <c r="C791" t="inlineStr">
        <is>
          <t>Change in deferred revenue as % of capex</t>
        </is>
      </c>
      <c r="D791" t="inlineStr">
        <is>
          <t>Q2 2026</t>
        </is>
      </c>
      <c r="E791" t="inlineStr">
        <is>
          <t>formula: =L21/L11</t>
        </is>
      </c>
      <c r="F791" t="inlineStr">
        <is>
          <t>Derived</t>
        </is>
      </c>
      <c r="G791" t="inlineStr">
        <is>
          <t>formula: =L21/L11</t>
        </is>
      </c>
      <c r="H791" t="inlineStr">
        <is>
          <t>inputs: ddr[Q2 2026], capex[Q2 2026]</t>
        </is>
      </c>
    </row>
    <row r="793">
      <c r="A793" t="inlineStr">
        <is>
          <t>KPI</t>
        </is>
      </c>
      <c r="B793" t="inlineStr">
        <is>
          <t>n.d. note</t>
        </is>
      </c>
      <c r="C793" t="inlineStr">
        <is>
          <t>RPO pre-YE25 / mid-2025 PPE Note 7</t>
        </is>
      </c>
      <c r="D793" t="inlineStr">
        <is>
          <t>n.d.</t>
        </is>
      </c>
      <c r="E793" t="inlineStr">
        <is>
          <t>not disclosed</t>
        </is>
      </c>
      <c r="F793" t="inlineStr">
        <is>
          <t>See /workspace/nebius/filings/kpi_nd_notes.md — first RPO YE25 20-F $21,333.0; servers/ANIU only YE24/YE25/Q1’26/Q2’26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2026-10-05T12:31:39Z</dcterms:created>
  <dcterms:modified xmlns:dcterms="http://purl.org/dc/terms/" xmlns:xsi="http://www.w3.org/2001/XMLSchema-instance" xsi:type="dcterms:W3CDTF">2026-10-05T14:33:11Z</dcterms:modified>
</cp:coreProperties>
</file>