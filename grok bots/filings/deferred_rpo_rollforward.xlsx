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rred_Rollforward" sheetId="1" state="visible" r:id="rId1"/>
    <sheet xmlns:r="http://schemas.openxmlformats.org/officeDocument/2006/relationships" name="Release_Rate" sheetId="2" state="visible" r:id="rId2"/>
    <sheet xmlns:r="http://schemas.openxmlformats.org/officeDocument/2006/relationships" name="RPO_Timing" sheetId="3" state="visible" r:id="rId3"/>
    <sheet xmlns:r="http://schemas.openxmlformats.org/officeDocument/2006/relationships" name="FY27_Coverag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i val="1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00"/>
      <sz val="11"/>
    </font>
    <font>
      <name val="Calibri"/>
      <color rgb="000000FF"/>
      <sz val="11"/>
    </font>
    <font>
      <i val="1"/>
      <sz val="10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164" fontId="7" fillId="3" borderId="1" pivotButton="0" quotePrefix="0" xfId="0"/>
    <xf numFmtId="164" fontId="6" fillId="4" borderId="1" pivotButton="0" quotePrefix="0" xfId="0"/>
    <xf numFmtId="164" fontId="6" fillId="5" borderId="1" pivotButton="0" quotePrefix="0" xfId="0"/>
    <xf numFmtId="0" fontId="5" fillId="0" borderId="0" pivotButton="0" quotePrefix="0" xfId="0"/>
    <xf numFmtId="165" fontId="6" fillId="5" borderId="1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6" fillId="0" borderId="1" applyAlignment="1" pivotButton="0" quotePrefix="0" xfId="0">
      <alignment wrapText="1"/>
    </xf>
    <xf numFmtId="165" fontId="7" fillId="3" borderId="1" pivotButton="0" quotePrefix="0" xfId="0"/>
    <xf numFmtId="165" fontId="6" fillId="4" borderId="1" pivotButton="0" quotePrefix="0" xfId="0"/>
    <xf numFmtId="0" fontId="9" fillId="0" borderId="0" pivotButton="0" quotePrefix="0" xfId="0"/>
    <xf numFmtId="164" fontId="6" fillId="6" borderId="1" pivotButton="0" quotePrefix="0" xfId="0"/>
    <xf numFmtId="0" fontId="6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Filings</author>
  </authors>
  <commentList>
    <comment ref="C6" authorId="0" shapeId="0">
      <text>
        <t>Open=9/30/24 BS $17.4 (tm2427209). Close=YE25 20-F restated $16.3 (was $16.5 in Q4'24 PR). Other=-0.2 restatement bridge. Recog from opening ND for quarter; FY24 recog from YE23 open was $6.9 (annual). CF Q4'24 deferred change -$0.4 (tm266173).</t>
      </text>
    </comment>
    <comment ref="G6" authorId="0" shapeId="0">
      <text>
        <t>Recognized from opening NOT DISCLOSED for this quarter; input 0 so Adds formula = Close-Open-Other equals net change (gross adds understated by any same-period and opening recognition).</t>
      </text>
    </comment>
    <comment ref="I6" authorId="0" shapeId="0">
      <text>
        <t>Other: restatement/FX/reclass/acq. Q4'24 -0.2 bridges unrestated 9/30 open path to restated YE24 close.</t>
      </text>
    </comment>
    <comment ref="C7" authorId="0" shapeId="0">
      <text>
        <t>Open YE24 restated $16.3 (20-F). Close $19.0 Q1'25 PR BS (tm2515580); PR comparative showed $16.5. Recog from opening ND in Q1 filing; 1H'25 from YE24 open only $0.4 (Q2'26 Note comparative). No non-current line.</t>
      </text>
    </comment>
    <comment ref="G7" authorId="0" shapeId="0">
      <text>
        <t>Recognized from opening NOT DISCLOSED for this quarter; input 0 so Adds formula = Close-Open-Other equals net change (gross adds understated by any same-period and opening recognition).</t>
      </text>
    </comment>
    <comment ref="I7" authorId="0" shapeId="0">
      <text>
        <t>Other: restatement/FX/reclass/acq. Q4'24 -0.2 bridges unrestated 9/30 open path to restated YE24 close.</t>
      </text>
    </comment>
    <comment ref="C8" authorId="0" shapeId="0">
      <text>
        <t>Recog from opening $3.2 [R] Q2'26 interim Note (three months ended 6/30/25). Close $19.3 Q2'25 PR (tm2522866). Current only.</t>
      </text>
    </comment>
    <comment ref="I8" authorId="0" shapeId="0">
      <text>
        <t>Other: restatement/FX/reclass/acq. Q4'24 -0.2 bridges unrestated 9/30 open path to restated YE24 close.</t>
      </text>
    </comment>
    <comment ref="C9" authorId="0" shapeId="0">
      <text>
        <t>Close $15.6 Q3'25 PR (tm2530882). CF deferred Q3'25 -$3.8 [R]. Recog from opening ND. Current only.</t>
      </text>
    </comment>
    <comment ref="G9" authorId="0" shapeId="0">
      <text>
        <t>Recognized from opening NOT DISCLOSED for this quarter; input 0 so Adds formula = Close-Open-Other equals net change (gross adds understated by any same-period and opening recognition).</t>
      </text>
    </comment>
    <comment ref="I9" authorId="0" shapeId="0">
      <text>
        <t>Other: restatement/FX/reclass/acq. Q4'24 -0.2 bridges unrestated 9/30 open path to restated YE24 close.</t>
      </text>
    </comment>
    <comment ref="C10" authorId="0" shapeId="0">
      <text>
        <t>Close $1,577.5 = 275.5 cur + 1,302.0 NC [R] YE25 20-F / Q4'25 PR. YE25 note: increased $1,561.2 in FY25; FY25 recog from YE24 open $16.3 (annual, not Q4-specific). CF Q4'25 +$1,566.5.</t>
      </text>
    </comment>
    <comment ref="G10" authorId="0" shapeId="0">
      <text>
        <t>Recognized from opening NOT DISCLOSED for this quarter; input 0 so Adds formula = Close-Open-Other equals net change (gross adds understated by any same-period and opening recognition).</t>
      </text>
    </comment>
    <comment ref="I10" authorId="0" shapeId="0">
      <text>
        <t>Other: restatement/FX/reclass/acq. Q4'24 -0.2 bridges unrestated 9/30 open path to restated YE24 close.</t>
      </text>
    </comment>
    <comment ref="C11" authorId="0" shapeId="0">
      <text>
        <t>Close $4,778.1 [R] Q1FS Note. Net increase $3,200.6 [R]. Recog from open Q1 = 1H $154.3 − Q2 $130.8 = $23.5 [D] (Q2FS Note). Current 685.6 / NC 4,092.5. CF +3,198.0.</t>
      </text>
    </comment>
    <comment ref="I11" authorId="0" shapeId="0">
      <text>
        <t>Other: restatement/FX/reclass/acq. Q4'24 -0.2 bridges unrestated 9/30 open path to restated YE24 close.</t>
      </text>
    </comment>
    <comment ref="C12" authorId="0" shapeId="0">
      <text>
        <t>Close $5,975.2 [R] Q2FS Note p.F-18. Net increase $1,197.1 [R]. Recog from opening $130.8 [R]. Current 979.4 / NC 4,995.8. CF +1,197.0. Expected recognition 1–5 calendar years [R].</t>
      </text>
    </comment>
    <comment ref="I12" authorId="0" shapeId="0">
      <text>
        <t>Other: restatement/FX/reclass/acq. Q4'24 -0.2 bridges unrestated 9/30 open path to restated YE24 close.</t>
      </text>
    </comment>
    <comment ref="C17" authorId="0" shapeId="0">
      <text>
        <t>All current; no NC line (YE25 20-F BS comparative / Q4'24).</t>
      </text>
    </comment>
    <comment ref="C18" authorId="0" shapeId="0">
      <text>
        <t>Single deferred revenue line (current).</t>
      </text>
    </comment>
    <comment ref="C19" authorId="0" shapeId="0">
      <text>
        <t>Single deferred revenue line (current).</t>
      </text>
    </comment>
    <comment ref="C20" authorId="0" shapeId="0">
      <text>
        <t>Single deferred revenue line (current).</t>
      </text>
    </comment>
    <comment ref="C21" authorId="0" shapeId="0">
      <text>
        <t>YE25 20-F BS / Q4'25 PR: first NC deferred from strategic prepays.</t>
      </text>
    </comment>
    <comment ref="C22" authorId="0" shapeId="0">
      <text>
        <t>Q1FS BS.</t>
      </text>
    </comment>
    <comment ref="C23" authorId="0" shapeId="0">
      <text>
        <t>Q2FS BS / Note p.F-18–F-19. Current = mgmt estimate of ≤12-month release.</t>
      </text>
    </comment>
    <comment ref="B27" authorId="0" shapeId="0">
      <text>
        <t>tm266173 Q4'25 PR CF comparative 3M ended 12/31/24</t>
      </text>
    </comment>
    <comment ref="B30" authorId="0" shapeId="0">
      <text>
        <t>tm2530882 CF 3M ended 9/30/25</t>
      </text>
    </comment>
    <comment ref="B31" authorId="0" shapeId="0">
      <text>
        <t>tm266173 CF 3M ended 12/31/25</t>
      </text>
    </comment>
    <comment ref="B32" authorId="0" shapeId="0">
      <text>
        <t>tm2614392 / Q1FS CF</t>
      </text>
    </comment>
    <comment ref="B33" authorId="0" shapeId="0">
      <text>
        <t>tm2622968 / Q2FS CF (note says +1,197.1)</t>
      </text>
    </comment>
  </commentList>
</comments>
</file>

<file path=xl/comments/comment2.xml><?xml version="1.0" encoding="utf-8"?>
<comments xmlns="http://schemas.openxmlformats.org/spreadsheetml/2006/main">
  <authors>
    <author>Filings</author>
  </authors>
  <commentList>
    <comment ref="B10" authorId="0" shapeId="0">
      <text>
        <t>YE25 20-F Deferred Revenue note: $16.3 recognized in 2025 from YE24 opening $16.3 → 100% annual release of pre-strategic balance.</t>
      </text>
    </comment>
  </commentList>
</comments>
</file>

<file path=xl/comments/comment3.xml><?xml version="1.0" encoding="utf-8"?>
<comments xmlns="http://schemas.openxmlformats.org/spreadsheetml/2006/main">
  <authors>
    <author>Filings</author>
  </authors>
  <commentList>
    <comment ref="B5" authorId="0" shapeId="0">
      <text>
        <t>YE25 20-F Remaining performance obligations note (~p.F-18/F-34 area): $21,333.0</t>
      </text>
    </comment>
    <comment ref="B6" authorId="0" shapeId="0">
      <text>
        <t>Q1'26 interim FS Note Remaining performance obligations</t>
      </text>
    </comment>
    <comment ref="B7" authorId="0" shapeId="0">
      <text>
        <t>Q2'26 interim FS Note 1 p.F-18/F-19: $37,490.6; 36% / 40% / remainder; 100% Nebius AI cloud</t>
      </text>
    </comment>
    <comment ref="B11" authorId="0" shapeId="0">
      <text>
        <t>Q2FS Note</t>
      </text>
    </comment>
  </commentList>
</comments>
</file>

<file path=xl/comments/comment4.xml><?xml version="1.0" encoding="utf-8"?>
<comments xmlns="http://schemas.openxmlformats.org/spreadsheetml/2006/main">
  <authors>
    <author>Filings</author>
  </authors>
  <commentList>
    <comment ref="B5" authorId="0" shapeId="0">
      <text>
        <t>Team consensus figure per task brief — [E] not a company figure</t>
      </text>
    </comment>
    <comment ref="B6" authorId="0" shapeId="0">
      <text>
        <t>Q1'26 letter / call: $3.0–3.4B</t>
      </text>
    </comment>
    <comment ref="B8" authorId="0" shapeId="0">
      <text>
        <t>Q2'26 PR</t>
      </text>
    </comment>
    <comment ref="B28" authorId="0" shapeId="0">
      <text>
        <t>YE25 20-F Note 1 Significant Customer Agreements</t>
      </text>
    </comment>
    <comment ref="B31" authorId="0" shapeId="0">
      <text>
        <t>YE25 20-F Note 1</t>
      </text>
    </comment>
    <comment ref="B32" authorId="0" shapeId="0">
      <text>
        <t>6-K 2026-03-16 / 20-F</t>
      </text>
    </comment>
    <comment ref="B34" authorId="0" shapeId="0">
      <text>
        <t>Q2'26 letter: over $9B — input as 9000 floor</t>
      </text>
    </comment>
  </commentList>
</comments>
</file>

<file path=xl/comments/comment5.xml><?xml version="1.0" encoding="utf-8"?>
<comments xmlns="http://schemas.openxmlformats.org/spreadsheetml/2006/main">
  <authors>
    <author>Filings</author>
  </authors>
  <commentList>
    <comment ref="B23" authorId="0" shapeId="0">
      <text>
        <t>1H'26 recog from opening [R] Q2FS</t>
      </text>
    </comment>
    <comment ref="C23" authorId="0" shapeId="0">
      <text>
        <t>Q2'26 recog from opening [R]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Nebius (NBIS) — Deferred revenue (contract liabilities) roll-forward</t>
        </is>
      </c>
    </row>
    <row r="2">
      <c r="A2" s="2" t="inlineStr">
        <is>
          <t>USD millions. Blue = inputs [R/hardcoded]. Black = live formulas [D]. Tags: [R] Reported, [D] Derived, [E] Estimated. ND = not disclosed.</t>
        </is>
      </c>
    </row>
    <row r="3">
      <c r="A3" s="3" t="inlineStr">
        <is>
          <t>Sources: YE25 20-F Note (Deferred Revenue / RPO); Q1'26 / Q2'26 interim FS Note 1 (~p.F-15 / F-18); quarterly 6-K PR balance sheets &amp; cash flows (tm2427209, tm257185, tm2515580, tm2522866, tm2530882, tm266173).</t>
        </is>
      </c>
    </row>
    <row r="5" ht="36" customHeight="1">
      <c r="A5" s="4" t="inlineStr">
        <is>
          <t>Quarter</t>
        </is>
      </c>
      <c r="B5" s="4" t="inlineStr">
        <is>
          <t>Period end</t>
        </is>
      </c>
      <c r="C5" s="4" t="inlineStr">
        <is>
          <t>Open (total)</t>
        </is>
      </c>
      <c r="D5" s="4" t="inlineStr">
        <is>
          <t>Tag Open</t>
        </is>
      </c>
      <c r="E5" s="4" t="inlineStr">
        <is>
          <t>Adds (gross proxy)</t>
        </is>
      </c>
      <c r="F5" s="4" t="inlineStr">
        <is>
          <t>Tag Adds</t>
        </is>
      </c>
      <c r="G5" s="4" t="inlineStr">
        <is>
          <t>Recognized from opening</t>
        </is>
      </c>
      <c r="H5" s="4" t="inlineStr">
        <is>
          <t>Tag Recog</t>
        </is>
      </c>
      <c r="I5" s="4" t="inlineStr">
        <is>
          <t>Other / restatement / FX</t>
        </is>
      </c>
      <c r="J5" s="4" t="inlineStr">
        <is>
          <t>Tag Other</t>
        </is>
      </c>
      <c r="K5" s="4" t="inlineStr">
        <is>
          <t>Close (total)</t>
        </is>
      </c>
      <c r="L5" s="4" t="inlineStr">
        <is>
          <t>Tag Close</t>
        </is>
      </c>
      <c r="M5" s="4" t="inlineStr">
        <is>
          <t>Check: Open+Adds-Recog+Other</t>
        </is>
      </c>
      <c r="N5" s="4" t="inlineStr">
        <is>
          <t>Tie (Close - Check)</t>
        </is>
      </c>
    </row>
    <row r="6">
      <c r="A6" s="5" t="inlineStr">
        <is>
          <t>Q4'24</t>
        </is>
      </c>
      <c r="B6" s="6" t="inlineStr">
        <is>
          <t>2024-12-31</t>
        </is>
      </c>
      <c r="C6" s="7" t="n">
        <v>17.4</v>
      </c>
      <c r="D6" s="6" t="inlineStr">
        <is>
          <t>[R]</t>
        </is>
      </c>
      <c r="E6" s="8">
        <f>K6-C6+G6-I6</f>
        <v/>
      </c>
      <c r="F6" s="6" t="inlineStr">
        <is>
          <t>[D] net</t>
        </is>
      </c>
      <c r="G6" s="7" t="n">
        <v>0</v>
      </c>
      <c r="H6" s="6" t="inlineStr">
        <is>
          <t>ND→0</t>
        </is>
      </c>
      <c r="I6" s="7" t="n">
        <v>-0.2</v>
      </c>
      <c r="J6" s="6" t="inlineStr">
        <is>
          <t>[D]</t>
        </is>
      </c>
      <c r="K6" s="7" t="n">
        <v>16.3</v>
      </c>
      <c r="L6" s="6" t="inlineStr">
        <is>
          <t>[R]</t>
        </is>
      </c>
      <c r="M6" s="9">
        <f>C6+E6-G6+I6</f>
        <v/>
      </c>
      <c r="N6" s="9">
        <f>K6-M6</f>
        <v/>
      </c>
    </row>
    <row r="7">
      <c r="A7" s="5" t="inlineStr">
        <is>
          <t>Q1'25</t>
        </is>
      </c>
      <c r="B7" s="6" t="inlineStr">
        <is>
          <t>2025-03-31</t>
        </is>
      </c>
      <c r="C7" s="7" t="n">
        <v>16.3</v>
      </c>
      <c r="D7" s="6" t="inlineStr">
        <is>
          <t>[R]</t>
        </is>
      </c>
      <c r="E7" s="8">
        <f>K7-C7+G7-I7</f>
        <v/>
      </c>
      <c r="F7" s="6" t="inlineStr">
        <is>
          <t>[D] net</t>
        </is>
      </c>
      <c r="G7" s="7" t="n">
        <v>0</v>
      </c>
      <c r="H7" s="6" t="inlineStr">
        <is>
          <t>ND→0</t>
        </is>
      </c>
      <c r="I7" s="7" t="n">
        <v>0</v>
      </c>
      <c r="J7" s="6" t="inlineStr">
        <is>
          <t>[E]</t>
        </is>
      </c>
      <c r="K7" s="7" t="n">
        <v>19</v>
      </c>
      <c r="L7" s="6" t="inlineStr">
        <is>
          <t>[R]</t>
        </is>
      </c>
      <c r="M7" s="9">
        <f>C7+E7-G7+I7</f>
        <v/>
      </c>
      <c r="N7" s="9">
        <f>K7-M7</f>
        <v/>
      </c>
    </row>
    <row r="8">
      <c r="A8" s="5" t="inlineStr">
        <is>
          <t>Q2'25</t>
        </is>
      </c>
      <c r="B8" s="6" t="inlineStr">
        <is>
          <t>2025-06-30</t>
        </is>
      </c>
      <c r="C8" s="7" t="n">
        <v>19</v>
      </c>
      <c r="D8" s="6" t="inlineStr">
        <is>
          <t>[R]</t>
        </is>
      </c>
      <c r="E8" s="8">
        <f>K8-C8+G8-I8</f>
        <v/>
      </c>
      <c r="F8" s="6" t="inlineStr">
        <is>
          <t>[D]</t>
        </is>
      </c>
      <c r="G8" s="7" t="n">
        <v>3.2</v>
      </c>
      <c r="H8" s="6" t="inlineStr">
        <is>
          <t>[R]</t>
        </is>
      </c>
      <c r="I8" s="7" t="n">
        <v>0</v>
      </c>
      <c r="J8" s="6" t="inlineStr">
        <is>
          <t>[E]</t>
        </is>
      </c>
      <c r="K8" s="7" t="n">
        <v>19.3</v>
      </c>
      <c r="L8" s="6" t="inlineStr">
        <is>
          <t>[R]</t>
        </is>
      </c>
      <c r="M8" s="9">
        <f>C8+E8-G8+I8</f>
        <v/>
      </c>
      <c r="N8" s="9">
        <f>K8-M8</f>
        <v/>
      </c>
    </row>
    <row r="9">
      <c r="A9" s="5" t="inlineStr">
        <is>
          <t>Q3'25</t>
        </is>
      </c>
      <c r="B9" s="6" t="inlineStr">
        <is>
          <t>2025-09-30</t>
        </is>
      </c>
      <c r="C9" s="7" t="n">
        <v>19.3</v>
      </c>
      <c r="D9" s="6" t="inlineStr">
        <is>
          <t>[R]</t>
        </is>
      </c>
      <c r="E9" s="8">
        <f>K9-C9+G9-I9</f>
        <v/>
      </c>
      <c r="F9" s="6" t="inlineStr">
        <is>
          <t>[D] net</t>
        </is>
      </c>
      <c r="G9" s="7" t="n">
        <v>0</v>
      </c>
      <c r="H9" s="6" t="inlineStr">
        <is>
          <t>ND→0</t>
        </is>
      </c>
      <c r="I9" s="7" t="n">
        <v>0</v>
      </c>
      <c r="J9" s="6" t="inlineStr">
        <is>
          <t>[E]</t>
        </is>
      </c>
      <c r="K9" s="7" t="n">
        <v>15.6</v>
      </c>
      <c r="L9" s="6" t="inlineStr">
        <is>
          <t>[R]</t>
        </is>
      </c>
      <c r="M9" s="9">
        <f>C9+E9-G9+I9</f>
        <v/>
      </c>
      <c r="N9" s="9">
        <f>K9-M9</f>
        <v/>
      </c>
    </row>
    <row r="10">
      <c r="A10" s="5" t="inlineStr">
        <is>
          <t>Q4'25</t>
        </is>
      </c>
      <c r="B10" s="6" t="inlineStr">
        <is>
          <t>2025-12-31</t>
        </is>
      </c>
      <c r="C10" s="7" t="n">
        <v>15.6</v>
      </c>
      <c r="D10" s="6" t="inlineStr">
        <is>
          <t>[R]</t>
        </is>
      </c>
      <c r="E10" s="8">
        <f>K10-C10+G10-I10</f>
        <v/>
      </c>
      <c r="F10" s="6" t="inlineStr">
        <is>
          <t>[D] net</t>
        </is>
      </c>
      <c r="G10" s="7" t="n">
        <v>0</v>
      </c>
      <c r="H10" s="6" t="inlineStr">
        <is>
          <t>ND→0</t>
        </is>
      </c>
      <c r="I10" s="7" t="n">
        <v>0</v>
      </c>
      <c r="J10" s="6" t="inlineStr">
        <is>
          <t>[E]</t>
        </is>
      </c>
      <c r="K10" s="7" t="n">
        <v>1577.5</v>
      </c>
      <c r="L10" s="6" t="inlineStr">
        <is>
          <t>[R]</t>
        </is>
      </c>
      <c r="M10" s="9">
        <f>C10+E10-G10+I10</f>
        <v/>
      </c>
      <c r="N10" s="9">
        <f>K10-M10</f>
        <v/>
      </c>
    </row>
    <row r="11">
      <c r="A11" s="5" t="inlineStr">
        <is>
          <t>Q1'26</t>
        </is>
      </c>
      <c r="B11" s="6" t="inlineStr">
        <is>
          <t>2026-03-31</t>
        </is>
      </c>
      <c r="C11" s="7" t="n">
        <v>1577.5</v>
      </c>
      <c r="D11" s="6" t="inlineStr">
        <is>
          <t>[R]</t>
        </is>
      </c>
      <c r="E11" s="8">
        <f>K11-C11+G11-I11</f>
        <v/>
      </c>
      <c r="F11" s="6" t="inlineStr">
        <is>
          <t>[D]</t>
        </is>
      </c>
      <c r="G11" s="7" t="n">
        <v>23.5</v>
      </c>
      <c r="H11" s="6" t="inlineStr">
        <is>
          <t>[D]</t>
        </is>
      </c>
      <c r="I11" s="7" t="n">
        <v>0</v>
      </c>
      <c r="J11" s="6" t="inlineStr">
        <is>
          <t>[E]</t>
        </is>
      </c>
      <c r="K11" s="7" t="n">
        <v>4778.1</v>
      </c>
      <c r="L11" s="6" t="inlineStr">
        <is>
          <t>[R]</t>
        </is>
      </c>
      <c r="M11" s="9">
        <f>C11+E11-G11+I11</f>
        <v/>
      </c>
      <c r="N11" s="9">
        <f>K11-M11</f>
        <v/>
      </c>
    </row>
    <row r="12">
      <c r="A12" s="5" t="inlineStr">
        <is>
          <t>Q2'26</t>
        </is>
      </c>
      <c r="B12" s="6" t="inlineStr">
        <is>
          <t>2026-06-30</t>
        </is>
      </c>
      <c r="C12" s="7" t="n">
        <v>4778.1</v>
      </c>
      <c r="D12" s="6" t="inlineStr">
        <is>
          <t>[R]</t>
        </is>
      </c>
      <c r="E12" s="8">
        <f>K12-C12+G12-I12</f>
        <v/>
      </c>
      <c r="F12" s="6" t="inlineStr">
        <is>
          <t>[D]</t>
        </is>
      </c>
      <c r="G12" s="7" t="n">
        <v>130.8</v>
      </c>
      <c r="H12" s="6" t="inlineStr">
        <is>
          <t>[R]</t>
        </is>
      </c>
      <c r="I12" s="7" t="n">
        <v>0</v>
      </c>
      <c r="J12" s="6" t="inlineStr">
        <is>
          <t>[E]</t>
        </is>
      </c>
      <c r="K12" s="7" t="n">
        <v>5975.2</v>
      </c>
      <c r="L12" s="6" t="inlineStr">
        <is>
          <t>[R]</t>
        </is>
      </c>
      <c r="M12" s="9">
        <f>C12+E12-G12+I12</f>
        <v/>
      </c>
      <c r="N12" s="9">
        <f>K12-M12</f>
        <v/>
      </c>
    </row>
    <row r="15">
      <c r="A15" s="10" t="inlineStr">
        <is>
          <t>Current vs non-current split (balance sheet)</t>
        </is>
      </c>
    </row>
    <row r="16">
      <c r="A16" s="4" t="inlineStr">
        <is>
          <t>Quarter</t>
        </is>
      </c>
      <c r="B16" s="4" t="inlineStr">
        <is>
          <t>Period end</t>
        </is>
      </c>
      <c r="C16" s="4" t="inlineStr">
        <is>
          <t>Current</t>
        </is>
      </c>
      <c r="D16" s="4" t="inlineStr">
        <is>
          <t>Tag</t>
        </is>
      </c>
      <c r="E16" s="4" t="inlineStr">
        <is>
          <t>Non-current</t>
        </is>
      </c>
      <c r="F16" s="4" t="inlineStr">
        <is>
          <t>Tag</t>
        </is>
      </c>
      <c r="G16" s="4" t="inlineStr">
        <is>
          <t>Total (formula)</t>
        </is>
      </c>
      <c r="H16" s="4" t="inlineStr">
        <is>
          <t>Current % of total</t>
        </is>
      </c>
    </row>
    <row r="17">
      <c r="A17" s="5" t="inlineStr">
        <is>
          <t>Q4'24</t>
        </is>
      </c>
      <c r="B17" s="6" t="inlineStr">
        <is>
          <t>2024-12-31</t>
        </is>
      </c>
      <c r="C17" s="7" t="n">
        <v>16.3</v>
      </c>
      <c r="D17" s="6" t="inlineStr">
        <is>
          <t>[R]</t>
        </is>
      </c>
      <c r="E17" s="7" t="n">
        <v>0</v>
      </c>
      <c r="F17" s="6" t="inlineStr">
        <is>
          <t>[R]</t>
        </is>
      </c>
      <c r="G17" s="8">
        <f>C17+E17</f>
        <v/>
      </c>
      <c r="H17" s="11">
        <f>IF(G17=0,0,C17/G17)</f>
        <v/>
      </c>
    </row>
    <row r="18">
      <c r="A18" s="5" t="inlineStr">
        <is>
          <t>Q1'25</t>
        </is>
      </c>
      <c r="B18" s="6" t="inlineStr">
        <is>
          <t>2025-03-31</t>
        </is>
      </c>
      <c r="C18" s="7" t="n">
        <v>19</v>
      </c>
      <c r="D18" s="6" t="inlineStr">
        <is>
          <t>[R]</t>
        </is>
      </c>
      <c r="E18" s="7" t="n">
        <v>0</v>
      </c>
      <c r="F18" s="6" t="inlineStr">
        <is>
          <t>[R]</t>
        </is>
      </c>
      <c r="G18" s="8">
        <f>C18+E18</f>
        <v/>
      </c>
      <c r="H18" s="11">
        <f>IF(G18=0,0,C18/G18)</f>
        <v/>
      </c>
    </row>
    <row r="19">
      <c r="A19" s="5" t="inlineStr">
        <is>
          <t>Q2'25</t>
        </is>
      </c>
      <c r="B19" s="6" t="inlineStr">
        <is>
          <t>2025-06-30</t>
        </is>
      </c>
      <c r="C19" s="7" t="n">
        <v>19.3</v>
      </c>
      <c r="D19" s="6" t="inlineStr">
        <is>
          <t>[R]</t>
        </is>
      </c>
      <c r="E19" s="7" t="n">
        <v>0</v>
      </c>
      <c r="F19" s="6" t="inlineStr">
        <is>
          <t>[R]</t>
        </is>
      </c>
      <c r="G19" s="8">
        <f>C19+E19</f>
        <v/>
      </c>
      <c r="H19" s="11">
        <f>IF(G19=0,0,C19/G19)</f>
        <v/>
      </c>
    </row>
    <row r="20">
      <c r="A20" s="5" t="inlineStr">
        <is>
          <t>Q3'25</t>
        </is>
      </c>
      <c r="B20" s="6" t="inlineStr">
        <is>
          <t>2025-09-30</t>
        </is>
      </c>
      <c r="C20" s="7" t="n">
        <v>15.6</v>
      </c>
      <c r="D20" s="6" t="inlineStr">
        <is>
          <t>[R]</t>
        </is>
      </c>
      <c r="E20" s="7" t="n">
        <v>0</v>
      </c>
      <c r="F20" s="6" t="inlineStr">
        <is>
          <t>[R]</t>
        </is>
      </c>
      <c r="G20" s="8">
        <f>C20+E20</f>
        <v/>
      </c>
      <c r="H20" s="11">
        <f>IF(G20=0,0,C20/G20)</f>
        <v/>
      </c>
    </row>
    <row r="21">
      <c r="A21" s="5" t="inlineStr">
        <is>
          <t>Q4'25</t>
        </is>
      </c>
      <c r="B21" s="6" t="inlineStr">
        <is>
          <t>2025-12-31</t>
        </is>
      </c>
      <c r="C21" s="7" t="n">
        <v>275.5</v>
      </c>
      <c r="D21" s="6" t="inlineStr">
        <is>
          <t>[R]</t>
        </is>
      </c>
      <c r="E21" s="7" t="n">
        <v>1302</v>
      </c>
      <c r="F21" s="6" t="inlineStr">
        <is>
          <t>[R]</t>
        </is>
      </c>
      <c r="G21" s="8">
        <f>C21+E21</f>
        <v/>
      </c>
      <c r="H21" s="11">
        <f>IF(G21=0,0,C21/G21)</f>
        <v/>
      </c>
    </row>
    <row r="22">
      <c r="A22" s="5" t="inlineStr">
        <is>
          <t>Q1'26</t>
        </is>
      </c>
      <c r="B22" s="6" t="inlineStr">
        <is>
          <t>2026-03-31</t>
        </is>
      </c>
      <c r="C22" s="7" t="n">
        <v>685.6</v>
      </c>
      <c r="D22" s="6" t="inlineStr">
        <is>
          <t>[R]</t>
        </is>
      </c>
      <c r="E22" s="7" t="n">
        <v>4092.5</v>
      </c>
      <c r="F22" s="6" t="inlineStr">
        <is>
          <t>[R]</t>
        </is>
      </c>
      <c r="G22" s="8">
        <f>C22+E22</f>
        <v/>
      </c>
      <c r="H22" s="11">
        <f>IF(G22=0,0,C22/G22)</f>
        <v/>
      </c>
    </row>
    <row r="23">
      <c r="A23" s="5" t="inlineStr">
        <is>
          <t>Q2'26</t>
        </is>
      </c>
      <c r="B23" s="6" t="inlineStr">
        <is>
          <t>2026-06-30</t>
        </is>
      </c>
      <c r="C23" s="7" t="n">
        <v>979.4</v>
      </c>
      <c r="D23" s="6" t="inlineStr">
        <is>
          <t>[R]</t>
        </is>
      </c>
      <c r="E23" s="7" t="n">
        <v>4995.8</v>
      </c>
      <c r="F23" s="6" t="inlineStr">
        <is>
          <t>[R]</t>
        </is>
      </c>
      <c r="G23" s="8">
        <f>C23+E23</f>
        <v/>
      </c>
      <c r="H23" s="11">
        <f>IF(G23=0,0,C23/G23)</f>
        <v/>
      </c>
    </row>
    <row r="25">
      <c r="A25" s="10" t="inlineStr">
        <is>
          <t>CF cross-check (Increase/(decrease) in deferred revenue from statements of cash flows)</t>
        </is>
      </c>
    </row>
    <row r="26">
      <c r="A26" s="4" t="inlineStr">
        <is>
          <t>Quarter</t>
        </is>
      </c>
      <c r="B26" s="4" t="inlineStr">
        <is>
          <t>CF deferred change</t>
        </is>
      </c>
      <c r="C26" s="4" t="inlineStr">
        <is>
          <t>Tag</t>
        </is>
      </c>
      <c r="D26" s="4" t="inlineStr">
        <is>
          <t>BS net change (Close-Open)</t>
        </is>
      </c>
      <c r="E26" s="4" t="inlineStr">
        <is>
          <t>Tag</t>
        </is>
      </c>
      <c r="F26" s="4" t="inlineStr">
        <is>
          <t>Delta CF vs BS</t>
        </is>
      </c>
    </row>
    <row r="27">
      <c r="A27" s="5" t="inlineStr">
        <is>
          <t>Q4'24</t>
        </is>
      </c>
      <c r="B27" s="7" t="n">
        <v>-0.4</v>
      </c>
      <c r="C27" s="6" t="inlineStr">
        <is>
          <t>[R]</t>
        </is>
      </c>
      <c r="D27" s="8">
        <f>Deferred_Rollforward!K6-Deferred_Rollforward!C6</f>
        <v/>
      </c>
      <c r="E27" s="6" t="inlineStr">
        <is>
          <t>[D]</t>
        </is>
      </c>
      <c r="F27" s="9">
        <f>B27-D27</f>
        <v/>
      </c>
    </row>
    <row r="28">
      <c r="A28" s="5" t="inlineStr">
        <is>
          <t>Q1'25</t>
        </is>
      </c>
      <c r="B28" s="6" t="inlineStr">
        <is>
          <t>ND</t>
        </is>
      </c>
      <c r="C28" s="6" t="inlineStr">
        <is>
          <t>ND</t>
        </is>
      </c>
      <c r="D28" s="8">
        <f>Deferred_Rollforward!K7-Deferred_Rollforward!C7</f>
        <v/>
      </c>
      <c r="E28" s="6" t="inlineStr">
        <is>
          <t>[D]</t>
        </is>
      </c>
      <c r="F28" s="6" t="inlineStr">
        <is>
          <t>n/a</t>
        </is>
      </c>
    </row>
    <row r="29">
      <c r="A29" s="5" t="inlineStr">
        <is>
          <t>Q2'25</t>
        </is>
      </c>
      <c r="B29" s="6" t="inlineStr">
        <is>
          <t>ND</t>
        </is>
      </c>
      <c r="C29" s="6" t="inlineStr">
        <is>
          <t>ND</t>
        </is>
      </c>
      <c r="D29" s="8">
        <f>Deferred_Rollforward!K8-Deferred_Rollforward!C8</f>
        <v/>
      </c>
      <c r="E29" s="6" t="inlineStr">
        <is>
          <t>[D]</t>
        </is>
      </c>
      <c r="F29" s="6" t="inlineStr">
        <is>
          <t>n/a</t>
        </is>
      </c>
    </row>
    <row r="30">
      <c r="A30" s="5" t="inlineStr">
        <is>
          <t>Q3'25</t>
        </is>
      </c>
      <c r="B30" s="7" t="n">
        <v>-3.8</v>
      </c>
      <c r="C30" s="6" t="inlineStr">
        <is>
          <t>[R]</t>
        </is>
      </c>
      <c r="D30" s="8">
        <f>Deferred_Rollforward!K9-Deferred_Rollforward!C9</f>
        <v/>
      </c>
      <c r="E30" s="6" t="inlineStr">
        <is>
          <t>[D]</t>
        </is>
      </c>
      <c r="F30" s="9">
        <f>B30-D30</f>
        <v/>
      </c>
    </row>
    <row r="31">
      <c r="A31" s="5" t="inlineStr">
        <is>
          <t>Q4'25</t>
        </is>
      </c>
      <c r="B31" s="7" t="n">
        <v>1566.5</v>
      </c>
      <c r="C31" s="6" t="inlineStr">
        <is>
          <t>[R]</t>
        </is>
      </c>
      <c r="D31" s="8">
        <f>Deferred_Rollforward!K10-Deferred_Rollforward!C10</f>
        <v/>
      </c>
      <c r="E31" s="6" t="inlineStr">
        <is>
          <t>[D]</t>
        </is>
      </c>
      <c r="F31" s="9">
        <f>B31-D31</f>
        <v/>
      </c>
    </row>
    <row r="32">
      <c r="A32" s="5" t="inlineStr">
        <is>
          <t>Q1'26</t>
        </is>
      </c>
      <c r="B32" s="7" t="n">
        <v>3198</v>
      </c>
      <c r="C32" s="6" t="inlineStr">
        <is>
          <t>[R]</t>
        </is>
      </c>
      <c r="D32" s="8">
        <f>Deferred_Rollforward!K11-Deferred_Rollforward!C11</f>
        <v/>
      </c>
      <c r="E32" s="6" t="inlineStr">
        <is>
          <t>[D]</t>
        </is>
      </c>
      <c r="F32" s="9">
        <f>B32-D32</f>
        <v/>
      </c>
    </row>
    <row r="33">
      <c r="A33" s="5" t="inlineStr">
        <is>
          <t>Q2'26</t>
        </is>
      </c>
      <c r="B33" s="7" t="n">
        <v>1197</v>
      </c>
      <c r="C33" s="6" t="inlineStr">
        <is>
          <t>[R]</t>
        </is>
      </c>
      <c r="D33" s="8">
        <f>Deferred_Rollforward!K12-Deferred_Rollforward!C12</f>
        <v/>
      </c>
      <c r="E33" s="6" t="inlineStr">
        <is>
          <t>[D]</t>
        </is>
      </c>
      <c r="F33" s="9">
        <f>B33-D33</f>
        <v/>
      </c>
    </row>
    <row r="35">
      <c r="A35" s="10" t="inlineStr">
        <is>
          <t>Interpretation notes (credit timing)</t>
        </is>
      </c>
    </row>
    <row r="36" ht="32" customHeight="1">
      <c r="A36" s="12" t="inlineStr">
        <is>
          <t>1. Release rate (see Release_Rate tab) collapses from TripleTen-like ~17% in Q2'25 (tiny base) to ~1.5–2.7% in Q1–Q2'26 once multi-billion strategic prepays sit on the BS.</t>
        </is>
      </c>
    </row>
    <row r="37" ht="32" customHeight="1">
      <c r="A37" s="12" t="inlineStr">
        <is>
          <t>2. KEY EVIDENCE = current/non-current split: at 6/30/26 only $979.4M / $5,975.2M = 16.4% classified current [D from R]. That is management's ASC 210 estimate of what releases within 12 months — not a modeling guess.</t>
        </is>
      </c>
    </row>
    <row r="38" ht="32" customHeight="1">
      <c r="A38" s="12" t="inlineStr">
        <is>
          <t>3. Tiny $130.8M Q2'26 draw on $4,778.1M opening is therefore NOT primarily "prepays arrived on the last day of the quarter." Late-quarter arrivals inflate ending balance / adds, but the stock of deferred is structurally long-dated (1–5 years per note [R]; ~84% non-current).</t>
        </is>
      </c>
    </row>
    <row r="39" ht="32" customHeight="1">
      <c r="A39" s="12" t="inlineStr">
        <is>
          <t>4. Inference [E, medium confidence]: recognition is delivery/capacity-go-live linked over multi-year reserved-capacity terms. Consistent with MSFT monthly invoicing of non-upfront through Oct-2031 and note language "before performance obligations are fulfilled."</t>
        </is>
      </c>
    </row>
    <row r="40" ht="32" customHeight="1">
      <c r="A40" s="12" t="inlineStr">
        <is>
          <t>5. Back-loaded credit-vs-billing schedule (IREN–MSFT peer: 20% prepay credited after month 24) is NOT disclosed for Nebius — see prepay_credit_schedule_search.md. Do not equate RPO timing buckets with invoice-credit timing.</t>
        </is>
      </c>
    </row>
    <row r="41" ht="32" customHeight="1">
      <c r="A41" s="12" t="inlineStr">
        <is>
          <t>6. Amounts may be refundable [R] — deferred is not pure non-refundable customer deposits.</t>
        </is>
      </c>
    </row>
    <row r="42" ht="32" customHeight="1">
      <c r="A42" s="12" t="inlineStr">
        <is>
          <t>7. Same-period additions recognized in-period are not disclosed; Adds formula = Close−Open+RecogFromOpen−Other therefore equals gross adds minus same-period-add recognition (a lower bound on gross prepays when Recog known).</t>
        </is>
      </c>
    </row>
  </sheetData>
  <mergeCells count="11">
    <mergeCell ref="A37:J37"/>
    <mergeCell ref="A3:N3"/>
    <mergeCell ref="A36:J36"/>
    <mergeCell ref="A15:H15"/>
    <mergeCell ref="A40:J40"/>
    <mergeCell ref="A2:N2"/>
    <mergeCell ref="A39:J39"/>
    <mergeCell ref="A38:J38"/>
    <mergeCell ref="A42:J42"/>
    <mergeCell ref="A41:J41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Release rate = Recognized from opening deferred ÷ Opening balance</t>
        </is>
      </c>
    </row>
    <row r="2">
      <c r="A2" s="13" t="inlineStr">
        <is>
          <t>Only quarters with disclosed (or cleanly derived) recognized-from-opening are computed. ND quarters left blank.</t>
        </is>
      </c>
    </row>
    <row r="4">
      <c r="A4" s="4" t="inlineStr">
        <is>
          <t>Quarter</t>
        </is>
      </c>
      <c r="B4" s="4" t="inlineStr">
        <is>
          <t>Opening</t>
        </is>
      </c>
      <c r="C4" s="4" t="inlineStr">
        <is>
          <t>Recognized from opening</t>
        </is>
      </c>
      <c r="D4" s="4" t="inlineStr">
        <is>
          <t>Tag Recog</t>
        </is>
      </c>
      <c r="E4" s="4" t="inlineStr">
        <is>
          <t>Release rate</t>
        </is>
      </c>
      <c r="F4" s="4" t="inlineStr">
        <is>
          <t>Tag Rate</t>
        </is>
      </c>
      <c r="G4" s="4" t="inlineStr">
        <is>
          <t>Commentary</t>
        </is>
      </c>
    </row>
    <row r="5" ht="40" customHeight="1">
      <c r="A5" s="5" t="inlineStr">
        <is>
          <t>Q2'25</t>
        </is>
      </c>
      <c r="B5" s="8">
        <f>Deferred_Rollforward!C8</f>
        <v/>
      </c>
      <c r="C5" s="8">
        <f>Deferred_Rollforward!G8</f>
        <v/>
      </c>
      <c r="D5" s="6" t="inlineStr">
        <is>
          <t>[R]</t>
        </is>
      </c>
      <c r="E5" s="11">
        <f>IF(B5=0,"n/a",C5/B5)</f>
        <v/>
      </c>
      <c r="F5" s="6" t="inlineStr">
        <is>
          <t>[D]</t>
        </is>
      </c>
      <c r="G5" s="14" t="inlineStr">
        <is>
          <t>High turnover on ~$19 TripleTen-scale base; not comparable to strategic-prepay era.</t>
        </is>
      </c>
    </row>
    <row r="6" ht="40" customHeight="1">
      <c r="A6" s="5" t="inlineStr">
        <is>
          <t>Q1'26</t>
        </is>
      </c>
      <c r="B6" s="8">
        <f>Deferred_Rollforward!C11</f>
        <v/>
      </c>
      <c r="C6" s="8">
        <f>Deferred_Rollforward!G11</f>
        <v/>
      </c>
      <c r="D6" s="6" t="inlineStr">
        <is>
          <t>[D]</t>
        </is>
      </c>
      <c r="E6" s="11">
        <f>IF(B6=0,"n/a",C6/B6)</f>
        <v/>
      </c>
      <c r="F6" s="6" t="inlineStr">
        <is>
          <t>[D]</t>
        </is>
      </c>
      <c r="G6" s="14" t="inlineStr">
        <is>
          <t>Recog $23.5 derived as 1H $154.3 − Q2 $130.8. Rate ~1.5% on $1.58B open after YE25 prepay wave.</t>
        </is>
      </c>
    </row>
    <row r="7" ht="40" customHeight="1">
      <c r="A7" s="5" t="inlineStr">
        <is>
          <t>Q2'26</t>
        </is>
      </c>
      <c r="B7" s="8">
        <f>Deferred_Rollforward!C12</f>
        <v/>
      </c>
      <c r="C7" s="8">
        <f>Deferred_Rollforward!G12</f>
        <v/>
      </c>
      <c r="D7" s="6" t="inlineStr">
        <is>
          <t>[R]</t>
        </is>
      </c>
      <c r="E7" s="11">
        <f>IF(B7=0,"n/a",C7/B7)</f>
        <v/>
      </c>
      <c r="F7" s="6" t="inlineStr">
        <is>
          <t>[D]</t>
        </is>
      </c>
      <c r="G7" s="14" t="inlineStr">
        <is>
          <t>Recog $130.8 [R] / open $4,778.1 → ~2.7%. Still tiny vs multi-billion stock; capacity not yet delivering most prepaid services.</t>
        </is>
      </c>
    </row>
    <row r="9">
      <c r="A9" s="10" t="inlineStr">
        <is>
          <t>Annual reference (YE25 20-F)</t>
        </is>
      </c>
    </row>
    <row r="10">
      <c r="A10" t="inlineStr">
        <is>
          <t>FY2025 recognized from YE24 opening</t>
        </is>
      </c>
      <c r="B10" s="7" t="n">
        <v>16.3</v>
      </c>
      <c r="C10" s="6" t="inlineStr">
        <is>
          <t>[R]</t>
        </is>
      </c>
    </row>
    <row r="11">
      <c r="A11" s="6" t="inlineStr">
        <is>
          <t>YE24 opening</t>
        </is>
      </c>
      <c r="B11" s="7" t="n">
        <v>16.3</v>
      </c>
    </row>
    <row r="12">
      <c r="A12" s="6" t="inlineStr">
        <is>
          <t>FY25 annual release rate</t>
        </is>
      </c>
      <c r="B12" s="11">
        <f>B10/B11</f>
        <v/>
      </c>
      <c r="C12" s="6" t="inlineStr">
        <is>
          <t>[D]</t>
        </is>
      </c>
    </row>
    <row r="14">
      <c r="A14" s="10" t="inlineStr">
        <is>
          <t>Current-portion implied 12-month release (stock view, not quarterly flow)</t>
        </is>
      </c>
    </row>
    <row r="15">
      <c r="A15" t="inlineStr">
        <is>
          <t>At 6/30/26: Current / Total</t>
        </is>
      </c>
      <c r="B15" s="11">
        <f>Deferred_Rollforward!C23/Deferred_Rollforward!G23</f>
        <v/>
      </c>
      <c r="C15" s="6" t="inlineStr">
        <is>
          <t>[D]</t>
        </is>
      </c>
    </row>
    <row r="16" ht="48" customHeight="1">
      <c r="A16" s="12" t="inlineStr">
        <is>
          <t>This 16.4% is the company's own ≤12-month recognition estimate for the deferred stock — far above the ~2.7% single-quarter flow rate, and far below a 1/5 flat annual 20% if evenly amortized over 5 years. Pattern = back-weighted within the 1–5 year window and/or capacity still ramping into service.</t>
        </is>
      </c>
    </row>
  </sheetData>
  <mergeCells count="2">
    <mergeCell ref="A16:G16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Remaining performance obligations (RPO) — timing split</t>
        </is>
      </c>
    </row>
    <row r="2">
      <c r="A2" s="13" t="inlineStr">
        <is>
          <t>No ≤12-month / 1–2y / 2–5y / &gt;5y split is disclosed. Only 0–24 months, months 25–48, and thereafter. Practical expedient: excludes performance obligations with original duration ≤1 year.</t>
        </is>
      </c>
    </row>
    <row r="4" ht="36" customHeight="1">
      <c r="A4" s="4" t="inlineStr">
        <is>
          <t>As-of date</t>
        </is>
      </c>
      <c r="B4" s="4" t="inlineStr">
        <is>
          <t>RPO total $M</t>
        </is>
      </c>
      <c r="C4" s="4" t="inlineStr">
        <is>
          <t>Tag</t>
        </is>
      </c>
      <c r="D4" s="4" t="inlineStr">
        <is>
          <t>0–24 months %</t>
        </is>
      </c>
      <c r="E4" s="4" t="inlineStr">
        <is>
          <t>0–24 months $M</t>
        </is>
      </c>
      <c r="F4" s="4" t="inlineStr">
        <is>
          <t>25–48 months %</t>
        </is>
      </c>
      <c r="G4" s="4" t="inlineStr">
        <is>
          <t>25–48 months $M</t>
        </is>
      </c>
      <c r="H4" s="4" t="inlineStr">
        <is>
          <t>Thereafter %</t>
        </is>
      </c>
      <c r="I4" s="4" t="inlineStr">
        <is>
          <t>Thereafter $M</t>
        </is>
      </c>
      <c r="J4" s="4" t="inlineStr">
        <is>
          <t>Window end (0–24)</t>
        </is>
      </c>
      <c r="K4" s="4" t="inlineStr">
        <is>
          <t>Exclusions / notes</t>
        </is>
      </c>
    </row>
    <row r="5">
      <c r="A5" s="5" t="inlineStr">
        <is>
          <t>2025-12-31</t>
        </is>
      </c>
      <c r="B5" s="7" t="n">
        <v>21333</v>
      </c>
      <c r="C5" s="6" t="inlineStr">
        <is>
          <t>[R]</t>
        </is>
      </c>
      <c r="D5" s="15" t="n">
        <v>0.28</v>
      </c>
      <c r="E5" s="8">
        <f>B5*D5</f>
        <v/>
      </c>
      <c r="F5" s="15" t="n">
        <v>0.39</v>
      </c>
      <c r="G5" s="8">
        <f>B5*F5</f>
        <v/>
      </c>
      <c r="H5" s="16">
        <f>1-D5-F5</f>
        <v/>
      </c>
      <c r="I5" s="8">
        <f>B5*H5</f>
        <v/>
      </c>
      <c r="J5" s="6" t="inlineStr">
        <is>
          <t>2027-12-31</t>
        </is>
      </c>
      <c r="K5" s="6" t="inlineStr">
        <is>
          <t>Excludes orig. duration ≤1y; includes estimate of variable consideration. [R]</t>
        </is>
      </c>
    </row>
    <row r="6">
      <c r="A6" s="5" t="inlineStr">
        <is>
          <t>2026-03-31</t>
        </is>
      </c>
      <c r="B6" s="7" t="n">
        <v>33585.3</v>
      </c>
      <c r="C6" s="6" t="inlineStr">
        <is>
          <t>[R]</t>
        </is>
      </c>
      <c r="D6" s="15" t="n">
        <v>0.29</v>
      </c>
      <c r="E6" s="8">
        <f>B6*D6</f>
        <v/>
      </c>
      <c r="F6" s="15" t="n">
        <v>0.39</v>
      </c>
      <c r="G6" s="8">
        <f>B6*F6</f>
        <v/>
      </c>
      <c r="H6" s="16">
        <f>1-D6-F6</f>
        <v/>
      </c>
      <c r="I6" s="8">
        <f>B6*H6</f>
        <v/>
      </c>
      <c r="J6" s="6" t="inlineStr">
        <is>
          <t>2028-03-31</t>
        </is>
      </c>
      <c r="K6" s="6" t="inlineStr">
        <is>
          <t>Same expedient. AI cloud not explicitly restated in Q1 note excerpt.</t>
        </is>
      </c>
    </row>
    <row r="7">
      <c r="A7" s="5" t="inlineStr">
        <is>
          <t>2026-06-30</t>
        </is>
      </c>
      <c r="B7" s="7" t="n">
        <v>37490.6</v>
      </c>
      <c r="C7" s="6" t="inlineStr">
        <is>
          <t>[R]</t>
        </is>
      </c>
      <c r="D7" s="15" t="n">
        <v>0.36</v>
      </c>
      <c r="E7" s="8">
        <f>B7*D7</f>
        <v/>
      </c>
      <c r="F7" s="15" t="n">
        <v>0.4</v>
      </c>
      <c r="G7" s="8">
        <f>B7*F7</f>
        <v/>
      </c>
      <c r="H7" s="16">
        <f>1-D7-F7</f>
        <v/>
      </c>
      <c r="I7" s="8">
        <f>B7*H7</f>
        <v/>
      </c>
      <c r="J7" s="6" t="inlineStr">
        <is>
          <t>2028-06-30</t>
        </is>
      </c>
      <c r="K7" s="6" t="inlineStr">
        <is>
          <t>Fully attributed to Nebius AI cloud [R].</t>
        </is>
      </c>
    </row>
    <row r="9">
      <c r="A9" s="10" t="inlineStr">
        <is>
          <t>Composition bridge at 6/30/26</t>
        </is>
      </c>
    </row>
    <row r="10">
      <c r="A10" t="inlineStr">
        <is>
          <t>RPO total</t>
        </is>
      </c>
      <c r="B10" s="8">
        <f>B7</f>
        <v/>
      </c>
    </row>
    <row r="11">
      <c r="A11" t="inlineStr">
        <is>
          <t>Less: deferred revenue (billed/prepaid)</t>
        </is>
      </c>
      <c r="B11" s="7" t="n">
        <v>5975.2</v>
      </c>
      <c r="C11" s="6" t="inlineStr">
        <is>
          <t>[R]</t>
        </is>
      </c>
    </row>
    <row r="12">
      <c r="A12" t="inlineStr">
        <is>
          <t>Unbilled contracted RPO</t>
        </is>
      </c>
      <c r="B12" s="9">
        <f>B10-B11</f>
        <v/>
      </c>
      <c r="C12" s="6" t="inlineStr">
        <is>
          <t>[D]</t>
        </is>
      </c>
    </row>
    <row r="14">
      <c r="A14" s="10" t="inlineStr">
        <is>
          <t>Call / letter language (not a GAAP RPO figure)</t>
        </is>
      </c>
    </row>
    <row r="15" ht="36" customHeight="1">
      <c r="A15" s="12" t="inlineStr">
        <is>
          <t>Q2'26 call/letter: "~$40B" / "more than $40 billion" contracted backlog / customer commitments [R call]. Round-number vs $37.5B GAAP RPO; treat as management characterization, not a separate audited backlog.</t>
        </is>
      </c>
    </row>
    <row r="17">
      <c r="A17" s="17" t="inlineStr">
        <is>
          <t>NO disclosure of: ≤12-month RPO; 1–2 / 2–5 / &gt;5 year buckets; invoice-level prepayment credit schedule.</t>
        </is>
      </c>
    </row>
  </sheetData>
  <mergeCells count="3">
    <mergeCell ref="A15:K15"/>
    <mergeCell ref="A2:H2"/>
    <mergeCell ref="A17:K1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FY27 revenue coverage — contracted vs Street / guide</t>
        </is>
      </c>
    </row>
    <row r="2">
      <c r="A2" s="13" t="inlineStr">
        <is>
          <t>No ≤12-month RPO split exists. Coverage uses disclosed proxies only; crude allocations tagged [E].</t>
        </is>
      </c>
    </row>
    <row r="4">
      <c r="A4" s="10" t="inlineStr">
        <is>
          <t>Benchmarks</t>
        </is>
      </c>
    </row>
    <row r="5">
      <c r="A5" t="inlineStr">
        <is>
          <t>Street FY27 revenue (team consensus)</t>
        </is>
      </c>
      <c r="B5" s="7" t="n">
        <v>12300</v>
      </c>
      <c r="C5" s="6" t="inlineStr">
        <is>
          <t>[E]</t>
        </is>
      </c>
    </row>
    <row r="6">
      <c r="A6" t="inlineStr">
        <is>
          <t>FY26 group revenue guide (low)</t>
        </is>
      </c>
      <c r="B6" s="7" t="n">
        <v>3000</v>
      </c>
      <c r="C6" s="6" t="inlineStr">
        <is>
          <t>[R]</t>
        </is>
      </c>
    </row>
    <row r="7">
      <c r="A7" t="inlineStr">
        <is>
          <t>FY26 group revenue guide (high)</t>
        </is>
      </c>
      <c r="B7" s="7" t="n">
        <v>3400</v>
      </c>
      <c r="C7" s="6" t="inlineStr">
        <is>
          <t>[R]</t>
        </is>
      </c>
    </row>
    <row r="8">
      <c r="A8" t="inlineStr">
        <is>
          <t>1H26 group revenue actual</t>
        </is>
      </c>
      <c r="B8" s="7" t="n">
        <v>981.3</v>
      </c>
      <c r="C8" s="6" t="inlineStr">
        <is>
          <t>[R]</t>
        </is>
      </c>
    </row>
    <row r="9">
      <c r="A9" t="inlineStr">
        <is>
          <t>Implied 2H26 from mid guide</t>
        </is>
      </c>
      <c r="B9" s="9">
        <f>(B6+B7)/2-B8</f>
        <v/>
      </c>
      <c r="C9" s="6" t="inlineStr">
        <is>
          <t>[D]</t>
        </is>
      </c>
    </row>
    <row r="10">
      <c r="A10" t="inlineStr">
        <is>
          <t>Implied 2H26 from low / high guide</t>
        </is>
      </c>
      <c r="B10" s="9">
        <f>B6-B8</f>
        <v/>
      </c>
      <c r="C10" s="9">
        <f>B7-B8</f>
        <v/>
      </c>
    </row>
    <row r="12">
      <c r="A12" s="10" t="inlineStr">
        <is>
          <t>Proxy A — Current deferred (≤12 months of prepaid revenue only)</t>
        </is>
      </c>
    </row>
    <row r="13">
      <c r="A13" t="inlineStr">
        <is>
          <t>Current deferred 6/30/26</t>
        </is>
      </c>
      <c r="B13" s="7" t="n">
        <v>979.4</v>
      </c>
      <c r="C13" s="6" t="inlineStr">
        <is>
          <t>[R]</t>
        </is>
      </c>
    </row>
    <row r="14">
      <c r="A14" t="inlineStr">
        <is>
          <t>Coverage of Street FY27</t>
        </is>
      </c>
      <c r="B14" s="11">
        <f>B13/B5</f>
        <v/>
      </c>
      <c r="C14" s="6" t="inlineStr">
        <is>
          <t>[D]</t>
        </is>
      </c>
    </row>
    <row r="15">
      <c r="A15" s="12" t="inlineStr">
        <is>
          <t>Note: current deferred covers ONLY the prepaid slice expected in 12 months — excludes unbilled contracted revenue that will be invoiced as delivered. Severe understatement of contracted FY27.</t>
        </is>
      </c>
    </row>
    <row r="17">
      <c r="A17" s="10" t="inlineStr">
        <is>
          <t>Proxy B — RPO 0–24 month bucket (through 6/30/28)</t>
        </is>
      </c>
    </row>
    <row r="18">
      <c r="A18" t="inlineStr">
        <is>
          <t>RPO 0–24m $M</t>
        </is>
      </c>
      <c r="B18" s="8">
        <f>RPO_Timing!E7</f>
        <v/>
      </c>
      <c r="C18" s="6" t="inlineStr">
        <is>
          <t>[D]</t>
        </is>
      </c>
    </row>
    <row r="19">
      <c r="A19" t="inlineStr">
        <is>
          <t>Less: implied 2H26 (mid)</t>
        </is>
      </c>
      <c r="B19" s="8">
        <f>B9</f>
        <v/>
      </c>
    </row>
    <row r="20">
      <c r="A20" t="inlineStr">
        <is>
          <t>Residual for FY27 + 1H28</t>
        </is>
      </c>
      <c r="B20" s="9">
        <f>B18-B19</f>
        <v/>
      </c>
      <c r="C20" s="6" t="inlineStr">
        <is>
          <t>[D]</t>
        </is>
      </c>
    </row>
    <row r="21">
      <c r="A21" t="inlineStr">
        <is>
          <t>Crude even-split FY27 share of residual (2/3 of FY27+1H28)</t>
        </is>
      </c>
      <c r="B21" s="18">
        <f>B20*2/3</f>
        <v/>
      </c>
      <c r="C21" s="6" t="inlineStr">
        <is>
          <t>[E]</t>
        </is>
      </c>
    </row>
    <row r="22">
      <c r="A22" t="inlineStr">
        <is>
          <t>Alt: even monthly over full 24m → FY27 = 12/24 of bucket</t>
        </is>
      </c>
      <c r="B22" s="18">
        <f>B18*12/24</f>
        <v/>
      </c>
      <c r="C22" s="6" t="inlineStr">
        <is>
          <t>[E]</t>
        </is>
      </c>
    </row>
    <row r="23">
      <c r="A23" t="inlineStr">
        <is>
          <t>Street FY27 minus crude FY27 contracted (even 12/24)</t>
        </is>
      </c>
      <c r="B23" s="9">
        <f>B5-B22</f>
        <v/>
      </c>
      <c r="C23" s="6" t="inlineStr">
        <is>
          <t>[E]</t>
        </is>
      </c>
    </row>
    <row r="24">
      <c r="A24" t="inlineStr">
        <is>
          <t>Implied still-unsigned / to-book for Street FY27 (even-split case)</t>
        </is>
      </c>
      <c r="B24" s="18">
        <f>B23</f>
        <v/>
      </c>
      <c r="C24" s="6" t="inlineStr">
        <is>
          <t>[E]</t>
        </is>
      </c>
    </row>
    <row r="25">
      <c r="A25" t="inlineStr">
        <is>
          <t>Coverage ratio (even 12/24 contracted / Street)</t>
        </is>
      </c>
      <c r="B25" s="11">
        <f>B22/B5</f>
        <v/>
      </c>
      <c r="C25" s="6" t="inlineStr">
        <is>
          <t>[E]</t>
        </is>
      </c>
    </row>
    <row r="27">
      <c r="A27" s="10" t="inlineStr">
        <is>
          <t>Proxy C — Named contracts (schedule context, not a FY27 allocation)</t>
        </is>
      </c>
    </row>
    <row r="28">
      <c r="A28" t="inlineStr">
        <is>
          <t>Microsoft TCV (up to)</t>
        </is>
      </c>
      <c r="B28" s="7" t="n">
        <v>17392.9</v>
      </c>
      <c r="C28" s="6" t="inlineStr">
        <is>
          <t>[R]</t>
        </is>
      </c>
    </row>
    <row r="29">
      <c r="A29" t="inlineStr">
        <is>
          <t>Microsoft aggregate upfront</t>
        </is>
      </c>
      <c r="B29" s="7" t="n">
        <v>6958.1</v>
      </c>
      <c r="C29" s="6" t="inlineStr">
        <is>
          <t>[R]</t>
        </is>
      </c>
    </row>
    <row r="30">
      <c r="A30" t="inlineStr">
        <is>
          <t>Microsoft non-upfront (monthly through Oct-2031)</t>
        </is>
      </c>
      <c r="B30" s="8">
        <f>B28-B29</f>
        <v/>
      </c>
      <c r="C30" s="6" t="inlineStr">
        <is>
          <t>[D]</t>
        </is>
      </c>
    </row>
    <row r="31">
      <c r="A31" t="inlineStr">
        <is>
          <t>Meta 2025 agreement TCV</t>
        </is>
      </c>
      <c r="B31" s="7" t="n">
        <v>2880.7</v>
      </c>
      <c r="C31" s="6" t="inlineStr">
        <is>
          <t>[R]</t>
        </is>
      </c>
    </row>
    <row r="32">
      <c r="A32" t="inlineStr">
        <is>
          <t>Meta 2026 dedicated capacity (deliveries from early 2027)</t>
        </is>
      </c>
      <c r="B32" s="7" t="n">
        <v>12000</v>
      </c>
      <c r="C32" s="6" t="inlineStr">
        <is>
          <t>[R]</t>
        </is>
      </c>
    </row>
    <row r="33">
      <c r="A33" t="inlineStr">
        <is>
          <t>Meta 2026 backstop (up to, unsold capacity)</t>
        </is>
      </c>
      <c r="B33" s="7" t="n">
        <v>15000</v>
      </c>
      <c r="C33" s="6" t="inlineStr">
        <is>
          <t>[R]</t>
        </is>
      </c>
    </row>
    <row r="34">
      <c r="A34" t="inlineStr">
        <is>
          <t>2026 customer prepayments guided</t>
        </is>
      </c>
      <c r="B34" s="7" t="n">
        <v>9000</v>
      </c>
      <c r="C34" s="6" t="inlineStr">
        <is>
          <t>[R] &gt;</t>
        </is>
      </c>
    </row>
    <row r="36">
      <c r="A36" s="10" t="inlineStr">
        <is>
          <t>Bottom line</t>
        </is>
      </c>
    </row>
    <row r="37" ht="80" customHeight="1">
      <c r="A37" s="12" t="inlineStr">
        <is>
          <t>No company ≤12-month RPO split. Best reported near-term proxies: (1) current deferred $979.4M; (2) 0–24m RPO ~$13.5B through 6/30/28; (3) MSFT monthly remainder + Meta 2026 $12B starting early 2027. Under a flat 12/24 allocation of the 0–24m bucket, ~$6.7B looks contracted into calendar 2027 vs Street $12.3B → roughly ~$5.6B of Street FY27 still needs bookings/delivery mix beyond that crude cut [E]. If recognition is back-loaded inside the 0–24m window (consistent with deferred current-only 16%), FY27 contracted could be higher — still a modeling assumption.</t>
        </is>
      </c>
    </row>
  </sheetData>
  <mergeCells count="2">
    <mergeCell ref="A15:F15"/>
    <mergeCell ref="A37:F3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55" customWidth="1" min="4" max="4"/>
    <col width="45" customWidth="1" min="5" max="5"/>
  </cols>
  <sheetData>
    <row r="1">
      <c r="A1" s="1" t="inlineStr">
        <is>
          <t>Sources registry</t>
        </is>
      </c>
    </row>
    <row r="3">
      <c r="A3" s="4" t="inlineStr">
        <is>
          <t>ID</t>
        </is>
      </c>
      <c r="B3" s="4" t="inlineStr">
        <is>
          <t>Document</t>
        </is>
      </c>
      <c r="C3" s="4" t="inlineStr">
        <is>
          <t>Location / page</t>
        </is>
      </c>
      <c r="D3" s="4" t="inlineStr">
        <is>
          <t>What used</t>
        </is>
      </c>
      <c r="E3" s="4" t="inlineStr">
        <is>
          <t>URL / path</t>
        </is>
      </c>
    </row>
    <row r="4" ht="32" customHeight="1">
      <c r="A4" s="14" t="inlineStr">
        <is>
          <t>S1</t>
        </is>
      </c>
      <c r="B4" s="14" t="inlineStr">
        <is>
          <t>YE25 20-F</t>
        </is>
      </c>
      <c r="C4" s="14" t="inlineStr">
        <is>
          <t>Note Deferred Revenue / RPO (~p.F-18 / F-34); BS deferred lines; Note 1 MSFT/Meta</t>
        </is>
      </c>
      <c r="D4" s="14" t="inlineStr">
        <is>
          <t>YE24/YE25 deferred $16.3 / $1,577.5; FY recog; RPO $21,333.0 28%/39%; MSFT $17,392.9 / upfront $6,958.1</t>
        </is>
      </c>
      <c r="E4" s="14" t="inlineStr">
        <is>
          <t>edgar/nbis-20251231x20f.htm.txt</t>
        </is>
      </c>
    </row>
    <row r="5" ht="32" customHeight="1">
      <c r="A5" s="14" t="inlineStr">
        <is>
          <t>S2</t>
        </is>
      </c>
      <c r="B5" s="14" t="inlineStr">
        <is>
          <t>Q1'26 interim FS (6-K ex99.2)</t>
        </is>
      </c>
      <c r="C5" s="14" t="inlineStr">
        <is>
          <t>Note Deferred Revenue / RPO (~p.F-15); BS</t>
        </is>
      </c>
      <c r="D5" s="14" t="inlineStr">
        <is>
          <t>Deferred $4,778.1; +$3,200.6; RPO $33,585.3 29%/39%; cur/NC 685.6/4092.5</t>
        </is>
      </c>
      <c r="E5" s="14" t="inlineStr">
        <is>
          <t>edgar/nbis-20260331xex99d2.htm.txt</t>
        </is>
      </c>
    </row>
    <row r="6" ht="32" customHeight="1">
      <c r="A6" s="14" t="inlineStr">
        <is>
          <t>S3</t>
        </is>
      </c>
      <c r="B6" s="14" t="inlineStr">
        <is>
          <t>Q2'26 interim FS (6-K ex99.2)</t>
        </is>
      </c>
      <c r="C6" s="14" t="inlineStr">
        <is>
          <t>Note Deferred Revenue / RPO p.F-18–F-19; BS; CF</t>
        </is>
      </c>
      <c r="D6" s="14" t="inlineStr">
        <is>
          <t>Deferred $5,975.2; recog $130.8 / 1H $154.3; +$1,197.1; RPO $37,490.6 36%/40%; cur/NC 979.4/4995.8</t>
        </is>
      </c>
      <c r="E6" s="14" t="inlineStr">
        <is>
          <t>edgar/nbis-20260812xex99d2.htm.txt</t>
        </is>
      </c>
    </row>
    <row r="7" ht="32" customHeight="1">
      <c r="A7" s="14" t="inlineStr">
        <is>
          <t>S4</t>
        </is>
      </c>
      <c r="B7" s="14" t="inlineStr">
        <is>
          <t>Q3'24 PR 6-K ex99.1</t>
        </is>
      </c>
      <c r="C7" s="14" t="inlineStr">
        <is>
          <t>Balance sheet</t>
        </is>
      </c>
      <c r="D7" s="14" t="inlineStr">
        <is>
          <t>Deferred $17.4 at 9/30/24</t>
        </is>
      </c>
      <c r="E7" s="14" t="inlineStr">
        <is>
          <t>edgar/tm2427209d1_ex99-1.htm.txt</t>
        </is>
      </c>
    </row>
    <row r="8" ht="32" customHeight="1">
      <c r="A8" s="14" t="inlineStr">
        <is>
          <t>S5</t>
        </is>
      </c>
      <c r="B8" s="14" t="inlineStr">
        <is>
          <t>Q4'24 PR 6-K ex99.1</t>
        </is>
      </c>
      <c r="C8" s="14" t="inlineStr">
        <is>
          <t>Balance sheet</t>
        </is>
      </c>
      <c r="D8" s="14" t="inlineStr">
        <is>
          <t>Deferred $16.5 (later restated to $16.3)</t>
        </is>
      </c>
      <c r="E8" s="14" t="inlineStr">
        <is>
          <t>edgar/tm257185d1_ex99-1.htm.txt</t>
        </is>
      </c>
    </row>
    <row r="9" ht="32" customHeight="1">
      <c r="A9" s="14" t="inlineStr">
        <is>
          <t>S6</t>
        </is>
      </c>
      <c r="B9" s="14" t="inlineStr">
        <is>
          <t>Q1'25 PR 6-K ex99.1</t>
        </is>
      </c>
      <c r="C9" s="14" t="inlineStr">
        <is>
          <t>Balance sheet</t>
        </is>
      </c>
      <c r="D9" s="14" t="inlineStr">
        <is>
          <t>Deferred $19.0 at 3/31/25</t>
        </is>
      </c>
      <c r="E9" s="14" t="inlineStr">
        <is>
          <t>edgar/tm2515580d1_ex99-1.htm.txt</t>
        </is>
      </c>
    </row>
    <row r="10" ht="32" customHeight="1">
      <c r="A10" s="14" t="inlineStr">
        <is>
          <t>S7</t>
        </is>
      </c>
      <c r="B10" s="14" t="inlineStr">
        <is>
          <t>Q2'25 PR 6-K ex99.1</t>
        </is>
      </c>
      <c r="C10" s="14" t="inlineStr">
        <is>
          <t>Balance sheet</t>
        </is>
      </c>
      <c r="D10" s="14" t="inlineStr">
        <is>
          <t>Deferred $19.3 at 6/30/25</t>
        </is>
      </c>
      <c r="E10" s="14" t="inlineStr">
        <is>
          <t>edgar/tm2522866d1_ex99-1.htm.txt</t>
        </is>
      </c>
    </row>
    <row r="11" ht="32" customHeight="1">
      <c r="A11" s="14" t="inlineStr">
        <is>
          <t>S8</t>
        </is>
      </c>
      <c r="B11" s="14" t="inlineStr">
        <is>
          <t>Q3'25 PR 6-K ex99.1</t>
        </is>
      </c>
      <c r="C11" s="14" t="inlineStr">
        <is>
          <t>BS + CF</t>
        </is>
      </c>
      <c r="D11" s="14" t="inlineStr">
        <is>
          <t>Deferred $15.6; CF deferred -$3.8</t>
        </is>
      </c>
      <c r="E11" s="14" t="inlineStr">
        <is>
          <t>edgar/tm2530882d1_ex99-1.htm.txt</t>
        </is>
      </c>
    </row>
    <row r="12" ht="32" customHeight="1">
      <c r="A12" s="14" t="inlineStr">
        <is>
          <t>S9</t>
        </is>
      </c>
      <c r="B12" s="14" t="inlineStr">
        <is>
          <t>Q4'25 PR 6-K ex99.1</t>
        </is>
      </c>
      <c r="C12" s="14" t="inlineStr">
        <is>
          <t>BS + CF</t>
        </is>
      </c>
      <c r="D12" s="14" t="inlineStr">
        <is>
          <t>Cur 275.5 + NC 1,302.0; CF Q4 +1,566.5 / Q4'24 comp -0.4</t>
        </is>
      </c>
      <c r="E12" s="14" t="inlineStr">
        <is>
          <t>edgar/tm266173d1_ex99-1.htm.txt</t>
        </is>
      </c>
    </row>
    <row r="13" ht="32" customHeight="1">
      <c r="A13" s="14" t="inlineStr">
        <is>
          <t>S10</t>
        </is>
      </c>
      <c r="B13" s="14" t="inlineStr">
        <is>
          <t>Q1'26 PR 6-K ex99.1</t>
        </is>
      </c>
      <c r="C13" s="14" t="inlineStr">
        <is>
          <t>BS + CF</t>
        </is>
      </c>
      <c r="D13" s="14" t="inlineStr">
        <is>
          <t>CF deferred +3,198.0</t>
        </is>
      </c>
      <c r="E13" s="14" t="inlineStr">
        <is>
          <t>edgar/tm2614392d1_ex99-1.htm.txt</t>
        </is>
      </c>
    </row>
    <row r="14" ht="32" customHeight="1">
      <c r="A14" s="14" t="inlineStr">
        <is>
          <t>S11</t>
        </is>
      </c>
      <c r="B14" s="14" t="inlineStr">
        <is>
          <t>Q2'26 PR / letter</t>
        </is>
      </c>
      <c r="C14" s="14" t="inlineStr">
        <is>
          <t>ex99.1 CF; ex99.2 letter</t>
        </is>
      </c>
      <c r="D14" s="14" t="inlineStr">
        <is>
          <t>CF +1,197.0; &gt;$9B 2026 prepays; ~$40B commitments language</t>
        </is>
      </c>
      <c r="E14" s="14" t="inlineStr">
        <is>
          <t>edgar/tm2622968d1_ex99-1.htm.txt; altdata/mined_text/Q2-26_letter.txt</t>
        </is>
      </c>
    </row>
    <row r="15" ht="32" customHeight="1">
      <c r="A15" s="14" t="inlineStr">
        <is>
          <t>S12</t>
        </is>
      </c>
      <c r="B15" s="14" t="inlineStr">
        <is>
          <t>Q2'26 call transcript</t>
        </is>
      </c>
      <c r="C15" s="14" t="inlineStr">
        <is>
          <t>mined_text</t>
        </is>
      </c>
      <c r="D15" s="14" t="inlineStr">
        <is>
          <t>~$40B contracted backlog / committed backlog (management)</t>
        </is>
      </c>
      <c r="E15" s="14" t="inlineStr">
        <is>
          <t>altdata/mined_text/Q2-26_call.txt</t>
        </is>
      </c>
    </row>
    <row r="16" ht="32" customHeight="1">
      <c r="A16" s="14" t="inlineStr">
        <is>
          <t>S13</t>
        </is>
      </c>
      <c r="B16" s="14" t="inlineStr">
        <is>
          <t>prepay_credit_schedule_search.md</t>
        </is>
      </c>
      <c r="C16" s="14" t="inlineStr">
        <is>
          <t>filings/</t>
        </is>
      </c>
      <c r="D16" s="14" t="inlineStr">
        <is>
          <t>No Nebius prepay credit schedule; IREN peer context only</t>
        </is>
      </c>
      <c r="E16" s="14" t="inlineStr">
        <is>
          <t>filings/prepay_credit_schedule_search.md</t>
        </is>
      </c>
    </row>
    <row r="17" ht="32" customHeight="1">
      <c r="A17" s="14" t="inlineStr">
        <is>
          <t>S14</t>
        </is>
      </c>
      <c r="B17" s="14" t="inlineStr">
        <is>
          <t>6-K 2026-03-16 Meta</t>
        </is>
      </c>
      <c r="C17" s="14" t="inlineStr">
        <is>
          <t>Ex.99.1</t>
        </is>
      </c>
      <c r="D17" s="14" t="inlineStr">
        <is>
          <t>Meta 2026 $12B dedicated + $15B backstop; deliveries early 2027</t>
        </is>
      </c>
      <c r="E17" s="14" t="inlineStr">
        <is>
          <t>acc 0001104659-26-027886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Tie-out checks — Open + Adds − Recognized ± Other = Close</t>
        </is>
      </c>
    </row>
    <row r="3">
      <c r="A3" s="4" t="inlineStr">
        <is>
          <t>Quarter</t>
        </is>
      </c>
      <c r="B3" s="4" t="inlineStr">
        <is>
          <t>Open</t>
        </is>
      </c>
      <c r="C3" s="4" t="inlineStr">
        <is>
          <t>Adds</t>
        </is>
      </c>
      <c r="D3" s="4" t="inlineStr">
        <is>
          <t>Recog</t>
        </is>
      </c>
      <c r="E3" s="4" t="inlineStr">
        <is>
          <t>Other</t>
        </is>
      </c>
      <c r="F3" s="4" t="inlineStr">
        <is>
          <t>Implied Close</t>
        </is>
      </c>
      <c r="G3" s="4" t="inlineStr">
        <is>
          <t>Reported Close</t>
        </is>
      </c>
      <c r="H3" s="4" t="inlineStr">
        <is>
          <t>Diff</t>
        </is>
      </c>
      <c r="I3" s="4" t="inlineStr">
        <is>
          <t>PASS?</t>
        </is>
      </c>
    </row>
    <row r="4">
      <c r="A4" s="19">
        <f>Deferred_Rollforward!A6</f>
        <v/>
      </c>
      <c r="B4" s="8">
        <f>Deferred_Rollforward!C6</f>
        <v/>
      </c>
      <c r="C4" s="8">
        <f>Deferred_Rollforward!E6</f>
        <v/>
      </c>
      <c r="D4" s="8">
        <f>Deferred_Rollforward!G6</f>
        <v/>
      </c>
      <c r="E4" s="8">
        <f>Deferred_Rollforward!I6</f>
        <v/>
      </c>
      <c r="F4" s="9">
        <f>B4+C4-D4+E4</f>
        <v/>
      </c>
      <c r="G4" s="8">
        <f>Deferred_Rollforward!K6</f>
        <v/>
      </c>
      <c r="H4" s="9">
        <f>G4-F4</f>
        <v/>
      </c>
      <c r="I4" s="20">
        <f>IF(ABS(H4)&lt;0.05,"PASS","FAIL")</f>
        <v/>
      </c>
    </row>
    <row r="5">
      <c r="A5" s="19">
        <f>Deferred_Rollforward!A7</f>
        <v/>
      </c>
      <c r="B5" s="8">
        <f>Deferred_Rollforward!C7</f>
        <v/>
      </c>
      <c r="C5" s="8">
        <f>Deferred_Rollforward!E7</f>
        <v/>
      </c>
      <c r="D5" s="8">
        <f>Deferred_Rollforward!G7</f>
        <v/>
      </c>
      <c r="E5" s="8">
        <f>Deferred_Rollforward!I7</f>
        <v/>
      </c>
      <c r="F5" s="9">
        <f>B5+C5-D5+E5</f>
        <v/>
      </c>
      <c r="G5" s="8">
        <f>Deferred_Rollforward!K7</f>
        <v/>
      </c>
      <c r="H5" s="9">
        <f>G5-F5</f>
        <v/>
      </c>
      <c r="I5" s="20">
        <f>IF(ABS(H5)&lt;0.05,"PASS","FAIL")</f>
        <v/>
      </c>
    </row>
    <row r="6">
      <c r="A6" s="19">
        <f>Deferred_Rollforward!A8</f>
        <v/>
      </c>
      <c r="B6" s="8">
        <f>Deferred_Rollforward!C8</f>
        <v/>
      </c>
      <c r="C6" s="8">
        <f>Deferred_Rollforward!E8</f>
        <v/>
      </c>
      <c r="D6" s="8">
        <f>Deferred_Rollforward!G8</f>
        <v/>
      </c>
      <c r="E6" s="8">
        <f>Deferred_Rollforward!I8</f>
        <v/>
      </c>
      <c r="F6" s="9">
        <f>B6+C6-D6+E6</f>
        <v/>
      </c>
      <c r="G6" s="8">
        <f>Deferred_Rollforward!K8</f>
        <v/>
      </c>
      <c r="H6" s="9">
        <f>G6-F6</f>
        <v/>
      </c>
      <c r="I6" s="20">
        <f>IF(ABS(H6)&lt;0.05,"PASS","FAIL")</f>
        <v/>
      </c>
    </row>
    <row r="7">
      <c r="A7" s="19">
        <f>Deferred_Rollforward!A9</f>
        <v/>
      </c>
      <c r="B7" s="8">
        <f>Deferred_Rollforward!C9</f>
        <v/>
      </c>
      <c r="C7" s="8">
        <f>Deferred_Rollforward!E9</f>
        <v/>
      </c>
      <c r="D7" s="8">
        <f>Deferred_Rollforward!G9</f>
        <v/>
      </c>
      <c r="E7" s="8">
        <f>Deferred_Rollforward!I9</f>
        <v/>
      </c>
      <c r="F7" s="9">
        <f>B7+C7-D7+E7</f>
        <v/>
      </c>
      <c r="G7" s="8">
        <f>Deferred_Rollforward!K9</f>
        <v/>
      </c>
      <c r="H7" s="9">
        <f>G7-F7</f>
        <v/>
      </c>
      <c r="I7" s="20">
        <f>IF(ABS(H7)&lt;0.05,"PASS","FAIL")</f>
        <v/>
      </c>
    </row>
    <row r="8">
      <c r="A8" s="19">
        <f>Deferred_Rollforward!A10</f>
        <v/>
      </c>
      <c r="B8" s="8">
        <f>Deferred_Rollforward!C10</f>
        <v/>
      </c>
      <c r="C8" s="8">
        <f>Deferred_Rollforward!E10</f>
        <v/>
      </c>
      <c r="D8" s="8">
        <f>Deferred_Rollforward!G10</f>
        <v/>
      </c>
      <c r="E8" s="8">
        <f>Deferred_Rollforward!I10</f>
        <v/>
      </c>
      <c r="F8" s="9">
        <f>B8+C8-D8+E8</f>
        <v/>
      </c>
      <c r="G8" s="8">
        <f>Deferred_Rollforward!K10</f>
        <v/>
      </c>
      <c r="H8" s="9">
        <f>G8-F8</f>
        <v/>
      </c>
      <c r="I8" s="20">
        <f>IF(ABS(H8)&lt;0.05,"PASS","FAIL")</f>
        <v/>
      </c>
    </row>
    <row r="9">
      <c r="A9" s="19">
        <f>Deferred_Rollforward!A11</f>
        <v/>
      </c>
      <c r="B9" s="8">
        <f>Deferred_Rollforward!C11</f>
        <v/>
      </c>
      <c r="C9" s="8">
        <f>Deferred_Rollforward!E11</f>
        <v/>
      </c>
      <c r="D9" s="8">
        <f>Deferred_Rollforward!G11</f>
        <v/>
      </c>
      <c r="E9" s="8">
        <f>Deferred_Rollforward!I11</f>
        <v/>
      </c>
      <c r="F9" s="9">
        <f>B9+C9-D9+E9</f>
        <v/>
      </c>
      <c r="G9" s="8">
        <f>Deferred_Rollforward!K11</f>
        <v/>
      </c>
      <c r="H9" s="9">
        <f>G9-F9</f>
        <v/>
      </c>
      <c r="I9" s="20">
        <f>IF(ABS(H9)&lt;0.05,"PASS","FAIL")</f>
        <v/>
      </c>
    </row>
    <row r="10">
      <c r="A10" s="19">
        <f>Deferred_Rollforward!A12</f>
        <v/>
      </c>
      <c r="B10" s="8">
        <f>Deferred_Rollforward!C12</f>
        <v/>
      </c>
      <c r="C10" s="8">
        <f>Deferred_Rollforward!E12</f>
        <v/>
      </c>
      <c r="D10" s="8">
        <f>Deferred_Rollforward!G12</f>
        <v/>
      </c>
      <c r="E10" s="8">
        <f>Deferred_Rollforward!I12</f>
        <v/>
      </c>
      <c r="F10" s="9">
        <f>B10+C10-D10+E10</f>
        <v/>
      </c>
      <c r="G10" s="8">
        <f>Deferred_Rollforward!K12</f>
        <v/>
      </c>
      <c r="H10" s="9">
        <f>G10-F10</f>
        <v/>
      </c>
      <c r="I10" s="20">
        <f>IF(ABS(H10)&lt;0.05,"PASS","FAIL")</f>
        <v/>
      </c>
    </row>
    <row r="12">
      <c r="A12" s="10" t="inlineStr">
        <is>
          <t>Current+NC = Total deferred</t>
        </is>
      </c>
    </row>
    <row r="13">
      <c r="A13" s="4" t="inlineStr">
        <is>
          <t>Quarter</t>
        </is>
      </c>
      <c r="B13" s="4" t="inlineStr">
        <is>
          <t>Cur+NC</t>
        </is>
      </c>
      <c r="C13" s="4" t="inlineStr">
        <is>
          <t>Rollforward Close</t>
        </is>
      </c>
      <c r="D13" s="4" t="inlineStr">
        <is>
          <t>Diff</t>
        </is>
      </c>
      <c r="E13" s="4" t="inlineStr">
        <is>
          <t>PASS?</t>
        </is>
      </c>
    </row>
    <row r="14">
      <c r="A14" s="19">
        <f>Deferred_Rollforward!A17</f>
        <v/>
      </c>
      <c r="B14" s="8">
        <f>Deferred_Rollforward!G17</f>
        <v/>
      </c>
      <c r="C14" s="8">
        <f>Deferred_Rollforward!K6</f>
        <v/>
      </c>
      <c r="D14" s="9">
        <f>C14-B14</f>
        <v/>
      </c>
      <c r="E14" s="20">
        <f>IF(ABS(D14)&lt;0.05,"PASS","FAIL")</f>
        <v/>
      </c>
    </row>
    <row r="15">
      <c r="A15" s="19">
        <f>Deferred_Rollforward!A18</f>
        <v/>
      </c>
      <c r="B15" s="8">
        <f>Deferred_Rollforward!G18</f>
        <v/>
      </c>
      <c r="C15" s="8">
        <f>Deferred_Rollforward!K7</f>
        <v/>
      </c>
      <c r="D15" s="9">
        <f>C15-B15</f>
        <v/>
      </c>
      <c r="E15" s="20">
        <f>IF(ABS(D15)&lt;0.05,"PASS","FAIL")</f>
        <v/>
      </c>
    </row>
    <row r="16">
      <c r="A16" s="19">
        <f>Deferred_Rollforward!A19</f>
        <v/>
      </c>
      <c r="B16" s="8">
        <f>Deferred_Rollforward!G19</f>
        <v/>
      </c>
      <c r="C16" s="8">
        <f>Deferred_Rollforward!K8</f>
        <v/>
      </c>
      <c r="D16" s="9">
        <f>C16-B16</f>
        <v/>
      </c>
      <c r="E16" s="20">
        <f>IF(ABS(D16)&lt;0.05,"PASS","FAIL")</f>
        <v/>
      </c>
    </row>
    <row r="17">
      <c r="A17" s="19">
        <f>Deferred_Rollforward!A20</f>
        <v/>
      </c>
      <c r="B17" s="8">
        <f>Deferred_Rollforward!G20</f>
        <v/>
      </c>
      <c r="C17" s="8">
        <f>Deferred_Rollforward!K9</f>
        <v/>
      </c>
      <c r="D17" s="9">
        <f>C17-B17</f>
        <v/>
      </c>
      <c r="E17" s="20">
        <f>IF(ABS(D17)&lt;0.05,"PASS","FAIL")</f>
        <v/>
      </c>
    </row>
    <row r="18">
      <c r="A18" s="19">
        <f>Deferred_Rollforward!A21</f>
        <v/>
      </c>
      <c r="B18" s="8">
        <f>Deferred_Rollforward!G21</f>
        <v/>
      </c>
      <c r="C18" s="8">
        <f>Deferred_Rollforward!K10</f>
        <v/>
      </c>
      <c r="D18" s="9">
        <f>C18-B18</f>
        <v/>
      </c>
      <c r="E18" s="20">
        <f>IF(ABS(D18)&lt;0.05,"PASS","FAIL")</f>
        <v/>
      </c>
    </row>
    <row r="19">
      <c r="A19" s="19">
        <f>Deferred_Rollforward!A22</f>
        <v/>
      </c>
      <c r="B19" s="8">
        <f>Deferred_Rollforward!G22</f>
        <v/>
      </c>
      <c r="C19" s="8">
        <f>Deferred_Rollforward!K11</f>
        <v/>
      </c>
      <c r="D19" s="9">
        <f>C19-B19</f>
        <v/>
      </c>
      <c r="E19" s="20">
        <f>IF(ABS(D19)&lt;0.05,"PASS","FAIL")</f>
        <v/>
      </c>
    </row>
    <row r="20">
      <c r="A20" s="19">
        <f>Deferred_Rollforward!A23</f>
        <v/>
      </c>
      <c r="B20" s="8">
        <f>Deferred_Rollforward!G23</f>
        <v/>
      </c>
      <c r="C20" s="8">
        <f>Deferred_Rollforward!K12</f>
        <v/>
      </c>
      <c r="D20" s="9">
        <f>C20-B20</f>
        <v/>
      </c>
      <c r="E20" s="20">
        <f>IF(ABS(D20)&lt;0.05,"PASS","FAIL")</f>
        <v/>
      </c>
    </row>
    <row r="22">
      <c r="A22" s="10" t="inlineStr">
        <is>
          <t>Q1'26 recog derivation check: 1H $154.3 − Q2 $130.8 = $23.5</t>
        </is>
      </c>
    </row>
    <row r="23">
      <c r="A23" s="6" t="inlineStr">
        <is>
          <t>Q1'26 recog [D]</t>
        </is>
      </c>
      <c r="B23" s="7" t="n">
        <v>154.3</v>
      </c>
      <c r="C23" s="7" t="n">
        <v>130.8</v>
      </c>
      <c r="D23" s="9">
        <f>B23-C23</f>
        <v/>
      </c>
    </row>
    <row r="24">
      <c r="A24" s="6" t="inlineStr">
        <is>
          <t>vs rollforward input</t>
        </is>
      </c>
      <c r="D24" s="9">
        <f>D23-Deferred_Rollforward!G11</f>
        <v/>
      </c>
      <c r="E24" s="20">
        <f>IF(ABS(D24)&lt;0.05,"PASS","FAIL")</f>
        <v/>
      </c>
    </row>
    <row r="26">
      <c r="A26" s="10" t="inlineStr">
        <is>
          <t>RPO % buckets sum to 100%</t>
        </is>
      </c>
    </row>
    <row r="27">
      <c r="A27" s="19">
        <f>RPO_Timing!A5</f>
        <v/>
      </c>
      <c r="B27" s="11">
        <f>RPO_Timing!D5+RPO_Timing!F5+RPO_Timing!H5</f>
        <v/>
      </c>
      <c r="C27" s="20">
        <f>IF(ABS(B27-1)&lt;0.001,"PASS","FAIL")</f>
        <v/>
      </c>
    </row>
    <row r="28">
      <c r="A28" s="19">
        <f>RPO_Timing!A6</f>
        <v/>
      </c>
      <c r="B28" s="11">
        <f>RPO_Timing!D6+RPO_Timing!F6+RPO_Timing!H6</f>
        <v/>
      </c>
      <c r="C28" s="20">
        <f>IF(ABS(B28-1)&lt;0.001,"PASS","FAIL")</f>
        <v/>
      </c>
    </row>
    <row r="29">
      <c r="A29" s="19">
        <f>RPO_Timing!A7</f>
        <v/>
      </c>
      <c r="B29" s="11">
        <f>RPO_Timing!D7+RPO_Timing!F7+RPO_Timing!H7</f>
        <v/>
      </c>
      <c r="C29" s="20">
        <f>IF(ABS(B29-1)&lt;0.001,"PASS","FAIL")</f>
        <v/>
      </c>
    </row>
    <row r="31">
      <c r="A31" s="10" t="inlineStr">
        <is>
          <t>Known limitations</t>
        </is>
      </c>
    </row>
    <row r="32" ht="28" customHeight="1">
      <c r="A32" s="12" t="inlineStr">
        <is>
          <t>• Recognized-from-opening ND for Q4'24, Q1'25, Q3'25, Q4'25 → Adds on those rows = Close−Open−Other (net change), understating gross prepays.</t>
        </is>
      </c>
    </row>
    <row r="33" ht="28" customHeight="1">
      <c r="A33" s="12" t="inlineStr">
        <is>
          <t>• Q4'24 open uses unrestated 9/30/24 $17.4 vs restated YE24 close $16.3; -$0.2 Other is a bridge estimate for the $16.5→$16.3 restatement only (residual vs CF -$0.4 unexplained at $0.1–0.7 level — immaterial to strategic-prepay analysis).</t>
        </is>
      </c>
    </row>
    <row r="34" ht="28" customHeight="1">
      <c r="A34" s="12" t="inlineStr">
        <is>
          <t>• No full interim FS notes for 2025 quarters (only PR BS/CF); nothing further on EDGAR indexes beyond what is local.</t>
        </is>
      </c>
    </row>
    <row r="35" ht="28" customHeight="1">
      <c r="A35" s="12" t="inlineStr">
        <is>
          <t>• RPO percentages disclosed without $ precision beyond one decimal on %; $ bucket amounts are derived.</t>
        </is>
      </c>
    </row>
    <row r="36" ht="28" customHeight="1">
      <c r="A36" s="12" t="inlineStr">
        <is>
          <t>• Same-period additions recognized within the quarter never disclosed separately.</t>
        </is>
      </c>
    </row>
  </sheetData>
  <mergeCells count="5">
    <mergeCell ref="A33:F33"/>
    <mergeCell ref="A36:F36"/>
    <mergeCell ref="A32:F32"/>
    <mergeCell ref="A34:F34"/>
    <mergeCell ref="A35:F3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2026-10-05T12:40:22Z</dcterms:created>
  <dcterms:modified xmlns:dcterms="http://purl.org/dc/terms/" xmlns:xsi="http://www.w3.org/2001/XMLSchema-instance" xsi:type="dcterms:W3CDTF">2026-10-05T12:40:22Z</dcterms:modified>
</cp:coreProperties>
</file>