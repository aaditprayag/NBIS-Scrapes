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KPIs" sheetId="2" state="visible" r:id="rId4"/>
    <sheet name="Inputs" sheetId="3" state="visible" r:id="rId5"/>
    <sheet name="Debt_Facilities" sheetId="4" state="visible" r:id="rId6"/>
    <sheet name="Sources" sheetId="5" state="visible" r:id="rId7"/>
    <sheet name="Definitions" sheetId="6" state="visible" r:id="rId8"/>
    <sheet name="Fiscal_Map" sheetId="7" state="visible" r:id="rId9"/>
    <sheet name="Notes_Gaps" sheetId="8" state="visible" r:id="rId10"/>
    <sheet name="Comparis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GrokBot</author>
  </authors>
  <commentList>
    <comment ref="F4" authorId="0">
      <text>
        <r>
          <rPr>
            <sz val="10"/>
            <rFont val="Arial"/>
            <family val="2"/>
          </rPr>
          <t xml:space="preserve">= FQ3 FY25 2,652 / 1.49 (PR: cloud infrastructure +49% USD); headline '$1.8 billion' (FQ3 FY24 PR)</t>
        </r>
      </text>
    </comment>
    <comment ref="F6" authorId="0">
      <text>
        <r>
          <rPr>
            <sz val="10"/>
            <rFont val="Arial"/>
            <family val="2"/>
          </rPr>
          <t xml:space="preserve">= 9M FY24 2,318 - 6M 1,510 (XBRL Depreciation YTD)</t>
        </r>
      </text>
    </comment>
    <comment ref="F7" authorId="0">
      <text>
        <r>
          <rPr>
            <sz val="10"/>
            <rFont val="Arial"/>
            <family val="2"/>
          </rPr>
          <t xml:space="preserve">= 9M FY24 4,068 - 6M 2,394</t>
        </r>
      </text>
    </comment>
    <comment ref="F20" authorId="0">
      <text>
        <r>
          <rPr>
            <sz val="10"/>
            <rFont val="Arial"/>
            <family val="2"/>
          </rPr>
          <t xml:space="preserve">43 + 35/2</t>
        </r>
      </text>
    </comment>
    <comment ref="G4" authorId="0">
      <text>
        <r>
          <rPr>
            <sz val="10"/>
            <rFont val="Arial"/>
            <family val="2"/>
          </rPr>
          <t xml:space="preserve">= FQ4 FY25 2,995 / 1.52 (+52% USD); headline '$2.0 billion' (FQ4 FY24 PR)</t>
        </r>
      </text>
    </comment>
    <comment ref="G6" authorId="0">
      <text>
        <r>
          <rPr>
            <sz val="10"/>
            <rFont val="Arial"/>
            <family val="2"/>
          </rPr>
          <t xml:space="preserve">= FY24 3,129 - 9M 2,318</t>
        </r>
      </text>
    </comment>
    <comment ref="G7" authorId="0">
      <text>
        <r>
          <rPr>
            <sz val="10"/>
            <rFont val="Arial"/>
            <family val="2"/>
          </rPr>
          <t xml:space="preserve">= FY24 6,866 - 9M 4,068</t>
        </r>
      </text>
    </comment>
    <comment ref="G20" authorId="0">
      <text>
        <r>
          <rPr>
            <sz val="10"/>
            <rFont val="Arial"/>
            <family val="2"/>
          </rPr>
          <t xml:space="preserve">39 + 36/2</t>
        </r>
      </text>
    </comment>
    <comment ref="G37" authorId="0">
      <text>
        <r>
          <rPr>
            <sz val="10"/>
            <rFont val="Arial"/>
            <family val="2"/>
          </rPr>
          <t xml:space="preserve">= FY24 52,961 - 9M 38,674</t>
        </r>
      </text>
    </comment>
    <comment ref="H20" authorId="0">
      <text>
        <r>
          <rPr>
            <sz val="10"/>
            <rFont val="Arial"/>
            <family val="2"/>
          </rPr>
          <t xml:space="preserve">38 + 38/2</t>
        </r>
      </text>
    </comment>
    <comment ref="I6" authorId="0">
      <text>
        <r>
          <rPr>
            <sz val="10"/>
            <rFont val="Arial"/>
            <family val="2"/>
          </rPr>
          <t xml:space="preserve">= 6M 1,712 - 804</t>
        </r>
      </text>
    </comment>
    <comment ref="I7" authorId="0">
      <text>
        <r>
          <rPr>
            <sz val="10"/>
            <rFont val="Arial"/>
            <family val="2"/>
          </rPr>
          <t xml:space="preserve">= 6M 6,273 - 2,303</t>
        </r>
      </text>
    </comment>
    <comment ref="I20" authorId="0">
      <text>
        <r>
          <rPr>
            <sz val="10"/>
            <rFont val="Arial"/>
            <family val="2"/>
          </rPr>
          <t xml:space="preserve">39 + 39/2</t>
        </r>
      </text>
    </comment>
    <comment ref="J6" authorId="0">
      <text>
        <r>
          <rPr>
            <sz val="10"/>
            <rFont val="Arial"/>
            <family val="2"/>
          </rPr>
          <t xml:space="preserve">= 9M 2,715 - 1,712</t>
        </r>
      </text>
    </comment>
    <comment ref="J7" authorId="0">
      <text>
        <r>
          <rPr>
            <sz val="10"/>
            <rFont val="Arial"/>
            <family val="2"/>
          </rPr>
          <t xml:space="preserve">= 9M 12,135 - 6,273</t>
        </r>
      </text>
    </comment>
    <comment ref="J20" authorId="0">
      <text>
        <r>
          <rPr>
            <sz val="10"/>
            <rFont val="Arial"/>
            <family val="2"/>
          </rPr>
          <t xml:space="preserve">31 + 40/2</t>
        </r>
      </text>
    </comment>
    <comment ref="K6" authorId="0">
      <text>
        <r>
          <rPr>
            <sz val="10"/>
            <rFont val="Arial"/>
            <family val="2"/>
          </rPr>
          <t xml:space="preserve">= FY25 3,867 - 2,715</t>
        </r>
      </text>
    </comment>
    <comment ref="K7" authorId="0">
      <text>
        <r>
          <rPr>
            <sz val="10"/>
            <rFont val="Arial"/>
            <family val="2"/>
          </rPr>
          <t xml:space="preserve">= FY25 21,215 - 12,135</t>
        </r>
      </text>
    </comment>
    <comment ref="K20" authorId="0">
      <text>
        <r>
          <rPr>
            <sz val="10"/>
            <rFont val="Arial"/>
            <family val="2"/>
          </rPr>
          <t xml:space="preserve">33 + 41/2</t>
        </r>
      </text>
    </comment>
    <comment ref="K37" authorId="0">
      <text>
        <r>
          <rPr>
            <sz val="10"/>
            <rFont val="Arial"/>
            <family val="2"/>
          </rPr>
          <t xml:space="preserve">= FY25 57,399 - 9M 41,496</t>
        </r>
      </text>
    </comment>
    <comment ref="L13" authorId="0">
      <text>
        <r>
          <rPr>
            <sz val="10"/>
            <rFont val="Arial"/>
            <family val="2"/>
          </rPr>
          <t xml:space="preserve">ESTIMATED residual = FY26 '&gt;1.2GW' - 400 - 400 - 290 (range ~75-110)</t>
        </r>
      </text>
    </comment>
    <comment ref="L20" authorId="0">
      <text>
        <r>
          <rPr>
            <sz val="10"/>
            <rFont val="Arial"/>
            <family val="2"/>
          </rPr>
          <t xml:space="preserve">10 + 25/2</t>
        </r>
      </text>
    </comment>
    <comment ref="M6" authorId="0">
      <text>
        <r>
          <rPr>
            <sz val="10"/>
            <rFont val="Arial"/>
            <family val="2"/>
          </rPr>
          <t xml:space="preserve">= 6M 3,055 - 1,351</t>
        </r>
      </text>
    </comment>
    <comment ref="M7" authorId="0">
      <text>
        <r>
          <rPr>
            <sz val="10"/>
            <rFont val="Arial"/>
            <family val="2"/>
          </rPr>
          <t xml:space="preserve">= 6M 20,535 - 8,502</t>
        </r>
      </text>
    </comment>
    <comment ref="M20" authorId="0">
      <text>
        <r>
          <rPr>
            <sz val="10"/>
            <rFont val="Arial"/>
            <family val="2"/>
          </rPr>
          <t xml:space="preserve">10 + 30/2</t>
        </r>
      </text>
    </comment>
    <comment ref="N6" authorId="0">
      <text>
        <r>
          <rPr>
            <sz val="10"/>
            <rFont val="Arial"/>
            <family val="2"/>
          </rPr>
          <t xml:space="preserve">= 9M 5,208 - 3,055</t>
        </r>
      </text>
    </comment>
    <comment ref="N7" authorId="0">
      <text>
        <r>
          <rPr>
            <sz val="10"/>
            <rFont val="Arial"/>
            <family val="2"/>
          </rPr>
          <t xml:space="preserve">= 9M 39,170 - 20,535</t>
        </r>
      </text>
    </comment>
    <comment ref="N20" authorId="0">
      <text>
        <r>
          <rPr>
            <sz val="10"/>
            <rFont val="Arial"/>
            <family val="2"/>
          </rPr>
          <t xml:space="preserve">12 + 31/2</t>
        </r>
      </text>
    </comment>
    <comment ref="O6" authorId="0">
      <text>
        <r>
          <rPr>
            <sz val="10"/>
            <rFont val="Arial"/>
            <family val="2"/>
          </rPr>
          <t xml:space="preserve">= FY26 7,623 - 5,208</t>
        </r>
      </text>
    </comment>
    <comment ref="O7" authorId="0">
      <text>
        <r>
          <rPr>
            <sz val="10"/>
            <rFont val="Arial"/>
            <family val="2"/>
          </rPr>
          <t xml:space="preserve">= FY26 55,663 - 39,170</t>
        </r>
      </text>
    </comment>
    <comment ref="O13" authorId="0">
      <text>
        <r>
          <rPr>
            <sz val="10"/>
            <rFont val="Arial"/>
            <family val="2"/>
          </rPr>
          <t xml:space="preserve">ESTIMATED: FQ1 FY27 850MW described as 'almost 3x' Q4 -&gt; ~290 (850/2.93)</t>
        </r>
      </text>
    </comment>
    <comment ref="O20" authorId="0">
      <text>
        <r>
          <rPr>
            <sz val="10"/>
            <rFont val="Arial"/>
            <family val="2"/>
          </rPr>
          <t xml:space="preserve">12 + 34/2</t>
        </r>
      </text>
    </comment>
    <comment ref="O37" authorId="0">
      <text>
        <r>
          <rPr>
            <sz val="10"/>
            <rFont val="Arial"/>
            <family val="2"/>
          </rPr>
          <t xml:space="preserve">= FY26 67,357 - 9M 48,173</t>
        </r>
      </text>
    </comment>
    <comment ref="P20" authorId="0">
      <text>
        <r>
          <rPr>
            <sz val="10"/>
            <rFont val="Arial"/>
            <family val="2"/>
          </rPr>
          <t xml:space="preserve">13 + 37/2</t>
        </r>
      </text>
    </comment>
  </commentList>
</comments>
</file>

<file path=xl/sharedStrings.xml><?xml version="1.0" encoding="utf-8"?>
<sst xmlns="http://schemas.openxmlformats.org/spreadsheetml/2006/main" count="4850" uniqueCount="879">
  <si>
    <t xml:space="preserve">Peer KPI comps - Oracle Corporation (ORCL), Oracle Cloud Infrastructure (OCI) perimeter. Built 2026-10-05 (ET) for the Nebius (NBIS) project. File: /workspace/nebius/peers/oracle/oracle_kpis.xlsx; builder: build_orcl_kpis.py on shared engine /workspace/nebius/peers/peer_kpi_template.py.</t>
  </si>
  <si>
    <t xml:space="preserve">TEMPLATE: identical row IDs/definitions/tags to peers/coreweave/crwv_kpis.xlsx (I01-I27, K01-K40) + phase-2 extensions I28-I32 / K41-K45; Oracle memo rows I40+ / M01+.</t>
  </si>
  <si>
    <t xml:space="preserve">FISCAL MAPPING: Oracle FY ends 31-May. Fiscal quarters end Aug/Nov/Feb/May, one month BEFORE calendar quarter-ends. Each calendar column uses the Oracle fiscal quarter ending one month earlier (Q1'24 = FQ3 FY24 ended 29-Feb-24 ... Q2'26 = FQ4 FY26 ended 31-May-26). Extra column Q3'26† = FQ1 FY27 (ended 31-Aug-26; latest filed) shown for currency. See Fiscal_Map.</t>
  </si>
  <si>
    <t xml:space="preserve">PERIMETER: OCI is NOT a reported segment. I01 = 'Cloud infrastructure' revenue line (IaaS, includes non-AI OCI). Capex, depreciation, PP&amp;E, debt, RPO are company-wide. Segment-allocation estimates are tagged ESTIMATED (orange) and labelled: capex attributed to OCI at 100% (P05, upper bound), incremental OCI revenue attributed to delivered AI MW (K43), MW delivered from earnings calls.</t>
  </si>
  <si>
    <t xml:space="preserve">MW: Oracle discloses MW DELIVERED per quarter (calls/PR), not installed MW -&gt; K01-K04/K14/K15 n/d; capex/MW uses MW delivered.</t>
  </si>
  <si>
    <t xml:space="preserve">TAGS / COLOURS: blue = Reported; black = Derived; orange = Estimated; grey n/d. KPI tag = weakest input.</t>
  </si>
  <si>
    <t xml:space="preserve">Multi-peer Comparison tab: /workspace/nebius/peers/comparison.xlsx (built by peers/build_comparison.py).</t>
  </si>
  <si>
    <t xml:space="preserve">KPIs - Oracle OCI (ORCL) - Cloud Infrastructure perimeter - quarterly, Nebius definitions (Definitions tab). Value row = live formula; row below = tag (weakest input). Row 2 = fiscal quarter mapped to each calendar column.</t>
  </si>
  <si>
    <t xml:space="preserve">FQ2 FY24 (Nov-23)</t>
  </si>
  <si>
    <t xml:space="preserve">FQ3 FY24 (Feb-24)</t>
  </si>
  <si>
    <t xml:space="preserve">FQ4 FY24 (May-24)</t>
  </si>
  <si>
    <t xml:space="preserve">FQ1 FY25 (Aug-24)</t>
  </si>
  <si>
    <t xml:space="preserve">FQ2 FY25 (Nov-24)</t>
  </si>
  <si>
    <t xml:space="preserve">FQ3 FY25 (Feb-25)</t>
  </si>
  <si>
    <t xml:space="preserve">FQ4 FY25 (May-25)</t>
  </si>
  <si>
    <t xml:space="preserve">FQ1 FY26 (Aug-25)</t>
  </si>
  <si>
    <t xml:space="preserve">FQ2 FY26 (Nov-25)</t>
  </si>
  <si>
    <t xml:space="preserve">FQ3 FY26 (Feb-26)</t>
  </si>
  <si>
    <t xml:space="preserve">FQ4 FY26 (May-26)</t>
  </si>
  <si>
    <t xml:space="preserve">FQ1 FY27 (Aug-26)</t>
  </si>
  <si>
    <t xml:space="preserve">ID</t>
  </si>
  <si>
    <t xml:space="preserve">KPI</t>
  </si>
  <si>
    <t xml:space="preserve">Unit</t>
  </si>
  <si>
    <t xml:space="preserve">Def</t>
  </si>
  <si>
    <t xml:space="preserve">Q4'23*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</si>
  <si>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</si>
  <si>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</si>
  <si>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</si>
  <si>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</si>
  <si>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</si>
  <si>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</si>
  <si>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</si>
  <si>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</si>
  <si>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</si>
  <si>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</si>
  <si>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Q3'26†</t>
  </si>
  <si>
    <t xml:space="preserve">Method / caveat (Oracle OCI (ORCL) - Cloud Infrastructure perimeter)</t>
  </si>
  <si>
    <t xml:space="preserve">A. Revenue per MW ($M per MW-year, annualized: quarterly revenue x 4 / MW)</t>
  </si>
  <si>
    <t xml:space="preserve">K01</t>
  </si>
  <si>
    <t xml:space="preserve">Revenue per active MW - period-end MW</t>
  </si>
  <si>
    <t xml:space="preserve">$M/MW-yr</t>
  </si>
  <si>
    <t xml:space="preserve">D1</t>
  </si>
  <si>
    <t xml:space="preserve">n/d</t>
  </si>
  <si>
    <t xml:space="preserve">n/d - no installed OCI MW. See K43 (incremental OCI revenue per delivered MW).</t>
  </si>
  <si>
    <t xml:space="preserve">   tag</t>
  </si>
  <si>
    <t xml:space="preserve">K02</t>
  </si>
  <si>
    <t xml:space="preserve">Revenue per active MW - average MW</t>
  </si>
  <si>
    <t xml:space="preserve">n/d (no installed MW).</t>
  </si>
  <si>
    <t xml:space="preserve">K03</t>
  </si>
  <si>
    <t xml:space="preserve">Revenue per contracted MW</t>
  </si>
  <si>
    <t xml:space="preserve">n/d (no contracted MW; &gt;10GW 'secured through partners' per calls).</t>
  </si>
  <si>
    <t xml:space="preserve">K04</t>
  </si>
  <si>
    <t xml:space="preserve">Contracted / active MW (build-out multiple)</t>
  </si>
  <si>
    <t xml:space="preserve">x</t>
  </si>
  <si>
    <t xml:space="preserve">K05</t>
  </si>
  <si>
    <t xml:space="preserve">Adj. EBITDA per active MW (average MW)</t>
  </si>
  <si>
    <t xml:space="preserve">n/d - no OCI EBITDA. FQ3 FY26 call: ~32% gross margin on delivered AI capacity (management, not filed).</t>
  </si>
  <si>
    <t xml:space="preserve">B. Revenue per GPU and implied utilization</t>
  </si>
  <si>
    <t xml:space="preserve">K06</t>
  </si>
  <si>
    <t xml:space="preserve">Revenue per GPU ($K per GPU-year, avg GPUs)</t>
  </si>
  <si>
    <t xml:space="preserve">$K/GPU-yr</t>
  </si>
  <si>
    <t xml:space="preserve">D2</t>
  </si>
  <si>
    <t xml:space="preserve">n/d (no GPU fleet count).</t>
  </si>
  <si>
    <t xml:space="preserve">K07</t>
  </si>
  <si>
    <t xml:space="preserve">Implied blended realized price ($/GPU-hr)</t>
  </si>
  <si>
    <t xml:space="preserve">$/GPU-hr</t>
  </si>
  <si>
    <t xml:space="preserve">K08</t>
  </si>
  <si>
    <t xml:space="preserve">Fleet-weighted on-demand list price ($/GPU-hr)</t>
  </si>
  <si>
    <t xml:space="preserve">D3</t>
  </si>
  <si>
    <t xml:space="preserve">n/d (fleet mix unknown). OCI list Aug-Oct 2026: H100/H200 $10, B200 $14, B300 $15, GB200 $16, GB300 $18 per GPU-hr (inputs I12/I13) - ~1.6x CRWV's H100 list.</t>
  </si>
  <si>
    <t xml:space="preserve">K09</t>
  </si>
  <si>
    <t xml:space="preserve">Implied utilization (realized $/GPU-hr / weighted list)</t>
  </si>
  <si>
    <t xml:space="preserve">%</t>
  </si>
  <si>
    <t xml:space="preserve">n/d. Oracle states physical GPU utilization instead (K41: 97.5% / 97.9%).</t>
  </si>
  <si>
    <t xml:space="preserve">C. Capex per MW ($M per MW)</t>
  </si>
  <si>
    <t xml:space="preserve">K10</t>
  </si>
  <si>
    <t xml:space="preserve">Cash capex per new active MW</t>
  </si>
  <si>
    <t xml:space="preserve">$M/MW</t>
  </si>
  <si>
    <t xml:space="preserve">D4</t>
  </si>
  <si>
    <t xml:space="preserve">SEGMENT-ALLOCATION ESTIMATE: (company capex x 100% OCI share, P05) / AI MW delivered in the quarter. Upper bound (100% allocation); capex leads delivery by 1-3 quarters; excludes leased shells (I51) -&gt; compare with CRWV's leased-DC capex/MW, not owned-shell builds.</t>
  </si>
  <si>
    <t xml:space="preserve">Estimated</t>
  </si>
  <si>
    <t xml:space="preserve">K11</t>
  </si>
  <si>
    <t xml:space="preserve">Cash capex per new active MW (incl. estimated MW)</t>
  </si>
  <si>
    <t xml:space="preserve">K12</t>
  </si>
  <si>
    <t xml:space="preserve">In-service additions per new active MW</t>
  </si>
  <si>
    <t xml:space="preserve">n/d (in-service additions only annual).</t>
  </si>
  <si>
    <t xml:space="preserve">K13</t>
  </si>
  <si>
    <t xml:space="preserve">Trailing-4Q cash capex per trailing-4Q new active MW</t>
  </si>
  <si>
    <t xml:space="preserve">Trailing-4Q OCI-attributed capex / trailing-4Q MW delivered. Q2'26 = FY26 capex 55.7B / '&gt;1.2GW' (upper bound on $/MW since MW is a lower bound and capex allocation 100%). ESTIMATED.</t>
  </si>
  <si>
    <t xml:space="preserve">K14</t>
  </si>
  <si>
    <t xml:space="preserve">Net PP&amp;E per active MW (EoP)</t>
  </si>
  <si>
    <t xml:space="preserve">K15</t>
  </si>
  <si>
    <t xml:space="preserve">Gross in-service PP&amp;E per active MW (EoP)</t>
  </si>
  <si>
    <t xml:space="preserve">D. D&amp;A useful lives and depreciation yield</t>
  </si>
  <si>
    <t xml:space="preserve">K16</t>
  </si>
  <si>
    <t xml:space="preserve">Useful life - GPU / server equipment</t>
  </si>
  <si>
    <t xml:space="preserve">years</t>
  </si>
  <si>
    <t xml:space="preserve">D5</t>
  </si>
  <si>
    <t xml:space="preserve">Servers &amp; networking: 4-&gt;5 yrs (FY23), 5-&gt;6 yrs effective FY25 (Jun-2024; +$733M FY25 opex benefit). No change through Aug-26 10-Q. CRWV 6, Nebius 5 (from 2026), IREN 5.</t>
  </si>
  <si>
    <t xml:space="preserve">Reported</t>
  </si>
  <si>
    <t xml:space="preserve">K17</t>
  </si>
  <si>
    <t xml:space="preserve">Depreciation yield (D&amp;A x4 / avg in-service gross PP&amp;E)</t>
  </si>
  <si>
    <t xml:space="preserve">Quarterly yield computable only where gross &amp; CIP exist at both ends (May-26 -&gt; Aug-26). Annual version in memo M05.</t>
  </si>
  <si>
    <t xml:space="preserve">Derived</t>
  </si>
  <si>
    <t xml:space="preserve">K18</t>
  </si>
  <si>
    <t xml:space="preserve">Implied average depreciable life (1 / yield)</t>
  </si>
  <si>
    <t xml:space="preserve">K19</t>
  </si>
  <si>
    <t xml:space="preserve">Depreciation as % of revenue (company / total revenue)</t>
  </si>
  <si>
    <t xml:space="preserve">Company-wide denominator.</t>
  </si>
  <si>
    <t xml:space="preserve">E. Backlog / RPO</t>
  </si>
  <si>
    <t xml:space="preserve">K20</t>
  </si>
  <si>
    <t xml:space="preserve">RPO (ASC 606, EoP)</t>
  </si>
  <si>
    <t xml:space="preserve">$B</t>
  </si>
  <si>
    <t xml:space="preserve">D6</t>
  </si>
  <si>
    <t xml:space="preserve">Company-wide RPO (OCI share not disclosed; the FQ1 FY26 +$317B jump and later growth attributed by Oracle to 'certain significant cloud contracts'). Media reports (not filings) attribute ~$300B to OpenAI.</t>
  </si>
  <si>
    <t xml:space="preserve">K21</t>
  </si>
  <si>
    <t xml:space="preserve">Revenue backlog (company metric / incl. contracted non-RPO, EoP)</t>
  </si>
  <si>
    <t xml:space="preserve">n/d (RPO only).</t>
  </si>
  <si>
    <t xml:space="preserve">K22</t>
  </si>
  <si>
    <t xml:space="preserve">RPO % recognized within 24 months</t>
  </si>
  <si>
    <t xml:space="preserve">ESTIMATED (linear interpolation of 13-36m bucket). Collapse from ~55% to ~25-30% = long-dated AI contracts (34% in months 37-60).</t>
  </si>
  <si>
    <t xml:space="preserve">K23</t>
  </si>
  <si>
    <t xml:space="preserve">RPO / annualized quarterly total revenue</t>
  </si>
  <si>
    <t xml:space="preserve">Company RPO / company revenue run-rate (perimeter-consistent).</t>
  </si>
  <si>
    <t xml:space="preserve">F. Customer concentration (% of quarter revenue; customers &lt;10% not disclosed)</t>
  </si>
  <si>
    <t xml:space="preserve">K24</t>
  </si>
  <si>
    <t xml:space="preserve">Largest customer % of revenue</t>
  </si>
  <si>
    <t xml:space="preserve">D7</t>
  </si>
  <si>
    <t xml:space="preserve">n/d - no customer &gt;=10% of FY revenue (FY24-FY26). RPO concentration not disclosed.</t>
  </si>
  <si>
    <t xml:space="preserve">K25</t>
  </si>
  <si>
    <t xml:space="preserve">2nd-largest customer %</t>
  </si>
  <si>
    <t xml:space="preserve">K26</t>
  </si>
  <si>
    <t xml:space="preserve">Top-N &gt;=10% customers combined %</t>
  </si>
  <si>
    <t xml:space="preserve">K27</t>
  </si>
  <si>
    <t xml:space="preserve">Number of customers &gt;=10% of revenue</t>
  </si>
  <si>
    <t xml:space="preserve">#</t>
  </si>
  <si>
    <t xml:space="preserve">0 on fiscal-year basis (10-K).</t>
  </si>
  <si>
    <t xml:space="preserve">G. Funding cost (% p.a.)</t>
  </si>
  <si>
    <t xml:space="preserve">K28</t>
  </si>
  <si>
    <t xml:space="preserve">Weighted effective cost of debt (principal-weighted, EoP) - all facilities</t>
  </si>
  <si>
    <t xml:space="preserve">D8</t>
  </si>
  <si>
    <t xml:space="preserve">Principal-weighted effective rate across all notes/term loans/CP (10-K table, annual). Rising with new issuance at 5-6%+ (Feb-26 $25B).</t>
  </si>
  <si>
    <t xml:space="preserve">K29</t>
  </si>
  <si>
    <t xml:space="preserve">  of which DDTL - weighted eff. rate</t>
  </si>
  <si>
    <t xml:space="preserve">n/d where facility type not outstanding.</t>
  </si>
  <si>
    <t xml:space="preserve">K30</t>
  </si>
  <si>
    <t xml:space="preserve">  of which Senior notes - weighted eff. rate</t>
  </si>
  <si>
    <t xml:space="preserve">Fixed + floating senior notes.</t>
  </si>
  <si>
    <t xml:space="preserve">K31</t>
  </si>
  <si>
    <t xml:space="preserve">  of which Converts - weighted eff. rate</t>
  </si>
  <si>
    <t xml:space="preserve">K32</t>
  </si>
  <si>
    <t xml:space="preserve">  of which OEM / vendor financing - weighted eff. rate</t>
  </si>
  <si>
    <t xml:space="preserve">K33</t>
  </si>
  <si>
    <t xml:space="preserve">  of which Revolver / commercial paper - weighted eff. rate</t>
  </si>
  <si>
    <t xml:space="preserve">Commercial paper.</t>
  </si>
  <si>
    <t xml:space="preserve">K34</t>
  </si>
  <si>
    <t xml:space="preserve">  of which Other term loans - weighted eff. rate</t>
  </si>
  <si>
    <t xml:space="preserve">Term loans (SOFR+1.35-1.70%).</t>
  </si>
  <si>
    <t xml:space="preserve">K35</t>
  </si>
  <si>
    <t xml:space="preserve">DDTL share of principal</t>
  </si>
  <si>
    <t xml:space="preserve">0 - no asset-level DDTL (Oracle funds on corporate balance sheet + partner-financed leases).</t>
  </si>
  <si>
    <t xml:space="preserve">K36</t>
  </si>
  <si>
    <t xml:space="preserve">Implied cash cost: interest x4 / avg principal</t>
  </si>
  <si>
    <t xml:space="preserve">Interest expense (as reported) x4 / average carrying borrowings. comps.csv Oracle cost of debt 4.48% (interest / avg debt) consistent.</t>
  </si>
  <si>
    <t xml:space="preserve">K37</t>
  </si>
  <si>
    <t xml:space="preserve">Company-reported weighted average interest rate</t>
  </si>
  <si>
    <t xml:space="preserve">K38</t>
  </si>
  <si>
    <t xml:space="preserve">Total debt principal (EoP)</t>
  </si>
  <si>
    <t xml:space="preserve">Carrying value (I23).</t>
  </si>
  <si>
    <t xml:space="preserve">K39</t>
  </si>
  <si>
    <t xml:space="preserve">Debt principal / RPO</t>
  </si>
  <si>
    <t xml:space="preserve">Company debt / company RPO.</t>
  </si>
  <si>
    <t xml:space="preserve">K40</t>
  </si>
  <si>
    <t xml:space="preserve">Capitalized interest % of contractual interest</t>
  </si>
  <si>
    <t xml:space="preserve">H. Template extensions added in phase 2 (K41+; n/d for CoreWeave unless stated)</t>
  </si>
  <si>
    <t xml:space="preserve">K41</t>
  </si>
  <si>
    <t xml:space="preserve">Company-reported GPU utilization (physical)</t>
  </si>
  <si>
    <t xml:space="preserve">Management call statements: 97.5% (FQ4 FY26), 97.9% (FQ1 FY27). Physical utilization, not price-based.</t>
  </si>
  <si>
    <t xml:space="preserve">K42</t>
  </si>
  <si>
    <t xml:space="preserve">RPO % recognized within 12 months</t>
  </si>
  <si>
    <t xml:space="preserve">Reported (10-Q/10-K).</t>
  </si>
  <si>
    <t xml:space="preserve">K43</t>
  </si>
  <si>
    <t xml:space="preserve">Incremental annualized revenue per incremental MW (YoY)</t>
  </si>
  <si>
    <t xml:space="preserve">(OCI rev - OCI rev 4Q earlier) x4 / AI MW delivered over the same 4 quarters. SEGMENT-ALLOCATION ESTIMATE: attributes ALL incremental OCI revenue (incl. non-AI OCI growth) to delivered AI MW; MW delivered late in a quarter earns little in-quarter revenue (Q3'26: 850MW delivered in FQ1 FY27).</t>
  </si>
  <si>
    <t xml:space="preserve">K44</t>
  </si>
  <si>
    <t xml:space="preserve">Annualized revenue / avg gross GPU-compute hardware in service</t>
  </si>
  <si>
    <t xml:space="preserve">K45</t>
  </si>
  <si>
    <t xml:space="preserve">Segment gross margin (revenue - cost of revenue excl. D&amp;A) / revenue</t>
  </si>
  <si>
    <t xml:space="preserve">n/d (no OCI cost of revenue).</t>
  </si>
  <si>
    <t xml:space="preserve">M. Peer-specific memo KPIs (not in template; see method column)</t>
  </si>
  <si>
    <t xml:space="preserve">M01</t>
  </si>
  <si>
    <t xml:space="preserve">OCI share of total revenue</t>
  </si>
  <si>
    <t xml:space="preserve">M02</t>
  </si>
  <si>
    <t xml:space="preserve">OCI revenue growth YoY</t>
  </si>
  <si>
    <t xml:space="preserve">Matches PR USD growth (55/68/84/93/121%).</t>
  </si>
  <si>
    <t xml:space="preserve">M03</t>
  </si>
  <si>
    <t xml:space="preserve">Company capex / total revenue</t>
  </si>
  <si>
    <t xml:space="preserve">Reported basis (no allocation).</t>
  </si>
  <si>
    <t xml:space="preserve">M04</t>
  </si>
  <si>
    <t xml:space="preserve">GPUs per delivered MW (FQ1 FY27)</t>
  </si>
  <si>
    <t xml:space="preserve">GPUs/MW</t>
  </si>
  <si>
    <t xml:space="preserve">&gt;300k GPUs / 850MW = ~353/MW (lower bound) vs Nebius base 538 (GB200) / 491 (GB300) per IT-MW -&gt; Oracle MW likely gross/facility basis (PUE ~1.4-1.5x) or includes not-yet-populated halls.</t>
  </si>
  <si>
    <t xml:space="preserve">M05</t>
  </si>
  <si>
    <t xml:space="preserve">Annual depreciation yield (trailing-4Q depreciation / avg in-service gross PP&amp;E, FY)</t>
  </si>
  <si>
    <t xml:space="preserve">FY basis (May columns). Low vs 6-yr life (16.7%) because buildings/land and long-lived assets are in the base and FY26 additions came in late.</t>
  </si>
  <si>
    <t xml:space="preserve">M06</t>
  </si>
  <si>
    <t xml:space="preserve">Trailing-4Q OCI-attributed capex per $ of incremental annualized OCI revenue</t>
  </si>
  <si>
    <t xml:space="preserve">ESTIMATED (100% capex allocation). Capex dollars spent per $1 of new OCI run-rate revenue added YoY.</t>
  </si>
  <si>
    <t xml:space="preserve">M07</t>
  </si>
  <si>
    <t xml:space="preserve">Cumulative AI MW delivered since Jun-25</t>
  </si>
  <si>
    <t xml:space="preserve">MW</t>
  </si>
  <si>
    <t xml:space="preserve">ESTIMATED; not an installed base.</t>
  </si>
  <si>
    <t xml:space="preserve">M08</t>
  </si>
  <si>
    <t xml:space="preserve">Not-yet-commenced DC lease commitments</t>
  </si>
  <si>
    <t xml:space="preserve">Contracted capacity pipeline (partner-built shells).</t>
  </si>
  <si>
    <t xml:space="preserve">M09</t>
  </si>
  <si>
    <t xml:space="preserve">RPO increase QoQ</t>
  </si>
  <si>
    <t xml:space="preserve">Contract-announcement proxy: +$317B FQ1 FY26 (OpenAI/Stargate era), +$68B FQ2 (Meta etc.), +$85B FQ4 FY26.</t>
  </si>
  <si>
    <t xml:space="preserve">Inputs - Oracle OCI (ORCL) - Cloud Infrastructure perimeter. Reported (blue), derived (black), estimated (orange), n/d (grey). Per-cell source detail on Sources tab. Row 2 = fiscal quarter / period end mapped to each calendar column.</t>
  </si>
  <si>
    <t xml:space="preserve">Item</t>
  </si>
  <si>
    <t xml:space="preserve">Tag mix</t>
  </si>
  <si>
    <t xml:space="preserve">Source summary / notes</t>
  </si>
  <si>
    <t xml:space="preserve">I01</t>
  </si>
  <si>
    <t xml:space="preserve">OCI revenue = 'Cloud infrastructure' revenue (IaaS)</t>
  </si>
  <si>
    <t xml:space="preserve">$M</t>
  </si>
  <si>
    <t xml:space="preserve">Derived/Reported</t>
  </si>
  <si>
    <t xml:space="preserve">FQ3 FY25 earnings PR (8-K Ex.99.1, 2025-03-10); FQ4 FY25 earnings PR (8-K Ex.99.1, 2025-06-11); FQ4 FY26 earnings PR (8-K Ex.99.1, 2026-06); FQ1 FY27 earnings PR (8-K Ex.99.1, 2026-09-10) | NOTE: OCI is not a reported segment: 'Cloud infrastructure' is a revenue line inside the Cloud &amp; license segment. Includes non-AI OCI (general compute, database on OCI, multicloud) - AI share not disclosed (FQ3 FY26 call: AI infrastructure revenue +243% YoY, no level).</t>
  </si>
  <si>
    <t xml:space="preserve">I02</t>
  </si>
  <si>
    <t xml:space="preserve">Adj. EBITDA of OCI</t>
  </si>
  <si>
    <t xml:space="preserve"> | NOTE: n/d - no segment EBITDA/margin for OCI. FQ3 FY26 call: gross margin on delivered AI capacity ~32% (company statement, not a filed metric).</t>
  </si>
  <si>
    <t xml:space="preserve">I03</t>
  </si>
  <si>
    <t xml:space="preserve">Depreciation (company-wide, cash-flow statement; excl. intangible amortization)</t>
  </si>
  <si>
    <t xml:space="preserve">FQ3 FY24 earnings PR (8-K Ex.99.1, 2024-03-11); FQ4 FY24 earnings PR (8-K Ex.99.1, 2024-06-11); FQ1 FY25 earnings PR (8-K Ex.99.1, 2024-09-09); FQ2 FY25 earnings PR (8-K Ex.99.1, 2024-12-09); FQ3 FY25 earnings PR (8-K Ex.99.1, 2025-03-10); FQ4 FY25 earnings PR (8-K Ex.99.1, 2025-06-11); FQ1 FY26 earnings PR (8-K Ex.99.1, 2025-09-09); FQ2 FY26 earnings PR (8-K Ex.99.1, 2025-12-10); FQ3 FY26 earnings PR (8-K Ex.99.1, 2026-03-10); FQ4 FY26 earnings PR (8-K Ex.99.1, 2026-06); FQ1 FY27 earnings PR (8-K Ex.99.1, 2026-09-10) | NOTE: Company-wide PP&amp;E depreciation (OCI not separable).</t>
  </si>
  <si>
    <t xml:space="preserve">I50</t>
  </si>
  <si>
    <t xml:space="preserve">Cash capex, company-wide (capital expenditures, CF statement)</t>
  </si>
  <si>
    <t xml:space="preserve">FQ3 FY24 earnings PR (8-K Ex.99.1, 2024-03-11); FQ4 FY24 earnings PR (8-K Ex.99.1, 2024-06-11); FQ1 FY25 earnings PR (8-K Ex.99.1, 2024-09-09); FQ2 FY25 earnings PR (8-K Ex.99.1, 2024-12-09); FQ3 FY25 earnings PR (8-K Ex.99.1, 2025-03-10); FQ4 FY25 earnings PR (8-K Ex.99.1, 2025-06-11); FQ1 FY26 earnings PR (8-K Ex.99.1, 2025-09-09); FQ2 FY26 earnings PR (8-K Ex.99.1, 2025-12-10); FQ3 FY26 earnings PR (8-K Ex.99.1, 2026-03-10); FQ4 FY26 earnings PR (8-K Ex.99.1, 2026-06); FQ1 FY27 earnings PR (8-K Ex.99.1, 2026-09-10) | NOTE: Excludes leased data-center shells (operating leases; see I43/I51) and GPUs obtained via unconditional purchase commitments / leases.</t>
  </si>
  <si>
    <t xml:space="preserve">I05</t>
  </si>
  <si>
    <t xml:space="preserve">Gross PP&amp;E (EoP)</t>
  </si>
  <si>
    <t xml:space="preserve">10-K FY24 (FYE 31-May-2024); 10-K FY25 (FYE 31-May-2025); 10-K FY26 (FYE 31-May-2026); 10-Q FQ1 FY27 (Aug-26), filed 2026-09</t>
  </si>
  <si>
    <t xml:space="preserve">I06</t>
  </si>
  <si>
    <t xml:space="preserve">Construction in progress (EoP)</t>
  </si>
  <si>
    <t xml:space="preserve">I07</t>
  </si>
  <si>
    <t xml:space="preserve">PP&amp;E, net (EoP)</t>
  </si>
  <si>
    <t xml:space="preserve">10-Q FQ3 FY24 (Feb-24); 10-K FY24 (FYE 31-May-2024); 10-Q FQ1 FY25 (Aug-24); 10-Q FQ2 FY25 (Nov-24); 10-Q FQ3 FY25 (Feb-25); 10-K FY25 (FYE 31-May-2025); 10-Q FQ1 FY26 (Aug-25); 10-Q FQ2 FY26 (Nov-25); 10-Q FQ3 FY26 (Feb-26); 10-K FY26 (FYE 31-May-2026); 10-Q FQ1 FY27 (Aug-26), filed 2026-09</t>
  </si>
  <si>
    <t xml:space="preserve">I08</t>
  </si>
  <si>
    <t xml:space="preserve">Computer, network, machinery &amp; equipment, gross (EoP)</t>
  </si>
  <si>
    <t xml:space="preserve">I09</t>
  </si>
  <si>
    <t xml:space="preserve">Installed / active OCI (AI) MW (EoP)</t>
  </si>
  <si>
    <t xml:space="preserve"> | NOTE: n/d - Oracle discloses MW DELIVERED per quarter (I09N), never an installed base. Cumulative deliveries since Jun-25 in I45E (Estimated).</t>
  </si>
  <si>
    <t xml:space="preserve">I09N</t>
  </si>
  <si>
    <t xml:space="preserve">AI capacity delivered to customers in quarter</t>
  </si>
  <si>
    <t xml:space="preserve">Estimated/Reported</t>
  </si>
  <si>
    <t xml:space="preserve">Analyst assumption (this workbook) - segment allocation; Oracle FQ2 FY26 earnings call transcript (Motley Fool, 2025-12-10); Oracle FQ3 FY26 earnings call - CEO blog 'From the Q3 earnings call' (+ transcript 2026-03-10); Oracle FQ1 FY27 earnings call transcript (Motley Fool, 2026-09-11); FQ1 FY27 earnings PR (8-K Ex.99.1, 2026-09-10) | NOTE: MW basis (IT vs gross) not stated; &gt;300k GPUs in 850MW (~353 GPUs/MW) vs Nebius GB200 538/IT-MW suggests gross/facility MW. Abilene: 618MW = ~75% of site delivered by Aug-26.</t>
  </si>
  <si>
    <t xml:space="preserve">I10</t>
  </si>
  <si>
    <t xml:space="preserve">Contracted MW (EoP)</t>
  </si>
  <si>
    <t xml:space="preserve"> | NOTE: n/d as a filed metric. Calls: '&gt;10 GW secured through partners'. Stargate/Abilene ~1.2GW site (618MW delivered = 75%).</t>
  </si>
  <si>
    <t xml:space="preserve">I11</t>
  </si>
  <si>
    <t xml:space="preserve">GPUs deployed (fleet, EoP)</t>
  </si>
  <si>
    <t xml:space="preserve">GPUs</t>
  </si>
  <si>
    <t xml:space="preserve"> | NOTE: n/d fleet count. FQ1 FY27: '&gt;300k GPUs' in the 850MW delivered that quarter (I46); Abilene 131k GPUs delivered in FQ1 FY27.</t>
  </si>
  <si>
    <t xml:space="preserve">I12</t>
  </si>
  <si>
    <t xml:space="preserve">OCI H100 on-demand list price (BM.GPU.H100.8 / 8)</t>
  </si>
  <si>
    <t xml:space="preserve">Nebius workspace: /workspace/nebius/parts/price_history_raw.csv + price_snapshot_2026-10-04.csv (OCI list, GPU Market agent; observations Aug-Oct 2026 only) | NOTE: No earlier snapshots in the price set -&gt; n/d before Q3'26.</t>
  </si>
  <si>
    <t xml:space="preserve">I13</t>
  </si>
  <si>
    <t xml:space="preserve">OCI GB200 list price</t>
  </si>
  <si>
    <t xml:space="preserve">Nebius workspace: /workspace/nebius/parts/price_history_raw.csv + price_snapshot_2026-10-04.csv (OCI list, GPU Market agent; observations Aug-Oct 2026 only)</t>
  </si>
  <si>
    <t xml:space="preserve">I14</t>
  </si>
  <si>
    <t xml:space="preserve">RPO (company-wide, ASC 606, EoP)</t>
  </si>
  <si>
    <t xml:space="preserve">SEC companyfacts XBRL CIK 0001341439 (local copy comps_raw/cf_0001341439.json); 10-Q FQ3 FY24 (Feb-24); 10-K FY24 (FYE 31-May-2024); 10-Q FQ1 FY25 (Aug-24); 10-Q FQ2 FY25 (Nov-24); 10-Q FQ3 FY25 (Feb-25); 10-K FY25 (FYE 31-May-2025); 10-Q FQ1 FY26 (Aug-25); 10-Q FQ2 FY26 (Nov-25); 10-Q FQ3 FY26 (Feb-26); 10-K FY26 (FYE 31-May-2026); 10-Q FQ1 FY27 (Aug-26), filed 2026-09 | NOTE: Company-wide (incl. SaaS/license support). Growth from FQ1 FY26 'primarily attributable to certain significant cloud contracts' (10-K FY26) - i.e., OCI AI contracts (OpenAI/Stargate, Meta, xAI etc.).</t>
  </si>
  <si>
    <t xml:space="preserve">I15</t>
  </si>
  <si>
    <t xml:space="preserve">Backlog incl. non-RPO</t>
  </si>
  <si>
    <t xml:space="preserve"> | NOTE: Oracle reports RPO only.</t>
  </si>
  <si>
    <t xml:space="preserve">I16</t>
  </si>
  <si>
    <t xml:space="preserve">RPO % within 24 months (ESTIMATED: 12m % + half of 13-36m %)</t>
  </si>
  <si>
    <t xml:space="preserve">10-Q FQ3 FY24 (Feb-24); 10-K FY24 (FYE 31-May-2024); 10-Q FQ1 FY25 (Aug-24); 10-Q FQ2 FY25 (Nov-24); 10-Q FQ3 FY25 (Feb-25); 10-K FY25 (FYE 31-May-2025); 10-Q FQ1 FY26 (Aug-25); 10-Q FQ2 FY26 (Nov-25); 10-Q FQ3 FY26 (Feb-26); 10-K FY26 (FYE 31-May-2026); 10-Q FQ1 FY27 (Aug-26), filed 2026-09 | NOTE: Oracle discloses &lt;=12m and 13-36m buckets; 24m share interpolated linearly within the 13-36m bucket (assumption).</t>
  </si>
  <si>
    <t xml:space="preserve">I17</t>
  </si>
  <si>
    <t xml:space="preserve">Largest customer, % of revenue</t>
  </si>
  <si>
    <t xml:space="preserve"> | NOTE: No customer &gt;=10% of revenue in FY24-FY26 (10-K concentration note) -&gt; largest &lt;10% (not disclosed).</t>
  </si>
  <si>
    <t xml:space="preserve">I18</t>
  </si>
  <si>
    <t xml:space="preserve">I19</t>
  </si>
  <si>
    <t xml:space="preserve">3rd-largest customer %</t>
  </si>
  <si>
    <t xml:space="preserve">I20</t>
  </si>
  <si>
    <t xml:space="preserve">Customers &gt;=10% of revenue (count; fiscal-year basis)</t>
  </si>
  <si>
    <t xml:space="preserve">10-K FY24 (FYE 31-May-2024); 10-K FY25 (FYE 31-May-2025); 10-K FY26 (FYE 31-May-2026)</t>
  </si>
  <si>
    <t xml:space="preserve">I21</t>
  </si>
  <si>
    <t xml:space="preserve">Interest expense (P&amp;L, as reported)</t>
  </si>
  <si>
    <t xml:space="preserve">FQ3 FY24 earnings PR (8-K Ex.99.1, 2024-03-11); FQ4 FY24 earnings PR (8-K Ex.99.1, 2024-06-11); FQ1 FY25 earnings PR (8-K Ex.99.1, 2024-09-09); FQ2 FY25 earnings PR (8-K Ex.99.1, 2024-12-09); FQ3 FY25 earnings PR (8-K Ex.99.1, 2025-03-10); FQ4 FY25 earnings PR (8-K Ex.99.1, 2025-06-11); FQ1 FY26 earnings PR (8-K Ex.99.1, 2025-09-09); FQ2 FY26 earnings PR (8-K Ex.99.1, 2025-12-10); FQ3 FY26 earnings PR (8-K Ex.99.1, 2026-03-10); FQ4 FY26 earnings PR (8-K Ex.99.1, 2026-06); FQ1 FY27 earnings PR (8-K Ex.99.1, 2026-09-10) | NOTE: As reported (after any capitalized interest; Oracle does not disclose capitalized interest in PRs/10-Qs in this set).</t>
  </si>
  <si>
    <t xml:space="preserve">I22</t>
  </si>
  <si>
    <t xml:space="preserve">Capitalized interest</t>
  </si>
  <si>
    <t xml:space="preserve">I23</t>
  </si>
  <si>
    <t xml:space="preserve">Total borrowings, carrying value (notes payable &amp; other borrowings, current + non-current)</t>
  </si>
  <si>
    <t xml:space="preserve">FQ3 FY24 earnings PR (8-K Ex.99.1, 2024-03-11); FQ4 FY24 earnings PR (8-K Ex.99.1, 2024-06-11); FQ1 FY25 earnings PR (8-K Ex.99.1, 2024-09-09); FQ2 FY25 earnings PR (8-K Ex.99.1, 2024-12-09); FQ3 FY25 earnings PR (8-K Ex.99.1, 2025-03-10); FQ4 FY25 earnings PR (8-K Ex.99.1, 2025-06-11); FQ1 FY26 earnings PR (8-K Ex.99.1, 2025-09-09); FQ2 FY26 earnings PR (8-K Ex.99.1, 2025-12-10); FQ3 FY26 earnings PR (8-K Ex.99.1, 2026-03-10); FQ4 FY26 earnings PR (8-K Ex.99.1, 2026-06); FQ1 FY27 earnings PR (8-K Ex.99.1, 2026-09-10) | NOTE: Balance-sheet carrying value (net of unamortized discount/issuance costs); 10-K debt tables (Debt_Facilities) are at principal -&gt; check row shows the difference.</t>
  </si>
  <si>
    <t xml:space="preserve">I24</t>
  </si>
  <si>
    <t xml:space="preserve">I25</t>
  </si>
  <si>
    <t xml:space="preserve">Company-definition capex</t>
  </si>
  <si>
    <t xml:space="preserve">I26</t>
  </si>
  <si>
    <t xml:space="preserve">Days in quarter</t>
  </si>
  <si>
    <t xml:space="preserve">days</t>
  </si>
  <si>
    <t xml:space="preserve">calendar</t>
  </si>
  <si>
    <t xml:space="preserve">I27</t>
  </si>
  <si>
    <t xml:space="preserve">Data center regions</t>
  </si>
  <si>
    <t xml:space="preserve">I28</t>
  </si>
  <si>
    <t xml:space="preserve">Useful life - servers &amp; networking equipment</t>
  </si>
  <si>
    <t xml:space="preserve">10-K FY24 (FYE 31-May-2024); 10-Q FQ1 FY25 (Aug-24); 10-Q FQ2 FY25 (Nov-24); 10-Q FQ3 FY25 (Feb-25); 10-K FY25 (FYE 31-May-2025); 10-K FY26 (FYE 31-May-2026) | NOTE: PP&amp;E table: computer, network, machinery &amp; equipment 1-5 yrs (FY24) -&gt; 1-6 yrs (FY25-FY26, Aug-26 10-Q).</t>
  </si>
  <si>
    <t xml:space="preserve">I29</t>
  </si>
  <si>
    <t xml:space="preserve">Company-reported GPU utilization</t>
  </si>
  <si>
    <t xml:space="preserve">Oracle FQ4 FY26 earnings call - CEO blog 'From the Q4 earnings call'; Oracle FQ1 FY27 earnings call transcript (Motley Fool, 2026-09-11) | NOTE: Physical GPU utilization of delivered fleet (management statement on call, not in filings).</t>
  </si>
  <si>
    <t xml:space="preserve">I30</t>
  </si>
  <si>
    <t xml:space="preserve">RPO % expected to be recognized within 12 months</t>
  </si>
  <si>
    <t xml:space="preserve">I31</t>
  </si>
  <si>
    <t xml:space="preserve">GPU-compute hardware, gross</t>
  </si>
  <si>
    <t xml:space="preserve"> | NOTE: n/d (I08 covers all computer/network equipment, not GPU-only).</t>
  </si>
  <si>
    <t xml:space="preserve">I32</t>
  </si>
  <si>
    <t xml:space="preserve">OCI cost of revenue</t>
  </si>
  <si>
    <t xml:space="preserve"> | NOTE: n/d (Oracle reports cloud services &amp; license support expenses combined).</t>
  </si>
  <si>
    <t xml:space="preserve">I40</t>
  </si>
  <si>
    <t xml:space="preserve">Total revenue (company)</t>
  </si>
  <si>
    <t xml:space="preserve">SEC companyfacts XBRL CIK 0001341439 (local copy comps_raw/cf_0001341439.json)</t>
  </si>
  <si>
    <t xml:space="preserve">I43</t>
  </si>
  <si>
    <t xml:space="preserve">Operating lease liabilities (EoP)</t>
  </si>
  <si>
    <t xml:space="preserve">10-K FY24 (FYE 31-May-2024); 10-K FY25 (FYE 31-May-2025); 10-Q FQ1 FY26 (Aug-25); 10-Q FQ2 FY26 (Nov-25); 10-Q FQ3 FY26 (Feb-26); 10-K FY26 (FYE 31-May-2026); 10-Q FQ1 FY27 (Aug-26), filed 2026-09</t>
  </si>
  <si>
    <t xml:space="preserve">I46</t>
  </si>
  <si>
    <t xml:space="preserve">GPUs delivered in quarter</t>
  </si>
  <si>
    <t xml:space="preserve">FQ1 FY27 earnings PR (8-K Ex.99.1, 2026-09-10)</t>
  </si>
  <si>
    <t xml:space="preserve">I51</t>
  </si>
  <si>
    <t xml:space="preserve">Lease commitments not yet commenced (substantially all data centers)</t>
  </si>
  <si>
    <t xml:space="preserve">10-Q FQ3 FY25 (Feb-25); 10-K FY25 (FYE 31-May-2025); 10-Q FQ1 FY26 (Aug-25); 10-Q FQ2 FY26 (Nov-25); 10-Q FQ3 FY26 (Feb-26); 10-K FY26 (FYE 31-May-2026); 10-Q FQ1 FY27 (Aug-26), filed 2026-09 | NOTE: Off-balance-sheet DC lease commitments = Oracle's contracted capacity pipeline (capacity built by partners e.g. Crusoe/Blue Owl at Abilene). Not in capex.</t>
  </si>
  <si>
    <t xml:space="preserve">Parameters (estimation assumptions)</t>
  </si>
  <si>
    <t xml:space="preserve">P05</t>
  </si>
  <si>
    <t xml:space="preserve">Share of company capex attributed to OCI / AI infrastructure</t>
  </si>
  <si>
    <t xml:space="preserve">Analyst assumption (this workbook) - segment allocation - UPPER-BOUND ASSUMPTION: all capex attributed to OCI (Oracle does not split capex; management describes the build as overwhelmingly revenue-generating cloud infrastructure equipment). Lower share scales K10/K13/M06 proportionally.</t>
  </si>
  <si>
    <t xml:space="preserve">Derived &amp; estimated input rows (formulas)</t>
  </si>
  <si>
    <t xml:space="preserve">I04</t>
  </si>
  <si>
    <t xml:space="preserve">Cash capex attributed to OCI (= company capex x P05) - SEGMENT-ALLOCATION ESTIMATE</t>
  </si>
  <si>
    <t xml:space="preserve">ESTIMATED allocation (see P05).</t>
  </si>
  <si>
    <t xml:space="preserve">I09T4</t>
  </si>
  <si>
    <t xml:space="preserve">AI MW delivered over trailing 4 quarters</t>
  </si>
  <si>
    <t xml:space="preserve">Derived/Estimated</t>
  </si>
  <si>
    <t xml:space="preserve">Q2'26 (FY26) = '&gt;1.2GW' delivered in FY26 (CEO blog, FQ4 call; lower bound, Reported). Q3'26 = sum of quarterly deliveries (incl. estimates).</t>
  </si>
  <si>
    <t xml:space="preserve">I45E</t>
  </si>
  <si>
    <t xml:space="preserve">Cumulative AI MW delivered since 1-Jun-2025</t>
  </si>
  <si>
    <t xml:space="preserve">ESTIMATED (includes estimated quarters). Not an installed base - excludes pre-FY26 OCI capacity.</t>
  </si>
  <si>
    <t xml:space="preserve">I05S</t>
  </si>
  <si>
    <t xml:space="preserve">In-service gross PP&amp;E (gross - CIP, EoP)</t>
  </si>
  <si>
    <t xml:space="preserve">Company-wide.</t>
  </si>
  <si>
    <t xml:space="preserve">I23A</t>
  </si>
  <si>
    <t xml:space="preserve">Average borrowings (carrying)</t>
  </si>
  <si>
    <t xml:space="preserve">Debt by facility - Oracle OCI (ORCL) - Cloud Infrastructure perimeter. Principal ($M) and effective interest rate (%) as printed in each period-end debt table. Excludes leases. Weighted rates exclude facilities without a disclosed rate from the denominator.</t>
  </si>
  <si>
    <t xml:space="preserve">Annual snapshots only (10-K tables list every note with effective rate; 10-Qs list only new issuances). Principal = 'Amount' column; check row vs Inputs I23 = unamortized discount/issuance costs &amp; fair-value adjustments (carrying basis). Floating-rate senior notes included in 'Senior notes' (flagged [floating]); term loans (SOFR+1.35-1.70%) in 'Other term loans'; commercial paper in 'Revolver / commercial paper'. Quarterly funding cost: K36 (interest expense x4 / avg carrying debt).</t>
  </si>
  <si>
    <t xml:space="preserve">Facility</t>
  </si>
  <si>
    <t xml:space="preserve">Category</t>
  </si>
  <si>
    <t xml:space="preserve">May-24 principal</t>
  </si>
  <si>
    <t xml:space="preserve">May-24 eff. rate %</t>
  </si>
  <si>
    <t xml:space="preserve">May-25 principal</t>
  </si>
  <si>
    <t xml:space="preserve">May-25 eff. rate %</t>
  </si>
  <si>
    <t xml:space="preserve">May-26 principal</t>
  </si>
  <si>
    <t xml:space="preserve">May-26 eff. rate %</t>
  </si>
  <si>
    <t xml:space="preserve">$2,000, 3.40%, due July 2024</t>
  </si>
  <si>
    <t xml:space="preserve">Senior notes</t>
  </si>
  <si>
    <t xml:space="preserve">$2,000, 2.95%, due November 2024</t>
  </si>
  <si>
    <t xml:space="preserve">$3,500, 2.50%, due April 2025</t>
  </si>
  <si>
    <t xml:space="preserve">$2,500, 2.95%, due May 2025</t>
  </si>
  <si>
    <t xml:space="preserve">€750, 3.125%, due July 2025</t>
  </si>
  <si>
    <t xml:space="preserve">$1,000, 5.80%, due November 2025</t>
  </si>
  <si>
    <t xml:space="preserve">$2,750, 1.65%, due March 2026</t>
  </si>
  <si>
    <t xml:space="preserve">$3,000, 2.65%, due July 2026</t>
  </si>
  <si>
    <t xml:space="preserve">$2,250, 2.80%, due April 2027</t>
  </si>
  <si>
    <t xml:space="preserve">$2,750, 3.25%, due November 2027</t>
  </si>
  <si>
    <t xml:space="preserve">$2,000, 2.30%, due March 2028</t>
  </si>
  <si>
    <t xml:space="preserve">$750, 4.50%, due May 2028</t>
  </si>
  <si>
    <t xml:space="preserve">$1,250, 6.15%, due November 2029</t>
  </si>
  <si>
    <t xml:space="preserve">$3,250, 2.95%, due April 2030</t>
  </si>
  <si>
    <t xml:space="preserve">$750, 4.65%, due May 2030</t>
  </si>
  <si>
    <t xml:space="preserve">$500, 3.25%, due May 2030</t>
  </si>
  <si>
    <t xml:space="preserve">$3,250, 2.875%, due March 2031</t>
  </si>
  <si>
    <t xml:space="preserve">$2,250, 6.25%, due November 2032</t>
  </si>
  <si>
    <t xml:space="preserve">$1,500, 4.90%, due February 2033</t>
  </si>
  <si>
    <t xml:space="preserve">$1,750, 4.30%, due July 2034</t>
  </si>
  <si>
    <t xml:space="preserve">$1,250, 3.90%, due May 2035</t>
  </si>
  <si>
    <t xml:space="preserve">$1,250, 3.85%, due July 2036</t>
  </si>
  <si>
    <t xml:space="preserve">$1,750, 3.80%, due November 2037</t>
  </si>
  <si>
    <t xml:space="preserve">$1,250, 6.50%, due April 2038</t>
  </si>
  <si>
    <t xml:space="preserve">$1,250, 6.125%, due July 2039</t>
  </si>
  <si>
    <t xml:space="preserve">$3,000, 3.60%, due April 2040</t>
  </si>
  <si>
    <t xml:space="preserve">$2,250, 5.375%, due July 2040</t>
  </si>
  <si>
    <t xml:space="preserve">$2,250, 3.65%, due March 2041</t>
  </si>
  <si>
    <t xml:space="preserve">$1,000, 4.50%, due July 2044</t>
  </si>
  <si>
    <t xml:space="preserve">$2,000, 4.125%, due May 2045</t>
  </si>
  <si>
    <t xml:space="preserve">$3,000, 4.00%, due July 2046</t>
  </si>
  <si>
    <t xml:space="preserve">$2,250, 4.00%, due November 2047</t>
  </si>
  <si>
    <t xml:space="preserve">$4,500, 3.60%, due April 2050</t>
  </si>
  <si>
    <t xml:space="preserve">$3,250, 3.95%, due March 2051</t>
  </si>
  <si>
    <t xml:space="preserve">$2,500, 6.90%, due November 2052</t>
  </si>
  <si>
    <t xml:space="preserve">$2,250, 5.55%, due February 2053</t>
  </si>
  <si>
    <t xml:space="preserve">$1,250, 4.375%, due May 2055</t>
  </si>
  <si>
    <t xml:space="preserve">$3,500, 3.85%, due April 2060</t>
  </si>
  <si>
    <t xml:space="preserve">$1,500, 4.10%, due March 2061</t>
  </si>
  <si>
    <t xml:space="preserve">$790, SOFR plus 1.70%, due August 2025</t>
  </si>
  <si>
    <t xml:space="preserve">Other term loans</t>
  </si>
  <si>
    <t xml:space="preserve">$170, SOFR plus 1.70%, due August 2025</t>
  </si>
  <si>
    <t xml:space="preserve">$3,570, SOFR plus 1.70%, due August 2027</t>
  </si>
  <si>
    <t xml:space="preserve">$1,100, SOFR plus 1.70%, due August 2027</t>
  </si>
  <si>
    <t xml:space="preserve">Commercial paper notes</t>
  </si>
  <si>
    <t xml:space="preserve">Revolver / commercial paper</t>
  </si>
  <si>
    <t xml:space="preserve">Other borrowings due August 2025</t>
  </si>
  <si>
    <t xml:space="preserve">Other borrowings</t>
  </si>
  <si>
    <t xml:space="preserve">$1,500, 4.80%, due August 2028</t>
  </si>
  <si>
    <t xml:space="preserve">$1,500, 4.20%, due September 2029</t>
  </si>
  <si>
    <t xml:space="preserve">$1,250, 5.25%, due February 2032</t>
  </si>
  <si>
    <t xml:space="preserve">$1,750, 4.70%, due September 2034</t>
  </si>
  <si>
    <t xml:space="preserve">$1,750, 5.50%, due August 2035</t>
  </si>
  <si>
    <t xml:space="preserve">$1,750, 5.375%, due September 2054</t>
  </si>
  <si>
    <t xml:space="preserve">$1,750, 6.00%, due August 2055</t>
  </si>
  <si>
    <t xml:space="preserve">$1,250, 5.50%, due September 2064</t>
  </si>
  <si>
    <t xml:space="preserve">$1,000, 6.125%, due August 2065</t>
  </si>
  <si>
    <t xml:space="preserve">$500, Compounded SOFR plus 0.76%, due August 2028  [floating]</t>
  </si>
  <si>
    <t xml:space="preserve">$5,630, SOFR plus 1.35%, due August 2027</t>
  </si>
  <si>
    <t xml:space="preserve">$3,000, 4.55%, due February 2029</t>
  </si>
  <si>
    <t xml:space="preserve">$3,000, 4.45%, due September 2030</t>
  </si>
  <si>
    <t xml:space="preserve">$3,500, 4.95%, due February 2031</t>
  </si>
  <si>
    <t xml:space="preserve">$3,000, 4.80%, due September 2032</t>
  </si>
  <si>
    <t xml:space="preserve">$3,000, 5.35%, due May 2033</t>
  </si>
  <si>
    <t xml:space="preserve">$4,000, 5.20%, due September 2035</t>
  </si>
  <si>
    <t xml:space="preserve">$5,000, 5.70%, due February 2036</t>
  </si>
  <si>
    <t xml:space="preserve">$2,500, 5.875%, due September 2045</t>
  </si>
  <si>
    <t xml:space="preserve">$2,250, 6.55%, due February 2046</t>
  </si>
  <si>
    <t xml:space="preserve">$3,500, 5.95%, due September 2055</t>
  </si>
  <si>
    <t xml:space="preserve">$5,000, 6.70%, due February 2056</t>
  </si>
  <si>
    <t xml:space="preserve">$2,000, 6.10%, due September 2065</t>
  </si>
  <si>
    <t xml:space="preserve">$2,750, 6.85%, due February 2066</t>
  </si>
  <si>
    <t xml:space="preserve">$500, Compounded SOFR plus 1.11%, due February 2029  [floating]</t>
  </si>
  <si>
    <t xml:space="preserve">Total principal</t>
  </si>
  <si>
    <t xml:space="preserve">Check vs Inputs I23 (total debt principal)</t>
  </si>
  <si>
    <t xml:space="preserve">WEIGHTED EFFECTIVE COST OF DEBT (principal-weighted, facilities with disclosed rate)</t>
  </si>
  <si>
    <t xml:space="preserve">  DDTL: principal / weighted eff. rate</t>
  </si>
  <si>
    <t xml:space="preserve">  Senior notes: principal / weighted eff. rate</t>
  </si>
  <si>
    <t xml:space="preserve">  Converts: principal / weighted eff. rate</t>
  </si>
  <si>
    <t xml:space="preserve">  OEM / vendor financing: principal / weighted eff. rate</t>
  </si>
  <si>
    <t xml:space="preserve">  Revolver / commercial paper: principal / weighted eff. rate</t>
  </si>
  <si>
    <t xml:space="preserve">  Other term loans: principal / weighted eff. rate</t>
  </si>
  <si>
    <t xml:space="preserve">  Share of principal: DDTL %</t>
  </si>
  <si>
    <t xml:space="preserve">Feb-2026: $25B senior notes issuance (8-K Feb-2026; in May-26 table). Aug-2026 (FQ1 FY27): ~$19.9B equity raised via at-the-market program (PR CF) - deleveraging borrowings to $125.3B.</t>
  </si>
  <si>
    <t xml:space="preserve">Off-balance-sheet: $288B of not-yet-commenced data-center lease commitments at Aug-26 (I51) - economically debt-like, excluded here (template excludes leases).</t>
  </si>
  <si>
    <t xml:space="preserve">Input ID</t>
  </si>
  <si>
    <t xml:space="preserve">Period</t>
  </si>
  <si>
    <t xml:space="preserve">Value</t>
  </si>
  <si>
    <t xml:space="preserve">Tag</t>
  </si>
  <si>
    <t xml:space="preserve">Document</t>
  </si>
  <si>
    <t xml:space="preserve">Section / page / formula</t>
  </si>
  <si>
    <t xml:space="preserve">URL</t>
  </si>
  <si>
    <t xml:space="preserve">FQ3 FY25 earnings PR (8-K Ex.99.1, 2025-03-10)</t>
  </si>
  <si>
    <t xml:space="preserve">calc: FQ3 FY25 2,652 / 1.49 (PR: cloud infrastructure +49% USD); headline '$1.8 billion' (FQ3 FY24 PR)</t>
  </si>
  <si>
    <t xml:space="preserve">https://www.sec.gov/Archives/edgar/data/1341439/000095017025036295/orcl-ex99_1.htm</t>
  </si>
  <si>
    <t xml:space="preserve">FQ4 FY25 earnings PR (8-K Ex.99.1, 2025-06-11)</t>
  </si>
  <si>
    <t xml:space="preserve">calc: FQ4 FY25 2,995 / 1.52 (+52% USD); headline '$2.0 billion' (FQ4 FY24 PR)</t>
  </si>
  <si>
    <t xml:space="preserve">https://www.sec.gov/Archives/edgar/data/1341439/000095017025084831/orcl-ex99_1.htm</t>
  </si>
  <si>
    <t xml:space="preserve">FQ4 FY26 earnings PR (8-K Ex.99.1, 2026-06)</t>
  </si>
  <si>
    <t xml:space="preserve">FQ4 FY26 PR revenue-by-offering table (FY25 quarters)</t>
  </si>
  <si>
    <t xml:space="preserve">https://www.sec.gov/Archives/edgar/data/1341439/000119312526265848/orcl-ex99_1.htm</t>
  </si>
  <si>
    <t xml:space="preserve">same</t>
  </si>
  <si>
    <t xml:space="preserve">FQ1 FY27 PR table (FY26 quarters)</t>
  </si>
  <si>
    <t xml:space="preserve">https://www.sec.gov/Archives/edgar/data/1341439/000119312526387905/orcl-ex99_1.htm</t>
  </si>
  <si>
    <t xml:space="preserve">FQ1 FY27 PR 'Cloud infrastructure 7,388'</t>
  </si>
  <si>
    <t xml:space="preserve">FQ3 FY24 earnings PR (8-K Ex.99.1, 2024-03-11)</t>
  </si>
  <si>
    <t xml:space="preserve">calc: 9M FY24 2,318 - 6M 1,510 (XBRL Depreciation YTD)</t>
  </si>
  <si>
    <t xml:space="preserve">https://www.sec.gov/Archives/edgar/data/1341439/000095017024029250/orcl-ex99_1.htm</t>
  </si>
  <si>
    <t xml:space="preserve">FQ4 FY24 earnings PR (8-K Ex.99.1, 2024-06-11)</t>
  </si>
  <si>
    <t xml:space="preserve">calc: FY24 3,129 - 9M 2,318</t>
  </si>
  <si>
    <t xml:space="preserve">https://www.sec.gov/Archives/edgar/data/1341439/000095017024071916/orcl-ex99_1.htm</t>
  </si>
  <si>
    <t xml:space="preserve">FQ1 FY25 earnings PR (8-K Ex.99.1, 2024-09-09)</t>
  </si>
  <si>
    <t xml:space="preserve">FQ1 FY25 PR CF</t>
  </si>
  <si>
    <t xml:space="preserve">https://www.sec.gov/Archives/edgar/data/1341439/000095017024104753/orcl-ex99_1.htm</t>
  </si>
  <si>
    <t xml:space="preserve">FQ2 FY25 earnings PR (8-K Ex.99.1, 2024-12-09)</t>
  </si>
  <si>
    <t xml:space="preserve">calc: 6M 1,712 - 804</t>
  </si>
  <si>
    <t xml:space="preserve">https://www.sec.gov/Archives/edgar/data/1341439/000095017024134537/orcl-ex99_1.htm</t>
  </si>
  <si>
    <t xml:space="preserve">calc: 9M 2,715 - 1,712</t>
  </si>
  <si>
    <t xml:space="preserve">calc: FY25 3,867 - 2,715</t>
  </si>
  <si>
    <t xml:space="preserve">FQ1 FY26 earnings PR (8-K Ex.99.1, 2025-09-09)</t>
  </si>
  <si>
    <t xml:space="preserve">FQ1 FY26 PR CF</t>
  </si>
  <si>
    <t xml:space="preserve">https://www.sec.gov/Archives/edgar/data/1341439/000119312525199175/orcl-ex99_1.htm</t>
  </si>
  <si>
    <t xml:space="preserve">FQ2 FY26 earnings PR (8-K Ex.99.1, 2025-12-10)</t>
  </si>
  <si>
    <t xml:space="preserve">calc: 6M 3,055 - 1,351</t>
  </si>
  <si>
    <t xml:space="preserve">https://www.sec.gov/Archives/edgar/data/1341439/000119312525314207/orcl-ex99_1.htm</t>
  </si>
  <si>
    <t xml:space="preserve">FQ3 FY26 earnings PR (8-K Ex.99.1, 2026-03-10)</t>
  </si>
  <si>
    <t xml:space="preserve">calc: 9M 5,208 - 3,055</t>
  </si>
  <si>
    <t xml:space="preserve">https://www.sec.gov/Archives/edgar/data/1341439/000119312526100148/orcl-ex99_1.htm</t>
  </si>
  <si>
    <t xml:space="preserve">calc: FY26 7,623 - 5,208</t>
  </si>
  <si>
    <t xml:space="preserve">FQ1 FY27 PR CF</t>
  </si>
  <si>
    <t xml:space="preserve">calc: 9M FY24 4,068 - 6M 2,394</t>
  </si>
  <si>
    <t xml:space="preserve">calc: FY24 6,866 - 9M 4,068</t>
  </si>
  <si>
    <t xml:space="preserve">FQ1 FY25 PR CF 2,303</t>
  </si>
  <si>
    <t xml:space="preserve">calc: 6M 6,273 - 2,303</t>
  </si>
  <si>
    <t xml:space="preserve">calc: 9M 12,135 - 6,273</t>
  </si>
  <si>
    <t xml:space="preserve">calc: FY25 21,215 - 12,135</t>
  </si>
  <si>
    <t xml:space="preserve">FQ1 FY26 PR CF 8,502</t>
  </si>
  <si>
    <t xml:space="preserve">calc: 6M 20,535 - 8,502</t>
  </si>
  <si>
    <t xml:space="preserve">calc: 9M 39,170 - 20,535</t>
  </si>
  <si>
    <t xml:space="preserve">calc: FY26 55,663 - 39,170</t>
  </si>
  <si>
    <t xml:space="preserve">FQ1 FY27 PR CF 28,499</t>
  </si>
  <si>
    <t xml:space="preserve">10-K FY24 (FYE 31-May-2024)</t>
  </si>
  <si>
    <t xml:space="preserve">PP&amp;E note (10-K annual; FQ1 FY27 10-Q first quarterly disclosure in set)</t>
  </si>
  <si>
    <t xml:space="preserve">https://www.sec.gov/Archives/edgar/data/1341439/000095017024075605/orcl-20240531.htm</t>
  </si>
  <si>
    <t xml:space="preserve">10-K FY25 (FYE 31-May-2025)</t>
  </si>
  <si>
    <t xml:space="preserve">https://www.sec.gov/Archives/edgar/data/1341439/000095017025087926/orcl-20250531.htm</t>
  </si>
  <si>
    <t xml:space="preserve">10-K FY26 (FYE 31-May-2026)</t>
  </si>
  <si>
    <t xml:space="preserve">https://www.sec.gov/Archives/edgar/data/1341439/000119312526277521/orcl-20260531.htm</t>
  </si>
  <si>
    <t xml:space="preserve">10-Q FQ1 FY27 (Aug-26), filed 2026-09</t>
  </si>
  <si>
    <t xml:space="preserve">https://www.sec.gov/Archives/edgar/data/1341439/000119312526389274/orcl-20260831.htm</t>
  </si>
  <si>
    <t xml:space="preserve">PP&amp;E note</t>
  </si>
  <si>
    <t xml:space="preserve">10-Q FQ3 FY24 (Feb-24)</t>
  </si>
  <si>
    <t xml:space="preserve">Balance sheet (XBRL PropertyPlantAndEquipmentNet)</t>
  </si>
  <si>
    <t xml:space="preserve">https://www.sec.gov/Archives/edgar/data/1341439/000095017024029904/orcl-20240229.htm</t>
  </si>
  <si>
    <t xml:space="preserve">10-Q FQ1 FY25 (Aug-24)</t>
  </si>
  <si>
    <t xml:space="preserve">https://www.sec.gov/Archives/edgar/data/1341439/000095017024104905/orcl-20240831.htm</t>
  </si>
  <si>
    <t xml:space="preserve">10-Q FQ2 FY25 (Nov-24)</t>
  </si>
  <si>
    <t xml:space="preserve">https://www.sec.gov/Archives/edgar/data/1341439/000095017024134973/orcl-20241130.htm</t>
  </si>
  <si>
    <t xml:space="preserve">10-Q FQ3 FY25 (Feb-25)</t>
  </si>
  <si>
    <t xml:space="preserve">https://www.sec.gov/Archives/edgar/data/1341439/000095017025037143/orcl-20250228.htm</t>
  </si>
  <si>
    <t xml:space="preserve">10-Q FQ1 FY26 (Aug-25)</t>
  </si>
  <si>
    <t xml:space="preserve">https://www.sec.gov/Archives/edgar/data/1341439/000119312525200095/orcl-20250831.htm</t>
  </si>
  <si>
    <t xml:space="preserve">10-Q FQ2 FY26 (Nov-25)</t>
  </si>
  <si>
    <t xml:space="preserve">https://www.sec.gov/Archives/edgar/data/1341439/000119312525315925/orcl-20251130.htm</t>
  </si>
  <si>
    <t xml:space="preserve">10-Q FQ3 FY26 (Feb-26)</t>
  </si>
  <si>
    <t xml:space="preserve">https://www.sec.gov/Archives/edgar/data/1341439/000119312526101045/orcl-20260228.htm</t>
  </si>
  <si>
    <t xml:space="preserve">PP&amp;E note line (useful life 1-5 yrs FY24; 1-6 yrs FY25+)</t>
  </si>
  <si>
    <t xml:space="preserve">Analyst assumption (this workbook) - segment allocation</t>
  </si>
  <si>
    <t xml:space="preserve">ESTIMATED residual = FY26 '&gt;1.2GW' - 400 - 400 - 290 (range ~75-110)</t>
  </si>
  <si>
    <t xml:space="preserve">n/a</t>
  </si>
  <si>
    <t xml:space="preserve">Oracle FQ2 FY26 earnings call transcript (Motley Fool, 2025-12-10)</t>
  </si>
  <si>
    <t xml:space="preserve">'close to 400 MW' delivered in FQ2 (call)</t>
  </si>
  <si>
    <t xml:space="preserve">https://www.fool.com/earnings/call-transcripts/2025/12/10/oracle-orcl-q2-2026-earnings-call-transcript/</t>
  </si>
  <si>
    <t xml:space="preserve">Oracle FQ3 FY26 earnings call - CEO blog 'From the Q3 earnings call' (+ transcript 2026-03-10)</t>
  </si>
  <si>
    <t xml:space="preserve">'more than 400 MW' (lower bound; CEO blog / call)</t>
  </si>
  <si>
    <t xml:space="preserve">https://blogs.oracle.com/ceo/from-the-q3-earnings-call</t>
  </si>
  <si>
    <t xml:space="preserve">Oracle FQ1 FY27 earnings call transcript (Motley Fool, 2026-09-11)</t>
  </si>
  <si>
    <t xml:space="preserve">ESTIMATED: FQ1 FY27 850MW described as 'almost 3x' Q4 -&gt; ~290 (850/2.93)</t>
  </si>
  <si>
    <t xml:space="preserve">https://www.fool.com/earnings/call-transcripts/2026/09/11/oracle-orcl-q1-2027-earnings-call-transcript/</t>
  </si>
  <si>
    <t xml:space="preserve">FQ1 FY27 PR / call: 850MW delivered containing &gt;300k GPUs</t>
  </si>
  <si>
    <t xml:space="preserve">OCI price list $10.00/GPU-hr (observed Aug-Oct 2026; H200 also $10)</t>
  </si>
  <si>
    <t xml:space="preserve">local</t>
  </si>
  <si>
    <t xml:space="preserve">OCI list GB200 $16 (B200 $14, B300 $15, GB300 $18, A100 $4, MI300X $6)</t>
  </si>
  <si>
    <t xml:space="preserve">Revenue recognition note RPO paragraph (XBRL RevenueRemainingPerformanceObligation)</t>
  </si>
  <si>
    <t xml:space="preserve">https://data.sec.gov/api/xbrl/companyfacts/CIK0001341439.json</t>
  </si>
  <si>
    <t xml:space="preserve">43 + 35/2</t>
  </si>
  <si>
    <t xml:space="preserve">39 + 36/2</t>
  </si>
  <si>
    <t xml:space="preserve">38 + 38/2</t>
  </si>
  <si>
    <t xml:space="preserve">39 + 39/2</t>
  </si>
  <si>
    <t xml:space="preserve">31 + 40/2</t>
  </si>
  <si>
    <t xml:space="preserve">33 + 41/2</t>
  </si>
  <si>
    <t xml:space="preserve">10 + 25/2</t>
  </si>
  <si>
    <t xml:space="preserve">10 + 30/2</t>
  </si>
  <si>
    <t xml:space="preserve">12 + 31/2</t>
  </si>
  <si>
    <t xml:space="preserve">12 + 34/2</t>
  </si>
  <si>
    <t xml:space="preserve">13 + 37/2</t>
  </si>
  <si>
    <t xml:space="preserve">10-K: no single customer accounted for 10% or more of revenues (fiscal year)</t>
  </si>
  <si>
    <t xml:space="preserve">PR income statement 'Interest expense'</t>
  </si>
  <si>
    <t xml:space="preserve">5,510 + 82,470</t>
  </si>
  <si>
    <t xml:space="preserve">10,605 + 76,264</t>
  </si>
  <si>
    <t xml:space="preserve">9,201 + 75,314</t>
  </si>
  <si>
    <t xml:space="preserve">8,162 + 80,462</t>
  </si>
  <si>
    <t xml:space="preserve">8,167 + 88,109</t>
  </si>
  <si>
    <t xml:space="preserve">7,271 + 85,297</t>
  </si>
  <si>
    <t xml:space="preserve">9,079 + 82,236</t>
  </si>
  <si>
    <t xml:space="preserve">8,091 + 99,984</t>
  </si>
  <si>
    <t xml:space="preserve">9,887 + 124,718</t>
  </si>
  <si>
    <t xml:space="preserve">7,199 + 122,342</t>
  </si>
  <si>
    <t xml:space="preserve">7,625 + 117,712</t>
  </si>
  <si>
    <t xml:space="preserve">10-K FY24: servers 4 -&gt; 5 yrs effective FY23</t>
  </si>
  <si>
    <t xml:space="preserve">FQ1 FY25 10-Q: servers &amp; networking 5 -&gt; 6 yrs effective FY25 (+$733M FY25 opex benefit, 10-K FY25)</t>
  </si>
  <si>
    <t xml:space="preserve">Oracle FQ4 FY26 earnings call - CEO blog 'From the Q4 earnings call'</t>
  </si>
  <si>
    <t xml:space="preserve">FQ4 FY26 call: 97.5%</t>
  </si>
  <si>
    <t xml:space="preserve">https://blogs.oracle.com/ceo/from-the-q4-earnings-call</t>
  </si>
  <si>
    <t xml:space="preserve">FQ1 FY27 call: 97.9%</t>
  </si>
  <si>
    <t xml:space="preserve">RPO paragraph 'approximately X% ... over the next twelve months'</t>
  </si>
  <si>
    <t xml:space="preserve">10-Q P&amp;L</t>
  </si>
  <si>
    <t xml:space="preserve">calc: FY24 52,961 - 9M 38,674</t>
  </si>
  <si>
    <t xml:space="preserve">10-Q</t>
  </si>
  <si>
    <t xml:space="preserve">calc: FY25 57,399 - 9M 41,496</t>
  </si>
  <si>
    <t xml:space="preserve">calc: FY26 67,357 - 9M 48,173</t>
  </si>
  <si>
    <t xml:space="preserve">Leases note (XBRL OperatingLeaseLiability)</t>
  </si>
  <si>
    <t xml:space="preserve">'850MW ... containing more than 300,000 GPUs' (lower bound)</t>
  </si>
  <si>
    <t xml:space="preserve">'$48.4 billion of additional lease commitments, primarily for data centers'</t>
  </si>
  <si>
    <t xml:space="preserve">'$43.4 billion'</t>
  </si>
  <si>
    <t xml:space="preserve">'$99.8 billion'</t>
  </si>
  <si>
    <t xml:space="preserve">'$248 billion'</t>
  </si>
  <si>
    <t xml:space="preserve">'$261 billion'</t>
  </si>
  <si>
    <t xml:space="preserve">'$260 billion' (commence FQ1 FY27-FY29, 15-19 yr terms)</t>
  </si>
  <si>
    <t xml:space="preserve">'$288 billion' (commence FQ2 FY27-FY29)</t>
  </si>
  <si>
    <t xml:space="preserve">param</t>
  </si>
  <si>
    <t xml:space="preserve">UPPER-BOUND ASSUMPTION: all capex attributed to OCI (Oracle does not split capex; management describes the build as overwhelmingly revenue-generating cloud infrastructure equipment). Lower share scales K10/K13/M06 proportionally.</t>
  </si>
  <si>
    <t xml:space="preserve">DEBT</t>
  </si>
  <si>
    <t xml:space="preserve">$2,000, 3.40%, due July 2024 (principal / eff. rate)</t>
  </si>
  <si>
    <t xml:space="preserve">May-24</t>
  </si>
  <si>
    <t xml:space="preserve">2000.0 / 3.43%</t>
  </si>
  <si>
    <t xml:space="preserve">Notes to consolidated financial statements - Notes payable and other borrowings table (amount; effective interest rate)</t>
  </si>
  <si>
    <t xml:space="preserve">$2,000, 2.95%, due November 2024 (principal / eff. rate)</t>
  </si>
  <si>
    <t xml:space="preserve">2000.0 / 3.01%</t>
  </si>
  <si>
    <t xml:space="preserve">$3,500, 2.50%, due April 2025 (principal / eff. rate)</t>
  </si>
  <si>
    <t xml:space="preserve">3500.0 / 2.54%</t>
  </si>
  <si>
    <t xml:space="preserve">$2,500, 2.95%, due May 2025 (principal / eff. rate)</t>
  </si>
  <si>
    <t xml:space="preserve">2500.0 / 3.05%</t>
  </si>
  <si>
    <t xml:space="preserve">€750, 3.125%, due July 2025 (principal / eff. rate)</t>
  </si>
  <si>
    <t xml:space="preserve">808.0 / 3.17%</t>
  </si>
  <si>
    <t xml:space="preserve">May-25</t>
  </si>
  <si>
    <t xml:space="preserve">841.0 / 3.17%</t>
  </si>
  <si>
    <t xml:space="preserve">$1,000, 5.80%, due November 2025 (principal / eff. rate)</t>
  </si>
  <si>
    <t xml:space="preserve">1000.0 / 5.93%</t>
  </si>
  <si>
    <t xml:space="preserve">$2,750, 1.65%, due March 2026 (principal / eff. rate)</t>
  </si>
  <si>
    <t xml:space="preserve">2750.0 / 1.67%</t>
  </si>
  <si>
    <t xml:space="preserve">$3,000, 2.65%, due July 2026 (principal / eff. rate)</t>
  </si>
  <si>
    <t xml:space="preserve">3000.0 / 2.73%</t>
  </si>
  <si>
    <t xml:space="preserve">May-26</t>
  </si>
  <si>
    <t xml:space="preserve">$2,250, 2.80%, due April 2027 (principal / eff. rate)</t>
  </si>
  <si>
    <t xml:space="preserve">2250.0 / 2.87%</t>
  </si>
  <si>
    <t xml:space="preserve">$2,750, 3.25%, due November 2027 (principal / eff. rate)</t>
  </si>
  <si>
    <t xml:space="preserve">2750.0 / 3.29%</t>
  </si>
  <si>
    <t xml:space="preserve">$2,000, 2.30%, due March 2028 (principal / eff. rate)</t>
  </si>
  <si>
    <t xml:space="preserve">2000.0 / 2.36%</t>
  </si>
  <si>
    <t xml:space="preserve">$750, 4.50%, due May 2028 (principal / eff. rate)</t>
  </si>
  <si>
    <t xml:space="preserve">750.0 / 4.6%</t>
  </si>
  <si>
    <t xml:space="preserve">$1,250, 6.15%, due November 2029 (principal / eff. rate)</t>
  </si>
  <si>
    <t xml:space="preserve">1250.0 / 6.21%</t>
  </si>
  <si>
    <t xml:space="preserve">$3,250, 2.95%, due April 2030 (principal / eff. rate)</t>
  </si>
  <si>
    <t xml:space="preserve">3250.0 / 3.0%</t>
  </si>
  <si>
    <t xml:space="preserve">$750, 4.65%, due May 2030 (principal / eff. rate)</t>
  </si>
  <si>
    <t xml:space="preserve">750.0 / 4.75%</t>
  </si>
  <si>
    <t xml:space="preserve">$500, 3.25%, due May 2030 (principal / eff. rate)</t>
  </si>
  <si>
    <t xml:space="preserve">500.0 / 3.35%</t>
  </si>
  <si>
    <t xml:space="preserve">$3,250, 2.875%, due March 2031 (principal / eff. rate)</t>
  </si>
  <si>
    <t xml:space="preserve">3250.0 / 2.92%</t>
  </si>
  <si>
    <t xml:space="preserve">$2,250, 6.25%, due November 2032 (principal / eff. rate)</t>
  </si>
  <si>
    <t xml:space="preserve">2250.0 / 6.32%</t>
  </si>
  <si>
    <t xml:space="preserve">$1,500, 4.90%, due February 2033 (principal / eff. rate)</t>
  </si>
  <si>
    <t xml:space="preserve">1500.0 / 4.95%</t>
  </si>
  <si>
    <t xml:space="preserve">$1,750, 4.30%, due July 2034 (principal / eff. rate)</t>
  </si>
  <si>
    <t xml:space="preserve">1750.0 / 4.3%</t>
  </si>
  <si>
    <t xml:space="preserve">$1,250, 3.90%, due May 2035 (principal / eff. rate)</t>
  </si>
  <si>
    <t xml:space="preserve">1250.0 / 4.0%</t>
  </si>
  <si>
    <t xml:space="preserve">$1,250, 3.85%, due July 2036 (principal / eff. rate)</t>
  </si>
  <si>
    <t xml:space="preserve">1250.0 / 3.89%</t>
  </si>
  <si>
    <t xml:space="preserve">$1,750, 3.80%, due November 2037 (principal / eff. rate)</t>
  </si>
  <si>
    <t xml:space="preserve">1750.0 / 3.86%</t>
  </si>
  <si>
    <t xml:space="preserve">$1,250, 6.50%, due April 2038 (principal / eff. rate)</t>
  </si>
  <si>
    <t xml:space="preserve">1250.0 / 6.51%</t>
  </si>
  <si>
    <t xml:space="preserve">$1,250, 6.125%, due July 2039 (principal / eff. rate)</t>
  </si>
  <si>
    <t xml:space="preserve">1250.0 / 6.17%</t>
  </si>
  <si>
    <t xml:space="preserve">$3,000, 3.60%, due April 2040 (principal / eff. rate)</t>
  </si>
  <si>
    <t xml:space="preserve">3000.0 / 3.64%</t>
  </si>
  <si>
    <t xml:space="preserve">$2,250, 5.375%, due July 2040 (principal / eff. rate)</t>
  </si>
  <si>
    <t xml:space="preserve">2250.0 / 5.45%</t>
  </si>
  <si>
    <t xml:space="preserve">$2,250, 3.65%, due March 2041 (principal / eff. rate)</t>
  </si>
  <si>
    <t xml:space="preserve">2250.0 / 3.72%</t>
  </si>
  <si>
    <t xml:space="preserve">$1,000, 4.50%, due July 2044 (principal / eff. rate)</t>
  </si>
  <si>
    <t xml:space="preserve">1000.0 / 4.5%</t>
  </si>
  <si>
    <t xml:space="preserve">$2,000, 4.125%, due May 2045 (principal / eff. rate)</t>
  </si>
  <si>
    <t xml:space="preserve">2000.0 / 4.2%</t>
  </si>
  <si>
    <t xml:space="preserve">$3,000, 4.00%, due July 2046 (principal / eff. rate)</t>
  </si>
  <si>
    <t xml:space="preserve">3000.0 / 4.03%</t>
  </si>
  <si>
    <t xml:space="preserve">$2,250, 4.00%, due November 2047 (principal / eff. rate)</t>
  </si>
  <si>
    <t xml:space="preserve">2250.0 / 4.05%</t>
  </si>
  <si>
    <t xml:space="preserve">$4,500, 3.60%, due April 2050 (principal / eff. rate)</t>
  </si>
  <si>
    <t xml:space="preserve">4500.0 / 3.64%</t>
  </si>
  <si>
    <t xml:space="preserve">$3,250, 3.95%, due March 2051 (principal / eff. rate)</t>
  </si>
  <si>
    <t xml:space="preserve">3250.0 / 3.98%</t>
  </si>
  <si>
    <t xml:space="preserve">$2,500, 6.90%, due November 2052 (principal / eff. rate)</t>
  </si>
  <si>
    <t xml:space="preserve">2500.0 / 6.94%</t>
  </si>
  <si>
    <t xml:space="preserve">$2,250, 5.55%, due February 2053 (principal / eff. rate)</t>
  </si>
  <si>
    <t xml:space="preserve">2250.0 / 5.62%</t>
  </si>
  <si>
    <t xml:space="preserve">$1,250, 4.375%, due May 2055 (principal / eff. rate)</t>
  </si>
  <si>
    <t xml:space="preserve">1250.0 / 4.44%</t>
  </si>
  <si>
    <t xml:space="preserve">$3,500, 3.85%, due April 2060 (principal / eff. rate)</t>
  </si>
  <si>
    <t xml:space="preserve">3500.0 / 3.89%</t>
  </si>
  <si>
    <t xml:space="preserve">$1,500, 4.10%, due March 2061 (principal / eff. rate)</t>
  </si>
  <si>
    <t xml:space="preserve">1500.0 / 4.13%</t>
  </si>
  <si>
    <t xml:space="preserve">$790, SOFR plus 1.70%, due August 2025 (principal / eff. rate)</t>
  </si>
  <si>
    <t xml:space="preserve">790.0 / 6.99%</t>
  </si>
  <si>
    <t xml:space="preserve">$170, SOFR plus 1.70%, due August 2025 (principal / eff. rate)</t>
  </si>
  <si>
    <t xml:space="preserve">170.0 / 6.98%</t>
  </si>
  <si>
    <t xml:space="preserve">$3,570, SOFR plus 1.70%, due August 2027 (principal / eff. rate)</t>
  </si>
  <si>
    <t xml:space="preserve">3570.0 / 6.99%</t>
  </si>
  <si>
    <t xml:space="preserve">$1,100, SOFR plus 1.70%, due August 2027 (principal / eff. rate)</t>
  </si>
  <si>
    <t xml:space="preserve">1100.0 / 6.98%</t>
  </si>
  <si>
    <t xml:space="preserve">Commercial paper notes (principal / eff. rate)</t>
  </si>
  <si>
    <t xml:space="preserve">401.0 / 5.43%</t>
  </si>
  <si>
    <t xml:space="preserve">2294.0 / 4.88%</t>
  </si>
  <si>
    <t xml:space="preserve">1468.0 / 4.35%</t>
  </si>
  <si>
    <t xml:space="preserve">Other borrowings due August 2025 (principal / eff. rate)</t>
  </si>
  <si>
    <t xml:space="preserve">113.0 / 3.53%</t>
  </si>
  <si>
    <t xml:space="preserve">$1,500, 4.80%, due August 2028 (principal / eff. rate)</t>
  </si>
  <si>
    <t xml:space="preserve">1500.0 / 4.94%</t>
  </si>
  <si>
    <t xml:space="preserve">$1,500, 4.20%, due September 2029 (principal / eff. rate)</t>
  </si>
  <si>
    <t xml:space="preserve">1500.0 / 4.27%</t>
  </si>
  <si>
    <t xml:space="preserve">$1,250, 5.25%, due February 2032 (principal / eff. rate)</t>
  </si>
  <si>
    <t xml:space="preserve">1250.0 / 5.36%</t>
  </si>
  <si>
    <t xml:space="preserve">$1,750, 4.70%, due September 2034 (principal / eff. rate)</t>
  </si>
  <si>
    <t xml:space="preserve">1750.0 / 4.77%</t>
  </si>
  <si>
    <t xml:space="preserve">$1,750, 5.50%, due August 2035 (principal / eff. rate)</t>
  </si>
  <si>
    <t xml:space="preserve">1750.0 / 5.55%</t>
  </si>
  <si>
    <t xml:space="preserve">$1,750, 5.375%, due September 2054 (principal / eff. rate)</t>
  </si>
  <si>
    <t xml:space="preserve">1750.0 / 5.43%</t>
  </si>
  <si>
    <t xml:space="preserve">$1,750, 6.00%, due August 2055 (principal / eff. rate)</t>
  </si>
  <si>
    <t xml:space="preserve">1750.0 / 6.04%</t>
  </si>
  <si>
    <t xml:space="preserve">$1,250, 5.50%, due September 2064 (principal / eff. rate)</t>
  </si>
  <si>
    <t xml:space="preserve">1250.0 / 5.55%</t>
  </si>
  <si>
    <t xml:space="preserve">$1,000, 6.125%, due August 2065 (principal / eff. rate)</t>
  </si>
  <si>
    <t xml:space="preserve">1000.0 / 6.17%</t>
  </si>
  <si>
    <t xml:space="preserve">$500, Compounded SOFR plus 0.76%, due August 2028  [floating] (principal / eff. rate)</t>
  </si>
  <si>
    <t xml:space="preserve">500.0 / 5.28%</t>
  </si>
  <si>
    <t xml:space="preserve">500.0 / 4.43%</t>
  </si>
  <si>
    <t xml:space="preserve">$5,630, SOFR plus 1.35%, due August 2027 (principal / eff. rate)</t>
  </si>
  <si>
    <t xml:space="preserve">5419.0 / 6.1%</t>
  </si>
  <si>
    <t xml:space="preserve">5137.0 / 5.29%</t>
  </si>
  <si>
    <t xml:space="preserve">$3,000, 4.55%, due February 2029 (principal / eff. rate)</t>
  </si>
  <si>
    <t xml:space="preserve">3000.0 / 4.74%</t>
  </si>
  <si>
    <t xml:space="preserve">$3,000, 4.45%, due September 2030 (principal / eff. rate)</t>
  </si>
  <si>
    <t xml:space="preserve">3000.0 / 4.55%</t>
  </si>
  <si>
    <t xml:space="preserve">$3,500, 4.95%, due February 2031 (principal / eff. rate)</t>
  </si>
  <si>
    <t xml:space="preserve">3500.0 / 5.08%</t>
  </si>
  <si>
    <t xml:space="preserve">$3,000, 4.80%, due September 2032 (principal / eff. rate)</t>
  </si>
  <si>
    <t xml:space="preserve">3000.0 / 4.87%</t>
  </si>
  <si>
    <t xml:space="preserve">$3,000, 5.35%, due May 2033 (principal / eff. rate)</t>
  </si>
  <si>
    <t xml:space="preserve">3000.0 / 5.42%</t>
  </si>
  <si>
    <t xml:space="preserve">$4,000, 5.20%, due September 2035 (principal / eff. rate)</t>
  </si>
  <si>
    <t xml:space="preserve">4000.0 / 5.25%</t>
  </si>
  <si>
    <t xml:space="preserve">$5,000, 5.70%, due February 2036 (principal / eff. rate)</t>
  </si>
  <si>
    <t xml:space="preserve">5000.0 / 5.78%</t>
  </si>
  <si>
    <t xml:space="preserve">$2,500, 5.875%, due September 2045 (principal / eff. rate)</t>
  </si>
  <si>
    <t xml:space="preserve">2500.0 / 5.91%</t>
  </si>
  <si>
    <t xml:space="preserve">$2,250, 6.55%, due February 2046 (principal / eff. rate)</t>
  </si>
  <si>
    <t xml:space="preserve">2250.0 / 6.59%</t>
  </si>
  <si>
    <t xml:space="preserve">$3,500, 5.95%, due September 2055 (principal / eff. rate)</t>
  </si>
  <si>
    <t xml:space="preserve">3500.0 / 6.05%</t>
  </si>
  <si>
    <t xml:space="preserve">$5,000, 6.70%, due February 2056 (principal / eff. rate)</t>
  </si>
  <si>
    <t xml:space="preserve">5000.0 / 6.74%</t>
  </si>
  <si>
    <t xml:space="preserve">$2,000, 6.10%, due September 2065 (principal / eff. rate)</t>
  </si>
  <si>
    <t xml:space="preserve">2000.0 / 6.17%</t>
  </si>
  <si>
    <t xml:space="preserve">$2,750, 6.85%, due February 2066 (principal / eff. rate)</t>
  </si>
  <si>
    <t xml:space="preserve">2750.0 / 6.89%</t>
  </si>
  <si>
    <t xml:space="preserve">$500, Compounded SOFR plus 1.11%, due February 2029  [floating] (principal / eff. rate)</t>
  </si>
  <si>
    <t xml:space="preserve">500.0 / 4.78%</t>
  </si>
  <si>
    <t xml:space="preserve">Document register</t>
  </si>
  <si>
    <t xml:space="preserve">PR24Q3</t>
  </si>
  <si>
    <t xml:space="preserve">PR24Q4</t>
  </si>
  <si>
    <t xml:space="preserve">PR25Q1</t>
  </si>
  <si>
    <t xml:space="preserve">PR25Q2</t>
  </si>
  <si>
    <t xml:space="preserve">PR25Q3</t>
  </si>
  <si>
    <t xml:space="preserve">PR25Q4</t>
  </si>
  <si>
    <t xml:space="preserve">PR26Q1</t>
  </si>
  <si>
    <t xml:space="preserve">PR26Q2</t>
  </si>
  <si>
    <t xml:space="preserve">PR26Q3</t>
  </si>
  <si>
    <t xml:space="preserve">PR26Q4</t>
  </si>
  <si>
    <t xml:space="preserve">PR27Q1</t>
  </si>
  <si>
    <t xml:space="preserve">Q24Q3</t>
  </si>
  <si>
    <t xml:space="preserve">Q25Q1</t>
  </si>
  <si>
    <t xml:space="preserve">Q25Q2</t>
  </si>
  <si>
    <t xml:space="preserve">Q25Q3</t>
  </si>
  <si>
    <t xml:space="preserve">Q26Q1</t>
  </si>
  <si>
    <t xml:space="preserve">Q26Q2</t>
  </si>
  <si>
    <t xml:space="preserve">Q26Q3</t>
  </si>
  <si>
    <t xml:space="preserve">Q27Q1</t>
  </si>
  <si>
    <t xml:space="preserve">XBRL</t>
  </si>
  <si>
    <t xml:space="preserve">CALL26Q2</t>
  </si>
  <si>
    <t xml:space="preserve">CALL26Q3</t>
  </si>
  <si>
    <t xml:space="preserve">CALL26Q4</t>
  </si>
  <si>
    <t xml:space="preserve">CALL27Q1</t>
  </si>
  <si>
    <t xml:space="preserve">NBPX</t>
  </si>
  <si>
    <t xml:space="preserve">ASSUMP</t>
  </si>
  <si>
    <t xml:space="preserve">CAL</t>
  </si>
  <si>
    <t xml:space="preserve">KPI group</t>
  </si>
  <si>
    <t xml:space="preserve">Definition used (formula, units)</t>
  </si>
  <si>
    <t xml:space="preserve">Mirrored from (Nebius workspace)</t>
  </si>
  <si>
    <t xml:space="preserve">Oracle OCI (ORCL) - Cloud Infrastructure perimeter application / basis notes</t>
  </si>
  <si>
    <t xml:space="preserve">Revenue per MW</t>
  </si>
  <si>
    <t xml:space="preserve">Quarterly revenue x 4 / MW, $M per MW-year. Denominators: (a) active MW at period end; (b) average of opening/closing active MW; (c) contracted MW. EBITDA/MW same construction. K43 = YoY incremental revenue x4 / MW added in the same 4 quarters. K45 = segment cash gross margin.</t>
  </si>
  <si>
    <t xml:space="preserve">/workspace/nebius/model/nebius_model.xlsx KPIs rows 'Revenue per BILLING / contracted / energized MW' (=AIRev*4/MW); /workspace/nebius/parts/comps_rev_per_mw.csv; capacity/gpu_mw_capex.md s.4 MW basis.</t>
  </si>
  <si>
    <t xml:space="preserve">No installed MW -&gt; revenue/MW n/d. K43 = YoY incremental OCI revenue x4 / AI MW delivered over the trailing 4 quarters (ESTIMATED allocation).</t>
  </si>
  <si>
    <t xml:space="preserve">Revenue per GPU</t>
  </si>
  <si>
    <t xml:space="preserve">Quarterly revenue x 4000 / average GPUs ($K per GPU-year); implied $/GPU-hr = revenue / (avg GPUs x days x 24).</t>
  </si>
  <si>
    <t xml:space="preserve">nebius_model.xlsx KPIs 'Revenue per GPU ($K per GPU-yr)' and 'Implied blended $/GPU-hr'.</t>
  </si>
  <si>
    <t xml:space="preserve">No GPU fleet count. Only '&gt;300k GPUs' in the 850MW delivered in FQ1 FY27.</t>
  </si>
  <si>
    <t xml:space="preserve">Implied utilization</t>
  </si>
  <si>
    <t xml:space="preserve">Implied blended $/GPU-hr / fleet-weighted on-demand list price. K41 = company-reported physical GPU utilization (new row).</t>
  </si>
  <si>
    <t xml:space="preserve">nebius_model.xlsx KPIs 'Fleet-weighted on-demand list price' / 'Implied utilization (blended $/hr / weighted list)'; prices /workspace/nebius/parts/price_history_quarterly.csv &amp; price_history_raw.csv.</t>
  </si>
  <si>
    <t xml:space="preserve">OCI list prices observed Aug-Oct 2026 only. Reported physical GPU utilization 97.5-97.9% (K41).</t>
  </si>
  <si>
    <t xml:space="preserve">Capex per MW</t>
  </si>
  <si>
    <t xml:space="preserve">Cash purchases of PP&amp;E / new active MW in the quarter ($M per MW); in-service additions per new MW; trailing-4Q; stock checks net PP&amp;E / MW and in-service gross PP&amp;E / MW. K44 = annualized revenue / average gross compute hardware.</t>
  </si>
  <si>
    <t xml:space="preserve">nebius_model.xlsx KPIs 'Capex per new active MW'; Hist 'Capex (purchases of PP&amp;E + intangibles, cash)'; capacity/gpu_mw_capex.xlsx 'Nebius checks' and 'Peers'.</t>
  </si>
  <si>
    <t xml:space="preserve">Company capex attributed 100% to OCI (assumption P05) / MW delivered in quarter (calls). Large DC shells are partner-built and leased (I51 $288B not-yet-commenced), so capex is mostly IT equipment.</t>
  </si>
  <si>
    <t xml:space="preserve">D&amp;A useful lives</t>
  </si>
  <si>
    <t xml:space="preserve">Disclosed useful-life table and any change in estimate; depreciation yield = D&amp;A x 4 / average in-service gross PP&amp;E; implied life = 1/yield.</t>
  </si>
  <si>
    <t xml:space="preserve">/workspace/nebius/filings/nebius_filings.xlsx D&amp;A_Policy; nebius_model.xlsx Capex_DA 'Depreciation yield - REPORTED basis'.</t>
  </si>
  <si>
    <t xml:space="preserve">Servers &amp; networking 6 yrs since FY25 (5 before, 4 before FY23).</t>
  </si>
  <si>
    <t xml:space="preserve">Backlog / RPO</t>
  </si>
  <si>
    <t xml:space="preserve">RPO = ASC 606 remaining performance obligations ($B, EoP); % within 24 months (K22) and 12 months (K42); backlog incl. non-RPO contracted value shown separately; RPO / (quarterly revenue x 4).</t>
  </si>
  <si>
    <t xml:space="preserve">nebius_model.xlsx Hist 'Remaining performance obligations'; nebius_filings.xlsx Quarterly 'RPO'.</t>
  </si>
  <si>
    <t xml:space="preserve">Company-wide RPO; 12m and 13-36m buckets reported -&gt; 24m share Estimated.</t>
  </si>
  <si>
    <t xml:space="preserve">Customer concentration</t>
  </si>
  <si>
    <t xml:space="preserve">Each customer &gt;=10% of quarter revenue, top-N combined, count of &gt;=10% customers.</t>
  </si>
  <si>
    <t xml:space="preserve">nebius_filings.xlsx Quarterly 'Customer concentration (&gt;10% of revenue, quarter)'.</t>
  </si>
  <si>
    <t xml:space="preserve">No &gt;=10% customer at fiscal-year level.</t>
  </si>
  <si>
    <t xml:space="preserve">Funding cost</t>
  </si>
  <si>
    <t xml:space="preserve">Weighted effective cost of debt = sum(principal x effective rate) / sum(principal with a disclosed rate), EoP, excl. leases; split by facility type; cross-checks: interest x4 / avg principal; company-reported rate.</t>
  </si>
  <si>
    <t xml:space="preserve">/workspace/nebius/parts/comps_sources.csv 'Wtd effective cost of debt (%)'; shared/findings_log.xlsx cost-of-debt row (Nebius 5.1%).</t>
  </si>
  <si>
    <t xml:space="preserve">Investment-grade unsecured notes; annual note-level table. Quarterly cost via interest expense / average carrying debt.</t>
  </si>
  <si>
    <t xml:space="preserve">Template column</t>
  </si>
  <si>
    <t xml:space="preserve">Calendar quarter-end used</t>
  </si>
  <si>
    <t xml:space="preserve">Company fiscal quarter</t>
  </si>
  <si>
    <t xml:space="preserve">Fiscal period end</t>
  </si>
  <si>
    <t xml:space="preserve">Offset vs calendar</t>
  </si>
  <si>
    <t xml:space="preserve">Notes</t>
  </si>
  <si>
    <t xml:space="preserve">2023-11-30</t>
  </si>
  <si>
    <t xml:space="preserve">FQ2 FY24</t>
  </si>
  <si>
    <t xml:space="preserve">-1 month (fiscal quarter ends one month before Dec-23)</t>
  </si>
  <si>
    <t xml:space="preserve">opening-balance column</t>
  </si>
  <si>
    <t xml:space="preserve">2024-02-29</t>
  </si>
  <si>
    <t xml:space="preserve">FQ3 FY24</t>
  </si>
  <si>
    <t xml:space="preserve">-1 month (fiscal quarter ends one month before Mar-24)</t>
  </si>
  <si>
    <t xml:space="preserve">2024-05-31</t>
  </si>
  <si>
    <t xml:space="preserve">FQ4 FY24</t>
  </si>
  <si>
    <t xml:space="preserve">-1 month (fiscal quarter ends one month before Jun-24)</t>
  </si>
  <si>
    <t xml:space="preserve">2024-08-31</t>
  </si>
  <si>
    <t xml:space="preserve">FQ1 FY25</t>
  </si>
  <si>
    <t xml:space="preserve">-1 month (fiscal quarter ends one month before Sep-24)</t>
  </si>
  <si>
    <t xml:space="preserve">2024-11-30</t>
  </si>
  <si>
    <t xml:space="preserve">FQ2 FY25</t>
  </si>
  <si>
    <t xml:space="preserve">-1 month (fiscal quarter ends one month before Dec-24)</t>
  </si>
  <si>
    <t xml:space="preserve">2025-02-28</t>
  </si>
  <si>
    <t xml:space="preserve">FQ3 FY25</t>
  </si>
  <si>
    <t xml:space="preserve">-1 month (fiscal quarter ends one month before Mar-25)</t>
  </si>
  <si>
    <t xml:space="preserve">2025-05-31</t>
  </si>
  <si>
    <t xml:space="preserve">FQ4 FY25</t>
  </si>
  <si>
    <t xml:space="preserve">-1 month (fiscal quarter ends one month before Jun-25)</t>
  </si>
  <si>
    <t xml:space="preserve">2025-08-31</t>
  </si>
  <si>
    <t xml:space="preserve">FQ1 FY26</t>
  </si>
  <si>
    <t xml:space="preserve">-1 month (fiscal quarter ends one month before Sep-25)</t>
  </si>
  <si>
    <t xml:space="preserve">2025-11-30</t>
  </si>
  <si>
    <t xml:space="preserve">FQ2 FY26</t>
  </si>
  <si>
    <t xml:space="preserve">-1 month (fiscal quarter ends one month before Dec-25)</t>
  </si>
  <si>
    <t xml:space="preserve">2026-02-28</t>
  </si>
  <si>
    <t xml:space="preserve">FQ3 FY26</t>
  </si>
  <si>
    <t xml:space="preserve">-1 month (fiscal quarter ends one month before Mar-26)</t>
  </si>
  <si>
    <t xml:space="preserve">2026-05-31</t>
  </si>
  <si>
    <t xml:space="preserve">FQ4 FY26</t>
  </si>
  <si>
    <t xml:space="preserve">-1 month (fiscal quarter ends one month before Jun-26)</t>
  </si>
  <si>
    <t xml:space="preserve">2026-08-31</t>
  </si>
  <si>
    <t xml:space="preserve">FQ1 FY27</t>
  </si>
  <si>
    <t xml:space="preserve">-1 month (fiscal quarter ends one month before Sep-26)</t>
  </si>
  <si>
    <t xml:space="preserve">EXTRA column: latest filed quarter (FQ1 FY27)</t>
  </si>
  <si>
    <t xml:space="preserve">Type</t>
  </si>
  <si>
    <t xml:space="preserve">Note / gap</t>
  </si>
  <si>
    <t xml:space="preserve">Impact</t>
  </si>
  <si>
    <t xml:space="preserve">Possible fix</t>
  </si>
  <si>
    <t xml:space="preserve">Gap</t>
  </si>
  <si>
    <t xml:space="preserve">OCI is not a segment: no OCI capex, D&amp;A, PP&amp;E, EBITDA, cost of revenue, or customer data. All OCI-perimeter capex/MW figures are allocation ESTIMATES.</t>
  </si>
  <si>
    <t xml:space="preserve">K05, K10, K13, K43, M06 Estimated; K44/K45 n/d.</t>
  </si>
  <si>
    <t xml:space="preserve">Oracle analyst-day disclosures; NVIDIA/AMD allocation data.</t>
  </si>
  <si>
    <t xml:space="preserve">No installed MW or GPU fleet count - only MW delivered per quarter (calls, partly lower bounds/approximations) and '&gt;300k GPUs' for FQ1 FY27.</t>
  </si>
  <si>
    <t xml:space="preserve">Revenue/MW, revenue/GPU, implied utilization n/d. K43 relies on call datapoints.</t>
  </si>
  <si>
    <t xml:space="preserve">Site-level (Abilene 1.2GW, Stargate sites) press + partner filings (Crusoe, Blue Owl, Vantage).</t>
  </si>
  <si>
    <t xml:space="preserve">Debt tables only annual (10-K); quarterly via carrying balances.</t>
  </si>
  <si>
    <t xml:space="preserve">K28-K35 annual snapshots.</t>
  </si>
  <si>
    <t xml:space="preserve">RPO is company-wide; no OCI split, no customer concentration. OpenAI ~$300B is media-reported only.</t>
  </si>
  <si>
    <t xml:space="preserve">Backlog concentration n/d.</t>
  </si>
  <si>
    <t xml:space="preserve">List prices only Aug-Oct 2026.</t>
  </si>
  <si>
    <t xml:space="preserve">K08/K09 n/d historically.</t>
  </si>
  <si>
    <t xml:space="preserve">Wayback snapshots of oracle.com/cloud/price-list.</t>
  </si>
  <si>
    <t xml:space="preserve">Caveat</t>
  </si>
  <si>
    <t xml:space="preserve">Calendar mapping: Oracle quarters end 1 month before calendar quarters (Q2'26 column = Mar-May 2026).</t>
  </si>
  <si>
    <t xml:space="preserve">Comparisons vs CRWV/IREN/Nebius Q2'26 are 1 month earlier.</t>
  </si>
  <si>
    <t xml:space="preserve">FQ3/FQ4 FY24 OCI revenue derived from FY25 growth rates (rounding +/-0.5%).</t>
  </si>
  <si>
    <t xml:space="preserve">Note</t>
  </si>
  <si>
    <t xml:space="preserve">Contract announcements (sourced): FQ3 FY25 PR - multi-billion contracts with OpenAI, xAI, Meta, NVIDIA, AMD; Stargate first contract expected (Mar-25); FQ1 FY26 PR - four multi-billion contracts with three customers, RPO +$317B; FQ2 FY26 - Meta and others (RPO +$68B); Abilene 618MW (75%) delivered by Aug-26 incl. 131k GPUs in FQ1 FY27.</t>
  </si>
  <si>
    <t xml:space="preserve">Off-balance-sheet: $288B not-yet-commenced DC lease commitments (Aug-26) + $19B unconditional purchase commitments for cloud infrastructure assets entered after May-26 (10-K FY26).</t>
  </si>
  <si>
    <t xml:space="preserve">Economic leverage far above $125B borrowings.</t>
  </si>
  <si>
    <t xml:space="preserve">FQ1 FY27: capex $28.5B in one quarter; ~$19.9B ATM equity raised; OCI $7.4B (+121%); FY27 revenue guide &gt;= $90B (call).</t>
  </si>
  <si>
    <t xml:space="preserve">Per-peer stub. The multi-peer Comparison tab (Nebius, CoreWeave, IREN, Oracle OCI) lives in /workspace/nebius/peers/comparison.xlsx (built by peers/build_comparison.py from each peer workbook's KPIs tab).</t>
  </si>
  <si>
    <t xml:space="preserve">Oracle OCI (ORCL) - Cloud Infrastructure perimeter Q1'26</t>
  </si>
  <si>
    <t xml:space="preserve">Oracle OCI (ORCL) - Cloud Infrastructure perimeter Q2'26</t>
  </si>
  <si>
    <t xml:space="preserve">Oracle OCI (ORCL) - Cloud Infrastructure perimeter Q3'26†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</si>
</sst>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C65911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color rgb="FF000000"/>
      <name val="Cambria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0"/>
  </cols>
  <sheetData>
    <row r="1" customFormat="false" ht="28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41.75" hidden="false" customHeight="false" outlineLevel="0" collapsed="false">
      <c r="A3" s="1" t="s">
        <v>2</v>
      </c>
    </row>
    <row r="4" customFormat="false" ht="41.7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16" min="5" style="0" width="10"/>
    <col collapsed="false" customWidth="true" hidden="false" outlineLevel="0" max="17" min="17" style="0" width="90"/>
  </cols>
  <sheetData>
    <row r="1" customFormat="false" ht="15" hidden="false" customHeight="false" outlineLevel="0" collapsed="false">
      <c r="A1" s="2" t="s">
        <v>7</v>
      </c>
    </row>
    <row r="2" customFormat="false" ht="15" hidden="false" customHeight="false" outlineLevel="0" collapsed="false"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</row>
    <row r="4" customFormat="false" ht="15" hidden="false" customHeight="false" outlineLevel="0" collapsed="false">
      <c r="A4" s="5" t="s">
        <v>37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customFormat="false" ht="15" hidden="false" customHeight="false" outlineLevel="0" collapsed="false">
      <c r="A5" s="0" t="s">
        <v>38</v>
      </c>
      <c r="B5" s="0" t="s">
        <v>39</v>
      </c>
      <c r="C5" s="0" t="s">
        <v>40</v>
      </c>
      <c r="D5" s="0" t="s">
        <v>41</v>
      </c>
      <c r="E5" s="7" t="s">
        <v>42</v>
      </c>
      <c r="F5" s="7" t="s">
        <v>42</v>
      </c>
      <c r="G5" s="7" t="s">
        <v>42</v>
      </c>
      <c r="H5" s="7" t="s">
        <v>42</v>
      </c>
      <c r="I5" s="7" t="s">
        <v>42</v>
      </c>
      <c r="J5" s="7" t="s">
        <v>42</v>
      </c>
      <c r="K5" s="7" t="s">
        <v>42</v>
      </c>
      <c r="L5" s="7" t="s">
        <v>42</v>
      </c>
      <c r="M5" s="7" t="s">
        <v>42</v>
      </c>
      <c r="N5" s="7" t="s">
        <v>42</v>
      </c>
      <c r="O5" s="7" t="s">
        <v>42</v>
      </c>
      <c r="P5" s="7" t="s">
        <v>42</v>
      </c>
      <c r="Q5" s="1" t="s">
        <v>43</v>
      </c>
    </row>
    <row r="6" customFormat="false" ht="15" hidden="false" customHeight="false" outlineLevel="0" collapsed="false">
      <c r="B6" s="3" t="s">
        <v>44</v>
      </c>
      <c r="E6" s="3" t="s">
        <v>42</v>
      </c>
      <c r="F6" s="3" t="s">
        <v>42</v>
      </c>
      <c r="G6" s="3" t="s">
        <v>42</v>
      </c>
      <c r="H6" s="3" t="s">
        <v>42</v>
      </c>
      <c r="I6" s="3" t="s">
        <v>42</v>
      </c>
      <c r="J6" s="3" t="s">
        <v>42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40</v>
      </c>
      <c r="D7" s="0" t="s">
        <v>41</v>
      </c>
      <c r="E7" s="7" t="s">
        <v>42</v>
      </c>
      <c r="F7" s="7" t="s">
        <v>42</v>
      </c>
      <c r="G7" s="7" t="s">
        <v>42</v>
      </c>
      <c r="H7" s="7" t="s">
        <v>42</v>
      </c>
      <c r="I7" s="7" t="s">
        <v>42</v>
      </c>
      <c r="J7" s="7" t="s">
        <v>42</v>
      </c>
      <c r="K7" s="7" t="s">
        <v>42</v>
      </c>
      <c r="L7" s="7" t="s">
        <v>42</v>
      </c>
      <c r="M7" s="7" t="s">
        <v>42</v>
      </c>
      <c r="N7" s="7" t="s">
        <v>42</v>
      </c>
      <c r="O7" s="7" t="s">
        <v>42</v>
      </c>
      <c r="P7" s="7" t="s">
        <v>42</v>
      </c>
      <c r="Q7" s="1" t="s">
        <v>47</v>
      </c>
    </row>
    <row r="8" customFormat="false" ht="15" hidden="false" customHeight="false" outlineLevel="0" collapsed="false">
      <c r="B8" s="3" t="s">
        <v>44</v>
      </c>
      <c r="E8" s="3" t="s">
        <v>42</v>
      </c>
      <c r="F8" s="3" t="s">
        <v>42</v>
      </c>
      <c r="G8" s="3" t="s">
        <v>42</v>
      </c>
      <c r="H8" s="3" t="s">
        <v>42</v>
      </c>
      <c r="I8" s="3" t="s">
        <v>42</v>
      </c>
      <c r="J8" s="3" t="s">
        <v>42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s">
        <v>40</v>
      </c>
      <c r="D9" s="0" t="s">
        <v>41</v>
      </c>
      <c r="E9" s="7" t="s">
        <v>42</v>
      </c>
      <c r="F9" s="7" t="s">
        <v>42</v>
      </c>
      <c r="G9" s="7" t="s">
        <v>42</v>
      </c>
      <c r="H9" s="7" t="s">
        <v>42</v>
      </c>
      <c r="I9" s="7" t="s">
        <v>42</v>
      </c>
      <c r="J9" s="7" t="s">
        <v>42</v>
      </c>
      <c r="K9" s="7" t="s">
        <v>42</v>
      </c>
      <c r="L9" s="7" t="s">
        <v>42</v>
      </c>
      <c r="M9" s="7" t="s">
        <v>42</v>
      </c>
      <c r="N9" s="7" t="s">
        <v>42</v>
      </c>
      <c r="O9" s="7" t="s">
        <v>42</v>
      </c>
      <c r="P9" s="7" t="s">
        <v>42</v>
      </c>
      <c r="Q9" s="1" t="s">
        <v>50</v>
      </c>
    </row>
    <row r="10" customFormat="false" ht="15" hidden="false" customHeight="false" outlineLevel="0" collapsed="false">
      <c r="B10" s="3" t="s">
        <v>44</v>
      </c>
      <c r="E10" s="3" t="s">
        <v>42</v>
      </c>
      <c r="F10" s="3" t="s">
        <v>42</v>
      </c>
      <c r="G10" s="3" t="s">
        <v>42</v>
      </c>
      <c r="H10" s="3" t="s">
        <v>42</v>
      </c>
      <c r="I10" s="3" t="s">
        <v>42</v>
      </c>
      <c r="J10" s="3" t="s">
        <v>42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53</v>
      </c>
      <c r="D11" s="0" t="s">
        <v>41</v>
      </c>
      <c r="E11" s="7" t="s">
        <v>42</v>
      </c>
      <c r="F11" s="7" t="s">
        <v>42</v>
      </c>
      <c r="G11" s="7" t="s">
        <v>42</v>
      </c>
      <c r="H11" s="7" t="s">
        <v>42</v>
      </c>
      <c r="I11" s="7" t="s">
        <v>42</v>
      </c>
      <c r="J11" s="7" t="s">
        <v>42</v>
      </c>
      <c r="K11" s="7" t="s">
        <v>42</v>
      </c>
      <c r="L11" s="7" t="s">
        <v>42</v>
      </c>
      <c r="M11" s="7" t="s">
        <v>42</v>
      </c>
      <c r="N11" s="7" t="s">
        <v>42</v>
      </c>
      <c r="O11" s="7" t="s">
        <v>42</v>
      </c>
      <c r="P11" s="7" t="s">
        <v>42</v>
      </c>
      <c r="Q11" s="1" t="s">
        <v>42</v>
      </c>
    </row>
    <row r="12" customFormat="false" ht="15" hidden="false" customHeight="false" outlineLevel="0" collapsed="false">
      <c r="B12" s="3" t="s">
        <v>44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s">
        <v>40</v>
      </c>
      <c r="D13" s="0" t="s">
        <v>41</v>
      </c>
      <c r="E13" s="7" t="s">
        <v>42</v>
      </c>
      <c r="F13" s="7" t="s">
        <v>42</v>
      </c>
      <c r="G13" s="7" t="s">
        <v>42</v>
      </c>
      <c r="H13" s="7" t="s">
        <v>42</v>
      </c>
      <c r="I13" s="7" t="s">
        <v>42</v>
      </c>
      <c r="J13" s="7" t="s">
        <v>42</v>
      </c>
      <c r="K13" s="7" t="s">
        <v>42</v>
      </c>
      <c r="L13" s="7" t="s">
        <v>42</v>
      </c>
      <c r="M13" s="7" t="s">
        <v>42</v>
      </c>
      <c r="N13" s="7" t="s">
        <v>42</v>
      </c>
      <c r="O13" s="7" t="s">
        <v>42</v>
      </c>
      <c r="P13" s="7" t="s">
        <v>42</v>
      </c>
      <c r="Q13" s="1" t="s">
        <v>56</v>
      </c>
    </row>
    <row r="14" customFormat="false" ht="15" hidden="false" customHeight="false" outlineLevel="0" collapsed="false">
      <c r="B14" s="3" t="s">
        <v>44</v>
      </c>
      <c r="E14" s="3" t="s">
        <v>42</v>
      </c>
      <c r="F14" s="3" t="s">
        <v>42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</row>
    <row r="15" customFormat="false" ht="15" hidden="false" customHeight="false" outlineLevel="0" collapsed="false">
      <c r="A15" s="5" t="s">
        <v>57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A16" s="0" t="s">
        <v>58</v>
      </c>
      <c r="B16" s="0" t="s">
        <v>59</v>
      </c>
      <c r="C16" s="0" t="s">
        <v>60</v>
      </c>
      <c r="D16" s="0" t="s">
        <v>61</v>
      </c>
      <c r="E16" s="8" t="s">
        <v>42</v>
      </c>
      <c r="F16" s="8" t="s">
        <v>42</v>
      </c>
      <c r="G16" s="8" t="s">
        <v>42</v>
      </c>
      <c r="H16" s="8" t="s">
        <v>42</v>
      </c>
      <c r="I16" s="8" t="s">
        <v>42</v>
      </c>
      <c r="J16" s="8" t="s">
        <v>42</v>
      </c>
      <c r="K16" s="8" t="s">
        <v>42</v>
      </c>
      <c r="L16" s="8" t="s">
        <v>42</v>
      </c>
      <c r="M16" s="8" t="s">
        <v>42</v>
      </c>
      <c r="N16" s="8" t="s">
        <v>42</v>
      </c>
      <c r="O16" s="8" t="s">
        <v>42</v>
      </c>
      <c r="P16" s="8" t="s">
        <v>42</v>
      </c>
      <c r="Q16" s="1" t="s">
        <v>62</v>
      </c>
    </row>
    <row r="17" customFormat="false" ht="15" hidden="false" customHeight="false" outlineLevel="0" collapsed="false">
      <c r="B17" s="3" t="s">
        <v>44</v>
      </c>
      <c r="E17" s="3" t="s">
        <v>42</v>
      </c>
      <c r="F17" s="3" t="s">
        <v>42</v>
      </c>
      <c r="G17" s="3" t="s">
        <v>42</v>
      </c>
      <c r="H17" s="3" t="s">
        <v>42</v>
      </c>
      <c r="I17" s="3" t="s">
        <v>42</v>
      </c>
      <c r="J17" s="3" t="s">
        <v>42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</row>
    <row r="18" customFormat="false" ht="15" hidden="false" customHeight="false" outlineLevel="0" collapsed="false">
      <c r="A18" s="0" t="s">
        <v>63</v>
      </c>
      <c r="B18" s="0" t="s">
        <v>64</v>
      </c>
      <c r="C18" s="0" t="s">
        <v>65</v>
      </c>
      <c r="D18" s="0" t="s">
        <v>61</v>
      </c>
      <c r="E18" s="7" t="s">
        <v>42</v>
      </c>
      <c r="F18" s="7" t="s">
        <v>42</v>
      </c>
      <c r="G18" s="7" t="s">
        <v>42</v>
      </c>
      <c r="H18" s="7" t="s">
        <v>42</v>
      </c>
      <c r="I18" s="7" t="s">
        <v>42</v>
      </c>
      <c r="J18" s="7" t="s">
        <v>42</v>
      </c>
      <c r="K18" s="7" t="s">
        <v>42</v>
      </c>
      <c r="L18" s="7" t="s">
        <v>42</v>
      </c>
      <c r="M18" s="7" t="s">
        <v>42</v>
      </c>
      <c r="N18" s="7" t="s">
        <v>42</v>
      </c>
      <c r="O18" s="7" t="s">
        <v>42</v>
      </c>
      <c r="P18" s="7" t="s">
        <v>42</v>
      </c>
      <c r="Q18" s="1" t="s">
        <v>42</v>
      </c>
    </row>
    <row r="19" customFormat="false" ht="15" hidden="false" customHeight="false" outlineLevel="0" collapsed="false">
      <c r="B19" s="3" t="s">
        <v>44</v>
      </c>
      <c r="E19" s="3" t="s">
        <v>42</v>
      </c>
      <c r="F19" s="3" t="s">
        <v>42</v>
      </c>
      <c r="G19" s="3" t="s">
        <v>42</v>
      </c>
      <c r="H19" s="3" t="s">
        <v>42</v>
      </c>
      <c r="I19" s="3" t="s">
        <v>42</v>
      </c>
      <c r="J19" s="3" t="s">
        <v>42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</row>
    <row r="20" customFormat="false" ht="28.35" hidden="false" customHeight="false" outlineLevel="0" collapsed="false">
      <c r="A20" s="0" t="s">
        <v>66</v>
      </c>
      <c r="B20" s="0" t="s">
        <v>67</v>
      </c>
      <c r="C20" s="0" t="s">
        <v>65</v>
      </c>
      <c r="D20" s="0" t="s">
        <v>68</v>
      </c>
      <c r="E20" s="7" t="s">
        <v>42</v>
      </c>
      <c r="F20" s="7" t="s">
        <v>42</v>
      </c>
      <c r="G20" s="7" t="s">
        <v>42</v>
      </c>
      <c r="H20" s="7" t="s">
        <v>42</v>
      </c>
      <c r="I20" s="7" t="s">
        <v>42</v>
      </c>
      <c r="J20" s="7" t="s">
        <v>42</v>
      </c>
      <c r="K20" s="7" t="s">
        <v>42</v>
      </c>
      <c r="L20" s="7" t="s">
        <v>42</v>
      </c>
      <c r="M20" s="7" t="s">
        <v>42</v>
      </c>
      <c r="N20" s="7" t="s">
        <v>42</v>
      </c>
      <c r="O20" s="7" t="s">
        <v>42</v>
      </c>
      <c r="P20" s="7" t="s">
        <v>42</v>
      </c>
      <c r="Q20" s="1" t="s">
        <v>69</v>
      </c>
    </row>
    <row r="21" customFormat="false" ht="15" hidden="false" customHeight="false" outlineLevel="0" collapsed="false">
      <c r="B21" s="3" t="s">
        <v>44</v>
      </c>
      <c r="E21" s="3" t="s">
        <v>42</v>
      </c>
      <c r="F21" s="3" t="s">
        <v>42</v>
      </c>
      <c r="G21" s="3" t="s">
        <v>42</v>
      </c>
      <c r="H21" s="3" t="s">
        <v>42</v>
      </c>
      <c r="I21" s="3" t="s">
        <v>42</v>
      </c>
      <c r="J21" s="3" t="s">
        <v>42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</row>
    <row r="22" customFormat="false" ht="15" hidden="false" customHeight="false" outlineLevel="0" collapsed="false">
      <c r="A22" s="0" t="s">
        <v>70</v>
      </c>
      <c r="B22" s="0" t="s">
        <v>71</v>
      </c>
      <c r="C22" s="0" t="s">
        <v>72</v>
      </c>
      <c r="D22" s="0" t="s">
        <v>68</v>
      </c>
      <c r="E22" s="8" t="s">
        <v>42</v>
      </c>
      <c r="F22" s="8" t="s">
        <v>42</v>
      </c>
      <c r="G22" s="8" t="s">
        <v>42</v>
      </c>
      <c r="H22" s="8" t="s">
        <v>42</v>
      </c>
      <c r="I22" s="8" t="s">
        <v>42</v>
      </c>
      <c r="J22" s="8" t="s">
        <v>42</v>
      </c>
      <c r="K22" s="8" t="s">
        <v>42</v>
      </c>
      <c r="L22" s="8" t="s">
        <v>42</v>
      </c>
      <c r="M22" s="8" t="s">
        <v>42</v>
      </c>
      <c r="N22" s="8" t="s">
        <v>42</v>
      </c>
      <c r="O22" s="8" t="s">
        <v>42</v>
      </c>
      <c r="P22" s="8" t="s">
        <v>42</v>
      </c>
      <c r="Q22" s="1" t="s">
        <v>73</v>
      </c>
    </row>
    <row r="23" customFormat="false" ht="15" hidden="false" customHeight="false" outlineLevel="0" collapsed="false">
      <c r="B23" s="3" t="s">
        <v>44</v>
      </c>
      <c r="E23" s="3" t="s">
        <v>42</v>
      </c>
      <c r="F23" s="3" t="s">
        <v>42</v>
      </c>
      <c r="G23" s="3" t="s">
        <v>42</v>
      </c>
      <c r="H23" s="3" t="s">
        <v>42</v>
      </c>
      <c r="I23" s="3" t="s">
        <v>42</v>
      </c>
      <c r="J23" s="3" t="s">
        <v>42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</row>
    <row r="24" customFormat="false" ht="15" hidden="false" customHeight="false" outlineLevel="0" collapsed="false">
      <c r="A24" s="5" t="s">
        <v>74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41.75" hidden="false" customHeight="false" outlineLevel="0" collapsed="false">
      <c r="A25" s="0" t="s">
        <v>75</v>
      </c>
      <c r="B25" s="0" t="s">
        <v>76</v>
      </c>
      <c r="C25" s="0" t="s">
        <v>77</v>
      </c>
      <c r="D25" s="0" t="s">
        <v>78</v>
      </c>
      <c r="E25" s="8" t="s">
        <v>42</v>
      </c>
      <c r="F25" s="8" t="s">
        <v>42</v>
      </c>
      <c r="G25" s="8" t="s">
        <v>42</v>
      </c>
      <c r="H25" s="8" t="s">
        <v>42</v>
      </c>
      <c r="I25" s="8" t="s">
        <v>42</v>
      </c>
      <c r="J25" s="8" t="s">
        <v>42</v>
      </c>
      <c r="K25" s="8" t="s">
        <v>42</v>
      </c>
      <c r="L25" s="9" t="n">
        <f aca="false">IFERROR(Inputs!L46/Inputs!L13,"n/d")</f>
        <v>77.2909090909091</v>
      </c>
      <c r="M25" s="9" t="n">
        <f aca="false">IFERROR(Inputs!M46/Inputs!M13,"n/d")</f>
        <v>30.0825</v>
      </c>
      <c r="N25" s="9" t="n">
        <f aca="false">IFERROR(Inputs!N46/Inputs!N13,"n/d")</f>
        <v>46.5875</v>
      </c>
      <c r="O25" s="9" t="n">
        <f aca="false">IFERROR(Inputs!O46/Inputs!O13,"n/d")</f>
        <v>56.8724137931035</v>
      </c>
      <c r="P25" s="9" t="n">
        <f aca="false">IFERROR(Inputs!P46/Inputs!P13,"n/d")</f>
        <v>33.5282352941177</v>
      </c>
      <c r="Q25" s="1" t="s">
        <v>79</v>
      </c>
    </row>
    <row r="26" customFormat="false" ht="15" hidden="false" customHeight="false" outlineLevel="0" collapsed="false">
      <c r="B26" s="3" t="s">
        <v>44</v>
      </c>
      <c r="E26" s="3" t="s">
        <v>42</v>
      </c>
      <c r="F26" s="3" t="s">
        <v>42</v>
      </c>
      <c r="G26" s="3" t="s">
        <v>42</v>
      </c>
      <c r="H26" s="3" t="s">
        <v>42</v>
      </c>
      <c r="I26" s="3" t="s">
        <v>42</v>
      </c>
      <c r="J26" s="3" t="s">
        <v>42</v>
      </c>
      <c r="K26" s="3" t="s">
        <v>42</v>
      </c>
      <c r="L26" s="3" t="s">
        <v>80</v>
      </c>
      <c r="M26" s="3" t="s">
        <v>80</v>
      </c>
      <c r="N26" s="3" t="s">
        <v>80</v>
      </c>
      <c r="O26" s="3" t="s">
        <v>80</v>
      </c>
      <c r="P26" s="3" t="s">
        <v>80</v>
      </c>
    </row>
    <row r="27" customFormat="false" ht="15" hidden="false" customHeight="false" outlineLevel="0" collapsed="false">
      <c r="A27" s="0" t="s">
        <v>81</v>
      </c>
      <c r="B27" s="0" t="s">
        <v>82</v>
      </c>
      <c r="C27" s="0" t="s">
        <v>77</v>
      </c>
      <c r="D27" s="0" t="s">
        <v>78</v>
      </c>
      <c r="E27" s="8" t="s">
        <v>42</v>
      </c>
      <c r="F27" s="8" t="s">
        <v>42</v>
      </c>
      <c r="G27" s="8" t="s">
        <v>42</v>
      </c>
      <c r="H27" s="8" t="s">
        <v>42</v>
      </c>
      <c r="I27" s="8" t="s">
        <v>42</v>
      </c>
      <c r="J27" s="8" t="s">
        <v>42</v>
      </c>
      <c r="K27" s="8" t="s">
        <v>42</v>
      </c>
      <c r="L27" s="8" t="s">
        <v>42</v>
      </c>
      <c r="M27" s="8" t="s">
        <v>42</v>
      </c>
      <c r="N27" s="8" t="s">
        <v>42</v>
      </c>
      <c r="O27" s="8" t="s">
        <v>42</v>
      </c>
      <c r="P27" s="8" t="s">
        <v>42</v>
      </c>
      <c r="Q27" s="1"/>
    </row>
    <row r="28" customFormat="false" ht="15" hidden="false" customHeight="false" outlineLevel="0" collapsed="false">
      <c r="B28" s="3" t="s">
        <v>44</v>
      </c>
      <c r="E28" s="3" t="s">
        <v>42</v>
      </c>
      <c r="F28" s="3" t="s">
        <v>42</v>
      </c>
      <c r="G28" s="3" t="s">
        <v>42</v>
      </c>
      <c r="H28" s="3" t="s">
        <v>42</v>
      </c>
      <c r="I28" s="3" t="s">
        <v>42</v>
      </c>
      <c r="J28" s="3" t="s">
        <v>42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</row>
    <row r="29" customFormat="false" ht="15" hidden="false" customHeight="false" outlineLevel="0" collapsed="false">
      <c r="A29" s="0" t="s">
        <v>83</v>
      </c>
      <c r="B29" s="0" t="s">
        <v>84</v>
      </c>
      <c r="C29" s="0" t="s">
        <v>77</v>
      </c>
      <c r="D29" s="0" t="s">
        <v>78</v>
      </c>
      <c r="E29" s="8" t="s">
        <v>42</v>
      </c>
      <c r="F29" s="8" t="s">
        <v>42</v>
      </c>
      <c r="G29" s="8" t="s">
        <v>42</v>
      </c>
      <c r="H29" s="8" t="s">
        <v>42</v>
      </c>
      <c r="I29" s="8" t="s">
        <v>42</v>
      </c>
      <c r="J29" s="8" t="s">
        <v>42</v>
      </c>
      <c r="K29" s="8" t="s">
        <v>42</v>
      </c>
      <c r="L29" s="8" t="s">
        <v>42</v>
      </c>
      <c r="M29" s="8" t="s">
        <v>42</v>
      </c>
      <c r="N29" s="8" t="s">
        <v>42</v>
      </c>
      <c r="O29" s="8" t="s">
        <v>42</v>
      </c>
      <c r="P29" s="8" t="s">
        <v>42</v>
      </c>
      <c r="Q29" s="1" t="s">
        <v>85</v>
      </c>
    </row>
    <row r="30" customFormat="false" ht="15" hidden="false" customHeight="false" outlineLevel="0" collapsed="false">
      <c r="B30" s="3" t="s">
        <v>44</v>
      </c>
      <c r="E30" s="3" t="s">
        <v>42</v>
      </c>
      <c r="F30" s="3" t="s">
        <v>42</v>
      </c>
      <c r="G30" s="3" t="s">
        <v>42</v>
      </c>
      <c r="H30" s="3" t="s">
        <v>42</v>
      </c>
      <c r="I30" s="3" t="s">
        <v>42</v>
      </c>
      <c r="J30" s="3" t="s">
        <v>42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</row>
    <row r="31" customFormat="false" ht="28.35" hidden="false" customHeight="false" outlineLevel="0" collapsed="false">
      <c r="A31" s="0" t="s">
        <v>86</v>
      </c>
      <c r="B31" s="0" t="s">
        <v>87</v>
      </c>
      <c r="C31" s="0" t="s">
        <v>77</v>
      </c>
      <c r="D31" s="0" t="s">
        <v>78</v>
      </c>
      <c r="E31" s="8" t="s">
        <v>42</v>
      </c>
      <c r="F31" s="8" t="s">
        <v>42</v>
      </c>
      <c r="G31" s="8" t="s">
        <v>42</v>
      </c>
      <c r="H31" s="8" t="s">
        <v>42</v>
      </c>
      <c r="I31" s="8" t="s">
        <v>42</v>
      </c>
      <c r="J31" s="8" t="s">
        <v>42</v>
      </c>
      <c r="K31" s="8" t="s">
        <v>42</v>
      </c>
      <c r="L31" s="8" t="s">
        <v>42</v>
      </c>
      <c r="M31" s="8" t="s">
        <v>42</v>
      </c>
      <c r="N31" s="8" t="s">
        <v>42</v>
      </c>
      <c r="O31" s="9" t="n">
        <f aca="false">IFERROR(SUM(Inputs!L46:O46)/Inputs!O47,"n/d")</f>
        <v>46.3858333333333</v>
      </c>
      <c r="P31" s="9" t="n">
        <f aca="false">IFERROR(SUM(Inputs!M46:P46)/Inputs!P47,"n/d")</f>
        <v>39</v>
      </c>
      <c r="Q31" s="1" t="s">
        <v>88</v>
      </c>
    </row>
    <row r="32" customFormat="false" ht="15" hidden="false" customHeight="false" outlineLevel="0" collapsed="false">
      <c r="B32" s="3" t="s">
        <v>44</v>
      </c>
      <c r="E32" s="3" t="s">
        <v>42</v>
      </c>
      <c r="F32" s="3" t="s">
        <v>42</v>
      </c>
      <c r="G32" s="3" t="s">
        <v>42</v>
      </c>
      <c r="H32" s="3" t="s">
        <v>42</v>
      </c>
      <c r="I32" s="3" t="s">
        <v>42</v>
      </c>
      <c r="J32" s="3" t="s">
        <v>42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80</v>
      </c>
      <c r="P32" s="3" t="s">
        <v>80</v>
      </c>
    </row>
    <row r="33" customFormat="false" ht="15" hidden="false" customHeight="false" outlineLevel="0" collapsed="false">
      <c r="A33" s="0" t="s">
        <v>89</v>
      </c>
      <c r="B33" s="0" t="s">
        <v>90</v>
      </c>
      <c r="C33" s="0" t="s">
        <v>77</v>
      </c>
      <c r="D33" s="0" t="s">
        <v>78</v>
      </c>
      <c r="E33" s="8" t="s">
        <v>42</v>
      </c>
      <c r="F33" s="8" t="s">
        <v>42</v>
      </c>
      <c r="G33" s="8" t="s">
        <v>42</v>
      </c>
      <c r="H33" s="8" t="s">
        <v>42</v>
      </c>
      <c r="I33" s="8" t="s">
        <v>42</v>
      </c>
      <c r="J33" s="8" t="s">
        <v>42</v>
      </c>
      <c r="K33" s="8" t="s">
        <v>42</v>
      </c>
      <c r="L33" s="8" t="s">
        <v>42</v>
      </c>
      <c r="M33" s="8" t="s">
        <v>42</v>
      </c>
      <c r="N33" s="8" t="s">
        <v>42</v>
      </c>
      <c r="O33" s="8" t="s">
        <v>42</v>
      </c>
      <c r="P33" s="8" t="s">
        <v>42</v>
      </c>
      <c r="Q33" s="1" t="s">
        <v>47</v>
      </c>
    </row>
    <row r="34" customFormat="false" ht="15" hidden="false" customHeight="false" outlineLevel="0" collapsed="false">
      <c r="B34" s="3" t="s">
        <v>44</v>
      </c>
      <c r="E34" s="3" t="s">
        <v>42</v>
      </c>
      <c r="F34" s="3" t="s">
        <v>42</v>
      </c>
      <c r="G34" s="3" t="s">
        <v>42</v>
      </c>
      <c r="H34" s="3" t="s">
        <v>42</v>
      </c>
      <c r="I34" s="3" t="s">
        <v>42</v>
      </c>
      <c r="J34" s="3" t="s">
        <v>42</v>
      </c>
      <c r="K34" s="3" t="s">
        <v>42</v>
      </c>
      <c r="L34" s="3" t="s">
        <v>42</v>
      </c>
      <c r="M34" s="3" t="s">
        <v>42</v>
      </c>
      <c r="N34" s="3" t="s">
        <v>42</v>
      </c>
      <c r="O34" s="3" t="s">
        <v>42</v>
      </c>
      <c r="P34" s="3" t="s">
        <v>42</v>
      </c>
    </row>
    <row r="35" customFormat="false" ht="15" hidden="false" customHeight="false" outlineLevel="0" collapsed="false">
      <c r="A35" s="0" t="s">
        <v>91</v>
      </c>
      <c r="B35" s="0" t="s">
        <v>92</v>
      </c>
      <c r="C35" s="0" t="s">
        <v>77</v>
      </c>
      <c r="D35" s="0" t="s">
        <v>78</v>
      </c>
      <c r="E35" s="8" t="s">
        <v>42</v>
      </c>
      <c r="F35" s="8" t="s">
        <v>42</v>
      </c>
      <c r="G35" s="8" t="s">
        <v>42</v>
      </c>
      <c r="H35" s="8" t="s">
        <v>42</v>
      </c>
      <c r="I35" s="8" t="s">
        <v>42</v>
      </c>
      <c r="J35" s="8" t="s">
        <v>42</v>
      </c>
      <c r="K35" s="8" t="s">
        <v>42</v>
      </c>
      <c r="L35" s="8" t="s">
        <v>42</v>
      </c>
      <c r="M35" s="8" t="s">
        <v>42</v>
      </c>
      <c r="N35" s="8" t="s">
        <v>42</v>
      </c>
      <c r="O35" s="8" t="s">
        <v>42</v>
      </c>
      <c r="P35" s="8" t="s">
        <v>42</v>
      </c>
      <c r="Q35" s="1" t="s">
        <v>47</v>
      </c>
    </row>
    <row r="36" customFormat="false" ht="15" hidden="false" customHeight="false" outlineLevel="0" collapsed="false">
      <c r="B36" s="3" t="s">
        <v>44</v>
      </c>
      <c r="E36" s="3" t="s">
        <v>42</v>
      </c>
      <c r="F36" s="3" t="s">
        <v>42</v>
      </c>
      <c r="G36" s="3" t="s">
        <v>42</v>
      </c>
      <c r="H36" s="3" t="s">
        <v>42</v>
      </c>
      <c r="I36" s="3" t="s">
        <v>42</v>
      </c>
      <c r="J36" s="3" t="s">
        <v>42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</row>
    <row r="37" customFormat="false" ht="15" hidden="false" customHeight="false" outlineLevel="0" collapsed="false">
      <c r="A37" s="5" t="s">
        <v>93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28.35" hidden="false" customHeight="false" outlineLevel="0" collapsed="false">
      <c r="A38" s="0" t="s">
        <v>94</v>
      </c>
      <c r="B38" s="0" t="s">
        <v>95</v>
      </c>
      <c r="C38" s="0" t="s">
        <v>96</v>
      </c>
      <c r="D38" s="0" t="s">
        <v>97</v>
      </c>
      <c r="E38" s="10" t="s">
        <v>42</v>
      </c>
      <c r="F38" s="11" t="n">
        <f aca="false">IFERROR(Inputs!F32,"n/d")</f>
        <v>5</v>
      </c>
      <c r="G38" s="11" t="n">
        <f aca="false">IFERROR(Inputs!G32,"n/d")</f>
        <v>5</v>
      </c>
      <c r="H38" s="11" t="n">
        <f aca="false">IFERROR(Inputs!H32,"n/d")</f>
        <v>6</v>
      </c>
      <c r="I38" s="11" t="n">
        <f aca="false">IFERROR(Inputs!I32,"n/d")</f>
        <v>6</v>
      </c>
      <c r="J38" s="11" t="n">
        <f aca="false">IFERROR(Inputs!J32,"n/d")</f>
        <v>6</v>
      </c>
      <c r="K38" s="11" t="n">
        <f aca="false">IFERROR(Inputs!K32,"n/d")</f>
        <v>6</v>
      </c>
      <c r="L38" s="11" t="n">
        <f aca="false">IFERROR(Inputs!L32,"n/d")</f>
        <v>6</v>
      </c>
      <c r="M38" s="11" t="n">
        <f aca="false">IFERROR(Inputs!M32,"n/d")</f>
        <v>6</v>
      </c>
      <c r="N38" s="11" t="n">
        <f aca="false">IFERROR(Inputs!N32,"n/d")</f>
        <v>6</v>
      </c>
      <c r="O38" s="11" t="n">
        <f aca="false">IFERROR(Inputs!O32,"n/d")</f>
        <v>6</v>
      </c>
      <c r="P38" s="11" t="n">
        <f aca="false">IFERROR(Inputs!P32,"n/d")</f>
        <v>6</v>
      </c>
      <c r="Q38" s="1" t="s">
        <v>98</v>
      </c>
    </row>
    <row r="39" customFormat="false" ht="15" hidden="false" customHeight="false" outlineLevel="0" collapsed="false">
      <c r="B39" s="3" t="s">
        <v>44</v>
      </c>
      <c r="E39" s="3" t="s">
        <v>42</v>
      </c>
      <c r="F39" s="3" t="s">
        <v>99</v>
      </c>
      <c r="G39" s="3" t="s">
        <v>99</v>
      </c>
      <c r="H39" s="3" t="s">
        <v>99</v>
      </c>
      <c r="I39" s="3" t="s">
        <v>99</v>
      </c>
      <c r="J39" s="3" t="s">
        <v>99</v>
      </c>
      <c r="K39" s="3" t="s">
        <v>99</v>
      </c>
      <c r="L39" s="3" t="s">
        <v>99</v>
      </c>
      <c r="M39" s="3" t="s">
        <v>99</v>
      </c>
      <c r="N39" s="3" t="s">
        <v>99</v>
      </c>
      <c r="O39" s="3" t="s">
        <v>99</v>
      </c>
      <c r="P39" s="3" t="s">
        <v>99</v>
      </c>
    </row>
    <row r="40" customFormat="false" ht="28.35" hidden="false" customHeight="false" outlineLevel="0" collapsed="false">
      <c r="A40" s="0" t="s">
        <v>100</v>
      </c>
      <c r="B40" s="0" t="s">
        <v>101</v>
      </c>
      <c r="C40" s="0" t="s">
        <v>72</v>
      </c>
      <c r="D40" s="0" t="s">
        <v>97</v>
      </c>
      <c r="E40" s="8" t="s">
        <v>42</v>
      </c>
      <c r="F40" s="8" t="s">
        <v>42</v>
      </c>
      <c r="G40" s="8" t="s">
        <v>42</v>
      </c>
      <c r="H40" s="8" t="s">
        <v>42</v>
      </c>
      <c r="I40" s="8" t="s">
        <v>42</v>
      </c>
      <c r="J40" s="8" t="s">
        <v>42</v>
      </c>
      <c r="K40" s="8" t="s">
        <v>42</v>
      </c>
      <c r="L40" s="8" t="s">
        <v>42</v>
      </c>
      <c r="M40" s="8" t="s">
        <v>42</v>
      </c>
      <c r="N40" s="8" t="s">
        <v>42</v>
      </c>
      <c r="O40" s="8" t="s">
        <v>42</v>
      </c>
      <c r="P40" s="12" t="n">
        <f aca="false">IFERROR(Inputs!P6*4/((Inputs!O49+Inputs!P49)/2)*100,"n/d")</f>
        <v>13.4492457172079</v>
      </c>
      <c r="Q40" s="1" t="s">
        <v>102</v>
      </c>
    </row>
    <row r="41" customFormat="false" ht="15" hidden="false" customHeight="false" outlineLevel="0" collapsed="false">
      <c r="B41" s="3" t="s">
        <v>44</v>
      </c>
      <c r="E41" s="3" t="s">
        <v>42</v>
      </c>
      <c r="F41" s="3" t="s">
        <v>42</v>
      </c>
      <c r="G41" s="3" t="s">
        <v>42</v>
      </c>
      <c r="H41" s="3" t="s">
        <v>42</v>
      </c>
      <c r="I41" s="3" t="s">
        <v>42</v>
      </c>
      <c r="J41" s="3" t="s">
        <v>42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103</v>
      </c>
    </row>
    <row r="42" customFormat="false" ht="15" hidden="false" customHeight="false" outlineLevel="0" collapsed="false">
      <c r="A42" s="0" t="s">
        <v>104</v>
      </c>
      <c r="B42" s="0" t="s">
        <v>105</v>
      </c>
      <c r="C42" s="0" t="s">
        <v>96</v>
      </c>
      <c r="D42" s="0" t="s">
        <v>97</v>
      </c>
      <c r="E42" s="8" t="s">
        <v>42</v>
      </c>
      <c r="F42" s="8" t="s">
        <v>42</v>
      </c>
      <c r="G42" s="8" t="s">
        <v>42</v>
      </c>
      <c r="H42" s="8" t="s">
        <v>42</v>
      </c>
      <c r="I42" s="8" t="s">
        <v>42</v>
      </c>
      <c r="J42" s="8" t="s">
        <v>42</v>
      </c>
      <c r="K42" s="8" t="s">
        <v>42</v>
      </c>
      <c r="L42" s="8" t="s">
        <v>42</v>
      </c>
      <c r="M42" s="8" t="s">
        <v>42</v>
      </c>
      <c r="N42" s="8" t="s">
        <v>42</v>
      </c>
      <c r="O42" s="8" t="s">
        <v>42</v>
      </c>
      <c r="P42" s="12" t="n">
        <f aca="false">IFERROR(100/P40,"n/d")</f>
        <v>7.43536121673004</v>
      </c>
      <c r="Q42" s="1"/>
    </row>
    <row r="43" customFormat="false" ht="15" hidden="false" customHeight="false" outlineLevel="0" collapsed="false">
      <c r="B43" s="3" t="s">
        <v>44</v>
      </c>
      <c r="E43" s="3" t="s">
        <v>42</v>
      </c>
      <c r="F43" s="3" t="s">
        <v>42</v>
      </c>
      <c r="G43" s="3" t="s">
        <v>42</v>
      </c>
      <c r="H43" s="3" t="s">
        <v>42</v>
      </c>
      <c r="I43" s="3" t="s">
        <v>42</v>
      </c>
      <c r="J43" s="3" t="s">
        <v>42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103</v>
      </c>
    </row>
    <row r="44" customFormat="false" ht="15" hidden="false" customHeight="false" outlineLevel="0" collapsed="false">
      <c r="A44" s="0" t="s">
        <v>106</v>
      </c>
      <c r="B44" s="0" t="s">
        <v>107</v>
      </c>
      <c r="C44" s="0" t="s">
        <v>72</v>
      </c>
      <c r="D44" s="0" t="s">
        <v>97</v>
      </c>
      <c r="E44" s="8" t="s">
        <v>42</v>
      </c>
      <c r="F44" s="12" t="n">
        <f aca="false">IFERROR(Inputs!F6/Inputs!F37*100,"n/d")</f>
        <v>6.08433734939759</v>
      </c>
      <c r="G44" s="12" t="n">
        <f aca="false">IFERROR(Inputs!G6/Inputs!G37*100,"n/d")</f>
        <v>5.67648911597956</v>
      </c>
      <c r="H44" s="12" t="n">
        <f aca="false">IFERROR(Inputs!H6/Inputs!H37*100,"n/d")</f>
        <v>6.0419328173142</v>
      </c>
      <c r="I44" s="12" t="n">
        <f aca="false">IFERROR(Inputs!I6/Inputs!I37*100,"n/d")</f>
        <v>6.45849633686606</v>
      </c>
      <c r="J44" s="12" t="n">
        <f aca="false">IFERROR(Inputs!J6/Inputs!J37*100,"n/d")</f>
        <v>7.09837225760793</v>
      </c>
      <c r="K44" s="12" t="n">
        <f aca="false">IFERROR(Inputs!K6/Inputs!K37*100,"n/d")</f>
        <v>7.24391624221845</v>
      </c>
      <c r="L44" s="12" t="n">
        <f aca="false">IFERROR(Inputs!L6/Inputs!L37*100,"n/d")</f>
        <v>9.05131984456653</v>
      </c>
      <c r="M44" s="12" t="n">
        <f aca="false">IFERROR(Inputs!M6/Inputs!M37*100,"n/d")</f>
        <v>10.6115331921784</v>
      </c>
      <c r="N44" s="12" t="n">
        <f aca="false">IFERROR(Inputs!N6/Inputs!N37*100,"n/d")</f>
        <v>12.5247236765561</v>
      </c>
      <c r="O44" s="12" t="n">
        <f aca="false">IFERROR(Inputs!O6/Inputs!O37*100,"n/d")</f>
        <v>12.5886155129274</v>
      </c>
      <c r="P44" s="12" t="n">
        <f aca="false">IFERROR(Inputs!P6/Inputs!P37*100,"n/d")</f>
        <v>16.314293098992</v>
      </c>
      <c r="Q44" s="1" t="s">
        <v>108</v>
      </c>
    </row>
    <row r="45" customFormat="false" ht="15" hidden="false" customHeight="false" outlineLevel="0" collapsed="false">
      <c r="B45" s="3" t="s">
        <v>44</v>
      </c>
      <c r="E45" s="3" t="s">
        <v>42</v>
      </c>
      <c r="F45" s="3" t="s">
        <v>103</v>
      </c>
      <c r="G45" s="3" t="s">
        <v>103</v>
      </c>
      <c r="H45" s="3" t="s">
        <v>103</v>
      </c>
      <c r="I45" s="3" t="s">
        <v>103</v>
      </c>
      <c r="J45" s="3" t="s">
        <v>103</v>
      </c>
      <c r="K45" s="3" t="s">
        <v>103</v>
      </c>
      <c r="L45" s="3" t="s">
        <v>103</v>
      </c>
      <c r="M45" s="3" t="s">
        <v>103</v>
      </c>
      <c r="N45" s="3" t="s">
        <v>103</v>
      </c>
      <c r="O45" s="3" t="s">
        <v>103</v>
      </c>
      <c r="P45" s="3" t="s">
        <v>103</v>
      </c>
    </row>
    <row r="46" customFormat="false" ht="15" hidden="false" customHeight="false" outlineLevel="0" collapsed="false">
      <c r="A46" s="5" t="s">
        <v>109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customFormat="false" ht="28.35" hidden="false" customHeight="false" outlineLevel="0" collapsed="false">
      <c r="A47" s="0" t="s">
        <v>110</v>
      </c>
      <c r="B47" s="0" t="s">
        <v>111</v>
      </c>
      <c r="C47" s="0" t="s">
        <v>112</v>
      </c>
      <c r="D47" s="0" t="s">
        <v>113</v>
      </c>
      <c r="E47" s="13" t="n">
        <f aca="false">IFERROR(Inputs!E18,"n/d")</f>
        <v>65.5</v>
      </c>
      <c r="F47" s="13" t="n">
        <f aca="false">IFERROR(Inputs!F18,"n/d")</f>
        <v>80.2</v>
      </c>
      <c r="G47" s="13" t="n">
        <f aca="false">IFERROR(Inputs!G18,"n/d")</f>
        <v>97.9</v>
      </c>
      <c r="H47" s="13" t="n">
        <f aca="false">IFERROR(Inputs!H18,"n/d")</f>
        <v>99.1</v>
      </c>
      <c r="I47" s="13" t="n">
        <f aca="false">IFERROR(Inputs!I18,"n/d")</f>
        <v>97.3</v>
      </c>
      <c r="J47" s="13" t="n">
        <f aca="false">IFERROR(Inputs!J18,"n/d")</f>
        <v>130.2</v>
      </c>
      <c r="K47" s="13" t="n">
        <f aca="false">IFERROR(Inputs!K18,"n/d")</f>
        <v>137.8</v>
      </c>
      <c r="L47" s="13" t="n">
        <f aca="false">IFERROR(Inputs!L18,"n/d")</f>
        <v>455.3</v>
      </c>
      <c r="M47" s="13" t="n">
        <f aca="false">IFERROR(Inputs!M18,"n/d")</f>
        <v>523.3</v>
      </c>
      <c r="N47" s="13" t="n">
        <f aca="false">IFERROR(Inputs!N18,"n/d")</f>
        <v>552.6</v>
      </c>
      <c r="O47" s="13" t="n">
        <f aca="false">IFERROR(Inputs!O18,"n/d")</f>
        <v>638</v>
      </c>
      <c r="P47" s="13" t="n">
        <f aca="false">IFERROR(Inputs!P18,"n/d")</f>
        <v>664</v>
      </c>
      <c r="Q47" s="1" t="s">
        <v>114</v>
      </c>
    </row>
    <row r="48" customFormat="false" ht="15" hidden="false" customHeight="false" outlineLevel="0" collapsed="false">
      <c r="B48" s="3" t="s">
        <v>44</v>
      </c>
      <c r="E48" s="3" t="s">
        <v>99</v>
      </c>
      <c r="F48" s="3" t="s">
        <v>99</v>
      </c>
      <c r="G48" s="3" t="s">
        <v>99</v>
      </c>
      <c r="H48" s="3" t="s">
        <v>99</v>
      </c>
      <c r="I48" s="3" t="s">
        <v>99</v>
      </c>
      <c r="J48" s="3" t="s">
        <v>99</v>
      </c>
      <c r="K48" s="3" t="s">
        <v>99</v>
      </c>
      <c r="L48" s="3" t="s">
        <v>99</v>
      </c>
      <c r="M48" s="3" t="s">
        <v>99</v>
      </c>
      <c r="N48" s="3" t="s">
        <v>99</v>
      </c>
      <c r="O48" s="3" t="s">
        <v>99</v>
      </c>
      <c r="P48" s="3" t="s">
        <v>99</v>
      </c>
    </row>
    <row r="49" customFormat="false" ht="15" hidden="false" customHeight="false" outlineLevel="0" collapsed="false">
      <c r="A49" s="0" t="s">
        <v>115</v>
      </c>
      <c r="B49" s="0" t="s">
        <v>116</v>
      </c>
      <c r="C49" s="0" t="s">
        <v>112</v>
      </c>
      <c r="D49" s="0" t="s">
        <v>113</v>
      </c>
      <c r="E49" s="8" t="s">
        <v>42</v>
      </c>
      <c r="F49" s="8" t="s">
        <v>42</v>
      </c>
      <c r="G49" s="8" t="s">
        <v>42</v>
      </c>
      <c r="H49" s="8" t="s">
        <v>42</v>
      </c>
      <c r="I49" s="8" t="s">
        <v>42</v>
      </c>
      <c r="J49" s="8" t="s">
        <v>42</v>
      </c>
      <c r="K49" s="8" t="s">
        <v>42</v>
      </c>
      <c r="L49" s="8" t="s">
        <v>42</v>
      </c>
      <c r="M49" s="8" t="s">
        <v>42</v>
      </c>
      <c r="N49" s="8" t="s">
        <v>42</v>
      </c>
      <c r="O49" s="8" t="s">
        <v>42</v>
      </c>
      <c r="P49" s="8" t="s">
        <v>42</v>
      </c>
      <c r="Q49" s="1" t="s">
        <v>117</v>
      </c>
    </row>
    <row r="50" customFormat="false" ht="15" hidden="false" customHeight="false" outlineLevel="0" collapsed="false">
      <c r="B50" s="3" t="s">
        <v>44</v>
      </c>
      <c r="E50" s="3" t="s">
        <v>42</v>
      </c>
      <c r="F50" s="3" t="s">
        <v>42</v>
      </c>
      <c r="G50" s="3" t="s">
        <v>42</v>
      </c>
      <c r="H50" s="3" t="s">
        <v>42</v>
      </c>
      <c r="I50" s="3" t="s">
        <v>42</v>
      </c>
      <c r="J50" s="3" t="s">
        <v>42</v>
      </c>
      <c r="K50" s="3" t="s">
        <v>42</v>
      </c>
      <c r="L50" s="3" t="s">
        <v>42</v>
      </c>
      <c r="M50" s="3" t="s">
        <v>42</v>
      </c>
      <c r="N50" s="3" t="s">
        <v>42</v>
      </c>
      <c r="O50" s="3" t="s">
        <v>42</v>
      </c>
      <c r="P50" s="3" t="s">
        <v>42</v>
      </c>
    </row>
    <row r="51" customFormat="false" ht="28.35" hidden="false" customHeight="false" outlineLevel="0" collapsed="false">
      <c r="A51" s="0" t="s">
        <v>118</v>
      </c>
      <c r="B51" s="0" t="s">
        <v>119</v>
      </c>
      <c r="C51" s="0" t="s">
        <v>72</v>
      </c>
      <c r="D51" s="0" t="s">
        <v>113</v>
      </c>
      <c r="E51" s="10" t="s">
        <v>42</v>
      </c>
      <c r="F51" s="14" t="n">
        <f aca="false">IFERROR(Inputs!F20,"n/d")</f>
        <v>60.5</v>
      </c>
      <c r="G51" s="14" t="n">
        <f aca="false">IFERROR(Inputs!G20,"n/d")</f>
        <v>57</v>
      </c>
      <c r="H51" s="14" t="n">
        <f aca="false">IFERROR(Inputs!H20,"n/d")</f>
        <v>57</v>
      </c>
      <c r="I51" s="14" t="n">
        <f aca="false">IFERROR(Inputs!I20,"n/d")</f>
        <v>58.5</v>
      </c>
      <c r="J51" s="14" t="n">
        <f aca="false">IFERROR(Inputs!J20,"n/d")</f>
        <v>51</v>
      </c>
      <c r="K51" s="14" t="n">
        <f aca="false">IFERROR(Inputs!K20,"n/d")</f>
        <v>53.5</v>
      </c>
      <c r="L51" s="14" t="n">
        <f aca="false">IFERROR(Inputs!L20,"n/d")</f>
        <v>22.5</v>
      </c>
      <c r="M51" s="14" t="n">
        <f aca="false">IFERROR(Inputs!M20,"n/d")</f>
        <v>25</v>
      </c>
      <c r="N51" s="14" t="n">
        <f aca="false">IFERROR(Inputs!N20,"n/d")</f>
        <v>27.5</v>
      </c>
      <c r="O51" s="14" t="n">
        <f aca="false">IFERROR(Inputs!O20,"n/d")</f>
        <v>29</v>
      </c>
      <c r="P51" s="14" t="n">
        <f aca="false">IFERROR(Inputs!P20,"n/d")</f>
        <v>31.5</v>
      </c>
      <c r="Q51" s="1" t="s">
        <v>120</v>
      </c>
    </row>
    <row r="52" customFormat="false" ht="15" hidden="false" customHeight="false" outlineLevel="0" collapsed="false">
      <c r="B52" s="3" t="s">
        <v>44</v>
      </c>
      <c r="E52" s="3" t="s">
        <v>42</v>
      </c>
      <c r="F52" s="3" t="s">
        <v>80</v>
      </c>
      <c r="G52" s="3" t="s">
        <v>80</v>
      </c>
      <c r="H52" s="3" t="s">
        <v>80</v>
      </c>
      <c r="I52" s="3" t="s">
        <v>80</v>
      </c>
      <c r="J52" s="3" t="s">
        <v>80</v>
      </c>
      <c r="K52" s="3" t="s">
        <v>80</v>
      </c>
      <c r="L52" s="3" t="s">
        <v>80</v>
      </c>
      <c r="M52" s="3" t="s">
        <v>80</v>
      </c>
      <c r="N52" s="3" t="s">
        <v>80</v>
      </c>
      <c r="O52" s="3" t="s">
        <v>80</v>
      </c>
      <c r="P52" s="3" t="s">
        <v>80</v>
      </c>
    </row>
    <row r="53" customFormat="false" ht="15" hidden="false" customHeight="false" outlineLevel="0" collapsed="false">
      <c r="A53" s="0" t="s">
        <v>121</v>
      </c>
      <c r="B53" s="0" t="s">
        <v>122</v>
      </c>
      <c r="C53" s="0" t="s">
        <v>96</v>
      </c>
      <c r="D53" s="0" t="s">
        <v>113</v>
      </c>
      <c r="E53" s="8" t="s">
        <v>42</v>
      </c>
      <c r="F53" s="12" t="n">
        <f aca="false">IFERROR(Inputs!F18*1000/(Inputs!F37*4),"n/d")</f>
        <v>1.50978915662651</v>
      </c>
      <c r="G53" s="12" t="n">
        <f aca="false">IFERROR(Inputs!G18*1000/(Inputs!G37*4),"n/d")</f>
        <v>1.71309582137608</v>
      </c>
      <c r="H53" s="12" t="n">
        <f aca="false">IFERROR(Inputs!H18*1000/(Inputs!H37*4),"n/d")</f>
        <v>1.86180205906666</v>
      </c>
      <c r="I53" s="12" t="n">
        <f aca="false">IFERROR(Inputs!I18*1000/(Inputs!I37*4),"n/d")</f>
        <v>1.73020840742585</v>
      </c>
      <c r="J53" s="12" t="n">
        <f aca="false">IFERROR(Inputs!J18*1000/(Inputs!J37*4),"n/d")</f>
        <v>2.3036093418259</v>
      </c>
      <c r="K53" s="12" t="n">
        <f aca="false">IFERROR(Inputs!K18*1000/(Inputs!K37*4),"n/d")</f>
        <v>2.16625793875369</v>
      </c>
      <c r="L53" s="12" t="n">
        <f aca="false">IFERROR(Inputs!L18*1000/(Inputs!L37*4),"n/d")</f>
        <v>7.62595470990218</v>
      </c>
      <c r="M53" s="12" t="n">
        <f aca="false">IFERROR(Inputs!M18*1000/(Inputs!M37*4),"n/d")</f>
        <v>8.14702951799726</v>
      </c>
      <c r="N53" s="12" t="n">
        <f aca="false">IFERROR(Inputs!N18*1000/(Inputs!N37*4),"n/d")</f>
        <v>8.03664921465969</v>
      </c>
      <c r="O53" s="12" t="n">
        <f aca="false">IFERROR(Inputs!O18*1000/(Inputs!O37*4),"n/d")</f>
        <v>8.31422018348624</v>
      </c>
      <c r="P53" s="12" t="n">
        <f aca="false">IFERROR(Inputs!P18*1000/(Inputs!P37*4),"n/d")</f>
        <v>8.58102868958387</v>
      </c>
      <c r="Q53" s="1" t="s">
        <v>123</v>
      </c>
    </row>
    <row r="54" customFormat="false" ht="15" hidden="false" customHeight="false" outlineLevel="0" collapsed="false">
      <c r="B54" s="3" t="s">
        <v>44</v>
      </c>
      <c r="E54" s="3" t="s">
        <v>42</v>
      </c>
      <c r="F54" s="3" t="s">
        <v>103</v>
      </c>
      <c r="G54" s="3" t="s">
        <v>103</v>
      </c>
      <c r="H54" s="3" t="s">
        <v>103</v>
      </c>
      <c r="I54" s="3" t="s">
        <v>103</v>
      </c>
      <c r="J54" s="3" t="s">
        <v>103</v>
      </c>
      <c r="K54" s="3" t="s">
        <v>103</v>
      </c>
      <c r="L54" s="3" t="s">
        <v>103</v>
      </c>
      <c r="M54" s="3" t="s">
        <v>103</v>
      </c>
      <c r="N54" s="3" t="s">
        <v>103</v>
      </c>
      <c r="O54" s="3" t="s">
        <v>103</v>
      </c>
      <c r="P54" s="3" t="s">
        <v>103</v>
      </c>
    </row>
    <row r="55" customFormat="false" ht="15" hidden="false" customHeight="false" outlineLevel="0" collapsed="false">
      <c r="A55" s="5" t="s">
        <v>124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5" hidden="false" customHeight="false" outlineLevel="0" collapsed="false">
      <c r="A56" s="0" t="s">
        <v>125</v>
      </c>
      <c r="B56" s="0" t="s">
        <v>126</v>
      </c>
      <c r="C56" s="0" t="s">
        <v>72</v>
      </c>
      <c r="D56" s="0" t="s">
        <v>127</v>
      </c>
      <c r="E56" s="10" t="s">
        <v>42</v>
      </c>
      <c r="F56" s="10" t="s">
        <v>42</v>
      </c>
      <c r="G56" s="10" t="s">
        <v>42</v>
      </c>
      <c r="H56" s="10" t="s">
        <v>42</v>
      </c>
      <c r="I56" s="10" t="s">
        <v>42</v>
      </c>
      <c r="J56" s="10" t="s">
        <v>42</v>
      </c>
      <c r="K56" s="10" t="s">
        <v>42</v>
      </c>
      <c r="L56" s="10" t="s">
        <v>42</v>
      </c>
      <c r="M56" s="10" t="s">
        <v>42</v>
      </c>
      <c r="N56" s="10" t="s">
        <v>42</v>
      </c>
      <c r="O56" s="10" t="s">
        <v>42</v>
      </c>
      <c r="P56" s="10" t="s">
        <v>42</v>
      </c>
      <c r="Q56" s="1" t="s">
        <v>128</v>
      </c>
    </row>
    <row r="57" customFormat="false" ht="15" hidden="false" customHeight="false" outlineLevel="0" collapsed="false">
      <c r="B57" s="3" t="s">
        <v>44</v>
      </c>
      <c r="E57" s="3" t="s">
        <v>42</v>
      </c>
      <c r="F57" s="3" t="s">
        <v>42</v>
      </c>
      <c r="G57" s="3" t="s">
        <v>42</v>
      </c>
      <c r="H57" s="3" t="s">
        <v>42</v>
      </c>
      <c r="I57" s="3" t="s">
        <v>42</v>
      </c>
      <c r="J57" s="3" t="s">
        <v>42</v>
      </c>
      <c r="K57" s="3" t="s">
        <v>42</v>
      </c>
      <c r="L57" s="3" t="s">
        <v>42</v>
      </c>
      <c r="M57" s="3" t="s">
        <v>42</v>
      </c>
      <c r="N57" s="3" t="s">
        <v>42</v>
      </c>
      <c r="O57" s="3" t="s">
        <v>42</v>
      </c>
      <c r="P57" s="3" t="s">
        <v>42</v>
      </c>
    </row>
    <row r="58" customFormat="false" ht="15" hidden="false" customHeight="false" outlineLevel="0" collapsed="false">
      <c r="A58" s="0" t="s">
        <v>129</v>
      </c>
      <c r="B58" s="0" t="s">
        <v>130</v>
      </c>
      <c r="C58" s="0" t="s">
        <v>72</v>
      </c>
      <c r="D58" s="0" t="s">
        <v>127</v>
      </c>
      <c r="E58" s="10" t="s">
        <v>42</v>
      </c>
      <c r="F58" s="10" t="s">
        <v>42</v>
      </c>
      <c r="G58" s="10" t="s">
        <v>42</v>
      </c>
      <c r="H58" s="10" t="s">
        <v>42</v>
      </c>
      <c r="I58" s="10" t="s">
        <v>42</v>
      </c>
      <c r="J58" s="10" t="s">
        <v>42</v>
      </c>
      <c r="K58" s="10" t="s">
        <v>42</v>
      </c>
      <c r="L58" s="10" t="s">
        <v>42</v>
      </c>
      <c r="M58" s="10" t="s">
        <v>42</v>
      </c>
      <c r="N58" s="10" t="s">
        <v>42</v>
      </c>
      <c r="O58" s="10" t="s">
        <v>42</v>
      </c>
      <c r="P58" s="10" t="s">
        <v>42</v>
      </c>
      <c r="Q58" s="1" t="s">
        <v>42</v>
      </c>
    </row>
    <row r="59" customFormat="false" ht="15" hidden="false" customHeight="false" outlineLevel="0" collapsed="false">
      <c r="B59" s="3" t="s">
        <v>44</v>
      </c>
      <c r="E59" s="3" t="s">
        <v>42</v>
      </c>
      <c r="F59" s="3" t="s">
        <v>42</v>
      </c>
      <c r="G59" s="3" t="s">
        <v>42</v>
      </c>
      <c r="H59" s="3" t="s">
        <v>42</v>
      </c>
      <c r="I59" s="3" t="s">
        <v>42</v>
      </c>
      <c r="J59" s="3" t="s">
        <v>42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42</v>
      </c>
    </row>
    <row r="60" customFormat="false" ht="15" hidden="false" customHeight="false" outlineLevel="0" collapsed="false">
      <c r="A60" s="0" t="s">
        <v>131</v>
      </c>
      <c r="B60" s="0" t="s">
        <v>132</v>
      </c>
      <c r="C60" s="0" t="s">
        <v>72</v>
      </c>
      <c r="D60" s="0" t="s">
        <v>127</v>
      </c>
      <c r="E60" s="10" t="s">
        <v>42</v>
      </c>
      <c r="F60" s="10" t="s">
        <v>42</v>
      </c>
      <c r="G60" s="10" t="s">
        <v>42</v>
      </c>
      <c r="H60" s="10" t="s">
        <v>42</v>
      </c>
      <c r="I60" s="10" t="s">
        <v>42</v>
      </c>
      <c r="J60" s="10" t="s">
        <v>42</v>
      </c>
      <c r="K60" s="10" t="s">
        <v>42</v>
      </c>
      <c r="L60" s="10" t="s">
        <v>42</v>
      </c>
      <c r="M60" s="10" t="s">
        <v>42</v>
      </c>
      <c r="N60" s="10" t="s">
        <v>42</v>
      </c>
      <c r="O60" s="10" t="s">
        <v>42</v>
      </c>
      <c r="P60" s="10" t="s">
        <v>42</v>
      </c>
      <c r="Q60" s="1" t="s">
        <v>42</v>
      </c>
    </row>
    <row r="61" customFormat="false" ht="15" hidden="false" customHeight="false" outlineLevel="0" collapsed="false">
      <c r="B61" s="3" t="s">
        <v>44</v>
      </c>
      <c r="E61" s="3" t="s">
        <v>42</v>
      </c>
      <c r="F61" s="3" t="s">
        <v>42</v>
      </c>
      <c r="G61" s="3" t="s">
        <v>42</v>
      </c>
      <c r="H61" s="3" t="s">
        <v>42</v>
      </c>
      <c r="I61" s="3" t="s">
        <v>42</v>
      </c>
      <c r="J61" s="3" t="s">
        <v>42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</row>
    <row r="62" customFormat="false" ht="15" hidden="false" customHeight="false" outlineLevel="0" collapsed="false">
      <c r="A62" s="0" t="s">
        <v>133</v>
      </c>
      <c r="B62" s="0" t="s">
        <v>134</v>
      </c>
      <c r="C62" s="0" t="s">
        <v>135</v>
      </c>
      <c r="D62" s="0" t="s">
        <v>127</v>
      </c>
      <c r="E62" s="10" t="s">
        <v>42</v>
      </c>
      <c r="F62" s="10" t="s">
        <v>42</v>
      </c>
      <c r="G62" s="11" t="n">
        <f aca="false">IFERROR(Inputs!G24,"n/d")</f>
        <v>0</v>
      </c>
      <c r="H62" s="10" t="s">
        <v>42</v>
      </c>
      <c r="I62" s="10" t="s">
        <v>42</v>
      </c>
      <c r="J62" s="10" t="s">
        <v>42</v>
      </c>
      <c r="K62" s="11" t="n">
        <f aca="false">IFERROR(Inputs!K24,"n/d")</f>
        <v>0</v>
      </c>
      <c r="L62" s="10" t="s">
        <v>42</v>
      </c>
      <c r="M62" s="10" t="s">
        <v>42</v>
      </c>
      <c r="N62" s="10" t="s">
        <v>42</v>
      </c>
      <c r="O62" s="11" t="n">
        <f aca="false">IFERROR(Inputs!O24,"n/d")</f>
        <v>0</v>
      </c>
      <c r="P62" s="10" t="s">
        <v>42</v>
      </c>
      <c r="Q62" s="1" t="s">
        <v>136</v>
      </c>
    </row>
    <row r="63" customFormat="false" ht="15" hidden="false" customHeight="false" outlineLevel="0" collapsed="false">
      <c r="B63" s="3" t="s">
        <v>44</v>
      </c>
      <c r="E63" s="3" t="s">
        <v>42</v>
      </c>
      <c r="F63" s="3" t="s">
        <v>42</v>
      </c>
      <c r="G63" s="3" t="s">
        <v>99</v>
      </c>
      <c r="H63" s="3" t="s">
        <v>42</v>
      </c>
      <c r="I63" s="3" t="s">
        <v>42</v>
      </c>
      <c r="J63" s="3" t="s">
        <v>42</v>
      </c>
      <c r="K63" s="3" t="s">
        <v>99</v>
      </c>
      <c r="L63" s="3" t="s">
        <v>42</v>
      </c>
      <c r="M63" s="3" t="s">
        <v>42</v>
      </c>
      <c r="N63" s="3" t="s">
        <v>42</v>
      </c>
      <c r="O63" s="3" t="s">
        <v>99</v>
      </c>
      <c r="P63" s="3" t="s">
        <v>42</v>
      </c>
    </row>
    <row r="64" customFormat="false" ht="15" hidden="false" customHeight="false" outlineLevel="0" collapsed="false">
      <c r="A64" s="5" t="s">
        <v>137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Format="false" ht="28.35" hidden="false" customHeight="false" outlineLevel="0" collapsed="false">
      <c r="A65" s="0" t="s">
        <v>138</v>
      </c>
      <c r="B65" s="0" t="s">
        <v>139</v>
      </c>
      <c r="C65" s="0" t="s">
        <v>72</v>
      </c>
      <c r="D65" s="0" t="s">
        <v>140</v>
      </c>
      <c r="E65" s="7" t="s">
        <v>42</v>
      </c>
      <c r="F65" s="7" t="s">
        <v>42</v>
      </c>
      <c r="G65" s="15" t="n">
        <f aca="false">IFERROR(Debt_Facilities!D78*1,"n/d")</f>
        <v>4.13366298938098</v>
      </c>
      <c r="H65" s="7" t="s">
        <v>42</v>
      </c>
      <c r="I65" s="7" t="s">
        <v>42</v>
      </c>
      <c r="J65" s="7" t="s">
        <v>42</v>
      </c>
      <c r="K65" s="15" t="n">
        <f aca="false">IFERROR(Debt_Facilities!F78*1,"n/d")</f>
        <v>4.39424949148165</v>
      </c>
      <c r="L65" s="7" t="s">
        <v>42</v>
      </c>
      <c r="M65" s="7" t="s">
        <v>42</v>
      </c>
      <c r="N65" s="7" t="s">
        <v>42</v>
      </c>
      <c r="O65" s="15" t="n">
        <f aca="false">IFERROR(Debt_Facilities!H78*1,"n/d")</f>
        <v>4.82820053034088</v>
      </c>
      <c r="P65" s="7" t="s">
        <v>42</v>
      </c>
      <c r="Q65" s="1" t="s">
        <v>141</v>
      </c>
    </row>
    <row r="66" customFormat="false" ht="15" hidden="false" customHeight="false" outlineLevel="0" collapsed="false">
      <c r="B66" s="3" t="s">
        <v>44</v>
      </c>
      <c r="E66" s="3" t="s">
        <v>42</v>
      </c>
      <c r="F66" s="3" t="s">
        <v>42</v>
      </c>
      <c r="G66" s="3" t="s">
        <v>103</v>
      </c>
      <c r="H66" s="3" t="s">
        <v>42</v>
      </c>
      <c r="I66" s="3" t="s">
        <v>42</v>
      </c>
      <c r="J66" s="3" t="s">
        <v>42</v>
      </c>
      <c r="K66" s="3" t="s">
        <v>103</v>
      </c>
      <c r="L66" s="3" t="s">
        <v>42</v>
      </c>
      <c r="M66" s="3" t="s">
        <v>42</v>
      </c>
      <c r="N66" s="3" t="s">
        <v>42</v>
      </c>
      <c r="O66" s="3" t="s">
        <v>103</v>
      </c>
      <c r="P66" s="3" t="s">
        <v>42</v>
      </c>
    </row>
    <row r="67" customFormat="false" ht="15" hidden="false" customHeight="false" outlineLevel="0" collapsed="false">
      <c r="A67" s="0" t="s">
        <v>142</v>
      </c>
      <c r="B67" s="0" t="s">
        <v>143</v>
      </c>
      <c r="C67" s="0" t="s">
        <v>72</v>
      </c>
      <c r="D67" s="0" t="s">
        <v>140</v>
      </c>
      <c r="E67" s="7" t="s">
        <v>42</v>
      </c>
      <c r="F67" s="7" t="s">
        <v>42</v>
      </c>
      <c r="G67" s="15" t="str">
        <f aca="false">Debt_Facilities!D79</f>
        <v>n/d</v>
      </c>
      <c r="H67" s="7" t="s">
        <v>42</v>
      </c>
      <c r="I67" s="7" t="s">
        <v>42</v>
      </c>
      <c r="J67" s="7" t="s">
        <v>42</v>
      </c>
      <c r="K67" s="15" t="str">
        <f aca="false">Debt_Facilities!F79</f>
        <v>n/d</v>
      </c>
      <c r="L67" s="7" t="s">
        <v>42</v>
      </c>
      <c r="M67" s="7" t="s">
        <v>42</v>
      </c>
      <c r="N67" s="7" t="s">
        <v>42</v>
      </c>
      <c r="O67" s="15" t="str">
        <f aca="false">Debt_Facilities!H79</f>
        <v>n/d</v>
      </c>
      <c r="P67" s="7" t="s">
        <v>42</v>
      </c>
      <c r="Q67" s="1" t="s">
        <v>144</v>
      </c>
    </row>
    <row r="68" customFormat="false" ht="15" hidden="false" customHeight="false" outlineLevel="0" collapsed="false">
      <c r="B68" s="3" t="s">
        <v>44</v>
      </c>
      <c r="E68" s="3" t="s">
        <v>42</v>
      </c>
      <c r="F68" s="3" t="s">
        <v>42</v>
      </c>
      <c r="G68" s="3" t="s">
        <v>103</v>
      </c>
      <c r="H68" s="3" t="s">
        <v>42</v>
      </c>
      <c r="I68" s="3" t="s">
        <v>42</v>
      </c>
      <c r="J68" s="3" t="s">
        <v>42</v>
      </c>
      <c r="K68" s="3" t="s">
        <v>103</v>
      </c>
      <c r="L68" s="3" t="s">
        <v>42</v>
      </c>
      <c r="M68" s="3" t="s">
        <v>42</v>
      </c>
      <c r="N68" s="3" t="s">
        <v>42</v>
      </c>
      <c r="O68" s="3" t="s">
        <v>103</v>
      </c>
      <c r="P68" s="3" t="s">
        <v>42</v>
      </c>
    </row>
    <row r="69" customFormat="false" ht="15" hidden="false" customHeight="false" outlineLevel="0" collapsed="false">
      <c r="A69" s="0" t="s">
        <v>145</v>
      </c>
      <c r="B69" s="0" t="s">
        <v>146</v>
      </c>
      <c r="C69" s="0" t="s">
        <v>72</v>
      </c>
      <c r="D69" s="0" t="s">
        <v>140</v>
      </c>
      <c r="E69" s="7" t="s">
        <v>42</v>
      </c>
      <c r="F69" s="7" t="s">
        <v>42</v>
      </c>
      <c r="G69" s="15" t="n">
        <f aca="false">Debt_Facilities!D80</f>
        <v>3.92985713933233</v>
      </c>
      <c r="H69" s="7" t="s">
        <v>42</v>
      </c>
      <c r="I69" s="7" t="s">
        <v>42</v>
      </c>
      <c r="J69" s="7" t="s">
        <v>42</v>
      </c>
      <c r="K69" s="15" t="n">
        <f aca="false">Debt_Facilities!F80</f>
        <v>4.27367136359897</v>
      </c>
      <c r="L69" s="7" t="s">
        <v>42</v>
      </c>
      <c r="M69" s="7" t="s">
        <v>42</v>
      </c>
      <c r="N69" s="7" t="s">
        <v>42</v>
      </c>
      <c r="O69" s="15" t="n">
        <f aca="false">Debt_Facilities!H80</f>
        <v>4.81467611336032</v>
      </c>
      <c r="P69" s="7" t="s">
        <v>42</v>
      </c>
      <c r="Q69" s="1" t="s">
        <v>147</v>
      </c>
    </row>
    <row r="70" customFormat="false" ht="15" hidden="false" customHeight="false" outlineLevel="0" collapsed="false">
      <c r="B70" s="3" t="s">
        <v>44</v>
      </c>
      <c r="E70" s="3" t="s">
        <v>42</v>
      </c>
      <c r="F70" s="3" t="s">
        <v>42</v>
      </c>
      <c r="G70" s="3" t="s">
        <v>103</v>
      </c>
      <c r="H70" s="3" t="s">
        <v>42</v>
      </c>
      <c r="I70" s="3" t="s">
        <v>42</v>
      </c>
      <c r="J70" s="3" t="s">
        <v>42</v>
      </c>
      <c r="K70" s="3" t="s">
        <v>103</v>
      </c>
      <c r="L70" s="3" t="s">
        <v>42</v>
      </c>
      <c r="M70" s="3" t="s">
        <v>42</v>
      </c>
      <c r="N70" s="3" t="s">
        <v>42</v>
      </c>
      <c r="O70" s="3" t="s">
        <v>103</v>
      </c>
      <c r="P70" s="3" t="s">
        <v>42</v>
      </c>
    </row>
    <row r="71" customFormat="false" ht="15" hidden="false" customHeight="false" outlineLevel="0" collapsed="false">
      <c r="A71" s="0" t="s">
        <v>148</v>
      </c>
      <c r="B71" s="0" t="s">
        <v>149</v>
      </c>
      <c r="C71" s="0" t="s">
        <v>72</v>
      </c>
      <c r="D71" s="0" t="s">
        <v>140</v>
      </c>
      <c r="E71" s="7" t="s">
        <v>42</v>
      </c>
      <c r="F71" s="7" t="s">
        <v>42</v>
      </c>
      <c r="G71" s="15" t="str">
        <f aca="false">Debt_Facilities!D81</f>
        <v>n/d</v>
      </c>
      <c r="H71" s="7" t="s">
        <v>42</v>
      </c>
      <c r="I71" s="7" t="s">
        <v>42</v>
      </c>
      <c r="J71" s="7" t="s">
        <v>42</v>
      </c>
      <c r="K71" s="15" t="str">
        <f aca="false">Debt_Facilities!F81</f>
        <v>n/d</v>
      </c>
      <c r="L71" s="7" t="s">
        <v>42</v>
      </c>
      <c r="M71" s="7" t="s">
        <v>42</v>
      </c>
      <c r="N71" s="7" t="s">
        <v>42</v>
      </c>
      <c r="O71" s="15" t="str">
        <f aca="false">Debt_Facilities!H81</f>
        <v>n/d</v>
      </c>
      <c r="P71" s="7" t="s">
        <v>42</v>
      </c>
      <c r="Q71" s="1" t="s">
        <v>144</v>
      </c>
    </row>
    <row r="72" customFormat="false" ht="15" hidden="false" customHeight="false" outlineLevel="0" collapsed="false">
      <c r="B72" s="3" t="s">
        <v>44</v>
      </c>
      <c r="E72" s="3" t="s">
        <v>42</v>
      </c>
      <c r="F72" s="3" t="s">
        <v>42</v>
      </c>
      <c r="G72" s="3" t="s">
        <v>103</v>
      </c>
      <c r="H72" s="3" t="s">
        <v>42</v>
      </c>
      <c r="I72" s="3" t="s">
        <v>42</v>
      </c>
      <c r="J72" s="3" t="s">
        <v>42</v>
      </c>
      <c r="K72" s="3" t="s">
        <v>103</v>
      </c>
      <c r="L72" s="3" t="s">
        <v>42</v>
      </c>
      <c r="M72" s="3" t="s">
        <v>42</v>
      </c>
      <c r="N72" s="3" t="s">
        <v>42</v>
      </c>
      <c r="O72" s="3" t="s">
        <v>103</v>
      </c>
      <c r="P72" s="3" t="s">
        <v>42</v>
      </c>
    </row>
    <row r="73" customFormat="false" ht="15" hidden="false" customHeight="false" outlineLevel="0" collapsed="false">
      <c r="A73" s="0" t="s">
        <v>150</v>
      </c>
      <c r="B73" s="0" t="s">
        <v>151</v>
      </c>
      <c r="C73" s="0" t="s">
        <v>72</v>
      </c>
      <c r="D73" s="0" t="s">
        <v>140</v>
      </c>
      <c r="E73" s="7" t="s">
        <v>42</v>
      </c>
      <c r="F73" s="7" t="s">
        <v>42</v>
      </c>
      <c r="G73" s="15" t="str">
        <f aca="false">Debt_Facilities!D82</f>
        <v>n/d</v>
      </c>
      <c r="H73" s="7" t="s">
        <v>42</v>
      </c>
      <c r="I73" s="7" t="s">
        <v>42</v>
      </c>
      <c r="J73" s="7" t="s">
        <v>42</v>
      </c>
      <c r="K73" s="15" t="str">
        <f aca="false">Debt_Facilities!F82</f>
        <v>n/d</v>
      </c>
      <c r="L73" s="7" t="s">
        <v>42</v>
      </c>
      <c r="M73" s="7" t="s">
        <v>42</v>
      </c>
      <c r="N73" s="7" t="s">
        <v>42</v>
      </c>
      <c r="O73" s="15" t="str">
        <f aca="false">Debt_Facilities!H82</f>
        <v>n/d</v>
      </c>
      <c r="P73" s="7" t="s">
        <v>42</v>
      </c>
      <c r="Q73" s="1" t="s">
        <v>144</v>
      </c>
    </row>
    <row r="74" customFormat="false" ht="15" hidden="false" customHeight="false" outlineLevel="0" collapsed="false">
      <c r="B74" s="3" t="s">
        <v>44</v>
      </c>
      <c r="E74" s="3" t="s">
        <v>42</v>
      </c>
      <c r="F74" s="3" t="s">
        <v>42</v>
      </c>
      <c r="G74" s="3" t="s">
        <v>103</v>
      </c>
      <c r="H74" s="3" t="s">
        <v>42</v>
      </c>
      <c r="I74" s="3" t="s">
        <v>42</v>
      </c>
      <c r="J74" s="3" t="s">
        <v>42</v>
      </c>
      <c r="K74" s="3" t="s">
        <v>103</v>
      </c>
      <c r="L74" s="3" t="s">
        <v>42</v>
      </c>
      <c r="M74" s="3" t="s">
        <v>42</v>
      </c>
      <c r="N74" s="3" t="s">
        <v>42</v>
      </c>
      <c r="O74" s="3" t="s">
        <v>103</v>
      </c>
      <c r="P74" s="3" t="s">
        <v>42</v>
      </c>
    </row>
    <row r="75" customFormat="false" ht="15" hidden="false" customHeight="false" outlineLevel="0" collapsed="false">
      <c r="A75" s="0" t="s">
        <v>152</v>
      </c>
      <c r="B75" s="0" t="s">
        <v>153</v>
      </c>
      <c r="C75" s="0" t="s">
        <v>72</v>
      </c>
      <c r="D75" s="0" t="s">
        <v>140</v>
      </c>
      <c r="E75" s="7" t="s">
        <v>42</v>
      </c>
      <c r="F75" s="7" t="s">
        <v>42</v>
      </c>
      <c r="G75" s="15" t="n">
        <f aca="false">Debt_Facilities!D83</f>
        <v>5.43</v>
      </c>
      <c r="H75" s="7" t="s">
        <v>42</v>
      </c>
      <c r="I75" s="7" t="s">
        <v>42</v>
      </c>
      <c r="J75" s="7" t="s">
        <v>42</v>
      </c>
      <c r="K75" s="15" t="n">
        <f aca="false">Debt_Facilities!F83</f>
        <v>4.88</v>
      </c>
      <c r="L75" s="7" t="s">
        <v>42</v>
      </c>
      <c r="M75" s="7" t="s">
        <v>42</v>
      </c>
      <c r="N75" s="7" t="s">
        <v>42</v>
      </c>
      <c r="O75" s="15" t="n">
        <f aca="false">Debt_Facilities!H83</f>
        <v>4.35</v>
      </c>
      <c r="P75" s="7" t="s">
        <v>42</v>
      </c>
      <c r="Q75" s="1" t="s">
        <v>154</v>
      </c>
    </row>
    <row r="76" customFormat="false" ht="15" hidden="false" customHeight="false" outlineLevel="0" collapsed="false">
      <c r="B76" s="3" t="s">
        <v>44</v>
      </c>
      <c r="E76" s="3" t="s">
        <v>42</v>
      </c>
      <c r="F76" s="3" t="s">
        <v>42</v>
      </c>
      <c r="G76" s="3" t="s">
        <v>103</v>
      </c>
      <c r="H76" s="3" t="s">
        <v>42</v>
      </c>
      <c r="I76" s="3" t="s">
        <v>42</v>
      </c>
      <c r="J76" s="3" t="s">
        <v>42</v>
      </c>
      <c r="K76" s="3" t="s">
        <v>103</v>
      </c>
      <c r="L76" s="3" t="s">
        <v>42</v>
      </c>
      <c r="M76" s="3" t="s">
        <v>42</v>
      </c>
      <c r="N76" s="3" t="s">
        <v>42</v>
      </c>
      <c r="O76" s="3" t="s">
        <v>103</v>
      </c>
      <c r="P76" s="3" t="s">
        <v>42</v>
      </c>
    </row>
    <row r="77" customFormat="false" ht="15" hidden="false" customHeight="false" outlineLevel="0" collapsed="false">
      <c r="A77" s="0" t="s">
        <v>155</v>
      </c>
      <c r="B77" s="0" t="s">
        <v>156</v>
      </c>
      <c r="C77" s="0" t="s">
        <v>72</v>
      </c>
      <c r="D77" s="0" t="s">
        <v>140</v>
      </c>
      <c r="E77" s="7" t="s">
        <v>42</v>
      </c>
      <c r="F77" s="7" t="s">
        <v>42</v>
      </c>
      <c r="G77" s="15" t="n">
        <f aca="false">Debt_Facilities!D84</f>
        <v>6.98774422735346</v>
      </c>
      <c r="H77" s="7" t="s">
        <v>42</v>
      </c>
      <c r="I77" s="7" t="s">
        <v>42</v>
      </c>
      <c r="J77" s="7" t="s">
        <v>42</v>
      </c>
      <c r="K77" s="15" t="n">
        <f aca="false">Debt_Facilities!F84</f>
        <v>6.1</v>
      </c>
      <c r="L77" s="7" t="s">
        <v>42</v>
      </c>
      <c r="M77" s="7" t="s">
        <v>42</v>
      </c>
      <c r="N77" s="7" t="s">
        <v>42</v>
      </c>
      <c r="O77" s="15" t="n">
        <f aca="false">Debt_Facilities!H84</f>
        <v>5.29</v>
      </c>
      <c r="P77" s="7" t="s">
        <v>42</v>
      </c>
      <c r="Q77" s="1" t="s">
        <v>157</v>
      </c>
    </row>
    <row r="78" customFormat="false" ht="15" hidden="false" customHeight="false" outlineLevel="0" collapsed="false">
      <c r="B78" s="3" t="s">
        <v>44</v>
      </c>
      <c r="E78" s="3" t="s">
        <v>42</v>
      </c>
      <c r="F78" s="3" t="s">
        <v>42</v>
      </c>
      <c r="G78" s="3" t="s">
        <v>103</v>
      </c>
      <c r="H78" s="3" t="s">
        <v>42</v>
      </c>
      <c r="I78" s="3" t="s">
        <v>42</v>
      </c>
      <c r="J78" s="3" t="s">
        <v>42</v>
      </c>
      <c r="K78" s="3" t="s">
        <v>103</v>
      </c>
      <c r="L78" s="3" t="s">
        <v>42</v>
      </c>
      <c r="M78" s="3" t="s">
        <v>42</v>
      </c>
      <c r="N78" s="3" t="s">
        <v>42</v>
      </c>
      <c r="O78" s="3" t="s">
        <v>103</v>
      </c>
      <c r="P78" s="3" t="s">
        <v>42</v>
      </c>
    </row>
    <row r="79" customFormat="false" ht="15" hidden="false" customHeight="false" outlineLevel="0" collapsed="false">
      <c r="A79" s="0" t="s">
        <v>158</v>
      </c>
      <c r="B79" s="0" t="s">
        <v>159</v>
      </c>
      <c r="C79" s="0" t="s">
        <v>72</v>
      </c>
      <c r="D79" s="0" t="s">
        <v>140</v>
      </c>
      <c r="E79" s="10" t="s">
        <v>42</v>
      </c>
      <c r="F79" s="10" t="s">
        <v>42</v>
      </c>
      <c r="G79" s="16" t="n">
        <f aca="false">Debt_Facilities!D85</f>
        <v>0</v>
      </c>
      <c r="H79" s="10" t="s">
        <v>42</v>
      </c>
      <c r="I79" s="10" t="s">
        <v>42</v>
      </c>
      <c r="J79" s="10" t="s">
        <v>42</v>
      </c>
      <c r="K79" s="16" t="n">
        <f aca="false">Debt_Facilities!F85</f>
        <v>0</v>
      </c>
      <c r="L79" s="10" t="s">
        <v>42</v>
      </c>
      <c r="M79" s="10" t="s">
        <v>42</v>
      </c>
      <c r="N79" s="10" t="s">
        <v>42</v>
      </c>
      <c r="O79" s="16" t="n">
        <f aca="false">Debt_Facilities!H85</f>
        <v>0</v>
      </c>
      <c r="P79" s="10" t="s">
        <v>42</v>
      </c>
      <c r="Q79" s="1" t="s">
        <v>160</v>
      </c>
    </row>
    <row r="80" customFormat="false" ht="15" hidden="false" customHeight="false" outlineLevel="0" collapsed="false">
      <c r="B80" s="3" t="s">
        <v>44</v>
      </c>
      <c r="E80" s="3" t="s">
        <v>42</v>
      </c>
      <c r="F80" s="3" t="s">
        <v>42</v>
      </c>
      <c r="G80" s="3" t="s">
        <v>103</v>
      </c>
      <c r="H80" s="3" t="s">
        <v>42</v>
      </c>
      <c r="I80" s="3" t="s">
        <v>42</v>
      </c>
      <c r="J80" s="3" t="s">
        <v>42</v>
      </c>
      <c r="K80" s="3" t="s">
        <v>103</v>
      </c>
      <c r="L80" s="3" t="s">
        <v>42</v>
      </c>
      <c r="M80" s="3" t="s">
        <v>42</v>
      </c>
      <c r="N80" s="3" t="s">
        <v>42</v>
      </c>
      <c r="O80" s="3" t="s">
        <v>103</v>
      </c>
      <c r="P80" s="3" t="s">
        <v>42</v>
      </c>
    </row>
    <row r="81" customFormat="false" ht="28.35" hidden="false" customHeight="false" outlineLevel="0" collapsed="false">
      <c r="A81" s="0" t="s">
        <v>161</v>
      </c>
      <c r="B81" s="0" t="s">
        <v>162</v>
      </c>
      <c r="C81" s="0" t="s">
        <v>72</v>
      </c>
      <c r="D81" s="0" t="s">
        <v>140</v>
      </c>
      <c r="E81" s="7" t="s">
        <v>42</v>
      </c>
      <c r="F81" s="7" t="s">
        <v>42</v>
      </c>
      <c r="G81" s="15" t="n">
        <f aca="false">IFERROR(Inputs!G25*4/Inputs!G50*100,"n/d")</f>
        <v>4.0171805386362</v>
      </c>
      <c r="H81" s="15" t="n">
        <f aca="false">IFERROR(Inputs!H25*4/Inputs!H50*100,"n/d")</f>
        <v>3.93035522569201</v>
      </c>
      <c r="I81" s="15" t="n">
        <f aca="false">IFERROR(Inputs!I25*4/Inputs!I50*100,"n/d")</f>
        <v>4.00140927231877</v>
      </c>
      <c r="J81" s="15" t="n">
        <f aca="false">IFERROR(Inputs!J25*4/Inputs!J50*100,"n/d")</f>
        <v>3.85938345051379</v>
      </c>
      <c r="K81" s="15" t="n">
        <f aca="false">IFERROR(Inputs!K25*4/Inputs!K50*100,"n/d")</f>
        <v>4.14310224312131</v>
      </c>
      <c r="L81" s="15" t="n">
        <f aca="false">IFERROR(Inputs!L25*4/Inputs!L50*100,"n/d")</f>
        <v>4.01559687409929</v>
      </c>
      <c r="M81" s="15" t="n">
        <f aca="false">IFERROR(Inputs!M25*4/Inputs!M50*100,"n/d")</f>
        <v>4.24093485129645</v>
      </c>
      <c r="N81" s="15" t="n">
        <f aca="false">IFERROR(Inputs!N25*4/Inputs!N50*100,"n/d")</f>
        <v>3.88989615955167</v>
      </c>
      <c r="O81" s="15" t="n">
        <f aca="false">IFERROR(Inputs!O25*4/Inputs!O50*100,"n/d")</f>
        <v>4.35516721812937</v>
      </c>
      <c r="P81" s="15" t="n">
        <f aca="false">IFERROR(Inputs!P25*4/Inputs!P50*100,"n/d")</f>
        <v>4.48214439849654</v>
      </c>
      <c r="Q81" s="1" t="s">
        <v>163</v>
      </c>
    </row>
    <row r="82" customFormat="false" ht="15" hidden="false" customHeight="false" outlineLevel="0" collapsed="false">
      <c r="B82" s="3" t="s">
        <v>44</v>
      </c>
      <c r="E82" s="3" t="s">
        <v>42</v>
      </c>
      <c r="F82" s="3" t="s">
        <v>42</v>
      </c>
      <c r="G82" s="3" t="s">
        <v>103</v>
      </c>
      <c r="H82" s="3" t="s">
        <v>103</v>
      </c>
      <c r="I82" s="3" t="s">
        <v>103</v>
      </c>
      <c r="J82" s="3" t="s">
        <v>103</v>
      </c>
      <c r="K82" s="3" t="s">
        <v>103</v>
      </c>
      <c r="L82" s="3" t="s">
        <v>103</v>
      </c>
      <c r="M82" s="3" t="s">
        <v>103</v>
      </c>
      <c r="N82" s="3" t="s">
        <v>103</v>
      </c>
      <c r="O82" s="3" t="s">
        <v>103</v>
      </c>
      <c r="P82" s="3" t="s">
        <v>103</v>
      </c>
    </row>
    <row r="83" customFormat="false" ht="15" hidden="false" customHeight="false" outlineLevel="0" collapsed="false">
      <c r="A83" s="0" t="s">
        <v>164</v>
      </c>
      <c r="B83" s="0" t="s">
        <v>165</v>
      </c>
      <c r="C83" s="0" t="s">
        <v>72</v>
      </c>
      <c r="D83" s="0" t="s">
        <v>140</v>
      </c>
      <c r="E83" s="8" t="s">
        <v>42</v>
      </c>
      <c r="F83" s="8" t="s">
        <v>42</v>
      </c>
      <c r="G83" s="8" t="s">
        <v>42</v>
      </c>
      <c r="H83" s="8" t="s">
        <v>42</v>
      </c>
      <c r="I83" s="8" t="s">
        <v>42</v>
      </c>
      <c r="J83" s="8" t="s">
        <v>42</v>
      </c>
      <c r="K83" s="8" t="s">
        <v>42</v>
      </c>
      <c r="L83" s="8" t="s">
        <v>42</v>
      </c>
      <c r="M83" s="8" t="s">
        <v>42</v>
      </c>
      <c r="N83" s="8" t="s">
        <v>42</v>
      </c>
      <c r="O83" s="8" t="s">
        <v>42</v>
      </c>
      <c r="P83" s="8" t="s">
        <v>42</v>
      </c>
      <c r="Q83" s="1"/>
    </row>
    <row r="84" customFormat="false" ht="15" hidden="false" customHeight="false" outlineLevel="0" collapsed="false">
      <c r="B84" s="3" t="s">
        <v>44</v>
      </c>
      <c r="E84" s="3" t="s">
        <v>42</v>
      </c>
      <c r="F84" s="3" t="s">
        <v>42</v>
      </c>
      <c r="G84" s="3" t="s">
        <v>42</v>
      </c>
      <c r="H84" s="3" t="s">
        <v>42</v>
      </c>
      <c r="I84" s="3" t="s">
        <v>42</v>
      </c>
      <c r="J84" s="3" t="s">
        <v>42</v>
      </c>
      <c r="K84" s="3" t="s">
        <v>42</v>
      </c>
      <c r="L84" s="3" t="s">
        <v>42</v>
      </c>
      <c r="M84" s="3" t="s">
        <v>42</v>
      </c>
      <c r="N84" s="3" t="s">
        <v>42</v>
      </c>
      <c r="O84" s="3" t="s">
        <v>42</v>
      </c>
      <c r="P84" s="3" t="s">
        <v>42</v>
      </c>
    </row>
    <row r="85" customFormat="false" ht="15" hidden="false" customHeight="false" outlineLevel="0" collapsed="false">
      <c r="A85" s="0" t="s">
        <v>166</v>
      </c>
      <c r="B85" s="0" t="s">
        <v>167</v>
      </c>
      <c r="C85" s="0" t="s">
        <v>112</v>
      </c>
      <c r="D85" s="0" t="s">
        <v>140</v>
      </c>
      <c r="E85" s="8" t="s">
        <v>42</v>
      </c>
      <c r="F85" s="13" t="n">
        <f aca="false">IFERROR(Inputs!F27/1000,"n/d")</f>
        <v>87.98</v>
      </c>
      <c r="G85" s="13" t="n">
        <f aca="false">IFERROR(Inputs!G27/1000,"n/d")</f>
        <v>86.869</v>
      </c>
      <c r="H85" s="13" t="n">
        <f aca="false">IFERROR(Inputs!H27/1000,"n/d")</f>
        <v>84.515</v>
      </c>
      <c r="I85" s="13" t="n">
        <f aca="false">IFERROR(Inputs!I27/1000,"n/d")</f>
        <v>88.624</v>
      </c>
      <c r="J85" s="13" t="n">
        <f aca="false">IFERROR(Inputs!J27/1000,"n/d")</f>
        <v>96.276</v>
      </c>
      <c r="K85" s="13" t="n">
        <f aca="false">IFERROR(Inputs!K27/1000,"n/d")</f>
        <v>92.568</v>
      </c>
      <c r="L85" s="13" t="n">
        <f aca="false">IFERROR(Inputs!L27/1000,"n/d")</f>
        <v>91.315</v>
      </c>
      <c r="M85" s="13" t="n">
        <f aca="false">IFERROR(Inputs!M27/1000,"n/d")</f>
        <v>108.075</v>
      </c>
      <c r="N85" s="13" t="n">
        <f aca="false">IFERROR(Inputs!N27/1000,"n/d")</f>
        <v>134.605</v>
      </c>
      <c r="O85" s="13" t="n">
        <f aca="false">IFERROR(Inputs!O27/1000,"n/d")</f>
        <v>129.541</v>
      </c>
      <c r="P85" s="13" t="n">
        <f aca="false">IFERROR(Inputs!P27/1000,"n/d")</f>
        <v>125.337</v>
      </c>
      <c r="Q85" s="1" t="s">
        <v>168</v>
      </c>
    </row>
    <row r="86" customFormat="false" ht="15" hidden="false" customHeight="false" outlineLevel="0" collapsed="false">
      <c r="B86" s="3" t="s">
        <v>44</v>
      </c>
      <c r="E86" s="3" t="s">
        <v>42</v>
      </c>
      <c r="F86" s="3" t="s">
        <v>99</v>
      </c>
      <c r="G86" s="3" t="s">
        <v>99</v>
      </c>
      <c r="H86" s="3" t="s">
        <v>99</v>
      </c>
      <c r="I86" s="3" t="s">
        <v>99</v>
      </c>
      <c r="J86" s="3" t="s">
        <v>99</v>
      </c>
      <c r="K86" s="3" t="s">
        <v>99</v>
      </c>
      <c r="L86" s="3" t="s">
        <v>99</v>
      </c>
      <c r="M86" s="3" t="s">
        <v>99</v>
      </c>
      <c r="N86" s="3" t="s">
        <v>99</v>
      </c>
      <c r="O86" s="3" t="s">
        <v>99</v>
      </c>
      <c r="P86" s="3" t="s">
        <v>99</v>
      </c>
    </row>
    <row r="87" customFormat="false" ht="15" hidden="false" customHeight="false" outlineLevel="0" collapsed="false">
      <c r="A87" s="0" t="s">
        <v>169</v>
      </c>
      <c r="B87" s="0" t="s">
        <v>170</v>
      </c>
      <c r="C87" s="0" t="s">
        <v>53</v>
      </c>
      <c r="D87" s="0" t="s">
        <v>140</v>
      </c>
      <c r="E87" s="7" t="s">
        <v>42</v>
      </c>
      <c r="F87" s="15" t="n">
        <f aca="false">IFERROR(Inputs!F27/1000/Inputs!F18,"n/d")</f>
        <v>1.09700748129676</v>
      </c>
      <c r="G87" s="15" t="n">
        <f aca="false">IFERROR(Inputs!G27/1000/Inputs!G18,"n/d")</f>
        <v>0.88732379979571</v>
      </c>
      <c r="H87" s="15" t="n">
        <f aca="false">IFERROR(Inputs!H27/1000/Inputs!H18,"n/d")</f>
        <v>0.852825428859738</v>
      </c>
      <c r="I87" s="15" t="n">
        <f aca="false">IFERROR(Inputs!I27/1000/Inputs!I18,"n/d")</f>
        <v>0.910832476875642</v>
      </c>
      <c r="J87" s="15" t="n">
        <f aca="false">IFERROR(Inputs!J27/1000/Inputs!J18,"n/d")</f>
        <v>0.739447004608295</v>
      </c>
      <c r="K87" s="15" t="n">
        <f aca="false">IFERROR(Inputs!K27/1000/Inputs!K18,"n/d")</f>
        <v>0.671756168359942</v>
      </c>
      <c r="L87" s="15" t="n">
        <f aca="false">IFERROR(Inputs!L27/1000/Inputs!L18,"n/d")</f>
        <v>0.20056007028333</v>
      </c>
      <c r="M87" s="15" t="n">
        <f aca="false">IFERROR(Inputs!M27/1000/Inputs!M18,"n/d")</f>
        <v>0.206525893369004</v>
      </c>
      <c r="N87" s="15" t="n">
        <f aca="false">IFERROR(Inputs!N27/1000/Inputs!N18,"n/d")</f>
        <v>0.243584871516468</v>
      </c>
      <c r="O87" s="15" t="n">
        <f aca="false">IFERROR(Inputs!O27/1000/Inputs!O18,"n/d")</f>
        <v>0.203042319749216</v>
      </c>
      <c r="P87" s="15" t="n">
        <f aca="false">IFERROR(Inputs!P27/1000/Inputs!P18,"n/d")</f>
        <v>0.188760542168675</v>
      </c>
      <c r="Q87" s="1" t="s">
        <v>171</v>
      </c>
    </row>
    <row r="88" customFormat="false" ht="15" hidden="false" customHeight="false" outlineLevel="0" collapsed="false">
      <c r="B88" s="3" t="s">
        <v>44</v>
      </c>
      <c r="E88" s="3" t="s">
        <v>42</v>
      </c>
      <c r="F88" s="3" t="s">
        <v>103</v>
      </c>
      <c r="G88" s="3" t="s">
        <v>103</v>
      </c>
      <c r="H88" s="3" t="s">
        <v>103</v>
      </c>
      <c r="I88" s="3" t="s">
        <v>103</v>
      </c>
      <c r="J88" s="3" t="s">
        <v>103</v>
      </c>
      <c r="K88" s="3" t="s">
        <v>103</v>
      </c>
      <c r="L88" s="3" t="s">
        <v>103</v>
      </c>
      <c r="M88" s="3" t="s">
        <v>103</v>
      </c>
      <c r="N88" s="3" t="s">
        <v>103</v>
      </c>
      <c r="O88" s="3" t="s">
        <v>103</v>
      </c>
      <c r="P88" s="3" t="s">
        <v>103</v>
      </c>
    </row>
    <row r="89" customFormat="false" ht="15" hidden="false" customHeight="false" outlineLevel="0" collapsed="false">
      <c r="A89" s="0" t="s">
        <v>172</v>
      </c>
      <c r="B89" s="0" t="s">
        <v>173</v>
      </c>
      <c r="C89" s="0" t="s">
        <v>72</v>
      </c>
      <c r="D89" s="0" t="s">
        <v>140</v>
      </c>
      <c r="E89" s="10" t="s">
        <v>42</v>
      </c>
      <c r="F89" s="10" t="s">
        <v>42</v>
      </c>
      <c r="G89" s="10" t="s">
        <v>42</v>
      </c>
      <c r="H89" s="10" t="s">
        <v>42</v>
      </c>
      <c r="I89" s="10" t="s">
        <v>42</v>
      </c>
      <c r="J89" s="10" t="s">
        <v>42</v>
      </c>
      <c r="K89" s="10" t="s">
        <v>42</v>
      </c>
      <c r="L89" s="10" t="s">
        <v>42</v>
      </c>
      <c r="M89" s="10" t="s">
        <v>42</v>
      </c>
      <c r="N89" s="10" t="s">
        <v>42</v>
      </c>
      <c r="O89" s="10" t="s">
        <v>42</v>
      </c>
      <c r="P89" s="10" t="s">
        <v>42</v>
      </c>
      <c r="Q89" s="1" t="s">
        <v>42</v>
      </c>
    </row>
    <row r="90" customFormat="false" ht="15" hidden="false" customHeight="false" outlineLevel="0" collapsed="false">
      <c r="B90" s="3" t="s">
        <v>44</v>
      </c>
      <c r="E90" s="3" t="s">
        <v>42</v>
      </c>
      <c r="F90" s="3" t="s">
        <v>42</v>
      </c>
      <c r="G90" s="3" t="s">
        <v>42</v>
      </c>
      <c r="H90" s="3" t="s">
        <v>42</v>
      </c>
      <c r="I90" s="3" t="s">
        <v>42</v>
      </c>
      <c r="J90" s="3" t="s">
        <v>42</v>
      </c>
      <c r="K90" s="3" t="s">
        <v>42</v>
      </c>
      <c r="L90" s="3" t="s">
        <v>42</v>
      </c>
      <c r="M90" s="3" t="s">
        <v>42</v>
      </c>
      <c r="N90" s="3" t="s">
        <v>42</v>
      </c>
      <c r="O90" s="3" t="s">
        <v>42</v>
      </c>
      <c r="P90" s="3" t="s">
        <v>42</v>
      </c>
    </row>
    <row r="91" customFormat="false" ht="15" hidden="false" customHeight="false" outlineLevel="0" collapsed="false">
      <c r="A91" s="5" t="s">
        <v>174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customFormat="false" ht="15" hidden="false" customHeight="false" outlineLevel="0" collapsed="false">
      <c r="A92" s="0" t="s">
        <v>175</v>
      </c>
      <c r="B92" s="0" t="s">
        <v>176</v>
      </c>
      <c r="C92" s="0" t="s">
        <v>72</v>
      </c>
      <c r="D92" s="0" t="s">
        <v>68</v>
      </c>
      <c r="E92" s="8" t="s">
        <v>42</v>
      </c>
      <c r="F92" s="8" t="s">
        <v>42</v>
      </c>
      <c r="G92" s="8" t="s">
        <v>42</v>
      </c>
      <c r="H92" s="8" t="s">
        <v>42</v>
      </c>
      <c r="I92" s="8" t="s">
        <v>42</v>
      </c>
      <c r="J92" s="8" t="s">
        <v>42</v>
      </c>
      <c r="K92" s="8" t="s">
        <v>42</v>
      </c>
      <c r="L92" s="8" t="s">
        <v>42</v>
      </c>
      <c r="M92" s="8" t="s">
        <v>42</v>
      </c>
      <c r="N92" s="8" t="s">
        <v>42</v>
      </c>
      <c r="O92" s="13" t="n">
        <f aca="false">IFERROR(Inputs!O33,"n/d")</f>
        <v>97.5</v>
      </c>
      <c r="P92" s="13" t="n">
        <f aca="false">IFERROR(Inputs!P33,"n/d")</f>
        <v>97.9</v>
      </c>
      <c r="Q92" s="1" t="s">
        <v>177</v>
      </c>
    </row>
    <row r="93" customFormat="false" ht="15" hidden="false" customHeight="false" outlineLevel="0" collapsed="false">
      <c r="B93" s="3" t="s">
        <v>44</v>
      </c>
      <c r="E93" s="3" t="s">
        <v>42</v>
      </c>
      <c r="F93" s="3" t="s">
        <v>42</v>
      </c>
      <c r="G93" s="3" t="s">
        <v>42</v>
      </c>
      <c r="H93" s="3" t="s">
        <v>42</v>
      </c>
      <c r="I93" s="3" t="s">
        <v>42</v>
      </c>
      <c r="J93" s="3" t="s">
        <v>42</v>
      </c>
      <c r="K93" s="3" t="s">
        <v>42</v>
      </c>
      <c r="L93" s="3" t="s">
        <v>42</v>
      </c>
      <c r="M93" s="3" t="s">
        <v>42</v>
      </c>
      <c r="N93" s="3" t="s">
        <v>42</v>
      </c>
      <c r="O93" s="3" t="s">
        <v>99</v>
      </c>
      <c r="P93" s="3" t="s">
        <v>99</v>
      </c>
    </row>
    <row r="94" customFormat="false" ht="15" hidden="false" customHeight="false" outlineLevel="0" collapsed="false">
      <c r="A94" s="0" t="s">
        <v>178</v>
      </c>
      <c r="B94" s="0" t="s">
        <v>179</v>
      </c>
      <c r="C94" s="0" t="s">
        <v>72</v>
      </c>
      <c r="D94" s="0" t="s">
        <v>113</v>
      </c>
      <c r="E94" s="10" t="s">
        <v>42</v>
      </c>
      <c r="F94" s="11" t="n">
        <f aca="false">IFERROR(Inputs!F34,"n/d")</f>
        <v>43</v>
      </c>
      <c r="G94" s="11" t="n">
        <f aca="false">IFERROR(Inputs!G34,"n/d")</f>
        <v>39</v>
      </c>
      <c r="H94" s="11" t="n">
        <f aca="false">IFERROR(Inputs!H34,"n/d")</f>
        <v>38</v>
      </c>
      <c r="I94" s="11" t="n">
        <f aca="false">IFERROR(Inputs!I34,"n/d")</f>
        <v>39</v>
      </c>
      <c r="J94" s="11" t="n">
        <f aca="false">IFERROR(Inputs!J34,"n/d")</f>
        <v>31</v>
      </c>
      <c r="K94" s="11" t="n">
        <f aca="false">IFERROR(Inputs!K34,"n/d")</f>
        <v>33</v>
      </c>
      <c r="L94" s="11" t="n">
        <f aca="false">IFERROR(Inputs!L34,"n/d")</f>
        <v>10</v>
      </c>
      <c r="M94" s="11" t="n">
        <f aca="false">IFERROR(Inputs!M34,"n/d")</f>
        <v>10</v>
      </c>
      <c r="N94" s="11" t="n">
        <f aca="false">IFERROR(Inputs!N34,"n/d")</f>
        <v>12</v>
      </c>
      <c r="O94" s="11" t="n">
        <f aca="false">IFERROR(Inputs!O34,"n/d")</f>
        <v>12</v>
      </c>
      <c r="P94" s="11" t="n">
        <f aca="false">IFERROR(Inputs!P34,"n/d")</f>
        <v>13</v>
      </c>
      <c r="Q94" s="1" t="s">
        <v>180</v>
      </c>
    </row>
    <row r="95" customFormat="false" ht="15" hidden="false" customHeight="false" outlineLevel="0" collapsed="false">
      <c r="B95" s="3" t="s">
        <v>44</v>
      </c>
      <c r="E95" s="3" t="s">
        <v>42</v>
      </c>
      <c r="F95" s="3" t="s">
        <v>99</v>
      </c>
      <c r="G95" s="3" t="s">
        <v>99</v>
      </c>
      <c r="H95" s="3" t="s">
        <v>99</v>
      </c>
      <c r="I95" s="3" t="s">
        <v>99</v>
      </c>
      <c r="J95" s="3" t="s">
        <v>99</v>
      </c>
      <c r="K95" s="3" t="s">
        <v>99</v>
      </c>
      <c r="L95" s="3" t="s">
        <v>99</v>
      </c>
      <c r="M95" s="3" t="s">
        <v>99</v>
      </c>
      <c r="N95" s="3" t="s">
        <v>99</v>
      </c>
      <c r="O95" s="3" t="s">
        <v>99</v>
      </c>
      <c r="P95" s="3" t="s">
        <v>99</v>
      </c>
    </row>
    <row r="96" customFormat="false" ht="41.75" hidden="false" customHeight="false" outlineLevel="0" collapsed="false">
      <c r="A96" s="0" t="s">
        <v>181</v>
      </c>
      <c r="B96" s="0" t="s">
        <v>182</v>
      </c>
      <c r="C96" s="0" t="s">
        <v>40</v>
      </c>
      <c r="D96" s="0" t="s">
        <v>41</v>
      </c>
      <c r="E96" s="8" t="s">
        <v>42</v>
      </c>
      <c r="F96" s="8" t="s">
        <v>42</v>
      </c>
      <c r="G96" s="8" t="s">
        <v>42</v>
      </c>
      <c r="H96" s="8" t="s">
        <v>42</v>
      </c>
      <c r="I96" s="8" t="s">
        <v>42</v>
      </c>
      <c r="J96" s="8" t="s">
        <v>42</v>
      </c>
      <c r="K96" s="8" t="s">
        <v>42</v>
      </c>
      <c r="L96" s="8" t="s">
        <v>42</v>
      </c>
      <c r="M96" s="8" t="s">
        <v>42</v>
      </c>
      <c r="N96" s="8" t="s">
        <v>42</v>
      </c>
      <c r="O96" s="9" t="n">
        <f aca="false">IFERROR((Inputs!O4-Inputs!K4)*4/Inputs!O47,"n/d")</f>
        <v>9.30666666666667</v>
      </c>
      <c r="P96" s="9" t="n">
        <f aca="false">IFERROR((Inputs!P4-Inputs!L4)*4/Inputs!P47,"n/d")</f>
        <v>8.3319587628866</v>
      </c>
      <c r="Q96" s="1" t="s">
        <v>183</v>
      </c>
    </row>
    <row r="97" customFormat="false" ht="15" hidden="false" customHeight="false" outlineLevel="0" collapsed="false">
      <c r="B97" s="3" t="s">
        <v>44</v>
      </c>
      <c r="E97" s="3" t="s">
        <v>42</v>
      </c>
      <c r="F97" s="3" t="s">
        <v>42</v>
      </c>
      <c r="G97" s="3" t="s">
        <v>42</v>
      </c>
      <c r="H97" s="3" t="s">
        <v>42</v>
      </c>
      <c r="I97" s="3" t="s">
        <v>42</v>
      </c>
      <c r="J97" s="3" t="s">
        <v>42</v>
      </c>
      <c r="K97" s="3" t="s">
        <v>42</v>
      </c>
      <c r="L97" s="3" t="s">
        <v>42</v>
      </c>
      <c r="M97" s="3" t="s">
        <v>42</v>
      </c>
      <c r="N97" s="3" t="s">
        <v>42</v>
      </c>
      <c r="O97" s="3" t="s">
        <v>80</v>
      </c>
      <c r="P97" s="3" t="s">
        <v>80</v>
      </c>
    </row>
    <row r="98" customFormat="false" ht="15" hidden="false" customHeight="false" outlineLevel="0" collapsed="false">
      <c r="A98" s="0" t="s">
        <v>184</v>
      </c>
      <c r="B98" s="0" t="s">
        <v>185</v>
      </c>
      <c r="C98" s="0" t="s">
        <v>53</v>
      </c>
      <c r="D98" s="0" t="s">
        <v>78</v>
      </c>
      <c r="E98" s="7" t="s">
        <v>42</v>
      </c>
      <c r="F98" s="7" t="s">
        <v>42</v>
      </c>
      <c r="G98" s="7" t="s">
        <v>42</v>
      </c>
      <c r="H98" s="7" t="s">
        <v>42</v>
      </c>
      <c r="I98" s="7" t="s">
        <v>42</v>
      </c>
      <c r="J98" s="7" t="s">
        <v>42</v>
      </c>
      <c r="K98" s="7" t="s">
        <v>42</v>
      </c>
      <c r="L98" s="7" t="s">
        <v>42</v>
      </c>
      <c r="M98" s="7" t="s">
        <v>42</v>
      </c>
      <c r="N98" s="7" t="s">
        <v>42</v>
      </c>
      <c r="O98" s="7" t="s">
        <v>42</v>
      </c>
      <c r="P98" s="7" t="s">
        <v>42</v>
      </c>
      <c r="Q98" s="1" t="s">
        <v>42</v>
      </c>
    </row>
    <row r="99" customFormat="false" ht="15" hidden="false" customHeight="false" outlineLevel="0" collapsed="false">
      <c r="B99" s="3" t="s">
        <v>44</v>
      </c>
      <c r="E99" s="3" t="s">
        <v>42</v>
      </c>
      <c r="F99" s="3" t="s">
        <v>42</v>
      </c>
      <c r="G99" s="3" t="s">
        <v>42</v>
      </c>
      <c r="H99" s="3" t="s">
        <v>42</v>
      </c>
      <c r="I99" s="3" t="s">
        <v>42</v>
      </c>
      <c r="J99" s="3" t="s">
        <v>42</v>
      </c>
      <c r="K99" s="3" t="s">
        <v>42</v>
      </c>
      <c r="L99" s="3" t="s">
        <v>42</v>
      </c>
      <c r="M99" s="3" t="s">
        <v>42</v>
      </c>
      <c r="N99" s="3" t="s">
        <v>42</v>
      </c>
      <c r="O99" s="3" t="s">
        <v>42</v>
      </c>
      <c r="P99" s="3" t="s">
        <v>42</v>
      </c>
    </row>
    <row r="100" customFormat="false" ht="15" hidden="false" customHeight="false" outlineLevel="0" collapsed="false">
      <c r="A100" s="0" t="s">
        <v>186</v>
      </c>
      <c r="B100" s="0" t="s">
        <v>187</v>
      </c>
      <c r="C100" s="0" t="s">
        <v>72</v>
      </c>
      <c r="D100" s="0" t="s">
        <v>41</v>
      </c>
      <c r="E100" s="8" t="s">
        <v>42</v>
      </c>
      <c r="F100" s="8" t="s">
        <v>42</v>
      </c>
      <c r="G100" s="8" t="s">
        <v>42</v>
      </c>
      <c r="H100" s="8" t="s">
        <v>42</v>
      </c>
      <c r="I100" s="8" t="s">
        <v>42</v>
      </c>
      <c r="J100" s="8" t="s">
        <v>42</v>
      </c>
      <c r="K100" s="8" t="s">
        <v>42</v>
      </c>
      <c r="L100" s="8" t="s">
        <v>42</v>
      </c>
      <c r="M100" s="8" t="s">
        <v>42</v>
      </c>
      <c r="N100" s="8" t="s">
        <v>42</v>
      </c>
      <c r="O100" s="8" t="s">
        <v>42</v>
      </c>
      <c r="P100" s="8" t="s">
        <v>42</v>
      </c>
      <c r="Q100" s="1" t="s">
        <v>188</v>
      </c>
    </row>
    <row r="101" customFormat="false" ht="15" hidden="false" customHeight="false" outlineLevel="0" collapsed="false">
      <c r="B101" s="3" t="s">
        <v>44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</row>
    <row r="102" customFormat="false" ht="15" hidden="false" customHeight="false" outlineLevel="0" collapsed="false">
      <c r="A102" s="5" t="s">
        <v>189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customFormat="false" ht="15" hidden="false" customHeight="false" outlineLevel="0" collapsed="false">
      <c r="A103" s="0" t="s">
        <v>190</v>
      </c>
      <c r="B103" s="0" t="s">
        <v>191</v>
      </c>
      <c r="C103" s="0" t="s">
        <v>72</v>
      </c>
      <c r="E103" s="8" t="s">
        <v>42</v>
      </c>
      <c r="F103" s="12" t="n">
        <f aca="false">IFERROR(Inputs!F4/Inputs!F37*100,"n/d")</f>
        <v>13.4028614457831</v>
      </c>
      <c r="G103" s="12" t="n">
        <f aca="false">IFERROR(Inputs!G4/Inputs!G37*100,"n/d")</f>
        <v>13.7915587597116</v>
      </c>
      <c r="H103" s="12" t="n">
        <f aca="false">IFERROR(Inputs!H4/Inputs!H37*100,"n/d")</f>
        <v>16.186969264297</v>
      </c>
      <c r="I103" s="12" t="n">
        <f aca="false">IFERROR(Inputs!I4/Inputs!I37*100,"n/d")</f>
        <v>17.3127533964009</v>
      </c>
      <c r="J103" s="12" t="n">
        <f aca="false">IFERROR(Inputs!J4/Inputs!J37*100,"n/d")</f>
        <v>18.7685774946921</v>
      </c>
      <c r="K103" s="12" t="n">
        <f aca="false">IFERROR(Inputs!K4/Inputs!K37*100,"n/d")</f>
        <v>18.8329246054204</v>
      </c>
      <c r="L103" s="12" t="n">
        <f aca="false">IFERROR(Inputs!L4/Inputs!L37*100,"n/d")</f>
        <v>22.4239581937559</v>
      </c>
      <c r="M103" s="12" t="n">
        <f aca="false">IFERROR(Inputs!M4/Inputs!M37*100,"n/d")</f>
        <v>25.401668950056</v>
      </c>
      <c r="N103" s="12" t="n">
        <f aca="false">IFERROR(Inputs!N4/Inputs!N37*100,"n/d")</f>
        <v>28.435136707388</v>
      </c>
      <c r="O103" s="12" t="n">
        <f aca="false">IFERROR(Inputs!O4/Inputs!O37*100,"n/d")</f>
        <v>30.1657631359466</v>
      </c>
      <c r="P103" s="12" t="n">
        <f aca="false">IFERROR(Inputs!P4/Inputs!P37*100,"n/d")</f>
        <v>38.1907469630395</v>
      </c>
      <c r="Q103" s="1"/>
    </row>
    <row r="104" customFormat="false" ht="15" hidden="false" customHeight="false" outlineLevel="0" collapsed="false">
      <c r="B104" s="3" t="s">
        <v>44</v>
      </c>
      <c r="E104" s="3" t="s">
        <v>42</v>
      </c>
      <c r="F104" s="3" t="s">
        <v>103</v>
      </c>
      <c r="G104" s="3" t="s">
        <v>103</v>
      </c>
      <c r="H104" s="3" t="s">
        <v>103</v>
      </c>
      <c r="I104" s="3" t="s">
        <v>103</v>
      </c>
      <c r="J104" s="3" t="s">
        <v>103</v>
      </c>
      <c r="K104" s="3" t="s">
        <v>103</v>
      </c>
      <c r="L104" s="3" t="s">
        <v>103</v>
      </c>
      <c r="M104" s="3" t="s">
        <v>103</v>
      </c>
      <c r="N104" s="3" t="s">
        <v>103</v>
      </c>
      <c r="O104" s="3" t="s">
        <v>103</v>
      </c>
      <c r="P104" s="3" t="s">
        <v>103</v>
      </c>
    </row>
    <row r="105" customFormat="false" ht="15" hidden="false" customHeight="false" outlineLevel="0" collapsed="false">
      <c r="A105" s="0" t="s">
        <v>192</v>
      </c>
      <c r="B105" s="0" t="s">
        <v>193</v>
      </c>
      <c r="C105" s="0" t="s">
        <v>72</v>
      </c>
      <c r="E105" s="10" t="s">
        <v>42</v>
      </c>
      <c r="F105" s="10" t="s">
        <v>42</v>
      </c>
      <c r="G105" s="10" t="s">
        <v>42</v>
      </c>
      <c r="H105" s="10" t="s">
        <v>42</v>
      </c>
      <c r="I105" s="10" t="s">
        <v>42</v>
      </c>
      <c r="J105" s="16" t="n">
        <f aca="false">IFERROR((Inputs!J4/Inputs!F4-1)*100,"n/d")</f>
        <v>48.9971346704871</v>
      </c>
      <c r="K105" s="16" t="n">
        <f aca="false">IFERROR((Inputs!K4/Inputs!G4-1)*100,"n/d")</f>
        <v>51.9995939910678</v>
      </c>
      <c r="L105" s="16" t="n">
        <f aca="false">IFERROR((Inputs!L4/Inputs!H4-1)*100,"n/d")</f>
        <v>55.3853296193129</v>
      </c>
      <c r="M105" s="16" t="n">
        <f aca="false">IFERROR((Inputs!M4/Inputs!I4-1)*100,"n/d")</f>
        <v>67.5842235004108</v>
      </c>
      <c r="N105" s="16" t="n">
        <f aca="false">IFERROR((Inputs!N4/Inputs!J4-1)*100,"n/d")</f>
        <v>84.3137254901961</v>
      </c>
      <c r="O105" s="16" t="n">
        <f aca="false">IFERROR((Inputs!O4/Inputs!K4-1)*100,"n/d")</f>
        <v>93.2220367278798</v>
      </c>
      <c r="P105" s="16" t="n">
        <f aca="false">IFERROR((Inputs!P4/Inputs!L4-1)*100,"n/d")</f>
        <v>120.734986555124</v>
      </c>
      <c r="Q105" s="1" t="s">
        <v>194</v>
      </c>
    </row>
    <row r="106" customFormat="false" ht="15" hidden="false" customHeight="false" outlineLevel="0" collapsed="false">
      <c r="B106" s="3" t="s">
        <v>44</v>
      </c>
      <c r="E106" s="3" t="s">
        <v>42</v>
      </c>
      <c r="F106" s="3" t="s">
        <v>42</v>
      </c>
      <c r="G106" s="3" t="s">
        <v>42</v>
      </c>
      <c r="H106" s="3" t="s">
        <v>42</v>
      </c>
      <c r="I106" s="3" t="s">
        <v>42</v>
      </c>
      <c r="J106" s="3" t="s">
        <v>103</v>
      </c>
      <c r="K106" s="3" t="s">
        <v>103</v>
      </c>
      <c r="L106" s="3" t="s">
        <v>103</v>
      </c>
      <c r="M106" s="3" t="s">
        <v>103</v>
      </c>
      <c r="N106" s="3" t="s">
        <v>103</v>
      </c>
      <c r="O106" s="3" t="s">
        <v>103</v>
      </c>
      <c r="P106" s="3" t="s">
        <v>103</v>
      </c>
    </row>
    <row r="107" customFormat="false" ht="15" hidden="false" customHeight="false" outlineLevel="0" collapsed="false">
      <c r="A107" s="0" t="s">
        <v>195</v>
      </c>
      <c r="B107" s="0" t="s">
        <v>196</v>
      </c>
      <c r="C107" s="0" t="s">
        <v>72</v>
      </c>
      <c r="E107" s="10" t="s">
        <v>42</v>
      </c>
      <c r="F107" s="16" t="n">
        <f aca="false">IFERROR(Inputs!F7/Inputs!F37*100,"n/d")</f>
        <v>12.605421686747</v>
      </c>
      <c r="G107" s="16" t="n">
        <f aca="false">IFERROR(Inputs!G7/Inputs!G37*100,"n/d")</f>
        <v>19.5842374186323</v>
      </c>
      <c r="H107" s="16" t="n">
        <f aca="false">IFERROR(Inputs!H7/Inputs!H37*100,"n/d")</f>
        <v>17.3066806943714</v>
      </c>
      <c r="I107" s="16" t="n">
        <f aca="false">IFERROR(Inputs!I7/Inputs!I37*100,"n/d")</f>
        <v>28.2381392702184</v>
      </c>
      <c r="J107" s="16" t="n">
        <f aca="false">IFERROR(Inputs!J7/Inputs!J37*100,"n/d")</f>
        <v>41.4861995753716</v>
      </c>
      <c r="K107" s="16" t="n">
        <f aca="false">IFERROR(Inputs!K7/Inputs!K37*100,"n/d")</f>
        <v>57.0961453813746</v>
      </c>
      <c r="L107" s="16" t="n">
        <f aca="false">IFERROR(Inputs!L7/Inputs!L37*100,"n/d")</f>
        <v>56.9610076376792</v>
      </c>
      <c r="M107" s="16" t="n">
        <f aca="false">IFERROR(Inputs!M7/Inputs!M37*100,"n/d")</f>
        <v>74.9346120313862</v>
      </c>
      <c r="N107" s="16" t="n">
        <f aca="false">IFERROR(Inputs!N7/Inputs!N37*100,"n/d")</f>
        <v>108.406050029087</v>
      </c>
      <c r="O107" s="16" t="n">
        <f aca="false">IFERROR(Inputs!O7/Inputs!O37*100,"n/d")</f>
        <v>85.9726855713094</v>
      </c>
      <c r="P107" s="16" t="n">
        <f aca="false">IFERROR(Inputs!P7/Inputs!P37*100,"n/d")</f>
        <v>147.319720858103</v>
      </c>
      <c r="Q107" s="1" t="s">
        <v>197</v>
      </c>
    </row>
    <row r="108" customFormat="false" ht="15" hidden="false" customHeight="false" outlineLevel="0" collapsed="false">
      <c r="B108" s="3" t="s">
        <v>44</v>
      </c>
      <c r="E108" s="3" t="s">
        <v>42</v>
      </c>
      <c r="F108" s="3" t="s">
        <v>103</v>
      </c>
      <c r="G108" s="3" t="s">
        <v>103</v>
      </c>
      <c r="H108" s="3" t="s">
        <v>103</v>
      </c>
      <c r="I108" s="3" t="s">
        <v>103</v>
      </c>
      <c r="J108" s="3" t="s">
        <v>103</v>
      </c>
      <c r="K108" s="3" t="s">
        <v>103</v>
      </c>
      <c r="L108" s="3" t="s">
        <v>103</v>
      </c>
      <c r="M108" s="3" t="s">
        <v>103</v>
      </c>
      <c r="N108" s="3" t="s">
        <v>103</v>
      </c>
      <c r="O108" s="3" t="s">
        <v>103</v>
      </c>
      <c r="P108" s="3" t="s">
        <v>103</v>
      </c>
    </row>
    <row r="109" customFormat="false" ht="28.35" hidden="false" customHeight="false" outlineLevel="0" collapsed="false">
      <c r="A109" s="0" t="s">
        <v>198</v>
      </c>
      <c r="B109" s="0" t="s">
        <v>199</v>
      </c>
      <c r="C109" s="0" t="s">
        <v>200</v>
      </c>
      <c r="E109" s="10" t="s">
        <v>42</v>
      </c>
      <c r="F109" s="10" t="s">
        <v>42</v>
      </c>
      <c r="G109" s="10" t="s">
        <v>42</v>
      </c>
      <c r="H109" s="10" t="s">
        <v>42</v>
      </c>
      <c r="I109" s="10" t="s">
        <v>42</v>
      </c>
      <c r="J109" s="10" t="s">
        <v>42</v>
      </c>
      <c r="K109" s="10" t="s">
        <v>42</v>
      </c>
      <c r="L109" s="10" t="s">
        <v>42</v>
      </c>
      <c r="M109" s="10" t="s">
        <v>42</v>
      </c>
      <c r="N109" s="10" t="s">
        <v>42</v>
      </c>
      <c r="O109" s="10" t="s">
        <v>42</v>
      </c>
      <c r="P109" s="16" t="n">
        <f aca="false">IFERROR(Inputs!P39/Inputs!P13,"n/d")</f>
        <v>352.941176470588</v>
      </c>
      <c r="Q109" s="1" t="s">
        <v>201</v>
      </c>
    </row>
    <row r="110" customFormat="false" ht="15" hidden="false" customHeight="false" outlineLevel="0" collapsed="false">
      <c r="B110" s="3" t="s">
        <v>44</v>
      </c>
      <c r="E110" s="3" t="s">
        <v>42</v>
      </c>
      <c r="F110" s="3" t="s">
        <v>42</v>
      </c>
      <c r="G110" s="3" t="s">
        <v>42</v>
      </c>
      <c r="H110" s="3" t="s">
        <v>42</v>
      </c>
      <c r="I110" s="3" t="s">
        <v>42</v>
      </c>
      <c r="J110" s="3" t="s">
        <v>42</v>
      </c>
      <c r="K110" s="3" t="s">
        <v>42</v>
      </c>
      <c r="L110" s="3" t="s">
        <v>42</v>
      </c>
      <c r="M110" s="3" t="s">
        <v>42</v>
      </c>
      <c r="N110" s="3" t="s">
        <v>42</v>
      </c>
      <c r="O110" s="3" t="s">
        <v>42</v>
      </c>
      <c r="P110" s="3" t="s">
        <v>103</v>
      </c>
    </row>
    <row r="111" customFormat="false" ht="28.35" hidden="false" customHeight="false" outlineLevel="0" collapsed="false">
      <c r="A111" s="0" t="s">
        <v>202</v>
      </c>
      <c r="B111" s="0" t="s">
        <v>203</v>
      </c>
      <c r="C111" s="0" t="s">
        <v>72</v>
      </c>
      <c r="E111" s="8" t="s">
        <v>42</v>
      </c>
      <c r="F111" s="8" t="s">
        <v>42</v>
      </c>
      <c r="G111" s="8" t="s">
        <v>42</v>
      </c>
      <c r="H111" s="8" t="s">
        <v>42</v>
      </c>
      <c r="I111" s="8" t="s">
        <v>42</v>
      </c>
      <c r="J111" s="8" t="s">
        <v>42</v>
      </c>
      <c r="K111" s="12" t="n">
        <f aca="false">IFERROR(SUM(Inputs!H6:K6)/((Inputs!G49+Inputs!K49)/2)*100,"n/d")</f>
        <v>10.7077587639143</v>
      </c>
      <c r="L111" s="8" t="s">
        <v>42</v>
      </c>
      <c r="M111" s="8" t="s">
        <v>42</v>
      </c>
      <c r="N111" s="8" t="s">
        <v>42</v>
      </c>
      <c r="O111" s="12" t="n">
        <f aca="false">IFERROR(SUM(Inputs!L6:O6)/((Inputs!K49+Inputs!O49)/2)*100,"n/d")</f>
        <v>12.1267558581632</v>
      </c>
      <c r="P111" s="8" t="s">
        <v>42</v>
      </c>
      <c r="Q111" s="1" t="s">
        <v>204</v>
      </c>
    </row>
    <row r="112" customFormat="false" ht="15" hidden="false" customHeight="false" outlineLevel="0" collapsed="false">
      <c r="B112" s="3" t="s">
        <v>44</v>
      </c>
      <c r="E112" s="3" t="s">
        <v>42</v>
      </c>
      <c r="F112" s="3" t="s">
        <v>42</v>
      </c>
      <c r="G112" s="3" t="s">
        <v>42</v>
      </c>
      <c r="H112" s="3" t="s">
        <v>42</v>
      </c>
      <c r="I112" s="3" t="s">
        <v>42</v>
      </c>
      <c r="J112" s="3" t="s">
        <v>42</v>
      </c>
      <c r="K112" s="3" t="s">
        <v>103</v>
      </c>
      <c r="L112" s="3" t="s">
        <v>42</v>
      </c>
      <c r="M112" s="3" t="s">
        <v>42</v>
      </c>
      <c r="N112" s="3" t="s">
        <v>42</v>
      </c>
      <c r="O112" s="3" t="s">
        <v>103</v>
      </c>
      <c r="P112" s="3" t="s">
        <v>42</v>
      </c>
    </row>
    <row r="113" customFormat="false" ht="15" hidden="false" customHeight="false" outlineLevel="0" collapsed="false">
      <c r="A113" s="0" t="s">
        <v>205</v>
      </c>
      <c r="B113" s="0" t="s">
        <v>206</v>
      </c>
      <c r="C113" s="0" t="s">
        <v>53</v>
      </c>
      <c r="E113" s="7" t="s">
        <v>42</v>
      </c>
      <c r="F113" s="7" t="s">
        <v>42</v>
      </c>
      <c r="G113" s="7" t="s">
        <v>42</v>
      </c>
      <c r="H113" s="7" t="s">
        <v>42</v>
      </c>
      <c r="I113" s="7" t="s">
        <v>42</v>
      </c>
      <c r="J113" s="17" t="n">
        <f aca="false">IFERROR(SUM(Inputs!G46:J46)/((Inputs!J4-Inputs!F4)*4),"n/d")</f>
        <v>4.28075908726064</v>
      </c>
      <c r="K113" s="17" t="n">
        <f aca="false">IFERROR(SUM(Inputs!H46:K46)/((Inputs!K4-Inputs!G4)*4),"n/d")</f>
        <v>5.17641030646106</v>
      </c>
      <c r="L113" s="17" t="n">
        <f aca="false">IFERROR(SUM(Inputs!I46:L46)/((Inputs!L4-Inputs!H4)*4),"n/d")</f>
        <v>5.74476110645432</v>
      </c>
      <c r="M113" s="17" t="n">
        <f aca="false">IFERROR(SUM(Inputs!J46:M46)/((Inputs!M4-Inputs!I4)*4),"n/d")</f>
        <v>5.39164133738602</v>
      </c>
      <c r="N113" s="17" t="n">
        <f aca="false">IFERROR(SUM(Inputs!K46:N46)/((Inputs!N4-Inputs!J4)*4),"n/d")</f>
        <v>5.39467799642218</v>
      </c>
      <c r="O113" s="17" t="n">
        <f aca="false">IFERROR(SUM(Inputs!L46:O46)/((Inputs!O4-Inputs!K4)*4),"n/d")</f>
        <v>4.98415114613181</v>
      </c>
      <c r="P113" s="17" t="n">
        <f aca="false">IFERROR(SUM(Inputs!M46:P46)/((Inputs!P4-Inputs!L4)*4),"n/d")</f>
        <v>4.6807720861173</v>
      </c>
      <c r="Q113" s="1" t="s">
        <v>207</v>
      </c>
    </row>
    <row r="114" customFormat="false" ht="15" hidden="false" customHeight="false" outlineLevel="0" collapsed="false">
      <c r="B114" s="3" t="s">
        <v>44</v>
      </c>
      <c r="E114" s="3" t="s">
        <v>42</v>
      </c>
      <c r="F114" s="3" t="s">
        <v>42</v>
      </c>
      <c r="G114" s="3" t="s">
        <v>42</v>
      </c>
      <c r="H114" s="3" t="s">
        <v>42</v>
      </c>
      <c r="I114" s="3" t="s">
        <v>42</v>
      </c>
      <c r="J114" s="3" t="s">
        <v>80</v>
      </c>
      <c r="K114" s="3" t="s">
        <v>80</v>
      </c>
      <c r="L114" s="3" t="s">
        <v>80</v>
      </c>
      <c r="M114" s="3" t="s">
        <v>80</v>
      </c>
      <c r="N114" s="3" t="s">
        <v>80</v>
      </c>
      <c r="O114" s="3" t="s">
        <v>80</v>
      </c>
      <c r="P114" s="3" t="s">
        <v>80</v>
      </c>
    </row>
    <row r="115" customFormat="false" ht="15" hidden="false" customHeight="false" outlineLevel="0" collapsed="false">
      <c r="A115" s="0" t="s">
        <v>208</v>
      </c>
      <c r="B115" s="0" t="s">
        <v>209</v>
      </c>
      <c r="C115" s="0" t="s">
        <v>210</v>
      </c>
      <c r="E115" s="10" t="s">
        <v>42</v>
      </c>
      <c r="F115" s="10" t="s">
        <v>42</v>
      </c>
      <c r="G115" s="10" t="s">
        <v>42</v>
      </c>
      <c r="H115" s="10" t="s">
        <v>42</v>
      </c>
      <c r="I115" s="10" t="s">
        <v>42</v>
      </c>
      <c r="J115" s="10" t="s">
        <v>42</v>
      </c>
      <c r="K115" s="10" t="s">
        <v>42</v>
      </c>
      <c r="L115" s="14" t="n">
        <f aca="false">IFERROR(Inputs!L48,"n/d")</f>
        <v>110</v>
      </c>
      <c r="M115" s="14" t="n">
        <f aca="false">IFERROR(Inputs!M48,"n/d")</f>
        <v>510</v>
      </c>
      <c r="N115" s="14" t="n">
        <f aca="false">IFERROR(Inputs!N48,"n/d")</f>
        <v>910</v>
      </c>
      <c r="O115" s="14" t="n">
        <f aca="false">IFERROR(Inputs!O48,"n/d")</f>
        <v>1200</v>
      </c>
      <c r="P115" s="14" t="n">
        <f aca="false">IFERROR(Inputs!P48,"n/d")</f>
        <v>2050</v>
      </c>
      <c r="Q115" s="1" t="s">
        <v>211</v>
      </c>
    </row>
    <row r="116" customFormat="false" ht="15" hidden="false" customHeight="false" outlineLevel="0" collapsed="false">
      <c r="B116" s="3" t="s">
        <v>44</v>
      </c>
      <c r="E116" s="3" t="s">
        <v>42</v>
      </c>
      <c r="F116" s="3" t="s">
        <v>42</v>
      </c>
      <c r="G116" s="3" t="s">
        <v>42</v>
      </c>
      <c r="H116" s="3" t="s">
        <v>42</v>
      </c>
      <c r="I116" s="3" t="s">
        <v>42</v>
      </c>
      <c r="J116" s="3" t="s">
        <v>42</v>
      </c>
      <c r="K116" s="3" t="s">
        <v>42</v>
      </c>
      <c r="L116" s="3" t="s">
        <v>80</v>
      </c>
      <c r="M116" s="3" t="s">
        <v>80</v>
      </c>
      <c r="N116" s="3" t="s">
        <v>80</v>
      </c>
      <c r="O116" s="3" t="s">
        <v>80</v>
      </c>
      <c r="P116" s="3" t="s">
        <v>80</v>
      </c>
    </row>
    <row r="117" customFormat="false" ht="15" hidden="false" customHeight="false" outlineLevel="0" collapsed="false">
      <c r="A117" s="0" t="s">
        <v>212</v>
      </c>
      <c r="B117" s="0" t="s">
        <v>213</v>
      </c>
      <c r="C117" s="0" t="s">
        <v>112</v>
      </c>
      <c r="E117" s="10" t="s">
        <v>42</v>
      </c>
      <c r="F117" s="10" t="s">
        <v>42</v>
      </c>
      <c r="G117" s="10" t="s">
        <v>42</v>
      </c>
      <c r="H117" s="10" t="s">
        <v>42</v>
      </c>
      <c r="I117" s="10" t="s">
        <v>42</v>
      </c>
      <c r="J117" s="11" t="n">
        <f aca="false">IFERROR(Inputs!J40,"n/d")</f>
        <v>48.4</v>
      </c>
      <c r="K117" s="11" t="n">
        <f aca="false">IFERROR(Inputs!K40,"n/d")</f>
        <v>43.4</v>
      </c>
      <c r="L117" s="11" t="n">
        <f aca="false">IFERROR(Inputs!L40,"n/d")</f>
        <v>99.8</v>
      </c>
      <c r="M117" s="11" t="n">
        <f aca="false">IFERROR(Inputs!M40,"n/d")</f>
        <v>248</v>
      </c>
      <c r="N117" s="11" t="n">
        <f aca="false">IFERROR(Inputs!N40,"n/d")</f>
        <v>261</v>
      </c>
      <c r="O117" s="11" t="n">
        <f aca="false">IFERROR(Inputs!O40,"n/d")</f>
        <v>260</v>
      </c>
      <c r="P117" s="11" t="n">
        <f aca="false">IFERROR(Inputs!P40,"n/d")</f>
        <v>288</v>
      </c>
      <c r="Q117" s="1" t="s">
        <v>214</v>
      </c>
    </row>
    <row r="118" customFormat="false" ht="15" hidden="false" customHeight="false" outlineLevel="0" collapsed="false">
      <c r="B118" s="3" t="s">
        <v>44</v>
      </c>
      <c r="E118" s="3" t="s">
        <v>42</v>
      </c>
      <c r="F118" s="3" t="s">
        <v>42</v>
      </c>
      <c r="G118" s="3" t="s">
        <v>42</v>
      </c>
      <c r="H118" s="3" t="s">
        <v>42</v>
      </c>
      <c r="I118" s="3" t="s">
        <v>42</v>
      </c>
      <c r="J118" s="3" t="s">
        <v>99</v>
      </c>
      <c r="K118" s="3" t="s">
        <v>99</v>
      </c>
      <c r="L118" s="3" t="s">
        <v>99</v>
      </c>
      <c r="M118" s="3" t="s">
        <v>99</v>
      </c>
      <c r="N118" s="3" t="s">
        <v>99</v>
      </c>
      <c r="O118" s="3" t="s">
        <v>99</v>
      </c>
      <c r="P118" s="3" t="s">
        <v>99</v>
      </c>
    </row>
    <row r="119" customFormat="false" ht="28.35" hidden="false" customHeight="false" outlineLevel="0" collapsed="false">
      <c r="A119" s="0" t="s">
        <v>215</v>
      </c>
      <c r="B119" s="0" t="s">
        <v>216</v>
      </c>
      <c r="C119" s="0" t="s">
        <v>112</v>
      </c>
      <c r="E119" s="8" t="s">
        <v>42</v>
      </c>
      <c r="F119" s="12" t="n">
        <f aca="false">IFERROR(Inputs!F18-Inputs!E18,"n/d")</f>
        <v>14.7</v>
      </c>
      <c r="G119" s="12" t="n">
        <f aca="false">IFERROR(Inputs!G18-Inputs!F18,"n/d")</f>
        <v>17.7</v>
      </c>
      <c r="H119" s="12" t="n">
        <f aca="false">IFERROR(Inputs!H18-Inputs!G18,"n/d")</f>
        <v>1.19999999999999</v>
      </c>
      <c r="I119" s="12" t="n">
        <f aca="false">IFERROR(Inputs!I18-Inputs!H18,"n/d")</f>
        <v>-1.8</v>
      </c>
      <c r="J119" s="12" t="n">
        <f aca="false">IFERROR(Inputs!J18-Inputs!I18,"n/d")</f>
        <v>32.9</v>
      </c>
      <c r="K119" s="12" t="n">
        <f aca="false">IFERROR(Inputs!K18-Inputs!J18,"n/d")</f>
        <v>7.60000000000002</v>
      </c>
      <c r="L119" s="12" t="n">
        <f aca="false">IFERROR(Inputs!L18-Inputs!K18,"n/d")</f>
        <v>317.5</v>
      </c>
      <c r="M119" s="12" t="n">
        <f aca="false">IFERROR(Inputs!M18-Inputs!L18,"n/d")</f>
        <v>67.9999999999999</v>
      </c>
      <c r="N119" s="12" t="n">
        <f aca="false">IFERROR(Inputs!N18-Inputs!M18,"n/d")</f>
        <v>29.3000000000001</v>
      </c>
      <c r="O119" s="12" t="n">
        <f aca="false">IFERROR(Inputs!O18-Inputs!N18,"n/d")</f>
        <v>85.4</v>
      </c>
      <c r="P119" s="12" t="n">
        <f aca="false">IFERROR(Inputs!P18-Inputs!O18,"n/d")</f>
        <v>26</v>
      </c>
      <c r="Q119" s="1" t="s">
        <v>217</v>
      </c>
    </row>
    <row r="120" customFormat="false" ht="15" hidden="false" customHeight="false" outlineLevel="0" collapsed="false">
      <c r="B120" s="3" t="s">
        <v>44</v>
      </c>
      <c r="E120" s="3" t="s">
        <v>42</v>
      </c>
      <c r="F120" s="3" t="s">
        <v>103</v>
      </c>
      <c r="G120" s="3" t="s">
        <v>103</v>
      </c>
      <c r="H120" s="3" t="s">
        <v>103</v>
      </c>
      <c r="I120" s="3" t="s">
        <v>103</v>
      </c>
      <c r="J120" s="3" t="s">
        <v>103</v>
      </c>
      <c r="K120" s="3" t="s">
        <v>103</v>
      </c>
      <c r="L120" s="3" t="s">
        <v>103</v>
      </c>
      <c r="M120" s="3" t="s">
        <v>103</v>
      </c>
      <c r="N120" s="3" t="s">
        <v>103</v>
      </c>
      <c r="O120" s="3" t="s">
        <v>103</v>
      </c>
      <c r="P120" s="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16" min="5" style="0" width="10"/>
    <col collapsed="false" customWidth="true" hidden="false" outlineLevel="0" max="17" min="17" style="0" width="90"/>
  </cols>
  <sheetData>
    <row r="1" customFormat="false" ht="15" hidden="false" customHeight="false" outlineLevel="0" collapsed="false">
      <c r="A1" s="2" t="s">
        <v>218</v>
      </c>
    </row>
    <row r="2" customFormat="false" ht="15" hidden="false" customHeight="false" outlineLevel="0" collapsed="false"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</row>
    <row r="3" customFormat="false" ht="15" hidden="false" customHeight="false" outlineLevel="0" collapsed="false">
      <c r="A3" s="4" t="s">
        <v>20</v>
      </c>
      <c r="B3" s="4" t="s">
        <v>219</v>
      </c>
      <c r="C3" s="4" t="s">
        <v>22</v>
      </c>
      <c r="D3" s="4" t="s">
        <v>220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221</v>
      </c>
    </row>
    <row r="4" customFormat="false" ht="68.65" hidden="false" customHeight="false" outlineLevel="0" collapsed="false">
      <c r="A4" s="0" t="s">
        <v>222</v>
      </c>
      <c r="B4" s="0" t="s">
        <v>223</v>
      </c>
      <c r="C4" s="0" t="s">
        <v>224</v>
      </c>
      <c r="D4" s="0" t="s">
        <v>225</v>
      </c>
      <c r="E4" s="3" t="s">
        <v>42</v>
      </c>
      <c r="F4" s="18" t="n">
        <v>1779.9</v>
      </c>
      <c r="G4" s="18" t="n">
        <v>1970.4</v>
      </c>
      <c r="H4" s="19" t="n">
        <v>2154</v>
      </c>
      <c r="I4" s="19" t="n">
        <v>2434</v>
      </c>
      <c r="J4" s="19" t="n">
        <v>2652</v>
      </c>
      <c r="K4" s="19" t="n">
        <v>2995</v>
      </c>
      <c r="L4" s="19" t="n">
        <v>3347</v>
      </c>
      <c r="M4" s="19" t="n">
        <v>4079</v>
      </c>
      <c r="N4" s="19" t="n">
        <v>4888</v>
      </c>
      <c r="O4" s="19" t="n">
        <v>5787</v>
      </c>
      <c r="P4" s="19" t="n">
        <v>7388</v>
      </c>
      <c r="Q4" s="1" t="s">
        <v>226</v>
      </c>
    </row>
    <row r="5" customFormat="false" ht="28.35" hidden="false" customHeight="false" outlineLevel="0" collapsed="false">
      <c r="A5" s="0" t="s">
        <v>227</v>
      </c>
      <c r="B5" s="0" t="s">
        <v>228</v>
      </c>
      <c r="C5" s="0" t="s">
        <v>224</v>
      </c>
      <c r="D5" s="0" t="s">
        <v>42</v>
      </c>
      <c r="E5" s="3" t="s">
        <v>42</v>
      </c>
      <c r="F5" s="3" t="s">
        <v>42</v>
      </c>
      <c r="G5" s="3" t="s">
        <v>42</v>
      </c>
      <c r="H5" s="3" t="s">
        <v>42</v>
      </c>
      <c r="I5" s="3" t="s">
        <v>42</v>
      </c>
      <c r="J5" s="3" t="s">
        <v>42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1" t="s">
        <v>229</v>
      </c>
    </row>
    <row r="6" customFormat="false" ht="82.05" hidden="false" customHeight="false" outlineLevel="0" collapsed="false">
      <c r="A6" s="0" t="s">
        <v>230</v>
      </c>
      <c r="B6" s="0" t="s">
        <v>231</v>
      </c>
      <c r="C6" s="0" t="s">
        <v>224</v>
      </c>
      <c r="D6" s="0" t="s">
        <v>225</v>
      </c>
      <c r="E6" s="3" t="s">
        <v>42</v>
      </c>
      <c r="F6" s="18" t="n">
        <v>808</v>
      </c>
      <c r="G6" s="18" t="n">
        <v>811</v>
      </c>
      <c r="H6" s="19" t="n">
        <v>804</v>
      </c>
      <c r="I6" s="18" t="n">
        <v>908</v>
      </c>
      <c r="J6" s="18" t="n">
        <v>1003</v>
      </c>
      <c r="K6" s="18" t="n">
        <v>1152</v>
      </c>
      <c r="L6" s="19" t="n">
        <v>1351</v>
      </c>
      <c r="M6" s="18" t="n">
        <v>1704</v>
      </c>
      <c r="N6" s="18" t="n">
        <v>2153</v>
      </c>
      <c r="O6" s="18" t="n">
        <v>2415</v>
      </c>
      <c r="P6" s="19" t="n">
        <v>3156</v>
      </c>
      <c r="Q6" s="1" t="s">
        <v>232</v>
      </c>
    </row>
    <row r="7" customFormat="false" ht="95.5" hidden="false" customHeight="false" outlineLevel="0" collapsed="false">
      <c r="A7" s="0" t="s">
        <v>233</v>
      </c>
      <c r="B7" s="0" t="s">
        <v>234</v>
      </c>
      <c r="C7" s="0" t="s">
        <v>224</v>
      </c>
      <c r="D7" s="0" t="s">
        <v>225</v>
      </c>
      <c r="E7" s="3" t="s">
        <v>42</v>
      </c>
      <c r="F7" s="18" t="n">
        <v>1674</v>
      </c>
      <c r="G7" s="18" t="n">
        <v>2798</v>
      </c>
      <c r="H7" s="19" t="n">
        <v>2303</v>
      </c>
      <c r="I7" s="18" t="n">
        <v>3970</v>
      </c>
      <c r="J7" s="18" t="n">
        <v>5862</v>
      </c>
      <c r="K7" s="18" t="n">
        <v>9080</v>
      </c>
      <c r="L7" s="19" t="n">
        <v>8502</v>
      </c>
      <c r="M7" s="18" t="n">
        <v>12033</v>
      </c>
      <c r="N7" s="18" t="n">
        <v>18635</v>
      </c>
      <c r="O7" s="18" t="n">
        <v>16493</v>
      </c>
      <c r="P7" s="19" t="n">
        <v>28499</v>
      </c>
      <c r="Q7" s="1" t="s">
        <v>235</v>
      </c>
    </row>
    <row r="8" customFormat="false" ht="28.35" hidden="false" customHeight="false" outlineLevel="0" collapsed="false">
      <c r="A8" s="0" t="s">
        <v>236</v>
      </c>
      <c r="B8" s="0" t="s">
        <v>237</v>
      </c>
      <c r="C8" s="0" t="s">
        <v>224</v>
      </c>
      <c r="D8" s="0" t="s">
        <v>99</v>
      </c>
      <c r="E8" s="3" t="s">
        <v>42</v>
      </c>
      <c r="F8" s="3" t="s">
        <v>42</v>
      </c>
      <c r="G8" s="19" t="n">
        <v>34818</v>
      </c>
      <c r="H8" s="3" t="s">
        <v>42</v>
      </c>
      <c r="I8" s="3" t="s">
        <v>42</v>
      </c>
      <c r="J8" s="3" t="s">
        <v>42</v>
      </c>
      <c r="K8" s="19" t="n">
        <v>59554</v>
      </c>
      <c r="L8" s="3" t="s">
        <v>42</v>
      </c>
      <c r="M8" s="3" t="s">
        <v>42</v>
      </c>
      <c r="N8" s="3" t="s">
        <v>42</v>
      </c>
      <c r="O8" s="19" t="n">
        <v>122651</v>
      </c>
      <c r="P8" s="19" t="n">
        <v>153596</v>
      </c>
      <c r="Q8" s="1" t="s">
        <v>238</v>
      </c>
    </row>
    <row r="9" customFormat="false" ht="28.35" hidden="false" customHeight="false" outlineLevel="0" collapsed="false">
      <c r="A9" s="0" t="s">
        <v>239</v>
      </c>
      <c r="B9" s="0" t="s">
        <v>240</v>
      </c>
      <c r="C9" s="0" t="s">
        <v>224</v>
      </c>
      <c r="D9" s="0" t="s">
        <v>99</v>
      </c>
      <c r="E9" s="3" t="s">
        <v>42</v>
      </c>
      <c r="F9" s="3" t="s">
        <v>42</v>
      </c>
      <c r="G9" s="19" t="n">
        <v>5634</v>
      </c>
      <c r="H9" s="3" t="s">
        <v>42</v>
      </c>
      <c r="I9" s="3" t="s">
        <v>42</v>
      </c>
      <c r="J9" s="3" t="s">
        <v>42</v>
      </c>
      <c r="K9" s="19" t="n">
        <v>16510</v>
      </c>
      <c r="L9" s="3" t="s">
        <v>42</v>
      </c>
      <c r="M9" s="3" t="s">
        <v>42</v>
      </c>
      <c r="N9" s="3" t="s">
        <v>42</v>
      </c>
      <c r="O9" s="19" t="n">
        <v>39973</v>
      </c>
      <c r="P9" s="19" t="n">
        <v>48546</v>
      </c>
      <c r="Q9" s="1" t="s">
        <v>238</v>
      </c>
    </row>
    <row r="10" customFormat="false" ht="55.2" hidden="false" customHeight="false" outlineLevel="0" collapsed="false">
      <c r="A10" s="0" t="s">
        <v>241</v>
      </c>
      <c r="B10" s="0" t="s">
        <v>242</v>
      </c>
      <c r="C10" s="0" t="s">
        <v>224</v>
      </c>
      <c r="D10" s="0" t="s">
        <v>99</v>
      </c>
      <c r="E10" s="19" t="n">
        <v>18009</v>
      </c>
      <c r="F10" s="19" t="n">
        <v>19117</v>
      </c>
      <c r="G10" s="19" t="n">
        <v>21536</v>
      </c>
      <c r="H10" s="19" t="n">
        <v>23094</v>
      </c>
      <c r="I10" s="19" t="n">
        <v>26432</v>
      </c>
      <c r="J10" s="19" t="n">
        <v>31970</v>
      </c>
      <c r="K10" s="19" t="n">
        <v>43522</v>
      </c>
      <c r="L10" s="19" t="n">
        <v>53194</v>
      </c>
      <c r="M10" s="19" t="n">
        <v>67875</v>
      </c>
      <c r="N10" s="19" t="n">
        <v>83617</v>
      </c>
      <c r="O10" s="19" t="n">
        <v>99957</v>
      </c>
      <c r="P10" s="19" t="n">
        <v>127845</v>
      </c>
      <c r="Q10" s="1" t="s">
        <v>243</v>
      </c>
    </row>
    <row r="11" customFormat="false" ht="28.35" hidden="false" customHeight="false" outlineLevel="0" collapsed="false">
      <c r="A11" s="0" t="s">
        <v>244</v>
      </c>
      <c r="B11" s="0" t="s">
        <v>245</v>
      </c>
      <c r="C11" s="0" t="s">
        <v>224</v>
      </c>
      <c r="D11" s="0" t="s">
        <v>99</v>
      </c>
      <c r="E11" s="3" t="s">
        <v>42</v>
      </c>
      <c r="F11" s="3" t="s">
        <v>42</v>
      </c>
      <c r="G11" s="19" t="n">
        <v>20989</v>
      </c>
      <c r="H11" s="3" t="s">
        <v>42</v>
      </c>
      <c r="I11" s="3" t="s">
        <v>42</v>
      </c>
      <c r="J11" s="3" t="s">
        <v>42</v>
      </c>
      <c r="K11" s="19" t="n">
        <v>30345</v>
      </c>
      <c r="L11" s="3" t="s">
        <v>42</v>
      </c>
      <c r="M11" s="3" t="s">
        <v>42</v>
      </c>
      <c r="N11" s="3" t="s">
        <v>42</v>
      </c>
      <c r="O11" s="19" t="n">
        <v>59634</v>
      </c>
      <c r="P11" s="19" t="n">
        <v>77755</v>
      </c>
      <c r="Q11" s="1" t="s">
        <v>238</v>
      </c>
    </row>
    <row r="12" customFormat="false" ht="28.35" hidden="false" customHeight="false" outlineLevel="0" collapsed="false">
      <c r="A12" s="0" t="s">
        <v>246</v>
      </c>
      <c r="B12" s="0" t="s">
        <v>247</v>
      </c>
      <c r="C12" s="0" t="s">
        <v>210</v>
      </c>
      <c r="D12" s="0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1" t="s">
        <v>248</v>
      </c>
    </row>
    <row r="13" customFormat="false" ht="82.05" hidden="false" customHeight="false" outlineLevel="0" collapsed="false">
      <c r="A13" s="0" t="s">
        <v>249</v>
      </c>
      <c r="B13" s="0" t="s">
        <v>250</v>
      </c>
      <c r="C13" s="0" t="s">
        <v>210</v>
      </c>
      <c r="D13" s="0" t="s">
        <v>251</v>
      </c>
      <c r="E13" s="3" t="s">
        <v>42</v>
      </c>
      <c r="F13" s="3" t="s">
        <v>42</v>
      </c>
      <c r="G13" s="3" t="s">
        <v>42</v>
      </c>
      <c r="H13" s="3" t="s">
        <v>42</v>
      </c>
      <c r="I13" s="3" t="s">
        <v>42</v>
      </c>
      <c r="J13" s="3" t="s">
        <v>42</v>
      </c>
      <c r="K13" s="3" t="s">
        <v>42</v>
      </c>
      <c r="L13" s="20" t="n">
        <v>110</v>
      </c>
      <c r="M13" s="19" t="n">
        <v>400</v>
      </c>
      <c r="N13" s="19" t="n">
        <v>400</v>
      </c>
      <c r="O13" s="20" t="n">
        <v>290</v>
      </c>
      <c r="P13" s="19" t="n">
        <v>850</v>
      </c>
      <c r="Q13" s="1" t="s">
        <v>252</v>
      </c>
    </row>
    <row r="14" customFormat="false" ht="28.35" hidden="false" customHeight="false" outlineLevel="0" collapsed="false">
      <c r="A14" s="0" t="s">
        <v>253</v>
      </c>
      <c r="B14" s="0" t="s">
        <v>254</v>
      </c>
      <c r="C14" s="0" t="s">
        <v>210</v>
      </c>
      <c r="D14" s="0" t="s">
        <v>42</v>
      </c>
      <c r="E14" s="3" t="s">
        <v>42</v>
      </c>
      <c r="F14" s="3" t="s">
        <v>42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1" t="s">
        <v>255</v>
      </c>
    </row>
    <row r="15" customFormat="false" ht="28.35" hidden="false" customHeight="false" outlineLevel="0" collapsed="false">
      <c r="A15" s="0" t="s">
        <v>256</v>
      </c>
      <c r="B15" s="0" t="s">
        <v>257</v>
      </c>
      <c r="C15" s="0" t="s">
        <v>258</v>
      </c>
      <c r="D15" s="0" t="s">
        <v>42</v>
      </c>
      <c r="E15" s="3" t="s">
        <v>42</v>
      </c>
      <c r="F15" s="3" t="s">
        <v>42</v>
      </c>
      <c r="G15" s="3" t="s">
        <v>42</v>
      </c>
      <c r="H15" s="3" t="s">
        <v>42</v>
      </c>
      <c r="I15" s="3" t="s">
        <v>42</v>
      </c>
      <c r="J15" s="3" t="s">
        <v>42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1" t="s">
        <v>259</v>
      </c>
    </row>
    <row r="16" customFormat="false" ht="41.75" hidden="false" customHeight="false" outlineLevel="0" collapsed="false">
      <c r="A16" s="0" t="s">
        <v>260</v>
      </c>
      <c r="B16" s="0" t="s">
        <v>261</v>
      </c>
      <c r="C16" s="0" t="s">
        <v>65</v>
      </c>
      <c r="D16" s="0" t="s">
        <v>99</v>
      </c>
      <c r="E16" s="3" t="s">
        <v>42</v>
      </c>
      <c r="F16" s="3" t="s">
        <v>42</v>
      </c>
      <c r="G16" s="3" t="s">
        <v>42</v>
      </c>
      <c r="H16" s="3" t="s">
        <v>42</v>
      </c>
      <c r="I16" s="3" t="s">
        <v>42</v>
      </c>
      <c r="J16" s="3" t="s">
        <v>42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19" t="n">
        <v>10</v>
      </c>
      <c r="Q16" s="1" t="s">
        <v>262</v>
      </c>
    </row>
    <row r="17" customFormat="false" ht="28.35" hidden="false" customHeight="false" outlineLevel="0" collapsed="false">
      <c r="A17" s="0" t="s">
        <v>263</v>
      </c>
      <c r="B17" s="0" t="s">
        <v>264</v>
      </c>
      <c r="C17" s="0" t="s">
        <v>65</v>
      </c>
      <c r="D17" s="0" t="s">
        <v>99</v>
      </c>
      <c r="E17" s="3" t="s">
        <v>42</v>
      </c>
      <c r="F17" s="3" t="s">
        <v>42</v>
      </c>
      <c r="G17" s="3" t="s">
        <v>42</v>
      </c>
      <c r="H17" s="3" t="s">
        <v>42</v>
      </c>
      <c r="I17" s="3" t="s">
        <v>42</v>
      </c>
      <c r="J17" s="3" t="s">
        <v>42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19" t="n">
        <v>16</v>
      </c>
      <c r="Q17" s="1" t="s">
        <v>265</v>
      </c>
    </row>
    <row r="18" customFormat="false" ht="82.05" hidden="false" customHeight="false" outlineLevel="0" collapsed="false">
      <c r="A18" s="0" t="s">
        <v>266</v>
      </c>
      <c r="B18" s="0" t="s">
        <v>267</v>
      </c>
      <c r="C18" s="0" t="s">
        <v>112</v>
      </c>
      <c r="D18" s="0" t="s">
        <v>99</v>
      </c>
      <c r="E18" s="19" t="n">
        <v>65.5</v>
      </c>
      <c r="F18" s="19" t="n">
        <v>80.2</v>
      </c>
      <c r="G18" s="19" t="n">
        <v>97.9</v>
      </c>
      <c r="H18" s="19" t="n">
        <v>99.1</v>
      </c>
      <c r="I18" s="19" t="n">
        <v>97.3</v>
      </c>
      <c r="J18" s="19" t="n">
        <v>130.2</v>
      </c>
      <c r="K18" s="19" t="n">
        <v>137.8</v>
      </c>
      <c r="L18" s="19" t="n">
        <v>455.3</v>
      </c>
      <c r="M18" s="19" t="n">
        <v>523.3</v>
      </c>
      <c r="N18" s="19" t="n">
        <v>552.6</v>
      </c>
      <c r="O18" s="19" t="n">
        <v>638</v>
      </c>
      <c r="P18" s="19" t="n">
        <v>664</v>
      </c>
      <c r="Q18" s="1" t="s">
        <v>268</v>
      </c>
    </row>
    <row r="19" customFormat="false" ht="15" hidden="false" customHeight="false" outlineLevel="0" collapsed="false">
      <c r="A19" s="0" t="s">
        <v>269</v>
      </c>
      <c r="B19" s="0" t="s">
        <v>270</v>
      </c>
      <c r="C19" s="0" t="s">
        <v>112</v>
      </c>
      <c r="D19" s="0" t="s">
        <v>42</v>
      </c>
      <c r="E19" s="3" t="s">
        <v>42</v>
      </c>
      <c r="F19" s="3" t="s">
        <v>42</v>
      </c>
      <c r="G19" s="3" t="s">
        <v>42</v>
      </c>
      <c r="H19" s="3" t="s">
        <v>42</v>
      </c>
      <c r="I19" s="3" t="s">
        <v>42</v>
      </c>
      <c r="J19" s="3" t="s">
        <v>42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1" t="s">
        <v>271</v>
      </c>
    </row>
    <row r="20" customFormat="false" ht="68.65" hidden="false" customHeight="false" outlineLevel="0" collapsed="false">
      <c r="A20" s="0" t="s">
        <v>272</v>
      </c>
      <c r="B20" s="0" t="s">
        <v>273</v>
      </c>
      <c r="C20" s="0" t="s">
        <v>72</v>
      </c>
      <c r="D20" s="0" t="s">
        <v>80</v>
      </c>
      <c r="E20" s="3" t="s">
        <v>42</v>
      </c>
      <c r="F20" s="20" t="n">
        <v>60.5</v>
      </c>
      <c r="G20" s="20" t="n">
        <v>57</v>
      </c>
      <c r="H20" s="20" t="n">
        <v>57</v>
      </c>
      <c r="I20" s="20" t="n">
        <v>58.5</v>
      </c>
      <c r="J20" s="20" t="n">
        <v>51</v>
      </c>
      <c r="K20" s="20" t="n">
        <v>53.5</v>
      </c>
      <c r="L20" s="20" t="n">
        <v>22.5</v>
      </c>
      <c r="M20" s="20" t="n">
        <v>25</v>
      </c>
      <c r="N20" s="20" t="n">
        <v>27.5</v>
      </c>
      <c r="O20" s="20" t="n">
        <v>29</v>
      </c>
      <c r="P20" s="20" t="n">
        <v>31.5</v>
      </c>
      <c r="Q20" s="1" t="s">
        <v>274</v>
      </c>
    </row>
    <row r="21" customFormat="false" ht="28.35" hidden="false" customHeight="false" outlineLevel="0" collapsed="false">
      <c r="A21" s="0" t="s">
        <v>275</v>
      </c>
      <c r="B21" s="0" t="s">
        <v>276</v>
      </c>
      <c r="C21" s="0" t="s">
        <v>72</v>
      </c>
      <c r="D21" s="0" t="s">
        <v>42</v>
      </c>
      <c r="E21" s="3" t="s">
        <v>42</v>
      </c>
      <c r="F21" s="3" t="s">
        <v>42</v>
      </c>
      <c r="G21" s="3" t="s">
        <v>42</v>
      </c>
      <c r="H21" s="3" t="s">
        <v>42</v>
      </c>
      <c r="I21" s="3" t="s">
        <v>42</v>
      </c>
      <c r="J21" s="3" t="s">
        <v>42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1" t="s">
        <v>277</v>
      </c>
    </row>
    <row r="22" customFormat="false" ht="15" hidden="false" customHeight="false" outlineLevel="0" collapsed="false">
      <c r="A22" s="0" t="s">
        <v>278</v>
      </c>
      <c r="B22" s="0" t="s">
        <v>130</v>
      </c>
      <c r="C22" s="0" t="s">
        <v>72</v>
      </c>
      <c r="D22" s="0" t="s">
        <v>42</v>
      </c>
      <c r="E22" s="3" t="s">
        <v>42</v>
      </c>
      <c r="F22" s="3" t="s">
        <v>42</v>
      </c>
      <c r="G22" s="3" t="s">
        <v>42</v>
      </c>
      <c r="H22" s="3" t="s">
        <v>42</v>
      </c>
      <c r="I22" s="3" t="s">
        <v>42</v>
      </c>
      <c r="J22" s="3" t="s">
        <v>42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1"/>
    </row>
    <row r="23" customFormat="false" ht="15" hidden="false" customHeight="false" outlineLevel="0" collapsed="false">
      <c r="A23" s="0" t="s">
        <v>279</v>
      </c>
      <c r="B23" s="0" t="s">
        <v>280</v>
      </c>
      <c r="C23" s="0" t="s">
        <v>72</v>
      </c>
      <c r="D23" s="0" t="s">
        <v>42</v>
      </c>
      <c r="E23" s="3" t="s">
        <v>42</v>
      </c>
      <c r="F23" s="3" t="s">
        <v>42</v>
      </c>
      <c r="G23" s="3" t="s">
        <v>42</v>
      </c>
      <c r="H23" s="3" t="s">
        <v>42</v>
      </c>
      <c r="I23" s="3" t="s">
        <v>42</v>
      </c>
      <c r="J23" s="3" t="s">
        <v>42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1"/>
    </row>
    <row r="24" customFormat="false" ht="15" hidden="false" customHeight="false" outlineLevel="0" collapsed="false">
      <c r="A24" s="0" t="s">
        <v>281</v>
      </c>
      <c r="B24" s="0" t="s">
        <v>282</v>
      </c>
      <c r="C24" s="0" t="s">
        <v>135</v>
      </c>
      <c r="D24" s="0" t="s">
        <v>99</v>
      </c>
      <c r="E24" s="3" t="s">
        <v>42</v>
      </c>
      <c r="F24" s="3" t="s">
        <v>42</v>
      </c>
      <c r="G24" s="19" t="n">
        <v>0</v>
      </c>
      <c r="H24" s="3" t="s">
        <v>42</v>
      </c>
      <c r="I24" s="3" t="s">
        <v>42</v>
      </c>
      <c r="J24" s="3" t="s">
        <v>42</v>
      </c>
      <c r="K24" s="19" t="n">
        <v>0</v>
      </c>
      <c r="L24" s="3" t="s">
        <v>42</v>
      </c>
      <c r="M24" s="3" t="s">
        <v>42</v>
      </c>
      <c r="N24" s="3" t="s">
        <v>42</v>
      </c>
      <c r="O24" s="19" t="n">
        <v>0</v>
      </c>
      <c r="P24" s="3" t="s">
        <v>42</v>
      </c>
      <c r="Q24" s="1" t="s">
        <v>283</v>
      </c>
    </row>
    <row r="25" customFormat="false" ht="95.5" hidden="false" customHeight="false" outlineLevel="0" collapsed="false">
      <c r="A25" s="0" t="s">
        <v>284</v>
      </c>
      <c r="B25" s="0" t="s">
        <v>285</v>
      </c>
      <c r="C25" s="0" t="s">
        <v>224</v>
      </c>
      <c r="D25" s="0" t="s">
        <v>99</v>
      </c>
      <c r="E25" s="3" t="s">
        <v>42</v>
      </c>
      <c r="F25" s="19" t="n">
        <v>876</v>
      </c>
      <c r="G25" s="19" t="n">
        <v>878</v>
      </c>
      <c r="H25" s="19" t="n">
        <v>842</v>
      </c>
      <c r="I25" s="19" t="n">
        <v>866</v>
      </c>
      <c r="J25" s="19" t="n">
        <v>892</v>
      </c>
      <c r="K25" s="19" t="n">
        <v>978</v>
      </c>
      <c r="L25" s="19" t="n">
        <v>923</v>
      </c>
      <c r="M25" s="19" t="n">
        <v>1057</v>
      </c>
      <c r="N25" s="19" t="n">
        <v>1180</v>
      </c>
      <c r="O25" s="19" t="n">
        <v>1438</v>
      </c>
      <c r="P25" s="19" t="n">
        <v>1428</v>
      </c>
      <c r="Q25" s="1" t="s">
        <v>286</v>
      </c>
    </row>
    <row r="26" customFormat="false" ht="15" hidden="false" customHeight="false" outlineLevel="0" collapsed="false">
      <c r="A26" s="0" t="s">
        <v>287</v>
      </c>
      <c r="B26" s="0" t="s">
        <v>288</v>
      </c>
      <c r="C26" s="0" t="s">
        <v>224</v>
      </c>
      <c r="D26" s="0" t="s">
        <v>42</v>
      </c>
      <c r="E26" s="3" t="s">
        <v>42</v>
      </c>
      <c r="F26" s="3" t="s">
        <v>42</v>
      </c>
      <c r="G26" s="3" t="s">
        <v>42</v>
      </c>
      <c r="H26" s="3" t="s">
        <v>42</v>
      </c>
      <c r="I26" s="3" t="s">
        <v>42</v>
      </c>
      <c r="J26" s="3" t="s">
        <v>42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1"/>
    </row>
    <row r="27" customFormat="false" ht="95.5" hidden="false" customHeight="false" outlineLevel="0" collapsed="false">
      <c r="A27" s="0" t="s">
        <v>289</v>
      </c>
      <c r="B27" s="0" t="s">
        <v>290</v>
      </c>
      <c r="C27" s="0" t="s">
        <v>224</v>
      </c>
      <c r="D27" s="0" t="s">
        <v>99</v>
      </c>
      <c r="E27" s="3" t="s">
        <v>42</v>
      </c>
      <c r="F27" s="19" t="n">
        <v>87980</v>
      </c>
      <c r="G27" s="19" t="n">
        <v>86869</v>
      </c>
      <c r="H27" s="19" t="n">
        <v>84515</v>
      </c>
      <c r="I27" s="19" t="n">
        <v>88624</v>
      </c>
      <c r="J27" s="19" t="n">
        <v>96276</v>
      </c>
      <c r="K27" s="19" t="n">
        <v>92568</v>
      </c>
      <c r="L27" s="19" t="n">
        <v>91315</v>
      </c>
      <c r="M27" s="19" t="n">
        <v>108075</v>
      </c>
      <c r="N27" s="19" t="n">
        <v>134605</v>
      </c>
      <c r="O27" s="19" t="n">
        <v>129541</v>
      </c>
      <c r="P27" s="19" t="n">
        <v>125337</v>
      </c>
      <c r="Q27" s="1" t="s">
        <v>291</v>
      </c>
    </row>
    <row r="28" customFormat="false" ht="15" hidden="false" customHeight="false" outlineLevel="0" collapsed="false">
      <c r="A28" s="0" t="s">
        <v>292</v>
      </c>
      <c r="B28" s="0" t="s">
        <v>165</v>
      </c>
      <c r="C28" s="0" t="s">
        <v>72</v>
      </c>
      <c r="D28" s="0" t="s">
        <v>42</v>
      </c>
      <c r="E28" s="3" t="s">
        <v>42</v>
      </c>
      <c r="F28" s="3" t="s">
        <v>42</v>
      </c>
      <c r="G28" s="3" t="s">
        <v>42</v>
      </c>
      <c r="H28" s="3" t="s">
        <v>42</v>
      </c>
      <c r="I28" s="3" t="s">
        <v>42</v>
      </c>
      <c r="J28" s="3" t="s">
        <v>42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1"/>
    </row>
    <row r="29" customFormat="false" ht="15" hidden="false" customHeight="false" outlineLevel="0" collapsed="false">
      <c r="A29" s="0" t="s">
        <v>293</v>
      </c>
      <c r="B29" s="0" t="s">
        <v>294</v>
      </c>
      <c r="C29" s="0" t="s">
        <v>224</v>
      </c>
      <c r="D29" s="0" t="s">
        <v>42</v>
      </c>
      <c r="E29" s="3" t="s">
        <v>42</v>
      </c>
      <c r="F29" s="3" t="s">
        <v>42</v>
      </c>
      <c r="G29" s="3" t="s">
        <v>42</v>
      </c>
      <c r="H29" s="3" t="s">
        <v>42</v>
      </c>
      <c r="I29" s="3" t="s">
        <v>42</v>
      </c>
      <c r="J29" s="3" t="s">
        <v>42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1"/>
    </row>
    <row r="30" customFormat="false" ht="15" hidden="false" customHeight="false" outlineLevel="0" collapsed="false">
      <c r="A30" s="0" t="s">
        <v>295</v>
      </c>
      <c r="B30" s="0" t="s">
        <v>296</v>
      </c>
      <c r="C30" s="0" t="s">
        <v>297</v>
      </c>
      <c r="D30" s="0" t="s">
        <v>99</v>
      </c>
      <c r="E30" s="3" t="s">
        <v>42</v>
      </c>
      <c r="F30" s="19" t="n">
        <v>91</v>
      </c>
      <c r="G30" s="19" t="n">
        <v>92</v>
      </c>
      <c r="H30" s="19" t="n">
        <v>92</v>
      </c>
      <c r="I30" s="19" t="n">
        <v>91</v>
      </c>
      <c r="J30" s="19" t="n">
        <v>90</v>
      </c>
      <c r="K30" s="19" t="n">
        <v>92</v>
      </c>
      <c r="L30" s="19" t="n">
        <v>92</v>
      </c>
      <c r="M30" s="19" t="n">
        <v>91</v>
      </c>
      <c r="N30" s="19" t="n">
        <v>90</v>
      </c>
      <c r="O30" s="19" t="n">
        <v>92</v>
      </c>
      <c r="P30" s="19" t="n">
        <v>92</v>
      </c>
      <c r="Q30" s="1" t="s">
        <v>298</v>
      </c>
    </row>
    <row r="31" customFormat="false" ht="15" hidden="false" customHeight="false" outlineLevel="0" collapsed="false">
      <c r="A31" s="0" t="s">
        <v>299</v>
      </c>
      <c r="B31" s="0" t="s">
        <v>300</v>
      </c>
      <c r="C31" s="0" t="s">
        <v>135</v>
      </c>
      <c r="D31" s="0" t="s">
        <v>42</v>
      </c>
      <c r="E31" s="3" t="s">
        <v>42</v>
      </c>
      <c r="F31" s="3" t="s">
        <v>42</v>
      </c>
      <c r="G31" s="3" t="s">
        <v>42</v>
      </c>
      <c r="H31" s="3" t="s">
        <v>42</v>
      </c>
      <c r="I31" s="3" t="s">
        <v>42</v>
      </c>
      <c r="J31" s="3" t="s">
        <v>42</v>
      </c>
      <c r="K31" s="3" t="s">
        <v>42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1"/>
    </row>
    <row r="32" customFormat="false" ht="41.75" hidden="false" customHeight="false" outlineLevel="0" collapsed="false">
      <c r="A32" s="0" t="s">
        <v>301</v>
      </c>
      <c r="B32" s="0" t="s">
        <v>302</v>
      </c>
      <c r="C32" s="0" t="s">
        <v>96</v>
      </c>
      <c r="D32" s="0" t="s">
        <v>99</v>
      </c>
      <c r="E32" s="3" t="s">
        <v>42</v>
      </c>
      <c r="F32" s="19" t="n">
        <v>5</v>
      </c>
      <c r="G32" s="19" t="n">
        <v>5</v>
      </c>
      <c r="H32" s="19" t="n">
        <v>6</v>
      </c>
      <c r="I32" s="19" t="n">
        <v>6</v>
      </c>
      <c r="J32" s="19" t="n">
        <v>6</v>
      </c>
      <c r="K32" s="19" t="n">
        <v>6</v>
      </c>
      <c r="L32" s="19" t="n">
        <v>6</v>
      </c>
      <c r="M32" s="19" t="n">
        <v>6</v>
      </c>
      <c r="N32" s="19" t="n">
        <v>6</v>
      </c>
      <c r="O32" s="19" t="n">
        <v>6</v>
      </c>
      <c r="P32" s="19" t="n">
        <v>6</v>
      </c>
      <c r="Q32" s="1" t="s">
        <v>303</v>
      </c>
    </row>
    <row r="33" customFormat="false" ht="41.75" hidden="false" customHeight="false" outlineLevel="0" collapsed="false">
      <c r="A33" s="0" t="s">
        <v>304</v>
      </c>
      <c r="B33" s="0" t="s">
        <v>305</v>
      </c>
      <c r="C33" s="0" t="s">
        <v>72</v>
      </c>
      <c r="D33" s="0" t="s">
        <v>99</v>
      </c>
      <c r="E33" s="3" t="s">
        <v>42</v>
      </c>
      <c r="F33" s="3" t="s">
        <v>42</v>
      </c>
      <c r="G33" s="3" t="s">
        <v>42</v>
      </c>
      <c r="H33" s="3" t="s">
        <v>42</v>
      </c>
      <c r="I33" s="3" t="s">
        <v>42</v>
      </c>
      <c r="J33" s="3" t="s">
        <v>42</v>
      </c>
      <c r="K33" s="3" t="s">
        <v>42</v>
      </c>
      <c r="L33" s="3" t="s">
        <v>42</v>
      </c>
      <c r="M33" s="3" t="s">
        <v>42</v>
      </c>
      <c r="N33" s="3" t="s">
        <v>42</v>
      </c>
      <c r="O33" s="19" t="n">
        <v>97.5</v>
      </c>
      <c r="P33" s="19" t="n">
        <v>97.9</v>
      </c>
      <c r="Q33" s="1" t="s">
        <v>306</v>
      </c>
    </row>
    <row r="34" customFormat="false" ht="55.2" hidden="false" customHeight="false" outlineLevel="0" collapsed="false">
      <c r="A34" s="0" t="s">
        <v>307</v>
      </c>
      <c r="B34" s="0" t="s">
        <v>308</v>
      </c>
      <c r="C34" s="0" t="s">
        <v>72</v>
      </c>
      <c r="D34" s="0" t="s">
        <v>99</v>
      </c>
      <c r="E34" s="3" t="s">
        <v>42</v>
      </c>
      <c r="F34" s="19" t="n">
        <v>43</v>
      </c>
      <c r="G34" s="19" t="n">
        <v>39</v>
      </c>
      <c r="H34" s="19" t="n">
        <v>38</v>
      </c>
      <c r="I34" s="19" t="n">
        <v>39</v>
      </c>
      <c r="J34" s="19" t="n">
        <v>31</v>
      </c>
      <c r="K34" s="19" t="n">
        <v>33</v>
      </c>
      <c r="L34" s="19" t="n">
        <v>10</v>
      </c>
      <c r="M34" s="19" t="n">
        <v>10</v>
      </c>
      <c r="N34" s="19" t="n">
        <v>12</v>
      </c>
      <c r="O34" s="19" t="n">
        <v>12</v>
      </c>
      <c r="P34" s="19" t="n">
        <v>13</v>
      </c>
      <c r="Q34" s="1" t="s">
        <v>243</v>
      </c>
    </row>
    <row r="35" customFormat="false" ht="15" hidden="false" customHeight="false" outlineLevel="0" collapsed="false">
      <c r="A35" s="0" t="s">
        <v>309</v>
      </c>
      <c r="B35" s="0" t="s">
        <v>310</v>
      </c>
      <c r="C35" s="0" t="s">
        <v>224</v>
      </c>
      <c r="D35" s="0" t="s">
        <v>42</v>
      </c>
      <c r="E35" s="3" t="s">
        <v>42</v>
      </c>
      <c r="F35" s="3" t="s">
        <v>42</v>
      </c>
      <c r="G35" s="3" t="s">
        <v>42</v>
      </c>
      <c r="H35" s="3" t="s">
        <v>42</v>
      </c>
      <c r="I35" s="3" t="s">
        <v>42</v>
      </c>
      <c r="J35" s="3" t="s">
        <v>42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1" t="s">
        <v>311</v>
      </c>
    </row>
    <row r="36" customFormat="false" ht="15" hidden="false" customHeight="false" outlineLevel="0" collapsed="false">
      <c r="A36" s="0" t="s">
        <v>312</v>
      </c>
      <c r="B36" s="0" t="s">
        <v>313</v>
      </c>
      <c r="C36" s="0" t="s">
        <v>224</v>
      </c>
      <c r="D36" s="0" t="s">
        <v>42</v>
      </c>
      <c r="E36" s="3" t="s">
        <v>42</v>
      </c>
      <c r="F36" s="3" t="s">
        <v>42</v>
      </c>
      <c r="G36" s="3" t="s">
        <v>42</v>
      </c>
      <c r="H36" s="3" t="s">
        <v>42</v>
      </c>
      <c r="I36" s="3" t="s">
        <v>42</v>
      </c>
      <c r="J36" s="3" t="s">
        <v>42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1" t="s">
        <v>314</v>
      </c>
    </row>
    <row r="37" customFormat="false" ht="15" hidden="false" customHeight="false" outlineLevel="0" collapsed="false">
      <c r="A37" s="0" t="s">
        <v>315</v>
      </c>
      <c r="B37" s="0" t="s">
        <v>316</v>
      </c>
      <c r="C37" s="0" t="s">
        <v>224</v>
      </c>
      <c r="D37" s="0" t="s">
        <v>225</v>
      </c>
      <c r="E37" s="3" t="s">
        <v>42</v>
      </c>
      <c r="F37" s="19" t="n">
        <v>13280</v>
      </c>
      <c r="G37" s="18" t="n">
        <v>14287</v>
      </c>
      <c r="H37" s="19" t="n">
        <v>13307</v>
      </c>
      <c r="I37" s="19" t="n">
        <v>14059</v>
      </c>
      <c r="J37" s="19" t="n">
        <v>14130</v>
      </c>
      <c r="K37" s="18" t="n">
        <v>15903</v>
      </c>
      <c r="L37" s="19" t="n">
        <v>14926</v>
      </c>
      <c r="M37" s="19" t="n">
        <v>16058</v>
      </c>
      <c r="N37" s="19" t="n">
        <v>17190</v>
      </c>
      <c r="O37" s="18" t="n">
        <v>19184</v>
      </c>
      <c r="P37" s="19" t="n">
        <v>19345</v>
      </c>
      <c r="Q37" s="1" t="s">
        <v>317</v>
      </c>
    </row>
    <row r="38" customFormat="false" ht="28.35" hidden="false" customHeight="false" outlineLevel="0" collapsed="false">
      <c r="A38" s="0" t="s">
        <v>318</v>
      </c>
      <c r="B38" s="0" t="s">
        <v>319</v>
      </c>
      <c r="C38" s="0" t="s">
        <v>224</v>
      </c>
      <c r="D38" s="0" t="s">
        <v>99</v>
      </c>
      <c r="E38" s="3" t="s">
        <v>42</v>
      </c>
      <c r="F38" s="3" t="s">
        <v>42</v>
      </c>
      <c r="G38" s="19" t="n">
        <v>7545</v>
      </c>
      <c r="H38" s="3" t="s">
        <v>42</v>
      </c>
      <c r="I38" s="3" t="s">
        <v>42</v>
      </c>
      <c r="J38" s="3" t="s">
        <v>42</v>
      </c>
      <c r="K38" s="19" t="n">
        <v>13450</v>
      </c>
      <c r="L38" s="19" t="n">
        <v>16290</v>
      </c>
      <c r="M38" s="19" t="n">
        <v>18679</v>
      </c>
      <c r="N38" s="19" t="n">
        <v>21310</v>
      </c>
      <c r="O38" s="19" t="n">
        <v>30190</v>
      </c>
      <c r="P38" s="19" t="n">
        <v>34621</v>
      </c>
      <c r="Q38" s="1" t="s">
        <v>320</v>
      </c>
    </row>
    <row r="39" customFormat="false" ht="15" hidden="false" customHeight="false" outlineLevel="0" collapsed="false">
      <c r="A39" s="0" t="s">
        <v>321</v>
      </c>
      <c r="B39" s="0" t="s">
        <v>322</v>
      </c>
      <c r="C39" s="0" t="s">
        <v>258</v>
      </c>
      <c r="D39" s="0" t="s">
        <v>99</v>
      </c>
      <c r="E39" s="3" t="s">
        <v>42</v>
      </c>
      <c r="F39" s="3" t="s">
        <v>42</v>
      </c>
      <c r="G39" s="3" t="s">
        <v>42</v>
      </c>
      <c r="H39" s="3" t="s">
        <v>42</v>
      </c>
      <c r="I39" s="3" t="s">
        <v>42</v>
      </c>
      <c r="J39" s="3" t="s">
        <v>42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19" t="n">
        <v>300000</v>
      </c>
      <c r="Q39" s="1" t="s">
        <v>323</v>
      </c>
    </row>
    <row r="40" customFormat="false" ht="55.2" hidden="false" customHeight="false" outlineLevel="0" collapsed="false">
      <c r="A40" s="0" t="s">
        <v>324</v>
      </c>
      <c r="B40" s="0" t="s">
        <v>325</v>
      </c>
      <c r="C40" s="0" t="s">
        <v>112</v>
      </c>
      <c r="D40" s="0" t="s">
        <v>99</v>
      </c>
      <c r="E40" s="3" t="s">
        <v>42</v>
      </c>
      <c r="F40" s="3" t="s">
        <v>42</v>
      </c>
      <c r="G40" s="3" t="s">
        <v>42</v>
      </c>
      <c r="H40" s="3" t="s">
        <v>42</v>
      </c>
      <c r="I40" s="3" t="s">
        <v>42</v>
      </c>
      <c r="J40" s="19" t="n">
        <v>48.4</v>
      </c>
      <c r="K40" s="19" t="n">
        <v>43.4</v>
      </c>
      <c r="L40" s="19" t="n">
        <v>99.8</v>
      </c>
      <c r="M40" s="19" t="n">
        <v>248</v>
      </c>
      <c r="N40" s="19" t="n">
        <v>261</v>
      </c>
      <c r="O40" s="19" t="n">
        <v>260</v>
      </c>
      <c r="P40" s="19" t="n">
        <v>288</v>
      </c>
      <c r="Q40" s="1" t="s">
        <v>326</v>
      </c>
    </row>
    <row r="42" customFormat="false" ht="15" hidden="false" customHeight="false" outlineLevel="0" collapsed="false">
      <c r="A42" s="2" t="s">
        <v>327</v>
      </c>
    </row>
    <row r="43" customFormat="false" ht="41.75" hidden="false" customHeight="false" outlineLevel="0" collapsed="false">
      <c r="A43" s="0" t="s">
        <v>328</v>
      </c>
      <c r="B43" s="0" t="s">
        <v>329</v>
      </c>
      <c r="C43" s="0" t="s">
        <v>72</v>
      </c>
      <c r="D43" s="0" t="s">
        <v>80</v>
      </c>
      <c r="E43" s="20" t="n">
        <v>100</v>
      </c>
      <c r="Q43" s="1" t="s">
        <v>330</v>
      </c>
    </row>
    <row r="45" customFormat="false" ht="15" hidden="false" customHeight="false" outlineLevel="0" collapsed="false">
      <c r="A45" s="2" t="s">
        <v>331</v>
      </c>
    </row>
    <row r="46" customFormat="false" ht="15" hidden="false" customHeight="false" outlineLevel="0" collapsed="false">
      <c r="A46" s="0" t="s">
        <v>332</v>
      </c>
      <c r="B46" s="0" t="s">
        <v>333</v>
      </c>
      <c r="C46" s="0" t="s">
        <v>224</v>
      </c>
      <c r="D46" s="0" t="s">
        <v>80</v>
      </c>
      <c r="E46" s="3" t="s">
        <v>42</v>
      </c>
      <c r="F46" s="20" t="n">
        <f aca="false">F7*$E$43/100</f>
        <v>1674</v>
      </c>
      <c r="G46" s="20" t="n">
        <f aca="false">G7*$E$43/100</f>
        <v>2798</v>
      </c>
      <c r="H46" s="20" t="n">
        <f aca="false">H7*$E$43/100</f>
        <v>2303</v>
      </c>
      <c r="I46" s="20" t="n">
        <f aca="false">I7*$E$43/100</f>
        <v>3970</v>
      </c>
      <c r="J46" s="20" t="n">
        <f aca="false">J7*$E$43/100</f>
        <v>5862</v>
      </c>
      <c r="K46" s="20" t="n">
        <f aca="false">K7*$E$43/100</f>
        <v>9080</v>
      </c>
      <c r="L46" s="20" t="n">
        <f aca="false">L7*$E$43/100</f>
        <v>8502</v>
      </c>
      <c r="M46" s="20" t="n">
        <f aca="false">M7*$E$43/100</f>
        <v>12033</v>
      </c>
      <c r="N46" s="20" t="n">
        <f aca="false">N7*$E$43/100</f>
        <v>18635</v>
      </c>
      <c r="O46" s="20" t="n">
        <f aca="false">O7*$E$43/100</f>
        <v>16493</v>
      </c>
      <c r="P46" s="20" t="n">
        <f aca="false">P7*$E$43/100</f>
        <v>28499</v>
      </c>
      <c r="Q46" s="1" t="s">
        <v>334</v>
      </c>
    </row>
    <row r="47" customFormat="false" ht="28.35" hidden="false" customHeight="false" outlineLevel="0" collapsed="false">
      <c r="A47" s="0" t="s">
        <v>335</v>
      </c>
      <c r="B47" s="0" t="s">
        <v>336</v>
      </c>
      <c r="C47" s="0" t="s">
        <v>210</v>
      </c>
      <c r="D47" s="0" t="s">
        <v>337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18" t="n">
        <f aca="false">1200</f>
        <v>1200</v>
      </c>
      <c r="P47" s="20" t="n">
        <f aca="false">SUM(M13,N13,O13,P13)</f>
        <v>1940</v>
      </c>
      <c r="Q47" s="1" t="s">
        <v>338</v>
      </c>
    </row>
    <row r="48" customFormat="false" ht="15" hidden="false" customHeight="false" outlineLevel="0" collapsed="false">
      <c r="A48" s="0" t="s">
        <v>339</v>
      </c>
      <c r="B48" s="0" t="s">
        <v>340</v>
      </c>
      <c r="C48" s="0" t="s">
        <v>210</v>
      </c>
      <c r="D48" s="0" t="s">
        <v>80</v>
      </c>
      <c r="E48" s="3" t="s">
        <v>42</v>
      </c>
      <c r="F48" s="3" t="s">
        <v>42</v>
      </c>
      <c r="G48" s="3" t="s">
        <v>42</v>
      </c>
      <c r="H48" s="3" t="s">
        <v>42</v>
      </c>
      <c r="I48" s="3" t="s">
        <v>42</v>
      </c>
      <c r="J48" s="3" t="s">
        <v>42</v>
      </c>
      <c r="K48" s="3" t="s">
        <v>42</v>
      </c>
      <c r="L48" s="20" t="n">
        <f aca="false">SUM(L13)</f>
        <v>110</v>
      </c>
      <c r="M48" s="20" t="n">
        <f aca="false">SUM(L13,M13)</f>
        <v>510</v>
      </c>
      <c r="N48" s="20" t="n">
        <f aca="false">SUM(L13,M13,N13)</f>
        <v>910</v>
      </c>
      <c r="O48" s="20" t="n">
        <f aca="false">SUM(L13,M13,N13,O13)</f>
        <v>1200</v>
      </c>
      <c r="P48" s="20" t="n">
        <f aca="false">SUM(L13,M13,N13,O13,P13)</f>
        <v>2050</v>
      </c>
      <c r="Q48" s="1" t="s">
        <v>341</v>
      </c>
    </row>
    <row r="49" customFormat="false" ht="15" hidden="false" customHeight="false" outlineLevel="0" collapsed="false">
      <c r="A49" s="0" t="s">
        <v>342</v>
      </c>
      <c r="B49" s="0" t="s">
        <v>343</v>
      </c>
      <c r="C49" s="0" t="s">
        <v>224</v>
      </c>
      <c r="D49" s="0" t="s">
        <v>103</v>
      </c>
      <c r="E49" s="3" t="s">
        <v>42</v>
      </c>
      <c r="F49" s="3" t="s">
        <v>42</v>
      </c>
      <c r="G49" s="18" t="n">
        <f aca="false">G8-G9</f>
        <v>29184</v>
      </c>
      <c r="H49" s="3" t="s">
        <v>42</v>
      </c>
      <c r="I49" s="3" t="s">
        <v>42</v>
      </c>
      <c r="J49" s="3" t="s">
        <v>42</v>
      </c>
      <c r="K49" s="18" t="n">
        <f aca="false">K8-K9</f>
        <v>43044</v>
      </c>
      <c r="L49" s="3" t="s">
        <v>42</v>
      </c>
      <c r="M49" s="3" t="s">
        <v>42</v>
      </c>
      <c r="N49" s="3" t="s">
        <v>42</v>
      </c>
      <c r="O49" s="18" t="n">
        <f aca="false">O8-O9</f>
        <v>82678</v>
      </c>
      <c r="P49" s="18" t="n">
        <f aca="false">P8-P9</f>
        <v>105050</v>
      </c>
      <c r="Q49" s="1" t="s">
        <v>344</v>
      </c>
    </row>
    <row r="50" customFormat="false" ht="15" hidden="false" customHeight="false" outlineLevel="0" collapsed="false">
      <c r="A50" s="0" t="s">
        <v>345</v>
      </c>
      <c r="B50" s="0" t="s">
        <v>346</v>
      </c>
      <c r="C50" s="0" t="s">
        <v>224</v>
      </c>
      <c r="D50" s="0" t="s">
        <v>103</v>
      </c>
      <c r="E50" s="3" t="s">
        <v>42</v>
      </c>
      <c r="F50" s="3" t="s">
        <v>42</v>
      </c>
      <c r="G50" s="18" t="n">
        <f aca="false">(F27+G27)/2</f>
        <v>87424.5</v>
      </c>
      <c r="H50" s="18" t="n">
        <f aca="false">(G27+H27)/2</f>
        <v>85692</v>
      </c>
      <c r="I50" s="18" t="n">
        <f aca="false">(H27+I27)/2</f>
        <v>86569.5</v>
      </c>
      <c r="J50" s="18" t="n">
        <f aca="false">(I27+J27)/2</f>
        <v>92450</v>
      </c>
      <c r="K50" s="18" t="n">
        <f aca="false">(J27+K27)/2</f>
        <v>94422</v>
      </c>
      <c r="L50" s="18" t="n">
        <f aca="false">(K27+L27)/2</f>
        <v>91941.5</v>
      </c>
      <c r="M50" s="18" t="n">
        <f aca="false">(L27+M27)/2</f>
        <v>99695</v>
      </c>
      <c r="N50" s="18" t="n">
        <f aca="false">(M27+N27)/2</f>
        <v>121340</v>
      </c>
      <c r="O50" s="18" t="n">
        <f aca="false">(N27+O27)/2</f>
        <v>132073</v>
      </c>
      <c r="P50" s="18" t="n">
        <f aca="false">(O27+P27)/2</f>
        <v>127439</v>
      </c>
      <c r="Q5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8" min="3" style="0" width="11"/>
  </cols>
  <sheetData>
    <row r="1" customFormat="false" ht="15" hidden="false" customHeight="false" outlineLevel="0" collapsed="false">
      <c r="A1" s="2" t="s">
        <v>347</v>
      </c>
    </row>
    <row r="2" customFormat="false" ht="122.35" hidden="false" customHeight="false" outlineLevel="0" collapsed="false">
      <c r="A2" s="1" t="s">
        <v>348</v>
      </c>
    </row>
    <row r="4" customFormat="false" ht="28.35" hidden="false" customHeight="false" outlineLevel="0" collapsed="false">
      <c r="A4" s="4" t="s">
        <v>349</v>
      </c>
      <c r="B4" s="4" t="s">
        <v>350</v>
      </c>
      <c r="C4" s="4" t="s">
        <v>351</v>
      </c>
      <c r="D4" s="4" t="s">
        <v>352</v>
      </c>
      <c r="E4" s="4" t="s">
        <v>353</v>
      </c>
      <c r="F4" s="4" t="s">
        <v>354</v>
      </c>
      <c r="G4" s="4" t="s">
        <v>355</v>
      </c>
      <c r="H4" s="4" t="s">
        <v>356</v>
      </c>
    </row>
    <row r="5" customFormat="false" ht="15" hidden="false" customHeight="false" outlineLevel="0" collapsed="false">
      <c r="A5" s="0" t="s">
        <v>357</v>
      </c>
      <c r="B5" s="0" t="s">
        <v>358</v>
      </c>
      <c r="C5" s="19" t="n">
        <v>2000</v>
      </c>
      <c r="D5" s="19" t="n">
        <v>3.43</v>
      </c>
    </row>
    <row r="6" customFormat="false" ht="15" hidden="false" customHeight="false" outlineLevel="0" collapsed="false">
      <c r="A6" s="0" t="s">
        <v>359</v>
      </c>
      <c r="B6" s="0" t="s">
        <v>358</v>
      </c>
      <c r="C6" s="19" t="n">
        <v>2000</v>
      </c>
      <c r="D6" s="19" t="n">
        <v>3.01</v>
      </c>
    </row>
    <row r="7" customFormat="false" ht="15" hidden="false" customHeight="false" outlineLevel="0" collapsed="false">
      <c r="A7" s="0" t="s">
        <v>360</v>
      </c>
      <c r="B7" s="0" t="s">
        <v>358</v>
      </c>
      <c r="C7" s="19" t="n">
        <v>3500</v>
      </c>
      <c r="D7" s="19" t="n">
        <v>2.54</v>
      </c>
    </row>
    <row r="8" customFormat="false" ht="15" hidden="false" customHeight="false" outlineLevel="0" collapsed="false">
      <c r="A8" s="0" t="s">
        <v>361</v>
      </c>
      <c r="B8" s="0" t="s">
        <v>358</v>
      </c>
      <c r="C8" s="19" t="n">
        <v>2500</v>
      </c>
      <c r="D8" s="19" t="n">
        <v>3.05</v>
      </c>
    </row>
    <row r="9" customFormat="false" ht="15" hidden="false" customHeight="false" outlineLevel="0" collapsed="false">
      <c r="A9" s="0" t="s">
        <v>362</v>
      </c>
      <c r="B9" s="0" t="s">
        <v>358</v>
      </c>
      <c r="C9" s="19" t="n">
        <v>808</v>
      </c>
      <c r="D9" s="19" t="n">
        <v>3.17</v>
      </c>
      <c r="E9" s="19" t="n">
        <v>841</v>
      </c>
      <c r="F9" s="19" t="n">
        <v>3.17</v>
      </c>
    </row>
    <row r="10" customFormat="false" ht="15" hidden="false" customHeight="false" outlineLevel="0" collapsed="false">
      <c r="A10" s="0" t="s">
        <v>363</v>
      </c>
      <c r="B10" s="0" t="s">
        <v>358</v>
      </c>
      <c r="C10" s="19" t="n">
        <v>1000</v>
      </c>
      <c r="D10" s="19" t="n">
        <v>5.93</v>
      </c>
      <c r="E10" s="19" t="n">
        <v>1000</v>
      </c>
      <c r="F10" s="19" t="n">
        <v>5.93</v>
      </c>
    </row>
    <row r="11" customFormat="false" ht="15" hidden="false" customHeight="false" outlineLevel="0" collapsed="false">
      <c r="A11" s="0" t="s">
        <v>364</v>
      </c>
      <c r="B11" s="0" t="s">
        <v>358</v>
      </c>
      <c r="C11" s="19" t="n">
        <v>2750</v>
      </c>
      <c r="D11" s="19" t="n">
        <v>1.67</v>
      </c>
      <c r="E11" s="19" t="n">
        <v>2750</v>
      </c>
      <c r="F11" s="19" t="n">
        <v>1.67</v>
      </c>
    </row>
    <row r="12" customFormat="false" ht="15" hidden="false" customHeight="false" outlineLevel="0" collapsed="false">
      <c r="A12" s="0" t="s">
        <v>365</v>
      </c>
      <c r="B12" s="0" t="s">
        <v>358</v>
      </c>
      <c r="C12" s="19" t="n">
        <v>3000</v>
      </c>
      <c r="D12" s="19" t="n">
        <v>2.73</v>
      </c>
      <c r="E12" s="19" t="n">
        <v>3000</v>
      </c>
      <c r="F12" s="19" t="n">
        <v>2.73</v>
      </c>
      <c r="G12" s="19" t="n">
        <v>3000</v>
      </c>
      <c r="H12" s="19" t="n">
        <v>2.73</v>
      </c>
    </row>
    <row r="13" customFormat="false" ht="15" hidden="false" customHeight="false" outlineLevel="0" collapsed="false">
      <c r="A13" s="0" t="s">
        <v>366</v>
      </c>
      <c r="B13" s="0" t="s">
        <v>358</v>
      </c>
      <c r="C13" s="19" t="n">
        <v>2250</v>
      </c>
      <c r="D13" s="19" t="n">
        <v>2.87</v>
      </c>
      <c r="E13" s="19" t="n">
        <v>2250</v>
      </c>
      <c r="F13" s="19" t="n">
        <v>2.87</v>
      </c>
      <c r="G13" s="19" t="n">
        <v>2250</v>
      </c>
      <c r="H13" s="19" t="n">
        <v>2.87</v>
      </c>
    </row>
    <row r="14" customFormat="false" ht="15" hidden="false" customHeight="false" outlineLevel="0" collapsed="false">
      <c r="A14" s="0" t="s">
        <v>367</v>
      </c>
      <c r="B14" s="0" t="s">
        <v>358</v>
      </c>
      <c r="C14" s="19" t="n">
        <v>2750</v>
      </c>
      <c r="D14" s="19" t="n">
        <v>3.29</v>
      </c>
      <c r="E14" s="19" t="n">
        <v>2750</v>
      </c>
      <c r="F14" s="19" t="n">
        <v>3.29</v>
      </c>
      <c r="G14" s="19" t="n">
        <v>2750</v>
      </c>
      <c r="H14" s="19" t="n">
        <v>3.29</v>
      </c>
    </row>
    <row r="15" customFormat="false" ht="15" hidden="false" customHeight="false" outlineLevel="0" collapsed="false">
      <c r="A15" s="0" t="s">
        <v>368</v>
      </c>
      <c r="B15" s="0" t="s">
        <v>358</v>
      </c>
      <c r="C15" s="19" t="n">
        <v>2000</v>
      </c>
      <c r="D15" s="19" t="n">
        <v>2.36</v>
      </c>
      <c r="E15" s="19" t="n">
        <v>2000</v>
      </c>
      <c r="F15" s="19" t="n">
        <v>2.36</v>
      </c>
      <c r="G15" s="19" t="n">
        <v>2000</v>
      </c>
      <c r="H15" s="19" t="n">
        <v>2.36</v>
      </c>
    </row>
    <row r="16" customFormat="false" ht="15" hidden="false" customHeight="false" outlineLevel="0" collapsed="false">
      <c r="A16" s="0" t="s">
        <v>369</v>
      </c>
      <c r="B16" s="0" t="s">
        <v>358</v>
      </c>
      <c r="C16" s="19" t="n">
        <v>750</v>
      </c>
      <c r="D16" s="19" t="n">
        <v>4.6</v>
      </c>
      <c r="E16" s="19" t="n">
        <v>750</v>
      </c>
      <c r="F16" s="19" t="n">
        <v>4.6</v>
      </c>
      <c r="G16" s="19" t="n">
        <v>750</v>
      </c>
      <c r="H16" s="19" t="n">
        <v>4.6</v>
      </c>
    </row>
    <row r="17" customFormat="false" ht="15" hidden="false" customHeight="false" outlineLevel="0" collapsed="false">
      <c r="A17" s="0" t="s">
        <v>370</v>
      </c>
      <c r="B17" s="0" t="s">
        <v>358</v>
      </c>
      <c r="C17" s="19" t="n">
        <v>1250</v>
      </c>
      <c r="D17" s="19" t="n">
        <v>6.21</v>
      </c>
      <c r="E17" s="19" t="n">
        <v>1250</v>
      </c>
      <c r="F17" s="19" t="n">
        <v>6.21</v>
      </c>
      <c r="G17" s="19" t="n">
        <v>1250</v>
      </c>
      <c r="H17" s="19" t="n">
        <v>6.21</v>
      </c>
    </row>
    <row r="18" customFormat="false" ht="15" hidden="false" customHeight="false" outlineLevel="0" collapsed="false">
      <c r="A18" s="0" t="s">
        <v>371</v>
      </c>
      <c r="B18" s="0" t="s">
        <v>358</v>
      </c>
      <c r="C18" s="19" t="n">
        <v>3250</v>
      </c>
      <c r="D18" s="19" t="n">
        <v>3</v>
      </c>
      <c r="E18" s="19" t="n">
        <v>3250</v>
      </c>
      <c r="F18" s="19" t="n">
        <v>3</v>
      </c>
      <c r="G18" s="19" t="n">
        <v>3250</v>
      </c>
      <c r="H18" s="19" t="n">
        <v>3</v>
      </c>
    </row>
    <row r="19" customFormat="false" ht="15" hidden="false" customHeight="false" outlineLevel="0" collapsed="false">
      <c r="A19" s="0" t="s">
        <v>372</v>
      </c>
      <c r="B19" s="0" t="s">
        <v>358</v>
      </c>
      <c r="C19" s="19" t="n">
        <v>750</v>
      </c>
      <c r="D19" s="19" t="n">
        <v>4.75</v>
      </c>
      <c r="E19" s="19" t="n">
        <v>750</v>
      </c>
      <c r="F19" s="19" t="n">
        <v>4.75</v>
      </c>
      <c r="G19" s="19" t="n">
        <v>750</v>
      </c>
      <c r="H19" s="19" t="n">
        <v>4.75</v>
      </c>
    </row>
    <row r="20" customFormat="false" ht="15" hidden="false" customHeight="false" outlineLevel="0" collapsed="false">
      <c r="A20" s="0" t="s">
        <v>373</v>
      </c>
      <c r="B20" s="0" t="s">
        <v>358</v>
      </c>
      <c r="C20" s="19" t="n">
        <v>500</v>
      </c>
      <c r="D20" s="19" t="n">
        <v>3.35</v>
      </c>
      <c r="E20" s="19" t="n">
        <v>500</v>
      </c>
      <c r="F20" s="19" t="n">
        <v>3.35</v>
      </c>
      <c r="G20" s="19" t="n">
        <v>500</v>
      </c>
      <c r="H20" s="19" t="n">
        <v>3.35</v>
      </c>
    </row>
    <row r="21" customFormat="false" ht="15" hidden="false" customHeight="false" outlineLevel="0" collapsed="false">
      <c r="A21" s="0" t="s">
        <v>374</v>
      </c>
      <c r="B21" s="0" t="s">
        <v>358</v>
      </c>
      <c r="C21" s="19" t="n">
        <v>3250</v>
      </c>
      <c r="D21" s="19" t="n">
        <v>2.92</v>
      </c>
      <c r="E21" s="19" t="n">
        <v>3250</v>
      </c>
      <c r="F21" s="19" t="n">
        <v>2.92</v>
      </c>
      <c r="G21" s="19" t="n">
        <v>3250</v>
      </c>
      <c r="H21" s="19" t="n">
        <v>2.92</v>
      </c>
    </row>
    <row r="22" customFormat="false" ht="15" hidden="false" customHeight="false" outlineLevel="0" collapsed="false">
      <c r="A22" s="0" t="s">
        <v>375</v>
      </c>
      <c r="B22" s="0" t="s">
        <v>358</v>
      </c>
      <c r="C22" s="19" t="n">
        <v>2250</v>
      </c>
      <c r="D22" s="19" t="n">
        <v>6.32</v>
      </c>
      <c r="E22" s="19" t="n">
        <v>2250</v>
      </c>
      <c r="F22" s="19" t="n">
        <v>6.32</v>
      </c>
      <c r="G22" s="19" t="n">
        <v>2250</v>
      </c>
      <c r="H22" s="19" t="n">
        <v>6.32</v>
      </c>
    </row>
    <row r="23" customFormat="false" ht="15" hidden="false" customHeight="false" outlineLevel="0" collapsed="false">
      <c r="A23" s="0" t="s">
        <v>376</v>
      </c>
      <c r="B23" s="0" t="s">
        <v>358</v>
      </c>
      <c r="C23" s="19" t="n">
        <v>1500</v>
      </c>
      <c r="D23" s="19" t="n">
        <v>4.95</v>
      </c>
      <c r="E23" s="19" t="n">
        <v>1500</v>
      </c>
      <c r="F23" s="19" t="n">
        <v>4.95</v>
      </c>
      <c r="G23" s="19" t="n">
        <v>1500</v>
      </c>
      <c r="H23" s="19" t="n">
        <v>4.95</v>
      </c>
    </row>
    <row r="24" customFormat="false" ht="15" hidden="false" customHeight="false" outlineLevel="0" collapsed="false">
      <c r="A24" s="0" t="s">
        <v>377</v>
      </c>
      <c r="B24" s="0" t="s">
        <v>358</v>
      </c>
      <c r="C24" s="19" t="n">
        <v>1750</v>
      </c>
      <c r="D24" s="19" t="n">
        <v>4.3</v>
      </c>
      <c r="E24" s="19" t="n">
        <v>1750</v>
      </c>
      <c r="F24" s="19" t="n">
        <v>4.3</v>
      </c>
      <c r="G24" s="19" t="n">
        <v>1750</v>
      </c>
      <c r="H24" s="19" t="n">
        <v>4.3</v>
      </c>
    </row>
    <row r="25" customFormat="false" ht="15" hidden="false" customHeight="false" outlineLevel="0" collapsed="false">
      <c r="A25" s="0" t="s">
        <v>378</v>
      </c>
      <c r="B25" s="0" t="s">
        <v>358</v>
      </c>
      <c r="C25" s="19" t="n">
        <v>1250</v>
      </c>
      <c r="D25" s="19" t="n">
        <v>4</v>
      </c>
      <c r="E25" s="19" t="n">
        <v>1250</v>
      </c>
      <c r="F25" s="19" t="n">
        <v>4</v>
      </c>
      <c r="G25" s="19" t="n">
        <v>1250</v>
      </c>
      <c r="H25" s="19" t="n">
        <v>4</v>
      </c>
    </row>
    <row r="26" customFormat="false" ht="15" hidden="false" customHeight="false" outlineLevel="0" collapsed="false">
      <c r="A26" s="0" t="s">
        <v>379</v>
      </c>
      <c r="B26" s="0" t="s">
        <v>358</v>
      </c>
      <c r="C26" s="19" t="n">
        <v>1250</v>
      </c>
      <c r="D26" s="19" t="n">
        <v>3.89</v>
      </c>
      <c r="E26" s="19" t="n">
        <v>1250</v>
      </c>
      <c r="F26" s="19" t="n">
        <v>3.89</v>
      </c>
      <c r="G26" s="19" t="n">
        <v>1250</v>
      </c>
      <c r="H26" s="19" t="n">
        <v>3.89</v>
      </c>
    </row>
    <row r="27" customFormat="false" ht="15" hidden="false" customHeight="false" outlineLevel="0" collapsed="false">
      <c r="A27" s="0" t="s">
        <v>380</v>
      </c>
      <c r="B27" s="0" t="s">
        <v>358</v>
      </c>
      <c r="C27" s="19" t="n">
        <v>1750</v>
      </c>
      <c r="D27" s="19" t="n">
        <v>3.86</v>
      </c>
      <c r="E27" s="19" t="n">
        <v>1750</v>
      </c>
      <c r="F27" s="19" t="n">
        <v>3.86</v>
      </c>
      <c r="G27" s="19" t="n">
        <v>1750</v>
      </c>
      <c r="H27" s="19" t="n">
        <v>3.86</v>
      </c>
    </row>
    <row r="28" customFormat="false" ht="15" hidden="false" customHeight="false" outlineLevel="0" collapsed="false">
      <c r="A28" s="0" t="s">
        <v>381</v>
      </c>
      <c r="B28" s="0" t="s">
        <v>358</v>
      </c>
      <c r="C28" s="19" t="n">
        <v>1250</v>
      </c>
      <c r="D28" s="19" t="n">
        <v>6.51</v>
      </c>
      <c r="E28" s="19" t="n">
        <v>1250</v>
      </c>
      <c r="F28" s="19" t="n">
        <v>6.51</v>
      </c>
      <c r="G28" s="19" t="n">
        <v>1250</v>
      </c>
      <c r="H28" s="19" t="n">
        <v>6.51</v>
      </c>
    </row>
    <row r="29" customFormat="false" ht="15" hidden="false" customHeight="false" outlineLevel="0" collapsed="false">
      <c r="A29" s="0" t="s">
        <v>382</v>
      </c>
      <c r="B29" s="0" t="s">
        <v>358</v>
      </c>
      <c r="C29" s="19" t="n">
        <v>1250</v>
      </c>
      <c r="D29" s="19" t="n">
        <v>6.17</v>
      </c>
      <c r="E29" s="19" t="n">
        <v>1250</v>
      </c>
      <c r="F29" s="19" t="n">
        <v>6.17</v>
      </c>
      <c r="G29" s="19" t="n">
        <v>1250</v>
      </c>
      <c r="H29" s="19" t="n">
        <v>6.17</v>
      </c>
    </row>
    <row r="30" customFormat="false" ht="15" hidden="false" customHeight="false" outlineLevel="0" collapsed="false">
      <c r="A30" s="0" t="s">
        <v>383</v>
      </c>
      <c r="B30" s="0" t="s">
        <v>358</v>
      </c>
      <c r="C30" s="19" t="n">
        <v>3000</v>
      </c>
      <c r="D30" s="19" t="n">
        <v>3.64</v>
      </c>
      <c r="E30" s="19" t="n">
        <v>3000</v>
      </c>
      <c r="F30" s="19" t="n">
        <v>3.64</v>
      </c>
      <c r="G30" s="19" t="n">
        <v>3000</v>
      </c>
      <c r="H30" s="19" t="n">
        <v>3.64</v>
      </c>
    </row>
    <row r="31" customFormat="false" ht="15" hidden="false" customHeight="false" outlineLevel="0" collapsed="false">
      <c r="A31" s="0" t="s">
        <v>384</v>
      </c>
      <c r="B31" s="0" t="s">
        <v>358</v>
      </c>
      <c r="C31" s="19" t="n">
        <v>2250</v>
      </c>
      <c r="D31" s="19" t="n">
        <v>5.45</v>
      </c>
      <c r="E31" s="19" t="n">
        <v>2250</v>
      </c>
      <c r="F31" s="19" t="n">
        <v>5.45</v>
      </c>
      <c r="G31" s="19" t="n">
        <v>2250</v>
      </c>
      <c r="H31" s="19" t="n">
        <v>5.45</v>
      </c>
    </row>
    <row r="32" customFormat="false" ht="15" hidden="false" customHeight="false" outlineLevel="0" collapsed="false">
      <c r="A32" s="0" t="s">
        <v>385</v>
      </c>
      <c r="B32" s="0" t="s">
        <v>358</v>
      </c>
      <c r="C32" s="19" t="n">
        <v>2250</v>
      </c>
      <c r="D32" s="19" t="n">
        <v>3.72</v>
      </c>
      <c r="E32" s="19" t="n">
        <v>2250</v>
      </c>
      <c r="F32" s="19" t="n">
        <v>3.72</v>
      </c>
      <c r="G32" s="19" t="n">
        <v>2250</v>
      </c>
      <c r="H32" s="19" t="n">
        <v>3.72</v>
      </c>
    </row>
    <row r="33" customFormat="false" ht="15" hidden="false" customHeight="false" outlineLevel="0" collapsed="false">
      <c r="A33" s="0" t="s">
        <v>386</v>
      </c>
      <c r="B33" s="0" t="s">
        <v>358</v>
      </c>
      <c r="C33" s="19" t="n">
        <v>1000</v>
      </c>
      <c r="D33" s="19" t="n">
        <v>4.5</v>
      </c>
      <c r="E33" s="19" t="n">
        <v>1000</v>
      </c>
      <c r="F33" s="19" t="n">
        <v>4.5</v>
      </c>
      <c r="G33" s="19" t="n">
        <v>1000</v>
      </c>
      <c r="H33" s="19" t="n">
        <v>4.5</v>
      </c>
    </row>
    <row r="34" customFormat="false" ht="15" hidden="false" customHeight="false" outlineLevel="0" collapsed="false">
      <c r="A34" s="0" t="s">
        <v>387</v>
      </c>
      <c r="B34" s="0" t="s">
        <v>358</v>
      </c>
      <c r="C34" s="19" t="n">
        <v>2000</v>
      </c>
      <c r="D34" s="19" t="n">
        <v>4.2</v>
      </c>
      <c r="E34" s="19" t="n">
        <v>2000</v>
      </c>
      <c r="F34" s="19" t="n">
        <v>4.2</v>
      </c>
      <c r="G34" s="19" t="n">
        <v>2000</v>
      </c>
      <c r="H34" s="19" t="n">
        <v>4.2</v>
      </c>
    </row>
    <row r="35" customFormat="false" ht="15" hidden="false" customHeight="false" outlineLevel="0" collapsed="false">
      <c r="A35" s="0" t="s">
        <v>388</v>
      </c>
      <c r="B35" s="0" t="s">
        <v>358</v>
      </c>
      <c r="C35" s="19" t="n">
        <v>3000</v>
      </c>
      <c r="D35" s="19" t="n">
        <v>4.03</v>
      </c>
      <c r="E35" s="19" t="n">
        <v>3000</v>
      </c>
      <c r="F35" s="19" t="n">
        <v>4.03</v>
      </c>
      <c r="G35" s="19" t="n">
        <v>3000</v>
      </c>
      <c r="H35" s="19" t="n">
        <v>4.03</v>
      </c>
    </row>
    <row r="36" customFormat="false" ht="15" hidden="false" customHeight="false" outlineLevel="0" collapsed="false">
      <c r="A36" s="0" t="s">
        <v>389</v>
      </c>
      <c r="B36" s="0" t="s">
        <v>358</v>
      </c>
      <c r="C36" s="19" t="n">
        <v>2250</v>
      </c>
      <c r="D36" s="19" t="n">
        <v>4.05</v>
      </c>
      <c r="E36" s="19" t="n">
        <v>2250</v>
      </c>
      <c r="F36" s="19" t="n">
        <v>4.05</v>
      </c>
      <c r="G36" s="19" t="n">
        <v>2250</v>
      </c>
      <c r="H36" s="19" t="n">
        <v>4.05</v>
      </c>
    </row>
    <row r="37" customFormat="false" ht="15" hidden="false" customHeight="false" outlineLevel="0" collapsed="false">
      <c r="A37" s="0" t="s">
        <v>390</v>
      </c>
      <c r="B37" s="0" t="s">
        <v>358</v>
      </c>
      <c r="C37" s="19" t="n">
        <v>4500</v>
      </c>
      <c r="D37" s="19" t="n">
        <v>3.64</v>
      </c>
      <c r="E37" s="19" t="n">
        <v>4500</v>
      </c>
      <c r="F37" s="19" t="n">
        <v>3.64</v>
      </c>
      <c r="G37" s="19" t="n">
        <v>4500</v>
      </c>
      <c r="H37" s="19" t="n">
        <v>3.64</v>
      </c>
    </row>
    <row r="38" customFormat="false" ht="15" hidden="false" customHeight="false" outlineLevel="0" collapsed="false">
      <c r="A38" s="0" t="s">
        <v>391</v>
      </c>
      <c r="B38" s="0" t="s">
        <v>358</v>
      </c>
      <c r="C38" s="19" t="n">
        <v>3250</v>
      </c>
      <c r="D38" s="19" t="n">
        <v>3.98</v>
      </c>
      <c r="E38" s="19" t="n">
        <v>3250</v>
      </c>
      <c r="F38" s="19" t="n">
        <v>3.98</v>
      </c>
      <c r="G38" s="19" t="n">
        <v>3250</v>
      </c>
      <c r="H38" s="19" t="n">
        <v>3.98</v>
      </c>
    </row>
    <row r="39" customFormat="false" ht="15" hidden="false" customHeight="false" outlineLevel="0" collapsed="false">
      <c r="A39" s="0" t="s">
        <v>392</v>
      </c>
      <c r="B39" s="0" t="s">
        <v>358</v>
      </c>
      <c r="C39" s="19" t="n">
        <v>2500</v>
      </c>
      <c r="D39" s="19" t="n">
        <v>6.94</v>
      </c>
      <c r="E39" s="19" t="n">
        <v>2500</v>
      </c>
      <c r="F39" s="19" t="n">
        <v>6.94</v>
      </c>
      <c r="G39" s="19" t="n">
        <v>2500</v>
      </c>
      <c r="H39" s="19" t="n">
        <v>6.94</v>
      </c>
    </row>
    <row r="40" customFormat="false" ht="15" hidden="false" customHeight="false" outlineLevel="0" collapsed="false">
      <c r="A40" s="0" t="s">
        <v>393</v>
      </c>
      <c r="B40" s="0" t="s">
        <v>358</v>
      </c>
      <c r="C40" s="19" t="n">
        <v>2250</v>
      </c>
      <c r="D40" s="19" t="n">
        <v>5.62</v>
      </c>
      <c r="E40" s="19" t="n">
        <v>2250</v>
      </c>
      <c r="F40" s="19" t="n">
        <v>5.62</v>
      </c>
      <c r="G40" s="19" t="n">
        <v>2250</v>
      </c>
      <c r="H40" s="19" t="n">
        <v>5.62</v>
      </c>
    </row>
    <row r="41" customFormat="false" ht="15" hidden="false" customHeight="false" outlineLevel="0" collapsed="false">
      <c r="A41" s="0" t="s">
        <v>394</v>
      </c>
      <c r="B41" s="0" t="s">
        <v>358</v>
      </c>
      <c r="C41" s="19" t="n">
        <v>1250</v>
      </c>
      <c r="D41" s="19" t="n">
        <v>4.44</v>
      </c>
      <c r="E41" s="19" t="n">
        <v>1250</v>
      </c>
      <c r="F41" s="19" t="n">
        <v>4.44</v>
      </c>
      <c r="G41" s="19" t="n">
        <v>1250</v>
      </c>
      <c r="H41" s="19" t="n">
        <v>4.44</v>
      </c>
    </row>
    <row r="42" customFormat="false" ht="15" hidden="false" customHeight="false" outlineLevel="0" collapsed="false">
      <c r="A42" s="0" t="s">
        <v>395</v>
      </c>
      <c r="B42" s="0" t="s">
        <v>358</v>
      </c>
      <c r="C42" s="19" t="n">
        <v>3500</v>
      </c>
      <c r="D42" s="19" t="n">
        <v>3.89</v>
      </c>
      <c r="E42" s="19" t="n">
        <v>3500</v>
      </c>
      <c r="F42" s="19" t="n">
        <v>3.89</v>
      </c>
      <c r="G42" s="19" t="n">
        <v>3500</v>
      </c>
      <c r="H42" s="19" t="n">
        <v>3.89</v>
      </c>
    </row>
    <row r="43" customFormat="false" ht="15" hidden="false" customHeight="false" outlineLevel="0" collapsed="false">
      <c r="A43" s="0" t="s">
        <v>396</v>
      </c>
      <c r="B43" s="0" t="s">
        <v>358</v>
      </c>
      <c r="C43" s="19" t="n">
        <v>1500</v>
      </c>
      <c r="D43" s="19" t="n">
        <v>4.13</v>
      </c>
      <c r="E43" s="19" t="n">
        <v>1500</v>
      </c>
      <c r="F43" s="19" t="n">
        <v>4.13</v>
      </c>
      <c r="G43" s="19" t="n">
        <v>1500</v>
      </c>
      <c r="H43" s="19" t="n">
        <v>4.13</v>
      </c>
    </row>
    <row r="44" customFormat="false" ht="15" hidden="false" customHeight="false" outlineLevel="0" collapsed="false">
      <c r="A44" s="0" t="s">
        <v>397</v>
      </c>
      <c r="B44" s="0" t="s">
        <v>398</v>
      </c>
      <c r="C44" s="19" t="n">
        <v>790</v>
      </c>
      <c r="D44" s="19" t="n">
        <v>6.99</v>
      </c>
    </row>
    <row r="45" customFormat="false" ht="15" hidden="false" customHeight="false" outlineLevel="0" collapsed="false">
      <c r="A45" s="0" t="s">
        <v>399</v>
      </c>
      <c r="B45" s="0" t="s">
        <v>398</v>
      </c>
      <c r="C45" s="19" t="n">
        <v>170</v>
      </c>
      <c r="D45" s="19" t="n">
        <v>6.98</v>
      </c>
    </row>
    <row r="46" customFormat="false" ht="15" hidden="false" customHeight="false" outlineLevel="0" collapsed="false">
      <c r="A46" s="0" t="s">
        <v>400</v>
      </c>
      <c r="B46" s="0" t="s">
        <v>398</v>
      </c>
      <c r="C46" s="19" t="n">
        <v>3570</v>
      </c>
      <c r="D46" s="19" t="n">
        <v>6.99</v>
      </c>
    </row>
    <row r="47" customFormat="false" ht="15" hidden="false" customHeight="false" outlineLevel="0" collapsed="false">
      <c r="A47" s="0" t="s">
        <v>401</v>
      </c>
      <c r="B47" s="0" t="s">
        <v>398</v>
      </c>
      <c r="C47" s="19" t="n">
        <v>1100</v>
      </c>
      <c r="D47" s="19" t="n">
        <v>6.98</v>
      </c>
    </row>
    <row r="48" customFormat="false" ht="15" hidden="false" customHeight="false" outlineLevel="0" collapsed="false">
      <c r="A48" s="0" t="s">
        <v>402</v>
      </c>
      <c r="B48" s="0" t="s">
        <v>403</v>
      </c>
      <c r="C48" s="19" t="n">
        <v>401</v>
      </c>
      <c r="D48" s="19" t="n">
        <v>5.43</v>
      </c>
      <c r="E48" s="19" t="n">
        <v>2294</v>
      </c>
      <c r="F48" s="19" t="n">
        <v>4.88</v>
      </c>
      <c r="G48" s="19" t="n">
        <v>1468</v>
      </c>
      <c r="H48" s="19" t="n">
        <v>4.35</v>
      </c>
    </row>
    <row r="49" customFormat="false" ht="15" hidden="false" customHeight="false" outlineLevel="0" collapsed="false">
      <c r="A49" s="0" t="s">
        <v>404</v>
      </c>
      <c r="B49" s="0" t="s">
        <v>405</v>
      </c>
      <c r="C49" s="19" t="n">
        <v>113</v>
      </c>
      <c r="D49" s="19" t="n">
        <v>3.53</v>
      </c>
      <c r="E49" s="19" t="n">
        <v>113</v>
      </c>
      <c r="F49" s="19" t="n">
        <v>3.53</v>
      </c>
    </row>
    <row r="50" customFormat="false" ht="15" hidden="false" customHeight="false" outlineLevel="0" collapsed="false">
      <c r="A50" s="0" t="s">
        <v>406</v>
      </c>
      <c r="B50" s="0" t="s">
        <v>358</v>
      </c>
      <c r="E50" s="19" t="n">
        <v>1500</v>
      </c>
      <c r="F50" s="19" t="n">
        <v>4.94</v>
      </c>
      <c r="G50" s="19" t="n">
        <v>1500</v>
      </c>
      <c r="H50" s="19" t="n">
        <v>4.94</v>
      </c>
    </row>
    <row r="51" customFormat="false" ht="15" hidden="false" customHeight="false" outlineLevel="0" collapsed="false">
      <c r="A51" s="0" t="s">
        <v>407</v>
      </c>
      <c r="B51" s="0" t="s">
        <v>358</v>
      </c>
      <c r="E51" s="19" t="n">
        <v>1500</v>
      </c>
      <c r="F51" s="19" t="n">
        <v>4.27</v>
      </c>
      <c r="G51" s="19" t="n">
        <v>1500</v>
      </c>
      <c r="H51" s="19" t="n">
        <v>4.27</v>
      </c>
    </row>
    <row r="52" customFormat="false" ht="15" hidden="false" customHeight="false" outlineLevel="0" collapsed="false">
      <c r="A52" s="0" t="s">
        <v>408</v>
      </c>
      <c r="B52" s="0" t="s">
        <v>358</v>
      </c>
      <c r="E52" s="19" t="n">
        <v>1250</v>
      </c>
      <c r="F52" s="19" t="n">
        <v>5.36</v>
      </c>
      <c r="G52" s="19" t="n">
        <v>1250</v>
      </c>
      <c r="H52" s="19" t="n">
        <v>5.36</v>
      </c>
    </row>
    <row r="53" customFormat="false" ht="15" hidden="false" customHeight="false" outlineLevel="0" collapsed="false">
      <c r="A53" s="0" t="s">
        <v>409</v>
      </c>
      <c r="B53" s="0" t="s">
        <v>358</v>
      </c>
      <c r="E53" s="19" t="n">
        <v>1750</v>
      </c>
      <c r="F53" s="19" t="n">
        <v>4.77</v>
      </c>
      <c r="G53" s="19" t="n">
        <v>1750</v>
      </c>
      <c r="H53" s="19" t="n">
        <v>4.77</v>
      </c>
    </row>
    <row r="54" customFormat="false" ht="15" hidden="false" customHeight="false" outlineLevel="0" collapsed="false">
      <c r="A54" s="0" t="s">
        <v>410</v>
      </c>
      <c r="B54" s="0" t="s">
        <v>358</v>
      </c>
      <c r="E54" s="19" t="n">
        <v>1750</v>
      </c>
      <c r="F54" s="19" t="n">
        <v>5.55</v>
      </c>
      <c r="G54" s="19" t="n">
        <v>1750</v>
      </c>
      <c r="H54" s="19" t="n">
        <v>5.55</v>
      </c>
    </row>
    <row r="55" customFormat="false" ht="15" hidden="false" customHeight="false" outlineLevel="0" collapsed="false">
      <c r="A55" s="0" t="s">
        <v>411</v>
      </c>
      <c r="B55" s="0" t="s">
        <v>358</v>
      </c>
      <c r="E55" s="19" t="n">
        <v>1750</v>
      </c>
      <c r="F55" s="19" t="n">
        <v>5.43</v>
      </c>
      <c r="G55" s="19" t="n">
        <v>1750</v>
      </c>
      <c r="H55" s="19" t="n">
        <v>5.43</v>
      </c>
    </row>
    <row r="56" customFormat="false" ht="15" hidden="false" customHeight="false" outlineLevel="0" collapsed="false">
      <c r="A56" s="0" t="s">
        <v>412</v>
      </c>
      <c r="B56" s="0" t="s">
        <v>358</v>
      </c>
      <c r="E56" s="19" t="n">
        <v>1750</v>
      </c>
      <c r="F56" s="19" t="n">
        <v>6.04</v>
      </c>
      <c r="G56" s="19" t="n">
        <v>1750</v>
      </c>
      <c r="H56" s="19" t="n">
        <v>6.04</v>
      </c>
    </row>
    <row r="57" customFormat="false" ht="15" hidden="false" customHeight="false" outlineLevel="0" collapsed="false">
      <c r="A57" s="0" t="s">
        <v>413</v>
      </c>
      <c r="B57" s="0" t="s">
        <v>358</v>
      </c>
      <c r="E57" s="19" t="n">
        <v>1250</v>
      </c>
      <c r="F57" s="19" t="n">
        <v>5.55</v>
      </c>
      <c r="G57" s="19" t="n">
        <v>1250</v>
      </c>
      <c r="H57" s="19" t="n">
        <v>5.55</v>
      </c>
    </row>
    <row r="58" customFormat="false" ht="15" hidden="false" customHeight="false" outlineLevel="0" collapsed="false">
      <c r="A58" s="0" t="s">
        <v>414</v>
      </c>
      <c r="B58" s="0" t="s">
        <v>358</v>
      </c>
      <c r="E58" s="19" t="n">
        <v>1000</v>
      </c>
      <c r="F58" s="19" t="n">
        <v>6.17</v>
      </c>
      <c r="G58" s="19" t="n">
        <v>1000</v>
      </c>
      <c r="H58" s="19" t="n">
        <v>6.17</v>
      </c>
    </row>
    <row r="59" customFormat="false" ht="15" hidden="false" customHeight="false" outlineLevel="0" collapsed="false">
      <c r="A59" s="0" t="s">
        <v>415</v>
      </c>
      <c r="B59" s="0" t="s">
        <v>358</v>
      </c>
      <c r="E59" s="19" t="n">
        <v>500</v>
      </c>
      <c r="F59" s="19" t="n">
        <v>5.28</v>
      </c>
      <c r="G59" s="19" t="n">
        <v>500</v>
      </c>
      <c r="H59" s="19" t="n">
        <v>4.43</v>
      </c>
    </row>
    <row r="60" customFormat="false" ht="15" hidden="false" customHeight="false" outlineLevel="0" collapsed="false">
      <c r="A60" s="0" t="s">
        <v>416</v>
      </c>
      <c r="B60" s="0" t="s">
        <v>398</v>
      </c>
      <c r="E60" s="19" t="n">
        <v>5419</v>
      </c>
      <c r="F60" s="19" t="n">
        <v>6.1</v>
      </c>
      <c r="G60" s="19" t="n">
        <v>5137</v>
      </c>
      <c r="H60" s="19" t="n">
        <v>5.29</v>
      </c>
    </row>
    <row r="61" customFormat="false" ht="15" hidden="false" customHeight="false" outlineLevel="0" collapsed="false">
      <c r="A61" s="0" t="s">
        <v>417</v>
      </c>
      <c r="B61" s="0" t="s">
        <v>358</v>
      </c>
      <c r="G61" s="19" t="n">
        <v>3000</v>
      </c>
      <c r="H61" s="19" t="n">
        <v>4.74</v>
      </c>
    </row>
    <row r="62" customFormat="false" ht="15" hidden="false" customHeight="false" outlineLevel="0" collapsed="false">
      <c r="A62" s="0" t="s">
        <v>418</v>
      </c>
      <c r="B62" s="0" t="s">
        <v>358</v>
      </c>
      <c r="G62" s="19" t="n">
        <v>3000</v>
      </c>
      <c r="H62" s="19" t="n">
        <v>4.55</v>
      </c>
    </row>
    <row r="63" customFormat="false" ht="15" hidden="false" customHeight="false" outlineLevel="0" collapsed="false">
      <c r="A63" s="0" t="s">
        <v>419</v>
      </c>
      <c r="B63" s="0" t="s">
        <v>358</v>
      </c>
      <c r="G63" s="19" t="n">
        <v>3500</v>
      </c>
      <c r="H63" s="19" t="n">
        <v>5.08</v>
      </c>
    </row>
    <row r="64" customFormat="false" ht="15" hidden="false" customHeight="false" outlineLevel="0" collapsed="false">
      <c r="A64" s="0" t="s">
        <v>420</v>
      </c>
      <c r="B64" s="0" t="s">
        <v>358</v>
      </c>
      <c r="G64" s="19" t="n">
        <v>3000</v>
      </c>
      <c r="H64" s="19" t="n">
        <v>4.87</v>
      </c>
    </row>
    <row r="65" customFormat="false" ht="15" hidden="false" customHeight="false" outlineLevel="0" collapsed="false">
      <c r="A65" s="0" t="s">
        <v>421</v>
      </c>
      <c r="B65" s="0" t="s">
        <v>358</v>
      </c>
      <c r="G65" s="19" t="n">
        <v>3000</v>
      </c>
      <c r="H65" s="19" t="n">
        <v>5.42</v>
      </c>
    </row>
    <row r="66" customFormat="false" ht="15" hidden="false" customHeight="false" outlineLevel="0" collapsed="false">
      <c r="A66" s="0" t="s">
        <v>422</v>
      </c>
      <c r="B66" s="0" t="s">
        <v>358</v>
      </c>
      <c r="G66" s="19" t="n">
        <v>4000</v>
      </c>
      <c r="H66" s="19" t="n">
        <v>5.25</v>
      </c>
    </row>
    <row r="67" customFormat="false" ht="15" hidden="false" customHeight="false" outlineLevel="0" collapsed="false">
      <c r="A67" s="0" t="s">
        <v>423</v>
      </c>
      <c r="B67" s="0" t="s">
        <v>358</v>
      </c>
      <c r="G67" s="19" t="n">
        <v>5000</v>
      </c>
      <c r="H67" s="19" t="n">
        <v>5.78</v>
      </c>
    </row>
    <row r="68" customFormat="false" ht="15" hidden="false" customHeight="false" outlineLevel="0" collapsed="false">
      <c r="A68" s="0" t="s">
        <v>424</v>
      </c>
      <c r="B68" s="0" t="s">
        <v>358</v>
      </c>
      <c r="G68" s="19" t="n">
        <v>2500</v>
      </c>
      <c r="H68" s="19" t="n">
        <v>5.91</v>
      </c>
    </row>
    <row r="69" customFormat="false" ht="15" hidden="false" customHeight="false" outlineLevel="0" collapsed="false">
      <c r="A69" s="0" t="s">
        <v>425</v>
      </c>
      <c r="B69" s="0" t="s">
        <v>358</v>
      </c>
      <c r="G69" s="19" t="n">
        <v>2250</v>
      </c>
      <c r="H69" s="19" t="n">
        <v>6.59</v>
      </c>
    </row>
    <row r="70" customFormat="false" ht="15" hidden="false" customHeight="false" outlineLevel="0" collapsed="false">
      <c r="A70" s="0" t="s">
        <v>426</v>
      </c>
      <c r="B70" s="0" t="s">
        <v>358</v>
      </c>
      <c r="G70" s="19" t="n">
        <v>3500</v>
      </c>
      <c r="H70" s="19" t="n">
        <v>6.05</v>
      </c>
    </row>
    <row r="71" customFormat="false" ht="15" hidden="false" customHeight="false" outlineLevel="0" collapsed="false">
      <c r="A71" s="0" t="s">
        <v>427</v>
      </c>
      <c r="B71" s="0" t="s">
        <v>358</v>
      </c>
      <c r="G71" s="19" t="n">
        <v>5000</v>
      </c>
      <c r="H71" s="19" t="n">
        <v>6.74</v>
      </c>
    </row>
    <row r="72" customFormat="false" ht="15" hidden="false" customHeight="false" outlineLevel="0" collapsed="false">
      <c r="A72" s="0" t="s">
        <v>428</v>
      </c>
      <c r="B72" s="0" t="s">
        <v>358</v>
      </c>
      <c r="G72" s="19" t="n">
        <v>2000</v>
      </c>
      <c r="H72" s="19" t="n">
        <v>6.17</v>
      </c>
    </row>
    <row r="73" customFormat="false" ht="15" hidden="false" customHeight="false" outlineLevel="0" collapsed="false">
      <c r="A73" s="0" t="s">
        <v>429</v>
      </c>
      <c r="B73" s="0" t="s">
        <v>358</v>
      </c>
      <c r="G73" s="19" t="n">
        <v>2750</v>
      </c>
      <c r="H73" s="19" t="n">
        <v>6.89</v>
      </c>
    </row>
    <row r="74" customFormat="false" ht="15" hidden="false" customHeight="false" outlineLevel="0" collapsed="false">
      <c r="A74" s="0" t="s">
        <v>430</v>
      </c>
      <c r="B74" s="0" t="s">
        <v>358</v>
      </c>
      <c r="G74" s="19" t="n">
        <v>500</v>
      </c>
      <c r="H74" s="19" t="n">
        <v>4.78</v>
      </c>
    </row>
    <row r="76" customFormat="false" ht="15" hidden="false" customHeight="false" outlineLevel="0" collapsed="false">
      <c r="A76" s="2" t="s">
        <v>431</v>
      </c>
      <c r="C76" s="0" t="n">
        <f aca="false">SUM(C5:C74)</f>
        <v>87202</v>
      </c>
      <c r="E76" s="0" t="n">
        <f aca="false">SUM(E5:E74)</f>
        <v>92917</v>
      </c>
      <c r="G76" s="0" t="n">
        <f aca="false">SUM(G5:G74)</f>
        <v>130105</v>
      </c>
    </row>
    <row r="77" customFormat="false" ht="15" hidden="false" customHeight="false" outlineLevel="0" collapsed="false">
      <c r="A77" s="0" t="s">
        <v>432</v>
      </c>
      <c r="C77" s="0" t="n">
        <f aca="false">C76-Inputs!G27</f>
        <v>333</v>
      </c>
      <c r="E77" s="0" t="n">
        <f aca="false">E76-Inputs!K27</f>
        <v>349</v>
      </c>
      <c r="G77" s="0" t="n">
        <f aca="false">G76-Inputs!O27</f>
        <v>564</v>
      </c>
    </row>
    <row r="78" customFormat="false" ht="15" hidden="false" customHeight="false" outlineLevel="0" collapsed="false">
      <c r="A78" s="2" t="s">
        <v>433</v>
      </c>
      <c r="D78" s="0" t="n">
        <f aca="false">IFERROR(SUMPRODUCT(C5:C74,D5:D74)/SUMPRODUCT((D5:D74&lt;&gt;"")*C5:C74),"n/d")</f>
        <v>4.13366298938098</v>
      </c>
      <c r="F78" s="0" t="n">
        <f aca="false">IFERROR(SUMPRODUCT(E5:E74,F5:F74)/SUMPRODUCT((F5:F74&lt;&gt;"")*E5:E74),"n/d")</f>
        <v>4.39424949148165</v>
      </c>
      <c r="H78" s="0" t="n">
        <f aca="false">IFERROR(SUMPRODUCT(G5:G74,H5:H74)/SUMPRODUCT((H5:H74&lt;&gt;"")*G5:G74),"n/d")</f>
        <v>4.82820053034088</v>
      </c>
    </row>
    <row r="79" customFormat="false" ht="15" hidden="false" customHeight="false" outlineLevel="0" collapsed="false">
      <c r="A79" s="0" t="s">
        <v>434</v>
      </c>
      <c r="C79" s="0" t="n">
        <f aca="false">SUMIF($B$5:$B$74,"DDTL",C5:C74)</f>
        <v>0</v>
      </c>
      <c r="D79" s="0" t="str">
        <f aca="false">IFERROR(SUMPRODUCT(($B$5:$B$74="DDTL")*C5:C74*D5:D74)/SUMPRODUCT(($B$5:$B$74="DDTL")*(D5:D74&lt;&gt;"")*C5:C74),"n/d")</f>
        <v>n/d</v>
      </c>
      <c r="E79" s="0" t="n">
        <f aca="false">SUMIF($B$5:$B$74,"DDTL",E5:E74)</f>
        <v>0</v>
      </c>
      <c r="F79" s="0" t="str">
        <f aca="false">IFERROR(SUMPRODUCT(($B$5:$B$74="DDTL")*E5:E74*F5:F74)/SUMPRODUCT(($B$5:$B$74="DDTL")*(F5:F74&lt;&gt;"")*E5:E74),"n/d")</f>
        <v>n/d</v>
      </c>
      <c r="G79" s="0" t="n">
        <f aca="false">SUMIF($B$5:$B$74,"DDTL",G5:G74)</f>
        <v>0</v>
      </c>
      <c r="H79" s="0" t="str">
        <f aca="false">IFERROR(SUMPRODUCT(($B$5:$B$74="DDTL")*G5:G74*H5:H74)/SUMPRODUCT(($B$5:$B$74="DDTL")*(H5:H74&lt;&gt;"")*G5:G74),"n/d")</f>
        <v>n/d</v>
      </c>
    </row>
    <row r="80" customFormat="false" ht="15" hidden="false" customHeight="false" outlineLevel="0" collapsed="false">
      <c r="A80" s="0" t="s">
        <v>435</v>
      </c>
      <c r="C80" s="0" t="n">
        <f aca="false">SUMIF($B$5:$B$74,"Senior notes",C5:C74)</f>
        <v>81058</v>
      </c>
      <c r="D80" s="0" t="n">
        <f aca="false">IFERROR(SUMPRODUCT(($B$5:$B$74="Senior notes")*C5:C74*D5:D74)/SUMPRODUCT(($B$5:$B$74="Senior notes")*(D5:D74&lt;&gt;"")*C5:C74),"n/d")</f>
        <v>3.92985713933233</v>
      </c>
      <c r="E80" s="0" t="n">
        <f aca="false">SUMIF($B$5:$B$74,"Senior notes",E5:E74)</f>
        <v>85091</v>
      </c>
      <c r="F80" s="0" t="n">
        <f aca="false">IFERROR(SUMPRODUCT(($B$5:$B$74="Senior notes")*E5:E74*F5:F74)/SUMPRODUCT(($B$5:$B$74="Senior notes")*(F5:F74&lt;&gt;"")*E5:E74),"n/d")</f>
        <v>4.27367136359897</v>
      </c>
      <c r="G80" s="0" t="n">
        <f aca="false">SUMIF($B$5:$B$74,"Senior notes",G5:G74)</f>
        <v>123500</v>
      </c>
      <c r="H80" s="0" t="n">
        <f aca="false">IFERROR(SUMPRODUCT(($B$5:$B$74="Senior notes")*G5:G74*H5:H74)/SUMPRODUCT(($B$5:$B$74="Senior notes")*(H5:H74&lt;&gt;"")*G5:G74),"n/d")</f>
        <v>4.81467611336032</v>
      </c>
    </row>
    <row r="81" customFormat="false" ht="15" hidden="false" customHeight="false" outlineLevel="0" collapsed="false">
      <c r="A81" s="0" t="s">
        <v>436</v>
      </c>
      <c r="C81" s="0" t="n">
        <f aca="false">SUMIF($B$5:$B$74,"Converts",C5:C74)</f>
        <v>0</v>
      </c>
      <c r="D81" s="0" t="str">
        <f aca="false">IFERROR(SUMPRODUCT(($B$5:$B$74="Converts")*C5:C74*D5:D74)/SUMPRODUCT(($B$5:$B$74="Converts")*(D5:D74&lt;&gt;"")*C5:C74),"n/d")</f>
        <v>n/d</v>
      </c>
      <c r="E81" s="0" t="n">
        <f aca="false">SUMIF($B$5:$B$74,"Converts",E5:E74)</f>
        <v>0</v>
      </c>
      <c r="F81" s="0" t="str">
        <f aca="false">IFERROR(SUMPRODUCT(($B$5:$B$74="Converts")*E5:E74*F5:F74)/SUMPRODUCT(($B$5:$B$74="Converts")*(F5:F74&lt;&gt;"")*E5:E74),"n/d")</f>
        <v>n/d</v>
      </c>
      <c r="G81" s="0" t="n">
        <f aca="false">SUMIF($B$5:$B$74,"Converts",G5:G74)</f>
        <v>0</v>
      </c>
      <c r="H81" s="0" t="str">
        <f aca="false">IFERROR(SUMPRODUCT(($B$5:$B$74="Converts")*G5:G74*H5:H74)/SUMPRODUCT(($B$5:$B$74="Converts")*(H5:H74&lt;&gt;"")*G5:G74),"n/d")</f>
        <v>n/d</v>
      </c>
    </row>
    <row r="82" customFormat="false" ht="15" hidden="false" customHeight="false" outlineLevel="0" collapsed="false">
      <c r="A82" s="0" t="s">
        <v>437</v>
      </c>
      <c r="C82" s="0" t="n">
        <f aca="false">SUMIF($B$5:$B$74,"OEM / vendor financing",C5:C74)</f>
        <v>0</v>
      </c>
      <c r="D82" s="0" t="str">
        <f aca="false">IFERROR(SUMPRODUCT(($B$5:$B$74="OEM / vendor financing")*C5:C74*D5:D74)/SUMPRODUCT(($B$5:$B$74="OEM / vendor financing")*(D5:D74&lt;&gt;"")*C5:C74),"n/d")</f>
        <v>n/d</v>
      </c>
      <c r="E82" s="0" t="n">
        <f aca="false">SUMIF($B$5:$B$74,"OEM / vendor financing",E5:E74)</f>
        <v>0</v>
      </c>
      <c r="F82" s="0" t="str">
        <f aca="false">IFERROR(SUMPRODUCT(($B$5:$B$74="OEM / vendor financing")*E5:E74*F5:F74)/SUMPRODUCT(($B$5:$B$74="OEM / vendor financing")*(F5:F74&lt;&gt;"")*E5:E74),"n/d")</f>
        <v>n/d</v>
      </c>
      <c r="G82" s="0" t="n">
        <f aca="false">SUMIF($B$5:$B$74,"OEM / vendor financing",G5:G74)</f>
        <v>0</v>
      </c>
      <c r="H82" s="0" t="str">
        <f aca="false">IFERROR(SUMPRODUCT(($B$5:$B$74="OEM / vendor financing")*G5:G74*H5:H74)/SUMPRODUCT(($B$5:$B$74="OEM / vendor financing")*(H5:H74&lt;&gt;"")*G5:G74),"n/d")</f>
        <v>n/d</v>
      </c>
    </row>
    <row r="83" customFormat="false" ht="15" hidden="false" customHeight="false" outlineLevel="0" collapsed="false">
      <c r="A83" s="0" t="s">
        <v>438</v>
      </c>
      <c r="C83" s="0" t="n">
        <f aca="false">SUMIF($B$5:$B$74,"Revolver / commercial paper",C5:C74)</f>
        <v>401</v>
      </c>
      <c r="D83" s="0" t="n">
        <f aca="false">IFERROR(SUMPRODUCT(($B$5:$B$74="Revolver / commercial paper")*C5:C74*D5:D74)/SUMPRODUCT(($B$5:$B$74="Revolver / commercial paper")*(D5:D74&lt;&gt;"")*C5:C74),"n/d")</f>
        <v>5.43</v>
      </c>
      <c r="E83" s="0" t="n">
        <f aca="false">SUMIF($B$5:$B$74,"Revolver / commercial paper",E5:E74)</f>
        <v>2294</v>
      </c>
      <c r="F83" s="0" t="n">
        <f aca="false">IFERROR(SUMPRODUCT(($B$5:$B$74="Revolver / commercial paper")*E5:E74*F5:F74)/SUMPRODUCT(($B$5:$B$74="Revolver / commercial paper")*(F5:F74&lt;&gt;"")*E5:E74),"n/d")</f>
        <v>4.88</v>
      </c>
      <c r="G83" s="0" t="n">
        <f aca="false">SUMIF($B$5:$B$74,"Revolver / commercial paper",G5:G74)</f>
        <v>1468</v>
      </c>
      <c r="H83" s="0" t="n">
        <f aca="false">IFERROR(SUMPRODUCT(($B$5:$B$74="Revolver / commercial paper")*G5:G74*H5:H74)/SUMPRODUCT(($B$5:$B$74="Revolver / commercial paper")*(H5:H74&lt;&gt;"")*G5:G74),"n/d")</f>
        <v>4.35</v>
      </c>
    </row>
    <row r="84" customFormat="false" ht="15" hidden="false" customHeight="false" outlineLevel="0" collapsed="false">
      <c r="A84" s="0" t="s">
        <v>439</v>
      </c>
      <c r="C84" s="0" t="n">
        <f aca="false">SUMIF($B$5:$B$74,"Other term loans",C5:C74)</f>
        <v>5630</v>
      </c>
      <c r="D84" s="0" t="n">
        <f aca="false">IFERROR(SUMPRODUCT(($B$5:$B$74="Other term loans")*C5:C74*D5:D74)/SUMPRODUCT(($B$5:$B$74="Other term loans")*(D5:D74&lt;&gt;"")*C5:C74),"n/d")</f>
        <v>6.98774422735346</v>
      </c>
      <c r="E84" s="0" t="n">
        <f aca="false">SUMIF($B$5:$B$74,"Other term loans",E5:E74)</f>
        <v>5419</v>
      </c>
      <c r="F84" s="0" t="n">
        <f aca="false">IFERROR(SUMPRODUCT(($B$5:$B$74="Other term loans")*E5:E74*F5:F74)/SUMPRODUCT(($B$5:$B$74="Other term loans")*(F5:F74&lt;&gt;"")*E5:E74),"n/d")</f>
        <v>6.1</v>
      </c>
      <c r="G84" s="0" t="n">
        <f aca="false">SUMIF($B$5:$B$74,"Other term loans",G5:G74)</f>
        <v>5137</v>
      </c>
      <c r="H84" s="0" t="n">
        <f aca="false">IFERROR(SUMPRODUCT(($B$5:$B$74="Other term loans")*G5:G74*H5:H74)/SUMPRODUCT(($B$5:$B$74="Other term loans")*(H5:H74&lt;&gt;"")*G5:G74),"n/d")</f>
        <v>5.29</v>
      </c>
    </row>
    <row r="85" customFormat="false" ht="15" hidden="false" customHeight="false" outlineLevel="0" collapsed="false">
      <c r="A85" s="0" t="s">
        <v>440</v>
      </c>
      <c r="D85" s="0" t="n">
        <f aca="false">IFERROR(C79/C76*100,"n/d")</f>
        <v>0</v>
      </c>
      <c r="F85" s="0" t="n">
        <f aca="false">IFERROR(E79/E76*100,"n/d")</f>
        <v>0</v>
      </c>
      <c r="H85" s="0" t="n">
        <f aca="false">IFERROR(G79/G76*100,"n/d")</f>
        <v>0</v>
      </c>
    </row>
    <row r="87" customFormat="false" ht="55.2" hidden="false" customHeight="false" outlineLevel="0" collapsed="false">
      <c r="A87" s="1" t="s">
        <v>441</v>
      </c>
    </row>
    <row r="88" customFormat="false" ht="41.75" hidden="false" customHeight="false" outlineLevel="0" collapsed="false">
      <c r="A88" s="1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80"/>
    <col collapsed="false" customWidth="true" hidden="false" outlineLevel="0" max="8" min="8" style="0" width="90"/>
  </cols>
  <sheetData>
    <row r="1" customFormat="false" ht="15" hidden="false" customHeight="false" outlineLevel="0" collapsed="false">
      <c r="A1" s="4" t="s">
        <v>443</v>
      </c>
      <c r="B1" s="4" t="s">
        <v>219</v>
      </c>
      <c r="C1" s="4" t="s">
        <v>444</v>
      </c>
      <c r="D1" s="4" t="s">
        <v>445</v>
      </c>
      <c r="E1" s="4" t="s">
        <v>446</v>
      </c>
      <c r="F1" s="4" t="s">
        <v>447</v>
      </c>
      <c r="G1" s="4" t="s">
        <v>448</v>
      </c>
      <c r="H1" s="4" t="s">
        <v>449</v>
      </c>
    </row>
    <row r="2" customFormat="false" ht="15" hidden="false" customHeight="false" outlineLevel="0" collapsed="false">
      <c r="A2" s="0" t="s">
        <v>222</v>
      </c>
      <c r="B2" s="0" t="s">
        <v>223</v>
      </c>
      <c r="C2" s="0" t="s">
        <v>25</v>
      </c>
      <c r="D2" s="0" t="n">
        <v>1779.9</v>
      </c>
      <c r="E2" s="0" t="s">
        <v>103</v>
      </c>
      <c r="F2" s="0" t="s">
        <v>450</v>
      </c>
      <c r="G2" s="0" t="s">
        <v>451</v>
      </c>
      <c r="H2" s="0" t="s">
        <v>452</v>
      </c>
    </row>
    <row r="3" customFormat="false" ht="15" hidden="false" customHeight="false" outlineLevel="0" collapsed="false">
      <c r="A3" s="0" t="s">
        <v>222</v>
      </c>
      <c r="B3" s="0" t="s">
        <v>223</v>
      </c>
      <c r="C3" s="0" t="s">
        <v>26</v>
      </c>
      <c r="D3" s="0" t="n">
        <v>1970.4</v>
      </c>
      <c r="E3" s="0" t="s">
        <v>103</v>
      </c>
      <c r="F3" s="0" t="s">
        <v>453</v>
      </c>
      <c r="G3" s="0" t="s">
        <v>454</v>
      </c>
      <c r="H3" s="0" t="s">
        <v>455</v>
      </c>
    </row>
    <row r="4" customFormat="false" ht="15" hidden="false" customHeight="false" outlineLevel="0" collapsed="false">
      <c r="A4" s="0" t="s">
        <v>222</v>
      </c>
      <c r="B4" s="0" t="s">
        <v>223</v>
      </c>
      <c r="C4" s="0" t="s">
        <v>27</v>
      </c>
      <c r="D4" s="0" t="n">
        <v>2154</v>
      </c>
      <c r="E4" s="0" t="s">
        <v>99</v>
      </c>
      <c r="F4" s="0" t="s">
        <v>456</v>
      </c>
      <c r="G4" s="0" t="s">
        <v>457</v>
      </c>
      <c r="H4" s="0" t="s">
        <v>458</v>
      </c>
    </row>
    <row r="5" customFormat="false" ht="15" hidden="false" customHeight="false" outlineLevel="0" collapsed="false">
      <c r="A5" s="0" t="s">
        <v>222</v>
      </c>
      <c r="B5" s="0" t="s">
        <v>223</v>
      </c>
      <c r="C5" s="0" t="s">
        <v>28</v>
      </c>
      <c r="D5" s="0" t="n">
        <v>2434</v>
      </c>
      <c r="E5" s="0" t="s">
        <v>99</v>
      </c>
      <c r="F5" s="0" t="s">
        <v>456</v>
      </c>
      <c r="G5" s="0" t="s">
        <v>459</v>
      </c>
      <c r="H5" s="0" t="s">
        <v>458</v>
      </c>
    </row>
    <row r="6" customFormat="false" ht="15" hidden="false" customHeight="false" outlineLevel="0" collapsed="false">
      <c r="A6" s="0" t="s">
        <v>222</v>
      </c>
      <c r="B6" s="0" t="s">
        <v>223</v>
      </c>
      <c r="C6" s="0" t="s">
        <v>29</v>
      </c>
      <c r="D6" s="0" t="n">
        <v>2652</v>
      </c>
      <c r="E6" s="0" t="s">
        <v>99</v>
      </c>
      <c r="F6" s="0" t="s">
        <v>456</v>
      </c>
      <c r="G6" s="0" t="s">
        <v>459</v>
      </c>
      <c r="H6" s="0" t="s">
        <v>458</v>
      </c>
    </row>
    <row r="7" customFormat="false" ht="15" hidden="false" customHeight="false" outlineLevel="0" collapsed="false">
      <c r="A7" s="0" t="s">
        <v>222</v>
      </c>
      <c r="B7" s="0" t="s">
        <v>223</v>
      </c>
      <c r="C7" s="0" t="s">
        <v>30</v>
      </c>
      <c r="D7" s="0" t="n">
        <v>2995</v>
      </c>
      <c r="E7" s="0" t="s">
        <v>99</v>
      </c>
      <c r="F7" s="0" t="s">
        <v>456</v>
      </c>
      <c r="G7" s="0" t="s">
        <v>459</v>
      </c>
      <c r="H7" s="0" t="s">
        <v>458</v>
      </c>
    </row>
    <row r="8" customFormat="false" ht="15" hidden="false" customHeight="false" outlineLevel="0" collapsed="false">
      <c r="A8" s="0" t="s">
        <v>222</v>
      </c>
      <c r="B8" s="0" t="s">
        <v>223</v>
      </c>
      <c r="C8" s="0" t="s">
        <v>31</v>
      </c>
      <c r="D8" s="0" t="n">
        <v>3347</v>
      </c>
      <c r="E8" s="0" t="s">
        <v>99</v>
      </c>
      <c r="F8" s="0" t="s">
        <v>323</v>
      </c>
      <c r="G8" s="0" t="s">
        <v>460</v>
      </c>
      <c r="H8" s="0" t="s">
        <v>461</v>
      </c>
    </row>
    <row r="9" customFormat="false" ht="15" hidden="false" customHeight="false" outlineLevel="0" collapsed="false">
      <c r="A9" s="0" t="s">
        <v>222</v>
      </c>
      <c r="B9" s="0" t="s">
        <v>223</v>
      </c>
      <c r="C9" s="0" t="s">
        <v>32</v>
      </c>
      <c r="D9" s="0" t="n">
        <v>4079</v>
      </c>
      <c r="E9" s="0" t="s">
        <v>99</v>
      </c>
      <c r="F9" s="0" t="s">
        <v>323</v>
      </c>
      <c r="G9" s="0" t="s">
        <v>459</v>
      </c>
      <c r="H9" s="0" t="s">
        <v>461</v>
      </c>
    </row>
    <row r="10" customFormat="false" ht="15" hidden="false" customHeight="false" outlineLevel="0" collapsed="false">
      <c r="A10" s="0" t="s">
        <v>222</v>
      </c>
      <c r="B10" s="0" t="s">
        <v>223</v>
      </c>
      <c r="C10" s="0" t="s">
        <v>33</v>
      </c>
      <c r="D10" s="0" t="n">
        <v>4888</v>
      </c>
      <c r="E10" s="0" t="s">
        <v>99</v>
      </c>
      <c r="F10" s="0" t="s">
        <v>323</v>
      </c>
      <c r="G10" s="0" t="s">
        <v>459</v>
      </c>
      <c r="H10" s="0" t="s">
        <v>461</v>
      </c>
    </row>
    <row r="11" customFormat="false" ht="15" hidden="false" customHeight="false" outlineLevel="0" collapsed="false">
      <c r="A11" s="0" t="s">
        <v>222</v>
      </c>
      <c r="B11" s="0" t="s">
        <v>223</v>
      </c>
      <c r="C11" s="0" t="s">
        <v>34</v>
      </c>
      <c r="D11" s="0" t="n">
        <v>5787</v>
      </c>
      <c r="E11" s="0" t="s">
        <v>99</v>
      </c>
      <c r="F11" s="0" t="s">
        <v>323</v>
      </c>
      <c r="G11" s="0" t="s">
        <v>459</v>
      </c>
      <c r="H11" s="0" t="s">
        <v>461</v>
      </c>
    </row>
    <row r="12" customFormat="false" ht="15" hidden="false" customHeight="false" outlineLevel="0" collapsed="false">
      <c r="A12" s="0" t="s">
        <v>222</v>
      </c>
      <c r="B12" s="0" t="s">
        <v>223</v>
      </c>
      <c r="C12" s="0" t="s">
        <v>35</v>
      </c>
      <c r="D12" s="0" t="n">
        <v>7388</v>
      </c>
      <c r="E12" s="0" t="s">
        <v>99</v>
      </c>
      <c r="F12" s="0" t="s">
        <v>323</v>
      </c>
      <c r="G12" s="0" t="s">
        <v>462</v>
      </c>
      <c r="H12" s="0" t="s">
        <v>461</v>
      </c>
    </row>
    <row r="13" customFormat="false" ht="15" hidden="false" customHeight="false" outlineLevel="0" collapsed="false">
      <c r="A13" s="0" t="s">
        <v>230</v>
      </c>
      <c r="B13" s="0" t="s">
        <v>231</v>
      </c>
      <c r="C13" s="0" t="s">
        <v>25</v>
      </c>
      <c r="D13" s="0" t="n">
        <v>808</v>
      </c>
      <c r="E13" s="0" t="s">
        <v>103</v>
      </c>
      <c r="F13" s="0" t="s">
        <v>463</v>
      </c>
      <c r="G13" s="0" t="s">
        <v>464</v>
      </c>
      <c r="H13" s="0" t="s">
        <v>465</v>
      </c>
    </row>
    <row r="14" customFormat="false" ht="15" hidden="false" customHeight="false" outlineLevel="0" collapsed="false">
      <c r="A14" s="0" t="s">
        <v>230</v>
      </c>
      <c r="B14" s="0" t="s">
        <v>231</v>
      </c>
      <c r="C14" s="0" t="s">
        <v>26</v>
      </c>
      <c r="D14" s="0" t="n">
        <v>811</v>
      </c>
      <c r="E14" s="0" t="s">
        <v>103</v>
      </c>
      <c r="F14" s="0" t="s">
        <v>466</v>
      </c>
      <c r="G14" s="0" t="s">
        <v>467</v>
      </c>
      <c r="H14" s="0" t="s">
        <v>468</v>
      </c>
    </row>
    <row r="15" customFormat="false" ht="15" hidden="false" customHeight="false" outlineLevel="0" collapsed="false">
      <c r="A15" s="0" t="s">
        <v>230</v>
      </c>
      <c r="B15" s="0" t="s">
        <v>231</v>
      </c>
      <c r="C15" s="0" t="s">
        <v>27</v>
      </c>
      <c r="D15" s="0" t="n">
        <v>804</v>
      </c>
      <c r="E15" s="0" t="s">
        <v>99</v>
      </c>
      <c r="F15" s="0" t="s">
        <v>469</v>
      </c>
      <c r="G15" s="0" t="s">
        <v>470</v>
      </c>
      <c r="H15" s="0" t="s">
        <v>471</v>
      </c>
    </row>
    <row r="16" customFormat="false" ht="15" hidden="false" customHeight="false" outlineLevel="0" collapsed="false">
      <c r="A16" s="0" t="s">
        <v>230</v>
      </c>
      <c r="B16" s="0" t="s">
        <v>231</v>
      </c>
      <c r="C16" s="0" t="s">
        <v>28</v>
      </c>
      <c r="D16" s="0" t="n">
        <v>908</v>
      </c>
      <c r="E16" s="0" t="s">
        <v>103</v>
      </c>
      <c r="F16" s="0" t="s">
        <v>472</v>
      </c>
      <c r="G16" s="0" t="s">
        <v>473</v>
      </c>
      <c r="H16" s="0" t="s">
        <v>474</v>
      </c>
    </row>
    <row r="17" customFormat="false" ht="15" hidden="false" customHeight="false" outlineLevel="0" collapsed="false">
      <c r="A17" s="0" t="s">
        <v>230</v>
      </c>
      <c r="B17" s="0" t="s">
        <v>231</v>
      </c>
      <c r="C17" s="0" t="s">
        <v>29</v>
      </c>
      <c r="D17" s="0" t="n">
        <v>1003</v>
      </c>
      <c r="E17" s="0" t="s">
        <v>103</v>
      </c>
      <c r="F17" s="0" t="s">
        <v>450</v>
      </c>
      <c r="G17" s="0" t="s">
        <v>475</v>
      </c>
      <c r="H17" s="0" t="s">
        <v>452</v>
      </c>
    </row>
    <row r="18" customFormat="false" ht="15" hidden="false" customHeight="false" outlineLevel="0" collapsed="false">
      <c r="A18" s="0" t="s">
        <v>230</v>
      </c>
      <c r="B18" s="0" t="s">
        <v>231</v>
      </c>
      <c r="C18" s="0" t="s">
        <v>30</v>
      </c>
      <c r="D18" s="0" t="n">
        <v>1152</v>
      </c>
      <c r="E18" s="0" t="s">
        <v>103</v>
      </c>
      <c r="F18" s="0" t="s">
        <v>453</v>
      </c>
      <c r="G18" s="0" t="s">
        <v>476</v>
      </c>
      <c r="H18" s="0" t="s">
        <v>455</v>
      </c>
    </row>
    <row r="19" customFormat="false" ht="15" hidden="false" customHeight="false" outlineLevel="0" collapsed="false">
      <c r="A19" s="0" t="s">
        <v>230</v>
      </c>
      <c r="B19" s="0" t="s">
        <v>231</v>
      </c>
      <c r="C19" s="0" t="s">
        <v>31</v>
      </c>
      <c r="D19" s="0" t="n">
        <v>1351</v>
      </c>
      <c r="E19" s="0" t="s">
        <v>99</v>
      </c>
      <c r="F19" s="0" t="s">
        <v>477</v>
      </c>
      <c r="G19" s="0" t="s">
        <v>478</v>
      </c>
      <c r="H19" s="0" t="s">
        <v>479</v>
      </c>
    </row>
    <row r="20" customFormat="false" ht="15" hidden="false" customHeight="false" outlineLevel="0" collapsed="false">
      <c r="A20" s="0" t="s">
        <v>230</v>
      </c>
      <c r="B20" s="0" t="s">
        <v>231</v>
      </c>
      <c r="C20" s="0" t="s">
        <v>32</v>
      </c>
      <c r="D20" s="0" t="n">
        <v>1704</v>
      </c>
      <c r="E20" s="0" t="s">
        <v>103</v>
      </c>
      <c r="F20" s="0" t="s">
        <v>480</v>
      </c>
      <c r="G20" s="0" t="s">
        <v>481</v>
      </c>
      <c r="H20" s="0" t="s">
        <v>482</v>
      </c>
    </row>
    <row r="21" customFormat="false" ht="15" hidden="false" customHeight="false" outlineLevel="0" collapsed="false">
      <c r="A21" s="0" t="s">
        <v>230</v>
      </c>
      <c r="B21" s="0" t="s">
        <v>231</v>
      </c>
      <c r="C21" s="0" t="s">
        <v>33</v>
      </c>
      <c r="D21" s="0" t="n">
        <v>2153</v>
      </c>
      <c r="E21" s="0" t="s">
        <v>103</v>
      </c>
      <c r="F21" s="0" t="s">
        <v>483</v>
      </c>
      <c r="G21" s="0" t="s">
        <v>484</v>
      </c>
      <c r="H21" s="0" t="s">
        <v>485</v>
      </c>
    </row>
    <row r="22" customFormat="false" ht="15" hidden="false" customHeight="false" outlineLevel="0" collapsed="false">
      <c r="A22" s="0" t="s">
        <v>230</v>
      </c>
      <c r="B22" s="0" t="s">
        <v>231</v>
      </c>
      <c r="C22" s="0" t="s">
        <v>34</v>
      </c>
      <c r="D22" s="0" t="n">
        <v>2415</v>
      </c>
      <c r="E22" s="0" t="s">
        <v>103</v>
      </c>
      <c r="F22" s="0" t="s">
        <v>456</v>
      </c>
      <c r="G22" s="0" t="s">
        <v>486</v>
      </c>
      <c r="H22" s="0" t="s">
        <v>458</v>
      </c>
    </row>
    <row r="23" customFormat="false" ht="15" hidden="false" customHeight="false" outlineLevel="0" collapsed="false">
      <c r="A23" s="0" t="s">
        <v>230</v>
      </c>
      <c r="B23" s="0" t="s">
        <v>231</v>
      </c>
      <c r="C23" s="0" t="s">
        <v>35</v>
      </c>
      <c r="D23" s="0" t="n">
        <v>3156</v>
      </c>
      <c r="E23" s="0" t="s">
        <v>99</v>
      </c>
      <c r="F23" s="0" t="s">
        <v>323</v>
      </c>
      <c r="G23" s="0" t="s">
        <v>487</v>
      </c>
      <c r="H23" s="0" t="s">
        <v>461</v>
      </c>
    </row>
    <row r="24" customFormat="false" ht="15" hidden="false" customHeight="false" outlineLevel="0" collapsed="false">
      <c r="A24" s="0" t="s">
        <v>233</v>
      </c>
      <c r="B24" s="0" t="s">
        <v>234</v>
      </c>
      <c r="C24" s="0" t="s">
        <v>25</v>
      </c>
      <c r="D24" s="0" t="n">
        <v>1674</v>
      </c>
      <c r="E24" s="0" t="s">
        <v>103</v>
      </c>
      <c r="F24" s="0" t="s">
        <v>463</v>
      </c>
      <c r="G24" s="0" t="s">
        <v>488</v>
      </c>
      <c r="H24" s="0" t="s">
        <v>465</v>
      </c>
    </row>
    <row r="25" customFormat="false" ht="15" hidden="false" customHeight="false" outlineLevel="0" collapsed="false">
      <c r="A25" s="0" t="s">
        <v>233</v>
      </c>
      <c r="B25" s="0" t="s">
        <v>234</v>
      </c>
      <c r="C25" s="0" t="s">
        <v>26</v>
      </c>
      <c r="D25" s="0" t="n">
        <v>2798</v>
      </c>
      <c r="E25" s="0" t="s">
        <v>103</v>
      </c>
      <c r="F25" s="0" t="s">
        <v>466</v>
      </c>
      <c r="G25" s="0" t="s">
        <v>489</v>
      </c>
      <c r="H25" s="0" t="s">
        <v>468</v>
      </c>
    </row>
    <row r="26" customFormat="false" ht="15" hidden="false" customHeight="false" outlineLevel="0" collapsed="false">
      <c r="A26" s="0" t="s">
        <v>233</v>
      </c>
      <c r="B26" s="0" t="s">
        <v>234</v>
      </c>
      <c r="C26" s="0" t="s">
        <v>27</v>
      </c>
      <c r="D26" s="0" t="n">
        <v>2303</v>
      </c>
      <c r="E26" s="0" t="s">
        <v>99</v>
      </c>
      <c r="F26" s="0" t="s">
        <v>469</v>
      </c>
      <c r="G26" s="0" t="s">
        <v>490</v>
      </c>
      <c r="H26" s="0" t="s">
        <v>471</v>
      </c>
    </row>
    <row r="27" customFormat="false" ht="15" hidden="false" customHeight="false" outlineLevel="0" collapsed="false">
      <c r="A27" s="0" t="s">
        <v>233</v>
      </c>
      <c r="B27" s="0" t="s">
        <v>234</v>
      </c>
      <c r="C27" s="0" t="s">
        <v>28</v>
      </c>
      <c r="D27" s="0" t="n">
        <v>3970</v>
      </c>
      <c r="E27" s="0" t="s">
        <v>103</v>
      </c>
      <c r="F27" s="0" t="s">
        <v>472</v>
      </c>
      <c r="G27" s="0" t="s">
        <v>491</v>
      </c>
      <c r="H27" s="0" t="s">
        <v>474</v>
      </c>
    </row>
    <row r="28" customFormat="false" ht="15" hidden="false" customHeight="false" outlineLevel="0" collapsed="false">
      <c r="A28" s="0" t="s">
        <v>233</v>
      </c>
      <c r="B28" s="0" t="s">
        <v>234</v>
      </c>
      <c r="C28" s="0" t="s">
        <v>29</v>
      </c>
      <c r="D28" s="0" t="n">
        <v>5862</v>
      </c>
      <c r="E28" s="0" t="s">
        <v>103</v>
      </c>
      <c r="F28" s="0" t="s">
        <v>450</v>
      </c>
      <c r="G28" s="0" t="s">
        <v>492</v>
      </c>
      <c r="H28" s="0" t="s">
        <v>452</v>
      </c>
    </row>
    <row r="29" customFormat="false" ht="15" hidden="false" customHeight="false" outlineLevel="0" collapsed="false">
      <c r="A29" s="0" t="s">
        <v>233</v>
      </c>
      <c r="B29" s="0" t="s">
        <v>234</v>
      </c>
      <c r="C29" s="0" t="s">
        <v>30</v>
      </c>
      <c r="D29" s="0" t="n">
        <v>9080</v>
      </c>
      <c r="E29" s="0" t="s">
        <v>103</v>
      </c>
      <c r="F29" s="0" t="s">
        <v>453</v>
      </c>
      <c r="G29" s="0" t="s">
        <v>493</v>
      </c>
      <c r="H29" s="0" t="s">
        <v>455</v>
      </c>
    </row>
    <row r="30" customFormat="false" ht="15" hidden="false" customHeight="false" outlineLevel="0" collapsed="false">
      <c r="A30" s="0" t="s">
        <v>233</v>
      </c>
      <c r="B30" s="0" t="s">
        <v>234</v>
      </c>
      <c r="C30" s="0" t="s">
        <v>31</v>
      </c>
      <c r="D30" s="0" t="n">
        <v>8502</v>
      </c>
      <c r="E30" s="0" t="s">
        <v>99</v>
      </c>
      <c r="F30" s="0" t="s">
        <v>477</v>
      </c>
      <c r="G30" s="0" t="s">
        <v>494</v>
      </c>
      <c r="H30" s="0" t="s">
        <v>479</v>
      </c>
    </row>
    <row r="31" customFormat="false" ht="15" hidden="false" customHeight="false" outlineLevel="0" collapsed="false">
      <c r="A31" s="0" t="s">
        <v>233</v>
      </c>
      <c r="B31" s="0" t="s">
        <v>234</v>
      </c>
      <c r="C31" s="0" t="s">
        <v>32</v>
      </c>
      <c r="D31" s="0" t="n">
        <v>12033</v>
      </c>
      <c r="E31" s="0" t="s">
        <v>103</v>
      </c>
      <c r="F31" s="0" t="s">
        <v>480</v>
      </c>
      <c r="G31" s="0" t="s">
        <v>495</v>
      </c>
      <c r="H31" s="0" t="s">
        <v>482</v>
      </c>
    </row>
    <row r="32" customFormat="false" ht="15" hidden="false" customHeight="false" outlineLevel="0" collapsed="false">
      <c r="A32" s="0" t="s">
        <v>233</v>
      </c>
      <c r="B32" s="0" t="s">
        <v>234</v>
      </c>
      <c r="C32" s="0" t="s">
        <v>33</v>
      </c>
      <c r="D32" s="0" t="n">
        <v>18635</v>
      </c>
      <c r="E32" s="0" t="s">
        <v>103</v>
      </c>
      <c r="F32" s="0" t="s">
        <v>483</v>
      </c>
      <c r="G32" s="0" t="s">
        <v>496</v>
      </c>
      <c r="H32" s="0" t="s">
        <v>485</v>
      </c>
    </row>
    <row r="33" customFormat="false" ht="15" hidden="false" customHeight="false" outlineLevel="0" collapsed="false">
      <c r="A33" s="0" t="s">
        <v>233</v>
      </c>
      <c r="B33" s="0" t="s">
        <v>234</v>
      </c>
      <c r="C33" s="0" t="s">
        <v>34</v>
      </c>
      <c r="D33" s="0" t="n">
        <v>16493</v>
      </c>
      <c r="E33" s="0" t="s">
        <v>103</v>
      </c>
      <c r="F33" s="0" t="s">
        <v>456</v>
      </c>
      <c r="G33" s="0" t="s">
        <v>497</v>
      </c>
      <c r="H33" s="0" t="s">
        <v>458</v>
      </c>
    </row>
    <row r="34" customFormat="false" ht="15" hidden="false" customHeight="false" outlineLevel="0" collapsed="false">
      <c r="A34" s="0" t="s">
        <v>233</v>
      </c>
      <c r="B34" s="0" t="s">
        <v>234</v>
      </c>
      <c r="C34" s="0" t="s">
        <v>35</v>
      </c>
      <c r="D34" s="0" t="n">
        <v>28499</v>
      </c>
      <c r="E34" s="0" t="s">
        <v>99</v>
      </c>
      <c r="F34" s="0" t="s">
        <v>323</v>
      </c>
      <c r="G34" s="0" t="s">
        <v>498</v>
      </c>
      <c r="H34" s="0" t="s">
        <v>461</v>
      </c>
    </row>
    <row r="35" customFormat="false" ht="15" hidden="false" customHeight="false" outlineLevel="0" collapsed="false">
      <c r="A35" s="0" t="s">
        <v>236</v>
      </c>
      <c r="B35" s="0" t="s">
        <v>237</v>
      </c>
      <c r="C35" s="0" t="s">
        <v>26</v>
      </c>
      <c r="D35" s="0" t="n">
        <v>34818</v>
      </c>
      <c r="E35" s="0" t="s">
        <v>99</v>
      </c>
      <c r="F35" s="0" t="s">
        <v>499</v>
      </c>
      <c r="G35" s="0" t="s">
        <v>500</v>
      </c>
      <c r="H35" s="0" t="s">
        <v>501</v>
      </c>
    </row>
    <row r="36" customFormat="false" ht="15" hidden="false" customHeight="false" outlineLevel="0" collapsed="false">
      <c r="A36" s="0" t="s">
        <v>236</v>
      </c>
      <c r="B36" s="0" t="s">
        <v>237</v>
      </c>
      <c r="C36" s="0" t="s">
        <v>30</v>
      </c>
      <c r="D36" s="0" t="n">
        <v>59554</v>
      </c>
      <c r="E36" s="0" t="s">
        <v>99</v>
      </c>
      <c r="F36" s="0" t="s">
        <v>502</v>
      </c>
      <c r="G36" s="0" t="s">
        <v>500</v>
      </c>
      <c r="H36" s="0" t="s">
        <v>503</v>
      </c>
    </row>
    <row r="37" customFormat="false" ht="15" hidden="false" customHeight="false" outlineLevel="0" collapsed="false">
      <c r="A37" s="0" t="s">
        <v>236</v>
      </c>
      <c r="B37" s="0" t="s">
        <v>237</v>
      </c>
      <c r="C37" s="0" t="s">
        <v>34</v>
      </c>
      <c r="D37" s="0" t="n">
        <v>122651</v>
      </c>
      <c r="E37" s="0" t="s">
        <v>99</v>
      </c>
      <c r="F37" s="0" t="s">
        <v>504</v>
      </c>
      <c r="G37" s="0" t="s">
        <v>500</v>
      </c>
      <c r="H37" s="0" t="s">
        <v>505</v>
      </c>
    </row>
    <row r="38" customFormat="false" ht="15" hidden="false" customHeight="false" outlineLevel="0" collapsed="false">
      <c r="A38" s="0" t="s">
        <v>236</v>
      </c>
      <c r="B38" s="0" t="s">
        <v>237</v>
      </c>
      <c r="C38" s="0" t="s">
        <v>35</v>
      </c>
      <c r="D38" s="0" t="n">
        <v>153596</v>
      </c>
      <c r="E38" s="0" t="s">
        <v>99</v>
      </c>
      <c r="F38" s="0" t="s">
        <v>506</v>
      </c>
      <c r="G38" s="0" t="s">
        <v>500</v>
      </c>
      <c r="H38" s="0" t="s">
        <v>507</v>
      </c>
    </row>
    <row r="39" customFormat="false" ht="15" hidden="false" customHeight="false" outlineLevel="0" collapsed="false">
      <c r="A39" s="0" t="s">
        <v>239</v>
      </c>
      <c r="B39" s="0" t="s">
        <v>240</v>
      </c>
      <c r="C39" s="0" t="s">
        <v>26</v>
      </c>
      <c r="D39" s="0" t="n">
        <v>5634</v>
      </c>
      <c r="E39" s="0" t="s">
        <v>99</v>
      </c>
      <c r="F39" s="0" t="s">
        <v>499</v>
      </c>
      <c r="G39" s="0" t="s">
        <v>508</v>
      </c>
      <c r="H39" s="0" t="s">
        <v>501</v>
      </c>
    </row>
    <row r="40" customFormat="false" ht="15" hidden="false" customHeight="false" outlineLevel="0" collapsed="false">
      <c r="A40" s="0" t="s">
        <v>239</v>
      </c>
      <c r="B40" s="0" t="s">
        <v>240</v>
      </c>
      <c r="C40" s="0" t="s">
        <v>30</v>
      </c>
      <c r="D40" s="0" t="n">
        <v>16510</v>
      </c>
      <c r="E40" s="0" t="s">
        <v>99</v>
      </c>
      <c r="F40" s="0" t="s">
        <v>502</v>
      </c>
      <c r="G40" s="0" t="s">
        <v>508</v>
      </c>
      <c r="H40" s="0" t="s">
        <v>503</v>
      </c>
    </row>
    <row r="41" customFormat="false" ht="15" hidden="false" customHeight="false" outlineLevel="0" collapsed="false">
      <c r="A41" s="0" t="s">
        <v>239</v>
      </c>
      <c r="B41" s="0" t="s">
        <v>240</v>
      </c>
      <c r="C41" s="0" t="s">
        <v>34</v>
      </c>
      <c r="D41" s="0" t="n">
        <v>39973</v>
      </c>
      <c r="E41" s="0" t="s">
        <v>99</v>
      </c>
      <c r="F41" s="0" t="s">
        <v>504</v>
      </c>
      <c r="G41" s="0" t="s">
        <v>508</v>
      </c>
      <c r="H41" s="0" t="s">
        <v>505</v>
      </c>
    </row>
    <row r="42" customFormat="false" ht="15" hidden="false" customHeight="false" outlineLevel="0" collapsed="false">
      <c r="A42" s="0" t="s">
        <v>239</v>
      </c>
      <c r="B42" s="0" t="s">
        <v>240</v>
      </c>
      <c r="C42" s="0" t="s">
        <v>35</v>
      </c>
      <c r="D42" s="0" t="n">
        <v>48546</v>
      </c>
      <c r="E42" s="0" t="s">
        <v>99</v>
      </c>
      <c r="F42" s="0" t="s">
        <v>506</v>
      </c>
      <c r="G42" s="0" t="s">
        <v>508</v>
      </c>
      <c r="H42" s="0" t="s">
        <v>507</v>
      </c>
    </row>
    <row r="43" customFormat="false" ht="15" hidden="false" customHeight="false" outlineLevel="0" collapsed="false">
      <c r="A43" s="0" t="s">
        <v>241</v>
      </c>
      <c r="B43" s="0" t="s">
        <v>242</v>
      </c>
      <c r="C43" s="0" t="s">
        <v>24</v>
      </c>
      <c r="D43" s="0" t="n">
        <v>18009</v>
      </c>
      <c r="E43" s="0" t="s">
        <v>99</v>
      </c>
      <c r="F43" s="0" t="s">
        <v>509</v>
      </c>
      <c r="G43" s="0" t="s">
        <v>510</v>
      </c>
      <c r="H43" s="0" t="s">
        <v>511</v>
      </c>
    </row>
    <row r="44" customFormat="false" ht="15" hidden="false" customHeight="false" outlineLevel="0" collapsed="false">
      <c r="A44" s="0" t="s">
        <v>241</v>
      </c>
      <c r="B44" s="0" t="s">
        <v>242</v>
      </c>
      <c r="C44" s="0" t="s">
        <v>25</v>
      </c>
      <c r="D44" s="0" t="n">
        <v>19117</v>
      </c>
      <c r="E44" s="0" t="s">
        <v>99</v>
      </c>
      <c r="F44" s="0" t="s">
        <v>509</v>
      </c>
      <c r="G44" s="0" t="s">
        <v>510</v>
      </c>
      <c r="H44" s="0" t="s">
        <v>511</v>
      </c>
    </row>
    <row r="45" customFormat="false" ht="15" hidden="false" customHeight="false" outlineLevel="0" collapsed="false">
      <c r="A45" s="0" t="s">
        <v>241</v>
      </c>
      <c r="B45" s="0" t="s">
        <v>242</v>
      </c>
      <c r="C45" s="0" t="s">
        <v>26</v>
      </c>
      <c r="D45" s="0" t="n">
        <v>21536</v>
      </c>
      <c r="E45" s="0" t="s">
        <v>99</v>
      </c>
      <c r="F45" s="0" t="s">
        <v>499</v>
      </c>
      <c r="G45" s="0" t="s">
        <v>510</v>
      </c>
      <c r="H45" s="0" t="s">
        <v>501</v>
      </c>
    </row>
    <row r="46" customFormat="false" ht="15" hidden="false" customHeight="false" outlineLevel="0" collapsed="false">
      <c r="A46" s="0" t="s">
        <v>241</v>
      </c>
      <c r="B46" s="0" t="s">
        <v>242</v>
      </c>
      <c r="C46" s="0" t="s">
        <v>27</v>
      </c>
      <c r="D46" s="0" t="n">
        <v>23094</v>
      </c>
      <c r="E46" s="0" t="s">
        <v>99</v>
      </c>
      <c r="F46" s="0" t="s">
        <v>512</v>
      </c>
      <c r="G46" s="0" t="s">
        <v>510</v>
      </c>
      <c r="H46" s="0" t="s">
        <v>513</v>
      </c>
    </row>
    <row r="47" customFormat="false" ht="15" hidden="false" customHeight="false" outlineLevel="0" collapsed="false">
      <c r="A47" s="0" t="s">
        <v>241</v>
      </c>
      <c r="B47" s="0" t="s">
        <v>242</v>
      </c>
      <c r="C47" s="0" t="s">
        <v>28</v>
      </c>
      <c r="D47" s="0" t="n">
        <v>26432</v>
      </c>
      <c r="E47" s="0" t="s">
        <v>99</v>
      </c>
      <c r="F47" s="0" t="s">
        <v>514</v>
      </c>
      <c r="G47" s="0" t="s">
        <v>510</v>
      </c>
      <c r="H47" s="0" t="s">
        <v>515</v>
      </c>
    </row>
    <row r="48" customFormat="false" ht="15" hidden="false" customHeight="false" outlineLevel="0" collapsed="false">
      <c r="A48" s="0" t="s">
        <v>241</v>
      </c>
      <c r="B48" s="0" t="s">
        <v>242</v>
      </c>
      <c r="C48" s="0" t="s">
        <v>29</v>
      </c>
      <c r="D48" s="0" t="n">
        <v>31970</v>
      </c>
      <c r="E48" s="0" t="s">
        <v>99</v>
      </c>
      <c r="F48" s="0" t="s">
        <v>516</v>
      </c>
      <c r="G48" s="0" t="s">
        <v>510</v>
      </c>
      <c r="H48" s="0" t="s">
        <v>517</v>
      </c>
    </row>
    <row r="49" customFormat="false" ht="15" hidden="false" customHeight="false" outlineLevel="0" collapsed="false">
      <c r="A49" s="0" t="s">
        <v>241</v>
      </c>
      <c r="B49" s="0" t="s">
        <v>242</v>
      </c>
      <c r="C49" s="0" t="s">
        <v>30</v>
      </c>
      <c r="D49" s="0" t="n">
        <v>43522</v>
      </c>
      <c r="E49" s="0" t="s">
        <v>99</v>
      </c>
      <c r="F49" s="0" t="s">
        <v>502</v>
      </c>
      <c r="G49" s="0" t="s">
        <v>510</v>
      </c>
      <c r="H49" s="0" t="s">
        <v>503</v>
      </c>
    </row>
    <row r="50" customFormat="false" ht="15" hidden="false" customHeight="false" outlineLevel="0" collapsed="false">
      <c r="A50" s="0" t="s">
        <v>241</v>
      </c>
      <c r="B50" s="0" t="s">
        <v>242</v>
      </c>
      <c r="C50" s="0" t="s">
        <v>31</v>
      </c>
      <c r="D50" s="0" t="n">
        <v>53194</v>
      </c>
      <c r="E50" s="0" t="s">
        <v>99</v>
      </c>
      <c r="F50" s="0" t="s">
        <v>518</v>
      </c>
      <c r="G50" s="0" t="s">
        <v>510</v>
      </c>
      <c r="H50" s="0" t="s">
        <v>519</v>
      </c>
    </row>
    <row r="51" customFormat="false" ht="15" hidden="false" customHeight="false" outlineLevel="0" collapsed="false">
      <c r="A51" s="0" t="s">
        <v>241</v>
      </c>
      <c r="B51" s="0" t="s">
        <v>242</v>
      </c>
      <c r="C51" s="0" t="s">
        <v>32</v>
      </c>
      <c r="D51" s="0" t="n">
        <v>67875</v>
      </c>
      <c r="E51" s="0" t="s">
        <v>99</v>
      </c>
      <c r="F51" s="0" t="s">
        <v>520</v>
      </c>
      <c r="G51" s="0" t="s">
        <v>510</v>
      </c>
      <c r="H51" s="0" t="s">
        <v>521</v>
      </c>
    </row>
    <row r="52" customFormat="false" ht="15" hidden="false" customHeight="false" outlineLevel="0" collapsed="false">
      <c r="A52" s="0" t="s">
        <v>241</v>
      </c>
      <c r="B52" s="0" t="s">
        <v>242</v>
      </c>
      <c r="C52" s="0" t="s">
        <v>33</v>
      </c>
      <c r="D52" s="0" t="n">
        <v>83617</v>
      </c>
      <c r="E52" s="0" t="s">
        <v>99</v>
      </c>
      <c r="F52" s="0" t="s">
        <v>522</v>
      </c>
      <c r="G52" s="0" t="s">
        <v>510</v>
      </c>
      <c r="H52" s="0" t="s">
        <v>523</v>
      </c>
    </row>
    <row r="53" customFormat="false" ht="15" hidden="false" customHeight="false" outlineLevel="0" collapsed="false">
      <c r="A53" s="0" t="s">
        <v>241</v>
      </c>
      <c r="B53" s="0" t="s">
        <v>242</v>
      </c>
      <c r="C53" s="0" t="s">
        <v>34</v>
      </c>
      <c r="D53" s="0" t="n">
        <v>99957</v>
      </c>
      <c r="E53" s="0" t="s">
        <v>99</v>
      </c>
      <c r="F53" s="0" t="s">
        <v>504</v>
      </c>
      <c r="G53" s="0" t="s">
        <v>510</v>
      </c>
      <c r="H53" s="0" t="s">
        <v>505</v>
      </c>
    </row>
    <row r="54" customFormat="false" ht="15" hidden="false" customHeight="false" outlineLevel="0" collapsed="false">
      <c r="A54" s="0" t="s">
        <v>241</v>
      </c>
      <c r="B54" s="0" t="s">
        <v>242</v>
      </c>
      <c r="C54" s="0" t="s">
        <v>35</v>
      </c>
      <c r="D54" s="0" t="n">
        <v>127845</v>
      </c>
      <c r="E54" s="0" t="s">
        <v>99</v>
      </c>
      <c r="F54" s="0" t="s">
        <v>506</v>
      </c>
      <c r="G54" s="0" t="s">
        <v>510</v>
      </c>
      <c r="H54" s="0" t="s">
        <v>507</v>
      </c>
    </row>
    <row r="55" customFormat="false" ht="15" hidden="false" customHeight="false" outlineLevel="0" collapsed="false">
      <c r="A55" s="0" t="s">
        <v>244</v>
      </c>
      <c r="B55" s="0" t="s">
        <v>245</v>
      </c>
      <c r="C55" s="0" t="s">
        <v>26</v>
      </c>
      <c r="D55" s="0" t="n">
        <v>20989</v>
      </c>
      <c r="E55" s="0" t="s">
        <v>99</v>
      </c>
      <c r="F55" s="0" t="s">
        <v>499</v>
      </c>
      <c r="G55" s="0" t="s">
        <v>524</v>
      </c>
      <c r="H55" s="0" t="s">
        <v>501</v>
      </c>
    </row>
    <row r="56" customFormat="false" ht="15" hidden="false" customHeight="false" outlineLevel="0" collapsed="false">
      <c r="A56" s="0" t="s">
        <v>244</v>
      </c>
      <c r="B56" s="0" t="s">
        <v>245</v>
      </c>
      <c r="C56" s="0" t="s">
        <v>30</v>
      </c>
      <c r="D56" s="0" t="n">
        <v>30345</v>
      </c>
      <c r="E56" s="0" t="s">
        <v>99</v>
      </c>
      <c r="F56" s="0" t="s">
        <v>502</v>
      </c>
      <c r="G56" s="0" t="s">
        <v>524</v>
      </c>
      <c r="H56" s="0" t="s">
        <v>503</v>
      </c>
    </row>
    <row r="57" customFormat="false" ht="15" hidden="false" customHeight="false" outlineLevel="0" collapsed="false">
      <c r="A57" s="0" t="s">
        <v>244</v>
      </c>
      <c r="B57" s="0" t="s">
        <v>245</v>
      </c>
      <c r="C57" s="0" t="s">
        <v>34</v>
      </c>
      <c r="D57" s="0" t="n">
        <v>59634</v>
      </c>
      <c r="E57" s="0" t="s">
        <v>99</v>
      </c>
      <c r="F57" s="0" t="s">
        <v>504</v>
      </c>
      <c r="G57" s="0" t="s">
        <v>524</v>
      </c>
      <c r="H57" s="0" t="s">
        <v>505</v>
      </c>
    </row>
    <row r="58" customFormat="false" ht="15" hidden="false" customHeight="false" outlineLevel="0" collapsed="false">
      <c r="A58" s="0" t="s">
        <v>244</v>
      </c>
      <c r="B58" s="0" t="s">
        <v>245</v>
      </c>
      <c r="C58" s="0" t="s">
        <v>35</v>
      </c>
      <c r="D58" s="0" t="n">
        <v>77755</v>
      </c>
      <c r="E58" s="0" t="s">
        <v>99</v>
      </c>
      <c r="F58" s="0" t="s">
        <v>506</v>
      </c>
      <c r="G58" s="0" t="s">
        <v>524</v>
      </c>
      <c r="H58" s="0" t="s">
        <v>507</v>
      </c>
    </row>
    <row r="59" customFormat="false" ht="15" hidden="false" customHeight="false" outlineLevel="0" collapsed="false">
      <c r="A59" s="0" t="s">
        <v>249</v>
      </c>
      <c r="B59" s="0" t="s">
        <v>250</v>
      </c>
      <c r="C59" s="0" t="s">
        <v>31</v>
      </c>
      <c r="D59" s="0" t="n">
        <v>110</v>
      </c>
      <c r="E59" s="0" t="s">
        <v>80</v>
      </c>
      <c r="F59" s="0" t="s">
        <v>525</v>
      </c>
      <c r="G59" s="0" t="s">
        <v>526</v>
      </c>
      <c r="H59" s="0" t="s">
        <v>527</v>
      </c>
    </row>
    <row r="60" customFormat="false" ht="15" hidden="false" customHeight="false" outlineLevel="0" collapsed="false">
      <c r="A60" s="0" t="s">
        <v>249</v>
      </c>
      <c r="B60" s="0" t="s">
        <v>250</v>
      </c>
      <c r="C60" s="0" t="s">
        <v>32</v>
      </c>
      <c r="D60" s="0" t="n">
        <v>400</v>
      </c>
      <c r="E60" s="0" t="s">
        <v>99</v>
      </c>
      <c r="F60" s="0" t="s">
        <v>528</v>
      </c>
      <c r="G60" s="0" t="s">
        <v>529</v>
      </c>
      <c r="H60" s="0" t="s">
        <v>530</v>
      </c>
    </row>
    <row r="61" customFormat="false" ht="15" hidden="false" customHeight="false" outlineLevel="0" collapsed="false">
      <c r="A61" s="0" t="s">
        <v>249</v>
      </c>
      <c r="B61" s="0" t="s">
        <v>250</v>
      </c>
      <c r="C61" s="0" t="s">
        <v>33</v>
      </c>
      <c r="D61" s="0" t="n">
        <v>400</v>
      </c>
      <c r="E61" s="0" t="s">
        <v>99</v>
      </c>
      <c r="F61" s="0" t="s">
        <v>531</v>
      </c>
      <c r="G61" s="0" t="s">
        <v>532</v>
      </c>
      <c r="H61" s="0" t="s">
        <v>533</v>
      </c>
    </row>
    <row r="62" customFormat="false" ht="15" hidden="false" customHeight="false" outlineLevel="0" collapsed="false">
      <c r="A62" s="0" t="s">
        <v>249</v>
      </c>
      <c r="B62" s="0" t="s">
        <v>250</v>
      </c>
      <c r="C62" s="0" t="s">
        <v>34</v>
      </c>
      <c r="D62" s="0" t="n">
        <v>290</v>
      </c>
      <c r="E62" s="0" t="s">
        <v>80</v>
      </c>
      <c r="F62" s="0" t="s">
        <v>534</v>
      </c>
      <c r="G62" s="0" t="s">
        <v>535</v>
      </c>
      <c r="H62" s="0" t="s">
        <v>536</v>
      </c>
    </row>
    <row r="63" customFormat="false" ht="15" hidden="false" customHeight="false" outlineLevel="0" collapsed="false">
      <c r="A63" s="0" t="s">
        <v>249</v>
      </c>
      <c r="B63" s="0" t="s">
        <v>250</v>
      </c>
      <c r="C63" s="0" t="s">
        <v>35</v>
      </c>
      <c r="D63" s="0" t="n">
        <v>850</v>
      </c>
      <c r="E63" s="0" t="s">
        <v>99</v>
      </c>
      <c r="F63" s="0" t="s">
        <v>323</v>
      </c>
      <c r="G63" s="0" t="s">
        <v>537</v>
      </c>
      <c r="H63" s="0" t="s">
        <v>461</v>
      </c>
    </row>
    <row r="64" customFormat="false" ht="15" hidden="false" customHeight="false" outlineLevel="0" collapsed="false">
      <c r="A64" s="0" t="s">
        <v>260</v>
      </c>
      <c r="B64" s="0" t="s">
        <v>261</v>
      </c>
      <c r="C64" s="0" t="s">
        <v>35</v>
      </c>
      <c r="D64" s="0" t="n">
        <v>10</v>
      </c>
      <c r="E64" s="0" t="s">
        <v>99</v>
      </c>
      <c r="F64" s="0" t="s">
        <v>265</v>
      </c>
      <c r="G64" s="0" t="s">
        <v>538</v>
      </c>
      <c r="H64" s="0" t="s">
        <v>539</v>
      </c>
    </row>
    <row r="65" customFormat="false" ht="15" hidden="false" customHeight="false" outlineLevel="0" collapsed="false">
      <c r="A65" s="0" t="s">
        <v>263</v>
      </c>
      <c r="B65" s="0" t="s">
        <v>264</v>
      </c>
      <c r="C65" s="0" t="s">
        <v>35</v>
      </c>
      <c r="D65" s="0" t="n">
        <v>16</v>
      </c>
      <c r="E65" s="0" t="s">
        <v>99</v>
      </c>
      <c r="F65" s="0" t="s">
        <v>265</v>
      </c>
      <c r="G65" s="0" t="s">
        <v>540</v>
      </c>
      <c r="H65" s="0" t="s">
        <v>539</v>
      </c>
    </row>
    <row r="66" customFormat="false" ht="15" hidden="false" customHeight="false" outlineLevel="0" collapsed="false">
      <c r="A66" s="0" t="s">
        <v>266</v>
      </c>
      <c r="B66" s="0" t="s">
        <v>267</v>
      </c>
      <c r="C66" s="0" t="s">
        <v>24</v>
      </c>
      <c r="D66" s="0" t="n">
        <v>65.5</v>
      </c>
      <c r="E66" s="0" t="s">
        <v>99</v>
      </c>
      <c r="F66" s="0" t="s">
        <v>317</v>
      </c>
      <c r="G66" s="0" t="s">
        <v>541</v>
      </c>
      <c r="H66" s="0" t="s">
        <v>542</v>
      </c>
    </row>
    <row r="67" customFormat="false" ht="15" hidden="false" customHeight="false" outlineLevel="0" collapsed="false">
      <c r="A67" s="0" t="s">
        <v>266</v>
      </c>
      <c r="B67" s="0" t="s">
        <v>267</v>
      </c>
      <c r="C67" s="0" t="s">
        <v>25</v>
      </c>
      <c r="D67" s="0" t="n">
        <v>80.2</v>
      </c>
      <c r="E67" s="0" t="s">
        <v>99</v>
      </c>
      <c r="F67" s="0" t="s">
        <v>509</v>
      </c>
      <c r="G67" s="0" t="s">
        <v>541</v>
      </c>
      <c r="H67" s="0" t="s">
        <v>511</v>
      </c>
    </row>
    <row r="68" customFormat="false" ht="15" hidden="false" customHeight="false" outlineLevel="0" collapsed="false">
      <c r="A68" s="0" t="s">
        <v>266</v>
      </c>
      <c r="B68" s="0" t="s">
        <v>267</v>
      </c>
      <c r="C68" s="0" t="s">
        <v>26</v>
      </c>
      <c r="D68" s="0" t="n">
        <v>97.9</v>
      </c>
      <c r="E68" s="0" t="s">
        <v>99</v>
      </c>
      <c r="F68" s="0" t="s">
        <v>499</v>
      </c>
      <c r="G68" s="0" t="s">
        <v>541</v>
      </c>
      <c r="H68" s="0" t="s">
        <v>501</v>
      </c>
    </row>
    <row r="69" customFormat="false" ht="15" hidden="false" customHeight="false" outlineLevel="0" collapsed="false">
      <c r="A69" s="0" t="s">
        <v>266</v>
      </c>
      <c r="B69" s="0" t="s">
        <v>267</v>
      </c>
      <c r="C69" s="0" t="s">
        <v>27</v>
      </c>
      <c r="D69" s="0" t="n">
        <v>99.1</v>
      </c>
      <c r="E69" s="0" t="s">
        <v>99</v>
      </c>
      <c r="F69" s="0" t="s">
        <v>512</v>
      </c>
      <c r="G69" s="0" t="s">
        <v>541</v>
      </c>
      <c r="H69" s="0" t="s">
        <v>513</v>
      </c>
    </row>
    <row r="70" customFormat="false" ht="15" hidden="false" customHeight="false" outlineLevel="0" collapsed="false">
      <c r="A70" s="0" t="s">
        <v>266</v>
      </c>
      <c r="B70" s="0" t="s">
        <v>267</v>
      </c>
      <c r="C70" s="0" t="s">
        <v>28</v>
      </c>
      <c r="D70" s="0" t="n">
        <v>97.3</v>
      </c>
      <c r="E70" s="0" t="s">
        <v>99</v>
      </c>
      <c r="F70" s="0" t="s">
        <v>514</v>
      </c>
      <c r="G70" s="0" t="s">
        <v>541</v>
      </c>
      <c r="H70" s="0" t="s">
        <v>515</v>
      </c>
    </row>
    <row r="71" customFormat="false" ht="15" hidden="false" customHeight="false" outlineLevel="0" collapsed="false">
      <c r="A71" s="0" t="s">
        <v>266</v>
      </c>
      <c r="B71" s="0" t="s">
        <v>267</v>
      </c>
      <c r="C71" s="0" t="s">
        <v>29</v>
      </c>
      <c r="D71" s="0" t="n">
        <v>130.2</v>
      </c>
      <c r="E71" s="0" t="s">
        <v>99</v>
      </c>
      <c r="F71" s="0" t="s">
        <v>516</v>
      </c>
      <c r="G71" s="0" t="s">
        <v>541</v>
      </c>
      <c r="H71" s="0" t="s">
        <v>517</v>
      </c>
    </row>
    <row r="72" customFormat="false" ht="15" hidden="false" customHeight="false" outlineLevel="0" collapsed="false">
      <c r="A72" s="0" t="s">
        <v>266</v>
      </c>
      <c r="B72" s="0" t="s">
        <v>267</v>
      </c>
      <c r="C72" s="0" t="s">
        <v>30</v>
      </c>
      <c r="D72" s="0" t="n">
        <v>137.8</v>
      </c>
      <c r="E72" s="0" t="s">
        <v>99</v>
      </c>
      <c r="F72" s="0" t="s">
        <v>502</v>
      </c>
      <c r="G72" s="0" t="s">
        <v>541</v>
      </c>
      <c r="H72" s="0" t="s">
        <v>503</v>
      </c>
    </row>
    <row r="73" customFormat="false" ht="15" hidden="false" customHeight="false" outlineLevel="0" collapsed="false">
      <c r="A73" s="0" t="s">
        <v>266</v>
      </c>
      <c r="B73" s="0" t="s">
        <v>267</v>
      </c>
      <c r="C73" s="0" t="s">
        <v>31</v>
      </c>
      <c r="D73" s="0" t="n">
        <v>455.3</v>
      </c>
      <c r="E73" s="0" t="s">
        <v>99</v>
      </c>
      <c r="F73" s="0" t="s">
        <v>518</v>
      </c>
      <c r="G73" s="0" t="s">
        <v>541</v>
      </c>
      <c r="H73" s="0" t="s">
        <v>519</v>
      </c>
    </row>
    <row r="74" customFormat="false" ht="15" hidden="false" customHeight="false" outlineLevel="0" collapsed="false">
      <c r="A74" s="0" t="s">
        <v>266</v>
      </c>
      <c r="B74" s="0" t="s">
        <v>267</v>
      </c>
      <c r="C74" s="0" t="s">
        <v>32</v>
      </c>
      <c r="D74" s="0" t="n">
        <v>523.3</v>
      </c>
      <c r="E74" s="0" t="s">
        <v>99</v>
      </c>
      <c r="F74" s="0" t="s">
        <v>520</v>
      </c>
      <c r="G74" s="0" t="s">
        <v>541</v>
      </c>
      <c r="H74" s="0" t="s">
        <v>521</v>
      </c>
    </row>
    <row r="75" customFormat="false" ht="15" hidden="false" customHeight="false" outlineLevel="0" collapsed="false">
      <c r="A75" s="0" t="s">
        <v>266</v>
      </c>
      <c r="B75" s="0" t="s">
        <v>267</v>
      </c>
      <c r="C75" s="0" t="s">
        <v>33</v>
      </c>
      <c r="D75" s="0" t="n">
        <v>552.6</v>
      </c>
      <c r="E75" s="0" t="s">
        <v>99</v>
      </c>
      <c r="F75" s="0" t="s">
        <v>522</v>
      </c>
      <c r="G75" s="0" t="s">
        <v>541</v>
      </c>
      <c r="H75" s="0" t="s">
        <v>523</v>
      </c>
    </row>
    <row r="76" customFormat="false" ht="15" hidden="false" customHeight="false" outlineLevel="0" collapsed="false">
      <c r="A76" s="0" t="s">
        <v>266</v>
      </c>
      <c r="B76" s="0" t="s">
        <v>267</v>
      </c>
      <c r="C76" s="0" t="s">
        <v>34</v>
      </c>
      <c r="D76" s="0" t="n">
        <v>638</v>
      </c>
      <c r="E76" s="0" t="s">
        <v>99</v>
      </c>
      <c r="F76" s="0" t="s">
        <v>504</v>
      </c>
      <c r="G76" s="0" t="s">
        <v>541</v>
      </c>
      <c r="H76" s="0" t="s">
        <v>505</v>
      </c>
    </row>
    <row r="77" customFormat="false" ht="15" hidden="false" customHeight="false" outlineLevel="0" collapsed="false">
      <c r="A77" s="0" t="s">
        <v>266</v>
      </c>
      <c r="B77" s="0" t="s">
        <v>267</v>
      </c>
      <c r="C77" s="0" t="s">
        <v>35</v>
      </c>
      <c r="D77" s="0" t="n">
        <v>664</v>
      </c>
      <c r="E77" s="0" t="s">
        <v>99</v>
      </c>
      <c r="F77" s="0" t="s">
        <v>506</v>
      </c>
      <c r="G77" s="0" t="s">
        <v>541</v>
      </c>
      <c r="H77" s="0" t="s">
        <v>507</v>
      </c>
    </row>
    <row r="78" customFormat="false" ht="15" hidden="false" customHeight="false" outlineLevel="0" collapsed="false">
      <c r="A78" s="0" t="s">
        <v>272</v>
      </c>
      <c r="B78" s="0" t="s">
        <v>273</v>
      </c>
      <c r="C78" s="0" t="s">
        <v>25</v>
      </c>
      <c r="D78" s="0" t="n">
        <v>60.5</v>
      </c>
      <c r="E78" s="0" t="s">
        <v>80</v>
      </c>
      <c r="F78" s="0" t="s">
        <v>509</v>
      </c>
      <c r="G78" s="0" t="s">
        <v>543</v>
      </c>
      <c r="H78" s="0" t="s">
        <v>511</v>
      </c>
    </row>
    <row r="79" customFormat="false" ht="15" hidden="false" customHeight="false" outlineLevel="0" collapsed="false">
      <c r="A79" s="0" t="s">
        <v>272</v>
      </c>
      <c r="B79" s="0" t="s">
        <v>273</v>
      </c>
      <c r="C79" s="0" t="s">
        <v>26</v>
      </c>
      <c r="D79" s="0" t="n">
        <v>57</v>
      </c>
      <c r="E79" s="0" t="s">
        <v>80</v>
      </c>
      <c r="F79" s="0" t="s">
        <v>499</v>
      </c>
      <c r="G79" s="0" t="s">
        <v>544</v>
      </c>
      <c r="H79" s="0" t="s">
        <v>501</v>
      </c>
    </row>
    <row r="80" customFormat="false" ht="15" hidden="false" customHeight="false" outlineLevel="0" collapsed="false">
      <c r="A80" s="0" t="s">
        <v>272</v>
      </c>
      <c r="B80" s="0" t="s">
        <v>273</v>
      </c>
      <c r="C80" s="0" t="s">
        <v>27</v>
      </c>
      <c r="D80" s="0" t="n">
        <v>57</v>
      </c>
      <c r="E80" s="0" t="s">
        <v>80</v>
      </c>
      <c r="F80" s="0" t="s">
        <v>512</v>
      </c>
      <c r="G80" s="0" t="s">
        <v>545</v>
      </c>
      <c r="H80" s="0" t="s">
        <v>513</v>
      </c>
    </row>
    <row r="81" customFormat="false" ht="15" hidden="false" customHeight="false" outlineLevel="0" collapsed="false">
      <c r="A81" s="0" t="s">
        <v>272</v>
      </c>
      <c r="B81" s="0" t="s">
        <v>273</v>
      </c>
      <c r="C81" s="0" t="s">
        <v>28</v>
      </c>
      <c r="D81" s="0" t="n">
        <v>58.5</v>
      </c>
      <c r="E81" s="0" t="s">
        <v>80</v>
      </c>
      <c r="F81" s="0" t="s">
        <v>514</v>
      </c>
      <c r="G81" s="0" t="s">
        <v>546</v>
      </c>
      <c r="H81" s="0" t="s">
        <v>515</v>
      </c>
    </row>
    <row r="82" customFormat="false" ht="15" hidden="false" customHeight="false" outlineLevel="0" collapsed="false">
      <c r="A82" s="0" t="s">
        <v>272</v>
      </c>
      <c r="B82" s="0" t="s">
        <v>273</v>
      </c>
      <c r="C82" s="0" t="s">
        <v>29</v>
      </c>
      <c r="D82" s="0" t="n">
        <v>51</v>
      </c>
      <c r="E82" s="0" t="s">
        <v>80</v>
      </c>
      <c r="F82" s="0" t="s">
        <v>516</v>
      </c>
      <c r="G82" s="0" t="s">
        <v>547</v>
      </c>
      <c r="H82" s="0" t="s">
        <v>517</v>
      </c>
    </row>
    <row r="83" customFormat="false" ht="15" hidden="false" customHeight="false" outlineLevel="0" collapsed="false">
      <c r="A83" s="0" t="s">
        <v>272</v>
      </c>
      <c r="B83" s="0" t="s">
        <v>273</v>
      </c>
      <c r="C83" s="0" t="s">
        <v>30</v>
      </c>
      <c r="D83" s="0" t="n">
        <v>53.5</v>
      </c>
      <c r="E83" s="0" t="s">
        <v>80</v>
      </c>
      <c r="F83" s="0" t="s">
        <v>502</v>
      </c>
      <c r="G83" s="0" t="s">
        <v>548</v>
      </c>
      <c r="H83" s="0" t="s">
        <v>503</v>
      </c>
    </row>
    <row r="84" customFormat="false" ht="15" hidden="false" customHeight="false" outlineLevel="0" collapsed="false">
      <c r="A84" s="0" t="s">
        <v>272</v>
      </c>
      <c r="B84" s="0" t="s">
        <v>273</v>
      </c>
      <c r="C84" s="0" t="s">
        <v>31</v>
      </c>
      <c r="D84" s="0" t="n">
        <v>22.5</v>
      </c>
      <c r="E84" s="0" t="s">
        <v>80</v>
      </c>
      <c r="F84" s="0" t="s">
        <v>518</v>
      </c>
      <c r="G84" s="0" t="s">
        <v>549</v>
      </c>
      <c r="H84" s="0" t="s">
        <v>519</v>
      </c>
    </row>
    <row r="85" customFormat="false" ht="15" hidden="false" customHeight="false" outlineLevel="0" collapsed="false">
      <c r="A85" s="0" t="s">
        <v>272</v>
      </c>
      <c r="B85" s="0" t="s">
        <v>273</v>
      </c>
      <c r="C85" s="0" t="s">
        <v>32</v>
      </c>
      <c r="D85" s="0" t="n">
        <v>25</v>
      </c>
      <c r="E85" s="0" t="s">
        <v>80</v>
      </c>
      <c r="F85" s="0" t="s">
        <v>520</v>
      </c>
      <c r="G85" s="0" t="s">
        <v>550</v>
      </c>
      <c r="H85" s="0" t="s">
        <v>521</v>
      </c>
    </row>
    <row r="86" customFormat="false" ht="15" hidden="false" customHeight="false" outlineLevel="0" collapsed="false">
      <c r="A86" s="0" t="s">
        <v>272</v>
      </c>
      <c r="B86" s="0" t="s">
        <v>273</v>
      </c>
      <c r="C86" s="0" t="s">
        <v>33</v>
      </c>
      <c r="D86" s="0" t="n">
        <v>27.5</v>
      </c>
      <c r="E86" s="0" t="s">
        <v>80</v>
      </c>
      <c r="F86" s="0" t="s">
        <v>522</v>
      </c>
      <c r="G86" s="0" t="s">
        <v>551</v>
      </c>
      <c r="H86" s="0" t="s">
        <v>523</v>
      </c>
    </row>
    <row r="87" customFormat="false" ht="15" hidden="false" customHeight="false" outlineLevel="0" collapsed="false">
      <c r="A87" s="0" t="s">
        <v>272</v>
      </c>
      <c r="B87" s="0" t="s">
        <v>273</v>
      </c>
      <c r="C87" s="0" t="s">
        <v>34</v>
      </c>
      <c r="D87" s="0" t="n">
        <v>29</v>
      </c>
      <c r="E87" s="0" t="s">
        <v>80</v>
      </c>
      <c r="F87" s="0" t="s">
        <v>504</v>
      </c>
      <c r="G87" s="0" t="s">
        <v>552</v>
      </c>
      <c r="H87" s="0" t="s">
        <v>505</v>
      </c>
    </row>
    <row r="88" customFormat="false" ht="15" hidden="false" customHeight="false" outlineLevel="0" collapsed="false">
      <c r="A88" s="0" t="s">
        <v>272</v>
      </c>
      <c r="B88" s="0" t="s">
        <v>273</v>
      </c>
      <c r="C88" s="0" t="s">
        <v>35</v>
      </c>
      <c r="D88" s="0" t="n">
        <v>31.5</v>
      </c>
      <c r="E88" s="0" t="s">
        <v>80</v>
      </c>
      <c r="F88" s="0" t="s">
        <v>506</v>
      </c>
      <c r="G88" s="0" t="s">
        <v>553</v>
      </c>
      <c r="H88" s="0" t="s">
        <v>507</v>
      </c>
    </row>
    <row r="89" customFormat="false" ht="15" hidden="false" customHeight="false" outlineLevel="0" collapsed="false">
      <c r="A89" s="0" t="s">
        <v>281</v>
      </c>
      <c r="B89" s="0" t="s">
        <v>282</v>
      </c>
      <c r="C89" s="0" t="s">
        <v>26</v>
      </c>
      <c r="D89" s="0" t="n">
        <v>0</v>
      </c>
      <c r="E89" s="0" t="s">
        <v>99</v>
      </c>
      <c r="F89" s="0" t="s">
        <v>499</v>
      </c>
      <c r="G89" s="0" t="s">
        <v>554</v>
      </c>
      <c r="H89" s="0" t="s">
        <v>501</v>
      </c>
    </row>
    <row r="90" customFormat="false" ht="15" hidden="false" customHeight="false" outlineLevel="0" collapsed="false">
      <c r="A90" s="0" t="s">
        <v>281</v>
      </c>
      <c r="B90" s="0" t="s">
        <v>282</v>
      </c>
      <c r="C90" s="0" t="s">
        <v>30</v>
      </c>
      <c r="D90" s="0" t="n">
        <v>0</v>
      </c>
      <c r="E90" s="0" t="s">
        <v>99</v>
      </c>
      <c r="F90" s="0" t="s">
        <v>502</v>
      </c>
      <c r="G90" s="0" t="s">
        <v>554</v>
      </c>
      <c r="H90" s="0" t="s">
        <v>503</v>
      </c>
    </row>
    <row r="91" customFormat="false" ht="15" hidden="false" customHeight="false" outlineLevel="0" collapsed="false">
      <c r="A91" s="0" t="s">
        <v>281</v>
      </c>
      <c r="B91" s="0" t="s">
        <v>282</v>
      </c>
      <c r="C91" s="0" t="s">
        <v>34</v>
      </c>
      <c r="D91" s="0" t="n">
        <v>0</v>
      </c>
      <c r="E91" s="0" t="s">
        <v>99</v>
      </c>
      <c r="F91" s="0" t="s">
        <v>504</v>
      </c>
      <c r="G91" s="0" t="s">
        <v>554</v>
      </c>
      <c r="H91" s="0" t="s">
        <v>505</v>
      </c>
    </row>
    <row r="92" customFormat="false" ht="15" hidden="false" customHeight="false" outlineLevel="0" collapsed="false">
      <c r="A92" s="0" t="s">
        <v>284</v>
      </c>
      <c r="B92" s="0" t="s">
        <v>285</v>
      </c>
      <c r="C92" s="0" t="s">
        <v>25</v>
      </c>
      <c r="D92" s="0" t="n">
        <v>876</v>
      </c>
      <c r="E92" s="0" t="s">
        <v>99</v>
      </c>
      <c r="F92" s="0" t="s">
        <v>463</v>
      </c>
      <c r="G92" s="0" t="s">
        <v>555</v>
      </c>
      <c r="H92" s="0" t="s">
        <v>465</v>
      </c>
    </row>
    <row r="93" customFormat="false" ht="15" hidden="false" customHeight="false" outlineLevel="0" collapsed="false">
      <c r="A93" s="0" t="s">
        <v>284</v>
      </c>
      <c r="B93" s="0" t="s">
        <v>285</v>
      </c>
      <c r="C93" s="0" t="s">
        <v>26</v>
      </c>
      <c r="D93" s="0" t="n">
        <v>878</v>
      </c>
      <c r="E93" s="0" t="s">
        <v>99</v>
      </c>
      <c r="F93" s="0" t="s">
        <v>466</v>
      </c>
      <c r="G93" s="0" t="s">
        <v>555</v>
      </c>
      <c r="H93" s="0" t="s">
        <v>468</v>
      </c>
    </row>
    <row r="94" customFormat="false" ht="15" hidden="false" customHeight="false" outlineLevel="0" collapsed="false">
      <c r="A94" s="0" t="s">
        <v>284</v>
      </c>
      <c r="B94" s="0" t="s">
        <v>285</v>
      </c>
      <c r="C94" s="0" t="s">
        <v>27</v>
      </c>
      <c r="D94" s="0" t="n">
        <v>842</v>
      </c>
      <c r="E94" s="0" t="s">
        <v>99</v>
      </c>
      <c r="F94" s="0" t="s">
        <v>469</v>
      </c>
      <c r="G94" s="0" t="s">
        <v>555</v>
      </c>
      <c r="H94" s="0" t="s">
        <v>471</v>
      </c>
    </row>
    <row r="95" customFormat="false" ht="15" hidden="false" customHeight="false" outlineLevel="0" collapsed="false">
      <c r="A95" s="0" t="s">
        <v>284</v>
      </c>
      <c r="B95" s="0" t="s">
        <v>285</v>
      </c>
      <c r="C95" s="0" t="s">
        <v>28</v>
      </c>
      <c r="D95" s="0" t="n">
        <v>866</v>
      </c>
      <c r="E95" s="0" t="s">
        <v>99</v>
      </c>
      <c r="F95" s="0" t="s">
        <v>472</v>
      </c>
      <c r="G95" s="0" t="s">
        <v>555</v>
      </c>
      <c r="H95" s="0" t="s">
        <v>474</v>
      </c>
    </row>
    <row r="96" customFormat="false" ht="15" hidden="false" customHeight="false" outlineLevel="0" collapsed="false">
      <c r="A96" s="0" t="s">
        <v>284</v>
      </c>
      <c r="B96" s="0" t="s">
        <v>285</v>
      </c>
      <c r="C96" s="0" t="s">
        <v>29</v>
      </c>
      <c r="D96" s="0" t="n">
        <v>892</v>
      </c>
      <c r="E96" s="0" t="s">
        <v>99</v>
      </c>
      <c r="F96" s="0" t="s">
        <v>450</v>
      </c>
      <c r="G96" s="0" t="s">
        <v>555</v>
      </c>
      <c r="H96" s="0" t="s">
        <v>452</v>
      </c>
    </row>
    <row r="97" customFormat="false" ht="15" hidden="false" customHeight="false" outlineLevel="0" collapsed="false">
      <c r="A97" s="0" t="s">
        <v>284</v>
      </c>
      <c r="B97" s="0" t="s">
        <v>285</v>
      </c>
      <c r="C97" s="0" t="s">
        <v>30</v>
      </c>
      <c r="D97" s="0" t="n">
        <v>978</v>
      </c>
      <c r="E97" s="0" t="s">
        <v>99</v>
      </c>
      <c r="F97" s="0" t="s">
        <v>453</v>
      </c>
      <c r="G97" s="0" t="s">
        <v>555</v>
      </c>
      <c r="H97" s="0" t="s">
        <v>455</v>
      </c>
    </row>
    <row r="98" customFormat="false" ht="15" hidden="false" customHeight="false" outlineLevel="0" collapsed="false">
      <c r="A98" s="0" t="s">
        <v>284</v>
      </c>
      <c r="B98" s="0" t="s">
        <v>285</v>
      </c>
      <c r="C98" s="0" t="s">
        <v>31</v>
      </c>
      <c r="D98" s="0" t="n">
        <v>923</v>
      </c>
      <c r="E98" s="0" t="s">
        <v>99</v>
      </c>
      <c r="F98" s="0" t="s">
        <v>477</v>
      </c>
      <c r="G98" s="0" t="s">
        <v>555</v>
      </c>
      <c r="H98" s="0" t="s">
        <v>479</v>
      </c>
    </row>
    <row r="99" customFormat="false" ht="15" hidden="false" customHeight="false" outlineLevel="0" collapsed="false">
      <c r="A99" s="0" t="s">
        <v>284</v>
      </c>
      <c r="B99" s="0" t="s">
        <v>285</v>
      </c>
      <c r="C99" s="0" t="s">
        <v>32</v>
      </c>
      <c r="D99" s="0" t="n">
        <v>1057</v>
      </c>
      <c r="E99" s="0" t="s">
        <v>99</v>
      </c>
      <c r="F99" s="0" t="s">
        <v>480</v>
      </c>
      <c r="G99" s="0" t="s">
        <v>555</v>
      </c>
      <c r="H99" s="0" t="s">
        <v>482</v>
      </c>
    </row>
    <row r="100" customFormat="false" ht="15" hidden="false" customHeight="false" outlineLevel="0" collapsed="false">
      <c r="A100" s="0" t="s">
        <v>284</v>
      </c>
      <c r="B100" s="0" t="s">
        <v>285</v>
      </c>
      <c r="C100" s="0" t="s">
        <v>33</v>
      </c>
      <c r="D100" s="0" t="n">
        <v>1180</v>
      </c>
      <c r="E100" s="0" t="s">
        <v>99</v>
      </c>
      <c r="F100" s="0" t="s">
        <v>483</v>
      </c>
      <c r="G100" s="0" t="s">
        <v>555</v>
      </c>
      <c r="H100" s="0" t="s">
        <v>485</v>
      </c>
    </row>
    <row r="101" customFormat="false" ht="15" hidden="false" customHeight="false" outlineLevel="0" collapsed="false">
      <c r="A101" s="0" t="s">
        <v>284</v>
      </c>
      <c r="B101" s="0" t="s">
        <v>285</v>
      </c>
      <c r="C101" s="0" t="s">
        <v>34</v>
      </c>
      <c r="D101" s="0" t="n">
        <v>1438</v>
      </c>
      <c r="E101" s="0" t="s">
        <v>99</v>
      </c>
      <c r="F101" s="0" t="s">
        <v>456</v>
      </c>
      <c r="G101" s="0" t="s">
        <v>555</v>
      </c>
      <c r="H101" s="0" t="s">
        <v>458</v>
      </c>
    </row>
    <row r="102" customFormat="false" ht="15" hidden="false" customHeight="false" outlineLevel="0" collapsed="false">
      <c r="A102" s="0" t="s">
        <v>284</v>
      </c>
      <c r="B102" s="0" t="s">
        <v>285</v>
      </c>
      <c r="C102" s="0" t="s">
        <v>35</v>
      </c>
      <c r="D102" s="0" t="n">
        <v>1428</v>
      </c>
      <c r="E102" s="0" t="s">
        <v>99</v>
      </c>
      <c r="F102" s="0" t="s">
        <v>323</v>
      </c>
      <c r="G102" s="0" t="s">
        <v>555</v>
      </c>
      <c r="H102" s="0" t="s">
        <v>461</v>
      </c>
    </row>
    <row r="103" customFormat="false" ht="15" hidden="false" customHeight="false" outlineLevel="0" collapsed="false">
      <c r="A103" s="0" t="s">
        <v>289</v>
      </c>
      <c r="B103" s="0" t="s">
        <v>290</v>
      </c>
      <c r="C103" s="0" t="s">
        <v>25</v>
      </c>
      <c r="D103" s="0" t="n">
        <v>87980</v>
      </c>
      <c r="E103" s="0" t="s">
        <v>99</v>
      </c>
      <c r="F103" s="0" t="s">
        <v>463</v>
      </c>
      <c r="G103" s="0" t="s">
        <v>556</v>
      </c>
      <c r="H103" s="0" t="s">
        <v>465</v>
      </c>
    </row>
    <row r="104" customFormat="false" ht="15" hidden="false" customHeight="false" outlineLevel="0" collapsed="false">
      <c r="A104" s="0" t="s">
        <v>289</v>
      </c>
      <c r="B104" s="0" t="s">
        <v>290</v>
      </c>
      <c r="C104" s="0" t="s">
        <v>26</v>
      </c>
      <c r="D104" s="0" t="n">
        <v>86869</v>
      </c>
      <c r="E104" s="0" t="s">
        <v>99</v>
      </c>
      <c r="F104" s="0" t="s">
        <v>466</v>
      </c>
      <c r="G104" s="0" t="s">
        <v>557</v>
      </c>
      <c r="H104" s="0" t="s">
        <v>468</v>
      </c>
    </row>
    <row r="105" customFormat="false" ht="15" hidden="false" customHeight="false" outlineLevel="0" collapsed="false">
      <c r="A105" s="0" t="s">
        <v>289</v>
      </c>
      <c r="B105" s="0" t="s">
        <v>290</v>
      </c>
      <c r="C105" s="0" t="s">
        <v>27</v>
      </c>
      <c r="D105" s="0" t="n">
        <v>84515</v>
      </c>
      <c r="E105" s="0" t="s">
        <v>99</v>
      </c>
      <c r="F105" s="0" t="s">
        <v>469</v>
      </c>
      <c r="G105" s="0" t="s">
        <v>558</v>
      </c>
      <c r="H105" s="0" t="s">
        <v>471</v>
      </c>
    </row>
    <row r="106" customFormat="false" ht="15" hidden="false" customHeight="false" outlineLevel="0" collapsed="false">
      <c r="A106" s="0" t="s">
        <v>289</v>
      </c>
      <c r="B106" s="0" t="s">
        <v>290</v>
      </c>
      <c r="C106" s="0" t="s">
        <v>28</v>
      </c>
      <c r="D106" s="0" t="n">
        <v>88624</v>
      </c>
      <c r="E106" s="0" t="s">
        <v>99</v>
      </c>
      <c r="F106" s="0" t="s">
        <v>472</v>
      </c>
      <c r="G106" s="0" t="s">
        <v>559</v>
      </c>
      <c r="H106" s="0" t="s">
        <v>474</v>
      </c>
    </row>
    <row r="107" customFormat="false" ht="15" hidden="false" customHeight="false" outlineLevel="0" collapsed="false">
      <c r="A107" s="0" t="s">
        <v>289</v>
      </c>
      <c r="B107" s="0" t="s">
        <v>290</v>
      </c>
      <c r="C107" s="0" t="s">
        <v>29</v>
      </c>
      <c r="D107" s="0" t="n">
        <v>96276</v>
      </c>
      <c r="E107" s="0" t="s">
        <v>99</v>
      </c>
      <c r="F107" s="0" t="s">
        <v>450</v>
      </c>
      <c r="G107" s="0" t="s">
        <v>560</v>
      </c>
      <c r="H107" s="0" t="s">
        <v>452</v>
      </c>
    </row>
    <row r="108" customFormat="false" ht="15" hidden="false" customHeight="false" outlineLevel="0" collapsed="false">
      <c r="A108" s="0" t="s">
        <v>289</v>
      </c>
      <c r="B108" s="0" t="s">
        <v>290</v>
      </c>
      <c r="C108" s="0" t="s">
        <v>30</v>
      </c>
      <c r="D108" s="0" t="n">
        <v>92568</v>
      </c>
      <c r="E108" s="0" t="s">
        <v>99</v>
      </c>
      <c r="F108" s="0" t="s">
        <v>453</v>
      </c>
      <c r="G108" s="0" t="s">
        <v>561</v>
      </c>
      <c r="H108" s="0" t="s">
        <v>455</v>
      </c>
    </row>
    <row r="109" customFormat="false" ht="15" hidden="false" customHeight="false" outlineLevel="0" collapsed="false">
      <c r="A109" s="0" t="s">
        <v>289</v>
      </c>
      <c r="B109" s="0" t="s">
        <v>290</v>
      </c>
      <c r="C109" s="0" t="s">
        <v>31</v>
      </c>
      <c r="D109" s="0" t="n">
        <v>91315</v>
      </c>
      <c r="E109" s="0" t="s">
        <v>99</v>
      </c>
      <c r="F109" s="0" t="s">
        <v>477</v>
      </c>
      <c r="G109" s="0" t="s">
        <v>562</v>
      </c>
      <c r="H109" s="0" t="s">
        <v>479</v>
      </c>
    </row>
    <row r="110" customFormat="false" ht="15" hidden="false" customHeight="false" outlineLevel="0" collapsed="false">
      <c r="A110" s="0" t="s">
        <v>289</v>
      </c>
      <c r="B110" s="0" t="s">
        <v>290</v>
      </c>
      <c r="C110" s="0" t="s">
        <v>32</v>
      </c>
      <c r="D110" s="0" t="n">
        <v>108075</v>
      </c>
      <c r="E110" s="0" t="s">
        <v>99</v>
      </c>
      <c r="F110" s="0" t="s">
        <v>480</v>
      </c>
      <c r="G110" s="0" t="s">
        <v>563</v>
      </c>
      <c r="H110" s="0" t="s">
        <v>482</v>
      </c>
    </row>
    <row r="111" customFormat="false" ht="15" hidden="false" customHeight="false" outlineLevel="0" collapsed="false">
      <c r="A111" s="0" t="s">
        <v>289</v>
      </c>
      <c r="B111" s="0" t="s">
        <v>290</v>
      </c>
      <c r="C111" s="0" t="s">
        <v>33</v>
      </c>
      <c r="D111" s="0" t="n">
        <v>134605</v>
      </c>
      <c r="E111" s="0" t="s">
        <v>99</v>
      </c>
      <c r="F111" s="0" t="s">
        <v>483</v>
      </c>
      <c r="G111" s="0" t="s">
        <v>564</v>
      </c>
      <c r="H111" s="0" t="s">
        <v>485</v>
      </c>
    </row>
    <row r="112" customFormat="false" ht="15" hidden="false" customHeight="false" outlineLevel="0" collapsed="false">
      <c r="A112" s="0" t="s">
        <v>289</v>
      </c>
      <c r="B112" s="0" t="s">
        <v>290</v>
      </c>
      <c r="C112" s="0" t="s">
        <v>34</v>
      </c>
      <c r="D112" s="0" t="n">
        <v>129541</v>
      </c>
      <c r="E112" s="0" t="s">
        <v>99</v>
      </c>
      <c r="F112" s="0" t="s">
        <v>456</v>
      </c>
      <c r="G112" s="0" t="s">
        <v>565</v>
      </c>
      <c r="H112" s="0" t="s">
        <v>458</v>
      </c>
    </row>
    <row r="113" customFormat="false" ht="15" hidden="false" customHeight="false" outlineLevel="0" collapsed="false">
      <c r="A113" s="0" t="s">
        <v>289</v>
      </c>
      <c r="B113" s="0" t="s">
        <v>290</v>
      </c>
      <c r="C113" s="0" t="s">
        <v>35</v>
      </c>
      <c r="D113" s="0" t="n">
        <v>125337</v>
      </c>
      <c r="E113" s="0" t="s">
        <v>99</v>
      </c>
      <c r="F113" s="0" t="s">
        <v>323</v>
      </c>
      <c r="G113" s="0" t="s">
        <v>566</v>
      </c>
      <c r="H113" s="0" t="s">
        <v>461</v>
      </c>
    </row>
    <row r="114" customFormat="false" ht="15" hidden="false" customHeight="false" outlineLevel="0" collapsed="false">
      <c r="A114" s="0" t="s">
        <v>295</v>
      </c>
      <c r="B114" s="0" t="s">
        <v>296</v>
      </c>
      <c r="C114" s="0" t="s">
        <v>25</v>
      </c>
      <c r="D114" s="0" t="n">
        <v>91</v>
      </c>
      <c r="E114" s="0" t="s">
        <v>99</v>
      </c>
      <c r="F114" s="0" t="s">
        <v>298</v>
      </c>
      <c r="G114" s="0" t="s">
        <v>298</v>
      </c>
    </row>
    <row r="115" customFormat="false" ht="15" hidden="false" customHeight="false" outlineLevel="0" collapsed="false">
      <c r="A115" s="0" t="s">
        <v>295</v>
      </c>
      <c r="B115" s="0" t="s">
        <v>296</v>
      </c>
      <c r="C115" s="0" t="s">
        <v>26</v>
      </c>
      <c r="D115" s="0" t="n">
        <v>92</v>
      </c>
      <c r="E115" s="0" t="s">
        <v>99</v>
      </c>
      <c r="F115" s="0" t="s">
        <v>298</v>
      </c>
      <c r="G115" s="0" t="s">
        <v>298</v>
      </c>
    </row>
    <row r="116" customFormat="false" ht="15" hidden="false" customHeight="false" outlineLevel="0" collapsed="false">
      <c r="A116" s="0" t="s">
        <v>295</v>
      </c>
      <c r="B116" s="0" t="s">
        <v>296</v>
      </c>
      <c r="C116" s="0" t="s">
        <v>27</v>
      </c>
      <c r="D116" s="0" t="n">
        <v>92</v>
      </c>
      <c r="E116" s="0" t="s">
        <v>99</v>
      </c>
      <c r="F116" s="0" t="s">
        <v>298</v>
      </c>
      <c r="G116" s="0" t="s">
        <v>298</v>
      </c>
    </row>
    <row r="117" customFormat="false" ht="15" hidden="false" customHeight="false" outlineLevel="0" collapsed="false">
      <c r="A117" s="0" t="s">
        <v>295</v>
      </c>
      <c r="B117" s="0" t="s">
        <v>296</v>
      </c>
      <c r="C117" s="0" t="s">
        <v>28</v>
      </c>
      <c r="D117" s="0" t="n">
        <v>91</v>
      </c>
      <c r="E117" s="0" t="s">
        <v>99</v>
      </c>
      <c r="F117" s="0" t="s">
        <v>298</v>
      </c>
      <c r="G117" s="0" t="s">
        <v>298</v>
      </c>
    </row>
    <row r="118" customFormat="false" ht="15" hidden="false" customHeight="false" outlineLevel="0" collapsed="false">
      <c r="A118" s="0" t="s">
        <v>295</v>
      </c>
      <c r="B118" s="0" t="s">
        <v>296</v>
      </c>
      <c r="C118" s="0" t="s">
        <v>29</v>
      </c>
      <c r="D118" s="0" t="n">
        <v>90</v>
      </c>
      <c r="E118" s="0" t="s">
        <v>99</v>
      </c>
      <c r="F118" s="0" t="s">
        <v>298</v>
      </c>
      <c r="G118" s="0" t="s">
        <v>298</v>
      </c>
    </row>
    <row r="119" customFormat="false" ht="15" hidden="false" customHeight="false" outlineLevel="0" collapsed="false">
      <c r="A119" s="0" t="s">
        <v>295</v>
      </c>
      <c r="B119" s="0" t="s">
        <v>296</v>
      </c>
      <c r="C119" s="0" t="s">
        <v>30</v>
      </c>
      <c r="D119" s="0" t="n">
        <v>92</v>
      </c>
      <c r="E119" s="0" t="s">
        <v>99</v>
      </c>
      <c r="F119" s="0" t="s">
        <v>298</v>
      </c>
      <c r="G119" s="0" t="s">
        <v>298</v>
      </c>
    </row>
    <row r="120" customFormat="false" ht="15" hidden="false" customHeight="false" outlineLevel="0" collapsed="false">
      <c r="A120" s="0" t="s">
        <v>295</v>
      </c>
      <c r="B120" s="0" t="s">
        <v>296</v>
      </c>
      <c r="C120" s="0" t="s">
        <v>31</v>
      </c>
      <c r="D120" s="0" t="n">
        <v>92</v>
      </c>
      <c r="E120" s="0" t="s">
        <v>99</v>
      </c>
      <c r="F120" s="0" t="s">
        <v>298</v>
      </c>
      <c r="G120" s="0" t="s">
        <v>298</v>
      </c>
    </row>
    <row r="121" customFormat="false" ht="15" hidden="false" customHeight="false" outlineLevel="0" collapsed="false">
      <c r="A121" s="0" t="s">
        <v>295</v>
      </c>
      <c r="B121" s="0" t="s">
        <v>296</v>
      </c>
      <c r="C121" s="0" t="s">
        <v>32</v>
      </c>
      <c r="D121" s="0" t="n">
        <v>91</v>
      </c>
      <c r="E121" s="0" t="s">
        <v>99</v>
      </c>
      <c r="F121" s="0" t="s">
        <v>298</v>
      </c>
      <c r="G121" s="0" t="s">
        <v>298</v>
      </c>
    </row>
    <row r="122" customFormat="false" ht="15" hidden="false" customHeight="false" outlineLevel="0" collapsed="false">
      <c r="A122" s="0" t="s">
        <v>295</v>
      </c>
      <c r="B122" s="0" t="s">
        <v>296</v>
      </c>
      <c r="C122" s="0" t="s">
        <v>33</v>
      </c>
      <c r="D122" s="0" t="n">
        <v>90</v>
      </c>
      <c r="E122" s="0" t="s">
        <v>99</v>
      </c>
      <c r="F122" s="0" t="s">
        <v>298</v>
      </c>
      <c r="G122" s="0" t="s">
        <v>298</v>
      </c>
    </row>
    <row r="123" customFormat="false" ht="15" hidden="false" customHeight="false" outlineLevel="0" collapsed="false">
      <c r="A123" s="0" t="s">
        <v>295</v>
      </c>
      <c r="B123" s="0" t="s">
        <v>296</v>
      </c>
      <c r="C123" s="0" t="s">
        <v>34</v>
      </c>
      <c r="D123" s="0" t="n">
        <v>92</v>
      </c>
      <c r="E123" s="0" t="s">
        <v>99</v>
      </c>
      <c r="F123" s="0" t="s">
        <v>298</v>
      </c>
      <c r="G123" s="0" t="s">
        <v>298</v>
      </c>
    </row>
    <row r="124" customFormat="false" ht="15" hidden="false" customHeight="false" outlineLevel="0" collapsed="false">
      <c r="A124" s="0" t="s">
        <v>295</v>
      </c>
      <c r="B124" s="0" t="s">
        <v>296</v>
      </c>
      <c r="C124" s="0" t="s">
        <v>35</v>
      </c>
      <c r="D124" s="0" t="n">
        <v>92</v>
      </c>
      <c r="E124" s="0" t="s">
        <v>99</v>
      </c>
      <c r="F124" s="0" t="s">
        <v>298</v>
      </c>
      <c r="G124" s="0" t="s">
        <v>298</v>
      </c>
    </row>
    <row r="125" customFormat="false" ht="15" hidden="false" customHeight="false" outlineLevel="0" collapsed="false">
      <c r="A125" s="0" t="s">
        <v>301</v>
      </c>
      <c r="B125" s="0" t="s">
        <v>302</v>
      </c>
      <c r="C125" s="0" t="s">
        <v>25</v>
      </c>
      <c r="D125" s="0" t="n">
        <v>5</v>
      </c>
      <c r="E125" s="0" t="s">
        <v>99</v>
      </c>
      <c r="F125" s="0" t="s">
        <v>499</v>
      </c>
      <c r="G125" s="0" t="s">
        <v>567</v>
      </c>
      <c r="H125" s="0" t="s">
        <v>501</v>
      </c>
    </row>
    <row r="126" customFormat="false" ht="15" hidden="false" customHeight="false" outlineLevel="0" collapsed="false">
      <c r="A126" s="0" t="s">
        <v>301</v>
      </c>
      <c r="B126" s="0" t="s">
        <v>302</v>
      </c>
      <c r="C126" s="0" t="s">
        <v>26</v>
      </c>
      <c r="D126" s="0" t="n">
        <v>5</v>
      </c>
      <c r="E126" s="0" t="s">
        <v>99</v>
      </c>
      <c r="F126" s="0" t="s">
        <v>499</v>
      </c>
      <c r="G126" s="0" t="s">
        <v>459</v>
      </c>
      <c r="H126" s="0" t="s">
        <v>501</v>
      </c>
    </row>
    <row r="127" customFormat="false" ht="15" hidden="false" customHeight="false" outlineLevel="0" collapsed="false">
      <c r="A127" s="0" t="s">
        <v>301</v>
      </c>
      <c r="B127" s="0" t="s">
        <v>302</v>
      </c>
      <c r="C127" s="0" t="s">
        <v>27</v>
      </c>
      <c r="D127" s="0" t="n">
        <v>6</v>
      </c>
      <c r="E127" s="0" t="s">
        <v>99</v>
      </c>
      <c r="F127" s="0" t="s">
        <v>512</v>
      </c>
      <c r="G127" s="0" t="s">
        <v>568</v>
      </c>
      <c r="H127" s="0" t="s">
        <v>513</v>
      </c>
    </row>
    <row r="128" customFormat="false" ht="15" hidden="false" customHeight="false" outlineLevel="0" collapsed="false">
      <c r="A128" s="0" t="s">
        <v>301</v>
      </c>
      <c r="B128" s="0" t="s">
        <v>302</v>
      </c>
      <c r="C128" s="0" t="s">
        <v>28</v>
      </c>
      <c r="D128" s="0" t="n">
        <v>6</v>
      </c>
      <c r="E128" s="0" t="s">
        <v>99</v>
      </c>
      <c r="F128" s="0" t="s">
        <v>514</v>
      </c>
      <c r="G128" s="0" t="s">
        <v>459</v>
      </c>
      <c r="H128" s="0" t="s">
        <v>515</v>
      </c>
    </row>
    <row r="129" customFormat="false" ht="15" hidden="false" customHeight="false" outlineLevel="0" collapsed="false">
      <c r="A129" s="0" t="s">
        <v>301</v>
      </c>
      <c r="B129" s="0" t="s">
        <v>302</v>
      </c>
      <c r="C129" s="0" t="s">
        <v>29</v>
      </c>
      <c r="D129" s="0" t="n">
        <v>6</v>
      </c>
      <c r="E129" s="0" t="s">
        <v>99</v>
      </c>
      <c r="F129" s="0" t="s">
        <v>516</v>
      </c>
      <c r="G129" s="0" t="s">
        <v>459</v>
      </c>
      <c r="H129" s="0" t="s">
        <v>517</v>
      </c>
    </row>
    <row r="130" customFormat="false" ht="15" hidden="false" customHeight="false" outlineLevel="0" collapsed="false">
      <c r="A130" s="0" t="s">
        <v>301</v>
      </c>
      <c r="B130" s="0" t="s">
        <v>302</v>
      </c>
      <c r="C130" s="0" t="s">
        <v>30</v>
      </c>
      <c r="D130" s="0" t="n">
        <v>6</v>
      </c>
      <c r="E130" s="0" t="s">
        <v>99</v>
      </c>
      <c r="F130" s="0" t="s">
        <v>502</v>
      </c>
      <c r="G130" s="0" t="s">
        <v>459</v>
      </c>
      <c r="H130" s="0" t="s">
        <v>503</v>
      </c>
    </row>
    <row r="131" customFormat="false" ht="15" hidden="false" customHeight="false" outlineLevel="0" collapsed="false">
      <c r="A131" s="0" t="s">
        <v>301</v>
      </c>
      <c r="B131" s="0" t="s">
        <v>302</v>
      </c>
      <c r="C131" s="0" t="s">
        <v>31</v>
      </c>
      <c r="D131" s="0" t="n">
        <v>6</v>
      </c>
      <c r="E131" s="0" t="s">
        <v>99</v>
      </c>
      <c r="F131" s="0" t="s">
        <v>502</v>
      </c>
      <c r="G131" s="0" t="s">
        <v>459</v>
      </c>
      <c r="H131" s="0" t="s">
        <v>503</v>
      </c>
    </row>
    <row r="132" customFormat="false" ht="15" hidden="false" customHeight="false" outlineLevel="0" collapsed="false">
      <c r="A132" s="0" t="s">
        <v>301</v>
      </c>
      <c r="B132" s="0" t="s">
        <v>302</v>
      </c>
      <c r="C132" s="0" t="s">
        <v>32</v>
      </c>
      <c r="D132" s="0" t="n">
        <v>6</v>
      </c>
      <c r="E132" s="0" t="s">
        <v>99</v>
      </c>
      <c r="F132" s="0" t="s">
        <v>502</v>
      </c>
      <c r="G132" s="0" t="s">
        <v>459</v>
      </c>
      <c r="H132" s="0" t="s">
        <v>503</v>
      </c>
    </row>
    <row r="133" customFormat="false" ht="15" hidden="false" customHeight="false" outlineLevel="0" collapsed="false">
      <c r="A133" s="0" t="s">
        <v>301</v>
      </c>
      <c r="B133" s="0" t="s">
        <v>302</v>
      </c>
      <c r="C133" s="0" t="s">
        <v>33</v>
      </c>
      <c r="D133" s="0" t="n">
        <v>6</v>
      </c>
      <c r="E133" s="0" t="s">
        <v>99</v>
      </c>
      <c r="F133" s="0" t="s">
        <v>502</v>
      </c>
      <c r="G133" s="0" t="s">
        <v>459</v>
      </c>
      <c r="H133" s="0" t="s">
        <v>503</v>
      </c>
    </row>
    <row r="134" customFormat="false" ht="15" hidden="false" customHeight="false" outlineLevel="0" collapsed="false">
      <c r="A134" s="0" t="s">
        <v>301</v>
      </c>
      <c r="B134" s="0" t="s">
        <v>302</v>
      </c>
      <c r="C134" s="0" t="s">
        <v>34</v>
      </c>
      <c r="D134" s="0" t="n">
        <v>6</v>
      </c>
      <c r="E134" s="0" t="s">
        <v>99</v>
      </c>
      <c r="F134" s="0" t="s">
        <v>504</v>
      </c>
      <c r="G134" s="0" t="s">
        <v>459</v>
      </c>
      <c r="H134" s="0" t="s">
        <v>505</v>
      </c>
    </row>
    <row r="135" customFormat="false" ht="15" hidden="false" customHeight="false" outlineLevel="0" collapsed="false">
      <c r="A135" s="0" t="s">
        <v>301</v>
      </c>
      <c r="B135" s="0" t="s">
        <v>302</v>
      </c>
      <c r="C135" s="0" t="s">
        <v>35</v>
      </c>
      <c r="D135" s="0" t="n">
        <v>6</v>
      </c>
      <c r="E135" s="0" t="s">
        <v>99</v>
      </c>
      <c r="F135" s="0" t="s">
        <v>504</v>
      </c>
      <c r="G135" s="0" t="s">
        <v>459</v>
      </c>
      <c r="H135" s="0" t="s">
        <v>505</v>
      </c>
    </row>
    <row r="136" customFormat="false" ht="15" hidden="false" customHeight="false" outlineLevel="0" collapsed="false">
      <c r="A136" s="0" t="s">
        <v>304</v>
      </c>
      <c r="B136" s="0" t="s">
        <v>305</v>
      </c>
      <c r="C136" s="0" t="s">
        <v>34</v>
      </c>
      <c r="D136" s="0" t="n">
        <v>97.5</v>
      </c>
      <c r="E136" s="0" t="s">
        <v>99</v>
      </c>
      <c r="F136" s="0" t="s">
        <v>569</v>
      </c>
      <c r="G136" s="0" t="s">
        <v>570</v>
      </c>
      <c r="H136" s="0" t="s">
        <v>571</v>
      </c>
    </row>
    <row r="137" customFormat="false" ht="15" hidden="false" customHeight="false" outlineLevel="0" collapsed="false">
      <c r="A137" s="0" t="s">
        <v>304</v>
      </c>
      <c r="B137" s="0" t="s">
        <v>305</v>
      </c>
      <c r="C137" s="0" t="s">
        <v>35</v>
      </c>
      <c r="D137" s="0" t="n">
        <v>97.9</v>
      </c>
      <c r="E137" s="0" t="s">
        <v>99</v>
      </c>
      <c r="F137" s="0" t="s">
        <v>534</v>
      </c>
      <c r="G137" s="0" t="s">
        <v>572</v>
      </c>
      <c r="H137" s="0" t="s">
        <v>536</v>
      </c>
    </row>
    <row r="138" customFormat="false" ht="15" hidden="false" customHeight="false" outlineLevel="0" collapsed="false">
      <c r="A138" s="0" t="s">
        <v>307</v>
      </c>
      <c r="B138" s="0" t="s">
        <v>308</v>
      </c>
      <c r="C138" s="0" t="s">
        <v>25</v>
      </c>
      <c r="D138" s="0" t="n">
        <v>43</v>
      </c>
      <c r="E138" s="0" t="s">
        <v>99</v>
      </c>
      <c r="F138" s="0" t="s">
        <v>509</v>
      </c>
      <c r="G138" s="0" t="s">
        <v>573</v>
      </c>
      <c r="H138" s="0" t="s">
        <v>511</v>
      </c>
    </row>
    <row r="139" customFormat="false" ht="15" hidden="false" customHeight="false" outlineLevel="0" collapsed="false">
      <c r="A139" s="0" t="s">
        <v>307</v>
      </c>
      <c r="B139" s="0" t="s">
        <v>308</v>
      </c>
      <c r="C139" s="0" t="s">
        <v>26</v>
      </c>
      <c r="D139" s="0" t="n">
        <v>39</v>
      </c>
      <c r="E139" s="0" t="s">
        <v>99</v>
      </c>
      <c r="F139" s="0" t="s">
        <v>499</v>
      </c>
      <c r="G139" s="0" t="s">
        <v>573</v>
      </c>
      <c r="H139" s="0" t="s">
        <v>501</v>
      </c>
    </row>
    <row r="140" customFormat="false" ht="15" hidden="false" customHeight="false" outlineLevel="0" collapsed="false">
      <c r="A140" s="0" t="s">
        <v>307</v>
      </c>
      <c r="B140" s="0" t="s">
        <v>308</v>
      </c>
      <c r="C140" s="0" t="s">
        <v>27</v>
      </c>
      <c r="D140" s="0" t="n">
        <v>38</v>
      </c>
      <c r="E140" s="0" t="s">
        <v>99</v>
      </c>
      <c r="F140" s="0" t="s">
        <v>512</v>
      </c>
      <c r="G140" s="0" t="s">
        <v>573</v>
      </c>
      <c r="H140" s="0" t="s">
        <v>513</v>
      </c>
    </row>
    <row r="141" customFormat="false" ht="15" hidden="false" customHeight="false" outlineLevel="0" collapsed="false">
      <c r="A141" s="0" t="s">
        <v>307</v>
      </c>
      <c r="B141" s="0" t="s">
        <v>308</v>
      </c>
      <c r="C141" s="0" t="s">
        <v>28</v>
      </c>
      <c r="D141" s="0" t="n">
        <v>39</v>
      </c>
      <c r="E141" s="0" t="s">
        <v>99</v>
      </c>
      <c r="F141" s="0" t="s">
        <v>514</v>
      </c>
      <c r="G141" s="0" t="s">
        <v>573</v>
      </c>
      <c r="H141" s="0" t="s">
        <v>515</v>
      </c>
    </row>
    <row r="142" customFormat="false" ht="15" hidden="false" customHeight="false" outlineLevel="0" collapsed="false">
      <c r="A142" s="0" t="s">
        <v>307</v>
      </c>
      <c r="B142" s="0" t="s">
        <v>308</v>
      </c>
      <c r="C142" s="0" t="s">
        <v>29</v>
      </c>
      <c r="D142" s="0" t="n">
        <v>31</v>
      </c>
      <c r="E142" s="0" t="s">
        <v>99</v>
      </c>
      <c r="F142" s="0" t="s">
        <v>516</v>
      </c>
      <c r="G142" s="0" t="s">
        <v>573</v>
      </c>
      <c r="H142" s="0" t="s">
        <v>517</v>
      </c>
    </row>
    <row r="143" customFormat="false" ht="15" hidden="false" customHeight="false" outlineLevel="0" collapsed="false">
      <c r="A143" s="0" t="s">
        <v>307</v>
      </c>
      <c r="B143" s="0" t="s">
        <v>308</v>
      </c>
      <c r="C143" s="0" t="s">
        <v>30</v>
      </c>
      <c r="D143" s="0" t="n">
        <v>33</v>
      </c>
      <c r="E143" s="0" t="s">
        <v>99</v>
      </c>
      <c r="F143" s="0" t="s">
        <v>502</v>
      </c>
      <c r="G143" s="0" t="s">
        <v>573</v>
      </c>
      <c r="H143" s="0" t="s">
        <v>503</v>
      </c>
    </row>
    <row r="144" customFormat="false" ht="15" hidden="false" customHeight="false" outlineLevel="0" collapsed="false">
      <c r="A144" s="0" t="s">
        <v>307</v>
      </c>
      <c r="B144" s="0" t="s">
        <v>308</v>
      </c>
      <c r="C144" s="0" t="s">
        <v>31</v>
      </c>
      <c r="D144" s="0" t="n">
        <v>10</v>
      </c>
      <c r="E144" s="0" t="s">
        <v>99</v>
      </c>
      <c r="F144" s="0" t="s">
        <v>518</v>
      </c>
      <c r="G144" s="0" t="s">
        <v>573</v>
      </c>
      <c r="H144" s="0" t="s">
        <v>519</v>
      </c>
    </row>
    <row r="145" customFormat="false" ht="15" hidden="false" customHeight="false" outlineLevel="0" collapsed="false">
      <c r="A145" s="0" t="s">
        <v>307</v>
      </c>
      <c r="B145" s="0" t="s">
        <v>308</v>
      </c>
      <c r="C145" s="0" t="s">
        <v>32</v>
      </c>
      <c r="D145" s="0" t="n">
        <v>10</v>
      </c>
      <c r="E145" s="0" t="s">
        <v>99</v>
      </c>
      <c r="F145" s="0" t="s">
        <v>520</v>
      </c>
      <c r="G145" s="0" t="s">
        <v>573</v>
      </c>
      <c r="H145" s="0" t="s">
        <v>521</v>
      </c>
    </row>
    <row r="146" customFormat="false" ht="15" hidden="false" customHeight="false" outlineLevel="0" collapsed="false">
      <c r="A146" s="0" t="s">
        <v>307</v>
      </c>
      <c r="B146" s="0" t="s">
        <v>308</v>
      </c>
      <c r="C146" s="0" t="s">
        <v>33</v>
      </c>
      <c r="D146" s="0" t="n">
        <v>12</v>
      </c>
      <c r="E146" s="0" t="s">
        <v>99</v>
      </c>
      <c r="F146" s="0" t="s">
        <v>522</v>
      </c>
      <c r="G146" s="0" t="s">
        <v>573</v>
      </c>
      <c r="H146" s="0" t="s">
        <v>523</v>
      </c>
    </row>
    <row r="147" customFormat="false" ht="15" hidden="false" customHeight="false" outlineLevel="0" collapsed="false">
      <c r="A147" s="0" t="s">
        <v>307</v>
      </c>
      <c r="B147" s="0" t="s">
        <v>308</v>
      </c>
      <c r="C147" s="0" t="s">
        <v>34</v>
      </c>
      <c r="D147" s="0" t="n">
        <v>12</v>
      </c>
      <c r="E147" s="0" t="s">
        <v>99</v>
      </c>
      <c r="F147" s="0" t="s">
        <v>504</v>
      </c>
      <c r="G147" s="0" t="s">
        <v>573</v>
      </c>
      <c r="H147" s="0" t="s">
        <v>505</v>
      </c>
    </row>
    <row r="148" customFormat="false" ht="15" hidden="false" customHeight="false" outlineLevel="0" collapsed="false">
      <c r="A148" s="0" t="s">
        <v>307</v>
      </c>
      <c r="B148" s="0" t="s">
        <v>308</v>
      </c>
      <c r="C148" s="0" t="s">
        <v>35</v>
      </c>
      <c r="D148" s="0" t="n">
        <v>13</v>
      </c>
      <c r="E148" s="0" t="s">
        <v>99</v>
      </c>
      <c r="F148" s="0" t="s">
        <v>506</v>
      </c>
      <c r="G148" s="0" t="s">
        <v>573</v>
      </c>
      <c r="H148" s="0" t="s">
        <v>507</v>
      </c>
    </row>
    <row r="149" customFormat="false" ht="15" hidden="false" customHeight="false" outlineLevel="0" collapsed="false">
      <c r="A149" s="0" t="s">
        <v>315</v>
      </c>
      <c r="B149" s="0" t="s">
        <v>316</v>
      </c>
      <c r="C149" s="0" t="s">
        <v>25</v>
      </c>
      <c r="D149" s="0" t="n">
        <v>13280</v>
      </c>
      <c r="E149" s="0" t="s">
        <v>99</v>
      </c>
      <c r="F149" s="0" t="s">
        <v>317</v>
      </c>
      <c r="G149" s="0" t="s">
        <v>574</v>
      </c>
      <c r="H149" s="0" t="s">
        <v>542</v>
      </c>
    </row>
    <row r="150" customFormat="false" ht="15" hidden="false" customHeight="false" outlineLevel="0" collapsed="false">
      <c r="A150" s="0" t="s">
        <v>315</v>
      </c>
      <c r="B150" s="0" t="s">
        <v>316</v>
      </c>
      <c r="C150" s="0" t="s">
        <v>26</v>
      </c>
      <c r="D150" s="0" t="n">
        <v>14287</v>
      </c>
      <c r="E150" s="0" t="s">
        <v>103</v>
      </c>
      <c r="F150" s="0" t="s">
        <v>317</v>
      </c>
      <c r="G150" s="0" t="s">
        <v>575</v>
      </c>
      <c r="H150" s="0" t="s">
        <v>542</v>
      </c>
    </row>
    <row r="151" customFormat="false" ht="15" hidden="false" customHeight="false" outlineLevel="0" collapsed="false">
      <c r="A151" s="0" t="s">
        <v>315</v>
      </c>
      <c r="B151" s="0" t="s">
        <v>316</v>
      </c>
      <c r="C151" s="0" t="s">
        <v>27</v>
      </c>
      <c r="D151" s="0" t="n">
        <v>13307</v>
      </c>
      <c r="E151" s="0" t="s">
        <v>99</v>
      </c>
      <c r="F151" s="0" t="s">
        <v>317</v>
      </c>
      <c r="G151" s="0" t="s">
        <v>576</v>
      </c>
      <c r="H151" s="0" t="s">
        <v>542</v>
      </c>
    </row>
    <row r="152" customFormat="false" ht="15" hidden="false" customHeight="false" outlineLevel="0" collapsed="false">
      <c r="A152" s="0" t="s">
        <v>315</v>
      </c>
      <c r="B152" s="0" t="s">
        <v>316</v>
      </c>
      <c r="C152" s="0" t="s">
        <v>28</v>
      </c>
      <c r="D152" s="0" t="n">
        <v>14059</v>
      </c>
      <c r="E152" s="0" t="s">
        <v>99</v>
      </c>
      <c r="F152" s="0" t="s">
        <v>317</v>
      </c>
      <c r="G152" s="0" t="s">
        <v>576</v>
      </c>
      <c r="H152" s="0" t="s">
        <v>542</v>
      </c>
    </row>
    <row r="153" customFormat="false" ht="15" hidden="false" customHeight="false" outlineLevel="0" collapsed="false">
      <c r="A153" s="0" t="s">
        <v>315</v>
      </c>
      <c r="B153" s="0" t="s">
        <v>316</v>
      </c>
      <c r="C153" s="0" t="s">
        <v>29</v>
      </c>
      <c r="D153" s="0" t="n">
        <v>14130</v>
      </c>
      <c r="E153" s="0" t="s">
        <v>99</v>
      </c>
      <c r="F153" s="0" t="s">
        <v>317</v>
      </c>
      <c r="G153" s="0" t="s">
        <v>576</v>
      </c>
      <c r="H153" s="0" t="s">
        <v>542</v>
      </c>
    </row>
    <row r="154" customFormat="false" ht="15" hidden="false" customHeight="false" outlineLevel="0" collapsed="false">
      <c r="A154" s="0" t="s">
        <v>315</v>
      </c>
      <c r="B154" s="0" t="s">
        <v>316</v>
      </c>
      <c r="C154" s="0" t="s">
        <v>30</v>
      </c>
      <c r="D154" s="0" t="n">
        <v>15903</v>
      </c>
      <c r="E154" s="0" t="s">
        <v>103</v>
      </c>
      <c r="F154" s="0" t="s">
        <v>317</v>
      </c>
      <c r="G154" s="0" t="s">
        <v>577</v>
      </c>
      <c r="H154" s="0" t="s">
        <v>542</v>
      </c>
    </row>
    <row r="155" customFormat="false" ht="15" hidden="false" customHeight="false" outlineLevel="0" collapsed="false">
      <c r="A155" s="0" t="s">
        <v>315</v>
      </c>
      <c r="B155" s="0" t="s">
        <v>316</v>
      </c>
      <c r="C155" s="0" t="s">
        <v>31</v>
      </c>
      <c r="D155" s="0" t="n">
        <v>14926</v>
      </c>
      <c r="E155" s="0" t="s">
        <v>99</v>
      </c>
      <c r="F155" s="0" t="s">
        <v>317</v>
      </c>
      <c r="G155" s="0" t="s">
        <v>576</v>
      </c>
      <c r="H155" s="0" t="s">
        <v>542</v>
      </c>
    </row>
    <row r="156" customFormat="false" ht="15" hidden="false" customHeight="false" outlineLevel="0" collapsed="false">
      <c r="A156" s="0" t="s">
        <v>315</v>
      </c>
      <c r="B156" s="0" t="s">
        <v>316</v>
      </c>
      <c r="C156" s="0" t="s">
        <v>32</v>
      </c>
      <c r="D156" s="0" t="n">
        <v>16058</v>
      </c>
      <c r="E156" s="0" t="s">
        <v>99</v>
      </c>
      <c r="F156" s="0" t="s">
        <v>317</v>
      </c>
      <c r="G156" s="0" t="s">
        <v>576</v>
      </c>
      <c r="H156" s="0" t="s">
        <v>542</v>
      </c>
    </row>
    <row r="157" customFormat="false" ht="15" hidden="false" customHeight="false" outlineLevel="0" collapsed="false">
      <c r="A157" s="0" t="s">
        <v>315</v>
      </c>
      <c r="B157" s="0" t="s">
        <v>316</v>
      </c>
      <c r="C157" s="0" t="s">
        <v>33</v>
      </c>
      <c r="D157" s="0" t="n">
        <v>17190</v>
      </c>
      <c r="E157" s="0" t="s">
        <v>99</v>
      </c>
      <c r="F157" s="0" t="s">
        <v>317</v>
      </c>
      <c r="G157" s="0" t="s">
        <v>576</v>
      </c>
      <c r="H157" s="0" t="s">
        <v>542</v>
      </c>
    </row>
    <row r="158" customFormat="false" ht="15" hidden="false" customHeight="false" outlineLevel="0" collapsed="false">
      <c r="A158" s="0" t="s">
        <v>315</v>
      </c>
      <c r="B158" s="0" t="s">
        <v>316</v>
      </c>
      <c r="C158" s="0" t="s">
        <v>34</v>
      </c>
      <c r="D158" s="0" t="n">
        <v>19184</v>
      </c>
      <c r="E158" s="0" t="s">
        <v>103</v>
      </c>
      <c r="F158" s="0" t="s">
        <v>317</v>
      </c>
      <c r="G158" s="0" t="s">
        <v>578</v>
      </c>
      <c r="H158" s="0" t="s">
        <v>542</v>
      </c>
    </row>
    <row r="159" customFormat="false" ht="15" hidden="false" customHeight="false" outlineLevel="0" collapsed="false">
      <c r="A159" s="0" t="s">
        <v>315</v>
      </c>
      <c r="B159" s="0" t="s">
        <v>316</v>
      </c>
      <c r="C159" s="0" t="s">
        <v>35</v>
      </c>
      <c r="D159" s="0" t="n">
        <v>19345</v>
      </c>
      <c r="E159" s="0" t="s">
        <v>99</v>
      </c>
      <c r="F159" s="0" t="s">
        <v>317</v>
      </c>
      <c r="G159" s="0" t="s">
        <v>576</v>
      </c>
      <c r="H159" s="0" t="s">
        <v>542</v>
      </c>
    </row>
    <row r="160" customFormat="false" ht="15" hidden="false" customHeight="false" outlineLevel="0" collapsed="false">
      <c r="A160" s="0" t="s">
        <v>318</v>
      </c>
      <c r="B160" s="0" t="s">
        <v>319</v>
      </c>
      <c r="C160" s="0" t="s">
        <v>26</v>
      </c>
      <c r="D160" s="0" t="n">
        <v>7545</v>
      </c>
      <c r="E160" s="0" t="s">
        <v>99</v>
      </c>
      <c r="F160" s="0" t="s">
        <v>499</v>
      </c>
      <c r="G160" s="0" t="s">
        <v>579</v>
      </c>
      <c r="H160" s="0" t="s">
        <v>501</v>
      </c>
    </row>
    <row r="161" customFormat="false" ht="15" hidden="false" customHeight="false" outlineLevel="0" collapsed="false">
      <c r="A161" s="0" t="s">
        <v>318</v>
      </c>
      <c r="B161" s="0" t="s">
        <v>319</v>
      </c>
      <c r="C161" s="0" t="s">
        <v>30</v>
      </c>
      <c r="D161" s="0" t="n">
        <v>13450</v>
      </c>
      <c r="E161" s="0" t="s">
        <v>99</v>
      </c>
      <c r="F161" s="0" t="s">
        <v>502</v>
      </c>
      <c r="G161" s="0" t="s">
        <v>579</v>
      </c>
      <c r="H161" s="0" t="s">
        <v>503</v>
      </c>
    </row>
    <row r="162" customFormat="false" ht="15" hidden="false" customHeight="false" outlineLevel="0" collapsed="false">
      <c r="A162" s="0" t="s">
        <v>318</v>
      </c>
      <c r="B162" s="0" t="s">
        <v>319</v>
      </c>
      <c r="C162" s="0" t="s">
        <v>31</v>
      </c>
      <c r="D162" s="0" t="n">
        <v>16290</v>
      </c>
      <c r="E162" s="0" t="s">
        <v>99</v>
      </c>
      <c r="F162" s="0" t="s">
        <v>518</v>
      </c>
      <c r="G162" s="0" t="s">
        <v>579</v>
      </c>
      <c r="H162" s="0" t="s">
        <v>519</v>
      </c>
    </row>
    <row r="163" customFormat="false" ht="15" hidden="false" customHeight="false" outlineLevel="0" collapsed="false">
      <c r="A163" s="0" t="s">
        <v>318</v>
      </c>
      <c r="B163" s="0" t="s">
        <v>319</v>
      </c>
      <c r="C163" s="0" t="s">
        <v>32</v>
      </c>
      <c r="D163" s="0" t="n">
        <v>18679</v>
      </c>
      <c r="E163" s="0" t="s">
        <v>99</v>
      </c>
      <c r="F163" s="0" t="s">
        <v>520</v>
      </c>
      <c r="G163" s="0" t="s">
        <v>579</v>
      </c>
      <c r="H163" s="0" t="s">
        <v>521</v>
      </c>
    </row>
    <row r="164" customFormat="false" ht="15" hidden="false" customHeight="false" outlineLevel="0" collapsed="false">
      <c r="A164" s="0" t="s">
        <v>318</v>
      </c>
      <c r="B164" s="0" t="s">
        <v>319</v>
      </c>
      <c r="C164" s="0" t="s">
        <v>33</v>
      </c>
      <c r="D164" s="0" t="n">
        <v>21310</v>
      </c>
      <c r="E164" s="0" t="s">
        <v>99</v>
      </c>
      <c r="F164" s="0" t="s">
        <v>522</v>
      </c>
      <c r="G164" s="0" t="s">
        <v>579</v>
      </c>
      <c r="H164" s="0" t="s">
        <v>523</v>
      </c>
    </row>
    <row r="165" customFormat="false" ht="15" hidden="false" customHeight="false" outlineLevel="0" collapsed="false">
      <c r="A165" s="0" t="s">
        <v>318</v>
      </c>
      <c r="B165" s="0" t="s">
        <v>319</v>
      </c>
      <c r="C165" s="0" t="s">
        <v>34</v>
      </c>
      <c r="D165" s="0" t="n">
        <v>30190</v>
      </c>
      <c r="E165" s="0" t="s">
        <v>99</v>
      </c>
      <c r="F165" s="0" t="s">
        <v>504</v>
      </c>
      <c r="G165" s="0" t="s">
        <v>579</v>
      </c>
      <c r="H165" s="0" t="s">
        <v>505</v>
      </c>
    </row>
    <row r="166" customFormat="false" ht="15" hidden="false" customHeight="false" outlineLevel="0" collapsed="false">
      <c r="A166" s="0" t="s">
        <v>318</v>
      </c>
      <c r="B166" s="0" t="s">
        <v>319</v>
      </c>
      <c r="C166" s="0" t="s">
        <v>35</v>
      </c>
      <c r="D166" s="0" t="n">
        <v>34621</v>
      </c>
      <c r="E166" s="0" t="s">
        <v>99</v>
      </c>
      <c r="F166" s="0" t="s">
        <v>506</v>
      </c>
      <c r="G166" s="0" t="s">
        <v>579</v>
      </c>
      <c r="H166" s="0" t="s">
        <v>507</v>
      </c>
    </row>
    <row r="167" customFormat="false" ht="15" hidden="false" customHeight="false" outlineLevel="0" collapsed="false">
      <c r="A167" s="0" t="s">
        <v>321</v>
      </c>
      <c r="B167" s="0" t="s">
        <v>322</v>
      </c>
      <c r="C167" s="0" t="s">
        <v>35</v>
      </c>
      <c r="D167" s="0" t="n">
        <v>300000</v>
      </c>
      <c r="E167" s="0" t="s">
        <v>99</v>
      </c>
      <c r="F167" s="0" t="s">
        <v>323</v>
      </c>
      <c r="G167" s="0" t="s">
        <v>580</v>
      </c>
      <c r="H167" s="0" t="s">
        <v>461</v>
      </c>
    </row>
    <row r="168" customFormat="false" ht="15" hidden="false" customHeight="false" outlineLevel="0" collapsed="false">
      <c r="A168" s="0" t="s">
        <v>324</v>
      </c>
      <c r="B168" s="0" t="s">
        <v>325</v>
      </c>
      <c r="C168" s="0" t="s">
        <v>29</v>
      </c>
      <c r="D168" s="0" t="n">
        <v>48.4</v>
      </c>
      <c r="E168" s="0" t="s">
        <v>99</v>
      </c>
      <c r="F168" s="0" t="s">
        <v>516</v>
      </c>
      <c r="G168" s="0" t="s">
        <v>581</v>
      </c>
      <c r="H168" s="0" t="s">
        <v>517</v>
      </c>
    </row>
    <row r="169" customFormat="false" ht="15" hidden="false" customHeight="false" outlineLevel="0" collapsed="false">
      <c r="A169" s="0" t="s">
        <v>324</v>
      </c>
      <c r="B169" s="0" t="s">
        <v>325</v>
      </c>
      <c r="C169" s="0" t="s">
        <v>30</v>
      </c>
      <c r="D169" s="0" t="n">
        <v>43.4</v>
      </c>
      <c r="E169" s="0" t="s">
        <v>99</v>
      </c>
      <c r="F169" s="0" t="s">
        <v>502</v>
      </c>
      <c r="G169" s="0" t="s">
        <v>582</v>
      </c>
      <c r="H169" s="0" t="s">
        <v>503</v>
      </c>
    </row>
    <row r="170" customFormat="false" ht="15" hidden="false" customHeight="false" outlineLevel="0" collapsed="false">
      <c r="A170" s="0" t="s">
        <v>324</v>
      </c>
      <c r="B170" s="0" t="s">
        <v>325</v>
      </c>
      <c r="C170" s="0" t="s">
        <v>31</v>
      </c>
      <c r="D170" s="0" t="n">
        <v>99.8</v>
      </c>
      <c r="E170" s="0" t="s">
        <v>99</v>
      </c>
      <c r="F170" s="0" t="s">
        <v>518</v>
      </c>
      <c r="G170" s="0" t="s">
        <v>583</v>
      </c>
      <c r="H170" s="0" t="s">
        <v>519</v>
      </c>
    </row>
    <row r="171" customFormat="false" ht="15" hidden="false" customHeight="false" outlineLevel="0" collapsed="false">
      <c r="A171" s="0" t="s">
        <v>324</v>
      </c>
      <c r="B171" s="0" t="s">
        <v>325</v>
      </c>
      <c r="C171" s="0" t="s">
        <v>32</v>
      </c>
      <c r="D171" s="0" t="n">
        <v>248</v>
      </c>
      <c r="E171" s="0" t="s">
        <v>99</v>
      </c>
      <c r="F171" s="0" t="s">
        <v>520</v>
      </c>
      <c r="G171" s="0" t="s">
        <v>584</v>
      </c>
      <c r="H171" s="0" t="s">
        <v>521</v>
      </c>
    </row>
    <row r="172" customFormat="false" ht="15" hidden="false" customHeight="false" outlineLevel="0" collapsed="false">
      <c r="A172" s="0" t="s">
        <v>324</v>
      </c>
      <c r="B172" s="0" t="s">
        <v>325</v>
      </c>
      <c r="C172" s="0" t="s">
        <v>33</v>
      </c>
      <c r="D172" s="0" t="n">
        <v>261</v>
      </c>
      <c r="E172" s="0" t="s">
        <v>99</v>
      </c>
      <c r="F172" s="0" t="s">
        <v>522</v>
      </c>
      <c r="G172" s="0" t="s">
        <v>585</v>
      </c>
      <c r="H172" s="0" t="s">
        <v>523</v>
      </c>
    </row>
    <row r="173" customFormat="false" ht="15" hidden="false" customHeight="false" outlineLevel="0" collapsed="false">
      <c r="A173" s="0" t="s">
        <v>324</v>
      </c>
      <c r="B173" s="0" t="s">
        <v>325</v>
      </c>
      <c r="C173" s="0" t="s">
        <v>34</v>
      </c>
      <c r="D173" s="0" t="n">
        <v>260</v>
      </c>
      <c r="E173" s="0" t="s">
        <v>99</v>
      </c>
      <c r="F173" s="0" t="s">
        <v>504</v>
      </c>
      <c r="G173" s="0" t="s">
        <v>586</v>
      </c>
      <c r="H173" s="0" t="s">
        <v>505</v>
      </c>
    </row>
    <row r="174" customFormat="false" ht="15" hidden="false" customHeight="false" outlineLevel="0" collapsed="false">
      <c r="A174" s="0" t="s">
        <v>324</v>
      </c>
      <c r="B174" s="0" t="s">
        <v>325</v>
      </c>
      <c r="C174" s="0" t="s">
        <v>35</v>
      </c>
      <c r="D174" s="0" t="n">
        <v>288</v>
      </c>
      <c r="E174" s="0" t="s">
        <v>99</v>
      </c>
      <c r="F174" s="0" t="s">
        <v>506</v>
      </c>
      <c r="G174" s="0" t="s">
        <v>587</v>
      </c>
      <c r="H174" s="0" t="s">
        <v>507</v>
      </c>
    </row>
    <row r="175" customFormat="false" ht="15" hidden="false" customHeight="false" outlineLevel="0" collapsed="false">
      <c r="A175" s="0" t="s">
        <v>328</v>
      </c>
      <c r="B175" s="0" t="s">
        <v>329</v>
      </c>
      <c r="C175" s="0" t="s">
        <v>588</v>
      </c>
      <c r="D175" s="0" t="n">
        <v>100</v>
      </c>
      <c r="E175" s="0" t="s">
        <v>80</v>
      </c>
      <c r="F175" s="0" t="s">
        <v>525</v>
      </c>
      <c r="G175" s="0" t="s">
        <v>589</v>
      </c>
      <c r="H175" s="0" t="s">
        <v>527</v>
      </c>
    </row>
    <row r="176" customFormat="false" ht="15" hidden="false" customHeight="false" outlineLevel="0" collapsed="false">
      <c r="A176" s="0" t="s">
        <v>590</v>
      </c>
      <c r="B176" s="0" t="s">
        <v>591</v>
      </c>
      <c r="C176" s="0" t="s">
        <v>592</v>
      </c>
      <c r="D176" s="0" t="s">
        <v>593</v>
      </c>
      <c r="E176" s="0" t="s">
        <v>99</v>
      </c>
      <c r="F176" s="0" t="s">
        <v>499</v>
      </c>
      <c r="G176" s="0" t="s">
        <v>594</v>
      </c>
      <c r="H176" s="0" t="s">
        <v>501</v>
      </c>
    </row>
    <row r="177" customFormat="false" ht="15" hidden="false" customHeight="false" outlineLevel="0" collapsed="false">
      <c r="A177" s="0" t="s">
        <v>590</v>
      </c>
      <c r="B177" s="0" t="s">
        <v>595</v>
      </c>
      <c r="C177" s="0" t="s">
        <v>592</v>
      </c>
      <c r="D177" s="0" t="s">
        <v>596</v>
      </c>
      <c r="E177" s="0" t="s">
        <v>99</v>
      </c>
      <c r="F177" s="0" t="s">
        <v>499</v>
      </c>
      <c r="G177" s="0" t="s">
        <v>594</v>
      </c>
      <c r="H177" s="0" t="s">
        <v>501</v>
      </c>
    </row>
    <row r="178" customFormat="false" ht="15" hidden="false" customHeight="false" outlineLevel="0" collapsed="false">
      <c r="A178" s="0" t="s">
        <v>590</v>
      </c>
      <c r="B178" s="0" t="s">
        <v>597</v>
      </c>
      <c r="C178" s="0" t="s">
        <v>592</v>
      </c>
      <c r="D178" s="0" t="s">
        <v>598</v>
      </c>
      <c r="E178" s="0" t="s">
        <v>99</v>
      </c>
      <c r="F178" s="0" t="s">
        <v>499</v>
      </c>
      <c r="G178" s="0" t="s">
        <v>594</v>
      </c>
      <c r="H178" s="0" t="s">
        <v>501</v>
      </c>
    </row>
    <row r="179" customFormat="false" ht="15" hidden="false" customHeight="false" outlineLevel="0" collapsed="false">
      <c r="A179" s="0" t="s">
        <v>590</v>
      </c>
      <c r="B179" s="0" t="s">
        <v>599</v>
      </c>
      <c r="C179" s="0" t="s">
        <v>592</v>
      </c>
      <c r="D179" s="0" t="s">
        <v>600</v>
      </c>
      <c r="E179" s="0" t="s">
        <v>99</v>
      </c>
      <c r="F179" s="0" t="s">
        <v>499</v>
      </c>
      <c r="G179" s="0" t="s">
        <v>594</v>
      </c>
      <c r="H179" s="0" t="s">
        <v>501</v>
      </c>
    </row>
    <row r="180" customFormat="false" ht="15" hidden="false" customHeight="false" outlineLevel="0" collapsed="false">
      <c r="A180" s="0" t="s">
        <v>590</v>
      </c>
      <c r="B180" s="0" t="s">
        <v>601</v>
      </c>
      <c r="C180" s="0" t="s">
        <v>592</v>
      </c>
      <c r="D180" s="0" t="s">
        <v>602</v>
      </c>
      <c r="E180" s="0" t="s">
        <v>99</v>
      </c>
      <c r="F180" s="0" t="s">
        <v>499</v>
      </c>
      <c r="G180" s="0" t="s">
        <v>594</v>
      </c>
      <c r="H180" s="0" t="s">
        <v>501</v>
      </c>
    </row>
    <row r="181" customFormat="false" ht="15" hidden="false" customHeight="false" outlineLevel="0" collapsed="false">
      <c r="A181" s="0" t="s">
        <v>590</v>
      </c>
      <c r="B181" s="0" t="s">
        <v>601</v>
      </c>
      <c r="C181" s="0" t="s">
        <v>603</v>
      </c>
      <c r="D181" s="0" t="s">
        <v>604</v>
      </c>
      <c r="E181" s="0" t="s">
        <v>99</v>
      </c>
      <c r="F181" s="0" t="s">
        <v>502</v>
      </c>
      <c r="G181" s="0" t="s">
        <v>594</v>
      </c>
      <c r="H181" s="0" t="s">
        <v>503</v>
      </c>
    </row>
    <row r="182" customFormat="false" ht="15" hidden="false" customHeight="false" outlineLevel="0" collapsed="false">
      <c r="A182" s="0" t="s">
        <v>590</v>
      </c>
      <c r="B182" s="0" t="s">
        <v>605</v>
      </c>
      <c r="C182" s="0" t="s">
        <v>592</v>
      </c>
      <c r="D182" s="0" t="s">
        <v>606</v>
      </c>
      <c r="E182" s="0" t="s">
        <v>99</v>
      </c>
      <c r="F182" s="0" t="s">
        <v>499</v>
      </c>
      <c r="G182" s="0" t="s">
        <v>594</v>
      </c>
      <c r="H182" s="0" t="s">
        <v>501</v>
      </c>
    </row>
    <row r="183" customFormat="false" ht="15" hidden="false" customHeight="false" outlineLevel="0" collapsed="false">
      <c r="A183" s="0" t="s">
        <v>590</v>
      </c>
      <c r="B183" s="0" t="s">
        <v>605</v>
      </c>
      <c r="C183" s="0" t="s">
        <v>603</v>
      </c>
      <c r="D183" s="0" t="s">
        <v>606</v>
      </c>
      <c r="E183" s="0" t="s">
        <v>99</v>
      </c>
      <c r="F183" s="0" t="s">
        <v>502</v>
      </c>
      <c r="G183" s="0" t="s">
        <v>594</v>
      </c>
      <c r="H183" s="0" t="s">
        <v>503</v>
      </c>
    </row>
    <row r="184" customFormat="false" ht="15" hidden="false" customHeight="false" outlineLevel="0" collapsed="false">
      <c r="A184" s="0" t="s">
        <v>590</v>
      </c>
      <c r="B184" s="0" t="s">
        <v>607</v>
      </c>
      <c r="C184" s="0" t="s">
        <v>592</v>
      </c>
      <c r="D184" s="0" t="s">
        <v>608</v>
      </c>
      <c r="E184" s="0" t="s">
        <v>99</v>
      </c>
      <c r="F184" s="0" t="s">
        <v>499</v>
      </c>
      <c r="G184" s="0" t="s">
        <v>594</v>
      </c>
      <c r="H184" s="0" t="s">
        <v>501</v>
      </c>
    </row>
    <row r="185" customFormat="false" ht="15" hidden="false" customHeight="false" outlineLevel="0" collapsed="false">
      <c r="A185" s="0" t="s">
        <v>590</v>
      </c>
      <c r="B185" s="0" t="s">
        <v>607</v>
      </c>
      <c r="C185" s="0" t="s">
        <v>603</v>
      </c>
      <c r="D185" s="0" t="s">
        <v>608</v>
      </c>
      <c r="E185" s="0" t="s">
        <v>99</v>
      </c>
      <c r="F185" s="0" t="s">
        <v>502</v>
      </c>
      <c r="G185" s="0" t="s">
        <v>594</v>
      </c>
      <c r="H185" s="0" t="s">
        <v>503</v>
      </c>
    </row>
    <row r="186" customFormat="false" ht="15" hidden="false" customHeight="false" outlineLevel="0" collapsed="false">
      <c r="A186" s="0" t="s">
        <v>590</v>
      </c>
      <c r="B186" s="0" t="s">
        <v>609</v>
      </c>
      <c r="C186" s="0" t="s">
        <v>592</v>
      </c>
      <c r="D186" s="0" t="s">
        <v>610</v>
      </c>
      <c r="E186" s="0" t="s">
        <v>99</v>
      </c>
      <c r="F186" s="0" t="s">
        <v>499</v>
      </c>
      <c r="G186" s="0" t="s">
        <v>594</v>
      </c>
      <c r="H186" s="0" t="s">
        <v>501</v>
      </c>
    </row>
    <row r="187" customFormat="false" ht="15" hidden="false" customHeight="false" outlineLevel="0" collapsed="false">
      <c r="A187" s="0" t="s">
        <v>590</v>
      </c>
      <c r="B187" s="0" t="s">
        <v>609</v>
      </c>
      <c r="C187" s="0" t="s">
        <v>603</v>
      </c>
      <c r="D187" s="0" t="s">
        <v>610</v>
      </c>
      <c r="E187" s="0" t="s">
        <v>99</v>
      </c>
      <c r="F187" s="0" t="s">
        <v>502</v>
      </c>
      <c r="G187" s="0" t="s">
        <v>594</v>
      </c>
      <c r="H187" s="0" t="s">
        <v>503</v>
      </c>
    </row>
    <row r="188" customFormat="false" ht="15" hidden="false" customHeight="false" outlineLevel="0" collapsed="false">
      <c r="A188" s="0" t="s">
        <v>590</v>
      </c>
      <c r="B188" s="0" t="s">
        <v>609</v>
      </c>
      <c r="C188" s="0" t="s">
        <v>611</v>
      </c>
      <c r="D188" s="0" t="s">
        <v>610</v>
      </c>
      <c r="E188" s="0" t="s">
        <v>99</v>
      </c>
      <c r="F188" s="0" t="s">
        <v>504</v>
      </c>
      <c r="G188" s="0" t="s">
        <v>594</v>
      </c>
      <c r="H188" s="0" t="s">
        <v>505</v>
      </c>
    </row>
    <row r="189" customFormat="false" ht="15" hidden="false" customHeight="false" outlineLevel="0" collapsed="false">
      <c r="A189" s="0" t="s">
        <v>590</v>
      </c>
      <c r="B189" s="0" t="s">
        <v>612</v>
      </c>
      <c r="C189" s="0" t="s">
        <v>592</v>
      </c>
      <c r="D189" s="0" t="s">
        <v>613</v>
      </c>
      <c r="E189" s="0" t="s">
        <v>99</v>
      </c>
      <c r="F189" s="0" t="s">
        <v>499</v>
      </c>
      <c r="G189" s="0" t="s">
        <v>594</v>
      </c>
      <c r="H189" s="0" t="s">
        <v>501</v>
      </c>
    </row>
    <row r="190" customFormat="false" ht="15" hidden="false" customHeight="false" outlineLevel="0" collapsed="false">
      <c r="A190" s="0" t="s">
        <v>590</v>
      </c>
      <c r="B190" s="0" t="s">
        <v>612</v>
      </c>
      <c r="C190" s="0" t="s">
        <v>603</v>
      </c>
      <c r="D190" s="0" t="s">
        <v>613</v>
      </c>
      <c r="E190" s="0" t="s">
        <v>99</v>
      </c>
      <c r="F190" s="0" t="s">
        <v>502</v>
      </c>
      <c r="G190" s="0" t="s">
        <v>594</v>
      </c>
      <c r="H190" s="0" t="s">
        <v>503</v>
      </c>
    </row>
    <row r="191" customFormat="false" ht="15" hidden="false" customHeight="false" outlineLevel="0" collapsed="false">
      <c r="A191" s="0" t="s">
        <v>590</v>
      </c>
      <c r="B191" s="0" t="s">
        <v>612</v>
      </c>
      <c r="C191" s="0" t="s">
        <v>611</v>
      </c>
      <c r="D191" s="0" t="s">
        <v>613</v>
      </c>
      <c r="E191" s="0" t="s">
        <v>99</v>
      </c>
      <c r="F191" s="0" t="s">
        <v>504</v>
      </c>
      <c r="G191" s="0" t="s">
        <v>594</v>
      </c>
      <c r="H191" s="0" t="s">
        <v>505</v>
      </c>
    </row>
    <row r="192" customFormat="false" ht="15" hidden="false" customHeight="false" outlineLevel="0" collapsed="false">
      <c r="A192" s="0" t="s">
        <v>590</v>
      </c>
      <c r="B192" s="0" t="s">
        <v>614</v>
      </c>
      <c r="C192" s="0" t="s">
        <v>592</v>
      </c>
      <c r="D192" s="0" t="s">
        <v>615</v>
      </c>
      <c r="E192" s="0" t="s">
        <v>99</v>
      </c>
      <c r="F192" s="0" t="s">
        <v>499</v>
      </c>
      <c r="G192" s="0" t="s">
        <v>594</v>
      </c>
      <c r="H192" s="0" t="s">
        <v>501</v>
      </c>
    </row>
    <row r="193" customFormat="false" ht="15" hidden="false" customHeight="false" outlineLevel="0" collapsed="false">
      <c r="A193" s="0" t="s">
        <v>590</v>
      </c>
      <c r="B193" s="0" t="s">
        <v>614</v>
      </c>
      <c r="C193" s="0" t="s">
        <v>603</v>
      </c>
      <c r="D193" s="0" t="s">
        <v>615</v>
      </c>
      <c r="E193" s="0" t="s">
        <v>99</v>
      </c>
      <c r="F193" s="0" t="s">
        <v>502</v>
      </c>
      <c r="G193" s="0" t="s">
        <v>594</v>
      </c>
      <c r="H193" s="0" t="s">
        <v>503</v>
      </c>
    </row>
    <row r="194" customFormat="false" ht="15" hidden="false" customHeight="false" outlineLevel="0" collapsed="false">
      <c r="A194" s="0" t="s">
        <v>590</v>
      </c>
      <c r="B194" s="0" t="s">
        <v>614</v>
      </c>
      <c r="C194" s="0" t="s">
        <v>611</v>
      </c>
      <c r="D194" s="0" t="s">
        <v>615</v>
      </c>
      <c r="E194" s="0" t="s">
        <v>99</v>
      </c>
      <c r="F194" s="0" t="s">
        <v>504</v>
      </c>
      <c r="G194" s="0" t="s">
        <v>594</v>
      </c>
      <c r="H194" s="0" t="s">
        <v>505</v>
      </c>
    </row>
    <row r="195" customFormat="false" ht="15" hidden="false" customHeight="false" outlineLevel="0" collapsed="false">
      <c r="A195" s="0" t="s">
        <v>590</v>
      </c>
      <c r="B195" s="0" t="s">
        <v>616</v>
      </c>
      <c r="C195" s="0" t="s">
        <v>592</v>
      </c>
      <c r="D195" s="0" t="s">
        <v>617</v>
      </c>
      <c r="E195" s="0" t="s">
        <v>99</v>
      </c>
      <c r="F195" s="0" t="s">
        <v>499</v>
      </c>
      <c r="G195" s="0" t="s">
        <v>594</v>
      </c>
      <c r="H195" s="0" t="s">
        <v>501</v>
      </c>
    </row>
    <row r="196" customFormat="false" ht="15" hidden="false" customHeight="false" outlineLevel="0" collapsed="false">
      <c r="A196" s="0" t="s">
        <v>590</v>
      </c>
      <c r="B196" s="0" t="s">
        <v>616</v>
      </c>
      <c r="C196" s="0" t="s">
        <v>603</v>
      </c>
      <c r="D196" s="0" t="s">
        <v>617</v>
      </c>
      <c r="E196" s="0" t="s">
        <v>99</v>
      </c>
      <c r="F196" s="0" t="s">
        <v>502</v>
      </c>
      <c r="G196" s="0" t="s">
        <v>594</v>
      </c>
      <c r="H196" s="0" t="s">
        <v>503</v>
      </c>
    </row>
    <row r="197" customFormat="false" ht="15" hidden="false" customHeight="false" outlineLevel="0" collapsed="false">
      <c r="A197" s="0" t="s">
        <v>590</v>
      </c>
      <c r="B197" s="0" t="s">
        <v>616</v>
      </c>
      <c r="C197" s="0" t="s">
        <v>611</v>
      </c>
      <c r="D197" s="0" t="s">
        <v>617</v>
      </c>
      <c r="E197" s="0" t="s">
        <v>99</v>
      </c>
      <c r="F197" s="0" t="s">
        <v>504</v>
      </c>
      <c r="G197" s="0" t="s">
        <v>594</v>
      </c>
      <c r="H197" s="0" t="s">
        <v>505</v>
      </c>
    </row>
    <row r="198" customFormat="false" ht="15" hidden="false" customHeight="false" outlineLevel="0" collapsed="false">
      <c r="A198" s="0" t="s">
        <v>590</v>
      </c>
      <c r="B198" s="0" t="s">
        <v>618</v>
      </c>
      <c r="C198" s="0" t="s">
        <v>592</v>
      </c>
      <c r="D198" s="0" t="s">
        <v>619</v>
      </c>
      <c r="E198" s="0" t="s">
        <v>99</v>
      </c>
      <c r="F198" s="0" t="s">
        <v>499</v>
      </c>
      <c r="G198" s="0" t="s">
        <v>594</v>
      </c>
      <c r="H198" s="0" t="s">
        <v>501</v>
      </c>
    </row>
    <row r="199" customFormat="false" ht="15" hidden="false" customHeight="false" outlineLevel="0" collapsed="false">
      <c r="A199" s="0" t="s">
        <v>590</v>
      </c>
      <c r="B199" s="0" t="s">
        <v>618</v>
      </c>
      <c r="C199" s="0" t="s">
        <v>603</v>
      </c>
      <c r="D199" s="0" t="s">
        <v>619</v>
      </c>
      <c r="E199" s="0" t="s">
        <v>99</v>
      </c>
      <c r="F199" s="0" t="s">
        <v>502</v>
      </c>
      <c r="G199" s="0" t="s">
        <v>594</v>
      </c>
      <c r="H199" s="0" t="s">
        <v>503</v>
      </c>
    </row>
    <row r="200" customFormat="false" ht="15" hidden="false" customHeight="false" outlineLevel="0" collapsed="false">
      <c r="A200" s="0" t="s">
        <v>590</v>
      </c>
      <c r="B200" s="0" t="s">
        <v>618</v>
      </c>
      <c r="C200" s="0" t="s">
        <v>611</v>
      </c>
      <c r="D200" s="0" t="s">
        <v>619</v>
      </c>
      <c r="E200" s="0" t="s">
        <v>99</v>
      </c>
      <c r="F200" s="0" t="s">
        <v>504</v>
      </c>
      <c r="G200" s="0" t="s">
        <v>594</v>
      </c>
      <c r="H200" s="0" t="s">
        <v>505</v>
      </c>
    </row>
    <row r="201" customFormat="false" ht="15" hidden="false" customHeight="false" outlineLevel="0" collapsed="false">
      <c r="A201" s="0" t="s">
        <v>590</v>
      </c>
      <c r="B201" s="0" t="s">
        <v>620</v>
      </c>
      <c r="C201" s="0" t="s">
        <v>592</v>
      </c>
      <c r="D201" s="0" t="s">
        <v>621</v>
      </c>
      <c r="E201" s="0" t="s">
        <v>99</v>
      </c>
      <c r="F201" s="0" t="s">
        <v>499</v>
      </c>
      <c r="G201" s="0" t="s">
        <v>594</v>
      </c>
      <c r="H201" s="0" t="s">
        <v>501</v>
      </c>
    </row>
    <row r="202" customFormat="false" ht="15" hidden="false" customHeight="false" outlineLevel="0" collapsed="false">
      <c r="A202" s="0" t="s">
        <v>590</v>
      </c>
      <c r="B202" s="0" t="s">
        <v>620</v>
      </c>
      <c r="C202" s="0" t="s">
        <v>603</v>
      </c>
      <c r="D202" s="0" t="s">
        <v>621</v>
      </c>
      <c r="E202" s="0" t="s">
        <v>99</v>
      </c>
      <c r="F202" s="0" t="s">
        <v>502</v>
      </c>
      <c r="G202" s="0" t="s">
        <v>594</v>
      </c>
      <c r="H202" s="0" t="s">
        <v>503</v>
      </c>
    </row>
    <row r="203" customFormat="false" ht="15" hidden="false" customHeight="false" outlineLevel="0" collapsed="false">
      <c r="A203" s="0" t="s">
        <v>590</v>
      </c>
      <c r="B203" s="0" t="s">
        <v>620</v>
      </c>
      <c r="C203" s="0" t="s">
        <v>611</v>
      </c>
      <c r="D203" s="0" t="s">
        <v>621</v>
      </c>
      <c r="E203" s="0" t="s">
        <v>99</v>
      </c>
      <c r="F203" s="0" t="s">
        <v>504</v>
      </c>
      <c r="G203" s="0" t="s">
        <v>594</v>
      </c>
      <c r="H203" s="0" t="s">
        <v>505</v>
      </c>
    </row>
    <row r="204" customFormat="false" ht="15" hidden="false" customHeight="false" outlineLevel="0" collapsed="false">
      <c r="A204" s="0" t="s">
        <v>590</v>
      </c>
      <c r="B204" s="0" t="s">
        <v>622</v>
      </c>
      <c r="C204" s="0" t="s">
        <v>592</v>
      </c>
      <c r="D204" s="0" t="s">
        <v>623</v>
      </c>
      <c r="E204" s="0" t="s">
        <v>99</v>
      </c>
      <c r="F204" s="0" t="s">
        <v>499</v>
      </c>
      <c r="G204" s="0" t="s">
        <v>594</v>
      </c>
      <c r="H204" s="0" t="s">
        <v>501</v>
      </c>
    </row>
    <row r="205" customFormat="false" ht="15" hidden="false" customHeight="false" outlineLevel="0" collapsed="false">
      <c r="A205" s="0" t="s">
        <v>590</v>
      </c>
      <c r="B205" s="0" t="s">
        <v>622</v>
      </c>
      <c r="C205" s="0" t="s">
        <v>603</v>
      </c>
      <c r="D205" s="0" t="s">
        <v>623</v>
      </c>
      <c r="E205" s="0" t="s">
        <v>99</v>
      </c>
      <c r="F205" s="0" t="s">
        <v>502</v>
      </c>
      <c r="G205" s="0" t="s">
        <v>594</v>
      </c>
      <c r="H205" s="0" t="s">
        <v>503</v>
      </c>
    </row>
    <row r="206" customFormat="false" ht="15" hidden="false" customHeight="false" outlineLevel="0" collapsed="false">
      <c r="A206" s="0" t="s">
        <v>590</v>
      </c>
      <c r="B206" s="0" t="s">
        <v>622</v>
      </c>
      <c r="C206" s="0" t="s">
        <v>611</v>
      </c>
      <c r="D206" s="0" t="s">
        <v>623</v>
      </c>
      <c r="E206" s="0" t="s">
        <v>99</v>
      </c>
      <c r="F206" s="0" t="s">
        <v>504</v>
      </c>
      <c r="G206" s="0" t="s">
        <v>594</v>
      </c>
      <c r="H206" s="0" t="s">
        <v>505</v>
      </c>
    </row>
    <row r="207" customFormat="false" ht="15" hidden="false" customHeight="false" outlineLevel="0" collapsed="false">
      <c r="A207" s="0" t="s">
        <v>590</v>
      </c>
      <c r="B207" s="0" t="s">
        <v>624</v>
      </c>
      <c r="C207" s="0" t="s">
        <v>592</v>
      </c>
      <c r="D207" s="0" t="s">
        <v>625</v>
      </c>
      <c r="E207" s="0" t="s">
        <v>99</v>
      </c>
      <c r="F207" s="0" t="s">
        <v>499</v>
      </c>
      <c r="G207" s="0" t="s">
        <v>594</v>
      </c>
      <c r="H207" s="0" t="s">
        <v>501</v>
      </c>
    </row>
    <row r="208" customFormat="false" ht="15" hidden="false" customHeight="false" outlineLevel="0" collapsed="false">
      <c r="A208" s="0" t="s">
        <v>590</v>
      </c>
      <c r="B208" s="0" t="s">
        <v>624</v>
      </c>
      <c r="C208" s="0" t="s">
        <v>603</v>
      </c>
      <c r="D208" s="0" t="s">
        <v>625</v>
      </c>
      <c r="E208" s="0" t="s">
        <v>99</v>
      </c>
      <c r="F208" s="0" t="s">
        <v>502</v>
      </c>
      <c r="G208" s="0" t="s">
        <v>594</v>
      </c>
      <c r="H208" s="0" t="s">
        <v>503</v>
      </c>
    </row>
    <row r="209" customFormat="false" ht="15" hidden="false" customHeight="false" outlineLevel="0" collapsed="false">
      <c r="A209" s="0" t="s">
        <v>590</v>
      </c>
      <c r="B209" s="0" t="s">
        <v>624</v>
      </c>
      <c r="C209" s="0" t="s">
        <v>611</v>
      </c>
      <c r="D209" s="0" t="s">
        <v>625</v>
      </c>
      <c r="E209" s="0" t="s">
        <v>99</v>
      </c>
      <c r="F209" s="0" t="s">
        <v>504</v>
      </c>
      <c r="G209" s="0" t="s">
        <v>594</v>
      </c>
      <c r="H209" s="0" t="s">
        <v>505</v>
      </c>
    </row>
    <row r="210" customFormat="false" ht="15" hidden="false" customHeight="false" outlineLevel="0" collapsed="false">
      <c r="A210" s="0" t="s">
        <v>590</v>
      </c>
      <c r="B210" s="0" t="s">
        <v>626</v>
      </c>
      <c r="C210" s="0" t="s">
        <v>592</v>
      </c>
      <c r="D210" s="0" t="s">
        <v>627</v>
      </c>
      <c r="E210" s="0" t="s">
        <v>99</v>
      </c>
      <c r="F210" s="0" t="s">
        <v>499</v>
      </c>
      <c r="G210" s="0" t="s">
        <v>594</v>
      </c>
      <c r="H210" s="0" t="s">
        <v>501</v>
      </c>
    </row>
    <row r="211" customFormat="false" ht="15" hidden="false" customHeight="false" outlineLevel="0" collapsed="false">
      <c r="A211" s="0" t="s">
        <v>590</v>
      </c>
      <c r="B211" s="0" t="s">
        <v>626</v>
      </c>
      <c r="C211" s="0" t="s">
        <v>603</v>
      </c>
      <c r="D211" s="0" t="s">
        <v>627</v>
      </c>
      <c r="E211" s="0" t="s">
        <v>99</v>
      </c>
      <c r="F211" s="0" t="s">
        <v>502</v>
      </c>
      <c r="G211" s="0" t="s">
        <v>594</v>
      </c>
      <c r="H211" s="0" t="s">
        <v>503</v>
      </c>
    </row>
    <row r="212" customFormat="false" ht="15" hidden="false" customHeight="false" outlineLevel="0" collapsed="false">
      <c r="A212" s="0" t="s">
        <v>590</v>
      </c>
      <c r="B212" s="0" t="s">
        <v>626</v>
      </c>
      <c r="C212" s="0" t="s">
        <v>611</v>
      </c>
      <c r="D212" s="0" t="s">
        <v>627</v>
      </c>
      <c r="E212" s="0" t="s">
        <v>99</v>
      </c>
      <c r="F212" s="0" t="s">
        <v>504</v>
      </c>
      <c r="G212" s="0" t="s">
        <v>594</v>
      </c>
      <c r="H212" s="0" t="s">
        <v>505</v>
      </c>
    </row>
    <row r="213" customFormat="false" ht="15" hidden="false" customHeight="false" outlineLevel="0" collapsed="false">
      <c r="A213" s="0" t="s">
        <v>590</v>
      </c>
      <c r="B213" s="0" t="s">
        <v>628</v>
      </c>
      <c r="C213" s="0" t="s">
        <v>592</v>
      </c>
      <c r="D213" s="0" t="s">
        <v>629</v>
      </c>
      <c r="E213" s="0" t="s">
        <v>99</v>
      </c>
      <c r="F213" s="0" t="s">
        <v>499</v>
      </c>
      <c r="G213" s="0" t="s">
        <v>594</v>
      </c>
      <c r="H213" s="0" t="s">
        <v>501</v>
      </c>
    </row>
    <row r="214" customFormat="false" ht="15" hidden="false" customHeight="false" outlineLevel="0" collapsed="false">
      <c r="A214" s="0" t="s">
        <v>590</v>
      </c>
      <c r="B214" s="0" t="s">
        <v>628</v>
      </c>
      <c r="C214" s="0" t="s">
        <v>603</v>
      </c>
      <c r="D214" s="0" t="s">
        <v>629</v>
      </c>
      <c r="E214" s="0" t="s">
        <v>99</v>
      </c>
      <c r="F214" s="0" t="s">
        <v>502</v>
      </c>
      <c r="G214" s="0" t="s">
        <v>594</v>
      </c>
      <c r="H214" s="0" t="s">
        <v>503</v>
      </c>
    </row>
    <row r="215" customFormat="false" ht="15" hidden="false" customHeight="false" outlineLevel="0" collapsed="false">
      <c r="A215" s="0" t="s">
        <v>590</v>
      </c>
      <c r="B215" s="0" t="s">
        <v>628</v>
      </c>
      <c r="C215" s="0" t="s">
        <v>611</v>
      </c>
      <c r="D215" s="0" t="s">
        <v>629</v>
      </c>
      <c r="E215" s="0" t="s">
        <v>99</v>
      </c>
      <c r="F215" s="0" t="s">
        <v>504</v>
      </c>
      <c r="G215" s="0" t="s">
        <v>594</v>
      </c>
      <c r="H215" s="0" t="s">
        <v>505</v>
      </c>
    </row>
    <row r="216" customFormat="false" ht="15" hidden="false" customHeight="false" outlineLevel="0" collapsed="false">
      <c r="A216" s="0" t="s">
        <v>590</v>
      </c>
      <c r="B216" s="0" t="s">
        <v>630</v>
      </c>
      <c r="C216" s="0" t="s">
        <v>592</v>
      </c>
      <c r="D216" s="0" t="s">
        <v>631</v>
      </c>
      <c r="E216" s="0" t="s">
        <v>99</v>
      </c>
      <c r="F216" s="0" t="s">
        <v>499</v>
      </c>
      <c r="G216" s="0" t="s">
        <v>594</v>
      </c>
      <c r="H216" s="0" t="s">
        <v>501</v>
      </c>
    </row>
    <row r="217" customFormat="false" ht="15" hidden="false" customHeight="false" outlineLevel="0" collapsed="false">
      <c r="A217" s="0" t="s">
        <v>590</v>
      </c>
      <c r="B217" s="0" t="s">
        <v>630</v>
      </c>
      <c r="C217" s="0" t="s">
        <v>603</v>
      </c>
      <c r="D217" s="0" t="s">
        <v>631</v>
      </c>
      <c r="E217" s="0" t="s">
        <v>99</v>
      </c>
      <c r="F217" s="0" t="s">
        <v>502</v>
      </c>
      <c r="G217" s="0" t="s">
        <v>594</v>
      </c>
      <c r="H217" s="0" t="s">
        <v>503</v>
      </c>
    </row>
    <row r="218" customFormat="false" ht="15" hidden="false" customHeight="false" outlineLevel="0" collapsed="false">
      <c r="A218" s="0" t="s">
        <v>590</v>
      </c>
      <c r="B218" s="0" t="s">
        <v>630</v>
      </c>
      <c r="C218" s="0" t="s">
        <v>611</v>
      </c>
      <c r="D218" s="0" t="s">
        <v>631</v>
      </c>
      <c r="E218" s="0" t="s">
        <v>99</v>
      </c>
      <c r="F218" s="0" t="s">
        <v>504</v>
      </c>
      <c r="G218" s="0" t="s">
        <v>594</v>
      </c>
      <c r="H218" s="0" t="s">
        <v>505</v>
      </c>
    </row>
    <row r="219" customFormat="false" ht="15" hidden="false" customHeight="false" outlineLevel="0" collapsed="false">
      <c r="A219" s="0" t="s">
        <v>590</v>
      </c>
      <c r="B219" s="0" t="s">
        <v>632</v>
      </c>
      <c r="C219" s="0" t="s">
        <v>592</v>
      </c>
      <c r="D219" s="0" t="s">
        <v>633</v>
      </c>
      <c r="E219" s="0" t="s">
        <v>99</v>
      </c>
      <c r="F219" s="0" t="s">
        <v>499</v>
      </c>
      <c r="G219" s="0" t="s">
        <v>594</v>
      </c>
      <c r="H219" s="0" t="s">
        <v>501</v>
      </c>
    </row>
    <row r="220" customFormat="false" ht="15" hidden="false" customHeight="false" outlineLevel="0" collapsed="false">
      <c r="A220" s="0" t="s">
        <v>590</v>
      </c>
      <c r="B220" s="0" t="s">
        <v>632</v>
      </c>
      <c r="C220" s="0" t="s">
        <v>603</v>
      </c>
      <c r="D220" s="0" t="s">
        <v>633</v>
      </c>
      <c r="E220" s="0" t="s">
        <v>99</v>
      </c>
      <c r="F220" s="0" t="s">
        <v>502</v>
      </c>
      <c r="G220" s="0" t="s">
        <v>594</v>
      </c>
      <c r="H220" s="0" t="s">
        <v>503</v>
      </c>
    </row>
    <row r="221" customFormat="false" ht="15" hidden="false" customHeight="false" outlineLevel="0" collapsed="false">
      <c r="A221" s="0" t="s">
        <v>590</v>
      </c>
      <c r="B221" s="0" t="s">
        <v>632</v>
      </c>
      <c r="C221" s="0" t="s">
        <v>611</v>
      </c>
      <c r="D221" s="0" t="s">
        <v>633</v>
      </c>
      <c r="E221" s="0" t="s">
        <v>99</v>
      </c>
      <c r="F221" s="0" t="s">
        <v>504</v>
      </c>
      <c r="G221" s="0" t="s">
        <v>594</v>
      </c>
      <c r="H221" s="0" t="s">
        <v>505</v>
      </c>
    </row>
    <row r="222" customFormat="false" ht="15" hidden="false" customHeight="false" outlineLevel="0" collapsed="false">
      <c r="A222" s="0" t="s">
        <v>590</v>
      </c>
      <c r="B222" s="0" t="s">
        <v>634</v>
      </c>
      <c r="C222" s="0" t="s">
        <v>592</v>
      </c>
      <c r="D222" s="0" t="s">
        <v>635</v>
      </c>
      <c r="E222" s="0" t="s">
        <v>99</v>
      </c>
      <c r="F222" s="0" t="s">
        <v>499</v>
      </c>
      <c r="G222" s="0" t="s">
        <v>594</v>
      </c>
      <c r="H222" s="0" t="s">
        <v>501</v>
      </c>
    </row>
    <row r="223" customFormat="false" ht="15" hidden="false" customHeight="false" outlineLevel="0" collapsed="false">
      <c r="A223" s="0" t="s">
        <v>590</v>
      </c>
      <c r="B223" s="0" t="s">
        <v>634</v>
      </c>
      <c r="C223" s="0" t="s">
        <v>603</v>
      </c>
      <c r="D223" s="0" t="s">
        <v>635</v>
      </c>
      <c r="E223" s="0" t="s">
        <v>99</v>
      </c>
      <c r="F223" s="0" t="s">
        <v>502</v>
      </c>
      <c r="G223" s="0" t="s">
        <v>594</v>
      </c>
      <c r="H223" s="0" t="s">
        <v>503</v>
      </c>
    </row>
    <row r="224" customFormat="false" ht="15" hidden="false" customHeight="false" outlineLevel="0" collapsed="false">
      <c r="A224" s="0" t="s">
        <v>590</v>
      </c>
      <c r="B224" s="0" t="s">
        <v>634</v>
      </c>
      <c r="C224" s="0" t="s">
        <v>611</v>
      </c>
      <c r="D224" s="0" t="s">
        <v>635</v>
      </c>
      <c r="E224" s="0" t="s">
        <v>99</v>
      </c>
      <c r="F224" s="0" t="s">
        <v>504</v>
      </c>
      <c r="G224" s="0" t="s">
        <v>594</v>
      </c>
      <c r="H224" s="0" t="s">
        <v>505</v>
      </c>
    </row>
    <row r="225" customFormat="false" ht="15" hidden="false" customHeight="false" outlineLevel="0" collapsed="false">
      <c r="A225" s="0" t="s">
        <v>590</v>
      </c>
      <c r="B225" s="0" t="s">
        <v>636</v>
      </c>
      <c r="C225" s="0" t="s">
        <v>592</v>
      </c>
      <c r="D225" s="0" t="s">
        <v>637</v>
      </c>
      <c r="E225" s="0" t="s">
        <v>99</v>
      </c>
      <c r="F225" s="0" t="s">
        <v>499</v>
      </c>
      <c r="G225" s="0" t="s">
        <v>594</v>
      </c>
      <c r="H225" s="0" t="s">
        <v>501</v>
      </c>
    </row>
    <row r="226" customFormat="false" ht="15" hidden="false" customHeight="false" outlineLevel="0" collapsed="false">
      <c r="A226" s="0" t="s">
        <v>590</v>
      </c>
      <c r="B226" s="0" t="s">
        <v>636</v>
      </c>
      <c r="C226" s="0" t="s">
        <v>603</v>
      </c>
      <c r="D226" s="0" t="s">
        <v>637</v>
      </c>
      <c r="E226" s="0" t="s">
        <v>99</v>
      </c>
      <c r="F226" s="0" t="s">
        <v>502</v>
      </c>
      <c r="G226" s="0" t="s">
        <v>594</v>
      </c>
      <c r="H226" s="0" t="s">
        <v>503</v>
      </c>
    </row>
    <row r="227" customFormat="false" ht="15" hidden="false" customHeight="false" outlineLevel="0" collapsed="false">
      <c r="A227" s="0" t="s">
        <v>590</v>
      </c>
      <c r="B227" s="0" t="s">
        <v>636</v>
      </c>
      <c r="C227" s="0" t="s">
        <v>611</v>
      </c>
      <c r="D227" s="0" t="s">
        <v>637</v>
      </c>
      <c r="E227" s="0" t="s">
        <v>99</v>
      </c>
      <c r="F227" s="0" t="s">
        <v>504</v>
      </c>
      <c r="G227" s="0" t="s">
        <v>594</v>
      </c>
      <c r="H227" s="0" t="s">
        <v>505</v>
      </c>
    </row>
    <row r="228" customFormat="false" ht="15" hidden="false" customHeight="false" outlineLevel="0" collapsed="false">
      <c r="A228" s="0" t="s">
        <v>590</v>
      </c>
      <c r="B228" s="0" t="s">
        <v>638</v>
      </c>
      <c r="C228" s="0" t="s">
        <v>592</v>
      </c>
      <c r="D228" s="0" t="s">
        <v>639</v>
      </c>
      <c r="E228" s="0" t="s">
        <v>99</v>
      </c>
      <c r="F228" s="0" t="s">
        <v>499</v>
      </c>
      <c r="G228" s="0" t="s">
        <v>594</v>
      </c>
      <c r="H228" s="0" t="s">
        <v>501</v>
      </c>
    </row>
    <row r="229" customFormat="false" ht="15" hidden="false" customHeight="false" outlineLevel="0" collapsed="false">
      <c r="A229" s="0" t="s">
        <v>590</v>
      </c>
      <c r="B229" s="0" t="s">
        <v>638</v>
      </c>
      <c r="C229" s="0" t="s">
        <v>603</v>
      </c>
      <c r="D229" s="0" t="s">
        <v>639</v>
      </c>
      <c r="E229" s="0" t="s">
        <v>99</v>
      </c>
      <c r="F229" s="0" t="s">
        <v>502</v>
      </c>
      <c r="G229" s="0" t="s">
        <v>594</v>
      </c>
      <c r="H229" s="0" t="s">
        <v>503</v>
      </c>
    </row>
    <row r="230" customFormat="false" ht="15" hidden="false" customHeight="false" outlineLevel="0" collapsed="false">
      <c r="A230" s="0" t="s">
        <v>590</v>
      </c>
      <c r="B230" s="0" t="s">
        <v>638</v>
      </c>
      <c r="C230" s="0" t="s">
        <v>611</v>
      </c>
      <c r="D230" s="0" t="s">
        <v>639</v>
      </c>
      <c r="E230" s="0" t="s">
        <v>99</v>
      </c>
      <c r="F230" s="0" t="s">
        <v>504</v>
      </c>
      <c r="G230" s="0" t="s">
        <v>594</v>
      </c>
      <c r="H230" s="0" t="s">
        <v>505</v>
      </c>
    </row>
    <row r="231" customFormat="false" ht="15" hidden="false" customHeight="false" outlineLevel="0" collapsed="false">
      <c r="A231" s="0" t="s">
        <v>590</v>
      </c>
      <c r="B231" s="0" t="s">
        <v>640</v>
      </c>
      <c r="C231" s="0" t="s">
        <v>592</v>
      </c>
      <c r="D231" s="0" t="s">
        <v>641</v>
      </c>
      <c r="E231" s="0" t="s">
        <v>99</v>
      </c>
      <c r="F231" s="0" t="s">
        <v>499</v>
      </c>
      <c r="G231" s="0" t="s">
        <v>594</v>
      </c>
      <c r="H231" s="0" t="s">
        <v>501</v>
      </c>
    </row>
    <row r="232" customFormat="false" ht="15" hidden="false" customHeight="false" outlineLevel="0" collapsed="false">
      <c r="A232" s="0" t="s">
        <v>590</v>
      </c>
      <c r="B232" s="0" t="s">
        <v>640</v>
      </c>
      <c r="C232" s="0" t="s">
        <v>603</v>
      </c>
      <c r="D232" s="0" t="s">
        <v>641</v>
      </c>
      <c r="E232" s="0" t="s">
        <v>99</v>
      </c>
      <c r="F232" s="0" t="s">
        <v>502</v>
      </c>
      <c r="G232" s="0" t="s">
        <v>594</v>
      </c>
      <c r="H232" s="0" t="s">
        <v>503</v>
      </c>
    </row>
    <row r="233" customFormat="false" ht="15" hidden="false" customHeight="false" outlineLevel="0" collapsed="false">
      <c r="A233" s="0" t="s">
        <v>590</v>
      </c>
      <c r="B233" s="0" t="s">
        <v>640</v>
      </c>
      <c r="C233" s="0" t="s">
        <v>611</v>
      </c>
      <c r="D233" s="0" t="s">
        <v>641</v>
      </c>
      <c r="E233" s="0" t="s">
        <v>99</v>
      </c>
      <c r="F233" s="0" t="s">
        <v>504</v>
      </c>
      <c r="G233" s="0" t="s">
        <v>594</v>
      </c>
      <c r="H233" s="0" t="s">
        <v>505</v>
      </c>
    </row>
    <row r="234" customFormat="false" ht="15" hidden="false" customHeight="false" outlineLevel="0" collapsed="false">
      <c r="A234" s="0" t="s">
        <v>590</v>
      </c>
      <c r="B234" s="0" t="s">
        <v>642</v>
      </c>
      <c r="C234" s="0" t="s">
        <v>592</v>
      </c>
      <c r="D234" s="0" t="s">
        <v>643</v>
      </c>
      <c r="E234" s="0" t="s">
        <v>99</v>
      </c>
      <c r="F234" s="0" t="s">
        <v>499</v>
      </c>
      <c r="G234" s="0" t="s">
        <v>594</v>
      </c>
      <c r="H234" s="0" t="s">
        <v>501</v>
      </c>
    </row>
    <row r="235" customFormat="false" ht="15" hidden="false" customHeight="false" outlineLevel="0" collapsed="false">
      <c r="A235" s="0" t="s">
        <v>590</v>
      </c>
      <c r="B235" s="0" t="s">
        <v>642</v>
      </c>
      <c r="C235" s="0" t="s">
        <v>603</v>
      </c>
      <c r="D235" s="0" t="s">
        <v>643</v>
      </c>
      <c r="E235" s="0" t="s">
        <v>99</v>
      </c>
      <c r="F235" s="0" t="s">
        <v>502</v>
      </c>
      <c r="G235" s="0" t="s">
        <v>594</v>
      </c>
      <c r="H235" s="0" t="s">
        <v>503</v>
      </c>
    </row>
    <row r="236" customFormat="false" ht="15" hidden="false" customHeight="false" outlineLevel="0" collapsed="false">
      <c r="A236" s="0" t="s">
        <v>590</v>
      </c>
      <c r="B236" s="0" t="s">
        <v>642</v>
      </c>
      <c r="C236" s="0" t="s">
        <v>611</v>
      </c>
      <c r="D236" s="0" t="s">
        <v>643</v>
      </c>
      <c r="E236" s="0" t="s">
        <v>99</v>
      </c>
      <c r="F236" s="0" t="s">
        <v>504</v>
      </c>
      <c r="G236" s="0" t="s">
        <v>594</v>
      </c>
      <c r="H236" s="0" t="s">
        <v>505</v>
      </c>
    </row>
    <row r="237" customFormat="false" ht="15" hidden="false" customHeight="false" outlineLevel="0" collapsed="false">
      <c r="A237" s="0" t="s">
        <v>590</v>
      </c>
      <c r="B237" s="0" t="s">
        <v>644</v>
      </c>
      <c r="C237" s="0" t="s">
        <v>592</v>
      </c>
      <c r="D237" s="0" t="s">
        <v>645</v>
      </c>
      <c r="E237" s="0" t="s">
        <v>99</v>
      </c>
      <c r="F237" s="0" t="s">
        <v>499</v>
      </c>
      <c r="G237" s="0" t="s">
        <v>594</v>
      </c>
      <c r="H237" s="0" t="s">
        <v>501</v>
      </c>
    </row>
    <row r="238" customFormat="false" ht="15" hidden="false" customHeight="false" outlineLevel="0" collapsed="false">
      <c r="A238" s="0" t="s">
        <v>590</v>
      </c>
      <c r="B238" s="0" t="s">
        <v>644</v>
      </c>
      <c r="C238" s="0" t="s">
        <v>603</v>
      </c>
      <c r="D238" s="0" t="s">
        <v>645</v>
      </c>
      <c r="E238" s="0" t="s">
        <v>99</v>
      </c>
      <c r="F238" s="0" t="s">
        <v>502</v>
      </c>
      <c r="G238" s="0" t="s">
        <v>594</v>
      </c>
      <c r="H238" s="0" t="s">
        <v>503</v>
      </c>
    </row>
    <row r="239" customFormat="false" ht="15" hidden="false" customHeight="false" outlineLevel="0" collapsed="false">
      <c r="A239" s="0" t="s">
        <v>590</v>
      </c>
      <c r="B239" s="0" t="s">
        <v>644</v>
      </c>
      <c r="C239" s="0" t="s">
        <v>611</v>
      </c>
      <c r="D239" s="0" t="s">
        <v>645</v>
      </c>
      <c r="E239" s="0" t="s">
        <v>99</v>
      </c>
      <c r="F239" s="0" t="s">
        <v>504</v>
      </c>
      <c r="G239" s="0" t="s">
        <v>594</v>
      </c>
      <c r="H239" s="0" t="s">
        <v>505</v>
      </c>
    </row>
    <row r="240" customFormat="false" ht="15" hidden="false" customHeight="false" outlineLevel="0" collapsed="false">
      <c r="A240" s="0" t="s">
        <v>590</v>
      </c>
      <c r="B240" s="0" t="s">
        <v>646</v>
      </c>
      <c r="C240" s="0" t="s">
        <v>592</v>
      </c>
      <c r="D240" s="0" t="s">
        <v>647</v>
      </c>
      <c r="E240" s="0" t="s">
        <v>99</v>
      </c>
      <c r="F240" s="0" t="s">
        <v>499</v>
      </c>
      <c r="G240" s="0" t="s">
        <v>594</v>
      </c>
      <c r="H240" s="0" t="s">
        <v>501</v>
      </c>
    </row>
    <row r="241" customFormat="false" ht="15" hidden="false" customHeight="false" outlineLevel="0" collapsed="false">
      <c r="A241" s="0" t="s">
        <v>590</v>
      </c>
      <c r="B241" s="0" t="s">
        <v>646</v>
      </c>
      <c r="C241" s="0" t="s">
        <v>603</v>
      </c>
      <c r="D241" s="0" t="s">
        <v>647</v>
      </c>
      <c r="E241" s="0" t="s">
        <v>99</v>
      </c>
      <c r="F241" s="0" t="s">
        <v>502</v>
      </c>
      <c r="G241" s="0" t="s">
        <v>594</v>
      </c>
      <c r="H241" s="0" t="s">
        <v>503</v>
      </c>
    </row>
    <row r="242" customFormat="false" ht="15" hidden="false" customHeight="false" outlineLevel="0" collapsed="false">
      <c r="A242" s="0" t="s">
        <v>590</v>
      </c>
      <c r="B242" s="0" t="s">
        <v>646</v>
      </c>
      <c r="C242" s="0" t="s">
        <v>611</v>
      </c>
      <c r="D242" s="0" t="s">
        <v>647</v>
      </c>
      <c r="E242" s="0" t="s">
        <v>99</v>
      </c>
      <c r="F242" s="0" t="s">
        <v>504</v>
      </c>
      <c r="G242" s="0" t="s">
        <v>594</v>
      </c>
      <c r="H242" s="0" t="s">
        <v>505</v>
      </c>
    </row>
    <row r="243" customFormat="false" ht="15" hidden="false" customHeight="false" outlineLevel="0" collapsed="false">
      <c r="A243" s="0" t="s">
        <v>590</v>
      </c>
      <c r="B243" s="0" t="s">
        <v>648</v>
      </c>
      <c r="C243" s="0" t="s">
        <v>592</v>
      </c>
      <c r="D243" s="0" t="s">
        <v>649</v>
      </c>
      <c r="E243" s="0" t="s">
        <v>99</v>
      </c>
      <c r="F243" s="0" t="s">
        <v>499</v>
      </c>
      <c r="G243" s="0" t="s">
        <v>594</v>
      </c>
      <c r="H243" s="0" t="s">
        <v>501</v>
      </c>
    </row>
    <row r="244" customFormat="false" ht="15" hidden="false" customHeight="false" outlineLevel="0" collapsed="false">
      <c r="A244" s="0" t="s">
        <v>590</v>
      </c>
      <c r="B244" s="0" t="s">
        <v>648</v>
      </c>
      <c r="C244" s="0" t="s">
        <v>603</v>
      </c>
      <c r="D244" s="0" t="s">
        <v>649</v>
      </c>
      <c r="E244" s="0" t="s">
        <v>99</v>
      </c>
      <c r="F244" s="0" t="s">
        <v>502</v>
      </c>
      <c r="G244" s="0" t="s">
        <v>594</v>
      </c>
      <c r="H244" s="0" t="s">
        <v>503</v>
      </c>
    </row>
    <row r="245" customFormat="false" ht="15" hidden="false" customHeight="false" outlineLevel="0" collapsed="false">
      <c r="A245" s="0" t="s">
        <v>590</v>
      </c>
      <c r="B245" s="0" t="s">
        <v>648</v>
      </c>
      <c r="C245" s="0" t="s">
        <v>611</v>
      </c>
      <c r="D245" s="0" t="s">
        <v>649</v>
      </c>
      <c r="E245" s="0" t="s">
        <v>99</v>
      </c>
      <c r="F245" s="0" t="s">
        <v>504</v>
      </c>
      <c r="G245" s="0" t="s">
        <v>594</v>
      </c>
      <c r="H245" s="0" t="s">
        <v>505</v>
      </c>
    </row>
    <row r="246" customFormat="false" ht="15" hidden="false" customHeight="false" outlineLevel="0" collapsed="false">
      <c r="A246" s="0" t="s">
        <v>590</v>
      </c>
      <c r="B246" s="0" t="s">
        <v>650</v>
      </c>
      <c r="C246" s="0" t="s">
        <v>592</v>
      </c>
      <c r="D246" s="0" t="s">
        <v>651</v>
      </c>
      <c r="E246" s="0" t="s">
        <v>99</v>
      </c>
      <c r="F246" s="0" t="s">
        <v>499</v>
      </c>
      <c r="G246" s="0" t="s">
        <v>594</v>
      </c>
      <c r="H246" s="0" t="s">
        <v>501</v>
      </c>
    </row>
    <row r="247" customFormat="false" ht="15" hidden="false" customHeight="false" outlineLevel="0" collapsed="false">
      <c r="A247" s="0" t="s">
        <v>590</v>
      </c>
      <c r="B247" s="0" t="s">
        <v>650</v>
      </c>
      <c r="C247" s="0" t="s">
        <v>603</v>
      </c>
      <c r="D247" s="0" t="s">
        <v>651</v>
      </c>
      <c r="E247" s="0" t="s">
        <v>99</v>
      </c>
      <c r="F247" s="0" t="s">
        <v>502</v>
      </c>
      <c r="G247" s="0" t="s">
        <v>594</v>
      </c>
      <c r="H247" s="0" t="s">
        <v>503</v>
      </c>
    </row>
    <row r="248" customFormat="false" ht="15" hidden="false" customHeight="false" outlineLevel="0" collapsed="false">
      <c r="A248" s="0" t="s">
        <v>590</v>
      </c>
      <c r="B248" s="0" t="s">
        <v>650</v>
      </c>
      <c r="C248" s="0" t="s">
        <v>611</v>
      </c>
      <c r="D248" s="0" t="s">
        <v>651</v>
      </c>
      <c r="E248" s="0" t="s">
        <v>99</v>
      </c>
      <c r="F248" s="0" t="s">
        <v>504</v>
      </c>
      <c r="G248" s="0" t="s">
        <v>594</v>
      </c>
      <c r="H248" s="0" t="s">
        <v>505</v>
      </c>
    </row>
    <row r="249" customFormat="false" ht="15" hidden="false" customHeight="false" outlineLevel="0" collapsed="false">
      <c r="A249" s="0" t="s">
        <v>590</v>
      </c>
      <c r="B249" s="0" t="s">
        <v>652</v>
      </c>
      <c r="C249" s="0" t="s">
        <v>592</v>
      </c>
      <c r="D249" s="0" t="s">
        <v>653</v>
      </c>
      <c r="E249" s="0" t="s">
        <v>99</v>
      </c>
      <c r="F249" s="0" t="s">
        <v>499</v>
      </c>
      <c r="G249" s="0" t="s">
        <v>594</v>
      </c>
      <c r="H249" s="0" t="s">
        <v>501</v>
      </c>
    </row>
    <row r="250" customFormat="false" ht="15" hidden="false" customHeight="false" outlineLevel="0" collapsed="false">
      <c r="A250" s="0" t="s">
        <v>590</v>
      </c>
      <c r="B250" s="0" t="s">
        <v>652</v>
      </c>
      <c r="C250" s="0" t="s">
        <v>603</v>
      </c>
      <c r="D250" s="0" t="s">
        <v>653</v>
      </c>
      <c r="E250" s="0" t="s">
        <v>99</v>
      </c>
      <c r="F250" s="0" t="s">
        <v>502</v>
      </c>
      <c r="G250" s="0" t="s">
        <v>594</v>
      </c>
      <c r="H250" s="0" t="s">
        <v>503</v>
      </c>
    </row>
    <row r="251" customFormat="false" ht="15" hidden="false" customHeight="false" outlineLevel="0" collapsed="false">
      <c r="A251" s="0" t="s">
        <v>590</v>
      </c>
      <c r="B251" s="0" t="s">
        <v>652</v>
      </c>
      <c r="C251" s="0" t="s">
        <v>611</v>
      </c>
      <c r="D251" s="0" t="s">
        <v>653</v>
      </c>
      <c r="E251" s="0" t="s">
        <v>99</v>
      </c>
      <c r="F251" s="0" t="s">
        <v>504</v>
      </c>
      <c r="G251" s="0" t="s">
        <v>594</v>
      </c>
      <c r="H251" s="0" t="s">
        <v>505</v>
      </c>
    </row>
    <row r="252" customFormat="false" ht="15" hidden="false" customHeight="false" outlineLevel="0" collapsed="false">
      <c r="A252" s="0" t="s">
        <v>590</v>
      </c>
      <c r="B252" s="0" t="s">
        <v>654</v>
      </c>
      <c r="C252" s="0" t="s">
        <v>592</v>
      </c>
      <c r="D252" s="0" t="s">
        <v>655</v>
      </c>
      <c r="E252" s="0" t="s">
        <v>99</v>
      </c>
      <c r="F252" s="0" t="s">
        <v>499</v>
      </c>
      <c r="G252" s="0" t="s">
        <v>594</v>
      </c>
      <c r="H252" s="0" t="s">
        <v>501</v>
      </c>
    </row>
    <row r="253" customFormat="false" ht="15" hidden="false" customHeight="false" outlineLevel="0" collapsed="false">
      <c r="A253" s="0" t="s">
        <v>590</v>
      </c>
      <c r="B253" s="0" t="s">
        <v>654</v>
      </c>
      <c r="C253" s="0" t="s">
        <v>603</v>
      </c>
      <c r="D253" s="0" t="s">
        <v>655</v>
      </c>
      <c r="E253" s="0" t="s">
        <v>99</v>
      </c>
      <c r="F253" s="0" t="s">
        <v>502</v>
      </c>
      <c r="G253" s="0" t="s">
        <v>594</v>
      </c>
      <c r="H253" s="0" t="s">
        <v>503</v>
      </c>
    </row>
    <row r="254" customFormat="false" ht="15" hidden="false" customHeight="false" outlineLevel="0" collapsed="false">
      <c r="A254" s="0" t="s">
        <v>590</v>
      </c>
      <c r="B254" s="0" t="s">
        <v>654</v>
      </c>
      <c r="C254" s="0" t="s">
        <v>611</v>
      </c>
      <c r="D254" s="0" t="s">
        <v>655</v>
      </c>
      <c r="E254" s="0" t="s">
        <v>99</v>
      </c>
      <c r="F254" s="0" t="s">
        <v>504</v>
      </c>
      <c r="G254" s="0" t="s">
        <v>594</v>
      </c>
      <c r="H254" s="0" t="s">
        <v>505</v>
      </c>
    </row>
    <row r="255" customFormat="false" ht="15" hidden="false" customHeight="false" outlineLevel="0" collapsed="false">
      <c r="A255" s="0" t="s">
        <v>590</v>
      </c>
      <c r="B255" s="0" t="s">
        <v>656</v>
      </c>
      <c r="C255" s="0" t="s">
        <v>592</v>
      </c>
      <c r="D255" s="0" t="s">
        <v>657</v>
      </c>
      <c r="E255" s="0" t="s">
        <v>99</v>
      </c>
      <c r="F255" s="0" t="s">
        <v>499</v>
      </c>
      <c r="G255" s="0" t="s">
        <v>594</v>
      </c>
      <c r="H255" s="0" t="s">
        <v>501</v>
      </c>
    </row>
    <row r="256" customFormat="false" ht="15" hidden="false" customHeight="false" outlineLevel="0" collapsed="false">
      <c r="A256" s="0" t="s">
        <v>590</v>
      </c>
      <c r="B256" s="0" t="s">
        <v>656</v>
      </c>
      <c r="C256" s="0" t="s">
        <v>603</v>
      </c>
      <c r="D256" s="0" t="s">
        <v>657</v>
      </c>
      <c r="E256" s="0" t="s">
        <v>99</v>
      </c>
      <c r="F256" s="0" t="s">
        <v>502</v>
      </c>
      <c r="G256" s="0" t="s">
        <v>594</v>
      </c>
      <c r="H256" s="0" t="s">
        <v>503</v>
      </c>
    </row>
    <row r="257" customFormat="false" ht="15" hidden="false" customHeight="false" outlineLevel="0" collapsed="false">
      <c r="A257" s="0" t="s">
        <v>590</v>
      </c>
      <c r="B257" s="0" t="s">
        <v>656</v>
      </c>
      <c r="C257" s="0" t="s">
        <v>611</v>
      </c>
      <c r="D257" s="0" t="s">
        <v>657</v>
      </c>
      <c r="E257" s="0" t="s">
        <v>99</v>
      </c>
      <c r="F257" s="0" t="s">
        <v>504</v>
      </c>
      <c r="G257" s="0" t="s">
        <v>594</v>
      </c>
      <c r="H257" s="0" t="s">
        <v>505</v>
      </c>
    </row>
    <row r="258" customFormat="false" ht="15" hidden="false" customHeight="false" outlineLevel="0" collapsed="false">
      <c r="A258" s="0" t="s">
        <v>590</v>
      </c>
      <c r="B258" s="0" t="s">
        <v>658</v>
      </c>
      <c r="C258" s="0" t="s">
        <v>592</v>
      </c>
      <c r="D258" s="0" t="s">
        <v>659</v>
      </c>
      <c r="E258" s="0" t="s">
        <v>99</v>
      </c>
      <c r="F258" s="0" t="s">
        <v>499</v>
      </c>
      <c r="G258" s="0" t="s">
        <v>594</v>
      </c>
      <c r="H258" s="0" t="s">
        <v>501</v>
      </c>
    </row>
    <row r="259" customFormat="false" ht="15" hidden="false" customHeight="false" outlineLevel="0" collapsed="false">
      <c r="A259" s="0" t="s">
        <v>590</v>
      </c>
      <c r="B259" s="0" t="s">
        <v>658</v>
      </c>
      <c r="C259" s="0" t="s">
        <v>603</v>
      </c>
      <c r="D259" s="0" t="s">
        <v>659</v>
      </c>
      <c r="E259" s="0" t="s">
        <v>99</v>
      </c>
      <c r="F259" s="0" t="s">
        <v>502</v>
      </c>
      <c r="G259" s="0" t="s">
        <v>594</v>
      </c>
      <c r="H259" s="0" t="s">
        <v>503</v>
      </c>
    </row>
    <row r="260" customFormat="false" ht="15" hidden="false" customHeight="false" outlineLevel="0" collapsed="false">
      <c r="A260" s="0" t="s">
        <v>590</v>
      </c>
      <c r="B260" s="0" t="s">
        <v>658</v>
      </c>
      <c r="C260" s="0" t="s">
        <v>611</v>
      </c>
      <c r="D260" s="0" t="s">
        <v>659</v>
      </c>
      <c r="E260" s="0" t="s">
        <v>99</v>
      </c>
      <c r="F260" s="0" t="s">
        <v>504</v>
      </c>
      <c r="G260" s="0" t="s">
        <v>594</v>
      </c>
      <c r="H260" s="0" t="s">
        <v>505</v>
      </c>
    </row>
    <row r="261" customFormat="false" ht="15" hidden="false" customHeight="false" outlineLevel="0" collapsed="false">
      <c r="A261" s="0" t="s">
        <v>590</v>
      </c>
      <c r="B261" s="0" t="s">
        <v>660</v>
      </c>
      <c r="C261" s="0" t="s">
        <v>592</v>
      </c>
      <c r="D261" s="0" t="s">
        <v>661</v>
      </c>
      <c r="E261" s="0" t="s">
        <v>99</v>
      </c>
      <c r="F261" s="0" t="s">
        <v>499</v>
      </c>
      <c r="G261" s="0" t="s">
        <v>594</v>
      </c>
      <c r="H261" s="0" t="s">
        <v>501</v>
      </c>
    </row>
    <row r="262" customFormat="false" ht="15" hidden="false" customHeight="false" outlineLevel="0" collapsed="false">
      <c r="A262" s="0" t="s">
        <v>590</v>
      </c>
      <c r="B262" s="0" t="s">
        <v>660</v>
      </c>
      <c r="C262" s="0" t="s">
        <v>603</v>
      </c>
      <c r="D262" s="0" t="s">
        <v>661</v>
      </c>
      <c r="E262" s="0" t="s">
        <v>99</v>
      </c>
      <c r="F262" s="0" t="s">
        <v>502</v>
      </c>
      <c r="G262" s="0" t="s">
        <v>594</v>
      </c>
      <c r="H262" s="0" t="s">
        <v>503</v>
      </c>
    </row>
    <row r="263" customFormat="false" ht="15" hidden="false" customHeight="false" outlineLevel="0" collapsed="false">
      <c r="A263" s="0" t="s">
        <v>590</v>
      </c>
      <c r="B263" s="0" t="s">
        <v>660</v>
      </c>
      <c r="C263" s="0" t="s">
        <v>611</v>
      </c>
      <c r="D263" s="0" t="s">
        <v>661</v>
      </c>
      <c r="E263" s="0" t="s">
        <v>99</v>
      </c>
      <c r="F263" s="0" t="s">
        <v>504</v>
      </c>
      <c r="G263" s="0" t="s">
        <v>594</v>
      </c>
      <c r="H263" s="0" t="s">
        <v>505</v>
      </c>
    </row>
    <row r="264" customFormat="false" ht="15" hidden="false" customHeight="false" outlineLevel="0" collapsed="false">
      <c r="A264" s="0" t="s">
        <v>590</v>
      </c>
      <c r="B264" s="0" t="s">
        <v>662</v>
      </c>
      <c r="C264" s="0" t="s">
        <v>592</v>
      </c>
      <c r="D264" s="0" t="s">
        <v>663</v>
      </c>
      <c r="E264" s="0" t="s">
        <v>99</v>
      </c>
      <c r="F264" s="0" t="s">
        <v>499</v>
      </c>
      <c r="G264" s="0" t="s">
        <v>594</v>
      </c>
      <c r="H264" s="0" t="s">
        <v>501</v>
      </c>
    </row>
    <row r="265" customFormat="false" ht="15" hidden="false" customHeight="false" outlineLevel="0" collapsed="false">
      <c r="A265" s="0" t="s">
        <v>590</v>
      </c>
      <c r="B265" s="0" t="s">
        <v>662</v>
      </c>
      <c r="C265" s="0" t="s">
        <v>603</v>
      </c>
      <c r="D265" s="0" t="s">
        <v>663</v>
      </c>
      <c r="E265" s="0" t="s">
        <v>99</v>
      </c>
      <c r="F265" s="0" t="s">
        <v>502</v>
      </c>
      <c r="G265" s="0" t="s">
        <v>594</v>
      </c>
      <c r="H265" s="0" t="s">
        <v>503</v>
      </c>
    </row>
    <row r="266" customFormat="false" ht="15" hidden="false" customHeight="false" outlineLevel="0" collapsed="false">
      <c r="A266" s="0" t="s">
        <v>590</v>
      </c>
      <c r="B266" s="0" t="s">
        <v>662</v>
      </c>
      <c r="C266" s="0" t="s">
        <v>611</v>
      </c>
      <c r="D266" s="0" t="s">
        <v>663</v>
      </c>
      <c r="E266" s="0" t="s">
        <v>99</v>
      </c>
      <c r="F266" s="0" t="s">
        <v>504</v>
      </c>
      <c r="G266" s="0" t="s">
        <v>594</v>
      </c>
      <c r="H266" s="0" t="s">
        <v>505</v>
      </c>
    </row>
    <row r="267" customFormat="false" ht="15" hidden="false" customHeight="false" outlineLevel="0" collapsed="false">
      <c r="A267" s="0" t="s">
        <v>590</v>
      </c>
      <c r="B267" s="0" t="s">
        <v>664</v>
      </c>
      <c r="C267" s="0" t="s">
        <v>592</v>
      </c>
      <c r="D267" s="0" t="s">
        <v>665</v>
      </c>
      <c r="E267" s="0" t="s">
        <v>99</v>
      </c>
      <c r="F267" s="0" t="s">
        <v>499</v>
      </c>
      <c r="G267" s="0" t="s">
        <v>594</v>
      </c>
      <c r="H267" s="0" t="s">
        <v>501</v>
      </c>
    </row>
    <row r="268" customFormat="false" ht="15" hidden="false" customHeight="false" outlineLevel="0" collapsed="false">
      <c r="A268" s="0" t="s">
        <v>590</v>
      </c>
      <c r="B268" s="0" t="s">
        <v>664</v>
      </c>
      <c r="C268" s="0" t="s">
        <v>603</v>
      </c>
      <c r="D268" s="0" t="s">
        <v>665</v>
      </c>
      <c r="E268" s="0" t="s">
        <v>99</v>
      </c>
      <c r="F268" s="0" t="s">
        <v>502</v>
      </c>
      <c r="G268" s="0" t="s">
        <v>594</v>
      </c>
      <c r="H268" s="0" t="s">
        <v>503</v>
      </c>
    </row>
    <row r="269" customFormat="false" ht="15" hidden="false" customHeight="false" outlineLevel="0" collapsed="false">
      <c r="A269" s="0" t="s">
        <v>590</v>
      </c>
      <c r="B269" s="0" t="s">
        <v>664</v>
      </c>
      <c r="C269" s="0" t="s">
        <v>611</v>
      </c>
      <c r="D269" s="0" t="s">
        <v>665</v>
      </c>
      <c r="E269" s="0" t="s">
        <v>99</v>
      </c>
      <c r="F269" s="0" t="s">
        <v>504</v>
      </c>
      <c r="G269" s="0" t="s">
        <v>594</v>
      </c>
      <c r="H269" s="0" t="s">
        <v>505</v>
      </c>
    </row>
    <row r="270" customFormat="false" ht="15" hidden="false" customHeight="false" outlineLevel="0" collapsed="false">
      <c r="A270" s="0" t="s">
        <v>590</v>
      </c>
      <c r="B270" s="0" t="s">
        <v>666</v>
      </c>
      <c r="C270" s="0" t="s">
        <v>592</v>
      </c>
      <c r="D270" s="0" t="s">
        <v>667</v>
      </c>
      <c r="E270" s="0" t="s">
        <v>99</v>
      </c>
      <c r="F270" s="0" t="s">
        <v>499</v>
      </c>
      <c r="G270" s="0" t="s">
        <v>594</v>
      </c>
      <c r="H270" s="0" t="s">
        <v>501</v>
      </c>
    </row>
    <row r="271" customFormat="false" ht="15" hidden="false" customHeight="false" outlineLevel="0" collapsed="false">
      <c r="A271" s="0" t="s">
        <v>590</v>
      </c>
      <c r="B271" s="0" t="s">
        <v>666</v>
      </c>
      <c r="C271" s="0" t="s">
        <v>603</v>
      </c>
      <c r="D271" s="0" t="s">
        <v>667</v>
      </c>
      <c r="E271" s="0" t="s">
        <v>99</v>
      </c>
      <c r="F271" s="0" t="s">
        <v>502</v>
      </c>
      <c r="G271" s="0" t="s">
        <v>594</v>
      </c>
      <c r="H271" s="0" t="s">
        <v>503</v>
      </c>
    </row>
    <row r="272" customFormat="false" ht="15" hidden="false" customHeight="false" outlineLevel="0" collapsed="false">
      <c r="A272" s="0" t="s">
        <v>590</v>
      </c>
      <c r="B272" s="0" t="s">
        <v>666</v>
      </c>
      <c r="C272" s="0" t="s">
        <v>611</v>
      </c>
      <c r="D272" s="0" t="s">
        <v>667</v>
      </c>
      <c r="E272" s="0" t="s">
        <v>99</v>
      </c>
      <c r="F272" s="0" t="s">
        <v>504</v>
      </c>
      <c r="G272" s="0" t="s">
        <v>594</v>
      </c>
      <c r="H272" s="0" t="s">
        <v>505</v>
      </c>
    </row>
    <row r="273" customFormat="false" ht="15" hidden="false" customHeight="false" outlineLevel="0" collapsed="false">
      <c r="A273" s="0" t="s">
        <v>590</v>
      </c>
      <c r="B273" s="0" t="s">
        <v>668</v>
      </c>
      <c r="C273" s="0" t="s">
        <v>592</v>
      </c>
      <c r="D273" s="0" t="s">
        <v>669</v>
      </c>
      <c r="E273" s="0" t="s">
        <v>99</v>
      </c>
      <c r="F273" s="0" t="s">
        <v>499</v>
      </c>
      <c r="G273" s="0" t="s">
        <v>594</v>
      </c>
      <c r="H273" s="0" t="s">
        <v>501</v>
      </c>
    </row>
    <row r="274" customFormat="false" ht="15" hidden="false" customHeight="false" outlineLevel="0" collapsed="false">
      <c r="A274" s="0" t="s">
        <v>590</v>
      </c>
      <c r="B274" s="0" t="s">
        <v>668</v>
      </c>
      <c r="C274" s="0" t="s">
        <v>603</v>
      </c>
      <c r="D274" s="0" t="s">
        <v>669</v>
      </c>
      <c r="E274" s="0" t="s">
        <v>99</v>
      </c>
      <c r="F274" s="0" t="s">
        <v>502</v>
      </c>
      <c r="G274" s="0" t="s">
        <v>594</v>
      </c>
      <c r="H274" s="0" t="s">
        <v>503</v>
      </c>
    </row>
    <row r="275" customFormat="false" ht="15" hidden="false" customHeight="false" outlineLevel="0" collapsed="false">
      <c r="A275" s="0" t="s">
        <v>590</v>
      </c>
      <c r="B275" s="0" t="s">
        <v>668</v>
      </c>
      <c r="C275" s="0" t="s">
        <v>611</v>
      </c>
      <c r="D275" s="0" t="s">
        <v>669</v>
      </c>
      <c r="E275" s="0" t="s">
        <v>99</v>
      </c>
      <c r="F275" s="0" t="s">
        <v>504</v>
      </c>
      <c r="G275" s="0" t="s">
        <v>594</v>
      </c>
      <c r="H275" s="0" t="s">
        <v>505</v>
      </c>
    </row>
    <row r="276" customFormat="false" ht="15" hidden="false" customHeight="false" outlineLevel="0" collapsed="false">
      <c r="A276" s="0" t="s">
        <v>590</v>
      </c>
      <c r="B276" s="0" t="s">
        <v>670</v>
      </c>
      <c r="C276" s="0" t="s">
        <v>592</v>
      </c>
      <c r="D276" s="0" t="s">
        <v>671</v>
      </c>
      <c r="E276" s="0" t="s">
        <v>99</v>
      </c>
      <c r="F276" s="0" t="s">
        <v>499</v>
      </c>
      <c r="G276" s="0" t="s">
        <v>594</v>
      </c>
      <c r="H276" s="0" t="s">
        <v>501</v>
      </c>
    </row>
    <row r="277" customFormat="false" ht="15" hidden="false" customHeight="false" outlineLevel="0" collapsed="false">
      <c r="A277" s="0" t="s">
        <v>590</v>
      </c>
      <c r="B277" s="0" t="s">
        <v>670</v>
      </c>
      <c r="C277" s="0" t="s">
        <v>603</v>
      </c>
      <c r="D277" s="0" t="s">
        <v>671</v>
      </c>
      <c r="E277" s="0" t="s">
        <v>99</v>
      </c>
      <c r="F277" s="0" t="s">
        <v>502</v>
      </c>
      <c r="G277" s="0" t="s">
        <v>594</v>
      </c>
      <c r="H277" s="0" t="s">
        <v>503</v>
      </c>
    </row>
    <row r="278" customFormat="false" ht="15" hidden="false" customHeight="false" outlineLevel="0" collapsed="false">
      <c r="A278" s="0" t="s">
        <v>590</v>
      </c>
      <c r="B278" s="0" t="s">
        <v>670</v>
      </c>
      <c r="C278" s="0" t="s">
        <v>611</v>
      </c>
      <c r="D278" s="0" t="s">
        <v>671</v>
      </c>
      <c r="E278" s="0" t="s">
        <v>99</v>
      </c>
      <c r="F278" s="0" t="s">
        <v>504</v>
      </c>
      <c r="G278" s="0" t="s">
        <v>594</v>
      </c>
      <c r="H278" s="0" t="s">
        <v>505</v>
      </c>
    </row>
    <row r="279" customFormat="false" ht="15" hidden="false" customHeight="false" outlineLevel="0" collapsed="false">
      <c r="A279" s="0" t="s">
        <v>590</v>
      </c>
      <c r="B279" s="0" t="s">
        <v>672</v>
      </c>
      <c r="C279" s="0" t="s">
        <v>592</v>
      </c>
      <c r="D279" s="0" t="s">
        <v>673</v>
      </c>
      <c r="E279" s="0" t="s">
        <v>99</v>
      </c>
      <c r="F279" s="0" t="s">
        <v>499</v>
      </c>
      <c r="G279" s="0" t="s">
        <v>594</v>
      </c>
      <c r="H279" s="0" t="s">
        <v>501</v>
      </c>
    </row>
    <row r="280" customFormat="false" ht="15" hidden="false" customHeight="false" outlineLevel="0" collapsed="false">
      <c r="A280" s="0" t="s">
        <v>590</v>
      </c>
      <c r="B280" s="0" t="s">
        <v>672</v>
      </c>
      <c r="C280" s="0" t="s">
        <v>603</v>
      </c>
      <c r="D280" s="0" t="s">
        <v>673</v>
      </c>
      <c r="E280" s="0" t="s">
        <v>99</v>
      </c>
      <c r="F280" s="0" t="s">
        <v>502</v>
      </c>
      <c r="G280" s="0" t="s">
        <v>594</v>
      </c>
      <c r="H280" s="0" t="s">
        <v>503</v>
      </c>
    </row>
    <row r="281" customFormat="false" ht="15" hidden="false" customHeight="false" outlineLevel="0" collapsed="false">
      <c r="A281" s="0" t="s">
        <v>590</v>
      </c>
      <c r="B281" s="0" t="s">
        <v>672</v>
      </c>
      <c r="C281" s="0" t="s">
        <v>611</v>
      </c>
      <c r="D281" s="0" t="s">
        <v>673</v>
      </c>
      <c r="E281" s="0" t="s">
        <v>99</v>
      </c>
      <c r="F281" s="0" t="s">
        <v>504</v>
      </c>
      <c r="G281" s="0" t="s">
        <v>594</v>
      </c>
      <c r="H281" s="0" t="s">
        <v>505</v>
      </c>
    </row>
    <row r="282" customFormat="false" ht="15" hidden="false" customHeight="false" outlineLevel="0" collapsed="false">
      <c r="A282" s="0" t="s">
        <v>590</v>
      </c>
      <c r="B282" s="0" t="s">
        <v>674</v>
      </c>
      <c r="C282" s="0" t="s">
        <v>592</v>
      </c>
      <c r="D282" s="0" t="s">
        <v>675</v>
      </c>
      <c r="E282" s="0" t="s">
        <v>99</v>
      </c>
      <c r="F282" s="0" t="s">
        <v>499</v>
      </c>
      <c r="G282" s="0" t="s">
        <v>594</v>
      </c>
      <c r="H282" s="0" t="s">
        <v>501</v>
      </c>
    </row>
    <row r="283" customFormat="false" ht="15" hidden="false" customHeight="false" outlineLevel="0" collapsed="false">
      <c r="A283" s="0" t="s">
        <v>590</v>
      </c>
      <c r="B283" s="0" t="s">
        <v>676</v>
      </c>
      <c r="C283" s="0" t="s">
        <v>592</v>
      </c>
      <c r="D283" s="0" t="s">
        <v>677</v>
      </c>
      <c r="E283" s="0" t="s">
        <v>99</v>
      </c>
      <c r="F283" s="0" t="s">
        <v>499</v>
      </c>
      <c r="G283" s="0" t="s">
        <v>594</v>
      </c>
      <c r="H283" s="0" t="s">
        <v>501</v>
      </c>
    </row>
    <row r="284" customFormat="false" ht="15" hidden="false" customHeight="false" outlineLevel="0" collapsed="false">
      <c r="A284" s="0" t="s">
        <v>590</v>
      </c>
      <c r="B284" s="0" t="s">
        <v>678</v>
      </c>
      <c r="C284" s="0" t="s">
        <v>592</v>
      </c>
      <c r="D284" s="0" t="s">
        <v>679</v>
      </c>
      <c r="E284" s="0" t="s">
        <v>99</v>
      </c>
      <c r="F284" s="0" t="s">
        <v>499</v>
      </c>
      <c r="G284" s="0" t="s">
        <v>594</v>
      </c>
      <c r="H284" s="0" t="s">
        <v>501</v>
      </c>
    </row>
    <row r="285" customFormat="false" ht="15" hidden="false" customHeight="false" outlineLevel="0" collapsed="false">
      <c r="A285" s="0" t="s">
        <v>590</v>
      </c>
      <c r="B285" s="0" t="s">
        <v>680</v>
      </c>
      <c r="C285" s="0" t="s">
        <v>592</v>
      </c>
      <c r="D285" s="0" t="s">
        <v>681</v>
      </c>
      <c r="E285" s="0" t="s">
        <v>99</v>
      </c>
      <c r="F285" s="0" t="s">
        <v>499</v>
      </c>
      <c r="G285" s="0" t="s">
        <v>594</v>
      </c>
      <c r="H285" s="0" t="s">
        <v>501</v>
      </c>
    </row>
    <row r="286" customFormat="false" ht="15" hidden="false" customHeight="false" outlineLevel="0" collapsed="false">
      <c r="A286" s="0" t="s">
        <v>590</v>
      </c>
      <c r="B286" s="0" t="s">
        <v>682</v>
      </c>
      <c r="C286" s="0" t="s">
        <v>592</v>
      </c>
      <c r="D286" s="0" t="s">
        <v>683</v>
      </c>
      <c r="E286" s="0" t="s">
        <v>99</v>
      </c>
      <c r="F286" s="0" t="s">
        <v>499</v>
      </c>
      <c r="G286" s="0" t="s">
        <v>594</v>
      </c>
      <c r="H286" s="0" t="s">
        <v>501</v>
      </c>
    </row>
    <row r="287" customFormat="false" ht="15" hidden="false" customHeight="false" outlineLevel="0" collapsed="false">
      <c r="A287" s="0" t="s">
        <v>590</v>
      </c>
      <c r="B287" s="0" t="s">
        <v>682</v>
      </c>
      <c r="C287" s="0" t="s">
        <v>603</v>
      </c>
      <c r="D287" s="0" t="s">
        <v>684</v>
      </c>
      <c r="E287" s="0" t="s">
        <v>99</v>
      </c>
      <c r="F287" s="0" t="s">
        <v>502</v>
      </c>
      <c r="G287" s="0" t="s">
        <v>594</v>
      </c>
      <c r="H287" s="0" t="s">
        <v>503</v>
      </c>
    </row>
    <row r="288" customFormat="false" ht="15" hidden="false" customHeight="false" outlineLevel="0" collapsed="false">
      <c r="A288" s="0" t="s">
        <v>590</v>
      </c>
      <c r="B288" s="0" t="s">
        <v>682</v>
      </c>
      <c r="C288" s="0" t="s">
        <v>611</v>
      </c>
      <c r="D288" s="0" t="s">
        <v>685</v>
      </c>
      <c r="E288" s="0" t="s">
        <v>99</v>
      </c>
      <c r="F288" s="0" t="s">
        <v>504</v>
      </c>
      <c r="G288" s="0" t="s">
        <v>594</v>
      </c>
      <c r="H288" s="0" t="s">
        <v>505</v>
      </c>
    </row>
    <row r="289" customFormat="false" ht="15" hidden="false" customHeight="false" outlineLevel="0" collapsed="false">
      <c r="A289" s="0" t="s">
        <v>590</v>
      </c>
      <c r="B289" s="0" t="s">
        <v>686</v>
      </c>
      <c r="C289" s="0" t="s">
        <v>592</v>
      </c>
      <c r="D289" s="0" t="s">
        <v>687</v>
      </c>
      <c r="E289" s="0" t="s">
        <v>99</v>
      </c>
      <c r="F289" s="0" t="s">
        <v>499</v>
      </c>
      <c r="G289" s="0" t="s">
        <v>594</v>
      </c>
      <c r="H289" s="0" t="s">
        <v>501</v>
      </c>
    </row>
    <row r="290" customFormat="false" ht="15" hidden="false" customHeight="false" outlineLevel="0" collapsed="false">
      <c r="A290" s="0" t="s">
        <v>590</v>
      </c>
      <c r="B290" s="0" t="s">
        <v>686</v>
      </c>
      <c r="C290" s="0" t="s">
        <v>603</v>
      </c>
      <c r="D290" s="0" t="s">
        <v>687</v>
      </c>
      <c r="E290" s="0" t="s">
        <v>99</v>
      </c>
      <c r="F290" s="0" t="s">
        <v>502</v>
      </c>
      <c r="G290" s="0" t="s">
        <v>594</v>
      </c>
      <c r="H290" s="0" t="s">
        <v>503</v>
      </c>
    </row>
    <row r="291" customFormat="false" ht="15" hidden="false" customHeight="false" outlineLevel="0" collapsed="false">
      <c r="A291" s="0" t="s">
        <v>590</v>
      </c>
      <c r="B291" s="0" t="s">
        <v>688</v>
      </c>
      <c r="C291" s="0" t="s">
        <v>603</v>
      </c>
      <c r="D291" s="0" t="s">
        <v>689</v>
      </c>
      <c r="E291" s="0" t="s">
        <v>99</v>
      </c>
      <c r="F291" s="0" t="s">
        <v>502</v>
      </c>
      <c r="G291" s="0" t="s">
        <v>594</v>
      </c>
      <c r="H291" s="0" t="s">
        <v>503</v>
      </c>
    </row>
    <row r="292" customFormat="false" ht="15" hidden="false" customHeight="false" outlineLevel="0" collapsed="false">
      <c r="A292" s="0" t="s">
        <v>590</v>
      </c>
      <c r="B292" s="0" t="s">
        <v>688</v>
      </c>
      <c r="C292" s="0" t="s">
        <v>611</v>
      </c>
      <c r="D292" s="0" t="s">
        <v>689</v>
      </c>
      <c r="E292" s="0" t="s">
        <v>99</v>
      </c>
      <c r="F292" s="0" t="s">
        <v>504</v>
      </c>
      <c r="G292" s="0" t="s">
        <v>594</v>
      </c>
      <c r="H292" s="0" t="s">
        <v>505</v>
      </c>
    </row>
    <row r="293" customFormat="false" ht="15" hidden="false" customHeight="false" outlineLevel="0" collapsed="false">
      <c r="A293" s="0" t="s">
        <v>590</v>
      </c>
      <c r="B293" s="0" t="s">
        <v>690</v>
      </c>
      <c r="C293" s="0" t="s">
        <v>603</v>
      </c>
      <c r="D293" s="0" t="s">
        <v>691</v>
      </c>
      <c r="E293" s="0" t="s">
        <v>99</v>
      </c>
      <c r="F293" s="0" t="s">
        <v>502</v>
      </c>
      <c r="G293" s="0" t="s">
        <v>594</v>
      </c>
      <c r="H293" s="0" t="s">
        <v>503</v>
      </c>
    </row>
    <row r="294" customFormat="false" ht="15" hidden="false" customHeight="false" outlineLevel="0" collapsed="false">
      <c r="A294" s="0" t="s">
        <v>590</v>
      </c>
      <c r="B294" s="0" t="s">
        <v>690</v>
      </c>
      <c r="C294" s="0" t="s">
        <v>611</v>
      </c>
      <c r="D294" s="0" t="s">
        <v>691</v>
      </c>
      <c r="E294" s="0" t="s">
        <v>99</v>
      </c>
      <c r="F294" s="0" t="s">
        <v>504</v>
      </c>
      <c r="G294" s="0" t="s">
        <v>594</v>
      </c>
      <c r="H294" s="0" t="s">
        <v>505</v>
      </c>
    </row>
    <row r="295" customFormat="false" ht="15" hidden="false" customHeight="false" outlineLevel="0" collapsed="false">
      <c r="A295" s="0" t="s">
        <v>590</v>
      </c>
      <c r="B295" s="0" t="s">
        <v>692</v>
      </c>
      <c r="C295" s="0" t="s">
        <v>603</v>
      </c>
      <c r="D295" s="0" t="s">
        <v>693</v>
      </c>
      <c r="E295" s="0" t="s">
        <v>99</v>
      </c>
      <c r="F295" s="0" t="s">
        <v>502</v>
      </c>
      <c r="G295" s="0" t="s">
        <v>594</v>
      </c>
      <c r="H295" s="0" t="s">
        <v>503</v>
      </c>
    </row>
    <row r="296" customFormat="false" ht="15" hidden="false" customHeight="false" outlineLevel="0" collapsed="false">
      <c r="A296" s="0" t="s">
        <v>590</v>
      </c>
      <c r="B296" s="0" t="s">
        <v>692</v>
      </c>
      <c r="C296" s="0" t="s">
        <v>611</v>
      </c>
      <c r="D296" s="0" t="s">
        <v>693</v>
      </c>
      <c r="E296" s="0" t="s">
        <v>99</v>
      </c>
      <c r="F296" s="0" t="s">
        <v>504</v>
      </c>
      <c r="G296" s="0" t="s">
        <v>594</v>
      </c>
      <c r="H296" s="0" t="s">
        <v>505</v>
      </c>
    </row>
    <row r="297" customFormat="false" ht="15" hidden="false" customHeight="false" outlineLevel="0" collapsed="false">
      <c r="A297" s="0" t="s">
        <v>590</v>
      </c>
      <c r="B297" s="0" t="s">
        <v>694</v>
      </c>
      <c r="C297" s="0" t="s">
        <v>603</v>
      </c>
      <c r="D297" s="0" t="s">
        <v>695</v>
      </c>
      <c r="E297" s="0" t="s">
        <v>99</v>
      </c>
      <c r="F297" s="0" t="s">
        <v>502</v>
      </c>
      <c r="G297" s="0" t="s">
        <v>594</v>
      </c>
      <c r="H297" s="0" t="s">
        <v>503</v>
      </c>
    </row>
    <row r="298" customFormat="false" ht="15" hidden="false" customHeight="false" outlineLevel="0" collapsed="false">
      <c r="A298" s="0" t="s">
        <v>590</v>
      </c>
      <c r="B298" s="0" t="s">
        <v>694</v>
      </c>
      <c r="C298" s="0" t="s">
        <v>611</v>
      </c>
      <c r="D298" s="0" t="s">
        <v>695</v>
      </c>
      <c r="E298" s="0" t="s">
        <v>99</v>
      </c>
      <c r="F298" s="0" t="s">
        <v>504</v>
      </c>
      <c r="G298" s="0" t="s">
        <v>594</v>
      </c>
      <c r="H298" s="0" t="s">
        <v>505</v>
      </c>
    </row>
    <row r="299" customFormat="false" ht="15" hidden="false" customHeight="false" outlineLevel="0" collapsed="false">
      <c r="A299" s="0" t="s">
        <v>590</v>
      </c>
      <c r="B299" s="0" t="s">
        <v>696</v>
      </c>
      <c r="C299" s="0" t="s">
        <v>603</v>
      </c>
      <c r="D299" s="0" t="s">
        <v>697</v>
      </c>
      <c r="E299" s="0" t="s">
        <v>99</v>
      </c>
      <c r="F299" s="0" t="s">
        <v>502</v>
      </c>
      <c r="G299" s="0" t="s">
        <v>594</v>
      </c>
      <c r="H299" s="0" t="s">
        <v>503</v>
      </c>
    </row>
    <row r="300" customFormat="false" ht="15" hidden="false" customHeight="false" outlineLevel="0" collapsed="false">
      <c r="A300" s="0" t="s">
        <v>590</v>
      </c>
      <c r="B300" s="0" t="s">
        <v>696</v>
      </c>
      <c r="C300" s="0" t="s">
        <v>611</v>
      </c>
      <c r="D300" s="0" t="s">
        <v>697</v>
      </c>
      <c r="E300" s="0" t="s">
        <v>99</v>
      </c>
      <c r="F300" s="0" t="s">
        <v>504</v>
      </c>
      <c r="G300" s="0" t="s">
        <v>594</v>
      </c>
      <c r="H300" s="0" t="s">
        <v>505</v>
      </c>
    </row>
    <row r="301" customFormat="false" ht="15" hidden="false" customHeight="false" outlineLevel="0" collapsed="false">
      <c r="A301" s="0" t="s">
        <v>590</v>
      </c>
      <c r="B301" s="0" t="s">
        <v>698</v>
      </c>
      <c r="C301" s="0" t="s">
        <v>603</v>
      </c>
      <c r="D301" s="0" t="s">
        <v>699</v>
      </c>
      <c r="E301" s="0" t="s">
        <v>99</v>
      </c>
      <c r="F301" s="0" t="s">
        <v>502</v>
      </c>
      <c r="G301" s="0" t="s">
        <v>594</v>
      </c>
      <c r="H301" s="0" t="s">
        <v>503</v>
      </c>
    </row>
    <row r="302" customFormat="false" ht="15" hidden="false" customHeight="false" outlineLevel="0" collapsed="false">
      <c r="A302" s="0" t="s">
        <v>590</v>
      </c>
      <c r="B302" s="0" t="s">
        <v>698</v>
      </c>
      <c r="C302" s="0" t="s">
        <v>611</v>
      </c>
      <c r="D302" s="0" t="s">
        <v>699</v>
      </c>
      <c r="E302" s="0" t="s">
        <v>99</v>
      </c>
      <c r="F302" s="0" t="s">
        <v>504</v>
      </c>
      <c r="G302" s="0" t="s">
        <v>594</v>
      </c>
      <c r="H302" s="0" t="s">
        <v>505</v>
      </c>
    </row>
    <row r="303" customFormat="false" ht="15" hidden="false" customHeight="false" outlineLevel="0" collapsed="false">
      <c r="A303" s="0" t="s">
        <v>590</v>
      </c>
      <c r="B303" s="0" t="s">
        <v>700</v>
      </c>
      <c r="C303" s="0" t="s">
        <v>603</v>
      </c>
      <c r="D303" s="0" t="s">
        <v>701</v>
      </c>
      <c r="E303" s="0" t="s">
        <v>99</v>
      </c>
      <c r="F303" s="0" t="s">
        <v>502</v>
      </c>
      <c r="G303" s="0" t="s">
        <v>594</v>
      </c>
      <c r="H303" s="0" t="s">
        <v>503</v>
      </c>
    </row>
    <row r="304" customFormat="false" ht="15" hidden="false" customHeight="false" outlineLevel="0" collapsed="false">
      <c r="A304" s="0" t="s">
        <v>590</v>
      </c>
      <c r="B304" s="0" t="s">
        <v>700</v>
      </c>
      <c r="C304" s="0" t="s">
        <v>611</v>
      </c>
      <c r="D304" s="0" t="s">
        <v>701</v>
      </c>
      <c r="E304" s="0" t="s">
        <v>99</v>
      </c>
      <c r="F304" s="0" t="s">
        <v>504</v>
      </c>
      <c r="G304" s="0" t="s">
        <v>594</v>
      </c>
      <c r="H304" s="0" t="s">
        <v>505</v>
      </c>
    </row>
    <row r="305" customFormat="false" ht="15" hidden="false" customHeight="false" outlineLevel="0" collapsed="false">
      <c r="A305" s="0" t="s">
        <v>590</v>
      </c>
      <c r="B305" s="0" t="s">
        <v>702</v>
      </c>
      <c r="C305" s="0" t="s">
        <v>603</v>
      </c>
      <c r="D305" s="0" t="s">
        <v>703</v>
      </c>
      <c r="E305" s="0" t="s">
        <v>99</v>
      </c>
      <c r="F305" s="0" t="s">
        <v>502</v>
      </c>
      <c r="G305" s="0" t="s">
        <v>594</v>
      </c>
      <c r="H305" s="0" t="s">
        <v>503</v>
      </c>
    </row>
    <row r="306" customFormat="false" ht="15" hidden="false" customHeight="false" outlineLevel="0" collapsed="false">
      <c r="A306" s="0" t="s">
        <v>590</v>
      </c>
      <c r="B306" s="0" t="s">
        <v>702</v>
      </c>
      <c r="C306" s="0" t="s">
        <v>611</v>
      </c>
      <c r="D306" s="0" t="s">
        <v>703</v>
      </c>
      <c r="E306" s="0" t="s">
        <v>99</v>
      </c>
      <c r="F306" s="0" t="s">
        <v>504</v>
      </c>
      <c r="G306" s="0" t="s">
        <v>594</v>
      </c>
      <c r="H306" s="0" t="s">
        <v>505</v>
      </c>
    </row>
    <row r="307" customFormat="false" ht="15" hidden="false" customHeight="false" outlineLevel="0" collapsed="false">
      <c r="A307" s="0" t="s">
        <v>590</v>
      </c>
      <c r="B307" s="0" t="s">
        <v>704</v>
      </c>
      <c r="C307" s="0" t="s">
        <v>603</v>
      </c>
      <c r="D307" s="0" t="s">
        <v>705</v>
      </c>
      <c r="E307" s="0" t="s">
        <v>99</v>
      </c>
      <c r="F307" s="0" t="s">
        <v>502</v>
      </c>
      <c r="G307" s="0" t="s">
        <v>594</v>
      </c>
      <c r="H307" s="0" t="s">
        <v>503</v>
      </c>
    </row>
    <row r="308" customFormat="false" ht="15" hidden="false" customHeight="false" outlineLevel="0" collapsed="false">
      <c r="A308" s="0" t="s">
        <v>590</v>
      </c>
      <c r="B308" s="0" t="s">
        <v>704</v>
      </c>
      <c r="C308" s="0" t="s">
        <v>611</v>
      </c>
      <c r="D308" s="0" t="s">
        <v>705</v>
      </c>
      <c r="E308" s="0" t="s">
        <v>99</v>
      </c>
      <c r="F308" s="0" t="s">
        <v>504</v>
      </c>
      <c r="G308" s="0" t="s">
        <v>594</v>
      </c>
      <c r="H308" s="0" t="s">
        <v>505</v>
      </c>
    </row>
    <row r="309" customFormat="false" ht="15" hidden="false" customHeight="false" outlineLevel="0" collapsed="false">
      <c r="A309" s="0" t="s">
        <v>590</v>
      </c>
      <c r="B309" s="0" t="s">
        <v>706</v>
      </c>
      <c r="C309" s="0" t="s">
        <v>603</v>
      </c>
      <c r="D309" s="0" t="s">
        <v>707</v>
      </c>
      <c r="E309" s="0" t="s">
        <v>99</v>
      </c>
      <c r="F309" s="0" t="s">
        <v>502</v>
      </c>
      <c r="G309" s="0" t="s">
        <v>594</v>
      </c>
      <c r="H309" s="0" t="s">
        <v>503</v>
      </c>
    </row>
    <row r="310" customFormat="false" ht="15" hidden="false" customHeight="false" outlineLevel="0" collapsed="false">
      <c r="A310" s="0" t="s">
        <v>590</v>
      </c>
      <c r="B310" s="0" t="s">
        <v>706</v>
      </c>
      <c r="C310" s="0" t="s">
        <v>611</v>
      </c>
      <c r="D310" s="0" t="s">
        <v>708</v>
      </c>
      <c r="E310" s="0" t="s">
        <v>99</v>
      </c>
      <c r="F310" s="0" t="s">
        <v>504</v>
      </c>
      <c r="G310" s="0" t="s">
        <v>594</v>
      </c>
      <c r="H310" s="0" t="s">
        <v>505</v>
      </c>
    </row>
    <row r="311" customFormat="false" ht="15" hidden="false" customHeight="false" outlineLevel="0" collapsed="false">
      <c r="A311" s="0" t="s">
        <v>590</v>
      </c>
      <c r="B311" s="0" t="s">
        <v>709</v>
      </c>
      <c r="C311" s="0" t="s">
        <v>603</v>
      </c>
      <c r="D311" s="0" t="s">
        <v>710</v>
      </c>
      <c r="E311" s="0" t="s">
        <v>99</v>
      </c>
      <c r="F311" s="0" t="s">
        <v>502</v>
      </c>
      <c r="G311" s="0" t="s">
        <v>594</v>
      </c>
      <c r="H311" s="0" t="s">
        <v>503</v>
      </c>
    </row>
    <row r="312" customFormat="false" ht="15" hidden="false" customHeight="false" outlineLevel="0" collapsed="false">
      <c r="A312" s="0" t="s">
        <v>590</v>
      </c>
      <c r="B312" s="0" t="s">
        <v>709</v>
      </c>
      <c r="C312" s="0" t="s">
        <v>611</v>
      </c>
      <c r="D312" s="0" t="s">
        <v>711</v>
      </c>
      <c r="E312" s="0" t="s">
        <v>99</v>
      </c>
      <c r="F312" s="0" t="s">
        <v>504</v>
      </c>
      <c r="G312" s="0" t="s">
        <v>594</v>
      </c>
      <c r="H312" s="0" t="s">
        <v>505</v>
      </c>
    </row>
    <row r="313" customFormat="false" ht="15" hidden="false" customHeight="false" outlineLevel="0" collapsed="false">
      <c r="A313" s="0" t="s">
        <v>590</v>
      </c>
      <c r="B313" s="0" t="s">
        <v>712</v>
      </c>
      <c r="C313" s="0" t="s">
        <v>611</v>
      </c>
      <c r="D313" s="0" t="s">
        <v>713</v>
      </c>
      <c r="E313" s="0" t="s">
        <v>99</v>
      </c>
      <c r="F313" s="0" t="s">
        <v>504</v>
      </c>
      <c r="G313" s="0" t="s">
        <v>594</v>
      </c>
      <c r="H313" s="0" t="s">
        <v>505</v>
      </c>
    </row>
    <row r="314" customFormat="false" ht="15" hidden="false" customHeight="false" outlineLevel="0" collapsed="false">
      <c r="A314" s="0" t="s">
        <v>590</v>
      </c>
      <c r="B314" s="0" t="s">
        <v>714</v>
      </c>
      <c r="C314" s="0" t="s">
        <v>611</v>
      </c>
      <c r="D314" s="0" t="s">
        <v>715</v>
      </c>
      <c r="E314" s="0" t="s">
        <v>99</v>
      </c>
      <c r="F314" s="0" t="s">
        <v>504</v>
      </c>
      <c r="G314" s="0" t="s">
        <v>594</v>
      </c>
      <c r="H314" s="0" t="s">
        <v>505</v>
      </c>
    </row>
    <row r="315" customFormat="false" ht="15" hidden="false" customHeight="false" outlineLevel="0" collapsed="false">
      <c r="A315" s="0" t="s">
        <v>590</v>
      </c>
      <c r="B315" s="0" t="s">
        <v>716</v>
      </c>
      <c r="C315" s="0" t="s">
        <v>611</v>
      </c>
      <c r="D315" s="0" t="s">
        <v>717</v>
      </c>
      <c r="E315" s="0" t="s">
        <v>99</v>
      </c>
      <c r="F315" s="0" t="s">
        <v>504</v>
      </c>
      <c r="G315" s="0" t="s">
        <v>594</v>
      </c>
      <c r="H315" s="0" t="s">
        <v>505</v>
      </c>
    </row>
    <row r="316" customFormat="false" ht="15" hidden="false" customHeight="false" outlineLevel="0" collapsed="false">
      <c r="A316" s="0" t="s">
        <v>590</v>
      </c>
      <c r="B316" s="0" t="s">
        <v>718</v>
      </c>
      <c r="C316" s="0" t="s">
        <v>611</v>
      </c>
      <c r="D316" s="0" t="s">
        <v>719</v>
      </c>
      <c r="E316" s="0" t="s">
        <v>99</v>
      </c>
      <c r="F316" s="0" t="s">
        <v>504</v>
      </c>
      <c r="G316" s="0" t="s">
        <v>594</v>
      </c>
      <c r="H316" s="0" t="s">
        <v>505</v>
      </c>
    </row>
    <row r="317" customFormat="false" ht="15" hidden="false" customHeight="false" outlineLevel="0" collapsed="false">
      <c r="A317" s="0" t="s">
        <v>590</v>
      </c>
      <c r="B317" s="0" t="s">
        <v>720</v>
      </c>
      <c r="C317" s="0" t="s">
        <v>611</v>
      </c>
      <c r="D317" s="0" t="s">
        <v>721</v>
      </c>
      <c r="E317" s="0" t="s">
        <v>99</v>
      </c>
      <c r="F317" s="0" t="s">
        <v>504</v>
      </c>
      <c r="G317" s="0" t="s">
        <v>594</v>
      </c>
      <c r="H317" s="0" t="s">
        <v>505</v>
      </c>
    </row>
    <row r="318" customFormat="false" ht="15" hidden="false" customHeight="false" outlineLevel="0" collapsed="false">
      <c r="A318" s="0" t="s">
        <v>590</v>
      </c>
      <c r="B318" s="0" t="s">
        <v>722</v>
      </c>
      <c r="C318" s="0" t="s">
        <v>611</v>
      </c>
      <c r="D318" s="0" t="s">
        <v>723</v>
      </c>
      <c r="E318" s="0" t="s">
        <v>99</v>
      </c>
      <c r="F318" s="0" t="s">
        <v>504</v>
      </c>
      <c r="G318" s="0" t="s">
        <v>594</v>
      </c>
      <c r="H318" s="0" t="s">
        <v>505</v>
      </c>
    </row>
    <row r="319" customFormat="false" ht="15" hidden="false" customHeight="false" outlineLevel="0" collapsed="false">
      <c r="A319" s="0" t="s">
        <v>590</v>
      </c>
      <c r="B319" s="0" t="s">
        <v>724</v>
      </c>
      <c r="C319" s="0" t="s">
        <v>611</v>
      </c>
      <c r="D319" s="0" t="s">
        <v>725</v>
      </c>
      <c r="E319" s="0" t="s">
        <v>99</v>
      </c>
      <c r="F319" s="0" t="s">
        <v>504</v>
      </c>
      <c r="G319" s="0" t="s">
        <v>594</v>
      </c>
      <c r="H319" s="0" t="s">
        <v>505</v>
      </c>
    </row>
    <row r="320" customFormat="false" ht="15" hidden="false" customHeight="false" outlineLevel="0" collapsed="false">
      <c r="A320" s="0" t="s">
        <v>590</v>
      </c>
      <c r="B320" s="0" t="s">
        <v>726</v>
      </c>
      <c r="C320" s="0" t="s">
        <v>611</v>
      </c>
      <c r="D320" s="0" t="s">
        <v>727</v>
      </c>
      <c r="E320" s="0" t="s">
        <v>99</v>
      </c>
      <c r="F320" s="0" t="s">
        <v>504</v>
      </c>
      <c r="G320" s="0" t="s">
        <v>594</v>
      </c>
      <c r="H320" s="0" t="s">
        <v>505</v>
      </c>
    </row>
    <row r="321" customFormat="false" ht="15" hidden="false" customHeight="false" outlineLevel="0" collapsed="false">
      <c r="A321" s="0" t="s">
        <v>590</v>
      </c>
      <c r="B321" s="0" t="s">
        <v>728</v>
      </c>
      <c r="C321" s="0" t="s">
        <v>611</v>
      </c>
      <c r="D321" s="0" t="s">
        <v>729</v>
      </c>
      <c r="E321" s="0" t="s">
        <v>99</v>
      </c>
      <c r="F321" s="0" t="s">
        <v>504</v>
      </c>
      <c r="G321" s="0" t="s">
        <v>594</v>
      </c>
      <c r="H321" s="0" t="s">
        <v>505</v>
      </c>
    </row>
    <row r="322" customFormat="false" ht="15" hidden="false" customHeight="false" outlineLevel="0" collapsed="false">
      <c r="A322" s="0" t="s">
        <v>590</v>
      </c>
      <c r="B322" s="0" t="s">
        <v>730</v>
      </c>
      <c r="C322" s="0" t="s">
        <v>611</v>
      </c>
      <c r="D322" s="0" t="s">
        <v>731</v>
      </c>
      <c r="E322" s="0" t="s">
        <v>99</v>
      </c>
      <c r="F322" s="0" t="s">
        <v>504</v>
      </c>
      <c r="G322" s="0" t="s">
        <v>594</v>
      </c>
      <c r="H322" s="0" t="s">
        <v>505</v>
      </c>
    </row>
    <row r="323" customFormat="false" ht="15" hidden="false" customHeight="false" outlineLevel="0" collapsed="false">
      <c r="A323" s="0" t="s">
        <v>590</v>
      </c>
      <c r="B323" s="0" t="s">
        <v>732</v>
      </c>
      <c r="C323" s="0" t="s">
        <v>611</v>
      </c>
      <c r="D323" s="0" t="s">
        <v>733</v>
      </c>
      <c r="E323" s="0" t="s">
        <v>99</v>
      </c>
      <c r="F323" s="0" t="s">
        <v>504</v>
      </c>
      <c r="G323" s="0" t="s">
        <v>594</v>
      </c>
      <c r="H323" s="0" t="s">
        <v>505</v>
      </c>
    </row>
    <row r="324" customFormat="false" ht="15" hidden="false" customHeight="false" outlineLevel="0" collapsed="false">
      <c r="A324" s="0" t="s">
        <v>590</v>
      </c>
      <c r="B324" s="0" t="s">
        <v>734</v>
      </c>
      <c r="C324" s="0" t="s">
        <v>611</v>
      </c>
      <c r="D324" s="0" t="s">
        <v>735</v>
      </c>
      <c r="E324" s="0" t="s">
        <v>99</v>
      </c>
      <c r="F324" s="0" t="s">
        <v>504</v>
      </c>
      <c r="G324" s="0" t="s">
        <v>594</v>
      </c>
      <c r="H324" s="0" t="s">
        <v>505</v>
      </c>
    </row>
    <row r="325" customFormat="false" ht="15" hidden="false" customHeight="false" outlineLevel="0" collapsed="false">
      <c r="A325" s="0" t="s">
        <v>590</v>
      </c>
      <c r="B325" s="0" t="s">
        <v>736</v>
      </c>
      <c r="C325" s="0" t="s">
        <v>611</v>
      </c>
      <c r="D325" s="0" t="s">
        <v>737</v>
      </c>
      <c r="E325" s="0" t="s">
        <v>99</v>
      </c>
      <c r="F325" s="0" t="s">
        <v>504</v>
      </c>
      <c r="G325" s="0" t="s">
        <v>594</v>
      </c>
      <c r="H325" s="0" t="s">
        <v>505</v>
      </c>
    </row>
    <row r="326" customFormat="false" ht="15" hidden="false" customHeight="false" outlineLevel="0" collapsed="false">
      <c r="A326" s="0" t="s">
        <v>590</v>
      </c>
      <c r="B326" s="0" t="s">
        <v>738</v>
      </c>
      <c r="C326" s="0" t="s">
        <v>611</v>
      </c>
      <c r="D326" s="0" t="s">
        <v>739</v>
      </c>
      <c r="E326" s="0" t="s">
        <v>99</v>
      </c>
      <c r="F326" s="0" t="s">
        <v>504</v>
      </c>
      <c r="G326" s="0" t="s">
        <v>594</v>
      </c>
      <c r="H326" s="0" t="s">
        <v>505</v>
      </c>
    </row>
    <row r="328" customFormat="false" ht="15" hidden="false" customHeight="false" outlineLevel="0" collapsed="false">
      <c r="A328" s="2" t="s">
        <v>740</v>
      </c>
    </row>
    <row r="329" customFormat="false" ht="15" hidden="false" customHeight="false" outlineLevel="0" collapsed="false">
      <c r="A329" s="0" t="s">
        <v>741</v>
      </c>
      <c r="F329" s="0" t="s">
        <v>463</v>
      </c>
      <c r="H329" s="0" t="s">
        <v>465</v>
      </c>
    </row>
    <row r="330" customFormat="false" ht="15" hidden="false" customHeight="false" outlineLevel="0" collapsed="false">
      <c r="A330" s="0" t="s">
        <v>742</v>
      </c>
      <c r="F330" s="0" t="s">
        <v>466</v>
      </c>
      <c r="H330" s="0" t="s">
        <v>468</v>
      </c>
    </row>
    <row r="331" customFormat="false" ht="15" hidden="false" customHeight="false" outlineLevel="0" collapsed="false">
      <c r="A331" s="0" t="s">
        <v>743</v>
      </c>
      <c r="F331" s="0" t="s">
        <v>469</v>
      </c>
      <c r="H331" s="0" t="s">
        <v>471</v>
      </c>
    </row>
    <row r="332" customFormat="false" ht="15" hidden="false" customHeight="false" outlineLevel="0" collapsed="false">
      <c r="A332" s="0" t="s">
        <v>744</v>
      </c>
      <c r="F332" s="0" t="s">
        <v>472</v>
      </c>
      <c r="H332" s="0" t="s">
        <v>474</v>
      </c>
    </row>
    <row r="333" customFormat="false" ht="15" hidden="false" customHeight="false" outlineLevel="0" collapsed="false">
      <c r="A333" s="0" t="s">
        <v>745</v>
      </c>
      <c r="F333" s="0" t="s">
        <v>450</v>
      </c>
      <c r="H333" s="0" t="s">
        <v>452</v>
      </c>
    </row>
    <row r="334" customFormat="false" ht="15" hidden="false" customHeight="false" outlineLevel="0" collapsed="false">
      <c r="A334" s="0" t="s">
        <v>746</v>
      </c>
      <c r="F334" s="0" t="s">
        <v>453</v>
      </c>
      <c r="H334" s="0" t="s">
        <v>455</v>
      </c>
    </row>
    <row r="335" customFormat="false" ht="15" hidden="false" customHeight="false" outlineLevel="0" collapsed="false">
      <c r="A335" s="0" t="s">
        <v>747</v>
      </c>
      <c r="F335" s="0" t="s">
        <v>477</v>
      </c>
      <c r="H335" s="0" t="s">
        <v>479</v>
      </c>
    </row>
    <row r="336" customFormat="false" ht="15" hidden="false" customHeight="false" outlineLevel="0" collapsed="false">
      <c r="A336" s="0" t="s">
        <v>748</v>
      </c>
      <c r="F336" s="0" t="s">
        <v>480</v>
      </c>
      <c r="H336" s="0" t="s">
        <v>482</v>
      </c>
    </row>
    <row r="337" customFormat="false" ht="15" hidden="false" customHeight="false" outlineLevel="0" collapsed="false">
      <c r="A337" s="0" t="s">
        <v>749</v>
      </c>
      <c r="F337" s="0" t="s">
        <v>483</v>
      </c>
      <c r="H337" s="0" t="s">
        <v>485</v>
      </c>
    </row>
    <row r="338" customFormat="false" ht="15" hidden="false" customHeight="false" outlineLevel="0" collapsed="false">
      <c r="A338" s="0" t="s">
        <v>750</v>
      </c>
      <c r="F338" s="0" t="s">
        <v>456</v>
      </c>
      <c r="H338" s="0" t="s">
        <v>458</v>
      </c>
    </row>
    <row r="339" customFormat="false" ht="15" hidden="false" customHeight="false" outlineLevel="0" collapsed="false">
      <c r="A339" s="0" t="s">
        <v>751</v>
      </c>
      <c r="F339" s="0" t="s">
        <v>323</v>
      </c>
      <c r="H339" s="0" t="s">
        <v>461</v>
      </c>
    </row>
    <row r="340" customFormat="false" ht="15" hidden="false" customHeight="false" outlineLevel="0" collapsed="false">
      <c r="A340" s="0" t="s">
        <v>752</v>
      </c>
      <c r="F340" s="0" t="s">
        <v>509</v>
      </c>
      <c r="H340" s="0" t="s">
        <v>511</v>
      </c>
    </row>
    <row r="341" customFormat="false" ht="15" hidden="false" customHeight="false" outlineLevel="0" collapsed="false">
      <c r="A341" s="0" t="s">
        <v>753</v>
      </c>
      <c r="F341" s="0" t="s">
        <v>512</v>
      </c>
      <c r="H341" s="0" t="s">
        <v>513</v>
      </c>
    </row>
    <row r="342" customFormat="false" ht="15" hidden="false" customHeight="false" outlineLevel="0" collapsed="false">
      <c r="A342" s="0" t="s">
        <v>754</v>
      </c>
      <c r="F342" s="0" t="s">
        <v>514</v>
      </c>
      <c r="H342" s="0" t="s">
        <v>515</v>
      </c>
    </row>
    <row r="343" customFormat="false" ht="15" hidden="false" customHeight="false" outlineLevel="0" collapsed="false">
      <c r="A343" s="0" t="s">
        <v>755</v>
      </c>
      <c r="F343" s="0" t="s">
        <v>516</v>
      </c>
      <c r="H343" s="0" t="s">
        <v>517</v>
      </c>
    </row>
    <row r="344" customFormat="false" ht="15" hidden="false" customHeight="false" outlineLevel="0" collapsed="false">
      <c r="A344" s="0" t="s">
        <v>756</v>
      </c>
      <c r="F344" s="0" t="s">
        <v>518</v>
      </c>
      <c r="H344" s="0" t="s">
        <v>519</v>
      </c>
    </row>
    <row r="345" customFormat="false" ht="15" hidden="false" customHeight="false" outlineLevel="0" collapsed="false">
      <c r="A345" s="0" t="s">
        <v>757</v>
      </c>
      <c r="F345" s="0" t="s">
        <v>520</v>
      </c>
      <c r="H345" s="0" t="s">
        <v>521</v>
      </c>
    </row>
    <row r="346" customFormat="false" ht="15" hidden="false" customHeight="false" outlineLevel="0" collapsed="false">
      <c r="A346" s="0" t="s">
        <v>758</v>
      </c>
      <c r="F346" s="0" t="s">
        <v>522</v>
      </c>
      <c r="H346" s="0" t="s">
        <v>523</v>
      </c>
    </row>
    <row r="347" customFormat="false" ht="15" hidden="false" customHeight="false" outlineLevel="0" collapsed="false">
      <c r="A347" s="0" t="s">
        <v>759</v>
      </c>
      <c r="F347" s="0" t="s">
        <v>506</v>
      </c>
      <c r="H347" s="0" t="s">
        <v>507</v>
      </c>
    </row>
    <row r="348" customFormat="false" ht="15" hidden="false" customHeight="false" outlineLevel="0" collapsed="false">
      <c r="A348" s="0" t="s">
        <v>125</v>
      </c>
      <c r="F348" s="0" t="s">
        <v>499</v>
      </c>
      <c r="H348" s="0" t="s">
        <v>501</v>
      </c>
    </row>
    <row r="349" customFormat="false" ht="15" hidden="false" customHeight="false" outlineLevel="0" collapsed="false">
      <c r="A349" s="0" t="s">
        <v>129</v>
      </c>
      <c r="F349" s="0" t="s">
        <v>502</v>
      </c>
      <c r="H349" s="0" t="s">
        <v>503</v>
      </c>
    </row>
    <row r="350" customFormat="false" ht="15" hidden="false" customHeight="false" outlineLevel="0" collapsed="false">
      <c r="A350" s="0" t="s">
        <v>131</v>
      </c>
      <c r="F350" s="0" t="s">
        <v>504</v>
      </c>
      <c r="H350" s="0" t="s">
        <v>505</v>
      </c>
    </row>
    <row r="351" customFormat="false" ht="15" hidden="false" customHeight="false" outlineLevel="0" collapsed="false">
      <c r="A351" s="0" t="s">
        <v>760</v>
      </c>
      <c r="F351" s="0" t="s">
        <v>317</v>
      </c>
      <c r="H351" s="0" t="s">
        <v>542</v>
      </c>
    </row>
    <row r="352" customFormat="false" ht="15" hidden="false" customHeight="false" outlineLevel="0" collapsed="false">
      <c r="A352" s="0" t="s">
        <v>761</v>
      </c>
      <c r="F352" s="0" t="s">
        <v>528</v>
      </c>
      <c r="H352" s="0" t="s">
        <v>530</v>
      </c>
    </row>
    <row r="353" customFormat="false" ht="15" hidden="false" customHeight="false" outlineLevel="0" collapsed="false">
      <c r="A353" s="0" t="s">
        <v>762</v>
      </c>
      <c r="F353" s="0" t="s">
        <v>531</v>
      </c>
      <c r="H353" s="0" t="s">
        <v>533</v>
      </c>
    </row>
    <row r="354" customFormat="false" ht="15" hidden="false" customHeight="false" outlineLevel="0" collapsed="false">
      <c r="A354" s="0" t="s">
        <v>763</v>
      </c>
      <c r="F354" s="0" t="s">
        <v>569</v>
      </c>
      <c r="H354" s="0" t="s">
        <v>571</v>
      </c>
    </row>
    <row r="355" customFormat="false" ht="15" hidden="false" customHeight="false" outlineLevel="0" collapsed="false">
      <c r="A355" s="0" t="s">
        <v>764</v>
      </c>
      <c r="F355" s="0" t="s">
        <v>534</v>
      </c>
      <c r="H355" s="0" t="s">
        <v>536</v>
      </c>
    </row>
    <row r="356" customFormat="false" ht="15" hidden="false" customHeight="false" outlineLevel="0" collapsed="false">
      <c r="A356" s="0" t="s">
        <v>765</v>
      </c>
      <c r="F356" s="0" t="s">
        <v>265</v>
      </c>
      <c r="H356" s="0" t="s">
        <v>539</v>
      </c>
    </row>
    <row r="357" customFormat="false" ht="15" hidden="false" customHeight="false" outlineLevel="0" collapsed="false">
      <c r="A357" s="0" t="s">
        <v>766</v>
      </c>
      <c r="F357" s="0" t="s">
        <v>525</v>
      </c>
      <c r="H357" s="0" t="s">
        <v>527</v>
      </c>
    </row>
    <row r="358" customFormat="false" ht="15" hidden="false" customHeight="false" outlineLevel="0" collapsed="false">
      <c r="A358" s="0" t="s">
        <v>767</v>
      </c>
      <c r="F358" s="0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7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4" t="s">
        <v>23</v>
      </c>
      <c r="B1" s="4" t="s">
        <v>768</v>
      </c>
      <c r="C1" s="4" t="s">
        <v>769</v>
      </c>
      <c r="D1" s="4" t="s">
        <v>770</v>
      </c>
      <c r="E1" s="4" t="s">
        <v>771</v>
      </c>
    </row>
    <row r="2" customFormat="false" ht="55.2" hidden="false" customHeight="false" outlineLevel="0" collapsed="false">
      <c r="A2" s="1" t="s">
        <v>41</v>
      </c>
      <c r="B2" s="1" t="s">
        <v>772</v>
      </c>
      <c r="C2" s="1" t="s">
        <v>773</v>
      </c>
      <c r="D2" s="1" t="s">
        <v>774</v>
      </c>
      <c r="E2" s="1" t="s">
        <v>775</v>
      </c>
    </row>
    <row r="3" customFormat="false" ht="28.35" hidden="false" customHeight="false" outlineLevel="0" collapsed="false">
      <c r="A3" s="1" t="s">
        <v>61</v>
      </c>
      <c r="B3" s="1" t="s">
        <v>776</v>
      </c>
      <c r="C3" s="1" t="s">
        <v>777</v>
      </c>
      <c r="D3" s="1" t="s">
        <v>778</v>
      </c>
      <c r="E3" s="1" t="s">
        <v>779</v>
      </c>
    </row>
    <row r="4" customFormat="false" ht="41.75" hidden="false" customHeight="false" outlineLevel="0" collapsed="false">
      <c r="A4" s="1" t="s">
        <v>68</v>
      </c>
      <c r="B4" s="1" t="s">
        <v>780</v>
      </c>
      <c r="C4" s="1" t="s">
        <v>781</v>
      </c>
      <c r="D4" s="1" t="s">
        <v>782</v>
      </c>
      <c r="E4" s="1" t="s">
        <v>783</v>
      </c>
    </row>
    <row r="5" customFormat="false" ht="41.75" hidden="false" customHeight="false" outlineLevel="0" collapsed="false">
      <c r="A5" s="1" t="s">
        <v>78</v>
      </c>
      <c r="B5" s="1" t="s">
        <v>784</v>
      </c>
      <c r="C5" s="1" t="s">
        <v>785</v>
      </c>
      <c r="D5" s="1" t="s">
        <v>786</v>
      </c>
      <c r="E5" s="1" t="s">
        <v>787</v>
      </c>
    </row>
    <row r="6" customFormat="false" ht="28.35" hidden="false" customHeight="false" outlineLevel="0" collapsed="false">
      <c r="A6" s="1" t="s">
        <v>97</v>
      </c>
      <c r="B6" s="1" t="s">
        <v>788</v>
      </c>
      <c r="C6" s="1" t="s">
        <v>789</v>
      </c>
      <c r="D6" s="1" t="s">
        <v>790</v>
      </c>
      <c r="E6" s="1" t="s">
        <v>791</v>
      </c>
    </row>
    <row r="7" customFormat="false" ht="41.75" hidden="false" customHeight="false" outlineLevel="0" collapsed="false">
      <c r="A7" s="1" t="s">
        <v>113</v>
      </c>
      <c r="B7" s="1" t="s">
        <v>792</v>
      </c>
      <c r="C7" s="1" t="s">
        <v>793</v>
      </c>
      <c r="D7" s="1" t="s">
        <v>794</v>
      </c>
      <c r="E7" s="1" t="s">
        <v>795</v>
      </c>
    </row>
    <row r="8" customFormat="false" ht="28.35" hidden="false" customHeight="false" outlineLevel="0" collapsed="false">
      <c r="A8" s="1" t="s">
        <v>127</v>
      </c>
      <c r="B8" s="1" t="s">
        <v>796</v>
      </c>
      <c r="C8" s="1" t="s">
        <v>797</v>
      </c>
      <c r="D8" s="1" t="s">
        <v>798</v>
      </c>
      <c r="E8" s="1" t="s">
        <v>799</v>
      </c>
    </row>
    <row r="9" customFormat="false" ht="41.75" hidden="false" customHeight="false" outlineLevel="0" collapsed="false">
      <c r="A9" s="1" t="s">
        <v>140</v>
      </c>
      <c r="B9" s="1" t="s">
        <v>800</v>
      </c>
      <c r="C9" s="1" t="s">
        <v>801</v>
      </c>
      <c r="D9" s="1" t="s">
        <v>802</v>
      </c>
      <c r="E9" s="1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90"/>
  </cols>
  <sheetData>
    <row r="1" customFormat="false" ht="28.35" hidden="false" customHeight="false" outlineLevel="0" collapsed="false">
      <c r="A1" s="4" t="s">
        <v>804</v>
      </c>
      <c r="B1" s="4" t="s">
        <v>805</v>
      </c>
      <c r="C1" s="4" t="s">
        <v>806</v>
      </c>
      <c r="D1" s="4" t="s">
        <v>807</v>
      </c>
      <c r="E1" s="4" t="s">
        <v>808</v>
      </c>
      <c r="F1" s="4" t="s">
        <v>809</v>
      </c>
    </row>
    <row r="2" customFormat="false" ht="55.2" hidden="false" customHeight="false" outlineLevel="0" collapsed="false">
      <c r="A2" s="1" t="s">
        <v>24</v>
      </c>
      <c r="B2" s="1" t="s">
        <v>810</v>
      </c>
      <c r="C2" s="1" t="s">
        <v>811</v>
      </c>
      <c r="D2" s="1" t="s">
        <v>810</v>
      </c>
      <c r="E2" s="1" t="s">
        <v>812</v>
      </c>
      <c r="F2" s="1" t="s">
        <v>813</v>
      </c>
    </row>
    <row r="3" customFormat="false" ht="55.2" hidden="false" customHeight="false" outlineLevel="0" collapsed="false">
      <c r="A3" s="1" t="s">
        <v>25</v>
      </c>
      <c r="B3" s="1" t="s">
        <v>814</v>
      </c>
      <c r="C3" s="1" t="s">
        <v>815</v>
      </c>
      <c r="D3" s="1" t="s">
        <v>814</v>
      </c>
      <c r="E3" s="1" t="s">
        <v>816</v>
      </c>
      <c r="F3" s="1"/>
    </row>
    <row r="4" customFormat="false" ht="55.2" hidden="false" customHeight="false" outlineLevel="0" collapsed="false">
      <c r="A4" s="1" t="s">
        <v>26</v>
      </c>
      <c r="B4" s="1" t="s">
        <v>817</v>
      </c>
      <c r="C4" s="1" t="s">
        <v>818</v>
      </c>
      <c r="D4" s="1" t="s">
        <v>817</v>
      </c>
      <c r="E4" s="1" t="s">
        <v>819</v>
      </c>
      <c r="F4" s="1"/>
    </row>
    <row r="5" customFormat="false" ht="55.2" hidden="false" customHeight="false" outlineLevel="0" collapsed="false">
      <c r="A5" s="1" t="s">
        <v>27</v>
      </c>
      <c r="B5" s="1" t="s">
        <v>820</v>
      </c>
      <c r="C5" s="1" t="s">
        <v>821</v>
      </c>
      <c r="D5" s="1" t="s">
        <v>820</v>
      </c>
      <c r="E5" s="1" t="s">
        <v>822</v>
      </c>
      <c r="F5" s="1"/>
    </row>
    <row r="6" customFormat="false" ht="55.2" hidden="false" customHeight="false" outlineLevel="0" collapsed="false">
      <c r="A6" s="1" t="s">
        <v>28</v>
      </c>
      <c r="B6" s="1" t="s">
        <v>823</v>
      </c>
      <c r="C6" s="1" t="s">
        <v>824</v>
      </c>
      <c r="D6" s="1" t="s">
        <v>823</v>
      </c>
      <c r="E6" s="1" t="s">
        <v>825</v>
      </c>
      <c r="F6" s="1"/>
    </row>
    <row r="7" customFormat="false" ht="55.2" hidden="false" customHeight="false" outlineLevel="0" collapsed="false">
      <c r="A7" s="1" t="s">
        <v>29</v>
      </c>
      <c r="B7" s="1" t="s">
        <v>826</v>
      </c>
      <c r="C7" s="1" t="s">
        <v>827</v>
      </c>
      <c r="D7" s="1" t="s">
        <v>826</v>
      </c>
      <c r="E7" s="1" t="s">
        <v>828</v>
      </c>
      <c r="F7" s="1"/>
    </row>
    <row r="8" customFormat="false" ht="55.2" hidden="false" customHeight="false" outlineLevel="0" collapsed="false">
      <c r="A8" s="1" t="s">
        <v>30</v>
      </c>
      <c r="B8" s="1" t="s">
        <v>829</v>
      </c>
      <c r="C8" s="1" t="s">
        <v>830</v>
      </c>
      <c r="D8" s="1" t="s">
        <v>829</v>
      </c>
      <c r="E8" s="1" t="s">
        <v>831</v>
      </c>
      <c r="F8" s="1"/>
    </row>
    <row r="9" customFormat="false" ht="55.2" hidden="false" customHeight="false" outlineLevel="0" collapsed="false">
      <c r="A9" s="1" t="s">
        <v>31</v>
      </c>
      <c r="B9" s="1" t="s">
        <v>832</v>
      </c>
      <c r="C9" s="1" t="s">
        <v>833</v>
      </c>
      <c r="D9" s="1" t="s">
        <v>832</v>
      </c>
      <c r="E9" s="1" t="s">
        <v>834</v>
      </c>
      <c r="F9" s="1"/>
    </row>
    <row r="10" customFormat="false" ht="55.2" hidden="false" customHeight="false" outlineLevel="0" collapsed="false">
      <c r="A10" s="1" t="s">
        <v>32</v>
      </c>
      <c r="B10" s="1" t="s">
        <v>835</v>
      </c>
      <c r="C10" s="1" t="s">
        <v>836</v>
      </c>
      <c r="D10" s="1" t="s">
        <v>835</v>
      </c>
      <c r="E10" s="1" t="s">
        <v>837</v>
      </c>
      <c r="F10" s="1"/>
    </row>
    <row r="11" customFormat="false" ht="55.2" hidden="false" customHeight="false" outlineLevel="0" collapsed="false">
      <c r="A11" s="1" t="s">
        <v>33</v>
      </c>
      <c r="B11" s="1" t="s">
        <v>838</v>
      </c>
      <c r="C11" s="1" t="s">
        <v>839</v>
      </c>
      <c r="D11" s="1" t="s">
        <v>838</v>
      </c>
      <c r="E11" s="1" t="s">
        <v>840</v>
      </c>
      <c r="F11" s="1"/>
    </row>
    <row r="12" customFormat="false" ht="55.2" hidden="false" customHeight="false" outlineLevel="0" collapsed="false">
      <c r="A12" s="1" t="s">
        <v>34</v>
      </c>
      <c r="B12" s="1" t="s">
        <v>841</v>
      </c>
      <c r="C12" s="1" t="s">
        <v>842</v>
      </c>
      <c r="D12" s="1" t="s">
        <v>841</v>
      </c>
      <c r="E12" s="1" t="s">
        <v>843</v>
      </c>
      <c r="F12" s="1"/>
    </row>
    <row r="13" customFormat="false" ht="55.2" hidden="false" customHeight="false" outlineLevel="0" collapsed="false">
      <c r="A13" s="1" t="s">
        <v>35</v>
      </c>
      <c r="B13" s="1" t="s">
        <v>844</v>
      </c>
      <c r="C13" s="1" t="s">
        <v>845</v>
      </c>
      <c r="D13" s="1" t="s">
        <v>844</v>
      </c>
      <c r="E13" s="1" t="s">
        <v>846</v>
      </c>
      <c r="F13" s="1" t="s">
        <v>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5" min="4" style="0" width="50"/>
  </cols>
  <sheetData>
    <row r="1" customFormat="false" ht="15" hidden="false" customHeight="false" outlineLevel="0" collapsed="false">
      <c r="A1" s="4" t="s">
        <v>135</v>
      </c>
      <c r="B1" s="4" t="s">
        <v>848</v>
      </c>
      <c r="C1" s="4" t="s">
        <v>849</v>
      </c>
      <c r="D1" s="4" t="s">
        <v>850</v>
      </c>
      <c r="E1" s="4" t="s">
        <v>851</v>
      </c>
    </row>
    <row r="2" customFormat="false" ht="28.35" hidden="false" customHeight="false" outlineLevel="0" collapsed="false">
      <c r="A2" s="0" t="n">
        <v>1</v>
      </c>
      <c r="B2" s="1" t="s">
        <v>852</v>
      </c>
      <c r="C2" s="1" t="s">
        <v>853</v>
      </c>
      <c r="D2" s="1" t="s">
        <v>854</v>
      </c>
      <c r="E2" s="1" t="s">
        <v>855</v>
      </c>
    </row>
    <row r="3" customFormat="false" ht="28.35" hidden="false" customHeight="false" outlineLevel="0" collapsed="false">
      <c r="A3" s="0" t="n">
        <v>2</v>
      </c>
      <c r="B3" s="1" t="s">
        <v>852</v>
      </c>
      <c r="C3" s="1" t="s">
        <v>856</v>
      </c>
      <c r="D3" s="1" t="s">
        <v>857</v>
      </c>
      <c r="E3" s="1" t="s">
        <v>858</v>
      </c>
    </row>
    <row r="4" customFormat="false" ht="15" hidden="false" customHeight="false" outlineLevel="0" collapsed="false">
      <c r="A4" s="0" t="n">
        <v>3</v>
      </c>
      <c r="B4" s="1" t="s">
        <v>852</v>
      </c>
      <c r="C4" s="1" t="s">
        <v>859</v>
      </c>
      <c r="D4" s="1" t="s">
        <v>860</v>
      </c>
      <c r="E4" s="1"/>
    </row>
    <row r="5" customFormat="false" ht="15" hidden="false" customHeight="false" outlineLevel="0" collapsed="false">
      <c r="A5" s="0" t="n">
        <v>4</v>
      </c>
      <c r="B5" s="1" t="s">
        <v>852</v>
      </c>
      <c r="C5" s="1" t="s">
        <v>861</v>
      </c>
      <c r="D5" s="1" t="s">
        <v>862</v>
      </c>
      <c r="E5" s="1"/>
    </row>
    <row r="6" customFormat="false" ht="15" hidden="false" customHeight="false" outlineLevel="0" collapsed="false">
      <c r="A6" s="0" t="n">
        <v>5</v>
      </c>
      <c r="B6" s="1" t="s">
        <v>852</v>
      </c>
      <c r="C6" s="1" t="s">
        <v>863</v>
      </c>
      <c r="D6" s="1" t="s">
        <v>864</v>
      </c>
      <c r="E6" s="1" t="s">
        <v>865</v>
      </c>
    </row>
    <row r="7" customFormat="false" ht="28.35" hidden="false" customHeight="false" outlineLevel="0" collapsed="false">
      <c r="A7" s="0" t="n">
        <v>6</v>
      </c>
      <c r="B7" s="1" t="s">
        <v>866</v>
      </c>
      <c r="C7" s="1" t="s">
        <v>867</v>
      </c>
      <c r="D7" s="1" t="s">
        <v>868</v>
      </c>
      <c r="E7" s="1"/>
    </row>
    <row r="8" customFormat="false" ht="15" hidden="false" customHeight="false" outlineLevel="0" collapsed="false">
      <c r="A8" s="0" t="n">
        <v>7</v>
      </c>
      <c r="B8" s="1" t="s">
        <v>866</v>
      </c>
      <c r="C8" s="1" t="s">
        <v>869</v>
      </c>
      <c r="D8" s="1"/>
      <c r="E8" s="1"/>
    </row>
    <row r="9" customFormat="false" ht="55.2" hidden="false" customHeight="false" outlineLevel="0" collapsed="false">
      <c r="A9" s="0" t="n">
        <v>8</v>
      </c>
      <c r="B9" s="1" t="s">
        <v>870</v>
      </c>
      <c r="C9" s="1" t="s">
        <v>871</v>
      </c>
      <c r="D9" s="1"/>
      <c r="E9" s="1"/>
    </row>
    <row r="10" customFormat="false" ht="28.35" hidden="false" customHeight="false" outlineLevel="0" collapsed="false">
      <c r="A10" s="0" t="n">
        <v>9</v>
      </c>
      <c r="B10" s="1" t="s">
        <v>870</v>
      </c>
      <c r="C10" s="1" t="s">
        <v>872</v>
      </c>
      <c r="D10" s="1" t="s">
        <v>873</v>
      </c>
      <c r="E10" s="1"/>
    </row>
    <row r="11" customFormat="false" ht="28.35" hidden="false" customHeight="false" outlineLevel="0" collapsed="false">
      <c r="A11" s="0" t="n">
        <v>10</v>
      </c>
      <c r="B11" s="1" t="s">
        <v>870</v>
      </c>
      <c r="C11" s="1" t="s">
        <v>874</v>
      </c>
      <c r="D11" s="1"/>
      <c r="E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15" hidden="false" customHeight="false" outlineLevel="0" collapsed="false">
      <c r="A1" s="2" t="s">
        <v>875</v>
      </c>
    </row>
    <row r="3" customFormat="false" ht="68.6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876</v>
      </c>
      <c r="E3" s="4" t="s">
        <v>877</v>
      </c>
      <c r="F3" s="4" t="s">
        <v>878</v>
      </c>
    </row>
    <row r="4" customFormat="false" ht="15" hidden="false" customHeight="false" outlineLevel="0" collapsed="false">
      <c r="A4" s="0" t="s">
        <v>38</v>
      </c>
      <c r="B4" s="0" t="str">
        <f aca="false">KPIs!B5</f>
        <v>Revenue per active MW - period-end MW</v>
      </c>
      <c r="C4" s="0" t="str">
        <f aca="false">KPIs!C5</f>
        <v>$M/MW-yr</v>
      </c>
      <c r="D4" s="21" t="str">
        <f aca="false">KPIs!N5</f>
        <v>n/d</v>
      </c>
      <c r="E4" s="21" t="str">
        <f aca="false">KPIs!O5</f>
        <v>n/d</v>
      </c>
      <c r="F4" s="21" t="str">
        <f aca="false">KPIs!P5</f>
        <v>n/d</v>
      </c>
    </row>
    <row r="5" customFormat="false" ht="15" hidden="false" customHeight="false" outlineLevel="0" collapsed="false">
      <c r="A5" s="0" t="s">
        <v>45</v>
      </c>
      <c r="B5" s="0" t="str">
        <f aca="false">KPIs!B7</f>
        <v>Revenue per active MW - average MW</v>
      </c>
      <c r="C5" s="0" t="str">
        <f aca="false">KPIs!C7</f>
        <v>$M/MW-yr</v>
      </c>
      <c r="D5" s="21" t="str">
        <f aca="false">KPIs!N7</f>
        <v>n/d</v>
      </c>
      <c r="E5" s="21" t="str">
        <f aca="false">KPIs!O7</f>
        <v>n/d</v>
      </c>
      <c r="F5" s="21" t="str">
        <f aca="false">KPIs!P7</f>
        <v>n/d</v>
      </c>
    </row>
    <row r="6" customFormat="false" ht="15" hidden="false" customHeight="false" outlineLevel="0" collapsed="false">
      <c r="A6" s="0" t="s">
        <v>48</v>
      </c>
      <c r="B6" s="0" t="str">
        <f aca="false">KPIs!B9</f>
        <v>Revenue per contracted MW</v>
      </c>
      <c r="C6" s="0" t="str">
        <f aca="false">KPIs!C9</f>
        <v>$M/MW-yr</v>
      </c>
      <c r="D6" s="21" t="str">
        <f aca="false">KPIs!N9</f>
        <v>n/d</v>
      </c>
      <c r="E6" s="21" t="str">
        <f aca="false">KPIs!O9</f>
        <v>n/d</v>
      </c>
      <c r="F6" s="21" t="str">
        <f aca="false">KPIs!P9</f>
        <v>n/d</v>
      </c>
    </row>
    <row r="7" customFormat="false" ht="15" hidden="false" customHeight="false" outlineLevel="0" collapsed="false">
      <c r="A7" s="0" t="s">
        <v>54</v>
      </c>
      <c r="B7" s="0" t="str">
        <f aca="false">KPIs!B13</f>
        <v>Adj. EBITDA per active MW (average MW)</v>
      </c>
      <c r="C7" s="0" t="str">
        <f aca="false">KPIs!C13</f>
        <v>$M/MW-yr</v>
      </c>
      <c r="D7" s="21" t="str">
        <f aca="false">KPIs!N13</f>
        <v>n/d</v>
      </c>
      <c r="E7" s="21" t="str">
        <f aca="false">KPIs!O13</f>
        <v>n/d</v>
      </c>
      <c r="F7" s="21" t="str">
        <f aca="false">KPIs!P13</f>
        <v>n/d</v>
      </c>
    </row>
    <row r="8" customFormat="false" ht="15" hidden="false" customHeight="false" outlineLevel="0" collapsed="false">
      <c r="A8" s="0" t="s">
        <v>58</v>
      </c>
      <c r="B8" s="0" t="str">
        <f aca="false">KPIs!B16</f>
        <v>Revenue per GPU ($K per GPU-year, avg GPUs)</v>
      </c>
      <c r="C8" s="0" t="str">
        <f aca="false">KPIs!C16</f>
        <v>$K/GPU-yr</v>
      </c>
      <c r="D8" s="21" t="str">
        <f aca="false">KPIs!N16</f>
        <v>n/d</v>
      </c>
      <c r="E8" s="21" t="str">
        <f aca="false">KPIs!O16</f>
        <v>n/d</v>
      </c>
      <c r="F8" s="21" t="str">
        <f aca="false">KPIs!P16</f>
        <v>n/d</v>
      </c>
    </row>
    <row r="9" customFormat="false" ht="15" hidden="false" customHeight="false" outlineLevel="0" collapsed="false">
      <c r="A9" s="0" t="s">
        <v>63</v>
      </c>
      <c r="B9" s="0" t="str">
        <f aca="false">KPIs!B18</f>
        <v>Implied blended realized price ($/GPU-hr)</v>
      </c>
      <c r="C9" s="0" t="str">
        <f aca="false">KPIs!C18</f>
        <v>$/GPU-hr</v>
      </c>
      <c r="D9" s="21" t="str">
        <f aca="false">KPIs!N18</f>
        <v>n/d</v>
      </c>
      <c r="E9" s="21" t="str">
        <f aca="false">KPIs!O18</f>
        <v>n/d</v>
      </c>
      <c r="F9" s="21" t="str">
        <f aca="false">KPIs!P18</f>
        <v>n/d</v>
      </c>
    </row>
    <row r="10" customFormat="false" ht="15" hidden="false" customHeight="false" outlineLevel="0" collapsed="false">
      <c r="A10" s="0" t="s">
        <v>70</v>
      </c>
      <c r="B10" s="0" t="str">
        <f aca="false">KPIs!B22</f>
        <v>Implied utilization (realized $/GPU-hr / weighted list)</v>
      </c>
      <c r="C10" s="0" t="str">
        <f aca="false">KPIs!C22</f>
        <v>%</v>
      </c>
      <c r="D10" s="21" t="str">
        <f aca="false">KPIs!N22</f>
        <v>n/d</v>
      </c>
      <c r="E10" s="21" t="str">
        <f aca="false">KPIs!O22</f>
        <v>n/d</v>
      </c>
      <c r="F10" s="21" t="str">
        <f aca="false">KPIs!P22</f>
        <v>n/d</v>
      </c>
    </row>
    <row r="11" customFormat="false" ht="15" hidden="false" customHeight="false" outlineLevel="0" collapsed="false">
      <c r="A11" s="0" t="s">
        <v>75</v>
      </c>
      <c r="B11" s="0" t="str">
        <f aca="false">KPIs!B25</f>
        <v>Cash capex per new active MW</v>
      </c>
      <c r="C11" s="0" t="str">
        <f aca="false">KPIs!C25</f>
        <v>$M/MW</v>
      </c>
      <c r="D11" s="21" t="n">
        <f aca="false">KPIs!N25</f>
        <v>46.5875</v>
      </c>
      <c r="E11" s="21" t="n">
        <f aca="false">KPIs!O25</f>
        <v>56.8724137931035</v>
      </c>
      <c r="F11" s="21" t="n">
        <f aca="false">KPIs!P25</f>
        <v>33.5282352941177</v>
      </c>
    </row>
    <row r="12" customFormat="false" ht="15" hidden="false" customHeight="false" outlineLevel="0" collapsed="false">
      <c r="A12" s="0" t="s">
        <v>83</v>
      </c>
      <c r="B12" s="0" t="str">
        <f aca="false">KPIs!B29</f>
        <v>In-service additions per new active MW</v>
      </c>
      <c r="C12" s="0" t="str">
        <f aca="false">KPIs!C29</f>
        <v>$M/MW</v>
      </c>
      <c r="D12" s="21" t="str">
        <f aca="false">KPIs!N29</f>
        <v>n/d</v>
      </c>
      <c r="E12" s="21" t="str">
        <f aca="false">KPIs!O29</f>
        <v>n/d</v>
      </c>
      <c r="F12" s="21" t="str">
        <f aca="false">KPIs!P29</f>
        <v>n/d</v>
      </c>
    </row>
    <row r="13" customFormat="false" ht="15" hidden="false" customHeight="false" outlineLevel="0" collapsed="false">
      <c r="A13" s="0" t="s">
        <v>86</v>
      </c>
      <c r="B13" s="0" t="str">
        <f aca="false">KPIs!B31</f>
        <v>Trailing-4Q cash capex per trailing-4Q new active MW</v>
      </c>
      <c r="C13" s="0" t="str">
        <f aca="false">KPIs!C31</f>
        <v>$M/MW</v>
      </c>
      <c r="D13" s="21" t="str">
        <f aca="false">KPIs!N31</f>
        <v>n/d</v>
      </c>
      <c r="E13" s="21" t="n">
        <f aca="false">KPIs!O31</f>
        <v>46.3858333333333</v>
      </c>
      <c r="F13" s="21" t="n">
        <f aca="false">KPIs!P31</f>
        <v>39</v>
      </c>
    </row>
    <row r="14" customFormat="false" ht="15" hidden="false" customHeight="false" outlineLevel="0" collapsed="false">
      <c r="A14" s="0" t="s">
        <v>89</v>
      </c>
      <c r="B14" s="0" t="str">
        <f aca="false">KPIs!B33</f>
        <v>Net PP&amp;E per active MW (EoP)</v>
      </c>
      <c r="C14" s="0" t="str">
        <f aca="false">KPIs!C33</f>
        <v>$M/MW</v>
      </c>
      <c r="D14" s="21" t="str">
        <f aca="false">KPIs!N33</f>
        <v>n/d</v>
      </c>
      <c r="E14" s="21" t="str">
        <f aca="false">KPIs!O33</f>
        <v>n/d</v>
      </c>
      <c r="F14" s="21" t="str">
        <f aca="false">KPIs!P33</f>
        <v>n/d</v>
      </c>
    </row>
    <row r="15" customFormat="false" ht="15" hidden="false" customHeight="false" outlineLevel="0" collapsed="false">
      <c r="A15" s="0" t="s">
        <v>91</v>
      </c>
      <c r="B15" s="0" t="str">
        <f aca="false">KPIs!B35</f>
        <v>Gross in-service PP&amp;E per active MW (EoP)</v>
      </c>
      <c r="C15" s="0" t="str">
        <f aca="false">KPIs!C35</f>
        <v>$M/MW</v>
      </c>
      <c r="D15" s="21" t="str">
        <f aca="false">KPIs!N35</f>
        <v>n/d</v>
      </c>
      <c r="E15" s="21" t="str">
        <f aca="false">KPIs!O35</f>
        <v>n/d</v>
      </c>
      <c r="F15" s="21" t="str">
        <f aca="false">KPIs!P35</f>
        <v>n/d</v>
      </c>
    </row>
    <row r="16" customFormat="false" ht="15" hidden="false" customHeight="false" outlineLevel="0" collapsed="false">
      <c r="A16" s="0" t="s">
        <v>94</v>
      </c>
      <c r="B16" s="0" t="str">
        <f aca="false">KPIs!B38</f>
        <v>Useful life - GPU / server equipment</v>
      </c>
      <c r="C16" s="0" t="str">
        <f aca="false">KPIs!C38</f>
        <v>years</v>
      </c>
      <c r="D16" s="21" t="n">
        <f aca="false">KPIs!N38</f>
        <v>6</v>
      </c>
      <c r="E16" s="21" t="n">
        <f aca="false">KPIs!O38</f>
        <v>6</v>
      </c>
      <c r="F16" s="21" t="n">
        <f aca="false">KPIs!P38</f>
        <v>6</v>
      </c>
    </row>
    <row r="17" customFormat="false" ht="15" hidden="false" customHeight="false" outlineLevel="0" collapsed="false">
      <c r="A17" s="0" t="s">
        <v>100</v>
      </c>
      <c r="B17" s="0" t="str">
        <f aca="false">KPIs!B40</f>
        <v>Depreciation yield (D&amp;A x4 / avg in-service gross PP&amp;E)</v>
      </c>
      <c r="C17" s="0" t="str">
        <f aca="false">KPIs!C40</f>
        <v>%</v>
      </c>
      <c r="D17" s="21" t="str">
        <f aca="false">KPIs!N40</f>
        <v>n/d</v>
      </c>
      <c r="E17" s="21" t="str">
        <f aca="false">KPIs!O40</f>
        <v>n/d</v>
      </c>
      <c r="F17" s="21" t="n">
        <f aca="false">KPIs!P40</f>
        <v>13.4492457172079</v>
      </c>
    </row>
    <row r="18" customFormat="false" ht="15" hidden="false" customHeight="false" outlineLevel="0" collapsed="false">
      <c r="A18" s="0" t="s">
        <v>110</v>
      </c>
      <c r="B18" s="0" t="str">
        <f aca="false">KPIs!B47</f>
        <v>RPO (ASC 606, EoP)</v>
      </c>
      <c r="C18" s="0" t="str">
        <f aca="false">KPIs!C47</f>
        <v>$B</v>
      </c>
      <c r="D18" s="21" t="n">
        <f aca="false">KPIs!N47</f>
        <v>552.6</v>
      </c>
      <c r="E18" s="21" t="n">
        <f aca="false">KPIs!O47</f>
        <v>638</v>
      </c>
      <c r="F18" s="21" t="n">
        <f aca="false">KPIs!P47</f>
        <v>664</v>
      </c>
    </row>
    <row r="19" customFormat="false" ht="15" hidden="false" customHeight="false" outlineLevel="0" collapsed="false">
      <c r="A19" s="0" t="s">
        <v>115</v>
      </c>
      <c r="B19" s="0" t="str">
        <f aca="false">KPIs!B49</f>
        <v>Revenue backlog (company metric / incl. contracted non-RPO, EoP)</v>
      </c>
      <c r="C19" s="0" t="str">
        <f aca="false">KPIs!C49</f>
        <v>$B</v>
      </c>
      <c r="D19" s="21" t="str">
        <f aca="false">KPIs!N49</f>
        <v>n/d</v>
      </c>
      <c r="E19" s="21" t="str">
        <f aca="false">KPIs!O49</f>
        <v>n/d</v>
      </c>
      <c r="F19" s="21" t="str">
        <f aca="false">KPIs!P49</f>
        <v>n/d</v>
      </c>
    </row>
    <row r="20" customFormat="false" ht="15" hidden="false" customHeight="false" outlineLevel="0" collapsed="false">
      <c r="A20" s="0" t="s">
        <v>118</v>
      </c>
      <c r="B20" s="0" t="str">
        <f aca="false">KPIs!B51</f>
        <v>RPO % recognized within 24 months</v>
      </c>
      <c r="C20" s="0" t="str">
        <f aca="false">KPIs!C51</f>
        <v>%</v>
      </c>
      <c r="D20" s="21" t="n">
        <f aca="false">KPIs!N51</f>
        <v>27.5</v>
      </c>
      <c r="E20" s="21" t="n">
        <f aca="false">KPIs!O51</f>
        <v>29</v>
      </c>
      <c r="F20" s="21" t="n">
        <f aca="false">KPIs!P51</f>
        <v>31.5</v>
      </c>
    </row>
    <row r="21" customFormat="false" ht="15" hidden="false" customHeight="false" outlineLevel="0" collapsed="false">
      <c r="A21" s="0" t="s">
        <v>125</v>
      </c>
      <c r="B21" s="0" t="str">
        <f aca="false">KPIs!B56</f>
        <v>Largest customer % of revenue</v>
      </c>
      <c r="C21" s="0" t="str">
        <f aca="false">KPIs!C56</f>
        <v>%</v>
      </c>
      <c r="D21" s="21" t="str">
        <f aca="false">KPIs!N56</f>
        <v>n/d</v>
      </c>
      <c r="E21" s="21" t="str">
        <f aca="false">KPIs!O56</f>
        <v>n/d</v>
      </c>
      <c r="F21" s="21" t="str">
        <f aca="false">KPIs!P56</f>
        <v>n/d</v>
      </c>
    </row>
    <row r="22" customFormat="false" ht="15" hidden="false" customHeight="false" outlineLevel="0" collapsed="false">
      <c r="A22" s="0" t="s">
        <v>131</v>
      </c>
      <c r="B22" s="0" t="str">
        <f aca="false">KPIs!B60</f>
        <v>Top-N &gt;=10% customers combined %</v>
      </c>
      <c r="C22" s="0" t="str">
        <f aca="false">KPIs!C60</f>
        <v>%</v>
      </c>
      <c r="D22" s="21" t="str">
        <f aca="false">KPIs!N60</f>
        <v>n/d</v>
      </c>
      <c r="E22" s="21" t="str">
        <f aca="false">KPIs!O60</f>
        <v>n/d</v>
      </c>
      <c r="F22" s="21" t="str">
        <f aca="false">KPIs!P60</f>
        <v>n/d</v>
      </c>
    </row>
    <row r="23" customFormat="false" ht="15" hidden="false" customHeight="false" outlineLevel="0" collapsed="false">
      <c r="A23" s="0" t="s">
        <v>133</v>
      </c>
      <c r="B23" s="0" t="str">
        <f aca="false">KPIs!B62</f>
        <v>Number of customers &gt;=10% of revenue</v>
      </c>
      <c r="C23" s="0" t="str">
        <f aca="false">KPIs!C62</f>
        <v>#</v>
      </c>
      <c r="D23" s="21" t="str">
        <f aca="false">KPIs!N62</f>
        <v>n/d</v>
      </c>
      <c r="E23" s="21" t="n">
        <f aca="false">KPIs!O62</f>
        <v>0</v>
      </c>
      <c r="F23" s="21" t="str">
        <f aca="false">KPIs!P62</f>
        <v>n/d</v>
      </c>
    </row>
    <row r="24" customFormat="false" ht="15" hidden="false" customHeight="false" outlineLevel="0" collapsed="false">
      <c r="A24" s="0" t="s">
        <v>138</v>
      </c>
      <c r="B24" s="0" t="str">
        <f aca="false">KPIs!B65</f>
        <v>Weighted effective cost of debt (principal-weighted, EoP) - all facilities</v>
      </c>
      <c r="C24" s="0" t="str">
        <f aca="false">KPIs!C65</f>
        <v>%</v>
      </c>
      <c r="D24" s="21" t="str">
        <f aca="false">KPIs!N65</f>
        <v>n/d</v>
      </c>
      <c r="E24" s="21" t="n">
        <f aca="false">KPIs!O65</f>
        <v>4.82820053034088</v>
      </c>
      <c r="F24" s="21" t="str">
        <f aca="false">KPIs!P65</f>
        <v>n/d</v>
      </c>
    </row>
    <row r="25" customFormat="false" ht="15" hidden="false" customHeight="false" outlineLevel="0" collapsed="false">
      <c r="A25" s="0" t="s">
        <v>145</v>
      </c>
      <c r="B25" s="0" t="str">
        <f aca="false">KPIs!B69</f>
        <v>  of which Senior notes - weighted eff. rate</v>
      </c>
      <c r="C25" s="0" t="str">
        <f aca="false">KPIs!C69</f>
        <v>%</v>
      </c>
      <c r="D25" s="21" t="str">
        <f aca="false">KPIs!N69</f>
        <v>n/d</v>
      </c>
      <c r="E25" s="21" t="n">
        <f aca="false">KPIs!O69</f>
        <v>4.81467611336032</v>
      </c>
      <c r="F25" s="21" t="str">
        <f aca="false">KPIs!P69</f>
        <v>n/d</v>
      </c>
    </row>
    <row r="26" customFormat="false" ht="15" hidden="false" customHeight="false" outlineLevel="0" collapsed="false">
      <c r="A26" s="0" t="s">
        <v>148</v>
      </c>
      <c r="B26" s="0" t="str">
        <f aca="false">KPIs!B71</f>
        <v>  of which Converts - weighted eff. rate</v>
      </c>
      <c r="C26" s="0" t="str">
        <f aca="false">KPIs!C71</f>
        <v>%</v>
      </c>
      <c r="D26" s="21" t="str">
        <f aca="false">KPIs!N71</f>
        <v>n/d</v>
      </c>
      <c r="E26" s="21" t="str">
        <f aca="false">KPIs!O71</f>
        <v>n/d</v>
      </c>
      <c r="F26" s="21" t="str">
        <f aca="false">KPIs!P71</f>
        <v>n/d</v>
      </c>
    </row>
    <row r="27" customFormat="false" ht="15" hidden="false" customHeight="false" outlineLevel="0" collapsed="false">
      <c r="A27" s="0" t="s">
        <v>161</v>
      </c>
      <c r="B27" s="0" t="str">
        <f aca="false">KPIs!B81</f>
        <v>Implied cash cost: interest x4 / avg principal</v>
      </c>
      <c r="C27" s="0" t="str">
        <f aca="false">KPIs!C81</f>
        <v>%</v>
      </c>
      <c r="D27" s="21" t="n">
        <f aca="false">KPIs!N81</f>
        <v>3.88989615955167</v>
      </c>
      <c r="E27" s="21" t="n">
        <f aca="false">KPIs!O81</f>
        <v>4.35516721812937</v>
      </c>
      <c r="F27" s="21" t="n">
        <f aca="false">KPIs!P81</f>
        <v>4.48214439849654</v>
      </c>
    </row>
    <row r="28" customFormat="false" ht="15" hidden="false" customHeight="false" outlineLevel="0" collapsed="false">
      <c r="A28" s="0" t="s">
        <v>175</v>
      </c>
      <c r="B28" s="0" t="str">
        <f aca="false">KPIs!B92</f>
        <v>Company-reported GPU utilization (physical)</v>
      </c>
      <c r="C28" s="0" t="str">
        <f aca="false">KPIs!C92</f>
        <v>%</v>
      </c>
      <c r="D28" s="21" t="str">
        <f aca="false">KPIs!N92</f>
        <v>n/d</v>
      </c>
      <c r="E28" s="21" t="n">
        <f aca="false">KPIs!O92</f>
        <v>97.5</v>
      </c>
      <c r="F28" s="21" t="n">
        <f aca="false">KPIs!P92</f>
        <v>97.9</v>
      </c>
    </row>
    <row r="29" customFormat="false" ht="15" hidden="false" customHeight="false" outlineLevel="0" collapsed="false">
      <c r="A29" s="0" t="s">
        <v>178</v>
      </c>
      <c r="B29" s="0" t="str">
        <f aca="false">KPIs!B94</f>
        <v>RPO % recognized within 12 months</v>
      </c>
      <c r="C29" s="0" t="str">
        <f aca="false">KPIs!C94</f>
        <v>%</v>
      </c>
      <c r="D29" s="21" t="n">
        <f aca="false">KPIs!N94</f>
        <v>12</v>
      </c>
      <c r="E29" s="21" t="n">
        <f aca="false">KPIs!O94</f>
        <v>12</v>
      </c>
      <c r="F29" s="21" t="n">
        <f aca="false">KPIs!P94</f>
        <v>13</v>
      </c>
    </row>
    <row r="30" customFormat="false" ht="15" hidden="false" customHeight="false" outlineLevel="0" collapsed="false">
      <c r="A30" s="0" t="s">
        <v>181</v>
      </c>
      <c r="B30" s="0" t="str">
        <f aca="false">KPIs!B96</f>
        <v>Incremental annualized revenue per incremental MW (YoY)</v>
      </c>
      <c r="C30" s="0" t="str">
        <f aca="false">KPIs!C96</f>
        <v>$M/MW-yr</v>
      </c>
      <c r="D30" s="21" t="str">
        <f aca="false">KPIs!N96</f>
        <v>n/d</v>
      </c>
      <c r="E30" s="21" t="n">
        <f aca="false">KPIs!O96</f>
        <v>9.30666666666667</v>
      </c>
      <c r="F30" s="21" t="n">
        <f aca="false">KPIs!P96</f>
        <v>8.3319587628866</v>
      </c>
    </row>
    <row r="31" customFormat="false" ht="15" hidden="false" customHeight="false" outlineLevel="0" collapsed="false">
      <c r="A31" s="0" t="s">
        <v>184</v>
      </c>
      <c r="B31" s="0" t="str">
        <f aca="false">KPIs!B98</f>
        <v>Annualized revenue / avg gross GPU-compute hardware in service</v>
      </c>
      <c r="C31" s="0" t="str">
        <f aca="false">KPIs!C98</f>
        <v>x</v>
      </c>
      <c r="D31" s="21" t="str">
        <f aca="false">KPIs!N98</f>
        <v>n/d</v>
      </c>
      <c r="E31" s="21" t="str">
        <f aca="false">KPIs!O98</f>
        <v>n/d</v>
      </c>
      <c r="F31" s="21" t="str">
        <f aca="false">KPIs!P98</f>
        <v>n/d</v>
      </c>
    </row>
    <row r="32" customFormat="false" ht="15" hidden="false" customHeight="false" outlineLevel="0" collapsed="false">
      <c r="A32" s="0" t="s">
        <v>186</v>
      </c>
      <c r="B32" s="0" t="str">
        <f aca="false">KPIs!B100</f>
        <v>Segment gross margin (revenue - cost of revenue excl. D&amp;A) / revenue</v>
      </c>
      <c r="C32" s="0" t="str">
        <f aca="false">KPIs!C100</f>
        <v>%</v>
      </c>
      <c r="D32" s="21" t="str">
        <f aca="false">KPIs!N100</f>
        <v>n/d</v>
      </c>
      <c r="E32" s="21" t="str">
        <f aca="false">KPIs!O100</f>
        <v>n/d</v>
      </c>
      <c r="F32" s="21" t="str">
        <f aca="false">KPIs!P100</f>
        <v>n/d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2026-10-05T01:10:38Z</dcterms:created>
  <dc:creator>openpyxl</dc:creator>
  <dc:description/>
  <dc:language>en-US</dc:language>
  <cp:lastModifiedBy/>
  <dcterms:modified xsi:type="dcterms:W3CDTF">2026-10-05T01:10:38Z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