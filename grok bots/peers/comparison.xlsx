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ison" sheetId="1" state="visible" r:id="rId3"/>
    <sheet name="README" sheetId="2" state="visible" r:id="rId4"/>
    <sheet name="Ranking" sheetId="3" state="visible" r:id="rId5"/>
    <sheet name="Nebius_Inputs" sheetId="4" state="visible" r:id="rId6"/>
    <sheet name="Contracts_$MWyr" sheetId="5" state="visible" r:id="rId7"/>
    <sheet name="Sites" sheetId="6" state="visible" r:id="rId8"/>
    <sheet name="Chart_Data" sheetId="7" state="visible" r:id="rId9"/>
    <sheet name="Charts" sheetId="8" state="visible" r:id="rId10"/>
    <sheet name="Peer_mem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Peers v3</author>
  </authors>
  <commentList>
    <comment ref="J8" authorId="0">
      <text>
        <r>
          <rPr>
            <sz val="10"/>
            <rFont val="Arial"/>
            <family val="2"/>
          </rPr>
          <t xml:space="preserve">IREN contracted/live &lt;=6.5x [D] (upper bound; not in the median). Live = ~40 MW AI Cloud operating capacity at Jun 30, 2026 (FY26 10-K, R), company-wide; excludes Horizon 1 (50 IT MW, accepted Aug 13). Childress ~75 MW active (Oct, D) is one site and not used. Contracted ~260 IT = Microsoft 200 + NVIDIA ~60 (D).</t>
        </r>
      </text>
    </comment>
    <comment ref="M8" authorId="0">
      <text>
        <r>
          <rPr>
            <sz val="10"/>
            <rFont val="Arial"/>
            <family val="2"/>
          </rPr>
          <t xml:space="preserve">Oracle contracted/live n/d. Contracted '&gt;10 GW secured' [R, FQ1 FY27 call Sep 10] (not a filed contract figure). Live ~2,050 = AI MW delivered since Jun-25 (E); installed base n/d.</t>
        </r>
      </text>
    </comment>
  </commentList>
</comments>
</file>

<file path=xl/sharedStrings.xml><?xml version="1.0" encoding="utf-8"?>
<sst xmlns="http://schemas.openxmlformats.org/spreadsheetml/2006/main" count="2518" uniqueCount="1041">
  <si>
    <t xml:space="preserve">Peer Comparison - Nebius vs CoreWeave, IREN (AI Cloud), Oracle OCI, Nscale, Lambda, Crusoe. Template KPI IDs/definitions (peers/coreweave/crwv_kpis.xlsx 'Definitions'; K41-K45 in peers/peer_kpi_template.py). Latest available period per peer; as-of shown per cell. Nebius cells are formulas on Nebius_Inputs. Private-peer values from peers/private/private_peers_values.json (Summary) with their tags. Built 2026-10-04 ET; v0.9e refresh 2026-10-08 ET by peers/build_comparison.py (Nebius_Inputs locks from model v0.9e: billed IT MW YE26 258 base / 284 high; FY27 avg 531.8 base / 659.2 high, engine-linked. Shares: 358.56M with new converts as debt (&lt; $313) / 376.65M if-converted (&gt; $325). Next Nebius print: Q3'26 results ~Nov 10 (est.) - date not announced by the company.</t>
  </si>
  <si>
    <t xml:space="preserve">ID</t>
  </si>
  <si>
    <t xml:space="preserve">KPI</t>
  </si>
  <si>
    <t xml:space="preserve">Unit</t>
  </si>
  <si>
    <t xml:space="preserve">Nebius</t>
  </si>
  <si>
    <t xml:space="preserve">Tag</t>
  </si>
  <si>
    <t xml:space="preserve">As of</t>
  </si>
  <si>
    <t xml:space="preserve">CoreWeave</t>
  </si>
  <si>
    <t xml:space="preserve">IREN</t>
  </si>
  <si>
    <t xml:space="preserve">Oracle OCI</t>
  </si>
  <si>
    <t xml:space="preserve">Nscale</t>
  </si>
  <si>
    <t xml:space="preserve">Lambda</t>
  </si>
  <si>
    <t xml:space="preserve">Crusoe</t>
  </si>
  <si>
    <t xml:space="preserve">Peer median (formula; comparable peers)</t>
  </si>
  <si>
    <t xml:space="preserve">Nebius better / worse</t>
  </si>
  <si>
    <t xml:space="preserve">Reason (auto numbers + interpretation)</t>
  </si>
  <si>
    <t xml:space="preserve">Nebius basis note</t>
  </si>
  <si>
    <t xml:space="preserve">Peer basis comment</t>
  </si>
  <si>
    <t xml:space="preserve">K01</t>
  </si>
  <si>
    <t xml:space="preserve">Revenue per active MW - period-end reported MW</t>
  </si>
  <si>
    <t xml:space="preserve">$M/MW-yr</t>
  </si>
  <si>
    <t xml:space="preserve">E</t>
  </si>
  <si>
    <t xml:space="preserve">Jun-26</t>
  </si>
  <si>
    <t xml:space="preserve">Derived</t>
  </si>
  <si>
    <t xml:space="preserve">n/d</t>
  </si>
  <si>
    <t xml:space="preserve">D</t>
  </si>
  <si>
    <t xml:space="preserve">2026-06-30</t>
  </si>
  <si>
    <t xml:space="preserve">D (inputs P)</t>
  </si>
  <si>
    <t xml:space="preserve">2025-06-30</t>
  </si>
  <si>
    <t xml:space="preserve">E (inputs P/R)</t>
  </si>
  <si>
    <t xml:space="preserve">2026-09-17</t>
  </si>
  <si>
    <t xml:space="preserve">Better</t>
  </si>
  <si>
    <t xml:space="preserve">Nebius 11.92 vs peer median 6.87 (range Crusoe 2.00 - Lambda 9.70; n=5); higher revenue density per energized MW (Nebius MW is a Capacity estimate; mixed IT/gross basis)</t>
  </si>
  <si>
    <t xml:space="preserve">Q2'26 AI cloud rev x4 / Jun-26 energized MW (193, Capacity base case, E)</t>
  </si>
  <si>
    <t xml:space="preserve">Basis differs: CRWV IT-like active MW; IREN 40 MW AI (basis unstated); Oracle no installed MW; Nscale IT MW at 5 active sites (H1'26 x2); Lambda Q2'25 (press MW); Crusoe FY26E rev / ~1 GW GROSS.</t>
  </si>
  <si>
    <t xml:space="preserve">K02</t>
  </si>
  <si>
    <t xml:space="preserve">Revenue per active MW - average MW (2024 uses interpolated MW)</t>
  </si>
  <si>
    <t xml:space="preserve">Estimated</t>
  </si>
  <si>
    <t xml:space="preserve">Sep-25</t>
  </si>
  <si>
    <t xml:space="preserve">Nebius 12.28 vs peer median 9.36 (range CoreWeave 8.24 - IREN 10.48; n=2); same on average MW - the fixed, comparable figure; Blackwell-heavy, mostly new fleet lifts density</t>
  </si>
  <si>
    <t xml:space="preserve">average energized MW (181.5+193)/2 = 187.25 (Capacity base case, E); replaces old 13.7 on stale YE25 170 MW</t>
  </si>
  <si>
    <t xml:space="preserve">K02b</t>
  </si>
  <si>
    <t xml:space="preserve">Revenue per BILLING IT MW - average MW (billed-IT basis; Nebius = Capacity billing path)</t>
  </si>
  <si>
    <t xml:space="preserve">Nebius 13.06 vs peer median 8.24 (range CoreWeave 8.24 - CoreWeave 8.24; n=1); same numerator on average BILLING IT MW (billed-IT basis; Nebius Capacity billing path, CoreWeave active~billed) - the basis the v0.9e Judge slide / Drivers use for $/billed MW</t>
  </si>
  <si>
    <t xml:space="preserve">BILLED-IT basis: Q2'26 AI cloud rev x4 / AVERAGE(Capacity billing IT MW Q1'26, Q2'26) (row 147; Vineland billed tranches + other sites lagged 1Q). Not energized/gross MW. Same billed-IT basis as the forward $/billed MW memo (YE26 258/284; FY27 avg 531.8/659.2 engine-linked; model v0.9e - see Nebius_Inputs).</t>
  </si>
  <si>
    <t xml:space="preserve">CoreWeave K02b = K02 per crwv_kpis.xlsx K02b row (active power ~ billed; no separate billing series). IREN/Oracle/Nscale/Lambda/Crusoe disclose no billed-MW series -&gt; n/d (not inferred). Median n=1: treat as directional.</t>
  </si>
  <si>
    <t xml:space="preserve">K03</t>
  </si>
  <si>
    <t xml:space="preserve">Revenue per contracted MW</t>
  </si>
  <si>
    <t xml:space="preserve">2026-08-31</t>
  </si>
  <si>
    <t xml:space="preserve">Nebius 0.66 vs peer median 0.33 (range Nscale 0.21 - CoreWeave 2.78; n=3); monetises contracted power faster? Nebius has far more unbuilt contracted MW than CRWV</t>
  </si>
  <si>
    <t xml:space="preserve">&gt;3.5 GW is a lower bound -&gt; value is an upper bound</t>
  </si>
  <si>
    <t xml:space="preserve">K04</t>
  </si>
  <si>
    <t xml:space="preserve">Contracted / active MW (build-out multiple)</t>
  </si>
  <si>
    <t xml:space="preserve">x</t>
  </si>
  <si>
    <t xml:space="preserve">Context</t>
  </si>
  <si>
    <t xml:space="preserve">Nebius 18.13 vs peer median 6.00 (range CoreWeave 2.47 - Nscale 16.91; n=3); build-out multiple: big growth runway but heavy execution/funding need (context, not scored)</t>
  </si>
  <si>
    <t xml:space="preserve">K05</t>
  </si>
  <si>
    <t xml:space="preserve">Adj. EBITDA per active MW (average MW)</t>
  </si>
  <si>
    <t xml:space="preserve">Nebius 6.10 vs peer median -0.04 (range Nscale -4.92 - CoreWeave 4.83; n=2); segment adj. EBITDA per MW well above CRWV-style peers</t>
  </si>
  <si>
    <t xml:space="preserve">AI cloud segment adj. EBITDA</t>
  </si>
  <si>
    <t xml:space="preserve">K06</t>
  </si>
  <si>
    <t xml:space="preserve">Revenue per GPU ($K per GPU-year, avg GPUs)</t>
  </si>
  <si>
    <t xml:space="preserve">$K/GPU-yr</t>
  </si>
  <si>
    <t xml:space="preserve">Nebius 26.51 vs peer median 14.60 (range Nscale 11.25 - Lambda 18.24; n=4); revenue per (modeled) GPU</t>
  </si>
  <si>
    <t xml:space="preserve">modeled GPUs</t>
  </si>
  <si>
    <t xml:space="preserve">IREN latest Q3'25. Lambda/Nscale ESTIMATED from GPU counts.</t>
  </si>
  <si>
    <t xml:space="preserve">K07</t>
  </si>
  <si>
    <t xml:space="preserve">Implied blended realized price ($/GPU-hr)</t>
  </si>
  <si>
    <t xml:space="preserve">$/GPU-hr</t>
  </si>
  <si>
    <t xml:space="preserve">Nebius 3.03 vs peer median 1.66 (range Nscale 1.29 - Lambda 2.09; n=4); realized $/GPU-hr above peers (modeled GPU base; includes non-GPU revenue)</t>
  </si>
  <si>
    <t xml:space="preserve">incl. non-GPU-hour revenue</t>
  </si>
  <si>
    <t xml:space="preserve">Nebius realized $3.29 includes non-GPU-hour revenue and uses modeled GPUs.</t>
  </si>
  <si>
    <t xml:space="preserve">K08</t>
  </si>
  <si>
    <t xml:space="preserve">Fleet-weighted on-demand list price ($/GPU-hr)</t>
  </si>
  <si>
    <t xml:space="preserve">R</t>
  </si>
  <si>
    <t xml:space="preserve">2025-06-16</t>
  </si>
  <si>
    <t xml:space="preserve">2026-10-04</t>
  </si>
  <si>
    <t xml:space="preserve">Nebius 5.61 vs peer median 3.45 (range IREN 2.00 - CoreWeave 9.20; n=4); list-price context</t>
  </si>
  <si>
    <t xml:space="preserve">K09</t>
  </si>
  <si>
    <t xml:space="preserve">Implied utilization (realized $/GPU-hr / weighted list)</t>
  </si>
  <si>
    <t xml:space="preserve">%</t>
  </si>
  <si>
    <t xml:space="preserve">Nebius 54.13 vs peer median 43.94 (range CoreWeave 18.06 - Lambda 69.83; n=2); price-based 'utilization' (mixes discount with use); not physical utilization</t>
  </si>
  <si>
    <t xml:space="preserve">Not like-for-like (see NONCOMP list in README).; Excluded from median: IREN: vs IREN's own $2.00 assumption, not list</t>
  </si>
  <si>
    <t xml:space="preserve">K10</t>
  </si>
  <si>
    <t xml:space="preserve">Cash capex per new active MW (reported MW)</t>
  </si>
  <si>
    <t xml:space="preserve">$M/MW</t>
  </si>
  <si>
    <t xml:space="preserve">n.m.</t>
  </si>
  <si>
    <t xml:space="preserve">May-26 (FQ4 FY26)</t>
  </si>
  <si>
    <t xml:space="preserve">n/a</t>
  </si>
  <si>
    <t xml:space="preserve">Nebius n/d. single-quarter capex/MW not meaningful for Nebius (+1.5 MW)</t>
  </si>
  <si>
    <t xml:space="preserve">MW added in Q2'26 only +1.5 (Capacity est.) -&gt; not meaningful</t>
  </si>
  <si>
    <t xml:space="preserve">K12</t>
  </si>
  <si>
    <t xml:space="preserve">In-service additions per new active MW (CRWV capex definition)</t>
  </si>
  <si>
    <t xml:space="preserve">Dec-25 (FY25)</t>
  </si>
  <si>
    <t xml:space="preserve">In line</t>
  </si>
  <si>
    <t xml:space="preserve">Nebius 19.68 vs peer median 18.70 (range CoreWeave 18.70 - CoreWeave 18.70; n=1); in-service $ per MW added (FY25 basis for Nebius)</t>
  </si>
  <si>
    <t xml:space="preserve">FY25 basis; quarterly n.m.</t>
  </si>
  <si>
    <t xml:space="preserve">K13</t>
  </si>
  <si>
    <t xml:space="preserve">Trailing-4Q cash capex per trailing-4Q new active MW</t>
  </si>
  <si>
    <t xml:space="preserve">Worse</t>
  </si>
  <si>
    <t xml:space="preserve">Nebius 77.91 vs peer median 33.18 (range CoreWeave 19.97 - Oracle OCI 46.39; n=2); capex per MW added is high because capex funds 2027 capacity (not-yet-in-use $7.8B)</t>
  </si>
  <si>
    <t xml:space="preserve">capex funds future (not-yet-in-use) capacity -&gt; inflated</t>
  </si>
  <si>
    <t xml:space="preserve">Oracle FY26 capex / delivered MW (E). Nscale/Lambda/Crusoe n/d.</t>
  </si>
  <si>
    <t xml:space="preserve">K14</t>
  </si>
  <si>
    <t xml:space="preserve">Net PP&amp;E per active MW (EoP)</t>
  </si>
  <si>
    <t xml:space="preserve">2025-05-21</t>
  </si>
  <si>
    <t xml:space="preserve">Nebius 67.59 vs peer median 50.93 (range CoreWeave 31.16 - Nscale 70.71; n=2); net PP&amp;E per active MW inflated by construction-in-progress</t>
  </si>
  <si>
    <t xml:space="preserve">incl. $7.8B not yet in use</t>
  </si>
  <si>
    <t xml:space="preserve">Crusoe 12.5 = Abilene JV shell+power only (excluded from median).; Excluded from median: Crusoe: shell+power only (ex-GPU)</t>
  </si>
  <si>
    <t xml:space="preserve">K15</t>
  </si>
  <si>
    <t xml:space="preserve">Gross in-service PP&amp;E per active MW (EoP)</t>
  </si>
  <si>
    <t xml:space="preserve">Nebius 32.71 vs peer median 23.98 (range Nscale 20.83 - CoreWeave 27.14; n=2); gross in-service PP&amp;E per MW</t>
  </si>
  <si>
    <t xml:space="preserve">K16</t>
  </si>
  <si>
    <t xml:space="preserve">Useful life - technology equipment (GPUs/servers/network)</t>
  </si>
  <si>
    <t xml:space="preserve">years</t>
  </si>
  <si>
    <t xml:space="preserve">Reported</t>
  </si>
  <si>
    <t xml:space="preserve">Nebius 5.00 vs peer median 5.75 (range IREN 5.00 - CoreWeave 6.00; n=4); shorter life = more conservative accounting (Nebius moved 4-&gt;5 yrs in 2026; CRWV/Oracle 6)</t>
  </si>
  <si>
    <t xml:space="preserve">Lives: CRWV 6, Oracle 6, Nscale 5-6, IREN 5, Nebius 5 (from 2026).</t>
  </si>
  <si>
    <t xml:space="preserve">K17</t>
  </si>
  <si>
    <t xml:space="preserve">Depreciation yield (D&amp;A x4 / avg in-service gross PP&amp;E)</t>
  </si>
  <si>
    <t xml:space="preserve">Aug-26 (FQ1 FY27)</t>
  </si>
  <si>
    <t xml:space="preserve">Nebius 17.52 vs peer median 14.91 (range Oracle OCI 13.45 - Nscale 15.67; n=4); higher depreciation yield = more conservative</t>
  </si>
  <si>
    <t xml:space="preserve">group D&amp;A incl. amortization</t>
  </si>
  <si>
    <t xml:space="preserve">IREN incl. mining hardware; Oracle Aug-26 quarter; Nscale H1'26.</t>
  </si>
  <si>
    <t xml:space="preserve">K18</t>
  </si>
  <si>
    <t xml:space="preserve">Implied average depreciable life (1 / yield)</t>
  </si>
  <si>
    <t xml:space="preserve">Nebius 5.71 vs peer median 6.72 (range Nscale 6.38 - Oracle OCI 7.44; n=4); lower implied life = more conservative</t>
  </si>
  <si>
    <t xml:space="preserve">CoreWeave K18 read straight from crwv_kpis.xlsx K18 (= 100/K17; pack fixed 2026-10-08 - was 100/K16 = 16.67 after its K02b row insert). Build asserts K18 = 100/K17 in every public pack.</t>
  </si>
  <si>
    <t xml:space="preserve">K19</t>
  </si>
  <si>
    <t xml:space="preserve">D&amp;A as % of revenue</t>
  </si>
  <si>
    <t xml:space="preserve">Nebius 45.17 vs peer median 67.89 (range Oracle OCI 12.59 - Nscale 123.76; n=4); D&amp;A burden context</t>
  </si>
  <si>
    <t xml:space="preserve">group D&amp;A / AI cloud revenue</t>
  </si>
  <si>
    <t xml:space="preserve">K20</t>
  </si>
  <si>
    <t xml:space="preserve">RPO (ASC 606, EoP)</t>
  </si>
  <si>
    <t xml:space="preserve">$B</t>
  </si>
  <si>
    <t xml:space="preserve">Nebius 37.49 vs peer median 80.05 (range IREN 5.10 - Oracle OCI 638.00; n=4); absolute size context</t>
  </si>
  <si>
    <t xml:space="preserve">Oracle RPO is company-wide incl. SaaS.</t>
  </si>
  <si>
    <t xml:space="preserve">K21</t>
  </si>
  <si>
    <t xml:space="preserve">Revenue backlog (company metric, EoP)</t>
  </si>
  <si>
    <t xml:space="preserve">P</t>
  </si>
  <si>
    <t xml:space="preserve">2026-09-30</t>
  </si>
  <si>
    <t xml:space="preserve">Nebius n/d. company backlog metric (context)</t>
  </si>
  <si>
    <t xml:space="preserve">Not disclosed in Nebius filings / not computable on the same definition</t>
  </si>
  <si>
    <t xml:space="preserve">Crusoe/Nscale company TCV metrics (not ASC 606).; Excluded from median: Crusoe: company TCV metric</t>
  </si>
  <si>
    <t xml:space="preserve">K22</t>
  </si>
  <si>
    <t xml:space="preserve">RPO % recognized within 24 months</t>
  </si>
  <si>
    <t xml:space="preserve">2025-12-31</t>
  </si>
  <si>
    <t xml:space="preserve">Nebius 36.00 vs peer median 35.00 (range Nscale 16.00 - IREN 43.10; n=4); share of RPO converting within 24m</t>
  </si>
  <si>
    <t xml:space="preserve">K23</t>
  </si>
  <si>
    <t xml:space="preserve">RPO / annualized quarterly revenue</t>
  </si>
  <si>
    <t xml:space="preserve">Nebius 16.30 vs peer median 14.07 (range Oracle OCI 8.31 - Nscale 200.57; n=4); backlog coverage of current run-rate</t>
  </si>
  <si>
    <t xml:space="preserve">Nscale 201 yrs: tiny H1'26 revenue vs $56.4B RPO (pre-ramp).</t>
  </si>
  <si>
    <t xml:space="preserve">K24</t>
  </si>
  <si>
    <t xml:space="preserve">Largest customer % of revenue</t>
  </si>
  <si>
    <t xml:space="preserve">Nebius 24.00 vs peer median 44.00 (range CoreWeave 36.00 - Nscale 52.00; n=2); lower concentration is better</t>
  </si>
  <si>
    <t xml:space="preserve">Customer C (unnamed)</t>
  </si>
  <si>
    <t xml:space="preserve">Nscale H1'26 largest customer 52%. Lambda: Amazon+Microsoft 50% (K26, press).</t>
  </si>
  <si>
    <t xml:space="preserve">K25</t>
  </si>
  <si>
    <t xml:space="preserve">2nd-largest customer %</t>
  </si>
  <si>
    <t xml:space="preserve">Nebius 21.00 vs peer median 26.00 (range CoreWeave 26.00 - CoreWeave 26.00; n=1); lower is better</t>
  </si>
  <si>
    <t xml:space="preserve">K26</t>
  </si>
  <si>
    <t xml:space="preserve">Top-N &gt;=10% customers combined %</t>
  </si>
  <si>
    <t xml:space="preserve">Nebius 59.00 vs peer median 61.00 (range Lambda 50.00 - CoreWeave 72.00; n=2); lower combined concentration is better</t>
  </si>
  <si>
    <t xml:space="preserve">K27</t>
  </si>
  <si>
    <t xml:space="preserve">Number of customers &gt;=10% of revenue</t>
  </si>
  <si>
    <t xml:space="preserve">#</t>
  </si>
  <si>
    <t xml:space="preserve">Nebius 3.00 vs peer median 1.50 (range Oracle OCI 0.00 - CoreWeave 3.00; n=2); fewer &gt;=10% customers is better</t>
  </si>
  <si>
    <t xml:space="preserve">K28</t>
  </si>
  <si>
    <t xml:space="preserve">Weighted effective cost of debt (principal-weighted, EoP) - all facilities</t>
  </si>
  <si>
    <t xml:space="preserve">Nebius 5.10 vs peer median 4.83 (range IREN 1.85 - CoreWeave 8.41; n=3); cheaper debt (converts-heavy) is better</t>
  </si>
  <si>
    <t xml:space="preserve">Nscale 18.7% on legacy $137M (excluded from median); marginal secured: Nscale ~6.25% E, Lambda 6.78% R, Crusoe ~9.1% E (PX09).; Excluded from median: Nscale: legacy $137M debt; marginal secured ~6.25% E (PX09)</t>
  </si>
  <si>
    <t xml:space="preserve">K29</t>
  </si>
  <si>
    <t xml:space="preserve">  of which DDTL - weighted eff. rate</t>
  </si>
  <si>
    <t xml:space="preserve">2026-10-01</t>
  </si>
  <si>
    <t xml:space="preserve">E (inputs P)</t>
  </si>
  <si>
    <t xml:space="preserve">2026-09-10</t>
  </si>
  <si>
    <t xml:space="preserve">Nebius n/d. facility-level rate (context)</t>
  </si>
  <si>
    <t xml:space="preserve">K34</t>
  </si>
  <si>
    <t xml:space="preserve">  of which Other term loans - weighted eff. rate</t>
  </si>
  <si>
    <t xml:space="preserve">2026-02-20</t>
  </si>
  <si>
    <t xml:space="preserve">K35</t>
  </si>
  <si>
    <t xml:space="preserve">DDTL (secured asset-level) share of principal</t>
  </si>
  <si>
    <t xml:space="preserve">Nebius n/d. structure context</t>
  </si>
  <si>
    <t xml:space="preserve">K36</t>
  </si>
  <si>
    <t xml:space="preserve">Implied cash cost: contractual interest x4 / avg principal</t>
  </si>
  <si>
    <t xml:space="preserve">Nebius 5.61 vs peer median 6.08 (range IREN 1.71 - Nscale 22.19; n=4); lower cash cost of debt is better</t>
  </si>
  <si>
    <t xml:space="preserve">P&amp;L interest (incl. convert accretion) / avg carrying debt</t>
  </si>
  <si>
    <t xml:space="preserve">IREN finance expense incl. amortization; Oracle interest/avg carrying.</t>
  </si>
  <si>
    <t xml:space="preserve">K37</t>
  </si>
  <si>
    <t xml:space="preserve">Company-reported weighted average interest rate</t>
  </si>
  <si>
    <t xml:space="preserve">Nebius n/d. company-reported rate</t>
  </si>
  <si>
    <t xml:space="preserve">K38</t>
  </si>
  <si>
    <t xml:space="preserve">Total debt principal (EoP)</t>
  </si>
  <si>
    <t xml:space="preserve">Nebius 8.55 vs peer median 21.63 (range Nscale 0.14 - Oracle OCI 129.54; n=4); size context</t>
  </si>
  <si>
    <t xml:space="preserve">carrying value (not principal)</t>
  </si>
  <si>
    <t xml:space="preserve">K39</t>
  </si>
  <si>
    <t xml:space="preserve">Debt principal / RPO</t>
  </si>
  <si>
    <t xml:space="preserve">Nebius 0.23 vs peer median 0.27 (range Nscale 0.00 - IREN 1.51; n=4); lower debt per $ of backlog is better</t>
  </si>
  <si>
    <t xml:space="preserve">K40</t>
  </si>
  <si>
    <t xml:space="preserve">Capitalized interest % of contractual interest</t>
  </si>
  <si>
    <t xml:space="preserve">Nebius 25.24 vs peer median 6.67 (range Nscale 0.00 - CoreWeave 13.34; n=2); high capitalized share flatters P&amp;L interest</t>
  </si>
  <si>
    <t xml:space="preserve">K41</t>
  </si>
  <si>
    <t xml:space="preserve">Company-reported GPU utilization (physical)</t>
  </si>
  <si>
    <t xml:space="preserve">Nebius n/d. physical utilization (Oracle only)</t>
  </si>
  <si>
    <t xml:space="preserve">K42</t>
  </si>
  <si>
    <t xml:space="preserve">RPO % recognized within 12 months</t>
  </si>
  <si>
    <t xml:space="preserve">Nebius n/d. n/d for Nebius (24m bucket only)</t>
  </si>
  <si>
    <t xml:space="preserve">K43</t>
  </si>
  <si>
    <t xml:space="preserve">Incremental annualized revenue per incremental MW (YoY)</t>
  </si>
  <si>
    <t xml:space="preserve">Nebius 13.46 vs peer median 6.81 (range CoreWeave 5.29 - Oracle OCI 9.31; n=3); marginal revenue per new MW</t>
  </si>
  <si>
    <t xml:space="preserve">Oracle allocates all incremental OCI revenue to delivered AI MW (E).</t>
  </si>
  <si>
    <t xml:space="preserve">K44</t>
  </si>
  <si>
    <t xml:space="preserve">Annualized revenue / avg gross GPU-compute hardware in service</t>
  </si>
  <si>
    <t xml:space="preserve">Nebius 0.47 vs peer median 0.27 (range IREN 0.20 - CoreWeave 0.34; n=2); asset turn on GPU hardware</t>
  </si>
  <si>
    <t xml:space="preserve">server &amp; network equipment (GPU hardware) basis</t>
  </si>
  <si>
    <t xml:space="preserve">CRWV denominator = technology equipment (broader than GPUs).</t>
  </si>
  <si>
    <t xml:space="preserve">K45</t>
  </si>
  <si>
    <t xml:space="preserve">Segment gross margin (revenue - cost of revenue excl. D&amp;A) / revenue</t>
  </si>
  <si>
    <t xml:space="preserve">Nebius n/d. segment gross margin (n/d for Nebius)</t>
  </si>
  <si>
    <t xml:space="preserve">Colours: blue = Reported, purple = Press-reported (P, new for private peers), black = Derived, orange = Estimated, grey = n/d / n.m.; yellow fill = shown but excluded from the peer median (not same definition). Composite tags such as 'D (inputs P)' are kept verbatim from private_peers.</t>
  </si>
  <si>
    <t xml:space="preserve">Flag rule: Nebius vs MEDIAN of comparable peer values (all 6 peers, latest available period). Better/Worse if &gt; 10% away in the favourable/unfavourable direction, In line otherwise; 'Context' rows are not scored (size, build-out multiple, list price, structure).</t>
  </si>
  <si>
    <t xml:space="preserve">Periods: CRWV/IREN Jun-26; Oracle May-26 (FQ4 FY26) or Aug-26 where May n/d; Nscale H1'26 / Aug-26; Lambda mostly Q2'25 (press, no filings); Crusoe Sep-26 (FY26E revenue, GROSS MW). Mixed vintages: treat Lambda/Crusoe as directional.</t>
  </si>
  <si>
    <t xml:space="preserve">Nebius MW: Capacity &amp; Power base-case energized MW (Estimated, mixed IT/gross; 181.5 / 193 = current Capacity lock Quarterly MW!M130/N130, as selected in model v0.9e Sites tab (capacity v2); was 171.5 / 173 from outdated nebius_capacity_v1.xlsx). K02 uses AVERAGE energized MW (187.25) = 12.28 E; the old Comparison used group revenue on YE25 170 MW (13.7).</t>
  </si>
  <si>
    <t xml:space="preserve">K02b BILLED-IT BASIS: revenue / AVERAGE Capacity BILLING IT MW (Q1'26 165.5, Q2'26 186.8 -&gt; 176.1 IT MW; capacity/nebius_capacity.xlsx row 147) - NOT energized or gross MW. CoreWeave K02b = K02 (active ~ billed); other peers n/d. This is the basis of every v0.9d Judge_Slide '$ per billed MW' figure.</t>
  </si>
  <si>
    <t xml:space="preserve">SHARE COUNT: N_FD_DEBT 358.56M = new Feb-2030/Feb-2034 converts as debt (share price &lt; $313.46); N_FD_IFCONV 376.65M = if-converted (&gt;= $324.65; 369.56M in between, 2030s only) - fd_share_bridge.md. N_FD_V09D 358.34M = v0.9d historical. Never mix share and debt sides. No per-share or EV/MW metric in this workbook.</t>
  </si>
  <si>
    <t xml:space="preserve">Nebius Q3'26 results date: ~Nov 10 (est.) - not announced by the company; Q3'26 columns elsewhere (Sites) are capacity quarters, not the results date.</t>
  </si>
  <si>
    <t xml:space="preserve">BILLED-MW LOCKS (Nebius_Inputs N_BILL_*, model v0.9e): YE26 257.7 base / 284.2 high; FY27 average 531.84 base / 659.16 high, engine-linked (model/nebius_model.xlsx Drivers B34/C34). Forward $/billed MW memo (not scored): $7B/258 = 27.2, $9B/284 = 31.7, Street $12.3B/531.8 = 23.1 blended, Street EX-MICROSOFT = 27.6 (USE AGAINST PEERS), /659.2 = 18.7; $16M coverage 1.45x / 1.17x.</t>
  </si>
  <si>
    <t xml:space="preserve">Sites: see 'Sites' tab (peers/sites/sites.xlsx + capacity/site_verification.md) for announced vs contracted vs evidenced-active MW.</t>
  </si>
  <si>
    <t xml:space="preserve">Peer comparison workbook (step 5, final) - built 2026-10-04 ET; v0.9d REFRESH 2026-10-05 ET; share-basis / K18 refresh 2026-10-08 ET; MODEL v0.9e LOCK REFRESH 2026-10-08 ~10:00 ET (prior pack kept as peers/comparison_pre_v09e_backup.xlsx) by /workspace/nebius/peers/build_comparison.py (prior pack 08:31 ET kept as peers/comparison_0831_prev.xlsx; 10-05 pack as peers/comparison_pre_oct8_backup.xlsx)</t>
  </si>
  <si>
    <t xml:space="preserve">Tabs: Comparison (7 companies x 40 template KPIs, value/tag/as-of, peer median, Nebius better/worse + reason) | Ranking | Nebius_Inputs (sources; Comparison Nebius cells are live formulas) | Contracts_$MWyr | Sites | Chart_Data + Charts (native Excel) | Peer_memos.</t>
  </si>
  <si>
    <t xml:space="preserve">Tags: R Reported, P Press-reported (new, private peers), D Derived, E Estimated, n/d not disclosed, n.m. not meaningful. Derived tag = weakest input. Private-peer composite tags kept verbatim.</t>
  </si>
  <si>
    <t xml:space="preserve">Nebius rev/MW FIX: old Comparison K01 13.7 = Q2'26 group revenue x4 / YE25 170 MW (stale). Now K01 = AI cloud revenue x4 / Jun-26 energized 193 MW = 11.92 E and K02 = x4 / AVERAGE(181.5, 193) = 12.28 E (switched Oct 8 ~23:30 ET from v1 173 / 171.5) (Capacity &amp; Power base case incl. plug; identified sites 152-194 at Jun-26). Same definitions as peers' K01/K02.</t>
  </si>
  <si>
    <t xml:space="preserve">Inputs read (not edited): peers/coreweave|iren|oracle/*_kpis.xlsx; peers/private/private_peers_values.json; parts/contract_economics.xlsx (GPU Market agent's contract table - market/ and nebius_market.xlsx hold no contract data); filings/nebius_filings.xlsx + nebius_kpi_history.xlsx; shared/findings_log.xlsx; capacity/nebius_capacity.xlsx + site_list.xlsx + site_verification.md; peers/sites/sites.xlsx + site_verification.md.</t>
  </si>
  <si>
    <t xml:space="preserve">Charts: PNGs in /workspace/nebius/peers/charts/ (peers/build_charts.py reads this workbook's recalculated values).</t>
  </si>
  <si>
    <t xml:space="preserve">Recalc: python3 /workspace/nebius/model/recalc.py peers/comparison.xlsx (LibreOffice) -&gt; copy /tmp/rc/comparison.xlsx back; 0 errors required.</t>
  </si>
  <si>
    <t xml:space="preserve">2026-10-08 ~23:15 ET: Abilene active base 421 -&gt; 618 MW [D on R] (Oracle FQ1 FY27 call Sep 10: 6 of 8 bldgs, 618 MW, 75% delivered; IT vs gross basis unstated); low/base/high 200/421/421 -&gt; 421/618/618, YE26 421/632/843 -&gt; 618/721/824, announced numeric ~843 -&gt; ~824 IT implied. Sites rows cross-checked vs the four site appendices (cols Q-R). No KPI, median or ranking moves (Abilene is a Sites/context row only).</t>
  </si>
  <si>
    <t xml:space="preserve">K02b (added 2026-10-05; now generated by this script, previously hand-patched into the 08:31 pack): Revenue per average BILLING IT MW = Q2'26 AI cloud rev x4 / AVERAGE(Capacity billing IT MW Q1'26, Q2'26) (Nebius_Inputs N_BILL_Q1/Q2, capacity row 147). BILLED-IT basis, not energized/gross. CoreWeave K02b = K02 (crwv_kpis.xlsx K02b row; active ~ billed). Other peers n/d. Microsoft ACV: $14.49M per IT MW [E, house] = model Contracts!E12 (Nebius_Inputs NOTE_1417; earlier 11.6 / 17.1 readings superseded Oct 9).</t>
  </si>
  <si>
    <t xml:space="preserve">SHARE-COUNT CONVENTION (2026-10-08 ~08:45 ET; filings/fd_share_bridge.md, parsed): N_FD_DEBT 358.56M (358,558,306, line 55) = new Feb-2030/Feb-2034 converts as debt below their conversion prices ($313.46 / $324.65, lines 20-21); N_FD_IFCONV 376.65M (376,648,956, line 23) = all if-converted above $324.65; between the two prices only the 2030s convert (369,564,496). N_FD_V09D 358.34M = v0.9d historical memo. '376.6M primary' dropped. No Nebius per-share or EV-per-MW figure exists in this workbook or peers/charts, so no KPI, ranking or chart value depends on it; v0.9e: build asserts model Inputs F473/F474 = these two values.</t>
  </si>
  <si>
    <t xml:space="preserve">FY27 BILLED-MW LOCKS - MODEL v0.9e (2026-10-08 ~10:00 ET; source of truth, read live by label via peers/nebius_locks.py model_locks()): BASE 531.84 = model/nebius_model.xlsx Drivers!B34 / HIGH 659.16 = Drivers!C34 (non-Vineland 349.51 / 476.83 + Vineland 182.33 billed MW-yr = engine Microsoft FY27 revenue $2,643.8M / $14.5M). Forward memo: Street $12.3B / 531.84 = 23.13 blended; EX-MICROSOFT (12,300 - 2,643.8) / (531.84 - 182.33) = 27.63 = the figure to use against peers (peer $/MW has no $14.5M Microsoft anchor); high path 18.66 blended. $16M coverage: 768.75 MW needed = 1.45x base / 1.17x high. Chart: peers/charts/nebius_billing_lock.png.</t>
  </si>
  <si>
    <t xml:space="preserve">HISTORY (superseded, not inputs): Oct 8 ~08:45 ET the FY27 locks were Capacity's tranche pair 536.48 / 663.8 with Microsoft $2,711M on 186.97 MW (ex-MSFT 27.44, blended 22.93); before that model v0.9d 474.96 / 645.4 (energized-lagged). Both are retired by v0.9e (the Judge_Slide 475/645 flag is closed). Prior pack: comparison_pre_v09e_backup.xlsx.</t>
  </si>
  <si>
    <t xml:space="preserve">NEBIUS Q3'26 RESULTS DATE: ~Nov 10 (est.) - the company has not announced it; use this label wherever the Q3 print date is cited.</t>
  </si>
  <si>
    <t xml:space="preserve">MODEL v0.9e LOCK (Nebius_Inputs yellow rows; read live from model/nebius_model.xlsx Drivers / Judge_Slide / Inputs; build asserts the values): FD 358.56M debt / 376.65M if-converted (358.34M v0.9d historical memo) | billing IT MW YE26 BASE 257.7 / HIGH 284.2 | FY27 avg 531.84 / 659.16. None of these feed the Q2'26 trailing KPIs (K01/K02/K02b/K03...) - they are forward/lock references; the forward $/billed MW memo (27.2 / 31.7 / 23.1 blended / 27.6 ex-MSFT / 18.7 high) is context only, not scored.</t>
  </si>
  <si>
    <t xml:space="preserve">price_or_mw consistency: Implied_Price YE26 high row 284.2 MW -&gt; $31.67M and low row 257.7 MW -&gt; $27.16M match Nebius_Inputs D_YE26_* memo rows. Street row there now uses the v0.9e base 531.84 MW ($23.13M blended; build asserts it equals N_BILL_FY27_BASE) and its peer 'vs' columns benchmark the ex-MSFT figure (price_or_mw Nebius_Check B37; patched by peers/patch_price_or_mw.py).</t>
  </si>
  <si>
    <t xml:space="preserve">K18 (2026-10-08): read straight from each pack; build asserts K18 = 100/K17 (values {'CoreWeave': 6.47, 'IREN': 6.97, 'Oracle OCI': 7.44}). CoreWeave pack fixed at source in peers/coreweave/build_crwv_kpis.py (was 100/K16 = 16.67 after the in-place K02b insert); the 10-05 re-derivation guard here is removed.</t>
  </si>
  <si>
    <t xml:space="preserve">COMP BAND (2026-10-08 ET): compute-contract $/MW-yr band = $9.7-16.7M. Low IREN-Microsoft $9.7M (R). Top Lambda-Anthropic ~$16.7M ($35B / 6-yr term / ~350 MW; Contracts_$MWyr NEW2; Medium confidence: press-only TCV (WSJ via theenergymag; private_peers PX10 16.7 D on P inputs), 6-yr term secondary, IT vs gross MW unstated). Replaces $9.7-16.2M (Nscale-Anthropic $16.16M top). Nebius rows and facility leases excluded. Memo/summary/figures and price_or_mw cite the same band.</t>
  </si>
  <si>
    <t xml:space="preserve">2026-10-08 ~23:30 ET (coordinator decision): Nebius energized MW switched from the outdated capacity/nebius_capacity_v1.xlsx 45 / 171.5 / 173 to the current lock 50 / 181.5 / 193 (Quarterly MW J130/M130/N130 = filings KPI row 30, Checks r22); identified sites 157-229; modeled GPUs 80,047.5 -&gt; 86,738 and fleet list $5.571 -&gt; $5.606 follow the same lock. Peer values re-read from the existing peer packs only (no new peer KPIs).</t>
  </si>
  <si>
    <t xml:space="preserve">Where Nebius is better / worse - ranked by signed gap vs comparable-peer median (positive = favourable to Nebius). Context and n/a rows listed last. Recomputed 2026-10-05 ET after v0.9d Nebius_Inputs refresh (K02b now scored in rank order); rebuilt 2026-10-08 ET (CRWV K18 read from fixed pack; share-count convention 358.56M debt / 376.65M if-converted; ~10:00 ET Nebius locks re-pointed to model v0.9e - no ranked KPI uses shares or forward MW, so ranks unchanged).</t>
  </si>
  <si>
    <t xml:space="preserve">Rank</t>
  </si>
  <si>
    <t xml:space="preserve">Flag</t>
  </si>
  <si>
    <t xml:space="preserve">Peer median</t>
  </si>
  <si>
    <t xml:space="preserve">Signed gap % (favourable +; vs max(|median|, mean |peer|), computed at build)</t>
  </si>
  <si>
    <t xml:space="preserve">Reason</t>
  </si>
  <si>
    <t xml:space="preserve">Nebius inputs for the Comparison tab (Q2'26 = quarter ended 30-Jun-2026 unless stated). Comparison Nebius cells are live formulas on column C.</t>
  </si>
  <si>
    <t xml:space="preserve">Item</t>
  </si>
  <si>
    <t xml:space="preserve">Value</t>
  </si>
  <si>
    <t xml:space="preserve">Source (Nebius workspace file / row)</t>
  </si>
  <si>
    <t xml:space="preserve">N01</t>
  </si>
  <si>
    <t xml:space="preserve">AI cloud segment revenue Q2'26</t>
  </si>
  <si>
    <t xml:space="preserve">$M</t>
  </si>
  <si>
    <t xml:space="preserve">filings/nebius_filings.xlsx Quarterly 'Segment revenue - Nebius AI cloud'; 6-K 2026-08-12</t>
  </si>
  <si>
    <t xml:space="preserve">N02</t>
  </si>
  <si>
    <t xml:space="preserve">AI cloud segment revenue Q2'25</t>
  </si>
  <si>
    <t xml:space="preserve">filings/nebius_filings.xlsx Quarterly</t>
  </si>
  <si>
    <t xml:space="preserve">N03</t>
  </si>
  <si>
    <t xml:space="preserve">Group revenue Q2'26 (memo)</t>
  </si>
  <si>
    <t xml:space="preserve">N04</t>
  </si>
  <si>
    <t xml:space="preserve">AI cloud adj. EBITDA Q2'26</t>
  </si>
  <si>
    <t xml:space="preserve">N05</t>
  </si>
  <si>
    <t xml:space="preserve">D&amp;A Q2'26 (group)</t>
  </si>
  <si>
    <t xml:space="preserve">N06</t>
  </si>
  <si>
    <t xml:space="preserve">Cash capex Q3'25</t>
  </si>
  <si>
    <t xml:space="preserve">N07</t>
  </si>
  <si>
    <t xml:space="preserve">Cash capex Q4'25</t>
  </si>
  <si>
    <t xml:space="preserve">N08</t>
  </si>
  <si>
    <t xml:space="preserve">Cash capex Q1'26</t>
  </si>
  <si>
    <t xml:space="preserve">N09</t>
  </si>
  <si>
    <t xml:space="preserve">Cash capex Q2'26</t>
  </si>
  <si>
    <t xml:space="preserve">N10</t>
  </si>
  <si>
    <t xml:space="preserve">PP&amp;E net 30-Jun-26</t>
  </si>
  <si>
    <t xml:space="preserve">N11</t>
  </si>
  <si>
    <t xml:space="preserve">Gross in-service PP&amp;E 31-Mar-26 (gross 7,976.6 - not yet in use 2,427.9)</t>
  </si>
  <si>
    <t xml:space="preserve">filings/nebius_kpi_history.xlsx KPI row 26 (Q1'26 interim FS Note 7)</t>
  </si>
  <si>
    <t xml:space="preserve">N12</t>
  </si>
  <si>
    <t xml:space="preserve">Gross in-service PP&amp;E 30-Jun-26 (gross 14,149.5 - not yet in use 7,836.4)</t>
  </si>
  <si>
    <t xml:space="preserve">filings/nebius_kpi_history.xlsx KPI row 26 (Q2'26 interim FS Note 7)</t>
  </si>
  <si>
    <t xml:space="preserve">N13</t>
  </si>
  <si>
    <t xml:space="preserve">Server &amp; network equipment gross 31-Mar-26</t>
  </si>
  <si>
    <t xml:space="preserve">filings/nebius_kpi_history.xlsx KPI row 23</t>
  </si>
  <si>
    <t xml:space="preserve">N14</t>
  </si>
  <si>
    <t xml:space="preserve">Server &amp; network equipment gross 30-Jun-26</t>
  </si>
  <si>
    <t xml:space="preserve">N15</t>
  </si>
  <si>
    <t xml:space="preserve">Energized MW 30-Jun-25 (Capacity base case incl. plug)</t>
  </si>
  <si>
    <t xml:space="preserve">MW</t>
  </si>
  <si>
    <t xml:space="preserve">capacity/nebius_capacity.xlsx Quarterly MW!J130 (= filings KPI row 30; mixed IT/gross basis; was 45 from outdated nebius_capacity_v1.xlsx)</t>
  </si>
  <si>
    <t xml:space="preserve">N16</t>
  </si>
  <si>
    <t xml:space="preserve">Energized MW 31-Mar-26 (Capacity base case incl. plug)</t>
  </si>
  <si>
    <t xml:space="preserve">capacity/nebius_capacity.xlsx Quarterly MW!M130 (= filings KPI K30; was 171.5 from v1)</t>
  </si>
  <si>
    <t xml:space="preserve">N17</t>
  </si>
  <si>
    <t xml:space="preserve">Energized MW 30-Jun-26 (Capacity base case incl. plug)</t>
  </si>
  <si>
    <t xml:space="preserve">capacity/nebius_capacity.xlsx Quarterly MW!N130 (= filings KPI L30 / Checks r22; identified sites low 157 / high 229, rows 124/125; was 173, v1)</t>
  </si>
  <si>
    <t xml:space="preserve">N18</t>
  </si>
  <si>
    <t xml:space="preserve">Active MW as stated by mgmt, YE25 (memo; old K01 basis)</t>
  </si>
  <si>
    <t xml:space="preserve">filings MW_Disclosures: Q4'25 letter '~170 MW of active power'</t>
  </si>
  <si>
    <t xml:space="preserve">N19</t>
  </si>
  <si>
    <t xml:space="preserve">Contracted power (&gt;3.5 GW, May-26; YE26 target 5 GW)</t>
  </si>
  <si>
    <t xml:space="preserve">filings MW_Disclosures: Q1'26 letter p.6 (lower bound)</t>
  </si>
  <si>
    <t xml:space="preserve">N20</t>
  </si>
  <si>
    <t xml:space="preserve">Average GPUs Q2'26 (modeled)</t>
  </si>
  <si>
    <t xml:space="preserve">GPUs</t>
  </si>
  <si>
    <t xml:space="preserve">capacity/nebius_capacity.xlsx GPUs deployed!M34:N34 average (= filings KPI row 55; MW x GPUs/MW, not a company count; was 80,047.5 on v1 MW)</t>
  </si>
  <si>
    <t xml:space="preserve">N21</t>
  </si>
  <si>
    <t xml:space="preserve">Days in Q2'26</t>
  </si>
  <si>
    <t xml:space="preserve">days</t>
  </si>
  <si>
    <t xml:space="preserve">calendar</t>
  </si>
  <si>
    <t xml:space="preserve">N22</t>
  </si>
  <si>
    <t xml:space="preserve">Fleet-weighted on-demand list price Q2'26 avg</t>
  </si>
  <si>
    <t xml:space="preserve">filings/nebius_kpi_history.xlsx KPI!L52 (GPU Market list prices x current Capacity GPU mix; was 5.571 on v1 mix)</t>
  </si>
  <si>
    <t xml:space="preserve">N23</t>
  </si>
  <si>
    <t xml:space="preserve">RPO 30-Jun-26</t>
  </si>
  <si>
    <t xml:space="preserve">filings/nebius_filings.xlsx Quarterly; 100% AI cloud</t>
  </si>
  <si>
    <t xml:space="preserve">N24</t>
  </si>
  <si>
    <t xml:space="preserve">RPO % within 24 months</t>
  </si>
  <si>
    <t xml:space="preserve">shared/findings_log.xlsx row 32 (Q2'26 interim FS)</t>
  </si>
  <si>
    <t xml:space="preserve">N25</t>
  </si>
  <si>
    <t xml:space="preserve">Customer C % of Q2'26 revenue</t>
  </si>
  <si>
    <t xml:space="preserve">filings/nebius_filings.xlsx Quarterly concentration; Q2'26 interim FS Note 1 p.F-17</t>
  </si>
  <si>
    <t xml:space="preserve">N26</t>
  </si>
  <si>
    <t xml:space="preserve">Customer D %</t>
  </si>
  <si>
    <t xml:space="preserve">as above</t>
  </si>
  <si>
    <t xml:space="preserve">N27</t>
  </si>
  <si>
    <t xml:space="preserve">Customer E %</t>
  </si>
  <si>
    <t xml:space="preserve">N28</t>
  </si>
  <si>
    <t xml:space="preserve">Customers &gt;=10% of revenue</t>
  </si>
  <si>
    <t xml:space="preserve">N29</t>
  </si>
  <si>
    <t xml:space="preserve">Useful life servers &amp; network (from 1-Jan-26)</t>
  </si>
  <si>
    <t xml:space="preserve">filings D&amp;A_Policy (20-F FY25 p.56/F-15)</t>
  </si>
  <si>
    <t xml:space="preserve">N30</t>
  </si>
  <si>
    <t xml:space="preserve">Weighted effective cost of debt (converts + secured)</t>
  </si>
  <si>
    <t xml:space="preserve">shared/findings_log.xlsx row 51 (GPU Market &amp; Comps)</t>
  </si>
  <si>
    <t xml:space="preserve">N31</t>
  </si>
  <si>
    <t xml:space="preserve">Interest expense Q2'26 (net of capitalized; incl. accretion)</t>
  </si>
  <si>
    <t xml:space="preserve">filings FactBase row 21 (6-K 2026-08-12)</t>
  </si>
  <si>
    <t xml:space="preserve">N32</t>
  </si>
  <si>
    <t xml:space="preserve">Capitalized interest Q2'26</t>
  </si>
  <si>
    <t xml:space="preserve">shared/findings_log.xlsx row 137 / D&amp;A_Policy (Q2FS Note 12)</t>
  </si>
  <si>
    <t xml:space="preserve">N33</t>
  </si>
  <si>
    <t xml:space="preserve">Total debt carrying 31-Mar-26</t>
  </si>
  <si>
    <t xml:space="preserve">N34</t>
  </si>
  <si>
    <t xml:space="preserve">Total debt carrying 30-Jun-26</t>
  </si>
  <si>
    <t xml:space="preserve">filings/nebius_filings.xlsx Quarterly (accreted principal at maturity 10,041.8)</t>
  </si>
  <si>
    <t xml:space="preserve">N35</t>
  </si>
  <si>
    <t xml:space="preserve">Gross in-service PP&amp;E 31-Dec-24</t>
  </si>
  <si>
    <t xml:space="preserve">filings/nebius_kpi_history.xlsx KPI row 26</t>
  </si>
  <si>
    <t xml:space="preserve">N36</t>
  </si>
  <si>
    <t xml:space="preserve">Gross in-service PP&amp;E 31-Dec-25</t>
  </si>
  <si>
    <t xml:space="preserve">N37</t>
  </si>
  <si>
    <t xml:space="preserve">Energized MW 31-Dec-24</t>
  </si>
  <si>
    <t xml:space="preserve">filings/nebius_kpi_history.xlsx KPI row 28</t>
  </si>
  <si>
    <t xml:space="preserve">N38</t>
  </si>
  <si>
    <t xml:space="preserve">Energized MW 31-Dec-25</t>
  </si>
  <si>
    <t xml:space="preserve">filings/nebius_kpi_history.xlsx KPI row 28 (ties to mgmt ~170)</t>
  </si>
  <si>
    <t xml:space="preserve">N_BILL_Q1</t>
  </si>
  <si>
    <t xml:space="preserve">Billing IT MW 31-Mar-26 (Capacity 'Billing MW (IT) - base': Vineland billed tranches + other sites lagged 1Q)</t>
  </si>
  <si>
    <t xml:space="preserve">IT MW</t>
  </si>
  <si>
    <t xml:space="preserve">capacity/nebius_capacity.xlsx Quarterly MW row 147 col M (Q1 2026); K02b denominator</t>
  </si>
  <si>
    <t xml:space="preserve">N_BILL_Q2</t>
  </si>
  <si>
    <t xml:space="preserve">Billing IT MW 30-Jun-26 (same row)</t>
  </si>
  <si>
    <t xml:space="preserve">capacity/nebius_capacity.xlsx Quarterly MW row 147 col N (Q2 2026); K02b denominator</t>
  </si>
  <si>
    <t xml:space="preserve">N_FD_DEBT</t>
  </si>
  <si>
    <t xml:space="preserve">Fully diluted shares - new Feb-2030/Feb-2034 converts as DEBT (share price &lt; ~$313.46; both series out of the money)</t>
  </si>
  <si>
    <t xml:space="preserve">M shares</t>
  </si>
  <si>
    <t xml:space="preserve">filings/fd_share_bridge.md line 55 'Alternative convention' FD = 358,558,306 (FD_Bridge C30); pair with the $5.75B face (accreting to $6.67B) kept in DEBT. Applies at the filings/fd_share_bridge.md reference price $237.15 (10/7 close [R, third-party quote]).</t>
  </si>
  <si>
    <t xml:space="preserve">N_FD_IFCONV</t>
  </si>
  <si>
    <t xml:space="preserve">Fully diluted shares - new converts IF-CONVERTED (share price &gt;= ~$324.65; both series in the money)</t>
  </si>
  <si>
    <t xml:space="preserve">filings/fd_share_bridge.md line 23 FD1 = 376,648,956 (= post630_capital_update.md 'FD pro forma after Aug-26'); pair with ALL convert debt REMOVED from EV. Between $313.46 and $324.65 only the 2030s convert: 369,564,496 (see NOTE_FD).</t>
  </si>
  <si>
    <t xml:space="preserve">N_FD_V09D</t>
  </si>
  <si>
    <t xml:space="preserve">Fully diluted shares - v0.9d HISTORICAL memo: Filings FD at 6/30/26 (FDSel=1)</t>
  </si>
  <si>
    <t xml:space="preserve">filings/fd_share_bridge.md line 15 FD0 358,337,958 = model/nebius_model.xlsx Checks r7 (v0.9d) = filings/dilution_scenarios.xlsx Base_ShareCount B22; pre-Aug-26 exchange/new converts - historical only</t>
  </si>
  <si>
    <t xml:space="preserve">N_BILL_YE26_BASE</t>
  </si>
  <si>
    <t xml:space="preserve">Billing IT MW YE26 - BASE (Capacity Q4'26 'Billing MW (IT) - base') [LOCK v0.9e ~258, unchanged]</t>
  </si>
  <si>
    <t xml:space="preserve">model/nebius_model.xlsx Judge_Slide B34 (257.7; model v0.9e); = capacity/nebius_capacity.xlsx Quarterly MW row 147 col P 257.66</t>
  </si>
  <si>
    <t xml:space="preserve">N_BILL_YE26_HIGH</t>
  </si>
  <si>
    <t xml:space="preserve">Billing IT MW YE26 - HIGH (Vineland at billed tranches) [LOCK v0.9e ~284, unchanged]</t>
  </si>
  <si>
    <t xml:space="preserve">model/nebius_model.xlsx Judge_Slide B35 (284.2; model v0.9e); same MW as peers/price_or_mw.xlsx Implied_Price D7</t>
  </si>
  <si>
    <t xml:space="preserve">N_BILL_FY27_BASE</t>
  </si>
  <si>
    <t xml:space="preserve">FY27 average billed IT MW - BASE, engine-linked (non-Vineland path + Vineland billed MW-yr) [LOCK v0.9e ~531.8]</t>
  </si>
  <si>
    <t xml:space="preserve">model/nebius_model.xlsx Drivers!B34 = Drivers!B30 349.51 non-Vineland + Drivers!B33 182.33 Vineland billed MW-yr (model v0.9e, source of truth).</t>
  </si>
  <si>
    <t xml:space="preserve">N_BILL_FY27_HIGH</t>
  </si>
  <si>
    <t xml:space="preserve">FY27 average billed IT MW - HIGH, engine-linked (high non-Vineland path + Vineland billed MW-yr) [LOCK v0.9e ~659.2]</t>
  </si>
  <si>
    <t xml:space="preserve">model/nebius_model.xlsx Drivers!C34 = Drivers!C30 476.83 + 182.33 (model v0.9e).</t>
  </si>
  <si>
    <t xml:space="preserve">N_MSFT_FY27_REV</t>
  </si>
  <si>
    <t xml:space="preserve">Microsoft (Vineland) FY27 revenue in the model engine ($M; Contracts MS_Rev)</t>
  </si>
  <si>
    <t xml:space="preserve">model/nebius_model.xlsx Drivers!B32 = SUMIF(Q_Yr,2027,MS_Rev) (Contracts row 145; T1-T4 + ramp + Q1'27 genset cap + T5-T9 Bloom starts) - model v0.9e</t>
  </si>
  <si>
    <t xml:space="preserve">N_MSFT_FY27_MW</t>
  </si>
  <si>
    <t xml:space="preserve">Vineland / Microsoft FY27 billed MW-yr on the revenue basis (= MS revenue / $14.5M)</t>
  </si>
  <si>
    <t xml:space="preserve">model/nebius_model.xlsx Drivers!B33 = B32 / Inputs F111 ($14.5M); alt Contracts row 141 billing-MW avg 185.6 (memo)</t>
  </si>
  <si>
    <t xml:space="preserve">N_STREET_FY27</t>
  </si>
  <si>
    <t xml:space="preserve">Street FY27 revenue consensus (memo for forward $/billed MW)</t>
  </si>
  <si>
    <t xml:space="preserve">model/nebius_model.xlsx Judge_Slide B72 / Cons_Rev (model v0.9e); peers/price_or_mw.xlsx Revenue_Sources C4 (21 analysts, as of 2026-10-04)</t>
  </si>
  <si>
    <t xml:space="preserve">N_GUIDE_LO</t>
  </si>
  <si>
    <t xml:space="preserve">YE26 run-rate guide - low (Dec AI cloud x 12)</t>
  </si>
  <si>
    <t xml:space="preserve">model/nebius_model.xlsx Judge_Slide B33; Q2'26 letter / Aug 12 call (reaffirmed)</t>
  </si>
  <si>
    <t xml:space="preserve">N_GUIDE_HI</t>
  </si>
  <si>
    <t xml:space="preserve">YE26 run-rate guide - high</t>
  </si>
  <si>
    <t xml:space="preserve">model/nebius_model.xlsx Judge_Slide C33</t>
  </si>
  <si>
    <t xml:space="preserve">Forward memo - $ per BILLED IT MW (live formulas on the model v0.9e lock rows above; context only, NOT scored and NOT in Comparison medians)</t>
  </si>
  <si>
    <t xml:space="preserve">D_YE26_LO_BASE</t>
  </si>
  <si>
    <t xml:space="preserve">YE26 guide low / YE26 BASE billing ($7B / ~258)</t>
  </si>
  <si>
    <t xml:space="preserve">$M/billed IT MW-yr</t>
  </si>
  <si>
    <t xml:space="preserve">ties to model/nebius_model.xlsx Judge_Slide B40 (27.16); price_or_mw Implied_Price F6</t>
  </si>
  <si>
    <t xml:space="preserve">D_YE26_HI_HIGH</t>
  </si>
  <si>
    <t xml:space="preserve">YE26 guide high / YE26 HIGH billing ($9B / ~284)</t>
  </si>
  <si>
    <t xml:space="preserve">ties to model/nebius_model.xlsx Judge_Slide C41 (31.67); price_or_mw Implied_Price F7</t>
  </si>
  <si>
    <t xml:space="preserve">D_STREET_FY27_BASE</t>
  </si>
  <si>
    <t xml:space="preserve">Street FY27 / FY27 avg BASE billed, engine-linked ($12.3B / ~531.8) - BLENDED memo (incl. $14.5M Microsoft anchor)</t>
  </si>
  <si>
    <t xml:space="preserve">~23.1; ties to model/nebius_model.xlsx Drivers B10 (23.13) / model/nebius_model.xlsx Judge_Slide B16; price_or_mw Implied_Price F5</t>
  </si>
  <si>
    <t xml:space="preserve">D_STREET_FY27_NONMSFT</t>
  </si>
  <si>
    <t xml:space="preserve">Street FY27 EX-MICROSOFT / FY27 BASE billed ex-Vineland (($12.3B - MSFT) / (531.8 - 182.3)) - USE AGAINST PEERS</t>
  </si>
  <si>
    <t xml:space="preserve">(12,300 - 2,643.8) / (531.84 - 182.33) = 27.63; ties to model/nebius_model.xlsx Drivers B9 / model/nebius_model.xlsx Judge_Slide B20 (~$27.6M, Grok Bot). Peer $/MW has no $14.5M Microsoft anchor.</t>
  </si>
  <si>
    <t xml:space="preserve">D_STREET_FY27_HIGH</t>
  </si>
  <si>
    <t xml:space="preserve">Street FY27 / FY27 avg HIGH billed, engine-linked ($12.3B / ~659.2) - blended</t>
  </si>
  <si>
    <t xml:space="preserve">high path; price_or_mw Implied_Price F24</t>
  </si>
  <si>
    <t xml:space="preserve">D_STREET_FY27_NONMSFT_HIGH</t>
  </si>
  <si>
    <t xml:space="preserve">Street FY27 EX-MICROSOFT / FY27 HIGH billed ex-Vineland - high path</t>
  </si>
  <si>
    <t xml:space="preserve">Vineland billed MW-yr identical on both paths (model/nebius_model.xlsx Drivers B33 = C33)</t>
  </si>
  <si>
    <t xml:space="preserve">D_COV16_BASE</t>
  </si>
  <si>
    <t xml:space="preserve">MW coverage at $16M comps: (Street / $16M) / FY27 BASE billed (x)</t>
  </si>
  <si>
    <t xml:space="preserve">ties to model/nebius_model.xlsx Drivers B38 (1.445x; 768.75 MW needed)</t>
  </si>
  <si>
    <t xml:space="preserve">D_COV16_HIGH</t>
  </si>
  <si>
    <t xml:space="preserve">MW coverage at $16M comps: (Street / $16M) / FY27 HIGH billed (x)</t>
  </si>
  <si>
    <t xml:space="preserve">ties to model/nebius_model.xlsx Drivers C38 (1.166x)</t>
  </si>
  <si>
    <t xml:space="preserve">D_FD_CONV_SENS</t>
  </si>
  <si>
    <t xml:space="preserve">Share convention spread: if-converted FD vs debt-convention FD (%)</t>
  </si>
  <si>
    <t xml:space="preserve">~+5.0%. No Nebius per-share or EV-per-MW figure exists in this workbook/charts, so no KPI value depends on the convention.</t>
  </si>
  <si>
    <t xml:space="preserve">D_K02B_BASE_MW</t>
  </si>
  <si>
    <t xml:space="preserve">Q2'26 average billing IT MW (K02b denominator)</t>
  </si>
  <si>
    <t xml:space="preserve">capacity row 147 M:N average</t>
  </si>
  <si>
    <t xml:space="preserve">D_YE26_VS_Q2</t>
  </si>
  <si>
    <t xml:space="preserve">YE26 BASE / HIGH billing vs Q2'26 average billing (x)</t>
  </si>
  <si>
    <t xml:space="preserve">base-path billing build multiple to YE26 (HIGH: next row)</t>
  </si>
  <si>
    <t xml:space="preserve">D_YE26H_VS_Q2</t>
  </si>
  <si>
    <t xml:space="preserve">YE26 HIGH billing vs Q2'26 average billing (x)</t>
  </si>
  <si>
    <t xml:space="preserve">NOTE_1417</t>
  </si>
  <si>
    <t xml:space="preserve">Microsoft ACV: $14.49M per IT MW [E, house] = model v0.9e Contracts!E12 = $17,392.9M / (5 x 240 IT MW est.); agrees with the Drivers 14.5 input (Inputs!F111). Neither company states the contract MW. HISTORY (superseded Oct 9 2026): 11.60 on 300 MW (site size, not contract MW) and 17.08 GPU-derived (retired).</t>
  </si>
  <si>
    <t xml:space="preserve">NOTE_FD</t>
  </si>
  <si>
    <t xml:space="preserve">SHARE-COUNT CONVENTION (2026-10-08, filings/fd_share_bridge.md): the new Feb-2030 ($3.45B, conv. $313.46) and Feb-2034 ($2.30B, conv. $324.65) notes count as DEBT while the share price is below their conversion prices -&gt; N_FD_DEBT 358.56M with the $5.75B face in debt; IF-CONVERTED above -&gt; N_FD_IFCONV 376.65M with ALL convert debt removed from EV. Between $313.46 and $324.65 only the 2030s convert: 369.56M (D). At the filings/fd_share_bridge.md reference $237.15 (10/7 close [R, third-party quote]) both are out of the money -&gt; debt convention. Never mix share and debt sides. N_FD_V09D 358.34M is the v0.9d historical (6/30, pre-exchange) value only. No per-share or EV/MW metric in this workbook.</t>
  </si>
  <si>
    <t xml:space="preserve">NOTE_FY27</t>
  </si>
  <si>
    <t xml:space="preserve">FY27 BILLED-MW LOCKS (model v0.9e = source of truth, read via peers/nebius_locks.py model_locks()): BASE 531.84 (model/nebius_model.xlsx Drivers!B34) / HIGH 659.16 (Drivers!C34) = non-Vineland path 349.51 / 476.83 + Vineland billed MW-yr 182.33 (engine Microsoft FY27 revenue $2,643.8M / $14.5M). Street blended $12.3B / 531.84 = 23.13 (memo); PEER COMPARATOR = D_STREET_FY27_NONMSFT = (12,300 - 2,643.8) / 349.51 = 27.63 (= Drivers!B9). At $16M comps the Street needs 768.75 MW = 1.45x base / 1.17x high (D_COV16_*). YE26 unchanged 257.7 / 284.2.</t>
  </si>
  <si>
    <t xml:space="preserve">NOTE_LOCKSRC</t>
  </si>
  <si>
    <t xml:space="preserve">LOCK SOURCE (v0.9e): YE26 = model/nebius_model.xlsx Judge_Slide B34/B35 = capacity row 147 col P 257.66; FY27 / Microsoft / hurdle = model/nebius_model.xlsx Drivers rows 9-10, 30-39; FD = model/nebius_model.xlsx Inputs F473/F474 (= filings/fd_share_bridge.md). Build asserts model version v0.9e, FD 358.56/376.65 (model = Filings), YE26 257.7/284.2, FY27 531.8/659.2, MSFT $2,643.8M, hurdle ~27.6 / blended ~23.1, and that price_or_mw.xlsx Implied_Price D7/F7 = 284.2 MW / $31.67M and Street row D5 = 531.84 MW / $23.13M re-read and matched. Yellow = current lock rows.</t>
  </si>
  <si>
    <t xml:space="preserve">NOTE_K02B</t>
  </si>
  <si>
    <t xml:space="preserve">K02b keeps the BILLED-IT basis: denominators N_BILL_Q1/Q2 are Capacity billing IT MW (not energized N16/N17). Comparison K02b and every forward $/billed MW memo above share that basis.</t>
  </si>
  <si>
    <t xml:space="preserve">Hyperscaler / neocloud / AI-lab contract economics: implied $M per MW-yr = TCV / term / MW (8,760 h/yr for $/GPU-hr). 'Reused' rows are the GPU Market agent's entries in parts/contract_economics.xlsx (Deals/Normalized; nothing contract-related exists in market/ or nebius_market.xlsx) - cited, not re-researched; their values shown in cols R-T and checked vs ours in col U. 'New' rows added here with sources. Facility leases at the bottom are NOT compute prices (shell+power only). Never fabricated: n/d where undisclosed.</t>
  </si>
  <si>
    <t xml:space="preserve">Status</t>
  </si>
  <si>
    <t xml:space="preserve">Provider</t>
  </si>
  <si>
    <t xml:space="preserve">Customer</t>
  </si>
  <si>
    <t xml:space="preserve">Category</t>
  </si>
  <si>
    <t xml:space="preserve">Signed</t>
  </si>
  <si>
    <t xml:space="preserve">TCV ($M)</t>
  </si>
  <si>
    <t xml:space="preserve">TCV tag</t>
  </si>
  <si>
    <t xml:space="preserve">Term (yrs)</t>
  </si>
  <si>
    <t xml:space="preserve">MW (as stated)</t>
  </si>
  <si>
    <t xml:space="preserve">MW basis</t>
  </si>
  <si>
    <t xml:space="preserve">IT MW (normalized)</t>
  </si>
  <si>
    <t xml:space="preserve">IT MW method</t>
  </si>
  <si>
    <t xml:space="preserve">Chip</t>
  </si>
  <si>
    <t xml:space="preserve">GPU tag</t>
  </si>
  <si>
    <t xml:space="preserve">TCV / yr ($M)</t>
  </si>
  <si>
    <t xml:space="preserve">Market agent $M/MW-yr (stated MW)</t>
  </si>
  <si>
    <t xml:space="preserve">Market agent $M/IT MW-yr</t>
  </si>
  <si>
    <t xml:space="preserve">Market agent $/GPU-hr</t>
  </si>
  <si>
    <t xml:space="preserve">Check: ours - market ($M/MW-yr)</t>
  </si>
  <si>
    <t xml:space="preserve">$M per MW-yr (stated MW)</t>
  </si>
  <si>
    <t xml:space="preserve">$M per IT MW-yr</t>
  </si>
  <si>
    <t xml:space="preserve">$ per GPU-hr</t>
  </si>
  <si>
    <t xml:space="preserve">Source</t>
  </si>
  <si>
    <t xml:space="preserve">Notes / conflicts</t>
  </si>
  <si>
    <t xml:space="preserve">N1</t>
  </si>
  <si>
    <t xml:space="preserve">Reused</t>
  </si>
  <si>
    <t xml:space="preserve">Microsoft</t>
  </si>
  <si>
    <t xml:space="preserve">Neocloud-hyperscaler</t>
  </si>
  <si>
    <t xml:space="preserve">2025-09-08</t>
  </si>
  <si>
    <t xml:space="preserve">n/d (not stated)</t>
  </si>
  <si>
    <t xml:space="preserve">not stated by Nebius/Microsoft (300 MW = Vineland site size)</t>
  </si>
  <si>
    <t xml:space="preserve">E (house): model v0.9e Inputs!F216 MSFT_MW = 240 IT MW est.; $/IT MW = Contracts!E12</t>
  </si>
  <si>
    <t xml:space="preserve">GB300 NVL72 (P)</t>
  </si>
  <si>
    <t xml:space="preserve">P (floor)</t>
  </si>
  <si>
    <t xml:space="preserve">6-K 2025-09-08 (SEC) | model/nebius_model.xlsx v0.9e Contracts!E12 | parts/contract_economics.xlsx (GPU Market agent) Deals/Normalized N1</t>
  </si>
  <si>
    <t xml:space="preserve">$14.49M per IT MW [E, house] (model Contracts!E12 = 17,392.9 / (5 x 240 IT MW est.)); agrees with the Drivers 14.5 input (Inputs!F111). HISTORY (superseded Oct 9 2026, not current values): 11.60 on 300 MW (site size, not stated contract MW); 17.08 on GPU-derived 203.7 IT MW (100k GB300 / 491; retired by GPU Market); market prepay-adjusted 18.56 rests on the same GPU-derived MW.</t>
  </si>
  <si>
    <t xml:space="preserve">N1o</t>
  </si>
  <si>
    <t xml:space="preserve">HISTORY (superseded)</t>
  </si>
  <si>
    <t xml:space="preserve">Microsoft (incl. option) - HISTORY</t>
  </si>
  <si>
    <t xml:space="preserve">R (up to)</t>
  </si>
  <si>
    <t xml:space="preserve">unlabeled</t>
  </si>
  <si>
    <t xml:space="preserve">as N1</t>
  </si>
  <si>
    <t xml:space="preserve">GB300 (P)</t>
  </si>
  <si>
    <t xml:space="preserve">parts/contract_economics.xlsx (GPU Market agent) N1o</t>
  </si>
  <si>
    <t xml:space="preserve">HISTORY - superseded: 300 MW is gross site size, not stated contract MW (Vineland 'scalable up to 300 MW', 2024 20-F; Nebius/Microsoft state no contract MW). 12.93 = $19,400M / 5 / 300 is retired (Oct 9 2026 ET); not a current value.</t>
  </si>
  <si>
    <t xml:space="preserve">N2</t>
  </si>
  <si>
    <t xml:space="preserve">Meta #1</t>
  </si>
  <si>
    <t xml:space="preserve">2025-11-01</t>
  </si>
  <si>
    <t xml:space="preserve">not disclosed</t>
  </si>
  <si>
    <t xml:space="preserve">E: ~50 IT MW team estimate (model Contracts!D23:D24 = 48.0 MW; Capacity tranches list n/d)</t>
  </si>
  <si>
    <t xml:space="preserve">6-K 2025-11-12 | parts/contract_economics.xlsx (GPU Market agent) N2</t>
  </si>
  <si>
    <t xml:space="preserve">IT MW is a low-confidence estimate (market); Nebius filings tie no MW to the contract.</t>
  </si>
  <si>
    <t xml:space="preserve">N3</t>
  </si>
  <si>
    <t xml:space="preserve">Meta #2 (dedicated)</t>
  </si>
  <si>
    <t xml:space="preserve">2026-03-13</t>
  </si>
  <si>
    <t xml:space="preserve">Vera Rubin NVL72</t>
  </si>
  <si>
    <t xml:space="preserve">6-K 2026-03-16 | parts/contract_economics.xlsx (GPU Market agent) N3</t>
  </si>
  <si>
    <t xml:space="preserve">Break-even ~149 IT MW to match Anthropic-Nscale $16.16M (market).</t>
  </si>
  <si>
    <t xml:space="preserve">N4</t>
  </si>
  <si>
    <t xml:space="preserve">Meta #2 backstop (contingent)</t>
  </si>
  <si>
    <t xml:space="preserve">R (up to, contingent)</t>
  </si>
  <si>
    <t xml:space="preserve">6-K 2026-03-16 | parts/contract_economics.xlsx (GPU Market agent) N4</t>
  </si>
  <si>
    <t xml:space="preserve">Contingent; excluded from normalized comps.</t>
  </si>
  <si>
    <t xml:space="preserve">NAGG1</t>
  </si>
  <si>
    <t xml:space="preserve">Reused (KPI)</t>
  </si>
  <si>
    <t xml:space="preserve">4 'landmark' Q2'26 customers (unnamed)</t>
  </si>
  <si>
    <t xml:space="preserve">Neocloud-mixed</t>
  </si>
  <si>
    <t xml:space="preserve">Q2'26</t>
  </si>
  <si>
    <t xml:space="preserve">20-25 (ACV/MW, R)</t>
  </si>
  <si>
    <t xml:space="preserve">Q2'26 letter p.2-4 (filings MW_Disclosures) | parts/contract_economics.xlsx (GPU Market agent) Notes_Method</t>
  </si>
  <si>
    <t xml:space="preserve">Company aggregate: deals averaged &gt;$1B TCV, ACV $20-25M/MW; Q2 deals &gt;$20M/MW vs 2026 base $12M/MW; Q3 short-term &gt;$40M/MW. Basis not stated (Filings: likely IT/active).</t>
  </si>
  <si>
    <t xml:space="preserve">P1</t>
  </si>
  <si>
    <t xml:space="preserve">2025-11-03</t>
  </si>
  <si>
    <t xml:space="preserve">IT</t>
  </si>
  <si>
    <t xml:space="preserve">GB300 NVL72</t>
  </si>
  <si>
    <t xml:space="preserve">E (200 x 491)</t>
  </si>
  <si>
    <t xml:space="preserve">8-K 2025-11-03 | parts/contract_economics.xlsx (GPU Market agent) P1</t>
  </si>
  <si>
    <t xml:space="preserve">Prepay-adjusted 10.28 (market).</t>
  </si>
  <si>
    <t xml:space="preserve">NEW1</t>
  </si>
  <si>
    <t xml:space="preserve">New</t>
  </si>
  <si>
    <t xml:space="preserve">NVIDIA</t>
  </si>
  <si>
    <t xml:space="preserve">Neocloud-chip vendor</t>
  </si>
  <si>
    <t xml:space="preserve">2026-05 (8-K)</t>
  </si>
  <si>
    <t xml:space="preserve">unlabeled (existing Childress halls; air-cooled)</t>
  </si>
  <si>
    <t xml:space="preserve">NVIDIA Blackwell (air-cooled)</t>
  </si>
  <si>
    <t xml:space="preserve">https://iren.gcs-web.com/news-releases/news-release-details/iren-secures-34bn-ai-cloud-contract-nvidia ; peers/iren (FY26 10-K backlog)</t>
  </si>
  <si>
    <t xml:space="preserve">~60 MW of existing Childress capacity; ramp from early 2027 (peers/sites site_verification.md). Below IREN's 'recent 3-yr &gt;$20M/IT MW' claim.</t>
  </si>
  <si>
    <t xml:space="preserve">PAGG</t>
  </si>
  <si>
    <t xml:space="preserve">recent 3-yr contracts (unnamed)</t>
  </si>
  <si>
    <t xml:space="preserve">FY26</t>
  </si>
  <si>
    <t xml:space="preserve">&gt;20 (R)</t>
  </si>
  <si>
    <t xml:space="preserve">parts/contract_economics.xlsx (GPU Market agent) Notes_Method</t>
  </si>
  <si>
    <t xml:space="preserve">Company statement only.</t>
  </si>
  <si>
    <t xml:space="preserve">P2</t>
  </si>
  <si>
    <t xml:space="preserve">Microsoft (all SOWs)</t>
  </si>
  <si>
    <t xml:space="preserve">2025-09..2026-04</t>
  </si>
  <si>
    <t xml:space="preserve">D: 191.6k/491 + 66k/320</t>
  </si>
  <si>
    <t xml:space="preserve">GB300 + Vera Rubin</t>
  </si>
  <si>
    <t xml:space="preserve">R (sum)</t>
  </si>
  <si>
    <t xml:space="preserve">Nscale S-1 2026-09-18 | parts/contract_economics.xlsx (GPU Market agent) P2</t>
  </si>
  <si>
    <t xml:space="preserve">P2a</t>
  </si>
  <si>
    <t xml:space="preserve">Nscale (Aker JV)</t>
  </si>
  <si>
    <t xml:space="preserve">Microsoft - Narvik</t>
  </si>
  <si>
    <t xml:space="preserve">2025-09-17</t>
  </si>
  <si>
    <t xml:space="preserve">D: 52k/491</t>
  </si>
  <si>
    <t xml:space="preserve">GB300</t>
  </si>
  <si>
    <t xml:space="preserve">akernscale.com PR | parts/contract_economics.xlsx (GPU Market agent) P2a</t>
  </si>
  <si>
    <t xml:space="preserve">Within P2.</t>
  </si>
  <si>
    <t xml:space="preserve">P2b</t>
  </si>
  <si>
    <t xml:space="preserve">Microsoft ex-Narvik</t>
  </si>
  <si>
    <t xml:space="preserve">parts/contract_economics.xlsx (GPU Market agent) P2b</t>
  </si>
  <si>
    <t xml:space="preserve">Residual.</t>
  </si>
  <si>
    <t xml:space="preserve">O1</t>
  </si>
  <si>
    <t xml:space="preserve">Anthropic</t>
  </si>
  <si>
    <t xml:space="preserve">Neocloud-AI lab</t>
  </si>
  <si>
    <t xml:space="preserve">2026-08-25</t>
  </si>
  <si>
    <t xml:space="preserve">R (S-1 site #17)</t>
  </si>
  <si>
    <t xml:space="preserve">E (460 x 320)</t>
  </si>
  <si>
    <t xml:space="preserve">Nscale S-1 | parts/contract_economics.xlsx (GPU Market agent) O1</t>
  </si>
  <si>
    <t xml:space="preserve">P3</t>
  </si>
  <si>
    <t xml:space="preserve">'multibillion'</t>
  </si>
  <si>
    <t xml:space="preserve">GB300 NVL72 (partly)</t>
  </si>
  <si>
    <t xml:space="preserve">lambda.ai blog 2025-11-03 | parts/contract_economics.xlsx (GPU Market agent) P3</t>
  </si>
  <si>
    <t xml:space="preserve">No economics public.</t>
  </si>
  <si>
    <t xml:space="preserve">NEW2</t>
  </si>
  <si>
    <t xml:space="preserve">2026-09-01 (press)</t>
  </si>
  <si>
    <t xml:space="preserve">unlabeled (Hut 8 Beacon Point TX)</t>
  </si>
  <si>
    <t xml:space="preserve">WSJ via theenergymag.com (peers/private private_peers.xlsx L21/L12)</t>
  </si>
  <si>
    <t xml:space="preserve">Not confirmed by Lambda; NVIDIA holds the Hut 8 lease (row F6). TOP OF PEER COMP BAND $9.7-16.7M/MW-yr (2026-10-08): 35,000 / 6 / 350 = 16.67; Medium confidence: press-only TCV (WSJ via theenergymag; private_peers PX10 16.7 D on P inputs), 6-yr term secondary, IT vs gross MW unstated. Band low = IREN-Microsoft 9.7 (P1).</t>
  </si>
  <si>
    <t xml:space="preserve">NEW3</t>
  </si>
  <si>
    <t xml:space="preserve">NVIDIA (GPU leaseback, main tranche)</t>
  </si>
  <si>
    <t xml:space="preserve">2025-09-08 (press)</t>
  </si>
  <si>
    <t xml:space="preserve">NVIDIA GPUs (type n/d)</t>
  </si>
  <si>
    <t xml:space="preserve">DCD citing The Information (private_peers L18/L19)</t>
  </si>
  <si>
    <t xml:space="preserve">Total reported $1.5B / ~18k GPUs (incl. +$200M / 8k GPUs) -&gt; $2.38/GPU-hr on the total; private_peers uses the $1.3B/10k tranche = $3.71.</t>
  </si>
  <si>
    <t xml:space="preserve">P4</t>
  </si>
  <si>
    <t xml:space="preserve">2025-09-30</t>
  </si>
  <si>
    <t xml:space="preserve">8-K 2025-09-30 | parts/contract_economics.xlsx (GPU Market agent) P4</t>
  </si>
  <si>
    <t xml:space="preserve">P5</t>
  </si>
  <si>
    <t xml:space="preserve">Meta #2</t>
  </si>
  <si>
    <t xml:space="preserve">2026-04-09</t>
  </si>
  <si>
    <t xml:space="preserve">incl. Vera Rubin</t>
  </si>
  <si>
    <t xml:space="preserve">8-K | parts/contract_economics.xlsx (GPU Market agent) P5</t>
  </si>
  <si>
    <t xml:space="preserve">P6</t>
  </si>
  <si>
    <t xml:space="preserve">OpenAI T1</t>
  </si>
  <si>
    <t xml:space="preserve">2025-03-10</t>
  </si>
  <si>
    <t xml:space="preserve">parts/contract_economics.xlsx (GPU Market agent) P6</t>
  </si>
  <si>
    <t xml:space="preserve">$350M CRWV equity to OpenAI.</t>
  </si>
  <si>
    <t xml:space="preserve">P7</t>
  </si>
  <si>
    <t xml:space="preserve">OpenAI T2</t>
  </si>
  <si>
    <t xml:space="preserve">2025-05-15</t>
  </si>
  <si>
    <t xml:space="preserve">parts/contract_economics.xlsx (GPU Market agent) P7</t>
  </si>
  <si>
    <t xml:space="preserve">P8</t>
  </si>
  <si>
    <t xml:space="preserve">OpenAI T3</t>
  </si>
  <si>
    <t xml:space="preserve">2025-09-25</t>
  </si>
  <si>
    <t xml:space="preserve">parts/contract_economics.xlsx (GPU Market agent) P8</t>
  </si>
  <si>
    <t xml:space="preserve">OpenAI total ~$22.4B.</t>
  </si>
  <si>
    <t xml:space="preserve">NEW4</t>
  </si>
  <si>
    <t xml:space="preserve">Jane Street</t>
  </si>
  <si>
    <t xml:space="preserve">Neocloud-other</t>
  </si>
  <si>
    <t xml:space="preserve">2026-04-15</t>
  </si>
  <si>
    <t xml:space="preserve">Vera Rubin (part)</t>
  </si>
  <si>
    <t xml:space="preserve">https://www.coreweave.com/news/jane-street-signs-6-billion-ai-cloud-agreement-with-coreweave</t>
  </si>
  <si>
    <t xml:space="preserve">Term/MW not disclosed; plus $1B equity investment by Jane Street.</t>
  </si>
  <si>
    <t xml:space="preserve">NEW5</t>
  </si>
  <si>
    <t xml:space="preserve">2026-04-10</t>
  </si>
  <si>
    <t xml:space="preserve">R (no value)</t>
  </si>
  <si>
    <t xml:space="preserve">https://coreweave.com/news/coreweave-announces-multi-year-agreement-with-anthropic</t>
  </si>
  <si>
    <t xml:space="preserve">Multi-year; no value.</t>
  </si>
  <si>
    <t xml:space="preserve">NEW6</t>
  </si>
  <si>
    <t xml:space="preserve">2026-09-04 (press)</t>
  </si>
  <si>
    <t xml:space="preserve">DCD citing Bloomberg (private_peers C17)</t>
  </si>
  <si>
    <t xml:space="preserve">NEW7</t>
  </si>
  <si>
    <t xml:space="preserve">Meta</t>
  </si>
  <si>
    <t xml:space="preserve">2026-06-19 (press)</t>
  </si>
  <si>
    <t xml:space="preserve">unlabeled (Childress TX + Warrenton MO)</t>
  </si>
  <si>
    <t xml:space="preserve">DCD citing Bloomberg (private_peers C14)</t>
  </si>
  <si>
    <t xml:space="preserve">Value/term n/d.</t>
  </si>
  <si>
    <t xml:space="preserve">NEW8</t>
  </si>
  <si>
    <t xml:space="preserve">Microsoft (Abilene 900 MW campus)</t>
  </si>
  <si>
    <t xml:space="preserve">2026-03-27</t>
  </si>
  <si>
    <t xml:space="preserve">gross (2 x 336 MW IT = 672 IT)</t>
  </si>
  <si>
    <t xml:space="preserve">Crusoe PR 2026-03-27 (private_peers C13)</t>
  </si>
  <si>
    <t xml:space="preserve">First building mid-2027; value n/d.</t>
  </si>
  <si>
    <t xml:space="preserve">NEW9</t>
  </si>
  <si>
    <t xml:space="preserve">Crusoe (JV) / Oracle</t>
  </si>
  <si>
    <t xml:space="preserve">Oracle for OpenAI (Abilene Stargate)</t>
  </si>
  <si>
    <t xml:space="preserve">Developer-hyperscaler</t>
  </si>
  <si>
    <t xml:space="preserve">gross (~824 IT implied = 618 / 0.75 per peers/sites appendix; Epoch ~843)</t>
  </si>
  <si>
    <t xml:space="preserve">GB200 (up to 50k per bldg)</t>
  </si>
  <si>
    <t xml:space="preserve">Crusoe JV PR 2025-05-21 (private_peers C12); peers/sites site_verification.md</t>
  </si>
  <si>
    <t xml:space="preserve">All 8 buildings leased to Oracle; contract value n/d (the $15B is JV project cost, not contract value). Economics flow through O2.</t>
  </si>
  <si>
    <t xml:space="preserve">O2</t>
  </si>
  <si>
    <t xml:space="preserve">Oracle</t>
  </si>
  <si>
    <t xml:space="preserve">OpenAI (Stargate)</t>
  </si>
  <si>
    <t xml:space="preserve">Hyperscaler-AI lab</t>
  </si>
  <si>
    <t xml:space="preserve">2025-07/09 (press)</t>
  </si>
  <si>
    <t xml:space="preserve">P (WSJ)</t>
  </si>
  <si>
    <t xml:space="preserve">E: /1.2 PUE if gross</t>
  </si>
  <si>
    <t xml:space="preserve">Mixed (GB200 etc.)</t>
  </si>
  <si>
    <t xml:space="preserve">WSJ | parts/contract_economics.xlsx (GPU Market agent) O2</t>
  </si>
  <si>
    <t xml:space="preserve">Not named in Oracle filings.</t>
  </si>
  <si>
    <t xml:space="preserve">NEW10</t>
  </si>
  <si>
    <t xml:space="preserve">Hyperscaler-hyperscaler</t>
  </si>
  <si>
    <t xml:space="preserve">2025-10-16 (confirmed)</t>
  </si>
  <si>
    <t xml:space="preserve">P (talks, Bloomberg)</t>
  </si>
  <si>
    <t xml:space="preserve">Bloomberg/Reuters 2025-09-19; CNBC 2025-10-16 (Oracle confirmed Meta among $65B new commitments)</t>
  </si>
  <si>
    <t xml:space="preserve">Value ~ $20B is press (in talks); term 'multi-year'.</t>
  </si>
  <si>
    <t xml:space="preserve">O3</t>
  </si>
  <si>
    <t xml:space="preserve">SpaceX (xAI)</t>
  </si>
  <si>
    <t xml:space="preserve">AI lab-AI lab</t>
  </si>
  <si>
    <t xml:space="preserve">2026 (424B4)</t>
  </si>
  <si>
    <t xml:space="preserve">$1.25B/month</t>
  </si>
  <si>
    <t xml:space="preserve">unspecified NVIDIA</t>
  </si>
  <si>
    <t xml:space="preserve">SpaceX 424B4 | parts/contract_economics.xlsx (GPU Market agent) O3</t>
  </si>
  <si>
    <t xml:space="preserve">90-day termination; $/GPU-hr = 1,250e6/(325k x 730).</t>
  </si>
  <si>
    <t xml:space="preserve">NEW11</t>
  </si>
  <si>
    <t xml:space="preserve">Microsoft (Azure)</t>
  </si>
  <si>
    <t xml:space="preserve">OpenAI</t>
  </si>
  <si>
    <t xml:space="preserve">2025-10-28</t>
  </si>
  <si>
    <t xml:space="preserve">R (incremental commitment)</t>
  </si>
  <si>
    <t xml:space="preserve">https://openai.com/index/next-chapter-of-microsoft-openai-partnership/</t>
  </si>
  <si>
    <t xml:space="preserve">Term not disclosed.</t>
  </si>
  <si>
    <t xml:space="preserve">NEW12</t>
  </si>
  <si>
    <t xml:space="preserve">AWS</t>
  </si>
  <si>
    <t xml:space="preserve">GB200 + GB300</t>
  </si>
  <si>
    <t xml:space="preserve">'hundreds of thousands'</t>
  </si>
  <si>
    <t xml:space="preserve">https://openai.com/index/aws-and-openai-partnership/</t>
  </si>
  <si>
    <t xml:space="preserve">All capacity targeted by end-2026.</t>
  </si>
  <si>
    <t xml:space="preserve">NEW13</t>
  </si>
  <si>
    <t xml:space="preserve">2025-11-18</t>
  </si>
  <si>
    <t xml:space="preserve">n/d (plus up to 1 GW additional)</t>
  </si>
  <si>
    <t xml:space="preserve">Grace Blackwell / Vera Rubin</t>
  </si>
  <si>
    <t xml:space="preserve">https://www.anthropic.com/news/microsoft-nvidia-anthropic-announce-strategic-partnerships</t>
  </si>
  <si>
    <t xml:space="preserve">1 GW is additional capacity, not tied to the $30B -&gt; no $/MW computed.</t>
  </si>
  <si>
    <t xml:space="preserve">NEW14</t>
  </si>
  <si>
    <t xml:space="preserve">Google Cloud</t>
  </si>
  <si>
    <t xml:space="preserve">2025-10-23</t>
  </si>
  <si>
    <t xml:space="preserve">n/d ('tens of billions')</t>
  </si>
  <si>
    <t xml:space="preserve">&gt;1,000 (2026)</t>
  </si>
  <si>
    <t xml:space="preserve">TPU (up to 1M)</t>
  </si>
  <si>
    <t xml:space="preserve">https://www.anthropic.com/news/expanding-our-use-of-google-cloud-tpus-and-services ; Reuters 2025-10-23</t>
  </si>
  <si>
    <t xml:space="preserve">Expanded Apr-2026 (multi-GW from 2027, Google/Broadcom).</t>
  </si>
  <si>
    <t xml:space="preserve">NEW15</t>
  </si>
  <si>
    <t xml:space="preserve">2025-08-21 (press)</t>
  </si>
  <si>
    <t xml:space="preserve">P (&gt;$10B)</t>
  </si>
  <si>
    <t xml:space="preserve">Reuters/CNBC 2025-08-21</t>
  </si>
  <si>
    <t xml:space="preserve">NEW16</t>
  </si>
  <si>
    <t xml:space="preserve">Cerebras</t>
  </si>
  <si>
    <t xml:space="preserve">Chip vendor cloud-AI lab</t>
  </si>
  <si>
    <t xml:space="preserve">2026-01-14</t>
  </si>
  <si>
    <t xml:space="preserve">unlabeled (ramp 250/500/750 by YE26/27/28)</t>
  </si>
  <si>
    <t xml:space="preserve">Cerebras WSE</t>
  </si>
  <si>
    <t xml:space="preserve">Reuters/CNBC 2026-01-14; MRA on SEC (Cerebras filing)</t>
  </si>
  <si>
    <t xml:space="preserve">NAIVE: ramp means average MW &lt;&lt; 750 -&gt; true $/MW-yr higher; lower bound.</t>
  </si>
  <si>
    <t xml:space="preserve">REF</t>
  </si>
  <si>
    <t xml:space="preserve">TeraWulf</t>
  </si>
  <si>
    <t xml:space="preserve">Fluidstack (Google backstop)</t>
  </si>
  <si>
    <t xml:space="preserve">Facility lease</t>
  </si>
  <si>
    <t xml:space="preserve">2025-08-14</t>
  </si>
  <si>
    <t xml:space="preserve">parts/contract_economics.xlsx (GPU Market agent) REF</t>
  </si>
  <si>
    <t xml:space="preserve">Facility only.</t>
  </si>
  <si>
    <t xml:space="preserve">F1</t>
  </si>
  <si>
    <t xml:space="preserve">Cipher Mining</t>
  </si>
  <si>
    <t xml:space="preserve">gross (Davis Polk)</t>
  </si>
  <si>
    <t xml:space="preserve">https://www.sec.gov/Archives/edgar/data/1819989/000181998925000110/nov3_earningspressreleasex.htm</t>
  </si>
  <si>
    <t xml:space="preserve">Turnkey space+power; rent from Aug-2026.</t>
  </si>
  <si>
    <t xml:space="preserve">F2</t>
  </si>
  <si>
    <t xml:space="preserve">Fluidstack (Google backstop $1.4B)</t>
  </si>
  <si>
    <t xml:space="preserve">https://www.globenewswire.com/news-release/2025/09/25/3156107/0/en/cipher-mining-signs-168-mw-10-year-ai-hosting-agreement-with-fluidstack.html</t>
  </si>
  <si>
    <t xml:space="preserve">+39 MW IT add-on Nov-2025 (total ~$3.83B).</t>
  </si>
  <si>
    <t xml:space="preserve">F3</t>
  </si>
  <si>
    <t xml:space="preserve">Hut 8</t>
  </si>
  <si>
    <t xml:space="preserve">Fluidstack (Anthropic; Google backstop)</t>
  </si>
  <si>
    <t xml:space="preserve">2025-12-17</t>
  </si>
  <si>
    <t xml:space="preserve">https://www.prnewswire.com/news-releases/hut-8-signs-15-year-245-mw-ai-data-center-lease-at-river-bend-campus-with-total-contract-value-of-7-0-billion-302644600.html</t>
  </si>
  <si>
    <t xml:space="preserve">Triple-net, 3% escalator.</t>
  </si>
  <si>
    <t xml:space="preserve">F4</t>
  </si>
  <si>
    <t xml:space="preserve">Applied Digital</t>
  </si>
  <si>
    <t xml:space="preserve">CoreWeave (Polaris Forge 1)</t>
  </si>
  <si>
    <t xml:space="preserve">2025-06..08</t>
  </si>
  <si>
    <t xml:space="preserve">https://ir.applieddigital.com/news-events/press-releases/detail/128/applied-digital-finalizes-additional-150mw-lease-with</t>
  </si>
  <si>
    <t xml:space="preserve">3 leases ~15 yrs.</t>
  </si>
  <si>
    <t xml:space="preserve">F5</t>
  </si>
  <si>
    <t xml:space="preserve">Galaxy</t>
  </si>
  <si>
    <t xml:space="preserve">CoreWeave (Helios)</t>
  </si>
  <si>
    <t xml:space="preserve">2025</t>
  </si>
  <si>
    <t xml:space="preserve">D (R: &gt;$1B/yr)</t>
  </si>
  <si>
    <t xml:space="preserve">IT (800 gross)</t>
  </si>
  <si>
    <t xml:space="preserve">https://www.galaxy.com/newsroom/galaxy-completes-phase-i-of-its-helios-data-center-campus</t>
  </si>
  <si>
    <t xml:space="preserve">TCV derived = &gt;$1B/yr x 15 (lower bound).</t>
  </si>
  <si>
    <t xml:space="preserve">F6</t>
  </si>
  <si>
    <t xml:space="preserve">NVIDIA (Beacon Point; for Lambda/Anthropic)</t>
  </si>
  <si>
    <t xml:space="preserve">2026-09 (press)</t>
  </si>
  <si>
    <t xml:space="preserve">theenergymag.com (private_peers L12 note)</t>
  </si>
  <si>
    <t xml:space="preserve">F7</t>
  </si>
  <si>
    <t xml:space="preserve">AIB Data Centers</t>
  </si>
  <si>
    <t xml:space="preserve">Nebius (CLT1)</t>
  </si>
  <si>
    <t xml:space="preserve">Facility lease (Nebius tenant)</t>
  </si>
  <si>
    <t xml:space="preserve">https://www.globenewswire.com/news-release/2026/09/30/3371855/0/en/aib-data-centers-signs-contract-with-nebius-for-ai-data-center-capacity.html ; capacity/site_list.xlsx row 23</t>
  </si>
  <si>
    <t xml:space="preserve">Value n/d; Red grade (capacity).</t>
  </si>
  <si>
    <t xml:space="preserve">CONFLICTS / DIFFERENCES vs the GPU Market agent's data (parts/contract_economics.xlsx):</t>
  </si>
  <si>
    <t xml:space="preserve">1) Location: the request pointed to /workspace/nebius/market/ and nebius_market.xlsx; neither holds contract data (price history/scrapers only). The contract table is parts/contract_economics.xlsx - used as the reuse source.</t>
  </si>
  <si>
    <t xml:space="preserve">2) Microsoft-Nebius MW basis (ruling Oct 9 2026): shown only as $14.49M per IT MW [E, house] = model v0.9e Contracts!E12 = $17,392.9M / (5 x 240 IT MW est.). Nebius filings tie no MW to the contract. HISTORY (superseded): the market headline 17.08 (GPU-derived 203.7 IT MW, retired by GPU Market) and 11.60 (on 300 MW, which is Vineland's site size, not stated contract MW).</t>
  </si>
  <si>
    <t xml:space="preserve">3) Meta-Nebius #1: 11.52 [E] on a ~50 IT MW team estimate (model Contracts!D23:D24 = 48.0 MW; Capacity tranches list n/d; GPU Market Print_Table #3). Nebius filings (MW_Disclosures) state no MW. (v3 wording, Oct 9.)</t>
  </si>
  <si>
    <t xml:space="preserve">4) Lambda-NVIDIA leaseback (new row): reported $1.5B / ~18k GPUs / 4 yrs -&gt; $2.38/GPU-hr overall vs $3.71 on the $1.3B / 10k tranche used in private_peers (PX13). Same source, different slicing.</t>
  </si>
  <si>
    <t xml:space="preserve">5) IREN: company claims recent 3-yr contracts &gt;$20M/IT MW (market) but the NVIDIA contract (new) is ~$11.3M/MW-yr on ~60 MW (unlabeled) and Microsoft $9.7M -&gt; the &gt;$20M deals are not the two named anchors.</t>
  </si>
  <si>
    <t xml:space="preserve">6) Oracle-OpenAI $300B (market O2) is press-only; Oracle filings/peers/oracle do not name it; RPO $638B (May-26) is consistent in scale. Oracle MW basis: ~353 GPUs/MW in peers/oracle implies GROSS, matching market's 16.0 'if gross' variant.</t>
  </si>
  <si>
    <t xml:space="preserve">7) Nscale: market P2 13.35 $M/IT MW-yr (Microsoft) vs private_peers PX10 13.24 (all contracted TCV / 5.7 yrs / 1,370 MW) - consistent (&lt;1%).</t>
  </si>
  <si>
    <t xml:space="preserve">8) Cerebras-OpenAI 4.44 is a naive lower bound (750 MW is the end-2028 ramp level).</t>
  </si>
  <si>
    <t xml:space="preserve">9) COMP BAND (2026-10-08 ET, coordinator correction): peer/hyperscaler compute-contract band = $9.7-16.7M per MW-yr. Low = IREN-Microsoft 9.7 (P1, R, IT MW). Top = Lambda-Anthropic ~16.7 (NEW2: $35B / 6 yrs / ~350 MW = 16.67; Medium confidence: press-only TCV (WSJ via theenergymag; private_peers PX10 16.7 D on P inputs), 6-yr term secondary, IT vs gross MW unstated). Was $9.7-16.2M with Nscale-Anthropic 16.16 (O1) on top. Band = memo set P1/NEW1/P2/O1/NEW2/O2 (build asserts min/max). Not a Nebius KPI; Microsoft-Nebius rows and facility leases excluded.</t>
  </si>
  <si>
    <t xml:space="preserve">Sites: announced vs contracted vs EVIDENCED-ACTIVE MW (low/base/high), YE26, grade and confidence. Peers: peers/sites/sites.xlsx 'Sites' + peers/sites/site_verification.md; the four one-page appendices (peers/sites/appendix_*.pdf, site_data.py; as of Oct 8) are cross-checked in cols Q-R (build asserts active and announced match). Abilene active 618 [D on R] per Oracle Sep 10 (IT vs gross basis unstated). Nebius: capacity/nebius_capacity.xlsx ('Sites' grades, 'Quarterly MW' Q3'26 = current evidenced energized; YE26 = Q4'26) + capacity/site_verification.md. Same method/grade scale for both (Green/Yellow/Red).</t>
  </si>
  <si>
    <t xml:space="preserve">A. Peer key sites (peers/sites/sites.xlsx)</t>
  </si>
  <si>
    <t xml:space="preserve">Company</t>
  </si>
  <si>
    <t xml:space="preserve">Site</t>
  </si>
  <si>
    <t xml:space="preserve">Announced MW (text)</t>
  </si>
  <si>
    <t xml:space="preserve">Announced MW (numeric, for chart)</t>
  </si>
  <si>
    <t xml:space="preserve">Contracted MW</t>
  </si>
  <si>
    <t xml:space="preserve">Active low</t>
  </si>
  <si>
    <t xml:space="preserve">Active base</t>
  </si>
  <si>
    <t xml:space="preserve">Active high</t>
  </si>
  <si>
    <t xml:space="preserve">YE26 low</t>
  </si>
  <si>
    <t xml:space="preserve">YE26 base</t>
  </si>
  <si>
    <t xml:space="preserve">YE26 high</t>
  </si>
  <si>
    <t xml:space="preserve">Grade</t>
  </si>
  <si>
    <t xml:space="preserve">Confidence</t>
  </si>
  <si>
    <t xml:space="preserve">Evidence / key images</t>
  </si>
  <si>
    <t xml:space="preserve">Billed MW (site appendix)</t>
  </si>
  <si>
    <t xml:space="preserve">Appendix check / tags</t>
  </si>
  <si>
    <t xml:space="preserve">Denton TX (Core Scientific campus, 8171 Jim Christal Rd)</t>
  </si>
  <si>
    <t xml:space="preserve">IT (critical) MW</t>
  </si>
  <si>
    <t xml:space="preserve">~262 MW IT (394 MW grid) at full build</t>
  </si>
  <si>
    <t xml:space="preserve">~260 MW IT leased to CoreWeave (CORZ Q2-26 deck)</t>
  </si>
  <si>
    <t xml:space="preserve">Green</t>
  </si>
  <si>
    <t xml:space="preserve">High (landlord SEC filings; imagery consistent)</t>
  </si>
  <si>
    <t xml:space="preserve">Landlord-reported billing: Bldgs D-G ~132 MW billing Mar-2026 (8-K Ex99.2 2026-04-21); ~260 MW leased &amp; ~260 MW billing, "substantially complete" (Q2-26 deck 2026-07-28). Low = rounding haircut on "~260". | strips/denton_tx_strip.png; imagery/denton_tx/detail/denton_tx_2023-06-28_crop.png; imagery/denton_tx/detail/denton_tx_2026-09-15_crop.png</t>
  </si>
  <si>
    <t xml:space="preserve">peers/sites/sites.xlsx Sites; site_verification.md</t>
  </si>
  <si>
    <t xml:space="preserve">Matches appendix_coreweave_denton (as of Oct 8): active 250/260/262 (D), billed ~260 (R, landlord CORZ billing CoreWeave), YE26 260/262/262 (E). IT MW.</t>
  </si>
  <si>
    <t xml:space="preserve">Childress TX (620 FM 1033)</t>
  </si>
  <si>
    <t xml:space="preserve">IT MW for AI; grid MW for site</t>
  </si>
  <si>
    <t xml:space="preserve">750 MW grid site; Horizons 1-4 = 4 x 50 MW IT liquid-cooled (+H5-6 2027); 60 MW IT air-cooled for NVIDIA contract (from early 2027)</t>
  </si>
  <si>
    <t xml:space="preserve">200 MW IT Microsoft ($9.7B/5 yr) = Horizons 1-4; NVIDIA $3.4B within 60 MW of existing halls (ramp from early 2027)</t>
  </si>
  <si>
    <t xml:space="preserve">Green (H1-2) / Yellow (H3-4 by Q4-26)</t>
  </si>
  <si>
    <t xml:space="preserve">High for 50 MW; Medium for 75-100 MW</t>
  </si>
  <si>
    <t xml:space="preserve">Horizon 1 (50 MW IT) delivered/accepted by Microsoft 2026-08-13 (SEC Ex99.1); Horizon 2 commissioning underway (FY26 results 2026-08-27) =&gt; 50-100 MW IT AI. Legacy bitcoin load (650 MW "operating data centers" Aug-2025) separate and being wound down. | strips/childress_tx_strip.png; imagery/childress_tx/detail/childress_tx_2024-07-30_crop.png; imagery/childress_tx/detail/childress_tx_2026-09-28_crop.png</t>
  </si>
  <si>
    <t xml:space="preserve">Matches appendix_iren_childress (as of Oct 8): active 50/75/100 AI IT (D), billed 50 (D on R, H1 accepted Aug 13), YE26 100/150/200 (E). Site grid 750 incl. mining.</t>
  </si>
  <si>
    <t xml:space="preserve">Kvandal (Narvik/Bjerkvik) NO - Stargate Norway</t>
  </si>
  <si>
    <t xml:space="preserve">MW (grid allocation / IT not split)</t>
  </si>
  <si>
    <t xml:space="preserve">230 MW grid allocated (Statnett) + up to 290 MW more (paused); HENT KNB4-6 = 100 MW buildings</t>
  </si>
  <si>
    <t xml:space="preserve">S-1: Norway owned sites 100 + 100 MW contracted (not active); Vattenfall PPA phase 1 2027-31</t>
  </si>
  <si>
    <t xml:space="preserve">Yellow (2027 start; NVE/grid risks)</t>
  </si>
  <si>
    <t xml:space="preserve">High that active = 0</t>
  </si>
  <si>
    <t xml:space="preserve">Under construction: groundbreaking 2025-11-19 (NRK); HENT 2026-09-02 completion "during 2027"; Vattenfall PPA operations from 2027; imagery shows first shells only from Jun-2026. | strips/kvandal_no_strip.png; imagery/kvandal_no/detail/kvandal_no_2025-10-04_crop.png; imagery/kvandal_no/detail/kvandal_no_2026-09-11_crop.png</t>
  </si>
  <si>
    <t xml:space="preserve">Abilene TX (Lancium Clean Campus; Stargate - Oracle/OpenAI)</t>
  </si>
  <si>
    <t xml:space="preserve">1.2 GW gross / 8 buildings (Crusoe JV PR 2025-05-21); ~824 MW IT implied (618 / 0.75, D; Epoch ~843 IT, P). Microsoft 900 MW (2 x 336 MW IT) adjacent campus 2027+ excluded</t>
  </si>
  <si>
    <t xml:space="preserve">All 8 buildings leased to Oracle (for OpenAI); 600 MW expansion reportedly not proceeding (Mar-2026, secondary)</t>
  </si>
  <si>
    <t xml:space="preserve">Green (B1-6 delivered) / Yellow (B7-8 by YE26; expansion permit 182126 frozen)</t>
  </si>
  <si>
    <t xml:space="preserve">Medium-High (618 MW company-stated delivered, R; active read D on R; IT vs gross basis unstated)</t>
  </si>
  <si>
    <t xml:space="preserve">[D on R] Oracle FQ1 FY27 call (2026-09-10): 6 of 8 buildings, 618 MW and 75% of capacity delivered to the customer; 131k GPUs delivered there in the quarter. Delivered + accepted (R) read as active (D). IT vs gross basis unstated (read as IT, E). Low 421 = Epoch AI satellite model (Bldgs 1-4, ~2026-05-23; P). Billed ~618 (Oracle -&gt; OpenAI; D); JV lease billing to Oracle n/d. History: Oct 5 view 200/421/421 (Oracle Apr-2026 "200MW is already operational"; Epoch 421). | strips/abilene_tx_strip.png; imagery/abilene_tx/detail/abilene_tx_2025-04-10_crop.png; imagery/abilene_tx/detail/abilene_tx_2026-09-15_crop.png</t>
  </si>
  <si>
    <t xml:space="preserve">Matches appendix_crusoe_abilene (as of Oct 8): active 421/618/618 [D on R] - Oracle FQ1 FY27 call (Sep 10): 6 of 8 bldgs, 618 MW, 75% delivered; low 421 = Epoch (P). Billed ~618 (D). YE26 618/721/824 (E). IT vs gross basis unstated. History: Oct 5 view 200/421/421, YE26 421/632/843.</t>
  </si>
  <si>
    <t xml:space="preserve">Kansas City MO (Project Blitz, 11155 N Airworld Dr)</t>
  </si>
  <si>
    <t xml:space="preserve">24 MW early 2026; &gt;100 MW potential (Lambda blog 2025-10-28)</t>
  </si>
  <si>
    <t xml:space="preserve">Single customer (unnamed); &gt;10,000 Blackwell Ultra GPUs</t>
  </si>
  <si>
    <t xml:space="preserve">Yellow (no go-live confirmation)</t>
  </si>
  <si>
    <t xml:space="preserve">Low</t>
  </si>
  <si>
    <t xml:space="preserve">No public confirmation of operation. MO DNR letter 2026-04-15: commissioning from 2026-06-01 on 5 x 3 MW rental engines (prime, Jun-Oct) + up to 6 x 3 MW; Evergy full supply late summer 2026. Evergy (KSHB, Jun-2026): enough power "available today" to fully operate. Base = half of 24 MW. | strips/kcairworld_mo_strip.png; imagery/kcairworld_mo/detail/kcairworld_mo_2025-10-20_crop.png; imagery/kcairworld_mo/detail/kcairworld_mo_2026-10-02_crop.png</t>
  </si>
  <si>
    <t xml:space="preserve">Oracle (OCI)</t>
  </si>
  <si>
    <t xml:space="preserve">Port Washington WI (Vantage "Lighthouse"; Stargate)</t>
  </si>
  <si>
    <t xml:space="preserve">IT MW (~902 MW IT of 1.3 GW electrical)</t>
  </si>
  <si>
    <t xml:space="preserve">~1.3 GW electrical / ~902 MW IT, 4 buildings, 672 ac, $15B (Ozaukee Press 2025-10-22)</t>
  </si>
  <si>
    <t xml:space="preserve">Leased to Oracle for OpenAI (Stargate); handover from end-2027</t>
  </si>
  <si>
    <t xml:space="preserve">Yellow/Red (end-2027 handover vs grid timeline)</t>
  </si>
  <si>
    <t xml:space="preserve">No grid power: ATC Ozaukee County interconnection (new Decker substation) construction Dec-2026..Dec-2027; PSC completeness revoked Aug-2026, refiled 2026-09-14/15; Aterio: partial power earliest Oct-2027, base Dec-2027. | strips/portwash_wi_strip.png; imagery/portwash_wi/detail/portwash_wi_2025-10-04_crop.png; imagery/portwash_wi/detail/portwash_wi_2026-09-11_crop.png</t>
  </si>
  <si>
    <t xml:space="preserve">Matches appendix_oracle_port_washington (as of Oct 8): active 0/0/0 (R), billed 0 (R), YE26 0 (E); YE27 0/~310/438 = grid MW. Announced ~902 IT / 1.3 GW electrical.</t>
  </si>
  <si>
    <t xml:space="preserve">Monarch Compute Campus, Mason County WV (Point Pleasant)</t>
  </si>
  <si>
    <t xml:space="preserve">Phase 1: 2 GW gross / ~1.35-1.37 GW IT by H1'28 (S-1 / nscale.com); ~8 GW gross by 2031; $20B+ planned capex</t>
  </si>
  <si>
    <t xml:space="preserve">460 MW IT in S-1 facilities table (US Owned, Tier 3, Contracted). Anthropic GPU Services Agreements up to $44.6B (signed 2026-08-25; Vera Rubin NVL72; four tranches). Financing for Anthropic NOT committed as of S-1 date. Implied ACV ~$16.2M/IT MW-yr if 6-yr term (press).</t>
  </si>
  <si>
    <t xml:space="preserve">Yellow (460 MW H1'28 path) / Yellow-Red (full 1.37 GW H1'28)</t>
  </si>
  <si>
    <t xml:space="preserve">High that active=0; Medium that 460 MW contract is real; Low-Medium that 460 MW is on-track for H1'28 (financing + draft permit + early construction)</t>
  </si>
  <si>
    <t xml:space="preserve">Site prep / civil only as of 2026-09-25 Sentinel-2: ~85-100 ha bare ground, graded pads, no completed hall roofs (white-roof still ~2 ha = pre-existing hangars). Site manager (2026-09-20): still civil, about to go vertical. Active IT = 0. | strips/monarch_wv_strip.png; imagery/monarch_wv/detail/monarch_wv_2026-04-08_crop.png; imagery/monarch_wv/detail/monarch_wv_2026-06-02_crop.png; imagery/monarch_wv/detail/monarch_wv_2026-09-25_crop.png</t>
  </si>
  <si>
    <t xml:space="preserve">Announced numeric = IT MW where available (Denton 262 IT; Childress AI 4x50 + 60 = 260 IT; Kvandal 230 grid; Abilene ~824 IT implied of 1.2 GW gross (618 MW delivered = 75%, Oracle Sep 10; was ~843 per Epoch, Oct 5); Lambda KC 24; Port Washington ~902 IT; Nscale Monarch 460 IT = S-1 contracted (Phase 1 announced ~1.35-1.37 GW IT)), read from the text column - Derived.</t>
  </si>
  <si>
    <t xml:space="preserve">B. Nebius sites (capacity/nebius_capacity.xlsx + capacity/site_verification.md)</t>
  </si>
  <si>
    <t xml:space="preserve">Vineland NJ (DataOne)</t>
  </si>
  <si>
    <t xml:space="preserve">Contracted 300 = gross (Estimated); energized rows = IT MW (altdata power-bounded)</t>
  </si>
  <si>
    <t xml:space="preserve">up to 300 MW (Mar 2025); option for 'hundreds of MW' more (Q3'25)</t>
  </si>
  <si>
    <t xml:space="preserve">Yellow/Red</t>
  </si>
  <si>
    <t xml:space="preserve">see site_verification.md (MW tags in nebius_capacity Tags_Sources)</t>
  </si>
  <si>
    <t xml:space="preserve">~107 MW IT ceiling on rented gensets through YE26; Bloom-powered remainder 1H-2H 2027</t>
  </si>
  <si>
    <t xml:space="preserve">capacity/nebius_capacity.xlsx Sites + Quarterly MW (Q3'26/Q4'26)</t>
  </si>
  <si>
    <t xml:space="preserve">Independence MO (Eastgate)</t>
  </si>
  <si>
    <t xml:space="preserve">unknown (likely gross/utility)</t>
  </si>
  <si>
    <t xml:space="preserve">up to 1.2 GW (originally reported 800 MW)</t>
  </si>
  <si>
    <t xml:space="preserve">Phase 1 ~Q3 2027; 600 MW not before 2029</t>
  </si>
  <si>
    <t xml:space="preserve">Butler Twp PA (Highridge)</t>
  </si>
  <si>
    <t xml:space="preserve">unknown (PPL ESA = utility/gross)</t>
  </si>
  <si>
    <t xml:space="preserve">Red</t>
  </si>
  <si>
    <t xml:space="preserve">First MW Q4 2027 at best; base ~Q2 2028-2029 (PPL lines late-27 to early-29; 3-yr build)</t>
  </si>
  <si>
    <t xml:space="preserve">Birmingham AL (BHM01, Oxmoor)</t>
  </si>
  <si>
    <t xml:space="preserve">unknown (300 MW is press figure, not Nebius)</t>
  </si>
  <si>
    <t xml:space="preserve">~300 MW (press-reported; not in Nebius filings)</t>
  </si>
  <si>
    <t xml:space="preserve">Yellow</t>
  </si>
  <si>
    <t xml:space="preserve">115 kV NLT Dec 31 2026; first revenue MW 2027; 230 kV Oct 2027</t>
  </si>
  <si>
    <t xml:space="preserve">Bethune FR (Azur Datacenter, ex-Bridgestone)</t>
  </si>
  <si>
    <t xml:space="preserve">unknown</t>
  </si>
  <si>
    <t xml:space="preserve">240 MW</t>
  </si>
  <si>
    <t xml:space="preserve">Start Q4 2026 (~27 MW initial); 120 MW ~1H27; prefect ICPE decision pending</t>
  </si>
  <si>
    <t xml:space="preserve">Lappeenranta FI (Pajarila / Polarnode)</t>
  </si>
  <si>
    <t xml:space="preserve">up to 310 MW</t>
  </si>
  <si>
    <t xml:space="preserve">First building H1 2027 (Fira); substation spring 2027</t>
  </si>
  <si>
    <t xml:space="preserve">Mantsala FI #1</t>
  </si>
  <si>
    <t xml:space="preserve">unknown; PUE ~1.1 (company)</t>
  </si>
  <si>
    <t xml:space="preserve">75 MW after tripling (Nebius PR Oct 8 2024)</t>
  </si>
  <si>
    <t xml:space="preserve">75 MW built (completed early 2026)</t>
  </si>
  <si>
    <t xml:space="preserve">Mantsala FI #2 (Kapuli)</t>
  </si>
  <si>
    <t xml:space="preserve">unknown (70 MW substation)</t>
  </si>
  <si>
    <t xml:space="preserve">Q4 2027 earliest (substation completes autumn 2027)</t>
  </si>
  <si>
    <t xml:space="preserve">Kansas City MO (Patmos)</t>
  </si>
  <si>
    <t xml:space="preserve">Expandable to 40 MW (~35,000 GPUs)</t>
  </si>
  <si>
    <t xml:space="preserve">Operational; Nebius share of 35 MW facility not disclosed</t>
  </si>
  <si>
    <t xml:space="preserve">Paris (Equinix PA10)</t>
  </si>
  <si>
    <t xml:space="preserve">unknown; MW not disclosed (5 = 3rd-party)</t>
  </si>
  <si>
    <t xml:space="preserve">Operational</t>
  </si>
  <si>
    <t xml:space="preserve">Keflavik IS (Verne)</t>
  </si>
  <si>
    <t xml:space="preserve">10 MW (no expansion disclosed)</t>
  </si>
  <si>
    <t xml:space="preserve">Operational (private region)</t>
  </si>
  <si>
    <t xml:space="preserve">London Longcross (Ark LP01)</t>
  </si>
  <si>
    <t xml:space="preserve">unknown (GPU/MW fit suggests gross)</t>
  </si>
  <si>
    <t xml:space="preserve">Phase 2 +3,000 B300 (7,000 total). Jun 2026: Nebius leases entire existing facility; Ark building new 36 MW LP02 (Nebius share not disclosed)</t>
  </si>
  <si>
    <t xml:space="preserve">19 MW by ~Q4 2026; LP02 share/timing not disclosed</t>
  </si>
  <si>
    <t xml:space="preserve">Harlow UK (Kao Data KLON-02/03)</t>
  </si>
  <si>
    <t xml:space="preserve">22 MW</t>
  </si>
  <si>
    <t xml:space="preserve">KLON-03 completion end-2026; MW early 2027</t>
  </si>
  <si>
    <t xml:space="preserve">Newport UK (Vantage CWL1)</t>
  </si>
  <si>
    <t xml:space="preserve">not stated (MW not disclosed)</t>
  </si>
  <si>
    <t xml:space="preserve">Newport + UK 3rd = 65 - 22 (Harlow) = 43 MW by 2027 (Derived); Newport ~29 if LON-East is the 3rd site (low)</t>
  </si>
  <si>
    <t xml:space="preserve">UK 3rd new deployment (lead: Green Mountain LON-East, Romford)</t>
  </si>
  <si>
    <t xml:space="preserve">Residual of 65 MW UK total (65 − 22 Harlow − Longcross expansion share) — not disclosed</t>
  </si>
  <si>
    <t xml:space="preserve">Lead only: Green Mountain LON-East 14 MW to unnamed neocloud (Sep 1 2026) + Nebius East London job (Feb 2); low confidence</t>
  </si>
  <si>
    <t xml:space="preserve">Modi'in IL (Mega Or)</t>
  </si>
  <si>
    <t xml:space="preserve">IT (4,000 B200 / 8 MW = 500/MW fits IT model)</t>
  </si>
  <si>
    <t xml:space="preserve">Mega Or said Nebius may double to 8,000 GPUs subject to demand (not Nebius-confirmed)</t>
  </si>
  <si>
    <t xml:space="preserve">Masmiyya IL (Mega DC)</t>
  </si>
  <si>
    <t xml:space="preserve">22 MW (site could reach 64 MW; Nebius share n/d)</t>
  </si>
  <si>
    <t xml:space="preserve">Mega Or Q2-26 deck: Yoav construction completion Q4 2026 -&gt; Q4-26/Q2-27</t>
  </si>
  <si>
    <t xml:space="preserve">Beit Shemesh IL (Mega DC)</t>
  </si>
  <si>
    <t xml:space="preserve">58 MW (site could reach ~222 MW; Nebius share n/d)</t>
  </si>
  <si>
    <t xml:space="preserve">Mega Or Q2-26 deck: completion Q2 2027 -&gt; staged Q1-Q4 2027</t>
  </si>
  <si>
    <t xml:space="preserve">Madrid-Getafe ES (Merlin Edged)</t>
  </si>
  <si>
    <t xml:space="preserve">18 MW</t>
  </si>
  <si>
    <t xml:space="preserve">Phase 1 live; 18 MW by Q4 2026-Q1 2027</t>
  </si>
  <si>
    <t xml:space="preserve">Tallinn EE (Greenergy Huuru)</t>
  </si>
  <si>
    <t xml:space="preserve">22 MW (facility total 31.5 MW)</t>
  </si>
  <si>
    <t xml:space="preserve">Q4 2026-Q2 2027; Estonian govt security review discussed at Cabinet (Aug 2026)</t>
  </si>
  <si>
    <t xml:space="preserve">Minnesota colo (us-north1, Woodbury)</t>
  </si>
  <si>
    <t xml:space="preserve">us-north1 Woodbury; likely IronGate MSP01 (15 MW live, fully leased; inference)</t>
  </si>
  <si>
    <t xml:space="preserve">Oklahoma colo (unnamed)</t>
  </si>
  <si>
    <t xml:space="preserve">&gt;100 (map category)</t>
  </si>
  <si>
    <t xml:space="preserve">Q2-26 letter map: Sites &gt;100MW; 8 on-site roles since Mar 2 2026; town/landlord not found</t>
  </si>
  <si>
    <t xml:space="preserve">France 2nd colo (unnamed; possibly eu-west2)</t>
  </si>
  <si>
    <t xml:space="preserve">eu-west2 (France, B300) live in docs - mapping is inference; MW n/d -&gt; in plug</t>
  </si>
  <si>
    <t xml:space="preserve">AIB CLT1 (Moore, Spartanburg County SC; Lockhart Power)</t>
  </si>
  <si>
    <t xml:space="preserve">IT (50 MW critical IT on 65 MW utility ESA)</t>
  </si>
  <si>
    <t xml:space="preserve">50 MW critical IT (65 MW utility ESA)</t>
  </si>
  <si>
    <t xml:space="preserve">Hall 1 ~Q3-Q4 2027; permits only submitted; project financing not arranged</t>
  </si>
  <si>
    <t xml:space="preserve">Nebius identified-site total (formula)</t>
  </si>
  <si>
    <t xml:space="preserve">Capacity check: Q3'26 identified 182/207.5/233; YE26 185/304.5/424 ENERGIZED (site_verification.md). Company base incl. plug 207.5 (Q3'26); mgmt guide 800 MW-1 GW CONNECTED YE26. Not the same as BILLING: billed IT MW locks YE26 257.7 base / 284.2 high; FY27 avg 531.8 / 659.2 engine-linked (model v0.9e; Nebius_Inputs N_BILL_*).</t>
  </si>
  <si>
    <t xml:space="preserve">Nebius 'Announced MW' column = site_list.xlsx 'Announced MW - full build-out' text; numeric column = contracted MW (capacity Sites tab), basis mostly gross/unknown.</t>
  </si>
  <si>
    <t xml:space="preserve">Nebius active = Capacity &amp; Power 'Energized MW' low/base/high for Q3'26 (current, as of Oct-4 evidence); YE26 = Q4'26. Peers active = evidence-supported energized and in service as of 2026-10-04.</t>
  </si>
  <si>
    <t xml:space="preserve">Read-across: only CoreWeave Denton (~260) and Crusoe Abilene (618 delivered, Oracle Sep 10; D on R; IT vs gross basis unstated) show hundreds of MW evidenced-active on grid; Nebius's largest site (Vineland) is Yellow/Red on unpermitted gensets; Nscale Kvandal and Oracle Port Washington are 0 active - like most new Nebius sites.</t>
  </si>
  <si>
    <t xml:space="preserve">Chart data (live formulas to Comparison / Contracts_$MWyr / Sites). Blank = n/d. PNG versions: peers/charts/*.png (peers/build_charts.py).</t>
  </si>
  <si>
    <t xml:space="preserve">Revenue per active / billing MW ($M/MW-yr)</t>
  </si>
  <si>
    <t xml:space="preserve">K01 Revenue per active MW - period-end repor</t>
  </si>
  <si>
    <t xml:space="preserve">K02 Revenue per active MW - average MW (2024</t>
  </si>
  <si>
    <t xml:space="preserve">K02b Revenue per BILLING IT MW - average MW (</t>
  </si>
  <si>
    <t xml:space="preserve">Realized $/GPU-hr vs list</t>
  </si>
  <si>
    <t xml:space="preserve">K07 Implied blended realized price ($/GPU-hr</t>
  </si>
  <si>
    <t xml:space="preserve">K08 Fleet-weighted on-demand list price ($/G</t>
  </si>
  <si>
    <t xml:space="preserve">Capex / PP&amp;E per MW ($M/MW)</t>
  </si>
  <si>
    <t xml:space="preserve">K13 Trailing-4Q cash capex per trailing-4Q n</t>
  </si>
  <si>
    <t xml:space="preserve">K14 Net PP&amp;E per active MW (EoP)</t>
  </si>
  <si>
    <t xml:space="preserve">K15 Gross in-service PP&amp;E per active MW (EoP</t>
  </si>
  <si>
    <t xml:space="preserve">Cost of debt (%)</t>
  </si>
  <si>
    <t xml:space="preserve">K28 Weighted effective cost of debt (princip</t>
  </si>
  <si>
    <t xml:space="preserve">K36 Implied cash cost: contractual interest </t>
  </si>
  <si>
    <t xml:space="preserve">Customer concentration (%)</t>
  </si>
  <si>
    <t xml:space="preserve">K24 Largest customer % of revenue</t>
  </si>
  <si>
    <t xml:space="preserve">K26 Top-N &gt;=10% customers combined %</t>
  </si>
  <si>
    <t xml:space="preserve">RPO / annualized revenue (years)</t>
  </si>
  <si>
    <t xml:space="preserve">K23 RPO / annualized quarterly revenue</t>
  </si>
  <si>
    <t xml:space="preserve">Depreciation yield (%) and useful life (yrs)</t>
  </si>
  <si>
    <t xml:space="preserve">K17 Depreciation yield (D&amp;A x4 / avg in-serv</t>
  </si>
  <si>
    <t xml:space="preserve">K16 Useful life - technology equipment (GPUs</t>
  </si>
  <si>
    <t xml:space="preserve">Active vs contracted MW (latest; mixed IT/gross)</t>
  </si>
  <si>
    <t xml:space="preserve">Active / energized MW</t>
  </si>
  <si>
    <t xml:space="preserve">Basis/tags: Nebius 193 E (Capacity base case) / &gt;3.5 GW R; CRWV 1,500 / 3,700 R; IREN ~40 MW [R, Jun 30, 2026, FY26 10-K] company-wide, excludes Horizon 1 (50 IT MW, accepted Aug 13); Childress ~75 MW active (Oct, D) is one site, not used / 260 D (Microsoft 200 IT + NVIDIA ~60); IREN contracted/live &lt;=6.5x [D] (upper bound); Oracle ~2,050 = cumulative AI MW delivered since Jun-25 at Aug-26 (E; FQ1 FY27 call + peers/oracle I45E, same as peer_benchmark / price_or_mw; was 1,200 May-26) / contracted '&gt;10 GW secured' [R, FQ1 FY27 call Sep 10] (not a filed contract figure; chart bar drawn at 10,000 as a floor); installed base n/d; Oracle contracted/live n/d; Nscale 81 D / 1,370 R IT; Lambda 47 P / n/d (memo: Anthropic ~350 MW P); Crusoe 1,000 / 6,000 R GROSS.</t>
  </si>
  <si>
    <t xml:space="preserve">Contracts: $M per MW-yr (IT MW where available, else stated MW)</t>
  </si>
  <si>
    <t xml:space="preserve">N1 Nebius - Microsoft</t>
  </si>
  <si>
    <t xml:space="preserve">N2 Nebius - Meta #1</t>
  </si>
  <si>
    <t xml:space="preserve">P1 IREN - Microsoft</t>
  </si>
  <si>
    <t xml:space="preserve">NEW1 IREN - NVIDIA</t>
  </si>
  <si>
    <t xml:space="preserve">P2 Nscale - Microsoft (all SOWs)</t>
  </si>
  <si>
    <t xml:space="preserve">P2a Nscale (Aker JV) - Microsoft - Narvik</t>
  </si>
  <si>
    <t xml:space="preserve">O1 Nscale - Anthropic</t>
  </si>
  <si>
    <t xml:space="preserve">NEW2 Lambda - Anthropic</t>
  </si>
  <si>
    <t xml:space="preserve">O2 Oracle - OpenAI (Stargate)</t>
  </si>
  <si>
    <t xml:space="preserve">NEW16 Cerebras - OpenAI</t>
  </si>
  <si>
    <t xml:space="preserve">REF TeraWulf - Fluidstack (Google backstop)</t>
  </si>
  <si>
    <t xml:space="preserve">F1 Cipher Mining - AWS</t>
  </si>
  <si>
    <t xml:space="preserve">F2 Cipher Mining - Fluidstack (Google backs</t>
  </si>
  <si>
    <t xml:space="preserve">F3 Hut 8 - Fluidstack (Anthropic; Google ba</t>
  </si>
  <si>
    <t xml:space="preserve">F4 Applied Digital - CoreWeave (Polaris For</t>
  </si>
  <si>
    <t xml:space="preserve">F5 Galaxy - CoreWeave (Helios)</t>
  </si>
  <si>
    <t xml:space="preserve">F6 Hut 8 - NVIDIA (Beacon Point; for Lambda</t>
  </si>
  <si>
    <t xml:space="preserve">Sites: evidenced-active (base) vs announced/contracted MW</t>
  </si>
  <si>
    <t xml:space="preserve">Announced / contracted</t>
  </si>
  <si>
    <t xml:space="preserve">CoreWeave: Denton TX</t>
  </si>
  <si>
    <t xml:space="preserve">IREN: Childress TX</t>
  </si>
  <si>
    <t xml:space="preserve">Nscale: Kvandal</t>
  </si>
  <si>
    <t xml:space="preserve">Crusoe: Abilene TX</t>
  </si>
  <si>
    <t xml:space="preserve">Lambda: Kansas City MO</t>
  </si>
  <si>
    <t xml:space="preserve">Oracle: Port Washington WI</t>
  </si>
  <si>
    <t xml:space="preserve">Nscale: Monarch Compute Campus</t>
  </si>
  <si>
    <t xml:space="preserve">Nebius: Vineland NJ</t>
  </si>
  <si>
    <t xml:space="preserve">Nebius: Independence MO</t>
  </si>
  <si>
    <t xml:space="preserve">Nebius: Bethune FR</t>
  </si>
  <si>
    <t xml:space="preserve">Nebius: Mantsala FI #1</t>
  </si>
  <si>
    <t xml:space="preserve">Nebius: Kansas City MO</t>
  </si>
  <si>
    <t xml:space="preserve">Nebius: London Longcross</t>
  </si>
  <si>
    <t xml:space="preserve">Nebius billed IT MW path - locks (model v0.9e)</t>
  </si>
  <si>
    <t xml:space="preserve">Billing IT MW</t>
  </si>
  <si>
    <t xml:space="preserve">Revenue / run-rate $M</t>
  </si>
  <si>
    <t xml:space="preserve">$M per billed IT MW-yr</t>
  </si>
  <si>
    <t xml:space="preserve">Basis</t>
  </si>
  <si>
    <t xml:space="preserve">Q2'26 average (K02b)</t>
  </si>
  <si>
    <t xml:space="preserve">Q2'26 AI cloud rev x4 (R) / Capacity billing E</t>
  </si>
  <si>
    <t xml:space="preserve">YE26 BASE (~258) @ $7B guide</t>
  </si>
  <si>
    <t xml:space="preserve">guide low / base billing</t>
  </si>
  <si>
    <t xml:space="preserve">YE26 HIGH (~284) @ $9B guide</t>
  </si>
  <si>
    <t xml:space="preserve">guide high / high billing (price_or_mw fix)</t>
  </si>
  <si>
    <t xml:space="preserve">FY27 avg BASE (~531.8) @ Street (blended)</t>
  </si>
  <si>
    <t xml:space="preserve">Street $12.3B / v0.9e base (incl. MSFT $14.5M anchor)</t>
  </si>
  <si>
    <t xml:space="preserve">FY27 BASE ex-Vineland @ Street ex-MSFT</t>
  </si>
  <si>
    <t xml:space="preserve">PEER COMPARATOR: (Street - Microsoft) / (base - Vineland MW)</t>
  </si>
  <si>
    <t xml:space="preserve">FY27 avg HIGH (~659.2) @ Street (blended)</t>
  </si>
  <si>
    <t xml:space="preserve">Street $12.3B / v0.9e high</t>
  </si>
  <si>
    <t xml:space="preserve">Native Excel charts (linked to Chart_Data). PNG versions with notes: /workspace/nebius/peers/charts/.</t>
  </si>
  <si>
    <t xml:space="preserve">Peer-specific memo KPIs (M-rows; not template-standard) - full quarterly history</t>
  </si>
  <si>
    <t xml:space="preserve">Memo KPI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</si>
  <si>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</si>
  <si>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</si>
  <si>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</si>
  <si>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</si>
  <si>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</si>
  <si>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</si>
  <si>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</si>
  <si>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</si>
  <si>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</si>
  <si>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</si>
  <si>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M01</t>
  </si>
  <si>
    <t xml:space="preserve">AI Cloud share of total revenue</t>
  </si>
  <si>
    <t xml:space="preserve">M02</t>
  </si>
  <si>
    <t xml:space="preserve">Bitcoin mining revenue per mining MW (annualized)</t>
  </si>
  <si>
    <t xml:space="preserve">M03</t>
  </si>
  <si>
    <t xml:space="preserve">AI MW share of operating data-center MW</t>
  </si>
  <si>
    <t xml:space="preserve">M04</t>
  </si>
  <si>
    <t xml:space="preserve">Installed hashrate</t>
  </si>
  <si>
    <t xml:space="preserve">EH/s</t>
  </si>
  <si>
    <t xml:space="preserve">M05</t>
  </si>
  <si>
    <t xml:space="preserve">Net PP&amp;E per total operating DC MW (company-wide)</t>
  </si>
  <si>
    <t xml:space="preserve">M06</t>
  </si>
  <si>
    <t xml:space="preserve">Owned GPU hardware (gross) per AI MW</t>
  </si>
  <si>
    <t xml:space="preserve">M07</t>
  </si>
  <si>
    <t xml:space="preserve">Revenue per GPU on period-end est. GPUs ($K/GPU-yr) - Q2'26 bridge</t>
  </si>
  <si>
    <t xml:space="preserve">M08</t>
  </si>
  <si>
    <t xml:space="preserve">Company Adj. EBITDA margin</t>
  </si>
  <si>
    <t xml:space="preserve">M09</t>
  </si>
  <si>
    <t xml:space="preserve">Secured grid power / operating DC MW</t>
  </si>
  <si>
    <t xml:space="preserve">Q3'26†</t>
  </si>
  <si>
    <t xml:space="preserve">OCI share of total revenue</t>
  </si>
  <si>
    <t xml:space="preserve">OCI revenue growth YoY</t>
  </si>
  <si>
    <t xml:space="preserve">Company capex / total revenue</t>
  </si>
  <si>
    <t xml:space="preserve">GPUs per delivered MW (FQ1 FY27)</t>
  </si>
  <si>
    <t xml:space="preserve">GPUs/MW</t>
  </si>
  <si>
    <t xml:space="preserve">Annual depreciation yield (trailing-4Q depreciation / avg in-service gross PP&amp;E, FY)</t>
  </si>
  <si>
    <t xml:space="preserve">Trailing-4Q OCI-attributed capex per $ of incremental annualized OCI revenue</t>
  </si>
  <si>
    <t xml:space="preserve">Cumulative AI MW delivered since Jun-25</t>
  </si>
  <si>
    <t xml:space="preserve">Not-yet-commenced DC lease commitments</t>
  </si>
  <si>
    <t xml:space="preserve">RPO increase QoQ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</si>
</sst>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659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7030A0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C65911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per active / billing MW ($M/MW-yr)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Chart_Data!A4</c:f>
              <c:strCache>
                <c:ptCount val="1"/>
                <c:pt idx="0">
                  <c:v>K01 Revenue per active MW - period-end repor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Chart_Data!$B$4:$H$4</c:f>
              <c:numCache>
                <c:formatCode>0.00</c:formatCode>
                <c:ptCount val="7"/>
                <c:pt idx="0">
                  <c:v>11.9150259067358</c:v>
                </c:pt>
                <c:pt idx="1">
                  <c:v>6.86666666666667</c:v>
                </c:pt>
                <c:pt idx="2">
                  <c:v>7.0515</c:v>
                </c:pt>
                <c:pt idx="4">
                  <c:v>3.47160493827161</c:v>
                </c:pt>
                <c:pt idx="5">
                  <c:v>9.70212765957447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Chart_Data!A5</c:f>
              <c:strCache>
                <c:ptCount val="1"/>
                <c:pt idx="0">
                  <c:v>K02 Revenue per active MW - average MW (2024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Chart_Data!$B$5:$H$5</c:f>
              <c:numCache>
                <c:formatCode>0.00</c:formatCode>
                <c:ptCount val="7"/>
                <c:pt idx="0">
                  <c:v>12.2809078771696</c:v>
                </c:pt>
                <c:pt idx="1">
                  <c:v>8.24</c:v>
                </c:pt>
                <c:pt idx="2">
                  <c:v>10.476822</c:v>
                </c:pt>
              </c:numCache>
            </c:numRef>
          </c:val>
        </c:ser>
        <c:ser>
          <c:idx val="2"/>
          <c:order val="2"/>
          <c:tx>
            <c:strRef>
              <c:f>Chart_Data!A6</c:f>
              <c:strCache>
                <c:ptCount val="1"/>
                <c:pt idx="0">
                  <c:v>K02b Revenue per BILLING IT MW - average MW (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Chart_Data!$B$6:$H$6</c:f>
              <c:numCache>
                <c:formatCode>0.00</c:formatCode>
                <c:ptCount val="7"/>
                <c:pt idx="0">
                  <c:v>13.0554479947595</c:v>
                </c:pt>
                <c:pt idx="1">
                  <c:v>8.24</c:v>
                </c:pt>
              </c:numCache>
            </c:numRef>
          </c:val>
        </c:ser>
        <c:gapWidth val="150"/>
        <c:overlap val="0"/>
        <c:axId val="68552321"/>
        <c:axId val="59592340"/>
      </c:barChart>
      <c:catAx>
        <c:axId val="68552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92340"/>
        <c:crosses val="autoZero"/>
        <c:auto val="1"/>
        <c:lblAlgn val="ctr"/>
        <c:lblOffset val="100"/>
        <c:noMultiLvlLbl val="0"/>
      </c:catAx>
      <c:valAx>
        <c:axId val="59592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552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Realized $/GPU-hr vs 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Chart_Data!A9</c:f>
              <c:strCache>
                <c:ptCount val="1"/>
                <c:pt idx="0">
                  <c:v>K07 Implied blended realized price ($/GPU-hr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Chart_Data!$B$9:$H$9</c:f>
              <c:numCache>
                <c:formatCode>0.00</c:formatCode>
                <c:ptCount val="7"/>
                <c:pt idx="0">
                  <c:v>3.03480136425328</c:v>
                </c:pt>
                <c:pt idx="1">
                  <c:v>1.66055787728417</c:v>
                </c:pt>
                <c:pt idx="2">
                  <c:v>1.66372282608696</c:v>
                </c:pt>
                <c:pt idx="4">
                  <c:v>1.29465930018416</c:v>
                </c:pt>
                <c:pt idx="5">
                  <c:v>2.08791208791209</c:v>
                </c:pt>
              </c:numCache>
            </c:numRef>
          </c:val>
        </c:ser>
        <c:ser>
          <c:idx val="1"/>
          <c:order val="1"/>
          <c:tx>
            <c:strRef>
              <c:f>Chart_Data!A10</c:f>
              <c:strCache>
                <c:ptCount val="1"/>
                <c:pt idx="0">
                  <c:v>K08 Fleet-weighted on-demand list price ($/G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Chart_Data!$B$10:$H$10</c:f>
              <c:numCache>
                <c:formatCode>0.00</c:formatCode>
                <c:ptCount val="7"/>
                <c:pt idx="0">
                  <c:v>5.6063348027</c:v>
                </c:pt>
                <c:pt idx="1">
                  <c:v>9.19561823792884</c:v>
                </c:pt>
                <c:pt idx="2">
                  <c:v>2</c:v>
                </c:pt>
                <c:pt idx="5">
                  <c:v>2.99</c:v>
                </c:pt>
                <c:pt idx="6">
                  <c:v>3.9</c:v>
                </c:pt>
              </c:numCache>
            </c:numRef>
          </c:val>
        </c:ser>
        <c:gapWidth val="150"/>
        <c:overlap val="0"/>
        <c:axId val="95045008"/>
        <c:axId val="88331184"/>
      </c:barChart>
      <c:catAx>
        <c:axId val="950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31184"/>
        <c:crosses val="autoZero"/>
        <c:auto val="1"/>
        <c:lblAlgn val="ctr"/>
        <c:lblOffset val="100"/>
        <c:noMultiLvlLbl val="0"/>
      </c:catAx>
      <c:valAx>
        <c:axId val="88331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045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Capex / PP&amp;E per MW ($M/MW)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Chart_Data!A13</c:f>
              <c:strCache>
                <c:ptCount val="1"/>
                <c:pt idx="0">
                  <c:v>K13 Trailing-4Q cash capex per trailing-4Q 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Chart_Data!$B$13:$H$13</c:f>
              <c:numCache>
                <c:formatCode>0.00</c:formatCode>
                <c:ptCount val="7"/>
                <c:pt idx="0">
                  <c:v>77.9146853146853</c:v>
                </c:pt>
                <c:pt idx="1">
                  <c:v>19.9666019417476</c:v>
                </c:pt>
                <c:pt idx="3">
                  <c:v>46.3858333333333</c:v>
                </c:pt>
              </c:numCache>
            </c:numRef>
          </c:val>
        </c:ser>
        <c:ser>
          <c:idx val="1"/>
          <c:order val="1"/>
          <c:tx>
            <c:strRef>
              <c:f>Chart_Data!A14</c:f>
              <c:strCache>
                <c:ptCount val="1"/>
                <c:pt idx="0">
                  <c:v>K14 Net PP&amp;E per active MW (EoP)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Chart_Data!$B$14:$H$14</c:f>
              <c:numCache>
                <c:formatCode>0.00</c:formatCode>
                <c:ptCount val="7"/>
                <c:pt idx="0">
                  <c:v>67.5917098445596</c:v>
                </c:pt>
                <c:pt idx="1">
                  <c:v>31.1573333333333</c:v>
                </c:pt>
                <c:pt idx="4">
                  <c:v>70.7098765432099</c:v>
                </c:pt>
              </c:numCache>
            </c:numRef>
          </c:val>
        </c:ser>
        <c:ser>
          <c:idx val="2"/>
          <c:order val="2"/>
          <c:tx>
            <c:strRef>
              <c:f>Chart_Data!A15</c:f>
              <c:strCache>
                <c:ptCount val="1"/>
                <c:pt idx="0">
                  <c:v>K15 Gross in-service PP&amp;E per active MW (EoP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Chart_Data!$B$15:$H$15</c:f>
              <c:numCache>
                <c:formatCode>0.00</c:formatCode>
                <c:ptCount val="7"/>
                <c:pt idx="0">
                  <c:v>32.7103626943005</c:v>
                </c:pt>
                <c:pt idx="1">
                  <c:v>27.136</c:v>
                </c:pt>
                <c:pt idx="4">
                  <c:v>20.8259259259259</c:v>
                </c:pt>
              </c:numCache>
            </c:numRef>
          </c:val>
        </c:ser>
        <c:gapWidth val="150"/>
        <c:overlap val="0"/>
        <c:axId val="97607398"/>
        <c:axId val="62406579"/>
      </c:barChart>
      <c:catAx>
        <c:axId val="97607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406579"/>
        <c:crosses val="autoZero"/>
        <c:auto val="1"/>
        <c:lblAlgn val="ctr"/>
        <c:lblOffset val="100"/>
        <c:noMultiLvlLbl val="0"/>
      </c:catAx>
      <c:valAx>
        <c:axId val="6240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07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Cost of debt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Chart_Data!A18</c:f>
              <c:strCache>
                <c:ptCount val="1"/>
                <c:pt idx="0">
                  <c:v>K28 Weighted effective cost of debt (princip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Chart_Data!$B$18:$H$18</c:f>
              <c:numCache>
                <c:formatCode>0.00</c:formatCode>
                <c:ptCount val="7"/>
                <c:pt idx="0">
                  <c:v>5.1</c:v>
                </c:pt>
                <c:pt idx="1">
                  <c:v>8.4134342212596</c:v>
                </c:pt>
                <c:pt idx="2">
                  <c:v>1.85234367978236</c:v>
                </c:pt>
                <c:pt idx="3">
                  <c:v>4.82820053034088</c:v>
                </c:pt>
              </c:numCache>
            </c:numRef>
          </c:val>
        </c:ser>
        <c:ser>
          <c:idx val="1"/>
          <c:order val="1"/>
          <c:tx>
            <c:strRef>
              <c:f>Chart_Data!A19</c:f>
              <c:strCache>
                <c:ptCount val="1"/>
                <c:pt idx="0">
                  <c:v>K36 Implied cash cost: contractual interest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Chart_Data!$B$19:$H$19</c:f>
              <c:numCache>
                <c:formatCode>0.00</c:formatCode>
                <c:ptCount val="7"/>
                <c:pt idx="0">
                  <c:v>5.60599196286207</c:v>
                </c:pt>
                <c:pt idx="1">
                  <c:v>7.80230642504119</c:v>
                </c:pt>
                <c:pt idx="2">
                  <c:v>1.70921362271062</c:v>
                </c:pt>
                <c:pt idx="3">
                  <c:v>4.35516721812937</c:v>
                </c:pt>
                <c:pt idx="4">
                  <c:v>22.1914008321775</c:v>
                </c:pt>
              </c:numCache>
            </c:numRef>
          </c:val>
        </c:ser>
        <c:gapWidth val="150"/>
        <c:overlap val="0"/>
        <c:axId val="53810322"/>
        <c:axId val="84271770"/>
      </c:barChart>
      <c:catAx>
        <c:axId val="53810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71770"/>
        <c:crosses val="autoZero"/>
        <c:auto val="1"/>
        <c:lblAlgn val="ctr"/>
        <c:lblOffset val="100"/>
        <c:noMultiLvlLbl val="0"/>
      </c:catAx>
      <c:valAx>
        <c:axId val="84271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810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concentration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Chart_Data!A22</c:f>
              <c:strCache>
                <c:ptCount val="1"/>
                <c:pt idx="0">
                  <c:v>K24 Largest customer 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Chart_Data!$B$22:$H$22</c:f>
              <c:numCache>
                <c:formatCode>0.00</c:formatCode>
                <c:ptCount val="7"/>
                <c:pt idx="0">
                  <c:v>24</c:v>
                </c:pt>
                <c:pt idx="1">
                  <c:v>36</c:v>
                </c:pt>
                <c:pt idx="4">
                  <c:v>52</c:v>
                </c:pt>
              </c:numCache>
            </c:numRef>
          </c:val>
        </c:ser>
        <c:ser>
          <c:idx val="1"/>
          <c:order val="1"/>
          <c:tx>
            <c:strRef>
              <c:f>Chart_Data!A23</c:f>
              <c:strCache>
                <c:ptCount val="1"/>
                <c:pt idx="0">
                  <c:v>K26 Top-N &gt;=10% customers combined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Chart_Data!$B$23:$H$23</c:f>
              <c:numCache>
                <c:formatCode>0.00</c:formatCode>
                <c:ptCount val="7"/>
                <c:pt idx="0">
                  <c:v>59</c:v>
                </c:pt>
                <c:pt idx="1">
                  <c:v>72</c:v>
                </c:pt>
                <c:pt idx="5">
                  <c:v>50</c:v>
                </c:pt>
              </c:numCache>
            </c:numRef>
          </c:val>
        </c:ser>
        <c:gapWidth val="150"/>
        <c:overlap val="0"/>
        <c:axId val="61839696"/>
        <c:axId val="34539009"/>
      </c:barChart>
      <c:catAx>
        <c:axId val="618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539009"/>
        <c:crosses val="autoZero"/>
        <c:auto val="1"/>
        <c:lblAlgn val="ctr"/>
        <c:lblOffset val="100"/>
        <c:noMultiLvlLbl val="0"/>
      </c:catAx>
      <c:valAx>
        <c:axId val="34539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839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RPO / annualized revenue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Chart_Data!A26</c:f>
              <c:strCache>
                <c:ptCount val="1"/>
                <c:pt idx="0">
                  <c:v>K23 RPO / annualized quarterly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Chart_Data!$B$25:$H$25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Chart_Data!$B$26:$H$26</c:f>
              <c:numCache>
                <c:formatCode>0.00</c:formatCode>
                <c:ptCount val="7"/>
                <c:pt idx="0">
                  <c:v>16.3030961906419</c:v>
                </c:pt>
                <c:pt idx="1">
                  <c:v>10.0679611650485</c:v>
                </c:pt>
                <c:pt idx="2">
                  <c:v>18.0812593065305</c:v>
                </c:pt>
                <c:pt idx="3">
                  <c:v>8.31422018348624</c:v>
                </c:pt>
                <c:pt idx="4">
                  <c:v>200.568990042674</c:v>
                </c:pt>
              </c:numCache>
            </c:numRef>
          </c:val>
        </c:ser>
        <c:gapWidth val="150"/>
        <c:overlap val="0"/>
        <c:axId val="76722945"/>
        <c:axId val="63217045"/>
      </c:barChart>
      <c:catAx>
        <c:axId val="76722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217045"/>
        <c:crosses val="autoZero"/>
        <c:auto val="1"/>
        <c:lblAlgn val="ctr"/>
        <c:lblOffset val="100"/>
        <c:noMultiLvlLbl val="0"/>
      </c:catAx>
      <c:valAx>
        <c:axId val="63217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22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Depreciation yield (%) and useful life (yrs)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Chart_Data!A29</c:f>
              <c:strCache>
                <c:ptCount val="1"/>
                <c:pt idx="0">
                  <c:v>K17 Depreciation yield (D&amp;A x4 / avg in-serv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Chart_Data!$B$29:$H$29</c:f>
              <c:numCache>
                <c:formatCode>0.00</c:formatCode>
                <c:ptCount val="7"/>
                <c:pt idx="0">
                  <c:v>17.5150483063279</c:v>
                </c:pt>
                <c:pt idx="1">
                  <c:v>15.4657488619962</c:v>
                </c:pt>
                <c:pt idx="2">
                  <c:v>14.3513593886696</c:v>
                </c:pt>
                <c:pt idx="3">
                  <c:v>13.4492457172079</c:v>
                </c:pt>
                <c:pt idx="4">
                  <c:v>15.6708911687789</c:v>
                </c:pt>
              </c:numCache>
            </c:numRef>
          </c:val>
        </c:ser>
        <c:ser>
          <c:idx val="1"/>
          <c:order val="1"/>
          <c:tx>
            <c:strRef>
              <c:f>Chart_Data!A30</c:f>
              <c:strCache>
                <c:ptCount val="1"/>
                <c:pt idx="0">
                  <c:v>K16 Useful life - technology equipment (GPUs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Chart_Data!$B$30:$H$30</c:f>
              <c:numCache>
                <c:formatCode>0.00</c:formatCode>
                <c:ptCount val="7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</c:numCache>
            </c:numRef>
          </c:val>
        </c:ser>
        <c:gapWidth val="150"/>
        <c:overlap val="0"/>
        <c:axId val="83818883"/>
        <c:axId val="95976827"/>
      </c:barChart>
      <c:catAx>
        <c:axId val="83818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76827"/>
        <c:crosses val="autoZero"/>
        <c:auto val="1"/>
        <c:lblAlgn val="ctr"/>
        <c:lblOffset val="100"/>
        <c:noMultiLvlLbl val="0"/>
      </c:catAx>
      <c:valAx>
        <c:axId val="959768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18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Active vs contracted MW (log scale in PNG)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Chart_Data!A33</c:f>
              <c:strCache>
                <c:ptCount val="1"/>
                <c:pt idx="0">
                  <c:v>Active / energized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Chart_Data!$B$33:$H$33</c:f>
              <c:numCache>
                <c:formatCode>General</c:formatCode>
                <c:ptCount val="7"/>
                <c:pt idx="0">
                  <c:v>193</c:v>
                </c:pt>
                <c:pt idx="1">
                  <c:v>1500</c:v>
                </c:pt>
                <c:pt idx="2">
                  <c:v>40</c:v>
                </c:pt>
                <c:pt idx="3">
                  <c:v>2050</c:v>
                </c:pt>
                <c:pt idx="4">
                  <c:v>81</c:v>
                </c:pt>
                <c:pt idx="5">
                  <c:v>47</c:v>
                </c:pt>
                <c:pt idx="6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Chart_Data!A34</c:f>
              <c:strCache>
                <c:ptCount val="1"/>
                <c:pt idx="0">
                  <c:v>Contracted MW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Chart_Data!$B$34:$H$34</c:f>
              <c:numCache>
                <c:formatCode>General</c:formatCode>
                <c:ptCount val="7"/>
                <c:pt idx="0">
                  <c:v>3500</c:v>
                </c:pt>
                <c:pt idx="1">
                  <c:v>3700</c:v>
                </c:pt>
                <c:pt idx="2">
                  <c:v>260</c:v>
                </c:pt>
                <c:pt idx="3">
                  <c:v>10000</c:v>
                </c:pt>
                <c:pt idx="4">
                  <c:v>1370</c:v>
                </c:pt>
                <c:pt idx="6">
                  <c:v>6000</c:v>
                </c:pt>
              </c:numCache>
            </c:numRef>
          </c:val>
        </c:ser>
        <c:gapWidth val="150"/>
        <c:overlap val="0"/>
        <c:axId val="95832406"/>
        <c:axId val="57267134"/>
      </c:barChart>
      <c:catAx>
        <c:axId val="95832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67134"/>
        <c:crosses val="autoZero"/>
        <c:auto val="1"/>
        <c:lblAlgn val="ctr"/>
        <c:lblOffset val="100"/>
        <c:noMultiLvlLbl val="0"/>
      </c:catAx>
      <c:valAx>
        <c:axId val="57267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32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Implied $M per MW-yr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Chart_Data!B37</c:f>
              <c:strCache>
                <c:ptCount val="1"/>
                <c:pt idx="0">
                  <c:v>$M/MW-yr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Chart_Data!$A$38:$A$54</c:f>
              <c:strCache>
                <c:ptCount val="17"/>
                <c:pt idx="0">
                  <c:v>N1 Nebius - Microsoft</c:v>
                </c:pt>
                <c:pt idx="1">
                  <c:v>N2 Nebius - Meta #1</c:v>
                </c:pt>
                <c:pt idx="2">
                  <c:v>P1 IREN - Microsoft</c:v>
                </c:pt>
                <c:pt idx="3">
                  <c:v>NEW1 IREN - NVIDIA</c:v>
                </c:pt>
                <c:pt idx="4">
                  <c:v>P2 Nscale - Microsoft (all SOWs)</c:v>
                </c:pt>
                <c:pt idx="5">
                  <c:v>P2a Nscale (Aker JV) - Microsoft - Narvik</c:v>
                </c:pt>
                <c:pt idx="6">
                  <c:v>O1 Nscale - Anthropic</c:v>
                </c:pt>
                <c:pt idx="7">
                  <c:v>NEW2 Lambda - Anthropic</c:v>
                </c:pt>
                <c:pt idx="8">
                  <c:v>O2 Oracle - OpenAI (Stargate)</c:v>
                </c:pt>
                <c:pt idx="9">
                  <c:v>NEW16 Cerebras - OpenAI</c:v>
                </c:pt>
                <c:pt idx="10">
                  <c:v>REF TeraWulf - Fluidstack (Google backstop)</c:v>
                </c:pt>
                <c:pt idx="11">
                  <c:v>F1 Cipher Mining - AWS</c:v>
                </c:pt>
                <c:pt idx="12">
                  <c:v>F2 Cipher Mining - Fluidstack (Google backs</c:v>
                </c:pt>
                <c:pt idx="13">
                  <c:v>F3 Hut 8 - Fluidstack (Anthropic; Google ba</c:v>
                </c:pt>
                <c:pt idx="14">
                  <c:v>F4 Applied Digital - CoreWeave (Polaris For</c:v>
                </c:pt>
                <c:pt idx="15">
                  <c:v>F5 Galaxy - CoreWeave (Helios)</c:v>
                </c:pt>
                <c:pt idx="16">
                  <c:v>F6 Hut 8 - NVIDIA (Beacon Point; for Lambda</c:v>
                </c:pt>
              </c:strCache>
            </c:strRef>
          </c:cat>
          <c:val>
            <c:numRef>
              <c:f>Chart_Data!$B$38:$B$54</c:f>
              <c:numCache>
                <c:formatCode>0.00</c:formatCode>
                <c:ptCount val="17"/>
                <c:pt idx="0">
                  <c:v>14.4940833333333</c:v>
                </c:pt>
                <c:pt idx="1">
                  <c:v>11.5228</c:v>
                </c:pt>
                <c:pt idx="2">
                  <c:v>9.7</c:v>
                </c:pt>
                <c:pt idx="3">
                  <c:v>11.3333333333333</c:v>
                </c:pt>
                <c:pt idx="4">
                  <c:v>13.3511877527543</c:v>
                </c:pt>
                <c:pt idx="5">
                  <c:v>11.7084962136234</c:v>
                </c:pt>
                <c:pt idx="6">
                  <c:v>16.1594202898551</c:v>
                </c:pt>
                <c:pt idx="7">
                  <c:v>16.6666666666667</c:v>
                </c:pt>
                <c:pt idx="8">
                  <c:v>16</c:v>
                </c:pt>
                <c:pt idx="9">
                  <c:v>4.44444444444445</c:v>
                </c:pt>
                <c:pt idx="10">
                  <c:v>1.85</c:v>
                </c:pt>
                <c:pt idx="11">
                  <c:v>1.22222222222222</c:v>
                </c:pt>
                <c:pt idx="12">
                  <c:v>1.78571428571429</c:v>
                </c:pt>
                <c:pt idx="13">
                  <c:v>1.9047619047619</c:v>
                </c:pt>
                <c:pt idx="14">
                  <c:v>1.83333333333333</c:v>
                </c:pt>
                <c:pt idx="15">
                  <c:v>1.90114068441065</c:v>
                </c:pt>
                <c:pt idx="16">
                  <c:v>1.85606060606061</c:v>
                </c:pt>
              </c:numCache>
            </c:numRef>
          </c:val>
        </c:ser>
        <c:gapWidth val="150"/>
        <c:overlap val="0"/>
        <c:axId val="54316854"/>
        <c:axId val="20587761"/>
      </c:barChart>
      <c:catAx>
        <c:axId val="54316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87761"/>
        <c:crosses val="autoZero"/>
        <c:auto val="1"/>
        <c:lblAlgn val="ctr"/>
        <c:lblOffset val="100"/>
        <c:noMultiLvlLbl val="0"/>
      </c:catAx>
      <c:valAx>
        <c:axId val="20587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16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Sites: evidenced-active vs announced MW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Chart_Data!B56</c:f>
              <c:strCache>
                <c:ptCount val="1"/>
                <c:pt idx="0">
                  <c:v>Active 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Chart_Data!$B$57:$B$69</c:f>
              <c:numCache>
                <c:formatCode>General</c:formatCode>
                <c:ptCount val="13"/>
                <c:pt idx="0">
                  <c:v>250</c:v>
                </c:pt>
                <c:pt idx="1">
                  <c:v>50</c:v>
                </c:pt>
                <c:pt idx="2">
                  <c:v>0</c:v>
                </c:pt>
                <c:pt idx="3">
                  <c:v>421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5</c:v>
                </c:pt>
                <c:pt idx="12">
                  <c:v>16</c:v>
                </c:pt>
              </c:numCache>
            </c:numRef>
          </c:val>
        </c:ser>
        <c:ser>
          <c:idx val="1"/>
          <c:order val="1"/>
          <c:tx>
            <c:strRef>
              <c:f>Chart_Data!C56</c:f>
              <c:strCache>
                <c:ptCount val="1"/>
                <c:pt idx="0">
                  <c:v>Active 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Chart_Data!$C$57:$C$69</c:f>
              <c:numCache>
                <c:formatCode>General</c:formatCode>
                <c:ptCount val="13"/>
                <c:pt idx="0">
                  <c:v>260</c:v>
                </c:pt>
                <c:pt idx="1">
                  <c:v>75</c:v>
                </c:pt>
                <c:pt idx="2">
                  <c:v>0</c:v>
                </c:pt>
                <c:pt idx="3">
                  <c:v>618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66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20</c:v>
                </c:pt>
                <c:pt idx="12">
                  <c:v>16</c:v>
                </c:pt>
              </c:numCache>
            </c:numRef>
          </c:val>
        </c:ser>
        <c:ser>
          <c:idx val="2"/>
          <c:order val="2"/>
          <c:tx>
            <c:strRef>
              <c:f>Chart_Data!D56</c:f>
              <c:strCache>
                <c:ptCount val="1"/>
                <c:pt idx="0">
                  <c:v>Active 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Chart_Data!$D$57:$D$69</c:f>
              <c:numCache>
                <c:formatCode>General</c:formatCode>
                <c:ptCount val="13"/>
                <c:pt idx="0">
                  <c:v>262</c:v>
                </c:pt>
                <c:pt idx="1">
                  <c:v>100</c:v>
                </c:pt>
                <c:pt idx="2">
                  <c:v>0</c:v>
                </c:pt>
                <c:pt idx="3">
                  <c:v>618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35</c:v>
                </c:pt>
                <c:pt idx="12">
                  <c:v>16</c:v>
                </c:pt>
              </c:numCache>
            </c:numRef>
          </c:val>
        </c:ser>
        <c:ser>
          <c:idx val="3"/>
          <c:order val="3"/>
          <c:tx>
            <c:strRef>
              <c:f>Chart_Data!E56</c:f>
              <c:strCache>
                <c:ptCount val="1"/>
                <c:pt idx="0">
                  <c:v>Announced / contracted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Chart_Data!$E$57:$E$69</c:f>
              <c:numCache>
                <c:formatCode>General</c:formatCode>
                <c:ptCount val="13"/>
                <c:pt idx="0">
                  <c:v>262</c:v>
                </c:pt>
                <c:pt idx="1">
                  <c:v>260</c:v>
                </c:pt>
                <c:pt idx="2">
                  <c:v>230</c:v>
                </c:pt>
                <c:pt idx="3">
                  <c:v>824</c:v>
                </c:pt>
                <c:pt idx="4">
                  <c:v>24</c:v>
                </c:pt>
                <c:pt idx="5">
                  <c:v>902</c:v>
                </c:pt>
                <c:pt idx="6">
                  <c:v>460</c:v>
                </c:pt>
                <c:pt idx="7">
                  <c:v>300</c:v>
                </c:pt>
                <c:pt idx="8">
                  <c:v>1200</c:v>
                </c:pt>
                <c:pt idx="9">
                  <c:v>240</c:v>
                </c:pt>
                <c:pt idx="10">
                  <c:v>75</c:v>
                </c:pt>
                <c:pt idx="11">
                  <c:v>40</c:v>
                </c:pt>
                <c:pt idx="12">
                  <c:v>19</c:v>
                </c:pt>
              </c:numCache>
            </c:numRef>
          </c:val>
        </c:ser>
        <c:ser>
          <c:idx val="4"/>
          <c:order val="4"/>
          <c:tx>
            <c:strRef>
              <c:f>Chart_Data!F56</c:f>
              <c:strCache>
                <c:ptCount val="1"/>
                <c:pt idx="0">
                  <c:v>YE26 base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Chart_Data!$F$57:$F$69</c:f>
              <c:numCache>
                <c:formatCode>General</c:formatCode>
                <c:ptCount val="13"/>
                <c:pt idx="0">
                  <c:v>262</c:v>
                </c:pt>
                <c:pt idx="1">
                  <c:v>150</c:v>
                </c:pt>
                <c:pt idx="2">
                  <c:v>0</c:v>
                </c:pt>
                <c:pt idx="3">
                  <c:v>721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81.8</c:v>
                </c:pt>
                <c:pt idx="8">
                  <c:v>0</c:v>
                </c:pt>
                <c:pt idx="9">
                  <c:v>30</c:v>
                </c:pt>
                <c:pt idx="10">
                  <c:v>75</c:v>
                </c:pt>
                <c:pt idx="11">
                  <c:v>20</c:v>
                </c:pt>
                <c:pt idx="12">
                  <c:v>17.5</c:v>
                </c:pt>
              </c:numCache>
            </c:numRef>
          </c:val>
        </c:ser>
        <c:gapWidth val="150"/>
        <c:overlap val="0"/>
        <c:axId val="46389813"/>
        <c:axId val="65393358"/>
      </c:barChart>
      <c:catAx>
        <c:axId val="463898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393358"/>
        <c:crosses val="autoZero"/>
        <c:auto val="1"/>
        <c:lblAlgn val="ctr"/>
        <c:lblOffset val="100"/>
        <c:noMultiLvlLbl val="0"/>
      </c:catAx>
      <c:valAx>
        <c:axId val="65393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389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Nebius billed IT MW - locks (model v0.9e)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Chart_Data!B71</c:f>
              <c:strCache>
                <c:ptCount val="1"/>
                <c:pt idx="0">
                  <c:v>Billing IT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Chart_Data!$A$72:$A$77</c:f>
              <c:strCache>
                <c:ptCount val="6"/>
                <c:pt idx="0">
                  <c:v>Q2'26 average (K02b)</c:v>
                </c:pt>
                <c:pt idx="1">
                  <c:v>YE26 BASE (~258) @ $7B guide</c:v>
                </c:pt>
                <c:pt idx="2">
                  <c:v>YE26 HIGH (~284) @ $9B guide</c:v>
                </c:pt>
                <c:pt idx="3">
                  <c:v>FY27 avg BASE (~531.8) @ Street (blended)</c:v>
                </c:pt>
                <c:pt idx="4">
                  <c:v>FY27 BASE ex-Vineland @ Street ex-MSFT</c:v>
                </c:pt>
                <c:pt idx="5">
                  <c:v>FY27 avg HIGH (~659.2) @ Street (blended)</c:v>
                </c:pt>
              </c:strCache>
            </c:strRef>
          </c:cat>
          <c:val>
            <c:numRef>
              <c:f>Chart_Data!$B$72:$B$77</c:f>
              <c:numCache>
                <c:formatCode>0.0</c:formatCode>
                <c:ptCount val="6"/>
                <c:pt idx="0">
                  <c:v>176.141025641026</c:v>
                </c:pt>
                <c:pt idx="1">
                  <c:v>257.7</c:v>
                </c:pt>
                <c:pt idx="2">
                  <c:v>284.2</c:v>
                </c:pt>
                <c:pt idx="3">
                  <c:v>531.840979259459</c:v>
                </c:pt>
                <c:pt idx="4">
                  <c:v>349.5117625</c:v>
                </c:pt>
                <c:pt idx="5">
                  <c:v>659.157004259459</c:v>
                </c:pt>
              </c:numCache>
            </c:numRef>
          </c:val>
        </c:ser>
        <c:gapWidth val="150"/>
        <c:overlap val="0"/>
        <c:axId val="53790691"/>
        <c:axId val="52003779"/>
      </c:barChart>
      <c:catAx>
        <c:axId val="53790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03779"/>
        <c:crosses val="autoZero"/>
        <c:auto val="1"/>
        <c:lblAlgn val="ctr"/>
        <c:lblOffset val="100"/>
        <c:noMultiLvlLbl val="0"/>
      </c:catAx>
      <c:valAx>
        <c:axId val="52003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 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790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255960</xdr:colOff>
      <xdr:row>17</xdr:row>
      <xdr:rowOff>21960</xdr:rowOff>
    </xdr:to>
    <xdr:graphicFrame>
      <xdr:nvGraphicFramePr>
        <xdr:cNvPr id="1" name="Chart 2"/>
        <xdr:cNvGraphicFramePr/>
      </xdr:nvGraphicFramePr>
      <xdr:xfrm>
        <a:off x="611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34</xdr:row>
      <xdr:rowOff>21960</xdr:rowOff>
    </xdr:to>
    <xdr:graphicFrame>
      <xdr:nvGraphicFramePr>
        <xdr:cNvPr id="2" name="Chart 3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255960</xdr:colOff>
      <xdr:row>34</xdr:row>
      <xdr:rowOff>21960</xdr:rowOff>
    </xdr:to>
    <xdr:graphicFrame>
      <xdr:nvGraphicFramePr>
        <xdr:cNvPr id="3" name="Chart 4"/>
        <xdr:cNvGraphicFramePr/>
      </xdr:nvGraphicFramePr>
      <xdr:xfrm>
        <a:off x="611496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51</xdr:row>
      <xdr:rowOff>21960</xdr:rowOff>
    </xdr:to>
    <xdr:graphicFrame>
      <xdr:nvGraphicFramePr>
        <xdr:cNvPr id="4" name="Chart 5"/>
        <xdr:cNvGraphicFramePr/>
      </xdr:nvGraphicFramePr>
      <xdr:xfrm>
        <a:off x="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51</xdr:row>
      <xdr:rowOff>21960</xdr:rowOff>
    </xdr:to>
    <xdr:graphicFrame>
      <xdr:nvGraphicFramePr>
        <xdr:cNvPr id="5" name="Chart 6"/>
        <xdr:cNvGraphicFramePr/>
      </xdr:nvGraphicFramePr>
      <xdr:xfrm>
        <a:off x="61149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255960</xdr:colOff>
      <xdr:row>68</xdr:row>
      <xdr:rowOff>22320</xdr:rowOff>
    </xdr:to>
    <xdr:graphicFrame>
      <xdr:nvGraphicFramePr>
        <xdr:cNvPr id="6" name="Chart 7"/>
        <xdr:cNvGraphicFramePr/>
      </xdr:nvGraphicFramePr>
      <xdr:xfrm>
        <a:off x="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19</xdr:col>
      <xdr:colOff>255960</xdr:colOff>
      <xdr:row>68</xdr:row>
      <xdr:rowOff>22320</xdr:rowOff>
    </xdr:to>
    <xdr:graphicFrame>
      <xdr:nvGraphicFramePr>
        <xdr:cNvPr id="7" name="Chart 8"/>
        <xdr:cNvGraphicFramePr/>
      </xdr:nvGraphicFramePr>
      <xdr:xfrm>
        <a:off x="611496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9</xdr:col>
      <xdr:colOff>255960</xdr:colOff>
      <xdr:row>85</xdr:row>
      <xdr:rowOff>22320</xdr:rowOff>
    </xdr:to>
    <xdr:graphicFrame>
      <xdr:nvGraphicFramePr>
        <xdr:cNvPr id="8" name="Chart 9"/>
        <xdr:cNvGraphicFramePr/>
      </xdr:nvGraphicFramePr>
      <xdr:xfrm>
        <a:off x="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70</xdr:row>
      <xdr:rowOff>0</xdr:rowOff>
    </xdr:from>
    <xdr:to>
      <xdr:col>19</xdr:col>
      <xdr:colOff>255960</xdr:colOff>
      <xdr:row>85</xdr:row>
      <xdr:rowOff>22320</xdr:rowOff>
    </xdr:to>
    <xdr:graphicFrame>
      <xdr:nvGraphicFramePr>
        <xdr:cNvPr id="9" name="Chart 10"/>
        <xdr:cNvGraphicFramePr/>
      </xdr:nvGraphicFramePr>
      <xdr:xfrm>
        <a:off x="611496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255960</xdr:colOff>
      <xdr:row>102</xdr:row>
      <xdr:rowOff>22320</xdr:rowOff>
    </xdr:to>
    <xdr:graphicFrame>
      <xdr:nvGraphicFramePr>
        <xdr:cNvPr id="10" name="Chart 11"/>
        <xdr:cNvGraphicFramePr/>
      </xdr:nvGraphicFramePr>
      <xdr:xfrm>
        <a:off x="0" y="1657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5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10" min="9" style="0" width="9"/>
    <col collapsed="false" customWidth="true" hidden="false" outlineLevel="0" max="11" min="11" style="0" width="6"/>
    <col collapsed="false" customWidth="true" hidden="false" outlineLevel="0" max="13" min="12" style="0" width="9"/>
    <col collapsed="false" customWidth="true" hidden="false" outlineLevel="0" max="14" min="14" style="0" width="6"/>
    <col collapsed="false" customWidth="true" hidden="false" outlineLevel="0" max="16" min="15" style="0" width="9"/>
    <col collapsed="false" customWidth="true" hidden="false" outlineLevel="0" max="17" min="17" style="0" width="6"/>
    <col collapsed="false" customWidth="true" hidden="false" outlineLevel="0" max="19" min="18" style="0" width="9"/>
    <col collapsed="false" customWidth="true" hidden="false" outlineLevel="0" max="20" min="20" style="0" width="6"/>
    <col collapsed="false" customWidth="true" hidden="false" outlineLevel="0" max="22" min="21" style="0" width="9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70"/>
    <col collapsed="false" customWidth="true" hidden="false" outlineLevel="0" max="28" min="28" style="0" width="40"/>
    <col collapsed="false" customWidth="true" hidden="false" outlineLevel="0" max="29" min="29" style="0" width="6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8</v>
      </c>
      <c r="K3" s="2" t="s">
        <v>5</v>
      </c>
      <c r="L3" s="2" t="s">
        <v>6</v>
      </c>
      <c r="M3" s="2" t="s">
        <v>9</v>
      </c>
      <c r="N3" s="2" t="s">
        <v>5</v>
      </c>
      <c r="O3" s="2" t="s">
        <v>6</v>
      </c>
      <c r="P3" s="2" t="s">
        <v>10</v>
      </c>
      <c r="Q3" s="2" t="s">
        <v>5</v>
      </c>
      <c r="R3" s="2" t="s">
        <v>6</v>
      </c>
      <c r="S3" s="2" t="s">
        <v>11</v>
      </c>
      <c r="T3" s="2" t="s">
        <v>5</v>
      </c>
      <c r="U3" s="2" t="s">
        <v>6</v>
      </c>
      <c r="V3" s="2" t="s">
        <v>12</v>
      </c>
      <c r="W3" s="2" t="s">
        <v>5</v>
      </c>
      <c r="X3" s="2" t="s">
        <v>6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</row>
    <row r="4" customFormat="false" ht="55.2" hidden="false" customHeight="false" outlineLevel="0" collapsed="false">
      <c r="A4" s="0" t="s">
        <v>18</v>
      </c>
      <c r="B4" s="0" t="s">
        <v>19</v>
      </c>
      <c r="C4" s="0" t="s">
        <v>20</v>
      </c>
      <c r="D4" s="3" t="n">
        <f aca="false">Nebius_Inputs!$C$4*4/Nebius_Inputs!$C$20</f>
        <v>11.9150259067358</v>
      </c>
      <c r="E4" s="4" t="s">
        <v>21</v>
      </c>
      <c r="F4" s="4" t="s">
        <v>22</v>
      </c>
      <c r="G4" s="5" t="n">
        <v>6.86666666666667</v>
      </c>
      <c r="H4" s="4" t="s">
        <v>23</v>
      </c>
      <c r="I4" s="4" t="s">
        <v>22</v>
      </c>
      <c r="J4" s="5" t="n">
        <v>7.0515</v>
      </c>
      <c r="K4" s="4" t="s">
        <v>23</v>
      </c>
      <c r="L4" s="4" t="s">
        <v>22</v>
      </c>
      <c r="M4" s="6" t="s">
        <v>24</v>
      </c>
      <c r="N4" s="4" t="s">
        <v>24</v>
      </c>
      <c r="O4" s="4"/>
      <c r="P4" s="5" t="n">
        <v>3.47160493827161</v>
      </c>
      <c r="Q4" s="4" t="s">
        <v>25</v>
      </c>
      <c r="R4" s="4" t="s">
        <v>26</v>
      </c>
      <c r="S4" s="5" t="n">
        <v>9.70212765957447</v>
      </c>
      <c r="T4" s="4" t="s">
        <v>27</v>
      </c>
      <c r="U4" s="4" t="s">
        <v>28</v>
      </c>
      <c r="V4" s="3" t="n">
        <v>2</v>
      </c>
      <c r="W4" s="4" t="s">
        <v>29</v>
      </c>
      <c r="X4" s="4" t="s">
        <v>30</v>
      </c>
      <c r="Y4" s="7" t="n">
        <f aca="false">MEDIAN(G4,J4,P4,S4,V4)</f>
        <v>6.86666666666667</v>
      </c>
      <c r="Z4" s="8" t="s">
        <v>31</v>
      </c>
      <c r="AA4" s="9" t="s">
        <v>32</v>
      </c>
      <c r="AB4" s="9" t="s">
        <v>33</v>
      </c>
      <c r="AC4" s="9" t="s">
        <v>34</v>
      </c>
    </row>
    <row r="5" customFormat="false" ht="41.75" hidden="false" customHeight="false" outlineLevel="0" collapsed="false">
      <c r="A5" s="0" t="s">
        <v>35</v>
      </c>
      <c r="B5" s="0" t="s">
        <v>36</v>
      </c>
      <c r="C5" s="0" t="s">
        <v>20</v>
      </c>
      <c r="D5" s="3" t="n">
        <f aca="false">Nebius_Inputs!$C$4*4/AVERAGE(Nebius_Inputs!$C$19,Nebius_Inputs!$C$20)</f>
        <v>12.2809078771696</v>
      </c>
      <c r="E5" s="4" t="s">
        <v>21</v>
      </c>
      <c r="F5" s="4" t="s">
        <v>22</v>
      </c>
      <c r="G5" s="5" t="n">
        <v>8.24</v>
      </c>
      <c r="H5" s="4" t="s">
        <v>23</v>
      </c>
      <c r="I5" s="4" t="s">
        <v>22</v>
      </c>
      <c r="J5" s="3" t="n">
        <v>10.476822</v>
      </c>
      <c r="K5" s="4" t="s">
        <v>37</v>
      </c>
      <c r="L5" s="4" t="s">
        <v>38</v>
      </c>
      <c r="M5" s="6" t="s">
        <v>24</v>
      </c>
      <c r="N5" s="4" t="s">
        <v>24</v>
      </c>
      <c r="O5" s="4"/>
      <c r="P5" s="6" t="s">
        <v>24</v>
      </c>
      <c r="Q5" s="4" t="s">
        <v>24</v>
      </c>
      <c r="R5" s="4"/>
      <c r="S5" s="6" t="s">
        <v>24</v>
      </c>
      <c r="T5" s="4" t="s">
        <v>24</v>
      </c>
      <c r="U5" s="4"/>
      <c r="V5" s="6" t="s">
        <v>24</v>
      </c>
      <c r="W5" s="4" t="s">
        <v>24</v>
      </c>
      <c r="X5" s="4"/>
      <c r="Y5" s="7" t="n">
        <f aca="false">MEDIAN(G5,J5)</f>
        <v>9.358411</v>
      </c>
      <c r="Z5" s="8" t="s">
        <v>31</v>
      </c>
      <c r="AA5" s="9" t="s">
        <v>39</v>
      </c>
      <c r="AB5" s="9" t="s">
        <v>40</v>
      </c>
      <c r="AC5" s="9"/>
    </row>
    <row r="6" customFormat="false" ht="108.95" hidden="false" customHeight="false" outlineLevel="0" collapsed="false">
      <c r="A6" s="0" t="s">
        <v>41</v>
      </c>
      <c r="B6" s="0" t="s">
        <v>42</v>
      </c>
      <c r="C6" s="0" t="s">
        <v>20</v>
      </c>
      <c r="D6" s="3" t="n">
        <f aca="false">Nebius_Inputs!$C$4*4/AVERAGE(Nebius_Inputs!$C$42,Nebius_Inputs!$C$43)</f>
        <v>13.0554479947595</v>
      </c>
      <c r="E6" s="4" t="s">
        <v>21</v>
      </c>
      <c r="F6" s="4" t="s">
        <v>22</v>
      </c>
      <c r="G6" s="5" t="n">
        <v>8.24</v>
      </c>
      <c r="H6" s="4" t="s">
        <v>23</v>
      </c>
      <c r="I6" s="4" t="s">
        <v>22</v>
      </c>
      <c r="J6" s="6" t="s">
        <v>24</v>
      </c>
      <c r="K6" s="4" t="s">
        <v>24</v>
      </c>
      <c r="L6" s="4"/>
      <c r="M6" s="6" t="s">
        <v>24</v>
      </c>
      <c r="N6" s="4" t="s">
        <v>24</v>
      </c>
      <c r="O6" s="4"/>
      <c r="P6" s="6" t="s">
        <v>24</v>
      </c>
      <c r="Q6" s="4" t="s">
        <v>24</v>
      </c>
      <c r="R6" s="4"/>
      <c r="S6" s="6" t="s">
        <v>24</v>
      </c>
      <c r="T6" s="4" t="s">
        <v>24</v>
      </c>
      <c r="U6" s="4"/>
      <c r="V6" s="6" t="s">
        <v>24</v>
      </c>
      <c r="W6" s="4" t="s">
        <v>24</v>
      </c>
      <c r="X6" s="4"/>
      <c r="Y6" s="7" t="n">
        <f aca="false">MEDIAN(G6)</f>
        <v>8.24</v>
      </c>
      <c r="Z6" s="8" t="s">
        <v>31</v>
      </c>
      <c r="AA6" s="9" t="s">
        <v>43</v>
      </c>
      <c r="AB6" s="9" t="s">
        <v>44</v>
      </c>
      <c r="AC6" s="9" t="s">
        <v>45</v>
      </c>
    </row>
    <row r="7" customFormat="false" ht="41.75" hidden="false" customHeight="false" outlineLevel="0" collapsed="false">
      <c r="A7" s="0" t="s">
        <v>46</v>
      </c>
      <c r="B7" s="0" t="s">
        <v>47</v>
      </c>
      <c r="C7" s="0" t="s">
        <v>20</v>
      </c>
      <c r="D7" s="5" t="n">
        <f aca="false">Nebius_Inputs!$C$4*4/Nebius_Inputs!$C$22</f>
        <v>0.657028571428571</v>
      </c>
      <c r="E7" s="4" t="s">
        <v>25</v>
      </c>
      <c r="F7" s="4" t="s">
        <v>22</v>
      </c>
      <c r="G7" s="5" t="n">
        <v>2.78378378378378</v>
      </c>
      <c r="H7" s="4" t="s">
        <v>23</v>
      </c>
      <c r="I7" s="4" t="s">
        <v>22</v>
      </c>
      <c r="J7" s="6" t="s">
        <v>24</v>
      </c>
      <c r="K7" s="4" t="s">
        <v>24</v>
      </c>
      <c r="L7" s="4"/>
      <c r="M7" s="6" t="s">
        <v>24</v>
      </c>
      <c r="N7" s="4" t="s">
        <v>24</v>
      </c>
      <c r="O7" s="4"/>
      <c r="P7" s="5" t="n">
        <v>0.205255474452555</v>
      </c>
      <c r="Q7" s="4" t="s">
        <v>25</v>
      </c>
      <c r="R7" s="4" t="s">
        <v>48</v>
      </c>
      <c r="S7" s="6" t="s">
        <v>24</v>
      </c>
      <c r="T7" s="4" t="s">
        <v>24</v>
      </c>
      <c r="U7" s="4"/>
      <c r="V7" s="3" t="n">
        <v>0.333333333333333</v>
      </c>
      <c r="W7" s="4" t="s">
        <v>29</v>
      </c>
      <c r="X7" s="4" t="s">
        <v>30</v>
      </c>
      <c r="Y7" s="7" t="n">
        <f aca="false">MEDIAN(G7,P7,V7)</f>
        <v>0.333333333333333</v>
      </c>
      <c r="Z7" s="8" t="s">
        <v>31</v>
      </c>
      <c r="AA7" s="9" t="s">
        <v>49</v>
      </c>
      <c r="AB7" s="9" t="s">
        <v>50</v>
      </c>
      <c r="AC7" s="9"/>
    </row>
    <row r="8" customFormat="false" ht="41.75" hidden="false" customHeight="false" outlineLevel="0" collapsed="false">
      <c r="A8" s="0" t="s">
        <v>51</v>
      </c>
      <c r="B8" s="0" t="s">
        <v>52</v>
      </c>
      <c r="C8" s="0" t="s">
        <v>53</v>
      </c>
      <c r="D8" s="3" t="n">
        <f aca="false">Nebius_Inputs!$C$22/Nebius_Inputs!$C$20</f>
        <v>18.1347150259067</v>
      </c>
      <c r="E8" s="4" t="s">
        <v>21</v>
      </c>
      <c r="F8" s="4" t="s">
        <v>22</v>
      </c>
      <c r="G8" s="5" t="n">
        <v>2.46666666666667</v>
      </c>
      <c r="H8" s="4" t="s">
        <v>23</v>
      </c>
      <c r="I8" s="4" t="s">
        <v>22</v>
      </c>
      <c r="J8" s="6" t="s">
        <v>24</v>
      </c>
      <c r="K8" s="4" t="s">
        <v>24</v>
      </c>
      <c r="L8" s="4"/>
      <c r="M8" s="6" t="s">
        <v>24</v>
      </c>
      <c r="N8" s="4" t="s">
        <v>24</v>
      </c>
      <c r="O8" s="4"/>
      <c r="P8" s="5" t="n">
        <v>16.9135802469136</v>
      </c>
      <c r="Q8" s="4" t="s">
        <v>25</v>
      </c>
      <c r="R8" s="4" t="s">
        <v>48</v>
      </c>
      <c r="S8" s="6" t="s">
        <v>24</v>
      </c>
      <c r="T8" s="4" t="s">
        <v>24</v>
      </c>
      <c r="U8" s="4"/>
      <c r="V8" s="5" t="n">
        <v>6</v>
      </c>
      <c r="W8" s="4" t="s">
        <v>25</v>
      </c>
      <c r="X8" s="4" t="s">
        <v>30</v>
      </c>
      <c r="Y8" s="7" t="n">
        <f aca="false">MEDIAN(G8,P8,V8)</f>
        <v>6</v>
      </c>
      <c r="Z8" s="10" t="s">
        <v>54</v>
      </c>
      <c r="AA8" s="9" t="s">
        <v>55</v>
      </c>
      <c r="AB8" s="9"/>
      <c r="AC8" s="9"/>
    </row>
    <row r="9" customFormat="false" ht="28.35" hidden="false" customHeight="false" outlineLevel="0" collapsed="false">
      <c r="A9" s="0" t="s">
        <v>56</v>
      </c>
      <c r="B9" s="0" t="s">
        <v>57</v>
      </c>
      <c r="C9" s="0" t="s">
        <v>20</v>
      </c>
      <c r="D9" s="3" t="n">
        <f aca="false">Nebius_Inputs!$C$7*4/AVERAGE(Nebius_Inputs!$C$19,Nebius_Inputs!$C$20)</f>
        <v>6.10307076101469</v>
      </c>
      <c r="E9" s="4" t="s">
        <v>21</v>
      </c>
      <c r="F9" s="4" t="s">
        <v>22</v>
      </c>
      <c r="G9" s="5" t="n">
        <v>4.832</v>
      </c>
      <c r="H9" s="4" t="s">
        <v>23</v>
      </c>
      <c r="I9" s="4" t="s">
        <v>22</v>
      </c>
      <c r="J9" s="6" t="s">
        <v>24</v>
      </c>
      <c r="K9" s="4" t="s">
        <v>24</v>
      </c>
      <c r="L9" s="4"/>
      <c r="M9" s="6" t="s">
        <v>24</v>
      </c>
      <c r="N9" s="4" t="s">
        <v>24</v>
      </c>
      <c r="O9" s="4"/>
      <c r="P9" s="5" t="n">
        <v>-4.91851851851852</v>
      </c>
      <c r="Q9" s="4" t="s">
        <v>25</v>
      </c>
      <c r="R9" s="4" t="s">
        <v>26</v>
      </c>
      <c r="S9" s="6" t="s">
        <v>24</v>
      </c>
      <c r="T9" s="4" t="s">
        <v>24</v>
      </c>
      <c r="U9" s="4"/>
      <c r="V9" s="6" t="s">
        <v>24</v>
      </c>
      <c r="W9" s="4" t="s">
        <v>24</v>
      </c>
      <c r="X9" s="4"/>
      <c r="Y9" s="7" t="n">
        <f aca="false">MEDIAN(G9,P9)</f>
        <v>-0.0432592592592598</v>
      </c>
      <c r="Z9" s="8" t="s">
        <v>31</v>
      </c>
      <c r="AA9" s="9" t="s">
        <v>58</v>
      </c>
      <c r="AB9" s="9" t="s">
        <v>59</v>
      </c>
      <c r="AC9" s="9"/>
    </row>
    <row r="10" customFormat="false" ht="28.35" hidden="false" customHeight="false" outlineLevel="0" collapsed="false">
      <c r="A10" s="0" t="s">
        <v>60</v>
      </c>
      <c r="B10" s="0" t="s">
        <v>61</v>
      </c>
      <c r="C10" s="0" t="s">
        <v>62</v>
      </c>
      <c r="D10" s="3" t="n">
        <f aca="false">Nebius_Inputs!$C$4*4000/Nebius_Inputs!$C$23</f>
        <v>26.5120247181166</v>
      </c>
      <c r="E10" s="4" t="s">
        <v>21</v>
      </c>
      <c r="F10" s="4" t="s">
        <v>22</v>
      </c>
      <c r="G10" s="3" t="n">
        <v>14.5066336159545</v>
      </c>
      <c r="H10" s="4" t="s">
        <v>37</v>
      </c>
      <c r="I10" s="4" t="s">
        <v>22</v>
      </c>
      <c r="J10" s="5" t="n">
        <v>14.694</v>
      </c>
      <c r="K10" s="4" t="s">
        <v>23</v>
      </c>
      <c r="L10" s="4" t="s">
        <v>38</v>
      </c>
      <c r="M10" s="6" t="s">
        <v>24</v>
      </c>
      <c r="N10" s="4" t="s">
        <v>24</v>
      </c>
      <c r="O10" s="4"/>
      <c r="P10" s="3" t="n">
        <v>11.248</v>
      </c>
      <c r="Q10" s="4" t="s">
        <v>21</v>
      </c>
      <c r="R10" s="4" t="s">
        <v>26</v>
      </c>
      <c r="S10" s="3" t="n">
        <v>18.24</v>
      </c>
      <c r="T10" s="4" t="s">
        <v>29</v>
      </c>
      <c r="U10" s="4" t="s">
        <v>28</v>
      </c>
      <c r="V10" s="6" t="s">
        <v>24</v>
      </c>
      <c r="W10" s="4" t="s">
        <v>24</v>
      </c>
      <c r="X10" s="4"/>
      <c r="Y10" s="7" t="n">
        <f aca="false">MEDIAN(G10,J10,P10,S10)</f>
        <v>14.6003168079773</v>
      </c>
      <c r="Z10" s="8" t="s">
        <v>31</v>
      </c>
      <c r="AA10" s="9" t="s">
        <v>63</v>
      </c>
      <c r="AB10" s="9" t="s">
        <v>64</v>
      </c>
      <c r="AC10" s="9" t="s">
        <v>65</v>
      </c>
    </row>
    <row r="11" customFormat="false" ht="28.35" hidden="false" customHeight="false" outlineLevel="0" collapsed="false">
      <c r="A11" s="0" t="s">
        <v>66</v>
      </c>
      <c r="B11" s="0" t="s">
        <v>67</v>
      </c>
      <c r="C11" s="0" t="s">
        <v>68</v>
      </c>
      <c r="D11" s="3" t="n">
        <f aca="false">Nebius_Inputs!$C$4*1000000/(Nebius_Inputs!$C$23*Nebius_Inputs!$C$24*24)</f>
        <v>3.03480136425328</v>
      </c>
      <c r="E11" s="4" t="s">
        <v>21</v>
      </c>
      <c r="F11" s="4" t="s">
        <v>22</v>
      </c>
      <c r="G11" s="3" t="n">
        <v>1.66055787728417</v>
      </c>
      <c r="H11" s="4" t="s">
        <v>37</v>
      </c>
      <c r="I11" s="4" t="s">
        <v>22</v>
      </c>
      <c r="J11" s="5" t="n">
        <v>1.66372282608696</v>
      </c>
      <c r="K11" s="4" t="s">
        <v>23</v>
      </c>
      <c r="L11" s="4" t="s">
        <v>38</v>
      </c>
      <c r="M11" s="6" t="s">
        <v>24</v>
      </c>
      <c r="N11" s="4" t="s">
        <v>24</v>
      </c>
      <c r="O11" s="4"/>
      <c r="P11" s="3" t="n">
        <v>1.29465930018416</v>
      </c>
      <c r="Q11" s="4" t="s">
        <v>21</v>
      </c>
      <c r="R11" s="4" t="s">
        <v>26</v>
      </c>
      <c r="S11" s="3" t="n">
        <v>2.08791208791209</v>
      </c>
      <c r="T11" s="4" t="s">
        <v>29</v>
      </c>
      <c r="U11" s="4" t="s">
        <v>28</v>
      </c>
      <c r="V11" s="6" t="s">
        <v>24</v>
      </c>
      <c r="W11" s="4" t="s">
        <v>24</v>
      </c>
      <c r="X11" s="4"/>
      <c r="Y11" s="7" t="n">
        <f aca="false">MEDIAN(G11,J11,P11,S11)</f>
        <v>1.66214035168557</v>
      </c>
      <c r="Z11" s="8" t="s">
        <v>31</v>
      </c>
      <c r="AA11" s="9" t="s">
        <v>69</v>
      </c>
      <c r="AB11" s="9" t="s">
        <v>70</v>
      </c>
      <c r="AC11" s="9" t="s">
        <v>71</v>
      </c>
    </row>
    <row r="12" customFormat="false" ht="28.35" hidden="false" customHeight="false" outlineLevel="0" collapsed="false">
      <c r="A12" s="0" t="s">
        <v>72</v>
      </c>
      <c r="B12" s="0" t="s">
        <v>73</v>
      </c>
      <c r="C12" s="0" t="s">
        <v>68</v>
      </c>
      <c r="D12" s="3" t="n">
        <f aca="false">Nebius_Inputs!$C$25</f>
        <v>5.6063348027</v>
      </c>
      <c r="E12" s="4" t="s">
        <v>21</v>
      </c>
      <c r="F12" s="4" t="s">
        <v>22</v>
      </c>
      <c r="G12" s="3" t="n">
        <v>9.19561823792884</v>
      </c>
      <c r="H12" s="4" t="s">
        <v>37</v>
      </c>
      <c r="I12" s="4" t="s">
        <v>22</v>
      </c>
      <c r="J12" s="3" t="n">
        <v>2</v>
      </c>
      <c r="K12" s="4" t="s">
        <v>37</v>
      </c>
      <c r="L12" s="4" t="s">
        <v>38</v>
      </c>
      <c r="M12" s="6" t="s">
        <v>24</v>
      </c>
      <c r="N12" s="4" t="s">
        <v>24</v>
      </c>
      <c r="O12" s="4"/>
      <c r="P12" s="6" t="s">
        <v>24</v>
      </c>
      <c r="Q12" s="4" t="s">
        <v>24</v>
      </c>
      <c r="R12" s="4"/>
      <c r="S12" s="11" t="n">
        <v>2.99</v>
      </c>
      <c r="T12" s="4" t="s">
        <v>74</v>
      </c>
      <c r="U12" s="4" t="s">
        <v>75</v>
      </c>
      <c r="V12" s="11" t="n">
        <v>3.9</v>
      </c>
      <c r="W12" s="4" t="s">
        <v>74</v>
      </c>
      <c r="X12" s="4" t="s">
        <v>76</v>
      </c>
      <c r="Y12" s="7" t="n">
        <f aca="false">MEDIAN(G12,J12,S12,V12)</f>
        <v>3.445</v>
      </c>
      <c r="Z12" s="10" t="s">
        <v>54</v>
      </c>
      <c r="AA12" s="9" t="s">
        <v>77</v>
      </c>
      <c r="AB12" s="9"/>
      <c r="AC12" s="9"/>
    </row>
    <row r="13" customFormat="false" ht="28.35" hidden="false" customHeight="false" outlineLevel="0" collapsed="false">
      <c r="A13" s="0" t="s">
        <v>78</v>
      </c>
      <c r="B13" s="0" t="s">
        <v>79</v>
      </c>
      <c r="C13" s="0" t="s">
        <v>80</v>
      </c>
      <c r="D13" s="3" t="n">
        <f aca="false">Nebius_Inputs!$C$4*1000000/(Nebius_Inputs!$C$23*Nebius_Inputs!$C$24*24)/Nebius_Inputs!$C$25*100</f>
        <v>54.1316469860438</v>
      </c>
      <c r="E13" s="4" t="s">
        <v>21</v>
      </c>
      <c r="F13" s="4" t="s">
        <v>22</v>
      </c>
      <c r="G13" s="3" t="n">
        <v>18.0581428493293</v>
      </c>
      <c r="H13" s="4" t="s">
        <v>37</v>
      </c>
      <c r="I13" s="4" t="s">
        <v>22</v>
      </c>
      <c r="J13" s="12" t="n">
        <v>83.1861413043478</v>
      </c>
      <c r="K13" s="4" t="s">
        <v>37</v>
      </c>
      <c r="L13" s="4" t="s">
        <v>38</v>
      </c>
      <c r="M13" s="6" t="s">
        <v>24</v>
      </c>
      <c r="N13" s="4" t="s">
        <v>24</v>
      </c>
      <c r="O13" s="4"/>
      <c r="P13" s="6" t="s">
        <v>24</v>
      </c>
      <c r="Q13" s="4" t="s">
        <v>24</v>
      </c>
      <c r="R13" s="4"/>
      <c r="S13" s="3" t="n">
        <v>69.8298357161233</v>
      </c>
      <c r="T13" s="4" t="s">
        <v>29</v>
      </c>
      <c r="U13" s="4" t="s">
        <v>28</v>
      </c>
      <c r="V13" s="6" t="s">
        <v>24</v>
      </c>
      <c r="W13" s="4" t="s">
        <v>24</v>
      </c>
      <c r="X13" s="4"/>
      <c r="Y13" s="7" t="n">
        <f aca="false">MEDIAN(G13,S13)</f>
        <v>43.9439892827263</v>
      </c>
      <c r="Z13" s="8" t="s">
        <v>31</v>
      </c>
      <c r="AA13" s="9" t="s">
        <v>81</v>
      </c>
      <c r="AB13" s="9"/>
      <c r="AC13" s="9" t="s">
        <v>82</v>
      </c>
    </row>
    <row r="14" customFormat="false" ht="28.35" hidden="false" customHeight="false" outlineLevel="0" collapsed="false">
      <c r="A14" s="0" t="s">
        <v>83</v>
      </c>
      <c r="B14" s="0" t="s">
        <v>84</v>
      </c>
      <c r="C14" s="0" t="s">
        <v>85</v>
      </c>
      <c r="D14" s="6" t="s">
        <v>86</v>
      </c>
      <c r="E14" s="4" t="s">
        <v>86</v>
      </c>
      <c r="F14" s="4" t="s">
        <v>22</v>
      </c>
      <c r="G14" s="5" t="n">
        <v>12.844</v>
      </c>
      <c r="H14" s="4" t="s">
        <v>23</v>
      </c>
      <c r="I14" s="4" t="s">
        <v>22</v>
      </c>
      <c r="J14" s="6" t="s">
        <v>24</v>
      </c>
      <c r="K14" s="4" t="s">
        <v>24</v>
      </c>
      <c r="L14" s="4"/>
      <c r="M14" s="3" t="n">
        <v>56.8724137931035</v>
      </c>
      <c r="N14" s="4" t="s">
        <v>37</v>
      </c>
      <c r="O14" s="4" t="s">
        <v>87</v>
      </c>
      <c r="P14" s="6" t="s">
        <v>24</v>
      </c>
      <c r="Q14" s="4" t="s">
        <v>24</v>
      </c>
      <c r="R14" s="4"/>
      <c r="S14" s="6" t="s">
        <v>24</v>
      </c>
      <c r="T14" s="4" t="s">
        <v>24</v>
      </c>
      <c r="U14" s="4"/>
      <c r="V14" s="6" t="s">
        <v>24</v>
      </c>
      <c r="W14" s="4" t="s">
        <v>24</v>
      </c>
      <c r="X14" s="4"/>
      <c r="Y14" s="7" t="n">
        <f aca="false">MEDIAN(G14,M14)</f>
        <v>34.8582068965518</v>
      </c>
      <c r="Z14" s="10" t="s">
        <v>88</v>
      </c>
      <c r="AA14" s="9" t="s">
        <v>89</v>
      </c>
      <c r="AB14" s="9" t="s">
        <v>90</v>
      </c>
      <c r="AC14" s="9"/>
    </row>
    <row r="15" customFormat="false" ht="28.35" hidden="false" customHeight="false" outlineLevel="0" collapsed="false">
      <c r="A15" s="0" t="s">
        <v>91</v>
      </c>
      <c r="B15" s="0" t="s">
        <v>92</v>
      </c>
      <c r="C15" s="0" t="s">
        <v>85</v>
      </c>
      <c r="D15" s="3" t="n">
        <f aca="false">(Nebius_Inputs!$C$39-Nebius_Inputs!$C$38)/(Nebius_Inputs!$C$41-Nebius_Inputs!$C$40)</f>
        <v>19.6806896551724</v>
      </c>
      <c r="E15" s="4" t="s">
        <v>21</v>
      </c>
      <c r="F15" s="4" t="s">
        <v>93</v>
      </c>
      <c r="G15" s="5" t="n">
        <v>18.704</v>
      </c>
      <c r="H15" s="4" t="s">
        <v>23</v>
      </c>
      <c r="I15" s="4" t="s">
        <v>22</v>
      </c>
      <c r="J15" s="6" t="s">
        <v>24</v>
      </c>
      <c r="K15" s="4" t="s">
        <v>24</v>
      </c>
      <c r="L15" s="4"/>
      <c r="M15" s="6" t="s">
        <v>24</v>
      </c>
      <c r="N15" s="4" t="s">
        <v>24</v>
      </c>
      <c r="O15" s="4"/>
      <c r="P15" s="6" t="s">
        <v>24</v>
      </c>
      <c r="Q15" s="4" t="s">
        <v>24</v>
      </c>
      <c r="R15" s="4"/>
      <c r="S15" s="6" t="s">
        <v>24</v>
      </c>
      <c r="T15" s="4" t="s">
        <v>24</v>
      </c>
      <c r="U15" s="4"/>
      <c r="V15" s="6" t="s">
        <v>24</v>
      </c>
      <c r="W15" s="4" t="s">
        <v>24</v>
      </c>
      <c r="X15" s="4"/>
      <c r="Y15" s="7" t="n">
        <f aca="false">MEDIAN(G15)</f>
        <v>18.704</v>
      </c>
      <c r="Z15" s="13" t="s">
        <v>94</v>
      </c>
      <c r="AA15" s="9" t="s">
        <v>95</v>
      </c>
      <c r="AB15" s="9" t="s">
        <v>96</v>
      </c>
      <c r="AC15" s="9"/>
    </row>
    <row r="16" customFormat="false" ht="41.75" hidden="false" customHeight="false" outlineLevel="0" collapsed="false">
      <c r="A16" s="0" t="s">
        <v>97</v>
      </c>
      <c r="B16" s="0" t="s">
        <v>98</v>
      </c>
      <c r="C16" s="0" t="s">
        <v>85</v>
      </c>
      <c r="D16" s="3" t="n">
        <f aca="false">SUM(Nebius_Inputs!$C$9,Nebius_Inputs!$C$10,Nebius_Inputs!$C$11,Nebius_Inputs!$C$12)/(Nebius_Inputs!$C$20-Nebius_Inputs!$C$18)</f>
        <v>77.9146853146853</v>
      </c>
      <c r="E16" s="4" t="s">
        <v>21</v>
      </c>
      <c r="F16" s="4" t="s">
        <v>22</v>
      </c>
      <c r="G16" s="5" t="n">
        <v>19.9666019417476</v>
      </c>
      <c r="H16" s="4" t="s">
        <v>23</v>
      </c>
      <c r="I16" s="4" t="s">
        <v>22</v>
      </c>
      <c r="J16" s="6" t="s">
        <v>24</v>
      </c>
      <c r="K16" s="4" t="s">
        <v>24</v>
      </c>
      <c r="L16" s="4"/>
      <c r="M16" s="3" t="n">
        <v>46.3858333333333</v>
      </c>
      <c r="N16" s="4" t="s">
        <v>37</v>
      </c>
      <c r="O16" s="4" t="s">
        <v>87</v>
      </c>
      <c r="P16" s="6" t="s">
        <v>24</v>
      </c>
      <c r="Q16" s="4" t="s">
        <v>24</v>
      </c>
      <c r="R16" s="4"/>
      <c r="S16" s="6" t="s">
        <v>24</v>
      </c>
      <c r="T16" s="4" t="s">
        <v>24</v>
      </c>
      <c r="U16" s="4"/>
      <c r="V16" s="6" t="s">
        <v>24</v>
      </c>
      <c r="W16" s="4" t="s">
        <v>24</v>
      </c>
      <c r="X16" s="4"/>
      <c r="Y16" s="7" t="n">
        <f aca="false">MEDIAN(G16,M16)</f>
        <v>33.1762176375405</v>
      </c>
      <c r="Z16" s="14" t="s">
        <v>99</v>
      </c>
      <c r="AA16" s="9" t="s">
        <v>100</v>
      </c>
      <c r="AB16" s="9" t="s">
        <v>101</v>
      </c>
      <c r="AC16" s="9" t="s">
        <v>102</v>
      </c>
    </row>
    <row r="17" customFormat="false" ht="28.35" hidden="false" customHeight="false" outlineLevel="0" collapsed="false">
      <c r="A17" s="0" t="s">
        <v>103</v>
      </c>
      <c r="B17" s="0" t="s">
        <v>104</v>
      </c>
      <c r="C17" s="0" t="s">
        <v>85</v>
      </c>
      <c r="D17" s="3" t="n">
        <f aca="false">Nebius_Inputs!$C$13/Nebius_Inputs!$C$20</f>
        <v>67.5917098445596</v>
      </c>
      <c r="E17" s="4" t="s">
        <v>21</v>
      </c>
      <c r="F17" s="4" t="s">
        <v>22</v>
      </c>
      <c r="G17" s="5" t="n">
        <v>31.1573333333333</v>
      </c>
      <c r="H17" s="4" t="s">
        <v>23</v>
      </c>
      <c r="I17" s="4" t="s">
        <v>22</v>
      </c>
      <c r="J17" s="6" t="s">
        <v>24</v>
      </c>
      <c r="K17" s="4" t="s">
        <v>24</v>
      </c>
      <c r="L17" s="4"/>
      <c r="M17" s="6" t="s">
        <v>24</v>
      </c>
      <c r="N17" s="4" t="s">
        <v>24</v>
      </c>
      <c r="O17" s="4"/>
      <c r="P17" s="5" t="n">
        <v>70.7098765432099</v>
      </c>
      <c r="Q17" s="4" t="s">
        <v>25</v>
      </c>
      <c r="R17" s="4" t="s">
        <v>26</v>
      </c>
      <c r="S17" s="6" t="s">
        <v>24</v>
      </c>
      <c r="T17" s="4" t="s">
        <v>24</v>
      </c>
      <c r="U17" s="4"/>
      <c r="V17" s="15" t="n">
        <v>12.5</v>
      </c>
      <c r="W17" s="4" t="s">
        <v>25</v>
      </c>
      <c r="X17" s="4" t="s">
        <v>105</v>
      </c>
      <c r="Y17" s="7" t="n">
        <f aca="false">MEDIAN(G17,P17)</f>
        <v>50.9336049382716</v>
      </c>
      <c r="Z17" s="14" t="s">
        <v>99</v>
      </c>
      <c r="AA17" s="9" t="s">
        <v>106</v>
      </c>
      <c r="AB17" s="9" t="s">
        <v>107</v>
      </c>
      <c r="AC17" s="9" t="s">
        <v>108</v>
      </c>
    </row>
    <row r="18" customFormat="false" ht="28.35" hidden="false" customHeight="false" outlineLevel="0" collapsed="false">
      <c r="A18" s="0" t="s">
        <v>109</v>
      </c>
      <c r="B18" s="0" t="s">
        <v>110</v>
      </c>
      <c r="C18" s="0" t="s">
        <v>85</v>
      </c>
      <c r="D18" s="3" t="n">
        <f aca="false">Nebius_Inputs!$C$15/Nebius_Inputs!$C$20</f>
        <v>32.7103626943005</v>
      </c>
      <c r="E18" s="4" t="s">
        <v>21</v>
      </c>
      <c r="F18" s="4" t="s">
        <v>22</v>
      </c>
      <c r="G18" s="5" t="n">
        <v>27.136</v>
      </c>
      <c r="H18" s="4" t="s">
        <v>23</v>
      </c>
      <c r="I18" s="4" t="s">
        <v>22</v>
      </c>
      <c r="J18" s="6" t="s">
        <v>24</v>
      </c>
      <c r="K18" s="4" t="s">
        <v>24</v>
      </c>
      <c r="L18" s="4"/>
      <c r="M18" s="6" t="s">
        <v>24</v>
      </c>
      <c r="N18" s="4" t="s">
        <v>24</v>
      </c>
      <c r="O18" s="4"/>
      <c r="P18" s="5" t="n">
        <v>20.8259259259259</v>
      </c>
      <c r="Q18" s="4" t="s">
        <v>25</v>
      </c>
      <c r="R18" s="4" t="s">
        <v>26</v>
      </c>
      <c r="S18" s="6" t="s">
        <v>24</v>
      </c>
      <c r="T18" s="4" t="s">
        <v>24</v>
      </c>
      <c r="U18" s="4"/>
      <c r="V18" s="6" t="s">
        <v>24</v>
      </c>
      <c r="W18" s="4" t="s">
        <v>24</v>
      </c>
      <c r="X18" s="4"/>
      <c r="Y18" s="7" t="n">
        <f aca="false">MEDIAN(G18,P18)</f>
        <v>23.980962962963</v>
      </c>
      <c r="Z18" s="14" t="s">
        <v>99</v>
      </c>
      <c r="AA18" s="9" t="s">
        <v>111</v>
      </c>
      <c r="AB18" s="9"/>
      <c r="AC18" s="9"/>
    </row>
    <row r="19" customFormat="false" ht="41.75" hidden="false" customHeight="false" outlineLevel="0" collapsed="false">
      <c r="A19" s="0" t="s">
        <v>112</v>
      </c>
      <c r="B19" s="0" t="s">
        <v>113</v>
      </c>
      <c r="C19" s="0" t="s">
        <v>114</v>
      </c>
      <c r="D19" s="11" t="n">
        <f aca="false">Nebius_Inputs!$C$32</f>
        <v>5</v>
      </c>
      <c r="E19" s="4" t="s">
        <v>74</v>
      </c>
      <c r="F19" s="4" t="s">
        <v>22</v>
      </c>
      <c r="G19" s="11" t="n">
        <v>6</v>
      </c>
      <c r="H19" s="4" t="s">
        <v>115</v>
      </c>
      <c r="I19" s="4" t="s">
        <v>22</v>
      </c>
      <c r="J19" s="11" t="n">
        <v>5</v>
      </c>
      <c r="K19" s="4" t="s">
        <v>115</v>
      </c>
      <c r="L19" s="4" t="s">
        <v>22</v>
      </c>
      <c r="M19" s="11" t="n">
        <v>6</v>
      </c>
      <c r="N19" s="4" t="s">
        <v>115</v>
      </c>
      <c r="O19" s="4" t="s">
        <v>87</v>
      </c>
      <c r="P19" s="11" t="n">
        <v>5.5</v>
      </c>
      <c r="Q19" s="4" t="s">
        <v>74</v>
      </c>
      <c r="R19" s="4" t="s">
        <v>26</v>
      </c>
      <c r="S19" s="6" t="s">
        <v>24</v>
      </c>
      <c r="T19" s="4" t="s">
        <v>24</v>
      </c>
      <c r="U19" s="4"/>
      <c r="V19" s="6" t="s">
        <v>24</v>
      </c>
      <c r="W19" s="4" t="s">
        <v>24</v>
      </c>
      <c r="X19" s="4"/>
      <c r="Y19" s="7" t="n">
        <f aca="false">MEDIAN(G19,J19,M19,P19)</f>
        <v>5.75</v>
      </c>
      <c r="Z19" s="8" t="s">
        <v>31</v>
      </c>
      <c r="AA19" s="9" t="s">
        <v>116</v>
      </c>
      <c r="AB19" s="9"/>
      <c r="AC19" s="9" t="s">
        <v>117</v>
      </c>
    </row>
    <row r="20" customFormat="false" ht="28.35" hidden="false" customHeight="false" outlineLevel="0" collapsed="false">
      <c r="A20" s="0" t="s">
        <v>118</v>
      </c>
      <c r="B20" s="0" t="s">
        <v>119</v>
      </c>
      <c r="C20" s="0" t="s">
        <v>80</v>
      </c>
      <c r="D20" s="5" t="n">
        <f aca="false">Nebius_Inputs!$C$8*4/AVERAGE(Nebius_Inputs!$C$14,Nebius_Inputs!$C$15)*100</f>
        <v>17.5150483063279</v>
      </c>
      <c r="E20" s="4" t="s">
        <v>25</v>
      </c>
      <c r="F20" s="4" t="s">
        <v>22</v>
      </c>
      <c r="G20" s="5" t="n">
        <v>15.4657488619962</v>
      </c>
      <c r="H20" s="4" t="s">
        <v>23</v>
      </c>
      <c r="I20" s="4" t="s">
        <v>22</v>
      </c>
      <c r="J20" s="5" t="n">
        <v>14.3513593886696</v>
      </c>
      <c r="K20" s="4" t="s">
        <v>23</v>
      </c>
      <c r="L20" s="4" t="s">
        <v>22</v>
      </c>
      <c r="M20" s="5" t="n">
        <v>13.4492457172079</v>
      </c>
      <c r="N20" s="4" t="s">
        <v>23</v>
      </c>
      <c r="O20" s="4" t="s">
        <v>120</v>
      </c>
      <c r="P20" s="5" t="n">
        <v>15.6708911687789</v>
      </c>
      <c r="Q20" s="4" t="s">
        <v>25</v>
      </c>
      <c r="R20" s="4" t="s">
        <v>26</v>
      </c>
      <c r="S20" s="6" t="s">
        <v>24</v>
      </c>
      <c r="T20" s="4" t="s">
        <v>24</v>
      </c>
      <c r="U20" s="4"/>
      <c r="V20" s="6" t="s">
        <v>24</v>
      </c>
      <c r="W20" s="4" t="s">
        <v>24</v>
      </c>
      <c r="X20" s="4"/>
      <c r="Y20" s="7" t="n">
        <f aca="false">MEDIAN(G20,J20,M20,P20)</f>
        <v>14.9085541253329</v>
      </c>
      <c r="Z20" s="8" t="s">
        <v>31</v>
      </c>
      <c r="AA20" s="9" t="s">
        <v>121</v>
      </c>
      <c r="AB20" s="9" t="s">
        <v>122</v>
      </c>
      <c r="AC20" s="9" t="s">
        <v>123</v>
      </c>
    </row>
    <row r="21" customFormat="false" ht="41.75" hidden="false" customHeight="false" outlineLevel="0" collapsed="false">
      <c r="A21" s="0" t="s">
        <v>124</v>
      </c>
      <c r="B21" s="0" t="s">
        <v>125</v>
      </c>
      <c r="C21" s="0" t="s">
        <v>114</v>
      </c>
      <c r="D21" s="5" t="n">
        <f aca="false">100/(Nebius_Inputs!$C$8*4/AVERAGE(Nebius_Inputs!$C$14,Nebius_Inputs!$C$15)*100)</f>
        <v>5.70937620331151</v>
      </c>
      <c r="E21" s="4" t="s">
        <v>25</v>
      </c>
      <c r="F21" s="4" t="s">
        <v>22</v>
      </c>
      <c r="G21" s="5" t="n">
        <v>6.46590093323762</v>
      </c>
      <c r="H21" s="4" t="s">
        <v>23</v>
      </c>
      <c r="I21" s="4" t="s">
        <v>22</v>
      </c>
      <c r="J21" s="5" t="n">
        <v>6.96798103174462</v>
      </c>
      <c r="K21" s="4" t="s">
        <v>23</v>
      </c>
      <c r="L21" s="4" t="s">
        <v>22</v>
      </c>
      <c r="M21" s="5" t="n">
        <v>7.43536121673004</v>
      </c>
      <c r="N21" s="4" t="s">
        <v>23</v>
      </c>
      <c r="O21" s="4" t="s">
        <v>120</v>
      </c>
      <c r="P21" s="5" t="n">
        <v>6.38125802310655</v>
      </c>
      <c r="Q21" s="4" t="s">
        <v>25</v>
      </c>
      <c r="R21" s="4" t="s">
        <v>26</v>
      </c>
      <c r="S21" s="6" t="s">
        <v>24</v>
      </c>
      <c r="T21" s="4" t="s">
        <v>24</v>
      </c>
      <c r="U21" s="4"/>
      <c r="V21" s="6" t="s">
        <v>24</v>
      </c>
      <c r="W21" s="4" t="s">
        <v>24</v>
      </c>
      <c r="X21" s="4"/>
      <c r="Y21" s="7" t="n">
        <f aca="false">MEDIAN(G21,J21,M21,P21)</f>
        <v>6.71694098249112</v>
      </c>
      <c r="Z21" s="8" t="s">
        <v>31</v>
      </c>
      <c r="AA21" s="9" t="s">
        <v>126</v>
      </c>
      <c r="AB21" s="9"/>
      <c r="AC21" s="9" t="s">
        <v>127</v>
      </c>
    </row>
    <row r="22" customFormat="false" ht="28.35" hidden="false" customHeight="false" outlineLevel="0" collapsed="false">
      <c r="A22" s="0" t="s">
        <v>128</v>
      </c>
      <c r="B22" s="0" t="s">
        <v>129</v>
      </c>
      <c r="C22" s="0" t="s">
        <v>80</v>
      </c>
      <c r="D22" s="5" t="n">
        <f aca="false">Nebius_Inputs!$C$8/Nebius_Inputs!$C$4*100</f>
        <v>45.1730735780136</v>
      </c>
      <c r="E22" s="4" t="s">
        <v>25</v>
      </c>
      <c r="F22" s="4" t="s">
        <v>22</v>
      </c>
      <c r="G22" s="5" t="n">
        <v>54.0970873786408</v>
      </c>
      <c r="H22" s="4" t="s">
        <v>23</v>
      </c>
      <c r="I22" s="4" t="s">
        <v>22</v>
      </c>
      <c r="J22" s="5" t="n">
        <v>81.6775368919658</v>
      </c>
      <c r="K22" s="4" t="s">
        <v>23</v>
      </c>
      <c r="L22" s="4" t="s">
        <v>22</v>
      </c>
      <c r="M22" s="5" t="n">
        <v>12.5886155129274</v>
      </c>
      <c r="N22" s="4" t="s">
        <v>23</v>
      </c>
      <c r="O22" s="4" t="s">
        <v>87</v>
      </c>
      <c r="P22" s="5" t="n">
        <v>123.75533428165</v>
      </c>
      <c r="Q22" s="4" t="s">
        <v>25</v>
      </c>
      <c r="R22" s="4" t="s">
        <v>26</v>
      </c>
      <c r="S22" s="6" t="s">
        <v>24</v>
      </c>
      <c r="T22" s="4" t="s">
        <v>24</v>
      </c>
      <c r="U22" s="4"/>
      <c r="V22" s="6" t="s">
        <v>24</v>
      </c>
      <c r="W22" s="4" t="s">
        <v>24</v>
      </c>
      <c r="X22" s="4"/>
      <c r="Y22" s="7" t="n">
        <f aca="false">MEDIAN(G22,J22,M22,P22)</f>
        <v>67.8873121353033</v>
      </c>
      <c r="Z22" s="10" t="s">
        <v>54</v>
      </c>
      <c r="AA22" s="9" t="s">
        <v>130</v>
      </c>
      <c r="AB22" s="9" t="s">
        <v>131</v>
      </c>
      <c r="AC22" s="9"/>
    </row>
    <row r="23" customFormat="false" ht="28.35" hidden="false" customHeight="false" outlineLevel="0" collapsed="false">
      <c r="A23" s="0" t="s">
        <v>132</v>
      </c>
      <c r="B23" s="0" t="s">
        <v>133</v>
      </c>
      <c r="C23" s="0" t="s">
        <v>134</v>
      </c>
      <c r="D23" s="11" t="n">
        <f aca="false">Nebius_Inputs!$C$26/1000</f>
        <v>37.4906</v>
      </c>
      <c r="E23" s="4" t="s">
        <v>74</v>
      </c>
      <c r="F23" s="4" t="s">
        <v>22</v>
      </c>
      <c r="G23" s="11" t="n">
        <v>103.7</v>
      </c>
      <c r="H23" s="4" t="s">
        <v>115</v>
      </c>
      <c r="I23" s="4" t="s">
        <v>22</v>
      </c>
      <c r="J23" s="11" t="n">
        <v>5.1</v>
      </c>
      <c r="K23" s="4" t="s">
        <v>115</v>
      </c>
      <c r="L23" s="4" t="s">
        <v>22</v>
      </c>
      <c r="M23" s="11" t="n">
        <v>638</v>
      </c>
      <c r="N23" s="4" t="s">
        <v>115</v>
      </c>
      <c r="O23" s="4" t="s">
        <v>87</v>
      </c>
      <c r="P23" s="11" t="n">
        <v>56.4</v>
      </c>
      <c r="Q23" s="4" t="s">
        <v>74</v>
      </c>
      <c r="R23" s="4" t="s">
        <v>26</v>
      </c>
      <c r="S23" s="6" t="s">
        <v>24</v>
      </c>
      <c r="T23" s="4" t="s">
        <v>24</v>
      </c>
      <c r="U23" s="4"/>
      <c r="V23" s="6" t="s">
        <v>24</v>
      </c>
      <c r="W23" s="4" t="s">
        <v>24</v>
      </c>
      <c r="X23" s="4"/>
      <c r="Y23" s="7" t="n">
        <f aca="false">MEDIAN(G23,J23,M23,P23)</f>
        <v>80.05</v>
      </c>
      <c r="Z23" s="10" t="s">
        <v>54</v>
      </c>
      <c r="AA23" s="9" t="s">
        <v>135</v>
      </c>
      <c r="AB23" s="9"/>
      <c r="AC23" s="9" t="s">
        <v>136</v>
      </c>
    </row>
    <row r="24" customFormat="false" ht="28.35" hidden="false" customHeight="false" outlineLevel="0" collapsed="false">
      <c r="A24" s="0" t="s">
        <v>137</v>
      </c>
      <c r="B24" s="0" t="s">
        <v>138</v>
      </c>
      <c r="C24" s="0" t="s">
        <v>134</v>
      </c>
      <c r="D24" s="4" t="s">
        <v>24</v>
      </c>
      <c r="E24" s="4" t="s">
        <v>24</v>
      </c>
      <c r="G24" s="11" t="n">
        <v>104.2</v>
      </c>
      <c r="H24" s="4" t="s">
        <v>115</v>
      </c>
      <c r="I24" s="4" t="s">
        <v>22</v>
      </c>
      <c r="J24" s="11" t="n">
        <v>16.6</v>
      </c>
      <c r="K24" s="4" t="s">
        <v>115</v>
      </c>
      <c r="L24" s="4" t="s">
        <v>22</v>
      </c>
      <c r="M24" s="6" t="s">
        <v>24</v>
      </c>
      <c r="N24" s="4" t="s">
        <v>24</v>
      </c>
      <c r="O24" s="4"/>
      <c r="P24" s="11" t="n">
        <v>103.4</v>
      </c>
      <c r="Q24" s="4" t="s">
        <v>74</v>
      </c>
      <c r="R24" s="4" t="s">
        <v>48</v>
      </c>
      <c r="S24" s="16" t="n">
        <v>50</v>
      </c>
      <c r="T24" s="4" t="s">
        <v>139</v>
      </c>
      <c r="U24" s="4" t="s">
        <v>140</v>
      </c>
      <c r="V24" s="17" t="n">
        <v>140</v>
      </c>
      <c r="W24" s="4" t="s">
        <v>74</v>
      </c>
      <c r="X24" s="4" t="s">
        <v>30</v>
      </c>
      <c r="Y24" s="7" t="n">
        <f aca="false">MEDIAN(G24,J24,P24,S24)</f>
        <v>76.7</v>
      </c>
      <c r="Z24" s="10" t="s">
        <v>88</v>
      </c>
      <c r="AA24" s="9" t="s">
        <v>141</v>
      </c>
      <c r="AB24" s="9" t="s">
        <v>142</v>
      </c>
      <c r="AC24" s="9" t="s">
        <v>143</v>
      </c>
    </row>
    <row r="25" customFormat="false" ht="28.35" hidden="false" customHeight="false" outlineLevel="0" collapsed="false">
      <c r="A25" s="0" t="s">
        <v>144</v>
      </c>
      <c r="B25" s="0" t="s">
        <v>145</v>
      </c>
      <c r="C25" s="0" t="s">
        <v>80</v>
      </c>
      <c r="D25" s="11" t="n">
        <f aca="false">Nebius_Inputs!$C$27</f>
        <v>36</v>
      </c>
      <c r="E25" s="4" t="s">
        <v>74</v>
      </c>
      <c r="F25" s="4" t="s">
        <v>22</v>
      </c>
      <c r="G25" s="11" t="n">
        <v>41</v>
      </c>
      <c r="H25" s="4" t="s">
        <v>115</v>
      </c>
      <c r="I25" s="4" t="s">
        <v>22</v>
      </c>
      <c r="J25" s="5" t="n">
        <v>43.1</v>
      </c>
      <c r="K25" s="4" t="s">
        <v>23</v>
      </c>
      <c r="L25" s="4" t="s">
        <v>22</v>
      </c>
      <c r="M25" s="3" t="n">
        <v>29</v>
      </c>
      <c r="N25" s="4" t="s">
        <v>37</v>
      </c>
      <c r="O25" s="4" t="s">
        <v>87</v>
      </c>
      <c r="P25" s="11" t="n">
        <v>16</v>
      </c>
      <c r="Q25" s="4" t="s">
        <v>74</v>
      </c>
      <c r="R25" s="4" t="s">
        <v>146</v>
      </c>
      <c r="S25" s="6" t="s">
        <v>24</v>
      </c>
      <c r="T25" s="4" t="s">
        <v>24</v>
      </c>
      <c r="U25" s="4"/>
      <c r="V25" s="6" t="s">
        <v>24</v>
      </c>
      <c r="W25" s="4" t="s">
        <v>24</v>
      </c>
      <c r="X25" s="4"/>
      <c r="Y25" s="7" t="n">
        <f aca="false">MEDIAN(G25,J25,M25,P25)</f>
        <v>35</v>
      </c>
      <c r="Z25" s="13" t="s">
        <v>94</v>
      </c>
      <c r="AA25" s="9" t="s">
        <v>147</v>
      </c>
      <c r="AB25" s="9"/>
      <c r="AC25" s="9"/>
    </row>
    <row r="26" customFormat="false" ht="28.35" hidden="false" customHeight="false" outlineLevel="0" collapsed="false">
      <c r="A26" s="0" t="s">
        <v>148</v>
      </c>
      <c r="B26" s="0" t="s">
        <v>149</v>
      </c>
      <c r="C26" s="0" t="s">
        <v>114</v>
      </c>
      <c r="D26" s="5" t="n">
        <f aca="false">Nebius_Inputs!$C$26/(Nebius_Inputs!$C$4*4)</f>
        <v>16.3030961906419</v>
      </c>
      <c r="E26" s="4" t="s">
        <v>25</v>
      </c>
      <c r="F26" s="4" t="s">
        <v>22</v>
      </c>
      <c r="G26" s="5" t="n">
        <v>10.0679611650485</v>
      </c>
      <c r="H26" s="4" t="s">
        <v>23</v>
      </c>
      <c r="I26" s="4" t="s">
        <v>22</v>
      </c>
      <c r="J26" s="5" t="n">
        <v>18.0812593065305</v>
      </c>
      <c r="K26" s="4" t="s">
        <v>23</v>
      </c>
      <c r="L26" s="4" t="s">
        <v>22</v>
      </c>
      <c r="M26" s="5" t="n">
        <v>8.31422018348624</v>
      </c>
      <c r="N26" s="4" t="s">
        <v>23</v>
      </c>
      <c r="O26" s="4" t="s">
        <v>87</v>
      </c>
      <c r="P26" s="5" t="n">
        <v>200.568990042674</v>
      </c>
      <c r="Q26" s="4" t="s">
        <v>25</v>
      </c>
      <c r="R26" s="4" t="s">
        <v>26</v>
      </c>
      <c r="S26" s="6" t="s">
        <v>24</v>
      </c>
      <c r="T26" s="4" t="s">
        <v>24</v>
      </c>
      <c r="U26" s="4"/>
      <c r="V26" s="6" t="s">
        <v>24</v>
      </c>
      <c r="W26" s="4" t="s">
        <v>24</v>
      </c>
      <c r="X26" s="4"/>
      <c r="Y26" s="7" t="n">
        <f aca="false">MEDIAN(G26,J26,M26,P26)</f>
        <v>14.0746102357895</v>
      </c>
      <c r="Z26" s="13" t="s">
        <v>94</v>
      </c>
      <c r="AA26" s="9" t="s">
        <v>150</v>
      </c>
      <c r="AB26" s="9"/>
      <c r="AC26" s="9" t="s">
        <v>151</v>
      </c>
    </row>
    <row r="27" customFormat="false" ht="28.35" hidden="false" customHeight="false" outlineLevel="0" collapsed="false">
      <c r="A27" s="0" t="s">
        <v>152</v>
      </c>
      <c r="B27" s="0" t="s">
        <v>153</v>
      </c>
      <c r="C27" s="0" t="s">
        <v>80</v>
      </c>
      <c r="D27" s="11" t="n">
        <f aca="false">Nebius_Inputs!$C$28</f>
        <v>24</v>
      </c>
      <c r="E27" s="4" t="s">
        <v>74</v>
      </c>
      <c r="F27" s="4" t="s">
        <v>22</v>
      </c>
      <c r="G27" s="11" t="n">
        <v>36</v>
      </c>
      <c r="H27" s="4" t="s">
        <v>115</v>
      </c>
      <c r="I27" s="4" t="s">
        <v>22</v>
      </c>
      <c r="J27" s="6" t="s">
        <v>24</v>
      </c>
      <c r="K27" s="4" t="s">
        <v>24</v>
      </c>
      <c r="L27" s="4"/>
      <c r="M27" s="6" t="s">
        <v>24</v>
      </c>
      <c r="N27" s="4" t="s">
        <v>24</v>
      </c>
      <c r="O27" s="4"/>
      <c r="P27" s="11" t="n">
        <v>52</v>
      </c>
      <c r="Q27" s="4" t="s">
        <v>74</v>
      </c>
      <c r="R27" s="4" t="s">
        <v>26</v>
      </c>
      <c r="S27" s="6" t="s">
        <v>24</v>
      </c>
      <c r="T27" s="4" t="s">
        <v>24</v>
      </c>
      <c r="U27" s="4"/>
      <c r="V27" s="6" t="s">
        <v>24</v>
      </c>
      <c r="W27" s="4" t="s">
        <v>24</v>
      </c>
      <c r="X27" s="4"/>
      <c r="Y27" s="7" t="n">
        <f aca="false">MEDIAN(G27,P27)</f>
        <v>44</v>
      </c>
      <c r="Z27" s="8" t="s">
        <v>31</v>
      </c>
      <c r="AA27" s="9" t="s">
        <v>154</v>
      </c>
      <c r="AB27" s="9" t="s">
        <v>155</v>
      </c>
      <c r="AC27" s="9" t="s">
        <v>156</v>
      </c>
    </row>
    <row r="28" customFormat="false" ht="28.35" hidden="false" customHeight="false" outlineLevel="0" collapsed="false">
      <c r="A28" s="0" t="s">
        <v>157</v>
      </c>
      <c r="B28" s="0" t="s">
        <v>158</v>
      </c>
      <c r="C28" s="0" t="s">
        <v>80</v>
      </c>
      <c r="D28" s="11" t="n">
        <f aca="false">Nebius_Inputs!$C$29</f>
        <v>21</v>
      </c>
      <c r="E28" s="4" t="s">
        <v>74</v>
      </c>
      <c r="F28" s="4" t="s">
        <v>22</v>
      </c>
      <c r="G28" s="11" t="n">
        <v>26</v>
      </c>
      <c r="H28" s="4" t="s">
        <v>115</v>
      </c>
      <c r="I28" s="4" t="s">
        <v>22</v>
      </c>
      <c r="J28" s="6" t="s">
        <v>24</v>
      </c>
      <c r="K28" s="4" t="s">
        <v>24</v>
      </c>
      <c r="L28" s="4"/>
      <c r="M28" s="6" t="s">
        <v>24</v>
      </c>
      <c r="N28" s="4" t="s">
        <v>24</v>
      </c>
      <c r="O28" s="4"/>
      <c r="P28" s="6" t="s">
        <v>24</v>
      </c>
      <c r="Q28" s="4" t="s">
        <v>24</v>
      </c>
      <c r="R28" s="4"/>
      <c r="S28" s="6" t="s">
        <v>24</v>
      </c>
      <c r="T28" s="4" t="s">
        <v>24</v>
      </c>
      <c r="U28" s="4"/>
      <c r="V28" s="6" t="s">
        <v>24</v>
      </c>
      <c r="W28" s="4" t="s">
        <v>24</v>
      </c>
      <c r="X28" s="4"/>
      <c r="Y28" s="7" t="n">
        <f aca="false">MEDIAN(G28)</f>
        <v>26</v>
      </c>
      <c r="Z28" s="8" t="s">
        <v>31</v>
      </c>
      <c r="AA28" s="9" t="s">
        <v>159</v>
      </c>
      <c r="AB28" s="9"/>
      <c r="AC28" s="9"/>
    </row>
    <row r="29" customFormat="false" ht="28.35" hidden="false" customHeight="false" outlineLevel="0" collapsed="false">
      <c r="A29" s="0" t="s">
        <v>160</v>
      </c>
      <c r="B29" s="0" t="s">
        <v>161</v>
      </c>
      <c r="C29" s="0" t="s">
        <v>80</v>
      </c>
      <c r="D29" s="11" t="n">
        <f aca="false">Nebius_Inputs!$C$28+Nebius_Inputs!$C$29+Nebius_Inputs!$C$30</f>
        <v>59</v>
      </c>
      <c r="E29" s="4" t="s">
        <v>74</v>
      </c>
      <c r="F29" s="4" t="s">
        <v>22</v>
      </c>
      <c r="G29" s="11" t="n">
        <v>72</v>
      </c>
      <c r="H29" s="4" t="s">
        <v>115</v>
      </c>
      <c r="I29" s="4" t="s">
        <v>22</v>
      </c>
      <c r="J29" s="6" t="s">
        <v>24</v>
      </c>
      <c r="K29" s="4" t="s">
        <v>24</v>
      </c>
      <c r="L29" s="4"/>
      <c r="M29" s="6" t="s">
        <v>24</v>
      </c>
      <c r="N29" s="4" t="s">
        <v>24</v>
      </c>
      <c r="O29" s="4"/>
      <c r="P29" s="6" t="s">
        <v>24</v>
      </c>
      <c r="Q29" s="4" t="s">
        <v>24</v>
      </c>
      <c r="R29" s="4"/>
      <c r="S29" s="16" t="n">
        <v>50</v>
      </c>
      <c r="T29" s="4" t="s">
        <v>139</v>
      </c>
      <c r="U29" s="4" t="s">
        <v>28</v>
      </c>
      <c r="V29" s="6" t="s">
        <v>24</v>
      </c>
      <c r="W29" s="4" t="s">
        <v>24</v>
      </c>
      <c r="X29" s="4"/>
      <c r="Y29" s="7" t="n">
        <f aca="false">MEDIAN(G29,S29)</f>
        <v>61</v>
      </c>
      <c r="Z29" s="13" t="s">
        <v>94</v>
      </c>
      <c r="AA29" s="9" t="s">
        <v>162</v>
      </c>
      <c r="AB29" s="9"/>
      <c r="AC29" s="9"/>
    </row>
    <row r="30" customFormat="false" ht="28.35" hidden="false" customHeight="false" outlineLevel="0" collapsed="false">
      <c r="A30" s="0" t="s">
        <v>163</v>
      </c>
      <c r="B30" s="0" t="s">
        <v>164</v>
      </c>
      <c r="C30" s="0" t="s">
        <v>165</v>
      </c>
      <c r="D30" s="11" t="n">
        <f aca="false">Nebius_Inputs!$C$31</f>
        <v>3</v>
      </c>
      <c r="E30" s="4" t="s">
        <v>74</v>
      </c>
      <c r="F30" s="4" t="s">
        <v>22</v>
      </c>
      <c r="G30" s="11" t="n">
        <v>3</v>
      </c>
      <c r="H30" s="4" t="s">
        <v>115</v>
      </c>
      <c r="I30" s="4" t="s">
        <v>22</v>
      </c>
      <c r="J30" s="6" t="s">
        <v>24</v>
      </c>
      <c r="K30" s="4" t="s">
        <v>24</v>
      </c>
      <c r="L30" s="4"/>
      <c r="M30" s="11" t="n">
        <v>0</v>
      </c>
      <c r="N30" s="4" t="s">
        <v>115</v>
      </c>
      <c r="O30" s="4" t="s">
        <v>87</v>
      </c>
      <c r="P30" s="6" t="s">
        <v>24</v>
      </c>
      <c r="Q30" s="4" t="s">
        <v>24</v>
      </c>
      <c r="R30" s="4"/>
      <c r="S30" s="6" t="s">
        <v>24</v>
      </c>
      <c r="T30" s="4" t="s">
        <v>24</v>
      </c>
      <c r="U30" s="4"/>
      <c r="V30" s="6" t="s">
        <v>24</v>
      </c>
      <c r="W30" s="4" t="s">
        <v>24</v>
      </c>
      <c r="X30" s="4"/>
      <c r="Y30" s="7" t="n">
        <f aca="false">MEDIAN(G30,M30)</f>
        <v>1.5</v>
      </c>
      <c r="Z30" s="14" t="s">
        <v>99</v>
      </c>
      <c r="AA30" s="9" t="s">
        <v>166</v>
      </c>
      <c r="AB30" s="9"/>
      <c r="AC30" s="9"/>
    </row>
    <row r="31" customFormat="false" ht="55.2" hidden="false" customHeight="false" outlineLevel="0" collapsed="false">
      <c r="A31" s="0" t="s">
        <v>167</v>
      </c>
      <c r="B31" s="0" t="s">
        <v>168</v>
      </c>
      <c r="C31" s="0" t="s">
        <v>80</v>
      </c>
      <c r="D31" s="5" t="n">
        <f aca="false">Nebius_Inputs!$C$33</f>
        <v>5.1</v>
      </c>
      <c r="E31" s="4" t="s">
        <v>25</v>
      </c>
      <c r="F31" s="4" t="s">
        <v>22</v>
      </c>
      <c r="G31" s="5" t="n">
        <v>8.4134342212596</v>
      </c>
      <c r="H31" s="4" t="s">
        <v>23</v>
      </c>
      <c r="I31" s="4" t="s">
        <v>22</v>
      </c>
      <c r="J31" s="5" t="n">
        <v>1.85234367978236</v>
      </c>
      <c r="K31" s="4" t="s">
        <v>23</v>
      </c>
      <c r="L31" s="4" t="s">
        <v>22</v>
      </c>
      <c r="M31" s="5" t="n">
        <v>4.82820053034088</v>
      </c>
      <c r="N31" s="4" t="s">
        <v>23</v>
      </c>
      <c r="O31" s="4" t="s">
        <v>87</v>
      </c>
      <c r="P31" s="15" t="n">
        <v>18.7268413391558</v>
      </c>
      <c r="Q31" s="4" t="s">
        <v>25</v>
      </c>
      <c r="R31" s="4" t="s">
        <v>26</v>
      </c>
      <c r="S31" s="6" t="s">
        <v>24</v>
      </c>
      <c r="T31" s="4" t="s">
        <v>24</v>
      </c>
      <c r="U31" s="4"/>
      <c r="V31" s="6" t="s">
        <v>24</v>
      </c>
      <c r="W31" s="4" t="s">
        <v>24</v>
      </c>
      <c r="X31" s="4"/>
      <c r="Y31" s="7" t="n">
        <f aca="false">MEDIAN(G31,J31,M31)</f>
        <v>4.82820053034088</v>
      </c>
      <c r="Z31" s="13" t="s">
        <v>94</v>
      </c>
      <c r="AA31" s="9" t="s">
        <v>169</v>
      </c>
      <c r="AB31" s="9"/>
      <c r="AC31" s="9" t="s">
        <v>170</v>
      </c>
    </row>
    <row r="32" customFormat="false" ht="28.35" hidden="false" customHeight="false" outlineLevel="0" collapsed="false">
      <c r="A32" s="0" t="s">
        <v>171</v>
      </c>
      <c r="B32" s="0" t="s">
        <v>172</v>
      </c>
      <c r="C32" s="0" t="s">
        <v>80</v>
      </c>
      <c r="D32" s="4" t="s">
        <v>24</v>
      </c>
      <c r="E32" s="4" t="s">
        <v>24</v>
      </c>
      <c r="G32" s="5" t="n">
        <v>9.62346991130983</v>
      </c>
      <c r="H32" s="4" t="s">
        <v>23</v>
      </c>
      <c r="I32" s="4" t="s">
        <v>22</v>
      </c>
      <c r="J32" s="5" t="n">
        <v>7.12</v>
      </c>
      <c r="K32" s="4" t="s">
        <v>23</v>
      </c>
      <c r="L32" s="4" t="s">
        <v>22</v>
      </c>
      <c r="M32" s="6" t="s">
        <v>24</v>
      </c>
      <c r="N32" s="4" t="s">
        <v>24</v>
      </c>
      <c r="O32" s="4"/>
      <c r="P32" s="11" t="n">
        <v>11.3</v>
      </c>
      <c r="Q32" s="4" t="s">
        <v>74</v>
      </c>
      <c r="R32" s="4" t="s">
        <v>26</v>
      </c>
      <c r="S32" s="11" t="n">
        <v>6.78</v>
      </c>
      <c r="T32" s="4" t="s">
        <v>74</v>
      </c>
      <c r="U32" s="4" t="s">
        <v>173</v>
      </c>
      <c r="V32" s="3" t="n">
        <v>9.10214285714286</v>
      </c>
      <c r="W32" s="4" t="s">
        <v>174</v>
      </c>
      <c r="X32" s="4" t="s">
        <v>175</v>
      </c>
      <c r="Y32" s="7" t="n">
        <f aca="false">MEDIAN(G32,J32,P32,S32,V32)</f>
        <v>9.10214285714286</v>
      </c>
      <c r="Z32" s="10" t="s">
        <v>88</v>
      </c>
      <c r="AA32" s="9" t="s">
        <v>176</v>
      </c>
      <c r="AB32" s="9" t="s">
        <v>142</v>
      </c>
      <c r="AC32" s="9"/>
    </row>
    <row r="33" customFormat="false" ht="28.35" hidden="false" customHeight="false" outlineLevel="0" collapsed="false">
      <c r="A33" s="0" t="s">
        <v>177</v>
      </c>
      <c r="B33" s="0" t="s">
        <v>178</v>
      </c>
      <c r="C33" s="0" t="s">
        <v>80</v>
      </c>
      <c r="D33" s="4" t="s">
        <v>24</v>
      </c>
      <c r="E33" s="4" t="s">
        <v>24</v>
      </c>
      <c r="G33" s="5" t="n">
        <v>12</v>
      </c>
      <c r="H33" s="4" t="s">
        <v>23</v>
      </c>
      <c r="I33" s="4" t="s">
        <v>22</v>
      </c>
      <c r="J33" s="6" t="s">
        <v>24</v>
      </c>
      <c r="K33" s="4" t="s">
        <v>24</v>
      </c>
      <c r="L33" s="4"/>
      <c r="M33" s="5" t="n">
        <v>5.29</v>
      </c>
      <c r="N33" s="4" t="s">
        <v>23</v>
      </c>
      <c r="O33" s="4" t="s">
        <v>87</v>
      </c>
      <c r="P33" s="11" t="n">
        <v>22.74</v>
      </c>
      <c r="Q33" s="4" t="s">
        <v>74</v>
      </c>
      <c r="R33" s="4" t="s">
        <v>26</v>
      </c>
      <c r="S33" s="6" t="s">
        <v>24</v>
      </c>
      <c r="T33" s="4" t="s">
        <v>24</v>
      </c>
      <c r="U33" s="4"/>
      <c r="V33" s="16" t="n">
        <v>6</v>
      </c>
      <c r="W33" s="4" t="s">
        <v>139</v>
      </c>
      <c r="X33" s="4" t="s">
        <v>179</v>
      </c>
      <c r="Y33" s="7" t="n">
        <f aca="false">MEDIAN(G33,M33,P33,V33)</f>
        <v>9</v>
      </c>
      <c r="Z33" s="10" t="s">
        <v>88</v>
      </c>
      <c r="AA33" s="9" t="s">
        <v>176</v>
      </c>
      <c r="AB33" s="9" t="s">
        <v>142</v>
      </c>
      <c r="AC33" s="9"/>
    </row>
    <row r="34" customFormat="false" ht="28.35" hidden="false" customHeight="false" outlineLevel="0" collapsed="false">
      <c r="A34" s="0" t="s">
        <v>180</v>
      </c>
      <c r="B34" s="0" t="s">
        <v>181</v>
      </c>
      <c r="C34" s="0" t="s">
        <v>80</v>
      </c>
      <c r="D34" s="4" t="s">
        <v>24</v>
      </c>
      <c r="E34" s="4" t="s">
        <v>24</v>
      </c>
      <c r="G34" s="5" t="n">
        <v>38.3758544063458</v>
      </c>
      <c r="H34" s="4" t="s">
        <v>23</v>
      </c>
      <c r="I34" s="4" t="s">
        <v>22</v>
      </c>
      <c r="J34" s="5" t="n">
        <v>5.35970428967112</v>
      </c>
      <c r="K34" s="4" t="s">
        <v>23</v>
      </c>
      <c r="L34" s="4" t="s">
        <v>22</v>
      </c>
      <c r="M34" s="5" t="n">
        <v>0</v>
      </c>
      <c r="N34" s="4" t="s">
        <v>23</v>
      </c>
      <c r="O34" s="4" t="s">
        <v>87</v>
      </c>
      <c r="P34" s="5" t="n">
        <v>35.080058224163</v>
      </c>
      <c r="Q34" s="4" t="s">
        <v>25</v>
      </c>
      <c r="R34" s="4" t="s">
        <v>26</v>
      </c>
      <c r="S34" s="6" t="s">
        <v>24</v>
      </c>
      <c r="T34" s="4" t="s">
        <v>24</v>
      </c>
      <c r="U34" s="4"/>
      <c r="V34" s="6" t="s">
        <v>24</v>
      </c>
      <c r="W34" s="4" t="s">
        <v>24</v>
      </c>
      <c r="X34" s="4"/>
      <c r="Y34" s="7" t="n">
        <f aca="false">MEDIAN(G34,J34,M34,P34)</f>
        <v>20.2198812569171</v>
      </c>
      <c r="Z34" s="10" t="s">
        <v>88</v>
      </c>
      <c r="AA34" s="9" t="s">
        <v>182</v>
      </c>
      <c r="AB34" s="9" t="s">
        <v>142</v>
      </c>
      <c r="AC34" s="9"/>
    </row>
    <row r="35" customFormat="false" ht="28.35" hidden="false" customHeight="false" outlineLevel="0" collapsed="false">
      <c r="A35" s="0" t="s">
        <v>183</v>
      </c>
      <c r="B35" s="0" t="s">
        <v>184</v>
      </c>
      <c r="C35" s="0" t="s">
        <v>80</v>
      </c>
      <c r="D35" s="5" t="n">
        <f aca="false">Nebius_Inputs!$C$34*4/AVERAGE(Nebius_Inputs!$C$36,Nebius_Inputs!$C$37)*100</f>
        <v>5.60599196286207</v>
      </c>
      <c r="E35" s="4" t="s">
        <v>25</v>
      </c>
      <c r="F35" s="4" t="s">
        <v>22</v>
      </c>
      <c r="G35" s="5" t="n">
        <v>7.80230642504119</v>
      </c>
      <c r="H35" s="4" t="s">
        <v>23</v>
      </c>
      <c r="I35" s="4" t="s">
        <v>22</v>
      </c>
      <c r="J35" s="5" t="n">
        <v>1.70921362271062</v>
      </c>
      <c r="K35" s="4" t="s">
        <v>23</v>
      </c>
      <c r="L35" s="4" t="s">
        <v>22</v>
      </c>
      <c r="M35" s="5" t="n">
        <v>4.35516721812937</v>
      </c>
      <c r="N35" s="4" t="s">
        <v>23</v>
      </c>
      <c r="O35" s="4" t="s">
        <v>87</v>
      </c>
      <c r="P35" s="5" t="n">
        <v>22.1914008321775</v>
      </c>
      <c r="Q35" s="4" t="s">
        <v>25</v>
      </c>
      <c r="R35" s="4" t="s">
        <v>26</v>
      </c>
      <c r="S35" s="6" t="s">
        <v>24</v>
      </c>
      <c r="T35" s="4" t="s">
        <v>24</v>
      </c>
      <c r="U35" s="4"/>
      <c r="V35" s="6" t="s">
        <v>24</v>
      </c>
      <c r="W35" s="4" t="s">
        <v>24</v>
      </c>
      <c r="X35" s="4"/>
      <c r="Y35" s="7" t="n">
        <f aca="false">MEDIAN(G35,J35,M35,P35)</f>
        <v>6.07873682158528</v>
      </c>
      <c r="Z35" s="13" t="s">
        <v>94</v>
      </c>
      <c r="AA35" s="9" t="s">
        <v>185</v>
      </c>
      <c r="AB35" s="9" t="s">
        <v>186</v>
      </c>
      <c r="AC35" s="9" t="s">
        <v>187</v>
      </c>
    </row>
    <row r="36" customFormat="false" ht="28.35" hidden="false" customHeight="false" outlineLevel="0" collapsed="false">
      <c r="A36" s="0" t="s">
        <v>188</v>
      </c>
      <c r="B36" s="0" t="s">
        <v>189</v>
      </c>
      <c r="C36" s="0" t="s">
        <v>80</v>
      </c>
      <c r="D36" s="4" t="s">
        <v>24</v>
      </c>
      <c r="E36" s="4" t="s">
        <v>24</v>
      </c>
      <c r="G36" s="11" t="n">
        <v>8.3</v>
      </c>
      <c r="H36" s="4" t="s">
        <v>115</v>
      </c>
      <c r="I36" s="4" t="s">
        <v>22</v>
      </c>
      <c r="J36" s="6" t="s">
        <v>24</v>
      </c>
      <c r="K36" s="4" t="s">
        <v>24</v>
      </c>
      <c r="L36" s="4"/>
      <c r="M36" s="6" t="s">
        <v>24</v>
      </c>
      <c r="N36" s="4" t="s">
        <v>24</v>
      </c>
      <c r="O36" s="4"/>
      <c r="P36" s="6" t="s">
        <v>24</v>
      </c>
      <c r="Q36" s="4" t="s">
        <v>24</v>
      </c>
      <c r="R36" s="4"/>
      <c r="S36" s="6" t="s">
        <v>24</v>
      </c>
      <c r="T36" s="4" t="s">
        <v>24</v>
      </c>
      <c r="U36" s="4"/>
      <c r="V36" s="6" t="s">
        <v>24</v>
      </c>
      <c r="W36" s="4" t="s">
        <v>24</v>
      </c>
      <c r="X36" s="4"/>
      <c r="Y36" s="7" t="n">
        <f aca="false">MEDIAN(G36)</f>
        <v>8.3</v>
      </c>
      <c r="Z36" s="10" t="s">
        <v>88</v>
      </c>
      <c r="AA36" s="9" t="s">
        <v>190</v>
      </c>
      <c r="AB36" s="9" t="s">
        <v>142</v>
      </c>
      <c r="AC36" s="9"/>
    </row>
    <row r="37" customFormat="false" ht="28.35" hidden="false" customHeight="false" outlineLevel="0" collapsed="false">
      <c r="A37" s="0" t="s">
        <v>191</v>
      </c>
      <c r="B37" s="0" t="s">
        <v>192</v>
      </c>
      <c r="C37" s="0" t="s">
        <v>134</v>
      </c>
      <c r="D37" s="11" t="n">
        <f aca="false">Nebius_Inputs!$C$37/1000</f>
        <v>8.5457</v>
      </c>
      <c r="E37" s="4" t="s">
        <v>74</v>
      </c>
      <c r="F37" s="4" t="s">
        <v>22</v>
      </c>
      <c r="G37" s="11" t="n">
        <v>35.551</v>
      </c>
      <c r="H37" s="4" t="s">
        <v>115</v>
      </c>
      <c r="I37" s="4" t="s">
        <v>22</v>
      </c>
      <c r="J37" s="11" t="n">
        <v>7.705649</v>
      </c>
      <c r="K37" s="4" t="s">
        <v>115</v>
      </c>
      <c r="L37" s="4" t="s">
        <v>22</v>
      </c>
      <c r="M37" s="11" t="n">
        <v>129.541</v>
      </c>
      <c r="N37" s="4" t="s">
        <v>115</v>
      </c>
      <c r="O37" s="4" t="s">
        <v>87</v>
      </c>
      <c r="P37" s="5" t="n">
        <v>0.1374</v>
      </c>
      <c r="Q37" s="4" t="s">
        <v>25</v>
      </c>
      <c r="R37" s="4" t="s">
        <v>26</v>
      </c>
      <c r="S37" s="6" t="s">
        <v>24</v>
      </c>
      <c r="T37" s="4" t="s">
        <v>24</v>
      </c>
      <c r="U37" s="4"/>
      <c r="V37" s="6" t="s">
        <v>24</v>
      </c>
      <c r="W37" s="4" t="s">
        <v>24</v>
      </c>
      <c r="X37" s="4"/>
      <c r="Y37" s="7" t="n">
        <f aca="false">MEDIAN(G37,J37,M37,P37)</f>
        <v>21.6283245</v>
      </c>
      <c r="Z37" s="10" t="s">
        <v>54</v>
      </c>
      <c r="AA37" s="9" t="s">
        <v>193</v>
      </c>
      <c r="AB37" s="9" t="s">
        <v>194</v>
      </c>
      <c r="AC37" s="9"/>
    </row>
    <row r="38" customFormat="false" ht="28.35" hidden="false" customHeight="false" outlineLevel="0" collapsed="false">
      <c r="A38" s="0" t="s">
        <v>195</v>
      </c>
      <c r="B38" s="0" t="s">
        <v>196</v>
      </c>
      <c r="C38" s="0" t="s">
        <v>53</v>
      </c>
      <c r="D38" s="5" t="n">
        <f aca="false">Nebius_Inputs!$C$37/Nebius_Inputs!$C$26</f>
        <v>0.227942470912709</v>
      </c>
      <c r="E38" s="4" t="s">
        <v>25</v>
      </c>
      <c r="F38" s="4" t="s">
        <v>22</v>
      </c>
      <c r="G38" s="5" t="n">
        <v>0.342825458052073</v>
      </c>
      <c r="H38" s="4" t="s">
        <v>23</v>
      </c>
      <c r="I38" s="4" t="s">
        <v>22</v>
      </c>
      <c r="J38" s="5" t="n">
        <v>1.51091156862745</v>
      </c>
      <c r="K38" s="4" t="s">
        <v>23</v>
      </c>
      <c r="L38" s="4" t="s">
        <v>22</v>
      </c>
      <c r="M38" s="5" t="n">
        <v>0.203042319749216</v>
      </c>
      <c r="N38" s="4" t="s">
        <v>23</v>
      </c>
      <c r="O38" s="4" t="s">
        <v>87</v>
      </c>
      <c r="P38" s="5" t="n">
        <v>0.00243617021276596</v>
      </c>
      <c r="Q38" s="4" t="s">
        <v>25</v>
      </c>
      <c r="R38" s="4" t="s">
        <v>26</v>
      </c>
      <c r="S38" s="6" t="s">
        <v>24</v>
      </c>
      <c r="T38" s="4" t="s">
        <v>24</v>
      </c>
      <c r="U38" s="4"/>
      <c r="V38" s="6" t="s">
        <v>24</v>
      </c>
      <c r="W38" s="4" t="s">
        <v>24</v>
      </c>
      <c r="X38" s="4"/>
      <c r="Y38" s="7" t="n">
        <f aca="false">MEDIAN(G38,J38,M38,P38)</f>
        <v>0.272933888900645</v>
      </c>
      <c r="Z38" s="13" t="s">
        <v>94</v>
      </c>
      <c r="AA38" s="9" t="s">
        <v>197</v>
      </c>
      <c r="AB38" s="9"/>
      <c r="AC38" s="9"/>
    </row>
    <row r="39" customFormat="false" ht="28.35" hidden="false" customHeight="false" outlineLevel="0" collapsed="false">
      <c r="A39" s="0" t="s">
        <v>198</v>
      </c>
      <c r="B39" s="0" t="s">
        <v>199</v>
      </c>
      <c r="C39" s="0" t="s">
        <v>80</v>
      </c>
      <c r="D39" s="5" t="n">
        <f aca="false">Nebius_Inputs!$C$35/(Nebius_Inputs!$C$34+Nebius_Inputs!$C$35)*100</f>
        <v>25.2354048964218</v>
      </c>
      <c r="E39" s="4" t="s">
        <v>25</v>
      </c>
      <c r="F39" s="4" t="s">
        <v>22</v>
      </c>
      <c r="G39" s="11" t="n">
        <v>13.3445945945946</v>
      </c>
      <c r="H39" s="4" t="s">
        <v>115</v>
      </c>
      <c r="I39" s="4" t="s">
        <v>22</v>
      </c>
      <c r="J39" s="6" t="s">
        <v>24</v>
      </c>
      <c r="K39" s="4" t="s">
        <v>24</v>
      </c>
      <c r="L39" s="4"/>
      <c r="M39" s="6" t="s">
        <v>24</v>
      </c>
      <c r="N39" s="4" t="s">
        <v>24</v>
      </c>
      <c r="O39" s="4"/>
      <c r="P39" s="5" t="n">
        <v>0</v>
      </c>
      <c r="Q39" s="4" t="s">
        <v>25</v>
      </c>
      <c r="R39" s="4" t="s">
        <v>26</v>
      </c>
      <c r="S39" s="6" t="s">
        <v>24</v>
      </c>
      <c r="T39" s="4" t="s">
        <v>24</v>
      </c>
      <c r="U39" s="4"/>
      <c r="V39" s="6" t="s">
        <v>24</v>
      </c>
      <c r="W39" s="4" t="s">
        <v>24</v>
      </c>
      <c r="X39" s="4"/>
      <c r="Y39" s="7" t="n">
        <f aca="false">MEDIAN(G39,P39)</f>
        <v>6.6722972972973</v>
      </c>
      <c r="Z39" s="14" t="s">
        <v>99</v>
      </c>
      <c r="AA39" s="9" t="s">
        <v>200</v>
      </c>
      <c r="AB39" s="9"/>
      <c r="AC39" s="9"/>
    </row>
    <row r="40" customFormat="false" ht="28.35" hidden="false" customHeight="false" outlineLevel="0" collapsed="false">
      <c r="A40" s="0" t="s">
        <v>201</v>
      </c>
      <c r="B40" s="0" t="s">
        <v>202</v>
      </c>
      <c r="C40" s="0" t="s">
        <v>80</v>
      </c>
      <c r="D40" s="4" t="s">
        <v>24</v>
      </c>
      <c r="E40" s="4" t="s">
        <v>24</v>
      </c>
      <c r="G40" s="6" t="s">
        <v>24</v>
      </c>
      <c r="H40" s="4" t="s">
        <v>24</v>
      </c>
      <c r="I40" s="4"/>
      <c r="J40" s="6" t="s">
        <v>24</v>
      </c>
      <c r="K40" s="4" t="s">
        <v>24</v>
      </c>
      <c r="L40" s="4"/>
      <c r="M40" s="11" t="n">
        <v>97.5</v>
      </c>
      <c r="N40" s="4" t="s">
        <v>115</v>
      </c>
      <c r="O40" s="4" t="s">
        <v>87</v>
      </c>
      <c r="P40" s="6" t="s">
        <v>24</v>
      </c>
      <c r="Q40" s="4" t="s">
        <v>24</v>
      </c>
      <c r="R40" s="4"/>
      <c r="S40" s="6" t="s">
        <v>24</v>
      </c>
      <c r="T40" s="4" t="s">
        <v>24</v>
      </c>
      <c r="U40" s="4"/>
      <c r="V40" s="6" t="s">
        <v>24</v>
      </c>
      <c r="W40" s="4" t="s">
        <v>24</v>
      </c>
      <c r="X40" s="4"/>
      <c r="Y40" s="7" t="n">
        <f aca="false">MEDIAN(M40)</f>
        <v>97.5</v>
      </c>
      <c r="Z40" s="10" t="s">
        <v>88</v>
      </c>
      <c r="AA40" s="9" t="s">
        <v>203</v>
      </c>
      <c r="AB40" s="9" t="s">
        <v>142</v>
      </c>
      <c r="AC40" s="9"/>
    </row>
    <row r="41" customFormat="false" ht="28.35" hidden="false" customHeight="false" outlineLevel="0" collapsed="false">
      <c r="A41" s="0" t="s">
        <v>204</v>
      </c>
      <c r="B41" s="0" t="s">
        <v>205</v>
      </c>
      <c r="C41" s="0" t="s">
        <v>80</v>
      </c>
      <c r="D41" s="4" t="s">
        <v>24</v>
      </c>
      <c r="E41" s="4" t="s">
        <v>24</v>
      </c>
      <c r="G41" s="6" t="s">
        <v>24</v>
      </c>
      <c r="H41" s="4" t="s">
        <v>24</v>
      </c>
      <c r="I41" s="4"/>
      <c r="J41" s="5" t="n">
        <v>17.6</v>
      </c>
      <c r="K41" s="4" t="s">
        <v>23</v>
      </c>
      <c r="L41" s="4" t="s">
        <v>22</v>
      </c>
      <c r="M41" s="11" t="n">
        <v>12</v>
      </c>
      <c r="N41" s="4" t="s">
        <v>115</v>
      </c>
      <c r="O41" s="4" t="s">
        <v>87</v>
      </c>
      <c r="P41" s="6" t="s">
        <v>24</v>
      </c>
      <c r="Q41" s="4" t="s">
        <v>24</v>
      </c>
      <c r="R41" s="4"/>
      <c r="S41" s="6" t="s">
        <v>24</v>
      </c>
      <c r="T41" s="4" t="s">
        <v>24</v>
      </c>
      <c r="U41" s="4"/>
      <c r="V41" s="6" t="s">
        <v>24</v>
      </c>
      <c r="W41" s="4" t="s">
        <v>24</v>
      </c>
      <c r="X41" s="4"/>
      <c r="Y41" s="7" t="n">
        <f aca="false">MEDIAN(J41,M41)</f>
        <v>14.8</v>
      </c>
      <c r="Z41" s="10" t="s">
        <v>88</v>
      </c>
      <c r="AA41" s="9" t="s">
        <v>206</v>
      </c>
      <c r="AB41" s="9" t="s">
        <v>142</v>
      </c>
      <c r="AC41" s="9"/>
    </row>
    <row r="42" customFormat="false" ht="28.35" hidden="false" customHeight="false" outlineLevel="0" collapsed="false">
      <c r="A42" s="0" t="s">
        <v>207</v>
      </c>
      <c r="B42" s="0" t="s">
        <v>208</v>
      </c>
      <c r="C42" s="0" t="s">
        <v>20</v>
      </c>
      <c r="D42" s="3" t="n">
        <f aca="false">(Nebius_Inputs!$C$4-Nebius_Inputs!$C$5)*4/(Nebius_Inputs!$C$20-Nebius_Inputs!$C$18)</f>
        <v>13.4601398601399</v>
      </c>
      <c r="E42" s="4" t="s">
        <v>21</v>
      </c>
      <c r="F42" s="4" t="s">
        <v>22</v>
      </c>
      <c r="G42" s="5" t="n">
        <v>5.29014368932039</v>
      </c>
      <c r="H42" s="4" t="s">
        <v>25</v>
      </c>
      <c r="I42" s="4" t="s">
        <v>22</v>
      </c>
      <c r="J42" s="3" t="n">
        <v>6.80880180315552</v>
      </c>
      <c r="K42" s="4" t="s">
        <v>37</v>
      </c>
      <c r="L42" s="4" t="s">
        <v>22</v>
      </c>
      <c r="M42" s="3" t="n">
        <v>9.30666666666667</v>
      </c>
      <c r="N42" s="4" t="s">
        <v>37</v>
      </c>
      <c r="O42" s="4" t="s">
        <v>87</v>
      </c>
      <c r="P42" s="6" t="s">
        <v>24</v>
      </c>
      <c r="Q42" s="4" t="s">
        <v>24</v>
      </c>
      <c r="R42" s="4"/>
      <c r="S42" s="6" t="s">
        <v>24</v>
      </c>
      <c r="T42" s="4" t="s">
        <v>24</v>
      </c>
      <c r="U42" s="4"/>
      <c r="V42" s="6" t="s">
        <v>24</v>
      </c>
      <c r="W42" s="4" t="s">
        <v>24</v>
      </c>
      <c r="X42" s="4"/>
      <c r="Y42" s="7" t="n">
        <f aca="false">MEDIAN(G42,J42,M42)</f>
        <v>6.80880180315552</v>
      </c>
      <c r="Z42" s="8" t="s">
        <v>31</v>
      </c>
      <c r="AA42" s="9" t="s">
        <v>209</v>
      </c>
      <c r="AB42" s="9"/>
      <c r="AC42" s="9" t="s">
        <v>210</v>
      </c>
    </row>
    <row r="43" customFormat="false" ht="28.35" hidden="false" customHeight="false" outlineLevel="0" collapsed="false">
      <c r="A43" s="0" t="s">
        <v>211</v>
      </c>
      <c r="B43" s="0" t="s">
        <v>212</v>
      </c>
      <c r="C43" s="0" t="s">
        <v>53</v>
      </c>
      <c r="D43" s="5" t="n">
        <f aca="false">Nebius_Inputs!$C$4*4/AVERAGE(Nebius_Inputs!$C$16,Nebius_Inputs!$C$17)</f>
        <v>0.465016581735825</v>
      </c>
      <c r="E43" s="4" t="s">
        <v>25</v>
      </c>
      <c r="F43" s="4" t="s">
        <v>22</v>
      </c>
      <c r="G43" s="5" t="n">
        <v>0.340777502067825</v>
      </c>
      <c r="H43" s="4" t="s">
        <v>25</v>
      </c>
      <c r="I43" s="4" t="s">
        <v>22</v>
      </c>
      <c r="J43" s="5" t="n">
        <v>0.198201040615192</v>
      </c>
      <c r="K43" s="4" t="s">
        <v>23</v>
      </c>
      <c r="L43" s="4" t="s">
        <v>22</v>
      </c>
      <c r="M43" s="6" t="s">
        <v>24</v>
      </c>
      <c r="N43" s="4" t="s">
        <v>24</v>
      </c>
      <c r="O43" s="4"/>
      <c r="P43" s="6" t="s">
        <v>24</v>
      </c>
      <c r="Q43" s="4" t="s">
        <v>24</v>
      </c>
      <c r="R43" s="4"/>
      <c r="S43" s="6" t="s">
        <v>24</v>
      </c>
      <c r="T43" s="4" t="s">
        <v>24</v>
      </c>
      <c r="U43" s="4"/>
      <c r="V43" s="6" t="s">
        <v>24</v>
      </c>
      <c r="W43" s="4" t="s">
        <v>24</v>
      </c>
      <c r="X43" s="4"/>
      <c r="Y43" s="7" t="n">
        <f aca="false">MEDIAN(G43,J43)</f>
        <v>0.269489271341508</v>
      </c>
      <c r="Z43" s="8" t="s">
        <v>31</v>
      </c>
      <c r="AA43" s="9" t="s">
        <v>213</v>
      </c>
      <c r="AB43" s="9" t="s">
        <v>214</v>
      </c>
      <c r="AC43" s="9" t="s">
        <v>215</v>
      </c>
    </row>
    <row r="44" customFormat="false" ht="28.35" hidden="false" customHeight="false" outlineLevel="0" collapsed="false">
      <c r="A44" s="0" t="s">
        <v>216</v>
      </c>
      <c r="B44" s="0" t="s">
        <v>217</v>
      </c>
      <c r="C44" s="0" t="s">
        <v>80</v>
      </c>
      <c r="D44" s="4" t="s">
        <v>24</v>
      </c>
      <c r="E44" s="4" t="s">
        <v>24</v>
      </c>
      <c r="G44" s="6" t="s">
        <v>24</v>
      </c>
      <c r="H44" s="4" t="s">
        <v>24</v>
      </c>
      <c r="I44" s="4"/>
      <c r="J44" s="5" t="n">
        <v>86.9361128837836</v>
      </c>
      <c r="K44" s="4" t="s">
        <v>23</v>
      </c>
      <c r="L44" s="4" t="s">
        <v>22</v>
      </c>
      <c r="M44" s="6" t="s">
        <v>24</v>
      </c>
      <c r="N44" s="4" t="s">
        <v>24</v>
      </c>
      <c r="O44" s="4"/>
      <c r="P44" s="6" t="s">
        <v>24</v>
      </c>
      <c r="Q44" s="4" t="s">
        <v>24</v>
      </c>
      <c r="R44" s="4"/>
      <c r="S44" s="6" t="s">
        <v>24</v>
      </c>
      <c r="T44" s="4" t="s">
        <v>24</v>
      </c>
      <c r="U44" s="4"/>
      <c r="V44" s="6" t="s">
        <v>24</v>
      </c>
      <c r="W44" s="4" t="s">
        <v>24</v>
      </c>
      <c r="X44" s="4"/>
      <c r="Y44" s="7" t="n">
        <f aca="false">MEDIAN(J44)</f>
        <v>86.9361128837836</v>
      </c>
      <c r="Z44" s="10" t="s">
        <v>88</v>
      </c>
      <c r="AA44" s="9" t="s">
        <v>218</v>
      </c>
      <c r="AB44" s="9" t="s">
        <v>142</v>
      </c>
      <c r="AC44" s="9"/>
    </row>
    <row r="46" customFormat="false" ht="30" hidden="false" customHeight="true" outlineLevel="0" collapsed="false">
      <c r="A46" s="1" t="s">
        <v>219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30" hidden="false" customHeight="true" outlineLevel="0" collapsed="false">
      <c r="A47" s="1" t="s">
        <v>220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30" hidden="false" customHeight="true" outlineLevel="0" collapsed="false">
      <c r="A48" s="1" t="s">
        <v>221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30" hidden="false" customHeight="true" outlineLevel="0" collapsed="false">
      <c r="A49" s="1" t="s">
        <v>222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30" hidden="false" customHeight="true" outlineLevel="0" collapsed="false">
      <c r="A50" s="1" t="s">
        <v>223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30" hidden="false" customHeight="true" outlineLevel="0" collapsed="false">
      <c r="A51" s="1" t="s">
        <v>224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30" hidden="false" customHeight="true" outlineLevel="0" collapsed="false">
      <c r="A52" s="1" t="s">
        <v>225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30" hidden="false" customHeight="true" outlineLevel="0" collapsed="false">
      <c r="A53" s="1" t="s">
        <v>226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30" hidden="false" customHeight="true" outlineLevel="0" collapsed="false">
      <c r="A54" s="1" t="s">
        <v>227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10">
    <mergeCell ref="A1:AC1"/>
    <mergeCell ref="A46:AC46"/>
    <mergeCell ref="A47:AC47"/>
    <mergeCell ref="A48:AC48"/>
    <mergeCell ref="A49:AC49"/>
    <mergeCell ref="A50:AC50"/>
    <mergeCell ref="A51:AC51"/>
    <mergeCell ref="A52:AC52"/>
    <mergeCell ref="A53:AC53"/>
    <mergeCell ref="A54:A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41.75" hidden="false" customHeight="false" outlineLevel="0" collapsed="false">
      <c r="A1" s="18" t="s">
        <v>228</v>
      </c>
    </row>
    <row r="2" customFormat="false" ht="28.35" hidden="false" customHeight="false" outlineLevel="0" collapsed="false">
      <c r="A2" s="9" t="s">
        <v>229</v>
      </c>
    </row>
    <row r="3" customFormat="false" ht="28.35" hidden="false" customHeight="false" outlineLevel="0" collapsed="false">
      <c r="A3" s="9" t="s">
        <v>230</v>
      </c>
    </row>
    <row r="4" customFormat="false" ht="41.75" hidden="false" customHeight="false" outlineLevel="0" collapsed="false">
      <c r="A4" s="9" t="s">
        <v>231</v>
      </c>
    </row>
    <row r="5" customFormat="false" ht="41.75" hidden="false" customHeight="false" outlineLevel="0" collapsed="false">
      <c r="A5" s="9" t="s">
        <v>232</v>
      </c>
    </row>
    <row r="6" customFormat="false" ht="15" hidden="false" customHeight="false" outlineLevel="0" collapsed="false">
      <c r="A6" s="9" t="s">
        <v>233</v>
      </c>
    </row>
    <row r="7" customFormat="false" ht="15" hidden="false" customHeight="false" outlineLevel="0" collapsed="false">
      <c r="A7" s="9" t="s">
        <v>234</v>
      </c>
    </row>
    <row r="8" customFormat="false" ht="41.75" hidden="false" customHeight="false" outlineLevel="0" collapsed="false">
      <c r="A8" s="9" t="s">
        <v>235</v>
      </c>
    </row>
    <row r="9" customFormat="false" ht="15" hidden="false" customHeight="false" outlineLevel="0" collapsed="false">
      <c r="A9" s="9"/>
    </row>
    <row r="10" customFormat="false" ht="41.75" hidden="false" customHeight="false" outlineLevel="0" collapsed="false">
      <c r="A10" s="9" t="s">
        <v>236</v>
      </c>
    </row>
    <row r="11" customFormat="false" ht="55.2" hidden="false" customHeight="false" outlineLevel="0" collapsed="false">
      <c r="A11" s="18" t="s">
        <v>237</v>
      </c>
    </row>
    <row r="12" customFormat="false" ht="68.65" hidden="false" customHeight="false" outlineLevel="0" collapsed="false">
      <c r="A12" s="18" t="s">
        <v>238</v>
      </c>
    </row>
    <row r="13" customFormat="false" ht="28.35" hidden="false" customHeight="false" outlineLevel="0" collapsed="false">
      <c r="A13" s="9" t="s">
        <v>239</v>
      </c>
    </row>
    <row r="14" customFormat="false" ht="15" hidden="false" customHeight="false" outlineLevel="0" collapsed="false">
      <c r="A14" s="9" t="s">
        <v>240</v>
      </c>
    </row>
    <row r="15" customFormat="false" ht="55.2" hidden="false" customHeight="false" outlineLevel="0" collapsed="false">
      <c r="A15" s="18" t="s">
        <v>241</v>
      </c>
    </row>
    <row r="16" customFormat="false" ht="41.75" hidden="false" customHeight="false" outlineLevel="0" collapsed="false">
      <c r="A16" s="9" t="s">
        <v>242</v>
      </c>
    </row>
    <row r="17" customFormat="false" ht="28.35" hidden="false" customHeight="false" outlineLevel="0" collapsed="false">
      <c r="A17" s="9" t="s">
        <v>243</v>
      </c>
    </row>
    <row r="18" customFormat="false" ht="41.75" hidden="false" customHeight="false" outlineLevel="0" collapsed="false">
      <c r="A18" s="18" t="s">
        <v>244</v>
      </c>
    </row>
    <row r="19" customFormat="false" ht="41.75" hidden="false" customHeight="false" outlineLevel="0" collapsed="false">
      <c r="A19" s="9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48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0"/>
  </cols>
  <sheetData>
    <row r="1" customFormat="false" ht="15" hidden="false" customHeight="false" outlineLevel="0" collapsed="false">
      <c r="A1" s="19" t="s">
        <v>246</v>
      </c>
    </row>
    <row r="3" customFormat="false" ht="15" hidden="false" customHeight="false" outlineLevel="0" collapsed="false">
      <c r="A3" s="20" t="s">
        <v>247</v>
      </c>
      <c r="B3" s="20" t="s">
        <v>1</v>
      </c>
      <c r="C3" s="20" t="s">
        <v>2</v>
      </c>
      <c r="D3" s="20" t="s">
        <v>248</v>
      </c>
      <c r="E3" s="20" t="s">
        <v>4</v>
      </c>
      <c r="F3" s="20" t="s">
        <v>249</v>
      </c>
      <c r="G3" s="20" t="s">
        <v>250</v>
      </c>
      <c r="H3" s="20" t="s">
        <v>251</v>
      </c>
    </row>
    <row r="4" customFormat="false" ht="28.35" hidden="false" customHeight="false" outlineLevel="0" collapsed="false">
      <c r="A4" s="0" t="n">
        <v>1</v>
      </c>
      <c r="B4" s="0" t="s">
        <v>56</v>
      </c>
      <c r="C4" s="0" t="s">
        <v>57</v>
      </c>
      <c r="D4" s="21" t="str">
        <f aca="false">Comparison!Z9</f>
        <v>Better</v>
      </c>
      <c r="E4" s="22" t="n">
        <f aca="false">Comparison!D9</f>
        <v>6.10307076101469</v>
      </c>
      <c r="F4" s="22" t="n">
        <f aca="false">Comparison!Y9</f>
        <v>-0.0432592592592598</v>
      </c>
      <c r="G4" s="22" t="n">
        <v>126.1</v>
      </c>
      <c r="H4" s="9" t="s">
        <v>58</v>
      </c>
    </row>
    <row r="5" customFormat="false" ht="15" hidden="false" customHeight="false" outlineLevel="0" collapsed="false">
      <c r="A5" s="0" t="n">
        <v>2</v>
      </c>
      <c r="B5" s="0" t="s">
        <v>207</v>
      </c>
      <c r="C5" s="0" t="s">
        <v>208</v>
      </c>
      <c r="D5" s="21" t="str">
        <f aca="false">Comparison!Z42</f>
        <v>Better</v>
      </c>
      <c r="E5" s="22" t="n">
        <f aca="false">Comparison!D42</f>
        <v>13.4601398601399</v>
      </c>
      <c r="F5" s="22" t="n">
        <f aca="false">Comparison!Y42</f>
        <v>6.80880180315552</v>
      </c>
      <c r="G5" s="22" t="n">
        <v>93.2</v>
      </c>
      <c r="H5" s="9" t="s">
        <v>209</v>
      </c>
    </row>
    <row r="6" customFormat="false" ht="28.35" hidden="false" customHeight="false" outlineLevel="0" collapsed="false">
      <c r="A6" s="0" t="n">
        <v>3</v>
      </c>
      <c r="B6" s="0" t="s">
        <v>66</v>
      </c>
      <c r="C6" s="0" t="s">
        <v>67</v>
      </c>
      <c r="D6" s="21" t="str">
        <f aca="false">Comparison!Z11</f>
        <v>Better</v>
      </c>
      <c r="E6" s="22" t="n">
        <f aca="false">Comparison!D11</f>
        <v>3.03480136425328</v>
      </c>
      <c r="F6" s="22" t="n">
        <f aca="false">Comparison!Y11</f>
        <v>1.66214035168557</v>
      </c>
      <c r="G6" s="22" t="n">
        <v>81.9</v>
      </c>
      <c r="H6" s="9" t="s">
        <v>69</v>
      </c>
    </row>
    <row r="7" customFormat="false" ht="15" hidden="false" customHeight="false" outlineLevel="0" collapsed="false">
      <c r="A7" s="0" t="n">
        <v>4</v>
      </c>
      <c r="B7" s="0" t="s">
        <v>60</v>
      </c>
      <c r="C7" s="0" t="s">
        <v>61</v>
      </c>
      <c r="D7" s="21" t="str">
        <f aca="false">Comparison!Z10</f>
        <v>Better</v>
      </c>
      <c r="E7" s="22" t="n">
        <f aca="false">Comparison!D10</f>
        <v>26.5120247181166</v>
      </c>
      <c r="F7" s="22" t="n">
        <f aca="false">Comparison!Y10</f>
        <v>14.6003168079773</v>
      </c>
      <c r="G7" s="22" t="n">
        <v>81.2</v>
      </c>
      <c r="H7" s="9" t="s">
        <v>63</v>
      </c>
    </row>
    <row r="8" customFormat="false" ht="28.35" hidden="false" customHeight="false" outlineLevel="0" collapsed="false">
      <c r="A8" s="0" t="n">
        <v>5</v>
      </c>
      <c r="B8" s="0" t="s">
        <v>18</v>
      </c>
      <c r="C8" s="0" t="s">
        <v>19</v>
      </c>
      <c r="D8" s="21" t="str">
        <f aca="false">Comparison!Z4</f>
        <v>Better</v>
      </c>
      <c r="E8" s="22" t="n">
        <f aca="false">Comparison!D4</f>
        <v>11.9150259067358</v>
      </c>
      <c r="F8" s="22" t="n">
        <f aca="false">Comparison!Y4</f>
        <v>6.86666666666667</v>
      </c>
      <c r="G8" s="22" t="n">
        <v>73.5</v>
      </c>
      <c r="H8" s="9" t="s">
        <v>32</v>
      </c>
    </row>
    <row r="9" customFormat="false" ht="15" hidden="false" customHeight="false" outlineLevel="0" collapsed="false">
      <c r="A9" s="0" t="n">
        <v>6</v>
      </c>
      <c r="B9" s="0" t="s">
        <v>211</v>
      </c>
      <c r="C9" s="0" t="s">
        <v>212</v>
      </c>
      <c r="D9" s="21" t="str">
        <f aca="false">Comparison!Z43</f>
        <v>Better</v>
      </c>
      <c r="E9" s="22" t="n">
        <f aca="false">Comparison!D43</f>
        <v>0.465016581735825</v>
      </c>
      <c r="F9" s="22" t="n">
        <f aca="false">Comparison!Y43</f>
        <v>0.269489271341508</v>
      </c>
      <c r="G9" s="22" t="n">
        <v>72.6</v>
      </c>
      <c r="H9" s="9" t="s">
        <v>213</v>
      </c>
    </row>
    <row r="10" customFormat="false" ht="41.75" hidden="false" customHeight="false" outlineLevel="0" collapsed="false">
      <c r="A10" s="0" t="n">
        <v>7</v>
      </c>
      <c r="B10" s="0" t="s">
        <v>41</v>
      </c>
      <c r="C10" s="0" t="s">
        <v>42</v>
      </c>
      <c r="D10" s="21" t="str">
        <f aca="false">Comparison!Z6</f>
        <v>Better</v>
      </c>
      <c r="E10" s="22" t="n">
        <f aca="false">Comparison!D6</f>
        <v>13.0554479947595</v>
      </c>
      <c r="F10" s="22" t="n">
        <f aca="false">Comparison!Y6</f>
        <v>8.24</v>
      </c>
      <c r="G10" s="22" t="n">
        <v>58.4</v>
      </c>
      <c r="H10" s="9" t="s">
        <v>43</v>
      </c>
    </row>
    <row r="11" customFormat="false" ht="15" hidden="false" customHeight="false" outlineLevel="0" collapsed="false">
      <c r="A11" s="0" t="n">
        <v>8</v>
      </c>
      <c r="B11" s="0" t="s">
        <v>152</v>
      </c>
      <c r="C11" s="0" t="s">
        <v>153</v>
      </c>
      <c r="D11" s="21" t="str">
        <f aca="false">Comparison!Z27</f>
        <v>Better</v>
      </c>
      <c r="E11" s="22" t="n">
        <f aca="false">Comparison!D27</f>
        <v>24</v>
      </c>
      <c r="F11" s="22" t="n">
        <f aca="false">Comparison!Y27</f>
        <v>44</v>
      </c>
      <c r="G11" s="22" t="n">
        <v>45.5</v>
      </c>
      <c r="H11" s="9" t="s">
        <v>154</v>
      </c>
    </row>
    <row r="12" customFormat="false" ht="28.35" hidden="false" customHeight="false" outlineLevel="0" collapsed="false">
      <c r="A12" s="0" t="n">
        <v>9</v>
      </c>
      <c r="B12" s="0" t="s">
        <v>35</v>
      </c>
      <c r="C12" s="0" t="s">
        <v>36</v>
      </c>
      <c r="D12" s="21" t="str">
        <f aca="false">Comparison!Z5</f>
        <v>Better</v>
      </c>
      <c r="E12" s="22" t="n">
        <f aca="false">Comparison!D5</f>
        <v>12.2809078771696</v>
      </c>
      <c r="F12" s="22" t="n">
        <f aca="false">Comparison!Y5</f>
        <v>9.358411</v>
      </c>
      <c r="G12" s="22" t="n">
        <v>31.2</v>
      </c>
      <c r="H12" s="9" t="s">
        <v>39</v>
      </c>
    </row>
    <row r="13" customFormat="false" ht="28.35" hidden="false" customHeight="false" outlineLevel="0" collapsed="false">
      <c r="A13" s="0" t="n">
        <v>10</v>
      </c>
      <c r="B13" s="0" t="s">
        <v>46</v>
      </c>
      <c r="C13" s="0" t="s">
        <v>47</v>
      </c>
      <c r="D13" s="21" t="str">
        <f aca="false">Comparison!Z7</f>
        <v>Better</v>
      </c>
      <c r="E13" s="22" t="n">
        <f aca="false">Comparison!D7</f>
        <v>0.657028571428571</v>
      </c>
      <c r="F13" s="22" t="n">
        <f aca="false">Comparison!Y7</f>
        <v>0.333333333333333</v>
      </c>
      <c r="G13" s="22" t="n">
        <v>29.2</v>
      </c>
      <c r="H13" s="9" t="s">
        <v>49</v>
      </c>
    </row>
    <row r="14" customFormat="false" ht="28.35" hidden="false" customHeight="false" outlineLevel="0" collapsed="false">
      <c r="A14" s="0" t="n">
        <v>11</v>
      </c>
      <c r="B14" s="0" t="s">
        <v>78</v>
      </c>
      <c r="C14" s="0" t="s">
        <v>79</v>
      </c>
      <c r="D14" s="21" t="str">
        <f aca="false">Comparison!Z13</f>
        <v>Better</v>
      </c>
      <c r="E14" s="22" t="n">
        <f aca="false">Comparison!D13</f>
        <v>54.1316469860438</v>
      </c>
      <c r="F14" s="22" t="n">
        <f aca="false">Comparison!Y13</f>
        <v>43.9439892827263</v>
      </c>
      <c r="G14" s="22" t="n">
        <v>23.2</v>
      </c>
      <c r="H14" s="9" t="s">
        <v>81</v>
      </c>
    </row>
    <row r="15" customFormat="false" ht="15" hidden="false" customHeight="false" outlineLevel="0" collapsed="false">
      <c r="A15" s="0" t="n">
        <v>12</v>
      </c>
      <c r="B15" s="0" t="s">
        <v>157</v>
      </c>
      <c r="C15" s="0" t="s">
        <v>158</v>
      </c>
      <c r="D15" s="21" t="str">
        <f aca="false">Comparison!Z28</f>
        <v>Better</v>
      </c>
      <c r="E15" s="22" t="n">
        <f aca="false">Comparison!D28</f>
        <v>21</v>
      </c>
      <c r="F15" s="22" t="n">
        <f aca="false">Comparison!Y28</f>
        <v>26</v>
      </c>
      <c r="G15" s="22" t="n">
        <v>19.2</v>
      </c>
      <c r="H15" s="9" t="s">
        <v>159</v>
      </c>
    </row>
    <row r="16" customFormat="false" ht="15" hidden="false" customHeight="false" outlineLevel="0" collapsed="false">
      <c r="A16" s="0" t="n">
        <v>13</v>
      </c>
      <c r="B16" s="0" t="s">
        <v>118</v>
      </c>
      <c r="C16" s="0" t="s">
        <v>119</v>
      </c>
      <c r="D16" s="21" t="str">
        <f aca="false">Comparison!Z20</f>
        <v>Better</v>
      </c>
      <c r="E16" s="22" t="n">
        <f aca="false">Comparison!D20</f>
        <v>17.5150483063279</v>
      </c>
      <c r="F16" s="22" t="n">
        <f aca="false">Comparison!Y20</f>
        <v>14.9085541253329</v>
      </c>
      <c r="G16" s="22" t="n">
        <v>17.5</v>
      </c>
      <c r="H16" s="9" t="s">
        <v>121</v>
      </c>
    </row>
    <row r="17" customFormat="false" ht="15" hidden="false" customHeight="false" outlineLevel="0" collapsed="false">
      <c r="A17" s="0" t="n">
        <v>14</v>
      </c>
      <c r="B17" s="0" t="s">
        <v>124</v>
      </c>
      <c r="C17" s="0" t="s">
        <v>125</v>
      </c>
      <c r="D17" s="21" t="str">
        <f aca="false">Comparison!Z21</f>
        <v>Better</v>
      </c>
      <c r="E17" s="22" t="n">
        <f aca="false">Comparison!D21</f>
        <v>5.70937620331151</v>
      </c>
      <c r="F17" s="22" t="n">
        <f aca="false">Comparison!Y21</f>
        <v>6.71694098249112</v>
      </c>
      <c r="G17" s="22" t="n">
        <v>14.8</v>
      </c>
      <c r="H17" s="9" t="s">
        <v>126</v>
      </c>
    </row>
    <row r="18" customFormat="false" ht="28.35" hidden="false" customHeight="false" outlineLevel="0" collapsed="false">
      <c r="A18" s="0" t="n">
        <v>15</v>
      </c>
      <c r="B18" s="0" t="s">
        <v>112</v>
      </c>
      <c r="C18" s="0" t="s">
        <v>113</v>
      </c>
      <c r="D18" s="21" t="str">
        <f aca="false">Comparison!Z19</f>
        <v>Better</v>
      </c>
      <c r="E18" s="22" t="n">
        <f aca="false">Comparison!D19</f>
        <v>5</v>
      </c>
      <c r="F18" s="22" t="n">
        <f aca="false">Comparison!Y19</f>
        <v>5.75</v>
      </c>
      <c r="G18" s="22" t="n">
        <v>13</v>
      </c>
      <c r="H18" s="9" t="s">
        <v>116</v>
      </c>
    </row>
    <row r="19" customFormat="false" ht="15" hidden="false" customHeight="false" outlineLevel="0" collapsed="false">
      <c r="A19" s="0" t="n">
        <v>16</v>
      </c>
      <c r="B19" s="0" t="s">
        <v>195</v>
      </c>
      <c r="C19" s="0" t="s">
        <v>196</v>
      </c>
      <c r="D19" s="23" t="str">
        <f aca="false">Comparison!Z38</f>
        <v>In line</v>
      </c>
      <c r="E19" s="22" t="n">
        <f aca="false">Comparison!D38</f>
        <v>0.227942470912709</v>
      </c>
      <c r="F19" s="22" t="n">
        <f aca="false">Comparison!Y38</f>
        <v>0.272933888900645</v>
      </c>
      <c r="G19" s="22" t="n">
        <v>8.7</v>
      </c>
      <c r="H19" s="9" t="s">
        <v>197</v>
      </c>
    </row>
    <row r="20" customFormat="false" ht="15" hidden="false" customHeight="false" outlineLevel="0" collapsed="false">
      <c r="A20" s="0" t="n">
        <v>17</v>
      </c>
      <c r="B20" s="0" t="s">
        <v>183</v>
      </c>
      <c r="C20" s="0" t="s">
        <v>184</v>
      </c>
      <c r="D20" s="23" t="str">
        <f aca="false">Comparison!Z35</f>
        <v>In line</v>
      </c>
      <c r="E20" s="22" t="n">
        <f aca="false">Comparison!D35</f>
        <v>5.60599196286207</v>
      </c>
      <c r="F20" s="22" t="n">
        <f aca="false">Comparison!Y35</f>
        <v>6.07873682158528</v>
      </c>
      <c r="G20" s="22" t="n">
        <v>5.2</v>
      </c>
      <c r="H20" s="9" t="s">
        <v>185</v>
      </c>
    </row>
    <row r="21" customFormat="false" ht="15" hidden="false" customHeight="false" outlineLevel="0" collapsed="false">
      <c r="A21" s="0" t="n">
        <v>18</v>
      </c>
      <c r="B21" s="0" t="s">
        <v>148</v>
      </c>
      <c r="C21" s="0" t="s">
        <v>149</v>
      </c>
      <c r="D21" s="23" t="str">
        <f aca="false">Comparison!Z26</f>
        <v>In line</v>
      </c>
      <c r="E21" s="22" t="n">
        <f aca="false">Comparison!D26</f>
        <v>16.3030961906419</v>
      </c>
      <c r="F21" s="22" t="n">
        <f aca="false">Comparison!Y26</f>
        <v>14.0746102357895</v>
      </c>
      <c r="G21" s="22" t="n">
        <v>3.8</v>
      </c>
      <c r="H21" s="9" t="s">
        <v>150</v>
      </c>
    </row>
    <row r="22" customFormat="false" ht="15" hidden="false" customHeight="false" outlineLevel="0" collapsed="false">
      <c r="A22" s="0" t="n">
        <v>19</v>
      </c>
      <c r="B22" s="0" t="s">
        <v>160</v>
      </c>
      <c r="C22" s="0" t="s">
        <v>161</v>
      </c>
      <c r="D22" s="23" t="str">
        <f aca="false">Comparison!Z29</f>
        <v>In line</v>
      </c>
      <c r="E22" s="22" t="n">
        <f aca="false">Comparison!D29</f>
        <v>59</v>
      </c>
      <c r="F22" s="22" t="n">
        <f aca="false">Comparison!Y29</f>
        <v>61</v>
      </c>
      <c r="G22" s="22" t="n">
        <v>3.3</v>
      </c>
      <c r="H22" s="9" t="s">
        <v>162</v>
      </c>
    </row>
    <row r="23" customFormat="false" ht="15" hidden="false" customHeight="false" outlineLevel="0" collapsed="false">
      <c r="A23" s="0" t="n">
        <v>20</v>
      </c>
      <c r="B23" s="0" t="s">
        <v>144</v>
      </c>
      <c r="C23" s="0" t="s">
        <v>145</v>
      </c>
      <c r="D23" s="23" t="str">
        <f aca="false">Comparison!Z25</f>
        <v>In line</v>
      </c>
      <c r="E23" s="22" t="n">
        <f aca="false">Comparison!D25</f>
        <v>36</v>
      </c>
      <c r="F23" s="22" t="n">
        <f aca="false">Comparison!Y25</f>
        <v>35</v>
      </c>
      <c r="G23" s="22" t="n">
        <v>2.9</v>
      </c>
      <c r="H23" s="9" t="s">
        <v>147</v>
      </c>
    </row>
    <row r="24" customFormat="false" ht="28.35" hidden="false" customHeight="false" outlineLevel="0" collapsed="false">
      <c r="A24" s="0" t="n">
        <v>21</v>
      </c>
      <c r="B24" s="0" t="s">
        <v>91</v>
      </c>
      <c r="C24" s="0" t="s">
        <v>92</v>
      </c>
      <c r="D24" s="23" t="str">
        <f aca="false">Comparison!Z15</f>
        <v>In line</v>
      </c>
      <c r="E24" s="22" t="n">
        <f aca="false">Comparison!D15</f>
        <v>19.6806896551724</v>
      </c>
      <c r="F24" s="22" t="n">
        <f aca="false">Comparison!Y15</f>
        <v>18.704</v>
      </c>
      <c r="G24" s="22" t="n">
        <v>-5.2</v>
      </c>
      <c r="H24" s="9" t="s">
        <v>95</v>
      </c>
    </row>
    <row r="25" customFormat="false" ht="15" hidden="false" customHeight="false" outlineLevel="0" collapsed="false">
      <c r="A25" s="0" t="n">
        <v>22</v>
      </c>
      <c r="B25" s="0" t="s">
        <v>167</v>
      </c>
      <c r="C25" s="0" t="s">
        <v>168</v>
      </c>
      <c r="D25" s="23" t="str">
        <f aca="false">Comparison!Z31</f>
        <v>In line</v>
      </c>
      <c r="E25" s="22" t="n">
        <f aca="false">Comparison!D31</f>
        <v>5.1</v>
      </c>
      <c r="F25" s="22" t="n">
        <f aca="false">Comparison!Y31</f>
        <v>4.82820053034088</v>
      </c>
      <c r="G25" s="22" t="n">
        <v>-5.4</v>
      </c>
      <c r="H25" s="9" t="s">
        <v>169</v>
      </c>
    </row>
    <row r="26" customFormat="false" ht="28.35" hidden="false" customHeight="false" outlineLevel="0" collapsed="false">
      <c r="A26" s="0" t="n">
        <v>23</v>
      </c>
      <c r="B26" s="0" t="s">
        <v>103</v>
      </c>
      <c r="C26" s="0" t="s">
        <v>104</v>
      </c>
      <c r="D26" s="24" t="str">
        <f aca="false">Comparison!Z17</f>
        <v>Worse</v>
      </c>
      <c r="E26" s="22" t="n">
        <f aca="false">Comparison!D17</f>
        <v>67.5917098445596</v>
      </c>
      <c r="F26" s="22" t="n">
        <f aca="false">Comparison!Y17</f>
        <v>50.9336049382716</v>
      </c>
      <c r="G26" s="22" t="n">
        <v>-32.7</v>
      </c>
      <c r="H26" s="9" t="s">
        <v>106</v>
      </c>
    </row>
    <row r="27" customFormat="false" ht="15" hidden="false" customHeight="false" outlineLevel="0" collapsed="false">
      <c r="A27" s="0" t="n">
        <v>24</v>
      </c>
      <c r="B27" s="0" t="s">
        <v>109</v>
      </c>
      <c r="C27" s="0" t="s">
        <v>110</v>
      </c>
      <c r="D27" s="24" t="str">
        <f aca="false">Comparison!Z18</f>
        <v>Worse</v>
      </c>
      <c r="E27" s="22" t="n">
        <f aca="false">Comparison!D18</f>
        <v>32.7103626943005</v>
      </c>
      <c r="F27" s="22" t="n">
        <f aca="false">Comparison!Y18</f>
        <v>23.980962962963</v>
      </c>
      <c r="G27" s="22" t="n">
        <v>-36.4</v>
      </c>
      <c r="H27" s="9" t="s">
        <v>111</v>
      </c>
    </row>
    <row r="28" customFormat="false" ht="15" hidden="false" customHeight="false" outlineLevel="0" collapsed="false">
      <c r="A28" s="0" t="n">
        <v>25</v>
      </c>
      <c r="B28" s="0" t="s">
        <v>163</v>
      </c>
      <c r="C28" s="0" t="s">
        <v>164</v>
      </c>
      <c r="D28" s="24" t="str">
        <f aca="false">Comparison!Z30</f>
        <v>Worse</v>
      </c>
      <c r="E28" s="22" t="n">
        <f aca="false">Comparison!D30</f>
        <v>3</v>
      </c>
      <c r="F28" s="22" t="n">
        <f aca="false">Comparison!Y30</f>
        <v>1.5</v>
      </c>
      <c r="G28" s="22" t="n">
        <v>-100</v>
      </c>
      <c r="H28" s="9" t="s">
        <v>166</v>
      </c>
    </row>
    <row r="29" customFormat="false" ht="28.35" hidden="false" customHeight="false" outlineLevel="0" collapsed="false">
      <c r="A29" s="0" t="n">
        <v>26</v>
      </c>
      <c r="B29" s="0" t="s">
        <v>97</v>
      </c>
      <c r="C29" s="0" t="s">
        <v>98</v>
      </c>
      <c r="D29" s="24" t="str">
        <f aca="false">Comparison!Z16</f>
        <v>Worse</v>
      </c>
      <c r="E29" s="22" t="n">
        <f aca="false">Comparison!D16</f>
        <v>77.9146853146853</v>
      </c>
      <c r="F29" s="22" t="n">
        <f aca="false">Comparison!Y16</f>
        <v>33.1762176375405</v>
      </c>
      <c r="G29" s="22" t="n">
        <v>-134.9</v>
      </c>
      <c r="H29" s="9" t="s">
        <v>100</v>
      </c>
    </row>
    <row r="30" customFormat="false" ht="15" hidden="false" customHeight="false" outlineLevel="0" collapsed="false">
      <c r="A30" s="0" t="n">
        <v>27</v>
      </c>
      <c r="B30" s="0" t="s">
        <v>198</v>
      </c>
      <c r="C30" s="0" t="s">
        <v>199</v>
      </c>
      <c r="D30" s="24" t="str">
        <f aca="false">Comparison!Z39</f>
        <v>Worse</v>
      </c>
      <c r="E30" s="22" t="n">
        <f aca="false">Comparison!D39</f>
        <v>25.2354048964218</v>
      </c>
      <c r="F30" s="22" t="n">
        <f aca="false">Comparison!Y39</f>
        <v>6.6722972972973</v>
      </c>
      <c r="G30" s="22" t="n">
        <v>-278.2</v>
      </c>
      <c r="H30" s="9" t="s">
        <v>200</v>
      </c>
    </row>
    <row r="31" customFormat="false" ht="28.35" hidden="false" customHeight="false" outlineLevel="0" collapsed="false">
      <c r="B31" s="0" t="s">
        <v>51</v>
      </c>
      <c r="C31" s="0" t="s">
        <v>52</v>
      </c>
      <c r="D31" s="25" t="str">
        <f aca="false">Comparison!Z8</f>
        <v>Context</v>
      </c>
      <c r="E31" s="22" t="n">
        <f aca="false">Comparison!D8</f>
        <v>18.1347150259067</v>
      </c>
      <c r="F31" s="22" t="n">
        <f aca="false">Comparison!Y8</f>
        <v>6</v>
      </c>
      <c r="G31" s="22"/>
      <c r="H31" s="9" t="s">
        <v>55</v>
      </c>
    </row>
    <row r="32" customFormat="false" ht="15" hidden="false" customHeight="false" outlineLevel="0" collapsed="false">
      <c r="B32" s="0" t="s">
        <v>72</v>
      </c>
      <c r="C32" s="0" t="s">
        <v>73</v>
      </c>
      <c r="D32" s="25" t="str">
        <f aca="false">Comparison!Z12</f>
        <v>Context</v>
      </c>
      <c r="E32" s="22" t="n">
        <f aca="false">Comparison!D12</f>
        <v>5.6063348027</v>
      </c>
      <c r="F32" s="22" t="n">
        <f aca="false">Comparison!Y12</f>
        <v>3.445</v>
      </c>
      <c r="G32" s="22"/>
      <c r="H32" s="9" t="s">
        <v>77</v>
      </c>
    </row>
    <row r="33" customFormat="false" ht="15" hidden="false" customHeight="false" outlineLevel="0" collapsed="false">
      <c r="B33" s="0" t="s">
        <v>83</v>
      </c>
      <c r="C33" s="0" t="s">
        <v>84</v>
      </c>
      <c r="D33" s="25" t="str">
        <f aca="false">Comparison!Z14</f>
        <v>n/a</v>
      </c>
      <c r="E33" s="22" t="str">
        <f aca="false">Comparison!D14</f>
        <v>n.m.</v>
      </c>
      <c r="F33" s="22" t="n">
        <f aca="false">Comparison!Y14</f>
        <v>34.8582068965518</v>
      </c>
      <c r="G33" s="22"/>
      <c r="H33" s="9" t="s">
        <v>89</v>
      </c>
    </row>
    <row r="34" customFormat="false" ht="15" hidden="false" customHeight="false" outlineLevel="0" collapsed="false">
      <c r="B34" s="0" t="s">
        <v>128</v>
      </c>
      <c r="C34" s="0" t="s">
        <v>129</v>
      </c>
      <c r="D34" s="25" t="str">
        <f aca="false">Comparison!Z22</f>
        <v>Context</v>
      </c>
      <c r="E34" s="22" t="n">
        <f aca="false">Comparison!D22</f>
        <v>45.1730735780136</v>
      </c>
      <c r="F34" s="22" t="n">
        <f aca="false">Comparison!Y22</f>
        <v>67.8873121353033</v>
      </c>
      <c r="G34" s="22"/>
      <c r="H34" s="9" t="s">
        <v>130</v>
      </c>
    </row>
    <row r="35" customFormat="false" ht="15" hidden="false" customHeight="false" outlineLevel="0" collapsed="false">
      <c r="B35" s="0" t="s">
        <v>132</v>
      </c>
      <c r="C35" s="0" t="s">
        <v>133</v>
      </c>
      <c r="D35" s="25" t="str">
        <f aca="false">Comparison!Z23</f>
        <v>Context</v>
      </c>
      <c r="E35" s="22" t="n">
        <f aca="false">Comparison!D23</f>
        <v>37.4906</v>
      </c>
      <c r="F35" s="22" t="n">
        <f aca="false">Comparison!Y23</f>
        <v>80.05</v>
      </c>
      <c r="G35" s="22"/>
      <c r="H35" s="9" t="s">
        <v>135</v>
      </c>
    </row>
    <row r="36" customFormat="false" ht="15" hidden="false" customHeight="false" outlineLevel="0" collapsed="false">
      <c r="B36" s="0" t="s">
        <v>137</v>
      </c>
      <c r="C36" s="0" t="s">
        <v>138</v>
      </c>
      <c r="D36" s="25" t="str">
        <f aca="false">Comparison!Z24</f>
        <v>n/a</v>
      </c>
      <c r="E36" s="22" t="str">
        <f aca="false">Comparison!D24</f>
        <v>n/d</v>
      </c>
      <c r="F36" s="22" t="n">
        <f aca="false">Comparison!Y24</f>
        <v>76.7</v>
      </c>
      <c r="G36" s="22"/>
      <c r="H36" s="9" t="s">
        <v>141</v>
      </c>
    </row>
    <row r="37" customFormat="false" ht="15" hidden="false" customHeight="false" outlineLevel="0" collapsed="false">
      <c r="B37" s="0" t="s">
        <v>171</v>
      </c>
      <c r="C37" s="0" t="s">
        <v>172</v>
      </c>
      <c r="D37" s="25" t="str">
        <f aca="false">Comparison!Z32</f>
        <v>n/a</v>
      </c>
      <c r="E37" s="22" t="str">
        <f aca="false">Comparison!D32</f>
        <v>n/d</v>
      </c>
      <c r="F37" s="22" t="n">
        <f aca="false">Comparison!Y32</f>
        <v>9.10214285714286</v>
      </c>
      <c r="G37" s="22"/>
      <c r="H37" s="9" t="s">
        <v>176</v>
      </c>
    </row>
    <row r="38" customFormat="false" ht="15" hidden="false" customHeight="false" outlineLevel="0" collapsed="false">
      <c r="B38" s="0" t="s">
        <v>177</v>
      </c>
      <c r="C38" s="0" t="s">
        <v>178</v>
      </c>
      <c r="D38" s="25" t="str">
        <f aca="false">Comparison!Z33</f>
        <v>n/a</v>
      </c>
      <c r="E38" s="22" t="str">
        <f aca="false">Comparison!D33</f>
        <v>n/d</v>
      </c>
      <c r="F38" s="22" t="n">
        <f aca="false">Comparison!Y33</f>
        <v>9</v>
      </c>
      <c r="G38" s="22"/>
      <c r="H38" s="9" t="s">
        <v>176</v>
      </c>
    </row>
    <row r="39" customFormat="false" ht="15" hidden="false" customHeight="false" outlineLevel="0" collapsed="false">
      <c r="B39" s="0" t="s">
        <v>180</v>
      </c>
      <c r="C39" s="0" t="s">
        <v>181</v>
      </c>
      <c r="D39" s="25" t="str">
        <f aca="false">Comparison!Z34</f>
        <v>n/a</v>
      </c>
      <c r="E39" s="22" t="str">
        <f aca="false">Comparison!D34</f>
        <v>n/d</v>
      </c>
      <c r="F39" s="22" t="n">
        <f aca="false">Comparison!Y34</f>
        <v>20.2198812569171</v>
      </c>
      <c r="G39" s="22"/>
      <c r="H39" s="9" t="s">
        <v>182</v>
      </c>
    </row>
    <row r="40" customFormat="false" ht="15" hidden="false" customHeight="false" outlineLevel="0" collapsed="false">
      <c r="B40" s="0" t="s">
        <v>188</v>
      </c>
      <c r="C40" s="0" t="s">
        <v>189</v>
      </c>
      <c r="D40" s="25" t="str">
        <f aca="false">Comparison!Z36</f>
        <v>n/a</v>
      </c>
      <c r="E40" s="22" t="str">
        <f aca="false">Comparison!D36</f>
        <v>n/d</v>
      </c>
      <c r="F40" s="22" t="n">
        <f aca="false">Comparison!Y36</f>
        <v>8.3</v>
      </c>
      <c r="G40" s="22"/>
      <c r="H40" s="9" t="s">
        <v>190</v>
      </c>
    </row>
    <row r="41" customFormat="false" ht="15" hidden="false" customHeight="false" outlineLevel="0" collapsed="false">
      <c r="B41" s="0" t="s">
        <v>191</v>
      </c>
      <c r="C41" s="0" t="s">
        <v>192</v>
      </c>
      <c r="D41" s="25" t="str">
        <f aca="false">Comparison!Z37</f>
        <v>Context</v>
      </c>
      <c r="E41" s="22" t="n">
        <f aca="false">Comparison!D37</f>
        <v>8.5457</v>
      </c>
      <c r="F41" s="22" t="n">
        <f aca="false">Comparison!Y37</f>
        <v>21.6283245</v>
      </c>
      <c r="G41" s="22"/>
      <c r="H41" s="9" t="s">
        <v>193</v>
      </c>
    </row>
    <row r="42" customFormat="false" ht="15" hidden="false" customHeight="false" outlineLevel="0" collapsed="false">
      <c r="B42" s="0" t="s">
        <v>201</v>
      </c>
      <c r="C42" s="0" t="s">
        <v>202</v>
      </c>
      <c r="D42" s="25" t="str">
        <f aca="false">Comparison!Z40</f>
        <v>n/a</v>
      </c>
      <c r="E42" s="22" t="str">
        <f aca="false">Comparison!D40</f>
        <v>n/d</v>
      </c>
      <c r="F42" s="22" t="n">
        <f aca="false">Comparison!Y40</f>
        <v>97.5</v>
      </c>
      <c r="G42" s="22"/>
      <c r="H42" s="9" t="s">
        <v>203</v>
      </c>
    </row>
    <row r="43" customFormat="false" ht="15" hidden="false" customHeight="false" outlineLevel="0" collapsed="false">
      <c r="B43" s="0" t="s">
        <v>204</v>
      </c>
      <c r="C43" s="0" t="s">
        <v>205</v>
      </c>
      <c r="D43" s="25" t="str">
        <f aca="false">Comparison!Z41</f>
        <v>n/a</v>
      </c>
      <c r="E43" s="22" t="str">
        <f aca="false">Comparison!D41</f>
        <v>n/d</v>
      </c>
      <c r="F43" s="22" t="n">
        <f aca="false">Comparison!Y41</f>
        <v>14.8</v>
      </c>
      <c r="G43" s="22"/>
      <c r="H43" s="9" t="s">
        <v>206</v>
      </c>
    </row>
    <row r="44" customFormat="false" ht="15" hidden="false" customHeight="false" outlineLevel="0" collapsed="false">
      <c r="B44" s="0" t="s">
        <v>216</v>
      </c>
      <c r="C44" s="0" t="s">
        <v>217</v>
      </c>
      <c r="D44" s="25" t="str">
        <f aca="false">Comparison!Z44</f>
        <v>n/a</v>
      </c>
      <c r="E44" s="22" t="str">
        <f aca="false">Comparison!D44</f>
        <v>n/d</v>
      </c>
      <c r="F44" s="22" t="n">
        <f aca="false">Comparison!Y44</f>
        <v>86.9361128837836</v>
      </c>
      <c r="G44" s="22"/>
      <c r="H44" s="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9" t="s">
        <v>252</v>
      </c>
    </row>
    <row r="3" customFormat="false" ht="15" hidden="false" customHeight="false" outlineLevel="0" collapsed="false">
      <c r="A3" s="20" t="s">
        <v>1</v>
      </c>
      <c r="B3" s="20" t="s">
        <v>253</v>
      </c>
      <c r="C3" s="20" t="s">
        <v>254</v>
      </c>
      <c r="D3" s="20" t="s">
        <v>3</v>
      </c>
      <c r="E3" s="20" t="s">
        <v>5</v>
      </c>
      <c r="F3" s="20" t="s">
        <v>255</v>
      </c>
    </row>
    <row r="4" customFormat="false" ht="15" hidden="false" customHeight="false" outlineLevel="0" collapsed="false">
      <c r="A4" s="0" t="s">
        <v>256</v>
      </c>
      <c r="B4" s="0" t="s">
        <v>257</v>
      </c>
      <c r="C4" s="26" t="n">
        <v>574.9</v>
      </c>
      <c r="D4" s="0" t="s">
        <v>258</v>
      </c>
      <c r="E4" s="0" t="s">
        <v>74</v>
      </c>
      <c r="F4" s="0" t="s">
        <v>259</v>
      </c>
    </row>
    <row r="5" customFormat="false" ht="15" hidden="false" customHeight="false" outlineLevel="0" collapsed="false">
      <c r="A5" s="0" t="s">
        <v>260</v>
      </c>
      <c r="B5" s="0" t="s">
        <v>261</v>
      </c>
      <c r="C5" s="26" t="n">
        <v>93.7</v>
      </c>
      <c r="D5" s="0" t="s">
        <v>258</v>
      </c>
      <c r="E5" s="0" t="s">
        <v>74</v>
      </c>
      <c r="F5" s="0" t="s">
        <v>262</v>
      </c>
    </row>
    <row r="6" customFormat="false" ht="15" hidden="false" customHeight="false" outlineLevel="0" collapsed="false">
      <c r="A6" s="0" t="s">
        <v>263</v>
      </c>
      <c r="B6" s="0" t="s">
        <v>264</v>
      </c>
      <c r="C6" s="26" t="n">
        <v>582.3</v>
      </c>
      <c r="D6" s="0" t="s">
        <v>258</v>
      </c>
      <c r="E6" s="0" t="s">
        <v>74</v>
      </c>
      <c r="F6" s="0" t="s">
        <v>262</v>
      </c>
    </row>
    <row r="7" customFormat="false" ht="15" hidden="false" customHeight="false" outlineLevel="0" collapsed="false">
      <c r="A7" s="0" t="s">
        <v>265</v>
      </c>
      <c r="B7" s="0" t="s">
        <v>266</v>
      </c>
      <c r="C7" s="26" t="n">
        <v>285.7</v>
      </c>
      <c r="D7" s="0" t="s">
        <v>258</v>
      </c>
      <c r="E7" s="0" t="s">
        <v>74</v>
      </c>
      <c r="F7" s="0" t="s">
        <v>262</v>
      </c>
    </row>
    <row r="8" customFormat="false" ht="15" hidden="false" customHeight="false" outlineLevel="0" collapsed="false">
      <c r="A8" s="0" t="s">
        <v>267</v>
      </c>
      <c r="B8" s="0" t="s">
        <v>268</v>
      </c>
      <c r="C8" s="26" t="n">
        <v>259.7</v>
      </c>
      <c r="D8" s="0" t="s">
        <v>258</v>
      </c>
      <c r="E8" s="0" t="s">
        <v>74</v>
      </c>
      <c r="F8" s="0" t="s">
        <v>262</v>
      </c>
    </row>
    <row r="9" customFormat="false" ht="15" hidden="false" customHeight="false" outlineLevel="0" collapsed="false">
      <c r="A9" s="0" t="s">
        <v>269</v>
      </c>
      <c r="B9" s="0" t="s">
        <v>270</v>
      </c>
      <c r="C9" s="26" t="n">
        <v>955.5</v>
      </c>
      <c r="D9" s="0" t="s">
        <v>258</v>
      </c>
      <c r="E9" s="0" t="s">
        <v>74</v>
      </c>
      <c r="F9" s="0" t="s">
        <v>262</v>
      </c>
    </row>
    <row r="10" customFormat="false" ht="15" hidden="false" customHeight="false" outlineLevel="0" collapsed="false">
      <c r="A10" s="0" t="s">
        <v>271</v>
      </c>
      <c r="B10" s="0" t="s">
        <v>272</v>
      </c>
      <c r="C10" s="26" t="n">
        <v>2056</v>
      </c>
      <c r="D10" s="0" t="s">
        <v>258</v>
      </c>
      <c r="E10" s="0" t="s">
        <v>74</v>
      </c>
      <c r="F10" s="0" t="s">
        <v>262</v>
      </c>
    </row>
    <row r="11" customFormat="false" ht="15" hidden="false" customHeight="false" outlineLevel="0" collapsed="false">
      <c r="A11" s="0" t="s">
        <v>273</v>
      </c>
      <c r="B11" s="0" t="s">
        <v>274</v>
      </c>
      <c r="C11" s="26" t="n">
        <v>2472.9</v>
      </c>
      <c r="D11" s="0" t="s">
        <v>258</v>
      </c>
      <c r="E11" s="0" t="s">
        <v>74</v>
      </c>
      <c r="F11" s="0" t="s">
        <v>262</v>
      </c>
    </row>
    <row r="12" customFormat="false" ht="15" hidden="false" customHeight="false" outlineLevel="0" collapsed="false">
      <c r="A12" s="0" t="s">
        <v>275</v>
      </c>
      <c r="B12" s="0" t="s">
        <v>276</v>
      </c>
      <c r="C12" s="26" t="n">
        <v>5657.4</v>
      </c>
      <c r="D12" s="0" t="s">
        <v>258</v>
      </c>
      <c r="E12" s="0" t="s">
        <v>74</v>
      </c>
      <c r="F12" s="0" t="s">
        <v>262</v>
      </c>
    </row>
    <row r="13" customFormat="false" ht="15" hidden="false" customHeight="false" outlineLevel="0" collapsed="false">
      <c r="A13" s="0" t="s">
        <v>277</v>
      </c>
      <c r="B13" s="0" t="s">
        <v>278</v>
      </c>
      <c r="C13" s="26" t="n">
        <v>13045.2</v>
      </c>
      <c r="D13" s="0" t="s">
        <v>258</v>
      </c>
      <c r="E13" s="0" t="s">
        <v>74</v>
      </c>
      <c r="F13" s="0" t="s">
        <v>262</v>
      </c>
    </row>
    <row r="14" customFormat="false" ht="15" hidden="false" customHeight="false" outlineLevel="0" collapsed="false">
      <c r="A14" s="0" t="s">
        <v>279</v>
      </c>
      <c r="B14" s="0" t="s">
        <v>280</v>
      </c>
      <c r="C14" s="27" t="n">
        <v>5548.7</v>
      </c>
      <c r="D14" s="0" t="s">
        <v>258</v>
      </c>
      <c r="E14" s="0" t="s">
        <v>25</v>
      </c>
      <c r="F14" s="0" t="s">
        <v>281</v>
      </c>
    </row>
    <row r="15" customFormat="false" ht="15" hidden="false" customHeight="false" outlineLevel="0" collapsed="false">
      <c r="A15" s="0" t="s">
        <v>282</v>
      </c>
      <c r="B15" s="0" t="s">
        <v>283</v>
      </c>
      <c r="C15" s="27" t="n">
        <v>6313.1</v>
      </c>
      <c r="D15" s="0" t="s">
        <v>258</v>
      </c>
      <c r="E15" s="0" t="s">
        <v>25</v>
      </c>
      <c r="F15" s="0" t="s">
        <v>284</v>
      </c>
    </row>
    <row r="16" customFormat="false" ht="15" hidden="false" customHeight="false" outlineLevel="0" collapsed="false">
      <c r="A16" s="0" t="s">
        <v>285</v>
      </c>
      <c r="B16" s="0" t="s">
        <v>286</v>
      </c>
      <c r="C16" s="26" t="n">
        <v>4692.7</v>
      </c>
      <c r="D16" s="0" t="s">
        <v>258</v>
      </c>
      <c r="E16" s="0" t="s">
        <v>74</v>
      </c>
      <c r="F16" s="0" t="s">
        <v>287</v>
      </c>
    </row>
    <row r="17" customFormat="false" ht="15" hidden="false" customHeight="false" outlineLevel="0" collapsed="false">
      <c r="A17" s="0" t="s">
        <v>288</v>
      </c>
      <c r="B17" s="0" t="s">
        <v>289</v>
      </c>
      <c r="C17" s="26" t="n">
        <v>5197.7</v>
      </c>
      <c r="D17" s="0" t="s">
        <v>258</v>
      </c>
      <c r="E17" s="0" t="s">
        <v>74</v>
      </c>
      <c r="F17" s="0" t="s">
        <v>287</v>
      </c>
    </row>
    <row r="18" customFormat="false" ht="15" hidden="false" customHeight="false" outlineLevel="0" collapsed="false">
      <c r="A18" s="0" t="s">
        <v>290</v>
      </c>
      <c r="B18" s="0" t="s">
        <v>291</v>
      </c>
      <c r="C18" s="28" t="n">
        <v>50</v>
      </c>
      <c r="D18" s="0" t="s">
        <v>292</v>
      </c>
      <c r="E18" s="0" t="s">
        <v>21</v>
      </c>
      <c r="F18" s="0" t="s">
        <v>293</v>
      </c>
    </row>
    <row r="19" customFormat="false" ht="15" hidden="false" customHeight="false" outlineLevel="0" collapsed="false">
      <c r="A19" s="0" t="s">
        <v>294</v>
      </c>
      <c r="B19" s="0" t="s">
        <v>295</v>
      </c>
      <c r="C19" s="28" t="n">
        <v>181.5</v>
      </c>
      <c r="D19" s="0" t="s">
        <v>292</v>
      </c>
      <c r="E19" s="0" t="s">
        <v>21</v>
      </c>
      <c r="F19" s="0" t="s">
        <v>296</v>
      </c>
    </row>
    <row r="20" customFormat="false" ht="15" hidden="false" customHeight="false" outlineLevel="0" collapsed="false">
      <c r="A20" s="0" t="s">
        <v>297</v>
      </c>
      <c r="B20" s="0" t="s">
        <v>298</v>
      </c>
      <c r="C20" s="28" t="n">
        <v>193</v>
      </c>
      <c r="D20" s="0" t="s">
        <v>292</v>
      </c>
      <c r="E20" s="0" t="s">
        <v>21</v>
      </c>
      <c r="F20" s="0" t="s">
        <v>299</v>
      </c>
    </row>
    <row r="21" customFormat="false" ht="15" hidden="false" customHeight="false" outlineLevel="0" collapsed="false">
      <c r="A21" s="0" t="s">
        <v>300</v>
      </c>
      <c r="B21" s="0" t="s">
        <v>301</v>
      </c>
      <c r="C21" s="26" t="n">
        <v>170</v>
      </c>
      <c r="D21" s="0" t="s">
        <v>292</v>
      </c>
      <c r="E21" s="0" t="s">
        <v>74</v>
      </c>
      <c r="F21" s="0" t="s">
        <v>302</v>
      </c>
    </row>
    <row r="22" customFormat="false" ht="15" hidden="false" customHeight="false" outlineLevel="0" collapsed="false">
      <c r="A22" s="0" t="s">
        <v>303</v>
      </c>
      <c r="B22" s="0" t="s">
        <v>304</v>
      </c>
      <c r="C22" s="26" t="n">
        <v>3500</v>
      </c>
      <c r="D22" s="0" t="s">
        <v>292</v>
      </c>
      <c r="E22" s="0" t="s">
        <v>74</v>
      </c>
      <c r="F22" s="0" t="s">
        <v>305</v>
      </c>
    </row>
    <row r="23" customFormat="false" ht="15" hidden="false" customHeight="false" outlineLevel="0" collapsed="false">
      <c r="A23" s="0" t="s">
        <v>306</v>
      </c>
      <c r="B23" s="0" t="s">
        <v>307</v>
      </c>
      <c r="C23" s="28" t="n">
        <v>86738</v>
      </c>
      <c r="D23" s="0" t="s">
        <v>308</v>
      </c>
      <c r="E23" s="0" t="s">
        <v>21</v>
      </c>
      <c r="F23" s="0" t="s">
        <v>309</v>
      </c>
    </row>
    <row r="24" customFormat="false" ht="15" hidden="false" customHeight="false" outlineLevel="0" collapsed="false">
      <c r="A24" s="0" t="s">
        <v>310</v>
      </c>
      <c r="B24" s="0" t="s">
        <v>311</v>
      </c>
      <c r="C24" s="26" t="n">
        <v>91</v>
      </c>
      <c r="D24" s="0" t="s">
        <v>312</v>
      </c>
      <c r="E24" s="0" t="s">
        <v>74</v>
      </c>
      <c r="F24" s="0" t="s">
        <v>313</v>
      </c>
    </row>
    <row r="25" customFormat="false" ht="15" hidden="false" customHeight="false" outlineLevel="0" collapsed="false">
      <c r="A25" s="0" t="s">
        <v>314</v>
      </c>
      <c r="B25" s="0" t="s">
        <v>315</v>
      </c>
      <c r="C25" s="28" t="n">
        <v>5.6063348027</v>
      </c>
      <c r="D25" s="0" t="s">
        <v>68</v>
      </c>
      <c r="E25" s="0" t="s">
        <v>21</v>
      </c>
      <c r="F25" s="0" t="s">
        <v>316</v>
      </c>
    </row>
    <row r="26" customFormat="false" ht="15" hidden="false" customHeight="false" outlineLevel="0" collapsed="false">
      <c r="A26" s="0" t="s">
        <v>317</v>
      </c>
      <c r="B26" s="0" t="s">
        <v>318</v>
      </c>
      <c r="C26" s="26" t="n">
        <v>37490.6</v>
      </c>
      <c r="D26" s="0" t="s">
        <v>258</v>
      </c>
      <c r="E26" s="0" t="s">
        <v>74</v>
      </c>
      <c r="F26" s="0" t="s">
        <v>319</v>
      </c>
    </row>
    <row r="27" customFormat="false" ht="15" hidden="false" customHeight="false" outlineLevel="0" collapsed="false">
      <c r="A27" s="0" t="s">
        <v>320</v>
      </c>
      <c r="B27" s="0" t="s">
        <v>321</v>
      </c>
      <c r="C27" s="26" t="n">
        <v>36</v>
      </c>
      <c r="D27" s="0" t="s">
        <v>80</v>
      </c>
      <c r="E27" s="0" t="s">
        <v>74</v>
      </c>
      <c r="F27" s="0" t="s">
        <v>322</v>
      </c>
    </row>
    <row r="28" customFormat="false" ht="15" hidden="false" customHeight="false" outlineLevel="0" collapsed="false">
      <c r="A28" s="0" t="s">
        <v>323</v>
      </c>
      <c r="B28" s="0" t="s">
        <v>324</v>
      </c>
      <c r="C28" s="26" t="n">
        <v>24</v>
      </c>
      <c r="D28" s="0" t="s">
        <v>80</v>
      </c>
      <c r="E28" s="0" t="s">
        <v>74</v>
      </c>
      <c r="F28" s="0" t="s">
        <v>325</v>
      </c>
    </row>
    <row r="29" customFormat="false" ht="15" hidden="false" customHeight="false" outlineLevel="0" collapsed="false">
      <c r="A29" s="0" t="s">
        <v>326</v>
      </c>
      <c r="B29" s="0" t="s">
        <v>327</v>
      </c>
      <c r="C29" s="26" t="n">
        <v>21</v>
      </c>
      <c r="D29" s="0" t="s">
        <v>80</v>
      </c>
      <c r="E29" s="0" t="s">
        <v>74</v>
      </c>
      <c r="F29" s="0" t="s">
        <v>328</v>
      </c>
    </row>
    <row r="30" customFormat="false" ht="15" hidden="false" customHeight="false" outlineLevel="0" collapsed="false">
      <c r="A30" s="0" t="s">
        <v>329</v>
      </c>
      <c r="B30" s="0" t="s">
        <v>330</v>
      </c>
      <c r="C30" s="26" t="n">
        <v>14</v>
      </c>
      <c r="D30" s="0" t="s">
        <v>80</v>
      </c>
      <c r="E30" s="0" t="s">
        <v>74</v>
      </c>
      <c r="F30" s="0" t="s">
        <v>328</v>
      </c>
    </row>
    <row r="31" customFormat="false" ht="15" hidden="false" customHeight="false" outlineLevel="0" collapsed="false">
      <c r="A31" s="0" t="s">
        <v>331</v>
      </c>
      <c r="B31" s="0" t="s">
        <v>332</v>
      </c>
      <c r="C31" s="26" t="n">
        <v>3</v>
      </c>
      <c r="D31" s="0" t="s">
        <v>165</v>
      </c>
      <c r="E31" s="0" t="s">
        <v>74</v>
      </c>
      <c r="F31" s="0" t="s">
        <v>328</v>
      </c>
    </row>
    <row r="32" customFormat="false" ht="15" hidden="false" customHeight="false" outlineLevel="0" collapsed="false">
      <c r="A32" s="0" t="s">
        <v>333</v>
      </c>
      <c r="B32" s="0" t="s">
        <v>334</v>
      </c>
      <c r="C32" s="26" t="n">
        <v>5</v>
      </c>
      <c r="D32" s="0" t="s">
        <v>114</v>
      </c>
      <c r="E32" s="0" t="s">
        <v>74</v>
      </c>
      <c r="F32" s="0" t="s">
        <v>335</v>
      </c>
    </row>
    <row r="33" customFormat="false" ht="15" hidden="false" customHeight="false" outlineLevel="0" collapsed="false">
      <c r="A33" s="0" t="s">
        <v>336</v>
      </c>
      <c r="B33" s="0" t="s">
        <v>337</v>
      </c>
      <c r="C33" s="27" t="n">
        <v>5.1</v>
      </c>
      <c r="D33" s="0" t="s">
        <v>80</v>
      </c>
      <c r="E33" s="0" t="s">
        <v>25</v>
      </c>
      <c r="F33" s="0" t="s">
        <v>338</v>
      </c>
    </row>
    <row r="34" customFormat="false" ht="15" hidden="false" customHeight="false" outlineLevel="0" collapsed="false">
      <c r="A34" s="0" t="s">
        <v>339</v>
      </c>
      <c r="B34" s="0" t="s">
        <v>340</v>
      </c>
      <c r="C34" s="26" t="n">
        <v>119.1</v>
      </c>
      <c r="D34" s="0" t="s">
        <v>258</v>
      </c>
      <c r="E34" s="0" t="s">
        <v>74</v>
      </c>
      <c r="F34" s="0" t="s">
        <v>341</v>
      </c>
    </row>
    <row r="35" customFormat="false" ht="15" hidden="false" customHeight="false" outlineLevel="0" collapsed="false">
      <c r="A35" s="0" t="s">
        <v>342</v>
      </c>
      <c r="B35" s="0" t="s">
        <v>343</v>
      </c>
      <c r="C35" s="26" t="n">
        <v>40.2</v>
      </c>
      <c r="D35" s="0" t="s">
        <v>258</v>
      </c>
      <c r="E35" s="0" t="s">
        <v>74</v>
      </c>
      <c r="F35" s="0" t="s">
        <v>344</v>
      </c>
    </row>
    <row r="36" customFormat="false" ht="15" hidden="false" customHeight="false" outlineLevel="0" collapsed="false">
      <c r="A36" s="0" t="s">
        <v>345</v>
      </c>
      <c r="B36" s="0" t="s">
        <v>346</v>
      </c>
      <c r="C36" s="26" t="n">
        <v>8450.4</v>
      </c>
      <c r="D36" s="0" t="s">
        <v>258</v>
      </c>
      <c r="E36" s="0" t="s">
        <v>74</v>
      </c>
      <c r="F36" s="0" t="s">
        <v>262</v>
      </c>
    </row>
    <row r="37" customFormat="false" ht="15" hidden="false" customHeight="false" outlineLevel="0" collapsed="false">
      <c r="A37" s="0" t="s">
        <v>347</v>
      </c>
      <c r="B37" s="0" t="s">
        <v>348</v>
      </c>
      <c r="C37" s="26" t="n">
        <v>8545.7</v>
      </c>
      <c r="D37" s="0" t="s">
        <v>258</v>
      </c>
      <c r="E37" s="0" t="s">
        <v>74</v>
      </c>
      <c r="F37" s="0" t="s">
        <v>349</v>
      </c>
    </row>
    <row r="38" customFormat="false" ht="15" hidden="false" customHeight="false" outlineLevel="0" collapsed="false">
      <c r="A38" s="0" t="s">
        <v>350</v>
      </c>
      <c r="B38" s="0" t="s">
        <v>351</v>
      </c>
      <c r="C38" s="27" t="n">
        <v>919.2</v>
      </c>
      <c r="D38" s="0" t="s">
        <v>258</v>
      </c>
      <c r="E38" s="0" t="s">
        <v>25</v>
      </c>
      <c r="F38" s="0" t="s">
        <v>352</v>
      </c>
    </row>
    <row r="39" customFormat="false" ht="15" hidden="false" customHeight="false" outlineLevel="0" collapsed="false">
      <c r="A39" s="0" t="s">
        <v>353</v>
      </c>
      <c r="B39" s="0" t="s">
        <v>354</v>
      </c>
      <c r="C39" s="27" t="n">
        <v>3772.9</v>
      </c>
      <c r="D39" s="0" t="s">
        <v>258</v>
      </c>
      <c r="E39" s="0" t="s">
        <v>25</v>
      </c>
      <c r="F39" s="0" t="s">
        <v>352</v>
      </c>
    </row>
    <row r="40" customFormat="false" ht="15" hidden="false" customHeight="false" outlineLevel="0" collapsed="false">
      <c r="A40" s="0" t="s">
        <v>355</v>
      </c>
      <c r="B40" s="0" t="s">
        <v>356</v>
      </c>
      <c r="C40" s="28" t="n">
        <v>25</v>
      </c>
      <c r="D40" s="0" t="s">
        <v>292</v>
      </c>
      <c r="E40" s="0" t="s">
        <v>21</v>
      </c>
      <c r="F40" s="0" t="s">
        <v>357</v>
      </c>
    </row>
    <row r="41" customFormat="false" ht="15" hidden="false" customHeight="false" outlineLevel="0" collapsed="false">
      <c r="A41" s="0" t="s">
        <v>358</v>
      </c>
      <c r="B41" s="0" t="s">
        <v>359</v>
      </c>
      <c r="C41" s="28" t="n">
        <v>170</v>
      </c>
      <c r="D41" s="0" t="s">
        <v>292</v>
      </c>
      <c r="E41" s="0" t="s">
        <v>21</v>
      </c>
      <c r="F41" s="0" t="s">
        <v>360</v>
      </c>
    </row>
    <row r="42" customFormat="false" ht="15" hidden="false" customHeight="false" outlineLevel="0" collapsed="false">
      <c r="A42" s="0" t="s">
        <v>361</v>
      </c>
      <c r="B42" s="0" t="s">
        <v>362</v>
      </c>
      <c r="C42" s="3" t="n">
        <v>165.459207459207</v>
      </c>
      <c r="D42" s="0" t="s">
        <v>363</v>
      </c>
      <c r="E42" s="0" t="s">
        <v>21</v>
      </c>
      <c r="F42" s="0" t="s">
        <v>364</v>
      </c>
    </row>
    <row r="43" customFormat="false" ht="15" hidden="false" customHeight="false" outlineLevel="0" collapsed="false">
      <c r="A43" s="0" t="s">
        <v>365</v>
      </c>
      <c r="B43" s="0" t="s">
        <v>366</v>
      </c>
      <c r="C43" s="3" t="n">
        <v>186.822843822844</v>
      </c>
      <c r="D43" s="0" t="s">
        <v>363</v>
      </c>
      <c r="E43" s="0" t="s">
        <v>21</v>
      </c>
      <c r="F43" s="0" t="s">
        <v>367</v>
      </c>
    </row>
    <row r="44" customFormat="false" ht="15" hidden="false" customHeight="false" outlineLevel="0" collapsed="false">
      <c r="A44" s="23" t="s">
        <v>368</v>
      </c>
      <c r="B44" s="23" t="s">
        <v>369</v>
      </c>
      <c r="C44" s="29" t="n">
        <v>358.558306</v>
      </c>
      <c r="D44" s="0" t="s">
        <v>370</v>
      </c>
      <c r="E44" s="0" t="s">
        <v>25</v>
      </c>
      <c r="F44" s="0" t="s">
        <v>371</v>
      </c>
    </row>
    <row r="45" customFormat="false" ht="15" hidden="false" customHeight="false" outlineLevel="0" collapsed="false">
      <c r="A45" s="23" t="s">
        <v>372</v>
      </c>
      <c r="B45" s="23" t="s">
        <v>373</v>
      </c>
      <c r="C45" s="29" t="n">
        <v>376.648956</v>
      </c>
      <c r="D45" s="0" t="s">
        <v>370</v>
      </c>
      <c r="E45" s="0" t="s">
        <v>25</v>
      </c>
      <c r="F45" s="0" t="s">
        <v>374</v>
      </c>
    </row>
    <row r="46" customFormat="false" ht="15" hidden="false" customHeight="false" outlineLevel="0" collapsed="false">
      <c r="A46" s="0" t="s">
        <v>375</v>
      </c>
      <c r="B46" s="0" t="s">
        <v>376</v>
      </c>
      <c r="C46" s="5" t="n">
        <v>358.337958</v>
      </c>
      <c r="D46" s="0" t="s">
        <v>370</v>
      </c>
      <c r="E46" s="0" t="s">
        <v>25</v>
      </c>
      <c r="F46" s="0" t="s">
        <v>377</v>
      </c>
    </row>
    <row r="47" customFormat="false" ht="15" hidden="false" customHeight="false" outlineLevel="0" collapsed="false">
      <c r="A47" s="23" t="s">
        <v>378</v>
      </c>
      <c r="B47" s="23" t="s">
        <v>379</v>
      </c>
      <c r="C47" s="29" t="n">
        <v>257.7</v>
      </c>
      <c r="D47" s="0" t="s">
        <v>363</v>
      </c>
      <c r="E47" s="0" t="s">
        <v>25</v>
      </c>
      <c r="F47" s="0" t="s">
        <v>380</v>
      </c>
    </row>
    <row r="48" customFormat="false" ht="15" hidden="false" customHeight="false" outlineLevel="0" collapsed="false">
      <c r="A48" s="23" t="s">
        <v>381</v>
      </c>
      <c r="B48" s="23" t="s">
        <v>382</v>
      </c>
      <c r="C48" s="29" t="n">
        <v>284.2</v>
      </c>
      <c r="D48" s="0" t="s">
        <v>363</v>
      </c>
      <c r="E48" s="0" t="s">
        <v>25</v>
      </c>
      <c r="F48" s="0" t="s">
        <v>383</v>
      </c>
    </row>
    <row r="49" customFormat="false" ht="15" hidden="false" customHeight="false" outlineLevel="0" collapsed="false">
      <c r="A49" s="23" t="s">
        <v>384</v>
      </c>
      <c r="B49" s="23" t="s">
        <v>385</v>
      </c>
      <c r="C49" s="29" t="n">
        <v>531.840979259459</v>
      </c>
      <c r="D49" s="0" t="s">
        <v>363</v>
      </c>
      <c r="E49" s="0" t="s">
        <v>25</v>
      </c>
      <c r="F49" s="0" t="s">
        <v>386</v>
      </c>
    </row>
    <row r="50" customFormat="false" ht="15" hidden="false" customHeight="false" outlineLevel="0" collapsed="false">
      <c r="A50" s="23" t="s">
        <v>387</v>
      </c>
      <c r="B50" s="23" t="s">
        <v>388</v>
      </c>
      <c r="C50" s="29" t="n">
        <v>659.157004259459</v>
      </c>
      <c r="D50" s="0" t="s">
        <v>363</v>
      </c>
      <c r="E50" s="0" t="s">
        <v>25</v>
      </c>
      <c r="F50" s="0" t="s">
        <v>389</v>
      </c>
    </row>
    <row r="51" customFormat="false" ht="15" hidden="false" customHeight="false" outlineLevel="0" collapsed="false">
      <c r="A51" s="0" t="s">
        <v>390</v>
      </c>
      <c r="B51" s="0" t="s">
        <v>391</v>
      </c>
      <c r="C51" s="5" t="n">
        <v>2643.77364301215</v>
      </c>
      <c r="D51" s="0" t="s">
        <v>258</v>
      </c>
      <c r="E51" s="0" t="s">
        <v>25</v>
      </c>
      <c r="F51" s="0" t="s">
        <v>392</v>
      </c>
    </row>
    <row r="52" customFormat="false" ht="15" hidden="false" customHeight="false" outlineLevel="0" collapsed="false">
      <c r="A52" s="0" t="s">
        <v>393</v>
      </c>
      <c r="B52" s="0" t="s">
        <v>394</v>
      </c>
      <c r="C52" s="5" t="n">
        <v>182.329216759459</v>
      </c>
      <c r="D52" s="0" t="s">
        <v>363</v>
      </c>
      <c r="E52" s="0" t="s">
        <v>25</v>
      </c>
      <c r="F52" s="0" t="s">
        <v>395</v>
      </c>
    </row>
    <row r="53" customFormat="false" ht="15" hidden="false" customHeight="false" outlineLevel="0" collapsed="false">
      <c r="A53" s="0" t="s">
        <v>396</v>
      </c>
      <c r="B53" s="0" t="s">
        <v>397</v>
      </c>
      <c r="C53" s="28" t="n">
        <v>12300</v>
      </c>
      <c r="D53" s="0" t="s">
        <v>258</v>
      </c>
      <c r="E53" s="0" t="s">
        <v>21</v>
      </c>
      <c r="F53" s="0" t="s">
        <v>398</v>
      </c>
    </row>
    <row r="54" customFormat="false" ht="15" hidden="false" customHeight="false" outlineLevel="0" collapsed="false">
      <c r="A54" s="0" t="s">
        <v>399</v>
      </c>
      <c r="B54" s="0" t="s">
        <v>400</v>
      </c>
      <c r="C54" s="26" t="n">
        <v>7000</v>
      </c>
      <c r="D54" s="0" t="s">
        <v>258</v>
      </c>
      <c r="E54" s="0" t="s">
        <v>74</v>
      </c>
      <c r="F54" s="0" t="s">
        <v>401</v>
      </c>
    </row>
    <row r="55" customFormat="false" ht="15" hidden="false" customHeight="false" outlineLevel="0" collapsed="false">
      <c r="A55" s="0" t="s">
        <v>402</v>
      </c>
      <c r="B55" s="0" t="s">
        <v>403</v>
      </c>
      <c r="C55" s="26" t="n">
        <v>9000</v>
      </c>
      <c r="D55" s="0" t="s">
        <v>258</v>
      </c>
      <c r="E55" s="0" t="s">
        <v>74</v>
      </c>
      <c r="F55" s="0" t="s">
        <v>404</v>
      </c>
    </row>
    <row r="57" customFormat="false" ht="15" hidden="false" customHeight="false" outlineLevel="0" collapsed="false">
      <c r="A57" s="19" t="s">
        <v>405</v>
      </c>
    </row>
    <row r="58" customFormat="false" ht="15" hidden="false" customHeight="false" outlineLevel="0" collapsed="false">
      <c r="A58" s="0" t="s">
        <v>406</v>
      </c>
      <c r="B58" s="0" t="s">
        <v>407</v>
      </c>
      <c r="C58" s="5" t="n">
        <f aca="false">$C$54/$C$47</f>
        <v>27.163368257664</v>
      </c>
      <c r="D58" s="0" t="s">
        <v>408</v>
      </c>
      <c r="E58" s="0" t="s">
        <v>25</v>
      </c>
      <c r="F58" s="0" t="s">
        <v>409</v>
      </c>
    </row>
    <row r="59" customFormat="false" ht="15" hidden="false" customHeight="false" outlineLevel="0" collapsed="false">
      <c r="A59" s="0" t="s">
        <v>410</v>
      </c>
      <c r="B59" s="0" t="s">
        <v>411</v>
      </c>
      <c r="C59" s="5" t="n">
        <f aca="false">$C$55/$C$48</f>
        <v>31.667839549613</v>
      </c>
      <c r="D59" s="0" t="s">
        <v>408</v>
      </c>
      <c r="E59" s="0" t="s">
        <v>25</v>
      </c>
      <c r="F59" s="0" t="s">
        <v>412</v>
      </c>
    </row>
    <row r="60" customFormat="false" ht="15" hidden="false" customHeight="false" outlineLevel="0" collapsed="false">
      <c r="A60" s="0" t="s">
        <v>413</v>
      </c>
      <c r="B60" s="0" t="s">
        <v>414</v>
      </c>
      <c r="C60" s="5" t="n">
        <f aca="false">$C$53/$C$49</f>
        <v>23.1272137343133</v>
      </c>
      <c r="D60" s="0" t="s">
        <v>408</v>
      </c>
      <c r="E60" s="0" t="s">
        <v>25</v>
      </c>
      <c r="F60" s="0" t="s">
        <v>415</v>
      </c>
    </row>
    <row r="61" customFormat="false" ht="15" hidden="false" customHeight="false" outlineLevel="0" collapsed="false">
      <c r="A61" s="0" t="s">
        <v>416</v>
      </c>
      <c r="B61" s="0" t="s">
        <v>417</v>
      </c>
      <c r="C61" s="5" t="n">
        <f aca="false">($C$53-$C$51)/($C$49-$C$52)</f>
        <v>27.627757898385</v>
      </c>
      <c r="D61" s="0" t="s">
        <v>408</v>
      </c>
      <c r="E61" s="0" t="s">
        <v>25</v>
      </c>
      <c r="F61" s="0" t="s">
        <v>418</v>
      </c>
    </row>
    <row r="62" customFormat="false" ht="15" hidden="false" customHeight="false" outlineLevel="0" collapsed="false">
      <c r="A62" s="0" t="s">
        <v>419</v>
      </c>
      <c r="B62" s="0" t="s">
        <v>420</v>
      </c>
      <c r="C62" s="5" t="n">
        <f aca="false">$C$53/$C$50</f>
        <v>18.6601976775148</v>
      </c>
      <c r="D62" s="0" t="s">
        <v>408</v>
      </c>
      <c r="E62" s="0" t="s">
        <v>25</v>
      </c>
      <c r="F62" s="0" t="s">
        <v>421</v>
      </c>
    </row>
    <row r="63" customFormat="false" ht="15" hidden="false" customHeight="false" outlineLevel="0" collapsed="false">
      <c r="A63" s="0" t="s">
        <v>422</v>
      </c>
      <c r="B63" s="0" t="s">
        <v>423</v>
      </c>
      <c r="C63" s="5" t="n">
        <f aca="false">($C$53-$C$51)/($C$50-$C$52)</f>
        <v>20.2509723848421</v>
      </c>
      <c r="D63" s="0" t="s">
        <v>408</v>
      </c>
      <c r="E63" s="0" t="s">
        <v>25</v>
      </c>
      <c r="F63" s="0" t="s">
        <v>424</v>
      </c>
    </row>
    <row r="64" customFormat="false" ht="15" hidden="false" customHeight="false" outlineLevel="0" collapsed="false">
      <c r="A64" s="0" t="s">
        <v>425</v>
      </c>
      <c r="B64" s="0" t="s">
        <v>426</v>
      </c>
      <c r="C64" s="5" t="n">
        <f aca="false">($C$53/16)/$C$49</f>
        <v>1.44545085839458</v>
      </c>
      <c r="D64" s="0" t="s">
        <v>53</v>
      </c>
      <c r="E64" s="0" t="s">
        <v>25</v>
      </c>
      <c r="F64" s="0" t="s">
        <v>427</v>
      </c>
    </row>
    <row r="65" customFormat="false" ht="15" hidden="false" customHeight="false" outlineLevel="0" collapsed="false">
      <c r="A65" s="0" t="s">
        <v>428</v>
      </c>
      <c r="B65" s="0" t="s">
        <v>429</v>
      </c>
      <c r="C65" s="5" t="n">
        <f aca="false">($C$53/16)/$C$50</f>
        <v>1.16626235484468</v>
      </c>
      <c r="D65" s="0" t="s">
        <v>53</v>
      </c>
      <c r="E65" s="0" t="s">
        <v>25</v>
      </c>
      <c r="F65" s="0" t="s">
        <v>430</v>
      </c>
    </row>
    <row r="66" customFormat="false" ht="15" hidden="false" customHeight="false" outlineLevel="0" collapsed="false">
      <c r="A66" s="0" t="s">
        <v>431</v>
      </c>
      <c r="B66" s="0" t="s">
        <v>432</v>
      </c>
      <c r="C66" s="5" t="n">
        <f aca="false">($C$45/$C$44-1)*100</f>
        <v>5.04538584025995</v>
      </c>
      <c r="D66" s="0" t="s">
        <v>80</v>
      </c>
      <c r="E66" s="0" t="s">
        <v>25</v>
      </c>
      <c r="F66" s="0" t="s">
        <v>433</v>
      </c>
    </row>
    <row r="67" customFormat="false" ht="15" hidden="false" customHeight="false" outlineLevel="0" collapsed="false">
      <c r="A67" s="0" t="s">
        <v>434</v>
      </c>
      <c r="B67" s="0" t="s">
        <v>435</v>
      </c>
      <c r="C67" s="3" t="n">
        <f aca="false">AVERAGE($C$42,$C$43)</f>
        <v>176.141025641026</v>
      </c>
      <c r="D67" s="0" t="s">
        <v>363</v>
      </c>
      <c r="E67" s="0" t="s">
        <v>21</v>
      </c>
      <c r="F67" s="0" t="s">
        <v>436</v>
      </c>
    </row>
    <row r="68" customFormat="false" ht="15" hidden="false" customHeight="false" outlineLevel="0" collapsed="false">
      <c r="A68" s="0" t="s">
        <v>437</v>
      </c>
      <c r="B68" s="0" t="s">
        <v>438</v>
      </c>
      <c r="C68" s="5" t="n">
        <f aca="false">$C$47/AVERAGE($C$42,$C$43)</f>
        <v>1.463032243977</v>
      </c>
      <c r="D68" s="0" t="s">
        <v>53</v>
      </c>
      <c r="E68" s="0" t="s">
        <v>25</v>
      </c>
      <c r="F68" s="0" t="s">
        <v>439</v>
      </c>
    </row>
    <row r="69" customFormat="false" ht="15" hidden="false" customHeight="false" outlineLevel="0" collapsed="false">
      <c r="A69" s="0" t="s">
        <v>440</v>
      </c>
      <c r="B69" s="0" t="s">
        <v>441</v>
      </c>
      <c r="C69" s="5" t="n">
        <f aca="false">$C$48/AVERAGE($C$42,$C$43)</f>
        <v>1.61347987480894</v>
      </c>
      <c r="D69" s="0" t="s">
        <v>53</v>
      </c>
      <c r="E69" s="0" t="s">
        <v>25</v>
      </c>
    </row>
    <row r="71" customFormat="false" ht="30" hidden="false" customHeight="true" outlineLevel="0" collapsed="false">
      <c r="A71" s="19" t="s">
        <v>442</v>
      </c>
      <c r="B71" s="1" t="s">
        <v>443</v>
      </c>
      <c r="C71" s="1"/>
      <c r="D71" s="1"/>
      <c r="E71" s="1"/>
      <c r="F71" s="1"/>
    </row>
    <row r="72" customFormat="false" ht="30" hidden="false" customHeight="true" outlineLevel="0" collapsed="false">
      <c r="A72" s="19" t="s">
        <v>444</v>
      </c>
      <c r="B72" s="1" t="s">
        <v>445</v>
      </c>
      <c r="C72" s="1"/>
      <c r="D72" s="1"/>
      <c r="E72" s="1"/>
      <c r="F72" s="1"/>
    </row>
    <row r="73" customFormat="false" ht="30" hidden="false" customHeight="true" outlineLevel="0" collapsed="false">
      <c r="A73" s="19" t="s">
        <v>446</v>
      </c>
      <c r="B73" s="1" t="s">
        <v>447</v>
      </c>
      <c r="C73" s="1"/>
      <c r="D73" s="1"/>
      <c r="E73" s="1"/>
      <c r="F73" s="1"/>
    </row>
    <row r="74" customFormat="false" ht="30" hidden="false" customHeight="true" outlineLevel="0" collapsed="false">
      <c r="A74" s="19" t="s">
        <v>448</v>
      </c>
      <c r="B74" s="1" t="s">
        <v>449</v>
      </c>
      <c r="C74" s="1"/>
      <c r="D74" s="1"/>
      <c r="E74" s="1"/>
      <c r="F74" s="1"/>
    </row>
    <row r="75" customFormat="false" ht="30" hidden="false" customHeight="true" outlineLevel="0" collapsed="false">
      <c r="A75" s="19" t="s">
        <v>450</v>
      </c>
      <c r="B75" s="1" t="s">
        <v>451</v>
      </c>
      <c r="C75" s="1"/>
      <c r="D75" s="1"/>
      <c r="E75" s="1"/>
      <c r="F75" s="1"/>
    </row>
  </sheetData>
  <mergeCells count="5">
    <mergeCell ref="B71:F71"/>
    <mergeCell ref="B72:F72"/>
    <mergeCell ref="B73:F73"/>
    <mergeCell ref="B74:F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3" min="21" style="0" width="10"/>
    <col collapsed="false" customWidth="true" hidden="false" outlineLevel="0" max="24" min="24" style="0" width="9"/>
    <col collapsed="false" customWidth="true" hidden="false" outlineLevel="0" max="25" min="25" style="0" width="50"/>
    <col collapsed="false" customWidth="true" hidden="false" outlineLevel="0" max="26" min="26" style="0" width="60"/>
  </cols>
  <sheetData>
    <row r="1" customFormat="false" ht="60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customFormat="false" ht="45" hidden="false" customHeight="true" outlineLevel="0" collapsed="false">
      <c r="A3" s="2" t="s">
        <v>1</v>
      </c>
      <c r="B3" s="2" t="s">
        <v>453</v>
      </c>
      <c r="C3" s="2" t="s">
        <v>454</v>
      </c>
      <c r="D3" s="2" t="s">
        <v>455</v>
      </c>
      <c r="E3" s="2" t="s">
        <v>456</v>
      </c>
      <c r="F3" s="2" t="s">
        <v>457</v>
      </c>
      <c r="G3" s="2" t="s">
        <v>458</v>
      </c>
      <c r="H3" s="2" t="s">
        <v>459</v>
      </c>
      <c r="I3" s="2" t="s">
        <v>460</v>
      </c>
      <c r="J3" s="2" t="s">
        <v>461</v>
      </c>
      <c r="K3" s="2" t="s">
        <v>462</v>
      </c>
      <c r="L3" s="2" t="s">
        <v>463</v>
      </c>
      <c r="M3" s="2" t="s">
        <v>464</v>
      </c>
      <c r="N3" s="2" t="s">
        <v>465</v>
      </c>
      <c r="O3" s="2" t="s">
        <v>308</v>
      </c>
      <c r="P3" s="2" t="s">
        <v>466</v>
      </c>
      <c r="Q3" s="2" t="s">
        <v>467</v>
      </c>
      <c r="R3" s="2" t="s">
        <v>468</v>
      </c>
      <c r="S3" s="2" t="s">
        <v>469</v>
      </c>
      <c r="T3" s="2" t="s">
        <v>470</v>
      </c>
      <c r="U3" s="2" t="s">
        <v>471</v>
      </c>
      <c r="V3" s="2" t="s">
        <v>472</v>
      </c>
      <c r="W3" s="2" t="s">
        <v>473</v>
      </c>
      <c r="X3" s="2" t="s">
        <v>474</v>
      </c>
      <c r="Y3" s="2" t="s">
        <v>475</v>
      </c>
      <c r="Z3" s="2" t="s">
        <v>476</v>
      </c>
    </row>
    <row r="4" customFormat="false" ht="82.05" hidden="false" customHeight="false" outlineLevel="0" collapsed="false">
      <c r="A4" s="0" t="s">
        <v>477</v>
      </c>
      <c r="B4" s="25" t="s">
        <v>478</v>
      </c>
      <c r="C4" s="0" t="s">
        <v>4</v>
      </c>
      <c r="D4" s="0" t="s">
        <v>479</v>
      </c>
      <c r="E4" s="0" t="s">
        <v>480</v>
      </c>
      <c r="F4" s="0" t="s">
        <v>481</v>
      </c>
      <c r="G4" s="26" t="n">
        <v>17392.9</v>
      </c>
      <c r="H4" s="0" t="s">
        <v>74</v>
      </c>
      <c r="I4" s="0" t="n">
        <v>5</v>
      </c>
      <c r="J4" s="0" t="s">
        <v>482</v>
      </c>
      <c r="K4" s="0" t="s">
        <v>483</v>
      </c>
      <c r="L4" s="0" t="n">
        <v>240</v>
      </c>
      <c r="M4" s="0" t="s">
        <v>484</v>
      </c>
      <c r="N4" s="0" t="s">
        <v>485</v>
      </c>
      <c r="O4" s="0" t="n">
        <v>100000</v>
      </c>
      <c r="P4" s="0" t="s">
        <v>486</v>
      </c>
      <c r="Q4" s="7" t="n">
        <f aca="false">IF(AND(ISNUMBER(G4),ISNUMBER(I4)),G4/I4,"n/d")</f>
        <v>3478.58</v>
      </c>
      <c r="R4" s="7"/>
      <c r="S4" s="7"/>
      <c r="T4" s="7" t="n">
        <v>3.971</v>
      </c>
      <c r="U4" s="7" t="str">
        <f aca="false">IF(AND(ISNUMBER(S4),ISNUMBER(W4)),ROUND(W4-S4,2),IF(AND(ISNUMBER(R4),ISNUMBER(V4)),ROUND(V4-R4,2),""))</f>
        <v/>
      </c>
      <c r="V4" s="7" t="str">
        <f aca="false">IF(AND(ISNUMBER(Q4),ISNUMBER(J4)),Q4/J4,"n/d")</f>
        <v>n/d</v>
      </c>
      <c r="W4" s="7" t="n">
        <f aca="false">IF(AND(ISNUMBER(Q4),ISNUMBER(L4)),Q4/L4,"n/d")</f>
        <v>14.4940833333333</v>
      </c>
      <c r="X4" s="7" t="n">
        <f aca="false">IF(AND(ISNUMBER(G4),ISNUMBER(I4),ISNUMBER(O4)),G4*1000000/(O4*I4*8760),"n/d")</f>
        <v>3.97098173515982</v>
      </c>
      <c r="Y4" s="0" t="s">
        <v>487</v>
      </c>
      <c r="Z4" s="9" t="s">
        <v>488</v>
      </c>
    </row>
    <row r="5" customFormat="false" ht="55.2" hidden="false" customHeight="false" outlineLevel="0" collapsed="false">
      <c r="A5" s="0" t="s">
        <v>489</v>
      </c>
      <c r="B5" s="21" t="s">
        <v>490</v>
      </c>
      <c r="C5" s="0" t="s">
        <v>4</v>
      </c>
      <c r="D5" s="0" t="s">
        <v>491</v>
      </c>
      <c r="E5" s="0" t="s">
        <v>480</v>
      </c>
      <c r="F5" s="0" t="s">
        <v>481</v>
      </c>
      <c r="G5" s="26" t="n">
        <v>19400</v>
      </c>
      <c r="H5" s="0" t="s">
        <v>492</v>
      </c>
      <c r="I5" s="0" t="n">
        <v>5</v>
      </c>
      <c r="J5" s="0" t="n">
        <v>300</v>
      </c>
      <c r="K5" s="0" t="s">
        <v>493</v>
      </c>
      <c r="L5" s="0" t="n">
        <v>203.666</v>
      </c>
      <c r="M5" s="0" t="s">
        <v>494</v>
      </c>
      <c r="N5" s="0" t="s">
        <v>495</v>
      </c>
      <c r="O5" s="0" t="n">
        <v>100000</v>
      </c>
      <c r="P5" s="0" t="s">
        <v>486</v>
      </c>
      <c r="Q5" s="7" t="n">
        <f aca="false">IF(AND(ISNUMBER(G5),ISNUMBER(I5)),G5/I5,"n/d")</f>
        <v>3880</v>
      </c>
      <c r="R5" s="7" t="n">
        <v>12.933</v>
      </c>
      <c r="S5" s="7" t="n">
        <v>19.051</v>
      </c>
      <c r="T5" s="7" t="n">
        <v>4.429</v>
      </c>
      <c r="U5" s="7" t="n">
        <f aca="false">IF(AND(ISNUMBER(S5),ISNUMBER(W5)),ROUND(W5-S5,2),IF(AND(ISNUMBER(R5),ISNUMBER(V5)),ROUND(V5-R5,2),""))</f>
        <v>-0</v>
      </c>
      <c r="V5" s="7" t="n">
        <f aca="false">IF(AND(ISNUMBER(Q5),ISNUMBER(J5)),Q5/J5,"n/d")</f>
        <v>12.9333333333333</v>
      </c>
      <c r="W5" s="7" t="n">
        <f aca="false">IF(AND(ISNUMBER(Q5),ISNUMBER(L5)),Q5/L5,"n/d")</f>
        <v>19.0507988569521</v>
      </c>
      <c r="X5" s="7" t="n">
        <f aca="false">IF(AND(ISNUMBER(G5),ISNUMBER(I5),ISNUMBER(O5)),G5*1000000/(O5*I5*8760),"n/d")</f>
        <v>4.42922374429224</v>
      </c>
      <c r="Y5" s="0" t="s">
        <v>496</v>
      </c>
      <c r="Z5" s="9" t="s">
        <v>497</v>
      </c>
    </row>
    <row r="6" customFormat="false" ht="28.35" hidden="false" customHeight="false" outlineLevel="0" collapsed="false">
      <c r="A6" s="0" t="s">
        <v>498</v>
      </c>
      <c r="B6" s="25" t="s">
        <v>478</v>
      </c>
      <c r="C6" s="0" t="s">
        <v>4</v>
      </c>
      <c r="D6" s="0" t="s">
        <v>499</v>
      </c>
      <c r="E6" s="0" t="s">
        <v>480</v>
      </c>
      <c r="F6" s="0" t="s">
        <v>500</v>
      </c>
      <c r="G6" s="26" t="n">
        <v>2880.7</v>
      </c>
      <c r="H6" s="0" t="s">
        <v>74</v>
      </c>
      <c r="I6" s="0" t="n">
        <v>5</v>
      </c>
      <c r="J6" s="0" t="s">
        <v>24</v>
      </c>
      <c r="K6" s="0" t="s">
        <v>501</v>
      </c>
      <c r="L6" s="0" t="n">
        <v>50</v>
      </c>
      <c r="M6" s="0" t="s">
        <v>502</v>
      </c>
      <c r="N6" s="0" t="s">
        <v>24</v>
      </c>
      <c r="Q6" s="7" t="n">
        <f aca="false">IF(AND(ISNUMBER(G6),ISNUMBER(I6)),G6/I6,"n/d")</f>
        <v>576.14</v>
      </c>
      <c r="R6" s="7"/>
      <c r="S6" s="7" t="n">
        <v>11.523</v>
      </c>
      <c r="T6" s="7"/>
      <c r="U6" s="7" t="n">
        <f aca="false">IF(AND(ISNUMBER(S6),ISNUMBER(W6)),ROUND(W6-S6,2),IF(AND(ISNUMBER(R6),ISNUMBER(V6)),ROUND(V6-R6,2),""))</f>
        <v>-0</v>
      </c>
      <c r="V6" s="7" t="str">
        <f aca="false">IF(AND(ISNUMBER(Q6),ISNUMBER(J6)),Q6/J6,"n/d")</f>
        <v>n/d</v>
      </c>
      <c r="W6" s="7" t="n">
        <f aca="false">IF(AND(ISNUMBER(Q6),ISNUMBER(L6)),Q6/L6,"n/d")</f>
        <v>11.5228</v>
      </c>
      <c r="X6" s="7" t="str">
        <f aca="false">IF(AND(ISNUMBER(G6),ISNUMBER(I6),ISNUMBER(O6)),G6*1000000/(O6*I6*8760),"n/d")</f>
        <v>n/d</v>
      </c>
      <c r="Y6" s="0" t="s">
        <v>503</v>
      </c>
      <c r="Z6" s="9" t="s">
        <v>504</v>
      </c>
    </row>
    <row r="7" customFormat="false" ht="28.35" hidden="false" customHeight="false" outlineLevel="0" collapsed="false">
      <c r="A7" s="0" t="s">
        <v>505</v>
      </c>
      <c r="B7" s="25" t="s">
        <v>478</v>
      </c>
      <c r="C7" s="0" t="s">
        <v>4</v>
      </c>
      <c r="D7" s="0" t="s">
        <v>506</v>
      </c>
      <c r="E7" s="0" t="s">
        <v>480</v>
      </c>
      <c r="F7" s="0" t="s">
        <v>507</v>
      </c>
      <c r="G7" s="26" t="n">
        <v>12000</v>
      </c>
      <c r="H7" s="0" t="s">
        <v>74</v>
      </c>
      <c r="I7" s="0" t="n">
        <v>5</v>
      </c>
      <c r="J7" s="0" t="s">
        <v>24</v>
      </c>
      <c r="K7" s="0" t="s">
        <v>501</v>
      </c>
      <c r="N7" s="0" t="s">
        <v>508</v>
      </c>
      <c r="Q7" s="7" t="n">
        <f aca="false">IF(AND(ISNUMBER(G7),ISNUMBER(I7)),G7/I7,"n/d")</f>
        <v>2400</v>
      </c>
      <c r="R7" s="7"/>
      <c r="S7" s="7"/>
      <c r="T7" s="7"/>
      <c r="U7" s="7" t="str">
        <f aca="false">IF(AND(ISNUMBER(S7),ISNUMBER(W7)),ROUND(W7-S7,2),IF(AND(ISNUMBER(R7),ISNUMBER(V7)),ROUND(V7-R7,2),""))</f>
        <v/>
      </c>
      <c r="V7" s="7" t="str">
        <f aca="false">IF(AND(ISNUMBER(Q7),ISNUMBER(J7)),Q7/J7,"n/d")</f>
        <v>n/d</v>
      </c>
      <c r="W7" s="7" t="str">
        <f aca="false">IF(AND(ISNUMBER(Q7),ISNUMBER(L7)),Q7/L7,"n/d")</f>
        <v>n/d</v>
      </c>
      <c r="X7" s="7" t="str">
        <f aca="false">IF(AND(ISNUMBER(G7),ISNUMBER(I7),ISNUMBER(O7)),G7*1000000/(O7*I7*8760),"n/d")</f>
        <v>n/d</v>
      </c>
      <c r="Y7" s="0" t="s">
        <v>509</v>
      </c>
      <c r="Z7" s="9" t="s">
        <v>510</v>
      </c>
    </row>
    <row r="8" customFormat="false" ht="15" hidden="false" customHeight="false" outlineLevel="0" collapsed="false">
      <c r="A8" s="0" t="s">
        <v>511</v>
      </c>
      <c r="B8" s="25" t="s">
        <v>478</v>
      </c>
      <c r="C8" s="0" t="s">
        <v>4</v>
      </c>
      <c r="D8" s="0" t="s">
        <v>512</v>
      </c>
      <c r="E8" s="0" t="s">
        <v>480</v>
      </c>
      <c r="F8" s="0" t="s">
        <v>507</v>
      </c>
      <c r="G8" s="26" t="n">
        <v>15000</v>
      </c>
      <c r="H8" s="0" t="s">
        <v>513</v>
      </c>
      <c r="I8" s="0" t="n">
        <v>5</v>
      </c>
      <c r="J8" s="0" t="s">
        <v>24</v>
      </c>
      <c r="N8" s="0" t="s">
        <v>24</v>
      </c>
      <c r="Q8" s="7" t="n">
        <f aca="false">IF(AND(ISNUMBER(G8),ISNUMBER(I8)),G8/I8,"n/d")</f>
        <v>3000</v>
      </c>
      <c r="R8" s="7"/>
      <c r="S8" s="7"/>
      <c r="T8" s="7"/>
      <c r="U8" s="7" t="str">
        <f aca="false">IF(AND(ISNUMBER(S8),ISNUMBER(W8)),ROUND(W8-S8,2),IF(AND(ISNUMBER(R8),ISNUMBER(V8)),ROUND(V8-R8,2),""))</f>
        <v/>
      </c>
      <c r="V8" s="7" t="str">
        <f aca="false">IF(AND(ISNUMBER(Q8),ISNUMBER(J8)),Q8/J8,"n/d")</f>
        <v>n/d</v>
      </c>
      <c r="W8" s="7" t="str">
        <f aca="false">IF(AND(ISNUMBER(Q8),ISNUMBER(L8)),Q8/L8,"n/d")</f>
        <v>n/d</v>
      </c>
      <c r="X8" s="7" t="str">
        <f aca="false">IF(AND(ISNUMBER(G8),ISNUMBER(I8),ISNUMBER(O8)),G8*1000000/(O8*I8*8760),"n/d")</f>
        <v>n/d</v>
      </c>
      <c r="Y8" s="0" t="s">
        <v>514</v>
      </c>
      <c r="Z8" s="9" t="s">
        <v>515</v>
      </c>
    </row>
    <row r="9" customFormat="false" ht="41.75" hidden="false" customHeight="false" outlineLevel="0" collapsed="false">
      <c r="A9" s="0" t="s">
        <v>516</v>
      </c>
      <c r="B9" s="25" t="s">
        <v>517</v>
      </c>
      <c r="C9" s="0" t="s">
        <v>4</v>
      </c>
      <c r="D9" s="0" t="s">
        <v>518</v>
      </c>
      <c r="E9" s="0" t="s">
        <v>519</v>
      </c>
      <c r="F9" s="0" t="s">
        <v>520</v>
      </c>
      <c r="G9" s="4" t="s">
        <v>24</v>
      </c>
      <c r="J9" s="0" t="s">
        <v>24</v>
      </c>
      <c r="N9" s="0" t="s">
        <v>24</v>
      </c>
      <c r="Q9" s="7" t="str">
        <f aca="false">IF(AND(ISNUMBER(G9),ISNUMBER(I9)),G9/I9,"n/d")</f>
        <v>n/d</v>
      </c>
      <c r="R9" s="7" t="s">
        <v>521</v>
      </c>
      <c r="S9" s="7"/>
      <c r="T9" s="7"/>
      <c r="U9" s="7" t="str">
        <f aca="false">IF(AND(ISNUMBER(S9),ISNUMBER(W9)),ROUND(W9-S9,2),IF(AND(ISNUMBER(R9),ISNUMBER(V9)),ROUND(V9-R9,2),""))</f>
        <v/>
      </c>
      <c r="V9" s="7" t="str">
        <f aca="false">IF(AND(ISNUMBER(Q9),ISNUMBER(J9)),Q9/J9,"n/d")</f>
        <v>n/d</v>
      </c>
      <c r="W9" s="7" t="str">
        <f aca="false">IF(AND(ISNUMBER(Q9),ISNUMBER(L9)),Q9/L9,"n/d")</f>
        <v>n/d</v>
      </c>
      <c r="X9" s="7" t="str">
        <f aca="false">IF(AND(ISNUMBER(G9),ISNUMBER(I9),ISNUMBER(O9)),G9*1000000/(O9*I9*8760),"n/d")</f>
        <v>n/d</v>
      </c>
      <c r="Y9" s="0" t="s">
        <v>522</v>
      </c>
      <c r="Z9" s="9" t="s">
        <v>523</v>
      </c>
    </row>
    <row r="10" customFormat="false" ht="15" hidden="false" customHeight="false" outlineLevel="0" collapsed="false">
      <c r="A10" s="0" t="s">
        <v>524</v>
      </c>
      <c r="B10" s="25" t="s">
        <v>478</v>
      </c>
      <c r="C10" s="0" t="s">
        <v>8</v>
      </c>
      <c r="D10" s="0" t="s">
        <v>479</v>
      </c>
      <c r="E10" s="0" t="s">
        <v>480</v>
      </c>
      <c r="F10" s="0" t="s">
        <v>525</v>
      </c>
      <c r="G10" s="26" t="n">
        <v>9700</v>
      </c>
      <c r="H10" s="0" t="s">
        <v>74</v>
      </c>
      <c r="I10" s="0" t="n">
        <v>5</v>
      </c>
      <c r="J10" s="0" t="n">
        <v>200</v>
      </c>
      <c r="K10" s="0" t="s">
        <v>526</v>
      </c>
      <c r="L10" s="0" t="n">
        <v>200</v>
      </c>
      <c r="M10" s="0" t="s">
        <v>74</v>
      </c>
      <c r="N10" s="0" t="s">
        <v>527</v>
      </c>
      <c r="O10" s="0" t="n">
        <v>98200</v>
      </c>
      <c r="P10" s="0" t="s">
        <v>528</v>
      </c>
      <c r="Q10" s="7" t="n">
        <f aca="false">IF(AND(ISNUMBER(G10),ISNUMBER(I10)),G10/I10,"n/d")</f>
        <v>1940</v>
      </c>
      <c r="R10" s="7" t="n">
        <v>9.7</v>
      </c>
      <c r="S10" s="7" t="n">
        <v>9.7</v>
      </c>
      <c r="T10" s="7" t="n">
        <v>2.255</v>
      </c>
      <c r="U10" s="7" t="n">
        <f aca="false">IF(AND(ISNUMBER(S10),ISNUMBER(W10)),ROUND(W10-S10,2),IF(AND(ISNUMBER(R10),ISNUMBER(V10)),ROUND(V10-R10,2),""))</f>
        <v>0</v>
      </c>
      <c r="V10" s="7" t="n">
        <f aca="false">IF(AND(ISNUMBER(Q10),ISNUMBER(J10)),Q10/J10,"n/d")</f>
        <v>9.7</v>
      </c>
      <c r="W10" s="7" t="n">
        <f aca="false">IF(AND(ISNUMBER(Q10),ISNUMBER(L10)),Q10/L10,"n/d")</f>
        <v>9.7</v>
      </c>
      <c r="X10" s="7" t="n">
        <f aca="false">IF(AND(ISNUMBER(G10),ISNUMBER(I10),ISNUMBER(O10)),G10*1000000/(O10*I10*8760),"n/d")</f>
        <v>2.25520557245022</v>
      </c>
      <c r="Y10" s="0" t="s">
        <v>529</v>
      </c>
      <c r="Z10" s="9" t="s">
        <v>530</v>
      </c>
    </row>
    <row r="11" customFormat="false" ht="41.75" hidden="false" customHeight="false" outlineLevel="0" collapsed="false">
      <c r="A11" s="0" t="s">
        <v>531</v>
      </c>
      <c r="B11" s="21" t="s">
        <v>532</v>
      </c>
      <c r="C11" s="0" t="s">
        <v>8</v>
      </c>
      <c r="D11" s="0" t="s">
        <v>533</v>
      </c>
      <c r="E11" s="0" t="s">
        <v>534</v>
      </c>
      <c r="F11" s="0" t="s">
        <v>535</v>
      </c>
      <c r="G11" s="26" t="n">
        <v>3400</v>
      </c>
      <c r="H11" s="0" t="s">
        <v>74</v>
      </c>
      <c r="I11" s="0" t="n">
        <v>5</v>
      </c>
      <c r="J11" s="0" t="n">
        <v>60</v>
      </c>
      <c r="K11" s="0" t="s">
        <v>536</v>
      </c>
      <c r="N11" s="0" t="s">
        <v>537</v>
      </c>
      <c r="P11" s="0" t="s">
        <v>24</v>
      </c>
      <c r="Q11" s="7" t="n">
        <f aca="false">IF(AND(ISNUMBER(G11),ISNUMBER(I11)),G11/I11,"n/d")</f>
        <v>680</v>
      </c>
      <c r="R11" s="7"/>
      <c r="S11" s="7"/>
      <c r="T11" s="7"/>
      <c r="U11" s="7" t="str">
        <f aca="false">IF(AND(ISNUMBER(S11),ISNUMBER(W11)),ROUND(W11-S11,2),IF(AND(ISNUMBER(R11),ISNUMBER(V11)),ROUND(V11-R11,2),""))</f>
        <v/>
      </c>
      <c r="V11" s="7" t="n">
        <f aca="false">IF(AND(ISNUMBER(Q11),ISNUMBER(J11)),Q11/J11,"n/d")</f>
        <v>11.3333333333333</v>
      </c>
      <c r="W11" s="7" t="str">
        <f aca="false">IF(AND(ISNUMBER(Q11),ISNUMBER(L11)),Q11/L11,"n/d")</f>
        <v>n/d</v>
      </c>
      <c r="X11" s="7" t="str">
        <f aca="false">IF(AND(ISNUMBER(G11),ISNUMBER(I11),ISNUMBER(O11)),G11*1000000/(O11*I11*8760),"n/d")</f>
        <v>n/d</v>
      </c>
      <c r="Y11" s="0" t="s">
        <v>538</v>
      </c>
      <c r="Z11" s="9" t="s">
        <v>539</v>
      </c>
    </row>
    <row r="12" customFormat="false" ht="15" hidden="false" customHeight="false" outlineLevel="0" collapsed="false">
      <c r="A12" s="0" t="s">
        <v>540</v>
      </c>
      <c r="B12" s="25" t="s">
        <v>517</v>
      </c>
      <c r="C12" s="0" t="s">
        <v>8</v>
      </c>
      <c r="D12" s="0" t="s">
        <v>541</v>
      </c>
      <c r="E12" s="0" t="s">
        <v>519</v>
      </c>
      <c r="F12" s="0" t="s">
        <v>542</v>
      </c>
      <c r="G12" s="4" t="s">
        <v>24</v>
      </c>
      <c r="I12" s="0" t="n">
        <v>3</v>
      </c>
      <c r="J12" s="0" t="s">
        <v>24</v>
      </c>
      <c r="K12" s="0" t="s">
        <v>526</v>
      </c>
      <c r="N12" s="0" t="s">
        <v>24</v>
      </c>
      <c r="Q12" s="7" t="str">
        <f aca="false">IF(AND(ISNUMBER(G12),ISNUMBER(I12)),G12/I12,"n/d")</f>
        <v>n/d</v>
      </c>
      <c r="R12" s="7" t="s">
        <v>543</v>
      </c>
      <c r="S12" s="7"/>
      <c r="T12" s="7"/>
      <c r="U12" s="7" t="str">
        <f aca="false">IF(AND(ISNUMBER(S12),ISNUMBER(W12)),ROUND(W12-S12,2),IF(AND(ISNUMBER(R12),ISNUMBER(V12)),ROUND(V12-R12,2),""))</f>
        <v/>
      </c>
      <c r="V12" s="7" t="str">
        <f aca="false">IF(AND(ISNUMBER(Q12),ISNUMBER(J12)),Q12/J12,"n/d")</f>
        <v>n/d</v>
      </c>
      <c r="W12" s="7" t="str">
        <f aca="false">IF(AND(ISNUMBER(Q12),ISNUMBER(L12)),Q12/L12,"n/d")</f>
        <v>n/d</v>
      </c>
      <c r="X12" s="7" t="str">
        <f aca="false">IF(AND(ISNUMBER(G12),ISNUMBER(I12),ISNUMBER(O12)),G12*1000000/(O12*I12*8760),"n/d")</f>
        <v>n/d</v>
      </c>
      <c r="Y12" s="0" t="s">
        <v>544</v>
      </c>
      <c r="Z12" s="9" t="s">
        <v>545</v>
      </c>
    </row>
    <row r="13" customFormat="false" ht="15" hidden="false" customHeight="false" outlineLevel="0" collapsed="false">
      <c r="A13" s="0" t="s">
        <v>546</v>
      </c>
      <c r="B13" s="25" t="s">
        <v>478</v>
      </c>
      <c r="C13" s="0" t="s">
        <v>10</v>
      </c>
      <c r="D13" s="0" t="s">
        <v>547</v>
      </c>
      <c r="E13" s="0" t="s">
        <v>480</v>
      </c>
      <c r="F13" s="0" t="s">
        <v>548</v>
      </c>
      <c r="G13" s="26" t="n">
        <v>43800</v>
      </c>
      <c r="H13" s="0" t="s">
        <v>492</v>
      </c>
      <c r="I13" s="0" t="n">
        <v>5.5</v>
      </c>
      <c r="J13" s="0" t="s">
        <v>88</v>
      </c>
      <c r="L13" s="0" t="n">
        <v>596.474</v>
      </c>
      <c r="M13" s="0" t="s">
        <v>549</v>
      </c>
      <c r="N13" s="0" t="s">
        <v>550</v>
      </c>
      <c r="O13" s="0" t="n">
        <v>257600</v>
      </c>
      <c r="P13" s="0" t="s">
        <v>551</v>
      </c>
      <c r="Q13" s="7" t="n">
        <f aca="false">IF(AND(ISNUMBER(G13),ISNUMBER(I13)),G13/I13,"n/d")</f>
        <v>7963.63636363636</v>
      </c>
      <c r="R13" s="7"/>
      <c r="S13" s="7" t="n">
        <v>13.351</v>
      </c>
      <c r="T13" s="7" t="n">
        <v>3.529</v>
      </c>
      <c r="U13" s="7" t="n">
        <f aca="false">IF(AND(ISNUMBER(S13),ISNUMBER(W13)),ROUND(W13-S13,2),IF(AND(ISNUMBER(R13),ISNUMBER(V13)),ROUND(V13-R13,2),""))</f>
        <v>0</v>
      </c>
      <c r="V13" s="7" t="str">
        <f aca="false">IF(AND(ISNUMBER(Q13),ISNUMBER(J13)),Q13/J13,"n/d")</f>
        <v>n/d</v>
      </c>
      <c r="W13" s="7" t="n">
        <f aca="false">IF(AND(ISNUMBER(Q13),ISNUMBER(L13)),Q13/L13,"n/d")</f>
        <v>13.3511877527543</v>
      </c>
      <c r="X13" s="7" t="n">
        <f aca="false">IF(AND(ISNUMBER(G13),ISNUMBER(I13),ISNUMBER(O13)),G13*1000000/(O13*I13*8760),"n/d")</f>
        <v>3.52907961603614</v>
      </c>
      <c r="Y13" s="0" t="s">
        <v>552</v>
      </c>
      <c r="Z13" s="9"/>
    </row>
    <row r="14" customFormat="false" ht="15" hidden="false" customHeight="false" outlineLevel="0" collapsed="false">
      <c r="A14" s="0" t="s">
        <v>553</v>
      </c>
      <c r="B14" s="25" t="s">
        <v>478</v>
      </c>
      <c r="C14" s="0" t="s">
        <v>554</v>
      </c>
      <c r="D14" s="0" t="s">
        <v>555</v>
      </c>
      <c r="E14" s="0" t="s">
        <v>480</v>
      </c>
      <c r="F14" s="0" t="s">
        <v>556</v>
      </c>
      <c r="G14" s="26" t="n">
        <v>6200</v>
      </c>
      <c r="H14" s="0" t="s">
        <v>74</v>
      </c>
      <c r="I14" s="0" t="n">
        <v>5</v>
      </c>
      <c r="J14" s="0" t="s">
        <v>88</v>
      </c>
      <c r="L14" s="0" t="n">
        <v>105.906</v>
      </c>
      <c r="M14" s="0" t="s">
        <v>557</v>
      </c>
      <c r="N14" s="0" t="s">
        <v>558</v>
      </c>
      <c r="O14" s="0" t="n">
        <v>52000</v>
      </c>
      <c r="P14" s="0" t="s">
        <v>74</v>
      </c>
      <c r="Q14" s="7" t="n">
        <f aca="false">IF(AND(ISNUMBER(G14),ISNUMBER(I14)),G14/I14,"n/d")</f>
        <v>1240</v>
      </c>
      <c r="R14" s="7"/>
      <c r="S14" s="7" t="n">
        <v>11.708</v>
      </c>
      <c r="T14" s="7" t="n">
        <v>2.722</v>
      </c>
      <c r="U14" s="7" t="n">
        <f aca="false">IF(AND(ISNUMBER(S14),ISNUMBER(W14)),ROUND(W14-S14,2),IF(AND(ISNUMBER(R14),ISNUMBER(V14)),ROUND(V14-R14,2),""))</f>
        <v>0</v>
      </c>
      <c r="V14" s="7" t="str">
        <f aca="false">IF(AND(ISNUMBER(Q14),ISNUMBER(J14)),Q14/J14,"n/d")</f>
        <v>n/d</v>
      </c>
      <c r="W14" s="7" t="n">
        <f aca="false">IF(AND(ISNUMBER(Q14),ISNUMBER(L14)),Q14/L14,"n/d")</f>
        <v>11.7084962136234</v>
      </c>
      <c r="X14" s="7" t="n">
        <f aca="false">IF(AND(ISNUMBER(G14),ISNUMBER(I14),ISNUMBER(O14)),G14*1000000/(O14*I14*8760),"n/d")</f>
        <v>2.72216368106779</v>
      </c>
      <c r="Y14" s="0" t="s">
        <v>559</v>
      </c>
      <c r="Z14" s="9" t="s">
        <v>560</v>
      </c>
    </row>
    <row r="15" customFormat="false" ht="15" hidden="false" customHeight="false" outlineLevel="0" collapsed="false">
      <c r="A15" s="0" t="s">
        <v>561</v>
      </c>
      <c r="B15" s="25" t="s">
        <v>478</v>
      </c>
      <c r="C15" s="0" t="s">
        <v>10</v>
      </c>
      <c r="D15" s="0" t="s">
        <v>562</v>
      </c>
      <c r="E15" s="0" t="s">
        <v>480</v>
      </c>
      <c r="G15" s="27" t="n">
        <v>37600</v>
      </c>
      <c r="H15" s="0" t="s">
        <v>25</v>
      </c>
      <c r="I15" s="0" t="n">
        <v>5.5</v>
      </c>
      <c r="J15" s="0" t="s">
        <v>88</v>
      </c>
      <c r="L15" s="0" t="n">
        <v>490.568</v>
      </c>
      <c r="M15" s="0" t="s">
        <v>25</v>
      </c>
      <c r="N15" s="0" t="s">
        <v>550</v>
      </c>
      <c r="O15" s="0" t="n">
        <v>205600</v>
      </c>
      <c r="P15" s="0" t="s">
        <v>551</v>
      </c>
      <c r="Q15" s="7" t="n">
        <f aca="false">IF(AND(ISNUMBER(G15),ISNUMBER(I15)),G15/I15,"n/d")</f>
        <v>6836.36363636364</v>
      </c>
      <c r="R15" s="7"/>
      <c r="S15" s="7" t="n">
        <v>13.936</v>
      </c>
      <c r="T15" s="7" t="n">
        <v>3.796</v>
      </c>
      <c r="U15" s="7" t="n">
        <f aca="false">IF(AND(ISNUMBER(S15),ISNUMBER(W15)),ROUND(W15-S15,2),IF(AND(ISNUMBER(R15),ISNUMBER(V15)),ROUND(V15-R15,2),""))</f>
        <v>-0</v>
      </c>
      <c r="V15" s="7" t="str">
        <f aca="false">IF(AND(ISNUMBER(Q15),ISNUMBER(J15)),Q15/J15,"n/d")</f>
        <v>n/d</v>
      </c>
      <c r="W15" s="7" t="n">
        <f aca="false">IF(AND(ISNUMBER(Q15),ISNUMBER(L15)),Q15/L15,"n/d")</f>
        <v>13.93560859323</v>
      </c>
      <c r="X15" s="7" t="n">
        <f aca="false">IF(AND(ISNUMBER(G15),ISNUMBER(I15),ISNUMBER(O15)),G15*1000000/(O15*I15*8760),"n/d")</f>
        <v>3.79575295624547</v>
      </c>
      <c r="Y15" s="0" t="s">
        <v>563</v>
      </c>
      <c r="Z15" s="9" t="s">
        <v>564</v>
      </c>
    </row>
    <row r="16" customFormat="false" ht="15" hidden="false" customHeight="false" outlineLevel="0" collapsed="false">
      <c r="A16" s="0" t="s">
        <v>565</v>
      </c>
      <c r="B16" s="25" t="s">
        <v>478</v>
      </c>
      <c r="C16" s="0" t="s">
        <v>10</v>
      </c>
      <c r="D16" s="0" t="s">
        <v>566</v>
      </c>
      <c r="E16" s="0" t="s">
        <v>567</v>
      </c>
      <c r="F16" s="0" t="s">
        <v>568</v>
      </c>
      <c r="G16" s="26" t="n">
        <v>44600</v>
      </c>
      <c r="H16" s="0" t="s">
        <v>492</v>
      </c>
      <c r="I16" s="0" t="n">
        <v>6</v>
      </c>
      <c r="J16" s="0" t="n">
        <v>460</v>
      </c>
      <c r="K16" s="0" t="s">
        <v>526</v>
      </c>
      <c r="L16" s="0" t="n">
        <v>460</v>
      </c>
      <c r="M16" s="0" t="s">
        <v>569</v>
      </c>
      <c r="N16" s="0" t="s">
        <v>508</v>
      </c>
      <c r="O16" s="0" t="n">
        <v>147200</v>
      </c>
      <c r="P16" s="0" t="s">
        <v>570</v>
      </c>
      <c r="Q16" s="7" t="n">
        <f aca="false">IF(AND(ISNUMBER(G16),ISNUMBER(I16)),G16/I16,"n/d")</f>
        <v>7433.33333333333</v>
      </c>
      <c r="R16" s="7" t="n">
        <v>16.159</v>
      </c>
      <c r="S16" s="7" t="n">
        <v>16.159</v>
      </c>
      <c r="T16" s="7" t="n">
        <v>5.765</v>
      </c>
      <c r="U16" s="7" t="n">
        <f aca="false">IF(AND(ISNUMBER(S16),ISNUMBER(W16)),ROUND(W16-S16,2),IF(AND(ISNUMBER(R16),ISNUMBER(V16)),ROUND(V16-R16,2),""))</f>
        <v>0</v>
      </c>
      <c r="V16" s="7" t="n">
        <f aca="false">IF(AND(ISNUMBER(Q16),ISNUMBER(J16)),Q16/J16,"n/d")</f>
        <v>16.1594202898551</v>
      </c>
      <c r="W16" s="7" t="n">
        <f aca="false">IF(AND(ISNUMBER(Q16),ISNUMBER(L16)),Q16/L16,"n/d")</f>
        <v>16.1594202898551</v>
      </c>
      <c r="X16" s="7" t="n">
        <f aca="false">IF(AND(ISNUMBER(G16),ISNUMBER(I16),ISNUMBER(O16)),G16*1000000/(O16*I16*8760),"n/d")</f>
        <v>5.7646333796572</v>
      </c>
      <c r="Y16" s="0" t="s">
        <v>571</v>
      </c>
      <c r="Z16" s="9"/>
    </row>
    <row r="17" customFormat="false" ht="15" hidden="false" customHeight="false" outlineLevel="0" collapsed="false">
      <c r="A17" s="0" t="s">
        <v>572</v>
      </c>
      <c r="B17" s="25" t="s">
        <v>478</v>
      </c>
      <c r="C17" s="0" t="s">
        <v>11</v>
      </c>
      <c r="D17" s="0" t="s">
        <v>479</v>
      </c>
      <c r="E17" s="0" t="s">
        <v>480</v>
      </c>
      <c r="F17" s="0" t="s">
        <v>525</v>
      </c>
      <c r="G17" s="4" t="s">
        <v>24</v>
      </c>
      <c r="H17" s="0" t="s">
        <v>573</v>
      </c>
      <c r="J17" s="0" t="s">
        <v>24</v>
      </c>
      <c r="N17" s="0" t="s">
        <v>574</v>
      </c>
      <c r="Q17" s="7" t="str">
        <f aca="false">IF(AND(ISNUMBER(G17),ISNUMBER(I17)),G17/I17,"n/d")</f>
        <v>n/d</v>
      </c>
      <c r="R17" s="7"/>
      <c r="S17" s="7"/>
      <c r="T17" s="7"/>
      <c r="U17" s="7" t="str">
        <f aca="false">IF(AND(ISNUMBER(S17),ISNUMBER(W17)),ROUND(W17-S17,2),IF(AND(ISNUMBER(R17),ISNUMBER(V17)),ROUND(V17-R17,2),""))</f>
        <v/>
      </c>
      <c r="V17" s="7" t="str">
        <f aca="false">IF(AND(ISNUMBER(Q17),ISNUMBER(J17)),Q17/J17,"n/d")</f>
        <v>n/d</v>
      </c>
      <c r="W17" s="7" t="str">
        <f aca="false">IF(AND(ISNUMBER(Q17),ISNUMBER(L17)),Q17/L17,"n/d")</f>
        <v>n/d</v>
      </c>
      <c r="X17" s="7" t="str">
        <f aca="false">IF(AND(ISNUMBER(G17),ISNUMBER(I17),ISNUMBER(O17)),G17*1000000/(O17*I17*8760),"n/d")</f>
        <v>n/d</v>
      </c>
      <c r="Y17" s="0" t="s">
        <v>575</v>
      </c>
      <c r="Z17" s="9" t="s">
        <v>576</v>
      </c>
    </row>
    <row r="18" customFormat="false" ht="82.05" hidden="false" customHeight="false" outlineLevel="0" collapsed="false">
      <c r="A18" s="0" t="s">
        <v>577</v>
      </c>
      <c r="B18" s="21" t="s">
        <v>532</v>
      </c>
      <c r="C18" s="0" t="s">
        <v>11</v>
      </c>
      <c r="D18" s="0" t="s">
        <v>566</v>
      </c>
      <c r="E18" s="0" t="s">
        <v>567</v>
      </c>
      <c r="F18" s="0" t="s">
        <v>578</v>
      </c>
      <c r="G18" s="30" t="n">
        <v>35000</v>
      </c>
      <c r="H18" s="0" t="s">
        <v>139</v>
      </c>
      <c r="I18" s="0" t="n">
        <v>6</v>
      </c>
      <c r="J18" s="0" t="n">
        <v>350</v>
      </c>
      <c r="K18" s="0" t="s">
        <v>579</v>
      </c>
      <c r="N18" s="0" t="s">
        <v>24</v>
      </c>
      <c r="Q18" s="7" t="n">
        <f aca="false">IF(AND(ISNUMBER(G18),ISNUMBER(I18)),G18/I18,"n/d")</f>
        <v>5833.33333333333</v>
      </c>
      <c r="R18" s="7"/>
      <c r="S18" s="7"/>
      <c r="T18" s="7"/>
      <c r="U18" s="7" t="str">
        <f aca="false">IF(AND(ISNUMBER(S18),ISNUMBER(W18)),ROUND(W18-S18,2),IF(AND(ISNUMBER(R18),ISNUMBER(V18)),ROUND(V18-R18,2),""))</f>
        <v/>
      </c>
      <c r="V18" s="7" t="n">
        <f aca="false">IF(AND(ISNUMBER(Q18),ISNUMBER(J18)),Q18/J18,"n/d")</f>
        <v>16.6666666666667</v>
      </c>
      <c r="W18" s="7" t="str">
        <f aca="false">IF(AND(ISNUMBER(Q18),ISNUMBER(L18)),Q18/L18,"n/d")</f>
        <v>n/d</v>
      </c>
      <c r="X18" s="7" t="str">
        <f aca="false">IF(AND(ISNUMBER(G18),ISNUMBER(I18),ISNUMBER(O18)),G18*1000000/(O18*I18*8760),"n/d")</f>
        <v>n/d</v>
      </c>
      <c r="Y18" s="0" t="s">
        <v>580</v>
      </c>
      <c r="Z18" s="9" t="s">
        <v>581</v>
      </c>
    </row>
    <row r="19" customFormat="false" ht="41.75" hidden="false" customHeight="false" outlineLevel="0" collapsed="false">
      <c r="A19" s="0" t="s">
        <v>582</v>
      </c>
      <c r="B19" s="21" t="s">
        <v>532</v>
      </c>
      <c r="C19" s="0" t="s">
        <v>11</v>
      </c>
      <c r="D19" s="0" t="s">
        <v>583</v>
      </c>
      <c r="E19" s="0" t="s">
        <v>534</v>
      </c>
      <c r="F19" s="0" t="s">
        <v>584</v>
      </c>
      <c r="G19" s="30" t="n">
        <v>1300</v>
      </c>
      <c r="H19" s="0" t="s">
        <v>139</v>
      </c>
      <c r="I19" s="0" t="n">
        <v>4</v>
      </c>
      <c r="J19" s="0" t="s">
        <v>24</v>
      </c>
      <c r="N19" s="0" t="s">
        <v>585</v>
      </c>
      <c r="O19" s="0" t="n">
        <v>10000</v>
      </c>
      <c r="P19" s="0" t="s">
        <v>139</v>
      </c>
      <c r="Q19" s="7" t="n">
        <f aca="false">IF(AND(ISNUMBER(G19),ISNUMBER(I19)),G19/I19,"n/d")</f>
        <v>325</v>
      </c>
      <c r="R19" s="7"/>
      <c r="S19" s="7"/>
      <c r="T19" s="7"/>
      <c r="U19" s="7" t="str">
        <f aca="false">IF(AND(ISNUMBER(S19),ISNUMBER(W19)),ROUND(W19-S19,2),IF(AND(ISNUMBER(R19),ISNUMBER(V19)),ROUND(V19-R19,2),""))</f>
        <v/>
      </c>
      <c r="V19" s="7" t="str">
        <f aca="false">IF(AND(ISNUMBER(Q19),ISNUMBER(J19)),Q19/J19,"n/d")</f>
        <v>n/d</v>
      </c>
      <c r="W19" s="7" t="str">
        <f aca="false">IF(AND(ISNUMBER(Q19),ISNUMBER(L19)),Q19/L19,"n/d")</f>
        <v>n/d</v>
      </c>
      <c r="X19" s="7" t="n">
        <f aca="false">IF(AND(ISNUMBER(G19),ISNUMBER(I19),ISNUMBER(O19)),G19*1000000/(O19*I19*8760),"n/d")</f>
        <v>3.71004566210046</v>
      </c>
      <c r="Y19" s="0" t="s">
        <v>586</v>
      </c>
      <c r="Z19" s="9" t="s">
        <v>587</v>
      </c>
    </row>
    <row r="20" customFormat="false" ht="15" hidden="false" customHeight="false" outlineLevel="0" collapsed="false">
      <c r="A20" s="0" t="s">
        <v>588</v>
      </c>
      <c r="B20" s="25" t="s">
        <v>478</v>
      </c>
      <c r="C20" s="0" t="s">
        <v>7</v>
      </c>
      <c r="D20" s="0" t="s">
        <v>499</v>
      </c>
      <c r="E20" s="0" t="s">
        <v>480</v>
      </c>
      <c r="F20" s="0" t="s">
        <v>589</v>
      </c>
      <c r="G20" s="26" t="n">
        <v>14200</v>
      </c>
      <c r="H20" s="0" t="s">
        <v>492</v>
      </c>
      <c r="I20" s="0" t="n">
        <v>6.22</v>
      </c>
      <c r="J20" s="0" t="s">
        <v>24</v>
      </c>
      <c r="N20" s="0" t="s">
        <v>495</v>
      </c>
      <c r="Q20" s="7" t="n">
        <f aca="false">IF(AND(ISNUMBER(G20),ISNUMBER(I20)),G20/I20,"n/d")</f>
        <v>2282.95819935691</v>
      </c>
      <c r="R20" s="7"/>
      <c r="S20" s="7"/>
      <c r="T20" s="7"/>
      <c r="U20" s="7" t="str">
        <f aca="false">IF(AND(ISNUMBER(S20),ISNUMBER(W20)),ROUND(W20-S20,2),IF(AND(ISNUMBER(R20),ISNUMBER(V20)),ROUND(V20-R20,2),""))</f>
        <v/>
      </c>
      <c r="V20" s="7" t="str">
        <f aca="false">IF(AND(ISNUMBER(Q20),ISNUMBER(J20)),Q20/J20,"n/d")</f>
        <v>n/d</v>
      </c>
      <c r="W20" s="7" t="str">
        <f aca="false">IF(AND(ISNUMBER(Q20),ISNUMBER(L20)),Q20/L20,"n/d")</f>
        <v>n/d</v>
      </c>
      <c r="X20" s="7" t="str">
        <f aca="false">IF(AND(ISNUMBER(G20),ISNUMBER(I20),ISNUMBER(O20)),G20*1000000/(O20*I20*8760),"n/d")</f>
        <v>n/d</v>
      </c>
      <c r="Y20" s="0" t="s">
        <v>590</v>
      </c>
      <c r="Z20" s="9"/>
    </row>
    <row r="21" customFormat="false" ht="15" hidden="false" customHeight="false" outlineLevel="0" collapsed="false">
      <c r="A21" s="0" t="s">
        <v>591</v>
      </c>
      <c r="B21" s="25" t="s">
        <v>478</v>
      </c>
      <c r="C21" s="0" t="s">
        <v>7</v>
      </c>
      <c r="D21" s="0" t="s">
        <v>592</v>
      </c>
      <c r="E21" s="0" t="s">
        <v>480</v>
      </c>
      <c r="F21" s="0" t="s">
        <v>593</v>
      </c>
      <c r="G21" s="26" t="n">
        <v>21000</v>
      </c>
      <c r="H21" s="0" t="s">
        <v>492</v>
      </c>
      <c r="I21" s="0" t="n">
        <v>6.73</v>
      </c>
      <c r="J21" s="0" t="s">
        <v>24</v>
      </c>
      <c r="N21" s="0" t="s">
        <v>594</v>
      </c>
      <c r="Q21" s="7" t="n">
        <f aca="false">IF(AND(ISNUMBER(G21),ISNUMBER(I21)),G21/I21,"n/d")</f>
        <v>3120.35661218425</v>
      </c>
      <c r="R21" s="7"/>
      <c r="S21" s="7"/>
      <c r="T21" s="7"/>
      <c r="U21" s="7" t="str">
        <f aca="false">IF(AND(ISNUMBER(S21),ISNUMBER(W21)),ROUND(W21-S21,2),IF(AND(ISNUMBER(R21),ISNUMBER(V21)),ROUND(V21-R21,2),""))</f>
        <v/>
      </c>
      <c r="V21" s="7" t="str">
        <f aca="false">IF(AND(ISNUMBER(Q21),ISNUMBER(J21)),Q21/J21,"n/d")</f>
        <v>n/d</v>
      </c>
      <c r="W21" s="7" t="str">
        <f aca="false">IF(AND(ISNUMBER(Q21),ISNUMBER(L21)),Q21/L21,"n/d")</f>
        <v>n/d</v>
      </c>
      <c r="X21" s="7" t="str">
        <f aca="false">IF(AND(ISNUMBER(G21),ISNUMBER(I21),ISNUMBER(O21)),G21*1000000/(O21*I21*8760),"n/d")</f>
        <v>n/d</v>
      </c>
      <c r="Y21" s="0" t="s">
        <v>595</v>
      </c>
      <c r="Z21" s="9"/>
    </row>
    <row r="22" customFormat="false" ht="15" hidden="false" customHeight="false" outlineLevel="0" collapsed="false">
      <c r="A22" s="0" t="s">
        <v>596</v>
      </c>
      <c r="B22" s="25" t="s">
        <v>478</v>
      </c>
      <c r="C22" s="0" t="s">
        <v>7</v>
      </c>
      <c r="D22" s="0" t="s">
        <v>597</v>
      </c>
      <c r="E22" s="0" t="s">
        <v>567</v>
      </c>
      <c r="F22" s="0" t="s">
        <v>598</v>
      </c>
      <c r="G22" s="26" t="n">
        <v>11900</v>
      </c>
      <c r="H22" s="0" t="s">
        <v>492</v>
      </c>
      <c r="I22" s="0" t="n">
        <v>5</v>
      </c>
      <c r="J22" s="0" t="s">
        <v>24</v>
      </c>
      <c r="N22" s="0" t="s">
        <v>24</v>
      </c>
      <c r="Q22" s="7" t="n">
        <f aca="false">IF(AND(ISNUMBER(G22),ISNUMBER(I22)),G22/I22,"n/d")</f>
        <v>2380</v>
      </c>
      <c r="R22" s="7"/>
      <c r="S22" s="7"/>
      <c r="T22" s="7"/>
      <c r="U22" s="7" t="str">
        <f aca="false">IF(AND(ISNUMBER(S22),ISNUMBER(W22)),ROUND(W22-S22,2),IF(AND(ISNUMBER(R22),ISNUMBER(V22)),ROUND(V22-R22,2),""))</f>
        <v/>
      </c>
      <c r="V22" s="7" t="str">
        <f aca="false">IF(AND(ISNUMBER(Q22),ISNUMBER(J22)),Q22/J22,"n/d")</f>
        <v>n/d</v>
      </c>
      <c r="W22" s="7" t="str">
        <f aca="false">IF(AND(ISNUMBER(Q22),ISNUMBER(L22)),Q22/L22,"n/d")</f>
        <v>n/d</v>
      </c>
      <c r="X22" s="7" t="str">
        <f aca="false">IF(AND(ISNUMBER(G22),ISNUMBER(I22),ISNUMBER(O22)),G22*1000000/(O22*I22*8760),"n/d")</f>
        <v>n/d</v>
      </c>
      <c r="Y22" s="0" t="s">
        <v>599</v>
      </c>
      <c r="Z22" s="9" t="s">
        <v>600</v>
      </c>
    </row>
    <row r="23" customFormat="false" ht="15" hidden="false" customHeight="false" outlineLevel="0" collapsed="false">
      <c r="A23" s="0" t="s">
        <v>601</v>
      </c>
      <c r="B23" s="25" t="s">
        <v>478</v>
      </c>
      <c r="C23" s="0" t="s">
        <v>7</v>
      </c>
      <c r="D23" s="0" t="s">
        <v>602</v>
      </c>
      <c r="E23" s="0" t="s">
        <v>567</v>
      </c>
      <c r="F23" s="0" t="s">
        <v>603</v>
      </c>
      <c r="G23" s="26" t="n">
        <v>4000</v>
      </c>
      <c r="H23" s="0" t="s">
        <v>492</v>
      </c>
      <c r="I23" s="0" t="n">
        <v>3.9</v>
      </c>
      <c r="J23" s="0" t="s">
        <v>24</v>
      </c>
      <c r="N23" s="0" t="s">
        <v>24</v>
      </c>
      <c r="Q23" s="7" t="n">
        <f aca="false">IF(AND(ISNUMBER(G23),ISNUMBER(I23)),G23/I23,"n/d")</f>
        <v>1025.64102564103</v>
      </c>
      <c r="R23" s="7"/>
      <c r="S23" s="7"/>
      <c r="T23" s="7"/>
      <c r="U23" s="7" t="str">
        <f aca="false">IF(AND(ISNUMBER(S23),ISNUMBER(W23)),ROUND(W23-S23,2),IF(AND(ISNUMBER(R23),ISNUMBER(V23)),ROUND(V23-R23,2),""))</f>
        <v/>
      </c>
      <c r="V23" s="7" t="str">
        <f aca="false">IF(AND(ISNUMBER(Q23),ISNUMBER(J23)),Q23/J23,"n/d")</f>
        <v>n/d</v>
      </c>
      <c r="W23" s="7" t="str">
        <f aca="false">IF(AND(ISNUMBER(Q23),ISNUMBER(L23)),Q23/L23,"n/d")</f>
        <v>n/d</v>
      </c>
      <c r="X23" s="7" t="str">
        <f aca="false">IF(AND(ISNUMBER(G23),ISNUMBER(I23),ISNUMBER(O23)),G23*1000000/(O23*I23*8760),"n/d")</f>
        <v>n/d</v>
      </c>
      <c r="Y23" s="0" t="s">
        <v>604</v>
      </c>
      <c r="Z23" s="9"/>
    </row>
    <row r="24" customFormat="false" ht="15" hidden="false" customHeight="false" outlineLevel="0" collapsed="false">
      <c r="A24" s="0" t="s">
        <v>605</v>
      </c>
      <c r="B24" s="25" t="s">
        <v>478</v>
      </c>
      <c r="C24" s="0" t="s">
        <v>7</v>
      </c>
      <c r="D24" s="0" t="s">
        <v>606</v>
      </c>
      <c r="E24" s="0" t="s">
        <v>567</v>
      </c>
      <c r="F24" s="0" t="s">
        <v>607</v>
      </c>
      <c r="G24" s="26" t="n">
        <v>6500</v>
      </c>
      <c r="H24" s="0" t="s">
        <v>492</v>
      </c>
      <c r="I24" s="0" t="n">
        <v>5.68</v>
      </c>
      <c r="J24" s="0" t="s">
        <v>24</v>
      </c>
      <c r="N24" s="0" t="s">
        <v>24</v>
      </c>
      <c r="Q24" s="7" t="n">
        <f aca="false">IF(AND(ISNUMBER(G24),ISNUMBER(I24)),G24/I24,"n/d")</f>
        <v>1144.3661971831</v>
      </c>
      <c r="R24" s="7"/>
      <c r="S24" s="7"/>
      <c r="T24" s="7"/>
      <c r="U24" s="7" t="str">
        <f aca="false">IF(AND(ISNUMBER(S24),ISNUMBER(W24)),ROUND(W24-S24,2),IF(AND(ISNUMBER(R24),ISNUMBER(V24)),ROUND(V24-R24,2),""))</f>
        <v/>
      </c>
      <c r="V24" s="7" t="str">
        <f aca="false">IF(AND(ISNUMBER(Q24),ISNUMBER(J24)),Q24/J24,"n/d")</f>
        <v>n/d</v>
      </c>
      <c r="W24" s="7" t="str">
        <f aca="false">IF(AND(ISNUMBER(Q24),ISNUMBER(L24)),Q24/L24,"n/d")</f>
        <v>n/d</v>
      </c>
      <c r="X24" s="7" t="str">
        <f aca="false">IF(AND(ISNUMBER(G24),ISNUMBER(I24),ISNUMBER(O24)),G24*1000000/(O24*I24*8760),"n/d")</f>
        <v>n/d</v>
      </c>
      <c r="Y24" s="0" t="s">
        <v>608</v>
      </c>
      <c r="Z24" s="9" t="s">
        <v>609</v>
      </c>
    </row>
    <row r="25" customFormat="false" ht="15" hidden="false" customHeight="false" outlineLevel="0" collapsed="false">
      <c r="A25" s="0" t="s">
        <v>610</v>
      </c>
      <c r="B25" s="21" t="s">
        <v>532</v>
      </c>
      <c r="C25" s="0" t="s">
        <v>7</v>
      </c>
      <c r="D25" s="0" t="s">
        <v>611</v>
      </c>
      <c r="E25" s="0" t="s">
        <v>612</v>
      </c>
      <c r="F25" s="0" t="s">
        <v>613</v>
      </c>
      <c r="G25" s="26" t="n">
        <v>6000</v>
      </c>
      <c r="H25" s="0" t="s">
        <v>74</v>
      </c>
      <c r="J25" s="0" t="s">
        <v>24</v>
      </c>
      <c r="N25" s="0" t="s">
        <v>614</v>
      </c>
      <c r="Q25" s="7" t="str">
        <f aca="false">IF(AND(ISNUMBER(G25),ISNUMBER(I25)),G25/I25,"n/d")</f>
        <v>n/d</v>
      </c>
      <c r="R25" s="7"/>
      <c r="S25" s="7"/>
      <c r="T25" s="7"/>
      <c r="U25" s="7" t="str">
        <f aca="false">IF(AND(ISNUMBER(S25),ISNUMBER(W25)),ROUND(W25-S25,2),IF(AND(ISNUMBER(R25),ISNUMBER(V25)),ROUND(V25-R25,2),""))</f>
        <v/>
      </c>
      <c r="V25" s="7" t="str">
        <f aca="false">IF(AND(ISNUMBER(Q25),ISNUMBER(J25)),Q25/J25,"n/d")</f>
        <v>n/d</v>
      </c>
      <c r="W25" s="7" t="str">
        <f aca="false">IF(AND(ISNUMBER(Q25),ISNUMBER(L25)),Q25/L25,"n/d")</f>
        <v>n/d</v>
      </c>
      <c r="X25" s="7" t="str">
        <f aca="false">IF(AND(ISNUMBER(G25),ISNUMBER(I25),ISNUMBER(O25)),G25*1000000/(O25*I25*8760),"n/d")</f>
        <v>n/d</v>
      </c>
      <c r="Y25" s="0" t="s">
        <v>615</v>
      </c>
      <c r="Z25" s="9" t="s">
        <v>616</v>
      </c>
    </row>
    <row r="26" customFormat="false" ht="15" hidden="false" customHeight="false" outlineLevel="0" collapsed="false">
      <c r="A26" s="0" t="s">
        <v>617</v>
      </c>
      <c r="B26" s="21" t="s">
        <v>532</v>
      </c>
      <c r="C26" s="0" t="s">
        <v>7</v>
      </c>
      <c r="D26" s="0" t="s">
        <v>566</v>
      </c>
      <c r="E26" s="0" t="s">
        <v>567</v>
      </c>
      <c r="F26" s="0" t="s">
        <v>618</v>
      </c>
      <c r="G26" s="26" t="s">
        <v>24</v>
      </c>
      <c r="H26" s="0" t="s">
        <v>619</v>
      </c>
      <c r="J26" s="0" t="s">
        <v>24</v>
      </c>
      <c r="N26" s="0" t="s">
        <v>24</v>
      </c>
      <c r="Q26" s="7" t="str">
        <f aca="false">IF(AND(ISNUMBER(G26),ISNUMBER(I26)),G26/I26,"n/d")</f>
        <v>n/d</v>
      </c>
      <c r="R26" s="7"/>
      <c r="S26" s="7"/>
      <c r="T26" s="7"/>
      <c r="U26" s="7" t="str">
        <f aca="false">IF(AND(ISNUMBER(S26),ISNUMBER(W26)),ROUND(W26-S26,2),IF(AND(ISNUMBER(R26),ISNUMBER(V26)),ROUND(V26-R26,2),""))</f>
        <v/>
      </c>
      <c r="V26" s="7" t="str">
        <f aca="false">IF(AND(ISNUMBER(Q26),ISNUMBER(J26)),Q26/J26,"n/d")</f>
        <v>n/d</v>
      </c>
      <c r="W26" s="7" t="str">
        <f aca="false">IF(AND(ISNUMBER(Q26),ISNUMBER(L26)),Q26/L26,"n/d")</f>
        <v>n/d</v>
      </c>
      <c r="X26" s="7" t="str">
        <f aca="false">IF(AND(ISNUMBER(G26),ISNUMBER(I26),ISNUMBER(O26)),G26*1000000/(O26*I26*8760),"n/d")</f>
        <v>n/d</v>
      </c>
      <c r="Y26" s="0" t="s">
        <v>620</v>
      </c>
      <c r="Z26" s="9" t="s">
        <v>621</v>
      </c>
    </row>
    <row r="27" customFormat="false" ht="15" hidden="false" customHeight="false" outlineLevel="0" collapsed="false">
      <c r="A27" s="0" t="s">
        <v>622</v>
      </c>
      <c r="B27" s="21" t="s">
        <v>532</v>
      </c>
      <c r="C27" s="0" t="s">
        <v>12</v>
      </c>
      <c r="D27" s="0" t="s">
        <v>611</v>
      </c>
      <c r="E27" s="0" t="s">
        <v>612</v>
      </c>
      <c r="F27" s="0" t="s">
        <v>623</v>
      </c>
      <c r="G27" s="30" t="n">
        <v>13000</v>
      </c>
      <c r="H27" s="0" t="s">
        <v>139</v>
      </c>
      <c r="I27" s="0" t="n">
        <v>5</v>
      </c>
      <c r="J27" s="0" t="s">
        <v>24</v>
      </c>
      <c r="N27" s="0" t="s">
        <v>24</v>
      </c>
      <c r="Q27" s="7" t="n">
        <f aca="false">IF(AND(ISNUMBER(G27),ISNUMBER(I27)),G27/I27,"n/d")</f>
        <v>2600</v>
      </c>
      <c r="R27" s="7"/>
      <c r="S27" s="7"/>
      <c r="T27" s="7"/>
      <c r="U27" s="7" t="str">
        <f aca="false">IF(AND(ISNUMBER(S27),ISNUMBER(W27)),ROUND(W27-S27,2),IF(AND(ISNUMBER(R27),ISNUMBER(V27)),ROUND(V27-R27,2),""))</f>
        <v/>
      </c>
      <c r="V27" s="7" t="str">
        <f aca="false">IF(AND(ISNUMBER(Q27),ISNUMBER(J27)),Q27/J27,"n/d")</f>
        <v>n/d</v>
      </c>
      <c r="W27" s="7" t="str">
        <f aca="false">IF(AND(ISNUMBER(Q27),ISNUMBER(L27)),Q27/L27,"n/d")</f>
        <v>n/d</v>
      </c>
      <c r="X27" s="7" t="str">
        <f aca="false">IF(AND(ISNUMBER(G27),ISNUMBER(I27),ISNUMBER(O27)),G27*1000000/(O27*I27*8760),"n/d")</f>
        <v>n/d</v>
      </c>
      <c r="Y27" s="0" t="s">
        <v>624</v>
      </c>
      <c r="Z27" s="9"/>
    </row>
    <row r="28" customFormat="false" ht="15" hidden="false" customHeight="false" outlineLevel="0" collapsed="false">
      <c r="A28" s="0" t="s">
        <v>625</v>
      </c>
      <c r="B28" s="21" t="s">
        <v>532</v>
      </c>
      <c r="C28" s="0" t="s">
        <v>12</v>
      </c>
      <c r="D28" s="0" t="s">
        <v>626</v>
      </c>
      <c r="E28" s="0" t="s">
        <v>480</v>
      </c>
      <c r="F28" s="0" t="s">
        <v>627</v>
      </c>
      <c r="G28" s="4" t="s">
        <v>24</v>
      </c>
      <c r="J28" s="0" t="n">
        <v>1600</v>
      </c>
      <c r="K28" s="0" t="s">
        <v>628</v>
      </c>
      <c r="N28" s="0" t="s">
        <v>24</v>
      </c>
      <c r="Q28" s="7" t="str">
        <f aca="false">IF(AND(ISNUMBER(G28),ISNUMBER(I28)),G28/I28,"n/d")</f>
        <v>n/d</v>
      </c>
      <c r="R28" s="7"/>
      <c r="S28" s="7"/>
      <c r="T28" s="7"/>
      <c r="U28" s="7" t="str">
        <f aca="false">IF(AND(ISNUMBER(S28),ISNUMBER(W28)),ROUND(W28-S28,2),IF(AND(ISNUMBER(R28),ISNUMBER(V28)),ROUND(V28-R28,2),""))</f>
        <v/>
      </c>
      <c r="V28" s="7" t="str">
        <f aca="false">IF(AND(ISNUMBER(Q28),ISNUMBER(J28)),Q28/J28,"n/d")</f>
        <v>n/d</v>
      </c>
      <c r="W28" s="7" t="str">
        <f aca="false">IF(AND(ISNUMBER(Q28),ISNUMBER(L28)),Q28/L28,"n/d")</f>
        <v>n/d</v>
      </c>
      <c r="X28" s="7" t="str">
        <f aca="false">IF(AND(ISNUMBER(G28),ISNUMBER(I28),ISNUMBER(O28)),G28*1000000/(O28*I28*8760),"n/d")</f>
        <v>n/d</v>
      </c>
      <c r="Y28" s="0" t="s">
        <v>629</v>
      </c>
      <c r="Z28" s="9" t="s">
        <v>630</v>
      </c>
    </row>
    <row r="29" customFormat="false" ht="15" hidden="false" customHeight="false" outlineLevel="0" collapsed="false">
      <c r="A29" s="0" t="s">
        <v>631</v>
      </c>
      <c r="B29" s="21" t="s">
        <v>532</v>
      </c>
      <c r="C29" s="0" t="s">
        <v>12</v>
      </c>
      <c r="D29" s="0" t="s">
        <v>632</v>
      </c>
      <c r="E29" s="0" t="s">
        <v>480</v>
      </c>
      <c r="F29" s="0" t="s">
        <v>633</v>
      </c>
      <c r="G29" s="4" t="s">
        <v>24</v>
      </c>
      <c r="J29" s="0" t="n">
        <v>900</v>
      </c>
      <c r="K29" s="0" t="s">
        <v>634</v>
      </c>
      <c r="L29" s="0" t="n">
        <v>672</v>
      </c>
      <c r="M29" s="0" t="s">
        <v>74</v>
      </c>
      <c r="N29" s="0" t="s">
        <v>24</v>
      </c>
      <c r="Q29" s="7" t="str">
        <f aca="false">IF(AND(ISNUMBER(G29),ISNUMBER(I29)),G29/I29,"n/d")</f>
        <v>n/d</v>
      </c>
      <c r="R29" s="7"/>
      <c r="S29" s="7"/>
      <c r="T29" s="7"/>
      <c r="U29" s="7" t="str">
        <f aca="false">IF(AND(ISNUMBER(S29),ISNUMBER(W29)),ROUND(W29-S29,2),IF(AND(ISNUMBER(R29),ISNUMBER(V29)),ROUND(V29-R29,2),""))</f>
        <v/>
      </c>
      <c r="V29" s="7" t="str">
        <f aca="false">IF(AND(ISNUMBER(Q29),ISNUMBER(J29)),Q29/J29,"n/d")</f>
        <v>n/d</v>
      </c>
      <c r="W29" s="7" t="str">
        <f aca="false">IF(AND(ISNUMBER(Q29),ISNUMBER(L29)),Q29/L29,"n/d")</f>
        <v>n/d</v>
      </c>
      <c r="X29" s="7" t="str">
        <f aca="false">IF(AND(ISNUMBER(G29),ISNUMBER(I29),ISNUMBER(O29)),G29*1000000/(O29*I29*8760),"n/d")</f>
        <v>n/d</v>
      </c>
      <c r="Y29" s="0" t="s">
        <v>635</v>
      </c>
      <c r="Z29" s="9" t="s">
        <v>636</v>
      </c>
    </row>
    <row r="30" customFormat="false" ht="28.35" hidden="false" customHeight="false" outlineLevel="0" collapsed="false">
      <c r="A30" s="0" t="s">
        <v>637</v>
      </c>
      <c r="B30" s="21" t="s">
        <v>532</v>
      </c>
      <c r="C30" s="0" t="s">
        <v>638</v>
      </c>
      <c r="D30" s="0" t="s">
        <v>639</v>
      </c>
      <c r="E30" s="0" t="s">
        <v>640</v>
      </c>
      <c r="F30" s="0" t="s">
        <v>105</v>
      </c>
      <c r="G30" s="4" t="s">
        <v>24</v>
      </c>
      <c r="J30" s="0" t="n">
        <v>1200</v>
      </c>
      <c r="K30" s="0" t="s">
        <v>641</v>
      </c>
      <c r="N30" s="0" t="s">
        <v>642</v>
      </c>
      <c r="Q30" s="7" t="str">
        <f aca="false">IF(AND(ISNUMBER(G30),ISNUMBER(I30)),G30/I30,"n/d")</f>
        <v>n/d</v>
      </c>
      <c r="R30" s="7"/>
      <c r="S30" s="7"/>
      <c r="T30" s="7"/>
      <c r="U30" s="7" t="str">
        <f aca="false">IF(AND(ISNUMBER(S30),ISNUMBER(W30)),ROUND(W30-S30,2),IF(AND(ISNUMBER(R30),ISNUMBER(V30)),ROUND(V30-R30,2),""))</f>
        <v/>
      </c>
      <c r="V30" s="7" t="str">
        <f aca="false">IF(AND(ISNUMBER(Q30),ISNUMBER(J30)),Q30/J30,"n/d")</f>
        <v>n/d</v>
      </c>
      <c r="W30" s="7" t="str">
        <f aca="false">IF(AND(ISNUMBER(Q30),ISNUMBER(L30)),Q30/L30,"n/d")</f>
        <v>n/d</v>
      </c>
      <c r="X30" s="7" t="str">
        <f aca="false">IF(AND(ISNUMBER(G30),ISNUMBER(I30),ISNUMBER(O30)),G30*1000000/(O30*I30*8760),"n/d")</f>
        <v>n/d</v>
      </c>
      <c r="Y30" s="0" t="s">
        <v>643</v>
      </c>
      <c r="Z30" s="9" t="s">
        <v>644</v>
      </c>
    </row>
    <row r="31" customFormat="false" ht="15" hidden="false" customHeight="false" outlineLevel="0" collapsed="false">
      <c r="A31" s="0" t="s">
        <v>645</v>
      </c>
      <c r="B31" s="25" t="s">
        <v>478</v>
      </c>
      <c r="C31" s="0" t="s">
        <v>646</v>
      </c>
      <c r="D31" s="0" t="s">
        <v>647</v>
      </c>
      <c r="E31" s="0" t="s">
        <v>648</v>
      </c>
      <c r="F31" s="0" t="s">
        <v>649</v>
      </c>
      <c r="G31" s="30" t="n">
        <v>300000</v>
      </c>
      <c r="H31" s="0" t="s">
        <v>650</v>
      </c>
      <c r="I31" s="0" t="n">
        <v>5</v>
      </c>
      <c r="J31" s="0" t="n">
        <v>4500</v>
      </c>
      <c r="K31" s="0" t="s">
        <v>493</v>
      </c>
      <c r="L31" s="0" t="n">
        <v>3750</v>
      </c>
      <c r="M31" s="0" t="s">
        <v>651</v>
      </c>
      <c r="N31" s="0" t="s">
        <v>652</v>
      </c>
      <c r="Q31" s="7" t="n">
        <f aca="false">IF(AND(ISNUMBER(G31),ISNUMBER(I31)),G31/I31,"n/d")</f>
        <v>60000</v>
      </c>
      <c r="R31" s="7" t="n">
        <v>13.333</v>
      </c>
      <c r="S31" s="7" t="n">
        <v>16</v>
      </c>
      <c r="T31" s="7"/>
      <c r="U31" s="7" t="n">
        <f aca="false">IF(AND(ISNUMBER(S31),ISNUMBER(W31)),ROUND(W31-S31,2),IF(AND(ISNUMBER(R31),ISNUMBER(V31)),ROUND(V31-R31,2),""))</f>
        <v>0</v>
      </c>
      <c r="V31" s="7" t="n">
        <f aca="false">IF(AND(ISNUMBER(Q31),ISNUMBER(J31)),Q31/J31,"n/d")</f>
        <v>13.3333333333333</v>
      </c>
      <c r="W31" s="7" t="n">
        <f aca="false">IF(AND(ISNUMBER(Q31),ISNUMBER(L31)),Q31/L31,"n/d")</f>
        <v>16</v>
      </c>
      <c r="X31" s="7" t="str">
        <f aca="false">IF(AND(ISNUMBER(G31),ISNUMBER(I31),ISNUMBER(O31)),G31*1000000/(O31*I31*8760),"n/d")</f>
        <v>n/d</v>
      </c>
      <c r="Y31" s="0" t="s">
        <v>653</v>
      </c>
      <c r="Z31" s="9" t="s">
        <v>654</v>
      </c>
    </row>
    <row r="32" customFormat="false" ht="15" hidden="false" customHeight="false" outlineLevel="0" collapsed="false">
      <c r="A32" s="0" t="s">
        <v>655</v>
      </c>
      <c r="B32" s="21" t="s">
        <v>532</v>
      </c>
      <c r="C32" s="0" t="s">
        <v>646</v>
      </c>
      <c r="D32" s="0" t="s">
        <v>626</v>
      </c>
      <c r="E32" s="0" t="s">
        <v>656</v>
      </c>
      <c r="F32" s="0" t="s">
        <v>657</v>
      </c>
      <c r="G32" s="30" t="n">
        <v>20000</v>
      </c>
      <c r="H32" s="0" t="s">
        <v>658</v>
      </c>
      <c r="J32" s="0" t="s">
        <v>24</v>
      </c>
      <c r="N32" s="0" t="s">
        <v>24</v>
      </c>
      <c r="Q32" s="7" t="str">
        <f aca="false">IF(AND(ISNUMBER(G32),ISNUMBER(I32)),G32/I32,"n/d")</f>
        <v>n/d</v>
      </c>
      <c r="R32" s="7"/>
      <c r="S32" s="7"/>
      <c r="T32" s="7"/>
      <c r="U32" s="7" t="str">
        <f aca="false">IF(AND(ISNUMBER(S32),ISNUMBER(W32)),ROUND(W32-S32,2),IF(AND(ISNUMBER(R32),ISNUMBER(V32)),ROUND(V32-R32,2),""))</f>
        <v/>
      </c>
      <c r="V32" s="7" t="str">
        <f aca="false">IF(AND(ISNUMBER(Q32),ISNUMBER(J32)),Q32/J32,"n/d")</f>
        <v>n/d</v>
      </c>
      <c r="W32" s="7" t="str">
        <f aca="false">IF(AND(ISNUMBER(Q32),ISNUMBER(L32)),Q32/L32,"n/d")</f>
        <v>n/d</v>
      </c>
      <c r="X32" s="7" t="str">
        <f aca="false">IF(AND(ISNUMBER(G32),ISNUMBER(I32),ISNUMBER(O32)),G32*1000000/(O32*I32*8760),"n/d")</f>
        <v>n/d</v>
      </c>
      <c r="Y32" s="0" t="s">
        <v>659</v>
      </c>
      <c r="Z32" s="9" t="s">
        <v>660</v>
      </c>
    </row>
    <row r="33" customFormat="false" ht="15" hidden="false" customHeight="false" outlineLevel="0" collapsed="false">
      <c r="A33" s="0" t="s">
        <v>661</v>
      </c>
      <c r="B33" s="25" t="s">
        <v>478</v>
      </c>
      <c r="C33" s="0" t="s">
        <v>662</v>
      </c>
      <c r="D33" s="0" t="s">
        <v>566</v>
      </c>
      <c r="E33" s="0" t="s">
        <v>663</v>
      </c>
      <c r="F33" s="0" t="s">
        <v>664</v>
      </c>
      <c r="G33" s="26" t="s">
        <v>665</v>
      </c>
      <c r="H33" s="0" t="s">
        <v>74</v>
      </c>
      <c r="I33" s="0" t="n">
        <v>2.9</v>
      </c>
      <c r="J33" s="0" t="s">
        <v>24</v>
      </c>
      <c r="N33" s="0" t="s">
        <v>666</v>
      </c>
      <c r="O33" s="0" t="n">
        <v>325000</v>
      </c>
      <c r="P33" s="0" t="s">
        <v>74</v>
      </c>
      <c r="Q33" s="7" t="n">
        <f aca="false">1250*12</f>
        <v>15000</v>
      </c>
      <c r="R33" s="7"/>
      <c r="S33" s="7"/>
      <c r="T33" s="7" t="n">
        <v>5.269</v>
      </c>
      <c r="U33" s="7" t="str">
        <f aca="false">IF(AND(ISNUMBER(S33),ISNUMBER(W33)),ROUND(W33-S33,2),IF(AND(ISNUMBER(R33),ISNUMBER(V33)),ROUND(V33-R33,2),""))</f>
        <v/>
      </c>
      <c r="V33" s="7" t="str">
        <f aca="false">IF(AND(ISNUMBER(Q33),ISNUMBER(J33)),Q33/J33,"n/d")</f>
        <v>n/d</v>
      </c>
      <c r="W33" s="7" t="str">
        <f aca="false">IF(AND(ISNUMBER(Q33),ISNUMBER(L33)),Q33/L33,"n/d")</f>
        <v>n/d</v>
      </c>
      <c r="X33" s="7" t="n">
        <f aca="false">1250*1000000/(O33*730)</f>
        <v>5.26870389884089</v>
      </c>
      <c r="Y33" s="0" t="s">
        <v>667</v>
      </c>
      <c r="Z33" s="9" t="s">
        <v>668</v>
      </c>
    </row>
    <row r="34" customFormat="false" ht="15" hidden="false" customHeight="false" outlineLevel="0" collapsed="false">
      <c r="A34" s="0" t="s">
        <v>669</v>
      </c>
      <c r="B34" s="21" t="s">
        <v>532</v>
      </c>
      <c r="C34" s="0" t="s">
        <v>670</v>
      </c>
      <c r="D34" s="0" t="s">
        <v>671</v>
      </c>
      <c r="E34" s="0" t="s">
        <v>648</v>
      </c>
      <c r="F34" s="0" t="s">
        <v>672</v>
      </c>
      <c r="G34" s="26" t="n">
        <v>250000</v>
      </c>
      <c r="H34" s="0" t="s">
        <v>673</v>
      </c>
      <c r="J34" s="0" t="s">
        <v>24</v>
      </c>
      <c r="N34" s="0" t="s">
        <v>24</v>
      </c>
      <c r="Q34" s="7" t="str">
        <f aca="false">IF(AND(ISNUMBER(G34),ISNUMBER(I34)),G34/I34,"n/d")</f>
        <v>n/d</v>
      </c>
      <c r="R34" s="7"/>
      <c r="S34" s="7"/>
      <c r="T34" s="7"/>
      <c r="U34" s="7" t="str">
        <f aca="false">IF(AND(ISNUMBER(S34),ISNUMBER(W34)),ROUND(W34-S34,2),IF(AND(ISNUMBER(R34),ISNUMBER(V34)),ROUND(V34-R34,2),""))</f>
        <v/>
      </c>
      <c r="V34" s="7" t="str">
        <f aca="false">IF(AND(ISNUMBER(Q34),ISNUMBER(J34)),Q34/J34,"n/d")</f>
        <v>n/d</v>
      </c>
      <c r="W34" s="7" t="str">
        <f aca="false">IF(AND(ISNUMBER(Q34),ISNUMBER(L34)),Q34/L34,"n/d")</f>
        <v>n/d</v>
      </c>
      <c r="X34" s="7" t="str">
        <f aca="false">IF(AND(ISNUMBER(G34),ISNUMBER(I34),ISNUMBER(O34)),G34*1000000/(O34*I34*8760),"n/d")</f>
        <v>n/d</v>
      </c>
      <c r="Y34" s="0" t="s">
        <v>674</v>
      </c>
      <c r="Z34" s="9" t="s">
        <v>675</v>
      </c>
    </row>
    <row r="35" customFormat="false" ht="15" hidden="false" customHeight="false" outlineLevel="0" collapsed="false">
      <c r="A35" s="0" t="s">
        <v>676</v>
      </c>
      <c r="B35" s="21" t="s">
        <v>532</v>
      </c>
      <c r="C35" s="0" t="s">
        <v>677</v>
      </c>
      <c r="D35" s="0" t="s">
        <v>671</v>
      </c>
      <c r="E35" s="0" t="s">
        <v>648</v>
      </c>
      <c r="F35" s="0" t="s">
        <v>525</v>
      </c>
      <c r="G35" s="26" t="n">
        <v>38000</v>
      </c>
      <c r="H35" s="0" t="s">
        <v>74</v>
      </c>
      <c r="I35" s="0" t="n">
        <v>7</v>
      </c>
      <c r="J35" s="0" t="s">
        <v>24</v>
      </c>
      <c r="N35" s="0" t="s">
        <v>678</v>
      </c>
      <c r="P35" s="0" t="s">
        <v>679</v>
      </c>
      <c r="Q35" s="7" t="n">
        <f aca="false">IF(AND(ISNUMBER(G35),ISNUMBER(I35)),G35/I35,"n/d")</f>
        <v>5428.57142857143</v>
      </c>
      <c r="R35" s="7"/>
      <c r="S35" s="7"/>
      <c r="T35" s="7"/>
      <c r="U35" s="7" t="str">
        <f aca="false">IF(AND(ISNUMBER(S35),ISNUMBER(W35)),ROUND(W35-S35,2),IF(AND(ISNUMBER(R35),ISNUMBER(V35)),ROUND(V35-R35,2),""))</f>
        <v/>
      </c>
      <c r="V35" s="7" t="str">
        <f aca="false">IF(AND(ISNUMBER(Q35),ISNUMBER(J35)),Q35/J35,"n/d")</f>
        <v>n/d</v>
      </c>
      <c r="W35" s="7" t="str">
        <f aca="false">IF(AND(ISNUMBER(Q35),ISNUMBER(L35)),Q35/L35,"n/d")</f>
        <v>n/d</v>
      </c>
      <c r="X35" s="7" t="str">
        <f aca="false">IF(AND(ISNUMBER(G35),ISNUMBER(I35),ISNUMBER(O35)),G35*1000000/(O35*I35*8760),"n/d")</f>
        <v>n/d</v>
      </c>
      <c r="Y35" s="0" t="s">
        <v>680</v>
      </c>
      <c r="Z35" s="9" t="s">
        <v>681</v>
      </c>
    </row>
    <row r="36" customFormat="false" ht="28.35" hidden="false" customHeight="false" outlineLevel="0" collapsed="false">
      <c r="A36" s="0" t="s">
        <v>682</v>
      </c>
      <c r="B36" s="21" t="s">
        <v>532</v>
      </c>
      <c r="C36" s="0" t="s">
        <v>670</v>
      </c>
      <c r="D36" s="0" t="s">
        <v>566</v>
      </c>
      <c r="E36" s="0" t="s">
        <v>648</v>
      </c>
      <c r="F36" s="0" t="s">
        <v>683</v>
      </c>
      <c r="G36" s="26" t="n">
        <v>30000</v>
      </c>
      <c r="H36" s="0" t="s">
        <v>74</v>
      </c>
      <c r="J36" s="0" t="s">
        <v>684</v>
      </c>
      <c r="N36" s="0" t="s">
        <v>685</v>
      </c>
      <c r="Q36" s="7" t="str">
        <f aca="false">IF(AND(ISNUMBER(G36),ISNUMBER(I36)),G36/I36,"n/d")</f>
        <v>n/d</v>
      </c>
      <c r="R36" s="7"/>
      <c r="S36" s="7"/>
      <c r="T36" s="7"/>
      <c r="U36" s="7" t="str">
        <f aca="false">IF(AND(ISNUMBER(S36),ISNUMBER(W36)),ROUND(W36-S36,2),IF(AND(ISNUMBER(R36),ISNUMBER(V36)),ROUND(V36-R36,2),""))</f>
        <v/>
      </c>
      <c r="V36" s="7" t="str">
        <f aca="false">IF(AND(ISNUMBER(Q36),ISNUMBER(J36)),Q36/J36,"n/d")</f>
        <v>n/d</v>
      </c>
      <c r="W36" s="7" t="str">
        <f aca="false">IF(AND(ISNUMBER(Q36),ISNUMBER(L36)),Q36/L36,"n/d")</f>
        <v>n/d</v>
      </c>
      <c r="X36" s="7" t="str">
        <f aca="false">IF(AND(ISNUMBER(G36),ISNUMBER(I36),ISNUMBER(O36)),G36*1000000/(O36*I36*8760),"n/d")</f>
        <v>n/d</v>
      </c>
      <c r="Y36" s="0" t="s">
        <v>686</v>
      </c>
      <c r="Z36" s="9" t="s">
        <v>687</v>
      </c>
    </row>
    <row r="37" customFormat="false" ht="15" hidden="false" customHeight="false" outlineLevel="0" collapsed="false">
      <c r="A37" s="0" t="s">
        <v>688</v>
      </c>
      <c r="B37" s="21" t="s">
        <v>532</v>
      </c>
      <c r="C37" s="0" t="s">
        <v>689</v>
      </c>
      <c r="D37" s="0" t="s">
        <v>566</v>
      </c>
      <c r="E37" s="0" t="s">
        <v>648</v>
      </c>
      <c r="F37" s="0" t="s">
        <v>690</v>
      </c>
      <c r="G37" s="30" t="s">
        <v>691</v>
      </c>
      <c r="H37" s="0" t="s">
        <v>139</v>
      </c>
      <c r="J37" s="0" t="s">
        <v>692</v>
      </c>
      <c r="K37" s="0" t="s">
        <v>493</v>
      </c>
      <c r="N37" s="0" t="s">
        <v>693</v>
      </c>
      <c r="Q37" s="7" t="str">
        <f aca="false">IF(AND(ISNUMBER(G37),ISNUMBER(I37)),G37/I37,"n/d")</f>
        <v>n/d</v>
      </c>
      <c r="R37" s="7"/>
      <c r="S37" s="7"/>
      <c r="T37" s="7"/>
      <c r="U37" s="7" t="str">
        <f aca="false">IF(AND(ISNUMBER(S37),ISNUMBER(W37)),ROUND(W37-S37,2),IF(AND(ISNUMBER(R37),ISNUMBER(V37)),ROUND(V37-R37,2),""))</f>
        <v/>
      </c>
      <c r="V37" s="7" t="str">
        <f aca="false">IF(AND(ISNUMBER(Q37),ISNUMBER(J37)),Q37/J37,"n/d")</f>
        <v>n/d</v>
      </c>
      <c r="W37" s="7" t="str">
        <f aca="false">IF(AND(ISNUMBER(Q37),ISNUMBER(L37)),Q37/L37,"n/d")</f>
        <v>n/d</v>
      </c>
      <c r="X37" s="7" t="str">
        <f aca="false">IF(AND(ISNUMBER(G37),ISNUMBER(I37),ISNUMBER(O37)),G37*1000000/(O37*I37*8760),"n/d")</f>
        <v>n/d</v>
      </c>
      <c r="Y37" s="0" t="s">
        <v>694</v>
      </c>
      <c r="Z37" s="9" t="s">
        <v>695</v>
      </c>
    </row>
    <row r="38" customFormat="false" ht="15" hidden="false" customHeight="false" outlineLevel="0" collapsed="false">
      <c r="A38" s="0" t="s">
        <v>696</v>
      </c>
      <c r="B38" s="21" t="s">
        <v>532</v>
      </c>
      <c r="C38" s="0" t="s">
        <v>689</v>
      </c>
      <c r="D38" s="0" t="s">
        <v>626</v>
      </c>
      <c r="E38" s="0" t="s">
        <v>656</v>
      </c>
      <c r="F38" s="0" t="s">
        <v>697</v>
      </c>
      <c r="G38" s="30" t="n">
        <v>10000</v>
      </c>
      <c r="H38" s="0" t="s">
        <v>698</v>
      </c>
      <c r="I38" s="0" t="n">
        <v>6</v>
      </c>
      <c r="J38" s="0" t="s">
        <v>24</v>
      </c>
      <c r="N38" s="0" t="s">
        <v>24</v>
      </c>
      <c r="Q38" s="7" t="n">
        <f aca="false">IF(AND(ISNUMBER(G38),ISNUMBER(I38)),G38/I38,"n/d")</f>
        <v>1666.66666666667</v>
      </c>
      <c r="R38" s="7"/>
      <c r="S38" s="7"/>
      <c r="T38" s="7"/>
      <c r="U38" s="7" t="str">
        <f aca="false">IF(AND(ISNUMBER(S38),ISNUMBER(W38)),ROUND(W38-S38,2),IF(AND(ISNUMBER(R38),ISNUMBER(V38)),ROUND(V38-R38,2),""))</f>
        <v/>
      </c>
      <c r="V38" s="7" t="str">
        <f aca="false">IF(AND(ISNUMBER(Q38),ISNUMBER(J38)),Q38/J38,"n/d")</f>
        <v>n/d</v>
      </c>
      <c r="W38" s="7" t="str">
        <f aca="false">IF(AND(ISNUMBER(Q38),ISNUMBER(L38)),Q38/L38,"n/d")</f>
        <v>n/d</v>
      </c>
      <c r="X38" s="7" t="str">
        <f aca="false">IF(AND(ISNUMBER(G38),ISNUMBER(I38),ISNUMBER(O38)),G38*1000000/(O38*I38*8760),"n/d")</f>
        <v>n/d</v>
      </c>
      <c r="Y38" s="0" t="s">
        <v>699</v>
      </c>
      <c r="Z38" s="9"/>
    </row>
    <row r="39" customFormat="false" ht="28.35" hidden="false" customHeight="false" outlineLevel="0" collapsed="false">
      <c r="A39" s="0" t="s">
        <v>700</v>
      </c>
      <c r="B39" s="21" t="s">
        <v>532</v>
      </c>
      <c r="C39" s="0" t="s">
        <v>701</v>
      </c>
      <c r="D39" s="0" t="s">
        <v>671</v>
      </c>
      <c r="E39" s="0" t="s">
        <v>702</v>
      </c>
      <c r="F39" s="0" t="s">
        <v>703</v>
      </c>
      <c r="G39" s="30" t="n">
        <v>10000</v>
      </c>
      <c r="H39" s="0" t="s">
        <v>698</v>
      </c>
      <c r="I39" s="0" t="n">
        <v>3</v>
      </c>
      <c r="J39" s="0" t="n">
        <v>750</v>
      </c>
      <c r="K39" s="0" t="s">
        <v>704</v>
      </c>
      <c r="N39" s="0" t="s">
        <v>705</v>
      </c>
      <c r="Q39" s="7" t="n">
        <f aca="false">IF(AND(ISNUMBER(G39),ISNUMBER(I39)),G39/I39,"n/d")</f>
        <v>3333.33333333333</v>
      </c>
      <c r="R39" s="7"/>
      <c r="S39" s="7"/>
      <c r="T39" s="7"/>
      <c r="U39" s="7" t="str">
        <f aca="false">IF(AND(ISNUMBER(S39),ISNUMBER(W39)),ROUND(W39-S39,2),IF(AND(ISNUMBER(R39),ISNUMBER(V39)),ROUND(V39-R39,2),""))</f>
        <v/>
      </c>
      <c r="V39" s="7" t="n">
        <f aca="false">IF(AND(ISNUMBER(Q39),ISNUMBER(J39)),Q39/J39,"n/d")</f>
        <v>4.44444444444445</v>
      </c>
      <c r="W39" s="7" t="str">
        <f aca="false">IF(AND(ISNUMBER(Q39),ISNUMBER(L39)),Q39/L39,"n/d")</f>
        <v>n/d</v>
      </c>
      <c r="X39" s="7" t="str">
        <f aca="false">IF(AND(ISNUMBER(G39),ISNUMBER(I39),ISNUMBER(O39)),G39*1000000/(O39*I39*8760),"n/d")</f>
        <v>n/d</v>
      </c>
      <c r="Y39" s="0" t="s">
        <v>706</v>
      </c>
      <c r="Z39" s="9" t="s">
        <v>707</v>
      </c>
    </row>
    <row r="40" customFormat="false" ht="15" hidden="false" customHeight="false" outlineLevel="0" collapsed="false">
      <c r="A40" s="0" t="s">
        <v>708</v>
      </c>
      <c r="B40" s="25" t="s">
        <v>478</v>
      </c>
      <c r="C40" s="0" t="s">
        <v>709</v>
      </c>
      <c r="D40" s="0" t="s">
        <v>710</v>
      </c>
      <c r="E40" s="23" t="s">
        <v>711</v>
      </c>
      <c r="F40" s="0" t="s">
        <v>712</v>
      </c>
      <c r="G40" s="26" t="n">
        <v>3700</v>
      </c>
      <c r="H40" s="0" t="s">
        <v>74</v>
      </c>
      <c r="I40" s="0" t="n">
        <v>10</v>
      </c>
      <c r="J40" s="0" t="n">
        <v>200</v>
      </c>
      <c r="K40" s="0" t="s">
        <v>526</v>
      </c>
      <c r="L40" s="0" t="n">
        <v>200</v>
      </c>
      <c r="M40" s="0" t="s">
        <v>74</v>
      </c>
      <c r="N40" s="0" t="s">
        <v>88</v>
      </c>
      <c r="Q40" s="7" t="n">
        <f aca="false">IF(AND(ISNUMBER(G40),ISNUMBER(I40)),G40/I40,"n/d")</f>
        <v>370</v>
      </c>
      <c r="R40" s="7" t="n">
        <v>1.85</v>
      </c>
      <c r="S40" s="7" t="n">
        <v>1.85</v>
      </c>
      <c r="T40" s="7"/>
      <c r="U40" s="7" t="n">
        <f aca="false">IF(AND(ISNUMBER(S40),ISNUMBER(W40)),ROUND(W40-S40,2),IF(AND(ISNUMBER(R40),ISNUMBER(V40)),ROUND(V40-R40,2),""))</f>
        <v>0</v>
      </c>
      <c r="V40" s="7" t="n">
        <f aca="false">IF(AND(ISNUMBER(Q40),ISNUMBER(J40)),Q40/J40,"n/d")</f>
        <v>1.85</v>
      </c>
      <c r="W40" s="7" t="n">
        <f aca="false">IF(AND(ISNUMBER(Q40),ISNUMBER(L40)),Q40/L40,"n/d")</f>
        <v>1.85</v>
      </c>
      <c r="X40" s="7" t="str">
        <f aca="false">IF(AND(ISNUMBER(G40),ISNUMBER(I40),ISNUMBER(O40)),G40*1000000/(O40*I40*8760),"n/d")</f>
        <v>n/d</v>
      </c>
      <c r="Y40" s="0" t="s">
        <v>713</v>
      </c>
      <c r="Z40" s="9" t="s">
        <v>714</v>
      </c>
    </row>
    <row r="41" customFormat="false" ht="15" hidden="false" customHeight="false" outlineLevel="0" collapsed="false">
      <c r="A41" s="0" t="s">
        <v>715</v>
      </c>
      <c r="B41" s="21" t="s">
        <v>532</v>
      </c>
      <c r="C41" s="0" t="s">
        <v>716</v>
      </c>
      <c r="D41" s="0" t="s">
        <v>677</v>
      </c>
      <c r="E41" s="23" t="s">
        <v>711</v>
      </c>
      <c r="F41" s="0" t="s">
        <v>525</v>
      </c>
      <c r="G41" s="26" t="n">
        <v>5500</v>
      </c>
      <c r="H41" s="0" t="s">
        <v>74</v>
      </c>
      <c r="I41" s="0" t="n">
        <v>15</v>
      </c>
      <c r="J41" s="0" t="n">
        <v>300</v>
      </c>
      <c r="K41" s="0" t="s">
        <v>717</v>
      </c>
      <c r="N41" s="0" t="s">
        <v>88</v>
      </c>
      <c r="Q41" s="7" t="n">
        <f aca="false">IF(AND(ISNUMBER(G41),ISNUMBER(I41)),G41/I41,"n/d")</f>
        <v>366.666666666667</v>
      </c>
      <c r="R41" s="7"/>
      <c r="S41" s="7"/>
      <c r="T41" s="7"/>
      <c r="U41" s="7" t="str">
        <f aca="false">IF(AND(ISNUMBER(S41),ISNUMBER(W41)),ROUND(W41-S41,2),IF(AND(ISNUMBER(R41),ISNUMBER(V41)),ROUND(V41-R41,2),""))</f>
        <v/>
      </c>
      <c r="V41" s="7" t="n">
        <f aca="false">IF(AND(ISNUMBER(Q41),ISNUMBER(J41)),Q41/J41,"n/d")</f>
        <v>1.22222222222222</v>
      </c>
      <c r="W41" s="7" t="str">
        <f aca="false">IF(AND(ISNUMBER(Q41),ISNUMBER(L41)),Q41/L41,"n/d")</f>
        <v>n/d</v>
      </c>
      <c r="X41" s="7" t="str">
        <f aca="false">IF(AND(ISNUMBER(G41),ISNUMBER(I41),ISNUMBER(O41)),G41*1000000/(O41*I41*8760),"n/d")</f>
        <v>n/d</v>
      </c>
      <c r="Y41" s="0" t="s">
        <v>718</v>
      </c>
      <c r="Z41" s="9" t="s">
        <v>719</v>
      </c>
    </row>
    <row r="42" customFormat="false" ht="15" hidden="false" customHeight="false" outlineLevel="0" collapsed="false">
      <c r="A42" s="0" t="s">
        <v>720</v>
      </c>
      <c r="B42" s="21" t="s">
        <v>532</v>
      </c>
      <c r="C42" s="0" t="s">
        <v>716</v>
      </c>
      <c r="D42" s="0" t="s">
        <v>721</v>
      </c>
      <c r="E42" s="23" t="s">
        <v>711</v>
      </c>
      <c r="F42" s="0" t="s">
        <v>607</v>
      </c>
      <c r="G42" s="26" t="n">
        <v>3000</v>
      </c>
      <c r="H42" s="0" t="s">
        <v>74</v>
      </c>
      <c r="I42" s="0" t="n">
        <v>10</v>
      </c>
      <c r="J42" s="0" t="n">
        <v>168</v>
      </c>
      <c r="K42" s="0" t="s">
        <v>526</v>
      </c>
      <c r="L42" s="0" t="n">
        <v>168</v>
      </c>
      <c r="M42" s="0" t="s">
        <v>74</v>
      </c>
      <c r="N42" s="0" t="s">
        <v>88</v>
      </c>
      <c r="Q42" s="7" t="n">
        <f aca="false">IF(AND(ISNUMBER(G42),ISNUMBER(I42)),G42/I42,"n/d")</f>
        <v>300</v>
      </c>
      <c r="R42" s="7"/>
      <c r="S42" s="7"/>
      <c r="T42" s="7"/>
      <c r="U42" s="7" t="str">
        <f aca="false">IF(AND(ISNUMBER(S42),ISNUMBER(W42)),ROUND(W42-S42,2),IF(AND(ISNUMBER(R42),ISNUMBER(V42)),ROUND(V42-R42,2),""))</f>
        <v/>
      </c>
      <c r="V42" s="7" t="n">
        <f aca="false">IF(AND(ISNUMBER(Q42),ISNUMBER(J42)),Q42/J42,"n/d")</f>
        <v>1.78571428571429</v>
      </c>
      <c r="W42" s="7" t="n">
        <f aca="false">IF(AND(ISNUMBER(Q42),ISNUMBER(L42)),Q42/L42,"n/d")</f>
        <v>1.78571428571429</v>
      </c>
      <c r="X42" s="7" t="str">
        <f aca="false">IF(AND(ISNUMBER(G42),ISNUMBER(I42),ISNUMBER(O42)),G42*1000000/(O42*I42*8760),"n/d")</f>
        <v>n/d</v>
      </c>
      <c r="Y42" s="0" t="s">
        <v>722</v>
      </c>
      <c r="Z42" s="9" t="s">
        <v>723</v>
      </c>
    </row>
    <row r="43" customFormat="false" ht="15" hidden="false" customHeight="false" outlineLevel="0" collapsed="false">
      <c r="A43" s="0" t="s">
        <v>724</v>
      </c>
      <c r="B43" s="21" t="s">
        <v>532</v>
      </c>
      <c r="C43" s="0" t="s">
        <v>725</v>
      </c>
      <c r="D43" s="0" t="s">
        <v>726</v>
      </c>
      <c r="E43" s="23" t="s">
        <v>711</v>
      </c>
      <c r="F43" s="0" t="s">
        <v>727</v>
      </c>
      <c r="G43" s="26" t="n">
        <v>7000</v>
      </c>
      <c r="H43" s="0" t="s">
        <v>74</v>
      </c>
      <c r="I43" s="0" t="n">
        <v>15</v>
      </c>
      <c r="J43" s="0" t="n">
        <v>245</v>
      </c>
      <c r="K43" s="0" t="s">
        <v>526</v>
      </c>
      <c r="L43" s="0" t="n">
        <v>245</v>
      </c>
      <c r="M43" s="0" t="s">
        <v>74</v>
      </c>
      <c r="N43" s="0" t="s">
        <v>88</v>
      </c>
      <c r="Q43" s="7" t="n">
        <f aca="false">IF(AND(ISNUMBER(G43),ISNUMBER(I43)),G43/I43,"n/d")</f>
        <v>466.666666666667</v>
      </c>
      <c r="R43" s="7"/>
      <c r="S43" s="7"/>
      <c r="T43" s="7"/>
      <c r="U43" s="7" t="str">
        <f aca="false">IF(AND(ISNUMBER(S43),ISNUMBER(W43)),ROUND(W43-S43,2),IF(AND(ISNUMBER(R43),ISNUMBER(V43)),ROUND(V43-R43,2),""))</f>
        <v/>
      </c>
      <c r="V43" s="7" t="n">
        <f aca="false">IF(AND(ISNUMBER(Q43),ISNUMBER(J43)),Q43/J43,"n/d")</f>
        <v>1.9047619047619</v>
      </c>
      <c r="W43" s="7" t="n">
        <f aca="false">IF(AND(ISNUMBER(Q43),ISNUMBER(L43)),Q43/L43,"n/d")</f>
        <v>1.9047619047619</v>
      </c>
      <c r="X43" s="7" t="str">
        <f aca="false">IF(AND(ISNUMBER(G43),ISNUMBER(I43),ISNUMBER(O43)),G43*1000000/(O43*I43*8760),"n/d")</f>
        <v>n/d</v>
      </c>
      <c r="Y43" s="0" t="s">
        <v>728</v>
      </c>
      <c r="Z43" s="9" t="s">
        <v>729</v>
      </c>
    </row>
    <row r="44" customFormat="false" ht="15" hidden="false" customHeight="false" outlineLevel="0" collapsed="false">
      <c r="A44" s="0" t="s">
        <v>730</v>
      </c>
      <c r="B44" s="21" t="s">
        <v>532</v>
      </c>
      <c r="C44" s="0" t="s">
        <v>731</v>
      </c>
      <c r="D44" s="0" t="s">
        <v>732</v>
      </c>
      <c r="E44" s="23" t="s">
        <v>711</v>
      </c>
      <c r="F44" s="0" t="s">
        <v>733</v>
      </c>
      <c r="G44" s="26" t="n">
        <v>11000</v>
      </c>
      <c r="H44" s="0" t="s">
        <v>74</v>
      </c>
      <c r="I44" s="0" t="n">
        <v>15</v>
      </c>
      <c r="J44" s="0" t="n">
        <v>400</v>
      </c>
      <c r="K44" s="0" t="s">
        <v>526</v>
      </c>
      <c r="L44" s="0" t="n">
        <v>400</v>
      </c>
      <c r="M44" s="0" t="s">
        <v>74</v>
      </c>
      <c r="N44" s="0" t="s">
        <v>88</v>
      </c>
      <c r="Q44" s="7" t="n">
        <f aca="false">IF(AND(ISNUMBER(G44),ISNUMBER(I44)),G44/I44,"n/d")</f>
        <v>733.333333333333</v>
      </c>
      <c r="R44" s="7"/>
      <c r="S44" s="7"/>
      <c r="T44" s="7"/>
      <c r="U44" s="7" t="str">
        <f aca="false">IF(AND(ISNUMBER(S44),ISNUMBER(W44)),ROUND(W44-S44,2),IF(AND(ISNUMBER(R44),ISNUMBER(V44)),ROUND(V44-R44,2),""))</f>
        <v/>
      </c>
      <c r="V44" s="7" t="n">
        <f aca="false">IF(AND(ISNUMBER(Q44),ISNUMBER(J44)),Q44/J44,"n/d")</f>
        <v>1.83333333333333</v>
      </c>
      <c r="W44" s="7" t="n">
        <f aca="false">IF(AND(ISNUMBER(Q44),ISNUMBER(L44)),Q44/L44,"n/d")</f>
        <v>1.83333333333333</v>
      </c>
      <c r="X44" s="7" t="str">
        <f aca="false">IF(AND(ISNUMBER(G44),ISNUMBER(I44),ISNUMBER(O44)),G44*1000000/(O44*I44*8760),"n/d")</f>
        <v>n/d</v>
      </c>
      <c r="Y44" s="0" t="s">
        <v>734</v>
      </c>
      <c r="Z44" s="9" t="s">
        <v>735</v>
      </c>
    </row>
    <row r="45" customFormat="false" ht="15" hidden="false" customHeight="false" outlineLevel="0" collapsed="false">
      <c r="A45" s="0" t="s">
        <v>736</v>
      </c>
      <c r="B45" s="21" t="s">
        <v>532</v>
      </c>
      <c r="C45" s="0" t="s">
        <v>737</v>
      </c>
      <c r="D45" s="0" t="s">
        <v>738</v>
      </c>
      <c r="E45" s="23" t="s">
        <v>711</v>
      </c>
      <c r="F45" s="0" t="s">
        <v>739</v>
      </c>
      <c r="G45" s="27" t="n">
        <v>15000</v>
      </c>
      <c r="H45" s="0" t="s">
        <v>740</v>
      </c>
      <c r="I45" s="0" t="n">
        <v>15</v>
      </c>
      <c r="J45" s="0" t="n">
        <v>526</v>
      </c>
      <c r="K45" s="0" t="s">
        <v>741</v>
      </c>
      <c r="L45" s="0" t="n">
        <v>526</v>
      </c>
      <c r="M45" s="0" t="s">
        <v>74</v>
      </c>
      <c r="N45" s="0" t="s">
        <v>88</v>
      </c>
      <c r="Q45" s="7" t="n">
        <f aca="false">IF(AND(ISNUMBER(G45),ISNUMBER(I45)),G45/I45,"n/d")</f>
        <v>1000</v>
      </c>
      <c r="R45" s="7"/>
      <c r="S45" s="7"/>
      <c r="T45" s="7"/>
      <c r="U45" s="7" t="str">
        <f aca="false">IF(AND(ISNUMBER(S45),ISNUMBER(W45)),ROUND(W45-S45,2),IF(AND(ISNUMBER(R45),ISNUMBER(V45)),ROUND(V45-R45,2),""))</f>
        <v/>
      </c>
      <c r="V45" s="7" t="n">
        <f aca="false">IF(AND(ISNUMBER(Q45),ISNUMBER(J45)),Q45/J45,"n/d")</f>
        <v>1.90114068441065</v>
      </c>
      <c r="W45" s="7" t="n">
        <f aca="false">IF(AND(ISNUMBER(Q45),ISNUMBER(L45)),Q45/L45,"n/d")</f>
        <v>1.90114068441065</v>
      </c>
      <c r="X45" s="7" t="str">
        <f aca="false">IF(AND(ISNUMBER(G45),ISNUMBER(I45),ISNUMBER(O45)),G45*1000000/(O45*I45*8760),"n/d")</f>
        <v>n/d</v>
      </c>
      <c r="Y45" s="0" t="s">
        <v>742</v>
      </c>
      <c r="Z45" s="9" t="s">
        <v>743</v>
      </c>
    </row>
    <row r="46" customFormat="false" ht="15" hidden="false" customHeight="false" outlineLevel="0" collapsed="false">
      <c r="A46" s="0" t="s">
        <v>744</v>
      </c>
      <c r="B46" s="21" t="s">
        <v>532</v>
      </c>
      <c r="C46" s="0" t="s">
        <v>725</v>
      </c>
      <c r="D46" s="0" t="s">
        <v>745</v>
      </c>
      <c r="E46" s="23" t="s">
        <v>711</v>
      </c>
      <c r="F46" s="0" t="s">
        <v>746</v>
      </c>
      <c r="G46" s="30" t="n">
        <v>19600</v>
      </c>
      <c r="H46" s="0" t="s">
        <v>139</v>
      </c>
      <c r="I46" s="0" t="n">
        <v>15</v>
      </c>
      <c r="J46" s="0" t="n">
        <v>704</v>
      </c>
      <c r="K46" s="0" t="s">
        <v>493</v>
      </c>
      <c r="N46" s="0" t="s">
        <v>88</v>
      </c>
      <c r="Q46" s="7" t="n">
        <f aca="false">IF(AND(ISNUMBER(G46),ISNUMBER(I46)),G46/I46,"n/d")</f>
        <v>1306.66666666667</v>
      </c>
      <c r="R46" s="7"/>
      <c r="S46" s="7"/>
      <c r="T46" s="7"/>
      <c r="U46" s="7" t="str">
        <f aca="false">IF(AND(ISNUMBER(S46),ISNUMBER(W46)),ROUND(W46-S46,2),IF(AND(ISNUMBER(R46),ISNUMBER(V46)),ROUND(V46-R46,2),""))</f>
        <v/>
      </c>
      <c r="V46" s="7" t="n">
        <f aca="false">IF(AND(ISNUMBER(Q46),ISNUMBER(J46)),Q46/J46,"n/d")</f>
        <v>1.85606060606061</v>
      </c>
      <c r="W46" s="7" t="str">
        <f aca="false">IF(AND(ISNUMBER(Q46),ISNUMBER(L46)),Q46/L46,"n/d")</f>
        <v>n/d</v>
      </c>
      <c r="X46" s="7" t="str">
        <f aca="false">IF(AND(ISNUMBER(G46),ISNUMBER(I46),ISNUMBER(O46)),G46*1000000/(O46*I46*8760),"n/d")</f>
        <v>n/d</v>
      </c>
      <c r="Y46" s="0" t="s">
        <v>747</v>
      </c>
      <c r="Z46" s="9"/>
    </row>
    <row r="47" customFormat="false" ht="15" hidden="false" customHeight="false" outlineLevel="0" collapsed="false">
      <c r="A47" s="0" t="s">
        <v>748</v>
      </c>
      <c r="B47" s="21" t="s">
        <v>532</v>
      </c>
      <c r="C47" s="0" t="s">
        <v>749</v>
      </c>
      <c r="D47" s="0" t="s">
        <v>750</v>
      </c>
      <c r="E47" s="23" t="s">
        <v>751</v>
      </c>
      <c r="F47" s="0" t="s">
        <v>140</v>
      </c>
      <c r="G47" s="4" t="s">
        <v>24</v>
      </c>
      <c r="I47" s="0" t="n">
        <v>12</v>
      </c>
      <c r="J47" s="0" t="n">
        <v>50</v>
      </c>
      <c r="K47" s="0" t="s">
        <v>526</v>
      </c>
      <c r="L47" s="0" t="n">
        <v>50</v>
      </c>
      <c r="M47" s="0" t="s">
        <v>74</v>
      </c>
      <c r="N47" s="0" t="s">
        <v>88</v>
      </c>
      <c r="Q47" s="7" t="str">
        <f aca="false">IF(AND(ISNUMBER(G47),ISNUMBER(I47)),G47/I47,"n/d")</f>
        <v>n/d</v>
      </c>
      <c r="R47" s="7"/>
      <c r="S47" s="7"/>
      <c r="T47" s="7"/>
      <c r="U47" s="7" t="str">
        <f aca="false">IF(AND(ISNUMBER(S47),ISNUMBER(W47)),ROUND(W47-S47,2),IF(AND(ISNUMBER(R47),ISNUMBER(V47)),ROUND(V47-R47,2),""))</f>
        <v/>
      </c>
      <c r="V47" s="7" t="str">
        <f aca="false">IF(AND(ISNUMBER(Q47),ISNUMBER(J47)),Q47/J47,"n/d")</f>
        <v>n/d</v>
      </c>
      <c r="W47" s="7" t="str">
        <f aca="false">IF(AND(ISNUMBER(Q47),ISNUMBER(L47)),Q47/L47,"n/d")</f>
        <v>n/d</v>
      </c>
      <c r="X47" s="7" t="str">
        <f aca="false">IF(AND(ISNUMBER(G47),ISNUMBER(I47),ISNUMBER(O47)),G47*1000000/(O47*I47*8760),"n/d")</f>
        <v>n/d</v>
      </c>
      <c r="Y47" s="0" t="s">
        <v>752</v>
      </c>
      <c r="Z47" s="9" t="s">
        <v>753</v>
      </c>
    </row>
    <row r="49" customFormat="false" ht="30" hidden="false" customHeight="true" outlineLevel="0" collapsed="false">
      <c r="A49" s="31" t="s">
        <v>754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30" hidden="false" customHeight="true" outlineLevel="0" collapsed="false">
      <c r="A50" s="1" t="s">
        <v>755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0" hidden="false" customHeight="true" outlineLevel="0" collapsed="false">
      <c r="A51" s="1" t="s">
        <v>756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0" hidden="false" customHeight="true" outlineLevel="0" collapsed="false">
      <c r="A52" s="1" t="s">
        <v>757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0" hidden="false" customHeight="true" outlineLevel="0" collapsed="false">
      <c r="A53" s="1" t="s">
        <v>758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0" hidden="false" customHeight="true" outlineLevel="0" collapsed="false">
      <c r="A54" s="1" t="s">
        <v>759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0" hidden="false" customHeight="true" outlineLevel="0" collapsed="false">
      <c r="A55" s="1" t="s">
        <v>760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0" hidden="false" customHeight="true" outlineLevel="0" collapsed="false">
      <c r="A56" s="1" t="s">
        <v>761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0" hidden="false" customHeight="true" outlineLevel="0" collapsed="false">
      <c r="A57" s="1" t="s">
        <v>762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0" hidden="false" customHeight="true" outlineLevel="0" collapsed="false">
      <c r="A58" s="1" t="s">
        <v>763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</sheetData>
  <mergeCells count="11">
    <mergeCell ref="A1:X1"/>
    <mergeCell ref="A49:Z49"/>
    <mergeCell ref="A50:Z50"/>
    <mergeCell ref="A51:Z51"/>
    <mergeCell ref="A52:Z52"/>
    <mergeCell ref="A53:Z53"/>
    <mergeCell ref="A54:Z54"/>
    <mergeCell ref="A55:Z55"/>
    <mergeCell ref="A56:Z56"/>
    <mergeCell ref="A57:Z57"/>
    <mergeCell ref="A58:Z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10"/>
    <col collapsed="false" customWidth="true" hidden="false" outlineLevel="0" max="12" min="7" style="0" width="8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60"/>
    <col collapsed="false" customWidth="true" hidden="false" outlineLevel="0" max="16" min="16" style="0" width="36"/>
    <col collapsed="false" customWidth="true" hidden="false" outlineLevel="0" max="17" min="17" style="0" width="10"/>
    <col collapsed="false" customWidth="true" hidden="false" outlineLevel="0" max="18" min="18" style="0" width="60"/>
  </cols>
  <sheetData>
    <row r="1" customFormat="false" ht="48" hidden="false" customHeight="true" outlineLevel="0" collapsed="false">
      <c r="A1" s="1" t="s">
        <v>764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9" t="s">
        <v>765</v>
      </c>
    </row>
    <row r="4" customFormat="false" ht="55.2" hidden="false" customHeight="false" outlineLevel="0" collapsed="false">
      <c r="A4" s="2" t="s">
        <v>766</v>
      </c>
      <c r="B4" s="2" t="s">
        <v>767</v>
      </c>
      <c r="C4" s="2" t="s">
        <v>462</v>
      </c>
      <c r="D4" s="2" t="s">
        <v>768</v>
      </c>
      <c r="E4" s="2" t="s">
        <v>769</v>
      </c>
      <c r="F4" s="2" t="s">
        <v>770</v>
      </c>
      <c r="G4" s="2" t="s">
        <v>771</v>
      </c>
      <c r="H4" s="2" t="s">
        <v>772</v>
      </c>
      <c r="I4" s="2" t="s">
        <v>773</v>
      </c>
      <c r="J4" s="2" t="s">
        <v>774</v>
      </c>
      <c r="K4" s="2" t="s">
        <v>775</v>
      </c>
      <c r="L4" s="2" t="s">
        <v>776</v>
      </c>
      <c r="M4" s="2" t="s">
        <v>777</v>
      </c>
      <c r="N4" s="2" t="s">
        <v>778</v>
      </c>
      <c r="O4" s="2" t="s">
        <v>779</v>
      </c>
      <c r="P4" s="2" t="s">
        <v>475</v>
      </c>
      <c r="Q4" s="2" t="s">
        <v>780</v>
      </c>
      <c r="R4" s="2" t="s">
        <v>781</v>
      </c>
    </row>
    <row r="5" customFormat="false" ht="95.5" hidden="false" customHeight="false" outlineLevel="0" collapsed="false">
      <c r="A5" s="9" t="s">
        <v>7</v>
      </c>
      <c r="B5" s="9" t="s">
        <v>782</v>
      </c>
      <c r="C5" s="9" t="s">
        <v>783</v>
      </c>
      <c r="D5" s="9" t="s">
        <v>784</v>
      </c>
      <c r="E5" s="9" t="n">
        <v>262</v>
      </c>
      <c r="F5" s="9" t="s">
        <v>785</v>
      </c>
      <c r="G5" s="9" t="n">
        <v>250</v>
      </c>
      <c r="H5" s="9" t="n">
        <v>260</v>
      </c>
      <c r="I5" s="9" t="n">
        <v>262</v>
      </c>
      <c r="J5" s="9" t="n">
        <v>260</v>
      </c>
      <c r="K5" s="9" t="n">
        <v>262</v>
      </c>
      <c r="L5" s="9" t="n">
        <v>262</v>
      </c>
      <c r="M5" s="32" t="s">
        <v>786</v>
      </c>
      <c r="N5" s="9" t="s">
        <v>787</v>
      </c>
      <c r="O5" s="9" t="s">
        <v>788</v>
      </c>
      <c r="P5" s="9" t="s">
        <v>789</v>
      </c>
      <c r="Q5" s="9" t="n">
        <v>260</v>
      </c>
      <c r="R5" s="9" t="s">
        <v>790</v>
      </c>
    </row>
    <row r="6" customFormat="false" ht="202.95" hidden="false" customHeight="false" outlineLevel="0" collapsed="false">
      <c r="A6" s="9" t="s">
        <v>8</v>
      </c>
      <c r="B6" s="9" t="s">
        <v>791</v>
      </c>
      <c r="C6" s="9" t="s">
        <v>792</v>
      </c>
      <c r="D6" s="9" t="s">
        <v>793</v>
      </c>
      <c r="E6" s="9" t="n">
        <v>260</v>
      </c>
      <c r="F6" s="9" t="s">
        <v>794</v>
      </c>
      <c r="G6" s="9" t="n">
        <v>50</v>
      </c>
      <c r="H6" s="9" t="n">
        <v>75</v>
      </c>
      <c r="I6" s="9" t="n">
        <v>100</v>
      </c>
      <c r="J6" s="9" t="n">
        <v>100</v>
      </c>
      <c r="K6" s="9" t="n">
        <v>150</v>
      </c>
      <c r="L6" s="9" t="n">
        <v>200</v>
      </c>
      <c r="M6" s="32" t="s">
        <v>795</v>
      </c>
      <c r="N6" s="9" t="s">
        <v>796</v>
      </c>
      <c r="O6" s="9" t="s">
        <v>797</v>
      </c>
      <c r="P6" s="9" t="s">
        <v>789</v>
      </c>
      <c r="Q6" s="9" t="n">
        <v>50</v>
      </c>
      <c r="R6" s="9" t="s">
        <v>798</v>
      </c>
    </row>
    <row r="7" customFormat="false" ht="149.25" hidden="false" customHeight="false" outlineLevel="0" collapsed="false">
      <c r="A7" s="9" t="s">
        <v>10</v>
      </c>
      <c r="B7" s="9" t="s">
        <v>799</v>
      </c>
      <c r="C7" s="9" t="s">
        <v>800</v>
      </c>
      <c r="D7" s="9" t="s">
        <v>801</v>
      </c>
      <c r="E7" s="9" t="n">
        <v>230</v>
      </c>
      <c r="F7" s="9" t="s">
        <v>802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33" t="s">
        <v>803</v>
      </c>
      <c r="N7" s="9" t="s">
        <v>804</v>
      </c>
      <c r="O7" s="9" t="s">
        <v>805</v>
      </c>
      <c r="P7" s="9" t="s">
        <v>789</v>
      </c>
    </row>
    <row r="8" customFormat="false" ht="189.55" hidden="false" customHeight="false" outlineLevel="0" collapsed="false">
      <c r="A8" s="9" t="s">
        <v>12</v>
      </c>
      <c r="B8" s="9" t="s">
        <v>806</v>
      </c>
      <c r="C8" s="9" t="s">
        <v>363</v>
      </c>
      <c r="D8" s="9" t="s">
        <v>807</v>
      </c>
      <c r="E8" s="9" t="n">
        <v>824</v>
      </c>
      <c r="F8" s="9" t="s">
        <v>808</v>
      </c>
      <c r="G8" s="9" t="n">
        <v>421</v>
      </c>
      <c r="H8" s="9" t="n">
        <v>618</v>
      </c>
      <c r="I8" s="9" t="n">
        <v>618</v>
      </c>
      <c r="J8" s="9" t="n">
        <v>618</v>
      </c>
      <c r="K8" s="9" t="n">
        <v>721</v>
      </c>
      <c r="L8" s="9" t="n">
        <v>824</v>
      </c>
      <c r="M8" s="32" t="s">
        <v>809</v>
      </c>
      <c r="N8" s="9" t="s">
        <v>810</v>
      </c>
      <c r="O8" s="9" t="s">
        <v>811</v>
      </c>
      <c r="P8" s="9" t="s">
        <v>789</v>
      </c>
      <c r="Q8" s="9" t="n">
        <v>618</v>
      </c>
      <c r="R8" s="9" t="s">
        <v>812</v>
      </c>
    </row>
    <row r="9" customFormat="false" ht="95.5" hidden="false" customHeight="false" outlineLevel="0" collapsed="false">
      <c r="A9" s="9" t="s">
        <v>11</v>
      </c>
      <c r="B9" s="9" t="s">
        <v>813</v>
      </c>
      <c r="C9" s="9" t="s">
        <v>363</v>
      </c>
      <c r="D9" s="9" t="s">
        <v>814</v>
      </c>
      <c r="E9" s="9" t="n">
        <v>24</v>
      </c>
      <c r="F9" s="9" t="s">
        <v>815</v>
      </c>
      <c r="G9" s="9" t="n">
        <v>0</v>
      </c>
      <c r="H9" s="9" t="n">
        <v>12</v>
      </c>
      <c r="I9" s="9" t="n">
        <v>24</v>
      </c>
      <c r="J9" s="9" t="n">
        <v>12</v>
      </c>
      <c r="K9" s="9" t="n">
        <v>24</v>
      </c>
      <c r="L9" s="9" t="n">
        <v>24</v>
      </c>
      <c r="M9" s="33" t="s">
        <v>816</v>
      </c>
      <c r="N9" s="9" t="s">
        <v>817</v>
      </c>
      <c r="O9" s="9" t="s">
        <v>818</v>
      </c>
      <c r="P9" s="9" t="s">
        <v>789</v>
      </c>
    </row>
    <row r="10" customFormat="false" ht="95.5" hidden="false" customHeight="false" outlineLevel="0" collapsed="false">
      <c r="A10" s="9" t="s">
        <v>819</v>
      </c>
      <c r="B10" s="9" t="s">
        <v>820</v>
      </c>
      <c r="C10" s="9" t="s">
        <v>821</v>
      </c>
      <c r="D10" s="9" t="s">
        <v>822</v>
      </c>
      <c r="E10" s="9" t="n">
        <v>902</v>
      </c>
      <c r="F10" s="9" t="s">
        <v>823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33" t="s">
        <v>824</v>
      </c>
      <c r="N10" s="9" t="s">
        <v>804</v>
      </c>
      <c r="O10" s="9" t="s">
        <v>825</v>
      </c>
      <c r="P10" s="9" t="s">
        <v>789</v>
      </c>
      <c r="Q10" s="9" t="n">
        <v>0</v>
      </c>
      <c r="R10" s="9" t="s">
        <v>826</v>
      </c>
    </row>
    <row r="11" customFormat="false" ht="458.2" hidden="false" customHeight="false" outlineLevel="0" collapsed="false">
      <c r="A11" s="9" t="s">
        <v>10</v>
      </c>
      <c r="B11" s="9" t="s">
        <v>827</v>
      </c>
      <c r="C11" s="9" t="s">
        <v>363</v>
      </c>
      <c r="D11" s="9" t="s">
        <v>828</v>
      </c>
      <c r="E11" s="9" t="n">
        <v>460</v>
      </c>
      <c r="F11" s="9" t="s">
        <v>829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33" t="s">
        <v>830</v>
      </c>
      <c r="N11" s="9" t="s">
        <v>831</v>
      </c>
      <c r="O11" s="9" t="s">
        <v>832</v>
      </c>
      <c r="P11" s="9" t="s">
        <v>789</v>
      </c>
    </row>
    <row r="12" customFormat="false" ht="15" hidden="false" customHeight="false" outlineLevel="0" collapsed="false">
      <c r="A12" s="4" t="s">
        <v>833</v>
      </c>
    </row>
    <row r="14" customFormat="false" ht="15" hidden="false" customHeight="false" outlineLevel="0" collapsed="false">
      <c r="A14" s="19" t="s">
        <v>834</v>
      </c>
    </row>
    <row r="15" customFormat="false" ht="55.2" hidden="false" customHeight="false" outlineLevel="0" collapsed="false">
      <c r="A15" s="2" t="s">
        <v>766</v>
      </c>
      <c r="B15" s="2" t="s">
        <v>767</v>
      </c>
      <c r="C15" s="2" t="s">
        <v>462</v>
      </c>
      <c r="D15" s="2" t="s">
        <v>768</v>
      </c>
      <c r="E15" s="2" t="s">
        <v>769</v>
      </c>
      <c r="F15" s="2" t="s">
        <v>770</v>
      </c>
      <c r="G15" s="2" t="s">
        <v>771</v>
      </c>
      <c r="H15" s="2" t="s">
        <v>772</v>
      </c>
      <c r="I15" s="2" t="s">
        <v>773</v>
      </c>
      <c r="J15" s="2" t="s">
        <v>774</v>
      </c>
      <c r="K15" s="2" t="s">
        <v>775</v>
      </c>
      <c r="L15" s="2" t="s">
        <v>776</v>
      </c>
      <c r="M15" s="2" t="s">
        <v>777</v>
      </c>
      <c r="N15" s="2" t="s">
        <v>778</v>
      </c>
      <c r="O15" s="2" t="s">
        <v>779</v>
      </c>
      <c r="P15" s="2" t="s">
        <v>475</v>
      </c>
      <c r="Q15" s="2" t="s">
        <v>780</v>
      </c>
      <c r="R15" s="2" t="s">
        <v>781</v>
      </c>
    </row>
    <row r="16" customFormat="false" ht="68.65" hidden="false" customHeight="false" outlineLevel="0" collapsed="false">
      <c r="A16" s="9" t="s">
        <v>4</v>
      </c>
      <c r="B16" s="9" t="s">
        <v>835</v>
      </c>
      <c r="C16" s="9" t="s">
        <v>836</v>
      </c>
      <c r="D16" s="9" t="s">
        <v>837</v>
      </c>
      <c r="E16" s="9" t="n">
        <v>300</v>
      </c>
      <c r="F16" s="9" t="n">
        <v>300</v>
      </c>
      <c r="G16" s="9" t="n">
        <v>57</v>
      </c>
      <c r="H16" s="9" t="n">
        <v>66</v>
      </c>
      <c r="I16" s="9" t="n">
        <v>75</v>
      </c>
      <c r="J16" s="9" t="n">
        <v>57</v>
      </c>
      <c r="K16" s="9" t="n">
        <v>81.8</v>
      </c>
      <c r="L16" s="9" t="n">
        <v>106.6</v>
      </c>
      <c r="M16" s="33" t="s">
        <v>838</v>
      </c>
      <c r="N16" s="9" t="s">
        <v>839</v>
      </c>
      <c r="O16" s="9" t="s">
        <v>840</v>
      </c>
      <c r="P16" s="9" t="s">
        <v>841</v>
      </c>
    </row>
    <row r="17" customFormat="false" ht="55.2" hidden="false" customHeight="false" outlineLevel="0" collapsed="false">
      <c r="A17" s="9" t="s">
        <v>4</v>
      </c>
      <c r="B17" s="9" t="s">
        <v>842</v>
      </c>
      <c r="C17" s="9" t="s">
        <v>843</v>
      </c>
      <c r="D17" s="9" t="s">
        <v>844</v>
      </c>
      <c r="E17" s="9" t="n">
        <v>1200</v>
      </c>
      <c r="F17" s="9" t="n">
        <v>1200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32" t="s">
        <v>786</v>
      </c>
      <c r="N17" s="9" t="s">
        <v>839</v>
      </c>
      <c r="O17" s="9" t="s">
        <v>845</v>
      </c>
      <c r="P17" s="9" t="s">
        <v>841</v>
      </c>
    </row>
    <row r="18" customFormat="false" ht="55.2" hidden="false" customHeight="false" outlineLevel="0" collapsed="false">
      <c r="A18" s="9" t="s">
        <v>4</v>
      </c>
      <c r="B18" s="9" t="s">
        <v>846</v>
      </c>
      <c r="C18" s="9" t="s">
        <v>847</v>
      </c>
      <c r="D18" s="9" t="s">
        <v>24</v>
      </c>
      <c r="E18" s="9" t="n">
        <v>1200</v>
      </c>
      <c r="F18" s="9" t="n">
        <v>1200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34" t="s">
        <v>848</v>
      </c>
      <c r="N18" s="9" t="s">
        <v>839</v>
      </c>
      <c r="O18" s="9" t="s">
        <v>849</v>
      </c>
      <c r="P18" s="9" t="s">
        <v>841</v>
      </c>
    </row>
    <row r="19" customFormat="false" ht="55.2" hidden="false" customHeight="false" outlineLevel="0" collapsed="false">
      <c r="A19" s="9" t="s">
        <v>4</v>
      </c>
      <c r="B19" s="9" t="s">
        <v>850</v>
      </c>
      <c r="C19" s="9" t="s">
        <v>851</v>
      </c>
      <c r="D19" s="9" t="s">
        <v>852</v>
      </c>
      <c r="E19" s="9" t="n">
        <v>300</v>
      </c>
      <c r="F19" s="9" t="n">
        <v>300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33" t="s">
        <v>853</v>
      </c>
      <c r="N19" s="9" t="s">
        <v>839</v>
      </c>
      <c r="O19" s="9" t="s">
        <v>854</v>
      </c>
      <c r="P19" s="9" t="s">
        <v>841</v>
      </c>
    </row>
    <row r="20" customFormat="false" ht="55.2" hidden="false" customHeight="false" outlineLevel="0" collapsed="false">
      <c r="A20" s="9" t="s">
        <v>4</v>
      </c>
      <c r="B20" s="9" t="s">
        <v>855</v>
      </c>
      <c r="C20" s="9" t="s">
        <v>856</v>
      </c>
      <c r="D20" s="9" t="s">
        <v>857</v>
      </c>
      <c r="E20" s="9" t="n">
        <v>240</v>
      </c>
      <c r="F20" s="9" t="n">
        <v>240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30</v>
      </c>
      <c r="L20" s="9" t="n">
        <v>60</v>
      </c>
      <c r="M20" s="33" t="s">
        <v>853</v>
      </c>
      <c r="N20" s="9" t="s">
        <v>839</v>
      </c>
      <c r="O20" s="9" t="s">
        <v>858</v>
      </c>
      <c r="P20" s="9" t="s">
        <v>841</v>
      </c>
    </row>
    <row r="21" customFormat="false" ht="55.2" hidden="false" customHeight="false" outlineLevel="0" collapsed="false">
      <c r="A21" s="9" t="s">
        <v>4</v>
      </c>
      <c r="B21" s="9" t="s">
        <v>859</v>
      </c>
      <c r="C21" s="9" t="s">
        <v>856</v>
      </c>
      <c r="D21" s="9" t="s">
        <v>860</v>
      </c>
      <c r="E21" s="9" t="n">
        <v>310</v>
      </c>
      <c r="F21" s="9" t="n">
        <v>310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32" t="s">
        <v>786</v>
      </c>
      <c r="N21" s="9" t="s">
        <v>839</v>
      </c>
      <c r="O21" s="9" t="s">
        <v>861</v>
      </c>
      <c r="P21" s="9" t="s">
        <v>841</v>
      </c>
    </row>
    <row r="22" customFormat="false" ht="55.2" hidden="false" customHeight="false" outlineLevel="0" collapsed="false">
      <c r="A22" s="9" t="s">
        <v>4</v>
      </c>
      <c r="B22" s="9" t="s">
        <v>862</v>
      </c>
      <c r="C22" s="9" t="s">
        <v>863</v>
      </c>
      <c r="D22" s="9" t="s">
        <v>864</v>
      </c>
      <c r="E22" s="9" t="n">
        <v>75</v>
      </c>
      <c r="F22" s="9" t="n">
        <v>75</v>
      </c>
      <c r="G22" s="9" t="n">
        <v>75</v>
      </c>
      <c r="H22" s="9" t="n">
        <v>75</v>
      </c>
      <c r="I22" s="9" t="n">
        <v>75</v>
      </c>
      <c r="J22" s="9" t="n">
        <v>75</v>
      </c>
      <c r="K22" s="9" t="n">
        <v>75</v>
      </c>
      <c r="L22" s="9" t="n">
        <v>75</v>
      </c>
      <c r="M22" s="32" t="s">
        <v>786</v>
      </c>
      <c r="N22" s="9" t="s">
        <v>839</v>
      </c>
      <c r="O22" s="9" t="s">
        <v>865</v>
      </c>
      <c r="P22" s="9" t="s">
        <v>841</v>
      </c>
    </row>
    <row r="23" customFormat="false" ht="55.2" hidden="false" customHeight="false" outlineLevel="0" collapsed="false">
      <c r="A23" s="9" t="s">
        <v>4</v>
      </c>
      <c r="B23" s="9" t="s">
        <v>866</v>
      </c>
      <c r="C23" s="9" t="s">
        <v>867</v>
      </c>
      <c r="D23" s="9" t="s">
        <v>864</v>
      </c>
      <c r="E23" s="9" t="n">
        <v>70</v>
      </c>
      <c r="F23" s="9" t="n">
        <v>70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33" t="s">
        <v>853</v>
      </c>
      <c r="N23" s="9" t="s">
        <v>839</v>
      </c>
      <c r="O23" s="9" t="s">
        <v>868</v>
      </c>
      <c r="P23" s="9" t="s">
        <v>841</v>
      </c>
    </row>
    <row r="24" customFormat="false" ht="55.2" hidden="false" customHeight="false" outlineLevel="0" collapsed="false">
      <c r="A24" s="9" t="s">
        <v>4</v>
      </c>
      <c r="B24" s="9" t="s">
        <v>869</v>
      </c>
      <c r="C24" s="9" t="s">
        <v>856</v>
      </c>
      <c r="D24" s="9" t="s">
        <v>870</v>
      </c>
      <c r="E24" s="9" t="n">
        <v>40</v>
      </c>
      <c r="F24" s="9" t="n">
        <v>40</v>
      </c>
      <c r="G24" s="9" t="n">
        <v>5</v>
      </c>
      <c r="H24" s="9" t="n">
        <v>20</v>
      </c>
      <c r="I24" s="9" t="n">
        <v>35</v>
      </c>
      <c r="J24" s="9" t="n">
        <v>5</v>
      </c>
      <c r="K24" s="9" t="n">
        <v>20</v>
      </c>
      <c r="L24" s="9" t="n">
        <v>35</v>
      </c>
      <c r="M24" s="32" t="s">
        <v>786</v>
      </c>
      <c r="N24" s="9" t="s">
        <v>839</v>
      </c>
      <c r="O24" s="9" t="s">
        <v>871</v>
      </c>
      <c r="P24" s="9" t="s">
        <v>841</v>
      </c>
    </row>
    <row r="25" customFormat="false" ht="55.2" hidden="false" customHeight="false" outlineLevel="0" collapsed="false">
      <c r="A25" s="9" t="s">
        <v>4</v>
      </c>
      <c r="B25" s="9" t="s">
        <v>872</v>
      </c>
      <c r="C25" s="9" t="s">
        <v>873</v>
      </c>
      <c r="D25" s="9" t="s">
        <v>501</v>
      </c>
      <c r="E25" s="9" t="n">
        <v>5</v>
      </c>
      <c r="F25" s="9" t="n">
        <v>5</v>
      </c>
      <c r="G25" s="9" t="n">
        <v>5</v>
      </c>
      <c r="H25" s="9" t="n">
        <v>5</v>
      </c>
      <c r="I25" s="9" t="n">
        <v>5</v>
      </c>
      <c r="J25" s="9" t="n">
        <v>5</v>
      </c>
      <c r="K25" s="9" t="n">
        <v>5</v>
      </c>
      <c r="L25" s="9" t="n">
        <v>5</v>
      </c>
      <c r="M25" s="32" t="s">
        <v>786</v>
      </c>
      <c r="N25" s="9" t="s">
        <v>839</v>
      </c>
      <c r="O25" s="9" t="s">
        <v>874</v>
      </c>
      <c r="P25" s="9" t="s">
        <v>841</v>
      </c>
    </row>
    <row r="26" customFormat="false" ht="55.2" hidden="false" customHeight="false" outlineLevel="0" collapsed="false">
      <c r="A26" s="9" t="s">
        <v>4</v>
      </c>
      <c r="B26" s="9" t="s">
        <v>875</v>
      </c>
      <c r="C26" s="9" t="s">
        <v>856</v>
      </c>
      <c r="D26" s="9" t="s">
        <v>876</v>
      </c>
      <c r="E26" s="9" t="n">
        <v>10</v>
      </c>
      <c r="F26" s="9" t="n">
        <v>10</v>
      </c>
      <c r="G26" s="9" t="n">
        <v>10</v>
      </c>
      <c r="H26" s="9" t="n">
        <v>10</v>
      </c>
      <c r="I26" s="9" t="n">
        <v>10</v>
      </c>
      <c r="J26" s="9" t="n">
        <v>10</v>
      </c>
      <c r="K26" s="9" t="n">
        <v>10</v>
      </c>
      <c r="L26" s="9" t="n">
        <v>10</v>
      </c>
      <c r="M26" s="32" t="s">
        <v>786</v>
      </c>
      <c r="N26" s="9" t="s">
        <v>839</v>
      </c>
      <c r="O26" s="9" t="s">
        <v>877</v>
      </c>
      <c r="P26" s="9" t="s">
        <v>841</v>
      </c>
    </row>
    <row r="27" customFormat="false" ht="55.2" hidden="false" customHeight="false" outlineLevel="0" collapsed="false">
      <c r="A27" s="9" t="s">
        <v>4</v>
      </c>
      <c r="B27" s="9" t="s">
        <v>878</v>
      </c>
      <c r="C27" s="9" t="s">
        <v>879</v>
      </c>
      <c r="D27" s="9" t="s">
        <v>880</v>
      </c>
      <c r="E27" s="9" t="n">
        <v>19</v>
      </c>
      <c r="F27" s="9" t="n">
        <v>19</v>
      </c>
      <c r="G27" s="9" t="n">
        <v>16</v>
      </c>
      <c r="H27" s="9" t="n">
        <v>16</v>
      </c>
      <c r="I27" s="9" t="n">
        <v>16</v>
      </c>
      <c r="J27" s="9" t="n">
        <v>16</v>
      </c>
      <c r="K27" s="9" t="n">
        <v>17.5</v>
      </c>
      <c r="L27" s="9" t="n">
        <v>19</v>
      </c>
      <c r="M27" s="32" t="s">
        <v>786</v>
      </c>
      <c r="N27" s="9" t="s">
        <v>839</v>
      </c>
      <c r="O27" s="9" t="s">
        <v>881</v>
      </c>
      <c r="P27" s="9" t="s">
        <v>841</v>
      </c>
    </row>
    <row r="28" customFormat="false" ht="55.2" hidden="false" customHeight="false" outlineLevel="0" collapsed="false">
      <c r="A28" s="9" t="s">
        <v>4</v>
      </c>
      <c r="B28" s="9" t="s">
        <v>882</v>
      </c>
      <c r="C28" s="9" t="s">
        <v>856</v>
      </c>
      <c r="D28" s="9" t="s">
        <v>883</v>
      </c>
      <c r="E28" s="9" t="n">
        <v>22</v>
      </c>
      <c r="F28" s="9" t="n">
        <v>22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2.2</v>
      </c>
      <c r="L28" s="9" t="n">
        <v>4.4</v>
      </c>
      <c r="M28" s="32" t="s">
        <v>786</v>
      </c>
      <c r="N28" s="9" t="s">
        <v>839</v>
      </c>
      <c r="O28" s="9" t="s">
        <v>884</v>
      </c>
      <c r="P28" s="9" t="s">
        <v>841</v>
      </c>
    </row>
    <row r="29" customFormat="false" ht="55.2" hidden="false" customHeight="false" outlineLevel="0" collapsed="false">
      <c r="A29" s="9" t="s">
        <v>4</v>
      </c>
      <c r="B29" s="9" t="s">
        <v>885</v>
      </c>
      <c r="C29" s="9" t="s">
        <v>886</v>
      </c>
      <c r="D29" s="9" t="s">
        <v>24</v>
      </c>
      <c r="E29" s="9" t="s">
        <v>501</v>
      </c>
      <c r="F29" s="9" t="s">
        <v>501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5</v>
      </c>
      <c r="L29" s="9" t="n">
        <v>10</v>
      </c>
      <c r="M29" s="33" t="s">
        <v>853</v>
      </c>
      <c r="N29" s="9" t="s">
        <v>839</v>
      </c>
      <c r="O29" s="9" t="s">
        <v>887</v>
      </c>
      <c r="P29" s="9" t="s">
        <v>841</v>
      </c>
    </row>
    <row r="30" customFormat="false" ht="55.2" hidden="false" customHeight="false" outlineLevel="0" collapsed="false">
      <c r="A30" s="9" t="s">
        <v>4</v>
      </c>
      <c r="B30" s="9" t="s">
        <v>888</v>
      </c>
      <c r="C30" s="9" t="s">
        <v>856</v>
      </c>
      <c r="D30" s="9" t="s">
        <v>889</v>
      </c>
      <c r="E30" s="9" t="s">
        <v>501</v>
      </c>
      <c r="F30" s="9" t="s">
        <v>501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34" t="s">
        <v>848</v>
      </c>
      <c r="N30" s="9" t="s">
        <v>839</v>
      </c>
      <c r="O30" s="9" t="s">
        <v>890</v>
      </c>
      <c r="P30" s="9" t="s">
        <v>841</v>
      </c>
    </row>
    <row r="31" customFormat="false" ht="55.2" hidden="false" customHeight="false" outlineLevel="0" collapsed="false">
      <c r="A31" s="9" t="s">
        <v>4</v>
      </c>
      <c r="B31" s="9" t="s">
        <v>891</v>
      </c>
      <c r="C31" s="9" t="s">
        <v>892</v>
      </c>
      <c r="D31" s="9" t="s">
        <v>893</v>
      </c>
      <c r="E31" s="9" t="n">
        <v>8</v>
      </c>
      <c r="F31" s="9" t="n">
        <v>8</v>
      </c>
      <c r="G31" s="9" t="n">
        <v>8</v>
      </c>
      <c r="H31" s="9" t="n">
        <v>8</v>
      </c>
      <c r="I31" s="9" t="n">
        <v>8</v>
      </c>
      <c r="J31" s="9" t="n">
        <v>8</v>
      </c>
      <c r="K31" s="9" t="n">
        <v>8</v>
      </c>
      <c r="L31" s="9" t="n">
        <v>8</v>
      </c>
      <c r="M31" s="32" t="s">
        <v>786</v>
      </c>
      <c r="N31" s="9" t="s">
        <v>839</v>
      </c>
      <c r="O31" s="9" t="s">
        <v>874</v>
      </c>
      <c r="P31" s="9" t="s">
        <v>841</v>
      </c>
    </row>
    <row r="32" customFormat="false" ht="55.2" hidden="false" customHeight="false" outlineLevel="0" collapsed="false">
      <c r="A32" s="9" t="s">
        <v>4</v>
      </c>
      <c r="B32" s="9" t="s">
        <v>894</v>
      </c>
      <c r="C32" s="9" t="s">
        <v>856</v>
      </c>
      <c r="D32" s="9" t="s">
        <v>895</v>
      </c>
      <c r="E32" s="9" t="n">
        <v>22</v>
      </c>
      <c r="F32" s="9" t="n">
        <v>22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5.5</v>
      </c>
      <c r="L32" s="9" t="n">
        <v>11</v>
      </c>
      <c r="M32" s="33" t="s">
        <v>853</v>
      </c>
      <c r="N32" s="9" t="s">
        <v>839</v>
      </c>
      <c r="O32" s="9" t="s">
        <v>896</v>
      </c>
      <c r="P32" s="9" t="s">
        <v>841</v>
      </c>
    </row>
    <row r="33" customFormat="false" ht="55.2" hidden="false" customHeight="false" outlineLevel="0" collapsed="false">
      <c r="A33" s="9" t="s">
        <v>4</v>
      </c>
      <c r="B33" s="9" t="s">
        <v>897</v>
      </c>
      <c r="C33" s="9" t="s">
        <v>856</v>
      </c>
      <c r="D33" s="9" t="s">
        <v>898</v>
      </c>
      <c r="E33" s="9" t="n">
        <v>58</v>
      </c>
      <c r="F33" s="9" t="n">
        <v>58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33" t="s">
        <v>853</v>
      </c>
      <c r="N33" s="9" t="s">
        <v>839</v>
      </c>
      <c r="O33" s="9" t="s">
        <v>899</v>
      </c>
      <c r="P33" s="9" t="s">
        <v>841</v>
      </c>
    </row>
    <row r="34" customFormat="false" ht="55.2" hidden="false" customHeight="false" outlineLevel="0" collapsed="false">
      <c r="A34" s="9" t="s">
        <v>4</v>
      </c>
      <c r="B34" s="9" t="s">
        <v>900</v>
      </c>
      <c r="C34" s="9" t="s">
        <v>856</v>
      </c>
      <c r="D34" s="9" t="s">
        <v>901</v>
      </c>
      <c r="E34" s="9" t="n">
        <v>18</v>
      </c>
      <c r="F34" s="9" t="n">
        <v>18</v>
      </c>
      <c r="G34" s="9" t="n">
        <v>6</v>
      </c>
      <c r="H34" s="9" t="n">
        <v>7.5</v>
      </c>
      <c r="I34" s="9" t="n">
        <v>9</v>
      </c>
      <c r="J34" s="9" t="n">
        <v>9</v>
      </c>
      <c r="K34" s="9" t="n">
        <v>13.5</v>
      </c>
      <c r="L34" s="9" t="n">
        <v>18</v>
      </c>
      <c r="M34" s="32" t="s">
        <v>786</v>
      </c>
      <c r="N34" s="9" t="s">
        <v>839</v>
      </c>
      <c r="O34" s="9" t="s">
        <v>902</v>
      </c>
      <c r="P34" s="9" t="s">
        <v>841</v>
      </c>
    </row>
    <row r="35" customFormat="false" ht="55.2" hidden="false" customHeight="false" outlineLevel="0" collapsed="false">
      <c r="A35" s="9" t="s">
        <v>4</v>
      </c>
      <c r="B35" s="9" t="s">
        <v>903</v>
      </c>
      <c r="C35" s="9" t="s">
        <v>856</v>
      </c>
      <c r="D35" s="9" t="s">
        <v>904</v>
      </c>
      <c r="E35" s="9" t="n">
        <v>22</v>
      </c>
      <c r="F35" s="9" t="n">
        <v>22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11</v>
      </c>
      <c r="L35" s="9" t="n">
        <v>22</v>
      </c>
      <c r="M35" s="33" t="s">
        <v>853</v>
      </c>
      <c r="N35" s="9" t="s">
        <v>839</v>
      </c>
      <c r="O35" s="9" t="s">
        <v>905</v>
      </c>
      <c r="P35" s="9" t="s">
        <v>841</v>
      </c>
    </row>
    <row r="36" customFormat="false" ht="55.2" hidden="false" customHeight="false" outlineLevel="0" collapsed="false">
      <c r="A36" s="9" t="s">
        <v>4</v>
      </c>
      <c r="B36" s="9" t="s">
        <v>906</v>
      </c>
      <c r="C36" s="9" t="s">
        <v>856</v>
      </c>
      <c r="D36" s="9" t="s">
        <v>501</v>
      </c>
      <c r="E36" s="9" t="s">
        <v>501</v>
      </c>
      <c r="F36" s="9" t="s">
        <v>501</v>
      </c>
      <c r="G36" s="9" t="n">
        <v>5</v>
      </c>
      <c r="H36" s="9" t="n">
        <v>10</v>
      </c>
      <c r="I36" s="9" t="n">
        <v>15</v>
      </c>
      <c r="J36" s="9" t="n">
        <v>5</v>
      </c>
      <c r="K36" s="9" t="n">
        <v>10</v>
      </c>
      <c r="L36" s="9" t="n">
        <v>15</v>
      </c>
      <c r="M36" s="33" t="s">
        <v>853</v>
      </c>
      <c r="N36" s="9" t="s">
        <v>839</v>
      </c>
      <c r="O36" s="9" t="s">
        <v>907</v>
      </c>
      <c r="P36" s="9" t="s">
        <v>841</v>
      </c>
    </row>
    <row r="37" customFormat="false" ht="55.2" hidden="false" customHeight="false" outlineLevel="0" collapsed="false">
      <c r="A37" s="9" t="s">
        <v>4</v>
      </c>
      <c r="B37" s="9" t="s">
        <v>908</v>
      </c>
      <c r="C37" s="9" t="s">
        <v>856</v>
      </c>
      <c r="D37" s="9" t="s">
        <v>501</v>
      </c>
      <c r="E37" s="9" t="s">
        <v>909</v>
      </c>
      <c r="F37" s="9" t="s">
        <v>909</v>
      </c>
      <c r="G37" s="9" t="n">
        <v>5</v>
      </c>
      <c r="H37" s="9" t="n">
        <v>10</v>
      </c>
      <c r="I37" s="9" t="n">
        <v>15</v>
      </c>
      <c r="J37" s="9" t="n">
        <v>10</v>
      </c>
      <c r="K37" s="9" t="n">
        <v>25</v>
      </c>
      <c r="L37" s="9" t="n">
        <v>40</v>
      </c>
      <c r="M37" s="33" t="s">
        <v>838</v>
      </c>
      <c r="N37" s="9" t="s">
        <v>839</v>
      </c>
      <c r="O37" s="9" t="s">
        <v>910</v>
      </c>
      <c r="P37" s="9" t="s">
        <v>841</v>
      </c>
    </row>
    <row r="38" customFormat="false" ht="55.2" hidden="false" customHeight="false" outlineLevel="0" collapsed="false">
      <c r="A38" s="9" t="s">
        <v>4</v>
      </c>
      <c r="B38" s="9" t="s">
        <v>911</v>
      </c>
      <c r="C38" s="9" t="s">
        <v>856</v>
      </c>
      <c r="D38" s="9" t="s">
        <v>501</v>
      </c>
      <c r="E38" s="9" t="s">
        <v>501</v>
      </c>
      <c r="F38" s="9" t="s">
        <v>501</v>
      </c>
      <c r="G38" s="9" t="s">
        <v>24</v>
      </c>
      <c r="H38" s="9" t="s">
        <v>24</v>
      </c>
      <c r="I38" s="9" t="s">
        <v>24</v>
      </c>
      <c r="J38" s="9" t="s">
        <v>24</v>
      </c>
      <c r="K38" s="9" t="s">
        <v>24</v>
      </c>
      <c r="L38" s="9" t="s">
        <v>24</v>
      </c>
      <c r="M38" s="33" t="s">
        <v>853</v>
      </c>
      <c r="N38" s="9" t="s">
        <v>839</v>
      </c>
      <c r="O38" s="9" t="s">
        <v>912</v>
      </c>
      <c r="P38" s="9" t="s">
        <v>841</v>
      </c>
    </row>
    <row r="39" customFormat="false" ht="55.2" hidden="false" customHeight="false" outlineLevel="0" collapsed="false">
      <c r="A39" s="9" t="s">
        <v>4</v>
      </c>
      <c r="B39" s="9" t="s">
        <v>913</v>
      </c>
      <c r="C39" s="9" t="s">
        <v>914</v>
      </c>
      <c r="D39" s="9" t="s">
        <v>915</v>
      </c>
      <c r="E39" s="9" t="n">
        <v>50</v>
      </c>
      <c r="F39" s="9" t="n">
        <v>50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34" t="s">
        <v>848</v>
      </c>
      <c r="N39" s="9" t="s">
        <v>839</v>
      </c>
      <c r="O39" s="9" t="s">
        <v>916</v>
      </c>
      <c r="P39" s="9" t="s">
        <v>841</v>
      </c>
    </row>
    <row r="40" customFormat="false" ht="15" hidden="false" customHeight="false" outlineLevel="0" collapsed="false">
      <c r="B40" s="19" t="s">
        <v>917</v>
      </c>
      <c r="F40" s="19" t="n">
        <f aca="false">SUM(F16:F39)</f>
        <v>3969</v>
      </c>
      <c r="G40" s="19" t="n">
        <f aca="false">SUM(G16:G39)</f>
        <v>192</v>
      </c>
      <c r="H40" s="19" t="n">
        <f aca="false">SUM(H16:H39)</f>
        <v>227.5</v>
      </c>
      <c r="I40" s="19" t="n">
        <f aca="false">SUM(I16:I39)</f>
        <v>263</v>
      </c>
      <c r="J40" s="19" t="n">
        <f aca="false">SUM(J16:J39)</f>
        <v>200</v>
      </c>
      <c r="K40" s="19" t="n">
        <f aca="false">SUM(K16:K39)</f>
        <v>319.5</v>
      </c>
      <c r="L40" s="19" t="n">
        <f aca="false">SUM(L16:L39)</f>
        <v>439</v>
      </c>
      <c r="P40" s="0" t="s">
        <v>918</v>
      </c>
    </row>
    <row r="42" customFormat="false" ht="30" hidden="false" customHeight="true" outlineLevel="0" collapsed="false">
      <c r="A42" s="1" t="s">
        <v>919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30" hidden="false" customHeight="true" outlineLevel="0" collapsed="false">
      <c r="A43" s="1" t="s">
        <v>920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30" hidden="false" customHeight="true" outlineLevel="0" collapsed="false">
      <c r="A44" s="1" t="s">
        <v>921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mergeCells count="4">
    <mergeCell ref="A1:P1"/>
    <mergeCell ref="A42:P42"/>
    <mergeCell ref="A43:P43"/>
    <mergeCell ref="A44:P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9" t="s">
        <v>922</v>
      </c>
    </row>
    <row r="3" customFormat="false" ht="15" hidden="false" customHeight="false" outlineLevel="0" collapsed="false">
      <c r="A3" s="19" t="s">
        <v>923</v>
      </c>
      <c r="B3" s="19" t="s">
        <v>4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</row>
    <row r="4" customFormat="false" ht="15" hidden="false" customHeight="false" outlineLevel="0" collapsed="false">
      <c r="A4" s="0" t="s">
        <v>924</v>
      </c>
      <c r="B4" s="7" t="n">
        <f aca="false">IF(ISNUMBER(Comparison!D4),Comparison!D4,"")</f>
        <v>11.9150259067358</v>
      </c>
      <c r="C4" s="7" t="n">
        <f aca="false">IF(ISNUMBER(Comparison!G4),Comparison!G4,"")</f>
        <v>6.86666666666667</v>
      </c>
      <c r="D4" s="7" t="n">
        <f aca="false">IF(ISNUMBER(Comparison!J4),Comparison!J4,"")</f>
        <v>7.0515</v>
      </c>
      <c r="E4" s="7" t="str">
        <f aca="false">IF(ISNUMBER(Comparison!M4),Comparison!M4,"")</f>
        <v/>
      </c>
      <c r="F4" s="7" t="n">
        <f aca="false">IF(ISNUMBER(Comparison!P4),Comparison!P4,"")</f>
        <v>3.47160493827161</v>
      </c>
      <c r="G4" s="7" t="n">
        <f aca="false">IF(ISNUMBER(Comparison!S4),Comparison!S4,"")</f>
        <v>9.70212765957447</v>
      </c>
      <c r="H4" s="7" t="n">
        <f aca="false">IF(ISNUMBER(Comparison!V4),Comparison!V4,"")</f>
        <v>2</v>
      </c>
    </row>
    <row r="5" customFormat="false" ht="15" hidden="false" customHeight="false" outlineLevel="0" collapsed="false">
      <c r="A5" s="0" t="s">
        <v>925</v>
      </c>
      <c r="B5" s="7" t="n">
        <f aca="false">IF(ISNUMBER(Comparison!D5),Comparison!D5,"")</f>
        <v>12.2809078771696</v>
      </c>
      <c r="C5" s="7" t="n">
        <f aca="false">IF(ISNUMBER(Comparison!G5),Comparison!G5,"")</f>
        <v>8.24</v>
      </c>
      <c r="D5" s="7" t="n">
        <f aca="false">IF(ISNUMBER(Comparison!J5),Comparison!J5,"")</f>
        <v>10.476822</v>
      </c>
      <c r="E5" s="7" t="str">
        <f aca="false">IF(ISNUMBER(Comparison!M5),Comparison!M5,"")</f>
        <v/>
      </c>
      <c r="F5" s="7" t="str">
        <f aca="false">IF(ISNUMBER(Comparison!P5),Comparison!P5,"")</f>
        <v/>
      </c>
      <c r="G5" s="7" t="str">
        <f aca="false">IF(ISNUMBER(Comparison!S5),Comparison!S5,"")</f>
        <v/>
      </c>
      <c r="H5" s="7" t="str">
        <f aca="false">IF(ISNUMBER(Comparison!V5),Comparison!V5,"")</f>
        <v/>
      </c>
    </row>
    <row r="6" customFormat="false" ht="15" hidden="false" customHeight="false" outlineLevel="0" collapsed="false">
      <c r="A6" s="0" t="s">
        <v>926</v>
      </c>
      <c r="B6" s="7" t="n">
        <f aca="false">IF(ISNUMBER(Comparison!D6),Comparison!D6,"")</f>
        <v>13.0554479947595</v>
      </c>
      <c r="C6" s="7" t="n">
        <f aca="false">IF(ISNUMBER(Comparison!G6),Comparison!G6,"")</f>
        <v>8.24</v>
      </c>
      <c r="D6" s="7" t="str">
        <f aca="false">IF(ISNUMBER(Comparison!J6),Comparison!J6,"")</f>
        <v/>
      </c>
      <c r="E6" s="7" t="str">
        <f aca="false">IF(ISNUMBER(Comparison!M6),Comparison!M6,"")</f>
        <v/>
      </c>
      <c r="F6" s="7" t="str">
        <f aca="false">IF(ISNUMBER(Comparison!P6),Comparison!P6,"")</f>
        <v/>
      </c>
      <c r="G6" s="7" t="str">
        <f aca="false">IF(ISNUMBER(Comparison!S6),Comparison!S6,"")</f>
        <v/>
      </c>
      <c r="H6" s="7" t="str">
        <f aca="false">IF(ISNUMBER(Comparison!V6),Comparison!V6,"")</f>
        <v/>
      </c>
    </row>
    <row r="8" customFormat="false" ht="15" hidden="false" customHeight="false" outlineLevel="0" collapsed="false">
      <c r="A8" s="19" t="s">
        <v>927</v>
      </c>
      <c r="B8" s="19" t="s">
        <v>4</v>
      </c>
      <c r="C8" s="19" t="s">
        <v>7</v>
      </c>
      <c r="D8" s="19" t="s">
        <v>8</v>
      </c>
      <c r="E8" s="19" t="s">
        <v>9</v>
      </c>
      <c r="F8" s="19" t="s">
        <v>10</v>
      </c>
      <c r="G8" s="19" t="s">
        <v>11</v>
      </c>
      <c r="H8" s="19" t="s">
        <v>12</v>
      </c>
    </row>
    <row r="9" customFormat="false" ht="15" hidden="false" customHeight="false" outlineLevel="0" collapsed="false">
      <c r="A9" s="0" t="s">
        <v>928</v>
      </c>
      <c r="B9" s="7" t="n">
        <f aca="false">IF(ISNUMBER(Comparison!D11),Comparison!D11,"")</f>
        <v>3.03480136425328</v>
      </c>
      <c r="C9" s="7" t="n">
        <f aca="false">IF(ISNUMBER(Comparison!G11),Comparison!G11,"")</f>
        <v>1.66055787728417</v>
      </c>
      <c r="D9" s="7" t="n">
        <f aca="false">IF(ISNUMBER(Comparison!J11),Comparison!J11,"")</f>
        <v>1.66372282608696</v>
      </c>
      <c r="E9" s="7" t="str">
        <f aca="false">IF(ISNUMBER(Comparison!M11),Comparison!M11,"")</f>
        <v/>
      </c>
      <c r="F9" s="7" t="n">
        <f aca="false">IF(ISNUMBER(Comparison!P11),Comparison!P11,"")</f>
        <v>1.29465930018416</v>
      </c>
      <c r="G9" s="7" t="n">
        <f aca="false">IF(ISNUMBER(Comparison!S11),Comparison!S11,"")</f>
        <v>2.08791208791209</v>
      </c>
      <c r="H9" s="7" t="str">
        <f aca="false">IF(ISNUMBER(Comparison!V11),Comparison!V11,"")</f>
        <v/>
      </c>
    </row>
    <row r="10" customFormat="false" ht="15" hidden="false" customHeight="false" outlineLevel="0" collapsed="false">
      <c r="A10" s="0" t="s">
        <v>929</v>
      </c>
      <c r="B10" s="7" t="n">
        <f aca="false">IF(ISNUMBER(Comparison!D12),Comparison!D12,"")</f>
        <v>5.6063348027</v>
      </c>
      <c r="C10" s="7" t="n">
        <f aca="false">IF(ISNUMBER(Comparison!G12),Comparison!G12,"")</f>
        <v>9.19561823792884</v>
      </c>
      <c r="D10" s="7" t="n">
        <f aca="false">IF(ISNUMBER(Comparison!J12),Comparison!J12,"")</f>
        <v>2</v>
      </c>
      <c r="E10" s="7" t="str">
        <f aca="false">IF(ISNUMBER(Comparison!M12),Comparison!M12,"")</f>
        <v/>
      </c>
      <c r="F10" s="7" t="str">
        <f aca="false">IF(ISNUMBER(Comparison!P12),Comparison!P12,"")</f>
        <v/>
      </c>
      <c r="G10" s="7" t="n">
        <f aca="false">IF(ISNUMBER(Comparison!S12),Comparison!S12,"")</f>
        <v>2.99</v>
      </c>
      <c r="H10" s="7" t="n">
        <f aca="false">IF(ISNUMBER(Comparison!V12),Comparison!V12,"")</f>
        <v>3.9</v>
      </c>
    </row>
    <row r="12" customFormat="false" ht="15" hidden="false" customHeight="false" outlineLevel="0" collapsed="false">
      <c r="A12" s="19" t="s">
        <v>930</v>
      </c>
      <c r="B12" s="19" t="s">
        <v>4</v>
      </c>
      <c r="C12" s="19" t="s">
        <v>7</v>
      </c>
      <c r="D12" s="19" t="s">
        <v>8</v>
      </c>
      <c r="E12" s="19" t="s">
        <v>9</v>
      </c>
      <c r="F12" s="19" t="s">
        <v>10</v>
      </c>
      <c r="G12" s="19" t="s">
        <v>11</v>
      </c>
      <c r="H12" s="19" t="s">
        <v>12</v>
      </c>
    </row>
    <row r="13" customFormat="false" ht="15" hidden="false" customHeight="false" outlineLevel="0" collapsed="false">
      <c r="A13" s="0" t="s">
        <v>931</v>
      </c>
      <c r="B13" s="7" t="n">
        <f aca="false">IF(ISNUMBER(Comparison!D16),Comparison!D16,"")</f>
        <v>77.9146853146853</v>
      </c>
      <c r="C13" s="7" t="n">
        <f aca="false">IF(ISNUMBER(Comparison!G16),Comparison!G16,"")</f>
        <v>19.9666019417476</v>
      </c>
      <c r="D13" s="7" t="str">
        <f aca="false">IF(ISNUMBER(Comparison!J16),Comparison!J16,"")</f>
        <v/>
      </c>
      <c r="E13" s="7" t="n">
        <f aca="false">IF(ISNUMBER(Comparison!M16),Comparison!M16,"")</f>
        <v>46.3858333333333</v>
      </c>
      <c r="F13" s="7" t="str">
        <f aca="false">IF(ISNUMBER(Comparison!P16),Comparison!P16,"")</f>
        <v/>
      </c>
      <c r="G13" s="7" t="str">
        <f aca="false">IF(ISNUMBER(Comparison!S16),Comparison!S16,"")</f>
        <v/>
      </c>
      <c r="H13" s="7" t="str">
        <f aca="false">IF(ISNUMBER(Comparison!V16),Comparison!V16,"")</f>
        <v/>
      </c>
    </row>
    <row r="14" customFormat="false" ht="15" hidden="false" customHeight="false" outlineLevel="0" collapsed="false">
      <c r="A14" s="0" t="s">
        <v>932</v>
      </c>
      <c r="B14" s="7" t="n">
        <f aca="false">IF(ISNUMBER(Comparison!D17),Comparison!D17,"")</f>
        <v>67.5917098445596</v>
      </c>
      <c r="C14" s="7" t="n">
        <f aca="false">IF(ISNUMBER(Comparison!G17),Comparison!G17,"")</f>
        <v>31.1573333333333</v>
      </c>
      <c r="D14" s="7" t="str">
        <f aca="false">IF(ISNUMBER(Comparison!J17),Comparison!J17,"")</f>
        <v/>
      </c>
      <c r="E14" s="7" t="str">
        <f aca="false">IF(ISNUMBER(Comparison!M17),Comparison!M17,"")</f>
        <v/>
      </c>
      <c r="F14" s="7" t="n">
        <f aca="false">IF(ISNUMBER(Comparison!P17),Comparison!P17,"")</f>
        <v>70.7098765432099</v>
      </c>
      <c r="G14" s="7" t="str">
        <f aca="false">IF(ISNUMBER(Comparison!S17),Comparison!S17,"")</f>
        <v/>
      </c>
      <c r="H14" s="7"/>
    </row>
    <row r="15" customFormat="false" ht="15" hidden="false" customHeight="false" outlineLevel="0" collapsed="false">
      <c r="A15" s="0" t="s">
        <v>933</v>
      </c>
      <c r="B15" s="7" t="n">
        <f aca="false">IF(ISNUMBER(Comparison!D18),Comparison!D18,"")</f>
        <v>32.7103626943005</v>
      </c>
      <c r="C15" s="7" t="n">
        <f aca="false">IF(ISNUMBER(Comparison!G18),Comparison!G18,"")</f>
        <v>27.136</v>
      </c>
      <c r="D15" s="7" t="str">
        <f aca="false">IF(ISNUMBER(Comparison!J18),Comparison!J18,"")</f>
        <v/>
      </c>
      <c r="E15" s="7" t="str">
        <f aca="false">IF(ISNUMBER(Comparison!M18),Comparison!M18,"")</f>
        <v/>
      </c>
      <c r="F15" s="7" t="n">
        <f aca="false">IF(ISNUMBER(Comparison!P18),Comparison!P18,"")</f>
        <v>20.8259259259259</v>
      </c>
      <c r="G15" s="7" t="str">
        <f aca="false">IF(ISNUMBER(Comparison!S18),Comparison!S18,"")</f>
        <v/>
      </c>
      <c r="H15" s="7" t="str">
        <f aca="false">IF(ISNUMBER(Comparison!V18),Comparison!V18,"")</f>
        <v/>
      </c>
    </row>
    <row r="17" customFormat="false" ht="15" hidden="false" customHeight="false" outlineLevel="0" collapsed="false">
      <c r="A17" s="19" t="s">
        <v>934</v>
      </c>
      <c r="B17" s="19" t="s">
        <v>4</v>
      </c>
      <c r="C17" s="19" t="s">
        <v>7</v>
      </c>
      <c r="D17" s="19" t="s">
        <v>8</v>
      </c>
      <c r="E17" s="19" t="s">
        <v>9</v>
      </c>
      <c r="F17" s="19" t="s">
        <v>10</v>
      </c>
      <c r="G17" s="19" t="s">
        <v>11</v>
      </c>
      <c r="H17" s="19" t="s">
        <v>12</v>
      </c>
    </row>
    <row r="18" customFormat="false" ht="15" hidden="false" customHeight="false" outlineLevel="0" collapsed="false">
      <c r="A18" s="0" t="s">
        <v>935</v>
      </c>
      <c r="B18" s="7" t="n">
        <f aca="false">IF(ISNUMBER(Comparison!D31),Comparison!D31,"")</f>
        <v>5.1</v>
      </c>
      <c r="C18" s="7" t="n">
        <f aca="false">IF(ISNUMBER(Comparison!G31),Comparison!G31,"")</f>
        <v>8.4134342212596</v>
      </c>
      <c r="D18" s="7" t="n">
        <f aca="false">IF(ISNUMBER(Comparison!J31),Comparison!J31,"")</f>
        <v>1.85234367978236</v>
      </c>
      <c r="E18" s="7" t="n">
        <f aca="false">IF(ISNUMBER(Comparison!M31),Comparison!M31,"")</f>
        <v>4.82820053034088</v>
      </c>
      <c r="F18" s="7"/>
      <c r="G18" s="7" t="str">
        <f aca="false">IF(ISNUMBER(Comparison!S31),Comparison!S31,"")</f>
        <v/>
      </c>
      <c r="H18" s="7" t="str">
        <f aca="false">IF(ISNUMBER(Comparison!V31),Comparison!V31,"")</f>
        <v/>
      </c>
    </row>
    <row r="19" customFormat="false" ht="15" hidden="false" customHeight="false" outlineLevel="0" collapsed="false">
      <c r="A19" s="0" t="s">
        <v>936</v>
      </c>
      <c r="B19" s="7" t="n">
        <f aca="false">IF(ISNUMBER(Comparison!D35),Comparison!D35,"")</f>
        <v>5.60599196286207</v>
      </c>
      <c r="C19" s="7" t="n">
        <f aca="false">IF(ISNUMBER(Comparison!G35),Comparison!G35,"")</f>
        <v>7.80230642504119</v>
      </c>
      <c r="D19" s="7" t="n">
        <f aca="false">IF(ISNUMBER(Comparison!J35),Comparison!J35,"")</f>
        <v>1.70921362271062</v>
      </c>
      <c r="E19" s="7" t="n">
        <f aca="false">IF(ISNUMBER(Comparison!M35),Comparison!M35,"")</f>
        <v>4.35516721812937</v>
      </c>
      <c r="F19" s="7" t="n">
        <f aca="false">IF(ISNUMBER(Comparison!P35),Comparison!P35,"")</f>
        <v>22.1914008321775</v>
      </c>
      <c r="G19" s="7" t="str">
        <f aca="false">IF(ISNUMBER(Comparison!S35),Comparison!S35,"")</f>
        <v/>
      </c>
      <c r="H19" s="7" t="str">
        <f aca="false">IF(ISNUMBER(Comparison!V35),Comparison!V35,"")</f>
        <v/>
      </c>
    </row>
    <row r="21" customFormat="false" ht="15" hidden="false" customHeight="false" outlineLevel="0" collapsed="false">
      <c r="A21" s="19" t="s">
        <v>937</v>
      </c>
      <c r="B21" s="19" t="s">
        <v>4</v>
      </c>
      <c r="C21" s="19" t="s">
        <v>7</v>
      </c>
      <c r="D21" s="19" t="s">
        <v>8</v>
      </c>
      <c r="E21" s="19" t="s">
        <v>9</v>
      </c>
      <c r="F21" s="19" t="s">
        <v>10</v>
      </c>
      <c r="G21" s="19" t="s">
        <v>11</v>
      </c>
      <c r="H21" s="19" t="s">
        <v>12</v>
      </c>
    </row>
    <row r="22" customFormat="false" ht="15" hidden="false" customHeight="false" outlineLevel="0" collapsed="false">
      <c r="A22" s="0" t="s">
        <v>938</v>
      </c>
      <c r="B22" s="7" t="n">
        <f aca="false">IF(ISNUMBER(Comparison!D27),Comparison!D27,"")</f>
        <v>24</v>
      </c>
      <c r="C22" s="7" t="n">
        <f aca="false">IF(ISNUMBER(Comparison!G27),Comparison!G27,"")</f>
        <v>36</v>
      </c>
      <c r="D22" s="7" t="str">
        <f aca="false">IF(ISNUMBER(Comparison!J27),Comparison!J27,"")</f>
        <v/>
      </c>
      <c r="E22" s="7" t="str">
        <f aca="false">IF(ISNUMBER(Comparison!M27),Comparison!M27,"")</f>
        <v/>
      </c>
      <c r="F22" s="7" t="n">
        <f aca="false">IF(ISNUMBER(Comparison!P27),Comparison!P27,"")</f>
        <v>52</v>
      </c>
      <c r="G22" s="7" t="str">
        <f aca="false">IF(ISNUMBER(Comparison!S27),Comparison!S27,"")</f>
        <v/>
      </c>
      <c r="H22" s="7" t="str">
        <f aca="false">IF(ISNUMBER(Comparison!V27),Comparison!V27,"")</f>
        <v/>
      </c>
    </row>
    <row r="23" customFormat="false" ht="15" hidden="false" customHeight="false" outlineLevel="0" collapsed="false">
      <c r="A23" s="0" t="s">
        <v>939</v>
      </c>
      <c r="B23" s="7" t="n">
        <f aca="false">IF(ISNUMBER(Comparison!D29),Comparison!D29,"")</f>
        <v>59</v>
      </c>
      <c r="C23" s="7" t="n">
        <f aca="false">IF(ISNUMBER(Comparison!G29),Comparison!G29,"")</f>
        <v>72</v>
      </c>
      <c r="D23" s="7" t="str">
        <f aca="false">IF(ISNUMBER(Comparison!J29),Comparison!J29,"")</f>
        <v/>
      </c>
      <c r="E23" s="7" t="str">
        <f aca="false">IF(ISNUMBER(Comparison!M29),Comparison!M29,"")</f>
        <v/>
      </c>
      <c r="F23" s="7" t="str">
        <f aca="false">IF(ISNUMBER(Comparison!P29),Comparison!P29,"")</f>
        <v/>
      </c>
      <c r="G23" s="7" t="n">
        <f aca="false">IF(ISNUMBER(Comparison!S29),Comparison!S29,"")</f>
        <v>50</v>
      </c>
      <c r="H23" s="7" t="str">
        <f aca="false">IF(ISNUMBER(Comparison!V29),Comparison!V29,"")</f>
        <v/>
      </c>
    </row>
    <row r="25" customFormat="false" ht="15" hidden="false" customHeight="false" outlineLevel="0" collapsed="false">
      <c r="A25" s="19" t="s">
        <v>940</v>
      </c>
      <c r="B25" s="19" t="s">
        <v>4</v>
      </c>
      <c r="C25" s="19" t="s">
        <v>7</v>
      </c>
      <c r="D25" s="19" t="s">
        <v>8</v>
      </c>
      <c r="E25" s="19" t="s">
        <v>9</v>
      </c>
      <c r="F25" s="19" t="s">
        <v>10</v>
      </c>
      <c r="G25" s="19" t="s">
        <v>11</v>
      </c>
      <c r="H25" s="19" t="s">
        <v>12</v>
      </c>
    </row>
    <row r="26" customFormat="false" ht="15" hidden="false" customHeight="false" outlineLevel="0" collapsed="false">
      <c r="A26" s="0" t="s">
        <v>941</v>
      </c>
      <c r="B26" s="7" t="n">
        <f aca="false">IF(ISNUMBER(Comparison!D26),Comparison!D26,"")</f>
        <v>16.3030961906419</v>
      </c>
      <c r="C26" s="7" t="n">
        <f aca="false">IF(ISNUMBER(Comparison!G26),Comparison!G26,"")</f>
        <v>10.0679611650485</v>
      </c>
      <c r="D26" s="7" t="n">
        <f aca="false">IF(ISNUMBER(Comparison!J26),Comparison!J26,"")</f>
        <v>18.0812593065305</v>
      </c>
      <c r="E26" s="7" t="n">
        <f aca="false">IF(ISNUMBER(Comparison!M26),Comparison!M26,"")</f>
        <v>8.31422018348624</v>
      </c>
      <c r="F26" s="7" t="n">
        <f aca="false">IF(ISNUMBER(Comparison!P26),Comparison!P26,"")</f>
        <v>200.568990042674</v>
      </c>
      <c r="G26" s="7" t="str">
        <f aca="false">IF(ISNUMBER(Comparison!S26),Comparison!S26,"")</f>
        <v/>
      </c>
      <c r="H26" s="7" t="str">
        <f aca="false">IF(ISNUMBER(Comparison!V26),Comparison!V26,"")</f>
        <v/>
      </c>
    </row>
    <row r="28" customFormat="false" ht="15" hidden="false" customHeight="false" outlineLevel="0" collapsed="false">
      <c r="A28" s="19" t="s">
        <v>942</v>
      </c>
      <c r="B28" s="19" t="s">
        <v>4</v>
      </c>
      <c r="C28" s="19" t="s">
        <v>7</v>
      </c>
      <c r="D28" s="19" t="s">
        <v>8</v>
      </c>
      <c r="E28" s="19" t="s">
        <v>9</v>
      </c>
      <c r="F28" s="19" t="s">
        <v>10</v>
      </c>
      <c r="G28" s="19" t="s">
        <v>11</v>
      </c>
      <c r="H28" s="19" t="s">
        <v>12</v>
      </c>
    </row>
    <row r="29" customFormat="false" ht="15" hidden="false" customHeight="false" outlineLevel="0" collapsed="false">
      <c r="A29" s="0" t="s">
        <v>943</v>
      </c>
      <c r="B29" s="7" t="n">
        <f aca="false">IF(ISNUMBER(Comparison!D20),Comparison!D20,"")</f>
        <v>17.5150483063279</v>
      </c>
      <c r="C29" s="7" t="n">
        <f aca="false">IF(ISNUMBER(Comparison!G20),Comparison!G20,"")</f>
        <v>15.4657488619962</v>
      </c>
      <c r="D29" s="7" t="n">
        <f aca="false">IF(ISNUMBER(Comparison!J20),Comparison!J20,"")</f>
        <v>14.3513593886696</v>
      </c>
      <c r="E29" s="7" t="n">
        <f aca="false">IF(ISNUMBER(Comparison!M20),Comparison!M20,"")</f>
        <v>13.4492457172079</v>
      </c>
      <c r="F29" s="7" t="n">
        <f aca="false">IF(ISNUMBER(Comparison!P20),Comparison!P20,"")</f>
        <v>15.6708911687789</v>
      </c>
      <c r="G29" s="7" t="str">
        <f aca="false">IF(ISNUMBER(Comparison!S20),Comparison!S20,"")</f>
        <v/>
      </c>
      <c r="H29" s="7" t="str">
        <f aca="false">IF(ISNUMBER(Comparison!V20),Comparison!V20,"")</f>
        <v/>
      </c>
    </row>
    <row r="30" customFormat="false" ht="15" hidden="false" customHeight="false" outlineLevel="0" collapsed="false">
      <c r="A30" s="0" t="s">
        <v>944</v>
      </c>
      <c r="B30" s="7" t="n">
        <f aca="false">IF(ISNUMBER(Comparison!D19),Comparison!D19,"")</f>
        <v>5</v>
      </c>
      <c r="C30" s="7" t="n">
        <f aca="false">IF(ISNUMBER(Comparison!G19),Comparison!G19,"")</f>
        <v>6</v>
      </c>
      <c r="D30" s="7" t="n">
        <f aca="false">IF(ISNUMBER(Comparison!J19),Comparison!J19,"")</f>
        <v>5</v>
      </c>
      <c r="E30" s="7" t="n">
        <f aca="false">IF(ISNUMBER(Comparison!M19),Comparison!M19,"")</f>
        <v>6</v>
      </c>
      <c r="F30" s="7" t="n">
        <f aca="false">IF(ISNUMBER(Comparison!P19),Comparison!P19,"")</f>
        <v>5.5</v>
      </c>
      <c r="G30" s="7" t="str">
        <f aca="false">IF(ISNUMBER(Comparison!S19),Comparison!S19,"")</f>
        <v/>
      </c>
      <c r="H30" s="7" t="str">
        <f aca="false">IF(ISNUMBER(Comparison!V19),Comparison!V19,"")</f>
        <v/>
      </c>
    </row>
    <row r="32" customFormat="false" ht="15" hidden="false" customHeight="false" outlineLevel="0" collapsed="false">
      <c r="A32" s="19" t="s">
        <v>945</v>
      </c>
      <c r="B32" s="19" t="s">
        <v>4</v>
      </c>
      <c r="C32" s="19" t="s">
        <v>7</v>
      </c>
      <c r="D32" s="19" t="s">
        <v>8</v>
      </c>
      <c r="E32" s="19" t="s">
        <v>9</v>
      </c>
      <c r="F32" s="19" t="s">
        <v>10</v>
      </c>
      <c r="G32" s="19" t="s">
        <v>11</v>
      </c>
      <c r="H32" s="19" t="s">
        <v>12</v>
      </c>
    </row>
    <row r="33" customFormat="false" ht="15" hidden="false" customHeight="false" outlineLevel="0" collapsed="false">
      <c r="A33" s="0" t="s">
        <v>946</v>
      </c>
      <c r="B33" s="0" t="n">
        <f aca="false">Nebius_Inputs!C20</f>
        <v>193</v>
      </c>
      <c r="C33" s="0" t="n">
        <v>1500</v>
      </c>
      <c r="D33" s="0" t="n">
        <v>40</v>
      </c>
      <c r="E33" s="0" t="n">
        <v>2050</v>
      </c>
      <c r="F33" s="0" t="n">
        <v>81</v>
      </c>
      <c r="G33" s="0" t="n">
        <v>47</v>
      </c>
      <c r="H33" s="0" t="n">
        <v>1000</v>
      </c>
    </row>
    <row r="34" customFormat="false" ht="15" hidden="false" customHeight="false" outlineLevel="0" collapsed="false">
      <c r="A34" s="0" t="s">
        <v>770</v>
      </c>
      <c r="B34" s="0" t="n">
        <f aca="false">Nebius_Inputs!C22</f>
        <v>3500</v>
      </c>
      <c r="C34" s="0" t="n">
        <v>3700</v>
      </c>
      <c r="D34" s="0" t="n">
        <v>260</v>
      </c>
      <c r="E34" s="0" t="n">
        <v>10000</v>
      </c>
      <c r="F34" s="0" t="n">
        <v>1370</v>
      </c>
      <c r="H34" s="0" t="n">
        <v>6000</v>
      </c>
    </row>
    <row r="35" customFormat="false" ht="189.55" hidden="false" customHeight="false" outlineLevel="0" collapsed="false">
      <c r="A35" s="9" t="s">
        <v>947</v>
      </c>
    </row>
    <row r="37" customFormat="false" ht="15" hidden="false" customHeight="false" outlineLevel="0" collapsed="false">
      <c r="A37" s="19" t="s">
        <v>948</v>
      </c>
      <c r="B37" s="19" t="s">
        <v>20</v>
      </c>
    </row>
    <row r="38" customFormat="false" ht="15" hidden="false" customHeight="false" outlineLevel="0" collapsed="false">
      <c r="A38" s="0" t="s">
        <v>949</v>
      </c>
      <c r="B38" s="7" t="n">
        <f aca="false">IF(ISNUMBER('Contracts_$MWyr'!W4),'Contracts_$MWyr'!W4,IF(ISNUMBER('Contracts_$MWyr'!V4),'Contracts_$MWyr'!V4,""))</f>
        <v>14.4940833333333</v>
      </c>
    </row>
    <row r="39" customFormat="false" ht="15" hidden="false" customHeight="false" outlineLevel="0" collapsed="false">
      <c r="A39" s="0" t="s">
        <v>950</v>
      </c>
      <c r="B39" s="7" t="n">
        <f aca="false">IF(ISNUMBER('Contracts_$MWyr'!W6),'Contracts_$MWyr'!W6,IF(ISNUMBER('Contracts_$MWyr'!V6),'Contracts_$MWyr'!V6,""))</f>
        <v>11.5228</v>
      </c>
    </row>
    <row r="40" customFormat="false" ht="15" hidden="false" customHeight="false" outlineLevel="0" collapsed="false">
      <c r="A40" s="0" t="s">
        <v>951</v>
      </c>
      <c r="B40" s="7" t="n">
        <f aca="false">IF(ISNUMBER('Contracts_$MWyr'!W10),'Contracts_$MWyr'!W10,IF(ISNUMBER('Contracts_$MWyr'!V10),'Contracts_$MWyr'!V10,""))</f>
        <v>9.7</v>
      </c>
    </row>
    <row r="41" customFormat="false" ht="15" hidden="false" customHeight="false" outlineLevel="0" collapsed="false">
      <c r="A41" s="0" t="s">
        <v>952</v>
      </c>
      <c r="B41" s="7" t="n">
        <f aca="false">IF(ISNUMBER('Contracts_$MWyr'!W11),'Contracts_$MWyr'!W11,IF(ISNUMBER('Contracts_$MWyr'!V11),'Contracts_$MWyr'!V11,""))</f>
        <v>11.3333333333333</v>
      </c>
    </row>
    <row r="42" customFormat="false" ht="15" hidden="false" customHeight="false" outlineLevel="0" collapsed="false">
      <c r="A42" s="0" t="s">
        <v>953</v>
      </c>
      <c r="B42" s="7" t="n">
        <f aca="false">IF(ISNUMBER('Contracts_$MWyr'!W13),'Contracts_$MWyr'!W13,IF(ISNUMBER('Contracts_$MWyr'!V13),'Contracts_$MWyr'!V13,""))</f>
        <v>13.3511877527543</v>
      </c>
    </row>
    <row r="43" customFormat="false" ht="15" hidden="false" customHeight="false" outlineLevel="0" collapsed="false">
      <c r="A43" s="0" t="s">
        <v>954</v>
      </c>
      <c r="B43" s="7" t="n">
        <f aca="false">IF(ISNUMBER('Contracts_$MWyr'!W14),'Contracts_$MWyr'!W14,IF(ISNUMBER('Contracts_$MWyr'!V14),'Contracts_$MWyr'!V14,""))</f>
        <v>11.7084962136234</v>
      </c>
    </row>
    <row r="44" customFormat="false" ht="15" hidden="false" customHeight="false" outlineLevel="0" collapsed="false">
      <c r="A44" s="0" t="s">
        <v>955</v>
      </c>
      <c r="B44" s="7" t="n">
        <f aca="false">IF(ISNUMBER('Contracts_$MWyr'!W16),'Contracts_$MWyr'!W16,IF(ISNUMBER('Contracts_$MWyr'!V16),'Contracts_$MWyr'!V16,""))</f>
        <v>16.1594202898551</v>
      </c>
    </row>
    <row r="45" customFormat="false" ht="15" hidden="false" customHeight="false" outlineLevel="0" collapsed="false">
      <c r="A45" s="0" t="s">
        <v>956</v>
      </c>
      <c r="B45" s="7" t="n">
        <f aca="false">IF(ISNUMBER('Contracts_$MWyr'!W18),'Contracts_$MWyr'!W18,IF(ISNUMBER('Contracts_$MWyr'!V18),'Contracts_$MWyr'!V18,""))</f>
        <v>16.6666666666667</v>
      </c>
    </row>
    <row r="46" customFormat="false" ht="15" hidden="false" customHeight="false" outlineLevel="0" collapsed="false">
      <c r="A46" s="0" t="s">
        <v>957</v>
      </c>
      <c r="B46" s="7" t="n">
        <f aca="false">IF(ISNUMBER('Contracts_$MWyr'!W31),'Contracts_$MWyr'!W31,IF(ISNUMBER('Contracts_$MWyr'!V31),'Contracts_$MWyr'!V31,""))</f>
        <v>16</v>
      </c>
    </row>
    <row r="47" customFormat="false" ht="15" hidden="false" customHeight="false" outlineLevel="0" collapsed="false">
      <c r="A47" s="0" t="s">
        <v>958</v>
      </c>
      <c r="B47" s="7" t="n">
        <f aca="false">IF(ISNUMBER('Contracts_$MWyr'!W39),'Contracts_$MWyr'!W39,IF(ISNUMBER('Contracts_$MWyr'!V39),'Contracts_$MWyr'!V39,""))</f>
        <v>4.44444444444445</v>
      </c>
    </row>
    <row r="48" customFormat="false" ht="15" hidden="false" customHeight="false" outlineLevel="0" collapsed="false">
      <c r="A48" s="0" t="s">
        <v>959</v>
      </c>
      <c r="B48" s="7" t="n">
        <f aca="false">IF(ISNUMBER('Contracts_$MWyr'!W40),'Contracts_$MWyr'!W40,IF(ISNUMBER('Contracts_$MWyr'!V40),'Contracts_$MWyr'!V40,""))</f>
        <v>1.85</v>
      </c>
    </row>
    <row r="49" customFormat="false" ht="15" hidden="false" customHeight="false" outlineLevel="0" collapsed="false">
      <c r="A49" s="0" t="s">
        <v>960</v>
      </c>
      <c r="B49" s="7" t="n">
        <f aca="false">IF(ISNUMBER('Contracts_$MWyr'!W41),'Contracts_$MWyr'!W41,IF(ISNUMBER('Contracts_$MWyr'!V41),'Contracts_$MWyr'!V41,""))</f>
        <v>1.22222222222222</v>
      </c>
    </row>
    <row r="50" customFormat="false" ht="15" hidden="false" customHeight="false" outlineLevel="0" collapsed="false">
      <c r="A50" s="0" t="s">
        <v>961</v>
      </c>
      <c r="B50" s="7" t="n">
        <f aca="false">IF(ISNUMBER('Contracts_$MWyr'!W42),'Contracts_$MWyr'!W42,IF(ISNUMBER('Contracts_$MWyr'!V42),'Contracts_$MWyr'!V42,""))</f>
        <v>1.78571428571429</v>
      </c>
    </row>
    <row r="51" customFormat="false" ht="15" hidden="false" customHeight="false" outlineLevel="0" collapsed="false">
      <c r="A51" s="0" t="s">
        <v>962</v>
      </c>
      <c r="B51" s="7" t="n">
        <f aca="false">IF(ISNUMBER('Contracts_$MWyr'!W43),'Contracts_$MWyr'!W43,IF(ISNUMBER('Contracts_$MWyr'!V43),'Contracts_$MWyr'!V43,""))</f>
        <v>1.9047619047619</v>
      </c>
    </row>
    <row r="52" customFormat="false" ht="15" hidden="false" customHeight="false" outlineLevel="0" collapsed="false">
      <c r="A52" s="0" t="s">
        <v>963</v>
      </c>
      <c r="B52" s="7" t="n">
        <f aca="false">IF(ISNUMBER('Contracts_$MWyr'!W44),'Contracts_$MWyr'!W44,IF(ISNUMBER('Contracts_$MWyr'!V44),'Contracts_$MWyr'!V44,""))</f>
        <v>1.83333333333333</v>
      </c>
    </row>
    <row r="53" customFormat="false" ht="15" hidden="false" customHeight="false" outlineLevel="0" collapsed="false">
      <c r="A53" s="0" t="s">
        <v>964</v>
      </c>
      <c r="B53" s="7" t="n">
        <f aca="false">IF(ISNUMBER('Contracts_$MWyr'!W45),'Contracts_$MWyr'!W45,IF(ISNUMBER('Contracts_$MWyr'!V45),'Contracts_$MWyr'!V45,""))</f>
        <v>1.90114068441065</v>
      </c>
    </row>
    <row r="54" customFormat="false" ht="15" hidden="false" customHeight="false" outlineLevel="0" collapsed="false">
      <c r="A54" s="0" t="s">
        <v>965</v>
      </c>
      <c r="B54" s="7" t="n">
        <f aca="false">IF(ISNUMBER('Contracts_$MWyr'!W46),'Contracts_$MWyr'!W46,IF(ISNUMBER('Contracts_$MWyr'!V46),'Contracts_$MWyr'!V46,""))</f>
        <v>1.85606060606061</v>
      </c>
    </row>
    <row r="56" customFormat="false" ht="15" hidden="false" customHeight="false" outlineLevel="0" collapsed="false">
      <c r="A56" s="19" t="s">
        <v>966</v>
      </c>
      <c r="B56" s="19" t="s">
        <v>771</v>
      </c>
      <c r="C56" s="19" t="s">
        <v>772</v>
      </c>
      <c r="D56" s="19" t="s">
        <v>773</v>
      </c>
      <c r="E56" s="19" t="s">
        <v>967</v>
      </c>
      <c r="F56" s="19" t="s">
        <v>775</v>
      </c>
    </row>
    <row r="57" customFormat="false" ht="15" hidden="false" customHeight="false" outlineLevel="0" collapsed="false">
      <c r="A57" s="0" t="s">
        <v>968</v>
      </c>
      <c r="B57" s="0" t="n">
        <f aca="false">IF(ISNUMBER(Sites!G5),Sites!G5,"")</f>
        <v>250</v>
      </c>
      <c r="C57" s="0" t="n">
        <f aca="false">IF(ISNUMBER(Sites!H5),Sites!H5,"")</f>
        <v>260</v>
      </c>
      <c r="D57" s="0" t="n">
        <f aca="false">IF(ISNUMBER(Sites!I5),Sites!I5,"")</f>
        <v>262</v>
      </c>
      <c r="E57" s="0" t="n">
        <f aca="false">IF(ISNUMBER(Sites!E5),Sites!E5,"")</f>
        <v>262</v>
      </c>
      <c r="F57" s="0" t="n">
        <f aca="false">IF(ISNUMBER(Sites!K5),Sites!K5,"")</f>
        <v>262</v>
      </c>
    </row>
    <row r="58" customFormat="false" ht="15" hidden="false" customHeight="false" outlineLevel="0" collapsed="false">
      <c r="A58" s="0" t="s">
        <v>969</v>
      </c>
      <c r="B58" s="0" t="n">
        <f aca="false">IF(ISNUMBER(Sites!G6),Sites!G6,"")</f>
        <v>50</v>
      </c>
      <c r="C58" s="0" t="n">
        <f aca="false">IF(ISNUMBER(Sites!H6),Sites!H6,"")</f>
        <v>75</v>
      </c>
      <c r="D58" s="0" t="n">
        <f aca="false">IF(ISNUMBER(Sites!I6),Sites!I6,"")</f>
        <v>100</v>
      </c>
      <c r="E58" s="0" t="n">
        <f aca="false">IF(ISNUMBER(Sites!E6),Sites!E6,"")</f>
        <v>260</v>
      </c>
      <c r="F58" s="0" t="n">
        <f aca="false">IF(ISNUMBER(Sites!K6),Sites!K6,"")</f>
        <v>150</v>
      </c>
    </row>
    <row r="59" customFormat="false" ht="15" hidden="false" customHeight="false" outlineLevel="0" collapsed="false">
      <c r="A59" s="0" t="s">
        <v>970</v>
      </c>
      <c r="B59" s="0" t="n">
        <f aca="false">IF(ISNUMBER(Sites!G7),Sites!G7,"")</f>
        <v>0</v>
      </c>
      <c r="C59" s="0" t="n">
        <f aca="false">IF(ISNUMBER(Sites!H7),Sites!H7,"")</f>
        <v>0</v>
      </c>
      <c r="D59" s="0" t="n">
        <f aca="false">IF(ISNUMBER(Sites!I7),Sites!I7,"")</f>
        <v>0</v>
      </c>
      <c r="E59" s="0" t="n">
        <f aca="false">IF(ISNUMBER(Sites!E7),Sites!E7,"")</f>
        <v>230</v>
      </c>
      <c r="F59" s="0" t="n">
        <f aca="false">IF(ISNUMBER(Sites!K7),Sites!K7,"")</f>
        <v>0</v>
      </c>
    </row>
    <row r="60" customFormat="false" ht="15" hidden="false" customHeight="false" outlineLevel="0" collapsed="false">
      <c r="A60" s="0" t="s">
        <v>971</v>
      </c>
      <c r="B60" s="0" t="n">
        <f aca="false">IF(ISNUMBER(Sites!G8),Sites!G8,"")</f>
        <v>421</v>
      </c>
      <c r="C60" s="0" t="n">
        <f aca="false">IF(ISNUMBER(Sites!H8),Sites!H8,"")</f>
        <v>618</v>
      </c>
      <c r="D60" s="0" t="n">
        <f aca="false">IF(ISNUMBER(Sites!I8),Sites!I8,"")</f>
        <v>618</v>
      </c>
      <c r="E60" s="0" t="n">
        <f aca="false">IF(ISNUMBER(Sites!E8),Sites!E8,"")</f>
        <v>824</v>
      </c>
      <c r="F60" s="0" t="n">
        <f aca="false">IF(ISNUMBER(Sites!K8),Sites!K8,"")</f>
        <v>721</v>
      </c>
    </row>
    <row r="61" customFormat="false" ht="15" hidden="false" customHeight="false" outlineLevel="0" collapsed="false">
      <c r="A61" s="0" t="s">
        <v>972</v>
      </c>
      <c r="B61" s="0" t="n">
        <f aca="false">IF(ISNUMBER(Sites!G9),Sites!G9,"")</f>
        <v>0</v>
      </c>
      <c r="C61" s="0" t="n">
        <f aca="false">IF(ISNUMBER(Sites!H9),Sites!H9,"")</f>
        <v>12</v>
      </c>
      <c r="D61" s="0" t="n">
        <f aca="false">IF(ISNUMBER(Sites!I9),Sites!I9,"")</f>
        <v>24</v>
      </c>
      <c r="E61" s="0" t="n">
        <f aca="false">IF(ISNUMBER(Sites!E9),Sites!E9,"")</f>
        <v>24</v>
      </c>
      <c r="F61" s="0" t="n">
        <f aca="false">IF(ISNUMBER(Sites!K9),Sites!K9,"")</f>
        <v>24</v>
      </c>
    </row>
    <row r="62" customFormat="false" ht="15" hidden="false" customHeight="false" outlineLevel="0" collapsed="false">
      <c r="A62" s="0" t="s">
        <v>973</v>
      </c>
      <c r="B62" s="0" t="n">
        <f aca="false">IF(ISNUMBER(Sites!G10),Sites!G10,"")</f>
        <v>0</v>
      </c>
      <c r="C62" s="0" t="n">
        <f aca="false">IF(ISNUMBER(Sites!H10),Sites!H10,"")</f>
        <v>0</v>
      </c>
      <c r="D62" s="0" t="n">
        <f aca="false">IF(ISNUMBER(Sites!I10),Sites!I10,"")</f>
        <v>0</v>
      </c>
      <c r="E62" s="0" t="n">
        <f aca="false">IF(ISNUMBER(Sites!E10),Sites!E10,"")</f>
        <v>902</v>
      </c>
      <c r="F62" s="0" t="n">
        <f aca="false">IF(ISNUMBER(Sites!K10),Sites!K10,"")</f>
        <v>0</v>
      </c>
    </row>
    <row r="63" customFormat="false" ht="15" hidden="false" customHeight="false" outlineLevel="0" collapsed="false">
      <c r="A63" s="0" t="s">
        <v>974</v>
      </c>
      <c r="B63" s="0" t="n">
        <f aca="false">IF(ISNUMBER(Sites!G11),Sites!G11,"")</f>
        <v>0</v>
      </c>
      <c r="C63" s="0" t="n">
        <f aca="false">IF(ISNUMBER(Sites!H11),Sites!H11,"")</f>
        <v>0</v>
      </c>
      <c r="D63" s="0" t="n">
        <f aca="false">IF(ISNUMBER(Sites!I11),Sites!I11,"")</f>
        <v>0</v>
      </c>
      <c r="E63" s="0" t="n">
        <f aca="false">IF(ISNUMBER(Sites!E11),Sites!E11,"")</f>
        <v>460</v>
      </c>
      <c r="F63" s="0" t="n">
        <f aca="false">IF(ISNUMBER(Sites!K11),Sites!K11,"")</f>
        <v>0</v>
      </c>
    </row>
    <row r="64" customFormat="false" ht="15" hidden="false" customHeight="false" outlineLevel="0" collapsed="false">
      <c r="A64" s="0" t="s">
        <v>975</v>
      </c>
      <c r="B64" s="0" t="n">
        <f aca="false">IF(ISNUMBER(Sites!G16),Sites!G16,"")</f>
        <v>57</v>
      </c>
      <c r="C64" s="0" t="n">
        <f aca="false">IF(ISNUMBER(Sites!H16),Sites!H16,"")</f>
        <v>66</v>
      </c>
      <c r="D64" s="0" t="n">
        <f aca="false">IF(ISNUMBER(Sites!I16),Sites!I16,"")</f>
        <v>75</v>
      </c>
      <c r="E64" s="0" t="n">
        <f aca="false">IF(ISNUMBER(Sites!E16),Sites!E16,"")</f>
        <v>300</v>
      </c>
      <c r="F64" s="0" t="n">
        <f aca="false">IF(ISNUMBER(Sites!K16),Sites!K16,"")</f>
        <v>81.8</v>
      </c>
    </row>
    <row r="65" customFormat="false" ht="15" hidden="false" customHeight="false" outlineLevel="0" collapsed="false">
      <c r="A65" s="0" t="s">
        <v>976</v>
      </c>
      <c r="B65" s="0" t="n">
        <f aca="false">IF(ISNUMBER(Sites!G17),Sites!G17,"")</f>
        <v>0</v>
      </c>
      <c r="C65" s="0" t="n">
        <f aca="false">IF(ISNUMBER(Sites!H17),Sites!H17,"")</f>
        <v>0</v>
      </c>
      <c r="D65" s="0" t="n">
        <f aca="false">IF(ISNUMBER(Sites!I17),Sites!I17,"")</f>
        <v>0</v>
      </c>
      <c r="E65" s="0" t="n">
        <f aca="false">IF(ISNUMBER(Sites!E17),Sites!E17,"")</f>
        <v>1200</v>
      </c>
      <c r="F65" s="0" t="n">
        <f aca="false">IF(ISNUMBER(Sites!K17),Sites!K17,"")</f>
        <v>0</v>
      </c>
    </row>
    <row r="66" customFormat="false" ht="15" hidden="false" customHeight="false" outlineLevel="0" collapsed="false">
      <c r="A66" s="0" t="s">
        <v>977</v>
      </c>
      <c r="B66" s="0" t="n">
        <f aca="false">IF(ISNUMBER(Sites!G20),Sites!G20,"")</f>
        <v>0</v>
      </c>
      <c r="C66" s="0" t="n">
        <f aca="false">IF(ISNUMBER(Sites!H20),Sites!H20,"")</f>
        <v>0</v>
      </c>
      <c r="D66" s="0" t="n">
        <f aca="false">IF(ISNUMBER(Sites!I20),Sites!I20,"")</f>
        <v>0</v>
      </c>
      <c r="E66" s="0" t="n">
        <f aca="false">IF(ISNUMBER(Sites!E20),Sites!E20,"")</f>
        <v>240</v>
      </c>
      <c r="F66" s="0" t="n">
        <f aca="false">IF(ISNUMBER(Sites!K20),Sites!K20,"")</f>
        <v>30</v>
      </c>
    </row>
    <row r="67" customFormat="false" ht="15" hidden="false" customHeight="false" outlineLevel="0" collapsed="false">
      <c r="A67" s="0" t="s">
        <v>978</v>
      </c>
      <c r="B67" s="0" t="n">
        <f aca="false">IF(ISNUMBER(Sites!G22),Sites!G22,"")</f>
        <v>75</v>
      </c>
      <c r="C67" s="0" t="n">
        <f aca="false">IF(ISNUMBER(Sites!H22),Sites!H22,"")</f>
        <v>75</v>
      </c>
      <c r="D67" s="0" t="n">
        <f aca="false">IF(ISNUMBER(Sites!I22),Sites!I22,"")</f>
        <v>75</v>
      </c>
      <c r="E67" s="0" t="n">
        <f aca="false">IF(ISNUMBER(Sites!E22),Sites!E22,"")</f>
        <v>75</v>
      </c>
      <c r="F67" s="0" t="n">
        <f aca="false">IF(ISNUMBER(Sites!K22),Sites!K22,"")</f>
        <v>75</v>
      </c>
    </row>
    <row r="68" customFormat="false" ht="15" hidden="false" customHeight="false" outlineLevel="0" collapsed="false">
      <c r="A68" s="0" t="s">
        <v>979</v>
      </c>
      <c r="B68" s="0" t="n">
        <f aca="false">IF(ISNUMBER(Sites!G24),Sites!G24,"")</f>
        <v>5</v>
      </c>
      <c r="C68" s="0" t="n">
        <f aca="false">IF(ISNUMBER(Sites!H24),Sites!H24,"")</f>
        <v>20</v>
      </c>
      <c r="D68" s="0" t="n">
        <f aca="false">IF(ISNUMBER(Sites!I24),Sites!I24,"")</f>
        <v>35</v>
      </c>
      <c r="E68" s="0" t="n">
        <f aca="false">IF(ISNUMBER(Sites!E24),Sites!E24,"")</f>
        <v>40</v>
      </c>
      <c r="F68" s="0" t="n">
        <f aca="false">IF(ISNUMBER(Sites!K24),Sites!K24,"")</f>
        <v>20</v>
      </c>
    </row>
    <row r="69" customFormat="false" ht="15" hidden="false" customHeight="false" outlineLevel="0" collapsed="false">
      <c r="A69" s="0" t="s">
        <v>980</v>
      </c>
      <c r="B69" s="0" t="n">
        <f aca="false">IF(ISNUMBER(Sites!G27),Sites!G27,"")</f>
        <v>16</v>
      </c>
      <c r="C69" s="0" t="n">
        <f aca="false">IF(ISNUMBER(Sites!H27),Sites!H27,"")</f>
        <v>16</v>
      </c>
      <c r="D69" s="0" t="n">
        <f aca="false">IF(ISNUMBER(Sites!I27),Sites!I27,"")</f>
        <v>16</v>
      </c>
      <c r="E69" s="0" t="n">
        <f aca="false">IF(ISNUMBER(Sites!E27),Sites!E27,"")</f>
        <v>19</v>
      </c>
      <c r="F69" s="0" t="n">
        <f aca="false">IF(ISNUMBER(Sites!K27),Sites!K27,"")</f>
        <v>17.5</v>
      </c>
    </row>
    <row r="71" customFormat="false" ht="15" hidden="false" customHeight="false" outlineLevel="0" collapsed="false">
      <c r="A71" s="19" t="s">
        <v>981</v>
      </c>
      <c r="B71" s="19" t="s">
        <v>982</v>
      </c>
      <c r="C71" s="19" t="s">
        <v>983</v>
      </c>
      <c r="D71" s="19" t="s">
        <v>984</v>
      </c>
      <c r="E71" s="19" t="s">
        <v>985</v>
      </c>
    </row>
    <row r="72" customFormat="false" ht="15" hidden="false" customHeight="false" outlineLevel="0" collapsed="false">
      <c r="A72" s="0" t="s">
        <v>986</v>
      </c>
      <c r="B72" s="22" t="n">
        <f aca="false">AVERAGE(Nebius_Inputs!$C$42,Nebius_Inputs!$C$43)</f>
        <v>176.141025641026</v>
      </c>
      <c r="C72" s="22" t="n">
        <f aca="false">Nebius_Inputs!$C$4*4</f>
        <v>2299.6</v>
      </c>
      <c r="D72" s="22" t="n">
        <f aca="false">Comparison!D6</f>
        <v>13.0554479947595</v>
      </c>
      <c r="E72" s="0" t="s">
        <v>987</v>
      </c>
    </row>
    <row r="73" customFormat="false" ht="15" hidden="false" customHeight="false" outlineLevel="0" collapsed="false">
      <c r="A73" s="0" t="s">
        <v>988</v>
      </c>
      <c r="B73" s="22" t="n">
        <f aca="false">Nebius_Inputs!$C$47</f>
        <v>257.7</v>
      </c>
      <c r="C73" s="22" t="n">
        <f aca="false">Nebius_Inputs!$C$54</f>
        <v>7000</v>
      </c>
      <c r="D73" s="22" t="n">
        <f aca="false">Nebius_Inputs!$C$58</f>
        <v>27.163368257664</v>
      </c>
      <c r="E73" s="0" t="s">
        <v>989</v>
      </c>
    </row>
    <row r="74" customFormat="false" ht="15" hidden="false" customHeight="false" outlineLevel="0" collapsed="false">
      <c r="A74" s="0" t="s">
        <v>990</v>
      </c>
      <c r="B74" s="22" t="n">
        <f aca="false">Nebius_Inputs!$C$48</f>
        <v>284.2</v>
      </c>
      <c r="C74" s="22" t="n">
        <f aca="false">Nebius_Inputs!$C$55</f>
        <v>9000</v>
      </c>
      <c r="D74" s="22" t="n">
        <f aca="false">Nebius_Inputs!$C$59</f>
        <v>31.667839549613</v>
      </c>
      <c r="E74" s="0" t="s">
        <v>991</v>
      </c>
    </row>
    <row r="75" customFormat="false" ht="15" hidden="false" customHeight="false" outlineLevel="0" collapsed="false">
      <c r="A75" s="0" t="s">
        <v>992</v>
      </c>
      <c r="B75" s="22" t="n">
        <f aca="false">Nebius_Inputs!$C$49</f>
        <v>531.840979259459</v>
      </c>
      <c r="C75" s="22" t="n">
        <f aca="false">Nebius_Inputs!$C$53</f>
        <v>12300</v>
      </c>
      <c r="D75" s="22" t="n">
        <f aca="false">Nebius_Inputs!$C$60</f>
        <v>23.1272137343133</v>
      </c>
      <c r="E75" s="0" t="s">
        <v>993</v>
      </c>
    </row>
    <row r="76" customFormat="false" ht="15" hidden="false" customHeight="false" outlineLevel="0" collapsed="false">
      <c r="A76" s="0" t="s">
        <v>994</v>
      </c>
      <c r="B76" s="22" t="n">
        <f aca="false">Nebius_Inputs!$C$49-Nebius_Inputs!$C$52</f>
        <v>349.5117625</v>
      </c>
      <c r="C76" s="22" t="n">
        <f aca="false">Nebius_Inputs!$C$53-Nebius_Inputs!$C$51</f>
        <v>9656.22635698785</v>
      </c>
      <c r="D76" s="22" t="n">
        <f aca="false">Nebius_Inputs!$C$61</f>
        <v>27.627757898385</v>
      </c>
      <c r="E76" s="0" t="s">
        <v>995</v>
      </c>
    </row>
    <row r="77" customFormat="false" ht="15" hidden="false" customHeight="false" outlineLevel="0" collapsed="false">
      <c r="A77" s="0" t="s">
        <v>996</v>
      </c>
      <c r="B77" s="22" t="n">
        <f aca="false">Nebius_Inputs!$C$50</f>
        <v>659.157004259459</v>
      </c>
      <c r="C77" s="22" t="n">
        <f aca="false">Nebius_Inputs!$C$53</f>
        <v>12300</v>
      </c>
      <c r="D77" s="22" t="n">
        <f aca="false">Nebius_Inputs!$C$62</f>
        <v>18.6601976775148</v>
      </c>
      <c r="E77" s="0" t="s">
        <v>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9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60"/>
  </cols>
  <sheetData>
    <row r="1" customFormat="false" ht="15" hidden="false" customHeight="false" outlineLevel="0" collapsed="false">
      <c r="A1" s="19" t="s">
        <v>999</v>
      </c>
    </row>
    <row r="3" customFormat="false" ht="15" hidden="false" customHeight="false" outlineLevel="0" collapsed="false">
      <c r="A3" s="19" t="s">
        <v>8</v>
      </c>
    </row>
    <row r="4" customFormat="false" ht="15" hidden="false" customHeight="false" outlineLevel="0" collapsed="false">
      <c r="A4" s="20" t="s">
        <v>1</v>
      </c>
      <c r="B4" s="20" t="s">
        <v>1000</v>
      </c>
      <c r="C4" s="20" t="s">
        <v>3</v>
      </c>
      <c r="D4" s="20" t="s">
        <v>1001</v>
      </c>
      <c r="E4" s="20" t="s">
        <v>1002</v>
      </c>
      <c r="F4" s="20" t="s">
        <v>1003</v>
      </c>
      <c r="G4" s="20" t="s">
        <v>1004</v>
      </c>
      <c r="H4" s="20" t="s">
        <v>1005</v>
      </c>
      <c r="I4" s="20" t="s">
        <v>1006</v>
      </c>
      <c r="J4" s="20" t="s">
        <v>1007</v>
      </c>
      <c r="K4" s="20" t="s">
        <v>1008</v>
      </c>
      <c r="L4" s="20" t="s">
        <v>1009</v>
      </c>
      <c r="M4" s="20" t="s">
        <v>1010</v>
      </c>
      <c r="N4" s="20" t="s">
        <v>520</v>
      </c>
    </row>
    <row r="5" customFormat="false" ht="15" hidden="false" customHeight="false" outlineLevel="0" collapsed="false">
      <c r="A5" s="0" t="s">
        <v>1011</v>
      </c>
      <c r="B5" s="0" t="s">
        <v>1012</v>
      </c>
      <c r="C5" s="0" t="s">
        <v>80</v>
      </c>
      <c r="D5" s="0" t="s">
        <v>24</v>
      </c>
      <c r="E5" s="22" t="n">
        <v>1.05097312326228</v>
      </c>
      <c r="F5" s="22" t="n">
        <v>4.46846719954928</v>
      </c>
      <c r="G5" s="22" t="n">
        <v>6.0438935637935</v>
      </c>
      <c r="H5" s="22" t="n">
        <v>2.29112136657942</v>
      </c>
      <c r="I5" s="22" t="n">
        <v>2.47267353942399</v>
      </c>
      <c r="J5" s="22" t="n">
        <v>3.71770434559754</v>
      </c>
      <c r="K5" s="22" t="n">
        <v>3.05749183295533</v>
      </c>
      <c r="L5" s="22" t="n">
        <v>9.36586316678578</v>
      </c>
      <c r="M5" s="22" t="n">
        <v>23.2293932801547</v>
      </c>
      <c r="N5" s="22" t="n">
        <v>51.3864091820004</v>
      </c>
    </row>
    <row r="6" customFormat="false" ht="15" hidden="false" customHeight="false" outlineLevel="0" collapsed="false">
      <c r="A6" s="0" t="s">
        <v>1013</v>
      </c>
      <c r="B6" s="0" t="s">
        <v>1014</v>
      </c>
      <c r="C6" s="0" t="s">
        <v>20</v>
      </c>
      <c r="D6" s="0" t="s">
        <v>24</v>
      </c>
      <c r="E6" s="0" t="s">
        <v>24</v>
      </c>
      <c r="F6" s="22" t="n">
        <v>0.838459938016081</v>
      </c>
      <c r="G6" s="22" t="n">
        <v>0.642047735384671</v>
      </c>
      <c r="H6" s="22" t="n">
        <v>1.04810415836839</v>
      </c>
      <c r="I6" s="22" t="n">
        <v>0.97016727479414</v>
      </c>
      <c r="J6" s="22" t="n">
        <v>0.984955023106077</v>
      </c>
      <c r="K6" s="22" t="n">
        <v>1.1543580630028</v>
      </c>
      <c r="L6" s="0" t="s">
        <v>24</v>
      </c>
      <c r="M6" s="0" t="s">
        <v>24</v>
      </c>
      <c r="N6" s="0" t="s">
        <v>24</v>
      </c>
    </row>
    <row r="7" customFormat="false" ht="15" hidden="false" customHeight="false" outlineLevel="0" collapsed="false">
      <c r="A7" s="0" t="s">
        <v>1015</v>
      </c>
      <c r="B7" s="0" t="s">
        <v>1016</v>
      </c>
      <c r="C7" s="0" t="s">
        <v>80</v>
      </c>
      <c r="D7" s="0" t="s">
        <v>24</v>
      </c>
      <c r="E7" s="22" t="n">
        <v>0.440176933865573</v>
      </c>
      <c r="F7" s="22" t="n">
        <v>0.440176933865573</v>
      </c>
      <c r="G7" s="22" t="n">
        <v>0.317905563347359</v>
      </c>
      <c r="H7" s="22" t="n">
        <v>0.521409124659682</v>
      </c>
      <c r="I7" s="22" t="n">
        <v>0.40290705087339</v>
      </c>
      <c r="J7" s="22" t="n">
        <v>0.32898723875816</v>
      </c>
      <c r="K7" s="22" t="n">
        <v>0.363617474416913</v>
      </c>
      <c r="L7" s="0" t="s">
        <v>24</v>
      </c>
      <c r="M7" s="0" t="s">
        <v>24</v>
      </c>
      <c r="N7" s="22" t="n">
        <v>9.52380952380952</v>
      </c>
    </row>
    <row r="8" customFormat="false" ht="15" hidden="false" customHeight="false" outlineLevel="0" collapsed="false">
      <c r="A8" s="0" t="s">
        <v>1017</v>
      </c>
      <c r="B8" s="0" t="s">
        <v>1018</v>
      </c>
      <c r="C8" s="0" t="s">
        <v>1019</v>
      </c>
      <c r="D8" s="0" t="s">
        <v>24</v>
      </c>
      <c r="E8" s="0" t="n">
        <v>10</v>
      </c>
      <c r="F8" s="0" t="n">
        <v>10</v>
      </c>
      <c r="G8" s="0" t="n">
        <v>21</v>
      </c>
      <c r="H8" s="0" t="n">
        <v>31</v>
      </c>
      <c r="I8" s="0" t="n">
        <v>37</v>
      </c>
      <c r="J8" s="0" t="n">
        <v>50</v>
      </c>
      <c r="K8" s="0" t="n">
        <v>50</v>
      </c>
      <c r="L8" s="0" t="n">
        <v>46</v>
      </c>
      <c r="M8" s="0" t="n">
        <v>38</v>
      </c>
      <c r="N8" s="22" t="n">
        <v>23.2</v>
      </c>
    </row>
    <row r="9" customFormat="false" ht="15" hidden="false" customHeight="false" outlineLevel="0" collapsed="false">
      <c r="A9" s="0" t="s">
        <v>1020</v>
      </c>
      <c r="B9" s="0" t="s">
        <v>1021</v>
      </c>
      <c r="C9" s="0" t="s">
        <v>85</v>
      </c>
      <c r="D9" s="0" t="s">
        <v>24</v>
      </c>
      <c r="E9" s="22" t="n">
        <v>1.37338846153846</v>
      </c>
      <c r="F9" s="22" t="n">
        <v>1.69758076923077</v>
      </c>
      <c r="G9" s="22" t="n">
        <v>2.68331666666667</v>
      </c>
      <c r="H9" s="22" t="n">
        <v>2.37125294117647</v>
      </c>
      <c r="I9" s="22" t="n">
        <v>2.38652575757576</v>
      </c>
      <c r="J9" s="22" t="n">
        <v>2.38341604938272</v>
      </c>
      <c r="K9" s="22" t="n">
        <v>2.61164938271605</v>
      </c>
      <c r="L9" s="22" t="n">
        <v>3.9141975308642</v>
      </c>
      <c r="M9" s="0" t="s">
        <v>24</v>
      </c>
      <c r="N9" s="22" t="n">
        <v>16.0790071428571</v>
      </c>
    </row>
    <row r="10" customFormat="false" ht="15" hidden="false" customHeight="false" outlineLevel="0" collapsed="false">
      <c r="A10" s="0" t="s">
        <v>1022</v>
      </c>
      <c r="B10" s="0" t="s">
        <v>1023</v>
      </c>
      <c r="C10" s="0" t="s">
        <v>85</v>
      </c>
      <c r="D10" s="0" t="s">
        <v>24</v>
      </c>
      <c r="E10" s="22" t="n">
        <v>25.8663468137255</v>
      </c>
      <c r="F10" s="22" t="n">
        <v>29.1097977941176</v>
      </c>
      <c r="G10" s="22" t="n">
        <v>29.4269779411765</v>
      </c>
      <c r="H10" s="22" t="n">
        <v>25.6431803797468</v>
      </c>
      <c r="I10" s="22" t="n">
        <v>26.1004630801688</v>
      </c>
      <c r="J10" s="22" t="n">
        <v>28.5203752631579</v>
      </c>
      <c r="K10" s="22" t="n">
        <v>36.0054814285714</v>
      </c>
      <c r="L10" s="0" t="s">
        <v>24</v>
      </c>
      <c r="M10" s="0" t="s">
        <v>24</v>
      </c>
      <c r="N10" s="22" t="n">
        <v>50.870275</v>
      </c>
    </row>
    <row r="11" customFormat="false" ht="15" hidden="false" customHeight="false" outlineLevel="0" collapsed="false">
      <c r="A11" s="0" t="s">
        <v>1024</v>
      </c>
      <c r="B11" s="0" t="s">
        <v>1025</v>
      </c>
      <c r="C11" s="0" t="s">
        <v>62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24</v>
      </c>
      <c r="M11" s="0" t="s">
        <v>24</v>
      </c>
      <c r="N11" s="22" t="n">
        <v>13.1068773234201</v>
      </c>
    </row>
    <row r="12" customFormat="false" ht="15" hidden="false" customHeight="false" outlineLevel="0" collapsed="false">
      <c r="A12" s="0" t="s">
        <v>1026</v>
      </c>
      <c r="B12" s="0" t="s">
        <v>1027</v>
      </c>
      <c r="C12" s="0" t="s">
        <v>80</v>
      </c>
      <c r="D12" s="0" t="s">
        <v>24</v>
      </c>
      <c r="E12" s="22" t="n">
        <v>40.4077849860982</v>
      </c>
      <c r="F12" s="22" t="n">
        <v>21.4796295644213</v>
      </c>
      <c r="G12" s="22" t="n">
        <v>4.73807899325298</v>
      </c>
      <c r="H12" s="22" t="n">
        <v>53.8986086237774</v>
      </c>
      <c r="I12" s="22" t="n">
        <v>57.518488085456</v>
      </c>
      <c r="J12" s="22" t="n">
        <v>65.0851873802011</v>
      </c>
      <c r="K12" s="22" t="n">
        <v>38.161426579829</v>
      </c>
      <c r="L12" s="22" t="n">
        <v>40.7705802092132</v>
      </c>
      <c r="M12" s="22" t="n">
        <v>41.0925791636452</v>
      </c>
      <c r="N12" s="22" t="n">
        <v>13.991619602842</v>
      </c>
    </row>
    <row r="13" customFormat="false" ht="15" hidden="false" customHeight="false" outlineLevel="0" collapsed="false">
      <c r="A13" s="0" t="s">
        <v>1028</v>
      </c>
      <c r="B13" s="0" t="s">
        <v>1029</v>
      </c>
      <c r="C13" s="0" t="s">
        <v>53</v>
      </c>
      <c r="D13" s="0" t="s">
        <v>24</v>
      </c>
      <c r="E13" s="22" t="n">
        <v>8.30769230769231</v>
      </c>
      <c r="F13" s="22" t="n">
        <v>8.88461538461539</v>
      </c>
      <c r="G13" s="22" t="n">
        <v>6.41666666666667</v>
      </c>
      <c r="H13" s="22" t="n">
        <v>4.52941176470588</v>
      </c>
      <c r="I13" s="22" t="n">
        <v>4.40909090909091</v>
      </c>
      <c r="J13" s="22" t="n">
        <v>3.59259259259259</v>
      </c>
      <c r="K13" s="22" t="n">
        <v>3.7037037037037</v>
      </c>
      <c r="L13" s="22" t="n">
        <v>5.55555555555556</v>
      </c>
      <c r="M13" s="0" t="s">
        <v>24</v>
      </c>
      <c r="N13" s="22" t="n">
        <v>11.9047619047619</v>
      </c>
    </row>
    <row r="15" customFormat="false" ht="15" hidden="false" customHeight="false" outlineLevel="0" collapsed="false">
      <c r="A15" s="19" t="s">
        <v>9</v>
      </c>
    </row>
    <row r="16" customFormat="false" ht="15" hidden="false" customHeight="false" outlineLevel="0" collapsed="false">
      <c r="A16" s="20" t="s">
        <v>1</v>
      </c>
      <c r="B16" s="20" t="s">
        <v>1000</v>
      </c>
      <c r="C16" s="20" t="s">
        <v>3</v>
      </c>
      <c r="D16" s="20" t="s">
        <v>1001</v>
      </c>
      <c r="E16" s="20" t="s">
        <v>1002</v>
      </c>
      <c r="F16" s="20" t="s">
        <v>1003</v>
      </c>
      <c r="G16" s="20" t="s">
        <v>1004</v>
      </c>
      <c r="H16" s="20" t="s">
        <v>1005</v>
      </c>
      <c r="I16" s="20" t="s">
        <v>1006</v>
      </c>
      <c r="J16" s="20" t="s">
        <v>1007</v>
      </c>
      <c r="K16" s="20" t="s">
        <v>1008</v>
      </c>
      <c r="L16" s="20" t="s">
        <v>1009</v>
      </c>
      <c r="M16" s="20" t="s">
        <v>1010</v>
      </c>
      <c r="N16" s="20" t="s">
        <v>520</v>
      </c>
      <c r="O16" s="20" t="s">
        <v>1030</v>
      </c>
    </row>
    <row r="17" customFormat="false" ht="15" hidden="false" customHeight="false" outlineLevel="0" collapsed="false">
      <c r="A17" s="0" t="s">
        <v>1011</v>
      </c>
      <c r="B17" s="0" t="s">
        <v>1031</v>
      </c>
      <c r="C17" s="0" t="s">
        <v>80</v>
      </c>
      <c r="D17" s="0" t="s">
        <v>24</v>
      </c>
      <c r="E17" s="22" t="n">
        <v>13.4028614457831</v>
      </c>
      <c r="F17" s="22" t="n">
        <v>13.7915587597116</v>
      </c>
      <c r="G17" s="22" t="n">
        <v>16.186969264297</v>
      </c>
      <c r="H17" s="22" t="n">
        <v>17.3127533964009</v>
      </c>
      <c r="I17" s="22" t="n">
        <v>18.7685774946921</v>
      </c>
      <c r="J17" s="22" t="n">
        <v>18.8329246054204</v>
      </c>
      <c r="K17" s="22" t="n">
        <v>22.4239581937559</v>
      </c>
      <c r="L17" s="22" t="n">
        <v>25.401668950056</v>
      </c>
      <c r="M17" s="22" t="n">
        <v>28.435136707388</v>
      </c>
      <c r="N17" s="22" t="n">
        <v>30.1657631359466</v>
      </c>
      <c r="O17" s="22" t="n">
        <v>38.1907469630395</v>
      </c>
    </row>
    <row r="18" customFormat="false" ht="15" hidden="false" customHeight="false" outlineLevel="0" collapsed="false">
      <c r="A18" s="0" t="s">
        <v>1013</v>
      </c>
      <c r="B18" s="0" t="s">
        <v>1032</v>
      </c>
      <c r="C18" s="0" t="s">
        <v>80</v>
      </c>
      <c r="D18" s="0" t="s">
        <v>24</v>
      </c>
      <c r="E18" s="0" t="s">
        <v>24</v>
      </c>
      <c r="F18" s="0" t="s">
        <v>24</v>
      </c>
      <c r="G18" s="0" t="s">
        <v>24</v>
      </c>
      <c r="H18" s="0" t="s">
        <v>24</v>
      </c>
      <c r="I18" s="22" t="n">
        <v>48.9971346704871</v>
      </c>
      <c r="J18" s="22" t="n">
        <v>51.9995939910678</v>
      </c>
      <c r="K18" s="22" t="n">
        <v>55.3853296193129</v>
      </c>
      <c r="L18" s="22" t="n">
        <v>67.5842235004108</v>
      </c>
      <c r="M18" s="22" t="n">
        <v>84.3137254901961</v>
      </c>
      <c r="N18" s="22" t="n">
        <v>93.2220367278798</v>
      </c>
      <c r="O18" s="22" t="n">
        <v>120.734986555124</v>
      </c>
    </row>
    <row r="19" customFormat="false" ht="15" hidden="false" customHeight="false" outlineLevel="0" collapsed="false">
      <c r="A19" s="0" t="s">
        <v>1015</v>
      </c>
      <c r="B19" s="0" t="s">
        <v>1033</v>
      </c>
      <c r="C19" s="0" t="s">
        <v>80</v>
      </c>
      <c r="D19" s="0" t="s">
        <v>24</v>
      </c>
      <c r="E19" s="22" t="n">
        <v>12.605421686747</v>
      </c>
      <c r="F19" s="22" t="n">
        <v>19.5842374186323</v>
      </c>
      <c r="G19" s="22" t="n">
        <v>17.3066806943714</v>
      </c>
      <c r="H19" s="22" t="n">
        <v>28.2381392702184</v>
      </c>
      <c r="I19" s="22" t="n">
        <v>41.4861995753716</v>
      </c>
      <c r="J19" s="22" t="n">
        <v>57.0961453813746</v>
      </c>
      <c r="K19" s="22" t="n">
        <v>56.9610076376792</v>
      </c>
      <c r="L19" s="22" t="n">
        <v>74.9346120313862</v>
      </c>
      <c r="M19" s="22" t="n">
        <v>108.406050029087</v>
      </c>
      <c r="N19" s="22" t="n">
        <v>85.9726855713094</v>
      </c>
      <c r="O19" s="22" t="n">
        <v>147.319720858103</v>
      </c>
    </row>
    <row r="20" customFormat="false" ht="15" hidden="false" customHeight="false" outlineLevel="0" collapsed="false">
      <c r="A20" s="0" t="s">
        <v>1017</v>
      </c>
      <c r="B20" s="0" t="s">
        <v>1034</v>
      </c>
      <c r="C20" s="0" t="s">
        <v>1035</v>
      </c>
      <c r="D20" s="0" t="s">
        <v>24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22" t="n">
        <v>352.941176470588</v>
      </c>
    </row>
    <row r="21" customFormat="false" ht="15" hidden="false" customHeight="false" outlineLevel="0" collapsed="false">
      <c r="A21" s="0" t="s">
        <v>1020</v>
      </c>
      <c r="B21" s="0" t="s">
        <v>1036</v>
      </c>
      <c r="C21" s="0" t="s">
        <v>80</v>
      </c>
      <c r="D21" s="0" t="s">
        <v>24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22" t="n">
        <v>10.7077587639143</v>
      </c>
      <c r="K21" s="0" t="s">
        <v>24</v>
      </c>
      <c r="L21" s="0" t="s">
        <v>24</v>
      </c>
      <c r="M21" s="0" t="s">
        <v>24</v>
      </c>
      <c r="N21" s="22" t="n">
        <v>12.1267558581632</v>
      </c>
      <c r="O21" s="0" t="s">
        <v>24</v>
      </c>
    </row>
    <row r="22" customFormat="false" ht="15" hidden="false" customHeight="false" outlineLevel="0" collapsed="false">
      <c r="A22" s="0" t="s">
        <v>1022</v>
      </c>
      <c r="B22" s="0" t="s">
        <v>1037</v>
      </c>
      <c r="C22" s="0" t="s">
        <v>53</v>
      </c>
      <c r="D22" s="0" t="s">
        <v>24</v>
      </c>
      <c r="E22" s="0" t="s">
        <v>24</v>
      </c>
      <c r="F22" s="0" t="s">
        <v>24</v>
      </c>
      <c r="G22" s="0" t="s">
        <v>24</v>
      </c>
      <c r="H22" s="0" t="s">
        <v>24</v>
      </c>
      <c r="I22" s="22" t="n">
        <v>4.28075908726064</v>
      </c>
      <c r="J22" s="22" t="n">
        <v>5.17641030646106</v>
      </c>
      <c r="K22" s="22" t="n">
        <v>5.74476110645432</v>
      </c>
      <c r="L22" s="22" t="n">
        <v>5.39164133738602</v>
      </c>
      <c r="M22" s="22" t="n">
        <v>5.39467799642218</v>
      </c>
      <c r="N22" s="22" t="n">
        <v>4.98415114613181</v>
      </c>
      <c r="O22" s="22" t="n">
        <v>4.6807720861173</v>
      </c>
    </row>
    <row r="23" customFormat="false" ht="15" hidden="false" customHeight="false" outlineLevel="0" collapsed="false">
      <c r="A23" s="0" t="s">
        <v>1024</v>
      </c>
      <c r="B23" s="0" t="s">
        <v>1038</v>
      </c>
      <c r="C23" s="0" t="s">
        <v>292</v>
      </c>
      <c r="D23" s="0" t="s">
        <v>24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n">
        <v>110</v>
      </c>
      <c r="L23" s="0" t="n">
        <v>510</v>
      </c>
      <c r="M23" s="0" t="n">
        <v>910</v>
      </c>
      <c r="N23" s="0" t="n">
        <v>1200</v>
      </c>
      <c r="O23" s="0" t="n">
        <v>2050</v>
      </c>
    </row>
    <row r="24" customFormat="false" ht="15" hidden="false" customHeight="false" outlineLevel="0" collapsed="false">
      <c r="A24" s="0" t="s">
        <v>1026</v>
      </c>
      <c r="B24" s="0" t="s">
        <v>1039</v>
      </c>
      <c r="C24" s="0" t="s">
        <v>134</v>
      </c>
      <c r="D24" s="0" t="s">
        <v>24</v>
      </c>
      <c r="E24" s="0" t="s">
        <v>24</v>
      </c>
      <c r="F24" s="0" t="s">
        <v>24</v>
      </c>
      <c r="G24" s="0" t="s">
        <v>24</v>
      </c>
      <c r="H24" s="0" t="s">
        <v>24</v>
      </c>
      <c r="I24" s="22" t="n">
        <v>48.4</v>
      </c>
      <c r="J24" s="22" t="n">
        <v>43.4</v>
      </c>
      <c r="K24" s="22" t="n">
        <v>99.8</v>
      </c>
      <c r="L24" s="0" t="n">
        <v>248</v>
      </c>
      <c r="M24" s="0" t="n">
        <v>261</v>
      </c>
      <c r="N24" s="0" t="n">
        <v>260</v>
      </c>
      <c r="O24" s="0" t="n">
        <v>288</v>
      </c>
    </row>
    <row r="25" customFormat="false" ht="15" hidden="false" customHeight="false" outlineLevel="0" collapsed="false">
      <c r="A25" s="0" t="s">
        <v>1028</v>
      </c>
      <c r="B25" s="0" t="s">
        <v>1040</v>
      </c>
      <c r="C25" s="0" t="s">
        <v>134</v>
      </c>
      <c r="D25" s="0" t="s">
        <v>24</v>
      </c>
      <c r="E25" s="22" t="n">
        <v>14.7</v>
      </c>
      <c r="F25" s="22" t="n">
        <v>17.7</v>
      </c>
      <c r="G25" s="22" t="n">
        <v>1.19999999999999</v>
      </c>
      <c r="H25" s="22" t="n">
        <v>-1.8</v>
      </c>
      <c r="I25" s="22" t="n">
        <v>32.9</v>
      </c>
      <c r="J25" s="22" t="n">
        <v>7.60000000000002</v>
      </c>
      <c r="K25" s="22" t="n">
        <v>317.5</v>
      </c>
      <c r="L25" s="22" t="n">
        <v>67.9999999999999</v>
      </c>
      <c r="M25" s="22" t="n">
        <v>29.3000000000001</v>
      </c>
      <c r="N25" s="22" t="n">
        <v>85.4</v>
      </c>
      <c r="O25" s="0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2026-10-09T20:38:15Z</dcterms:created>
  <dc:creator>openpyxl</dc:creator>
  <dc:description/>
  <dc:language>en-US</dc:language>
  <cp:lastModifiedBy/>
  <dcterms:modified xsi:type="dcterms:W3CDTF">2026-10-09T20:38:16Z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