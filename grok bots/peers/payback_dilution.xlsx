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Payback_ACV" sheetId="2" state="visible" r:id="rId4"/>
    <sheet name="Basis_Sensitivity" sheetId="3" state="visible" r:id="rId5"/>
    <sheet name="Dilution_Data" sheetId="4" state="visible" r:id="rId6"/>
    <sheet name="Dilution_Fit" sheetId="5" state="visible" r:id="rId7"/>
    <sheet name="Nebius_Path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<sst xmlns="http://schemas.openxmlformats.org/spreadsheetml/2006/main" count="877" uniqueCount="420">
  <si>
    <t xml:space="preserve">payback_dilution.xlsx - Nebius Peer KPIs bot - built 2026-10-04 (ET) by peers/build_payback_dilution.py. Recalculated in LibreOffice: 0 error cells.</t>
  </si>
  <si>
    <t xml:space="preserve">QUESTION 1: Does Nebius's ~22-month payback on $20-25M/MW reconcile only on a GROSS-MW reading? (moves Modeling PT $46 -&gt; $147)</t>
  </si>
  <si>
    <t xml:space="preserve">Exact Nebius wording (S1, Q2'26 letter Aug 12 2026): 'ACV per MW is stepping up(1): $12M 2026 base; &gt;$20M Q2 deals; &gt;$40M Q3 short-term capacity deals'; 'Payback period(2)(3) 1 year 10 months for deals closed in Q2'.</t>
  </si>
  <si>
    <t xml:space="preserve">  fn(1) 'ACV - Annual contract value.'  fn(2) 'Methodology is on a revenue recognition basis, excluding any prepayment.'  fn(3) 'Estimated payback period for new deals signed in Q2, based on forecast costs and contracted future capacity, including capacity not yet built.'</t>
  </si>
  <si>
    <t xml:space="preserve">  Body: 'yield of $20-25 million per megawatt'; 'the expected payback period for the associated capex and related operating costs for Q2 deals is 1 year and 10 months, down from our two-to-three year payback period previously.' Call (S2): '&lt;two-year payback'. NO IT vs gross basis anywhere.</t>
  </si>
  <si>
    <t xml:space="preserve">Method: Payback = compute capex per IT MW / (ACV per Nebius-MW x f - opex per IT MW) x 12, f = 1 (IT) or 1.2/1.3/1.4 (gross). Prepayments excluded (fn 2). Leased capacity: shell is rent inside opex.</t>
  </si>
  <si>
    <t xml:space="preserve">Key point: within any one deal payback is basis-invariant (Payback_ACV cols Z = AA). The basis only matters because Nebius's ACV/MW is being compared with per-IT-MW capex benchmarks.</t>
  </si>
  <si>
    <t xml:space="preserve">VERDICT: NO - it does not reconcile ONLY on gross. IT reading ($22.5M per IT MW, leased, opex $4.5M/IT MW-yr) = 19.3 months at IREN's DISCLOSED GB300 capex ($29M/IT MW, Dell PO) and 22.7 months at the ~$34M/IT MW implied by IREN's own '&gt;$20M per MW (IT), ~2 year payback' (same capex/(revenue - direct costs) definition, explicit IT basis).</t>
  </si>
  <si>
    <t xml:space="preserve">  The gross reading is REQUIRED only if Nebius's compute capex is ~$40M+/IT MW (Capacity base $40.3M / Modeling $41.3M: IT 26.8-27.5 mo vs gross x1.2/1.3/1.4 = 21.5/19.5/17.9 mo), or if the ~50% segment EBITDA margin is used. 22 mo on IT needs &lt;= $33.0M/IT MW (range $28.4-37.6M at ACV $20-25M); on gross x1.3 &lt;= $45.4M. Confidence IT reading is right: MEDIUM (~60%).</t>
  </si>
  <si>
    <t xml:space="preserve">  Sensitivities: compute capex (+$1M/IT MW = +0.67 mo on IT reading); opex (+$1M/IT MW-yr = +1.2-1.6 mo); ACV $20 vs $25 (IT @ $29M: 22.5 vs 17.0 mo); gross factor 1.2 vs 1.4 (@ $40.3M: 21.5 vs 17.9 mo). The capex number (third-party estimate vs IREN's disclosed purchase price) is the single swing factor.</t>
  </si>
  <si>
    <t xml:space="preserve">  Counter-evidence (kept): Capacity finds YE25 in-service servers+network at only $18.4M per active MW (S18) - Nebius's own MW may run close to gross, or it buys cheaper; Filings (21:39 ET) leans gross at $41M capex/IT MW.</t>
  </si>
  <si>
    <t xml:space="preserve">QUESTION 2: Dilution curve. Primary fit (Dilution_Fit F1): CoreWeave rev/avg MW = 10.88 - 5.68 x ramp ratio (R^2 0.79, n=10) -&gt; factor 1 - k x ramp, k = 0.52 (0.43-0.62 at +/-1 SE). ln(MW) fit fails on full sample (R^2 0.07).</t>
  </si>
  <si>
    <t xml:space="preserve">  Nebius_Path applies k to Capacity's energized MW low/base/high with a legacy-book + new-price mix (P_new $12 / $17.1 / $22.5). Output: quarterly rev/avg MW Q3'26-Q4'27 by MW case and LOW/BASE/HIGH band.</t>
  </si>
  <si>
    <t xml:space="preserve">TABS: Payback_ACV (deal table: ACV and capex per IT and gross MW, margins, payback) | Basis_Sensitivity (IT vs gross test, grids, verdict metrics) | Dilution_Data | Dilution_Fit | Nebius_Path | Sources.</t>
  </si>
  <si>
    <t xml:space="preserve">TAGS: R reported; P press/secondary; D derived from R/P; E estimated; n-d not disclosed. Blue font = hard-coded input (sourced). All other numbers are live formulas.</t>
  </si>
  <si>
    <t xml:space="preserve">Charts: peers/charts/payback_by_basis.png, dilution_curve.png, nebius_rev_mw_path.png.</t>
  </si>
  <si>
    <t xml:space="preserve">Not edited: capacity/, model/, filings/, parts/ (values copied with cell citations).</t>
  </si>
  <si>
    <t xml:space="preserve">Payback / ACV test - peer deals vs Nebius. Payback (months) = capex per MW / (ACV per MW x cash margin) x 12; prepayments EXCLUDED (Nebius fn 2, IREN fn 3 basis). $M; MW.</t>
  </si>
  <si>
    <t xml:space="preserve">Within one deal, payback is identical on IT and gross MW (both numerator and denominator scale by the same factor) - columns Z vs AA prove it. The IT/gross question only bites when a per-MW benchmark on one basis is applied to per-MW revenue on another: see Basis_Sensitivity.</t>
  </si>
  <si>
    <t xml:space="preserve">Shared assumption</t>
  </si>
  <si>
    <t xml:space="preserve">Value</t>
  </si>
  <si>
    <t xml:space="preserve">Tag</t>
  </si>
  <si>
    <t xml:space="preserve">Source / note</t>
  </si>
  <si>
    <t xml:space="preserve">Opex per IT MW-yr for LEASED capacity (rent + power + ops)</t>
  </si>
  <si>
    <t xml:space="preserve">E</t>
  </si>
  <si>
    <t xml:space="preserve">S14 Modeling PB_Opex (range 4-5)</t>
  </si>
  <si>
    <t xml:space="preserve">Default gross/IT factor (PUE-type) where basis must be converted</t>
  </si>
  <si>
    <t xml:space="preserve">S11 base PUE 1.2-1.3; sensitivity 1.2-1.4 in Basis_Sensitivity</t>
  </si>
  <si>
    <t xml:space="preserve">GB300 NVL72 compute (server+network+storage) $k per GPU</t>
  </si>
  <si>
    <t xml:space="preserve">S11 CapexPerMW GB300 base</t>
  </si>
  <si>
    <t xml:space="preserve">GB300 GPUs per IT MW</t>
  </si>
  <si>
    <t xml:space="preserve">S11</t>
  </si>
  <si>
    <t xml:space="preserve">Vera Rubin NVL72 compute $k per GPU</t>
  </si>
  <si>
    <t xml:space="preserve">S11 VR base</t>
  </si>
  <si>
    <t xml:space="preserve">Vera Rubin GPUs per IT MW</t>
  </si>
  <si>
    <t xml:space="preserve">GB200 NVL72 compute $k per GPU</t>
  </si>
  <si>
    <t xml:space="preserve">S11 GB200 base</t>
  </si>
  <si>
    <t xml:space="preserve">GB200 GPUs per IT MW</t>
  </si>
  <si>
    <t xml:space="preserve">B300 HGX compute $k per GPU</t>
  </si>
  <si>
    <t xml:space="preserve">S11 B300 base</t>
  </si>
  <si>
    <t xml:space="preserve">B300 GPUs per IT MW</t>
  </si>
  <si>
    <t xml:space="preserve">Owned DC shell + power $M per IT MW</t>
  </si>
  <si>
    <t xml:space="preserve">S11 base (range 8-17.6); Crusoe Abilene $12.5M/MW (S13)</t>
  </si>
  <si>
    <t xml:space="preserve">IREN Horizon DC build $M per IT MW</t>
  </si>
  <si>
    <t xml:space="preserve">D</t>
  </si>
  <si>
    <t xml:space="preserve">S7 ($300-350M / 50 MW IT)</t>
  </si>
  <si>
    <t xml:space="preserve">IREN Microsoft project EBITDA margin</t>
  </si>
  <si>
    <t xml:space="preserve">R</t>
  </si>
  <si>
    <t xml:space="preserve">S4</t>
  </si>
  <si>
    <t xml:space="preserve">Nebius AI cloud adj. EBITDA margin Q2'26 (segment, incl. overhead)</t>
  </si>
  <si>
    <t xml:space="preserve">S17</t>
  </si>
  <si>
    <t xml:space="preserve">Oracle AI-infra CASH margin, analyst-day example: 1 - (35% x $6.4B)/$10B</t>
  </si>
  <si>
    <t xml:space="preserve">S12 (assumes the 65% compute cost is non-cash depreciation; E element)</t>
  </si>
  <si>
    <t xml:space="preserve">ID</t>
  </si>
  <si>
    <t xml:space="preserve">Deal</t>
  </si>
  <si>
    <t xml:space="preserve">Provider</t>
  </si>
  <si>
    <t xml:space="preserve">Chip</t>
  </si>
  <si>
    <t xml:space="preserve">ACV $M/yr</t>
  </si>
  <si>
    <t xml:space="preserve">tag</t>
  </si>
  <si>
    <t xml:space="preserve">Stated MW</t>
  </si>
  <si>
    <t xml:space="preserve">Stated basis (IT/gross)</t>
  </si>
  <si>
    <t xml:space="preserve">MW tag</t>
  </si>
  <si>
    <t xml:space="preserve">Gross/IT factor</t>
  </si>
  <si>
    <t xml:space="preserve">IT MW</t>
  </si>
  <si>
    <t xml:space="preserve">Gross MW</t>
  </si>
  <si>
    <t xml:space="preserve">ACV $M per IT MW-yr</t>
  </si>
  <si>
    <t xml:space="preserve">ACV $M per gross MW-yr</t>
  </si>
  <si>
    <t xml:space="preserve">Compute capex $M (GPUs+network+storage)</t>
  </si>
  <si>
    <t xml:space="preserve">Compute $M per IT MW</t>
  </si>
  <si>
    <t xml:space="preserve">DC shell+power $M per IT MW (0 = leased, rent in opex)</t>
  </si>
  <si>
    <t xml:space="preserve">Total capex $M per IT MW</t>
  </si>
  <si>
    <t xml:space="preserve">Total capex $M per gross MW</t>
  </si>
  <si>
    <t xml:space="preserve">Cash margin (EBITDA/rev)</t>
  </si>
  <si>
    <t xml:space="preserve">Payback compute-only (months)</t>
  </si>
  <si>
    <t xml:space="preserve">Payback total capex, IT basis (months)</t>
  </si>
  <si>
    <t xml:space="preserve">Payback total capex, gross basis (months)</t>
  </si>
  <si>
    <t xml:space="preserve">Reported payback (months)</t>
  </si>
  <si>
    <t xml:space="preserve">Payback tag</t>
  </si>
  <si>
    <t xml:space="preserve">Sources</t>
  </si>
  <si>
    <t xml:space="preserve">Notes</t>
  </si>
  <si>
    <t xml:space="preserve">P1</t>
  </si>
  <si>
    <t xml:space="preserve">IREN - Microsoft (Childress Horizon 1-4), 5 yr</t>
  </si>
  <si>
    <t xml:space="preserve">IREN</t>
  </si>
  <si>
    <t xml:space="preserve">GB300</t>
  </si>
  <si>
    <t xml:space="preserve">IT</t>
  </si>
  <si>
    <t xml:space="preserve">n-d</t>
  </si>
  <si>
    <t xml:space="preserve">S3,S4,S7</t>
  </si>
  <si>
    <t xml:space="preserve">Capex = Dell GPU+ancillaries $5.8B (R). ACV $1.94B = IREN ARR (R). Gross MW not stated for Horizon; factor is the sensitivity default. 85% = IREN's own project EBITDA margin (owned power).</t>
  </si>
  <si>
    <t xml:space="preserve">P1b</t>
  </si>
  <si>
    <t xml:space="preserve">IREN - recent 3-yr contracts (FY26 PR), per 1 IT MW</t>
  </si>
  <si>
    <t xml:space="preserve">GB300-class</t>
  </si>
  <si>
    <t xml:space="preserve">S5,S3,S4</t>
  </si>
  <si>
    <t xml:space="preserve">'&gt;$20m revenue per MW (IT), representing a ~2 year payback' (R; IREN def = GPU+ancillaries capex / (revenue - direct costs)). Capex = IREN Microsoft $29M/IT MW applied (E); margin = Microsoft project margin applied (E). Model gives ~20.5 mo vs reported ~24 -&gt; IREN's own implied capex ~$34M/IT MW.</t>
  </si>
  <si>
    <t xml:space="preserve">C1</t>
  </si>
  <si>
    <t xml:space="preserve">CoreWeave fleet Q2'26 (all contracts; no deal-level MW disclosed)</t>
  </si>
  <si>
    <t xml:space="preserve">CoreWeave</t>
  </si>
  <si>
    <t xml:space="preserve">Mixed</t>
  </si>
  <si>
    <t xml:space="preserve">S8</t>
  </si>
  <si>
    <t xml:space="preserve">Avg active MW (CRWV 'active power' ~ IT-like, E). Capex = avg in-service gross PP&amp;E (incl. leasehold improvements; DCs leased so shell = 0, rent inside adj. EBITDA). Fleet-level: includes older Hopper at lower $/MW and capacity still ramping - an upper bound on deal payback. Deal MW for Meta/OpenAI n-d.</t>
  </si>
  <si>
    <t xml:space="preserve">N1</t>
  </si>
  <si>
    <t xml:space="preserve">Nscale - Microsoft, all SOWs (TX, Narvik, Loughton, Sines), 5.5 yr</t>
  </si>
  <si>
    <t xml:space="preserve">Nscale</t>
  </si>
  <si>
    <t xml:space="preserve">GB300 + VR</t>
  </si>
  <si>
    <t xml:space="preserve">S9,S10,S11</t>
  </si>
  <si>
    <t xml:space="preserve">IT MW derived from 191.6k GB300/491 + 66k VR/320 (S10). Capex n-d -&gt; GPU count x unit cost (E). Margin n-d (Nscale adj. EBITDA negative) -&gt; IREN owned-power project margin applied (E). S-1: payback 'within the initial contract term' only.</t>
  </si>
  <si>
    <t xml:space="preserve">N1a</t>
  </si>
  <si>
    <t xml:space="preserve">  of which Nscale/Aker - Microsoft Narvik, 5 yr</t>
  </si>
  <si>
    <t xml:space="preserve">S10,S11</t>
  </si>
  <si>
    <t xml:space="preserve">52,000 GB300 (R) / 491 per IT MW (E).</t>
  </si>
  <si>
    <t xml:space="preserve">N2</t>
  </si>
  <si>
    <t xml:space="preserve">Nscale - Anthropic (Monarch WV), Vera Rubin, 6 yr</t>
  </si>
  <si>
    <t xml:space="preserve">Vera Rubin</t>
  </si>
  <si>
    <t xml:space="preserve">460 IT MW contracted (S-1 site table, R). GPUs n-d (redacted) -&gt; density x unit cost (E). Monarch gross/IT 8/6.5 GW = 1.23 (S11 Peers).</t>
  </si>
  <si>
    <t xml:space="preserve">O1</t>
  </si>
  <si>
    <t xml:space="preserve">Oracle - OpenAI (Stargate incl. Abilene), ~5 yr</t>
  </si>
  <si>
    <t xml:space="preserve">Oracle</t>
  </si>
  <si>
    <t xml:space="preserve">GB200 mix</t>
  </si>
  <si>
    <t xml:space="preserve">P</t>
  </si>
  <si>
    <t xml:space="preserve">gross</t>
  </si>
  <si>
    <t xml:space="preserve">S19,S12,S13</t>
  </si>
  <si>
    <t xml:space="preserve">4.5 GW unlabeled; read as gross (Abilene 450k GB200 / 1.2 GW = 375 GPUs/MW &lt; 449/gross MW) -&gt; factor 1.2 (E). Oracle leases shells from developers (Crusoe/Blue Owl JV) so shell = 0 and rent sits in the 35% site/DC/power cost bucket (S12).</t>
  </si>
  <si>
    <t xml:space="preserve">NB1</t>
  </si>
  <si>
    <t xml:space="preserve">Nebius - Microsoft (Vineland), 5 yr committed</t>
  </si>
  <si>
    <t xml:space="preserve">Nebius</t>
  </si>
  <si>
    <t xml:space="preserve">S10,S11,S14</t>
  </si>
  <si>
    <t xml:space="preserve">'up to 300 MW' unlabeled; Capacity reads gross. GPU-derived IT MW = 100k/491 = 203.7 (ACV $17.1M/IT MW). Capex: &gt;100k GB300 (P) x unit cost (E). Vineland = build-to-suit lease (rent in opex). Margin = 1 - opex/ACV per IT MW (E). Prepayment 40% excluded.</t>
  </si>
  <si>
    <t xml:space="preserve">NB2</t>
  </si>
  <si>
    <t xml:space="preserve">Nebius - Meta #1 (Nov-2025), 5 yr</t>
  </si>
  <si>
    <t xml:space="preserve">n-d (B300?)</t>
  </si>
  <si>
    <t xml:space="preserve">MW not disclosed: ~50 MW is a LOW-confidence estimate (S10). Chip unverified. Reference only.</t>
  </si>
  <si>
    <t xml:space="preserve">NB3</t>
  </si>
  <si>
    <t xml:space="preserve">Nebius - Meta #2 (Mar-2026), dedicated Vera Rubin, 5 yr</t>
  </si>
  <si>
    <t xml:space="preserve">S10</t>
  </si>
  <si>
    <t xml:space="preserve">MW and GPUs not disclosed -&gt; per-MW metrics and payback n-d. At $16.2M/IT MW (Nscale-Anthropic VR) it would be ~148 IT MW.</t>
  </si>
  <si>
    <t xml:space="preserve">NQ-A</t>
  </si>
  <si>
    <t xml:space="preserve">Nebius Q2'26 deals - reading A: $22.5M per IT MW, Capacity GB300 compute capex</t>
  </si>
  <si>
    <t xml:space="preserve">GB300 (assumed)</t>
  </si>
  <si>
    <t xml:space="preserve">S1,S2,S11,S14</t>
  </si>
  <si>
    <t xml:space="preserve">ACV = midpoint of '$20-25 million per megawatt' (R). Leased/colo capacity assumed (most late-2026 capacity is colo/build-to-suit). Reported 22 = '1 year 10 months'.</t>
  </si>
  <si>
    <t xml:space="preserve">NQ-B</t>
  </si>
  <si>
    <t xml:space="preserve">Nebius Q2'26 deals - reading A': $22.5M per IT MW, IREN-disclosed GB300 capex ($29M/IT MW)</t>
  </si>
  <si>
    <t xml:space="preserve">S1,S3,S14</t>
  </si>
  <si>
    <t xml:space="preserve">Same as NQ-A but compute capex = IREN's actual Dell purchase price per IT MW (D).</t>
  </si>
  <si>
    <t xml:space="preserve">NQ-C</t>
  </si>
  <si>
    <t xml:space="preserve">Nebius Q2'26 deals - reading B: $22.5M per GROSS MW, Capacity GB300 compute capex</t>
  </si>
  <si>
    <t xml:space="preserve">S1,S11,S14</t>
  </si>
  <si>
    <t xml:space="preserve">Gross reading: ACV per IT MW = 22.5 x factor.</t>
  </si>
  <si>
    <t xml:space="preserve">Memo (not MW-based)</t>
  </si>
  <si>
    <t xml:space="preserve">OR-hyp</t>
  </si>
  <si>
    <t xml:space="preserve">Oracle analyst-day example: $60B / 6 yr AI contract, $6.4B cost/yr; compute 65% treated as straight-line depreciation over 6 yr -&gt; capex = 0.65 x 6.4 x 6</t>
  </si>
  <si>
    <t xml:space="preserve">S12</t>
  </si>
  <si>
    <t xml:space="preserve">X-AB</t>
  </si>
  <si>
    <t xml:space="preserve">Crusoe Abilene (DC developer; facility only): $15B / 1,200 MW = DC shell+power $M per MW (basis unlabeled); lease revenue to Oracle n-d -&gt; payback n-d</t>
  </si>
  <si>
    <t xml:space="preserve">S13</t>
  </si>
  <si>
    <t xml:space="preserve">Peer band</t>
  </si>
  <si>
    <t xml:space="preserve">Peer deal payback (total capex) - min / median / max over P1, N1, N1a, N2, O1 (deal-level rows; excludes CoreWeave fleet)</t>
  </si>
  <si>
    <t xml:space="preserve">Peer deal payback (compute-only) - min / median / max over the same rows</t>
  </si>
  <si>
    <t xml:space="preserve">Does Nebius's ~22-month payback on $20-25M/MW reconcile only on a GROSS-MW reading?  Payback = capex per IT MW / (ACV per Nebius-MW x f - opex per IT MW) x 12, f = 1 (IT reading) or gross/IT factor (gross reading).</t>
  </si>
  <si>
    <t xml:space="preserve">Inputs</t>
  </si>
  <si>
    <t xml:space="preserve">ACV per MW - low / mid / high ($M/yr)</t>
  </si>
  <si>
    <t xml:space="preserve">S1/S2 '$20-25 million per megawatt'</t>
  </si>
  <si>
    <t xml:space="preserve">Nebius payback target (months)</t>
  </si>
  <si>
    <t xml:space="preserve">S1 '1 year 10 months' (fn: revenue-recognition basis, ex-prepayment, incl. related operating costs)</t>
  </si>
  <si>
    <t xml:space="preserve">Opex per IT MW-yr, leased capacity ($M)</t>
  </si>
  <si>
    <t xml:space="preserve">S14</t>
  </si>
  <si>
    <t xml:space="preserve">Gross/IT factor sensitivity (PUE-type)</t>
  </si>
  <si>
    <t xml:space="preserve">S11 (GB300/VR base PUE 1.2; Hopper 1.3); Nscale Monarch 1.23, AIB 1.30</t>
  </si>
  <si>
    <t xml:space="preserve">Benchmark peer margin, IREN project EBITDA</t>
  </si>
  <si>
    <t xml:space="preserve">Capex benchmarks ($M per IT MW, prepayments ignored)</t>
  </si>
  <si>
    <t xml:space="preserve">Source</t>
  </si>
  <si>
    <t xml:space="preserve">b1  IREN actual: Dell GB300 GPUs + ancillaries $5.8B / 200 IT MW (compute only)</t>
  </si>
  <si>
    <t xml:space="preserve">S3/S4</t>
  </si>
  <si>
    <t xml:space="preserve">b2  IREN-implied: '&gt;$20M/IT MW ~2-yr payback' at 85% margin = 24/12 x 20 x 85%</t>
  </si>
  <si>
    <t xml:space="preserve">S5/S4</t>
  </si>
  <si>
    <t xml:space="preserve">b3  Capacity GB300 compute LOW</t>
  </si>
  <si>
    <t xml:space="preserve">b4  Capacity GB300 compute BASE (= 491 x $81.9k)</t>
  </si>
  <si>
    <t xml:space="preserve">b5  Modeling leased GB300 (PB_CapGB)</t>
  </si>
  <si>
    <t xml:space="preserve">b6  Capacity GB300 compute HIGH</t>
  </si>
  <si>
    <t xml:space="preserve">b7  Capacity Vera Rubin compute BASE (= 320 x $94.4k)</t>
  </si>
  <si>
    <t xml:space="preserve">S11 (Modeling uses 41 for Rubin: S14)</t>
  </si>
  <si>
    <t xml:space="preserve">b8  GB300 OWNED full stack base (compute + $12.5M shell)</t>
  </si>
  <si>
    <t xml:space="preserve">S11 - only relevant if Nebius owns the shell (opex then excludes rent)</t>
  </si>
  <si>
    <t xml:space="preserve">Table A - implied payback (months) by capex benchmark x MW reading</t>
  </si>
  <si>
    <t xml:space="preserve">IT @ $20</t>
  </si>
  <si>
    <t xml:space="preserve">IT @ $22.5</t>
  </si>
  <si>
    <t xml:space="preserve">IT @ $25</t>
  </si>
  <si>
    <t xml:space="preserve">Gross x1.2 @ $22.5</t>
  </si>
  <si>
    <t xml:space="preserve">Gross x1.3 @ $22.5</t>
  </si>
  <si>
    <t xml:space="preserve">Gross x1.4 @ $22.5</t>
  </si>
  <si>
    <t xml:space="preserve">Gross x1.3 @ $20</t>
  </si>
  <si>
    <t xml:space="preserve">Gross x1.3 @ $25</t>
  </si>
  <si>
    <t xml:space="preserve">Table B - compute capex per IT MW REQUIRED to hit 22 months = 22/12 x (ACV x f - opex)</t>
  </si>
  <si>
    <t xml:space="preserve">IT (f=1)</t>
  </si>
  <si>
    <t xml:space="preserve">Gross x1.2</t>
  </si>
  <si>
    <t xml:space="preserve">Gross x1.3</t>
  </si>
  <si>
    <t xml:space="preserve">Gross x1.4</t>
  </si>
  <si>
    <t xml:space="preserve">ACV $20M/MW</t>
  </si>
  <si>
    <t xml:space="preserve">D/E</t>
  </si>
  <si>
    <t xml:space="preserve">ACV $22.5M/MW</t>
  </si>
  <si>
    <t xml:space="preserve">ACV $25M/MW</t>
  </si>
  <si>
    <t xml:space="preserve">Table C - margin-based variant (payback = capex / (ACV x f x margin)), ACV $22.5M</t>
  </si>
  <si>
    <t xml:space="preserve">IT @ b1 IREN $29M</t>
  </si>
  <si>
    <t xml:space="preserve">IT @ b4 Capacity $40.3M</t>
  </si>
  <si>
    <t xml:space="preserve">Gross x1.3 @ b1</t>
  </si>
  <si>
    <t xml:space="preserve">Gross x1.3 @ b4</t>
  </si>
  <si>
    <t xml:space="preserve">Margin</t>
  </si>
  <si>
    <t xml:space="preserve">Nebius AI cloud adj. EBITDA margin Q2'26 (segment, after overhead) - D</t>
  </si>
  <si>
    <t xml:space="preserve">CoreWeave adj. EBITDA margin Q2'26 (after DC rent) - D</t>
  </si>
  <si>
    <t xml:space="preserve">Oracle AI-infra cash margin (analyst-day example) - D/E</t>
  </si>
  <si>
    <t xml:space="preserve">Leased deal-level: 1 - opex/ACV at $22.5M IT - E</t>
  </si>
  <si>
    <t xml:space="preserve">IREN Microsoft project EBITDA margin (owned power) - R</t>
  </si>
  <si>
    <t xml:space="preserve">Table D - opex sensitivity ($M per IT MW-yr), ACV $22.5M, payback months</t>
  </si>
  <si>
    <t xml:space="preserve">IT @ b1</t>
  </si>
  <si>
    <t xml:space="preserve">IT @ b2</t>
  </si>
  <si>
    <t xml:space="preserve">IT @ b4</t>
  </si>
  <si>
    <t xml:space="preserve">Gross x1.3 @ b5</t>
  </si>
  <si>
    <t xml:space="preserve">Opex</t>
  </si>
  <si>
    <t xml:space="preserve">Opex 2 $M/IT MW-yr</t>
  </si>
  <si>
    <t xml:space="preserve">Opex 3 $M/IT MW-yr</t>
  </si>
  <si>
    <t xml:space="preserve">Opex 4.5 $M/IT MW-yr (Modeling base)</t>
  </si>
  <si>
    <t xml:space="preserve">Opex 6 $M/IT MW-yr</t>
  </si>
  <si>
    <t xml:space="preserve">Table E - ACV per IT MW-yr: Nebius readings vs peer IT-basis band</t>
  </si>
  <si>
    <t xml:space="preserve">$M per IT MW-yr</t>
  </si>
  <si>
    <t xml:space="preserve">Nebius Q2 deals - IT reading (low / mid / high = 20 / 22.5 / 25)</t>
  </si>
  <si>
    <t xml:space="preserve">S1</t>
  </si>
  <si>
    <t xml:space="preserve">Nebius Q2 deals - gross reading x1.2 (mid)</t>
  </si>
  <si>
    <t xml:space="preserve">S1 x factor</t>
  </si>
  <si>
    <t xml:space="preserve">Nebius Q2 deals - gross reading x1.3 (mid)</t>
  </si>
  <si>
    <t xml:space="preserve">Nebius Q2 deals - gross reading x1.4 (mid)</t>
  </si>
  <si>
    <t xml:space="preserve">Nebius Q2 deals - gross reading range top ($25M x 1.4)</t>
  </si>
  <si>
    <t xml:space="preserve">IREN recent 3-yr contracts ('&gt;$20m per MW (IT)')</t>
  </si>
  <si>
    <t xml:space="preserve">S5</t>
  </si>
  <si>
    <t xml:space="preserve">IREN active discussions ('~$25m per MW (IT)')</t>
  </si>
  <si>
    <t xml:space="preserve">Nscale - Anthropic VR (6 yr)</t>
  </si>
  <si>
    <t xml:space="preserve">Nebius - Microsoft (GPU-derived 203.7 IT MW)</t>
  </si>
  <si>
    <t xml:space="preserve">Nebius - Microsoft (300 MW read as gross, x1.3)</t>
  </si>
  <si>
    <t xml:space="preserve">Oracle - OpenAI (4.5 GW read as gross /1.2)</t>
  </si>
  <si>
    <t xml:space="preserve">S19</t>
  </si>
  <si>
    <t xml:space="preserve">Nscale - Microsoft all SOWs</t>
  </si>
  <si>
    <t xml:space="preserve">IREN - Microsoft</t>
  </si>
  <si>
    <t xml:space="preserve">S3</t>
  </si>
  <si>
    <t xml:space="preserve">Memo: Nebius 'ACV per MW $12M 2026 base' (same slide axis as &gt;$20M)</t>
  </si>
  <si>
    <t xml:space="preserve">S1 - ties to ~250 active MW at $3.0B ARR (Filings, S18) = active/IT-like axis</t>
  </si>
  <si>
    <t xml:space="preserve">Memo: Nebius '&gt;$40M Q3 short-term capacity deals'</t>
  </si>
  <si>
    <t xml:space="preserve">Table F - implied $ per GPU-hour at 100% utilization (ACV per IT MW x 1e6 / (GPUs per IT MW x 8,760))</t>
  </si>
  <si>
    <t xml:space="preserve">GB300 IT</t>
  </si>
  <si>
    <t xml:space="preserve">GB300 gross x1.3</t>
  </si>
  <si>
    <t xml:space="preserve">Vera Rubin IT</t>
  </si>
  <si>
    <t xml:space="preserve">VR gross x1.3</t>
  </si>
  <si>
    <t xml:space="preserve">VERDICT METRICS (live)</t>
  </si>
  <si>
    <t xml:space="preserve">IT reading @ IREN-disclosed capex b1, ACV $22.5M, opex $4.5M (months)</t>
  </si>
  <si>
    <t xml:space="preserve">IT reading @ IREN-implied capex b2 (months)</t>
  </si>
  <si>
    <t xml:space="preserve">IT reading @ Capacity GB300 base b4 (months)</t>
  </si>
  <si>
    <t xml:space="preserve">IT reading @ Modeling leased GB300 b5 (months)</t>
  </si>
  <si>
    <t xml:space="preserve">Gross x1.3 reading @ Capacity GB300 base b4 (months)</t>
  </si>
  <si>
    <t xml:space="preserve">Gross x1.2 / x1.4 reading @ b4 (months)</t>
  </si>
  <si>
    <t xml:space="preserve">Required compute capex per IT MW for 22 mo - IT reading, ACV $20 / $22.5 / $25</t>
  </si>
  <si>
    <t xml:space="preserve">Required compute capex per IT MW for 22 mo - gross x1.3 reading, ACV $22.5</t>
  </si>
  <si>
    <t xml:space="preserve">Peer reported analogue (explicit IT basis): IREN &gt;$20M/IT MW -&gt; ~24 months</t>
  </si>
  <si>
    <t xml:space="preserve">IT reading reconciles within +/-3 months at IREN-disclosed capex (b1 or b2)?</t>
  </si>
  <si>
    <t xml:space="preserve">IT reading reconciles within +/-3 months at Capacity/Modeling capex (b4/b5)?</t>
  </si>
  <si>
    <t xml:space="preserve">Gross reading (1.2-1.4) reconciles within +/-3 months at Capacity base (b4)?</t>
  </si>
  <si>
    <t xml:space="preserve">Verdict: NO - the 22 months does not require a gross reading. On an IT reading it reconciles with the only DISCLOSED peer evidence (IREN's actual GB300 capex $29M/IT MW, and IREN's own '&gt;$20M per MW (IT) ~2-yr payback' on the same capex/(revenue - direct cost) definition). It needs a gross reading only if Nebius's GPU+network capex is ~$40M+/IT MW (Capacity/Modeling third-party estimate) or if the margin is the ~50% segment EBITDA margin. Confidence the IT reading is right: medium (~60-65%); basis is undisclosed (S1, S18).</t>
  </si>
  <si>
    <t xml:space="preserve">Revenue per average active MW vs capacity. Avg MW = (open+close)/2; ramp ratio = MW added in quarter / average MW; rev/MW annualized (x4).</t>
  </si>
  <si>
    <t xml:space="preserve">Company</t>
  </si>
  <si>
    <t xml:space="preserve">Quarter</t>
  </si>
  <si>
    <t xml:space="preserve">Qtrs since series start</t>
  </si>
  <si>
    <t xml:space="preserve">Open MW</t>
  </si>
  <si>
    <t xml:space="preserve">Close MW</t>
  </si>
  <si>
    <t xml:space="preserve">Avg MW</t>
  </si>
  <si>
    <t xml:space="preserve">New MW</t>
  </si>
  <si>
    <t xml:space="preserve">Ramp ratio (new/avg)</t>
  </si>
  <si>
    <t xml:space="preserve">ln(avg MW)</t>
  </si>
  <si>
    <t xml:space="preserve">Revenue $M (qtr)</t>
  </si>
  <si>
    <t xml:space="preserve">Rev tag</t>
  </si>
  <si>
    <t xml:space="preserve">Rev per avg MW ($M/MW-yr)</t>
  </si>
  <si>
    <t xml:space="preserve">In fit?</t>
  </si>
  <si>
    <t xml:space="preserve">Source / caveat</t>
  </si>
  <si>
    <t xml:space="preserve">Q1'24</t>
  </si>
  <si>
    <t xml:space="preserve">Y</t>
  </si>
  <si>
    <t xml:space="preserve">S8 crwv_kpis Inputs I09E/I01. 2024 MW straight-line interpolated (E); 'more than' MW wording adds +/-10-50 MW noise.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</si>
  <si>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</si>
  <si>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</si>
  <si>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</si>
  <si>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</si>
  <si>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</si>
  <si>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</si>
  <si>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</si>
  <si>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</si>
  <si>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</si>
  <si>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N</t>
  </si>
  <si>
    <t xml:space="preserve">iren_kpis Inputs I09E (MW = GPUs/713, E) and I01 AI Cloud revenue. Tiny MW (1-3) - shown for shape; NOT used in fit.</t>
  </si>
  <si>
    <t xml:space="preserve">40 MW is the only reported AI MW (period-end, basis unstated). Rev / PERIOD-END MW (avg n-d: Mar-26 MW n-d). Not in fit.</t>
  </si>
  <si>
    <t xml:space="preserve">S15 nebius_kpi_history KPI rows 28 (Capacity energized MW incl. plug, mixed IT/gross, E) and 6 (AI cloud revenue, R). Back-test only.</t>
  </si>
  <si>
    <t xml:space="preserve">Dilution fits (live LINEST-equivalents: SLOPE / INTERCEPT / RSQ / STEYX). Primary: rev/avg MW = a + b x ramp ratio  -&gt;  dilution factor = 1 - k x ramp, k = -b/a.</t>
  </si>
  <si>
    <t xml:space="preserve">Fit</t>
  </si>
  <si>
    <t xml:space="preserve">Intercept a</t>
  </si>
  <si>
    <t xml:space="preserve">Slope b</t>
  </si>
  <si>
    <t xml:space="preserve">R^2</t>
  </si>
  <si>
    <t xml:space="preserve">SE of slope</t>
  </si>
  <si>
    <t xml:space="preserve">k = -b/a</t>
  </si>
  <si>
    <t xml:space="preserve">k low (b+SE)</t>
  </si>
  <si>
    <t xml:space="preserve">k high (b-SE)</t>
  </si>
  <si>
    <t xml:space="preserve">n</t>
  </si>
  <si>
    <t xml:space="preserve">F1 CoreWeave Q1'24-Q2'26: rev/MW vs ramp ratio (PRIMARY)</t>
  </si>
  <si>
    <t xml:space="preserve">F2 CoreWeave Q1'25-Q2'26 (reported MW only): rev/MW vs ramp ratio</t>
  </si>
  <si>
    <t xml:space="preserve">F3 CoreWeave Q1'24-Q2'26: rev/MW vs ln(avg MW)</t>
  </si>
  <si>
    <t xml:space="preserve">n/a</t>
  </si>
  <si>
    <t xml:space="preserve">F4 CoreWeave Q1'25-Q2'26: rev/MW vs ln(avg MW) (scale effect; confounded with ramp)</t>
  </si>
  <si>
    <t xml:space="preserve">F5 Nebius Q1'25-Q2'26: rev/MW vs ramp ratio (info: confounded by Hopper-&gt;Blackwell repricing)</t>
  </si>
  <si>
    <t xml:space="preserve">F6 IREN Q2'24-Q3'25 (MW estimated, 1-3 MW): rev/MW vs ramp ratio (info)</t>
  </si>
  <si>
    <t xml:space="preserve">Selected dilution coefficients (k) for Nebius_Path</t>
  </si>
  <si>
    <t xml:space="preserve">k LOW dilution (F1 slope + 1 SE)</t>
  </si>
  <si>
    <t xml:space="preserve">k BASE (F1)</t>
  </si>
  <si>
    <t xml:space="preserve">k HIGH dilution (F1 slope - 1 SE)</t>
  </si>
  <si>
    <t xml:space="preserve">Cross-check: k from F2 (2025-26 reported only)</t>
  </si>
  <si>
    <t xml:space="preserve">Back-test: CRWV k applied to IREN and Nebius (implied 'undiluted' rev/MW = actual / (1 - k x ramp))</t>
  </si>
  <si>
    <t xml:space="preserve">Company / quarter</t>
  </si>
  <si>
    <t xml:space="preserve">Ramp ratio</t>
  </si>
  <si>
    <t xml:space="preserve">Actual rev/MW</t>
  </si>
  <si>
    <t xml:space="preserve">Factor (1-k*ramp)</t>
  </si>
  <si>
    <t xml:space="preserve">Undiluted rev/MW</t>
  </si>
  <si>
    <t xml:space="preserve">F1 fitted (CRWV only)</t>
  </si>
  <si>
    <t xml:space="preserve">Note</t>
  </si>
  <si>
    <t xml:space="preserve">Read: CRWV rev/MW falls ~0.57 $M/MW-yr per +0.1 of ramp ratio (R^2 ~0.79, 10 qtrs). IREN's one big ramp quarter (Q4'24, ramp ~0.8) sits on the same line (actual 5.6 vs ~9-11 in steady quarters). ln(MW) has no explanatory power on the full CRWV sample (R^2 ~0.07); on 2025-26 alone it fits (R^2 ~0.79) but that window is also the high-ramp window - treat scale dilution as unproven. Nebius Q4'25 (ramp 0.92) diluted LESS than CRWV k predicts (undiluted ~14 vs ~9-13 around it) - Microsoft Vineland tranches billed quickly.</t>
  </si>
  <si>
    <t xml:space="preserve">Nebius quarterly revenue per average energized IT MW, Q3'26-Q4'27.  rev/MW_q = SS_q x (1 - k x ramp_q);  SS_q = (MW_Q2'26 x L0 + (avgMW_q - MW_Q2'26) x P_new) / avgMW_q;  L0 = Q2'26 AI cloud revenue x4 / avg(Q1'26, Q2'26) MW of the same case. MW = Capacity 'Energized MW low/base/high - IT-normalized' (values copied, not edited). Bands: LOW = P_new low + k high; BASE = P_new base + k base; HIGH = P_new high + k low.</t>
  </si>
  <si>
    <t xml:space="preserve">Q2'26 Nebius AI cloud revenue ($M)</t>
  </si>
  <si>
    <t xml:space="preserve">S15</t>
  </si>
  <si>
    <t xml:space="preserve">P_new LOW: incremental-MW price = '$12M 2026 base' ACV/MW</t>
  </si>
  <si>
    <t xml:space="preserve">P_new BASE: = Nebius-Microsoft $17.1M per IT MW (~midpoint of $12M base and $22.5M Q2 deals)</t>
  </si>
  <si>
    <t xml:space="preserve">S10/S11</t>
  </si>
  <si>
    <t xml:space="preserve">P_new HIGH: = midpoint of Q2-deal '$20-25M per MW' (IT reading)</t>
  </si>
  <si>
    <t xml:space="preserve">k LOW dilution</t>
  </si>
  <si>
    <t xml:space="preserve">Dilution_Fit</t>
  </si>
  <si>
    <t xml:space="preserve">k BASE</t>
  </si>
  <si>
    <t xml:space="preserve">k HIGH dilution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</si>
  <si>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</si>
  <si>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</si>
  <si>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</si>
  <si>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</si>
  <si>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</si>
  <si>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</si>
  <si>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FY27 sum / source</t>
  </si>
  <si>
    <t xml:space="preserve">MW CASE: LOW (Capacity Quarterly MW row 135 'Energized MW low - IT-normalized')</t>
  </si>
  <si>
    <t xml:space="preserve">End-of-quarter energized IT MW</t>
  </si>
  <si>
    <t xml:space="preserve">S16 row 135, cols M-T</t>
  </si>
  <si>
    <t xml:space="preserve">Average MW</t>
  </si>
  <si>
    <t xml:space="preserve">New MW in quarter</t>
  </si>
  <si>
    <t xml:space="preserve">Ramp ratio (new / avg)</t>
  </si>
  <si>
    <t xml:space="preserve">L0 = Q2'26 rev x4 / avg Q2'26 MW (this case)</t>
  </si>
  <si>
    <t xml:space="preserve">Rev per avg IT MW - LOW ($M/MW-yr)</t>
  </si>
  <si>
    <t xml:space="preserve">Rev per avg IT MW - BASE ($M/MW-yr)</t>
  </si>
  <si>
    <t xml:space="preserve">Rev per avg IT MW - HIGH ($M/MW-yr)</t>
  </si>
  <si>
    <t xml:space="preserve">Implied AI cloud revenue - BASE band ($M, qtr) [memo]</t>
  </si>
  <si>
    <t xml:space="preserve">Implied FY27 revenue LOW band / HIGH band ($M) [memo, cols K / L]</t>
  </si>
  <si>
    <t xml:space="preserve">MW CASE: BASE (Capacity Quarterly MW row 136 'Energized MW base - IT-normalized')</t>
  </si>
  <si>
    <t xml:space="preserve">S16 row 136, cols M-T</t>
  </si>
  <si>
    <t xml:space="preserve">MW CASE: HIGH (Capacity Quarterly MW row 137 'Energized MW high - IT-normalized')</t>
  </si>
  <si>
    <t xml:space="preserve">S16 row 137, cols M-T</t>
  </si>
  <si>
    <t xml:space="preserve">Memo - YE26 / YE27 MW from other team sources (not used in path)</t>
  </si>
  <si>
    <t xml:space="preserve">Capacity identified-site energized low (mixed IT/gross basis, row 124)</t>
  </si>
  <si>
    <t xml:space="preserve">Capacity identified-site energized base (mixed IT/gross basis, row 126)</t>
  </si>
  <si>
    <t xml:space="preserve">Capacity identified-site energized high (mixed IT/gross basis, row 125)</t>
  </si>
  <si>
    <t xml:space="preserve">Model v0.7 Block 2 energized (build_model.py text; pre-dates Capacity 22:33 ET update): YE26 / YE27 bear-base-bull</t>
  </si>
  <si>
    <t xml:space="preserve">185/305/424</t>
  </si>
  <si>
    <t xml:space="preserve">764/1,069/1,374</t>
  </si>
  <si>
    <t xml:space="preserve">Mgmt-guided CONNECTED MW (Capacity row 130 plug): YE26 / YE27</t>
  </si>
  <si>
    <t xml:space="preserve">Connected != energized; as a revenue denominator the Q4'26 ramp ratio would be &gt;1 and k would cut rev/MW by &gt;50% - not used.</t>
  </si>
  <si>
    <t xml:space="preserve">R/E</t>
  </si>
  <si>
    <t xml:space="preserve">Assumptions / caveats:</t>
  </si>
  <si>
    <t xml:space="preserve">1) k fitted on CoreWeave (10 quarters, Dilution_Fit F1); IREN's Q4'24 ramp quarter sits on the same line; Nebius Q4'25 diluted less than k predicts (Microsoft tranches billed fast) - so k may overstate Nebius dilution.</t>
  </si>
  <si>
    <t xml:space="preserve">2) SS_q mixes the legacy book at L0 with incremental MW at P_new. CRWV's k also embeds some mix effect -&gt; possible double count; the LOW band (k high + $12M) brackets it.</t>
  </si>
  <si>
    <t xml:space="preserve">3) P_new uses Nebius's ACV/MW disclosures on the IT reading. Under a GROSS reading P_new per IT MW would be x1.2-1.4 higher (Basis_Sensitivity Table E).</t>
  </si>
  <si>
    <t xml:space="preserve">4) L0 differs by case because Capacity's Q1/Q2'26 MW differ by case (IT-normalized 171/182.5 base). Revenue memo rows are sanity checks only (Modeling owns revenue).</t>
  </si>
  <si>
    <t xml:space="preserve">What it supports (quoted where possible)</t>
  </si>
  <si>
    <t xml:space="preserve">URL / local path</t>
  </si>
  <si>
    <t xml:space="preserve">Nebius Q2'26 shareholder letter (6-K Ex.99.2, Aug 12 2026): cover 'ACV per MW is stepping up(1): $12M 2026 base; &gt;$20M Q2 deals; &gt;$40M Q3 short-term'; 'Payback period(2)(3) 1 year 10 months for deals closed in Q2'; fn(2) 'revenue recognition basis, excluding any prepayment'; fn(3) 'based on forecast costs and contracted future capacity, including capacity not yet built'; body 'yield of $20-25 million per megawatt'; 'expected payback period for the associated capex and related operating costs ... 1 year and 10 months'. NO IT/gross MW basis stated.</t>
  </si>
  <si>
    <t xml:space="preserve">https://www.sec.gov/Archives/edgar/data/1513845/000110465926094568/tm2622968d1_ex99-2.htm ; local /workspace/nebius/src/q2_26.txt</t>
  </si>
  <si>
    <t xml:space="preserve">S2</t>
  </si>
  <si>
    <t xml:space="preserve">Nebius Q2'26 earnings call (Aug 12 2026): CEO 'mid-term contracts of one to three years ... yield of $20 million-$25 million per megawatt, with upfront payments that cover 50%-60% of the associated CapEx'; CFO 'more than $20 million per megawatt deals and less than two-year payback'. No MW basis.</t>
  </si>
  <si>
    <t xml:space="preserve">/workspace/nebius/filings/altdata/transcripts/transcript_q2-2026.txt</t>
  </si>
  <si>
    <t xml:space="preserve">IREN-Microsoft PR (Nov 3 2025): 5-yr, ~$9.7bn TCV, 20% prepayment, GB300, 200MW critical IT load (Horizon 1-4); Dell GPUs + ancillary equipment ~$5.8bn.</t>
  </si>
  <si>
    <t xml:space="preserve">https://www.sec.gov/Archives/edgar/data/1878848/000114036125040072/ef20058139_ex99-1.htm</t>
  </si>
  <si>
    <t xml:space="preserve">IREN investor presentation (8-K, Nov 3 2025): '$1.94bn ARR', '85% Estimated Project EBITDA Margin' (after power, R&amp;M, other direct operating costs incl. DC operating costs; before overhead/financing), '$5.8bn estimated GPU capex, including ancillaries' (deployment services, servers, InfiniBand, cabling, software, licensing). 'Microsoft contract scales IREN's footprint to 100k GPUs'.</t>
  </si>
  <si>
    <t xml:space="preserve">https://iren.gcs-web.com/static-files/87a13320-156c-4f88-8589-dee2d10faa81</t>
  </si>
  <si>
    <t xml:space="preserve">IREN FY26 results PR (Aug 27 2026): 'Recent 3-year contracts &gt;$20m revenue per MW (IT), representing a ~2 year payback(3)'; 'Active discussions at ~$25m per MW (IT)'; prepayments 45-55% of GPU capex; fn3 'Payback period estimated based on estimated capital expenditure for GPUs and ancillaries divided by contracted revenue less estimated direct costs.'</t>
  </si>
  <si>
    <t xml:space="preserve">https://www.sec.gov/Archives/edgar/data/1878848/000187884826000051/irenreportsfy26results.htm ; local comps_raw/iren_fy26pr__irenreportsfy26results.htm.txt</t>
  </si>
  <si>
    <t xml:space="preserve">S6</t>
  </si>
  <si>
    <t xml:space="preserve">IREN Horizon 1 delivered (Aug 13 2026): four 50MW (IT load) liquid-cooled deployments; IREN targets 480MW (gross) 2026 / 1.2GW (gross) 2027 - IREN labels both bases.</t>
  </si>
  <si>
    <t xml:space="preserve">https://www.sec.gov/Archives/edgar/data/1878848/000114036126032638/ef20080141_ex99-1.htm</t>
  </si>
  <si>
    <t xml:space="preserve">S7</t>
  </si>
  <si>
    <t xml:space="preserve">IREN Horizon DC build cost ~$300-350M per 50MW IT = $6-7M/IT MW (Capacity team Peers tab S26).</t>
  </si>
  <si>
    <t xml:space="preserve">/workspace/nebius/capacity/gpu_mw_capex.xlsx (Peers)</t>
  </si>
  <si>
    <t xml:space="preserve">CoreWeave revenue, adj. EBITDA, in-service gross PP&amp;E, active MW (8-K PRs, 10-Q/10-K) as compiled in peer KPI workbook (Inputs I01, I02, I05S, I09/I09E).</t>
  </si>
  <si>
    <t xml:space="preserve">/workspace/nebius/peers/coreweave/crwv_kpis.xlsx ; https://www.sec.gov/Archives/edgar/data/1769628/000176962826000366/crwv-20260630.htm</t>
  </si>
  <si>
    <t xml:space="preserve">S9</t>
  </si>
  <si>
    <t xml:space="preserve">Nscale S-1 (Sep 18 2026): GPU counts by site/customer; Monarch WV 460 IT MW contracted (Anthropic); 'We expect average cash payback to occur within the initial contract term' (no figure); adj. EBITDA negative.</t>
  </si>
  <si>
    <t xml:space="preserve">https://www.sec.gov/Archives/edgar/data/2110365/000119312526395475/ck0002110365-20260918.htm ; local comps_raw/nscale_s1.htm.txt</t>
  </si>
  <si>
    <t xml:space="preserve">Contract economics (TCV, term, MW, GPU counts, MW basis) for Nebius-Microsoft/Meta, Nscale-Microsoft/Anthropic, Oracle-OpenAI with per-deal sources.</t>
  </si>
  <si>
    <t xml:space="preserve">/workspace/nebius/parts/contract_economics.xlsx (Deals, Normalized)</t>
  </si>
  <si>
    <t xml:space="preserve">GPUs per IT MW and capex per IT MW by generation (third-party price build-up; Estimated): GB300 server+network $81.9k/GPU, 491 GPUs/IT MW -&gt; $40.3M/IT MW compute (low 35.5, high 52.5); VR $94.4k/GPU, 320/IT MW -&gt; $30.3M; owned DC shell+power $12.5M/IT MW base.</t>
  </si>
  <si>
    <t xml:space="preserve">/workspace/nebius/capacity/gpu_mw_capex.xlsx (GPUsPerMW, CapexPerMW)</t>
  </si>
  <si>
    <t xml:space="preserve">Oracle Financial Analyst Day (Oct 16 2025): AI infrastructure adjusted gross margin 30-40% over contract life incl. start-up; example 6-yr $60B contract with ~$6.4B cost per year; costs ~35% site/data center/power, ~65% compute/network/storage (Magouyrk).</t>
  </si>
  <si>
    <t xml:space="preserve">https://www.tradingview.com/news/reuters.com,2025:newsml_L6N3VX11P:0-oracle-expects-cloud-sales-of-166-billion-by-2030-as-business-expands/ ; https://longbridge.com/en/news/261873306</t>
  </si>
  <si>
    <t xml:space="preserve">Crusoe/Blue Owl Abilene JV ~$15B for ~1.2 GW (DC shell + power, no GPUs) = $12.5M/MW; Oracle/OpenAI Abilene ~450k GB200 on 1.2 GW (375 GPUs/MW -&gt; gross-like).</t>
  </si>
  <si>
    <t xml:space="preserve">/workspace/nebius/capacity/gpu_mw_capex.xlsx (Peers S31/S32)</t>
  </si>
  <si>
    <t xml:space="preserve">Modeling team payback inputs: PB_Opex $4.5M/IT MW-yr (rent $2.0-2.5M + power + ops; range 4-5), PB_CapGB leased GB300 $41.3M/IT MW, PB_Target 22 months.</t>
  </si>
  <si>
    <t xml:space="preserve">/workspace/nebius/model/build_part5.py (lines ~479-485) ; model/nebius_model.xlsx Payback_Floor</t>
  </si>
  <si>
    <t xml:space="preserve">Nebius AI cloud revenue and energized MW history (Q1'24-Q2'26), rev per average energized MW.</t>
  </si>
  <si>
    <t xml:space="preserve">/workspace/nebius/filings/nebius_kpi_history.xlsx KPI rows 6, 28, 58</t>
  </si>
  <si>
    <t xml:space="preserve">S16</t>
  </si>
  <si>
    <t xml:space="preserve">Nebius energized MW path by quarter, identified sites low/base/high (rows 119/121/120) and total incl. plug tied to mgmt (row 125: YE26 800, YE27 1,800 = connected guide). Basis mixed IT/gross per Capacity README.</t>
  </si>
  <si>
    <t xml:space="preserve">/workspace/nebius/capacity/nebius_capacity.xlsx (Quarterly MW) ; model/build_model.py block 2 (YE26 185/305/424, YE27 764/1,069/1,374)</t>
  </si>
  <si>
    <t xml:space="preserve">Nebius Q2'26 AI cloud adjusted EBITDA $285.7M on revenue $574.9M (segment).</t>
  </si>
  <si>
    <t xml:space="preserve">Nebius Q2'26 letter (S1) / peers/comparison.xlsx Nebius_Inputs</t>
  </si>
  <si>
    <t xml:space="preserve">S18</t>
  </si>
  <si>
    <t xml:space="preserve">Team findings: Filings 2026-10-04 21:39 ET (basis undisclosed; lean gross at ~$41M capex/IT MW); Capacity 18:08 ET (YE25 in-service servers+network $18.4M per active MW).</t>
  </si>
  <si>
    <t xml:space="preserve">/workspace/nebius/shared/findings_log.xlsx (Findings)</t>
  </si>
  <si>
    <t xml:space="preserve">Oracle-OpenAI ~$300B / ~5 yrs / 4.5 GW (WSJ; not confirmed by Oracle by name) - press.</t>
  </si>
  <si>
    <t xml:space="preserve">/workspace/nebius/parts/contract_economics.xlsx (O2)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</si>
</sst>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0"/>
    <numFmt numFmtId="167" formatCode="0.0"/>
    <numFmt numFmtId="168" formatCode="#,##0.0"/>
    <numFmt numFmtId="169" formatCode="0.000"/>
    <numFmt numFmtId="170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CC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2" t="s">
        <v>1</v>
      </c>
    </row>
    <row r="4" customFormat="false" ht="28.35" hidden="false" customHeight="false" outlineLevel="0" collapsed="false">
      <c r="A4" s="3" t="s">
        <v>2</v>
      </c>
    </row>
    <row r="5" customFormat="false" ht="28.35" hidden="false" customHeight="false" outlineLevel="0" collapsed="false">
      <c r="A5" s="3" t="s">
        <v>3</v>
      </c>
    </row>
    <row r="6" customFormat="false" ht="28.35" hidden="false" customHeight="false" outlineLevel="0" collapsed="false">
      <c r="A6" s="3" t="s">
        <v>4</v>
      </c>
    </row>
    <row r="7" customFormat="false" ht="28.35" hidden="false" customHeight="false" outlineLevel="0" collapsed="false">
      <c r="A7" s="3" t="s">
        <v>5</v>
      </c>
    </row>
    <row r="8" customFormat="false" ht="28.35" hidden="false" customHeight="false" outlineLevel="0" collapsed="false">
      <c r="A8" s="3" t="s">
        <v>6</v>
      </c>
    </row>
    <row r="9" customFormat="false" ht="41.75" hidden="false" customHeight="false" outlineLevel="0" collapsed="false">
      <c r="A9" s="2" t="s">
        <v>7</v>
      </c>
    </row>
    <row r="10" customFormat="false" ht="41.75" hidden="false" customHeight="false" outlineLevel="0" collapsed="false">
      <c r="A10" s="3" t="s">
        <v>8</v>
      </c>
    </row>
    <row r="11" customFormat="false" ht="28.35" hidden="false" customHeight="false" outlineLevel="0" collapsed="false">
      <c r="A11" s="3" t="s">
        <v>9</v>
      </c>
    </row>
    <row r="12" customFormat="false" ht="28.3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/>
    </row>
    <row r="14" customFormat="false" ht="28.3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28.3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2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5"/>
    <col collapsed="false" customWidth="true" hidden="false" outlineLevel="0" max="8" min="7" style="1" width="9"/>
    <col collapsed="false" customWidth="true" hidden="false" outlineLevel="0" max="9" min="9" style="1" width="6"/>
    <col collapsed="false" customWidth="true" hidden="false" outlineLevel="0" max="10" min="10" style="1" width="8"/>
    <col collapsed="false" customWidth="true" hidden="false" outlineLevel="0" max="11" min="11" style="1" width="5"/>
    <col collapsed="false" customWidth="true" hidden="false" outlineLevel="0" max="13" min="12" style="1" width="9"/>
    <col collapsed="false" customWidth="true" hidden="false" outlineLevel="0" max="15" min="14" style="1" width="10"/>
    <col collapsed="false" customWidth="true" hidden="false" outlineLevel="0" max="16" min="16" style="1" width="12"/>
    <col collapsed="false" customWidth="true" hidden="false" outlineLevel="0" max="17" min="17" style="1" width="5"/>
    <col collapsed="false" customWidth="true" hidden="false" outlineLevel="0" max="18" min="18" style="1" width="10"/>
    <col collapsed="false" customWidth="true" hidden="false" outlineLevel="0" max="19" min="19" style="1" width="12"/>
    <col collapsed="false" customWidth="true" hidden="false" outlineLevel="0" max="20" min="20" style="1" width="5"/>
    <col collapsed="false" customWidth="true" hidden="false" outlineLevel="0" max="22" min="21" style="1" width="10"/>
    <col collapsed="false" customWidth="true" hidden="false" outlineLevel="0" max="23" min="23" style="1" width="9"/>
    <col collapsed="false" customWidth="true" hidden="false" outlineLevel="0" max="24" min="24" style="1" width="5"/>
    <col collapsed="false" customWidth="true" hidden="false" outlineLevel="0" max="27" min="25" style="1" width="10"/>
    <col collapsed="false" customWidth="true" hidden="false" outlineLevel="0" max="28" min="28" style="1" width="9"/>
    <col collapsed="false" customWidth="true" hidden="false" outlineLevel="0" max="29" min="29" style="1" width="6"/>
    <col collapsed="false" customWidth="true" hidden="false" outlineLevel="0" max="30" min="30" style="1" width="14"/>
    <col collapsed="false" customWidth="true" hidden="false" outlineLevel="0" max="31" min="31" style="1" width="70"/>
  </cols>
  <sheetData>
    <row r="1" customFormat="false" ht="15" hidden="false" customHeight="false" outlineLevel="0" collapsed="false">
      <c r="A1" s="4" t="s">
        <v>17</v>
      </c>
    </row>
    <row r="2" customFormat="false" ht="498.5" hidden="false" customHeight="false" outlineLevel="0" collapsed="false">
      <c r="A2" s="3" t="s">
        <v>18</v>
      </c>
    </row>
    <row r="4" customFormat="false" ht="41.75" hidden="false" customHeight="false" outlineLevel="0" collapsed="false">
      <c r="A4" s="5" t="s">
        <v>19</v>
      </c>
      <c r="B4" s="5"/>
      <c r="C4" s="5" t="s">
        <v>20</v>
      </c>
      <c r="D4" s="5" t="s">
        <v>21</v>
      </c>
      <c r="E4" s="5" t="s">
        <v>22</v>
      </c>
    </row>
    <row r="5" customFormat="false" ht="15" hidden="false" customHeight="false" outlineLevel="0" collapsed="false">
      <c r="A5" s="1" t="s">
        <v>23</v>
      </c>
      <c r="C5" s="6" t="n">
        <v>4.5</v>
      </c>
      <c r="D5" s="1" t="s">
        <v>24</v>
      </c>
      <c r="E5" s="1" t="s">
        <v>25</v>
      </c>
    </row>
    <row r="6" customFormat="false" ht="15" hidden="false" customHeight="false" outlineLevel="0" collapsed="false">
      <c r="A6" s="1" t="s">
        <v>26</v>
      </c>
      <c r="C6" s="6" t="n">
        <v>1.3</v>
      </c>
      <c r="D6" s="1" t="s">
        <v>24</v>
      </c>
      <c r="E6" s="1" t="s">
        <v>27</v>
      </c>
    </row>
    <row r="7" customFormat="false" ht="15" hidden="false" customHeight="false" outlineLevel="0" collapsed="false">
      <c r="A7" s="1" t="s">
        <v>28</v>
      </c>
      <c r="C7" s="6" t="n">
        <v>81.94</v>
      </c>
      <c r="D7" s="1" t="s">
        <v>24</v>
      </c>
      <c r="E7" s="1" t="s">
        <v>29</v>
      </c>
    </row>
    <row r="8" customFormat="false" ht="15" hidden="false" customHeight="false" outlineLevel="0" collapsed="false">
      <c r="A8" s="1" t="s">
        <v>30</v>
      </c>
      <c r="C8" s="6" t="n">
        <v>491.17</v>
      </c>
      <c r="D8" s="1" t="s">
        <v>24</v>
      </c>
      <c r="E8" s="1" t="s">
        <v>31</v>
      </c>
    </row>
    <row r="9" customFormat="false" ht="15" hidden="false" customHeight="false" outlineLevel="0" collapsed="false">
      <c r="A9" s="1" t="s">
        <v>32</v>
      </c>
      <c r="C9" s="6" t="n">
        <v>94.44</v>
      </c>
      <c r="D9" s="1" t="s">
        <v>24</v>
      </c>
      <c r="E9" s="1" t="s">
        <v>33</v>
      </c>
    </row>
    <row r="10" customFormat="false" ht="15" hidden="false" customHeight="false" outlineLevel="0" collapsed="false">
      <c r="A10" s="1" t="s">
        <v>34</v>
      </c>
      <c r="C10" s="6" t="n">
        <v>320.43</v>
      </c>
      <c r="D10" s="1" t="s">
        <v>24</v>
      </c>
      <c r="E10" s="1" t="s">
        <v>31</v>
      </c>
    </row>
    <row r="11" customFormat="false" ht="15" hidden="false" customHeight="false" outlineLevel="0" collapsed="false">
      <c r="A11" s="1" t="s">
        <v>35</v>
      </c>
      <c r="C11" s="6" t="n">
        <v>54.17</v>
      </c>
      <c r="D11" s="1" t="s">
        <v>24</v>
      </c>
      <c r="E11" s="1" t="s">
        <v>36</v>
      </c>
    </row>
    <row r="12" customFormat="false" ht="15" hidden="false" customHeight="false" outlineLevel="0" collapsed="false">
      <c r="A12" s="1" t="s">
        <v>37</v>
      </c>
      <c r="C12" s="6" t="n">
        <v>538.32</v>
      </c>
      <c r="D12" s="1" t="s">
        <v>24</v>
      </c>
      <c r="E12" s="1" t="s">
        <v>31</v>
      </c>
    </row>
    <row r="13" customFormat="false" ht="15" hidden="false" customHeight="false" outlineLevel="0" collapsed="false">
      <c r="A13" s="1" t="s">
        <v>38</v>
      </c>
      <c r="C13" s="6" t="n">
        <v>80</v>
      </c>
      <c r="D13" s="1" t="s">
        <v>24</v>
      </c>
      <c r="E13" s="1" t="s">
        <v>39</v>
      </c>
    </row>
    <row r="14" customFormat="false" ht="15" hidden="false" customHeight="false" outlineLevel="0" collapsed="false">
      <c r="A14" s="1" t="s">
        <v>40</v>
      </c>
      <c r="C14" s="6" t="n">
        <v>501.57</v>
      </c>
      <c r="D14" s="1" t="s">
        <v>24</v>
      </c>
      <c r="E14" s="1" t="s">
        <v>31</v>
      </c>
    </row>
    <row r="15" customFormat="false" ht="15" hidden="false" customHeight="false" outlineLevel="0" collapsed="false">
      <c r="A15" s="1" t="s">
        <v>41</v>
      </c>
      <c r="C15" s="6" t="n">
        <v>12.5</v>
      </c>
      <c r="D15" s="1" t="s">
        <v>24</v>
      </c>
      <c r="E15" s="1" t="s">
        <v>42</v>
      </c>
    </row>
    <row r="16" customFormat="false" ht="15" hidden="false" customHeight="false" outlineLevel="0" collapsed="false">
      <c r="A16" s="1" t="s">
        <v>43</v>
      </c>
      <c r="C16" s="6" t="n">
        <v>6.5</v>
      </c>
      <c r="D16" s="1" t="s">
        <v>44</v>
      </c>
      <c r="E16" s="1" t="s">
        <v>45</v>
      </c>
    </row>
    <row r="17" customFormat="false" ht="15" hidden="false" customHeight="false" outlineLevel="0" collapsed="false">
      <c r="A17" s="1" t="s">
        <v>46</v>
      </c>
      <c r="C17" s="6" t="n">
        <v>0.85</v>
      </c>
      <c r="D17" s="1" t="s">
        <v>47</v>
      </c>
      <c r="E17" s="1" t="s">
        <v>48</v>
      </c>
    </row>
    <row r="18" customFormat="false" ht="15" hidden="false" customHeight="false" outlineLevel="0" collapsed="false">
      <c r="A18" s="1" t="s">
        <v>49</v>
      </c>
      <c r="C18" s="7" t="n">
        <f aca="false">285.7/574.9</f>
        <v>0.496955992346495</v>
      </c>
      <c r="D18" s="1" t="s">
        <v>44</v>
      </c>
      <c r="E18" s="1" t="s">
        <v>50</v>
      </c>
    </row>
    <row r="19" customFormat="false" ht="15" hidden="false" customHeight="false" outlineLevel="0" collapsed="false">
      <c r="A19" s="1" t="s">
        <v>51</v>
      </c>
      <c r="C19" s="6" t="n">
        <f aca="false">1-0.35*6.4/10</f>
        <v>0.776</v>
      </c>
      <c r="D19" s="1" t="s">
        <v>44</v>
      </c>
      <c r="E19" s="1" t="s">
        <v>52</v>
      </c>
    </row>
    <row r="22" customFormat="false" ht="75" hidden="false" customHeight="true" outlineLevel="0" collapsed="false">
      <c r="A22" s="5" t="s">
        <v>53</v>
      </c>
      <c r="B22" s="5" t="s">
        <v>54</v>
      </c>
      <c r="C22" s="8" t="s">
        <v>55</v>
      </c>
      <c r="D22" s="5" t="s">
        <v>56</v>
      </c>
      <c r="E22" s="5" t="s">
        <v>57</v>
      </c>
      <c r="F22" s="5" t="s">
        <v>58</v>
      </c>
      <c r="G22" s="5" t="s">
        <v>59</v>
      </c>
      <c r="H22" s="5" t="s">
        <v>60</v>
      </c>
      <c r="I22" s="5" t="s">
        <v>61</v>
      </c>
      <c r="J22" s="5" t="s">
        <v>62</v>
      </c>
      <c r="K22" s="5" t="s">
        <v>58</v>
      </c>
      <c r="L22" s="5" t="s">
        <v>63</v>
      </c>
      <c r="M22" s="5" t="s">
        <v>64</v>
      </c>
      <c r="N22" s="5" t="s">
        <v>65</v>
      </c>
      <c r="O22" s="5" t="s">
        <v>66</v>
      </c>
      <c r="P22" s="5" t="s">
        <v>67</v>
      </c>
      <c r="Q22" s="5" t="s">
        <v>58</v>
      </c>
      <c r="R22" s="5" t="s">
        <v>68</v>
      </c>
      <c r="S22" s="5" t="s">
        <v>69</v>
      </c>
      <c r="T22" s="5" t="s">
        <v>58</v>
      </c>
      <c r="U22" s="5" t="s">
        <v>70</v>
      </c>
      <c r="V22" s="5" t="s">
        <v>71</v>
      </c>
      <c r="W22" s="5" t="s">
        <v>72</v>
      </c>
      <c r="X22" s="5" t="s">
        <v>58</v>
      </c>
      <c r="Y22" s="5" t="s">
        <v>73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</row>
    <row r="23" customFormat="false" ht="41.75" hidden="false" customHeight="false" outlineLevel="0" collapsed="false">
      <c r="A23" s="1" t="s">
        <v>80</v>
      </c>
      <c r="B23" s="3" t="s">
        <v>81</v>
      </c>
      <c r="C23" s="9" t="s">
        <v>82</v>
      </c>
      <c r="D23" s="1" t="s">
        <v>83</v>
      </c>
      <c r="E23" s="1" t="n">
        <f aca="false">9700/5</f>
        <v>1940</v>
      </c>
      <c r="F23" s="1" t="s">
        <v>44</v>
      </c>
      <c r="G23" s="6" t="n">
        <v>200</v>
      </c>
      <c r="H23" s="1" t="s">
        <v>84</v>
      </c>
      <c r="I23" s="1" t="s">
        <v>47</v>
      </c>
      <c r="J23" s="1" t="n">
        <f aca="false">$C$6</f>
        <v>1.3</v>
      </c>
      <c r="K23" s="1" t="s">
        <v>24</v>
      </c>
      <c r="L23" s="1" t="n">
        <f aca="false">IF(H23="gross",G23/J23,G23)</f>
        <v>200</v>
      </c>
      <c r="M23" s="1" t="n">
        <f aca="false">IF(H23="gross",G23,G23*J23)</f>
        <v>260</v>
      </c>
      <c r="N23" s="10" t="n">
        <f aca="false">E23/L23</f>
        <v>9.7</v>
      </c>
      <c r="O23" s="10" t="n">
        <f aca="false">E23/M23</f>
        <v>7.46153846153846</v>
      </c>
      <c r="P23" s="6" t="n">
        <v>5800</v>
      </c>
      <c r="Q23" s="1" t="s">
        <v>47</v>
      </c>
      <c r="R23" s="10" t="n">
        <f aca="false">P23/L23</f>
        <v>29</v>
      </c>
      <c r="S23" s="1" t="n">
        <f aca="false">$C$16</f>
        <v>6.5</v>
      </c>
      <c r="T23" s="1" t="s">
        <v>44</v>
      </c>
      <c r="U23" s="10" t="n">
        <f aca="false">R23+S23</f>
        <v>35.5</v>
      </c>
      <c r="V23" s="10" t="n">
        <f aca="false">U23*L23/M23</f>
        <v>27.3076923076923</v>
      </c>
      <c r="W23" s="9" t="n">
        <f aca="false">$C$17</f>
        <v>0.85</v>
      </c>
      <c r="X23" s="1" t="s">
        <v>47</v>
      </c>
      <c r="Y23" s="11" t="n">
        <f aca="false">R23/(N23*W23)*12</f>
        <v>42.2073984232869</v>
      </c>
      <c r="Z23" s="11" t="n">
        <f aca="false">U23/(N23*W23)*12</f>
        <v>51.6676773802305</v>
      </c>
      <c r="AA23" s="11" t="n">
        <f aca="false">V23/(O23*W23)*12</f>
        <v>51.6676773802304</v>
      </c>
      <c r="AB23" s="1" t="s">
        <v>85</v>
      </c>
      <c r="AC23" s="1" t="s">
        <v>44</v>
      </c>
      <c r="AD23" s="1" t="s">
        <v>86</v>
      </c>
      <c r="AE23" s="3" t="s">
        <v>87</v>
      </c>
    </row>
    <row r="24" customFormat="false" ht="55.2" hidden="false" customHeight="false" outlineLevel="0" collapsed="false">
      <c r="A24" s="1" t="s">
        <v>88</v>
      </c>
      <c r="B24" s="3" t="s">
        <v>89</v>
      </c>
      <c r="C24" s="1" t="s">
        <v>82</v>
      </c>
      <c r="D24" s="1" t="s">
        <v>90</v>
      </c>
      <c r="E24" s="6" t="n">
        <v>20</v>
      </c>
      <c r="F24" s="1" t="s">
        <v>47</v>
      </c>
      <c r="G24" s="6" t="n">
        <v>1</v>
      </c>
      <c r="H24" s="1" t="s">
        <v>84</v>
      </c>
      <c r="I24" s="1" t="s">
        <v>47</v>
      </c>
      <c r="J24" s="1" t="n">
        <f aca="false">$C$6</f>
        <v>1.3</v>
      </c>
      <c r="K24" s="1" t="s">
        <v>24</v>
      </c>
      <c r="L24" s="1" t="n">
        <f aca="false">IF(H24="gross",G24/J24,G24)</f>
        <v>1</v>
      </c>
      <c r="M24" s="1" t="n">
        <f aca="false">IF(H24="gross",G24,G24*J24)</f>
        <v>1.3</v>
      </c>
      <c r="N24" s="10" t="n">
        <f aca="false">E24/L24</f>
        <v>20</v>
      </c>
      <c r="O24" s="10" t="n">
        <f aca="false">E24/M24</f>
        <v>15.3846153846154</v>
      </c>
      <c r="P24" s="1" t="n">
        <f aca="false">5800/200</f>
        <v>29</v>
      </c>
      <c r="Q24" s="1" t="s">
        <v>24</v>
      </c>
      <c r="R24" s="10" t="n">
        <f aca="false">P24/L24</f>
        <v>29</v>
      </c>
      <c r="S24" s="1" t="n">
        <f aca="false">$C$16</f>
        <v>6.5</v>
      </c>
      <c r="T24" s="1" t="s">
        <v>44</v>
      </c>
      <c r="U24" s="10" t="n">
        <f aca="false">R24+S24</f>
        <v>35.5</v>
      </c>
      <c r="V24" s="10" t="n">
        <f aca="false">U24*L24/M24</f>
        <v>27.3076923076923</v>
      </c>
      <c r="W24" s="9" t="n">
        <f aca="false">$C$17</f>
        <v>0.85</v>
      </c>
      <c r="X24" s="1" t="s">
        <v>24</v>
      </c>
      <c r="Y24" s="11" t="n">
        <f aca="false">R24/(N24*W24)*12</f>
        <v>20.4705882352941</v>
      </c>
      <c r="Z24" s="11" t="n">
        <f aca="false">U24/(N24*W24)*12</f>
        <v>25.0588235294118</v>
      </c>
      <c r="AA24" s="11" t="n">
        <f aca="false">V24/(O24*W24)*12</f>
        <v>25.0588235294118</v>
      </c>
      <c r="AB24" s="1" t="n">
        <v>24</v>
      </c>
      <c r="AC24" s="1" t="s">
        <v>24</v>
      </c>
      <c r="AD24" s="1" t="s">
        <v>91</v>
      </c>
      <c r="AE24" s="3" t="s">
        <v>92</v>
      </c>
    </row>
    <row r="25" customFormat="false" ht="55.2" hidden="false" customHeight="false" outlineLevel="0" collapsed="false">
      <c r="A25" s="1" t="s">
        <v>93</v>
      </c>
      <c r="B25" s="3" t="s">
        <v>94</v>
      </c>
      <c r="C25" s="1" t="s">
        <v>95</v>
      </c>
      <c r="D25" s="1" t="s">
        <v>96</v>
      </c>
      <c r="E25" s="1" t="n">
        <f aca="false">2575*4</f>
        <v>10300</v>
      </c>
      <c r="F25" s="1" t="s">
        <v>44</v>
      </c>
      <c r="G25" s="1" t="n">
        <f aca="false">(1000+1500)/2</f>
        <v>1250</v>
      </c>
      <c r="H25" s="1" t="s">
        <v>84</v>
      </c>
      <c r="I25" s="1" t="s">
        <v>24</v>
      </c>
      <c r="J25" s="1" t="n">
        <f aca="false">$C$6</f>
        <v>1.3</v>
      </c>
      <c r="K25" s="1" t="s">
        <v>24</v>
      </c>
      <c r="L25" s="1" t="n">
        <f aca="false">IF(H25="gross",G25/J25,G25)</f>
        <v>1250</v>
      </c>
      <c r="M25" s="1" t="n">
        <f aca="false">IF(H25="gross",G25,G25*J25)</f>
        <v>1625</v>
      </c>
      <c r="N25" s="10" t="n">
        <f aca="false">E25/L25</f>
        <v>8.24</v>
      </c>
      <c r="O25" s="10" t="n">
        <f aca="false">E25/M25</f>
        <v>6.33846153846154</v>
      </c>
      <c r="P25" s="1" t="n">
        <f aca="false">(31352+40704)/2</f>
        <v>36028</v>
      </c>
      <c r="Q25" s="1" t="s">
        <v>44</v>
      </c>
      <c r="R25" s="10" t="n">
        <f aca="false">P25/L25</f>
        <v>28.8224</v>
      </c>
      <c r="S25" s="6" t="n">
        <v>0</v>
      </c>
      <c r="T25" s="1" t="s">
        <v>47</v>
      </c>
      <c r="U25" s="10" t="n">
        <f aca="false">R25+S25</f>
        <v>28.8224</v>
      </c>
      <c r="V25" s="10" t="n">
        <f aca="false">U25*L25/M25</f>
        <v>22.1710769230769</v>
      </c>
      <c r="W25" s="9" t="n">
        <f aca="false">1510/2575</f>
        <v>0.586407766990291</v>
      </c>
      <c r="X25" s="1" t="s">
        <v>44</v>
      </c>
      <c r="Y25" s="11" t="n">
        <f aca="false">R25/(N25*W25)*12</f>
        <v>71.5788079470199</v>
      </c>
      <c r="Z25" s="11" t="n">
        <f aca="false">U25/(N25*W25)*12</f>
        <v>71.5788079470199</v>
      </c>
      <c r="AA25" s="11" t="n">
        <f aca="false">V25/(O25*W25)*12</f>
        <v>71.5788079470199</v>
      </c>
      <c r="AB25" s="1" t="s">
        <v>85</v>
      </c>
      <c r="AC25" s="1" t="s">
        <v>24</v>
      </c>
      <c r="AD25" s="1" t="s">
        <v>97</v>
      </c>
      <c r="AE25" s="3" t="s">
        <v>98</v>
      </c>
    </row>
    <row r="26" customFormat="false" ht="55.2" hidden="false" customHeight="false" outlineLevel="0" collapsed="false">
      <c r="A26" s="1" t="s">
        <v>99</v>
      </c>
      <c r="B26" s="3" t="s">
        <v>100</v>
      </c>
      <c r="C26" s="1" t="s">
        <v>101</v>
      </c>
      <c r="D26" s="1" t="s">
        <v>102</v>
      </c>
      <c r="E26" s="1" t="n">
        <f aca="false">43800/5.5</f>
        <v>7963.63636363636</v>
      </c>
      <c r="F26" s="1" t="s">
        <v>44</v>
      </c>
      <c r="G26" s="6" t="n">
        <v>596.47</v>
      </c>
      <c r="H26" s="1" t="s">
        <v>84</v>
      </c>
      <c r="I26" s="1" t="s">
        <v>44</v>
      </c>
      <c r="J26" s="1" t="n">
        <f aca="false">$C$6</f>
        <v>1.3</v>
      </c>
      <c r="K26" s="1" t="s">
        <v>24</v>
      </c>
      <c r="L26" s="1" t="n">
        <f aca="false">IF(H26="gross",G26/J26,G26)</f>
        <v>596.47</v>
      </c>
      <c r="M26" s="1" t="n">
        <f aca="false">IF(H26="gross",G26,G26*J26)</f>
        <v>775.411</v>
      </c>
      <c r="N26" s="10" t="n">
        <f aca="false">E26/L26</f>
        <v>13.351277287435</v>
      </c>
      <c r="O26" s="10" t="n">
        <f aca="false">E26/M26</f>
        <v>10.2702132980269</v>
      </c>
      <c r="P26" s="1" t="n">
        <f aca="false">(191600*$C$7+66000*$C$9)/1000</f>
        <v>21932.744</v>
      </c>
      <c r="Q26" s="1" t="s">
        <v>24</v>
      </c>
      <c r="R26" s="10" t="n">
        <f aca="false">P26/L26</f>
        <v>36.7709088470501</v>
      </c>
      <c r="S26" s="1" t="n">
        <f aca="false">$C$15</f>
        <v>12.5</v>
      </c>
      <c r="T26" s="1" t="s">
        <v>24</v>
      </c>
      <c r="U26" s="10" t="n">
        <f aca="false">R26+S26</f>
        <v>49.2709088470501</v>
      </c>
      <c r="V26" s="10" t="n">
        <f aca="false">U26*L26/M26</f>
        <v>37.9006991131155</v>
      </c>
      <c r="W26" s="9" t="n">
        <f aca="false">$C$17</f>
        <v>0.85</v>
      </c>
      <c r="X26" s="1" t="s">
        <v>24</v>
      </c>
      <c r="Y26" s="11" t="n">
        <f aca="false">R26/(N26*W26)*12</f>
        <v>38.8815767929089</v>
      </c>
      <c r="Z26" s="11" t="n">
        <f aca="false">U26/(N26*W26)*12</f>
        <v>52.0990828364222</v>
      </c>
      <c r="AA26" s="11" t="n">
        <f aca="false">V26/(O26*W26)*12</f>
        <v>52.0990828364222</v>
      </c>
      <c r="AB26" s="1" t="s">
        <v>85</v>
      </c>
      <c r="AC26" s="1" t="s">
        <v>24</v>
      </c>
      <c r="AD26" s="1" t="s">
        <v>103</v>
      </c>
      <c r="AE26" s="3" t="s">
        <v>104</v>
      </c>
    </row>
    <row r="27" customFormat="false" ht="15" hidden="false" customHeight="false" outlineLevel="0" collapsed="false">
      <c r="A27" s="1" t="s">
        <v>105</v>
      </c>
      <c r="B27" s="3" t="s">
        <v>106</v>
      </c>
      <c r="C27" s="1" t="s">
        <v>101</v>
      </c>
      <c r="D27" s="1" t="s">
        <v>83</v>
      </c>
      <c r="E27" s="1" t="n">
        <f aca="false">6200/5</f>
        <v>1240</v>
      </c>
      <c r="F27" s="1" t="s">
        <v>44</v>
      </c>
      <c r="G27" s="6" t="n">
        <v>105.91</v>
      </c>
      <c r="H27" s="1" t="s">
        <v>84</v>
      </c>
      <c r="I27" s="1" t="s">
        <v>44</v>
      </c>
      <c r="J27" s="1" t="n">
        <f aca="false">$C$6</f>
        <v>1.3</v>
      </c>
      <c r="K27" s="1" t="s">
        <v>24</v>
      </c>
      <c r="L27" s="1" t="n">
        <f aca="false">IF(H27="gross",G27/J27,G27)</f>
        <v>105.91</v>
      </c>
      <c r="M27" s="1" t="n">
        <f aca="false">IF(H27="gross",G27,G27*J27)</f>
        <v>137.683</v>
      </c>
      <c r="N27" s="10" t="n">
        <f aca="false">E27/L27</f>
        <v>11.7080540081201</v>
      </c>
      <c r="O27" s="10" t="n">
        <f aca="false">E27/M27</f>
        <v>9.00619539086162</v>
      </c>
      <c r="P27" s="1" t="n">
        <f aca="false">52000*$C$7/1000</f>
        <v>4260.88</v>
      </c>
      <c r="Q27" s="1" t="s">
        <v>24</v>
      </c>
      <c r="R27" s="10" t="n">
        <f aca="false">P27/L27</f>
        <v>40.23113964687</v>
      </c>
      <c r="S27" s="1" t="n">
        <f aca="false">$C$15</f>
        <v>12.5</v>
      </c>
      <c r="T27" s="1" t="s">
        <v>24</v>
      </c>
      <c r="U27" s="10" t="n">
        <f aca="false">R27+S27</f>
        <v>52.73113964687</v>
      </c>
      <c r="V27" s="10" t="n">
        <f aca="false">U27*L27/M27</f>
        <v>40.5624151129769</v>
      </c>
      <c r="W27" s="9" t="n">
        <f aca="false">$C$17</f>
        <v>0.85</v>
      </c>
      <c r="X27" s="1" t="s">
        <v>24</v>
      </c>
      <c r="Y27" s="11" t="n">
        <f aca="false">R27/(N27*W27)*12</f>
        <v>48.5109677419355</v>
      </c>
      <c r="Z27" s="11" t="n">
        <f aca="false">U27/(N27*W27)*12</f>
        <v>63.5835483870968</v>
      </c>
      <c r="AA27" s="11" t="n">
        <f aca="false">V27/(O27*W27)*12</f>
        <v>63.5835483870968</v>
      </c>
      <c r="AB27" s="1" t="s">
        <v>85</v>
      </c>
      <c r="AC27" s="1" t="s">
        <v>24</v>
      </c>
      <c r="AD27" s="1" t="s">
        <v>107</v>
      </c>
      <c r="AE27" s="3" t="s">
        <v>108</v>
      </c>
    </row>
    <row r="28" customFormat="false" ht="28.35" hidden="false" customHeight="false" outlineLevel="0" collapsed="false">
      <c r="A28" s="1" t="s">
        <v>109</v>
      </c>
      <c r="B28" s="3" t="s">
        <v>110</v>
      </c>
      <c r="C28" s="1" t="s">
        <v>101</v>
      </c>
      <c r="D28" s="1" t="s">
        <v>111</v>
      </c>
      <c r="E28" s="1" t="n">
        <f aca="false">44600/6</f>
        <v>7433.33333333333</v>
      </c>
      <c r="F28" s="1" t="s">
        <v>44</v>
      </c>
      <c r="G28" s="6" t="n">
        <v>460</v>
      </c>
      <c r="H28" s="1" t="s">
        <v>84</v>
      </c>
      <c r="I28" s="1" t="s">
        <v>47</v>
      </c>
      <c r="J28" s="1" t="n">
        <f aca="false">$C$6</f>
        <v>1.3</v>
      </c>
      <c r="K28" s="1" t="s">
        <v>24</v>
      </c>
      <c r="L28" s="1" t="n">
        <f aca="false">IF(H28="gross",G28/J28,G28)</f>
        <v>460</v>
      </c>
      <c r="M28" s="1" t="n">
        <f aca="false">IF(H28="gross",G28,G28*J28)</f>
        <v>598</v>
      </c>
      <c r="N28" s="10" t="n">
        <f aca="false">E28/L28</f>
        <v>16.1594202898551</v>
      </c>
      <c r="O28" s="10" t="n">
        <f aca="false">E28/M28</f>
        <v>12.4303232998885</v>
      </c>
      <c r="P28" s="1" t="n">
        <f aca="false">460*$C$10*$C$9/1000</f>
        <v>13920.248232</v>
      </c>
      <c r="Q28" s="1" t="s">
        <v>24</v>
      </c>
      <c r="R28" s="10" t="n">
        <f aca="false">P28/L28</f>
        <v>30.2614092</v>
      </c>
      <c r="S28" s="1" t="n">
        <f aca="false">$C$15</f>
        <v>12.5</v>
      </c>
      <c r="T28" s="1" t="s">
        <v>24</v>
      </c>
      <c r="U28" s="10" t="n">
        <f aca="false">R28+S28</f>
        <v>42.7614092</v>
      </c>
      <c r="V28" s="10" t="n">
        <f aca="false">U28*L28/M28</f>
        <v>32.8933916923077</v>
      </c>
      <c r="W28" s="9" t="n">
        <f aca="false">$C$17</f>
        <v>0.85</v>
      </c>
      <c r="X28" s="1" t="s">
        <v>24</v>
      </c>
      <c r="Y28" s="11" t="n">
        <f aca="false">R28/(N28*W28)*12</f>
        <v>26.4378230731733</v>
      </c>
      <c r="Z28" s="11" t="n">
        <f aca="false">U28/(N28*W28)*12</f>
        <v>37.3584244975996</v>
      </c>
      <c r="AA28" s="11" t="n">
        <f aca="false">V28/(O28*W28)*12</f>
        <v>37.3584244975996</v>
      </c>
      <c r="AB28" s="1" t="s">
        <v>85</v>
      </c>
      <c r="AC28" s="1" t="s">
        <v>24</v>
      </c>
      <c r="AD28" s="1" t="s">
        <v>103</v>
      </c>
      <c r="AE28" s="3" t="s">
        <v>112</v>
      </c>
    </row>
    <row r="29" customFormat="false" ht="55.2" hidden="false" customHeight="false" outlineLevel="0" collapsed="false">
      <c r="A29" s="1" t="s">
        <v>113</v>
      </c>
      <c r="B29" s="3" t="s">
        <v>114</v>
      </c>
      <c r="C29" s="1" t="s">
        <v>115</v>
      </c>
      <c r="D29" s="1" t="s">
        <v>116</v>
      </c>
      <c r="E29" s="1" t="n">
        <f aca="false">300000/5</f>
        <v>60000</v>
      </c>
      <c r="F29" s="1" t="s">
        <v>117</v>
      </c>
      <c r="G29" s="6" t="n">
        <v>4500</v>
      </c>
      <c r="H29" s="1" t="s">
        <v>118</v>
      </c>
      <c r="I29" s="1" t="s">
        <v>24</v>
      </c>
      <c r="J29" s="6" t="n">
        <v>1.2</v>
      </c>
      <c r="K29" s="1" t="s">
        <v>24</v>
      </c>
      <c r="L29" s="1" t="n">
        <f aca="false">IF(H29="gross",G29/J29,G29)</f>
        <v>3750</v>
      </c>
      <c r="M29" s="1" t="n">
        <f aca="false">IF(H29="gross",G29,G29*J29)</f>
        <v>4500</v>
      </c>
      <c r="N29" s="10" t="n">
        <f aca="false">E29/L29</f>
        <v>16</v>
      </c>
      <c r="O29" s="10" t="n">
        <f aca="false">E29/M29</f>
        <v>13.3333333333333</v>
      </c>
      <c r="P29" s="1" t="n">
        <f aca="false">L29*$C$12*$C$11/1000</f>
        <v>109352.979</v>
      </c>
      <c r="Q29" s="1" t="s">
        <v>24</v>
      </c>
      <c r="R29" s="10" t="n">
        <f aca="false">P29/L29</f>
        <v>29.1607944</v>
      </c>
      <c r="S29" s="6" t="n">
        <v>0</v>
      </c>
      <c r="T29" s="1" t="s">
        <v>24</v>
      </c>
      <c r="U29" s="10" t="n">
        <f aca="false">R29+S29</f>
        <v>29.1607944</v>
      </c>
      <c r="V29" s="10" t="n">
        <f aca="false">U29*L29/M29</f>
        <v>24.300662</v>
      </c>
      <c r="W29" s="9" t="n">
        <f aca="false">$C$19</f>
        <v>0.776</v>
      </c>
      <c r="X29" s="1" t="s">
        <v>44</v>
      </c>
      <c r="Y29" s="11" t="n">
        <f aca="false">R29/(N29*W29)*12</f>
        <v>28.1837574742268</v>
      </c>
      <c r="Z29" s="11" t="n">
        <f aca="false">U29/(N29*W29)*12</f>
        <v>28.1837574742268</v>
      </c>
      <c r="AA29" s="11" t="n">
        <f aca="false">V29/(O29*W29)*12</f>
        <v>28.1837574742268</v>
      </c>
      <c r="AB29" s="1" t="s">
        <v>85</v>
      </c>
      <c r="AC29" s="1" t="s">
        <v>24</v>
      </c>
      <c r="AD29" s="1" t="s">
        <v>119</v>
      </c>
      <c r="AE29" s="3" t="s">
        <v>120</v>
      </c>
    </row>
    <row r="30" customFormat="false" ht="55.2" hidden="false" customHeight="false" outlineLevel="0" collapsed="false">
      <c r="A30" s="1" t="s">
        <v>121</v>
      </c>
      <c r="B30" s="3" t="s">
        <v>122</v>
      </c>
      <c r="C30" s="1" t="s">
        <v>123</v>
      </c>
      <c r="D30" s="1" t="s">
        <v>83</v>
      </c>
      <c r="E30" s="1" t="n">
        <f aca="false">17392.9/5</f>
        <v>3478.58</v>
      </c>
      <c r="F30" s="1" t="s">
        <v>44</v>
      </c>
      <c r="G30" s="6" t="n">
        <v>300</v>
      </c>
      <c r="H30" s="1" t="s">
        <v>118</v>
      </c>
      <c r="I30" s="1" t="s">
        <v>24</v>
      </c>
      <c r="J30" s="1" t="n">
        <f aca="false">$C$6</f>
        <v>1.3</v>
      </c>
      <c r="K30" s="1" t="s">
        <v>24</v>
      </c>
      <c r="L30" s="1" t="n">
        <f aca="false">IF(H30="gross",G30/J30,G30)</f>
        <v>230.769230769231</v>
      </c>
      <c r="M30" s="1" t="n">
        <f aca="false">IF(H30="gross",G30,G30*J30)</f>
        <v>300</v>
      </c>
      <c r="N30" s="10" t="n">
        <f aca="false">E30/L30</f>
        <v>15.0738466666667</v>
      </c>
      <c r="O30" s="10" t="n">
        <f aca="false">E30/M30</f>
        <v>11.5952666666667</v>
      </c>
      <c r="P30" s="1" t="n">
        <f aca="false">100000*$C$7/1000</f>
        <v>8194</v>
      </c>
      <c r="Q30" s="1" t="s">
        <v>24</v>
      </c>
      <c r="R30" s="10" t="n">
        <f aca="false">P30/L30</f>
        <v>35.5073333333333</v>
      </c>
      <c r="S30" s="6" t="n">
        <v>0</v>
      </c>
      <c r="T30" s="1" t="s">
        <v>47</v>
      </c>
      <c r="U30" s="10" t="n">
        <f aca="false">R30+S30</f>
        <v>35.5073333333333</v>
      </c>
      <c r="V30" s="10" t="n">
        <f aca="false">U30*L30/M30</f>
        <v>27.3133333333333</v>
      </c>
      <c r="W30" s="9" t="n">
        <f aca="false">1-$C$5/N30</f>
        <v>0.70146969784753</v>
      </c>
      <c r="X30" s="1" t="s">
        <v>24</v>
      </c>
      <c r="Y30" s="11" t="n">
        <f aca="false">R30/(N30*W30)*12</f>
        <v>40.2964042729325</v>
      </c>
      <c r="Z30" s="11" t="n">
        <f aca="false">U30/(N30*W30)*12</f>
        <v>40.2964042729325</v>
      </c>
      <c r="AA30" s="11" t="n">
        <f aca="false">V30/(O30*W30)*12</f>
        <v>40.2964042729325</v>
      </c>
      <c r="AB30" s="1" t="s">
        <v>85</v>
      </c>
      <c r="AC30" s="1" t="s">
        <v>24</v>
      </c>
      <c r="AD30" s="1" t="s">
        <v>124</v>
      </c>
      <c r="AE30" s="3" t="s">
        <v>125</v>
      </c>
    </row>
    <row r="31" customFormat="false" ht="28.35" hidden="false" customHeight="false" outlineLevel="0" collapsed="false">
      <c r="A31" s="1" t="s">
        <v>126</v>
      </c>
      <c r="B31" s="3" t="s">
        <v>127</v>
      </c>
      <c r="C31" s="1" t="s">
        <v>123</v>
      </c>
      <c r="D31" s="1" t="s">
        <v>128</v>
      </c>
      <c r="E31" s="1" t="n">
        <f aca="false">2880.7/5</f>
        <v>576.14</v>
      </c>
      <c r="F31" s="1" t="s">
        <v>44</v>
      </c>
      <c r="G31" s="6" t="n">
        <v>50</v>
      </c>
      <c r="H31" s="1" t="s">
        <v>84</v>
      </c>
      <c r="I31" s="1" t="s">
        <v>24</v>
      </c>
      <c r="J31" s="1" t="n">
        <f aca="false">$C$6</f>
        <v>1.3</v>
      </c>
      <c r="K31" s="1" t="s">
        <v>24</v>
      </c>
      <c r="L31" s="1" t="n">
        <f aca="false">IF(H31="gross",G31/J31,G31)</f>
        <v>50</v>
      </c>
      <c r="M31" s="1" t="n">
        <f aca="false">IF(H31="gross",G31,G31*J31)</f>
        <v>65</v>
      </c>
      <c r="N31" s="10" t="n">
        <f aca="false">E31/L31</f>
        <v>11.5228</v>
      </c>
      <c r="O31" s="10" t="n">
        <f aca="false">E31/M31</f>
        <v>8.86369230769231</v>
      </c>
      <c r="P31" s="1" t="n">
        <f aca="false">L31*$C$14*$C$13/1000</f>
        <v>2006.28</v>
      </c>
      <c r="Q31" s="1" t="s">
        <v>24</v>
      </c>
      <c r="R31" s="10" t="n">
        <f aca="false">P31/L31</f>
        <v>40.1256</v>
      </c>
      <c r="S31" s="6" t="n">
        <v>0</v>
      </c>
      <c r="T31" s="1" t="s">
        <v>24</v>
      </c>
      <c r="U31" s="10" t="n">
        <f aca="false">R31+S31</f>
        <v>40.1256</v>
      </c>
      <c r="V31" s="10" t="n">
        <f aca="false">U31*L31/M31</f>
        <v>30.8658461538462</v>
      </c>
      <c r="W31" s="9" t="n">
        <f aca="false">1-$C$5/N31</f>
        <v>0.609469920505433</v>
      </c>
      <c r="X31" s="1" t="s">
        <v>24</v>
      </c>
      <c r="Y31" s="11" t="n">
        <f aca="false">R31/(N31*W31)*12</f>
        <v>68.5634219969243</v>
      </c>
      <c r="Z31" s="11" t="n">
        <f aca="false">U31/(N31*W31)*12</f>
        <v>68.5634219969243</v>
      </c>
      <c r="AA31" s="11" t="n">
        <f aca="false">V31/(O31*W31)*12</f>
        <v>68.5634219969243</v>
      </c>
      <c r="AB31" s="1" t="s">
        <v>85</v>
      </c>
      <c r="AC31" s="1" t="s">
        <v>24</v>
      </c>
      <c r="AD31" s="1" t="s">
        <v>107</v>
      </c>
      <c r="AE31" s="3" t="s">
        <v>129</v>
      </c>
    </row>
    <row r="32" customFormat="false" ht="28.35" hidden="false" customHeight="false" outlineLevel="0" collapsed="false">
      <c r="A32" s="1" t="s">
        <v>130</v>
      </c>
      <c r="B32" s="3" t="s">
        <v>131</v>
      </c>
      <c r="C32" s="1" t="s">
        <v>123</v>
      </c>
      <c r="D32" s="1" t="s">
        <v>111</v>
      </c>
      <c r="E32" s="1" t="n">
        <f aca="false">12000/5</f>
        <v>2400</v>
      </c>
      <c r="F32" s="1" t="s">
        <v>44</v>
      </c>
      <c r="G32" s="1" t="s">
        <v>85</v>
      </c>
      <c r="H32" s="1" t="s">
        <v>85</v>
      </c>
      <c r="I32" s="1" t="s">
        <v>85</v>
      </c>
      <c r="J32" s="1" t="s">
        <v>85</v>
      </c>
      <c r="K32" s="1" t="s">
        <v>85</v>
      </c>
      <c r="L32" s="1" t="s">
        <v>85</v>
      </c>
      <c r="M32" s="1" t="s">
        <v>85</v>
      </c>
      <c r="N32" s="10" t="s">
        <v>85</v>
      </c>
      <c r="O32" s="10" t="s">
        <v>85</v>
      </c>
      <c r="P32" s="1" t="s">
        <v>85</v>
      </c>
      <c r="Q32" s="1" t="s">
        <v>85</v>
      </c>
      <c r="R32" s="10" t="s">
        <v>85</v>
      </c>
      <c r="S32" s="1" t="s">
        <v>85</v>
      </c>
      <c r="T32" s="1" t="s">
        <v>85</v>
      </c>
      <c r="U32" s="10" t="s">
        <v>85</v>
      </c>
      <c r="V32" s="10" t="s">
        <v>85</v>
      </c>
      <c r="W32" s="9" t="s">
        <v>85</v>
      </c>
      <c r="X32" s="1" t="s">
        <v>85</v>
      </c>
      <c r="Y32" s="11" t="s">
        <v>85</v>
      </c>
      <c r="Z32" s="11" t="s">
        <v>85</v>
      </c>
      <c r="AA32" s="11" t="s">
        <v>85</v>
      </c>
      <c r="AB32" s="1" t="s">
        <v>85</v>
      </c>
      <c r="AC32" s="1" t="s">
        <v>85</v>
      </c>
      <c r="AD32" s="1" t="s">
        <v>132</v>
      </c>
      <c r="AE32" s="3" t="s">
        <v>133</v>
      </c>
    </row>
    <row r="33" customFormat="false" ht="41.75" hidden="false" customHeight="false" outlineLevel="0" collapsed="false">
      <c r="A33" s="1" t="s">
        <v>134</v>
      </c>
      <c r="B33" s="3" t="s">
        <v>135</v>
      </c>
      <c r="C33" s="1" t="s">
        <v>123</v>
      </c>
      <c r="D33" s="1" t="s">
        <v>136</v>
      </c>
      <c r="E33" s="6" t="n">
        <v>22.5</v>
      </c>
      <c r="F33" s="1" t="s">
        <v>47</v>
      </c>
      <c r="G33" s="6" t="n">
        <v>1</v>
      </c>
      <c r="H33" s="1" t="s">
        <v>84</v>
      </c>
      <c r="I33" s="1" t="s">
        <v>24</v>
      </c>
      <c r="J33" s="1" t="n">
        <f aca="false">$C$6</f>
        <v>1.3</v>
      </c>
      <c r="K33" s="1" t="s">
        <v>24</v>
      </c>
      <c r="L33" s="1" t="n">
        <f aca="false">IF(H33="gross",G33/J33,G33)</f>
        <v>1</v>
      </c>
      <c r="M33" s="1" t="n">
        <f aca="false">IF(H33="gross",G33,G33*J33)</f>
        <v>1.3</v>
      </c>
      <c r="N33" s="10" t="n">
        <f aca="false">E33/L33</f>
        <v>22.5</v>
      </c>
      <c r="O33" s="10" t="n">
        <f aca="false">E33/M33</f>
        <v>17.3076923076923</v>
      </c>
      <c r="P33" s="1" t="n">
        <f aca="false">$C$8*$C$7/1000</f>
        <v>40.2464698</v>
      </c>
      <c r="Q33" s="1" t="s">
        <v>24</v>
      </c>
      <c r="R33" s="10" t="n">
        <f aca="false">P33/L33</f>
        <v>40.2464698</v>
      </c>
      <c r="S33" s="6" t="n">
        <v>0</v>
      </c>
      <c r="T33" s="1" t="s">
        <v>24</v>
      </c>
      <c r="U33" s="10" t="n">
        <f aca="false">R33+S33</f>
        <v>40.2464698</v>
      </c>
      <c r="V33" s="10" t="n">
        <f aca="false">U33*L33/M33</f>
        <v>30.9588229230769</v>
      </c>
      <c r="W33" s="9" t="n">
        <f aca="false">1-$C$5/N33</f>
        <v>0.8</v>
      </c>
      <c r="X33" s="1" t="s">
        <v>24</v>
      </c>
      <c r="Y33" s="12" t="n">
        <f aca="false">R33/(N33*W33)*12</f>
        <v>26.8309798666667</v>
      </c>
      <c r="Z33" s="12" t="n">
        <f aca="false">U33/(N33*W33)*12</f>
        <v>26.8309798666667</v>
      </c>
      <c r="AA33" s="12" t="n">
        <f aca="false">V33/(O33*W33)*12</f>
        <v>26.8309798666667</v>
      </c>
      <c r="AB33" s="1" t="n">
        <v>22</v>
      </c>
      <c r="AC33" s="1" t="s">
        <v>24</v>
      </c>
      <c r="AD33" s="1" t="s">
        <v>137</v>
      </c>
      <c r="AE33" s="3" t="s">
        <v>138</v>
      </c>
    </row>
    <row r="34" customFormat="false" ht="41.75" hidden="false" customHeight="false" outlineLevel="0" collapsed="false">
      <c r="A34" s="1" t="s">
        <v>139</v>
      </c>
      <c r="B34" s="3" t="s">
        <v>140</v>
      </c>
      <c r="C34" s="1" t="s">
        <v>123</v>
      </c>
      <c r="D34" s="1" t="s">
        <v>136</v>
      </c>
      <c r="E34" s="6" t="n">
        <v>22.5</v>
      </c>
      <c r="F34" s="1" t="s">
        <v>47</v>
      </c>
      <c r="G34" s="6" t="n">
        <v>1</v>
      </c>
      <c r="H34" s="1" t="s">
        <v>84</v>
      </c>
      <c r="I34" s="1" t="s">
        <v>24</v>
      </c>
      <c r="J34" s="1" t="n">
        <f aca="false">$C$6</f>
        <v>1.3</v>
      </c>
      <c r="K34" s="1" t="s">
        <v>24</v>
      </c>
      <c r="L34" s="1" t="n">
        <f aca="false">IF(H34="gross",G34/J34,G34)</f>
        <v>1</v>
      </c>
      <c r="M34" s="1" t="n">
        <f aca="false">IF(H34="gross",G34,G34*J34)</f>
        <v>1.3</v>
      </c>
      <c r="N34" s="10" t="n">
        <f aca="false">E34/L34</f>
        <v>22.5</v>
      </c>
      <c r="O34" s="10" t="n">
        <f aca="false">E34/M34</f>
        <v>17.3076923076923</v>
      </c>
      <c r="P34" s="1" t="n">
        <f aca="false">5800/200</f>
        <v>29</v>
      </c>
      <c r="Q34" s="1" t="s">
        <v>44</v>
      </c>
      <c r="R34" s="10" t="n">
        <f aca="false">P34/L34</f>
        <v>29</v>
      </c>
      <c r="S34" s="6" t="n">
        <v>0</v>
      </c>
      <c r="T34" s="1" t="s">
        <v>24</v>
      </c>
      <c r="U34" s="10" t="n">
        <f aca="false">R34+S34</f>
        <v>29</v>
      </c>
      <c r="V34" s="10" t="n">
        <f aca="false">U34*L34/M34</f>
        <v>22.3076923076923</v>
      </c>
      <c r="W34" s="9" t="n">
        <f aca="false">1-$C$5/N34</f>
        <v>0.8</v>
      </c>
      <c r="X34" s="1" t="s">
        <v>24</v>
      </c>
      <c r="Y34" s="12" t="n">
        <f aca="false">R34/(N34*W34)*12</f>
        <v>19.3333333333333</v>
      </c>
      <c r="Z34" s="12" t="n">
        <f aca="false">U34/(N34*W34)*12</f>
        <v>19.3333333333333</v>
      </c>
      <c r="AA34" s="12" t="n">
        <f aca="false">V34/(O34*W34)*12</f>
        <v>19.3333333333333</v>
      </c>
      <c r="AB34" s="1" t="n">
        <v>22</v>
      </c>
      <c r="AC34" s="1" t="s">
        <v>24</v>
      </c>
      <c r="AD34" s="1" t="s">
        <v>141</v>
      </c>
      <c r="AE34" s="3" t="s">
        <v>142</v>
      </c>
    </row>
    <row r="35" customFormat="false" ht="28.35" hidden="false" customHeight="false" outlineLevel="0" collapsed="false">
      <c r="A35" s="1" t="s">
        <v>143</v>
      </c>
      <c r="B35" s="3" t="s">
        <v>144</v>
      </c>
      <c r="C35" s="1" t="s">
        <v>123</v>
      </c>
      <c r="D35" s="1" t="s">
        <v>136</v>
      </c>
      <c r="E35" s="6" t="n">
        <v>22.5</v>
      </c>
      <c r="F35" s="1" t="s">
        <v>47</v>
      </c>
      <c r="G35" s="6" t="n">
        <v>1</v>
      </c>
      <c r="H35" s="1" t="s">
        <v>118</v>
      </c>
      <c r="I35" s="1" t="s">
        <v>24</v>
      </c>
      <c r="J35" s="1" t="n">
        <f aca="false">$C$6</f>
        <v>1.3</v>
      </c>
      <c r="K35" s="1" t="s">
        <v>24</v>
      </c>
      <c r="L35" s="1" t="n">
        <f aca="false">IF(H35="gross",G35/J35,G35)</f>
        <v>0.769230769230769</v>
      </c>
      <c r="M35" s="1" t="n">
        <f aca="false">IF(H35="gross",G35,G35*J35)</f>
        <v>1</v>
      </c>
      <c r="N35" s="10" t="n">
        <f aca="false">E35/L35</f>
        <v>29.25</v>
      </c>
      <c r="O35" s="10" t="n">
        <f aca="false">E35/M35</f>
        <v>22.5</v>
      </c>
      <c r="P35" s="1" t="n">
        <f aca="false">L35*$C$8*$C$7/1000</f>
        <v>30.9588229230769</v>
      </c>
      <c r="Q35" s="1" t="s">
        <v>24</v>
      </c>
      <c r="R35" s="10" t="n">
        <f aca="false">P35/L35</f>
        <v>40.2464698</v>
      </c>
      <c r="S35" s="6" t="n">
        <v>0</v>
      </c>
      <c r="T35" s="1" t="s">
        <v>24</v>
      </c>
      <c r="U35" s="10" t="n">
        <f aca="false">R35+S35</f>
        <v>40.2464698</v>
      </c>
      <c r="V35" s="10" t="n">
        <f aca="false">U35*L35/M35</f>
        <v>30.9588229230769</v>
      </c>
      <c r="W35" s="9" t="n">
        <f aca="false">1-$C$5/N35</f>
        <v>0.846153846153846</v>
      </c>
      <c r="X35" s="1" t="s">
        <v>24</v>
      </c>
      <c r="Y35" s="12" t="n">
        <f aca="false">R35/(N35*W35)*12</f>
        <v>19.5134399030303</v>
      </c>
      <c r="Z35" s="12" t="n">
        <f aca="false">U35/(N35*W35)*12</f>
        <v>19.5134399030303</v>
      </c>
      <c r="AA35" s="12" t="n">
        <f aca="false">V35/(O35*W35)*12</f>
        <v>19.5134399030303</v>
      </c>
      <c r="AB35" s="1" t="n">
        <v>22</v>
      </c>
      <c r="AC35" s="1" t="s">
        <v>24</v>
      </c>
      <c r="AD35" s="1" t="s">
        <v>145</v>
      </c>
      <c r="AE35" s="3" t="s">
        <v>146</v>
      </c>
    </row>
    <row r="37" customFormat="false" ht="15" hidden="false" customHeight="false" outlineLevel="0" collapsed="false">
      <c r="A37" s="4" t="s">
        <v>147</v>
      </c>
    </row>
    <row r="38" customFormat="false" ht="55.2" hidden="false" customHeight="false" outlineLevel="0" collapsed="false">
      <c r="A38" s="1" t="s">
        <v>148</v>
      </c>
      <c r="B38" s="3" t="s">
        <v>149</v>
      </c>
      <c r="E38" s="1" t="n">
        <v>10</v>
      </c>
      <c r="F38" s="1" t="s">
        <v>47</v>
      </c>
      <c r="P38" s="1" t="n">
        <f aca="false">0.65*6.4*6</f>
        <v>24.96</v>
      </c>
      <c r="Q38" s="1" t="s">
        <v>24</v>
      </c>
      <c r="W38" s="9" t="n">
        <f aca="false">$C$19</f>
        <v>0.776</v>
      </c>
      <c r="X38" s="1" t="s">
        <v>44</v>
      </c>
      <c r="Z38" s="11" t="n">
        <f aca="false">P38/(E38*W38)*12</f>
        <v>38.5979381443299</v>
      </c>
      <c r="AC38" s="1" t="s">
        <v>24</v>
      </c>
      <c r="AD38" s="1" t="s">
        <v>150</v>
      </c>
    </row>
    <row r="39" customFormat="false" ht="55.2" hidden="false" customHeight="false" outlineLevel="0" collapsed="false">
      <c r="A39" s="1" t="s">
        <v>151</v>
      </c>
      <c r="B39" s="3" t="s">
        <v>152</v>
      </c>
      <c r="S39" s="1" t="n">
        <f aca="false">15000/1200</f>
        <v>12.5</v>
      </c>
      <c r="T39" s="1" t="s">
        <v>44</v>
      </c>
      <c r="Z39" s="1" t="s">
        <v>85</v>
      </c>
      <c r="AD39" s="1" t="s">
        <v>153</v>
      </c>
    </row>
    <row r="40" customFormat="false" ht="15" hidden="false" customHeight="false" outlineLevel="0" collapsed="false">
      <c r="A40" s="1" t="s">
        <v>154</v>
      </c>
      <c r="B40" s="1" t="s">
        <v>155</v>
      </c>
      <c r="Y40" s="11" t="n">
        <f aca="false">MIN(Z23,Z26,Z27,Z28,Z29)</f>
        <v>28.1837574742268</v>
      </c>
      <c r="Z40" s="11" t="n">
        <f aca="false">MEDIAN(Z23,Z26,Z27,Z28,Z29)</f>
        <v>51.6676773802305</v>
      </c>
      <c r="AA40" s="11" t="n">
        <f aca="false">MAX(Z23,Z26,Z27,Z28,Z29)</f>
        <v>63.5835483870968</v>
      </c>
      <c r="AC40" s="1" t="s">
        <v>24</v>
      </c>
    </row>
    <row r="41" customFormat="false" ht="15" hidden="false" customHeight="false" outlineLevel="0" collapsed="false">
      <c r="B41" s="1" t="s">
        <v>156</v>
      </c>
      <c r="Y41" s="11" t="n">
        <f aca="false">MIN(Y23,Y26,Y27,Y28,Y29)</f>
        <v>26.4378230731733</v>
      </c>
      <c r="Z41" s="11" t="n">
        <f aca="false">MEDIAN(Y23,Y26,Y27,Y28,Y29)</f>
        <v>38.8815767929089</v>
      </c>
      <c r="AA41" s="11" t="n">
        <f aca="false">MAX(Y23,Y26,Y27,Y28,Y29)</f>
        <v>48.5109677419355</v>
      </c>
      <c r="AC41" s="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8"/>
    <col collapsed="false" customWidth="true" hidden="false" outlineLevel="0" max="13" min="2" style="1" width="13"/>
  </cols>
  <sheetData>
    <row r="1" customFormat="false" ht="15" hidden="false" customHeight="false" outlineLevel="0" collapsed="false">
      <c r="A1" s="4" t="s">
        <v>157</v>
      </c>
    </row>
    <row r="3" customFormat="false" ht="15" hidden="false" customHeight="false" outlineLevel="0" collapsed="false">
      <c r="A3" s="4" t="s">
        <v>158</v>
      </c>
    </row>
    <row r="4" customFormat="false" ht="15" hidden="false" customHeight="false" outlineLevel="0" collapsed="false">
      <c r="A4" s="1" t="s">
        <v>159</v>
      </c>
      <c r="B4" s="6" t="n">
        <v>20</v>
      </c>
      <c r="C4" s="6" t="n">
        <v>22.5</v>
      </c>
      <c r="D4" s="6" t="n">
        <v>25</v>
      </c>
      <c r="F4" s="1" t="s">
        <v>47</v>
      </c>
      <c r="G4" s="1" t="s">
        <v>160</v>
      </c>
    </row>
    <row r="5" customFormat="false" ht="15" hidden="false" customHeight="false" outlineLevel="0" collapsed="false">
      <c r="A5" s="1" t="s">
        <v>161</v>
      </c>
      <c r="B5" s="6" t="n">
        <v>22</v>
      </c>
      <c r="F5" s="1" t="s">
        <v>47</v>
      </c>
      <c r="G5" s="1" t="s">
        <v>162</v>
      </c>
    </row>
    <row r="6" customFormat="false" ht="15" hidden="false" customHeight="false" outlineLevel="0" collapsed="false">
      <c r="A6" s="1" t="s">
        <v>163</v>
      </c>
      <c r="B6" s="6" t="n">
        <f aca="false">Payback_ACV!$C$5</f>
        <v>4.5</v>
      </c>
      <c r="F6" s="1" t="s">
        <v>24</v>
      </c>
      <c r="G6" s="1" t="s">
        <v>164</v>
      </c>
    </row>
    <row r="7" customFormat="false" ht="15" hidden="false" customHeight="false" outlineLevel="0" collapsed="false">
      <c r="A7" s="1" t="s">
        <v>165</v>
      </c>
      <c r="B7" s="6" t="n">
        <v>1.2</v>
      </c>
      <c r="C7" s="6" t="n">
        <v>1.3</v>
      </c>
      <c r="D7" s="6" t="n">
        <v>1.4</v>
      </c>
      <c r="F7" s="1" t="s">
        <v>24</v>
      </c>
      <c r="G7" s="1" t="s">
        <v>166</v>
      </c>
    </row>
    <row r="8" customFormat="false" ht="15" hidden="false" customHeight="false" outlineLevel="0" collapsed="false">
      <c r="A8" s="1" t="s">
        <v>167</v>
      </c>
      <c r="B8" s="6" t="n">
        <f aca="false">Payback_ACV!$C$17</f>
        <v>0.85</v>
      </c>
      <c r="F8" s="1" t="s">
        <v>47</v>
      </c>
      <c r="G8" s="1" t="s">
        <v>48</v>
      </c>
    </row>
    <row r="10" customFormat="false" ht="15" hidden="false" customHeight="false" outlineLevel="0" collapsed="false">
      <c r="A10" s="4" t="s">
        <v>168</v>
      </c>
      <c r="B10" s="4" t="s">
        <v>20</v>
      </c>
      <c r="C10" s="4" t="s">
        <v>21</v>
      </c>
      <c r="D10" s="4" t="s">
        <v>169</v>
      </c>
    </row>
    <row r="11" customFormat="false" ht="15" hidden="false" customHeight="false" outlineLevel="0" collapsed="false">
      <c r="A11" s="1" t="s">
        <v>170</v>
      </c>
      <c r="B11" s="13" t="n">
        <f aca="false">5800/200</f>
        <v>29</v>
      </c>
      <c r="C11" s="1" t="s">
        <v>44</v>
      </c>
      <c r="D11" s="1" t="s">
        <v>171</v>
      </c>
    </row>
    <row r="12" customFormat="false" ht="15" hidden="false" customHeight="false" outlineLevel="0" collapsed="false">
      <c r="A12" s="1" t="s">
        <v>172</v>
      </c>
      <c r="B12" s="13" t="n">
        <f aca="false">24/12*20*$B$8</f>
        <v>34</v>
      </c>
      <c r="C12" s="1" t="s">
        <v>44</v>
      </c>
      <c r="D12" s="1" t="s">
        <v>173</v>
      </c>
    </row>
    <row r="13" customFormat="false" ht="15" hidden="false" customHeight="false" outlineLevel="0" collapsed="false">
      <c r="A13" s="1" t="s">
        <v>174</v>
      </c>
      <c r="B13" s="13" t="n">
        <v>35.47</v>
      </c>
      <c r="C13" s="1" t="s">
        <v>24</v>
      </c>
      <c r="D13" s="1" t="s">
        <v>31</v>
      </c>
    </row>
    <row r="14" customFormat="false" ht="15" hidden="false" customHeight="false" outlineLevel="0" collapsed="false">
      <c r="A14" s="1" t="s">
        <v>175</v>
      </c>
      <c r="B14" s="13" t="n">
        <f aca="false">Payback_ACV!$C$8*Payback_ACV!$C$7/1000</f>
        <v>40.2464698</v>
      </c>
      <c r="C14" s="1" t="s">
        <v>24</v>
      </c>
      <c r="D14" s="1" t="s">
        <v>31</v>
      </c>
    </row>
    <row r="15" customFormat="false" ht="15" hidden="false" customHeight="false" outlineLevel="0" collapsed="false">
      <c r="A15" s="1" t="s">
        <v>176</v>
      </c>
      <c r="B15" s="13" t="n">
        <v>41.3</v>
      </c>
      <c r="C15" s="1" t="s">
        <v>24</v>
      </c>
      <c r="D15" s="1" t="s">
        <v>164</v>
      </c>
    </row>
    <row r="16" customFormat="false" ht="15" hidden="false" customHeight="false" outlineLevel="0" collapsed="false">
      <c r="A16" s="1" t="s">
        <v>177</v>
      </c>
      <c r="B16" s="13" t="n">
        <v>52.53</v>
      </c>
      <c r="C16" s="1" t="s">
        <v>24</v>
      </c>
      <c r="D16" s="1" t="s">
        <v>31</v>
      </c>
    </row>
    <row r="17" customFormat="false" ht="15" hidden="false" customHeight="false" outlineLevel="0" collapsed="false">
      <c r="A17" s="1" t="s">
        <v>178</v>
      </c>
      <c r="B17" s="13" t="n">
        <f aca="false">Payback_ACV!$C$10*Payback_ACV!$C$9/1000</f>
        <v>30.2614092</v>
      </c>
      <c r="C17" s="1" t="s">
        <v>24</v>
      </c>
      <c r="D17" s="1" t="s">
        <v>179</v>
      </c>
    </row>
    <row r="18" customFormat="false" ht="15" hidden="false" customHeight="false" outlineLevel="0" collapsed="false">
      <c r="A18" s="1" t="s">
        <v>180</v>
      </c>
      <c r="B18" s="13" t="n">
        <v>52.75</v>
      </c>
      <c r="C18" s="1" t="s">
        <v>24</v>
      </c>
      <c r="D18" s="1" t="s">
        <v>181</v>
      </c>
    </row>
    <row r="21" customFormat="false" ht="15" hidden="false" customHeight="false" outlineLevel="0" collapsed="false">
      <c r="A21" s="4" t="s">
        <v>182</v>
      </c>
    </row>
    <row r="22" customFormat="false" ht="28.35" hidden="false" customHeight="false" outlineLevel="0" collapsed="false">
      <c r="B22" s="5" t="s">
        <v>183</v>
      </c>
      <c r="C22" s="5" t="s">
        <v>184</v>
      </c>
      <c r="D22" s="5" t="s">
        <v>185</v>
      </c>
      <c r="E22" s="5" t="s">
        <v>186</v>
      </c>
      <c r="F22" s="5" t="s">
        <v>187</v>
      </c>
      <c r="G22" s="5" t="s">
        <v>188</v>
      </c>
      <c r="H22" s="5" t="s">
        <v>189</v>
      </c>
      <c r="I22" s="5" t="s">
        <v>190</v>
      </c>
      <c r="J22" s="4" t="s">
        <v>21</v>
      </c>
    </row>
    <row r="23" customFormat="false" ht="15" hidden="false" customHeight="false" outlineLevel="0" collapsed="false">
      <c r="A23" s="1" t="str">
        <f aca="false">A11</f>
        <v>b1  IREN actual: Dell GB300 GPUs + ancillaries $5.8B / 200 IT MW (compute only)</v>
      </c>
      <c r="B23" s="11" t="n">
        <f aca="false">$B$11/($B$4*1-$B$6)*12</f>
        <v>22.4516129032258</v>
      </c>
      <c r="C23" s="11" t="n">
        <f aca="false">$B$11/($C$4*1-$B$6)*12</f>
        <v>19.3333333333333</v>
      </c>
      <c r="D23" s="11" t="n">
        <f aca="false">$B$11/($D$4*1-$B$6)*12</f>
        <v>16.9756097560976</v>
      </c>
      <c r="E23" s="11" t="n">
        <f aca="false">$B$11/($C$4*$B$7-$B$6)*12</f>
        <v>15.4666666666667</v>
      </c>
      <c r="F23" s="11" t="n">
        <f aca="false">$B$11/($C$4*$C$7-$B$6)*12</f>
        <v>14.0606060606061</v>
      </c>
      <c r="G23" s="11" t="n">
        <f aca="false">$B$11/($C$4*$D$7-$B$6)*12</f>
        <v>12.8888888888889</v>
      </c>
      <c r="H23" s="11" t="n">
        <f aca="false">$B$11/($B$4*$C$7-$B$6)*12</f>
        <v>16.1860465116279</v>
      </c>
      <c r="I23" s="11" t="n">
        <f aca="false">$B$11/($D$4*$C$7-$B$6)*12</f>
        <v>12.4285714285714</v>
      </c>
      <c r="J23" s="1" t="s">
        <v>24</v>
      </c>
    </row>
    <row r="24" customFormat="false" ht="15" hidden="false" customHeight="false" outlineLevel="0" collapsed="false">
      <c r="A24" s="1" t="str">
        <f aca="false">A12</f>
        <v>b2  IREN-implied: '&gt;$20M/IT MW ~2-yr payback' at 85% margin = 24/12 x 20 x 85%</v>
      </c>
      <c r="B24" s="11" t="n">
        <f aca="false">$B$12/($B$4*1-$B$6)*12</f>
        <v>26.3225806451613</v>
      </c>
      <c r="C24" s="11" t="n">
        <f aca="false">$B$12/($C$4*1-$B$6)*12</f>
        <v>22.6666666666667</v>
      </c>
      <c r="D24" s="11" t="n">
        <f aca="false">$B$12/($D$4*1-$B$6)*12</f>
        <v>19.9024390243902</v>
      </c>
      <c r="E24" s="11" t="n">
        <f aca="false">$B$12/($C$4*$B$7-$B$6)*12</f>
        <v>18.1333333333333</v>
      </c>
      <c r="F24" s="11" t="n">
        <f aca="false">$B$12/($C$4*$C$7-$B$6)*12</f>
        <v>16.4848484848485</v>
      </c>
      <c r="G24" s="11" t="n">
        <f aca="false">$B$12/($C$4*$D$7-$B$6)*12</f>
        <v>15.1111111111111</v>
      </c>
      <c r="H24" s="11" t="n">
        <f aca="false">$B$12/($B$4*$C$7-$B$6)*12</f>
        <v>18.9767441860465</v>
      </c>
      <c r="I24" s="11" t="n">
        <f aca="false">$B$12/($D$4*$C$7-$B$6)*12</f>
        <v>14.5714285714286</v>
      </c>
      <c r="J24" s="1" t="s">
        <v>24</v>
      </c>
    </row>
    <row r="25" customFormat="false" ht="15" hidden="false" customHeight="false" outlineLevel="0" collapsed="false">
      <c r="A25" s="1" t="str">
        <f aca="false">A13</f>
        <v>b3  Capacity GB300 compute LOW</v>
      </c>
      <c r="B25" s="11" t="n">
        <f aca="false">$B$13/($B$4*1-$B$6)*12</f>
        <v>27.4606451612903</v>
      </c>
      <c r="C25" s="11" t="n">
        <f aca="false">$B$13/($C$4*1-$B$6)*12</f>
        <v>23.6466666666667</v>
      </c>
      <c r="D25" s="11" t="n">
        <f aca="false">$B$13/($D$4*1-$B$6)*12</f>
        <v>20.7629268292683</v>
      </c>
      <c r="E25" s="11" t="n">
        <f aca="false">$B$13/($C$4*$B$7-$B$6)*12</f>
        <v>18.9173333333333</v>
      </c>
      <c r="F25" s="11" t="n">
        <f aca="false">$B$13/($C$4*$C$7-$B$6)*12</f>
        <v>17.1975757575758</v>
      </c>
      <c r="G25" s="11" t="n">
        <f aca="false">$B$13/($C$4*$D$7-$B$6)*12</f>
        <v>15.7644444444444</v>
      </c>
      <c r="H25" s="11" t="n">
        <f aca="false">$B$13/($B$4*$C$7-$B$6)*12</f>
        <v>19.7972093023256</v>
      </c>
      <c r="I25" s="11" t="n">
        <f aca="false">$B$13/($D$4*$C$7-$B$6)*12</f>
        <v>15.2014285714286</v>
      </c>
      <c r="J25" s="1" t="s">
        <v>24</v>
      </c>
    </row>
    <row r="26" customFormat="false" ht="15" hidden="false" customHeight="false" outlineLevel="0" collapsed="false">
      <c r="A26" s="1" t="str">
        <f aca="false">A14</f>
        <v>b4  Capacity GB300 compute BASE (= 491 x $81.9k)</v>
      </c>
      <c r="B26" s="11" t="n">
        <f aca="false">$B$14/($B$4*1-$B$6)*12</f>
        <v>31.1585572645161</v>
      </c>
      <c r="C26" s="11" t="n">
        <f aca="false">$B$14/($C$4*1-$B$6)*12</f>
        <v>26.8309798666667</v>
      </c>
      <c r="D26" s="11" t="n">
        <f aca="false">$B$14/($D$4*1-$B$6)*12</f>
        <v>23.5589091512195</v>
      </c>
      <c r="E26" s="11" t="n">
        <f aca="false">$B$14/($C$4*$B$7-$B$6)*12</f>
        <v>21.4647838933333</v>
      </c>
      <c r="F26" s="11" t="n">
        <f aca="false">$B$14/($C$4*$C$7-$B$6)*12</f>
        <v>19.5134399030303</v>
      </c>
      <c r="G26" s="11" t="n">
        <f aca="false">$B$14/($C$4*$D$7-$B$6)*12</f>
        <v>17.8873199111111</v>
      </c>
      <c r="H26" s="11" t="n">
        <f aca="false">$B$14/($B$4*$C$7-$B$6)*12</f>
        <v>22.4631459348837</v>
      </c>
      <c r="I26" s="11" t="n">
        <f aca="false">$B$14/($D$4*$C$7-$B$6)*12</f>
        <v>17.2484870571429</v>
      </c>
      <c r="J26" s="1" t="s">
        <v>24</v>
      </c>
    </row>
    <row r="27" customFormat="false" ht="15" hidden="false" customHeight="false" outlineLevel="0" collapsed="false">
      <c r="A27" s="1" t="str">
        <f aca="false">A15</f>
        <v>b5  Modeling leased GB300 (PB_CapGB)</v>
      </c>
      <c r="B27" s="11" t="n">
        <f aca="false">$B$15/($B$4*1-$B$6)*12</f>
        <v>31.9741935483871</v>
      </c>
      <c r="C27" s="11" t="n">
        <f aca="false">$B$15/($C$4*1-$B$6)*12</f>
        <v>27.5333333333333</v>
      </c>
      <c r="D27" s="11" t="n">
        <f aca="false">$B$15/($D$4*1-$B$6)*12</f>
        <v>24.1756097560976</v>
      </c>
      <c r="E27" s="11" t="n">
        <f aca="false">$B$15/($C$4*$B$7-$B$6)*12</f>
        <v>22.0266666666667</v>
      </c>
      <c r="F27" s="11" t="n">
        <f aca="false">$B$15/($C$4*$C$7-$B$6)*12</f>
        <v>20.0242424242424</v>
      </c>
      <c r="G27" s="11" t="n">
        <f aca="false">$B$15/($C$4*$D$7-$B$6)*12</f>
        <v>18.3555555555556</v>
      </c>
      <c r="H27" s="11" t="n">
        <f aca="false">$B$15/($B$4*$C$7-$B$6)*12</f>
        <v>23.0511627906977</v>
      </c>
      <c r="I27" s="11" t="n">
        <f aca="false">$B$15/($D$4*$C$7-$B$6)*12</f>
        <v>17.7</v>
      </c>
      <c r="J27" s="1" t="s">
        <v>24</v>
      </c>
    </row>
    <row r="28" customFormat="false" ht="15" hidden="false" customHeight="false" outlineLevel="0" collapsed="false">
      <c r="A28" s="1" t="str">
        <f aca="false">A16</f>
        <v>b6  Capacity GB300 compute HIGH</v>
      </c>
      <c r="B28" s="11" t="n">
        <f aca="false">$B$16/($B$4*1-$B$6)*12</f>
        <v>40.6683870967742</v>
      </c>
      <c r="C28" s="11" t="n">
        <f aca="false">$B$16/($C$4*1-$B$6)*12</f>
        <v>35.02</v>
      </c>
      <c r="D28" s="11" t="n">
        <f aca="false">$B$16/($D$4*1-$B$6)*12</f>
        <v>30.7492682926829</v>
      </c>
      <c r="E28" s="11" t="n">
        <f aca="false">$B$16/($C$4*$B$7-$B$6)*12</f>
        <v>28.016</v>
      </c>
      <c r="F28" s="11" t="n">
        <f aca="false">$B$16/($C$4*$C$7-$B$6)*12</f>
        <v>25.4690909090909</v>
      </c>
      <c r="G28" s="11" t="n">
        <f aca="false">$B$16/($C$4*$D$7-$B$6)*12</f>
        <v>23.3466666666667</v>
      </c>
      <c r="H28" s="11" t="n">
        <f aca="false">$B$16/($B$4*$C$7-$B$6)*12</f>
        <v>29.3190697674419</v>
      </c>
      <c r="I28" s="11" t="n">
        <f aca="false">$B$16/($D$4*$C$7-$B$6)*12</f>
        <v>22.5128571428571</v>
      </c>
      <c r="J28" s="1" t="s">
        <v>24</v>
      </c>
    </row>
    <row r="29" customFormat="false" ht="15" hidden="false" customHeight="false" outlineLevel="0" collapsed="false">
      <c r="A29" s="1" t="str">
        <f aca="false">A17</f>
        <v>b7  Capacity Vera Rubin compute BASE (= 320 x $94.4k)</v>
      </c>
      <c r="B29" s="11" t="n">
        <f aca="false">$B$17/($B$4*1-$B$6)*12</f>
        <v>23.4281877677419</v>
      </c>
      <c r="C29" s="11" t="n">
        <f aca="false">$B$17/($C$4*1-$B$6)*12</f>
        <v>20.1742728</v>
      </c>
      <c r="D29" s="11" t="n">
        <f aca="false">$B$17/($D$4*1-$B$6)*12</f>
        <v>17.7139956292683</v>
      </c>
      <c r="E29" s="11" t="n">
        <f aca="false">$B$17/($C$4*$B$7-$B$6)*12</f>
        <v>16.13941824</v>
      </c>
      <c r="F29" s="11" t="n">
        <f aca="false">$B$17/($C$4*$C$7-$B$6)*12</f>
        <v>14.6721984</v>
      </c>
      <c r="G29" s="11" t="n">
        <f aca="false">$B$17/($C$4*$D$7-$B$6)*12</f>
        <v>13.4495152</v>
      </c>
      <c r="H29" s="11" t="n">
        <f aca="false">$B$17/($B$4*$C$7-$B$6)*12</f>
        <v>16.890088855814</v>
      </c>
      <c r="I29" s="11" t="n">
        <f aca="false">$B$17/($D$4*$C$7-$B$6)*12</f>
        <v>12.9691753714286</v>
      </c>
      <c r="J29" s="1" t="s">
        <v>24</v>
      </c>
    </row>
    <row r="30" customFormat="false" ht="15" hidden="false" customHeight="false" outlineLevel="0" collapsed="false">
      <c r="A30" s="1" t="str">
        <f aca="false">A18</f>
        <v>b8  GB300 OWNED full stack base (compute + $12.5M shell)</v>
      </c>
      <c r="B30" s="11" t="n">
        <f aca="false">$B$18/($B$4*1-$B$6)*12</f>
        <v>40.8387096774194</v>
      </c>
      <c r="C30" s="11" t="n">
        <f aca="false">$B$18/($C$4*1-$B$6)*12</f>
        <v>35.1666666666667</v>
      </c>
      <c r="D30" s="11" t="n">
        <f aca="false">$B$18/($D$4*1-$B$6)*12</f>
        <v>30.8780487804878</v>
      </c>
      <c r="E30" s="11" t="n">
        <f aca="false">$B$18/($C$4*$B$7-$B$6)*12</f>
        <v>28.1333333333333</v>
      </c>
      <c r="F30" s="11" t="n">
        <f aca="false">$B$18/($C$4*$C$7-$B$6)*12</f>
        <v>25.5757575757576</v>
      </c>
      <c r="G30" s="11" t="n">
        <f aca="false">$B$18/($C$4*$D$7-$B$6)*12</f>
        <v>23.4444444444444</v>
      </c>
      <c r="H30" s="11" t="n">
        <f aca="false">$B$18/($B$4*$C$7-$B$6)*12</f>
        <v>29.4418604651163</v>
      </c>
      <c r="I30" s="11" t="n">
        <f aca="false">$B$18/($D$4*$C$7-$B$6)*12</f>
        <v>22.6071428571429</v>
      </c>
      <c r="J30" s="1" t="s">
        <v>24</v>
      </c>
    </row>
    <row r="32" customFormat="false" ht="15" hidden="false" customHeight="false" outlineLevel="0" collapsed="false">
      <c r="A32" s="4" t="s">
        <v>191</v>
      </c>
    </row>
    <row r="33" customFormat="false" ht="15" hidden="false" customHeight="false" outlineLevel="0" collapsed="false">
      <c r="B33" s="14" t="s">
        <v>192</v>
      </c>
      <c r="C33" s="14" t="s">
        <v>193</v>
      </c>
      <c r="D33" s="14" t="s">
        <v>194</v>
      </c>
      <c r="E33" s="14" t="s">
        <v>195</v>
      </c>
    </row>
    <row r="34" customFormat="false" ht="15" hidden="false" customHeight="false" outlineLevel="0" collapsed="false">
      <c r="A34" s="1" t="s">
        <v>196</v>
      </c>
      <c r="B34" s="11" t="n">
        <f aca="false">$B$5/12*($B$4*1-$B$6)</f>
        <v>28.4166666666667</v>
      </c>
      <c r="C34" s="11" t="n">
        <f aca="false">$B$5/12*($B$4*$B$7-$B$6)</f>
        <v>35.75</v>
      </c>
      <c r="D34" s="11" t="n">
        <f aca="false">$B$5/12*($B$4*$C$7-$B$6)</f>
        <v>39.4166666666667</v>
      </c>
      <c r="E34" s="11" t="n">
        <f aca="false">$B$5/12*($B$4*$D$7-$B$6)</f>
        <v>43.0833333333333</v>
      </c>
      <c r="G34" s="1" t="s">
        <v>197</v>
      </c>
    </row>
    <row r="35" customFormat="false" ht="15" hidden="false" customHeight="false" outlineLevel="0" collapsed="false">
      <c r="A35" s="1" t="s">
        <v>198</v>
      </c>
      <c r="B35" s="11" t="n">
        <f aca="false">$B$5/12*($C$4*1-$B$6)</f>
        <v>33</v>
      </c>
      <c r="C35" s="11" t="n">
        <f aca="false">$B$5/12*($C$4*$B$7-$B$6)</f>
        <v>41.25</v>
      </c>
      <c r="D35" s="11" t="n">
        <f aca="false">$B$5/12*($C$4*$C$7-$B$6)</f>
        <v>45.375</v>
      </c>
      <c r="E35" s="11" t="n">
        <f aca="false">$B$5/12*($C$4*$D$7-$B$6)</f>
        <v>49.5</v>
      </c>
      <c r="G35" s="1" t="s">
        <v>197</v>
      </c>
    </row>
    <row r="36" customFormat="false" ht="15" hidden="false" customHeight="false" outlineLevel="0" collapsed="false">
      <c r="A36" s="1" t="s">
        <v>199</v>
      </c>
      <c r="B36" s="11" t="n">
        <f aca="false">$B$5/12*($D$4*1-$B$6)</f>
        <v>37.5833333333333</v>
      </c>
      <c r="C36" s="11" t="n">
        <f aca="false">$B$5/12*($D$4*$B$7-$B$6)</f>
        <v>46.75</v>
      </c>
      <c r="D36" s="11" t="n">
        <f aca="false">$B$5/12*($D$4*$C$7-$B$6)</f>
        <v>51.3333333333333</v>
      </c>
      <c r="E36" s="11" t="n">
        <f aca="false">$B$5/12*($D$4*$D$7-$B$6)</f>
        <v>55.9166666666667</v>
      </c>
      <c r="G36" s="1" t="s">
        <v>197</v>
      </c>
    </row>
    <row r="38" customFormat="false" ht="15" hidden="false" customHeight="false" outlineLevel="0" collapsed="false">
      <c r="A38" s="4" t="s">
        <v>200</v>
      </c>
    </row>
    <row r="39" customFormat="false" ht="41.75" hidden="false" customHeight="false" outlineLevel="0" collapsed="false">
      <c r="B39" s="5" t="s">
        <v>201</v>
      </c>
      <c r="C39" s="5" t="s">
        <v>202</v>
      </c>
      <c r="D39" s="5" t="s">
        <v>203</v>
      </c>
      <c r="E39" s="5" t="s">
        <v>204</v>
      </c>
      <c r="F39" s="4" t="s">
        <v>205</v>
      </c>
    </row>
    <row r="40" customFormat="false" ht="15" hidden="false" customHeight="false" outlineLevel="0" collapsed="false">
      <c r="A40" s="1" t="s">
        <v>206</v>
      </c>
      <c r="B40" s="11" t="n">
        <f aca="false">$B$11/($C$4*1*$F40)*12</f>
        <v>31.122809473807</v>
      </c>
      <c r="C40" s="11" t="n">
        <f aca="false">$B$14/($C$4*1*$F40)*12</f>
        <v>43.1925245371975</v>
      </c>
      <c r="D40" s="11" t="n">
        <f aca="false">$B$11/($C$4*$C$7*$F40)*12</f>
        <v>23.9406226721593</v>
      </c>
      <c r="E40" s="11" t="n">
        <f aca="false">$B$14/($C$4*$C$7*$F40)*12</f>
        <v>33.2250188747673</v>
      </c>
      <c r="F40" s="9" t="n">
        <f aca="false">Payback_ACV!$C$18</f>
        <v>0.496955992346495</v>
      </c>
    </row>
    <row r="41" customFormat="false" ht="15" hidden="false" customHeight="false" outlineLevel="0" collapsed="false">
      <c r="A41" s="1" t="s">
        <v>207</v>
      </c>
      <c r="B41" s="11" t="n">
        <f aca="false">$B$11/($C$4*1*$F41)*12</f>
        <v>26.3752759381898</v>
      </c>
      <c r="C41" s="11" t="n">
        <f aca="false">$B$14/($C$4*1*$F41)*12</f>
        <v>36.6038533280353</v>
      </c>
      <c r="D41" s="11" t="n">
        <f aca="false">$B$11/($C$4*$C$7*$F41)*12</f>
        <v>20.2886737986076</v>
      </c>
      <c r="E41" s="11" t="n">
        <f aca="false">$B$14/($C$4*$C$7*$F41)*12</f>
        <v>28.1568102523349</v>
      </c>
      <c r="F41" s="9" t="n">
        <f aca="false">Payback_ACV!W25</f>
        <v>0.586407766990291</v>
      </c>
    </row>
    <row r="42" customFormat="false" ht="15" hidden="false" customHeight="false" outlineLevel="0" collapsed="false">
      <c r="A42" s="1" t="s">
        <v>208</v>
      </c>
      <c r="B42" s="11" t="n">
        <f aca="false">$B$11/($C$4*1*$F42)*12</f>
        <v>19.9312714776632</v>
      </c>
      <c r="C42" s="11" t="n">
        <f aca="false">$B$14/($C$4*1*$F42)*12</f>
        <v>27.6608039862543</v>
      </c>
      <c r="D42" s="11" t="n">
        <f aca="false">$B$11/($C$4*$C$7*$F42)*12</f>
        <v>15.3317472905102</v>
      </c>
      <c r="E42" s="11" t="n">
        <f aca="false">$B$14/($C$4*$C$7*$F42)*12</f>
        <v>21.2775415278879</v>
      </c>
      <c r="F42" s="9" t="n">
        <f aca="false">Payback_ACV!$C$19</f>
        <v>0.776</v>
      </c>
    </row>
    <row r="43" customFormat="false" ht="15" hidden="false" customHeight="false" outlineLevel="0" collapsed="false">
      <c r="A43" s="1" t="s">
        <v>209</v>
      </c>
      <c r="B43" s="11" t="n">
        <f aca="false">$B$11/($C$4*1*$F43)*12</f>
        <v>19.3333333333333</v>
      </c>
      <c r="C43" s="11" t="n">
        <f aca="false">$B$14/($C$4*1*$F43)*12</f>
        <v>26.8309798666667</v>
      </c>
      <c r="D43" s="11" t="n">
        <f aca="false">$B$11/($C$4*$C$7*$F43)*12</f>
        <v>14.8717948717949</v>
      </c>
      <c r="E43" s="11" t="n">
        <f aca="false">$B$14/($C$4*$C$7*$F43)*12</f>
        <v>20.6392152820513</v>
      </c>
      <c r="F43" s="9" t="n">
        <f aca="false">1-$B$6/$C$4</f>
        <v>0.8</v>
      </c>
    </row>
    <row r="44" customFormat="false" ht="15" hidden="false" customHeight="false" outlineLevel="0" collapsed="false">
      <c r="A44" s="1" t="s">
        <v>210</v>
      </c>
      <c r="B44" s="11" t="n">
        <f aca="false">$B$11/($C$4*1*$F44)*12</f>
        <v>18.1960784313726</v>
      </c>
      <c r="C44" s="11" t="n">
        <f aca="false">$B$14/($C$4*1*$F44)*12</f>
        <v>25.2526869333333</v>
      </c>
      <c r="D44" s="11" t="n">
        <f aca="false">$B$11/($C$4*$C$7*$F44)*12</f>
        <v>13.9969834087481</v>
      </c>
      <c r="E44" s="11" t="n">
        <f aca="false">$B$14/($C$4*$C$7*$F44)*12</f>
        <v>19.4251437948718</v>
      </c>
      <c r="F44" s="9" t="n">
        <f aca="false">Payback_ACV!$C$17</f>
        <v>0.85</v>
      </c>
    </row>
    <row r="46" customFormat="false" ht="15" hidden="false" customHeight="false" outlineLevel="0" collapsed="false">
      <c r="A46" s="4" t="s">
        <v>211</v>
      </c>
    </row>
    <row r="47" customFormat="false" ht="15" hidden="false" customHeight="false" outlineLevel="0" collapsed="false">
      <c r="B47" s="14" t="s">
        <v>212</v>
      </c>
      <c r="C47" s="14" t="s">
        <v>213</v>
      </c>
      <c r="D47" s="14" t="s">
        <v>214</v>
      </c>
      <c r="E47" s="14" t="s">
        <v>204</v>
      </c>
      <c r="F47" s="14" t="s">
        <v>215</v>
      </c>
      <c r="G47" s="4" t="s">
        <v>216</v>
      </c>
    </row>
    <row r="48" customFormat="false" ht="15" hidden="false" customHeight="false" outlineLevel="0" collapsed="false">
      <c r="A48" s="1" t="s">
        <v>217</v>
      </c>
      <c r="B48" s="11" t="n">
        <f aca="false">$B$11/($C$4*1-$G48)*12</f>
        <v>16.9756097560976</v>
      </c>
      <c r="C48" s="11" t="n">
        <f aca="false">$B$12/($C$4*1-$G48)*12</f>
        <v>19.9024390243902</v>
      </c>
      <c r="D48" s="11" t="n">
        <f aca="false">$B$14/($C$4*1-$G48)*12</f>
        <v>23.5589091512195</v>
      </c>
      <c r="E48" s="11" t="n">
        <f aca="false">$B$14/($C$4*$C$7-$G48)*12</f>
        <v>17.7232160587156</v>
      </c>
      <c r="F48" s="11" t="n">
        <f aca="false">$B$15/($C$4*$C$7-$G48)*12</f>
        <v>18.1871559633028</v>
      </c>
      <c r="G48" s="6" t="n">
        <v>2</v>
      </c>
    </row>
    <row r="49" customFormat="false" ht="15" hidden="false" customHeight="false" outlineLevel="0" collapsed="false">
      <c r="A49" s="1" t="s">
        <v>218</v>
      </c>
      <c r="B49" s="11" t="n">
        <f aca="false">$B$11/($C$4*1-$G49)*12</f>
        <v>17.8461538461538</v>
      </c>
      <c r="C49" s="11" t="n">
        <f aca="false">$B$12/($C$4*1-$G49)*12</f>
        <v>20.9230769230769</v>
      </c>
      <c r="D49" s="11" t="n">
        <f aca="false">$B$14/($C$4*1-$G49)*12</f>
        <v>24.7670583384615</v>
      </c>
      <c r="E49" s="11" t="n">
        <f aca="false">$B$14/($C$4*$C$7-$G49)*12</f>
        <v>18.3983861942857</v>
      </c>
      <c r="F49" s="11" t="n">
        <f aca="false">$B$15/($C$4*$C$7-$G49)*12</f>
        <v>18.88</v>
      </c>
      <c r="G49" s="6" t="n">
        <v>3</v>
      </c>
    </row>
    <row r="50" customFormat="false" ht="15" hidden="false" customHeight="false" outlineLevel="0" collapsed="false">
      <c r="A50" s="1" t="s">
        <v>219</v>
      </c>
      <c r="B50" s="11" t="n">
        <f aca="false">$B$11/($C$4*1-$G50)*12</f>
        <v>19.3333333333333</v>
      </c>
      <c r="C50" s="11" t="n">
        <f aca="false">$B$12/($C$4*1-$G50)*12</f>
        <v>22.6666666666667</v>
      </c>
      <c r="D50" s="11" t="n">
        <f aca="false">$B$14/($C$4*1-$G50)*12</f>
        <v>26.8309798666667</v>
      </c>
      <c r="E50" s="11" t="n">
        <f aca="false">$B$14/($C$4*$C$7-$G50)*12</f>
        <v>19.5134399030303</v>
      </c>
      <c r="F50" s="11" t="n">
        <f aca="false">$B$15/($C$4*$C$7-$G50)*12</f>
        <v>20.0242424242424</v>
      </c>
      <c r="G50" s="6" t="n">
        <v>4.5</v>
      </c>
    </row>
    <row r="51" customFormat="false" ht="15" hidden="false" customHeight="false" outlineLevel="0" collapsed="false">
      <c r="A51" s="1" t="s">
        <v>220</v>
      </c>
      <c r="B51" s="11" t="n">
        <f aca="false">$B$11/($C$4*1-$G51)*12</f>
        <v>21.0909090909091</v>
      </c>
      <c r="C51" s="11" t="n">
        <f aca="false">$B$12/($C$4*1-$G51)*12</f>
        <v>24.7272727272727</v>
      </c>
      <c r="D51" s="11" t="n">
        <f aca="false">$B$14/($C$4*1-$G51)*12</f>
        <v>29.2701598545455</v>
      </c>
      <c r="E51" s="11" t="n">
        <f aca="false">$B$14/($C$4*$C$7-$G51)*12</f>
        <v>20.7723715096774</v>
      </c>
      <c r="F51" s="11" t="n">
        <f aca="false">$B$15/($C$4*$C$7-$G51)*12</f>
        <v>21.3161290322581</v>
      </c>
      <c r="G51" s="6" t="n">
        <v>6</v>
      </c>
    </row>
    <row r="53" customFormat="false" ht="15" hidden="false" customHeight="false" outlineLevel="0" collapsed="false">
      <c r="A53" s="4" t="s">
        <v>221</v>
      </c>
    </row>
    <row r="54" customFormat="false" ht="15" hidden="false" customHeight="false" outlineLevel="0" collapsed="false">
      <c r="B54" s="14" t="s">
        <v>222</v>
      </c>
      <c r="C54" s="14" t="s">
        <v>21</v>
      </c>
      <c r="D54" s="14" t="s">
        <v>169</v>
      </c>
    </row>
    <row r="55" customFormat="false" ht="15" hidden="false" customHeight="false" outlineLevel="0" collapsed="false">
      <c r="A55" s="1" t="s">
        <v>223</v>
      </c>
      <c r="B55" s="10" t="n">
        <f aca="false">$C$4</f>
        <v>22.5</v>
      </c>
      <c r="C55" s="1" t="s">
        <v>47</v>
      </c>
      <c r="D55" s="1" t="s">
        <v>224</v>
      </c>
    </row>
    <row r="56" customFormat="false" ht="15" hidden="false" customHeight="false" outlineLevel="0" collapsed="false">
      <c r="A56" s="1" t="s">
        <v>225</v>
      </c>
      <c r="B56" s="10" t="n">
        <f aca="false">$C$4*$B$7</f>
        <v>27</v>
      </c>
      <c r="C56" s="1" t="s">
        <v>44</v>
      </c>
      <c r="D56" s="1" t="s">
        <v>226</v>
      </c>
    </row>
    <row r="57" customFormat="false" ht="15" hidden="false" customHeight="false" outlineLevel="0" collapsed="false">
      <c r="A57" s="1" t="s">
        <v>227</v>
      </c>
      <c r="B57" s="10" t="n">
        <f aca="false">$C$4*$C$7</f>
        <v>29.25</v>
      </c>
      <c r="C57" s="1" t="s">
        <v>44</v>
      </c>
    </row>
    <row r="58" customFormat="false" ht="15" hidden="false" customHeight="false" outlineLevel="0" collapsed="false">
      <c r="A58" s="1" t="s">
        <v>228</v>
      </c>
      <c r="B58" s="10" t="n">
        <f aca="false">$C$4*$D$7</f>
        <v>31.5</v>
      </c>
      <c r="C58" s="1" t="s">
        <v>44</v>
      </c>
    </row>
    <row r="59" customFormat="false" ht="15" hidden="false" customHeight="false" outlineLevel="0" collapsed="false">
      <c r="A59" s="1" t="s">
        <v>229</v>
      </c>
      <c r="B59" s="10" t="n">
        <f aca="false">$D$4*$D$7</f>
        <v>35</v>
      </c>
      <c r="C59" s="1" t="s">
        <v>44</v>
      </c>
    </row>
    <row r="60" customFormat="false" ht="15" hidden="false" customHeight="false" outlineLevel="0" collapsed="false">
      <c r="A60" s="1" t="s">
        <v>230</v>
      </c>
      <c r="B60" s="10" t="n">
        <v>20</v>
      </c>
      <c r="C60" s="1" t="s">
        <v>47</v>
      </c>
      <c r="D60" s="1" t="s">
        <v>231</v>
      </c>
    </row>
    <row r="61" customFormat="false" ht="15" hidden="false" customHeight="false" outlineLevel="0" collapsed="false">
      <c r="A61" s="1" t="s">
        <v>232</v>
      </c>
      <c r="B61" s="10" t="n">
        <v>25</v>
      </c>
      <c r="C61" s="1" t="s">
        <v>47</v>
      </c>
      <c r="D61" s="1" t="s">
        <v>231</v>
      </c>
    </row>
    <row r="62" customFormat="false" ht="15" hidden="false" customHeight="false" outlineLevel="0" collapsed="false">
      <c r="A62" s="1" t="s">
        <v>233</v>
      </c>
      <c r="B62" s="10" t="n">
        <f aca="false">Payback_ACV!N28</f>
        <v>16.1594202898551</v>
      </c>
      <c r="C62" s="1" t="s">
        <v>44</v>
      </c>
      <c r="D62" s="1" t="s">
        <v>132</v>
      </c>
    </row>
    <row r="63" customFormat="false" ht="15" hidden="false" customHeight="false" outlineLevel="0" collapsed="false">
      <c r="A63" s="1" t="s">
        <v>234</v>
      </c>
      <c r="B63" s="10" t="n">
        <f aca="false">17392.9/5/(100000/Payback_ACV!$C$8)</f>
        <v>17.085741386</v>
      </c>
      <c r="C63" s="1" t="s">
        <v>44</v>
      </c>
      <c r="D63" s="1" t="s">
        <v>132</v>
      </c>
    </row>
    <row r="64" customFormat="false" ht="15" hidden="false" customHeight="false" outlineLevel="0" collapsed="false">
      <c r="A64" s="1" t="s">
        <v>235</v>
      </c>
      <c r="B64" s="10" t="n">
        <f aca="false">Payback_ACV!N30</f>
        <v>15.0738466666667</v>
      </c>
      <c r="C64" s="1" t="s">
        <v>24</v>
      </c>
      <c r="D64" s="1" t="s">
        <v>132</v>
      </c>
    </row>
    <row r="65" customFormat="false" ht="15" hidden="false" customHeight="false" outlineLevel="0" collapsed="false">
      <c r="A65" s="1" t="s">
        <v>236</v>
      </c>
      <c r="B65" s="10" t="n">
        <f aca="false">Payback_ACV!N29</f>
        <v>16</v>
      </c>
      <c r="C65" s="1" t="s">
        <v>24</v>
      </c>
      <c r="D65" s="1" t="s">
        <v>237</v>
      </c>
    </row>
    <row r="66" customFormat="false" ht="15" hidden="false" customHeight="false" outlineLevel="0" collapsed="false">
      <c r="A66" s="1" t="s">
        <v>238</v>
      </c>
      <c r="B66" s="10" t="n">
        <f aca="false">Payback_ACV!N26</f>
        <v>13.351277287435</v>
      </c>
      <c r="C66" s="1" t="s">
        <v>44</v>
      </c>
      <c r="D66" s="1" t="s">
        <v>132</v>
      </c>
    </row>
    <row r="67" customFormat="false" ht="15" hidden="false" customHeight="false" outlineLevel="0" collapsed="false">
      <c r="A67" s="1" t="s">
        <v>239</v>
      </c>
      <c r="B67" s="10" t="n">
        <f aca="false">Payback_ACV!N23</f>
        <v>9.7</v>
      </c>
      <c r="C67" s="1" t="s">
        <v>44</v>
      </c>
      <c r="D67" s="1" t="s">
        <v>240</v>
      </c>
    </row>
    <row r="68" customFormat="false" ht="15" hidden="false" customHeight="false" outlineLevel="0" collapsed="false">
      <c r="A68" s="1" t="s">
        <v>241</v>
      </c>
      <c r="B68" s="10" t="n">
        <v>12</v>
      </c>
      <c r="C68" s="1" t="s">
        <v>47</v>
      </c>
      <c r="D68" s="1" t="s">
        <v>242</v>
      </c>
    </row>
    <row r="69" customFormat="false" ht="15" hidden="false" customHeight="false" outlineLevel="0" collapsed="false">
      <c r="A69" s="1" t="s">
        <v>243</v>
      </c>
      <c r="B69" s="10" t="n">
        <v>40</v>
      </c>
      <c r="C69" s="1" t="s">
        <v>47</v>
      </c>
      <c r="D69" s="1" t="s">
        <v>224</v>
      </c>
    </row>
    <row r="71" customFormat="false" ht="15" hidden="false" customHeight="false" outlineLevel="0" collapsed="false">
      <c r="A71" s="4" t="s">
        <v>244</v>
      </c>
    </row>
    <row r="72" customFormat="false" ht="15" hidden="false" customHeight="false" outlineLevel="0" collapsed="false">
      <c r="B72" s="14" t="s">
        <v>245</v>
      </c>
      <c r="C72" s="14" t="s">
        <v>246</v>
      </c>
      <c r="D72" s="14" t="s">
        <v>247</v>
      </c>
      <c r="E72" s="14" t="s">
        <v>248</v>
      </c>
    </row>
    <row r="73" customFormat="false" ht="15" hidden="false" customHeight="false" outlineLevel="0" collapsed="false">
      <c r="A73" s="1" t="s">
        <v>196</v>
      </c>
      <c r="B73" s="10" t="n">
        <f aca="false">$B$4*1*1000000/(Payback_ACV!$C$8*8760)</f>
        <v>4.64829900611</v>
      </c>
      <c r="C73" s="10" t="n">
        <f aca="false">$B$4*$C$7*1000000/(Payback_ACV!$C$8*8760)</f>
        <v>6.042788707943</v>
      </c>
      <c r="D73" s="10" t="n">
        <f aca="false">$B$4*1*1000000/(Payback_ACV!$C$10*8760)</f>
        <v>7.12512880451596</v>
      </c>
      <c r="E73" s="10" t="n">
        <f aca="false">$B$4*$C$7*1000000/(Payback_ACV!$C$10*8760)</f>
        <v>9.26266744587075</v>
      </c>
      <c r="F73" s="1" t="s">
        <v>197</v>
      </c>
    </row>
    <row r="74" customFormat="false" ht="15" hidden="false" customHeight="false" outlineLevel="0" collapsed="false">
      <c r="A74" s="1" t="s">
        <v>198</v>
      </c>
      <c r="B74" s="10" t="n">
        <f aca="false">$C$4*1*1000000/(Payback_ACV!$C$8*8760)</f>
        <v>5.22933638187375</v>
      </c>
      <c r="C74" s="10" t="n">
        <f aca="false">$C$4*$C$7*1000000/(Payback_ACV!$C$8*8760)</f>
        <v>6.79813729643588</v>
      </c>
      <c r="D74" s="10" t="n">
        <f aca="false">$C$4*1*1000000/(Payback_ACV!$C$10*8760)</f>
        <v>8.01576990508046</v>
      </c>
      <c r="E74" s="10" t="n">
        <f aca="false">$C$4*$C$7*1000000/(Payback_ACV!$C$10*8760)</f>
        <v>10.4205008766046</v>
      </c>
      <c r="F74" s="1" t="s">
        <v>197</v>
      </c>
    </row>
    <row r="75" customFormat="false" ht="15" hidden="false" customHeight="false" outlineLevel="0" collapsed="false">
      <c r="A75" s="1" t="s">
        <v>199</v>
      </c>
      <c r="B75" s="10" t="n">
        <f aca="false">$D$4*1*1000000/(Payback_ACV!$C$8*8760)</f>
        <v>5.8103737576375</v>
      </c>
      <c r="C75" s="10" t="n">
        <f aca="false">$D$4*$C$7*1000000/(Payback_ACV!$C$8*8760)</f>
        <v>7.55348588492875</v>
      </c>
      <c r="D75" s="10" t="n">
        <f aca="false">$D$4*1*1000000/(Payback_ACV!$C$10*8760)</f>
        <v>8.90641100564495</v>
      </c>
      <c r="E75" s="10" t="n">
        <f aca="false">$D$4*$C$7*1000000/(Payback_ACV!$C$10*8760)</f>
        <v>11.5783343073384</v>
      </c>
      <c r="F75" s="1" t="s">
        <v>197</v>
      </c>
    </row>
    <row r="77" customFormat="false" ht="15" hidden="false" customHeight="false" outlineLevel="0" collapsed="false">
      <c r="A77" s="4" t="s">
        <v>249</v>
      </c>
    </row>
    <row r="78" customFormat="false" ht="28.35" hidden="false" customHeight="false" outlineLevel="0" collapsed="false">
      <c r="A78" s="3" t="s">
        <v>250</v>
      </c>
      <c r="B78" s="12" t="n">
        <f aca="false">C23</f>
        <v>19.3333333333333</v>
      </c>
    </row>
    <row r="79" customFormat="false" ht="15" hidden="false" customHeight="false" outlineLevel="0" collapsed="false">
      <c r="A79" s="3" t="s">
        <v>251</v>
      </c>
      <c r="B79" s="12" t="n">
        <f aca="false">C24</f>
        <v>22.6666666666667</v>
      </c>
    </row>
    <row r="80" customFormat="false" ht="15" hidden="false" customHeight="false" outlineLevel="0" collapsed="false">
      <c r="A80" s="3" t="s">
        <v>252</v>
      </c>
      <c r="B80" s="12" t="n">
        <f aca="false">C26</f>
        <v>26.8309798666667</v>
      </c>
    </row>
    <row r="81" customFormat="false" ht="15" hidden="false" customHeight="false" outlineLevel="0" collapsed="false">
      <c r="A81" s="3" t="s">
        <v>253</v>
      </c>
      <c r="B81" s="12" t="n">
        <f aca="false">C27</f>
        <v>27.5333333333333</v>
      </c>
    </row>
    <row r="82" customFormat="false" ht="15" hidden="false" customHeight="false" outlineLevel="0" collapsed="false">
      <c r="A82" s="3" t="s">
        <v>254</v>
      </c>
      <c r="B82" s="12" t="n">
        <f aca="false">F26</f>
        <v>19.5134399030303</v>
      </c>
    </row>
    <row r="83" customFormat="false" ht="15" hidden="false" customHeight="false" outlineLevel="0" collapsed="false">
      <c r="A83" s="3" t="s">
        <v>255</v>
      </c>
      <c r="B83" s="12" t="str">
        <f aca="false">TEXT(E26,"0.0")&amp;" / "&amp;TEXT(G26,"0.0")</f>
        <v>21.5 / 17.9</v>
      </c>
    </row>
    <row r="84" customFormat="false" ht="28.35" hidden="false" customHeight="false" outlineLevel="0" collapsed="false">
      <c r="A84" s="3" t="s">
        <v>256</v>
      </c>
      <c r="B84" s="12" t="str">
        <f aca="false">TEXT(B34,"0.0")&amp;" / "&amp;TEXT(B35,"0.0")&amp;" / "&amp;TEXT(B36,"0.0")</f>
        <v>28.4 / 33.0 / 37.6</v>
      </c>
    </row>
    <row r="85" customFormat="false" ht="28.35" hidden="false" customHeight="false" outlineLevel="0" collapsed="false">
      <c r="A85" s="3" t="s">
        <v>257</v>
      </c>
      <c r="B85" s="12" t="n">
        <f aca="false">D35</f>
        <v>45.375</v>
      </c>
    </row>
    <row r="86" customFormat="false" ht="28.35" hidden="false" customHeight="false" outlineLevel="0" collapsed="false">
      <c r="A86" s="3" t="s">
        <v>258</v>
      </c>
      <c r="B86" s="12" t="n">
        <v>24</v>
      </c>
    </row>
    <row r="87" customFormat="false" ht="28.35" hidden="false" customHeight="false" outlineLevel="0" collapsed="false">
      <c r="A87" s="3" t="s">
        <v>259</v>
      </c>
      <c r="B87" s="12" t="str">
        <f aca="false">IF(AND(ABS(C23-$B$5)&lt;=3,ABS(C24-$B$5)&lt;=3),"YES","NO")</f>
        <v>YES</v>
      </c>
    </row>
    <row r="88" customFormat="false" ht="28.35" hidden="false" customHeight="false" outlineLevel="0" collapsed="false">
      <c r="A88" s="3" t="s">
        <v>260</v>
      </c>
      <c r="B88" s="12" t="str">
        <f aca="false">IF(MIN(ABS(C26-$B$5),ABS(C27-$B$5))&lt;=3,"YES","NO")</f>
        <v>NO</v>
      </c>
    </row>
    <row r="89" customFormat="false" ht="28.35" hidden="false" customHeight="false" outlineLevel="0" collapsed="false">
      <c r="A89" s="3" t="s">
        <v>261</v>
      </c>
      <c r="B89" s="12" t="str">
        <f aca="false">IF(AND(ABS(E26-$B$5)&lt;=3,ABS(G26-$B$5)&lt;=3),"YES (whole band)",IF(OR(ABS(E26-$B$5)&lt;=3,ABS(G26-$B$5)&lt;=3),"PARTLY","NO"))</f>
        <v>PARTLY</v>
      </c>
    </row>
    <row r="91" customFormat="false" ht="90" hidden="false" customHeight="true" outlineLevel="0" collapsed="false">
      <c r="A91" s="3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8"/>
    <col collapsed="false" customWidth="true" hidden="false" outlineLevel="0" max="5" min="4" style="1" width="9"/>
    <col collapsed="false" customWidth="true" hidden="false" outlineLevel="0" max="6" min="6" style="1" width="8"/>
    <col collapsed="false" customWidth="true" hidden="false" outlineLevel="0" max="8" min="7" style="1" width="9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7"/>
    <col collapsed="false" customWidth="true" hidden="false" outlineLevel="0" max="13" min="13" style="1" width="12"/>
    <col collapsed="false" customWidth="true" hidden="false" outlineLevel="0" max="14" min="14" style="1" width="7"/>
    <col collapsed="false" customWidth="true" hidden="false" outlineLevel="0" max="15" min="15" style="1" width="80"/>
  </cols>
  <sheetData>
    <row r="1" customFormat="false" ht="15" hidden="false" customHeight="false" outlineLevel="0" collapsed="false">
      <c r="A1" s="4" t="s">
        <v>263</v>
      </c>
    </row>
    <row r="3" customFormat="false" ht="55.2" hidden="false" customHeight="false" outlineLevel="0" collapsed="false">
      <c r="A3" s="5" t="s">
        <v>264</v>
      </c>
      <c r="B3" s="5" t="s">
        <v>265</v>
      </c>
      <c r="C3" s="5" t="s">
        <v>266</v>
      </c>
      <c r="D3" s="5" t="s">
        <v>267</v>
      </c>
      <c r="E3" s="5" t="s">
        <v>268</v>
      </c>
      <c r="F3" s="5" t="s">
        <v>61</v>
      </c>
      <c r="G3" s="5" t="s">
        <v>269</v>
      </c>
      <c r="H3" s="5" t="s">
        <v>270</v>
      </c>
      <c r="I3" s="5" t="s">
        <v>271</v>
      </c>
      <c r="J3" s="5" t="s">
        <v>272</v>
      </c>
      <c r="K3" s="5" t="s">
        <v>273</v>
      </c>
      <c r="L3" s="5" t="s">
        <v>274</v>
      </c>
      <c r="M3" s="5" t="s">
        <v>275</v>
      </c>
      <c r="N3" s="5" t="s">
        <v>276</v>
      </c>
      <c r="O3" s="5" t="s">
        <v>277</v>
      </c>
    </row>
    <row r="4" customFormat="false" ht="15" hidden="false" customHeight="false" outlineLevel="0" collapsed="false">
      <c r="A4" s="1" t="s">
        <v>95</v>
      </c>
      <c r="B4" s="1" t="s">
        <v>278</v>
      </c>
      <c r="C4" s="1" t="n">
        <v>1</v>
      </c>
      <c r="D4" s="6" t="n">
        <v>70</v>
      </c>
      <c r="E4" s="6" t="n">
        <v>142.5</v>
      </c>
      <c r="F4" s="1" t="s">
        <v>24</v>
      </c>
      <c r="G4" s="15" t="n">
        <f aca="false">(D4+E4)/2</f>
        <v>106.25</v>
      </c>
      <c r="H4" s="15" t="n">
        <f aca="false">E4-D4</f>
        <v>72.5</v>
      </c>
      <c r="I4" s="16" t="n">
        <f aca="false">H4/G4</f>
        <v>0.682352941176471</v>
      </c>
      <c r="J4" s="10" t="n">
        <f aca="false">LN(G4)</f>
        <v>4.66579480780453</v>
      </c>
      <c r="K4" s="6" t="n">
        <v>188.684</v>
      </c>
      <c r="L4" s="1" t="s">
        <v>47</v>
      </c>
      <c r="M4" s="10" t="n">
        <f aca="false">K4*4/G4</f>
        <v>7.10339764705882</v>
      </c>
      <c r="N4" s="1" t="s">
        <v>279</v>
      </c>
      <c r="O4" s="1" t="s">
        <v>280</v>
      </c>
    </row>
    <row r="5" customFormat="false" ht="15" hidden="false" customHeight="false" outlineLevel="0" collapsed="false">
      <c r="A5" s="1" t="s">
        <v>95</v>
      </c>
      <c r="B5" s="1" t="s">
        <v>281</v>
      </c>
      <c r="C5" s="1" t="n">
        <v>2</v>
      </c>
      <c r="D5" s="6" t="n">
        <v>142.5</v>
      </c>
      <c r="E5" s="6" t="n">
        <v>215</v>
      </c>
      <c r="F5" s="1" t="s">
        <v>24</v>
      </c>
      <c r="G5" s="15" t="n">
        <f aca="false">(D5+E5)/2</f>
        <v>178.75</v>
      </c>
      <c r="H5" s="15" t="n">
        <f aca="false">E5-D5</f>
        <v>72.5</v>
      </c>
      <c r="I5" s="16" t="n">
        <f aca="false">H5/G5</f>
        <v>0.405594405594406</v>
      </c>
      <c r="J5" s="10" t="n">
        <f aca="false">LN(G5)</f>
        <v>5.18598818157412</v>
      </c>
      <c r="K5" s="6" t="n">
        <v>395.371</v>
      </c>
      <c r="L5" s="1" t="s">
        <v>47</v>
      </c>
      <c r="M5" s="10" t="n">
        <f aca="false">K5*4/G5</f>
        <v>8.84746293706294</v>
      </c>
      <c r="N5" s="1" t="s">
        <v>279</v>
      </c>
      <c r="O5" s="1" t="s">
        <v>280</v>
      </c>
    </row>
    <row r="6" customFormat="false" ht="15" hidden="false" customHeight="false" outlineLevel="0" collapsed="false">
      <c r="A6" s="1" t="s">
        <v>95</v>
      </c>
      <c r="B6" s="1" t="s">
        <v>282</v>
      </c>
      <c r="C6" s="1" t="n">
        <v>3</v>
      </c>
      <c r="D6" s="6" t="n">
        <v>215</v>
      </c>
      <c r="E6" s="6" t="n">
        <v>287.5</v>
      </c>
      <c r="F6" s="1" t="s">
        <v>24</v>
      </c>
      <c r="G6" s="15" t="n">
        <f aca="false">(D6+E6)/2</f>
        <v>251.25</v>
      </c>
      <c r="H6" s="15" t="n">
        <f aca="false">E6-D6</f>
        <v>72.5</v>
      </c>
      <c r="I6" s="16" t="n">
        <f aca="false">H6/G6</f>
        <v>0.288557213930348</v>
      </c>
      <c r="J6" s="10" t="n">
        <f aca="false">LN(G6)</f>
        <v>5.52644845937329</v>
      </c>
      <c r="K6" s="6" t="n">
        <v>583.941</v>
      </c>
      <c r="L6" s="1" t="s">
        <v>47</v>
      </c>
      <c r="M6" s="10" t="n">
        <f aca="false">K6*4/G6</f>
        <v>9.29657313432836</v>
      </c>
      <c r="N6" s="1" t="s">
        <v>279</v>
      </c>
      <c r="O6" s="1" t="s">
        <v>280</v>
      </c>
    </row>
    <row r="7" customFormat="false" ht="15" hidden="false" customHeight="false" outlineLevel="0" collapsed="false">
      <c r="A7" s="1" t="s">
        <v>95</v>
      </c>
      <c r="B7" s="1" t="s">
        <v>283</v>
      </c>
      <c r="C7" s="1" t="n">
        <v>4</v>
      </c>
      <c r="D7" s="6" t="n">
        <v>287.5</v>
      </c>
      <c r="E7" s="6" t="n">
        <v>360</v>
      </c>
      <c r="F7" s="1" t="s">
        <v>24</v>
      </c>
      <c r="G7" s="15" t="n">
        <f aca="false">(D7+E7)/2</f>
        <v>323.75</v>
      </c>
      <c r="H7" s="15" t="n">
        <f aca="false">E7-D7</f>
        <v>72.5</v>
      </c>
      <c r="I7" s="16" t="n">
        <f aca="false">H7/G7</f>
        <v>0.223938223938224</v>
      </c>
      <c r="J7" s="10" t="n">
        <f aca="false">LN(G7)</f>
        <v>5.77997161301375</v>
      </c>
      <c r="K7" s="6" t="n">
        <v>747.43</v>
      </c>
      <c r="L7" s="1" t="s">
        <v>47</v>
      </c>
      <c r="M7" s="10" t="n">
        <f aca="false">K7*4/G7</f>
        <v>9.23465637065637</v>
      </c>
      <c r="N7" s="1" t="s">
        <v>279</v>
      </c>
      <c r="O7" s="1" t="s">
        <v>280</v>
      </c>
    </row>
    <row r="8" customFormat="false" ht="15" hidden="false" customHeight="false" outlineLevel="0" collapsed="false">
      <c r="A8" s="1" t="s">
        <v>95</v>
      </c>
      <c r="B8" s="1" t="s">
        <v>284</v>
      </c>
      <c r="C8" s="1" t="n">
        <v>5</v>
      </c>
      <c r="D8" s="6" t="n">
        <v>360</v>
      </c>
      <c r="E8" s="6" t="n">
        <v>420</v>
      </c>
      <c r="F8" s="1" t="s">
        <v>47</v>
      </c>
      <c r="G8" s="15" t="n">
        <f aca="false">(D8+E8)/2</f>
        <v>390</v>
      </c>
      <c r="H8" s="15" t="n">
        <f aca="false">E8-D8</f>
        <v>60</v>
      </c>
      <c r="I8" s="16" t="n">
        <f aca="false">H8/G8</f>
        <v>0.153846153846154</v>
      </c>
      <c r="J8" s="10" t="n">
        <f aca="false">LN(G8)</f>
        <v>5.96614673912369</v>
      </c>
      <c r="K8" s="6" t="n">
        <v>981.632</v>
      </c>
      <c r="L8" s="1" t="s">
        <v>47</v>
      </c>
      <c r="M8" s="10" t="n">
        <f aca="false">K8*4/G8</f>
        <v>10.0680205128205</v>
      </c>
      <c r="N8" s="1" t="s">
        <v>279</v>
      </c>
      <c r="O8" s="1" t="s">
        <v>280</v>
      </c>
    </row>
    <row r="9" customFormat="false" ht="15" hidden="false" customHeight="false" outlineLevel="0" collapsed="false">
      <c r="A9" s="1" t="s">
        <v>95</v>
      </c>
      <c r="B9" s="1" t="s">
        <v>285</v>
      </c>
      <c r="C9" s="1" t="n">
        <v>6</v>
      </c>
      <c r="D9" s="6" t="n">
        <v>420</v>
      </c>
      <c r="E9" s="6" t="n">
        <v>470</v>
      </c>
      <c r="F9" s="1" t="s">
        <v>47</v>
      </c>
      <c r="G9" s="15" t="n">
        <f aca="false">(D9+E9)/2</f>
        <v>445</v>
      </c>
      <c r="H9" s="15" t="n">
        <f aca="false">E9-D9</f>
        <v>50</v>
      </c>
      <c r="I9" s="16" t="n">
        <f aca="false">H9/G9</f>
        <v>0.112359550561798</v>
      </c>
      <c r="J9" s="10" t="n">
        <f aca="false">LN(G9)</f>
        <v>6.09807428216624</v>
      </c>
      <c r="K9" s="6" t="n">
        <v>1212.788</v>
      </c>
      <c r="L9" s="1" t="s">
        <v>47</v>
      </c>
      <c r="M9" s="10" t="n">
        <f aca="false">K9*4/G9</f>
        <v>10.9014651685393</v>
      </c>
      <c r="N9" s="1" t="s">
        <v>279</v>
      </c>
      <c r="O9" s="1" t="s">
        <v>280</v>
      </c>
    </row>
    <row r="10" customFormat="false" ht="15" hidden="false" customHeight="false" outlineLevel="0" collapsed="false">
      <c r="A10" s="1" t="s">
        <v>95</v>
      </c>
      <c r="B10" s="1" t="s">
        <v>286</v>
      </c>
      <c r="C10" s="1" t="n">
        <v>7</v>
      </c>
      <c r="D10" s="6" t="n">
        <v>470</v>
      </c>
      <c r="E10" s="6" t="n">
        <v>590</v>
      </c>
      <c r="F10" s="1" t="s">
        <v>47</v>
      </c>
      <c r="G10" s="15" t="n">
        <f aca="false">(D10+E10)/2</f>
        <v>530</v>
      </c>
      <c r="H10" s="15" t="n">
        <f aca="false">E10-D10</f>
        <v>120</v>
      </c>
      <c r="I10" s="16" t="n">
        <f aca="false">H10/G10</f>
        <v>0.226415094339623</v>
      </c>
      <c r="J10" s="10" t="n">
        <f aca="false">LN(G10)</f>
        <v>6.27287700654617</v>
      </c>
      <c r="K10" s="6" t="n">
        <v>1364.676</v>
      </c>
      <c r="L10" s="1" t="s">
        <v>47</v>
      </c>
      <c r="M10" s="10" t="n">
        <f aca="false">K10*4/G10</f>
        <v>10.299441509434</v>
      </c>
      <c r="N10" s="1" t="s">
        <v>279</v>
      </c>
      <c r="O10" s="1" t="s">
        <v>280</v>
      </c>
    </row>
    <row r="11" customFormat="false" ht="15" hidden="false" customHeight="false" outlineLevel="0" collapsed="false">
      <c r="A11" s="1" t="s">
        <v>95</v>
      </c>
      <c r="B11" s="1" t="s">
        <v>287</v>
      </c>
      <c r="C11" s="1" t="n">
        <v>8</v>
      </c>
      <c r="D11" s="6" t="n">
        <v>590</v>
      </c>
      <c r="E11" s="6" t="n">
        <v>850</v>
      </c>
      <c r="F11" s="1" t="s">
        <v>47</v>
      </c>
      <c r="G11" s="15" t="n">
        <f aca="false">(D11+E11)/2</f>
        <v>720</v>
      </c>
      <c r="H11" s="15" t="n">
        <f aca="false">E11-D11</f>
        <v>260</v>
      </c>
      <c r="I11" s="16" t="n">
        <f aca="false">H11/G11</f>
        <v>0.361111111111111</v>
      </c>
      <c r="J11" s="10" t="n">
        <f aca="false">LN(G11)</f>
        <v>6.5792512120101</v>
      </c>
      <c r="K11" s="6" t="n">
        <v>1572</v>
      </c>
      <c r="L11" s="1" t="s">
        <v>47</v>
      </c>
      <c r="M11" s="10" t="n">
        <f aca="false">K11*4/G11</f>
        <v>8.73333333333333</v>
      </c>
      <c r="N11" s="1" t="s">
        <v>279</v>
      </c>
      <c r="O11" s="1" t="s">
        <v>280</v>
      </c>
    </row>
    <row r="12" customFormat="false" ht="15" hidden="false" customHeight="false" outlineLevel="0" collapsed="false">
      <c r="A12" s="1" t="s">
        <v>95</v>
      </c>
      <c r="B12" s="1" t="s">
        <v>288</v>
      </c>
      <c r="C12" s="1" t="n">
        <v>9</v>
      </c>
      <c r="D12" s="6" t="n">
        <v>850</v>
      </c>
      <c r="E12" s="6" t="n">
        <v>1000</v>
      </c>
      <c r="F12" s="1" t="s">
        <v>47</v>
      </c>
      <c r="G12" s="15" t="n">
        <f aca="false">(D12+E12)/2</f>
        <v>925</v>
      </c>
      <c r="H12" s="15" t="n">
        <f aca="false">E12-D12</f>
        <v>150</v>
      </c>
      <c r="I12" s="16" t="n">
        <f aca="false">H12/G12</f>
        <v>0.162162162162162</v>
      </c>
      <c r="J12" s="10" t="n">
        <f aca="false">LN(G12)</f>
        <v>6.82979373751243</v>
      </c>
      <c r="K12" s="6" t="n">
        <v>2078</v>
      </c>
      <c r="L12" s="1" t="s">
        <v>47</v>
      </c>
      <c r="M12" s="10" t="n">
        <f aca="false">K12*4/G12</f>
        <v>8.98594594594595</v>
      </c>
      <c r="N12" s="1" t="s">
        <v>279</v>
      </c>
      <c r="O12" s="1" t="s">
        <v>280</v>
      </c>
    </row>
    <row r="13" customFormat="false" ht="15" hidden="false" customHeight="false" outlineLevel="0" collapsed="false">
      <c r="A13" s="1" t="s">
        <v>95</v>
      </c>
      <c r="B13" s="1" t="s">
        <v>289</v>
      </c>
      <c r="C13" s="1" t="n">
        <v>10</v>
      </c>
      <c r="D13" s="6" t="n">
        <v>1000</v>
      </c>
      <c r="E13" s="6" t="n">
        <v>1500</v>
      </c>
      <c r="F13" s="1" t="s">
        <v>47</v>
      </c>
      <c r="G13" s="15" t="n">
        <f aca="false">(D13+E13)/2</f>
        <v>1250</v>
      </c>
      <c r="H13" s="15" t="n">
        <f aca="false">E13-D13</f>
        <v>500</v>
      </c>
      <c r="I13" s="16" t="n">
        <f aca="false">H13/G13</f>
        <v>0.4</v>
      </c>
      <c r="J13" s="10" t="n">
        <f aca="false">LN(G13)</f>
        <v>7.13089883029635</v>
      </c>
      <c r="K13" s="6" t="n">
        <v>2575</v>
      </c>
      <c r="L13" s="1" t="s">
        <v>47</v>
      </c>
      <c r="M13" s="10" t="n">
        <f aca="false">K13*4/G13</f>
        <v>8.24</v>
      </c>
      <c r="N13" s="1" t="s">
        <v>279</v>
      </c>
      <c r="O13" s="1" t="s">
        <v>280</v>
      </c>
    </row>
    <row r="14" customFormat="false" ht="15" hidden="false" customHeight="false" outlineLevel="0" collapsed="false">
      <c r="A14" s="1" t="s">
        <v>82</v>
      </c>
      <c r="B14" s="1" t="s">
        <v>281</v>
      </c>
      <c r="C14" s="1" t="n">
        <v>1</v>
      </c>
      <c r="D14" s="6" t="n">
        <v>1.14446002805049</v>
      </c>
      <c r="E14" s="6" t="n">
        <v>1.14446002805049</v>
      </c>
      <c r="F14" s="1" t="s">
        <v>24</v>
      </c>
      <c r="G14" s="15" t="n">
        <f aca="false">(D14+E14)/2</f>
        <v>1.14446002805049</v>
      </c>
      <c r="H14" s="15" t="n">
        <f aca="false">E14-D14</f>
        <v>0</v>
      </c>
      <c r="I14" s="16" t="n">
        <f aca="false">H14/G14</f>
        <v>0</v>
      </c>
      <c r="J14" s="10" t="n">
        <f aca="false">LN(G14)</f>
        <v>0.13493293454981</v>
      </c>
      <c r="K14" s="6" t="n">
        <v>2.538</v>
      </c>
      <c r="L14" s="1" t="s">
        <v>47</v>
      </c>
      <c r="M14" s="10" t="n">
        <f aca="false">K14*4/G14</f>
        <v>8.87055882352942</v>
      </c>
      <c r="N14" s="1" t="s">
        <v>290</v>
      </c>
      <c r="O14" s="1" t="s">
        <v>291</v>
      </c>
    </row>
    <row r="15" customFormat="false" ht="15" hidden="false" customHeight="false" outlineLevel="0" collapsed="false">
      <c r="A15" s="1" t="s">
        <v>82</v>
      </c>
      <c r="B15" s="1" t="s">
        <v>282</v>
      </c>
      <c r="C15" s="1" t="n">
        <v>2</v>
      </c>
      <c r="D15" s="6" t="n">
        <v>1.14446002805049</v>
      </c>
      <c r="E15" s="6" t="n">
        <v>1.14446002805049</v>
      </c>
      <c r="F15" s="1" t="s">
        <v>24</v>
      </c>
      <c r="G15" s="15" t="n">
        <f aca="false">(D15+E15)/2</f>
        <v>1.14446002805049</v>
      </c>
      <c r="H15" s="15" t="n">
        <f aca="false">E15-D15</f>
        <v>0</v>
      </c>
      <c r="I15" s="16" t="n">
        <f aca="false">H15/G15</f>
        <v>0</v>
      </c>
      <c r="J15" s="10" t="n">
        <f aca="false">LN(G15)</f>
        <v>0.13493293454981</v>
      </c>
      <c r="K15" s="6" t="n">
        <v>3.189</v>
      </c>
      <c r="L15" s="1" t="s">
        <v>47</v>
      </c>
      <c r="M15" s="10" t="n">
        <f aca="false">K15*4/G15</f>
        <v>11.1458676470588</v>
      </c>
      <c r="N15" s="1" t="s">
        <v>290</v>
      </c>
      <c r="O15" s="1" t="s">
        <v>291</v>
      </c>
    </row>
    <row r="16" customFormat="false" ht="15" hidden="false" customHeight="false" outlineLevel="0" collapsed="false">
      <c r="A16" s="1" t="s">
        <v>82</v>
      </c>
      <c r="B16" s="1" t="s">
        <v>283</v>
      </c>
      <c r="C16" s="1" t="n">
        <v>3</v>
      </c>
      <c r="D16" s="6" t="n">
        <v>1.14446002805049</v>
      </c>
      <c r="E16" s="6" t="n">
        <v>2.65918653576438</v>
      </c>
      <c r="F16" s="1" t="s">
        <v>24</v>
      </c>
      <c r="G16" s="15" t="n">
        <f aca="false">(D16+E16)/2</f>
        <v>1.90182328190744</v>
      </c>
      <c r="H16" s="15" t="n">
        <f aca="false">E16-D16</f>
        <v>1.51472650771389</v>
      </c>
      <c r="I16" s="16" t="n">
        <f aca="false">H16/G16</f>
        <v>0.796460176991153</v>
      </c>
      <c r="J16" s="10" t="n">
        <f aca="false">LN(G16)</f>
        <v>0.642813048086046</v>
      </c>
      <c r="K16" s="6" t="n">
        <v>2.661</v>
      </c>
      <c r="L16" s="1" t="s">
        <v>47</v>
      </c>
      <c r="M16" s="10" t="n">
        <f aca="false">K16*4/G16</f>
        <v>5.59673451327433</v>
      </c>
      <c r="N16" s="1" t="s">
        <v>290</v>
      </c>
      <c r="O16" s="1" t="s">
        <v>291</v>
      </c>
    </row>
    <row r="17" customFormat="false" ht="15" hidden="false" customHeight="false" outlineLevel="0" collapsed="false">
      <c r="A17" s="1" t="s">
        <v>82</v>
      </c>
      <c r="B17" s="1" t="s">
        <v>284</v>
      </c>
      <c r="C17" s="1" t="n">
        <v>4</v>
      </c>
      <c r="D17" s="6" t="n">
        <v>2.65918653576438</v>
      </c>
      <c r="E17" s="6" t="n">
        <v>2.65918653576438</v>
      </c>
      <c r="F17" s="1" t="s">
        <v>24</v>
      </c>
      <c r="G17" s="15" t="n">
        <f aca="false">(D17+E17)/2</f>
        <v>2.65918653576438</v>
      </c>
      <c r="H17" s="15" t="n">
        <f aca="false">E17-D17</f>
        <v>0</v>
      </c>
      <c r="I17" s="16" t="n">
        <f aca="false">H17/G17</f>
        <v>0</v>
      </c>
      <c r="J17" s="10" t="n">
        <f aca="false">LN(G17)</f>
        <v>0.978020262400673</v>
      </c>
      <c r="K17" s="6" t="n">
        <v>3.581</v>
      </c>
      <c r="L17" s="1" t="s">
        <v>47</v>
      </c>
      <c r="M17" s="10" t="n">
        <f aca="false">K17*4/G17</f>
        <v>5.38660970464134</v>
      </c>
      <c r="N17" s="1" t="s">
        <v>290</v>
      </c>
      <c r="O17" s="1" t="s">
        <v>291</v>
      </c>
    </row>
    <row r="18" customFormat="false" ht="15" hidden="false" customHeight="false" outlineLevel="0" collapsed="false">
      <c r="A18" s="1" t="s">
        <v>82</v>
      </c>
      <c r="B18" s="1" t="s">
        <v>285</v>
      </c>
      <c r="C18" s="1" t="n">
        <v>5</v>
      </c>
      <c r="D18" s="6" t="n">
        <v>2.65918653576438</v>
      </c>
      <c r="E18" s="6" t="n">
        <v>2.66479663394109</v>
      </c>
      <c r="F18" s="1" t="s">
        <v>24</v>
      </c>
      <c r="G18" s="15" t="n">
        <f aca="false">(D18+E18)/2</f>
        <v>2.66199158485273</v>
      </c>
      <c r="H18" s="15" t="n">
        <f aca="false">E18-D18</f>
        <v>0.00561009817670977</v>
      </c>
      <c r="I18" s="16" t="n">
        <f aca="false">H18/G18</f>
        <v>0.00210748155953323</v>
      </c>
      <c r="J18" s="10" t="n">
        <f aca="false">LN(G18)</f>
        <v>0.979074558755577</v>
      </c>
      <c r="K18" s="6" t="n">
        <v>6.963</v>
      </c>
      <c r="L18" s="1" t="s">
        <v>47</v>
      </c>
      <c r="M18" s="10" t="n">
        <f aca="false">K18*4/G18</f>
        <v>10.4628429926238</v>
      </c>
      <c r="N18" s="1" t="s">
        <v>290</v>
      </c>
      <c r="O18" s="1" t="s">
        <v>291</v>
      </c>
    </row>
    <row r="19" customFormat="false" ht="15" hidden="false" customHeight="false" outlineLevel="0" collapsed="false">
      <c r="A19" s="1" t="s">
        <v>82</v>
      </c>
      <c r="B19" s="1" t="s">
        <v>286</v>
      </c>
      <c r="C19" s="1" t="n">
        <v>6</v>
      </c>
      <c r="D19" s="6" t="n">
        <v>2.66479663394109</v>
      </c>
      <c r="E19" s="6" t="n">
        <v>2.945301542777</v>
      </c>
      <c r="F19" s="1" t="s">
        <v>24</v>
      </c>
      <c r="G19" s="15" t="n">
        <f aca="false">(D19+E19)/2</f>
        <v>2.80504908835905</v>
      </c>
      <c r="H19" s="15" t="n">
        <f aca="false">E19-D19</f>
        <v>0.28050490883591</v>
      </c>
      <c r="I19" s="16" t="n">
        <f aca="false">H19/G19</f>
        <v>0.100000000000002</v>
      </c>
      <c r="J19" s="10" t="n">
        <f aca="false">LN(G19)</f>
        <v>1.03142103912779</v>
      </c>
      <c r="K19" s="6" t="n">
        <v>7.347</v>
      </c>
      <c r="L19" s="1" t="s">
        <v>47</v>
      </c>
      <c r="M19" s="10" t="n">
        <f aca="false">K19*4/G19</f>
        <v>10.476822</v>
      </c>
      <c r="N19" s="1" t="s">
        <v>290</v>
      </c>
      <c r="O19" s="1" t="s">
        <v>291</v>
      </c>
    </row>
    <row r="20" customFormat="false" ht="15" hidden="false" customHeight="false" outlineLevel="0" collapsed="false">
      <c r="A20" s="1" t="s">
        <v>82</v>
      </c>
      <c r="B20" s="1" t="s">
        <v>289</v>
      </c>
      <c r="C20" s="1" t="n">
        <v>9</v>
      </c>
      <c r="D20" s="1" t="s">
        <v>85</v>
      </c>
      <c r="E20" s="6" t="n">
        <v>40</v>
      </c>
      <c r="F20" s="1" t="s">
        <v>47</v>
      </c>
      <c r="G20" s="15" t="s">
        <v>85</v>
      </c>
      <c r="H20" s="15" t="s">
        <v>85</v>
      </c>
      <c r="I20" s="16" t="s">
        <v>85</v>
      </c>
      <c r="J20" s="10" t="s">
        <v>85</v>
      </c>
      <c r="K20" s="6" t="n">
        <v>70.515</v>
      </c>
      <c r="L20" s="1" t="s">
        <v>47</v>
      </c>
      <c r="M20" s="10" t="n">
        <f aca="false">K20*4/E20</f>
        <v>7.0515</v>
      </c>
      <c r="N20" s="1" t="s">
        <v>290</v>
      </c>
      <c r="O20" s="1" t="s">
        <v>292</v>
      </c>
    </row>
    <row r="21" customFormat="false" ht="15" hidden="false" customHeight="false" outlineLevel="0" collapsed="false">
      <c r="A21" s="1" t="s">
        <v>123</v>
      </c>
      <c r="B21" s="1" t="s">
        <v>282</v>
      </c>
      <c r="C21" s="1" t="n">
        <v>1</v>
      </c>
      <c r="D21" s="6" t="n">
        <v>25</v>
      </c>
      <c r="E21" s="6" t="n">
        <v>25</v>
      </c>
      <c r="F21" s="1" t="s">
        <v>24</v>
      </c>
      <c r="G21" s="15" t="n">
        <f aca="false">(D21+E21)/2</f>
        <v>25</v>
      </c>
      <c r="H21" s="15" t="n">
        <f aca="false">E21-D21</f>
        <v>0</v>
      </c>
      <c r="I21" s="16" t="n">
        <f aca="false">H21/G21</f>
        <v>0</v>
      </c>
      <c r="J21" s="10" t="n">
        <f aca="false">LN(G21)</f>
        <v>3.2188758248682</v>
      </c>
      <c r="K21" s="6" t="n">
        <v>27.1</v>
      </c>
      <c r="L21" s="1" t="s">
        <v>47</v>
      </c>
      <c r="M21" s="10" t="n">
        <f aca="false">K21*4/G21</f>
        <v>4.336</v>
      </c>
      <c r="N21" s="1" t="s">
        <v>290</v>
      </c>
      <c r="O21" s="1" t="s">
        <v>293</v>
      </c>
    </row>
    <row r="22" customFormat="false" ht="15" hidden="false" customHeight="false" outlineLevel="0" collapsed="false">
      <c r="A22" s="1" t="s">
        <v>123</v>
      </c>
      <c r="B22" s="1" t="s">
        <v>283</v>
      </c>
      <c r="C22" s="1" t="n">
        <v>2</v>
      </c>
      <c r="D22" s="6" t="n">
        <v>25</v>
      </c>
      <c r="E22" s="6" t="n">
        <v>25</v>
      </c>
      <c r="F22" s="1" t="s">
        <v>24</v>
      </c>
      <c r="G22" s="15" t="n">
        <f aca="false">(D22+E22)/2</f>
        <v>25</v>
      </c>
      <c r="H22" s="15" t="n">
        <f aca="false">E22-D22</f>
        <v>0</v>
      </c>
      <c r="I22" s="16" t="n">
        <f aca="false">H22/G22</f>
        <v>0</v>
      </c>
      <c r="J22" s="10" t="n">
        <f aca="false">LN(G22)</f>
        <v>3.2188758248682</v>
      </c>
      <c r="K22" s="6" t="n">
        <v>23.8</v>
      </c>
      <c r="L22" s="1" t="s">
        <v>47</v>
      </c>
      <c r="M22" s="10" t="n">
        <f aca="false">K22*4/G22</f>
        <v>3.808</v>
      </c>
      <c r="N22" s="1" t="s">
        <v>290</v>
      </c>
      <c r="O22" s="1" t="s">
        <v>293</v>
      </c>
    </row>
    <row r="23" customFormat="false" ht="15" hidden="false" customHeight="false" outlineLevel="0" collapsed="false">
      <c r="A23" s="1" t="s">
        <v>123</v>
      </c>
      <c r="B23" s="1" t="s">
        <v>284</v>
      </c>
      <c r="C23" s="1" t="n">
        <v>3</v>
      </c>
      <c r="D23" s="6" t="n">
        <v>25</v>
      </c>
      <c r="E23" s="6" t="n">
        <v>40</v>
      </c>
      <c r="F23" s="1" t="s">
        <v>24</v>
      </c>
      <c r="G23" s="15" t="n">
        <f aca="false">(D23+E23)/2</f>
        <v>32.5</v>
      </c>
      <c r="H23" s="15" t="n">
        <f aca="false">E23-D23</f>
        <v>15</v>
      </c>
      <c r="I23" s="16" t="n">
        <f aca="false">H23/G23</f>
        <v>0.461538461538462</v>
      </c>
      <c r="J23" s="10" t="n">
        <f aca="false">LN(G23)</f>
        <v>3.48124008933569</v>
      </c>
      <c r="K23" s="6" t="n">
        <v>41.4</v>
      </c>
      <c r="L23" s="1" t="s">
        <v>47</v>
      </c>
      <c r="M23" s="10" t="n">
        <f aca="false">K23*4/G23</f>
        <v>5.09538461538462</v>
      </c>
      <c r="N23" s="1" t="s">
        <v>290</v>
      </c>
      <c r="O23" s="1" t="s">
        <v>293</v>
      </c>
    </row>
    <row r="24" customFormat="false" ht="15" hidden="false" customHeight="false" outlineLevel="0" collapsed="false">
      <c r="A24" s="1" t="s">
        <v>123</v>
      </c>
      <c r="B24" s="1" t="s">
        <v>285</v>
      </c>
      <c r="C24" s="1" t="n">
        <v>4</v>
      </c>
      <c r="D24" s="6" t="n">
        <v>40</v>
      </c>
      <c r="E24" s="6" t="n">
        <v>45</v>
      </c>
      <c r="F24" s="1" t="s">
        <v>24</v>
      </c>
      <c r="G24" s="15" t="n">
        <f aca="false">(D24+E24)/2</f>
        <v>42.5</v>
      </c>
      <c r="H24" s="15" t="n">
        <f aca="false">E24-D24</f>
        <v>5</v>
      </c>
      <c r="I24" s="16" t="n">
        <f aca="false">H24/G24</f>
        <v>0.117647058823529</v>
      </c>
      <c r="J24" s="10" t="n">
        <f aca="false">LN(G24)</f>
        <v>3.74950407593037</v>
      </c>
      <c r="K24" s="6" t="n">
        <v>93.7</v>
      </c>
      <c r="L24" s="1" t="s">
        <v>47</v>
      </c>
      <c r="M24" s="10" t="n">
        <f aca="false">K24*4/G24</f>
        <v>8.81882352941176</v>
      </c>
      <c r="N24" s="1" t="s">
        <v>290</v>
      </c>
      <c r="O24" s="1" t="s">
        <v>293</v>
      </c>
    </row>
    <row r="25" customFormat="false" ht="15" hidden="false" customHeight="false" outlineLevel="0" collapsed="false">
      <c r="A25" s="1" t="s">
        <v>123</v>
      </c>
      <c r="B25" s="1" t="s">
        <v>286</v>
      </c>
      <c r="C25" s="1" t="n">
        <v>5</v>
      </c>
      <c r="D25" s="6" t="n">
        <v>45</v>
      </c>
      <c r="E25" s="6" t="n">
        <v>62.5</v>
      </c>
      <c r="F25" s="1" t="s">
        <v>24</v>
      </c>
      <c r="G25" s="15" t="n">
        <f aca="false">(D25+E25)/2</f>
        <v>53.75</v>
      </c>
      <c r="H25" s="15" t="n">
        <f aca="false">E25-D25</f>
        <v>17.5</v>
      </c>
      <c r="I25" s="16" t="n">
        <f aca="false">H25/G25</f>
        <v>0.325581395348837</v>
      </c>
      <c r="J25" s="10" t="n">
        <f aca="false">LN(G25)</f>
        <v>3.98434366700777</v>
      </c>
      <c r="K25" s="6" t="n">
        <v>131.1</v>
      </c>
      <c r="L25" s="1" t="s">
        <v>47</v>
      </c>
      <c r="M25" s="10" t="n">
        <f aca="false">K25*4/G25</f>
        <v>9.75627906976744</v>
      </c>
      <c r="N25" s="1" t="s">
        <v>290</v>
      </c>
      <c r="O25" s="1" t="s">
        <v>293</v>
      </c>
    </row>
    <row r="26" customFormat="false" ht="15" hidden="false" customHeight="false" outlineLevel="0" collapsed="false">
      <c r="A26" s="1" t="s">
        <v>123</v>
      </c>
      <c r="B26" s="1" t="s">
        <v>287</v>
      </c>
      <c r="C26" s="1" t="n">
        <v>6</v>
      </c>
      <c r="D26" s="6" t="n">
        <v>62.5</v>
      </c>
      <c r="E26" s="6" t="n">
        <v>170</v>
      </c>
      <c r="F26" s="1" t="s">
        <v>24</v>
      </c>
      <c r="G26" s="15" t="n">
        <f aca="false">(D26+E26)/2</f>
        <v>116.25</v>
      </c>
      <c r="H26" s="15" t="n">
        <f aca="false">E26-D26</f>
        <v>107.5</v>
      </c>
      <c r="I26" s="16" t="n">
        <f aca="false">H26/G26</f>
        <v>0.924731182795699</v>
      </c>
      <c r="J26" s="10" t="n">
        <f aca="false">LN(G26)</f>
        <v>4.75574304446747</v>
      </c>
      <c r="K26" s="6" t="n">
        <v>214.1</v>
      </c>
      <c r="L26" s="1" t="s">
        <v>47</v>
      </c>
      <c r="M26" s="10" t="n">
        <f aca="false">K26*4/G26</f>
        <v>7.36688172043011</v>
      </c>
      <c r="N26" s="1" t="s">
        <v>290</v>
      </c>
      <c r="O26" s="1" t="s">
        <v>293</v>
      </c>
    </row>
    <row r="27" customFormat="false" ht="15" hidden="false" customHeight="false" outlineLevel="0" collapsed="false">
      <c r="A27" s="1" t="s">
        <v>123</v>
      </c>
      <c r="B27" s="1" t="s">
        <v>288</v>
      </c>
      <c r="C27" s="1" t="n">
        <v>7</v>
      </c>
      <c r="D27" s="6" t="n">
        <v>170</v>
      </c>
      <c r="E27" s="6" t="n">
        <v>171.5</v>
      </c>
      <c r="F27" s="1" t="s">
        <v>24</v>
      </c>
      <c r="G27" s="15" t="n">
        <f aca="false">(D27+E27)/2</f>
        <v>170.75</v>
      </c>
      <c r="H27" s="15" t="n">
        <f aca="false">E27-D27</f>
        <v>1.5</v>
      </c>
      <c r="I27" s="16" t="n">
        <f aca="false">H27/G27</f>
        <v>0.00878477306002928</v>
      </c>
      <c r="J27" s="10" t="n">
        <f aca="false">LN(G27)</f>
        <v>5.1402004984509</v>
      </c>
      <c r="K27" s="6" t="n">
        <v>389.7</v>
      </c>
      <c r="L27" s="1" t="s">
        <v>47</v>
      </c>
      <c r="M27" s="10" t="n">
        <f aca="false">K27*4/G27</f>
        <v>9.12913616398243</v>
      </c>
      <c r="N27" s="1" t="s">
        <v>290</v>
      </c>
      <c r="O27" s="1" t="s">
        <v>293</v>
      </c>
    </row>
    <row r="28" customFormat="false" ht="15" hidden="false" customHeight="false" outlineLevel="0" collapsed="false">
      <c r="A28" s="1" t="s">
        <v>123</v>
      </c>
      <c r="B28" s="1" t="s">
        <v>289</v>
      </c>
      <c r="C28" s="1" t="n">
        <v>8</v>
      </c>
      <c r="D28" s="6" t="n">
        <v>171.5</v>
      </c>
      <c r="E28" s="6" t="n">
        <v>173</v>
      </c>
      <c r="F28" s="1" t="s">
        <v>24</v>
      </c>
      <c r="G28" s="15" t="n">
        <f aca="false">(D28+E28)/2</f>
        <v>172.25</v>
      </c>
      <c r="H28" s="15" t="n">
        <f aca="false">E28-D28</f>
        <v>1.5</v>
      </c>
      <c r="I28" s="16" t="n">
        <f aca="false">H28/G28</f>
        <v>0.00870827285921626</v>
      </c>
      <c r="J28" s="10" t="n">
        <f aca="false">LN(G28)</f>
        <v>5.14894690989377</v>
      </c>
      <c r="K28" s="6" t="n">
        <v>574.9</v>
      </c>
      <c r="L28" s="1" t="s">
        <v>47</v>
      </c>
      <c r="M28" s="10" t="n">
        <f aca="false">K28*4/G28</f>
        <v>13.3503628447025</v>
      </c>
      <c r="N28" s="1" t="s">
        <v>290</v>
      </c>
      <c r="O28" s="1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11" min="2" style="1" width="13"/>
  </cols>
  <sheetData>
    <row r="1" customFormat="false" ht="15" hidden="false" customHeight="false" outlineLevel="0" collapsed="false">
      <c r="A1" s="4" t="s">
        <v>294</v>
      </c>
    </row>
    <row r="3" customFormat="false" ht="15" hidden="false" customHeight="false" outlineLevel="0" collapsed="false">
      <c r="A3" s="5" t="s">
        <v>295</v>
      </c>
      <c r="B3" s="5" t="s">
        <v>296</v>
      </c>
      <c r="C3" s="5" t="s">
        <v>297</v>
      </c>
      <c r="D3" s="5" t="s">
        <v>298</v>
      </c>
      <c r="E3" s="5" t="s">
        <v>299</v>
      </c>
      <c r="F3" s="5" t="s">
        <v>300</v>
      </c>
      <c r="G3" s="5" t="s">
        <v>301</v>
      </c>
      <c r="H3" s="5" t="s">
        <v>302</v>
      </c>
      <c r="I3" s="5" t="s">
        <v>303</v>
      </c>
      <c r="J3" s="5" t="s">
        <v>21</v>
      </c>
    </row>
    <row r="4" customFormat="false" ht="15" hidden="false" customHeight="false" outlineLevel="0" collapsed="false">
      <c r="A4" s="1" t="s">
        <v>304</v>
      </c>
      <c r="B4" s="16" t="n">
        <f aca="false">INTERCEPT(Dilution_Data!$M$4:$M$13,Dilution_Data!$I$4:$I$13)</f>
        <v>10.8831542206435</v>
      </c>
      <c r="C4" s="16" t="n">
        <f aca="false">SLOPE(Dilution_Data!$M$4:$M$13,Dilution_Data!$I$4:$I$13)</f>
        <v>-5.67617161506711</v>
      </c>
      <c r="D4" s="16" t="n">
        <f aca="false">RSQ(Dilution_Data!$M$4:$M$13,Dilution_Data!$I$4:$I$13)</f>
        <v>0.786680138468085</v>
      </c>
      <c r="E4" s="16" t="n">
        <f aca="false">STEYX(Dilution_Data!$M$4:$M$13,Dilution_Data!$I$4:$I$13)/SQRT(DEVSQ(Dilution_Data!$I$4:$I$13))</f>
        <v>1.0450259569936</v>
      </c>
      <c r="F4" s="16" t="n">
        <f aca="false">-C4/B4</f>
        <v>0.521555745695521</v>
      </c>
      <c r="G4" s="16" t="n">
        <f aca="false">-(C4+E4)/B4</f>
        <v>0.425533403660585</v>
      </c>
      <c r="H4" s="16" t="n">
        <f aca="false">-(C4-E4)/B4</f>
        <v>0.617578087730458</v>
      </c>
      <c r="I4" s="1" t="n">
        <f aca="false">COUNT(Dilution_Data!$M$4:$M$13)</f>
        <v>10</v>
      </c>
      <c r="J4" s="1" t="s">
        <v>197</v>
      </c>
    </row>
    <row r="5" customFormat="false" ht="15" hidden="false" customHeight="false" outlineLevel="0" collapsed="false">
      <c r="A5" s="1" t="s">
        <v>305</v>
      </c>
      <c r="B5" s="16" t="n">
        <f aca="false">INTERCEPT(Dilution_Data!$M$8:$M$13,Dilution_Data!$I$8:$I$13)</f>
        <v>11.1942885782111</v>
      </c>
      <c r="C5" s="16" t="n">
        <f aca="false">SLOPE(Dilution_Data!$M$8:$M$13,Dilution_Data!$I$8:$I$13)</f>
        <v>-7.0185511724125</v>
      </c>
      <c r="D5" s="16" t="n">
        <f aca="false">RSQ(Dilution_Data!$M$8:$M$13,Dilution_Data!$I$8:$I$13)</f>
        <v>0.644890329418228</v>
      </c>
      <c r="E5" s="16" t="n">
        <f aca="false">STEYX(Dilution_Data!$M$8:$M$13,Dilution_Data!$I$8:$I$13)/SQRT(DEVSQ(Dilution_Data!$I$8:$I$13))</f>
        <v>2.60408881721394</v>
      </c>
      <c r="F5" s="16" t="n">
        <f aca="false">-C5/B5</f>
        <v>0.62697608011228</v>
      </c>
      <c r="G5" s="16" t="n">
        <f aca="false">-(C5+E5)/B5</f>
        <v>0.394349522469072</v>
      </c>
      <c r="H5" s="16" t="n">
        <f aca="false">-(C5-E5)/B5</f>
        <v>0.859602637755488</v>
      </c>
      <c r="I5" s="1" t="n">
        <f aca="false">COUNT(Dilution_Data!$M$8:$M$13)</f>
        <v>6</v>
      </c>
      <c r="J5" s="1" t="s">
        <v>197</v>
      </c>
    </row>
    <row r="6" customFormat="false" ht="15" hidden="false" customHeight="false" outlineLevel="0" collapsed="false">
      <c r="A6" s="1" t="s">
        <v>306</v>
      </c>
      <c r="B6" s="16" t="n">
        <f aca="false">INTERCEPT(Dilution_Data!$M$4:$M$13,Dilution_Data!$J$4:$J$13)</f>
        <v>6.89381449040078</v>
      </c>
      <c r="C6" s="16" t="n">
        <f aca="false">SLOPE(Dilution_Data!$M$4:$M$13,Dilution_Data!$J$4:$J$13)</f>
        <v>0.379313046939381</v>
      </c>
      <c r="D6" s="16" t="n">
        <f aca="false">RSQ(Dilution_Data!$M$4:$M$13,Dilution_Data!$J$4:$J$13)</f>
        <v>0.069504413133992</v>
      </c>
      <c r="E6" s="16" t="n">
        <f aca="false">STEYX(Dilution_Data!$M$4:$M$13,Dilution_Data!$J$4:$J$13)/SQRT(DEVSQ(Dilution_Data!$J$4:$J$13))</f>
        <v>0.49068610052911</v>
      </c>
      <c r="F6" s="16" t="s">
        <v>307</v>
      </c>
      <c r="G6" s="16" t="s">
        <v>307</v>
      </c>
      <c r="H6" s="16" t="s">
        <v>307</v>
      </c>
      <c r="I6" s="1" t="n">
        <f aca="false">COUNT(Dilution_Data!$M$4:$M$13)</f>
        <v>10</v>
      </c>
      <c r="J6" s="1" t="s">
        <v>197</v>
      </c>
    </row>
    <row r="7" customFormat="false" ht="15" hidden="false" customHeight="false" outlineLevel="0" collapsed="false">
      <c r="A7" s="1" t="s">
        <v>308</v>
      </c>
      <c r="B7" s="16" t="n">
        <f aca="false">INTERCEPT(Dilution_Data!$M$8:$M$13,Dilution_Data!$J$8:$J$13)</f>
        <v>22.826389812595</v>
      </c>
      <c r="C7" s="16" t="n">
        <f aca="false">SLOPE(Dilution_Data!$M$8:$M$13,Dilution_Data!$J$8:$J$13)</f>
        <v>-2.05082816743011</v>
      </c>
      <c r="D7" s="16" t="n">
        <f aca="false">RSQ(Dilution_Data!$M$8:$M$13,Dilution_Data!$J$8:$J$13)</f>
        <v>0.791969974631007</v>
      </c>
      <c r="E7" s="16" t="n">
        <f aca="false">STEYX(Dilution_Data!$M$8:$M$13,Dilution_Data!$J$8:$J$13)/SQRT(DEVSQ(Dilution_Data!$J$8:$J$13))</f>
        <v>0.52554260646068</v>
      </c>
      <c r="F7" s="16" t="s">
        <v>307</v>
      </c>
      <c r="G7" s="16" t="s">
        <v>307</v>
      </c>
      <c r="H7" s="16" t="s">
        <v>307</v>
      </c>
      <c r="I7" s="1" t="n">
        <f aca="false">COUNT(Dilution_Data!$M$8:$M$13)</f>
        <v>6</v>
      </c>
      <c r="J7" s="1" t="s">
        <v>197</v>
      </c>
    </row>
    <row r="8" customFormat="false" ht="15" hidden="false" customHeight="false" outlineLevel="0" collapsed="false">
      <c r="A8" s="1" t="s">
        <v>309</v>
      </c>
      <c r="B8" s="16" t="n">
        <f aca="false">INTERCEPT(Dilution_Data!$M$23:$M$28,Dilution_Data!$I$23:$I$28)</f>
        <v>10.3601480797821</v>
      </c>
      <c r="C8" s="16" t="n">
        <f aca="false">SLOPE(Dilution_Data!$M$23:$M$28,Dilution_Data!$I$23:$I$28)</f>
        <v>-4.6800552136385</v>
      </c>
      <c r="D8" s="16" t="n">
        <f aca="false">RSQ(Dilution_Data!$M$23:$M$28,Dilution_Data!$I$23:$I$28)</f>
        <v>0.362643814591953</v>
      </c>
      <c r="E8" s="16" t="n">
        <f aca="false">STEYX(Dilution_Data!$M$23:$M$28,Dilution_Data!$I$23:$I$28)/SQRT(DEVSQ(Dilution_Data!$I$23:$I$28))</f>
        <v>3.10221537809977</v>
      </c>
      <c r="F8" s="16" t="n">
        <f aca="false">-C8/B8</f>
        <v>0.451736324384363</v>
      </c>
      <c r="G8" s="16" t="n">
        <f aca="false">-(C8+E8)/B8</f>
        <v>0.152298965554159</v>
      </c>
      <c r="H8" s="16" t="n">
        <f aca="false">-(C8-E8)/B8</f>
        <v>0.751173683214567</v>
      </c>
      <c r="I8" s="1" t="n">
        <f aca="false">COUNT(Dilution_Data!$M$23:$M$28)</f>
        <v>6</v>
      </c>
      <c r="J8" s="1" t="s">
        <v>197</v>
      </c>
    </row>
    <row r="9" customFormat="false" ht="15" hidden="false" customHeight="false" outlineLevel="0" collapsed="false">
      <c r="A9" s="1" t="s">
        <v>310</v>
      </c>
      <c r="B9" s="16" t="n">
        <f aca="false">INTERCEPT(Dilution_Data!$M$14:$M$19,Dilution_Data!$I$14:$I$19)</f>
        <v>9.31792062663391</v>
      </c>
      <c r="C9" s="16" t="n">
        <f aca="false">SLOPE(Dilution_Data!$M$14:$M$19,Dilution_Data!$I$14:$I$19)</f>
        <v>-4.41601479968226</v>
      </c>
      <c r="D9" s="16" t="n">
        <f aca="false">RSQ(Dilution_Data!$M$14:$M$19,Dilution_Data!$I$14:$I$19)</f>
        <v>0.30241214674231</v>
      </c>
      <c r="E9" s="16" t="n">
        <f aca="false">STEYX(Dilution_Data!$M$14:$M$19,Dilution_Data!$I$14:$I$19)/SQRT(DEVSQ(Dilution_Data!$I$14:$I$19))</f>
        <v>3.35351585440578</v>
      </c>
      <c r="F9" s="16" t="n">
        <f aca="false">-C9/B9</f>
        <v>0.473927067704326</v>
      </c>
      <c r="G9" s="16" t="n">
        <f aca="false">-(C9+E9)/B9</f>
        <v>0.114027473279766</v>
      </c>
      <c r="H9" s="16" t="n">
        <f aca="false">-(C9-E9)/B9</f>
        <v>0.833826662128886</v>
      </c>
      <c r="I9" s="1" t="n">
        <f aca="false">COUNT(Dilution_Data!$M$14:$M$19)</f>
        <v>6</v>
      </c>
      <c r="J9" s="1" t="s">
        <v>197</v>
      </c>
    </row>
    <row r="11" customFormat="false" ht="15" hidden="false" customHeight="false" outlineLevel="0" collapsed="false">
      <c r="A11" s="4" t="s">
        <v>311</v>
      </c>
    </row>
    <row r="12" customFormat="false" ht="15" hidden="false" customHeight="false" outlineLevel="0" collapsed="false">
      <c r="A12" s="1" t="s">
        <v>312</v>
      </c>
      <c r="B12" s="16" t="n">
        <f aca="false">G4</f>
        <v>0.425533403660585</v>
      </c>
      <c r="C12" s="1" t="s">
        <v>24</v>
      </c>
    </row>
    <row r="13" customFormat="false" ht="15" hidden="false" customHeight="false" outlineLevel="0" collapsed="false">
      <c r="A13" s="1" t="s">
        <v>313</v>
      </c>
      <c r="B13" s="16" t="n">
        <f aca="false">F4</f>
        <v>0.521555745695521</v>
      </c>
      <c r="C13" s="1" t="s">
        <v>24</v>
      </c>
    </row>
    <row r="14" customFormat="false" ht="15" hidden="false" customHeight="false" outlineLevel="0" collapsed="false">
      <c r="A14" s="1" t="s">
        <v>314</v>
      </c>
      <c r="B14" s="16" t="n">
        <f aca="false">H4</f>
        <v>0.617578087730458</v>
      </c>
      <c r="C14" s="1" t="s">
        <v>24</v>
      </c>
    </row>
    <row r="15" customFormat="false" ht="15" hidden="false" customHeight="false" outlineLevel="0" collapsed="false">
      <c r="A15" s="1" t="s">
        <v>315</v>
      </c>
      <c r="B15" s="16" t="n">
        <f aca="false">F5</f>
        <v>0.62697608011228</v>
      </c>
      <c r="C15" s="1" t="s">
        <v>24</v>
      </c>
    </row>
    <row r="17" customFormat="false" ht="15" hidden="false" customHeight="false" outlineLevel="0" collapsed="false">
      <c r="A17" s="4" t="s">
        <v>316</v>
      </c>
    </row>
    <row r="18" customFormat="false" ht="28.35" hidden="false" customHeight="false" outlineLevel="0" collapsed="false">
      <c r="A18" s="5" t="s">
        <v>317</v>
      </c>
      <c r="B18" s="5" t="s">
        <v>318</v>
      </c>
      <c r="C18" s="5" t="s">
        <v>319</v>
      </c>
      <c r="D18" s="5" t="s">
        <v>320</v>
      </c>
      <c r="E18" s="5" t="s">
        <v>321</v>
      </c>
      <c r="F18" s="5" t="s">
        <v>322</v>
      </c>
      <c r="G18" s="5" t="s">
        <v>323</v>
      </c>
    </row>
    <row r="19" customFormat="false" ht="15" hidden="false" customHeight="false" outlineLevel="0" collapsed="false">
      <c r="A19" s="1" t="str">
        <f aca="false">Dilution_Data!A4&amp;" "&amp;Dilution_Data!B4</f>
        <v>CoreWeave Q1'24</v>
      </c>
      <c r="B19" s="10" t="n">
        <f aca="false">Dilution_Data!I4</f>
        <v>0.682352941176471</v>
      </c>
      <c r="C19" s="10" t="n">
        <f aca="false">Dilution_Data!M4</f>
        <v>7.10339764705882</v>
      </c>
      <c r="D19" s="10" t="n">
        <f aca="false">1-$B$13*B19</f>
        <v>0.644114902937174</v>
      </c>
      <c r="E19" s="10" t="n">
        <f aca="false">C19/D19</f>
        <v>11.0281529190944</v>
      </c>
      <c r="F19" s="10" t="n">
        <f aca="false">$B$4+$C$4*B19</f>
        <v>7.01000182448011</v>
      </c>
    </row>
    <row r="20" customFormat="false" ht="15" hidden="false" customHeight="false" outlineLevel="0" collapsed="false">
      <c r="A20" s="1" t="str">
        <f aca="false">Dilution_Data!A5&amp;" "&amp;Dilution_Data!B5</f>
        <v>CoreWeave Q2'24</v>
      </c>
      <c r="B20" s="10" t="n">
        <f aca="false">Dilution_Data!I5</f>
        <v>0.405594405594406</v>
      </c>
      <c r="C20" s="10" t="n">
        <f aca="false">Dilution_Data!M5</f>
        <v>8.84746293706294</v>
      </c>
      <c r="D20" s="10" t="n">
        <f aca="false">1-$B$13*B20</f>
        <v>0.788459907340278</v>
      </c>
      <c r="E20" s="10" t="n">
        <f aca="false">C20/D20</f>
        <v>11.2211957192702</v>
      </c>
      <c r="F20" s="10" t="n">
        <f aca="false">$B$4+$C$4*B20</f>
        <v>8.58093076837857</v>
      </c>
    </row>
    <row r="21" customFormat="false" ht="15" hidden="false" customHeight="false" outlineLevel="0" collapsed="false">
      <c r="A21" s="1" t="str">
        <f aca="false">Dilution_Data!A6&amp;" "&amp;Dilution_Data!B6</f>
        <v>CoreWeave Q3'24</v>
      </c>
      <c r="B21" s="10" t="n">
        <f aca="false">Dilution_Data!I6</f>
        <v>0.288557213930348</v>
      </c>
      <c r="C21" s="10" t="n">
        <f aca="false">Dilution_Data!M6</f>
        <v>9.29657313432836</v>
      </c>
      <c r="D21" s="10" t="n">
        <f aca="false">1-$B$13*B21</f>
        <v>0.849501327112735</v>
      </c>
      <c r="E21" s="10" t="n">
        <f aca="false">C21/D21</f>
        <v>10.9435651689037</v>
      </c>
      <c r="F21" s="10" t="n">
        <f aca="false">$B$4+$C$4*B21</f>
        <v>9.24525395360926</v>
      </c>
    </row>
    <row r="22" customFormat="false" ht="15" hidden="false" customHeight="false" outlineLevel="0" collapsed="false">
      <c r="A22" s="1" t="str">
        <f aca="false">Dilution_Data!A7&amp;" "&amp;Dilution_Data!B7</f>
        <v>CoreWeave Q4'24</v>
      </c>
      <c r="B22" s="10" t="n">
        <f aca="false">Dilution_Data!I7</f>
        <v>0.223938223938224</v>
      </c>
      <c r="C22" s="10" t="n">
        <f aca="false">Dilution_Data!M7</f>
        <v>9.23465637065637</v>
      </c>
      <c r="D22" s="10" t="n">
        <f aca="false">1-$B$13*B22</f>
        <v>0.883203732624169</v>
      </c>
      <c r="E22" s="10" t="n">
        <f aca="false">C22/D22</f>
        <v>10.4558620276869</v>
      </c>
      <c r="F22" s="10" t="n">
        <f aca="false">$B$4+$C$4*B22</f>
        <v>9.61204243039686</v>
      </c>
    </row>
    <row r="23" customFormat="false" ht="15" hidden="false" customHeight="false" outlineLevel="0" collapsed="false">
      <c r="A23" s="1" t="str">
        <f aca="false">Dilution_Data!A8&amp;" "&amp;Dilution_Data!B8</f>
        <v>CoreWeave Q1'25</v>
      </c>
      <c r="B23" s="10" t="n">
        <f aca="false">Dilution_Data!I8</f>
        <v>0.153846153846154</v>
      </c>
      <c r="C23" s="10" t="n">
        <f aca="false">Dilution_Data!M8</f>
        <v>10.0680205128205</v>
      </c>
      <c r="D23" s="10" t="n">
        <f aca="false">1-$B$13*B23</f>
        <v>0.919760654508381</v>
      </c>
      <c r="E23" s="10" t="n">
        <f aca="false">C23/D23</f>
        <v>10.9463483390708</v>
      </c>
      <c r="F23" s="10" t="n">
        <f aca="false">$B$4+$C$4*B23</f>
        <v>10.0098970490948</v>
      </c>
    </row>
    <row r="24" customFormat="false" ht="15" hidden="false" customHeight="false" outlineLevel="0" collapsed="false">
      <c r="A24" s="1" t="str">
        <f aca="false">Dilution_Data!A9&amp;" "&amp;Dilution_Data!B9</f>
        <v>CoreWeave Q2'25</v>
      </c>
      <c r="B24" s="10" t="n">
        <f aca="false">Dilution_Data!I9</f>
        <v>0.112359550561798</v>
      </c>
      <c r="C24" s="10" t="n">
        <f aca="false">Dilution_Data!M9</f>
        <v>10.9014651685393</v>
      </c>
      <c r="D24" s="10" t="n">
        <f aca="false">1-$B$13*B24</f>
        <v>0.941398230820728</v>
      </c>
      <c r="E24" s="10" t="n">
        <f aca="false">C24/D24</f>
        <v>11.5800782406774</v>
      </c>
      <c r="F24" s="10" t="n">
        <f aca="false">$B$4+$C$4*B24</f>
        <v>10.245382129063</v>
      </c>
    </row>
    <row r="25" customFormat="false" ht="15" hidden="false" customHeight="false" outlineLevel="0" collapsed="false">
      <c r="A25" s="1" t="str">
        <f aca="false">Dilution_Data!A10&amp;" "&amp;Dilution_Data!B10</f>
        <v>CoreWeave Q3'25</v>
      </c>
      <c r="B25" s="10" t="n">
        <f aca="false">Dilution_Data!I10</f>
        <v>0.226415094339623</v>
      </c>
      <c r="C25" s="10" t="n">
        <f aca="false">Dilution_Data!M10</f>
        <v>10.299441509434</v>
      </c>
      <c r="D25" s="10" t="n">
        <f aca="false">1-$B$13*B25</f>
        <v>0.881911906634976</v>
      </c>
      <c r="E25" s="10" t="n">
        <f aca="false">C25/D25</f>
        <v>11.6785377677148</v>
      </c>
      <c r="F25" s="10" t="n">
        <f aca="false">$B$4+$C$4*B25</f>
        <v>9.59798328893024</v>
      </c>
    </row>
    <row r="26" customFormat="false" ht="15" hidden="false" customHeight="false" outlineLevel="0" collapsed="false">
      <c r="A26" s="1" t="str">
        <f aca="false">Dilution_Data!A11&amp;" "&amp;Dilution_Data!B11</f>
        <v>CoreWeave Q4'25</v>
      </c>
      <c r="B26" s="10" t="n">
        <f aca="false">Dilution_Data!I11</f>
        <v>0.361111111111111</v>
      </c>
      <c r="C26" s="10" t="n">
        <f aca="false">Dilution_Data!M11</f>
        <v>8.73333333333333</v>
      </c>
      <c r="D26" s="10" t="n">
        <f aca="false">1-$B$13*B26</f>
        <v>0.811660425165506</v>
      </c>
      <c r="E26" s="10" t="n">
        <f aca="false">C26/D26</f>
        <v>10.7598363337137</v>
      </c>
      <c r="F26" s="10" t="n">
        <f aca="false">$B$4+$C$4*B26</f>
        <v>8.83342558186932</v>
      </c>
    </row>
    <row r="27" customFormat="false" ht="15" hidden="false" customHeight="false" outlineLevel="0" collapsed="false">
      <c r="A27" s="1" t="str">
        <f aca="false">Dilution_Data!A12&amp;" "&amp;Dilution_Data!B12</f>
        <v>CoreWeave Q1'26</v>
      </c>
      <c r="B27" s="10" t="n">
        <f aca="false">Dilution_Data!I12</f>
        <v>0.162162162162162</v>
      </c>
      <c r="C27" s="10" t="n">
        <f aca="false">Dilution_Data!M12</f>
        <v>8.98594594594595</v>
      </c>
      <c r="D27" s="10" t="n">
        <f aca="false">1-$B$13*B27</f>
        <v>0.915423392589916</v>
      </c>
      <c r="E27" s="10" t="n">
        <f aca="false">C27/D27</f>
        <v>9.81616377589272</v>
      </c>
      <c r="F27" s="10" t="n">
        <f aca="false">$B$4+$C$4*B27</f>
        <v>9.96269395874078</v>
      </c>
    </row>
    <row r="28" customFormat="false" ht="15" hidden="false" customHeight="false" outlineLevel="0" collapsed="false">
      <c r="A28" s="1" t="str">
        <f aca="false">Dilution_Data!A13&amp;" "&amp;Dilution_Data!B13</f>
        <v>CoreWeave Q2'26</v>
      </c>
      <c r="B28" s="10" t="n">
        <f aca="false">Dilution_Data!I13</f>
        <v>0.4</v>
      </c>
      <c r="C28" s="10" t="n">
        <f aca="false">Dilution_Data!M13</f>
        <v>8.24</v>
      </c>
      <c r="D28" s="10" t="n">
        <f aca="false">1-$B$13*B28</f>
        <v>0.791377701721791</v>
      </c>
      <c r="E28" s="10" t="n">
        <f aca="false">C28/D28</f>
        <v>10.4122216004726</v>
      </c>
      <c r="F28" s="10" t="n">
        <f aca="false">$B$4+$C$4*B28</f>
        <v>8.61268557461671</v>
      </c>
    </row>
    <row r="29" customFormat="false" ht="15" hidden="false" customHeight="false" outlineLevel="0" collapsed="false">
      <c r="A29" s="1" t="str">
        <f aca="false">Dilution_Data!A14&amp;" "&amp;Dilution_Data!B14</f>
        <v>IREN Q2'24</v>
      </c>
      <c r="B29" s="10" t="n">
        <f aca="false">Dilution_Data!I14</f>
        <v>0</v>
      </c>
      <c r="C29" s="10" t="n">
        <f aca="false">Dilution_Data!M14</f>
        <v>8.87055882352942</v>
      </c>
      <c r="D29" s="10" t="n">
        <f aca="false">1-$B$13*B29</f>
        <v>1</v>
      </c>
      <c r="E29" s="10" t="n">
        <f aca="false">C29/D29</f>
        <v>8.87055882352942</v>
      </c>
      <c r="F29" s="10"/>
    </row>
    <row r="30" customFormat="false" ht="15" hidden="false" customHeight="false" outlineLevel="0" collapsed="false">
      <c r="A30" s="1" t="str">
        <f aca="false">Dilution_Data!A15&amp;" "&amp;Dilution_Data!B15</f>
        <v>IREN Q3'24</v>
      </c>
      <c r="B30" s="10" t="n">
        <f aca="false">Dilution_Data!I15</f>
        <v>0</v>
      </c>
      <c r="C30" s="10" t="n">
        <f aca="false">Dilution_Data!M15</f>
        <v>11.1458676470588</v>
      </c>
      <c r="D30" s="10" t="n">
        <f aca="false">1-$B$13*B30</f>
        <v>1</v>
      </c>
      <c r="E30" s="10" t="n">
        <f aca="false">C30/D30</f>
        <v>11.1458676470588</v>
      </c>
      <c r="F30" s="10"/>
    </row>
    <row r="31" customFormat="false" ht="15" hidden="false" customHeight="false" outlineLevel="0" collapsed="false">
      <c r="A31" s="1" t="str">
        <f aca="false">Dilution_Data!A16&amp;" "&amp;Dilution_Data!B16</f>
        <v>IREN Q4'24</v>
      </c>
      <c r="B31" s="10" t="n">
        <f aca="false">Dilution_Data!I16</f>
        <v>0.796460176991153</v>
      </c>
      <c r="C31" s="10" t="n">
        <f aca="false">Dilution_Data!M16</f>
        <v>5.59673451327433</v>
      </c>
      <c r="D31" s="10" t="n">
        <f aca="false">1-$B$13*B31</f>
        <v>0.584601618472593</v>
      </c>
      <c r="E31" s="10" t="n">
        <f aca="false">C31/D31</f>
        <v>9.57358710004447</v>
      </c>
      <c r="F31" s="10"/>
    </row>
    <row r="32" customFormat="false" ht="15" hidden="false" customHeight="false" outlineLevel="0" collapsed="false">
      <c r="A32" s="1" t="str">
        <f aca="false">Dilution_Data!A17&amp;" "&amp;Dilution_Data!B17</f>
        <v>IREN Q1'25</v>
      </c>
      <c r="B32" s="10" t="n">
        <f aca="false">Dilution_Data!I17</f>
        <v>0</v>
      </c>
      <c r="C32" s="10" t="n">
        <f aca="false">Dilution_Data!M17</f>
        <v>5.38660970464134</v>
      </c>
      <c r="D32" s="10" t="n">
        <f aca="false">1-$B$13*B32</f>
        <v>1</v>
      </c>
      <c r="E32" s="10" t="n">
        <f aca="false">C32/D32</f>
        <v>5.38660970464134</v>
      </c>
      <c r="F32" s="10"/>
    </row>
    <row r="33" customFormat="false" ht="15" hidden="false" customHeight="false" outlineLevel="0" collapsed="false">
      <c r="A33" s="1" t="str">
        <f aca="false">Dilution_Data!A18&amp;" "&amp;Dilution_Data!B18</f>
        <v>IREN Q2'25</v>
      </c>
      <c r="B33" s="10" t="n">
        <f aca="false">Dilution_Data!I18</f>
        <v>0.00210748155953323</v>
      </c>
      <c r="C33" s="10" t="n">
        <f aca="false">Dilution_Data!M18</f>
        <v>10.4628429926238</v>
      </c>
      <c r="D33" s="10" t="n">
        <f aca="false">1-$B$13*B33</f>
        <v>0.998900830883678</v>
      </c>
      <c r="E33" s="10" t="n">
        <f aca="false">C33/D33</f>
        <v>10.4743560813418</v>
      </c>
      <c r="F33" s="10"/>
    </row>
    <row r="34" customFormat="false" ht="15" hidden="false" customHeight="false" outlineLevel="0" collapsed="false">
      <c r="A34" s="1" t="str">
        <f aca="false">Dilution_Data!A19&amp;" "&amp;Dilution_Data!B19</f>
        <v>IREN Q3'25</v>
      </c>
      <c r="B34" s="10" t="n">
        <f aca="false">Dilution_Data!I19</f>
        <v>0.100000000000002</v>
      </c>
      <c r="C34" s="10" t="n">
        <f aca="false">Dilution_Data!M19</f>
        <v>10.476822</v>
      </c>
      <c r="D34" s="10" t="n">
        <f aca="false">1-$B$13*B34</f>
        <v>0.947844425430447</v>
      </c>
      <c r="E34" s="10" t="n">
        <f aca="false">C34/D34</f>
        <v>11.0533139394075</v>
      </c>
      <c r="F34" s="10"/>
    </row>
    <row r="35" customFormat="false" ht="15" hidden="false" customHeight="false" outlineLevel="0" collapsed="false">
      <c r="A35" s="1" t="str">
        <f aca="false">Dilution_Data!A21&amp;" "&amp;Dilution_Data!B21</f>
        <v>Nebius Q3'24</v>
      </c>
      <c r="B35" s="10" t="n">
        <f aca="false">Dilution_Data!I21</f>
        <v>0</v>
      </c>
      <c r="C35" s="10" t="n">
        <f aca="false">Dilution_Data!M21</f>
        <v>4.336</v>
      </c>
      <c r="D35" s="10" t="n">
        <f aca="false">1-$B$13*B35</f>
        <v>1</v>
      </c>
      <c r="E35" s="10" t="n">
        <f aca="false">C35/D35</f>
        <v>4.336</v>
      </c>
      <c r="F35" s="10"/>
    </row>
    <row r="36" customFormat="false" ht="15" hidden="false" customHeight="false" outlineLevel="0" collapsed="false">
      <c r="A36" s="1" t="str">
        <f aca="false">Dilution_Data!A22&amp;" "&amp;Dilution_Data!B22</f>
        <v>Nebius Q4'24</v>
      </c>
      <c r="B36" s="10" t="n">
        <f aca="false">Dilution_Data!I22</f>
        <v>0</v>
      </c>
      <c r="C36" s="10" t="n">
        <f aca="false">Dilution_Data!M22</f>
        <v>3.808</v>
      </c>
      <c r="D36" s="10" t="n">
        <f aca="false">1-$B$13*B36</f>
        <v>1</v>
      </c>
      <c r="E36" s="10" t="n">
        <f aca="false">C36/D36</f>
        <v>3.808</v>
      </c>
      <c r="F36" s="10"/>
    </row>
    <row r="37" customFormat="false" ht="15" hidden="false" customHeight="false" outlineLevel="0" collapsed="false">
      <c r="A37" s="1" t="str">
        <f aca="false">Dilution_Data!A23&amp;" "&amp;Dilution_Data!B23</f>
        <v>Nebius Q1'25</v>
      </c>
      <c r="B37" s="10" t="n">
        <f aca="false">Dilution_Data!I23</f>
        <v>0.461538461538462</v>
      </c>
      <c r="C37" s="10" t="n">
        <f aca="false">Dilution_Data!M23</f>
        <v>5.09538461538462</v>
      </c>
      <c r="D37" s="10" t="n">
        <f aca="false">1-$B$13*B37</f>
        <v>0.759281963525144</v>
      </c>
      <c r="E37" s="10" t="n">
        <f aca="false">C37/D37</f>
        <v>6.71079369741394</v>
      </c>
      <c r="F37" s="10"/>
    </row>
    <row r="38" customFormat="false" ht="15" hidden="false" customHeight="false" outlineLevel="0" collapsed="false">
      <c r="A38" s="1" t="str">
        <f aca="false">Dilution_Data!A24&amp;" "&amp;Dilution_Data!B24</f>
        <v>Nebius Q2'25</v>
      </c>
      <c r="B38" s="10" t="n">
        <f aca="false">Dilution_Data!I24</f>
        <v>0.117647058823529</v>
      </c>
      <c r="C38" s="10" t="n">
        <f aca="false">Dilution_Data!M24</f>
        <v>8.81882352941176</v>
      </c>
      <c r="D38" s="10" t="n">
        <f aca="false">1-$B$13*B38</f>
        <v>0.938640500506409</v>
      </c>
      <c r="E38" s="10" t="n">
        <f aca="false">C38/D38</f>
        <v>9.39531537862887</v>
      </c>
      <c r="F38" s="10"/>
    </row>
    <row r="39" customFormat="false" ht="15" hidden="false" customHeight="false" outlineLevel="0" collapsed="false">
      <c r="A39" s="1" t="str">
        <f aca="false">Dilution_Data!A25&amp;" "&amp;Dilution_Data!B25</f>
        <v>Nebius Q3'25</v>
      </c>
      <c r="B39" s="10" t="n">
        <f aca="false">Dilution_Data!I25</f>
        <v>0.325581395348837</v>
      </c>
      <c r="C39" s="10" t="n">
        <f aca="false">Dilution_Data!M25</f>
        <v>9.75627906976744</v>
      </c>
      <c r="D39" s="10" t="n">
        <f aca="false">1-$B$13*B39</f>
        <v>0.830191152564249</v>
      </c>
      <c r="E39" s="10" t="n">
        <f aca="false">C39/D39</f>
        <v>11.7518465953688</v>
      </c>
      <c r="F39" s="10"/>
    </row>
    <row r="40" customFormat="false" ht="15" hidden="false" customHeight="false" outlineLevel="0" collapsed="false">
      <c r="A40" s="1" t="str">
        <f aca="false">Dilution_Data!A26&amp;" "&amp;Dilution_Data!B26</f>
        <v>Nebius Q4'25</v>
      </c>
      <c r="B40" s="10" t="n">
        <f aca="false">Dilution_Data!I26</f>
        <v>0.924731182795699</v>
      </c>
      <c r="C40" s="10" t="n">
        <f aca="false">Dilution_Data!M26</f>
        <v>7.36688172043011</v>
      </c>
      <c r="D40" s="10" t="n">
        <f aca="false">1-$B$13*B40</f>
        <v>0.517701138389088</v>
      </c>
      <c r="E40" s="10" t="n">
        <f aca="false">C40/D40</f>
        <v>14.2299894169701</v>
      </c>
      <c r="F40" s="10"/>
    </row>
    <row r="41" customFormat="false" ht="15" hidden="false" customHeight="false" outlineLevel="0" collapsed="false">
      <c r="A41" s="1" t="str">
        <f aca="false">Dilution_Data!A27&amp;" "&amp;Dilution_Data!B27</f>
        <v>Nebius Q1'26</v>
      </c>
      <c r="B41" s="10" t="n">
        <f aca="false">Dilution_Data!I27</f>
        <v>0.00878477306002928</v>
      </c>
      <c r="C41" s="10" t="n">
        <f aca="false">Dilution_Data!M27</f>
        <v>9.12913616398243</v>
      </c>
      <c r="D41" s="10" t="n">
        <f aca="false">1-$B$13*B41</f>
        <v>0.995418251135911</v>
      </c>
      <c r="E41" s="10" t="n">
        <f aca="false">C41/D41</f>
        <v>9.17115609801691</v>
      </c>
      <c r="F41" s="10"/>
    </row>
    <row r="42" customFormat="false" ht="15" hidden="false" customHeight="false" outlineLevel="0" collapsed="false">
      <c r="A42" s="1" t="str">
        <f aca="false">Dilution_Data!A28&amp;" "&amp;Dilution_Data!B28</f>
        <v>Nebius Q2'26</v>
      </c>
      <c r="B42" s="10" t="n">
        <f aca="false">Dilution_Data!I28</f>
        <v>0.00870827285921626</v>
      </c>
      <c r="C42" s="10" t="n">
        <f aca="false">Dilution_Data!M28</f>
        <v>13.3503628447025</v>
      </c>
      <c r="D42" s="10" t="n">
        <f aca="false">1-$B$13*B42</f>
        <v>0.995458150255191</v>
      </c>
      <c r="E42" s="10" t="n">
        <f aca="false">C42/D42</f>
        <v>13.4112748399117</v>
      </c>
      <c r="F42" s="10"/>
    </row>
    <row r="44" customFormat="false" ht="109.5" hidden="false" customHeight="true" outlineLevel="0" collapsed="false">
      <c r="A44" s="3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12" min="2" style="1" width="11"/>
  </cols>
  <sheetData>
    <row r="1" customFormat="false" ht="60" hidden="false" customHeight="true" outlineLevel="0" collapsed="false">
      <c r="A1" s="2" t="s">
        <v>325</v>
      </c>
    </row>
    <row r="3" customFormat="false" ht="15" hidden="false" customHeight="false" outlineLevel="0" collapsed="false">
      <c r="A3" s="1" t="s">
        <v>326</v>
      </c>
      <c r="B3" s="13" t="n">
        <f aca="false">Dilution_Data!K28</f>
        <v>574.9</v>
      </c>
      <c r="C3" s="1" t="s">
        <v>47</v>
      </c>
      <c r="D3" s="1" t="s">
        <v>327</v>
      </c>
    </row>
    <row r="4" customFormat="false" ht="15" hidden="false" customHeight="false" outlineLevel="0" collapsed="false">
      <c r="A4" s="1" t="s">
        <v>328</v>
      </c>
      <c r="B4" s="13" t="n">
        <v>12</v>
      </c>
      <c r="C4" s="1" t="s">
        <v>47</v>
      </c>
      <c r="D4" s="1" t="s">
        <v>224</v>
      </c>
    </row>
    <row r="5" customFormat="false" ht="15" hidden="false" customHeight="false" outlineLevel="0" collapsed="false">
      <c r="A5" s="1" t="s">
        <v>329</v>
      </c>
      <c r="B5" s="13" t="n">
        <f aca="false">17392.9/5/(100000/Payback_ACV!$C$8)</f>
        <v>17.085741386</v>
      </c>
      <c r="C5" s="1" t="s">
        <v>44</v>
      </c>
      <c r="D5" s="1" t="s">
        <v>330</v>
      </c>
    </row>
    <row r="6" customFormat="false" ht="15" hidden="false" customHeight="false" outlineLevel="0" collapsed="false">
      <c r="A6" s="1" t="s">
        <v>331</v>
      </c>
      <c r="B6" s="13" t="n">
        <v>22.5</v>
      </c>
      <c r="C6" s="1" t="s">
        <v>47</v>
      </c>
      <c r="D6" s="1" t="s">
        <v>224</v>
      </c>
    </row>
    <row r="7" customFormat="false" ht="15" hidden="false" customHeight="false" outlineLevel="0" collapsed="false">
      <c r="A7" s="1" t="s">
        <v>332</v>
      </c>
      <c r="B7" s="13" t="n">
        <f aca="false">Dilution_Fit!B12</f>
        <v>0.425533403660585</v>
      </c>
      <c r="C7" s="1" t="s">
        <v>24</v>
      </c>
      <c r="D7" s="1" t="s">
        <v>333</v>
      </c>
    </row>
    <row r="8" customFormat="false" ht="15" hidden="false" customHeight="false" outlineLevel="0" collapsed="false">
      <c r="A8" s="1" t="s">
        <v>334</v>
      </c>
      <c r="B8" s="13" t="n">
        <f aca="false">Dilution_Fit!B13</f>
        <v>0.521555745695521</v>
      </c>
      <c r="C8" s="1" t="s">
        <v>24</v>
      </c>
      <c r="D8" s="1" t="s">
        <v>333</v>
      </c>
    </row>
    <row r="9" customFormat="false" ht="15" hidden="false" customHeight="false" outlineLevel="0" collapsed="false">
      <c r="A9" s="1" t="s">
        <v>335</v>
      </c>
      <c r="B9" s="13" t="n">
        <f aca="false">Dilution_Fit!B14</f>
        <v>0.617578087730458</v>
      </c>
      <c r="C9" s="1" t="s">
        <v>24</v>
      </c>
      <c r="D9" s="1" t="s">
        <v>333</v>
      </c>
    </row>
    <row r="11" customFormat="false" ht="15" hidden="false" customHeight="false" outlineLevel="0" collapsed="false">
      <c r="A11" s="4" t="s">
        <v>265</v>
      </c>
      <c r="B11" s="14" t="s">
        <v>288</v>
      </c>
      <c r="C11" s="14" t="s">
        <v>289</v>
      </c>
      <c r="D11" s="14" t="s">
        <v>336</v>
      </c>
      <c r="E11" s="14" t="s">
        <v>337</v>
      </c>
      <c r="F11" s="14" t="s">
        <v>338</v>
      </c>
      <c r="G11" s="14" t="s">
        <v>339</v>
      </c>
      <c r="H11" s="14" t="s">
        <v>340</v>
      </c>
      <c r="I11" s="14" t="s">
        <v>341</v>
      </c>
      <c r="J11" s="4" t="s">
        <v>21</v>
      </c>
      <c r="K11" s="4" t="s">
        <v>342</v>
      </c>
    </row>
    <row r="12" customFormat="false" ht="15" hidden="false" customHeight="false" outlineLevel="0" collapsed="false">
      <c r="A12" s="4" t="s">
        <v>343</v>
      </c>
    </row>
    <row r="13" customFormat="false" ht="15" hidden="false" customHeight="false" outlineLevel="0" collapsed="false">
      <c r="A13" s="1" t="s">
        <v>344</v>
      </c>
      <c r="B13" s="17" t="n">
        <v>143.48951048951</v>
      </c>
      <c r="C13" s="17" t="n">
        <v>146.48951048951</v>
      </c>
      <c r="D13" s="17" t="n">
        <v>181.489510489511</v>
      </c>
      <c r="E13" s="17" t="n">
        <v>189.489510489511</v>
      </c>
      <c r="F13" s="17" t="n">
        <v>256.966433566434</v>
      </c>
      <c r="G13" s="17" t="n">
        <v>404.351048951049</v>
      </c>
      <c r="H13" s="17" t="n">
        <v>553.469567469567</v>
      </c>
      <c r="I13" s="17" t="n">
        <v>794.613751787665</v>
      </c>
      <c r="J13" s="1" t="s">
        <v>24</v>
      </c>
      <c r="K13" s="1" t="s">
        <v>345</v>
      </c>
    </row>
    <row r="14" customFormat="false" ht="15" hidden="false" customHeight="false" outlineLevel="0" collapsed="false">
      <c r="A14" s="1" t="s">
        <v>346</v>
      </c>
      <c r="C14" s="15" t="n">
        <f aca="false">(B13+C13)/2</f>
        <v>144.98951048951</v>
      </c>
      <c r="D14" s="15" t="n">
        <f aca="false">(C13+D13)/2</f>
        <v>163.989510489511</v>
      </c>
      <c r="E14" s="15" t="n">
        <f aca="false">(D13+E13)/2</f>
        <v>185.489510489511</v>
      </c>
      <c r="F14" s="15" t="n">
        <f aca="false">(E13+F13)/2</f>
        <v>223.227972027973</v>
      </c>
      <c r="G14" s="15" t="n">
        <f aca="false">(F13+G13)/2</f>
        <v>330.658741258742</v>
      </c>
      <c r="H14" s="15" t="n">
        <f aca="false">(G13+H13)/2</f>
        <v>478.910308210308</v>
      </c>
      <c r="I14" s="15" t="n">
        <f aca="false">(H13+I13)/2</f>
        <v>674.041659628616</v>
      </c>
    </row>
    <row r="15" customFormat="false" ht="15" hidden="false" customHeight="false" outlineLevel="0" collapsed="false">
      <c r="A15" s="1" t="s">
        <v>347</v>
      </c>
      <c r="C15" s="15" t="n">
        <f aca="false">C13-B13</f>
        <v>3</v>
      </c>
      <c r="D15" s="15" t="n">
        <f aca="false">D13-C13</f>
        <v>35.000000000001</v>
      </c>
      <c r="E15" s="15" t="n">
        <f aca="false">E13-D13</f>
        <v>8</v>
      </c>
      <c r="F15" s="15" t="n">
        <f aca="false">F13-E13</f>
        <v>67.476923076923</v>
      </c>
      <c r="G15" s="15" t="n">
        <f aca="false">G13-F13</f>
        <v>147.384615384615</v>
      </c>
      <c r="H15" s="15" t="n">
        <f aca="false">H13-G13</f>
        <v>149.118518518518</v>
      </c>
      <c r="I15" s="15" t="n">
        <f aca="false">I13-H13</f>
        <v>241.144184318098</v>
      </c>
    </row>
    <row r="16" customFormat="false" ht="15" hidden="false" customHeight="false" outlineLevel="0" collapsed="false">
      <c r="A16" s="1" t="s">
        <v>348</v>
      </c>
      <c r="C16" s="16" t="n">
        <f aca="false">C15/C14</f>
        <v>0.0206911520003859</v>
      </c>
      <c r="D16" s="16" t="n">
        <f aca="false">D15/D14</f>
        <v>0.213428285111198</v>
      </c>
      <c r="E16" s="16" t="n">
        <f aca="false">E15/E14</f>
        <v>0.0431291234684259</v>
      </c>
      <c r="F16" s="16" t="n">
        <f aca="false">F15/F14</f>
        <v>0.302278081299182</v>
      </c>
      <c r="G16" s="16" t="n">
        <f aca="false">G15/G14</f>
        <v>0.445730286226687</v>
      </c>
      <c r="H16" s="16" t="n">
        <f aca="false">H15/H14</f>
        <v>0.311370450712943</v>
      </c>
      <c r="I16" s="16" t="n">
        <f aca="false">I15/I14</f>
        <v>0.357758576006955</v>
      </c>
    </row>
    <row r="17" customFormat="false" ht="15" hidden="false" customHeight="false" outlineLevel="0" collapsed="false">
      <c r="A17" s="1" t="s">
        <v>349</v>
      </c>
      <c r="C17" s="10" t="n">
        <f aca="false">$B$3*4/C14</f>
        <v>15.8604577133625</v>
      </c>
      <c r="J17" s="1" t="s">
        <v>197</v>
      </c>
    </row>
    <row r="18" customFormat="false" ht="15" hidden="false" customHeight="false" outlineLevel="0" collapsed="false">
      <c r="A18" s="1" t="s">
        <v>350</v>
      </c>
      <c r="C18" s="10" t="n">
        <f aca="false">$C$17</f>
        <v>15.8604577133625</v>
      </c>
      <c r="D18" s="10" t="n">
        <f aca="false">(MIN(D14,$C$13)*$C$17+MAX(D14-$C$13,0)*$B$4)/D14*(1-$B$9*D16)</f>
        <v>13.4122476420207</v>
      </c>
      <c r="E18" s="10" t="n">
        <f aca="false">(MIN(E14,$C$13)*$C$17+MAX(E14-$C$13,0)*$B$4)/E14*(1-$B$9*E16)</f>
        <v>14.6479459090184</v>
      </c>
      <c r="F18" s="10" t="n">
        <f aca="false">(MIN(F14,$C$13)*$C$17+MAX(F14-$C$13,0)*$B$4)/F14*(1-$B$9*F16)</f>
        <v>11.8202667857428</v>
      </c>
      <c r="G18" s="10" t="n">
        <f aca="false">(MIN(G14,$C$13)*$C$17+MAX(G14-$C$13,0)*$B$4)/G14*(1-$B$9*G16)</f>
        <v>9.93620114237173</v>
      </c>
      <c r="H18" s="10" t="n">
        <f aca="false">(MIN(H14,$C$13)*$C$17+MAX(H14-$C$13,0)*$B$4)/H14*(1-$B$9*H16)</f>
        <v>10.6462230811981</v>
      </c>
      <c r="I18" s="10" t="n">
        <f aca="false">(MIN(I14,$C$13)*$C$17+MAX(I14-$C$13,0)*$B$4)/I14*(1-$B$9*I16)</f>
        <v>10.0022967409449</v>
      </c>
      <c r="J18" s="1" t="s">
        <v>24</v>
      </c>
    </row>
    <row r="19" customFormat="false" ht="15" hidden="false" customHeight="false" outlineLevel="0" collapsed="false">
      <c r="A19" s="1" t="s">
        <v>351</v>
      </c>
      <c r="C19" s="18" t="n">
        <f aca="false">$C$17</f>
        <v>15.8604577133625</v>
      </c>
      <c r="D19" s="18" t="n">
        <f aca="false">(MIN(D14,$C$13)*$C$17+MAX(D14-$C$13,0)*$B$5)/D14*(1-$B$8*D16)</f>
        <v>14.2111549794342</v>
      </c>
      <c r="E19" s="18" t="n">
        <f aca="false">(MIN(E14,$C$13)*$C$17+MAX(E14-$C$13,0)*$B$5)/E14*(1-$B$8*E16)</f>
        <v>15.7555151169228</v>
      </c>
      <c r="F19" s="18" t="n">
        <f aca="false">(MIN(F14,$C$13)*$C$17+MAX(F14-$C$13,0)*$B$5)/F14*(1-$B$8*F16)</f>
        <v>13.7147855045315</v>
      </c>
      <c r="G19" s="18" t="n">
        <f aca="false">(MIN(G14,$C$13)*$C$17+MAX(G14-$C$13,0)*$B$5)/G14*(1-$B$8*G16)</f>
        <v>12.697128622086</v>
      </c>
      <c r="H19" s="18" t="n">
        <f aca="false">(MIN(H14,$C$13)*$C$17+MAX(H14-$C$13,0)*$B$5)/H14*(1-$B$8*H16)</f>
        <v>13.997141499342</v>
      </c>
      <c r="I19" s="18" t="n">
        <f aca="false">(MIN(I14,$C$13)*$C$17+MAX(I14-$C$13,0)*$B$5)/I14*(1-$B$8*I16)</f>
        <v>13.6810916580599</v>
      </c>
      <c r="J19" s="1" t="s">
        <v>24</v>
      </c>
    </row>
    <row r="20" customFormat="false" ht="15" hidden="false" customHeight="false" outlineLevel="0" collapsed="false">
      <c r="A20" s="1" t="s">
        <v>352</v>
      </c>
      <c r="C20" s="10" t="n">
        <f aca="false">$C$17</f>
        <v>15.8604577133625</v>
      </c>
      <c r="D20" s="10" t="n">
        <f aca="false">(MIN(D14,$C$13)*$C$17+MAX(D14-$C$13,0)*$B$6)/D14*(1-$B$7*D16)</f>
        <v>15.0641807076541</v>
      </c>
      <c r="E20" s="10" t="n">
        <f aca="false">(MIN(E14,$C$13)*$C$17+MAX(E14-$C$13,0)*$B$6)/E14*(1-$B$7*E16)</f>
        <v>16.9397455788804</v>
      </c>
      <c r="F20" s="10" t="n">
        <f aca="false">(MIN(F14,$C$13)*$C$17+MAX(F14-$C$13,0)*$B$6)/F14*(1-$B$7*F16)</f>
        <v>15.809202153312</v>
      </c>
      <c r="G20" s="10" t="n">
        <f aca="false">(MIN(G14,$C$13)*$C$17+MAX(G14-$C$13,0)*$B$6)/G14*(1-$B$7*G16)</f>
        <v>15.8488011753628</v>
      </c>
      <c r="H20" s="10" t="n">
        <f aca="false">(MIN(H14,$C$13)*$C$17+MAX(H14-$C$13,0)*$B$6)/H14*(1-$B$7*H16)</f>
        <v>17.7569664990649</v>
      </c>
      <c r="I20" s="10" t="n">
        <f aca="false">(MIN(I14,$C$13)*$C$17+MAX(I14-$C$13,0)*$B$6)/I14*(1-$B$7*I16)</f>
        <v>17.8513433705997</v>
      </c>
      <c r="J20" s="1" t="s">
        <v>24</v>
      </c>
    </row>
    <row r="21" customFormat="false" ht="15" hidden="false" customHeight="false" outlineLevel="0" collapsed="false">
      <c r="A21" s="1" t="s">
        <v>353</v>
      </c>
      <c r="C21" s="10" t="n">
        <f aca="false">$B$3</f>
        <v>574.9</v>
      </c>
      <c r="D21" s="19" t="n">
        <f aca="false">D19*D14/4</f>
        <v>582.620087141996</v>
      </c>
      <c r="E21" s="19" t="n">
        <f aca="false">E19*E14/4</f>
        <v>730.620696637025</v>
      </c>
      <c r="F21" s="19" t="n">
        <f aca="false">F19*F14/4</f>
        <v>765.380938743802</v>
      </c>
      <c r="G21" s="19" t="n">
        <f aca="false">G19*G14/4</f>
        <v>1049.60414194482</v>
      </c>
      <c r="H21" s="19" t="n">
        <f aca="false">H19*H14/4</f>
        <v>1675.8438373783</v>
      </c>
      <c r="I21" s="19" t="n">
        <f aca="false">I19*I14/4</f>
        <v>2305.40643168249</v>
      </c>
      <c r="J21" s="1" t="s">
        <v>24</v>
      </c>
      <c r="K21" s="19" t="n">
        <f aca="false">SUM(F21:I21)</f>
        <v>5796.2353497494</v>
      </c>
    </row>
    <row r="22" customFormat="false" ht="15" hidden="false" customHeight="false" outlineLevel="0" collapsed="false">
      <c r="A22" s="1" t="s">
        <v>354</v>
      </c>
      <c r="J22" s="1" t="s">
        <v>24</v>
      </c>
      <c r="K22" s="19" t="n">
        <f aca="false">F18*F14/4+G18*G14/4+H18*H14/4+I18*I14/4</f>
        <v>4441.16415462449</v>
      </c>
      <c r="L22" s="19" t="n">
        <f aca="false">F20*F14/4+G20*G14/4+H20*H14/4+I20*I14/4</f>
        <v>7326.53604855904</v>
      </c>
    </row>
    <row r="24" customFormat="false" ht="15" hidden="false" customHeight="false" outlineLevel="0" collapsed="false">
      <c r="A24" s="4" t="s">
        <v>355</v>
      </c>
    </row>
    <row r="25" customFormat="false" ht="15" hidden="false" customHeight="false" outlineLevel="0" collapsed="false">
      <c r="A25" s="1" t="s">
        <v>344</v>
      </c>
      <c r="B25" s="17" t="n">
        <v>170.989510489511</v>
      </c>
      <c r="C25" s="17" t="n">
        <v>182.489510489511</v>
      </c>
      <c r="D25" s="17" t="n">
        <v>216.989510489511</v>
      </c>
      <c r="E25" s="17" t="n">
        <v>301.72027972028</v>
      </c>
      <c r="F25" s="17" t="n">
        <v>453.794923594924</v>
      </c>
      <c r="G25" s="17" t="n">
        <v>629.540804927761</v>
      </c>
      <c r="H25" s="17" t="n">
        <v>812.613751787665</v>
      </c>
      <c r="I25" s="17" t="n">
        <v>1081.92460277243</v>
      </c>
      <c r="J25" s="1" t="s">
        <v>24</v>
      </c>
      <c r="K25" s="1" t="s">
        <v>356</v>
      </c>
    </row>
    <row r="26" customFormat="false" ht="15" hidden="false" customHeight="false" outlineLevel="0" collapsed="false">
      <c r="A26" s="1" t="s">
        <v>346</v>
      </c>
      <c r="C26" s="15" t="n">
        <f aca="false">(B25+C25)/2</f>
        <v>176.739510489511</v>
      </c>
      <c r="D26" s="15" t="n">
        <f aca="false">(C25+D25)/2</f>
        <v>199.739510489511</v>
      </c>
      <c r="E26" s="15" t="n">
        <f aca="false">(D25+E25)/2</f>
        <v>259.354895104896</v>
      </c>
      <c r="F26" s="15" t="n">
        <f aca="false">(E25+F25)/2</f>
        <v>377.757601657602</v>
      </c>
      <c r="G26" s="15" t="n">
        <f aca="false">(F25+G25)/2</f>
        <v>541.667864261343</v>
      </c>
      <c r="H26" s="15" t="n">
        <f aca="false">(G25+H25)/2</f>
        <v>721.077278357713</v>
      </c>
      <c r="I26" s="15" t="n">
        <f aca="false">(H25+I25)/2</f>
        <v>947.269177280048</v>
      </c>
    </row>
    <row r="27" customFormat="false" ht="15" hidden="false" customHeight="false" outlineLevel="0" collapsed="false">
      <c r="A27" s="1" t="s">
        <v>347</v>
      </c>
      <c r="C27" s="15" t="n">
        <f aca="false">C25-B25</f>
        <v>11.5</v>
      </c>
      <c r="D27" s="15" t="n">
        <f aca="false">D25-C25</f>
        <v>34.5</v>
      </c>
      <c r="E27" s="15" t="n">
        <f aca="false">E25-D25</f>
        <v>84.730769230769</v>
      </c>
      <c r="F27" s="15" t="n">
        <f aca="false">F25-E25</f>
        <v>152.074643874644</v>
      </c>
      <c r="G27" s="15" t="n">
        <f aca="false">G25-F25</f>
        <v>175.745881332837</v>
      </c>
      <c r="H27" s="15" t="n">
        <f aca="false">H25-G25</f>
        <v>183.072946859904</v>
      </c>
      <c r="I27" s="15" t="n">
        <f aca="false">I25-H25</f>
        <v>269.310850984765</v>
      </c>
    </row>
    <row r="28" customFormat="false" ht="15" hidden="false" customHeight="false" outlineLevel="0" collapsed="false">
      <c r="A28" s="1" t="s">
        <v>348</v>
      </c>
      <c r="C28" s="16" t="n">
        <f aca="false">C27/C26</f>
        <v>0.0650675107572084</v>
      </c>
      <c r="D28" s="16" t="n">
        <f aca="false">D27/D26</f>
        <v>0.172724965208182</v>
      </c>
      <c r="E28" s="16" t="n">
        <f aca="false">E27/E26</f>
        <v>0.326698168532735</v>
      </c>
      <c r="F28" s="16" t="n">
        <f aca="false">F27/F26</f>
        <v>0.402572028219524</v>
      </c>
      <c r="G28" s="16" t="n">
        <f aca="false">G27/G26</f>
        <v>0.324453217420415</v>
      </c>
      <c r="H28" s="16" t="n">
        <f aca="false">H27/H26</f>
        <v>0.253888109297884</v>
      </c>
      <c r="I28" s="16" t="n">
        <f aca="false">I27/I26</f>
        <v>0.284302347679098</v>
      </c>
    </row>
    <row r="29" customFormat="false" ht="15" hidden="false" customHeight="false" outlineLevel="0" collapsed="false">
      <c r="A29" s="1" t="s">
        <v>349</v>
      </c>
      <c r="C29" s="10" t="n">
        <f aca="false">$B$3*4/C26</f>
        <v>13.0112389336762</v>
      </c>
      <c r="J29" s="1" t="s">
        <v>197</v>
      </c>
    </row>
    <row r="30" customFormat="false" ht="15" hidden="false" customHeight="false" outlineLevel="0" collapsed="false">
      <c r="A30" s="1" t="s">
        <v>350</v>
      </c>
      <c r="C30" s="10" t="n">
        <f aca="false">$C$29</f>
        <v>13.0112389336762</v>
      </c>
      <c r="D30" s="10" t="n">
        <f aca="false">(MIN(D26,$C$25)*$C$29+MAX(D26-$C$25,0)*$B$4)/D26*(1-$B$9*D28)</f>
        <v>11.5452978835693</v>
      </c>
      <c r="E30" s="10" t="n">
        <f aca="false">(MIN(E26,$C$25)*$C$29+MAX(E26-$C$25,0)*$B$4)/E26*(1-$B$9*E28)</f>
        <v>10.1468362464348</v>
      </c>
      <c r="F30" s="10" t="n">
        <f aca="false">(MIN(F26,$C$25)*$C$29+MAX(F26-$C$25,0)*$B$4)/F26*(1-$B$9*F28)</f>
        <v>9.38362508859312</v>
      </c>
      <c r="G30" s="10" t="n">
        <f aca="false">(MIN(G26,$C$25)*$C$29+MAX(G26-$C$25,0)*$B$4)/G26*(1-$B$9*G28)</f>
        <v>9.8679213208142</v>
      </c>
      <c r="H30" s="10" t="n">
        <f aca="false">(MIN(H26,$C$25)*$C$29+MAX(H26-$C$25,0)*$B$4)/H26*(1-$B$9*H28)</f>
        <v>10.3342468471031</v>
      </c>
      <c r="I30" s="10" t="n">
        <f aca="false">(MIN(I26,$C$25)*$C$29+MAX(I26-$C$25,0)*$B$4)/I26*(1-$B$9*I28)</f>
        <v>10.0536612737072</v>
      </c>
      <c r="J30" s="1" t="s">
        <v>24</v>
      </c>
    </row>
    <row r="31" customFormat="false" ht="15" hidden="false" customHeight="false" outlineLevel="0" collapsed="false">
      <c r="A31" s="1" t="s">
        <v>351</v>
      </c>
      <c r="C31" s="18" t="n">
        <f aca="false">$C$29</f>
        <v>13.0112389336762</v>
      </c>
      <c r="D31" s="18" t="n">
        <f aca="false">(MIN(D26,$C$25)*$C$29+MAX(D26-$C$25,0)*$B$5)/D26*(1-$B$8*D28)</f>
        <v>12.1592968102457</v>
      </c>
      <c r="E31" s="18" t="n">
        <f aca="false">(MIN(E26,$C$25)*$C$29+MAX(E26-$C$25,0)*$B$5)/E26*(1-$B$8*E28)</f>
        <v>11.7960443218489</v>
      </c>
      <c r="F31" s="18" t="n">
        <f aca="false">(MIN(F26,$C$25)*$C$29+MAX(F26-$C$25,0)*$B$5)/F26*(1-$B$8*F28)</f>
        <v>11.9432980454412</v>
      </c>
      <c r="G31" s="18" t="n">
        <f aca="false">(MIN(G26,$C$25)*$C$29+MAX(G26-$C$25,0)*$B$5)/G26*(1-$B$8*G28)</f>
        <v>13.0540636729775</v>
      </c>
      <c r="H31" s="18" t="n">
        <f aca="false">(MIN(H26,$C$25)*$C$29+MAX(H26-$C$25,0)*$B$5)/H26*(1-$B$8*H28)</f>
        <v>13.9286755395938</v>
      </c>
      <c r="I31" s="18" t="n">
        <f aca="false">(MIN(I26,$C$25)*$C$29+MAX(I26-$C$25,0)*$B$5)/I26*(1-$B$8*I28)</f>
        <v>13.8837222957304</v>
      </c>
      <c r="J31" s="1" t="s">
        <v>24</v>
      </c>
    </row>
    <row r="32" customFormat="false" ht="15" hidden="false" customHeight="false" outlineLevel="0" collapsed="false">
      <c r="A32" s="1" t="s">
        <v>352</v>
      </c>
      <c r="C32" s="10" t="n">
        <f aca="false">$C$29</f>
        <v>13.0112389336762</v>
      </c>
      <c r="D32" s="10" t="n">
        <f aca="false">(MIN(D26,$C$25)*$C$29+MAX(D26-$C$25,0)*$B$6)/D26*(1-$B$7*D28)</f>
        <v>12.8141512200651</v>
      </c>
      <c r="E32" s="10" t="n">
        <f aca="false">(MIN(E26,$C$25)*$C$29+MAX(E26-$C$25,0)*$B$6)/E26*(1-$B$7*E28)</f>
        <v>13.6236470060898</v>
      </c>
      <c r="F32" s="10" t="n">
        <f aca="false">(MIN(F26,$C$25)*$C$29+MAX(F26-$C$25,0)*$B$6)/F26*(1-$B$7*F28)</f>
        <v>14.8469396457611</v>
      </c>
      <c r="G32" s="10" t="n">
        <f aca="false">(MIN(G26,$C$25)*$C$29+MAX(G26-$C$25,0)*$B$6)/G26*(1-$B$7*G28)</f>
        <v>16.6380976355074</v>
      </c>
      <c r="H32" s="10" t="n">
        <f aca="false">(MIN(H26,$C$25)*$C$29+MAX(H26-$C$25,0)*$B$6)/H26*(1-$B$7*H28)</f>
        <v>17.9271846146293</v>
      </c>
      <c r="I32" s="10" t="n">
        <f aca="false">(MIN(I26,$C$25)*$C$29+MAX(I26-$C$25,0)*$B$6)/I26*(1-$B$7*I28)</f>
        <v>18.1711064961122</v>
      </c>
      <c r="J32" s="1" t="s">
        <v>24</v>
      </c>
    </row>
    <row r="33" customFormat="false" ht="15" hidden="false" customHeight="false" outlineLevel="0" collapsed="false">
      <c r="A33" s="1" t="s">
        <v>353</v>
      </c>
      <c r="C33" s="10" t="n">
        <f aca="false">$B$3</f>
        <v>574.9</v>
      </c>
      <c r="D33" s="19" t="n">
        <f aca="false">D31*D26/4</f>
        <v>607.172998193787</v>
      </c>
      <c r="E33" s="19" t="n">
        <f aca="false">E31*E26/4</f>
        <v>764.840459436457</v>
      </c>
      <c r="F33" s="19" t="n">
        <f aca="false">F31*F26/4</f>
        <v>1127.91790638195</v>
      </c>
      <c r="G33" s="19" t="n">
        <f aca="false">G31*G26/4</f>
        <v>1767.74169741832</v>
      </c>
      <c r="H33" s="19" t="n">
        <f aca="false">H31*H26/4</f>
        <v>2510.91286230449</v>
      </c>
      <c r="I33" s="19" t="n">
        <f aca="false">I31*I26/4</f>
        <v>3287.90554916531</v>
      </c>
      <c r="J33" s="1" t="s">
        <v>24</v>
      </c>
      <c r="K33" s="19" t="n">
        <f aca="false">SUM(F33:I33)</f>
        <v>8694.47801527006</v>
      </c>
    </row>
    <row r="34" customFormat="false" ht="15" hidden="false" customHeight="false" outlineLevel="0" collapsed="false">
      <c r="A34" s="1" t="s">
        <v>354</v>
      </c>
      <c r="J34" s="1" t="s">
        <v>24</v>
      </c>
      <c r="K34" s="19" t="n">
        <f aca="false">F30*F26/4+G30*G26/4+H30*H26/4+I30*I26/4</f>
        <v>6466.29640216205</v>
      </c>
      <c r="L34" s="19" t="n">
        <f aca="false">F32*F26/4+G32*G26/4+H32*H26/4+I32*I26/4</f>
        <v>11190.1704288771</v>
      </c>
    </row>
    <row r="36" customFormat="false" ht="15" hidden="false" customHeight="false" outlineLevel="0" collapsed="false">
      <c r="A36" s="4" t="s">
        <v>357</v>
      </c>
    </row>
    <row r="37" customFormat="false" ht="15" hidden="false" customHeight="false" outlineLevel="0" collapsed="false">
      <c r="A37" s="1" t="s">
        <v>344</v>
      </c>
      <c r="B37" s="17" t="n">
        <v>198.489510489511</v>
      </c>
      <c r="C37" s="17" t="n">
        <v>218.489510489511</v>
      </c>
      <c r="D37" s="17" t="n">
        <v>252.489510489511</v>
      </c>
      <c r="E37" s="17" t="n">
        <v>413.951048951049</v>
      </c>
      <c r="F37" s="17" t="n">
        <v>650.623413623414</v>
      </c>
      <c r="G37" s="17" t="n">
        <v>854.730560904474</v>
      </c>
      <c r="H37" s="17" t="n">
        <v>1071.75793610576</v>
      </c>
      <c r="I37" s="17" t="n">
        <v>1369.23545375719</v>
      </c>
      <c r="J37" s="1" t="s">
        <v>24</v>
      </c>
      <c r="K37" s="1" t="s">
        <v>358</v>
      </c>
    </row>
    <row r="38" customFormat="false" ht="15" hidden="false" customHeight="false" outlineLevel="0" collapsed="false">
      <c r="A38" s="1" t="s">
        <v>346</v>
      </c>
      <c r="C38" s="15" t="n">
        <f aca="false">(B37+C37)/2</f>
        <v>208.489510489511</v>
      </c>
      <c r="D38" s="15" t="n">
        <f aca="false">(C37+D37)/2</f>
        <v>235.489510489511</v>
      </c>
      <c r="E38" s="15" t="n">
        <f aca="false">(D37+E37)/2</f>
        <v>333.22027972028</v>
      </c>
      <c r="F38" s="15" t="n">
        <f aca="false">(E37+F37)/2</f>
        <v>532.287231287232</v>
      </c>
      <c r="G38" s="15" t="n">
        <f aca="false">(F37+G37)/2</f>
        <v>752.676987263944</v>
      </c>
      <c r="H38" s="15" t="n">
        <f aca="false">(G37+H37)/2</f>
        <v>963.244248505117</v>
      </c>
      <c r="I38" s="15" t="n">
        <f aca="false">(H37+I37)/2</f>
        <v>1220.49669493148</v>
      </c>
    </row>
    <row r="39" customFormat="false" ht="15" hidden="false" customHeight="false" outlineLevel="0" collapsed="false">
      <c r="A39" s="1" t="s">
        <v>347</v>
      </c>
      <c r="C39" s="15" t="n">
        <f aca="false">C37-B37</f>
        <v>20</v>
      </c>
      <c r="D39" s="15" t="n">
        <f aca="false">D37-C37</f>
        <v>34</v>
      </c>
      <c r="E39" s="15" t="n">
        <f aca="false">E37-D37</f>
        <v>161.461538461538</v>
      </c>
      <c r="F39" s="15" t="n">
        <f aca="false">F37-E37</f>
        <v>236.672364672365</v>
      </c>
      <c r="G39" s="15" t="n">
        <f aca="false">G37-F37</f>
        <v>204.10714728106</v>
      </c>
      <c r="H39" s="15" t="n">
        <f aca="false">H37-G37</f>
        <v>217.027375201286</v>
      </c>
      <c r="I39" s="15" t="n">
        <f aca="false">I37-H37</f>
        <v>297.47751765143</v>
      </c>
    </row>
    <row r="40" customFormat="false" ht="15" hidden="false" customHeight="false" outlineLevel="0" collapsed="false">
      <c r="A40" s="1" t="s">
        <v>348</v>
      </c>
      <c r="C40" s="16" t="n">
        <f aca="false">C39/C38</f>
        <v>0.0959280874756823</v>
      </c>
      <c r="D40" s="16" t="n">
        <f aca="false">D39/D38</f>
        <v>0.144380103934669</v>
      </c>
      <c r="E40" s="16" t="n">
        <f aca="false">E39/E38</f>
        <v>0.484548955414947</v>
      </c>
      <c r="F40" s="16" t="n">
        <f aca="false">F39/F38</f>
        <v>0.4446328049238</v>
      </c>
      <c r="G40" s="16" t="n">
        <f aca="false">G39/G38</f>
        <v>0.271174953844424</v>
      </c>
      <c r="H40" s="16" t="n">
        <f aca="false">H39/H38</f>
        <v>0.225308768298483</v>
      </c>
      <c r="I40" s="16" t="n">
        <f aca="false">I39/I38</f>
        <v>0.243734799845674</v>
      </c>
    </row>
    <row r="41" customFormat="false" ht="15" hidden="false" customHeight="false" outlineLevel="0" collapsed="false">
      <c r="A41" s="1" t="s">
        <v>349</v>
      </c>
      <c r="C41" s="10" t="n">
        <f aca="false">$B$3*4/C38</f>
        <v>11.029811497954</v>
      </c>
      <c r="J41" s="1" t="s">
        <v>197</v>
      </c>
    </row>
    <row r="42" customFormat="false" ht="15" hidden="false" customHeight="false" outlineLevel="0" collapsed="false">
      <c r="A42" s="1" t="s">
        <v>350</v>
      </c>
      <c r="C42" s="10" t="n">
        <f aca="false">$C$41</f>
        <v>11.029811497954</v>
      </c>
      <c r="D42" s="10" t="n">
        <f aca="false">(MIN(D38,$C$37)*$C$41+MAX(D38-$C$37,0)*$B$4)/D38*(1-$B$9*D40)</f>
        <v>10.1101204074228</v>
      </c>
      <c r="E42" s="10" t="n">
        <f aca="false">(MIN(E38,$C$37)*$C$41+MAX(E38-$C$37,0)*$B$4)/E38*(1-$B$9*E40)</f>
        <v>7.96325840851772</v>
      </c>
      <c r="F42" s="10" t="n">
        <f aca="false">(MIN(F38,$C$37)*$C$41+MAX(F38-$C$37,0)*$B$4)/F38*(1-$B$9*F40)</f>
        <v>8.41597197609507</v>
      </c>
      <c r="G42" s="10" t="n">
        <f aca="false">(MIN(G38,$C$37)*$C$41+MAX(G38-$C$37,0)*$B$4)/G38*(1-$B$9*G40)</f>
        <v>9.75587499672303</v>
      </c>
      <c r="H42" s="10" t="n">
        <f aca="false">(MIN(H38,$C$37)*$C$41+MAX(H38-$C$37,0)*$B$4)/H38*(1-$B$9*H40)</f>
        <v>10.1408073110786</v>
      </c>
      <c r="I42" s="10" t="n">
        <f aca="false">(MIN(I38,$C$37)*$C$41+MAX(I38-$C$37,0)*$B$4)/I38*(1-$B$9*I40)</f>
        <v>10.0461598690825</v>
      </c>
      <c r="J42" s="1" t="s">
        <v>24</v>
      </c>
    </row>
    <row r="43" customFormat="false" ht="15" hidden="false" customHeight="false" outlineLevel="0" collapsed="false">
      <c r="A43" s="1" t="s">
        <v>351</v>
      </c>
      <c r="C43" s="18" t="n">
        <f aca="false">$C$41</f>
        <v>11.029811497954</v>
      </c>
      <c r="D43" s="18" t="n">
        <f aca="false">(MIN(D38,$C$37)*$C$41+MAX(D38-$C$37,0)*$B$5)/D38*(1-$B$8*D40)</f>
        <v>10.6034990282752</v>
      </c>
      <c r="E43" s="18" t="n">
        <f aca="false">(MIN(E38,$C$37)*$C$41+MAX(E38-$C$37,0)*$B$5)/E38*(1-$B$8*E40)</f>
        <v>9.80052907457026</v>
      </c>
      <c r="F43" s="18" t="n">
        <f aca="false">(MIN(F38,$C$37)*$C$41+MAX(F38-$C$37,0)*$B$5)/F38*(1-$B$8*F40)</f>
        <v>11.2142069092032</v>
      </c>
      <c r="G43" s="18" t="n">
        <f aca="false">(MIN(G38,$C$37)*$C$41+MAX(G38-$C$37,0)*$B$5)/G38*(1-$B$8*G40)</f>
        <v>13.1599510355033</v>
      </c>
      <c r="H43" s="18" t="n">
        <f aca="false">(MIN(H38,$C$37)*$C$41+MAX(H38-$C$37,0)*$B$5)/H38*(1-$B$8*H40)</f>
        <v>13.8657495444192</v>
      </c>
      <c r="I43" s="18" t="n">
        <f aca="false">(MIN(I38,$C$37)*$C$41+MAX(I38-$C$37,0)*$B$5)/I38*(1-$B$8*I40)</f>
        <v>13.9674802300541</v>
      </c>
      <c r="J43" s="1" t="s">
        <v>24</v>
      </c>
    </row>
    <row r="44" customFormat="false" ht="15" hidden="false" customHeight="false" outlineLevel="0" collapsed="false">
      <c r="A44" s="1" t="s">
        <v>352</v>
      </c>
      <c r="C44" s="10" t="n">
        <f aca="false">$C$41</f>
        <v>11.029811497954</v>
      </c>
      <c r="D44" s="10" t="n">
        <f aca="false">(MIN(D38,$C$37)*$C$41+MAX(D38-$C$37,0)*$B$6)/D38*(1-$B$7*D40)</f>
        <v>11.1293161153683</v>
      </c>
      <c r="E44" s="10" t="n">
        <f aca="false">(MIN(E38,$C$37)*$C$41+MAX(E38-$C$37,0)*$B$6)/E38*(1-$B$7*E40)</f>
        <v>11.8905341786296</v>
      </c>
      <c r="F44" s="10" t="n">
        <f aca="false">(MIN(F38,$C$37)*$C$41+MAX(F38-$C$37,0)*$B$6)/F38*(1-$B$7*F40)</f>
        <v>14.4254809975828</v>
      </c>
      <c r="G44" s="10" t="n">
        <f aca="false">(MIN(G38,$C$37)*$C$41+MAX(G38-$C$37,0)*$B$6)/G38*(1-$B$7*G40)</f>
        <v>16.958247815919</v>
      </c>
      <c r="H44" s="10" t="n">
        <f aca="false">(MIN(H38,$C$37)*$C$41+MAX(H38-$C$37,0)*$B$6)/H38*(1-$B$7*H40)</f>
        <v>17.9904818381276</v>
      </c>
      <c r="I44" s="10" t="n">
        <f aca="false">(MIN(I38,$C$37)*$C$41+MAX(I38-$C$37,0)*$B$6)/I38*(1-$B$7*I40)</f>
        <v>18.3259720926611</v>
      </c>
      <c r="J44" s="1" t="s">
        <v>24</v>
      </c>
    </row>
    <row r="45" customFormat="false" ht="15" hidden="false" customHeight="false" outlineLevel="0" collapsed="false">
      <c r="A45" s="1" t="s">
        <v>353</v>
      </c>
      <c r="C45" s="10" t="n">
        <f aca="false">$B$3</f>
        <v>574.9</v>
      </c>
      <c r="D45" s="19" t="n">
        <f aca="false">D43*D38/4</f>
        <v>624.253198911134</v>
      </c>
      <c r="E45" s="19" t="n">
        <f aca="false">E43*E38/4</f>
        <v>816.43375990876</v>
      </c>
      <c r="F45" s="19" t="n">
        <f aca="false">F43*F38/4</f>
        <v>1492.29478669548</v>
      </c>
      <c r="G45" s="19" t="n">
        <f aca="false">G43*G38/4</f>
        <v>2476.29807448591</v>
      </c>
      <c r="H45" s="19" t="n">
        <f aca="false">H43*H38/4</f>
        <v>3339.02587496855</v>
      </c>
      <c r="I45" s="19" t="n">
        <f aca="false">I43*I38/4</f>
        <v>4261.81586432543</v>
      </c>
      <c r="J45" s="1" t="s">
        <v>24</v>
      </c>
      <c r="K45" s="19" t="n">
        <f aca="false">SUM(F45:I45)</f>
        <v>11569.4346004754</v>
      </c>
    </row>
    <row r="46" customFormat="false" ht="15" hidden="false" customHeight="false" outlineLevel="0" collapsed="false">
      <c r="A46" s="1" t="s">
        <v>354</v>
      </c>
      <c r="J46" s="1" t="s">
        <v>24</v>
      </c>
      <c r="K46" s="19" t="n">
        <f aca="false">F42*F38/4+G42*G38/4+H42*H38/4+I42*I38/4</f>
        <v>8463.02906424183</v>
      </c>
      <c r="L46" s="19" t="n">
        <f aca="false">F44*F38/4+G44*G38/4+H44*H38/4+I44*I38/4</f>
        <v>15034.6496861157</v>
      </c>
    </row>
    <row r="48" customFormat="false" ht="15" hidden="false" customHeight="false" outlineLevel="0" collapsed="false">
      <c r="A48" s="4" t="s">
        <v>359</v>
      </c>
    </row>
    <row r="49" customFormat="false" ht="15" hidden="false" customHeight="false" outlineLevel="0" collapsed="false">
      <c r="A49" s="1" t="s">
        <v>360</v>
      </c>
      <c r="B49" s="1" t="n">
        <v>200</v>
      </c>
      <c r="C49" s="1" t="n">
        <v>864</v>
      </c>
      <c r="J49" s="1" t="s">
        <v>24</v>
      </c>
    </row>
    <row r="50" customFormat="false" ht="15" hidden="false" customHeight="false" outlineLevel="0" collapsed="false">
      <c r="A50" s="1" t="s">
        <v>361</v>
      </c>
      <c r="B50" s="1" t="n">
        <v>319.5</v>
      </c>
      <c r="C50" s="1" t="n">
        <v>1212.5</v>
      </c>
      <c r="J50" s="1" t="s">
        <v>24</v>
      </c>
    </row>
    <row r="51" customFormat="false" ht="15" hidden="false" customHeight="false" outlineLevel="0" collapsed="false">
      <c r="A51" s="1" t="s">
        <v>362</v>
      </c>
      <c r="B51" s="1" t="n">
        <v>439</v>
      </c>
      <c r="C51" s="1" t="n">
        <v>1561</v>
      </c>
      <c r="J51" s="1" t="s">
        <v>24</v>
      </c>
    </row>
    <row r="52" customFormat="false" ht="15" hidden="false" customHeight="false" outlineLevel="0" collapsed="false">
      <c r="A52" s="1" t="s">
        <v>363</v>
      </c>
      <c r="B52" s="1" t="s">
        <v>364</v>
      </c>
      <c r="C52" s="1" t="s">
        <v>365</v>
      </c>
      <c r="J52" s="1" t="s">
        <v>24</v>
      </c>
    </row>
    <row r="53" customFormat="false" ht="15" hidden="false" customHeight="false" outlineLevel="0" collapsed="false">
      <c r="A53" s="1" t="s">
        <v>366</v>
      </c>
      <c r="B53" s="1" t="n">
        <v>800</v>
      </c>
      <c r="C53" s="1" t="n">
        <v>1800</v>
      </c>
      <c r="D53" s="1" t="s">
        <v>367</v>
      </c>
      <c r="J53" s="1" t="s">
        <v>368</v>
      </c>
    </row>
    <row r="55" customFormat="false" ht="30" hidden="false" customHeight="true" outlineLevel="0" collapsed="false">
      <c r="A55" s="20" t="s">
        <v>369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customFormat="false" ht="30" hidden="false" customHeight="true" outlineLevel="0" collapsed="false">
      <c r="A56" s="20" t="s">
        <v>370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customFormat="false" ht="30" hidden="false" customHeight="true" outlineLevel="0" collapsed="false">
      <c r="A57" s="20" t="s">
        <v>371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customFormat="false" ht="30" hidden="false" customHeight="true" outlineLevel="0" collapsed="false">
      <c r="A58" s="20" t="s">
        <v>372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customFormat="false" ht="30" hidden="false" customHeight="true" outlineLevel="0" collapsed="false">
      <c r="A59" s="20" t="s">
        <v>373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</row>
  </sheetData>
  <mergeCells count="5">
    <mergeCell ref="A55:K55"/>
    <mergeCell ref="A56:K56"/>
    <mergeCell ref="A57:K57"/>
    <mergeCell ref="A58:K58"/>
    <mergeCell ref="A59:K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0"/>
    <col collapsed="false" customWidth="true" hidden="false" outlineLevel="0" max="3" min="3" style="1" width="90"/>
  </cols>
  <sheetData>
    <row r="1" customFormat="false" ht="15" hidden="false" customHeight="false" outlineLevel="0" collapsed="false">
      <c r="A1" s="5" t="s">
        <v>53</v>
      </c>
      <c r="B1" s="5" t="s">
        <v>374</v>
      </c>
      <c r="C1" s="5" t="s">
        <v>375</v>
      </c>
    </row>
    <row r="2" customFormat="false" ht="55.2" hidden="false" customHeight="false" outlineLevel="0" collapsed="false">
      <c r="A2" s="1" t="s">
        <v>224</v>
      </c>
      <c r="B2" s="3" t="s">
        <v>376</v>
      </c>
      <c r="C2" s="3" t="s">
        <v>377</v>
      </c>
    </row>
    <row r="3" customFormat="false" ht="41.75" hidden="false" customHeight="false" outlineLevel="0" collapsed="false">
      <c r="A3" s="1" t="s">
        <v>378</v>
      </c>
      <c r="B3" s="3" t="s">
        <v>379</v>
      </c>
      <c r="C3" s="3" t="s">
        <v>380</v>
      </c>
    </row>
    <row r="4" customFormat="false" ht="28.35" hidden="false" customHeight="false" outlineLevel="0" collapsed="false">
      <c r="A4" s="1" t="s">
        <v>240</v>
      </c>
      <c r="B4" s="3" t="s">
        <v>381</v>
      </c>
      <c r="C4" s="3" t="s">
        <v>382</v>
      </c>
    </row>
    <row r="5" customFormat="false" ht="41.75" hidden="false" customHeight="false" outlineLevel="0" collapsed="false">
      <c r="A5" s="1" t="s">
        <v>48</v>
      </c>
      <c r="B5" s="3" t="s">
        <v>383</v>
      </c>
      <c r="C5" s="3" t="s">
        <v>384</v>
      </c>
    </row>
    <row r="6" customFormat="false" ht="41.75" hidden="false" customHeight="false" outlineLevel="0" collapsed="false">
      <c r="A6" s="1" t="s">
        <v>231</v>
      </c>
      <c r="B6" s="3" t="s">
        <v>385</v>
      </c>
      <c r="C6" s="3" t="s">
        <v>386</v>
      </c>
    </row>
    <row r="7" customFormat="false" ht="28.35" hidden="false" customHeight="false" outlineLevel="0" collapsed="false">
      <c r="A7" s="1" t="s">
        <v>387</v>
      </c>
      <c r="B7" s="3" t="s">
        <v>388</v>
      </c>
      <c r="C7" s="3" t="s">
        <v>389</v>
      </c>
    </row>
    <row r="8" customFormat="false" ht="15" hidden="false" customHeight="false" outlineLevel="0" collapsed="false">
      <c r="A8" s="1" t="s">
        <v>390</v>
      </c>
      <c r="B8" s="3" t="s">
        <v>391</v>
      </c>
      <c r="C8" s="3" t="s">
        <v>392</v>
      </c>
    </row>
    <row r="9" customFormat="false" ht="28.35" hidden="false" customHeight="false" outlineLevel="0" collapsed="false">
      <c r="A9" s="1" t="s">
        <v>97</v>
      </c>
      <c r="B9" s="3" t="s">
        <v>393</v>
      </c>
      <c r="C9" s="3" t="s">
        <v>394</v>
      </c>
    </row>
    <row r="10" customFormat="false" ht="28.35" hidden="false" customHeight="false" outlineLevel="0" collapsed="false">
      <c r="A10" s="1" t="s">
        <v>395</v>
      </c>
      <c r="B10" s="3" t="s">
        <v>396</v>
      </c>
      <c r="C10" s="3" t="s">
        <v>397</v>
      </c>
    </row>
    <row r="11" customFormat="false" ht="28.35" hidden="false" customHeight="false" outlineLevel="0" collapsed="false">
      <c r="A11" s="1" t="s">
        <v>132</v>
      </c>
      <c r="B11" s="3" t="s">
        <v>398</v>
      </c>
      <c r="C11" s="3" t="s">
        <v>399</v>
      </c>
    </row>
    <row r="12" customFormat="false" ht="41.75" hidden="false" customHeight="false" outlineLevel="0" collapsed="false">
      <c r="A12" s="1" t="s">
        <v>31</v>
      </c>
      <c r="B12" s="3" t="s">
        <v>400</v>
      </c>
      <c r="C12" s="3" t="s">
        <v>401</v>
      </c>
    </row>
    <row r="13" customFormat="false" ht="28.35" hidden="false" customHeight="false" outlineLevel="0" collapsed="false">
      <c r="A13" s="1" t="s">
        <v>150</v>
      </c>
      <c r="B13" s="3" t="s">
        <v>402</v>
      </c>
      <c r="C13" s="3" t="s">
        <v>403</v>
      </c>
    </row>
    <row r="14" customFormat="false" ht="28.35" hidden="false" customHeight="false" outlineLevel="0" collapsed="false">
      <c r="A14" s="1" t="s">
        <v>153</v>
      </c>
      <c r="B14" s="3" t="s">
        <v>404</v>
      </c>
      <c r="C14" s="3" t="s">
        <v>405</v>
      </c>
    </row>
    <row r="15" customFormat="false" ht="28.35" hidden="false" customHeight="false" outlineLevel="0" collapsed="false">
      <c r="A15" s="1" t="s">
        <v>164</v>
      </c>
      <c r="B15" s="3" t="s">
        <v>406</v>
      </c>
      <c r="C15" s="3" t="s">
        <v>407</v>
      </c>
    </row>
    <row r="16" customFormat="false" ht="15" hidden="false" customHeight="false" outlineLevel="0" collapsed="false">
      <c r="A16" s="1" t="s">
        <v>327</v>
      </c>
      <c r="B16" s="3" t="s">
        <v>408</v>
      </c>
      <c r="C16" s="3" t="s">
        <v>409</v>
      </c>
    </row>
    <row r="17" customFormat="false" ht="28.35" hidden="false" customHeight="false" outlineLevel="0" collapsed="false">
      <c r="A17" s="1" t="s">
        <v>410</v>
      </c>
      <c r="B17" s="3" t="s">
        <v>411</v>
      </c>
      <c r="C17" s="3" t="s">
        <v>412</v>
      </c>
    </row>
    <row r="18" customFormat="false" ht="15" hidden="false" customHeight="false" outlineLevel="0" collapsed="false">
      <c r="A18" s="1" t="s">
        <v>50</v>
      </c>
      <c r="B18" s="3" t="s">
        <v>413</v>
      </c>
      <c r="C18" s="3" t="s">
        <v>414</v>
      </c>
    </row>
    <row r="19" customFormat="false" ht="28.35" hidden="false" customHeight="false" outlineLevel="0" collapsed="false">
      <c r="A19" s="1" t="s">
        <v>415</v>
      </c>
      <c r="B19" s="3" t="s">
        <v>416</v>
      </c>
      <c r="C19" s="3" t="s">
        <v>417</v>
      </c>
    </row>
    <row r="20" customFormat="false" ht="15" hidden="false" customHeight="false" outlineLevel="0" collapsed="false">
      <c r="A20" s="1" t="s">
        <v>237</v>
      </c>
      <c r="B20" s="3" t="s">
        <v>418</v>
      </c>
      <c r="C20" s="3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2026-10-05T02:36:23Z</dcterms:created>
  <dc:creator>openpyxl</dc:creator>
  <dc:description/>
  <dc:language>en-US</dc:language>
  <cp:lastModifiedBy/>
  <dcterms:modified xsi:type="dcterms:W3CDTF">2026-10-05T02:36:23Z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