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mplied_Price" sheetId="2" state="visible" r:id="rId4"/>
    <sheet name="MW_Paths" sheetId="3" state="visible" r:id="rId5"/>
    <sheet name="Revenue_Sources" sheetId="4" state="visible" r:id="rId6"/>
    <sheet name="Nebius_Check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<sst xmlns="http://schemas.openxmlformats.org/spreadsheetml/2006/main" count="481" uniqueCount="329">
  <si>
    <t xml:space="preserve">price_or_mw.xlsx - Nebius Peer KPIs - PRICE-OR-MW TEST - built 2026-10-05 ET; CORRECTED 2026-10-05 (YE26 high ÷ 284.2); RE-BASED 2026-10-08 ~10:00 ET to model v0.9e locks (patch_price_or_mw.py). Recalc: 0 errors.</t>
  </si>
  <si>
    <t xml:space="preserve">QUESTION: FY27 consensus (or mgmt run-rate) ÷ average billed IT MW → implied $/billed IT MW. Do peers land at ~$13-18M (Nebius Street ~$26M = unsupported premium) or are peers just as rich?</t>
  </si>
  <si>
    <t xml:space="preserve">NEBIUS BENCHMARK (model v0.9e): Street FY27 $12.3B (S1) / FY27 avg billed IT MW 531.84 (model/nebius_model.xlsx Drivers!B34) = ~$23.1M blended (memo). PEER COMPARATOR = ex-Microsoft ~$27.6M (($12.3B - $2,643.8M) / (531.84 - 182.33)). High path 659.16: $18.7M blended. YE26 ARR guide $7-9B / YE26 billing 258-284 MW = $25-35M.</t>
  </si>
  <si>
    <t xml:space="preserve">HEADLINE RESULT: Peers land in ~$11-16M on base paths - NOT as rich as Nebius Street ex-Microsoft (~$27.6M). Confidence MEDIUM.</t>
  </si>
  <si>
    <t xml:space="preserve">  CoreWeave: $26.26B / ~2,325 avg active MW (E) ≈ $11.3M (range ~$9.5-13.5 across MW paths).</t>
  </si>
  <si>
    <t xml:space="preserve">  IREN: YE26 ARR $4B / 300 IT MW = $13.3M (R/R); FY27 ARR-path proxy ≈ $14-18M (E).</t>
  </si>
  <si>
    <t xml:space="preserve">  Oracle: FQ1 Cloud Infra annualized $29.6B / ~2,050 cum. delivered MW ≈ $14.4M (D/E; AI/non-AI and gross-MW caveats).</t>
  </si>
  <si>
    <t xml:space="preserve">Microsoft-Nebius: $14.49M per IT MW [E, house] = model Contracts!E12 only (ruling Oct 9 2026; Nebius_Check rows 16-24). Earlier 11.6 (300 MW site size) / 17.1 (GPU-derived) readings are superseded - history only (Nebius_Check row 25).</t>
  </si>
  <si>
    <t xml:space="preserve">K02b: Comparison.xlsx now has K02 (energized avg MW) AND K02b (billed IT avg MW) so the slide can show both.</t>
  </si>
  <si>
    <t xml:space="preserve">TABS: Implied_Price (headline + verdict) | MW_Paths | Revenue_Sources | Nebius_Check | Sources | README.</t>
  </si>
  <si>
    <t xml:space="preserve">TAGS: R reported; P press/secondary; D derived; E estimated; n-d not disclosed. Blue = hard-coded input.</t>
  </si>
  <si>
    <t xml:space="preserve">CORRECTION / BASIS: All Nebius $/MW in this pack are on BILLED IT MW (K02b basis). YE26 guide: low=$7B/MW_Paths!E9(257.7); high=$9B/MW_Paths!E10(284.2 Judge_Slide B35 / Capacity HIGH billing). Street FY27 uses model v0.9e FY27 avg billed IT MW 531.8 (Drivers B34; MW_Paths row 31), not energized.</t>
  </si>
  <si>
    <t xml:space="preserve">OCT 8 ~10:00 ET RE-BASE TO MODEL v0.9e (source of truth): FY27 avg billed IT MW BASE 531.84 / HIGH 659.16 (Drivers!B34 / Drivers!C34); Microsoft FY27 revenue $2,643.8M (Drivers!B32) on Vineland 182.33 billed MW-yr (Drivers!B33); YE26 unchanged 257.7 / 284.2. Peer 'vs' columns benchmark ex-MSFT (Nebius_Check B37 = model Drivers B9). Oct-5 content preserved in price_or_mw_pre_oct8_backup.xlsx; build_price_or_mw.py is stale (guarded) - use patch_price_or_mw.py.</t>
  </si>
  <si>
    <t xml:space="preserve">HISTORY (superseded, not inputs): 08:44 ET patch used Capacity tranche locks 536.48 / 663.8 and Microsoft $2,711M on 186.97 MW (ex-MSFT 27.44); file kept as price_or_mw_pre_v09e_backup.xlsx.</t>
  </si>
  <si>
    <t xml:space="preserve">2026-10-08 PM: CONTRACT COMP BAND (separate metric: TCV / term / MW, not revenue per billed MW): $9.7-16.7M per MW-yr - low IREN-Microsoft $9.7M; top Lambda-Anthropic ~$16.7M ($35B / 6-yr / ~350 MW; press inputs, IT vs gross unstated; Medium confidence) - comparison.xlsx Contracts_$MWyr NEW2 (2026-10-08; was $9.7-16.2M, Nscale-Anthropic top).</t>
  </si>
  <si>
    <t xml:space="preserve">PRICE-OR-MW TEST: FY27 revenue (or run-rate guide) ÷ average billed IT MW → implied $M per billed IT MW-yr. Compare peers to Nebius Street EX-MICROSOFT ~$27.6M (blended Street ~$23.1M on model v0.9e 531.8 MW is memo).</t>
  </si>
  <si>
    <t xml:space="preserve">Question: do peers land at ~$13-18M (Nebius alone at an unsupported premium) or are peers just as rich?</t>
  </si>
  <si>
    <t xml:space="preserve">Company</t>
  </si>
  <si>
    <t xml:space="preserve">Revenue $M</t>
  </si>
  <si>
    <t xml:space="preserve">Rev tag</t>
  </si>
  <si>
    <t xml:space="preserve">Avg billed IT MW</t>
  </si>
  <si>
    <t xml:space="preserve">MW tag</t>
  </si>
  <si>
    <t xml:space="preserve">Implied $M/MW</t>
  </si>
  <si>
    <t xml:space="preserve">vs Nebius Street ex-MSFT (~$27.6M)</t>
  </si>
  <si>
    <t xml:space="preserve">Premium/(discount)</t>
  </si>
  <si>
    <t xml:space="preserve">Verdict vs $13-18 band</t>
  </si>
  <si>
    <t xml:space="preserve">Notes</t>
  </si>
  <si>
    <t xml:space="preserve">Nebius STREET blended (consensus / FY27 avg billed, model v0.9e)</t>
  </si>
  <si>
    <t xml:space="preserve">E</t>
  </si>
  <si>
    <t xml:space="preserve">D</t>
  </si>
  <si>
    <t xml:space="preserve">MEMO (blended, incl. Microsoft $14.5M anchor): $12.3B / 531.84 (model/nebius_model.xlsx Drivers!B34) = ~$23.1M. Use row 18 (ex-MSFT) against peers.</t>
  </si>
  <si>
    <t xml:space="preserve">Nebius YE26 ARR guide / YE26 billing (low)</t>
  </si>
  <si>
    <t xml:space="preserve">R</t>
  </si>
  <si>
    <t xml:space="preserve">Guide test: $7B / YE26 BASE billing ~257.7 (Capacity Q4'26 Billing MW IT base = MW_Paths!E9)</t>
  </si>
  <si>
    <t xml:space="preserve">Nebius YE26 ARR guide / YE26 billing (high)</t>
  </si>
  <si>
    <t xml:space="preserve">CORRECTION 2026-10-05: $9B / YE26 HIGH billing 284.2 (Judge_Slide B35) → ~$31.7M (in $25-32 Judge band). Was wrongly =E9 (257.7) → $34.9.</t>
  </si>
  <si>
    <t xml:space="preserve">CoreWeave STREET / BASE MW path</t>
  </si>
  <si>
    <t xml:space="preserve">Active power path YE26 1.85 GW P → YE27 2.8 GW E; avg 2.325 GW</t>
  </si>
  <si>
    <t xml:space="preserve">CoreWeave STREET / LOW MW path</t>
  </si>
  <si>
    <t xml:space="preserve">YE26 1.7 GW R (Q1 guide) → YE27 2.2 GW E</t>
  </si>
  <si>
    <t xml:space="preserve">CoreWeave STREET / HIGH MW path</t>
  </si>
  <si>
    <t xml:space="preserve">Faster MW → lower $/MW</t>
  </si>
  <si>
    <t xml:space="preserve">CoreWeave YE27 ARR guide $30B / BASE YE27 EoP MW</t>
  </si>
  <si>
    <t xml:space="preserve">Exit run-rate test (not FY27 average revenue)</t>
  </si>
  <si>
    <t xml:space="preserve">IREN YE26 ARR $4B / YE26 300 IT MW</t>
  </si>
  <si>
    <t xml:space="preserve">Cleanest IREN like-for-like: mgmt ARR / mgmt IT MW target</t>
  </si>
  <si>
    <t xml:space="preserve">IREN YE27 ARR at $20M pricing / YE27 800 IT MW</t>
  </si>
  <si>
    <t xml:space="preserve">Uses IREN's own &gt;$20M/IT MW 3-yr pricing on full YE27 capacity</t>
  </si>
  <si>
    <t xml:space="preserve">IREN YE27 ARR at YE26 $/MW / YE27 800 IT MW</t>
  </si>
  <si>
    <t xml:space="preserve">Same unit price as YE26 ARR/MW</t>
  </si>
  <si>
    <t xml:space="preserve">IREN FY27 recognized (avg of YE26 ARR &amp; YE27@$20M) / avg MW</t>
  </si>
  <si>
    <t xml:space="preserve">Proxy for calendar-2027 recognized AI revenue; no Street AI-only consensus on box</t>
  </si>
  <si>
    <t xml:space="preserve">Oracle FQ1'27 Cloud Infra annualized / cum. AI MW at Aug-26</t>
  </si>
  <si>
    <t xml:space="preserve">Numerator includes non-AI OCI; denominator = cumulative delivered since Jun-25 (not stock), likely gross MW</t>
  </si>
  <si>
    <t xml:space="preserve">Oracle FQ1'27 annualized / FY27 avg cum. delivered (BASE)</t>
  </si>
  <si>
    <t xml:space="preserve">Same numerator on growing delivered base → lower $/MW; still conflates AI vs non-AI</t>
  </si>
  <si>
    <t xml:space="preserve">Nebius STREET NON-MICROSOFT (peer comparator)</t>
  </si>
  <si>
    <t xml:space="preserve">E/D</t>
  </si>
  <si>
    <t xml:space="preserve">THE PEER BENCHMARK (model v0.9e): ($12.3B - $2.6438B Microsoft) / (531.8 - 182.3 Vineland billed MW-yr) = ~$27.6M (= Drivers B9). Peers' $/MW has no $14.5M Microsoft anchor.</t>
  </si>
  <si>
    <t xml:space="preserve">SENSITIVITY - CoreWeave $/MW across MW and revenue</t>
  </si>
  <si>
    <t xml:space="preserve">MW LOW 1,950</t>
  </si>
  <si>
    <t xml:space="preserve">MW BASE 2,325</t>
  </si>
  <si>
    <t xml:space="preserve">MW HIGH 2,750</t>
  </si>
  <si>
    <t xml:space="preserve">MW at $8.24 ARR ($30B→3,640)</t>
  </si>
  <si>
    <t xml:space="preserve">Rev $26.26B (Street)</t>
  </si>
  <si>
    <t xml:space="preserve">Rev $28.0B (later aggregator)</t>
  </si>
  <si>
    <t xml:space="preserve">YE27 ARR $30B as if FY27 rev</t>
  </si>
  <si>
    <t xml:space="preserve">Nebius STREET blended / FY27 avg billed HIGH (model v0.9e)</t>
  </si>
  <si>
    <t xml:space="preserve">High path: $12.3B / 659.16 (model/nebius_model.xlsx Drivers!C34). Ex-MSFT high = Nebius_Check B41.</t>
  </si>
  <si>
    <t xml:space="preserve">HEADLINE TABLE (ready to DM)</t>
  </si>
  <si>
    <t xml:space="preserve">FY27 rev $B</t>
  </si>
  <si>
    <t xml:space="preserve">Implied $/MW</t>
  </si>
  <si>
    <t xml:space="preserve">Tag</t>
  </si>
  <si>
    <t xml:space="preserve">vs Nebius ex-MSFT ~$27.6M</t>
  </si>
  <si>
    <t xml:space="preserve">Nebius Street (blended memo)</t>
  </si>
  <si>
    <t xml:space="preserve">E (cons) / D/E (MW)</t>
  </si>
  <si>
    <t xml:space="preserve">CoreWeave</t>
  </si>
  <si>
    <t xml:space="preserve">E / E</t>
  </si>
  <si>
    <t xml:space="preserve">IREN (ARR path)</t>
  </si>
  <si>
    <t xml:space="preserve">E / D</t>
  </si>
  <si>
    <t xml:space="preserve">IREN (YE26 ARR/MW)</t>
  </si>
  <si>
    <t xml:space="preserve">R / R</t>
  </si>
  <si>
    <t xml:space="preserve">Oracle OCI (run-rate / cum MW)</t>
  </si>
  <si>
    <t xml:space="preserve">D / E</t>
  </si>
  <si>
    <t xml:space="preserve">Nebius Street ex-MSFT (PEER BENCHMARK)</t>
  </si>
  <si>
    <t xml:space="preserve">E/D / D</t>
  </si>
  <si>
    <t xml:space="preserve">VERDICT</t>
  </si>
  <si>
    <t xml:space="preserve">Peers come out in the ~$11-16M per billed IT MW band on base paths. The like-for-like Nebius figure is Street EX-MICROSOFT ~$27.6M (($12.3B - $2.64B) / (531.8 - 182.3) billed IT MW, model v0.9e) - ~1.7-2.4x the peer band. Blended Street is ~$23.1M (memo; pulled down by the $14.5M Microsoft anchor). CoreWeave Street / base MW ≈ $11-13M; IREN YE26 ARR/IT MW = $13.3M (R/R) and FY27 ARR-path proxy ≈ $14-18M; Oracle ≈ $14M (AI/non-AI and gross-MW caveats). High path: $12.3B / 659.2 = $18.7M blended, ex-MSFT $20.3M. At $16M comps the Street needs 769 MW = 1.45x base / 1.17x high. YE26 Nebius guide ($7-9B / ~258-284 billing MW) implies $25-35M. Confidence MEDIUM: CoreWeave YE27 MW Estimated; IREN lacks AI GAAP consensus; Oracle perimeter impure; Vineland MW per tranche is E. CONTRACT COMP BAND (separate metric: TCV / term / MW, not revenue per billed MW): $9.7-16.7M per MW-yr - low IREN-Microsoft $9.7M; top Lambda-Anthropic ~$16.7M ($35B / 6-yr / ~350 MW; press inputs, IT vs gross unstated; Medium confidence) - comparison.xlsx Contracts_$MWyr NEW2 (2026-10-08; was $9.7-16.2M, Nscale-Anthropic top). The $13-18 band in col I is this test's slide hypothesis band for revenue per billed MW, not the contract band.</t>
  </si>
  <si>
    <t xml:space="preserve">Billed / active IT MW paths. Prefer billed/billing over installed. Blue = input. CoreWeave 'active power' ≈ billed. Oracle = cumulative AI capacity delivered (not a clean billed-IT stock).</t>
  </si>
  <si>
    <t xml:space="preserve">NEBIUS - Capacity Billing MW (IT) base row + model lag method</t>
  </si>
  <si>
    <t xml:space="preserve">Item</t>
  </si>
  <si>
    <t xml:space="preserve">Q1'26</t>
  </si>
  <si>
    <t xml:space="preserve">Q2'26</t>
  </si>
  <si>
    <t xml:space="preserve">Q3'26</t>
  </si>
  <si>
    <t xml:space="preserve">Q4'26</t>
  </si>
  <si>
    <t xml:space="preserve">Q1'27</t>
  </si>
  <si>
    <t xml:space="preserve">Q2'27</t>
  </si>
  <si>
    <t xml:space="preserve">Q3'27</t>
  </si>
  <si>
    <t xml:space="preserve">Q4'27</t>
  </si>
  <si>
    <t xml:space="preserve">FY27 avg</t>
  </si>
  <si>
    <t xml:space="preserve">Source</t>
  </si>
  <si>
    <t xml:space="preserve">Capacity 'Billing MW (IT) - base' quarter-end</t>
  </si>
  <si>
    <t xml:space="preserve">S2 row 147</t>
  </si>
  <si>
    <t xml:space="preserve">MODEL billing IT MW (nebius_model KPIs 'BILLING IT MW'; quarter averages) - HISTORY ONLY (v0.9d energized-lag path; not used - see row 31)</t>
  </si>
  <si>
    <t xml:space="preserve">HISTORY ONLY (v0.9d model KPIs row BILLING, energized-lag); not used since Oct 8; Q4'26 open=212.74</t>
  </si>
  <si>
    <t xml:space="preserve">SENSITIVITY: Capacity energized IT base lagged 1q, qtr avg (NOT Street denom)</t>
  </si>
  <si>
    <t xml:space="preserve">D/E</t>
  </si>
  <si>
    <t xml:space="preserve">SENSITIVITY: Capacity energized IT high lagged 1q, qtr avg</t>
  </si>
  <si>
    <t xml:space="preserve">YE26 billing IT MW (Capacity base Q4'26)</t>
  </si>
  <si>
    <t xml:space="preserve">S2</t>
  </si>
  <si>
    <t xml:space="preserve">YE26 billing IT MW (Capacity HIGH / Judge_Slide B35)</t>
  </si>
  <si>
    <t xml:space="preserve">Judge_Slide B35 = 284.2; Capacity v2 high energized IT lagged 1q to billing (Vineland billed tranches). See Judge_Slide A29/A35; owned_campus_power_path.md High ~284. [Sources S14]</t>
  </si>
  <si>
    <t xml:space="preserve">COREWEAVE - active power (company metric; ≈ billed / revenue-generating)</t>
  </si>
  <si>
    <t xml:space="preserve">YE25</t>
  </si>
  <si>
    <t xml:space="preserve">YE26E</t>
  </si>
  <si>
    <t xml:space="preserve">YE27E</t>
  </si>
  <si>
    <t xml:space="preserve">FY27 avg (linear)</t>
  </si>
  <si>
    <t xml:space="preserve">Source / method</t>
  </si>
  <si>
    <t xml:space="preserve">BASE path</t>
  </si>
  <si>
    <t xml:space="preserve">R/P/E</t>
  </si>
  <si>
    <t xml:space="preserve">YE25/Q1/Q2 R (S5); YE26 1850 P (Q2 call coverage; Q1 guide was 1700 R); YE27 2800 E (interp: contracted 4.2 GW x ~67% active by YE27, between 1.85 and NVIDIA 5GW multi-year)</t>
  </si>
  <si>
    <t xml:space="preserve">LOW path (slower YE27 conversion)</t>
  </si>
  <si>
    <t xml:space="preserve">R/E</t>
  </si>
  <si>
    <t xml:space="preserve">YE26 = Q1 guide 1.7 GW R; YE27 2.2 GW E (modest add)</t>
  </si>
  <si>
    <t xml:space="preserve">HIGH path</t>
  </si>
  <si>
    <t xml:space="preserve">YE26 2.0 GW E; YE27 3.5 GW E (faster toward 5GW NVIDIA buildout)</t>
  </si>
  <si>
    <t xml:space="preserve">Memo: YE27 MW if YE27 ARR $30B at Q2'26 rev/avg MW $8.24</t>
  </si>
  <si>
    <t xml:space="preserve">Implies ~3,640 MW if unit revenue stays at Q2'26 diluted level - upper bound on MW / lower bound on $/MW</t>
  </si>
  <si>
    <t xml:space="preserve">IREN AI Cloud - IT MW cumulative delivery targets (company; billed ≈ delivered after acceptance lag)</t>
  </si>
  <si>
    <t xml:space="preserve">Jun-26 reported</t>
  </si>
  <si>
    <t xml:space="preserve">YE26 target</t>
  </si>
  <si>
    <t xml:space="preserve">YE27 target</t>
  </si>
  <si>
    <t xml:space="preserve">FY27 avg (linear YE26→YE27)</t>
  </si>
  <si>
    <t xml:space="preserve">IT MW (company target)</t>
  </si>
  <si>
    <t xml:space="preserve">R/D</t>
  </si>
  <si>
    <t xml:space="preserve">S7: 0.3 GW IT 2026 / 0.8 GW IT 2027; Jun-26 ~40 MW operating (R, basis unstated)</t>
  </si>
  <si>
    <t xml:space="preserve">Gross MW (company target, memo)</t>
  </si>
  <si>
    <t xml:space="preserve">n-d</t>
  </si>
  <si>
    <t xml:space="preserve">S7 Jul-20: 480 MW gross YE26 / 1.2 GW gross YE27</t>
  </si>
  <si>
    <t xml:space="preserve">ORACLE - cumulative AI capacity DELIVERED (not billed-IT stock; MW basis unlabeled, likely gross)</t>
  </si>
  <si>
    <t xml:space="preserve">FQ4'26 (May)</t>
  </si>
  <si>
    <t xml:space="preserve">FQ1'27 (Aug)</t>
  </si>
  <si>
    <t xml:space="preserve">FY27E EoP (May'27)</t>
  </si>
  <si>
    <t xml:space="preserve">Cumulative AI MW delivered since Jun-2025 (BASE)</t>
  </si>
  <si>
    <t xml:space="preserve">S11: 1200 at May-26, 2050 at Aug-26 (incl. 850 delivered FQ1). YE27 4500 E = +~2.5 GW over remaining 3 qtrs of FY27 at ~similar pace to FQ1's 850 (decelerating)</t>
  </si>
  <si>
    <t xml:space="preserve">LOW (slower delivery)</t>
  </si>
  <si>
    <t xml:space="preserve">HIGH</t>
  </si>
  <si>
    <t xml:space="preserve">Memo: if 850 MW/qtr continues x4 through FY27 from May-26 base</t>
  </si>
  <si>
    <t xml:space="preserve">NEBIUS FY27 avg billed IT MW - MODEL v0.9e (engine-linked: non-Vineland path + Vineland billed MW-yr = engine Microsoft revenue / $14.5M)</t>
  </si>
  <si>
    <t xml:space="preserve">FY27 avg billed IT MW - BASE (model v0.9e) - STREET DENOMINATOR</t>
  </si>
  <si>
    <t xml:space="preserve">model/nebius_model.xlsx Drivers!B34 = Drivers!B30 349.51 + Drivers!B33 182.33</t>
  </si>
  <si>
    <t xml:space="preserve">FY27 avg billed IT MW - HIGH (model v0.9e)</t>
  </si>
  <si>
    <t xml:space="preserve">model/nebius_model.xlsx Drivers!C34 = Drivers!C30 476.83 + 182.33</t>
  </si>
  <si>
    <t xml:space="preserve">Vineland / Microsoft FY27 billed MW-yr (revenue basis = Microsoft revenue / $14.5M)</t>
  </si>
  <si>
    <t xml:space="preserve">model/nebius_model.xlsx Drivers!B33 (alt Contracts row 141 billing-MW avg 185.6, memo)</t>
  </si>
  <si>
    <t xml:space="preserve">Microsoft (Vineland) FY27 revenue $M in the model engine (Contracts MS_Rev)</t>
  </si>
  <si>
    <t xml:space="preserve">model/nebius_model.xlsx Drivers!B32 = SUMIF(Q_Yr,2027,MS_Rev), Contracts row 145</t>
  </si>
  <si>
    <t xml:space="preserve">NON-Microsoft FY27 avg billed IT MW - BASE</t>
  </si>
  <si>
    <t xml:space="preserve">base less Vineland billed MW-yr (= model/nebius_model.xlsx Drivers!B30)</t>
  </si>
  <si>
    <t xml:space="preserve">NON-Microsoft FY27 avg billed IT MW - HIGH</t>
  </si>
  <si>
    <t xml:space="preserve">high less Vineland (= Drivers!C30; Vineland identical on both paths)</t>
  </si>
  <si>
    <t xml:space="preserve">FY27 (or nearest run-rate) revenue inputs. Blue = hard-coded. Tags: R reported, P press/secondary, D derived, E estimated, n-d not disclosed.</t>
  </si>
  <si>
    <t xml:space="preserve">Metric</t>
  </si>
  <si>
    <t xml:space="preserve">Value $M</t>
  </si>
  <si>
    <t xml:space="preserve">Period / basis</t>
  </si>
  <si>
    <t xml:space="preserve">Nebius</t>
  </si>
  <si>
    <t xml:space="preserve">Street FY27 consensus revenue</t>
  </si>
  <si>
    <t xml:space="preserve">CY2027</t>
  </si>
  <si>
    <t xml:space="preserve">S1</t>
  </si>
  <si>
    <t xml:space="preserve">Yahoo/MarketScreener mean, 21 analysts, as-of 2026-10-04</t>
  </si>
  <si>
    <t xml:space="preserve">YE26 ARR guide - low</t>
  </si>
  <si>
    <t xml:space="preserve">YE26 run-rate</t>
  </si>
  <si>
    <t xml:space="preserve">S3</t>
  </si>
  <si>
    <t xml:space="preserve">Dec AI cloud x 12</t>
  </si>
  <si>
    <t xml:space="preserve">YE26 ARR guide - high</t>
  </si>
  <si>
    <t xml:space="preserve">S4</t>
  </si>
  <si>
    <t xml:space="preserve">Team pack Oct-4; later aggregators 26.8-28.0</t>
  </si>
  <si>
    <t xml:space="preserve">YE26 ARR guide (call coverage)</t>
  </si>
  <si>
    <t xml:space="preserve">P</t>
  </si>
  <si>
    <t xml:space="preserve">YE26 run-rate mid</t>
  </si>
  <si>
    <t xml:space="preserve">S5</t>
  </si>
  <si>
    <t xml:space="preserve">Q2'26 call coverage $18-19B ARR exit 2026</t>
  </si>
  <si>
    <t xml:space="preserve">YE27 ARR guide (mgmt reiterated)</t>
  </si>
  <si>
    <t xml:space="preserve">YE27 run-rate floor</t>
  </si>
  <si>
    <t xml:space="preserve">'annualized revenue should exceed $30B by end of 2027' (Q1'26, reiterated)</t>
  </si>
  <si>
    <t xml:space="preserve">IREN</t>
  </si>
  <si>
    <t xml:space="preserve">YE26 AI Cloud ARR target (operating)</t>
  </si>
  <si>
    <t xml:space="preserve">S7</t>
  </si>
  <si>
    <t xml:space="preserve">&gt;$4bn ARR targeted operational by Dec 31 2026; 85% contracted Jul-20</t>
  </si>
  <si>
    <t xml:space="preserve">Operating ARR (as of Aug 26 2026)</t>
  </si>
  <si>
    <t xml:space="preserve">Aug-26 run-rate</t>
  </si>
  <si>
    <t xml:space="preserve">FY27 AI GAAP revenue (Street)</t>
  </si>
  <si>
    <t xml:space="preserve">FY27</t>
  </si>
  <si>
    <t xml:space="preserve">S9</t>
  </si>
  <si>
    <t xml:space="preserve">No AI-only consensus on box. Redburn $2.8B = total company fiscal FY27 (YE Jun-30), P</t>
  </si>
  <si>
    <t xml:space="preserve">Memo: YE27 ARR if 800 IT MW at $20M (own 3-yr pricing)</t>
  </si>
  <si>
    <t xml:space="preserve">YE27 run-rate</t>
  </si>
  <si>
    <t xml:space="preserve">S7/S8</t>
  </si>
  <si>
    <t xml:space="preserve">800 x 20; not a company guide</t>
  </si>
  <si>
    <t xml:space="preserve">Memo: YE27 ARR if 800 IT MW at $13.3M (same as YE26 ARR/MW)</t>
  </si>
  <si>
    <t xml:space="preserve">800 x (4000/300)</t>
  </si>
  <si>
    <t xml:space="preserve">Oracle</t>
  </si>
  <si>
    <t xml:space="preserve">FQ1 FY27 Cloud Infrastructure (IaaS) revenue</t>
  </si>
  <si>
    <t xml:space="preserve">Qtr ended Aug-31-26</t>
  </si>
  <si>
    <t xml:space="preserve">S10</t>
  </si>
  <si>
    <t xml:space="preserve">Includes non-AI OCI</t>
  </si>
  <si>
    <t xml:space="preserve">FQ1 FY27 Cloud Infra annualized (x4)</t>
  </si>
  <si>
    <t xml:space="preserve">Run-rate</t>
  </si>
  <si>
    <t xml:space="preserve">Not a FY27 guide; growth still high</t>
  </si>
  <si>
    <t xml:space="preserve">FY27 total company revenue guide</t>
  </si>
  <si>
    <t xml:space="preserve">FY27 (YE May-31)</t>
  </si>
  <si>
    <t xml:space="preserve">'at least $90 billion' - whole company, not OCI/AI</t>
  </si>
  <si>
    <t xml:space="preserve">Cloud Infra FY26 (full year)</t>
  </si>
  <si>
    <t xml:space="preserve">FY26</t>
  </si>
  <si>
    <t xml:space="preserve">FY27 Microsoft (Vineland) revenue - model v0.9e engine</t>
  </si>
  <si>
    <t xml:space="preserve">model/nebius_model.xlsx</t>
  </si>
  <si>
    <t xml:space="preserve">Drivers!B32 (Contracts MS_Rev row 145: T1-T4 + ramp + Q1'27 genset cap + T5-T9 Bloom starts)</t>
  </si>
  <si>
    <t xml:space="preserve">Street FY27 ex-Microsoft revenue</t>
  </si>
  <si>
    <t xml:space="preserve">S1 less row 19</t>
  </si>
  <si>
    <t xml:space="preserve">Peer comparator numerator (peers have no $14.5M Microsoft anchor)</t>
  </si>
  <si>
    <t xml:space="preserve">Verify Nebius Street $12.3B / FY27 avg billed IT MW (model v0.9e 531.8) -&gt; ~$23.1M blended; NON-Microsoft ~$27.6M (peer comparator); YE26 guide $25-32M. Microsoft-Nebius = $14.49M per IT MW [E, house] (model Contracts!E12) only.</t>
  </si>
  <si>
    <t xml:space="preserve">CORRECTION 2026-10-05 ET: Implied_Price YE26 high ARR row now uses MW_Paths!E10=284.2 (was both rows on 257.7). Source: model/nebius_model.xlsx Judge_Slide B35.</t>
  </si>
  <si>
    <t xml:space="preserve">Check</t>
  </si>
  <si>
    <t xml:space="preserve">Value</t>
  </si>
  <si>
    <t xml:space="preserve">Source / note</t>
  </si>
  <si>
    <t xml:space="preserve">FY27 consensus revenue ($M)</t>
  </si>
  <si>
    <t xml:space="preserve">FY27 avg billed IT MW - BASE, model v0.9e (STREET DENOMINATOR)</t>
  </si>
  <si>
    <t xml:space="preserve">model/nebius_model.xlsx Drivers!B34 = 531.84 (engine-linked)</t>
  </si>
  <si>
    <t xml:space="preserve">Implied $M per billed IT MW (Street)</t>
  </si>
  <si>
    <t xml:space="preserve">Blended (incl. Microsoft $14.5M anchor) - memo; = model/nebius_model.xlsx Drivers!B10 23.1272</t>
  </si>
  <si>
    <t xml:space="preserve">FY27 avg billing - Capacity quarter-end row (memo)</t>
  </si>
  <si>
    <t xml:space="preserve">593.9; NOT the Street denominator</t>
  </si>
  <si>
    <t xml:space="preserve">Implied $M/MW if used Capacity qtr-end avg</t>
  </si>
  <si>
    <t xml:space="preserve">Lower (~$20.7) - do not use for Street compare</t>
  </si>
  <si>
    <t xml:space="preserve">model v0.9e Judge_Slide / Drivers printed Street blended $/MW (Drivers B10 = Judge_Slide B16)</t>
  </si>
  <si>
    <t xml:space="preserve">model/nebius_model.xlsx Drivers!B10</t>
  </si>
  <si>
    <t xml:space="preserve">Delta vs model v0.9e (should be ~0)</t>
  </si>
  <si>
    <t xml:space="preserve">YE26 ARR low ($7B) / YE26 BASE billing 257.7</t>
  </si>
  <si>
    <t xml:space="preserve">S3 / MW_Paths!E9 = Capacity base Q4'26</t>
  </si>
  <si>
    <t xml:space="preserve">YE26 ARR high ($9B) / YE26 BASE billing 257.7 (memo — NOT the headline high-path pairing)</t>
  </si>
  <si>
    <t xml:space="preserve">Memo only; Headline Implied_Price high row uses HIGH MW</t>
  </si>
  <si>
    <t xml:space="preserve">YE26 ARR high ($9B) / YE26 HIGH billing 284.2 (HEADLINE high-path)</t>
  </si>
  <si>
    <t xml:space="preserve">Judge_Slide B35/B41; expect ~$31.7 → $25-32 band with low/high cross</t>
  </si>
  <si>
    <t xml:space="preserve">YE26 ARR low ($7B) / YE26 HIGH billing 284.2</t>
  </si>
  <si>
    <t xml:space="preserve">Judge_Slide ~$24.6; with r13 → Judge $25-32 on high billing</t>
  </si>
  <si>
    <t xml:space="preserve">MICROSOFT-NEBIUS $ PER IT MW-YR (ruling Oct 9 2026): $14.49M per IT MW [E, house] (model Contracts!E12) only</t>
  </si>
  <si>
    <t xml:space="preserve">Neither Nebius nor Microsoft states a contract MW; the current figure uses the house estimate of 240 IT MW (model Inputs!F216 MSFT_MW). 300 MW is Vineland's site size.</t>
  </si>
  <si>
    <t xml:space="preserve">TCV committed ($M)</t>
  </si>
  <si>
    <t xml:space="preserve">S12 (6-K 2025-09-08; = model Inputs!F215 MSFT_TCV)</t>
  </si>
  <si>
    <t xml:space="preserve">Term (years)</t>
  </si>
  <si>
    <t xml:space="preserve">6-K 2025-09-08</t>
  </si>
  <si>
    <t xml:space="preserve">ACV = TCV/term ($M/yr)</t>
  </si>
  <si>
    <t xml:space="preserve">IT MW - house estimate (model v0.9e Inputs!F216 MSFT_MW)</t>
  </si>
  <si>
    <t xml:space="preserve">model/nebius_model.xlsx Inputs!F216; not stated by Nebius/Microsoft</t>
  </si>
  <si>
    <t xml:space="preserve">→ $M per IT MW-yr [E, house] = model Contracts!E12 (CURRENT)</t>
  </si>
  <si>
    <t xml:space="preserve">$14.49M per IT MW [E, house]; agrees with the Drivers 14.5 input (model Inputs!F111)</t>
  </si>
  <si>
    <t xml:space="preserve">Model v0.9e Contracts!E12 printed value</t>
  </si>
  <si>
    <t xml:space="preserve">model/nebius_model.xlsx Contracts!E12 = MSFT_TCV / (5 x MSFT_MW)</t>
  </si>
  <si>
    <t xml:space="preserve">Delta derived - model (should be 0)</t>
  </si>
  <si>
    <t xml:space="preserve">HISTORY (superseded Oct 9 2026, not current values): 11.60 = ACV / 300 MW (Vineland site size, not a stated contract MW); 17.08 = ACV / GPU-derived 203.6 IT MW (100,000 GB300 / 491; retired). Do not quote.</t>
  </si>
  <si>
    <t xml:space="preserve">Q2'26 AI cloud revenue per avg ENERGIZED MW (K02)</t>
  </si>
  <si>
    <t xml:space="preserve">Comparison K02 = 12.28 E (energized 181.5 / 193, Capacity base case Quarterly MW!M130/N130; was 13.35 on v1 171.5 / 173)</t>
  </si>
  <si>
    <t xml:space="preserve">Q2'26 AI cloud revenue per avg BILLING IT MW (K02b)</t>
  </si>
  <si>
    <t xml:space="preserve">New Comparison K02b</t>
  </si>
  <si>
    <t xml:space="preserve">Alignment rule for the team: quote Microsoft-Nebius only as '$14.49M per IT MW [E, house] (Contracts!E12)' (11.6 / 17.1 superseded, history only). K02 (energized) = 12.28; K02b (billed IT) ≈ 13.0. Street FY27 is ~$23.1M blended / ~$27.6M ex-Microsoft on BILLED IT MW (model v0.9e 531.8), not energized.</t>
  </si>
  <si>
    <t xml:space="preserve">NON-MICROSOFT Street $/billed IT MW (PEER COMPARATOR - peers carry no $14.5M Microsoft anchor)</t>
  </si>
  <si>
    <t xml:space="preserve">Street FY27 revenue ($M)</t>
  </si>
  <si>
    <t xml:space="preserve">S1 (= model/nebius_model.xlsx Judge_Slide!B72)</t>
  </si>
  <si>
    <t xml:space="preserve">less Microsoft (Vineland) FY27 revenue ($M)</t>
  </si>
  <si>
    <t xml:space="preserve">Revenue_Sources r19 = Drivers!B32</t>
  </si>
  <si>
    <t xml:space="preserve">FY27 avg billed IT MW - BASE (model v0.9e)</t>
  </si>
  <si>
    <t xml:space="preserve">Drivers!B34</t>
  </si>
  <si>
    <t xml:space="preserve">less Vineland/Microsoft FY27 billed MW-yr</t>
  </si>
  <si>
    <t xml:space="preserve">Drivers!B33</t>
  </si>
  <si>
    <t xml:space="preserve">NON-MSFT $M per billed IT MW - BASE (HEADLINE peer comparator)</t>
  </si>
  <si>
    <t xml:space="preserve">calc: (12,300 - 2,643.8) / (531.84 - 182.33) = (12,300 - 2,643.8) / 349.51</t>
  </si>
  <si>
    <t xml:space="preserve">Grok Bot figure (Oct 8, v0.9e message)</t>
  </si>
  <si>
    <t xml:space="preserve">memo</t>
  </si>
  <si>
    <t xml:space="preserve">for reconciliation only (rounded)</t>
  </si>
  <si>
    <t xml:space="preserve">Delta derived - Grok Bot (should be ~0)</t>
  </si>
  <si>
    <t xml:space="preserve">Street / FY27 avg billed HIGH (model v0.9e) - blended</t>
  </si>
  <si>
    <t xml:space="preserve">$12.3B / 659.16 (high path)</t>
  </si>
  <si>
    <t xml:space="preserve">NON-MSFT $M per billed IT MW - HIGH</t>
  </si>
  <si>
    <t xml:space="preserve">Microsoft carve-out identical on the high path</t>
  </si>
  <si>
    <t xml:space="preserve">Model v0.9e printed non-MSFT hurdle (Drivers B9)</t>
  </si>
  <si>
    <t xml:space="preserve">model/nebius_model.xlsx Drivers!B9 (Judge_Slide B20)</t>
  </si>
  <si>
    <t xml:space="preserve">MW needed at $16M comps = Street / $16M</t>
  </si>
  <si>
    <t xml:space="preserve">model/nebius_model.xlsx Drivers!B37</t>
  </si>
  <si>
    <t xml:space="preserve">Coverage needed at $16M - BASE (x)</t>
  </si>
  <si>
    <t xml:space="preserve">model/nebius_model.xlsx Drivers!B38 = 1.4455</t>
  </si>
  <si>
    <t xml:space="preserve">Coverage needed at $16M - HIGH (x)</t>
  </si>
  <si>
    <t xml:space="preserve">model/nebius_model.xlsx Drivers!C38 = 1.1663</t>
  </si>
  <si>
    <t xml:space="preserve">ID</t>
  </si>
  <si>
    <t xml:space="preserve">What</t>
  </si>
  <si>
    <t xml:space="preserve">URL / local path</t>
  </si>
  <si>
    <t xml:space="preserve">Nebius FY27 consensus revenue $12.30B (21 analysts, range $8.81-17.99); MarketScreener 12.302 agrees. As of 2026-10-04.</t>
  </si>
  <si>
    <t xml:space="preserve">https://finance.yahoo.com/quote/NBIS/analysis/ ; https://www.marketscreener.com/quote/stock/NEBIUS-GROUP-8037501/finances/ ; skeptic/01_priced_in_v3.xlsx</t>
  </si>
  <si>
    <t xml:space="preserve">Nebius FY27 avg billed IT MW 531.84 = model v0.9e Drivers B34 (engine-linked: non-Vineland path 349.5 + Vineland billed MW-yr 182.3). Capacity 'Billing MW (IT) - base' quarter-end FY27 avg = 593.9 (memo). History: the Oct-5 pack used the model energized-lag path (MW_Paths row 6).</t>
  </si>
  <si>
    <t xml:space="preserve">S2 model/nebius_model.xlsx Drivers rows 29-39 / Judge_Slide rows 16, 25-29; capacity/nebius_capacity.xlsx Quarterly MW rows 136/147</t>
  </si>
  <si>
    <t xml:space="preserve">Nebius YE26 ARR guide $7-9B (Dec AI cloud x 12, reaffirmed Aug 12 2026); YE26 connected 800MW-1GW.</t>
  </si>
  <si>
    <t xml:space="preserve">Q2'26 letter https://www.sec.gov/Archives/edgar/data/1513845/000110465926094568/tm2622968d1_ex99-2.htm</t>
  </si>
  <si>
    <t xml:space="preserve">CoreWeave FY27 consensus revenue $26.26B / EBITDA $16.64B (Yahoo + MarketScreener, 40 analysts rev). As of 2026-10-04. (Later aggregators ~$26.8-28.0B - we use team's Oct-4 pack.)</t>
  </si>
  <si>
    <t xml:space="preserve">skeptic/01_priced_in_v3.xlsx ; https://finance.yahoo.com/quote/CRWV/analysis/ ; https://ca.marketscreener.com/quote/stock/COREWEAVE-INC-185380761/calendar/</t>
  </si>
  <si>
    <t xml:space="preserve">CoreWeave active power: YE25 &gt;850 MW (R); Q1'26 &gt;1 GW (R); Q2'26 1.5 GW (R); contracted ~3.7 GW Q2 / ~4.2 GW by Aug 11 (R). Q1'26 call: plan 1.7 GW YE26 (R, CNBC). Q2'26 call coverage: exit 2026 &gt;1.85 GW active, $18-19B ARR; YE27 ARR &gt;$30B reiterated (P, secondary).</t>
  </si>
  <si>
    <t xml:space="preserve">Q2'26 PR https://www.sec.gov/Archives/edgar/data/1769628/000176962826000366/ ; convert deck comps_raw/crwv_0917__crwv2026convertpresentat.htm.txt ; CNBC 2026-05-07; Tickeron Q2 summary</t>
  </si>
  <si>
    <t xml:space="preserve">S6</t>
  </si>
  <si>
    <t xml:space="preserve">CoreWeave NVIDIA partnership: 'Build and deliver more than 5GW of cloud infrastructure'; CEO: 'well on our way to more than 8 GW by 2030'.</t>
  </si>
  <si>
    <t xml:space="preserve">comps_raw/crwv_0917__crwv2026convertpresentat.htm.txt ; Q1'26 PR</t>
  </si>
  <si>
    <t xml:space="preserve">IREN: cumulative IT delivery target 0.3 GW (2026) / 0.8 GW (2027) (R). Also 480 MW gross YE26 / 1.2 GW gross YE27. YE26 ARR target &gt;$4bn (85% under contract Jul-20); operating ARR $1bn as of Aug 26 2026.</t>
  </si>
  <si>
    <t xml:space="preserve">FY26 PR https://www.sec.gov/Archives/edgar/data/1878848/000187884826000051/irenreportsfy26results.htm ; Jul-20 8-K https://www.sec.gov/Archives/edgar/data/1878848/000114036126028871/ef20078253_ex99-1.htm</t>
  </si>
  <si>
    <t xml:space="preserve">S8</t>
  </si>
  <si>
    <t xml:space="preserve">IREN 3-yr contracts &gt;$20M revenue per MW (IT); discussions ~$25M per MW (IT). Microsoft deal $9.7B / 5 yr / 200 IT MW = $9.7M/IT MW-yr.</t>
  </si>
  <si>
    <t xml:space="preserve">FY26 PR (S7); Nov-3 2025 PR</t>
  </si>
  <si>
    <t xml:space="preserve">IREN AI Cloud GAAP revenue: no FY27 Street AI-only consensus found on box. Redburn initiates Neutral, forecasts $2.8B fiscal FY27 total company revenue (P, secondary; fiscal YE Jun-30).</t>
  </si>
  <si>
    <t xml:space="preserve">https://blockspace.media/insight/iren-neutral-40-target-revenue-forecast-2029/</t>
  </si>
  <si>
    <t xml:space="preserve">Oracle FQ1 FY27 (qtr ended Aug 31 2026): Cloud Infrastructure revenue $7.388B (+121%); delivered 850 MW additional datacenter capacity; &gt;300k GPUs to AI Cloud customers. FY27 total revenue guide ≥$90B. RPO $664B.</t>
  </si>
  <si>
    <t xml:space="preserve">https://www.sec.gov/Archives/edgar/data/1341439/... orcl-ex99_1.htm ; comps_raw/orcl_q1pr__orcl-ex99_1.htm.txt</t>
  </si>
  <si>
    <t xml:space="preserve">S11</t>
  </si>
  <si>
    <t xml:space="preserve">Oracle cumulative AI MW delivered since 1-Jun-2025: ~2,050 MW by Aug-26 (E; peers/oracle/oracle_kpis.xlsx I45E). MW basis unlabeled; 353 GPUs/MW vs GB200 538/IT suggests gross/facility. Includes non-AI OCI in Cloud Infrastructure revenue.</t>
  </si>
  <si>
    <t xml:space="preserve">peers/oracle/oracle_kpis.xlsx Inputs I09N/I45E</t>
  </si>
  <si>
    <t xml:space="preserve">S12</t>
  </si>
  <si>
    <t xml:space="preserve">Nebius-Microsoft ACV: $17.4B / 5 yr = $3.48B/yr; on the house ~240 IT MW estimate (model Inputs!F216) = $14.49M per IT MW-yr [E, house] = model Contracts!E12. HISTORY (superseded Oct 9 2026): 11.60 on the 300 MW site size and 17.08 on GPU-derived 203.7 IT MW are not current values.</t>
  </si>
  <si>
    <t xml:space="preserve">parts/contract_economics.xlsx ; peers/build_comparison.py Contracts note; capacity Vineland</t>
  </si>
  <si>
    <t xml:space="preserve">S13</t>
  </si>
  <si>
    <t xml:space="preserve">Nebius Q2'26 AI cloud revenue $574.9M (R); energized MW 181.5/193 (Capacity base case, E; Quarterly MW!M130/N130); billing IT MW Q1/Q2'26 = 165.5/186.8 (Capacity row 147).</t>
  </si>
  <si>
    <t xml:space="preserve">filings/nebius_kpi_history.xlsx ; capacity/nebius_capacity.xlsx</t>
  </si>
  <si>
    <t xml:space="preserve">S14</t>
  </si>
  <si>
    <t xml:space="preserve">YE26 HIGH billing IT MW = 284.2 (Judge_Slide B35; Capacity v2 high energized IT lagged 1q, Vineland billed tranches). Used for Implied_Price high ARR row after 2026-10-05 correction.</t>
  </si>
  <si>
    <t xml:space="preserve">model/nebius_model.xlsx Judge_Slide B35 (v0.9e); FY27 high path 659.2 = Drivers C34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</si>
</sst>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0.00"/>
    <numFmt numFmtId="168" formatCode="0.0%"/>
    <numFmt numFmtId="169" formatCode="0.0"/>
    <numFmt numFmtId="170" formatCode="\+0.0;\-0.0"/>
    <numFmt numFmtId="171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  <font>
      <sz val="11"/>
      <color rgb="FF0000CC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i val="true"/>
      <sz val="11"/>
      <color rgb="FF8080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27.75" hidden="false" customHeight="true" outlineLevel="0" collapsed="false">
      <c r="A3" s="2" t="s">
        <v>1</v>
      </c>
    </row>
    <row r="4" customFormat="false" ht="15" hidden="false" customHeight="true" outlineLevel="0" collapsed="false">
      <c r="A4" s="3"/>
    </row>
    <row r="5" customFormat="false" ht="27.75" hidden="false" customHeight="true" outlineLevel="0" collapsed="false">
      <c r="A5" s="2" t="s">
        <v>2</v>
      </c>
    </row>
    <row r="6" customFormat="false" ht="15" hidden="false" customHeight="true" outlineLevel="0" collapsed="false">
      <c r="A6" s="3"/>
    </row>
    <row r="7" customFormat="false" ht="27.75" hidden="false" customHeight="true" outlineLevel="0" collapsed="false">
      <c r="A7" s="2" t="s">
        <v>3</v>
      </c>
    </row>
    <row r="8" customFormat="false" ht="15" hidden="false" customHeight="true" outlineLevel="0" collapsed="false">
      <c r="A8" s="3" t="s">
        <v>4</v>
      </c>
    </row>
    <row r="9" customFormat="false" ht="15" hidden="false" customHeight="true" outlineLevel="0" collapsed="false">
      <c r="A9" s="3" t="s">
        <v>5</v>
      </c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2" t="s">
        <v>7</v>
      </c>
    </row>
    <row r="13" customFormat="false" ht="15" hidden="false" customHeight="true" outlineLevel="0" collapsed="false">
      <c r="A13" s="3" t="s">
        <v>8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3" t="s">
        <v>9</v>
      </c>
    </row>
    <row r="16" customFormat="false" ht="15" hidden="false" customHeight="true" outlineLevel="0" collapsed="false">
      <c r="A16" s="3" t="s">
        <v>10</v>
      </c>
    </row>
    <row r="17" customFormat="false" ht="27.75" hidden="false" customHeight="true" outlineLevel="0" collapsed="false">
      <c r="A17" s="3" t="s">
        <v>11</v>
      </c>
    </row>
    <row r="19" customFormat="false" ht="41.75" hidden="false" customHeight="false" outlineLevel="0" collapsed="false">
      <c r="A19" s="3" t="s">
        <v>12</v>
      </c>
    </row>
    <row r="20" customFormat="false" ht="28.35" hidden="false" customHeight="false" outlineLevel="0" collapsed="false">
      <c r="A20" s="3" t="s">
        <v>13</v>
      </c>
    </row>
    <row r="21" customFormat="false" ht="41.75" hidden="false" customHeight="false" outlineLevel="0" collapsed="false">
      <c r="A21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11" min="2" style="1" width="13"/>
  </cols>
  <sheetData>
    <row r="1" customFormat="false" ht="30" hidden="false" customHeight="true" outlineLevel="0" collapsed="false">
      <c r="A1" s="2" t="s">
        <v>15</v>
      </c>
    </row>
    <row r="2" customFormat="false" ht="15" hidden="false" customHeight="true" outlineLevel="0" collapsed="false">
      <c r="A2" s="4" t="s">
        <v>16</v>
      </c>
    </row>
    <row r="4" customFormat="false" ht="39.75" hidden="false" customHeight="tru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  <c r="I4" s="5" t="s">
        <v>25</v>
      </c>
      <c r="J4" s="5" t="s">
        <v>26</v>
      </c>
    </row>
    <row r="5" customFormat="false" ht="81.75" hidden="false" customHeight="true" outlineLevel="0" collapsed="false">
      <c r="A5" s="1" t="s">
        <v>27</v>
      </c>
      <c r="B5" s="6" t="n">
        <f aca="false">Revenue_Sources!C4</f>
        <v>12300</v>
      </c>
      <c r="C5" s="1" t="s">
        <v>28</v>
      </c>
      <c r="D5" s="7" t="n">
        <f aca="false">MW_Paths!J31</f>
        <v>531.840979259459</v>
      </c>
      <c r="E5" s="1" t="s">
        <v>29</v>
      </c>
      <c r="F5" s="8" t="n">
        <f aca="false">B5/D5</f>
        <v>23.1272137343133</v>
      </c>
      <c r="G5" s="8" t="n">
        <f aca="false">F5-Nebius_Check!$B$37</f>
        <v>-4.50054416407173</v>
      </c>
      <c r="H5" s="9" t="n">
        <f aca="false">F5/Nebius_Check!$B$37-1</f>
        <v>-0.162899363047292</v>
      </c>
      <c r="I5" s="1" t="str">
        <f aca="false">IF(AND(F5&gt;=13,F5&lt;=18),"IN $13-18 band",IF(F5&gt;18,"ABOVE (rich like/above Nebius Street)","BELOW $13-18"))</f>
        <v>ABOVE (rich like/above Nebius Street)</v>
      </c>
      <c r="J5" s="3" t="s">
        <v>30</v>
      </c>
    </row>
    <row r="6" customFormat="false" ht="54.75" hidden="false" customHeight="true" outlineLevel="0" collapsed="false">
      <c r="A6" s="1" t="s">
        <v>31</v>
      </c>
      <c r="B6" s="6" t="n">
        <f aca="false">Revenue_Sources!C5</f>
        <v>7000</v>
      </c>
      <c r="C6" s="1" t="s">
        <v>32</v>
      </c>
      <c r="D6" s="7" t="n">
        <f aca="false">MW_Paths!E9</f>
        <v>257.7</v>
      </c>
      <c r="E6" s="1" t="s">
        <v>28</v>
      </c>
      <c r="F6" s="8" t="n">
        <f aca="false">B6/D6</f>
        <v>27.163368257664</v>
      </c>
      <c r="G6" s="8" t="n">
        <f aca="false">F6-Nebius_Check!$B$37</f>
        <v>-0.464389640721084</v>
      </c>
      <c r="H6" s="9" t="n">
        <f aca="false">F6/Nebius_Check!$B$37-1</f>
        <v>-0.016808806651235</v>
      </c>
      <c r="I6" s="1" t="str">
        <f aca="false">IF(AND(F6&gt;=13,F6&lt;=18),"IN $13-18 band",IF(F6&gt;18,"ABOVE (rich like/above Nebius Street)","BELOW $13-18"))</f>
        <v>ABOVE (rich like/above Nebius Street)</v>
      </c>
      <c r="J6" s="3" t="s">
        <v>33</v>
      </c>
    </row>
    <row r="7" customFormat="false" ht="122.25" hidden="false" customHeight="true" outlineLevel="0" collapsed="false">
      <c r="A7" s="1" t="s">
        <v>34</v>
      </c>
      <c r="B7" s="6" t="n">
        <f aca="false">Revenue_Sources!C6</f>
        <v>9000</v>
      </c>
      <c r="C7" s="1" t="s">
        <v>32</v>
      </c>
      <c r="D7" s="7" t="n">
        <f aca="false">MW_Paths!E10</f>
        <v>284.2</v>
      </c>
      <c r="E7" s="1" t="s">
        <v>28</v>
      </c>
      <c r="F7" s="8" t="n">
        <f aca="false">B7/D7</f>
        <v>31.667839549613</v>
      </c>
      <c r="G7" s="8" t="n">
        <f aca="false">F7-Nebius_Check!$B$37</f>
        <v>4.04008165122792</v>
      </c>
      <c r="H7" s="9" t="n">
        <f aca="false">F7/Nebius_Check!$B$37-1</f>
        <v>0.146232700680502</v>
      </c>
      <c r="I7" s="1" t="str">
        <f aca="false">IF(AND(F7&gt;=13,F7&lt;=18),"IN $13-18 band",IF(F7&gt;18,"ABOVE (rich like/above Nebius Street)","BELOW $13-18"))</f>
        <v>ABOVE (rich like/above Nebius Street)</v>
      </c>
      <c r="J7" s="3" t="s">
        <v>35</v>
      </c>
    </row>
    <row r="8" customFormat="false" ht="81.75" hidden="false" customHeight="true" outlineLevel="0" collapsed="false">
      <c r="A8" s="10" t="s">
        <v>36</v>
      </c>
      <c r="B8" s="11" t="n">
        <f aca="false">Revenue_Sources!C7</f>
        <v>26260</v>
      </c>
      <c r="C8" s="10" t="s">
        <v>28</v>
      </c>
      <c r="D8" s="12" t="n">
        <f aca="false">MW_Paths!G13</f>
        <v>2325</v>
      </c>
      <c r="E8" s="10" t="s">
        <v>28</v>
      </c>
      <c r="F8" s="13" t="n">
        <f aca="false">B8/D8</f>
        <v>11.294623655914</v>
      </c>
      <c r="G8" s="13" t="n">
        <f aca="false">F8-Nebius_Check!$B$37</f>
        <v>-16.3331342424711</v>
      </c>
      <c r="H8" s="14" t="n">
        <f aca="false">F8/Nebius_Check!$B$37-1</f>
        <v>-0.591185658370989</v>
      </c>
      <c r="I8" s="10" t="str">
        <f aca="false">IF(AND(F8&gt;=13,F8&lt;=18),"IN $13-18 band",IF(F8&gt;18,"ABOVE (rich like/above Nebius Street)","BELOW $13-18"))</f>
        <v>BELOW $13-18</v>
      </c>
      <c r="J8" s="3" t="s">
        <v>37</v>
      </c>
    </row>
    <row r="9" customFormat="false" ht="41.25" hidden="false" customHeight="true" outlineLevel="0" collapsed="false">
      <c r="A9" s="1" t="s">
        <v>38</v>
      </c>
      <c r="B9" s="6" t="n">
        <f aca="false">Revenue_Sources!C7</f>
        <v>26260</v>
      </c>
      <c r="C9" s="1" t="s">
        <v>28</v>
      </c>
      <c r="D9" s="7" t="n">
        <f aca="false">MW_Paths!G14</f>
        <v>1950</v>
      </c>
      <c r="E9" s="1" t="s">
        <v>28</v>
      </c>
      <c r="F9" s="8" t="n">
        <f aca="false">B9/D9</f>
        <v>13.4666666666667</v>
      </c>
      <c r="G9" s="8" t="n">
        <f aca="false">F9-Nebius_Check!$B$37</f>
        <v>-14.1610912317184</v>
      </c>
      <c r="H9" s="9" t="n">
        <f aca="false">F9/Nebius_Check!$B$37-1</f>
        <v>-0.512567515750026</v>
      </c>
      <c r="I9" s="1" t="str">
        <f aca="false">IF(AND(F9&gt;=13,F9&lt;=18),"IN $13-18 band",IF(F9&gt;18,"ABOVE (rich like/above Nebius Street)","BELOW $13-18"))</f>
        <v>IN $13-18 band</v>
      </c>
      <c r="J9" s="3" t="s">
        <v>39</v>
      </c>
    </row>
    <row r="10" customFormat="false" ht="27.75" hidden="false" customHeight="true" outlineLevel="0" collapsed="false">
      <c r="A10" s="1" t="s">
        <v>40</v>
      </c>
      <c r="B10" s="6" t="n">
        <f aca="false">Revenue_Sources!C7</f>
        <v>26260</v>
      </c>
      <c r="C10" s="1" t="s">
        <v>28</v>
      </c>
      <c r="D10" s="7" t="n">
        <f aca="false">MW_Paths!G15</f>
        <v>2750</v>
      </c>
      <c r="E10" s="1" t="s">
        <v>28</v>
      </c>
      <c r="F10" s="8" t="n">
        <f aca="false">B10/D10</f>
        <v>9.54909090909091</v>
      </c>
      <c r="G10" s="8" t="n">
        <f aca="false">F10-Nebius_Check!$B$37</f>
        <v>-18.0786669892941</v>
      </c>
      <c r="H10" s="9" t="n">
        <f aca="false">F10/Nebius_Check!$B$37-1</f>
        <v>-0.654366056622746</v>
      </c>
      <c r="I10" s="1" t="str">
        <f aca="false">IF(AND(F10&gt;=13,F10&lt;=18),"IN $13-18 band",IF(F10&gt;18,"ABOVE (rich like/above Nebius Street)","BELOW $13-18"))</f>
        <v>BELOW $13-18</v>
      </c>
      <c r="J10" s="3" t="s">
        <v>41</v>
      </c>
    </row>
    <row r="11" customFormat="false" ht="54.75" hidden="false" customHeight="true" outlineLevel="0" collapsed="false">
      <c r="A11" s="1" t="s">
        <v>42</v>
      </c>
      <c r="B11" s="6" t="n">
        <f aca="false">Revenue_Sources!C9</f>
        <v>30000</v>
      </c>
      <c r="C11" s="1" t="s">
        <v>32</v>
      </c>
      <c r="D11" s="7" t="n">
        <f aca="false">MW_Paths!F13</f>
        <v>2800</v>
      </c>
      <c r="E11" s="1" t="s">
        <v>28</v>
      </c>
      <c r="F11" s="8" t="n">
        <f aca="false">B11/D11</f>
        <v>10.7142857142857</v>
      </c>
      <c r="G11" s="8" t="n">
        <f aca="false">F11-Nebius_Check!$B$37</f>
        <v>-16.9134721840993</v>
      </c>
      <c r="H11" s="9" t="n">
        <f aca="false">F11/Nebius_Check!$B$37-1</f>
        <v>-0.612191269603097</v>
      </c>
      <c r="I11" s="1" t="str">
        <f aca="false">IF(AND(F11&gt;=13,F11&lt;=18),"IN $13-18 band",IF(F11&gt;18,"ABOVE (rich like/above Nebius Street)","BELOW $13-18"))</f>
        <v>BELOW $13-18</v>
      </c>
      <c r="J11" s="3" t="s">
        <v>43</v>
      </c>
    </row>
    <row r="12" customFormat="false" ht="68.25" hidden="false" customHeight="true" outlineLevel="0" collapsed="false">
      <c r="A12" s="10" t="s">
        <v>44</v>
      </c>
      <c r="B12" s="11" t="n">
        <f aca="false">Revenue_Sources!C10</f>
        <v>4000</v>
      </c>
      <c r="C12" s="10" t="s">
        <v>32</v>
      </c>
      <c r="D12" s="12" t="n">
        <f aca="false">MW_Paths!C20</f>
        <v>300</v>
      </c>
      <c r="E12" s="10" t="s">
        <v>32</v>
      </c>
      <c r="F12" s="13" t="n">
        <f aca="false">B12/D12</f>
        <v>13.3333333333333</v>
      </c>
      <c r="G12" s="13" t="n">
        <f aca="false">F12-Nebius_Check!$B$37</f>
        <v>-14.2944245650517</v>
      </c>
      <c r="H12" s="14" t="n">
        <f aca="false">F12/Nebius_Check!$B$37-1</f>
        <v>-0.517393579950521</v>
      </c>
      <c r="I12" s="10" t="str">
        <f aca="false">IF(AND(F12&gt;=13,F12&lt;=18),"IN $13-18 band",IF(F12&gt;18,"ABOVE (rich like/above Nebius Street)","BELOW $13-18"))</f>
        <v>IN $13-18 band</v>
      </c>
      <c r="J12" s="3" t="s">
        <v>45</v>
      </c>
    </row>
    <row r="13" customFormat="false" ht="68.25" hidden="false" customHeight="true" outlineLevel="0" collapsed="false">
      <c r="A13" s="1" t="s">
        <v>46</v>
      </c>
      <c r="B13" s="6" t="n">
        <f aca="false">Revenue_Sources!C13</f>
        <v>16000</v>
      </c>
      <c r="C13" s="1" t="s">
        <v>28</v>
      </c>
      <c r="D13" s="7" t="n">
        <f aca="false">MW_Paths!D20</f>
        <v>800</v>
      </c>
      <c r="E13" s="1" t="s">
        <v>32</v>
      </c>
      <c r="F13" s="8" t="n">
        <f aca="false">B13/D13</f>
        <v>20</v>
      </c>
      <c r="G13" s="8" t="n">
        <f aca="false">F13-Nebius_Check!$B$37</f>
        <v>-7.62775789838504</v>
      </c>
      <c r="H13" s="9" t="n">
        <f aca="false">F13/Nebius_Check!$B$37-1</f>
        <v>-0.276090369925781</v>
      </c>
      <c r="I13" s="1" t="str">
        <f aca="false">IF(AND(F13&gt;=13,F13&lt;=18),"IN $13-18 band",IF(F13&gt;18,"ABOVE (rich like/above Nebius Street)","BELOW $13-18"))</f>
        <v>ABOVE (rich like/above Nebius Street)</v>
      </c>
      <c r="J13" s="3" t="s">
        <v>47</v>
      </c>
    </row>
    <row r="14" customFormat="false" ht="41.25" hidden="false" customHeight="true" outlineLevel="0" collapsed="false">
      <c r="A14" s="1" t="s">
        <v>48</v>
      </c>
      <c r="B14" s="6" t="n">
        <f aca="false">Revenue_Sources!C14</f>
        <v>10667</v>
      </c>
      <c r="C14" s="1" t="s">
        <v>28</v>
      </c>
      <c r="D14" s="7" t="n">
        <f aca="false">MW_Paths!D20</f>
        <v>800</v>
      </c>
      <c r="E14" s="1" t="s">
        <v>32</v>
      </c>
      <c r="F14" s="8" t="n">
        <f aca="false">B14/D14</f>
        <v>13.33375</v>
      </c>
      <c r="G14" s="8" t="n">
        <f aca="false">F14-Nebius_Check!$B$37</f>
        <v>-14.294007898385</v>
      </c>
      <c r="H14" s="9" t="n">
        <f aca="false">F14/Nebius_Check!$B$37-1</f>
        <v>-0.517378498499894</v>
      </c>
      <c r="I14" s="1" t="str">
        <f aca="false">IF(AND(F14&gt;=13,F14&lt;=18),"IN $13-18 band",IF(F14&gt;18,"ABOVE (rich like/above Nebius Street)","BELOW $13-18"))</f>
        <v>IN $13-18 band</v>
      </c>
      <c r="J14" s="3" t="s">
        <v>49</v>
      </c>
    </row>
    <row r="15" customFormat="false" ht="95.25" hidden="false" customHeight="true" outlineLevel="0" collapsed="false">
      <c r="A15" s="10" t="s">
        <v>50</v>
      </c>
      <c r="B15" s="11" t="n">
        <f aca="false">(Revenue_Sources!C10+Revenue_Sources!C13)/2</f>
        <v>10000</v>
      </c>
      <c r="C15" s="10" t="s">
        <v>28</v>
      </c>
      <c r="D15" s="12" t="n">
        <f aca="false">MW_Paths!E20</f>
        <v>550</v>
      </c>
      <c r="E15" s="10" t="s">
        <v>29</v>
      </c>
      <c r="F15" s="13" t="n">
        <f aca="false">B15/D15</f>
        <v>18.1818181818182</v>
      </c>
      <c r="G15" s="13" t="n">
        <f aca="false">F15-Nebius_Check!$B$37</f>
        <v>-9.44593971656685</v>
      </c>
      <c r="H15" s="14" t="n">
        <f aca="false">F15/Nebius_Check!$B$37-1</f>
        <v>-0.341900336296164</v>
      </c>
      <c r="I15" s="10" t="str">
        <f aca="false">IF(AND(F15&gt;=13,F15&lt;=18),"IN $13-18 band",IF(F15&gt;18,"ABOVE (rich like/above Nebius Street)","BELOW $13-18"))</f>
        <v>ABOVE (rich like/above Nebius Street)</v>
      </c>
      <c r="J15" s="3" t="s">
        <v>51</v>
      </c>
    </row>
    <row r="16" customFormat="false" ht="135.75" hidden="false" customHeight="true" outlineLevel="0" collapsed="false">
      <c r="A16" s="10" t="s">
        <v>52</v>
      </c>
      <c r="B16" s="11" t="n">
        <f aca="false">Revenue_Sources!C16</f>
        <v>29552</v>
      </c>
      <c r="C16" s="10" t="s">
        <v>29</v>
      </c>
      <c r="D16" s="12" t="n">
        <f aca="false">MW_Paths!C25</f>
        <v>2050</v>
      </c>
      <c r="E16" s="10" t="s">
        <v>28</v>
      </c>
      <c r="F16" s="13" t="n">
        <f aca="false">B16/D16</f>
        <v>14.4156097560976</v>
      </c>
      <c r="G16" s="13" t="n">
        <f aca="false">F16-Nebius_Check!$B$37</f>
        <v>-13.2121481422875</v>
      </c>
      <c r="H16" s="14" t="n">
        <f aca="false">F16/Nebius_Check!$B$37-1</f>
        <v>-0.478220063708455</v>
      </c>
      <c r="I16" s="10" t="str">
        <f aca="false">IF(AND(F16&gt;=13,F16&lt;=18),"IN $13-18 band",IF(F16&gt;18,"ABOVE (rich like/above Nebius Street)","BELOW $13-18"))</f>
        <v>IN $13-18 band</v>
      </c>
      <c r="J16" s="3" t="s">
        <v>53</v>
      </c>
    </row>
    <row r="17" customFormat="false" ht="108.75" hidden="false" customHeight="true" outlineLevel="0" collapsed="false">
      <c r="A17" s="1" t="s">
        <v>54</v>
      </c>
      <c r="B17" s="6" t="n">
        <f aca="false">Revenue_Sources!C16</f>
        <v>29552</v>
      </c>
      <c r="C17" s="1" t="s">
        <v>29</v>
      </c>
      <c r="D17" s="7" t="n">
        <f aca="false">MW_Paths!E25</f>
        <v>3275</v>
      </c>
      <c r="E17" s="1" t="s">
        <v>28</v>
      </c>
      <c r="F17" s="8" t="n">
        <f aca="false">B17/D17</f>
        <v>9.02351145038168</v>
      </c>
      <c r="G17" s="8" t="n">
        <f aca="false">F17-Nebius_Check!$B$37</f>
        <v>-18.6042464480034</v>
      </c>
      <c r="H17" s="9" t="n">
        <f aca="false">F17/Nebius_Check!$B$37-1</f>
        <v>-0.673389658199186</v>
      </c>
      <c r="I17" s="1" t="str">
        <f aca="false">IF(AND(F17&gt;=13,F17&lt;=18),"IN $13-18 band",IF(F17&gt;18,"ABOVE (rich like/above Nebius Street)","BELOW $13-18"))</f>
        <v>BELOW $13-18</v>
      </c>
      <c r="J17" s="3" t="s">
        <v>55</v>
      </c>
    </row>
    <row r="18" customFormat="false" ht="216.4" hidden="false" customHeight="false" outlineLevel="0" collapsed="false">
      <c r="A18" s="15" t="s">
        <v>56</v>
      </c>
      <c r="B18" s="16" t="n">
        <f aca="false">Revenue_Sources!C20</f>
        <v>9656.22635698785</v>
      </c>
      <c r="C18" s="15" t="s">
        <v>57</v>
      </c>
      <c r="D18" s="17" t="n">
        <f aca="false">MW_Paths!J35</f>
        <v>349.5117625</v>
      </c>
      <c r="E18" s="15" t="s">
        <v>29</v>
      </c>
      <c r="F18" s="18" t="n">
        <f aca="false">B18/D18</f>
        <v>27.627757898385</v>
      </c>
      <c r="G18" s="18" t="n">
        <f aca="false">F18-Nebius_Check!$B$37</f>
        <v>0</v>
      </c>
      <c r="H18" s="19" t="n">
        <f aca="false">F18/Nebius_Check!$B$37-1</f>
        <v>0</v>
      </c>
      <c r="I18" s="15" t="str">
        <f aca="false">IF(AND(F18&gt;=13,F18&lt;=18),"IN $13-18 band",IF(F18&gt;18,"ABOVE (rich like/above Nebius Street)","BELOW $13-18"))</f>
        <v>ABOVE (rich like/above Nebius Street)</v>
      </c>
      <c r="J18" s="3" t="s">
        <v>58</v>
      </c>
    </row>
    <row r="19" customFormat="false" ht="15" hidden="false" customHeight="true" outlineLevel="0" collapsed="false">
      <c r="A19" s="20" t="s">
        <v>59</v>
      </c>
    </row>
    <row r="20" customFormat="false" ht="15" hidden="false" customHeight="true" outlineLevel="0" collapsed="false">
      <c r="A20" s="21"/>
      <c r="B20" s="21" t="s">
        <v>60</v>
      </c>
      <c r="C20" s="21" t="s">
        <v>61</v>
      </c>
      <c r="D20" s="21" t="s">
        <v>62</v>
      </c>
      <c r="E20" s="21" t="s">
        <v>63</v>
      </c>
    </row>
    <row r="21" customFormat="false" ht="15" hidden="false" customHeight="true" outlineLevel="0" collapsed="false">
      <c r="A21" s="1" t="s">
        <v>64</v>
      </c>
      <c r="B21" s="8" t="n">
        <f aca="false">Revenue_Sources!C7/1950</f>
        <v>13.4666666666667</v>
      </c>
      <c r="C21" s="8" t="n">
        <f aca="false">Revenue_Sources!C7/2325</f>
        <v>11.294623655914</v>
      </c>
      <c r="D21" s="8" t="n">
        <f aca="false">Revenue_Sources!C7/2750</f>
        <v>9.54909090909091</v>
      </c>
      <c r="E21" s="8" t="n">
        <f aca="false">Revenue_Sources!C7/(Revenue_Sources!C9/8.24)</f>
        <v>7.21274666666667</v>
      </c>
    </row>
    <row r="22" customFormat="false" ht="15" hidden="false" customHeight="true" outlineLevel="0" collapsed="false">
      <c r="A22" s="1" t="s">
        <v>65</v>
      </c>
      <c r="B22" s="8" t="n">
        <f aca="false">28000/1950</f>
        <v>14.3589743589744</v>
      </c>
      <c r="C22" s="8" t="n">
        <f aca="false">28000/2325</f>
        <v>12.0430107526882</v>
      </c>
      <c r="D22" s="8" t="n">
        <f aca="false">28000/2750</f>
        <v>10.1818181818182</v>
      </c>
      <c r="E22" s="8" t="n">
        <f aca="false">28000/(Revenue_Sources!C9/8.24)</f>
        <v>7.69066666666667</v>
      </c>
    </row>
    <row r="23" customFormat="false" ht="15" hidden="false" customHeight="true" outlineLevel="0" collapsed="false">
      <c r="A23" s="1" t="s">
        <v>66</v>
      </c>
      <c r="B23" s="8" t="n">
        <f aca="false">Revenue_Sources!C9/1950</f>
        <v>15.3846153846154</v>
      </c>
      <c r="C23" s="8" t="n">
        <f aca="false">Revenue_Sources!C9/2325</f>
        <v>12.9032258064516</v>
      </c>
      <c r="D23" s="8" t="n">
        <f aca="false">Revenue_Sources!C9/2750</f>
        <v>10.9090909090909</v>
      </c>
      <c r="E23" s="8" t="n">
        <f aca="false">Revenue_Sources!C9/(Revenue_Sources!C9/8.24)</f>
        <v>8.24</v>
      </c>
    </row>
    <row r="24" customFormat="false" ht="135.8" hidden="false" customHeight="false" outlineLevel="0" collapsed="false">
      <c r="A24" s="1" t="s">
        <v>67</v>
      </c>
      <c r="B24" s="22" t="n">
        <f aca="false">Revenue_Sources!C4</f>
        <v>12300</v>
      </c>
      <c r="C24" s="1" t="s">
        <v>28</v>
      </c>
      <c r="D24" s="23" t="n">
        <f aca="false">MW_Paths!J32</f>
        <v>659.157004259459</v>
      </c>
      <c r="E24" s="1" t="s">
        <v>29</v>
      </c>
      <c r="F24" s="24" t="n">
        <f aca="false">B24/D24</f>
        <v>18.6601976775148</v>
      </c>
      <c r="G24" s="24" t="n">
        <f aca="false">F24-Nebius_Check!$B$37</f>
        <v>-8.96756022087019</v>
      </c>
      <c r="H24" s="25" t="n">
        <f aca="false">F24/Nebius_Check!$B$37-1</f>
        <v>-0.324585160107921</v>
      </c>
      <c r="I24" s="1" t="str">
        <f aca="false">IF(AND(F24&gt;=13,F24&lt;=18),"IN $13-18 band",IF(F24&gt;18,"ABOVE (rich like/above Nebius Street)","BELOW $13-18"))</f>
        <v>ABOVE (rich like/above Nebius Street)</v>
      </c>
      <c r="J24" s="3" t="s">
        <v>68</v>
      </c>
    </row>
    <row r="25" customFormat="false" ht="15" hidden="false" customHeight="true" outlineLevel="0" collapsed="false">
      <c r="A25" s="20" t="s">
        <v>69</v>
      </c>
    </row>
    <row r="26" customFormat="false" ht="15" hidden="false" customHeight="true" outlineLevel="0" collapsed="false">
      <c r="A26" s="26" t="s">
        <v>17</v>
      </c>
      <c r="B26" s="26" t="s">
        <v>70</v>
      </c>
      <c r="C26" s="26" t="s">
        <v>20</v>
      </c>
      <c r="D26" s="26" t="s">
        <v>71</v>
      </c>
      <c r="E26" s="26" t="s">
        <v>72</v>
      </c>
      <c r="F26" s="26" t="s">
        <v>73</v>
      </c>
    </row>
    <row r="27" customFormat="false" ht="15" hidden="false" customHeight="true" outlineLevel="0" collapsed="false">
      <c r="A27" s="1" t="s">
        <v>74</v>
      </c>
      <c r="B27" s="8" t="n">
        <f aca="false">B5/1000</f>
        <v>12.3</v>
      </c>
      <c r="C27" s="6" t="n">
        <f aca="false">D5</f>
        <v>531.840979259459</v>
      </c>
      <c r="D27" s="27" t="n">
        <f aca="false">F5</f>
        <v>23.1272137343133</v>
      </c>
      <c r="E27" s="1" t="s">
        <v>75</v>
      </c>
      <c r="F27" s="28" t="n">
        <f aca="false">D27-Nebius_Check!$B$37</f>
        <v>-4.50054416407173</v>
      </c>
    </row>
    <row r="28" customFormat="false" ht="15" hidden="false" customHeight="true" outlineLevel="0" collapsed="false">
      <c r="A28" s="1" t="s">
        <v>76</v>
      </c>
      <c r="B28" s="8" t="n">
        <f aca="false">B8/1000</f>
        <v>26.26</v>
      </c>
      <c r="C28" s="6" t="n">
        <f aca="false">D8</f>
        <v>2325</v>
      </c>
      <c r="D28" s="27" t="n">
        <f aca="false">F8</f>
        <v>11.294623655914</v>
      </c>
      <c r="E28" s="1" t="s">
        <v>77</v>
      </c>
      <c r="F28" s="28" t="n">
        <f aca="false">D28-Nebius_Check!$B$37</f>
        <v>-16.3331342424711</v>
      </c>
    </row>
    <row r="29" customFormat="false" ht="15" hidden="false" customHeight="true" outlineLevel="0" collapsed="false">
      <c r="A29" s="1" t="s">
        <v>78</v>
      </c>
      <c r="B29" s="8" t="n">
        <f aca="false">B15/1000</f>
        <v>10</v>
      </c>
      <c r="C29" s="6" t="n">
        <f aca="false">D15</f>
        <v>550</v>
      </c>
      <c r="D29" s="27" t="n">
        <f aca="false">F15</f>
        <v>18.1818181818182</v>
      </c>
      <c r="E29" s="1" t="s">
        <v>79</v>
      </c>
      <c r="F29" s="28" t="n">
        <f aca="false">D29-Nebius_Check!$B$37</f>
        <v>-9.44593971656685</v>
      </c>
    </row>
    <row r="30" customFormat="false" ht="15" hidden="false" customHeight="true" outlineLevel="0" collapsed="false">
      <c r="A30" s="1" t="s">
        <v>80</v>
      </c>
      <c r="B30" s="8" t="n">
        <f aca="false">B12/1000</f>
        <v>4</v>
      </c>
      <c r="C30" s="6" t="n">
        <f aca="false">D12</f>
        <v>300</v>
      </c>
      <c r="D30" s="27" t="n">
        <f aca="false">F12</f>
        <v>13.3333333333333</v>
      </c>
      <c r="E30" s="1" t="s">
        <v>81</v>
      </c>
      <c r="F30" s="28" t="n">
        <f aca="false">D30-Nebius_Check!$B$37</f>
        <v>-14.2944245650517</v>
      </c>
    </row>
    <row r="31" customFormat="false" ht="15" hidden="false" customHeight="true" outlineLevel="0" collapsed="false">
      <c r="A31" s="1" t="s">
        <v>82</v>
      </c>
      <c r="B31" s="8" t="n">
        <f aca="false">B16/1000</f>
        <v>29.552</v>
      </c>
      <c r="C31" s="6" t="n">
        <f aca="false">D16</f>
        <v>2050</v>
      </c>
      <c r="D31" s="27" t="n">
        <f aca="false">F16</f>
        <v>14.4156097560976</v>
      </c>
      <c r="E31" s="1" t="s">
        <v>83</v>
      </c>
      <c r="F31" s="28" t="n">
        <f aca="false">D31-Nebius_Check!$B$37</f>
        <v>-13.2121481422875</v>
      </c>
    </row>
    <row r="32" customFormat="false" ht="15" hidden="false" customHeight="false" outlineLevel="0" collapsed="false">
      <c r="A32" s="15" t="s">
        <v>84</v>
      </c>
      <c r="B32" s="18" t="n">
        <f aca="false">B18/1000</f>
        <v>9.65622635698785</v>
      </c>
      <c r="C32" s="16" t="n">
        <f aca="false">D18</f>
        <v>349.5117625</v>
      </c>
      <c r="D32" s="29" t="n">
        <f aca="false">F18</f>
        <v>27.627757898385</v>
      </c>
      <c r="E32" s="15" t="s">
        <v>85</v>
      </c>
      <c r="F32" s="30" t="n">
        <f aca="false">D32-Nebius_Check!$B$37</f>
        <v>0</v>
      </c>
    </row>
    <row r="33" customFormat="false" ht="15" hidden="false" customHeight="true" outlineLevel="0" collapsed="false">
      <c r="A33" s="20" t="s">
        <v>86</v>
      </c>
    </row>
    <row r="34" customFormat="false" ht="94.5" hidden="false" customHeight="true" outlineLevel="0" collapsed="false">
      <c r="A34" s="31" t="s">
        <v>87</v>
      </c>
      <c r="B34" s="31"/>
      <c r="C34" s="31"/>
      <c r="D34" s="31"/>
      <c r="E34" s="31"/>
      <c r="F34" s="31"/>
      <c r="G34" s="31"/>
      <c r="H34" s="31"/>
      <c r="I34" s="31"/>
      <c r="J34" s="31"/>
    </row>
  </sheetData>
  <mergeCells count="1">
    <mergeCell ref="A34:J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5"/>
    <col collapsed="false" customWidth="true" hidden="false" outlineLevel="0" max="13" min="2" style="1" width="11"/>
  </cols>
  <sheetData>
    <row r="1" customFormat="false" ht="34.5" hidden="false" customHeight="true" outlineLevel="0" collapsed="false">
      <c r="A1" s="2" t="s">
        <v>88</v>
      </c>
    </row>
    <row r="3" customFormat="false" ht="15" hidden="false" customHeight="true" outlineLevel="0" collapsed="false">
      <c r="A3" s="20" t="s">
        <v>89</v>
      </c>
    </row>
    <row r="4" customFormat="false" ht="15" hidden="false" customHeight="true" outlineLevel="0" collapsed="false">
      <c r="A4" s="21" t="s">
        <v>90</v>
      </c>
      <c r="B4" s="21" t="s">
        <v>91</v>
      </c>
      <c r="C4" s="21" t="s">
        <v>92</v>
      </c>
      <c r="D4" s="21" t="s">
        <v>93</v>
      </c>
      <c r="E4" s="21" t="s">
        <v>94</v>
      </c>
      <c r="F4" s="21" t="s">
        <v>95</v>
      </c>
      <c r="G4" s="21" t="s">
        <v>96</v>
      </c>
      <c r="H4" s="21" t="s">
        <v>97</v>
      </c>
      <c r="I4" s="21" t="s">
        <v>98</v>
      </c>
      <c r="J4" s="21" t="s">
        <v>99</v>
      </c>
      <c r="K4" s="21" t="s">
        <v>72</v>
      </c>
      <c r="L4" s="21" t="s">
        <v>100</v>
      </c>
    </row>
    <row r="5" customFormat="false" ht="15" hidden="false" customHeight="true" outlineLevel="0" collapsed="false">
      <c r="A5" s="1" t="s">
        <v>101</v>
      </c>
      <c r="B5" s="32" t="n">
        <v>165.5</v>
      </c>
      <c r="C5" s="32" t="n">
        <v>186.8</v>
      </c>
      <c r="D5" s="32" t="n">
        <v>250.2</v>
      </c>
      <c r="E5" s="32" t="n">
        <v>257.7</v>
      </c>
      <c r="F5" s="32" t="n">
        <v>326.6</v>
      </c>
      <c r="G5" s="32" t="n">
        <v>495.3</v>
      </c>
      <c r="H5" s="32" t="n">
        <v>701</v>
      </c>
      <c r="I5" s="32" t="n">
        <v>852.6</v>
      </c>
      <c r="J5" s="7" t="n">
        <f aca="false">AVERAGE(F5:I5)</f>
        <v>593.875</v>
      </c>
      <c r="K5" s="1" t="s">
        <v>28</v>
      </c>
      <c r="L5" s="1" t="s">
        <v>102</v>
      </c>
    </row>
    <row r="6" customFormat="false" ht="15" hidden="false" customHeight="true" outlineLevel="0" collapsed="false">
      <c r="A6" s="1" t="s">
        <v>103</v>
      </c>
      <c r="F6" s="32" t="n">
        <v>255.1</v>
      </c>
      <c r="G6" s="32" t="n">
        <v>375.63</v>
      </c>
      <c r="H6" s="32" t="n">
        <v>541.66</v>
      </c>
      <c r="I6" s="32" t="n">
        <v>721.07</v>
      </c>
      <c r="J6" s="12" t="n">
        <f aca="false">AVERAGE(F6:I6)</f>
        <v>473.365</v>
      </c>
      <c r="K6" s="1" t="s">
        <v>29</v>
      </c>
      <c r="L6" s="1" t="s">
        <v>104</v>
      </c>
    </row>
    <row r="7" customFormat="false" ht="15" hidden="false" customHeight="true" outlineLevel="0" collapsed="false">
      <c r="A7" s="1" t="s">
        <v>105</v>
      </c>
      <c r="F7" s="32" t="n">
        <v>223.23</v>
      </c>
      <c r="G7" s="32" t="n">
        <v>330.66</v>
      </c>
      <c r="H7" s="32" t="n">
        <v>478.91</v>
      </c>
      <c r="I7" s="32" t="n">
        <v>674.04</v>
      </c>
      <c r="J7" s="7" t="n">
        <f aca="false">AVERAGE(F7:I7)</f>
        <v>426.71</v>
      </c>
      <c r="K7" s="1" t="s">
        <v>106</v>
      </c>
    </row>
    <row r="8" customFormat="false" ht="15" hidden="false" customHeight="true" outlineLevel="0" collapsed="false">
      <c r="A8" s="1" t="s">
        <v>107</v>
      </c>
      <c r="F8" s="32" t="n">
        <v>532.29</v>
      </c>
      <c r="G8" s="32" t="n">
        <v>752.68</v>
      </c>
      <c r="H8" s="32" t="n">
        <v>963.24</v>
      </c>
      <c r="I8" s="32" t="n">
        <v>1220.5</v>
      </c>
      <c r="J8" s="7" t="n">
        <f aca="false">AVERAGE(F8:I8)</f>
        <v>867.1775</v>
      </c>
      <c r="K8" s="1" t="s">
        <v>106</v>
      </c>
    </row>
    <row r="9" customFormat="false" ht="15" hidden="false" customHeight="true" outlineLevel="0" collapsed="false">
      <c r="A9" s="1" t="s">
        <v>108</v>
      </c>
      <c r="E9" s="33" t="n">
        <v>257.7</v>
      </c>
      <c r="K9" s="1" t="s">
        <v>28</v>
      </c>
      <c r="L9" s="1" t="s">
        <v>109</v>
      </c>
    </row>
    <row r="10" customFormat="false" ht="229.5" hidden="false" customHeight="true" outlineLevel="0" collapsed="false">
      <c r="A10" s="1" t="s">
        <v>110</v>
      </c>
      <c r="E10" s="34" t="n">
        <v>284.2</v>
      </c>
      <c r="K10" s="1" t="s">
        <v>106</v>
      </c>
      <c r="L10" s="3" t="s">
        <v>111</v>
      </c>
    </row>
    <row r="11" customFormat="false" ht="15" hidden="false" customHeight="true" outlineLevel="0" collapsed="false">
      <c r="A11" s="20" t="s">
        <v>112</v>
      </c>
    </row>
    <row r="12" customFormat="false" ht="15" hidden="false" customHeight="true" outlineLevel="0" collapsed="false">
      <c r="A12" s="21" t="s">
        <v>90</v>
      </c>
      <c r="B12" s="21" t="s">
        <v>113</v>
      </c>
      <c r="C12" s="21" t="s">
        <v>91</v>
      </c>
      <c r="D12" s="21" t="s">
        <v>92</v>
      </c>
      <c r="E12" s="21" t="s">
        <v>114</v>
      </c>
      <c r="F12" s="21" t="s">
        <v>115</v>
      </c>
      <c r="G12" s="21" t="s">
        <v>116</v>
      </c>
      <c r="H12" s="21" t="s">
        <v>72</v>
      </c>
      <c r="I12" s="21" t="s">
        <v>117</v>
      </c>
    </row>
    <row r="13" customFormat="false" ht="15" hidden="false" customHeight="true" outlineLevel="0" collapsed="false">
      <c r="A13" s="1" t="s">
        <v>118</v>
      </c>
      <c r="B13" s="35" t="n">
        <v>850</v>
      </c>
      <c r="C13" s="35" t="n">
        <v>1000</v>
      </c>
      <c r="D13" s="35" t="n">
        <v>1500</v>
      </c>
      <c r="E13" s="35" t="n">
        <v>1850</v>
      </c>
      <c r="F13" s="35" t="n">
        <v>2800</v>
      </c>
      <c r="G13" s="12" t="n">
        <f aca="false">(E13+F13)/2</f>
        <v>2325</v>
      </c>
      <c r="H13" s="1" t="s">
        <v>119</v>
      </c>
      <c r="I13" s="1" t="s">
        <v>120</v>
      </c>
    </row>
    <row r="14" customFormat="false" ht="15" hidden="false" customHeight="true" outlineLevel="0" collapsed="false">
      <c r="A14" s="1" t="s">
        <v>121</v>
      </c>
      <c r="B14" s="33" t="n">
        <v>850</v>
      </c>
      <c r="C14" s="33" t="n">
        <v>1000</v>
      </c>
      <c r="D14" s="33" t="n">
        <v>1500</v>
      </c>
      <c r="E14" s="33" t="n">
        <v>1700</v>
      </c>
      <c r="F14" s="33" t="n">
        <v>2200</v>
      </c>
      <c r="G14" s="7" t="n">
        <f aca="false">(E14+F14)/2</f>
        <v>1950</v>
      </c>
      <c r="H14" s="1" t="s">
        <v>122</v>
      </c>
      <c r="I14" s="1" t="s">
        <v>123</v>
      </c>
    </row>
    <row r="15" customFormat="false" ht="15" hidden="false" customHeight="true" outlineLevel="0" collapsed="false">
      <c r="A15" s="1" t="s">
        <v>124</v>
      </c>
      <c r="B15" s="33" t="n">
        <v>850</v>
      </c>
      <c r="C15" s="33" t="n">
        <v>1000</v>
      </c>
      <c r="D15" s="33" t="n">
        <v>1500</v>
      </c>
      <c r="E15" s="33" t="n">
        <v>2000</v>
      </c>
      <c r="F15" s="33" t="n">
        <v>3500</v>
      </c>
      <c r="G15" s="7" t="n">
        <f aca="false">(E15+F15)/2</f>
        <v>2750</v>
      </c>
      <c r="H15" s="1" t="s">
        <v>28</v>
      </c>
      <c r="I15" s="1" t="s">
        <v>125</v>
      </c>
    </row>
    <row r="16" customFormat="false" ht="15" hidden="false" customHeight="true" outlineLevel="0" collapsed="false">
      <c r="A16" s="1" t="s">
        <v>126</v>
      </c>
      <c r="F16" s="6" t="n">
        <f aca="false">Revenue_Sources!C9/8.24</f>
        <v>3640.77669902913</v>
      </c>
      <c r="H16" s="1" t="s">
        <v>28</v>
      </c>
      <c r="I16" s="1" t="s">
        <v>127</v>
      </c>
    </row>
    <row r="18" customFormat="false" ht="15" hidden="false" customHeight="true" outlineLevel="0" collapsed="false">
      <c r="A18" s="20" t="s">
        <v>128</v>
      </c>
    </row>
    <row r="19" customFormat="false" ht="15" hidden="false" customHeight="true" outlineLevel="0" collapsed="false">
      <c r="A19" s="21" t="s">
        <v>90</v>
      </c>
      <c r="B19" s="21" t="s">
        <v>129</v>
      </c>
      <c r="C19" s="21" t="s">
        <v>130</v>
      </c>
      <c r="D19" s="21" t="s">
        <v>131</v>
      </c>
      <c r="E19" s="21" t="s">
        <v>132</v>
      </c>
      <c r="F19" s="21" t="s">
        <v>72</v>
      </c>
      <c r="G19" s="21" t="s">
        <v>100</v>
      </c>
    </row>
    <row r="20" customFormat="false" ht="15" hidden="false" customHeight="true" outlineLevel="0" collapsed="false">
      <c r="A20" s="1" t="s">
        <v>133</v>
      </c>
      <c r="B20" s="33" t="n">
        <v>40</v>
      </c>
      <c r="C20" s="33" t="n">
        <v>300</v>
      </c>
      <c r="D20" s="33" t="n">
        <v>800</v>
      </c>
      <c r="E20" s="12" t="n">
        <f aca="false">(C20+D20)/2</f>
        <v>550</v>
      </c>
      <c r="F20" s="1" t="s">
        <v>134</v>
      </c>
      <c r="G20" s="1" t="s">
        <v>135</v>
      </c>
    </row>
    <row r="21" customFormat="false" ht="15" hidden="false" customHeight="true" outlineLevel="0" collapsed="false">
      <c r="A21" s="1" t="s">
        <v>136</v>
      </c>
      <c r="B21" s="33" t="s">
        <v>137</v>
      </c>
      <c r="C21" s="33" t="n">
        <v>480</v>
      </c>
      <c r="D21" s="33" t="n">
        <v>1200</v>
      </c>
      <c r="E21" s="1" t="n">
        <f aca="false">(C21+D21)/2</f>
        <v>840</v>
      </c>
      <c r="F21" s="1" t="s">
        <v>134</v>
      </c>
      <c r="G21" s="1" t="s">
        <v>138</v>
      </c>
    </row>
    <row r="23" customFormat="false" ht="15" hidden="false" customHeight="true" outlineLevel="0" collapsed="false">
      <c r="A23" s="20" t="s">
        <v>139</v>
      </c>
    </row>
    <row r="24" customFormat="false" ht="15" hidden="false" customHeight="true" outlineLevel="0" collapsed="false">
      <c r="A24" s="21" t="s">
        <v>90</v>
      </c>
      <c r="B24" s="21" t="s">
        <v>140</v>
      </c>
      <c r="C24" s="21" t="s">
        <v>141</v>
      </c>
      <c r="D24" s="21" t="s">
        <v>142</v>
      </c>
      <c r="E24" s="21" t="s">
        <v>116</v>
      </c>
      <c r="F24" s="21" t="s">
        <v>72</v>
      </c>
      <c r="G24" s="21" t="s">
        <v>100</v>
      </c>
    </row>
    <row r="25" customFormat="false" ht="15" hidden="false" customHeight="true" outlineLevel="0" collapsed="false">
      <c r="A25" s="1" t="s">
        <v>143</v>
      </c>
      <c r="B25" s="33" t="n">
        <v>1200</v>
      </c>
      <c r="C25" s="33" t="n">
        <v>2050</v>
      </c>
      <c r="D25" s="33" t="n">
        <v>4500</v>
      </c>
      <c r="E25" s="12" t="n">
        <f aca="false">(C25+D25)/2</f>
        <v>3275</v>
      </c>
      <c r="F25" s="1" t="s">
        <v>28</v>
      </c>
      <c r="G25" s="1" t="s">
        <v>144</v>
      </c>
    </row>
    <row r="26" customFormat="false" ht="15" hidden="false" customHeight="true" outlineLevel="0" collapsed="false">
      <c r="A26" s="1" t="s">
        <v>145</v>
      </c>
      <c r="B26" s="33" t="n">
        <v>1200</v>
      </c>
      <c r="C26" s="33" t="n">
        <v>2050</v>
      </c>
      <c r="D26" s="33" t="n">
        <v>3200</v>
      </c>
      <c r="E26" s="7" t="n">
        <f aca="false">(C26+D26)/2</f>
        <v>2625</v>
      </c>
      <c r="F26" s="1" t="s">
        <v>28</v>
      </c>
    </row>
    <row r="27" customFormat="false" ht="15" hidden="false" customHeight="true" outlineLevel="0" collapsed="false">
      <c r="A27" s="1" t="s">
        <v>146</v>
      </c>
      <c r="B27" s="33" t="n">
        <v>1200</v>
      </c>
      <c r="C27" s="33" t="n">
        <v>2050</v>
      </c>
      <c r="D27" s="33" t="n">
        <v>6000</v>
      </c>
      <c r="E27" s="7" t="n">
        <f aca="false">(C27+D27)/2</f>
        <v>4025</v>
      </c>
      <c r="F27" s="1" t="s">
        <v>28</v>
      </c>
    </row>
    <row r="28" customFormat="false" ht="15" hidden="false" customHeight="true" outlineLevel="0" collapsed="false">
      <c r="A28" s="1" t="s">
        <v>147</v>
      </c>
      <c r="D28" s="1" t="n">
        <f aca="false">1200+850*4</f>
        <v>4600</v>
      </c>
      <c r="E28" s="1" t="n">
        <f aca="false">(1200+(1200+850*4))/2</f>
        <v>2900</v>
      </c>
      <c r="F28" s="1" t="s">
        <v>28</v>
      </c>
    </row>
    <row r="30" customFormat="false" ht="15" hidden="false" customHeight="false" outlineLevel="0" collapsed="false">
      <c r="A30" s="36" t="s">
        <v>148</v>
      </c>
    </row>
    <row r="31" customFormat="false" ht="108.95" hidden="false" customHeight="false" outlineLevel="0" collapsed="false">
      <c r="A31" s="1" t="s">
        <v>149</v>
      </c>
      <c r="J31" s="37" t="n">
        <v>531.840979259459</v>
      </c>
      <c r="K31" s="1" t="s">
        <v>29</v>
      </c>
      <c r="L31" s="3" t="s">
        <v>150</v>
      </c>
    </row>
    <row r="32" customFormat="false" ht="95.5" hidden="false" customHeight="false" outlineLevel="0" collapsed="false">
      <c r="A32" s="1" t="s">
        <v>151</v>
      </c>
      <c r="J32" s="38" t="n">
        <v>659.157004259459</v>
      </c>
      <c r="K32" s="1" t="s">
        <v>29</v>
      </c>
      <c r="L32" s="3" t="s">
        <v>152</v>
      </c>
    </row>
    <row r="33" customFormat="false" ht="135.8" hidden="false" customHeight="false" outlineLevel="0" collapsed="false">
      <c r="A33" s="1" t="s">
        <v>153</v>
      </c>
      <c r="J33" s="38" t="n">
        <v>182.329216759459</v>
      </c>
      <c r="K33" s="1" t="s">
        <v>29</v>
      </c>
      <c r="L33" s="3" t="s">
        <v>154</v>
      </c>
    </row>
    <row r="34" customFormat="false" ht="135.8" hidden="false" customHeight="false" outlineLevel="0" collapsed="false">
      <c r="A34" s="1" t="s">
        <v>155</v>
      </c>
      <c r="J34" s="38" t="n">
        <v>2643.77364301215</v>
      </c>
      <c r="K34" s="1" t="s">
        <v>29</v>
      </c>
      <c r="L34" s="3" t="s">
        <v>156</v>
      </c>
    </row>
    <row r="35" customFormat="false" ht="108.95" hidden="false" customHeight="false" outlineLevel="0" collapsed="false">
      <c r="A35" s="1" t="s">
        <v>157</v>
      </c>
      <c r="J35" s="39" t="n">
        <f aca="false">J31-J33</f>
        <v>349.5117625</v>
      </c>
      <c r="K35" s="1" t="s">
        <v>29</v>
      </c>
      <c r="L35" s="3" t="s">
        <v>158</v>
      </c>
    </row>
    <row r="36" customFormat="false" ht="82.05" hidden="false" customHeight="false" outlineLevel="0" collapsed="false">
      <c r="A36" s="1" t="s">
        <v>159</v>
      </c>
      <c r="J36" s="40" t="n">
        <f aca="false">J32-J33</f>
        <v>476.8277875</v>
      </c>
      <c r="K36" s="1" t="s">
        <v>29</v>
      </c>
      <c r="L36" s="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4"/>
  </cols>
  <sheetData>
    <row r="1" customFormat="false" ht="15" hidden="false" customHeight="true" outlineLevel="0" collapsed="false">
      <c r="A1" s="20" t="s">
        <v>161</v>
      </c>
    </row>
    <row r="3" customFormat="false" ht="15" hidden="false" customHeight="true" outlineLevel="0" collapsed="false">
      <c r="A3" s="5" t="s">
        <v>17</v>
      </c>
      <c r="B3" s="5" t="s">
        <v>162</v>
      </c>
      <c r="C3" s="5" t="s">
        <v>163</v>
      </c>
      <c r="D3" s="5" t="s">
        <v>72</v>
      </c>
      <c r="E3" s="5" t="s">
        <v>164</v>
      </c>
      <c r="F3" s="5" t="s">
        <v>100</v>
      </c>
      <c r="G3" s="5" t="s">
        <v>26</v>
      </c>
    </row>
    <row r="4" customFormat="false" ht="68.25" hidden="false" customHeight="true" outlineLevel="0" collapsed="false">
      <c r="A4" s="3" t="s">
        <v>165</v>
      </c>
      <c r="B4" s="3" t="s">
        <v>166</v>
      </c>
      <c r="C4" s="41" t="n">
        <v>12300</v>
      </c>
      <c r="D4" s="3" t="s">
        <v>28</v>
      </c>
      <c r="E4" s="3" t="s">
        <v>167</v>
      </c>
      <c r="F4" s="3" t="s">
        <v>168</v>
      </c>
      <c r="G4" s="3" t="s">
        <v>169</v>
      </c>
    </row>
    <row r="5" customFormat="false" ht="27.75" hidden="false" customHeight="true" outlineLevel="0" collapsed="false">
      <c r="A5" s="3" t="s">
        <v>165</v>
      </c>
      <c r="B5" s="3" t="s">
        <v>170</v>
      </c>
      <c r="C5" s="41" t="n">
        <v>7000</v>
      </c>
      <c r="D5" s="3" t="s">
        <v>32</v>
      </c>
      <c r="E5" s="3" t="s">
        <v>171</v>
      </c>
      <c r="F5" s="3" t="s">
        <v>172</v>
      </c>
      <c r="G5" s="3" t="s">
        <v>173</v>
      </c>
    </row>
    <row r="6" customFormat="false" ht="27.75" hidden="false" customHeight="true" outlineLevel="0" collapsed="false">
      <c r="A6" s="3" t="s">
        <v>165</v>
      </c>
      <c r="B6" s="3" t="s">
        <v>174</v>
      </c>
      <c r="C6" s="41" t="n">
        <v>9000</v>
      </c>
      <c r="D6" s="3" t="s">
        <v>32</v>
      </c>
      <c r="E6" s="3" t="s">
        <v>171</v>
      </c>
      <c r="F6" s="3" t="s">
        <v>172</v>
      </c>
      <c r="G6" s="3"/>
    </row>
    <row r="7" customFormat="false" ht="54.75" hidden="false" customHeight="true" outlineLevel="0" collapsed="false">
      <c r="A7" s="3" t="s">
        <v>76</v>
      </c>
      <c r="B7" s="3" t="s">
        <v>166</v>
      </c>
      <c r="C7" s="41" t="n">
        <v>26260</v>
      </c>
      <c r="D7" s="3" t="s">
        <v>28</v>
      </c>
      <c r="E7" s="3" t="s">
        <v>167</v>
      </c>
      <c r="F7" s="3" t="s">
        <v>175</v>
      </c>
      <c r="G7" s="3" t="s">
        <v>176</v>
      </c>
    </row>
    <row r="8" customFormat="false" ht="54.75" hidden="false" customHeight="true" outlineLevel="0" collapsed="false">
      <c r="A8" s="3" t="s">
        <v>76</v>
      </c>
      <c r="B8" s="3" t="s">
        <v>177</v>
      </c>
      <c r="C8" s="41" t="n">
        <v>18500</v>
      </c>
      <c r="D8" s="3" t="s">
        <v>178</v>
      </c>
      <c r="E8" s="3" t="s">
        <v>179</v>
      </c>
      <c r="F8" s="3" t="s">
        <v>180</v>
      </c>
      <c r="G8" s="3" t="s">
        <v>181</v>
      </c>
    </row>
    <row r="9" customFormat="false" ht="81.75" hidden="false" customHeight="true" outlineLevel="0" collapsed="false">
      <c r="A9" s="3" t="s">
        <v>76</v>
      </c>
      <c r="B9" s="3" t="s">
        <v>182</v>
      </c>
      <c r="C9" s="41" t="n">
        <v>30000</v>
      </c>
      <c r="D9" s="3" t="s">
        <v>32</v>
      </c>
      <c r="E9" s="3" t="s">
        <v>183</v>
      </c>
      <c r="F9" s="3" t="s">
        <v>180</v>
      </c>
      <c r="G9" s="3" t="s">
        <v>184</v>
      </c>
    </row>
    <row r="10" customFormat="false" ht="81.75" hidden="false" customHeight="true" outlineLevel="0" collapsed="false">
      <c r="A10" s="3" t="s">
        <v>185</v>
      </c>
      <c r="B10" s="3" t="s">
        <v>186</v>
      </c>
      <c r="C10" s="41" t="n">
        <v>4000</v>
      </c>
      <c r="D10" s="3" t="s">
        <v>32</v>
      </c>
      <c r="E10" s="3" t="s">
        <v>171</v>
      </c>
      <c r="F10" s="3" t="s">
        <v>187</v>
      </c>
      <c r="G10" s="3" t="s">
        <v>188</v>
      </c>
    </row>
    <row r="11" customFormat="false" ht="41.25" hidden="false" customHeight="true" outlineLevel="0" collapsed="false">
      <c r="A11" s="3" t="s">
        <v>185</v>
      </c>
      <c r="B11" s="3" t="s">
        <v>189</v>
      </c>
      <c r="C11" s="41" t="n">
        <v>1000</v>
      </c>
      <c r="D11" s="3" t="s">
        <v>32</v>
      </c>
      <c r="E11" s="3" t="s">
        <v>190</v>
      </c>
      <c r="F11" s="3" t="s">
        <v>187</v>
      </c>
      <c r="G11" s="3"/>
    </row>
    <row r="12" customFormat="false" ht="95.25" hidden="false" customHeight="true" outlineLevel="0" collapsed="false">
      <c r="A12" s="3" t="s">
        <v>185</v>
      </c>
      <c r="B12" s="3" t="s">
        <v>191</v>
      </c>
      <c r="C12" s="3" t="s">
        <v>137</v>
      </c>
      <c r="D12" s="3" t="s">
        <v>137</v>
      </c>
      <c r="E12" s="3" t="s">
        <v>192</v>
      </c>
      <c r="F12" s="3" t="s">
        <v>193</v>
      </c>
      <c r="G12" s="3" t="s">
        <v>194</v>
      </c>
    </row>
    <row r="13" customFormat="false" ht="68.25" hidden="false" customHeight="true" outlineLevel="0" collapsed="false">
      <c r="A13" s="3" t="s">
        <v>185</v>
      </c>
      <c r="B13" s="3" t="s">
        <v>195</v>
      </c>
      <c r="C13" s="41" t="n">
        <v>16000</v>
      </c>
      <c r="D13" s="3" t="s">
        <v>28</v>
      </c>
      <c r="E13" s="3" t="s">
        <v>196</v>
      </c>
      <c r="F13" s="3" t="s">
        <v>197</v>
      </c>
      <c r="G13" s="3" t="s">
        <v>198</v>
      </c>
    </row>
    <row r="14" customFormat="false" ht="68.25" hidden="false" customHeight="true" outlineLevel="0" collapsed="false">
      <c r="A14" s="3" t="s">
        <v>185</v>
      </c>
      <c r="B14" s="3" t="s">
        <v>199</v>
      </c>
      <c r="C14" s="41" t="n">
        <v>10667</v>
      </c>
      <c r="D14" s="3" t="s">
        <v>28</v>
      </c>
      <c r="E14" s="3" t="s">
        <v>196</v>
      </c>
      <c r="F14" s="3" t="s">
        <v>187</v>
      </c>
      <c r="G14" s="3" t="s">
        <v>200</v>
      </c>
    </row>
    <row r="15" customFormat="false" ht="41.25" hidden="false" customHeight="true" outlineLevel="0" collapsed="false">
      <c r="A15" s="3" t="s">
        <v>201</v>
      </c>
      <c r="B15" s="3" t="s">
        <v>202</v>
      </c>
      <c r="C15" s="41" t="n">
        <v>7388</v>
      </c>
      <c r="D15" s="3" t="s">
        <v>32</v>
      </c>
      <c r="E15" s="3" t="s">
        <v>203</v>
      </c>
      <c r="F15" s="3" t="s">
        <v>204</v>
      </c>
      <c r="G15" s="3" t="s">
        <v>205</v>
      </c>
    </row>
    <row r="16" customFormat="false" ht="41.25" hidden="false" customHeight="true" outlineLevel="0" collapsed="false">
      <c r="A16" s="3" t="s">
        <v>201</v>
      </c>
      <c r="B16" s="3" t="s">
        <v>206</v>
      </c>
      <c r="C16" s="41" t="n">
        <v>29552</v>
      </c>
      <c r="D16" s="3" t="s">
        <v>29</v>
      </c>
      <c r="E16" s="3" t="s">
        <v>207</v>
      </c>
      <c r="F16" s="3" t="s">
        <v>204</v>
      </c>
      <c r="G16" s="3" t="s">
        <v>208</v>
      </c>
    </row>
    <row r="17" customFormat="false" ht="54.75" hidden="false" customHeight="true" outlineLevel="0" collapsed="false">
      <c r="A17" s="3" t="s">
        <v>201</v>
      </c>
      <c r="B17" s="3" t="s">
        <v>209</v>
      </c>
      <c r="C17" s="41" t="n">
        <v>90000</v>
      </c>
      <c r="D17" s="3" t="s">
        <v>32</v>
      </c>
      <c r="E17" s="3" t="s">
        <v>210</v>
      </c>
      <c r="F17" s="3" t="s">
        <v>204</v>
      </c>
      <c r="G17" s="3" t="s">
        <v>211</v>
      </c>
    </row>
    <row r="18" customFormat="false" ht="27.75" hidden="false" customHeight="true" outlineLevel="0" collapsed="false">
      <c r="A18" s="3" t="s">
        <v>201</v>
      </c>
      <c r="B18" s="3" t="s">
        <v>212</v>
      </c>
      <c r="C18" s="41" t="n">
        <v>18101</v>
      </c>
      <c r="D18" s="3" t="s">
        <v>32</v>
      </c>
      <c r="E18" s="3" t="s">
        <v>213</v>
      </c>
      <c r="F18" s="3" t="s">
        <v>204</v>
      </c>
      <c r="G18" s="3"/>
    </row>
    <row r="19" customFormat="false" ht="15" hidden="false" customHeight="false" outlineLevel="0" collapsed="false">
      <c r="A19" s="1" t="s">
        <v>165</v>
      </c>
      <c r="B19" s="1" t="s">
        <v>214</v>
      </c>
      <c r="C19" s="23" t="n">
        <f aca="false">MW_Paths!J34</f>
        <v>2643.77364301215</v>
      </c>
      <c r="D19" s="1" t="s">
        <v>29</v>
      </c>
      <c r="E19" s="1" t="s">
        <v>167</v>
      </c>
      <c r="F19" s="1" t="s">
        <v>215</v>
      </c>
      <c r="G19" s="1" t="s">
        <v>216</v>
      </c>
    </row>
    <row r="20" customFormat="false" ht="15" hidden="false" customHeight="false" outlineLevel="0" collapsed="false">
      <c r="A20" s="1" t="s">
        <v>165</v>
      </c>
      <c r="B20" s="1" t="s">
        <v>217</v>
      </c>
      <c r="C20" s="23" t="n">
        <f aca="false">C4-C19</f>
        <v>9656.22635698785</v>
      </c>
      <c r="D20" s="1" t="s">
        <v>57</v>
      </c>
      <c r="E20" s="1" t="s">
        <v>167</v>
      </c>
      <c r="F20" s="1" t="s">
        <v>218</v>
      </c>
      <c r="G20" s="1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7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80"/>
  </cols>
  <sheetData>
    <row r="1" customFormat="false" ht="27.75" hidden="false" customHeight="true" outlineLevel="0" collapsed="false">
      <c r="A1" s="2" t="s">
        <v>220</v>
      </c>
    </row>
    <row r="2" customFormat="false" ht="15" hidden="false" customHeight="true" outlineLevel="0" collapsed="false">
      <c r="A2" s="42" t="s">
        <v>221</v>
      </c>
      <c r="B2" s="42"/>
      <c r="C2" s="42"/>
      <c r="D2" s="42"/>
    </row>
    <row r="3" customFormat="false" ht="15" hidden="false" customHeight="true" outlineLevel="0" collapsed="false">
      <c r="A3" s="21" t="s">
        <v>222</v>
      </c>
      <c r="B3" s="21" t="s">
        <v>223</v>
      </c>
      <c r="C3" s="21" t="s">
        <v>72</v>
      </c>
      <c r="D3" s="21" t="s">
        <v>224</v>
      </c>
    </row>
    <row r="4" customFormat="false" ht="15" hidden="false" customHeight="true" outlineLevel="0" collapsed="false">
      <c r="A4" s="1" t="s">
        <v>225</v>
      </c>
      <c r="B4" s="6" t="n">
        <f aca="false">Revenue_Sources!C4</f>
        <v>12300</v>
      </c>
      <c r="C4" s="1" t="s">
        <v>28</v>
      </c>
      <c r="D4" s="3" t="s">
        <v>168</v>
      </c>
    </row>
    <row r="5" customFormat="false" ht="15" hidden="false" customHeight="true" outlineLevel="0" collapsed="false">
      <c r="A5" s="1" t="s">
        <v>226</v>
      </c>
      <c r="B5" s="7" t="n">
        <f aca="false">MW_Paths!J31</f>
        <v>531.840979259459</v>
      </c>
      <c r="C5" s="1" t="s">
        <v>106</v>
      </c>
      <c r="D5" s="3" t="s">
        <v>227</v>
      </c>
    </row>
    <row r="6" customFormat="false" ht="15" hidden="false" customHeight="true" outlineLevel="0" collapsed="false">
      <c r="A6" s="1" t="s">
        <v>228</v>
      </c>
      <c r="B6" s="13" t="n">
        <f aca="false">B4/B5</f>
        <v>23.1272137343133</v>
      </c>
      <c r="C6" s="1" t="s">
        <v>29</v>
      </c>
      <c r="D6" s="3" t="s">
        <v>229</v>
      </c>
    </row>
    <row r="7" customFormat="false" ht="15" hidden="false" customHeight="true" outlineLevel="0" collapsed="false">
      <c r="A7" s="1" t="s">
        <v>230</v>
      </c>
      <c r="B7" s="7" t="n">
        <f aca="false">MW_Paths!J5</f>
        <v>593.875</v>
      </c>
      <c r="C7" s="1" t="s">
        <v>28</v>
      </c>
      <c r="D7" s="3" t="s">
        <v>231</v>
      </c>
    </row>
    <row r="8" customFormat="false" ht="15" hidden="false" customHeight="true" outlineLevel="0" collapsed="false">
      <c r="A8" s="1" t="s">
        <v>232</v>
      </c>
      <c r="B8" s="8" t="n">
        <f aca="false">B4/B7</f>
        <v>20.7114291728057</v>
      </c>
      <c r="C8" s="1" t="s">
        <v>29</v>
      </c>
      <c r="D8" s="3" t="s">
        <v>233</v>
      </c>
    </row>
    <row r="9" customFormat="false" ht="15" hidden="false" customHeight="true" outlineLevel="0" collapsed="false">
      <c r="A9" s="1" t="s">
        <v>234</v>
      </c>
      <c r="B9" s="43" t="n">
        <v>23.1272137343133</v>
      </c>
      <c r="C9" s="1" t="s">
        <v>29</v>
      </c>
      <c r="D9" s="3" t="s">
        <v>235</v>
      </c>
    </row>
    <row r="10" customFormat="false" ht="15" hidden="false" customHeight="true" outlineLevel="0" collapsed="false">
      <c r="A10" s="1" t="s">
        <v>236</v>
      </c>
      <c r="B10" s="8" t="n">
        <f aca="false">B6-B9</f>
        <v>0</v>
      </c>
      <c r="C10" s="1" t="s">
        <v>29</v>
      </c>
      <c r="D10" s="3"/>
    </row>
    <row r="11" customFormat="false" ht="15" hidden="false" customHeight="true" outlineLevel="0" collapsed="false">
      <c r="A11" s="1" t="s">
        <v>237</v>
      </c>
      <c r="B11" s="8" t="n">
        <f aca="false">Revenue_Sources!C5/MW_Paths!E9</f>
        <v>27.163368257664</v>
      </c>
      <c r="C11" s="1" t="s">
        <v>29</v>
      </c>
      <c r="D11" s="3" t="s">
        <v>238</v>
      </c>
    </row>
    <row r="12" customFormat="false" ht="15" hidden="false" customHeight="true" outlineLevel="0" collapsed="false">
      <c r="A12" s="1" t="s">
        <v>239</v>
      </c>
      <c r="B12" s="8" t="n">
        <f aca="false">Revenue_Sources!C6/MW_Paths!E9</f>
        <v>34.9243306169965</v>
      </c>
      <c r="C12" s="1" t="s">
        <v>29</v>
      </c>
      <c r="D12" s="3" t="s">
        <v>240</v>
      </c>
    </row>
    <row r="13" customFormat="false" ht="15" hidden="false" customHeight="true" outlineLevel="0" collapsed="false">
      <c r="A13" s="1" t="s">
        <v>241</v>
      </c>
      <c r="B13" s="8" t="n">
        <f aca="false">Revenue_Sources!C6/MW_Paths!E10</f>
        <v>31.667839549613</v>
      </c>
      <c r="C13" s="1" t="s">
        <v>29</v>
      </c>
      <c r="D13" s="3" t="s">
        <v>242</v>
      </c>
    </row>
    <row r="14" customFormat="false" ht="15" hidden="false" customHeight="true" outlineLevel="0" collapsed="false">
      <c r="A14" s="1" t="s">
        <v>243</v>
      </c>
      <c r="B14" s="8" t="n">
        <f aca="false">Revenue_Sources!C5/MW_Paths!E10</f>
        <v>24.6305418719212</v>
      </c>
      <c r="C14" s="1" t="s">
        <v>29</v>
      </c>
      <c r="D14" s="3" t="s">
        <v>244</v>
      </c>
    </row>
    <row r="16" customFormat="false" ht="15" hidden="false" customHeight="true" outlineLevel="0" collapsed="false">
      <c r="A16" s="2" t="s">
        <v>245</v>
      </c>
    </row>
    <row r="17" customFormat="false" ht="15" hidden="false" customHeight="true" outlineLevel="0" collapsed="false">
      <c r="A17" s="3" t="s">
        <v>246</v>
      </c>
    </row>
    <row r="18" customFormat="false" ht="15" hidden="false" customHeight="true" outlineLevel="0" collapsed="false">
      <c r="A18" s="3" t="s">
        <v>247</v>
      </c>
      <c r="B18" s="44" t="n">
        <v>17392.9</v>
      </c>
      <c r="C18" s="1" t="s">
        <v>32</v>
      </c>
      <c r="D18" s="3" t="s">
        <v>248</v>
      </c>
    </row>
    <row r="19" customFormat="false" ht="15" hidden="false" customHeight="true" outlineLevel="0" collapsed="false">
      <c r="A19" s="3" t="s">
        <v>249</v>
      </c>
      <c r="B19" s="44" t="n">
        <v>5</v>
      </c>
      <c r="C19" s="1" t="s">
        <v>32</v>
      </c>
      <c r="D19" s="3" t="s">
        <v>250</v>
      </c>
    </row>
    <row r="20" customFormat="false" ht="15" hidden="false" customHeight="true" outlineLevel="0" collapsed="false">
      <c r="A20" s="3" t="s">
        <v>251</v>
      </c>
      <c r="B20" s="45" t="n">
        <f aca="false">B18/B19</f>
        <v>3478.58</v>
      </c>
      <c r="C20" s="1" t="s">
        <v>29</v>
      </c>
      <c r="D20" s="3"/>
    </row>
    <row r="21" customFormat="false" ht="15" hidden="false" customHeight="true" outlineLevel="0" collapsed="false">
      <c r="A21" s="3" t="s">
        <v>252</v>
      </c>
      <c r="B21" s="44" t="n">
        <v>240</v>
      </c>
      <c r="C21" s="1" t="s">
        <v>28</v>
      </c>
      <c r="D21" s="3" t="s">
        <v>253</v>
      </c>
    </row>
    <row r="22" customFormat="false" ht="15" hidden="false" customHeight="true" outlineLevel="0" collapsed="false">
      <c r="A22" s="3" t="s">
        <v>254</v>
      </c>
      <c r="B22" s="46" t="n">
        <f aca="false">B20/B21</f>
        <v>14.4940833333333</v>
      </c>
      <c r="C22" s="1" t="s">
        <v>28</v>
      </c>
      <c r="D22" s="3" t="s">
        <v>255</v>
      </c>
    </row>
    <row r="23" customFormat="false" ht="15" hidden="false" customHeight="true" outlineLevel="0" collapsed="false">
      <c r="A23" s="3" t="s">
        <v>256</v>
      </c>
      <c r="B23" s="44" t="n">
        <v>14.4940833333333</v>
      </c>
      <c r="C23" s="1" t="s">
        <v>29</v>
      </c>
      <c r="D23" s="3" t="s">
        <v>257</v>
      </c>
    </row>
    <row r="24" customFormat="false" ht="15" hidden="false" customHeight="true" outlineLevel="0" collapsed="false">
      <c r="A24" s="3" t="s">
        <v>258</v>
      </c>
      <c r="B24" s="47" t="n">
        <f aca="false">B22-B23</f>
        <v>0</v>
      </c>
      <c r="C24" s="1" t="s">
        <v>29</v>
      </c>
      <c r="D24" s="3"/>
    </row>
    <row r="25" customFormat="false" ht="15" hidden="false" customHeight="true" outlineLevel="0" collapsed="false">
      <c r="A25" s="48" t="s">
        <v>259</v>
      </c>
      <c r="B25" s="8"/>
      <c r="D25" s="3"/>
    </row>
    <row r="26" customFormat="false" ht="15" hidden="false" customHeight="true" outlineLevel="0" collapsed="false">
      <c r="B26" s="13"/>
      <c r="D26" s="3"/>
    </row>
    <row r="27" customFormat="false" ht="15" hidden="false" customHeight="true" outlineLevel="0" collapsed="false">
      <c r="A27" s="1" t="s">
        <v>260</v>
      </c>
      <c r="B27" s="8" t="n">
        <f aca="false">574.9*4/AVERAGE(181.5,193)</f>
        <v>12.2809078771696</v>
      </c>
      <c r="C27" s="1" t="s">
        <v>106</v>
      </c>
      <c r="D27" s="3" t="s">
        <v>261</v>
      </c>
    </row>
    <row r="28" customFormat="false" ht="15" hidden="false" customHeight="true" outlineLevel="0" collapsed="false">
      <c r="A28" s="1" t="s">
        <v>262</v>
      </c>
      <c r="B28" s="8" t="n">
        <f aca="false">574.9*4/AVERAGE(165.459207459207,186.822843822844)</f>
        <v>13.0554479947595</v>
      </c>
      <c r="C28" s="1" t="s">
        <v>106</v>
      </c>
      <c r="D28" s="3" t="s">
        <v>263</v>
      </c>
    </row>
    <row r="30" customFormat="false" ht="45" hidden="false" customHeight="true" outlineLevel="0" collapsed="false">
      <c r="A30" s="31" t="s">
        <v>264</v>
      </c>
      <c r="B30" s="31"/>
      <c r="C30" s="31"/>
      <c r="D30" s="31"/>
    </row>
    <row r="32" customFormat="false" ht="15" hidden="false" customHeight="false" outlineLevel="0" collapsed="false">
      <c r="A32" s="36" t="s">
        <v>265</v>
      </c>
    </row>
    <row r="33" customFormat="false" ht="15" hidden="false" customHeight="false" outlineLevel="0" collapsed="false">
      <c r="A33" s="1" t="s">
        <v>266</v>
      </c>
      <c r="B33" s="40" t="n">
        <f aca="false">B4</f>
        <v>12300</v>
      </c>
      <c r="C33" s="1" t="s">
        <v>28</v>
      </c>
      <c r="D33" s="3" t="s">
        <v>267</v>
      </c>
    </row>
    <row r="34" customFormat="false" ht="15" hidden="false" customHeight="false" outlineLevel="0" collapsed="false">
      <c r="A34" s="1" t="s">
        <v>268</v>
      </c>
      <c r="B34" s="40" t="n">
        <f aca="false">MW_Paths!J34</f>
        <v>2643.77364301215</v>
      </c>
      <c r="C34" s="1" t="s">
        <v>29</v>
      </c>
      <c r="D34" s="3" t="s">
        <v>269</v>
      </c>
    </row>
    <row r="35" customFormat="false" ht="15" hidden="false" customHeight="false" outlineLevel="0" collapsed="false">
      <c r="A35" s="1" t="s">
        <v>270</v>
      </c>
      <c r="B35" s="40" t="n">
        <f aca="false">MW_Paths!J31</f>
        <v>531.840979259459</v>
      </c>
      <c r="C35" s="1" t="s">
        <v>29</v>
      </c>
      <c r="D35" s="3" t="s">
        <v>271</v>
      </c>
    </row>
    <row r="36" customFormat="false" ht="15" hidden="false" customHeight="false" outlineLevel="0" collapsed="false">
      <c r="A36" s="1" t="s">
        <v>272</v>
      </c>
      <c r="B36" s="40" t="n">
        <f aca="false">MW_Paths!J33</f>
        <v>182.329216759459</v>
      </c>
      <c r="C36" s="1" t="s">
        <v>29</v>
      </c>
      <c r="D36" s="3" t="s">
        <v>273</v>
      </c>
    </row>
    <row r="37" customFormat="false" ht="15" hidden="false" customHeight="false" outlineLevel="0" collapsed="false">
      <c r="A37" s="1" t="s">
        <v>274</v>
      </c>
      <c r="B37" s="49" t="n">
        <f aca="false">(B33-B34)/(B35-B36)</f>
        <v>27.627757898385</v>
      </c>
      <c r="C37" s="1" t="s">
        <v>29</v>
      </c>
      <c r="D37" s="3" t="s">
        <v>275</v>
      </c>
    </row>
    <row r="38" customFormat="false" ht="15" hidden="false" customHeight="false" outlineLevel="0" collapsed="false">
      <c r="A38" s="1" t="s">
        <v>276</v>
      </c>
      <c r="B38" s="38" t="n">
        <v>27.6</v>
      </c>
      <c r="C38" s="1" t="s">
        <v>277</v>
      </c>
      <c r="D38" s="3" t="s">
        <v>278</v>
      </c>
    </row>
    <row r="39" customFormat="false" ht="15" hidden="false" customHeight="false" outlineLevel="0" collapsed="false">
      <c r="A39" s="1" t="s">
        <v>279</v>
      </c>
      <c r="B39" s="40" t="n">
        <f aca="false">B37-B38</f>
        <v>0.0277578983850333</v>
      </c>
      <c r="C39" s="1" t="s">
        <v>29</v>
      </c>
      <c r="D39" s="3"/>
    </row>
    <row r="40" customFormat="false" ht="15" hidden="false" customHeight="false" outlineLevel="0" collapsed="false">
      <c r="A40" s="1" t="s">
        <v>280</v>
      </c>
      <c r="B40" s="40" t="n">
        <f aca="false">B33/MW_Paths!J32</f>
        <v>18.6601976775148</v>
      </c>
      <c r="C40" s="1" t="s">
        <v>29</v>
      </c>
      <c r="D40" s="3" t="s">
        <v>281</v>
      </c>
    </row>
    <row r="41" customFormat="false" ht="15" hidden="false" customHeight="false" outlineLevel="0" collapsed="false">
      <c r="A41" s="1" t="s">
        <v>282</v>
      </c>
      <c r="B41" s="40" t="n">
        <f aca="false">(B33-B34)/MW_Paths!J36</f>
        <v>20.2509723848421</v>
      </c>
      <c r="C41" s="1" t="s">
        <v>29</v>
      </c>
      <c r="D41" s="3" t="s">
        <v>283</v>
      </c>
    </row>
    <row r="42" customFormat="false" ht="15" hidden="false" customHeight="false" outlineLevel="0" collapsed="false">
      <c r="A42" s="1" t="s">
        <v>284</v>
      </c>
      <c r="B42" s="38" t="n">
        <v>27.627757898385</v>
      </c>
      <c r="C42" s="1" t="s">
        <v>29</v>
      </c>
      <c r="D42" s="3" t="s">
        <v>285</v>
      </c>
    </row>
    <row r="43" customFormat="false" ht="15" hidden="false" customHeight="false" outlineLevel="0" collapsed="false">
      <c r="A43" s="1" t="s">
        <v>258</v>
      </c>
      <c r="B43" s="40" t="n">
        <f aca="false">B37-B42</f>
        <v>0</v>
      </c>
      <c r="C43" s="1" t="s">
        <v>29</v>
      </c>
      <c r="D43" s="3"/>
    </row>
    <row r="44" customFormat="false" ht="15" hidden="false" customHeight="false" outlineLevel="0" collapsed="false">
      <c r="A44" s="1" t="s">
        <v>286</v>
      </c>
      <c r="B44" s="40" t="n">
        <f aca="false">B33/16</f>
        <v>768.75</v>
      </c>
      <c r="C44" s="1" t="s">
        <v>29</v>
      </c>
      <c r="D44" s="3" t="s">
        <v>287</v>
      </c>
    </row>
    <row r="45" customFormat="false" ht="15" hidden="false" customHeight="false" outlineLevel="0" collapsed="false">
      <c r="A45" s="1" t="s">
        <v>288</v>
      </c>
      <c r="B45" s="40" t="n">
        <f aca="false">B44/B35</f>
        <v>1.44545085839458</v>
      </c>
      <c r="C45" s="1" t="s">
        <v>29</v>
      </c>
      <c r="D45" s="3" t="s">
        <v>289</v>
      </c>
    </row>
    <row r="46" customFormat="false" ht="15" hidden="false" customHeight="false" outlineLevel="0" collapsed="false">
      <c r="A46" s="1" t="s">
        <v>290</v>
      </c>
      <c r="B46" s="40" t="n">
        <f aca="false">B44/MW_Paths!J32</f>
        <v>1.16626235484468</v>
      </c>
      <c r="C46" s="1" t="s">
        <v>29</v>
      </c>
      <c r="D46" s="3" t="s">
        <v>291</v>
      </c>
    </row>
  </sheetData>
  <mergeCells count="2">
    <mergeCell ref="A2:D2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10"/>
    <col collapsed="false" customWidth="true" hidden="false" outlineLevel="0" max="3" min="3" style="1" width="80"/>
  </cols>
  <sheetData>
    <row r="1" customFormat="false" ht="15" hidden="false" customHeight="true" outlineLevel="0" collapsed="false">
      <c r="A1" s="21" t="s">
        <v>292</v>
      </c>
      <c r="B1" s="21" t="s">
        <v>293</v>
      </c>
      <c r="C1" s="21" t="s">
        <v>294</v>
      </c>
    </row>
    <row r="2" customFormat="false" ht="41.25" hidden="false" customHeight="true" outlineLevel="0" collapsed="false">
      <c r="A2" s="1" t="s">
        <v>168</v>
      </c>
      <c r="B2" s="3" t="s">
        <v>295</v>
      </c>
      <c r="C2" s="3" t="s">
        <v>296</v>
      </c>
    </row>
    <row r="3" customFormat="false" ht="27.75" hidden="false" customHeight="true" outlineLevel="0" collapsed="false">
      <c r="A3" s="1" t="s">
        <v>109</v>
      </c>
      <c r="B3" s="3" t="s">
        <v>297</v>
      </c>
      <c r="C3" s="3" t="s">
        <v>298</v>
      </c>
    </row>
    <row r="4" customFormat="false" ht="27.75" hidden="false" customHeight="true" outlineLevel="0" collapsed="false">
      <c r="A4" s="1" t="s">
        <v>172</v>
      </c>
      <c r="B4" s="3" t="s">
        <v>299</v>
      </c>
      <c r="C4" s="3" t="s">
        <v>300</v>
      </c>
    </row>
    <row r="5" customFormat="false" ht="27.75" hidden="false" customHeight="true" outlineLevel="0" collapsed="false">
      <c r="A5" s="1" t="s">
        <v>175</v>
      </c>
      <c r="B5" s="3" t="s">
        <v>301</v>
      </c>
      <c r="C5" s="3" t="s">
        <v>302</v>
      </c>
    </row>
    <row r="6" customFormat="false" ht="41.25" hidden="false" customHeight="true" outlineLevel="0" collapsed="false">
      <c r="A6" s="1" t="s">
        <v>180</v>
      </c>
      <c r="B6" s="3" t="s">
        <v>303</v>
      </c>
      <c r="C6" s="3" t="s">
        <v>304</v>
      </c>
    </row>
    <row r="7" customFormat="false" ht="27.75" hidden="false" customHeight="true" outlineLevel="0" collapsed="false">
      <c r="A7" s="1" t="s">
        <v>305</v>
      </c>
      <c r="B7" s="3" t="s">
        <v>306</v>
      </c>
      <c r="C7" s="3" t="s">
        <v>307</v>
      </c>
    </row>
    <row r="8" customFormat="false" ht="54.75" hidden="false" customHeight="true" outlineLevel="0" collapsed="false">
      <c r="A8" s="1" t="s">
        <v>187</v>
      </c>
      <c r="B8" s="3" t="s">
        <v>308</v>
      </c>
      <c r="C8" s="3" t="s">
        <v>309</v>
      </c>
    </row>
    <row r="9" customFormat="false" ht="27.75" hidden="false" customHeight="true" outlineLevel="0" collapsed="false">
      <c r="A9" s="1" t="s">
        <v>310</v>
      </c>
      <c r="B9" s="3" t="s">
        <v>311</v>
      </c>
      <c r="C9" s="3" t="s">
        <v>312</v>
      </c>
    </row>
    <row r="10" customFormat="false" ht="27.75" hidden="false" customHeight="true" outlineLevel="0" collapsed="false">
      <c r="A10" s="1" t="s">
        <v>193</v>
      </c>
      <c r="B10" s="3" t="s">
        <v>313</v>
      </c>
      <c r="C10" s="3" t="s">
        <v>314</v>
      </c>
    </row>
    <row r="11" customFormat="false" ht="27.75" hidden="false" customHeight="true" outlineLevel="0" collapsed="false">
      <c r="A11" s="1" t="s">
        <v>204</v>
      </c>
      <c r="B11" s="3" t="s">
        <v>315</v>
      </c>
      <c r="C11" s="3" t="s">
        <v>316</v>
      </c>
    </row>
    <row r="12" customFormat="false" ht="27.75" hidden="false" customHeight="true" outlineLevel="0" collapsed="false">
      <c r="A12" s="1" t="s">
        <v>317</v>
      </c>
      <c r="B12" s="3" t="s">
        <v>318</v>
      </c>
      <c r="C12" s="3" t="s">
        <v>319</v>
      </c>
    </row>
    <row r="13" customFormat="false" ht="27.75" hidden="false" customHeight="true" outlineLevel="0" collapsed="false">
      <c r="A13" s="1" t="s">
        <v>320</v>
      </c>
      <c r="B13" s="3" t="s">
        <v>321</v>
      </c>
      <c r="C13" s="3" t="s">
        <v>322</v>
      </c>
    </row>
    <row r="14" customFormat="false" ht="27.75" hidden="false" customHeight="true" outlineLevel="0" collapsed="false">
      <c r="A14" s="1" t="s">
        <v>323</v>
      </c>
      <c r="B14" s="3" t="s">
        <v>324</v>
      </c>
      <c r="C14" s="3" t="s">
        <v>325</v>
      </c>
    </row>
    <row r="15" customFormat="false" ht="15" hidden="false" customHeight="true" outlineLevel="0" collapsed="false">
      <c r="A15" s="1" t="s">
        <v>326</v>
      </c>
      <c r="B15" s="1" t="s">
        <v>327</v>
      </c>
      <c r="C15" s="1" t="s">
        <v>106</v>
      </c>
      <c r="D15" s="1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2026-10-05T12:30:00Z</dcterms:created>
  <dc:creator>openpyxl</dc:creator>
  <dc:description/>
  <dc:language>en-US</dc:language>
  <cp:lastModifiedBy/>
  <dcterms:modified xsi:type="dcterms:W3CDTF">2026-10-09T15:12:18Z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