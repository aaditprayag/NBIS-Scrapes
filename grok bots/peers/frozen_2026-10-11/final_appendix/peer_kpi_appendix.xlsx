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er_KPI_Table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<sst xmlns="http://schemas.openxmlformats.org/spreadsheetml/2006/main" count="427" uniqueCount="271">
  <si>
    <t xml:space="preserve">Peer KPI appendix - Nebius vs CoreWeave, IREN, Oracle (OCI), Nscale, Lambda, Crusoe: $ per MW-yr, contracted vs live MW, capex per MW</t>
  </si>
  <si>
    <t xml:space="preserve">As of Fri Oct 9, 2026 (ET); frozen for Sun Oct 11 finals. Values READ from the locked team files (no new research); tags: R reported, D derived, P press, E estimate, n/d not disclosed. Superscripts = footnotes below; source keys -&gt; Sources tab. Nebius Q3'26 results ~Nov 10 (est.), not announced.</t>
  </si>
  <si>
    <t xml:space="preserve">Company</t>
  </si>
  <si>
    <t xml:space="preserve">Named-contract $M per MW-yr</t>
  </si>
  <si>
    <t xml:space="preserve">Low</t>
  </si>
  <si>
    <t xml:space="preserve">High</t>
  </si>
  <si>
    <t xml:space="preserve">Tag</t>
  </si>
  <si>
    <t xml:space="preserve">Fn</t>
  </si>
  <si>
    <t xml:space="preserve">Company $/MW print ($M)</t>
  </si>
  <si>
    <t xml:space="preserve">Rev / active MW K01 ($M/MW-yr)</t>
  </si>
  <si>
    <t xml:space="preserve">As of</t>
  </si>
  <si>
    <t xml:space="preserve">Fwd rev / billed MW ($M)</t>
  </si>
  <si>
    <t xml:space="preserve">Fwd basis</t>
  </si>
  <si>
    <t xml:space="preserve">Contracted MW</t>
  </si>
  <si>
    <t xml:space="preserve">Live MW</t>
  </si>
  <si>
    <t xml:space="preserve">MW basis</t>
  </si>
  <si>
    <t xml:space="preserve">Contracted / live (x)</t>
  </si>
  <si>
    <t xml:space="preserve">Capex / MW K13 ($M)</t>
  </si>
  <si>
    <t xml:space="preserve">Net PP&amp;E / active MW K14 ($M)</t>
  </si>
  <si>
    <t xml:space="preserve">MW notes (key site)</t>
  </si>
  <si>
    <t xml:space="preserve">Source keys</t>
  </si>
  <si>
    <t xml:space="preserve">Nebius</t>
  </si>
  <si>
    <t xml:space="preserve">14.49 Microsoft [E, house]; Meta n/d</t>
  </si>
  <si>
    <t xml:space="preserve">E (house)</t>
  </si>
  <si>
    <t xml:space="preserve">1,2,11</t>
  </si>
  <si>
    <t xml:space="preserve">20–25 (Q2'26 deals); &gt;40 mgmt comment¹; base ~12</t>
  </si>
  <si>
    <t xml:space="preserve">R</t>
  </si>
  <si>
    <t xml:space="preserve">E</t>
  </si>
  <si>
    <t xml:space="preserve">Jun-26</t>
  </si>
  <si>
    <t xml:space="preserve">D</t>
  </si>
  <si>
    <t xml:space="preserve">Street FY27 / 531.8 billed (all customers)</t>
  </si>
  <si>
    <t xml:space="preserve">R (lower bound)</t>
  </si>
  <si>
    <t xml:space="preserve">IT/energized</t>
  </si>
  <si>
    <t xml:space="preserve">contracted &gt;3.5 GW is a lower bound (5 GW YE26 target) [R]</t>
  </si>
  <si>
    <t xml:space="preserve">NB-MSFT|NB-Q2|NB-CALL|NB-MODEL|NB-MW|CMP|BMK|POM</t>
  </si>
  <si>
    <t xml:space="preserve">CoreWeave</t>
  </si>
  <si>
    <t xml:space="preserve">n/d (no MW on any named deal)</t>
  </si>
  <si>
    <t xml:space="preserve">n/d</t>
  </si>
  <si>
    <t xml:space="preserve">1</t>
  </si>
  <si>
    <t xml:space="preserve">~40 (3–6-mo deals)</t>
  </si>
  <si>
    <t xml:space="preserve">Street FY27 / base avg MW 2,325</t>
  </si>
  <si>
    <t xml:space="preserve">IT-like active</t>
  </si>
  <si>
    <t xml:space="preserve">~4,200 contracted Aug-11 [R]; Denton ~260 IT live [D]</t>
  </si>
  <si>
    <t xml:space="preserve">CW-DECK|CW-Q2|CW-SITE|CMP|BMK|POM|SITES</t>
  </si>
  <si>
    <t xml:space="preserve">IREN</t>
  </si>
  <si>
    <t xml:space="preserve">9.7–11.3 (Microsoft IT; NVIDIA stated)</t>
  </si>
  <si>
    <t xml:space="preserve">&gt;20 (3-yr); ~25 unsigned</t>
  </si>
  <si>
    <t xml:space="preserve">D (R/R)</t>
  </si>
  <si>
    <t xml:space="preserve">YE26 ARR $4B / 300 IT MW</t>
  </si>
  <si>
    <t xml:space="preserve">IT (AI)</t>
  </si>
  <si>
    <t xml:space="preserve">Childress ~75 IT active Oct [D, site]</t>
  </si>
  <si>
    <t xml:space="preserve">IR-MSFT|IR-NV|IR-FY26|IR-SITE|CMP|BMK|POM|SITES</t>
  </si>
  <si>
    <t xml:space="preserve">Oracle OCI</t>
  </si>
  <si>
    <t xml:space="preserve">13.3 stated / 16.0 IT read (OpenAI)</t>
  </si>
  <si>
    <t xml:space="preserve">P</t>
  </si>
  <si>
    <t xml:space="preserve">D/E</t>
  </si>
  <si>
    <t xml:space="preserve">OCI annualized / ~2,050 cum. MW</t>
  </si>
  <si>
    <t xml:space="preserve">cum. delivered (likely gross)</t>
  </si>
  <si>
    <t xml:space="preserve">'&gt;10 GW secured'; Port Washington 0 live [R]</t>
  </si>
  <si>
    <t xml:space="preserve">OR-OAI|OR-CALL|OR-SITE|CMP|BMK|POM|SITES</t>
  </si>
  <si>
    <t xml:space="preserve">Nscale</t>
  </si>
  <si>
    <t xml:space="preserve">11.7–16.2 (Narvik D; MSFT 13.4 P; Anthropic P)</t>
  </si>
  <si>
    <t xml:space="preserve">D / P</t>
  </si>
  <si>
    <t xml:space="preserve">2026-06-30</t>
  </si>
  <si>
    <t xml:space="preserve">D (upper bound)</t>
  </si>
  <si>
    <t xml:space="preserve">IT</t>
  </si>
  <si>
    <t xml:space="preserve">Monarch 460 IT contracted / 0 live [R]</t>
  </si>
  <si>
    <t xml:space="preserve">NS-S1|NS-TERM|NS-NARV|NS-SITE|CMP|BMK</t>
  </si>
  <si>
    <t xml:space="preserve">Lambda</t>
  </si>
  <si>
    <t xml:space="preserve">16.7 Anthropic (band top)</t>
  </si>
  <si>
    <t xml:space="preserve">D (P inputs)</t>
  </si>
  <si>
    <t xml:space="preserve">2025-06-30</t>
  </si>
  <si>
    <t xml:space="preserve">unstated</t>
  </si>
  <si>
    <t xml:space="preserve">Beacon Point ~350 [P]; KC ~12 IT live [E]</t>
  </si>
  <si>
    <t xml:space="preserve">LM-ANTH|LM-MW|LM-SITE|CMP|BMK</t>
  </si>
  <si>
    <t xml:space="preserve">Crusoe</t>
  </si>
  <si>
    <t xml:space="preserve">n/d (no value with MW)</t>
  </si>
  <si>
    <t xml:space="preserve">~23.3 per gross MW, whole term (not /yr)</t>
  </si>
  <si>
    <t xml:space="preserve">2026-09-17</t>
  </si>
  <si>
    <t xml:space="preserve">GROSS</t>
  </si>
  <si>
    <t xml:space="preserve">Abilene 618 IT live of 1.2 GW gross [D on R]</t>
  </si>
  <si>
    <t xml:space="preserve">CR-F|CR-DEALS|CR-SITE|CMP|BMK|SITES</t>
  </si>
  <si>
    <t xml:space="preserve">Peer median (comparison.xlsx sets)</t>
  </si>
  <si>
    <t xml:space="preserve">Same sets as comparison.xlsx col Y: K01 ex-Nebius; K04 CRWV/Nscale/Crusoe (IREN ratio computed here, not in K04); K13 CRWV/Oracle; K14 CRWV/Nscale (Crusoe shell+power excluded).</t>
  </si>
  <si>
    <t xml:space="preserve">Bitdeer AI (reference; not one of the six)</t>
  </si>
  <si>
    <t xml:space="preserve">&lt;= 22.4 A201 Johor (ceiling)</t>
  </si>
  <si>
    <t xml:space="preserve">D (basis P)</t>
  </si>
  <si>
    <t xml:space="preserve">10</t>
  </si>
  <si>
    <t xml:space="preserve">R (floor: &gt;70% of ~21.7)</t>
  </si>
  <si>
    <t xml:space="preserve">unlabeled</t>
  </si>
  <si>
    <t xml:space="preserve">n/m</t>
  </si>
  <si>
    <t xml:space="preserve">Energized 0 at A201/A102/A103 (Q1'27-Q1'28) [R]</t>
  </si>
  <si>
    <t xml:space="preserve">BD-A201|BD-MKT|BMK</t>
  </si>
  <si>
    <t xml:space="preserve">NEBIUS LOCKS (model v0.9e; required revenue per billed IT MW unless stated - NOT contract prints)</t>
  </si>
  <si>
    <t xml:space="preserve">Key</t>
  </si>
  <si>
    <t xml:space="preserve">Lock</t>
  </si>
  <si>
    <t xml:space="preserve">Locked (display)</t>
  </si>
  <si>
    <t xml:space="preserve">Model value</t>
  </si>
  <si>
    <t xml:space="preserve">Model cell</t>
  </si>
  <si>
    <t xml:space="preserve">Diff (formula)</t>
  </si>
  <si>
    <t xml:space="preserve">Check (formula)</t>
  </si>
  <si>
    <t xml:space="preserve">MSFT</t>
  </si>
  <si>
    <t xml:space="preserve">Nebius-Microsoft $M per IT MW-yr [E, house]</t>
  </si>
  <si>
    <t xml:space="preserve">model Contracts!E12</t>
  </si>
  <si>
    <t xml:space="preserve">HURDLE</t>
  </si>
  <si>
    <t xml:space="preserve">Ex-MSFT hurdle (peer comparator), $M per billed IT MW-yr</t>
  </si>
  <si>
    <t xml:space="preserve">model Drivers!B9</t>
  </si>
  <si>
    <t xml:space="preserve">BLENDED</t>
  </si>
  <si>
    <t xml:space="preserve">$23.13M = Street FY27 ÷ our 531.8 billed MW, all customers</t>
  </si>
  <si>
    <t xml:space="preserve">model Drivers!B10</t>
  </si>
  <si>
    <t xml:space="preserve">CLEAR_BASE</t>
  </si>
  <si>
    <t xml:space="preserve">Clear-spot BASE, $M per billed IT MW-yr</t>
  </si>
  <si>
    <t xml:space="preserve">model Drivers!B6</t>
  </si>
  <si>
    <t xml:space="preserve">CLEAR_HIGH</t>
  </si>
  <si>
    <t xml:space="preserve">Clear-spot HIGH</t>
  </si>
  <si>
    <t xml:space="preserve">model Debate_Grid!A18</t>
  </si>
  <si>
    <t xml:space="preserve">TP_BASE</t>
  </si>
  <si>
    <t xml:space="preserve">Turn-positive BASE</t>
  </si>
  <si>
    <t xml:space="preserve">model Debate_Grid!A13</t>
  </si>
  <si>
    <t xml:space="preserve">TP_HIGH</t>
  </si>
  <si>
    <t xml:space="preserve">Turn-positive HIGH</t>
  </si>
  <si>
    <t xml:space="preserve">model Debate_Grid!A10</t>
  </si>
  <si>
    <t xml:space="preserve">EN_Q1</t>
  </si>
  <si>
    <t xml:space="preserve">Energized MW 31-Mar-26</t>
  </si>
  <si>
    <t xml:space="preserve">capacity Quarterly MW!M130</t>
  </si>
  <si>
    <t xml:space="preserve">EN_Q2</t>
  </si>
  <si>
    <t xml:space="preserve">Energized MW 30-Jun-26</t>
  </si>
  <si>
    <t xml:space="preserve">capacity Quarterly MW!N130</t>
  </si>
  <si>
    <t xml:space="preserve">YE26_BASE</t>
  </si>
  <si>
    <t xml:space="preserve">Billed IT MW YE26 base</t>
  </si>
  <si>
    <t xml:space="preserve">model Judge_Slide!B34</t>
  </si>
  <si>
    <t xml:space="preserve">YE26_HIGH</t>
  </si>
  <si>
    <t xml:space="preserve">Billed IT MW YE26 high</t>
  </si>
  <si>
    <t xml:space="preserve">model Judge_Slide!B35</t>
  </si>
  <si>
    <t xml:space="preserve">FY27_BASE</t>
  </si>
  <si>
    <t xml:space="preserve">FY27 avg billed IT MW base</t>
  </si>
  <si>
    <t xml:space="preserve">model Drivers!B34</t>
  </si>
  <si>
    <t xml:space="preserve">FY27_HIGH</t>
  </si>
  <si>
    <t xml:space="preserve">FY27 avg billed IT MW high</t>
  </si>
  <si>
    <t xml:space="preserve">model Drivers!C34</t>
  </si>
  <si>
    <t xml:space="preserve">K13_NEB</t>
  </si>
  <si>
    <t xml:space="preserve">Nebius K13 capex / MW vs peer median 33.18 (comparison.xlsx K13)</t>
  </si>
  <si>
    <t xml:space="preserve">comparison Comparison K13</t>
  </si>
  <si>
    <t xml:space="preserve">K13_MED</t>
  </si>
  <si>
    <t xml:space="preserve">K13 peer median (CRWV, Oracle)</t>
  </si>
  <si>
    <t xml:space="preserve">this sheet V (= comparison Y)</t>
  </si>
  <si>
    <t xml:space="preserve">BAND_LO</t>
  </si>
  <si>
    <t xml:space="preserve">Comp band low (IREN-Microsoft)</t>
  </si>
  <si>
    <t xml:space="preserve">comparison Contracts_$MWyr P1</t>
  </si>
  <si>
    <t xml:space="preserve">BAND_HI</t>
  </si>
  <si>
    <t xml:space="preserve">Comp band top (Lambda-Anthropic, P)</t>
  </si>
  <si>
    <t xml:space="preserve">comparison Contracts_$MWyr NEW2</t>
  </si>
  <si>
    <t xml:space="preserve">BITDEER</t>
  </si>
  <si>
    <t xml:space="preserve">Bitdeer A201 ceiling - only disclosed-MW print &gt;= $20M</t>
  </si>
  <si>
    <t xml:space="preserve">benchmark Contracts BD-A201</t>
  </si>
  <si>
    <t xml:space="preserve">Footnotes</t>
  </si>
  <si>
    <t xml:space="preserve">1 Named contracts = TCV ÷ term ÷ MW, IT MW where disclosed, else stated MW (comparison.xlsx Contracts_$MWyr cols V/W = peer_benchmark.xlsx Contracts col K, asserted equal). Comp band $9.7–16.7M = IREN-Microsoft 9.7 to Lambda-Anthropic 16.7 (P, Medium; memo set P1/NEW1/P2/O1/NEW2/O2); Nebius rows excluded.</t>
  </si>
  <si>
    <t xml:space="preserve">2 Nebius-Microsoft $14.49M per IT MW [E, house] = model Contracts!E12 = 17,392.9 / (5 x 240 IT MW est.); neither company states the contract MW (300 MW = Vineland site size). Agrees with the Drivers 14.5 input.</t>
  </si>
  <si>
    <t xml:space="preserve">3 Company prints are not single contracts; MW basis undefined; short tenors and GPU-inclusive pricing. Nebius &gt;$40M = management comment on Q3-to-date short-term pricing (Q2'26 letter KPI chart; CEO on the Aug 12 2026 call), not reported Q3. Crusoe ~$23.3M is whole-term TCV per GROSS MW, not per year.</t>
  </si>
  <si>
    <t xml:space="preserve">4 K01 = latest-quarter segment revenue x4 ÷ period-end active MW (comparison.xlsx; bases differ: Crusoe FY26E revenue / ~1 GW gross; Lambda Q2'25 press). Fwd = price_or_mw.xlsx Implied_Price (FY27 or run-rate ÷ avg billed MW).</t>
  </si>
  <si>
    <t xml:space="preserve">5 Nebius hurdles (model v0.9e) are REQUIRED revenue per billed IT MW: ex-MSFT $27.63M (Drivers!B9, peer comparator); $23.13M = Street FY27 ÷ our 531.8 billed MW, all customers [D] (Drivers!B10, memo); clear-spot $24.51M / $22.68M (Drivers!B6 / Debate_Grid!A18); turn-positive $17.05M / $16.70M (Debate_Grid!A13 / A10).</t>
  </si>
  <si>
    <t xml:space="preserve">6 MW bases are mixed (IT vs gross). Nebius live = energized 181.5 -&gt; 193 MW (Q1 -&gt; Q2'26, Capacity base case, E); contracted &gt;3.5 GW is a lower bound (R). Billed IT MW (model v0.9e): YE26 257.7 / 284.2; FY27 avg 531.84 / 659.16.</t>
  </si>
  <si>
    <t xml:space="preserve">7 Oracle live ~2,050 = cumulative AI MW delivered since Jun-25 at Aug-26 (E; peers/oracle M07; price_or_mw Implied_Price r16; peer_benchmark). comparison.xlsx Chart_Data shows 1,200 = May-26 vintage of the same series (its K13 period). Contracted '&gt;10 GW secured' (FQ1 FY27 call) is a lower bound -&gt; ratio shown as a lower bound.</t>
  </si>
  <si>
    <t xml:space="preserve">8 IREN contracted ~260 IT (Microsoft 200 + NVIDIA ~60, D) vs ~40 MW AI operating at Jun-30 (R); ratio computed in this pack (comparison K04 has IREN n/d) and kept out of the median. Childress site ~75 IT active in Oct (sites appendix, D).</t>
  </si>
  <si>
    <t xml:space="preserve">9 K13 = trailing-4Q cash capex ÷ trailing-4Q new active MW; K14 = net PP&amp;E ÷ active MW (comparison.xlsx). Nebius capex funds not-yet-live MW (Worse vs median). Crusoe K14 = Abilene JV shell+power only, excluded from the median.</t>
  </si>
  <si>
    <t xml:space="preserve">10 Bitdeer A201 &lt;= $22.4M is a CEILING (contracted MW is a floor: &gt;70% of ~21.7 MW; 15.7 if 100%); MW basis P. It is the only contract with disclosed MW at &gt;= $20M/MW (peer_benchmark Contracts; comparison has none).</t>
  </si>
  <si>
    <t xml:space="preserve">11 Nebius-Meta #1 shown n/d: filings state no MW. comparison.xlsx Contracts_$MWyr N2 carries 11.52 on an unsourced ~50 MW (E, low confidence); peer_benchmark shows n/d. Not used.</t>
  </si>
  <si>
    <t xml:space="preserve">Document</t>
  </si>
  <si>
    <t xml:space="preserve">URL / path</t>
  </si>
  <si>
    <t xml:space="preserve">Accessed / note</t>
  </si>
  <si>
    <t xml:space="preserve">CMP</t>
  </si>
  <si>
    <t xml:space="preserve">peers/comparison.xlsx (Comparison K01/K04/K13/K14 + medians; Contracts_$MWyr; Chart_Data MW; Nebius_Inputs)</t>
  </si>
  <si>
    <t xml:space="preserve">local:/workspace/nebius/peers/comparison.xlsx</t>
  </si>
  <si>
    <t xml:space="preserve">read 2026-10-09 ET (frozen)</t>
  </si>
  <si>
    <t xml:space="preserve">BMK</t>
  </si>
  <si>
    <t xml:space="preserve">peers/benchmark/peer_benchmark.xlsx (Benchmark, Contracts, KPI_Prints, Nebius_Locks, Comp_Band, Sources)</t>
  </si>
  <si>
    <t xml:space="preserve">local:/workspace/nebius/peers/benchmark/peer_benchmark.xlsx</t>
  </si>
  <si>
    <t xml:space="preserve">POM</t>
  </si>
  <si>
    <t xml:space="preserve">peers/price_or_mw.xlsx (Implied_Price forward rev per billed MW; Nebius_Check B22/B37/B6)</t>
  </si>
  <si>
    <t xml:space="preserve">local:/workspace/nebius/peers/price_or_mw.xlsx</t>
  </si>
  <si>
    <t xml:space="preserve">SITES</t>
  </si>
  <si>
    <t xml:space="preserve">peers/sites/sites.xlsx + appendix_{coreweave_denton,iren_childress,crusoe_abilene,oracle_port_washington}.md (active base MW)</t>
  </si>
  <si>
    <t xml:space="preserve">local:/workspace/nebius/peers/sites/</t>
  </si>
  <si>
    <t xml:space="preserve">MODEL</t>
  </si>
  <si>
    <t xml:space="preserve">model/nebius_model.xlsx v0.9e (read-only) via peers/nebius_locks.py: Contracts!E12, Drivers!B6/B9/B10/B34/C34, Judge_Slide!B34/B35, Debate_Grid!A10/A13/A18</t>
  </si>
  <si>
    <t xml:space="preserve">local:/workspace/nebius/model/nebius_model.xlsx</t>
  </si>
  <si>
    <t xml:space="preserve">CAP</t>
  </si>
  <si>
    <t xml:space="preserve">capacity/nebius_capacity.xlsx Quarterly MW!M130/N130 (energized 181.5 / 193, base case)</t>
  </si>
  <si>
    <t xml:space="preserve">local:/workspace/nebius/capacity/nebius_capacity.xlsx</t>
  </si>
  <si>
    <t xml:space="preserve">CW-DECK</t>
  </si>
  <si>
    <t xml:space="preserve">CoreWeave convertible-notes investor presentation, 8-K exhibit 2026-09-17, slide 7 (~$40M/MW annualized on 3-6-month contracts)</t>
  </si>
  <si>
    <t xml:space="preserve">https://www.sec.gov/Archives/edgar/data/1769628/000176962826000429/crwv2026convertpresentat.htm</t>
  </si>
  <si>
    <t xml:space="preserve">2026-10-05..10-09 (team packs); Lambda/Crusoe re-checked 2026-10-09</t>
  </si>
  <si>
    <t xml:space="preserve">CW-Q2</t>
  </si>
  <si>
    <t xml:space="preserve">CoreWeave Q2'26 earnings PR (8-K Ex.99.1, 2026-08-11): active power ~1.5 GW, contracted ~3.7 GW; ~4.2 GW contracted as of Aug-11</t>
  </si>
  <si>
    <t xml:space="preserve">https://www.sec.gov/Archives/edgar/data/1769628/000176962826000362/coreweave2q26earningspress.htm</t>
  </si>
  <si>
    <t xml:space="preserve">CW-SITE</t>
  </si>
  <si>
    <t xml:space="preserve">peers/sites/appendix_coreweave_denton (CORZ 8-K 2026-09-10 ERCOT status; CORZ Q2'26 deck 2026-07-28; TCEQ PBR 179143; TCEQ Title V/NSR lists 10/8; Community Impact 2026-09-24)</t>
  </si>
  <si>
    <t xml:space="preserve">https://investors.corescientific.com/sec-filings/all-sec-filings/content/0001839341-26-000023/0001839341-26-000023.pdf</t>
  </si>
  <si>
    <t xml:space="preserve">IR-MSFT</t>
  </si>
  <si>
    <t xml:space="preserve">IREN 8-K 2025-11-03 (Microsoft $9.7B, 5 yrs, 200 MW IT, Childress Horizons 1-4)</t>
  </si>
  <si>
    <t xml:space="preserve">https://www.sec.gov/cgi-bin/browse-edgar?action=getcompany&amp;CIK=0001878848&amp;type=8-K</t>
  </si>
  <si>
    <t xml:space="preserve">IR-NV</t>
  </si>
  <si>
    <t xml:space="preserve">IREN PR 2026-05 (NVIDIA $3.4B AI cloud contract, ~60 MW of existing Childress halls)</t>
  </si>
  <si>
    <t xml:space="preserve">https://iren.gcs-web.com/news-releases/news-release-details/iren-secures-34bn-ai-cloud-contract-nvidia</t>
  </si>
  <si>
    <t xml:space="preserve">IR-FY26</t>
  </si>
  <si>
    <t xml:space="preserve">IREN FY26 results 2026-08-27 ('Recent 3-year contracts &gt;$20m revenue per MW (IT)'; 'Active discussions at ~$25m per MW (IT)'); 10-K FY26 (~40 MW AI operating at Jun-30)</t>
  </si>
  <si>
    <t xml:space="preserve">https://www.sec.gov/Archives/edgar/data/1878848/000187884826000051/irenreportsfy26results.htm</t>
  </si>
  <si>
    <t xml:space="preserve">IR-SITE</t>
  </si>
  <si>
    <t xml:space="preserve">peers/sites/appendix_iren_childress (IREN 8-K Ex.99.1 2026-08-13 H1 accepted; IREN PR 2024-07-24 750 MW; TCEQ Title V #4951 list data 10/8; Gov. Abbott 2026-09-21)</t>
  </si>
  <si>
    <t xml:space="preserve">https://www.sec.gov/Archives/edgar/data/1878848/000114036126032638/ef20080141_ex99-1.htm</t>
  </si>
  <si>
    <t xml:space="preserve">OR-OAI</t>
  </si>
  <si>
    <t xml:space="preserve">WSJ 2025-09-10 (OpenAI ~$300B / ~5 yrs / 4.5 GW) - press only, not in Oracle filings; reused via comparison.xlsx Contracts O2</t>
  </si>
  <si>
    <t xml:space="preserve">https://www.wsj.com/business/openai-oracle-sign-300-billion-computing-deal-among-biggest-in-history-ff27c8fe</t>
  </si>
  <si>
    <t xml:space="preserve">OR-CALL</t>
  </si>
  <si>
    <t xml:space="preserve">Oracle FQ1 FY27 earnings call 2026-09-10 (850 MW delivered in quarter; Abilene 6 of 8 bldgs / 618 MW / 75%; '&gt;10 GW secured'); peers/oracle/oracle_kpis.xlsx I09/I10/I45E</t>
  </si>
  <si>
    <t xml:space="preserve">https://www.fool.com/earnings/call-transcripts/2026/09/11/oracle-orcl-q1-2027-earnings-call-transcript/</t>
  </si>
  <si>
    <t xml:space="preserve">OR-SITE</t>
  </si>
  <si>
    <t xml:space="preserve">peers/sites/appendix_oracle_port_washington (PSC docs 593736/597276; WDNR 25-MIN-094 final 2026-06-12; TechRadar 2026-10-04; Aterio 2026-09-30; Wisconsin Watch)</t>
  </si>
  <si>
    <t xml:space="preserve">https://apps.psc.wi.gov/ERF/ERFview/viewdoc.aspx?docid=597276</t>
  </si>
  <si>
    <t xml:space="preserve">NS-S1</t>
  </si>
  <si>
    <t xml:space="preserve">Nscale Form S-1 2026-09-18 (Anthropic GSAs up to ~$44.6B, 460 MW IT Monarch; Microsoft up to $43.8B, 257.6k GPUs; 1,370 MW IT active+contracted; financing for Anthropic not committed)</t>
  </si>
  <si>
    <t xml:space="preserve">https://www.sec.gov/Archives/edgar/data/2110365/000119312526395475/ck0002110365-20260918.htm</t>
  </si>
  <si>
    <t xml:space="preserve">NS-TERM</t>
  </si>
  <si>
    <t xml:space="preserve">Bloomberg/Reuters via WV MetroNews (Anthropic six-year term); Microsoft tranche terms 5-6 yrs (5.5 midpoint, GPU Market agent) - press/assumption</t>
  </si>
  <si>
    <t xml:space="preserve">local:/workspace/nebius/parts/contract_economics.xlsx Notes_Method</t>
  </si>
  <si>
    <t xml:space="preserve">NS-NARV</t>
  </si>
  <si>
    <t xml:space="preserve">Aker-Nscale PR 2025-09-17 (Microsoft Narvik $6.2B, 5 yrs, ~52k GB300)</t>
  </si>
  <si>
    <t xml:space="preserve">https://akernscale.com/</t>
  </si>
  <si>
    <t xml:space="preserve">NS-SITE</t>
  </si>
  <si>
    <t xml:space="preserve">peers/sites/site_verification.md s.3 (Kvandal; NRK 2026-09-29 NVE) and s.7 (Monarch; WVDEP R14-0042 application 2026-04-20 / draft 2026-09-29; WV News stormwater order)</t>
  </si>
  <si>
    <t xml:space="preserve">local:/workspace/nebius/peers/sites/site_verification.md</t>
  </si>
  <si>
    <t xml:space="preserve">LM-ANTH</t>
  </si>
  <si>
    <t xml:space="preserve">WSJ / Reuters / Bloomberg 2026-08-31 (Anthropic $35B, ~350 MW, Hut 8 Beacon Point, NVIDIA holds lease); six-year term per WSJ via TheEnergyMag - press only, unconfirmed by Lambda/Anthropic</t>
  </si>
  <si>
    <t xml:space="preserve">https://www.reuters.com/technology/anthropic-signs-35-billion-cloud-deal-with-nvidia-backed-lambda-source-says-2026-08-31/</t>
  </si>
  <si>
    <t xml:space="preserve">LM-MW</t>
  </si>
  <si>
    <t xml:space="preserve">peers/private/private_peers.xlsx L12/L14 (47 MW Q2'25 via The Information, P); Lambda PR 2025-10-28 (KC 24 MW, &gt;100 MW potential)</t>
  </si>
  <si>
    <t xml:space="preserve">https://lambda.ai/blog/lambda-to-build-a-100mw-ai-factory-in-kansas-city-mo</t>
  </si>
  <si>
    <t xml:space="preserve">LM-SITE</t>
  </si>
  <si>
    <t xml:space="preserve">peers/sites/site_verification.md s.5 (MO DNR de minimis 102025-010 issued 2025-10-29; MO DNR letter 2026-04-15 rental engines; KSHB Evergy)</t>
  </si>
  <si>
    <t xml:space="preserve">https://dnr.mo.gov/air/business-industry/air-permits/airworld-data-center-kansas-city-102025-010</t>
  </si>
  <si>
    <t xml:space="preserve">CR-F</t>
  </si>
  <si>
    <t xml:space="preserve">Crusoe PR 2026-09-17 Series F ($140B+ TCV; 6 GW+ gross contracted; ~1 GW gross delivered and operational)</t>
  </si>
  <si>
    <t xml:space="preserve">https://www.crusoe.ai/resources/newsroom/crusoe-announces-series-f-funding</t>
  </si>
  <si>
    <t xml:space="preserve">CR-DEALS</t>
  </si>
  <si>
    <t xml:space="preserve">Crusoe PR 2026-03-27 (Microsoft 900 MW / 2x336 MW IT); Crusoe JV PR 2025-05-21 (Abilene 1.2 GW leased to Oracle); DCD/Bloomberg 2026-06-19 (Meta ~1.6 GW) and 2026-09-04 (Jane Street $13B/5 yrs) - press for Meta/Jane Street</t>
  </si>
  <si>
    <t xml:space="preserve">https://www.crusoe.ai/resources/newsroom/crusoe-announces-new-900-mw-ai-factory-campus-in-abilene-texas-to-support-microsoft-ai-infrastructure</t>
  </si>
  <si>
    <t xml:space="preserve">CR-SITE</t>
  </si>
  <si>
    <t xml:space="preserve">peers/sites/appendix_crusoe_abilene (Oracle FQ1 FY27 call; Mortenson; TCEQ 177263 tech review; TCEQ 182126 NORI/NAPD/PLS; NSR list 10/8; Gov. Abbott 2026-09-21; Texas Lawbook)</t>
  </si>
  <si>
    <t xml:space="preserve">https://www.tceq.texas.gov/downloads/permitting/air/bilingual/pending-permit-notices/182126-pls-english.pdf</t>
  </si>
  <si>
    <t xml:space="preserve">NB-MSFT</t>
  </si>
  <si>
    <t xml:space="preserve">Nebius 6-K 2025-09-08 (Microsoft $17.4B / up to $19.4B, 5 yrs, Vineland; '&gt;100k GB300' is press)</t>
  </si>
  <si>
    <t xml:space="preserve">https://www.sec.gov/cgi-bin/browse-edgar?action=getcompany&amp;CIK=0001513845&amp;type=6-K</t>
  </si>
  <si>
    <t xml:space="preserve">NB-Q2</t>
  </si>
  <si>
    <t xml:space="preserve">Nebius Q2'26 shareholder letter, 6-K 2026-08-12 Ex.99.2 p.3-4 (four landmark deals, 'yield of $20-25 million per megawatt' ACV; 2026 base ~$12M/MW; KPI chart 'Q3 short-term capacity deals &gt;$40M' = management comment on Q3-to-date short-term pricing, not reported Q3 results); MW basis not defined</t>
  </si>
  <si>
    <t xml:space="preserve">https://www.sec.gov/Archives/edgar/data/1513845/000110465926094568/tm2622968d1_ex99-2.htm</t>
  </si>
  <si>
    <t xml:space="preserve">NB-LOCK</t>
  </si>
  <si>
    <t xml:space="preserve">Model v0.9e: model/nebius_model.xlsx Drivers B9/B10/B30-B34/C34, Judge_Slide B33-B35, Inputs F111 ($14.5M) via peers/nebius_locks.py; peers/comparison.xlsx Nebius_Inputs</t>
  </si>
  <si>
    <t xml:space="preserve">NB-MW</t>
  </si>
  <si>
    <t xml:space="preserve">capacity/nebius_capacity.xlsx Quarterly MW M130/N130 (energized 181.5/193, E); Q1'26 letter p.6 (&gt;3.5 GW contracted power); Q2'26 letter (800 MW-1 GW connected YE26 guide)</t>
  </si>
  <si>
    <t xml:space="preserve">NB-CALL</t>
  </si>
  <si>
    <t xml:space="preserve">Nebius Q2'26 earnings call 2026-08-12, CEO Arkady Volozh prepared remarks: shorter-duration capacity 'typically for up to six months' ... 'We are negotiating deals for $40 million-$50 million per megawatt range, and sometimes above ... One of such deal has been signed just recently' (Quartr transcript via StockAnalysis; local filings/altdata/transcripts/transcript_q2-2026.txt)</t>
  </si>
  <si>
    <t xml:space="preserve">https://stockanalysis.com/stocks/nbis/transcripts/655490-q2-2026/</t>
  </si>
  <si>
    <t xml:space="preserve">BD-A201</t>
  </si>
  <si>
    <t xml:space="preserve">Bitdeer AI PR 2026-09-29 (GlobeNewswire via Nasdaq): &gt;70% off-take of ~21.7 MW A201 Johor; &gt;$1.7B expected revenue over 5 years; GB300 NVL72; energization Q1 2027; MW not labeled IT/gross. Re-read 2026-10-09</t>
  </si>
  <si>
    <t xml:space="preserve">https://www.nasdaq.com/press-release/bitdeer-ai-further-expands-ai-cloud-services-take-commitments-more-70-its-217mw-a201</t>
  </si>
  <si>
    <t xml:space="preserve">BD-MKT</t>
  </si>
  <si>
    <t xml:space="preserve">GPU Market agent: market/contract_economics.xlsx MidTerm_20M_Search rows 24-25, 33, 36 (A201 ceiling &lt;= $22.4M = &gt;$1.7B/5/(0.70 x 21.7 = 15.19 MW); 'IT vs gross MW not stated'; Datatech Times 9/16 and ArusGrid call the 86.8 MW campus 'critical IT load' (secondary only); Needham 10/2 and 10/7 notes use the same $22.4M); market/hyperscaler_contract_mw.xlsx Slide_Band B2; model Drivers!B13 / Debate_Grid A17</t>
  </si>
  <si>
    <t xml:space="preserve">local:/workspace/nebius/market/contract_economics.xlsx</t>
  </si>
  <si>
    <t xml:space="preserve">NB-MODEL</t>
  </si>
  <si>
    <t xml:space="preserve">model/nebius_model.xlsx v0.9e (read-only): Drivers!B9 27.63 non-MSFT hurdle; Drivers!B6 = Judge_Slide!B8 24.51 base clear-spot; Debate_Grid!A18 22.68 high clear-spot (Drivers!A58); Debate_Grid!A13 17.05 / A10 16.70 turn-positive (Debate_Grid!B26); Drivers!B10 = Judge_Slide!B16 23.13 blended (memo only)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</si>
</sst>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.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8C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color rgb="FF1F4E8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E8EEF7"/>
        <bgColor rgb="FFF2F2F2"/>
      </patternFill>
    </fill>
    <fill>
      <patternFill patternType="solid">
        <fgColor rgb="FFF2F2F2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7" min="7" style="0" width="30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9"/>
    <col collapsed="false" customWidth="true" hidden="false" outlineLevel="0" max="21" min="21" style="0" width="6"/>
    <col collapsed="false" customWidth="true" hidden="false" outlineLevel="0" max="23" min="22" style="0" width="9"/>
    <col collapsed="false" customWidth="true" hidden="false" outlineLevel="0" max="24" min="24" style="0" width="10"/>
    <col collapsed="false" customWidth="true" hidden="false" outlineLevel="0" max="25" min="25" style="0" width="7"/>
    <col collapsed="false" customWidth="true" hidden="false" outlineLevel="0" max="26" min="26" style="0" width="40"/>
    <col collapsed="false" customWidth="true" hidden="false" outlineLevel="0" max="27" min="27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2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</v>
      </c>
      <c r="I4" s="2" t="s">
        <v>9</v>
      </c>
      <c r="J4" s="2" t="s">
        <v>6</v>
      </c>
      <c r="K4" s="2" t="s">
        <v>10</v>
      </c>
      <c r="L4" s="2" t="s">
        <v>11</v>
      </c>
      <c r="M4" s="2" t="s">
        <v>6</v>
      </c>
      <c r="N4" s="2" t="s">
        <v>12</v>
      </c>
      <c r="O4" s="2" t="s">
        <v>13</v>
      </c>
      <c r="P4" s="2" t="s">
        <v>6</v>
      </c>
      <c r="Q4" s="2" t="s">
        <v>14</v>
      </c>
      <c r="R4" s="2" t="s">
        <v>6</v>
      </c>
      <c r="S4" s="2" t="s">
        <v>15</v>
      </c>
      <c r="T4" s="2" t="s">
        <v>16</v>
      </c>
      <c r="U4" s="2" t="s">
        <v>6</v>
      </c>
      <c r="V4" s="2" t="s">
        <v>17</v>
      </c>
      <c r="W4" s="2" t="s">
        <v>6</v>
      </c>
      <c r="X4" s="2" t="s">
        <v>18</v>
      </c>
      <c r="Y4" s="2" t="s">
        <v>6</v>
      </c>
      <c r="Z4" s="2" t="s">
        <v>19</v>
      </c>
      <c r="AA4" s="2" t="s">
        <v>20</v>
      </c>
    </row>
    <row r="5" customFormat="false" ht="28.35" hidden="false" customHeight="false" outlineLevel="0" collapsed="false">
      <c r="A5" s="3" t="s">
        <v>21</v>
      </c>
      <c r="B5" s="4" t="s">
        <v>22</v>
      </c>
      <c r="C5" s="5" t="n">
        <v>14.4940833333333</v>
      </c>
      <c r="D5" s="5" t="n">
        <v>14.4940833333333</v>
      </c>
      <c r="E5" s="4" t="s">
        <v>23</v>
      </c>
      <c r="F5" s="4" t="s">
        <v>24</v>
      </c>
      <c r="G5" s="4" t="s">
        <v>25</v>
      </c>
      <c r="H5" s="4" t="s">
        <v>26</v>
      </c>
      <c r="I5" s="5" t="n">
        <v>11.9150259067358</v>
      </c>
      <c r="J5" s="4" t="s">
        <v>27</v>
      </c>
      <c r="K5" s="4" t="s">
        <v>28</v>
      </c>
      <c r="L5" s="5" t="n">
        <v>23.1272137343133</v>
      </c>
      <c r="M5" s="4" t="s">
        <v>29</v>
      </c>
      <c r="N5" s="4" t="s">
        <v>30</v>
      </c>
      <c r="O5" s="6" t="n">
        <v>3500</v>
      </c>
      <c r="P5" s="4" t="s">
        <v>31</v>
      </c>
      <c r="Q5" s="6" t="n">
        <v>193</v>
      </c>
      <c r="R5" s="4" t="s">
        <v>27</v>
      </c>
      <c r="S5" s="4" t="s">
        <v>32</v>
      </c>
      <c r="T5" s="7" t="n">
        <f aca="false">IF(AND(ISNUMBER(O5),ISNUMBER(Q5)),O5/Q5,"n/d")</f>
        <v>18.1347150259067</v>
      </c>
      <c r="U5" s="4" t="s">
        <v>29</v>
      </c>
      <c r="V5" s="7" t="n">
        <v>77.9146853146853</v>
      </c>
      <c r="W5" s="4" t="s">
        <v>27</v>
      </c>
      <c r="X5" s="7" t="n">
        <v>67.5917098445596</v>
      </c>
      <c r="Y5" s="4" t="s">
        <v>27</v>
      </c>
      <c r="Z5" s="4" t="s">
        <v>33</v>
      </c>
      <c r="AA5" s="4" t="s">
        <v>34</v>
      </c>
    </row>
    <row r="6" customFormat="false" ht="28.35" hidden="false" customHeight="false" outlineLevel="0" collapsed="false">
      <c r="A6" s="8" t="s">
        <v>35</v>
      </c>
      <c r="B6" s="9" t="s">
        <v>36</v>
      </c>
      <c r="C6" s="9" t="s">
        <v>37</v>
      </c>
      <c r="D6" s="9" t="s">
        <v>37</v>
      </c>
      <c r="E6" s="9" t="s">
        <v>37</v>
      </c>
      <c r="F6" s="9" t="s">
        <v>38</v>
      </c>
      <c r="G6" s="9" t="s">
        <v>39</v>
      </c>
      <c r="H6" s="9" t="s">
        <v>26</v>
      </c>
      <c r="I6" s="10" t="n">
        <v>6.86666666666667</v>
      </c>
      <c r="J6" s="9" t="s">
        <v>29</v>
      </c>
      <c r="K6" s="9" t="s">
        <v>28</v>
      </c>
      <c r="L6" s="10" t="n">
        <v>11.294623655914</v>
      </c>
      <c r="M6" s="9" t="s">
        <v>27</v>
      </c>
      <c r="N6" s="9" t="s">
        <v>40</v>
      </c>
      <c r="O6" s="11" t="n">
        <v>3700</v>
      </c>
      <c r="P6" s="9" t="s">
        <v>26</v>
      </c>
      <c r="Q6" s="11" t="n">
        <v>1500</v>
      </c>
      <c r="R6" s="9" t="s">
        <v>26</v>
      </c>
      <c r="S6" s="9" t="s">
        <v>41</v>
      </c>
      <c r="T6" s="12" t="n">
        <f aca="false">IF(AND(ISNUMBER(O6),ISNUMBER(Q6)),O6/Q6,"n/d")</f>
        <v>2.46666666666667</v>
      </c>
      <c r="U6" s="9" t="s">
        <v>29</v>
      </c>
      <c r="V6" s="12" t="n">
        <v>19.9666019417476</v>
      </c>
      <c r="W6" s="9" t="s">
        <v>29</v>
      </c>
      <c r="X6" s="12" t="n">
        <v>31.1573333333333</v>
      </c>
      <c r="Y6" s="9" t="s">
        <v>29</v>
      </c>
      <c r="Z6" s="9" t="s">
        <v>42</v>
      </c>
      <c r="AA6" s="9" t="s">
        <v>43</v>
      </c>
    </row>
    <row r="7" customFormat="false" ht="28.35" hidden="false" customHeight="false" outlineLevel="0" collapsed="false">
      <c r="A7" s="8" t="s">
        <v>44</v>
      </c>
      <c r="B7" s="9" t="s">
        <v>45</v>
      </c>
      <c r="C7" s="10" t="n">
        <v>9.7</v>
      </c>
      <c r="D7" s="10" t="n">
        <v>11.3333333333333</v>
      </c>
      <c r="E7" s="9" t="s">
        <v>29</v>
      </c>
      <c r="F7" s="9" t="s">
        <v>38</v>
      </c>
      <c r="G7" s="9" t="s">
        <v>46</v>
      </c>
      <c r="H7" s="9" t="s">
        <v>26</v>
      </c>
      <c r="I7" s="10" t="n">
        <v>7.0515</v>
      </c>
      <c r="J7" s="9" t="s">
        <v>29</v>
      </c>
      <c r="K7" s="9" t="s">
        <v>28</v>
      </c>
      <c r="L7" s="10" t="n">
        <v>13.3333333333333</v>
      </c>
      <c r="M7" s="9" t="s">
        <v>47</v>
      </c>
      <c r="N7" s="9" t="s">
        <v>48</v>
      </c>
      <c r="O7" s="11" t="n">
        <v>260</v>
      </c>
      <c r="P7" s="9" t="s">
        <v>29</v>
      </c>
      <c r="Q7" s="11" t="n">
        <v>40</v>
      </c>
      <c r="R7" s="9" t="s">
        <v>26</v>
      </c>
      <c r="S7" s="9" t="s">
        <v>49</v>
      </c>
      <c r="T7" s="12" t="n">
        <f aca="false">IF(AND(ISNUMBER(O7),ISNUMBER(Q7)),O7/Q7,"n/d")</f>
        <v>6.5</v>
      </c>
      <c r="U7" s="9" t="s">
        <v>29</v>
      </c>
      <c r="V7" s="9" t="s">
        <v>37</v>
      </c>
      <c r="W7" s="9" t="s">
        <v>37</v>
      </c>
      <c r="X7" s="9" t="s">
        <v>37</v>
      </c>
      <c r="Y7" s="9" t="s">
        <v>37</v>
      </c>
      <c r="Z7" s="9" t="s">
        <v>50</v>
      </c>
      <c r="AA7" s="9" t="s">
        <v>51</v>
      </c>
    </row>
    <row r="8" customFormat="false" ht="28.35" hidden="false" customHeight="false" outlineLevel="0" collapsed="false">
      <c r="A8" s="8" t="s">
        <v>52</v>
      </c>
      <c r="B8" s="9" t="s">
        <v>53</v>
      </c>
      <c r="C8" s="10" t="n">
        <v>13.3333333333333</v>
      </c>
      <c r="D8" s="9" t="n">
        <v>16</v>
      </c>
      <c r="E8" s="9" t="s">
        <v>54</v>
      </c>
      <c r="F8" s="9" t="s">
        <v>38</v>
      </c>
      <c r="G8" s="9" t="s">
        <v>37</v>
      </c>
      <c r="H8" s="9" t="s">
        <v>37</v>
      </c>
      <c r="I8" s="9" t="s">
        <v>37</v>
      </c>
      <c r="J8" s="9" t="s">
        <v>37</v>
      </c>
      <c r="K8" s="9"/>
      <c r="L8" s="10" t="n">
        <v>14.4156097560976</v>
      </c>
      <c r="M8" s="9" t="s">
        <v>55</v>
      </c>
      <c r="N8" s="9" t="s">
        <v>56</v>
      </c>
      <c r="O8" s="11" t="n">
        <v>10000</v>
      </c>
      <c r="P8" s="9" t="s">
        <v>31</v>
      </c>
      <c r="Q8" s="11" t="n">
        <v>2050</v>
      </c>
      <c r="R8" s="9" t="s">
        <v>27</v>
      </c>
      <c r="S8" s="9" t="s">
        <v>57</v>
      </c>
      <c r="T8" s="12" t="n">
        <f aca="false">IF(AND(ISNUMBER(O8),ISNUMBER(Q8)),O8/Q8,"n/d")</f>
        <v>4.87804878048781</v>
      </c>
      <c r="U8" s="9" t="s">
        <v>29</v>
      </c>
      <c r="V8" s="12" t="n">
        <v>46.3858333333333</v>
      </c>
      <c r="W8" s="9" t="s">
        <v>27</v>
      </c>
      <c r="X8" s="9" t="s">
        <v>37</v>
      </c>
      <c r="Y8" s="9" t="s">
        <v>37</v>
      </c>
      <c r="Z8" s="9" t="s">
        <v>58</v>
      </c>
      <c r="AA8" s="9" t="s">
        <v>59</v>
      </c>
    </row>
    <row r="9" customFormat="false" ht="28.35" hidden="false" customHeight="false" outlineLevel="0" collapsed="false">
      <c r="A9" s="8" t="s">
        <v>60</v>
      </c>
      <c r="B9" s="9" t="s">
        <v>61</v>
      </c>
      <c r="C9" s="10" t="n">
        <v>11.7084962136234</v>
      </c>
      <c r="D9" s="10" t="n">
        <v>16.1594202898551</v>
      </c>
      <c r="E9" s="9" t="s">
        <v>62</v>
      </c>
      <c r="F9" s="9" t="s">
        <v>38</v>
      </c>
      <c r="G9" s="9" t="s">
        <v>37</v>
      </c>
      <c r="H9" s="9" t="s">
        <v>37</v>
      </c>
      <c r="I9" s="10" t="n">
        <v>3.47160493827161</v>
      </c>
      <c r="J9" s="9" t="s">
        <v>29</v>
      </c>
      <c r="K9" s="9" t="s">
        <v>63</v>
      </c>
      <c r="L9" s="9" t="s">
        <v>37</v>
      </c>
      <c r="M9" s="9" t="s">
        <v>37</v>
      </c>
      <c r="N9" s="9"/>
      <c r="O9" s="11" t="n">
        <v>1370</v>
      </c>
      <c r="P9" s="9" t="s">
        <v>26</v>
      </c>
      <c r="Q9" s="11" t="n">
        <v>81</v>
      </c>
      <c r="R9" s="9" t="s">
        <v>64</v>
      </c>
      <c r="S9" s="9" t="s">
        <v>65</v>
      </c>
      <c r="T9" s="12" t="n">
        <f aca="false">IF(AND(ISNUMBER(O9),ISNUMBER(Q9)),O9/Q9,"n/d")</f>
        <v>16.9135802469136</v>
      </c>
      <c r="U9" s="9" t="s">
        <v>29</v>
      </c>
      <c r="V9" s="9" t="s">
        <v>37</v>
      </c>
      <c r="W9" s="9" t="s">
        <v>37</v>
      </c>
      <c r="X9" s="12" t="n">
        <v>70.7098765432099</v>
      </c>
      <c r="Y9" s="9" t="s">
        <v>29</v>
      </c>
      <c r="Z9" s="9" t="s">
        <v>66</v>
      </c>
      <c r="AA9" s="9" t="s">
        <v>67</v>
      </c>
    </row>
    <row r="10" customFormat="false" ht="28.35" hidden="false" customHeight="false" outlineLevel="0" collapsed="false">
      <c r="A10" s="8" t="s">
        <v>68</v>
      </c>
      <c r="B10" s="9" t="s">
        <v>69</v>
      </c>
      <c r="C10" s="10" t="n">
        <v>16.6666666666667</v>
      </c>
      <c r="D10" s="10" t="n">
        <v>16.6666666666667</v>
      </c>
      <c r="E10" s="9" t="s">
        <v>54</v>
      </c>
      <c r="F10" s="9" t="s">
        <v>38</v>
      </c>
      <c r="G10" s="9" t="s">
        <v>37</v>
      </c>
      <c r="H10" s="9" t="s">
        <v>37</v>
      </c>
      <c r="I10" s="10" t="n">
        <v>9.70212765957447</v>
      </c>
      <c r="J10" s="9" t="s">
        <v>70</v>
      </c>
      <c r="K10" s="9" t="s">
        <v>71</v>
      </c>
      <c r="L10" s="9" t="s">
        <v>37</v>
      </c>
      <c r="M10" s="9" t="s">
        <v>37</v>
      </c>
      <c r="N10" s="9"/>
      <c r="O10" s="9" t="s">
        <v>37</v>
      </c>
      <c r="P10" s="9" t="s">
        <v>37</v>
      </c>
      <c r="Q10" s="11" t="n">
        <v>47</v>
      </c>
      <c r="R10" s="9" t="s">
        <v>54</v>
      </c>
      <c r="S10" s="9" t="s">
        <v>72</v>
      </c>
      <c r="T10" s="12" t="str">
        <f aca="false">IF(AND(ISNUMBER(O10),ISNUMBER(Q10)),O10/Q10,"n/d")</f>
        <v>n/d</v>
      </c>
      <c r="U10" s="9" t="s">
        <v>37</v>
      </c>
      <c r="V10" s="9" t="s">
        <v>37</v>
      </c>
      <c r="W10" s="9" t="s">
        <v>37</v>
      </c>
      <c r="X10" s="9" t="s">
        <v>37</v>
      </c>
      <c r="Y10" s="9" t="s">
        <v>37</v>
      </c>
      <c r="Z10" s="9" t="s">
        <v>73</v>
      </c>
      <c r="AA10" s="9" t="s">
        <v>74</v>
      </c>
    </row>
    <row r="11" customFormat="false" ht="28.35" hidden="false" customHeight="false" outlineLevel="0" collapsed="false">
      <c r="A11" s="8" t="s">
        <v>75</v>
      </c>
      <c r="B11" s="9" t="s">
        <v>76</v>
      </c>
      <c r="C11" s="9" t="s">
        <v>37</v>
      </c>
      <c r="D11" s="9" t="s">
        <v>37</v>
      </c>
      <c r="E11" s="9" t="s">
        <v>37</v>
      </c>
      <c r="F11" s="9" t="s">
        <v>38</v>
      </c>
      <c r="G11" s="9" t="s">
        <v>77</v>
      </c>
      <c r="H11" s="9" t="s">
        <v>29</v>
      </c>
      <c r="I11" s="9" t="n">
        <v>2</v>
      </c>
      <c r="J11" s="9" t="s">
        <v>27</v>
      </c>
      <c r="K11" s="9" t="s">
        <v>78</v>
      </c>
      <c r="L11" s="9" t="s">
        <v>37</v>
      </c>
      <c r="M11" s="9" t="s">
        <v>37</v>
      </c>
      <c r="N11" s="9"/>
      <c r="O11" s="11" t="n">
        <v>6000</v>
      </c>
      <c r="P11" s="9" t="s">
        <v>26</v>
      </c>
      <c r="Q11" s="11" t="n">
        <v>1000</v>
      </c>
      <c r="R11" s="9" t="s">
        <v>26</v>
      </c>
      <c r="S11" s="9" t="s">
        <v>79</v>
      </c>
      <c r="T11" s="12" t="n">
        <f aca="false">IF(AND(ISNUMBER(O11),ISNUMBER(Q11)),O11/Q11,"n/d")</f>
        <v>6</v>
      </c>
      <c r="U11" s="9" t="s">
        <v>29</v>
      </c>
      <c r="V11" s="9" t="s">
        <v>37</v>
      </c>
      <c r="W11" s="9" t="s">
        <v>37</v>
      </c>
      <c r="X11" s="12" t="n">
        <v>12.5</v>
      </c>
      <c r="Y11" s="9" t="s">
        <v>29</v>
      </c>
      <c r="Z11" s="9" t="s">
        <v>80</v>
      </c>
      <c r="AA11" s="9" t="s">
        <v>81</v>
      </c>
    </row>
    <row r="12" customFormat="false" ht="68.65" hidden="false" customHeight="false" outlineLevel="0" collapsed="false">
      <c r="A12" s="13" t="s">
        <v>82</v>
      </c>
      <c r="B12" s="14"/>
      <c r="C12" s="14"/>
      <c r="D12" s="14"/>
      <c r="E12" s="14"/>
      <c r="F12" s="14"/>
      <c r="G12" s="14"/>
      <c r="H12" s="14"/>
      <c r="I12" s="15" t="n">
        <f aca="false">MEDIAN(I6,I7,I9,I10,I11)</f>
        <v>6.86666666666667</v>
      </c>
      <c r="J12" s="14" t="s">
        <v>29</v>
      </c>
      <c r="K12" s="14"/>
      <c r="L12" s="14"/>
      <c r="M12" s="14"/>
      <c r="N12" s="14"/>
      <c r="O12" s="14"/>
      <c r="P12" s="14"/>
      <c r="Q12" s="14"/>
      <c r="R12" s="14"/>
      <c r="S12" s="14"/>
      <c r="T12" s="15" t="n">
        <f aca="false">MEDIAN(T6,T9,T11)</f>
        <v>6</v>
      </c>
      <c r="U12" s="14" t="s">
        <v>29</v>
      </c>
      <c r="V12" s="15" t="n">
        <f aca="false">MEDIAN(V6,V8)</f>
        <v>33.1762176375405</v>
      </c>
      <c r="W12" s="14" t="s">
        <v>29</v>
      </c>
      <c r="X12" s="15" t="n">
        <f aca="false">MEDIAN(X6,X9)</f>
        <v>50.9336049382716</v>
      </c>
      <c r="Y12" s="14" t="s">
        <v>29</v>
      </c>
      <c r="Z12" s="14" t="s">
        <v>83</v>
      </c>
      <c r="AA12" s="14"/>
    </row>
    <row r="13" customFormat="false" ht="41.75" hidden="false" customHeight="false" outlineLevel="0" collapsed="false">
      <c r="A13" s="16" t="s">
        <v>84</v>
      </c>
      <c r="B13" s="16" t="s">
        <v>85</v>
      </c>
      <c r="C13" s="16"/>
      <c r="D13" s="17" t="n">
        <v>22.3831468071099</v>
      </c>
      <c r="E13" s="16" t="s">
        <v>86</v>
      </c>
      <c r="F13" s="16" t="s">
        <v>87</v>
      </c>
      <c r="G13" s="16" t="s">
        <v>37</v>
      </c>
      <c r="H13" s="16" t="s">
        <v>37</v>
      </c>
      <c r="I13" s="16" t="s">
        <v>37</v>
      </c>
      <c r="J13" s="16" t="s">
        <v>37</v>
      </c>
      <c r="K13" s="16"/>
      <c r="L13" s="16" t="s">
        <v>37</v>
      </c>
      <c r="M13" s="16" t="s">
        <v>37</v>
      </c>
      <c r="N13" s="16"/>
      <c r="O13" s="16" t="n">
        <v>15.19</v>
      </c>
      <c r="P13" s="16" t="s">
        <v>88</v>
      </c>
      <c r="Q13" s="16" t="n">
        <v>0</v>
      </c>
      <c r="R13" s="16" t="s">
        <v>26</v>
      </c>
      <c r="S13" s="16" t="s">
        <v>89</v>
      </c>
      <c r="T13" s="16" t="s">
        <v>90</v>
      </c>
      <c r="U13" s="16" t="s">
        <v>37</v>
      </c>
      <c r="V13" s="16" t="s">
        <v>37</v>
      </c>
      <c r="W13" s="16" t="s">
        <v>37</v>
      </c>
      <c r="X13" s="16" t="s">
        <v>37</v>
      </c>
      <c r="Y13" s="16" t="s">
        <v>37</v>
      </c>
      <c r="Z13" s="16" t="s">
        <v>91</v>
      </c>
      <c r="AA13" s="16" t="s">
        <v>92</v>
      </c>
    </row>
    <row r="15" customFormat="false" ht="15" hidden="false" customHeight="false" outlineLevel="0" collapsed="false">
      <c r="A15" s="18" t="s">
        <v>93</v>
      </c>
    </row>
    <row r="16" customFormat="false" ht="15" hidden="false" customHeight="false" outlineLevel="0" collapsed="false">
      <c r="A16" s="19" t="s">
        <v>94</v>
      </c>
      <c r="B16" s="19" t="s">
        <v>95</v>
      </c>
      <c r="C16" s="19" t="s">
        <v>96</v>
      </c>
      <c r="D16" s="19" t="s">
        <v>97</v>
      </c>
      <c r="E16" s="19" t="s">
        <v>6</v>
      </c>
      <c r="F16" s="19" t="s">
        <v>98</v>
      </c>
      <c r="G16" s="19" t="s">
        <v>99</v>
      </c>
      <c r="H16" s="19" t="s">
        <v>100</v>
      </c>
    </row>
    <row r="17" customFormat="false" ht="15" hidden="false" customHeight="false" outlineLevel="0" collapsed="false">
      <c r="A17" s="0" t="s">
        <v>101</v>
      </c>
      <c r="B17" s="0" t="s">
        <v>102</v>
      </c>
      <c r="C17" s="0" t="n">
        <v>14.49</v>
      </c>
      <c r="D17" s="20" t="n">
        <v>14.4940833333333</v>
      </c>
      <c r="E17" s="0" t="s">
        <v>23</v>
      </c>
      <c r="F17" s="0" t="s">
        <v>103</v>
      </c>
      <c r="G17" s="20" t="n">
        <f aca="false">D17-C17</f>
        <v>0.00408333333330013</v>
      </c>
      <c r="H17" s="0" t="str">
        <f aca="false">IF(ABS(G17)&lt;=0.005,"OK","DRIFT")</f>
        <v>OK</v>
      </c>
    </row>
    <row r="18" customFormat="false" ht="15" hidden="false" customHeight="false" outlineLevel="0" collapsed="false">
      <c r="A18" s="0" t="s">
        <v>104</v>
      </c>
      <c r="B18" s="0" t="s">
        <v>105</v>
      </c>
      <c r="C18" s="0" t="n">
        <v>27.63</v>
      </c>
      <c r="D18" s="20" t="n">
        <v>27.627757898385</v>
      </c>
      <c r="E18" s="0" t="s">
        <v>29</v>
      </c>
      <c r="F18" s="0" t="s">
        <v>106</v>
      </c>
      <c r="G18" s="20" t="n">
        <f aca="false">D18-C18</f>
        <v>-0.00224210161499983</v>
      </c>
      <c r="H18" s="0" t="str">
        <f aca="false">IF(ABS(G18)&lt;=0.005,"OK","DRIFT")</f>
        <v>OK</v>
      </c>
    </row>
    <row r="19" customFormat="false" ht="15" hidden="false" customHeight="false" outlineLevel="0" collapsed="false">
      <c r="A19" s="0" t="s">
        <v>107</v>
      </c>
      <c r="B19" s="0" t="s">
        <v>108</v>
      </c>
      <c r="C19" s="0" t="n">
        <v>23.13</v>
      </c>
      <c r="D19" s="20" t="n">
        <v>23.1272137343133</v>
      </c>
      <c r="E19" s="0" t="s">
        <v>29</v>
      </c>
      <c r="F19" s="0" t="s">
        <v>109</v>
      </c>
      <c r="G19" s="20" t="n">
        <f aca="false">D19-C19</f>
        <v>-0.00278626568669793</v>
      </c>
      <c r="H19" s="0" t="str">
        <f aca="false">IF(ABS(G19)&lt;=0.005,"OK","DRIFT")</f>
        <v>OK</v>
      </c>
    </row>
    <row r="20" customFormat="false" ht="15" hidden="false" customHeight="false" outlineLevel="0" collapsed="false">
      <c r="A20" s="0" t="s">
        <v>110</v>
      </c>
      <c r="B20" s="0" t="s">
        <v>111</v>
      </c>
      <c r="C20" s="0" t="n">
        <v>24.51</v>
      </c>
      <c r="D20" s="20" t="n">
        <v>24.5120139678627</v>
      </c>
      <c r="E20" s="0" t="s">
        <v>29</v>
      </c>
      <c r="F20" s="0" t="s">
        <v>112</v>
      </c>
      <c r="G20" s="20" t="n">
        <f aca="false">D20-C20</f>
        <v>0.00201396786269825</v>
      </c>
      <c r="H20" s="0" t="str">
        <f aca="false">IF(ABS(G20)&lt;=0.005,"OK","DRIFT")</f>
        <v>OK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n">
        <v>22.68</v>
      </c>
      <c r="D21" s="20" t="n">
        <v>22.68</v>
      </c>
      <c r="E21" s="0" t="s">
        <v>29</v>
      </c>
      <c r="F21" s="0" t="s">
        <v>115</v>
      </c>
      <c r="G21" s="20" t="n">
        <f aca="false">D21-C21</f>
        <v>0</v>
      </c>
      <c r="H21" s="0" t="str">
        <f aca="false">IF(ABS(G21)&lt;=0.005,"OK","DRIFT")</f>
        <v>OK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n">
        <v>17.05</v>
      </c>
      <c r="D22" s="20" t="n">
        <v>17.0464</v>
      </c>
      <c r="E22" s="0" t="s">
        <v>29</v>
      </c>
      <c r="F22" s="0" t="s">
        <v>118</v>
      </c>
      <c r="G22" s="20" t="n">
        <f aca="false">D22-C22</f>
        <v>-0.00360000000000227</v>
      </c>
      <c r="H22" s="0" t="str">
        <f aca="false">IF(ABS(G22)&lt;=0.005,"OK","DRIFT")</f>
        <v>OK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16.7</v>
      </c>
      <c r="D23" s="20" t="n">
        <v>16.7008</v>
      </c>
      <c r="E23" s="0" t="s">
        <v>29</v>
      </c>
      <c r="F23" s="0" t="s">
        <v>121</v>
      </c>
      <c r="G23" s="20" t="n">
        <f aca="false">D23-C23</f>
        <v>0.000800000000001688</v>
      </c>
      <c r="H23" s="0" t="str">
        <f aca="false">IF(ABS(G23)&lt;=0.005,"OK","DRIFT")</f>
        <v>OK</v>
      </c>
    </row>
    <row r="24" customFormat="false" ht="15" hidden="false" customHeight="false" outlineLevel="0" collapsed="false">
      <c r="A24" s="0" t="s">
        <v>122</v>
      </c>
      <c r="B24" s="0" t="s">
        <v>123</v>
      </c>
      <c r="C24" s="0" t="n">
        <v>181.5</v>
      </c>
      <c r="D24" s="20" t="n">
        <v>181.5</v>
      </c>
      <c r="E24" s="0" t="s">
        <v>27</v>
      </c>
      <c r="F24" s="0" t="s">
        <v>124</v>
      </c>
      <c r="G24" s="20" t="n">
        <f aca="false">D24-C24</f>
        <v>0</v>
      </c>
      <c r="H24" s="0" t="str">
        <f aca="false">IF(ABS(G24)&lt;=0.005,"OK","DRIFT")</f>
        <v>OK</v>
      </c>
    </row>
    <row r="25" customFormat="false" ht="15" hidden="false" customHeight="false" outlineLevel="0" collapsed="false">
      <c r="A25" s="0" t="s">
        <v>125</v>
      </c>
      <c r="B25" s="0" t="s">
        <v>126</v>
      </c>
      <c r="C25" s="0" t="n">
        <v>193</v>
      </c>
      <c r="D25" s="20" t="n">
        <v>193</v>
      </c>
      <c r="E25" s="0" t="s">
        <v>27</v>
      </c>
      <c r="F25" s="0" t="s">
        <v>127</v>
      </c>
      <c r="G25" s="20" t="n">
        <f aca="false">D25-C25</f>
        <v>0</v>
      </c>
      <c r="H25" s="0" t="str">
        <f aca="false">IF(ABS(G25)&lt;=0.005,"OK","DRIFT")</f>
        <v>OK</v>
      </c>
    </row>
    <row r="26" customFormat="false" ht="15" hidden="false" customHeight="false" outlineLevel="0" collapsed="false">
      <c r="A26" s="0" t="s">
        <v>128</v>
      </c>
      <c r="B26" s="0" t="s">
        <v>129</v>
      </c>
      <c r="C26" s="0" t="n">
        <v>257.7</v>
      </c>
      <c r="D26" s="20" t="n">
        <v>257.7</v>
      </c>
      <c r="E26" s="0" t="s">
        <v>29</v>
      </c>
      <c r="F26" s="0" t="s">
        <v>130</v>
      </c>
      <c r="G26" s="20" t="n">
        <f aca="false">D26-C26</f>
        <v>0</v>
      </c>
      <c r="H26" s="0" t="str">
        <f aca="false">IF(ABS(G26)&lt;=0.05,"OK","DRIFT")</f>
        <v>OK</v>
      </c>
    </row>
    <row r="27" customFormat="false" ht="15" hidden="false" customHeight="false" outlineLevel="0" collapsed="false">
      <c r="A27" s="0" t="s">
        <v>131</v>
      </c>
      <c r="B27" s="0" t="s">
        <v>132</v>
      </c>
      <c r="C27" s="0" t="n">
        <v>284.2</v>
      </c>
      <c r="D27" s="20" t="n">
        <v>284.2</v>
      </c>
      <c r="E27" s="0" t="s">
        <v>29</v>
      </c>
      <c r="F27" s="0" t="s">
        <v>133</v>
      </c>
      <c r="G27" s="20" t="n">
        <f aca="false">D27-C27</f>
        <v>0</v>
      </c>
      <c r="H27" s="0" t="str">
        <f aca="false">IF(ABS(G27)&lt;=0.05,"OK","DRIFT")</f>
        <v>OK</v>
      </c>
    </row>
    <row r="28" customFormat="false" ht="15" hidden="false" customHeight="false" outlineLevel="0" collapsed="false">
      <c r="A28" s="0" t="s">
        <v>134</v>
      </c>
      <c r="B28" s="0" t="s">
        <v>135</v>
      </c>
      <c r="C28" s="0" t="n">
        <v>531.84</v>
      </c>
      <c r="D28" s="20" t="n">
        <v>531.840979259459</v>
      </c>
      <c r="E28" s="0" t="s">
        <v>29</v>
      </c>
      <c r="F28" s="0" t="s">
        <v>136</v>
      </c>
      <c r="G28" s="20" t="n">
        <f aca="false">D28-C28</f>
        <v>0.000979259458972592</v>
      </c>
      <c r="H28" s="0" t="str">
        <f aca="false">IF(ABS(G28)&lt;=0.005,"OK","DRIFT")</f>
        <v>OK</v>
      </c>
    </row>
    <row r="29" customFormat="false" ht="15" hidden="false" customHeight="false" outlineLevel="0" collapsed="false">
      <c r="A29" s="0" t="s">
        <v>137</v>
      </c>
      <c r="B29" s="0" t="s">
        <v>138</v>
      </c>
      <c r="C29" s="0" t="n">
        <v>659.16</v>
      </c>
      <c r="D29" s="20" t="n">
        <v>659.157004259459</v>
      </c>
      <c r="E29" s="0" t="s">
        <v>29</v>
      </c>
      <c r="F29" s="0" t="s">
        <v>139</v>
      </c>
      <c r="G29" s="20" t="n">
        <f aca="false">D29-C29</f>
        <v>-0.00299574054099594</v>
      </c>
      <c r="H29" s="0" t="str">
        <f aca="false">IF(ABS(G29)&lt;=0.005,"OK","DRIFT")</f>
        <v>OK</v>
      </c>
    </row>
    <row r="30" customFormat="false" ht="15" hidden="false" customHeight="false" outlineLevel="0" collapsed="false">
      <c r="A30" s="0" t="s">
        <v>140</v>
      </c>
      <c r="B30" s="0" t="s">
        <v>141</v>
      </c>
      <c r="C30" s="0" t="n">
        <v>77.9</v>
      </c>
      <c r="D30" s="20" t="n">
        <v>77.9146853146853</v>
      </c>
      <c r="E30" s="0" t="s">
        <v>27</v>
      </c>
      <c r="F30" s="0" t="s">
        <v>142</v>
      </c>
      <c r="G30" s="20" t="n">
        <f aca="false">D30-C30</f>
        <v>0.0146853146852948</v>
      </c>
      <c r="H30" s="0" t="str">
        <f aca="false">IF(ABS(G30)&lt;=0.05,"OK","DRIFT")</f>
        <v>OK</v>
      </c>
    </row>
    <row r="31" customFormat="false" ht="15" hidden="false" customHeight="false" outlineLevel="0" collapsed="false">
      <c r="A31" s="0" t="s">
        <v>143</v>
      </c>
      <c r="B31" s="0" t="s">
        <v>144</v>
      </c>
      <c r="C31" s="0" t="n">
        <v>33.18</v>
      </c>
      <c r="D31" s="20" t="n">
        <f aca="false">V12</f>
        <v>33.1762176375405</v>
      </c>
      <c r="E31" s="0" t="s">
        <v>29</v>
      </c>
      <c r="F31" s="0" t="s">
        <v>145</v>
      </c>
      <c r="G31" s="20" t="n">
        <f aca="false">D31-C31</f>
        <v>-0.00378236245954611</v>
      </c>
      <c r="H31" s="0" t="str">
        <f aca="false">IF(ABS(G31)&lt;=0.005,"OK","DRIFT")</f>
        <v>OK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0" t="n">
        <v>9.7</v>
      </c>
      <c r="D32" s="20" t="n">
        <v>9.7</v>
      </c>
      <c r="E32" s="0" t="s">
        <v>29</v>
      </c>
      <c r="F32" s="0" t="s">
        <v>148</v>
      </c>
      <c r="G32" s="20" t="n">
        <f aca="false">D32-C32</f>
        <v>0</v>
      </c>
      <c r="H32" s="0" t="str">
        <f aca="false">IF(ABS(G32)&lt;=0.005,"OK","DRIFT")</f>
        <v>OK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0" t="n">
        <v>16.7</v>
      </c>
      <c r="D33" s="20" t="n">
        <v>16.6666666666667</v>
      </c>
      <c r="E33" s="0" t="s">
        <v>54</v>
      </c>
      <c r="F33" s="0" t="s">
        <v>151</v>
      </c>
      <c r="G33" s="20" t="n">
        <f aca="false">D33-C33</f>
        <v>-0.0333333333332995</v>
      </c>
      <c r="H33" s="0" t="str">
        <f aca="false">IF(ABS(G33)&lt;=0.05,"OK","DRIFT")</f>
        <v>OK</v>
      </c>
    </row>
    <row r="34" customFormat="false" ht="15" hidden="false" customHeight="false" outlineLevel="0" collapsed="false">
      <c r="A34" s="0" t="s">
        <v>152</v>
      </c>
      <c r="B34" s="0" t="s">
        <v>153</v>
      </c>
      <c r="C34" s="0" t="n">
        <v>22.4</v>
      </c>
      <c r="D34" s="20" t="n">
        <v>22.3831468071099</v>
      </c>
      <c r="E34" s="0" t="s">
        <v>86</v>
      </c>
      <c r="F34" s="0" t="s">
        <v>154</v>
      </c>
      <c r="G34" s="20" t="n">
        <f aca="false">D34-C34</f>
        <v>-0.0168531928900997</v>
      </c>
      <c r="H34" s="0" t="str">
        <f aca="false">IF(ABS(G34)&lt;=0.05,"OK","DRIFT")</f>
        <v>OK</v>
      </c>
    </row>
    <row r="36" customFormat="false" ht="15" hidden="false" customHeight="false" outlineLevel="0" collapsed="false">
      <c r="A36" s="18" t="s">
        <v>155</v>
      </c>
    </row>
    <row r="37" customFormat="false" ht="15" hidden="false" customHeight="false" outlineLevel="0" collapsed="false">
      <c r="A37" s="21" t="s">
        <v>156</v>
      </c>
    </row>
    <row r="38" customFormat="false" ht="15" hidden="false" customHeight="false" outlineLevel="0" collapsed="false">
      <c r="A38" s="21" t="s">
        <v>157</v>
      </c>
    </row>
    <row r="39" customFormat="false" ht="15" hidden="false" customHeight="false" outlineLevel="0" collapsed="false">
      <c r="A39" s="21" t="s">
        <v>158</v>
      </c>
    </row>
    <row r="40" customFormat="false" ht="15" hidden="false" customHeight="false" outlineLevel="0" collapsed="false">
      <c r="A40" s="21" t="s">
        <v>159</v>
      </c>
    </row>
    <row r="41" customFormat="false" ht="15" hidden="false" customHeight="false" outlineLevel="0" collapsed="false">
      <c r="A41" s="21" t="s">
        <v>160</v>
      </c>
    </row>
    <row r="42" customFormat="false" ht="15" hidden="false" customHeight="false" outlineLevel="0" collapsed="false">
      <c r="A42" s="21" t="s">
        <v>161</v>
      </c>
    </row>
    <row r="43" customFormat="false" ht="15" hidden="false" customHeight="false" outlineLevel="0" collapsed="false">
      <c r="A43" s="21" t="s">
        <v>162</v>
      </c>
    </row>
    <row r="44" customFormat="false" ht="15" hidden="false" customHeight="false" outlineLevel="0" collapsed="false">
      <c r="A44" s="21" t="s">
        <v>163</v>
      </c>
    </row>
    <row r="45" customFormat="false" ht="15" hidden="false" customHeight="false" outlineLevel="0" collapsed="false">
      <c r="A45" s="21" t="s">
        <v>164</v>
      </c>
    </row>
    <row r="46" customFormat="false" ht="15" hidden="false" customHeight="false" outlineLevel="0" collapsed="false">
      <c r="A46" s="21" t="s">
        <v>165</v>
      </c>
    </row>
    <row r="47" customFormat="false" ht="15" hidden="false" customHeight="false" outlineLevel="0" collapsed="false">
      <c r="A47" s="21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0"/>
    <col collapsed="false" customWidth="true" hidden="false" outlineLevel="0" max="3" min="3" style="0" width="8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9" t="s">
        <v>94</v>
      </c>
      <c r="B1" s="19" t="s">
        <v>167</v>
      </c>
      <c r="C1" s="19" t="s">
        <v>168</v>
      </c>
      <c r="D1" s="19" t="s">
        <v>169</v>
      </c>
    </row>
    <row r="2" customFormat="false" ht="15" hidden="false" customHeight="false" outlineLevel="0" collapsed="false">
      <c r="A2" s="0" t="s">
        <v>170</v>
      </c>
      <c r="B2" s="0" t="s">
        <v>171</v>
      </c>
      <c r="C2" s="0" t="s">
        <v>172</v>
      </c>
      <c r="D2" s="0" t="s">
        <v>173</v>
      </c>
    </row>
    <row r="3" customFormat="false" ht="15" hidden="false" customHeight="false" outlineLevel="0" collapsed="false">
      <c r="A3" s="0" t="s">
        <v>174</v>
      </c>
      <c r="B3" s="0" t="s">
        <v>175</v>
      </c>
      <c r="C3" s="0" t="s">
        <v>176</v>
      </c>
      <c r="D3" s="0" t="s">
        <v>173</v>
      </c>
    </row>
    <row r="4" customFormat="false" ht="15" hidden="false" customHeight="false" outlineLevel="0" collapsed="false">
      <c r="A4" s="0" t="s">
        <v>177</v>
      </c>
      <c r="B4" s="0" t="s">
        <v>178</v>
      </c>
      <c r="C4" s="0" t="s">
        <v>179</v>
      </c>
      <c r="D4" s="0" t="s">
        <v>173</v>
      </c>
    </row>
    <row r="5" customFormat="false" ht="15" hidden="false" customHeight="false" outlineLevel="0" collapsed="false">
      <c r="A5" s="0" t="s">
        <v>180</v>
      </c>
      <c r="B5" s="0" t="s">
        <v>181</v>
      </c>
      <c r="C5" s="0" t="s">
        <v>182</v>
      </c>
      <c r="D5" s="0" t="s">
        <v>173</v>
      </c>
    </row>
    <row r="6" customFormat="false" ht="15" hidden="false" customHeight="false" outlineLevel="0" collapsed="false">
      <c r="A6" s="0" t="s">
        <v>183</v>
      </c>
      <c r="B6" s="0" t="s">
        <v>184</v>
      </c>
      <c r="C6" s="0" t="s">
        <v>185</v>
      </c>
      <c r="D6" s="0" t="s">
        <v>173</v>
      </c>
    </row>
    <row r="7" customFormat="false" ht="15" hidden="false" customHeight="false" outlineLevel="0" collapsed="false">
      <c r="A7" s="0" t="s">
        <v>186</v>
      </c>
      <c r="B7" s="0" t="s">
        <v>187</v>
      </c>
      <c r="C7" s="0" t="s">
        <v>188</v>
      </c>
      <c r="D7" s="0" t="s">
        <v>173</v>
      </c>
    </row>
    <row r="8" customFormat="false" ht="15" hidden="false" customHeight="false" outlineLevel="0" collapsed="false">
      <c r="A8" s="0" t="s">
        <v>189</v>
      </c>
      <c r="B8" s="0" t="s">
        <v>190</v>
      </c>
      <c r="C8" s="0" t="s">
        <v>191</v>
      </c>
      <c r="D8" s="0" t="s">
        <v>192</v>
      </c>
    </row>
    <row r="9" customFormat="false" ht="15" hidden="false" customHeight="false" outlineLevel="0" collapsed="false">
      <c r="A9" s="0" t="s">
        <v>193</v>
      </c>
      <c r="B9" s="0" t="s">
        <v>194</v>
      </c>
      <c r="C9" s="0" t="s">
        <v>195</v>
      </c>
      <c r="D9" s="0" t="s">
        <v>192</v>
      </c>
    </row>
    <row r="10" customFormat="false" ht="15" hidden="false" customHeight="false" outlineLevel="0" collapsed="false">
      <c r="A10" s="0" t="s">
        <v>196</v>
      </c>
      <c r="B10" s="0" t="s">
        <v>197</v>
      </c>
      <c r="C10" s="0" t="s">
        <v>198</v>
      </c>
      <c r="D10" s="0" t="s">
        <v>192</v>
      </c>
    </row>
    <row r="11" customFormat="false" ht="15" hidden="false" customHeight="false" outlineLevel="0" collapsed="false">
      <c r="A11" s="0" t="s">
        <v>199</v>
      </c>
      <c r="B11" s="0" t="s">
        <v>200</v>
      </c>
      <c r="C11" s="0" t="s">
        <v>201</v>
      </c>
      <c r="D11" s="0" t="s">
        <v>192</v>
      </c>
    </row>
    <row r="12" customFormat="false" ht="15" hidden="false" customHeight="false" outlineLevel="0" collapsed="false">
      <c r="A12" s="0" t="s">
        <v>202</v>
      </c>
      <c r="B12" s="0" t="s">
        <v>203</v>
      </c>
      <c r="C12" s="0" t="s">
        <v>204</v>
      </c>
      <c r="D12" s="0" t="s">
        <v>192</v>
      </c>
    </row>
    <row r="13" customFormat="false" ht="15" hidden="false" customHeight="false" outlineLevel="0" collapsed="false">
      <c r="A13" s="0" t="s">
        <v>205</v>
      </c>
      <c r="B13" s="0" t="s">
        <v>206</v>
      </c>
      <c r="C13" s="0" t="s">
        <v>207</v>
      </c>
      <c r="D13" s="0" t="s">
        <v>192</v>
      </c>
    </row>
    <row r="14" customFormat="false" ht="15" hidden="false" customHeight="false" outlineLevel="0" collapsed="false">
      <c r="A14" s="0" t="s">
        <v>208</v>
      </c>
      <c r="B14" s="0" t="s">
        <v>209</v>
      </c>
      <c r="C14" s="0" t="s">
        <v>210</v>
      </c>
      <c r="D14" s="0" t="s">
        <v>192</v>
      </c>
    </row>
    <row r="15" customFormat="false" ht="15" hidden="false" customHeight="false" outlineLevel="0" collapsed="false">
      <c r="A15" s="0" t="s">
        <v>211</v>
      </c>
      <c r="B15" s="0" t="s">
        <v>212</v>
      </c>
      <c r="C15" s="0" t="s">
        <v>213</v>
      </c>
      <c r="D15" s="0" t="s">
        <v>192</v>
      </c>
    </row>
    <row r="16" customFormat="false" ht="15" hidden="false" customHeight="false" outlineLevel="0" collapsed="false">
      <c r="A16" s="0" t="s">
        <v>214</v>
      </c>
      <c r="B16" s="0" t="s">
        <v>215</v>
      </c>
      <c r="C16" s="0" t="s">
        <v>216</v>
      </c>
      <c r="D16" s="0" t="s">
        <v>192</v>
      </c>
    </row>
    <row r="17" customFormat="false" ht="15" hidden="false" customHeight="false" outlineLevel="0" collapsed="false">
      <c r="A17" s="0" t="s">
        <v>217</v>
      </c>
      <c r="B17" s="0" t="s">
        <v>218</v>
      </c>
      <c r="C17" s="0" t="s">
        <v>219</v>
      </c>
      <c r="D17" s="0" t="s">
        <v>192</v>
      </c>
    </row>
    <row r="18" customFormat="false" ht="15" hidden="false" customHeight="false" outlineLevel="0" collapsed="false">
      <c r="A18" s="0" t="s">
        <v>220</v>
      </c>
      <c r="B18" s="0" t="s">
        <v>221</v>
      </c>
      <c r="C18" s="0" t="s">
        <v>222</v>
      </c>
      <c r="D18" s="0" t="s">
        <v>192</v>
      </c>
    </row>
    <row r="19" customFormat="false" ht="15" hidden="false" customHeight="false" outlineLevel="0" collapsed="false">
      <c r="A19" s="0" t="s">
        <v>223</v>
      </c>
      <c r="B19" s="0" t="s">
        <v>224</v>
      </c>
      <c r="C19" s="0" t="s">
        <v>225</v>
      </c>
      <c r="D19" s="0" t="s">
        <v>192</v>
      </c>
    </row>
    <row r="20" customFormat="false" ht="15" hidden="false" customHeight="false" outlineLevel="0" collapsed="false">
      <c r="A20" s="0" t="s">
        <v>226</v>
      </c>
      <c r="B20" s="0" t="s">
        <v>227</v>
      </c>
      <c r="C20" s="0" t="s">
        <v>228</v>
      </c>
      <c r="D20" s="0" t="s">
        <v>192</v>
      </c>
    </row>
    <row r="21" customFormat="false" ht="15" hidden="false" customHeight="false" outlineLevel="0" collapsed="false">
      <c r="A21" s="0" t="s">
        <v>229</v>
      </c>
      <c r="B21" s="0" t="s">
        <v>230</v>
      </c>
      <c r="C21" s="0" t="s">
        <v>231</v>
      </c>
      <c r="D21" s="0" t="s">
        <v>192</v>
      </c>
    </row>
    <row r="22" customFormat="false" ht="15" hidden="false" customHeight="false" outlineLevel="0" collapsed="false">
      <c r="A22" s="0" t="s">
        <v>232</v>
      </c>
      <c r="B22" s="0" t="s">
        <v>233</v>
      </c>
      <c r="C22" s="0" t="s">
        <v>234</v>
      </c>
      <c r="D22" s="0" t="s">
        <v>192</v>
      </c>
    </row>
    <row r="23" customFormat="false" ht="15" hidden="false" customHeight="false" outlineLevel="0" collapsed="false">
      <c r="A23" s="0" t="s">
        <v>235</v>
      </c>
      <c r="B23" s="0" t="s">
        <v>236</v>
      </c>
      <c r="C23" s="0" t="s">
        <v>237</v>
      </c>
      <c r="D23" s="0" t="s">
        <v>192</v>
      </c>
    </row>
    <row r="24" customFormat="false" ht="15" hidden="false" customHeight="false" outlineLevel="0" collapsed="false">
      <c r="A24" s="0" t="s">
        <v>238</v>
      </c>
      <c r="B24" s="0" t="s">
        <v>239</v>
      </c>
      <c r="C24" s="0" t="s">
        <v>240</v>
      </c>
      <c r="D24" s="0" t="s">
        <v>192</v>
      </c>
    </row>
    <row r="25" customFormat="false" ht="15" hidden="false" customHeight="false" outlineLevel="0" collapsed="false">
      <c r="A25" s="0" t="s">
        <v>241</v>
      </c>
      <c r="B25" s="0" t="s">
        <v>242</v>
      </c>
      <c r="C25" s="0" t="s">
        <v>243</v>
      </c>
      <c r="D25" s="0" t="s">
        <v>192</v>
      </c>
    </row>
    <row r="26" customFormat="false" ht="15" hidden="false" customHeight="false" outlineLevel="0" collapsed="false">
      <c r="A26" s="0" t="s">
        <v>244</v>
      </c>
      <c r="B26" s="0" t="s">
        <v>245</v>
      </c>
      <c r="C26" s="0" t="s">
        <v>246</v>
      </c>
      <c r="D26" s="0" t="s">
        <v>192</v>
      </c>
    </row>
    <row r="27" customFormat="false" ht="15" hidden="false" customHeight="false" outlineLevel="0" collapsed="false">
      <c r="A27" s="0" t="s">
        <v>247</v>
      </c>
      <c r="B27" s="0" t="s">
        <v>248</v>
      </c>
      <c r="C27" s="0" t="s">
        <v>249</v>
      </c>
      <c r="D27" s="0" t="s">
        <v>192</v>
      </c>
    </row>
    <row r="28" customFormat="false" ht="15" hidden="false" customHeight="false" outlineLevel="0" collapsed="false">
      <c r="A28" s="0" t="s">
        <v>250</v>
      </c>
      <c r="B28" s="0" t="s">
        <v>251</v>
      </c>
      <c r="C28" s="0" t="s">
        <v>252</v>
      </c>
      <c r="D28" s="0" t="s">
        <v>192</v>
      </c>
    </row>
    <row r="29" customFormat="false" ht="15" hidden="false" customHeight="false" outlineLevel="0" collapsed="false">
      <c r="A29" s="0" t="s">
        <v>253</v>
      </c>
      <c r="B29" s="0" t="s">
        <v>254</v>
      </c>
      <c r="C29" s="0" t="s">
        <v>255</v>
      </c>
      <c r="D29" s="0" t="s">
        <v>192</v>
      </c>
    </row>
    <row r="30" customFormat="false" ht="15" hidden="false" customHeight="false" outlineLevel="0" collapsed="false">
      <c r="A30" s="0" t="s">
        <v>256</v>
      </c>
      <c r="B30" s="0" t="s">
        <v>257</v>
      </c>
      <c r="C30" s="0" t="s">
        <v>185</v>
      </c>
      <c r="D30" s="0" t="s">
        <v>192</v>
      </c>
    </row>
    <row r="31" customFormat="false" ht="15" hidden="false" customHeight="false" outlineLevel="0" collapsed="false">
      <c r="A31" s="0" t="s">
        <v>258</v>
      </c>
      <c r="B31" s="0" t="s">
        <v>259</v>
      </c>
      <c r="C31" s="0" t="s">
        <v>188</v>
      </c>
      <c r="D31" s="0" t="s">
        <v>192</v>
      </c>
    </row>
    <row r="32" customFormat="false" ht="15" hidden="false" customHeight="false" outlineLevel="0" collapsed="false">
      <c r="A32" s="0" t="s">
        <v>260</v>
      </c>
      <c r="B32" s="0" t="s">
        <v>261</v>
      </c>
      <c r="C32" s="0" t="s">
        <v>262</v>
      </c>
      <c r="D32" s="0" t="s">
        <v>192</v>
      </c>
    </row>
    <row r="33" customFormat="false" ht="15" hidden="false" customHeight="false" outlineLevel="0" collapsed="false">
      <c r="A33" s="0" t="s">
        <v>263</v>
      </c>
      <c r="B33" s="0" t="s">
        <v>264</v>
      </c>
      <c r="C33" s="0" t="s">
        <v>265</v>
      </c>
      <c r="D33" s="0" t="s">
        <v>192</v>
      </c>
    </row>
    <row r="34" customFormat="false" ht="15" hidden="false" customHeight="false" outlineLevel="0" collapsed="false">
      <c r="A34" s="0" t="s">
        <v>266</v>
      </c>
      <c r="B34" s="0" t="s">
        <v>267</v>
      </c>
      <c r="C34" s="0" t="s">
        <v>268</v>
      </c>
      <c r="D34" s="0" t="s">
        <v>192</v>
      </c>
    </row>
    <row r="35" customFormat="false" ht="15" hidden="false" customHeight="false" outlineLevel="0" collapsed="false">
      <c r="A35" s="0" t="s">
        <v>269</v>
      </c>
      <c r="B35" s="0" t="s">
        <v>270</v>
      </c>
      <c r="C35" s="0" t="s">
        <v>185</v>
      </c>
      <c r="D35" s="0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2026-10-09T18:34:00Z</dcterms:created>
  <dc:creator>openpyxl</dc:creator>
  <dc:description/>
  <dc:language>en-US</dc:language>
  <cp:lastModifiedBy/>
  <dcterms:modified xsi:type="dcterms:W3CDTF">2026-10-09T18:34:00Z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