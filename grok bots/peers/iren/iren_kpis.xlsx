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KPIs" sheetId="2" state="visible" r:id="rId4"/>
    <sheet name="Inputs" sheetId="3" state="visible" r:id="rId5"/>
    <sheet name="Debt_Facilities" sheetId="4" state="visible" r:id="rId6"/>
    <sheet name="Sources" sheetId="5" state="visible" r:id="rId7"/>
    <sheet name="Definitions" sheetId="6" state="visible" r:id="rId8"/>
    <sheet name="Fiscal_Map" sheetId="7" state="visible" r:id="rId9"/>
    <sheet name="Notes_Gaps" sheetId="8" state="visible" r:id="rId10"/>
    <sheet name="Comparis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GrokBot</author>
  </authors>
  <commentList>
    <comment ref="F8" authorId="0">
      <text>
        <r>
          <rPr>
            <sz val="10"/>
            <rFont val="Arial"/>
            <family val="2"/>
          </rPr>
          <t xml:space="preserve">= sum of at-cost lines, IFRS Note 10 (land 1.911 + buildings 169.765 + P&amp;E 4.704 + mining hw 144.623 + HPC hw 29.603 + development assets 76.904)</t>
        </r>
      </text>
    </comment>
    <comment ref="F15" authorId="0">
      <text>
        <r>
          <rPr>
            <sz val="10"/>
            <rFont val="Arial"/>
            <family val="2"/>
          </rPr>
          <t xml:space="preserve">Q1 FY25 PR economics footnote: '$2.00 per GPU hour revenue assumption' (applied to all Hopper-era quarters)</t>
        </r>
      </text>
    </comment>
    <comment ref="G4" authorId="0">
      <text>
        <r>
          <rPr>
            <sz val="10"/>
            <rFont val="Arial"/>
            <family val="2"/>
          </rPr>
          <t xml:space="preserve">= FY24 3.105 (FY26 10-K segment note, US GAAP recast) - 9M FY24 0.567 (IFRS, FQ3 FY25 MD&amp;A) -&gt; mixed basis</t>
        </r>
      </text>
    </comment>
    <comment ref="G6" authorId="0">
      <text>
        <r>
          <rPr>
            <sz val="10"/>
            <rFont val="Arial"/>
            <family val="2"/>
          </rPr>
          <t xml:space="preserve">= FY24 50.650 (20-F Note 6) - 9M 23.870 (6-K) (IFRS)</t>
        </r>
      </text>
    </comment>
    <comment ref="G7" authorId="0">
      <text>
        <r>
          <rPr>
            <sz val="10"/>
            <rFont val="Arial"/>
            <family val="2"/>
          </rPr>
          <t xml:space="preserve">= FY24 (141.855 + 338.054 mining-hardware prepayments) - 9M (112.664 + 70.638) (IFRS cash flows)</t>
        </r>
      </text>
    </comment>
    <comment ref="G8" authorId="0">
      <text>
        <r>
          <rPr>
            <sz val="10"/>
            <rFont val="Arial"/>
            <family val="2"/>
          </rPr>
          <t xml:space="preserve">= sum of at-cost lines, 20-F Note 14</t>
        </r>
      </text>
    </comment>
    <comment ref="G15" authorId="0">
      <text>
        <r>
          <rPr>
            <sz val="10"/>
            <rFont val="Arial"/>
            <family val="2"/>
          </rPr>
          <t xml:space="preserve">same</t>
        </r>
      </text>
    </comment>
    <comment ref="G36" authorId="0">
      <text>
        <r>
          <rPr>
            <sz val="10"/>
            <rFont val="Arial"/>
            <family val="2"/>
          </rPr>
          <t xml:space="preserve">= FY24 184.087 (FY26 10-K segment note) - 9M FY24 129.827 (IFRS)</t>
        </r>
      </text>
    </comment>
    <comment ref="G42" authorId="0">
      <text>
        <r>
          <rPr>
            <sz val="10"/>
            <rFont val="Arial"/>
            <family val="2"/>
          </rPr>
          <t xml:space="preserve">= FY24 54.7 (IFRS) - 9M 42.5 (IFRS)</t>
        </r>
      </text>
    </comment>
    <comment ref="H8" authorId="0">
      <text>
        <r>
          <rPr>
            <sz val="10"/>
            <rFont val="Arial"/>
            <family val="2"/>
          </rPr>
          <t xml:space="preserve">= sum of at-cost lines, Note 12</t>
        </r>
      </text>
    </comment>
    <comment ref="H15" authorId="0">
      <text>
        <r>
          <rPr>
            <sz val="10"/>
            <rFont val="Arial"/>
            <family val="2"/>
          </rPr>
          <t xml:space="preserve">same</t>
        </r>
      </text>
    </comment>
    <comment ref="I6" authorId="0">
      <text>
        <r>
          <rPr>
            <sz val="10"/>
            <rFont val="Arial"/>
            <family val="2"/>
          </rPr>
          <t xml:space="preserve">= 9M FY25 117.319 - Q3 47.311 - Q1 33.931 (Q3 FY26 10-Q comparatives)</t>
        </r>
      </text>
    </comment>
    <comment ref="I7" authorId="0">
      <text>
        <r>
          <rPr>
            <sz val="10"/>
            <rFont val="Arial"/>
            <family val="2"/>
          </rPr>
          <t xml:space="preserve">YTD difference (10-Q CF)</t>
        </r>
      </text>
    </comment>
    <comment ref="I8" authorId="0">
      <text>
        <r>
          <rPr>
            <sz val="10"/>
            <rFont val="Arial"/>
            <family val="2"/>
          </rPr>
          <t xml:space="preserve">= sum of at-cost lines, Note 12</t>
        </r>
      </text>
    </comment>
    <comment ref="I15" authorId="0">
      <text>
        <r>
          <rPr>
            <sz val="10"/>
            <rFont val="Arial"/>
            <family val="2"/>
          </rPr>
          <t xml:space="preserve">same</t>
        </r>
      </text>
    </comment>
    <comment ref="J7" authorId="0">
      <text>
        <r>
          <rPr>
            <sz val="10"/>
            <rFont val="Arial"/>
            <family val="2"/>
          </rPr>
          <t xml:space="preserve">YTD difference</t>
        </r>
      </text>
    </comment>
    <comment ref="J8" authorId="0">
      <text>
        <r>
          <rPr>
            <sz val="10"/>
            <rFont val="Arial"/>
            <family val="2"/>
          </rPr>
          <t xml:space="preserve">= sum of at-cost lines, Note 13</t>
        </r>
      </text>
    </comment>
    <comment ref="J15" authorId="0">
      <text>
        <r>
          <rPr>
            <sz val="10"/>
            <rFont val="Arial"/>
            <family val="2"/>
          </rPr>
          <t xml:space="preserve">same</t>
        </r>
      </text>
    </comment>
    <comment ref="K6" authorId="0">
      <text>
        <r>
          <rPr>
            <sz val="10"/>
            <rFont val="Arial"/>
            <family val="2"/>
          </rPr>
          <t xml:space="preserve">= FY25 181.136 - 9M 117.319</t>
        </r>
      </text>
    </comment>
    <comment ref="K7" authorId="0">
      <text>
        <r>
          <rPr>
            <sz val="10"/>
            <rFont val="Arial"/>
            <family val="2"/>
          </rPr>
          <t xml:space="preserve">YTD difference (FY25 10-K CF)</t>
        </r>
      </text>
    </comment>
    <comment ref="K15" authorId="0">
      <text>
        <r>
          <rPr>
            <sz val="10"/>
            <rFont val="Arial"/>
            <family val="2"/>
          </rPr>
          <t xml:space="preserve">same</t>
        </r>
      </text>
    </comment>
    <comment ref="K24" authorId="0">
      <text>
        <r>
          <rPr>
            <sz val="10"/>
            <rFont val="Arial"/>
            <family val="2"/>
          </rPr>
          <t xml:space="preserve">= FY25 11.045 - 9M 5.863</t>
        </r>
      </text>
    </comment>
    <comment ref="K35" authorId="0">
      <text>
        <r>
          <rPr>
            <sz val="10"/>
            <rFont val="Arial"/>
            <family val="2"/>
          </rPr>
          <t xml:space="preserve">= FY25 1.319 - 9M 0.843</t>
        </r>
      </text>
    </comment>
    <comment ref="L15" authorId="0">
      <text>
        <r>
          <rPr>
            <sz val="10"/>
            <rFont val="Arial"/>
            <family val="2"/>
          </rPr>
          <t xml:space="preserve">same</t>
        </r>
      </text>
    </comment>
    <comment ref="L19" authorId="0">
      <text>
        <r>
          <rPr>
            <sz val="10"/>
            <rFont val="Arial"/>
            <family val="2"/>
          </rPr>
          <t xml:space="preserve">= (93.363 + 93.410)/195.027</t>
        </r>
      </text>
    </comment>
    <comment ref="L33" authorId="0">
      <text>
        <r>
          <rPr>
            <sz val="10"/>
            <rFont val="Arial"/>
            <family val="2"/>
          </rPr>
          <t xml:space="preserve">= 93.363/195.027</t>
        </r>
      </text>
    </comment>
    <comment ref="M6" authorId="0">
      <text>
        <r>
          <rPr>
            <sz val="10"/>
            <rFont val="Arial"/>
            <family val="2"/>
          </rPr>
          <t xml:space="preserve">= 9M FY26 305.647 - Q3 121.245 - Q1 85.226</t>
        </r>
      </text>
    </comment>
    <comment ref="M7" authorId="0">
      <text>
        <r>
          <rPr>
            <sz val="10"/>
            <rFont val="Arial"/>
            <family val="2"/>
          </rPr>
          <t xml:space="preserve">YTD difference</t>
        </r>
      </text>
    </comment>
    <comment ref="M18" authorId="0">
      <text>
        <r>
          <rPr>
            <sz val="10"/>
            <rFont val="Arial"/>
            <family val="2"/>
          </rPr>
          <t xml:space="preserve">= RPO 0.289 + Microsoft TCV 9.7 (undelivered; 10-Q 'Strategic Customer Agreement')</t>
        </r>
      </text>
    </comment>
    <comment ref="M19" authorId="0">
      <text>
        <r>
          <rPr>
            <sz val="10"/>
            <rFont val="Arial"/>
            <family val="2"/>
          </rPr>
          <t xml:space="preserve">= (150.072 + 135.580)/289.411</t>
        </r>
      </text>
    </comment>
    <comment ref="M24" authorId="0">
      <text>
        <r>
          <rPr>
            <sz val="10"/>
            <rFont val="Arial"/>
            <family val="2"/>
          </rPr>
          <t xml:space="preserve">= 9M 34.785 - Q1 9.280 - Q3 14.837</t>
        </r>
      </text>
    </comment>
    <comment ref="M33" authorId="0">
      <text>
        <r>
          <rPr>
            <sz val="10"/>
            <rFont val="Arial"/>
            <family val="2"/>
          </rPr>
          <t xml:space="preserve">= 150.072/289.411</t>
        </r>
      </text>
    </comment>
    <comment ref="N7" authorId="0">
      <text>
        <r>
          <rPr>
            <sz val="10"/>
            <rFont val="Arial"/>
            <family val="2"/>
          </rPr>
          <t xml:space="preserve">YTD difference</t>
        </r>
      </text>
    </comment>
    <comment ref="N18" authorId="0">
      <text>
        <r>
          <rPr>
            <sz val="10"/>
            <rFont val="Arial"/>
            <family val="2"/>
          </rPr>
          <t xml:space="preserve">= RPO 0.710 + Microsoft 9.7</t>
        </r>
      </text>
    </comment>
    <comment ref="N19" authorId="0">
      <text>
        <r>
          <rPr>
            <sz val="10"/>
            <rFont val="Arial"/>
            <family val="2"/>
          </rPr>
          <t xml:space="preserve">= (307.950 + 265.198)/710.272</t>
        </r>
      </text>
    </comment>
    <comment ref="N33" authorId="0">
      <text>
        <r>
          <rPr>
            <sz val="10"/>
            <rFont val="Arial"/>
            <family val="2"/>
          </rPr>
          <t xml:space="preserve">= 307.950/710.272</t>
        </r>
      </text>
    </comment>
    <comment ref="O4" authorId="0">
      <text>
        <r>
          <rPr>
            <sz val="10"/>
            <rFont val="Arial"/>
            <family val="2"/>
          </rPr>
          <t xml:space="preserve">= FY26 128.795 (FY26 10-K segment note) - 9M 58.280 (Q3 FY26 10-Q)</t>
        </r>
      </text>
    </comment>
    <comment ref="O6" authorId="0">
      <text>
        <r>
          <rPr>
            <sz val="10"/>
            <rFont val="Arial"/>
            <family val="2"/>
          </rPr>
          <t xml:space="preserve">= FY26 417.729 - 9M 305.647</t>
        </r>
      </text>
    </comment>
    <comment ref="O7" authorId="0">
      <text>
        <r>
          <rPr>
            <sz val="10"/>
            <rFont val="Arial"/>
            <family val="2"/>
          </rPr>
          <t xml:space="preserve">YTD difference (FY26 10-K CF)</t>
        </r>
      </text>
    </comment>
    <comment ref="O19" authorId="0">
      <text>
        <r>
          <rPr>
            <sz val="10"/>
            <rFont val="Arial"/>
            <family val="2"/>
          </rPr>
          <t xml:space="preserve">= (0.9 + 1.3)/5.1 (10-K FY26 RPO maturity)</t>
        </r>
      </text>
    </comment>
    <comment ref="O24" authorId="0">
      <text>
        <r>
          <rPr>
            <sz val="10"/>
            <rFont val="Arial"/>
            <family val="2"/>
          </rPr>
          <t xml:space="preserve">= FY26 59.251 - 9M 34.785</t>
        </r>
      </text>
    </comment>
    <comment ref="O33" authorId="0">
      <text>
        <r>
          <rPr>
            <sz val="10"/>
            <rFont val="Arial"/>
            <family val="2"/>
          </rPr>
          <t xml:space="preserve">= 0.9/5.1</t>
        </r>
      </text>
    </comment>
    <comment ref="O35" authorId="0">
      <text>
        <r>
          <rPr>
            <sz val="10"/>
            <rFont val="Arial"/>
            <family val="2"/>
          </rPr>
          <t xml:space="preserve">= FY26 16.932 - 9M 7.720</t>
        </r>
      </text>
    </comment>
    <comment ref="O36" authorId="0">
      <text>
        <r>
          <rPr>
            <sz val="10"/>
            <rFont val="Arial"/>
            <family val="2"/>
          </rPr>
          <t xml:space="preserve">= FY26 578.212 - 9M 511.502</t>
        </r>
      </text>
    </comment>
    <comment ref="O38" authorId="0">
      <text>
        <r>
          <rPr>
            <sz val="10"/>
            <rFont val="Arial"/>
            <family val="2"/>
          </rPr>
          <t xml:space="preserve">= Bitcoin ~380MW (10-K FY26 'approximately 23.2 EH/s, representing approximately 380MW') + AI ~40MW</t>
        </r>
      </text>
    </comment>
  </commentList>
</comments>
</file>

<file path=xl/sharedStrings.xml><?xml version="1.0" encoding="utf-8"?>
<sst xmlns="http://schemas.openxmlformats.org/spreadsheetml/2006/main" count="3843" uniqueCount="726">
  <si>
    <t xml:space="preserve">Peer KPI comps - IREN Ltd (NASDAQ: IREN), AI Cloud perimeter, calendar Q1'24-Q2'26. Built 2026-10-05 (ET) for the Nebius (NBIS) project. File: /workspace/nebius/peers/iren/iren_kpis.xlsx; builder: build_iren_kpis.py (same folder) on shared engine /workspace/nebius/peers/peer_kpi_template.py.</t>
  </si>
  <si>
    <t xml:space="preserve">TEMPLATE: identical to peers/coreweave/crwv_kpis.xlsx - same row IDs (I01-I27, K01-K40), definitions D1-D8, tag colours and sourcing rules. Phase-2 extensions: I28-I32 / K41-K45 (useful life, reported GPU utilization, RPO&lt;12m, incremental rev per incremental MW, revenue / GPU hardware, segment gross margin); I40+ / M01+ are IREN-specific memo rows (mining split).</t>
  </si>
  <si>
    <t xml:space="preserve">FISCAL MAPPING: IREN FY ends 30-Jun, so fiscal quarters end on calendar quarter-ends -&gt; exact mapping (Q1'24 = FQ3 FY24 Mar-24 ... Q2'26 = FQ4 FY26 Jun-26). See Fiscal_Map tab and row 2 of KPIs/Inputs.</t>
  </si>
  <si>
    <t xml:space="preserve">PERIMETER: I01 = AI Cloud Services segment revenue; MW/GPUs = AI only. Bitcoin mining shown separately (I40, I44-I48, M01-M04). Capex, D&amp;A, PP&amp;E, debt are company-wide (not segmented) - KPIs mixing perimeters are suppressed (n/d with explanation) or labelled company-wide.</t>
  </si>
  <si>
    <t xml:space="preserve">ACCOUNTING BASIS: IFRS for FQ3 FY24-FQ3 FY25 (6-K / 20-F); US GAAP from FY25 10-K (FY24/FY25 recast). Basis breaks are flagged on each input.</t>
  </si>
  <si>
    <t xml:space="preserve">TAGS / COLOURS: blue = Reported; black = Derived (arithmetic; formula in Sources); orange = Estimated (assumption); grey n/d. KPI tag = weakest input.</t>
  </si>
  <si>
    <t xml:space="preserve">UNITS: $M unless stated; $/MW KPIs annualized ($M per MW-year); $/GPU in $K per GPU-year.</t>
  </si>
  <si>
    <t xml:space="preserve">Multi-peer Comparison tab: /workspace/nebius/peers/comparison.xlsx (built by peers/build_comparison.py).</t>
  </si>
  <si>
    <t xml:space="preserve">KPIs - IREN (IREN) - AI Cloud perimeter - quarterly, Nebius definitions (Definitions tab). Value row = live formula; row below = tag (weakest input). Row 2 = fiscal quarter mapped to each calendar column.</t>
  </si>
  <si>
    <t xml:space="preserve">FQ2 FY24 (Dec-23)</t>
  </si>
  <si>
    <t xml:space="preserve">FQ3 FY24 (Mar-24)</t>
  </si>
  <si>
    <t xml:space="preserve">FQ4 FY24 (Jun-24)</t>
  </si>
  <si>
    <t xml:space="preserve">FQ1 FY25 (Sep-24)</t>
  </si>
  <si>
    <t xml:space="preserve">FQ2 FY25 (Dec-24)</t>
  </si>
  <si>
    <t xml:space="preserve">FQ3 FY25 (Mar-25)</t>
  </si>
  <si>
    <t xml:space="preserve">FQ4 FY25 (Jun-25)</t>
  </si>
  <si>
    <t xml:space="preserve">FQ1 FY26 (Sep-25)</t>
  </si>
  <si>
    <t xml:space="preserve">FQ2 FY26 (Dec-25)</t>
  </si>
  <si>
    <t xml:space="preserve">FQ3 FY26 (Mar-26)</t>
  </si>
  <si>
    <t xml:space="preserve">FQ4 FY26 (Jun-26)</t>
  </si>
  <si>
    <t xml:space="preserve">ID</t>
  </si>
  <si>
    <t xml:space="preserve">KPI</t>
  </si>
  <si>
    <t xml:space="preserve">Unit</t>
  </si>
  <si>
    <t xml:space="preserve">Def</t>
  </si>
  <si>
    <t xml:space="preserve">Q4'23*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</si>
  <si>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</si>
  <si>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</si>
  <si>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</si>
  <si>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</si>
  <si>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</si>
  <si>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</si>
  <si>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</si>
  <si>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</si>
  <si>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</si>
  <si>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Q2'26</t>
  </si>
  <si>
    <t xml:space="preserve">Method / caveat (IREN (IREN) - AI Cloud perimeter)</t>
  </si>
  <si>
    <t xml:space="preserve">A. Revenue per MW ($M per MW-year, annualized: quarterly revenue x 4 / MW)</t>
  </si>
  <si>
    <t xml:space="preserve">K01</t>
  </si>
  <si>
    <t xml:space="preserve">Revenue per active MW - period-end MW</t>
  </si>
  <si>
    <t xml:space="preserve">$M/MW-yr</t>
  </si>
  <si>
    <t xml:space="preserve">D1</t>
  </si>
  <si>
    <t xml:space="preserve">n/d</t>
  </si>
  <si>
    <t xml:space="preserve">AI Cloud revenue x4 / operating AI MW. Only Jun-26 MW reported (~40MW, basis unstated). IREN FY26 PR: recent 3-yr contracts '&gt;$20m revenue per MW (IT)', active discussions at ~$25m/MW -&gt; fleet 7.1 reflects legacy Hopper/on-demand mix and capacity live &lt;1 quarter.</t>
  </si>
  <si>
    <t xml:space="preserve">   tag</t>
  </si>
  <si>
    <t xml:space="preserve">Derived</t>
  </si>
  <si>
    <t xml:space="preserve">K02</t>
  </si>
  <si>
    <t xml:space="preserve">Revenue per active MW - average MW</t>
  </si>
  <si>
    <t xml:space="preserve">Average-MW variant. MW ESTIMATED from GPUs / 713 per IT-MW through Sep-25; Dec-25/Mar-26 MW n/d so Q4'25-Q2'26 n/d.</t>
  </si>
  <si>
    <t xml:space="preserve">Estimated</t>
  </si>
  <si>
    <t xml:space="preserve">K03</t>
  </si>
  <si>
    <t xml:space="preserve">Revenue per contracted MW</t>
  </si>
  <si>
    <t xml:space="preserve">n/d - no contracted-MW metric (Microsoft = 4 x 50MW IT Horizons; other contracts' MW not disclosed).</t>
  </si>
  <si>
    <t xml:space="preserve">K04</t>
  </si>
  <si>
    <t xml:space="preserve">Contracted / active MW (build-out multiple)</t>
  </si>
  <si>
    <t xml:space="preserve">x</t>
  </si>
  <si>
    <t xml:space="preserve">n/d (no contracted MW).</t>
  </si>
  <si>
    <t xml:space="preserve">K05</t>
  </si>
  <si>
    <t xml:space="preserve">Adj. EBITDA per active MW (average MW)</t>
  </si>
  <si>
    <t xml:space="preserve">n/d - IREN reports Adj. EBITDA only company-wide (memo I47; FY26 $245.7M incl. mining). See K45 for AI segment gross margin.</t>
  </si>
  <si>
    <t xml:space="preserve">B. Revenue per GPU and implied utilization</t>
  </si>
  <si>
    <t xml:space="preserve">K06</t>
  </si>
  <si>
    <t xml:space="preserve">Revenue per GPU ($K per GPU-year, avg GPUs)</t>
  </si>
  <si>
    <t xml:space="preserve">$K/GPU-yr</t>
  </si>
  <si>
    <t xml:space="preserve">D2</t>
  </si>
  <si>
    <t xml:space="preserve">Avg GPUs (I11A) reported except Sep-24 (Estimated). Last computable Q3'25 (GPU counts stop). Q2'26 memo M07 uses estimated period-end GPUs.</t>
  </si>
  <si>
    <t xml:space="preserve">K07</t>
  </si>
  <si>
    <t xml:space="preserve">Implied blended realized price ($/GPU-hr)</t>
  </si>
  <si>
    <t xml:space="preserve">$/GPU-hr</t>
  </si>
  <si>
    <t xml:space="preserve">All-in AI revenue per GPU-hour on operating GPUs. Note: IREN H100/H200 fleet; GPUs listed as 'operating' may include unrented capacity.</t>
  </si>
  <si>
    <t xml:space="preserve">K08</t>
  </si>
  <si>
    <t xml:space="preserve">Fleet-weighted on-demand list price ($/GPU-hr)</t>
  </si>
  <si>
    <t xml:space="preserve">D3</t>
  </si>
  <si>
    <t xml:space="preserve">ESTIMATED: IREN publishes no list price; uses IREN's own $2.00/GPU-hr 100%-uptime revenue assumption (Q1 FY25 PR). Different basis from CRWV/Nebius (on-demand list).</t>
  </si>
  <si>
    <t xml:space="preserve">K09</t>
  </si>
  <si>
    <t xml:space="preserve">Implied utilization (realized $/GPU-hr / weighted list)</t>
  </si>
  <si>
    <t xml:space="preserve">%</t>
  </si>
  <si>
    <t xml:space="preserve">Realized $/GPU-hr / IREN's own $2.00 assumption -&gt; closer to a physical-utilization x price-realization index than CRWV/Nebius (list-based, which embeds contract discounts). Not comparable 1:1.</t>
  </si>
  <si>
    <t xml:space="preserve">C. Capex per MW ($M per MW)</t>
  </si>
  <si>
    <t xml:space="preserve">K10</t>
  </si>
  <si>
    <t xml:space="preserve">Cash capex per new active MW</t>
  </si>
  <si>
    <t xml:space="preserve">$M/MW</t>
  </si>
  <si>
    <t xml:space="preserve">D4</t>
  </si>
  <si>
    <t xml:space="preserve">n/d - capex is company-wide (mining + AI; no split) and AI MW is n/d quarterly. Context: FY26 cash capex $4.33B vs +~37MW operating AI MW = $116M/MW, meaningless because $3.66B sits in CIP (Childress Horizons, Sweetwater) not yet operating.</t>
  </si>
  <si>
    <t xml:space="preserve">K11</t>
  </si>
  <si>
    <t xml:space="preserve">Cash capex per new active MW (incl. estimated MW)</t>
  </si>
  <si>
    <t xml:space="preserve">n/d (see K10).</t>
  </si>
  <si>
    <t xml:space="preserve">K12</t>
  </si>
  <si>
    <t xml:space="preserve">In-service additions per new active MW</t>
  </si>
  <si>
    <t xml:space="preserve">n/d (no AI new-MW series).</t>
  </si>
  <si>
    <t xml:space="preserve">K13</t>
  </si>
  <si>
    <t xml:space="preserve">Trailing-4Q cash capex per trailing-4Q new active MW</t>
  </si>
  <si>
    <t xml:space="preserve">Suppressed: trailing-4Q company capex / AI MW added would be ~116 $M/MW (timing + perimeter mismatch). See memo M06 (GPU hardware per AI MW).</t>
  </si>
  <si>
    <t xml:space="preserve">K14</t>
  </si>
  <si>
    <t xml:space="preserve">Net PP&amp;E per active MW (EoP)</t>
  </si>
  <si>
    <t xml:space="preserve">n/d on AI perimeter (net PP&amp;E is company-wide). Company-wide analogue in memo M05 (net PP&amp;E / total operating DC MW).</t>
  </si>
  <si>
    <t xml:space="preserve">K15</t>
  </si>
  <si>
    <t xml:space="preserve">Gross in-service PP&amp;E per active MW (EoP)</t>
  </si>
  <si>
    <t xml:space="preserve">n/d on AI perimeter. AI-only analogue: memo M06 = GPU hardware gross / AI MW.</t>
  </si>
  <si>
    <t xml:space="preserve">D. D&amp;A useful lives and depreciation yield</t>
  </si>
  <si>
    <t xml:space="preserve">K16</t>
  </si>
  <si>
    <t xml:space="preserve">Useful life - GPU / server equipment</t>
  </si>
  <si>
    <t xml:space="preserve">years</t>
  </si>
  <si>
    <t xml:space="preserve">D5</t>
  </si>
  <si>
    <t xml:space="preserve">10-K FY26 / FY25 / 20-F FY24 useful-life table: HPC (GPU) hardware 5 yrs; mining hardware 4 yrs (2 yrs for S19j Pro/S19 Pro from FY24); buildings 20. No change to GPU life FY24-FY26. Nebius: 4-&gt;5 yrs from 1-Jan-2026; CRWV 6 yrs.</t>
  </si>
  <si>
    <t xml:space="preserve">Reported</t>
  </si>
  <si>
    <t xml:space="preserve">K17</t>
  </si>
  <si>
    <t xml:space="preserve">Depreciation yield (D&amp;A x4 / avg in-service gross PP&amp;E)</t>
  </si>
  <si>
    <t xml:space="preserve">Company-wide D&amp;A x4 / avg in-service gross PP&amp;E (gross - CIP - impairment). Q3'24-Q1'25 IFRS, Q2'25 straddles IFRS-&gt;GAAP. High yields reflect 2-4 yr mining hardware lives; falling to ~10% as GPU (5y) and buildings (20y) dominate.</t>
  </si>
  <si>
    <t xml:space="preserve">K18</t>
  </si>
  <si>
    <t xml:space="preserve">Implied average depreciable life (1 / yield)</t>
  </si>
  <si>
    <t xml:space="preserve">K19</t>
  </si>
  <si>
    <t xml:space="preserve">D&amp;A as % of revenue (company D&amp;A / total revenue)</t>
  </si>
  <si>
    <t xml:space="preserve">Overridden to company-wide denominator (D&amp;A is not segmented).</t>
  </si>
  <si>
    <t xml:space="preserve">E. Backlog / RPO</t>
  </si>
  <si>
    <t xml:space="preserve">K20</t>
  </si>
  <si>
    <t xml:space="preserve">RPO (ASC 606, EoP)</t>
  </si>
  <si>
    <t xml:space="preserve">$B</t>
  </si>
  <si>
    <t xml:space="preserve">D6</t>
  </si>
  <si>
    <t xml:space="preserve">AI Cloud RPO only (mining has none). Microsoft $9.7B enters RPO tranche-by-tranche on delivery; Jun-26 RPO $5.1B excludes $11.4B ASC 842 lease value (K21).</t>
  </si>
  <si>
    <t xml:space="preserve">K21</t>
  </si>
  <si>
    <t xml:space="preserve">Revenue backlog (company metric / incl. contracted non-RPO, EoP)</t>
  </si>
  <si>
    <t xml:space="preserve">RPO + contracted value outside RPO: Dec-25/Mar-26 = RPO + undelivered Microsoft TCV (Derived, lower bound); Jun-26 = $16.6B reported (RPO 5.1 + ASC 842 11.4). Microsoft ~$9.7B (~58%) + NVIDIA $3.4B (~20%) = 'substantial majority' (Derived concentration).</t>
  </si>
  <si>
    <t xml:space="preserve">K22</t>
  </si>
  <si>
    <t xml:space="preserve">RPO % recognized within 24 months</t>
  </si>
  <si>
    <t xml:space="preserve">Derived from RPO maturity buckets (0-12m, 13-24m). Jun-26 43% (CRWV 41%, Nebius 36%).</t>
  </si>
  <si>
    <t xml:space="preserve">K23</t>
  </si>
  <si>
    <t xml:space="preserve">RPO / annualized quarterly revenue</t>
  </si>
  <si>
    <t xml:space="preserve">RPO / (AI Cloud quarterly revenue x4).</t>
  </si>
  <si>
    <t xml:space="preserve">F. Customer concentration (% of quarter revenue; customers &lt;10% not disclosed)</t>
  </si>
  <si>
    <t xml:space="preserve">K24</t>
  </si>
  <si>
    <t xml:space="preserve">Largest customer % of revenue</t>
  </si>
  <si>
    <t xml:space="preserve">D7</t>
  </si>
  <si>
    <t xml:space="preserve">n/d - IREN does not disclose AI customer revenue shares. Mining revenue via 3 pools (97% of FY25 revenue). Backlog concentration (K21 note): Microsoft ~58%, NVIDIA ~20% of $16.6B.</t>
  </si>
  <si>
    <t xml:space="preserve">K25</t>
  </si>
  <si>
    <t xml:space="preserve">2nd-largest customer %</t>
  </si>
  <si>
    <t xml:space="preserve">K26</t>
  </si>
  <si>
    <t xml:space="preserve">Top-N &gt;=10% customers combined %</t>
  </si>
  <si>
    <t xml:space="preserve">K27</t>
  </si>
  <si>
    <t xml:space="preserve">Number of customers &gt;=10% of revenue</t>
  </si>
  <si>
    <t xml:space="preserve">#</t>
  </si>
  <si>
    <t xml:space="preserve">G. Funding cost (% p.a.)</t>
  </si>
  <si>
    <t xml:space="preserve">K28</t>
  </si>
  <si>
    <t xml:space="preserve">Weighted effective cost of debt (principal-weighted, EoP) - all facilities</t>
  </si>
  <si>
    <t xml:space="preserve">D8</t>
  </si>
  <si>
    <t xml:space="preserve">Principal-weighted effective rates (converts at 0.4-4.2% effective dominate). Jun-26 incl. first secured GPU debt (DDTL 7.12%, USPP 7.05%). comps.csv had 1.85% (consistent).</t>
  </si>
  <si>
    <t xml:space="preserve">K29</t>
  </si>
  <si>
    <t xml:space="preserve">  of which DDTL - weighted eff. rate</t>
  </si>
  <si>
    <t xml:space="preserve">GPU DDTL (non-recourse, SOFR+2.25%), first drawn FY26 Q4.</t>
  </si>
  <si>
    <t xml:space="preserve">K30</t>
  </si>
  <si>
    <t xml:space="preserve">  of which Senior notes - weighted eff. rate</t>
  </si>
  <si>
    <t xml:space="preserve">USPP senior secured notes (5.96% coupon; 7.05% effective).</t>
  </si>
  <si>
    <t xml:space="preserve">K31</t>
  </si>
  <si>
    <t xml:space="preserve">  of which Converts - weighted eff. rate</t>
  </si>
  <si>
    <t xml:space="preserve">Convertible notes (zero/low coupon; effective incl. issuance costs).</t>
  </si>
  <si>
    <t xml:space="preserve">K32</t>
  </si>
  <si>
    <t xml:space="preserve">  of which OEM / vendor financing - weighted eff. rate</t>
  </si>
  <si>
    <t xml:space="preserve">n/d where facility type not outstanding.</t>
  </si>
  <si>
    <t xml:space="preserve">K33</t>
  </si>
  <si>
    <t xml:space="preserve">  of which Revolver - weighted eff. rate</t>
  </si>
  <si>
    <t xml:space="preserve">K34</t>
  </si>
  <si>
    <t xml:space="preserve">  of which Other term loans - weighted eff. rate</t>
  </si>
  <si>
    <t xml:space="preserve">K35</t>
  </si>
  <si>
    <t xml:space="preserve">DDTL share of principal</t>
  </si>
  <si>
    <t xml:space="preserve">K36</t>
  </si>
  <si>
    <t xml:space="preserve">Implied cash cost: interest x4 / avg principal</t>
  </si>
  <si>
    <t xml:space="preserve">Finance expense (incl. issuance-cost amortization, finance-lease interest) x4 / avg principal. Annual contractual interest: FY26 $37.2M / avg debt (990; 7,706) = 0.85% (contractual coupons only).</t>
  </si>
  <si>
    <t xml:space="preserve">K37</t>
  </si>
  <si>
    <t xml:space="preserve">Company-reported weighted average interest rate</t>
  </si>
  <si>
    <t xml:space="preserve">K38</t>
  </si>
  <si>
    <t xml:space="preserve">Total debt principal (EoP)</t>
  </si>
  <si>
    <t xml:space="preserve">Excl. GPU finance leases ($243.8M at Jun-26).</t>
  </si>
  <si>
    <t xml:space="preserve">K39</t>
  </si>
  <si>
    <t xml:space="preserve">Debt principal / RPO</t>
  </si>
  <si>
    <t xml:space="preserve">K40</t>
  </si>
  <si>
    <t xml:space="preserve">Capitalized interest % of contractual interest</t>
  </si>
  <si>
    <t xml:space="preserve">n/d (capitalized interest not disclosed quarterly).</t>
  </si>
  <si>
    <t xml:space="preserve">H. Template extensions added in phase 2 (K41+; n/d for CoreWeave unless stated)</t>
  </si>
  <si>
    <t xml:space="preserve">K41</t>
  </si>
  <si>
    <t xml:space="preserve">Company-reported GPU utilization (physical)</t>
  </si>
  <si>
    <t xml:space="preserve">n/d - IREN does not publish GPU utilization.</t>
  </si>
  <si>
    <t xml:space="preserve">K42</t>
  </si>
  <si>
    <t xml:space="preserve">RPO % recognized within 12 months</t>
  </si>
  <si>
    <t xml:space="preserve">Derived from RPO maturity buckets.</t>
  </si>
  <si>
    <t xml:space="preserve">K43</t>
  </si>
  <si>
    <t xml:space="preserve">Incremental annualized revenue per incremental MW (YoY)</t>
  </si>
  <si>
    <t xml:space="preserve">(AI rev Q2'26 - Q2'25) x4 / (40 MW - est. 2.7 MW at Jun-25). Estimated (Jun-25 MW from GPUs/713). Contract-level IREN claim: &gt;$20M/MW (IT) on recent 3-yr contracts.</t>
  </si>
  <si>
    <t xml:space="preserve">K44</t>
  </si>
  <si>
    <t xml:space="preserve">Annualized revenue / avg gross GPU-compute hardware in service</t>
  </si>
  <si>
    <t xml:space="preserve">AI revenue x4 / avg owned GPU hardware gross (excl. finance-lease ROU and CIP). Falls in Q4'25-Q2'26 because large GPU batches were capitalized ahead of revenue ramp (Horizon/Microsoft).</t>
  </si>
  <si>
    <t xml:space="preserve">K45</t>
  </si>
  <si>
    <t xml:space="preserve">Segment gross margin (revenue - cost of revenue excl. D&amp;A) / revenue</t>
  </si>
  <si>
    <t xml:space="preserve">AI segment (revenue - segment cost of revenue excl. D&amp;A) / revenue; costs mostly power.</t>
  </si>
  <si>
    <t xml:space="preserve">M. Peer-specific memo KPIs (not in template; see method column)</t>
  </si>
  <si>
    <t xml:space="preserve">M01</t>
  </si>
  <si>
    <t xml:space="preserve">AI Cloud share of total revenue</t>
  </si>
  <si>
    <t xml:space="preserve">Mining-to-AI transition: &lt;2% (2024) -&gt; 51% (Q2'26).</t>
  </si>
  <si>
    <t xml:space="preserve">M02</t>
  </si>
  <si>
    <t xml:space="preserve">Bitcoin mining revenue per mining MW (annualized)</t>
  </si>
  <si>
    <t xml:space="preserve">Mining MW ESTIMATED (total DC MW - AI MW) except Jun-26; avg of open/close. Contrast with AI rev/MW (K01/K02).</t>
  </si>
  <si>
    <t xml:space="preserve">M03</t>
  </si>
  <si>
    <t xml:space="preserve">AI MW share of operating data-center MW</t>
  </si>
  <si>
    <t xml:space="preserve">Estimated (AI MW from GPUs) except Jun-26 (40/420).</t>
  </si>
  <si>
    <t xml:space="preserve">M04</t>
  </si>
  <si>
    <t xml:space="preserve">Installed hashrate</t>
  </si>
  <si>
    <t xml:space="preserve">EH/s</t>
  </si>
  <si>
    <t xml:space="preserve">Peak 50 EH/s (Jun/Sep-25) -&gt; 23.2 EH/s as ASICs replaced by GPUs.</t>
  </si>
  <si>
    <t xml:space="preserve">M05</t>
  </si>
  <si>
    <t xml:space="preserve">Net PP&amp;E per total operating DC MW (company-wide)</t>
  </si>
  <si>
    <t xml:space="preserve">Company-wide; includes CIP for unbuilt capacity (Jun-26 CIP $3.7B).</t>
  </si>
  <si>
    <t xml:space="preserve">M06</t>
  </si>
  <si>
    <t xml:space="preserve">Owned GPU hardware (gross) per AI MW</t>
  </si>
  <si>
    <t xml:space="preserve">Hopper era ~$11-13M/MW (est. MW). Jun-26 $51M/MW suggests GPU hardware in service well ahead of 'operating' AI MW (40MW) - or MW stated on a different basis.</t>
  </si>
  <si>
    <t xml:space="preserve">M07</t>
  </si>
  <si>
    <t xml:space="preserve">Revenue per GPU on period-end est. GPUs ($K/GPU-yr) - Q2'26 bridge</t>
  </si>
  <si>
    <t xml:space="preserve">Estimated GPUs (40MW x 538). Range on 19.6k-32k GPUs: $8.8K-14.4K.</t>
  </si>
  <si>
    <t xml:space="preserve">M08</t>
  </si>
  <si>
    <t xml:space="preserve">Company Adj. EBITDA margin</t>
  </si>
  <si>
    <t xml:space="preserve">Company-wide; Q2'26 compressed by AI ramp costs and shrinking mining.</t>
  </si>
  <si>
    <t xml:space="preserve">M09</t>
  </si>
  <si>
    <t xml:space="preserve">Secured grid power / operating DC MW</t>
  </si>
  <si>
    <t xml:space="preserve">Pipeline multiple (company-wide).</t>
  </si>
  <si>
    <t xml:space="preserve">Inputs - IREN (IREN) - AI Cloud perimeter. Reported (blue), derived (black), estimated (orange), n/d (grey). Per-cell source detail on Sources tab. Row 2 = fiscal quarter / period end mapped to each calendar column.</t>
  </si>
  <si>
    <t xml:space="preserve">Item</t>
  </si>
  <si>
    <t xml:space="preserve">Tag mix</t>
  </si>
  <si>
    <t xml:space="preserve">Source summary / notes</t>
  </si>
  <si>
    <t xml:space="preserve">I01</t>
  </si>
  <si>
    <t xml:space="preserve">AI Cloud Services revenue (segment)</t>
  </si>
  <si>
    <t xml:space="preserve">$M</t>
  </si>
  <si>
    <t xml:space="preserve">Derived/Reported</t>
  </si>
  <si>
    <t xml:space="preserve">6-K FQ3 FY25 (Mar-25 qtr; IFRS) - interim FS / MD&amp;A Ex.99.4 / PR, filed 2025-05; 10-K FY26 (FYE 30-Jun-2026), filed 2026-08-27; 10-Q FQ1 FY26 (Sep-25 qtr), filed 2025-11-06; 10-Q FQ2 FY26 (Dec-25 qtr), filed 2026-02-05; 10-Q FQ3 FY26 (Mar-26 qtr), filed 2026-05-07; 10-K FY25 (FYE 30-Jun-2025; first US GAAP annual; incl. unaudited quarterly table), filed 2025-08-28 | NOTE: KPI perimeter = AI Cloud Services segment only (all AI revenue generated in Canada through FY26 Q3 per 10-Q; Childress Texas from H2 CY26). 2024 quarters (FQ3-FQ4 FY24) are IFRS; from FY25 10-K onward US GAAP (FY24/FY25 recast).</t>
  </si>
  <si>
    <t xml:space="preserve">I02</t>
  </si>
  <si>
    <t xml:space="preserve">Adj. EBITDA of KPI perimeter (AI segment)</t>
  </si>
  <si>
    <t xml:space="preserve"> | NOTE: n/d: IREN reports Adj. EBITDA only company-wide (memo I47). Segment measure is gross profit excl. D&amp;A (see K45).</t>
  </si>
  <si>
    <t xml:space="preserve">I03</t>
  </si>
  <si>
    <t xml:space="preserve">Depreciation &amp; amortization (company-wide, P&amp;L)</t>
  </si>
  <si>
    <t xml:space="preserve">6-K FQ3 FY24 (Mar-24 qtr; IFRS) - Ex.99.1 results PR / Ex.99.3 interim financial statements, filed 2024-05-15; Form 20-F FY24 (FYE 30-Jun-2024; IFRS), filed 2024-08-28; 10-Q FQ1 FY26 (Sep-25 qtr), filed 2025-11-06; 10-Q FQ3 FY26 (Mar-26 qtr), filed 2026-05-07; 10-K FY25 (FYE 30-Jun-2025; first US GAAP annual; incl. unaudited quarterly table), filed 2025-08-28; 10-K FY26 (FYE 30-Jun-2026), filed 2026-08-27 | NOTE: Company-wide (mining + AI + buildings); IREN does not allocate D&amp;A to segments.</t>
  </si>
  <si>
    <t xml:space="preserve">I04</t>
  </si>
  <si>
    <t xml:space="preserve">Cash capex (company-wide: PP&amp;E net of hardware prepayments + computer/mining hardware incl. prepayments)</t>
  </si>
  <si>
    <t xml:space="preserve">Form 20-F FY24 (FYE 30-Jun-2024; IFRS), filed 2024-08-28; 10-Q FQ1 FY26 (Sep-25 qtr), filed 2025-11-06; 10-Q FQ2 FY26 (Dec-25 qtr), filed 2026-02-05; 10-Q FQ3 FY26 (Mar-26 qtr), filed 2026-05-07; 10-K FY25 (FYE 30-Jun-2025; first US GAAP annual; incl. unaudited quarterly table), filed 2025-08-28; 10-K FY26 (FYE 30-Jun-2026), filed 2026-08-27 | NOTE: Company-wide; not split AI vs mining. FY26 capex is predominantly AI (Childress Horizon GPU halls, BC ASIC-&gt;GPU conversions, GPUs) but no split is disclosed.</t>
  </si>
  <si>
    <t xml:space="preserve">I05</t>
  </si>
  <si>
    <t xml:space="preserve">Gross property, plant &amp; equipment (EoP)</t>
  </si>
  <si>
    <t xml:space="preserve">6-K FQ3 FY24 (Mar-24 qtr; IFRS) - Ex.99.1 results PR / Ex.99.3 interim financial statements, filed 2024-05-15; Form 20-F FY24 (FYE 30-Jun-2024; IFRS), filed 2024-08-28; 6-K FQ1 FY25 (Sep-24 qtr; IFRS) - interim FS + results PR, filed 2024-11; 6-K FQ2 FY25 (Dec-24 qtr; IFRS) - interim FS / MD&amp;A Ex.99.4 / PR, filed 2025-02; 6-K FQ3 FY25 (Mar-25 qtr; IFRS) - interim FS / MD&amp;A Ex.99.4 / PR, filed 2025-05; 10-K FY25 (FYE 30-Jun-2025; first US GAAP annual; incl. unaudited quarterly table), filed 2025-08-28; 10-Q FQ1 FY26 (Sep-25 qtr), filed 2025-11-06; 10-Q FQ2 FY26 (Dec-25 qtr), filed 2026-02-05; 10-Q FQ3 FY26 (Mar-26 qtr), filed 2026-05-07; 10-K FY26 (FYE 30-Jun-2026), filed 2026-08-27 | NOTE: IFRS (to Mar-25) shows accumulated impairment separately from gross; GAAP (Jun-25+) likewise ('Less: Impairment'). Basis break between Mar-25 and Jun-25.</t>
  </si>
  <si>
    <t xml:space="preserve">I06</t>
  </si>
  <si>
    <t xml:space="preserve">Construction in progress / development assets (EoP; not in service)</t>
  </si>
  <si>
    <t xml:space="preserve">6-K FQ3 FY24 (Mar-24 qtr; IFRS) - Ex.99.1 results PR / Ex.99.3 interim financial statements, filed 2024-05-15; Form 20-F FY24 (FYE 30-Jun-2024; IFRS), filed 2024-08-28; 6-K FQ1 FY25 (Sep-24 qtr; IFRS) - interim FS + results PR, filed 2024-11; 6-K FQ2 FY25 (Dec-24 qtr; IFRS) - interim FS / MD&amp;A Ex.99.4 / PR, filed 2025-02; 6-K FQ3 FY25 (Mar-25 qtr; IFRS) - interim FS / MD&amp;A Ex.99.4 / PR, filed 2025-05; 10-K FY25 (FYE 30-Jun-2025; first US GAAP annual; incl. unaudited quarterly table), filed 2025-08-28; 10-Q FQ1 FY26 (Sep-25 qtr), filed 2025-11-06; 10-Q FQ2 FY26 (Dec-25 qtr), filed 2026-02-05; 10-Q FQ3 FY26 (Mar-26 qtr), filed 2026-05-07; 10-K FY26 (FYE 30-Jun-2026), filed 2026-08-27</t>
  </si>
  <si>
    <t xml:space="preserve">I07</t>
  </si>
  <si>
    <t xml:space="preserve">Property, plant &amp; equipment, net (EoP)</t>
  </si>
  <si>
    <t xml:space="preserve">I08</t>
  </si>
  <si>
    <t xml:space="preserve">Technology equipment, gross (CRWV row; n/d - see I31 GPU hardware, I48 mining hardware)</t>
  </si>
  <si>
    <t xml:space="preserve">I09</t>
  </si>
  <si>
    <t xml:space="preserve">Operating AI Cloud capacity, reported (EoP)</t>
  </si>
  <si>
    <t xml:space="preserve">MW</t>
  </si>
  <si>
    <t xml:space="preserve">10-K FY26 (FYE 30-Jun-2026), filed 2026-08-27 | NOTE: Only AI MW figure IREN has disclosed. Basis (IT vs gross) not stated. Earlier quarters estimated from GPUs (I09E). Dec-25/Mar-26: n/d (GPU counts no longer disclosed; Horizon 1 at Childress (50MW IT) delivered to Microsoft only after FY26 per FY26 PR).</t>
  </si>
  <si>
    <t xml:space="preserve">I10</t>
  </si>
  <si>
    <t xml:space="preserve">Contracted AI MW (EoP)</t>
  </si>
  <si>
    <t xml:space="preserve"> | NOTE: n/d as a metric. FY26 PR: Microsoft contract = four 50MW (IT) liquid-cooled 'Horizon' deployments at Childress (=200MW IT, D) - not entered because other contracts' MW are not disclosed.</t>
  </si>
  <si>
    <t xml:space="preserve">I11</t>
  </si>
  <si>
    <t xml:space="preserve">AI GPUs operating, reported (EoP)</t>
  </si>
  <si>
    <t xml:space="preserve">GPUs</t>
  </si>
  <si>
    <t xml:space="preserve">6-K FQ3 FY24 (Mar-24 qtr; IFRS) - Ex.99.1 results PR / Ex.99.3 interim financial statements, filed 2024-05-15; FY24 results PR (6-K Ex.99.1, 2024-08-28); 6-K FQ3 FY25 (Mar-25 qtr; IFRS) - interim FS / MD&amp;A Ex.99.4 / PR, filed 2025-05; 10-K FY25 (FYE 30-Jun-2025; first US GAAP annual; incl. unaudited quarterly table), filed 2025-08-28; 10-Q FQ1 FY26 (Sep-25 qtr), filed 2025-11-06 | NOTE: Dec-25 onward IREN discloses only GPUs 'installed or contracted/on order' (e.g., 140k expansion target, Q1 FY26 PR) - not operating counts. Sep-24 estimated in I11E.</t>
  </si>
  <si>
    <t xml:space="preserve">I12</t>
  </si>
  <si>
    <t xml:space="preserve">Hopper price proxy: IREN's own revenue assumption ($/GPU-hr at 100% uptime)</t>
  </si>
  <si>
    <t xml:space="preserve">6-K FQ1 FY25 (Sep-24 qtr; IFRS) - interim FS + results PR, filed 2024-11 | NOTE: IREN publishes no on-demand list price ('contact sales'). The $2.00 is IREN's own assumed realized rate, so K09 for IREN is closer to a utilization ratio than CRWV/Nebius (list-based). Not comparable 1:1.</t>
  </si>
  <si>
    <t xml:space="preserve">I13</t>
  </si>
  <si>
    <t xml:space="preserve">Blackwell list price</t>
  </si>
  <si>
    <t xml:space="preserve"> | NOTE: No public list price.</t>
  </si>
  <si>
    <t xml:space="preserve">I14</t>
  </si>
  <si>
    <t xml:space="preserve">10-Q FQ1 FY26 (Sep-25 qtr), filed 2025-11-06; 10-Q FQ2 FY26 (Dec-25 qtr), filed 2026-02-05; 10-Q FQ3 FY26 (Mar-26 qtr), filed 2026-05-07; 10-K FY26 (FYE 30-Jun-2026), filed 2026-08-27 | NOTE: Pre-Sep-25 n/d (no RPO disclosure under IFRS 6-Ks / FY25 10-K). Microsoft $9.7B TCV enters RPO only as tranches are delivered and accepted (nil at Dec-25/Mar-26).</t>
  </si>
  <si>
    <t xml:space="preserve">I15</t>
  </si>
  <si>
    <t xml:space="preserve">Contracted backlog incl. non-RPO (RPO + undelivered Microsoft TCV / ASC 842 lease value)</t>
  </si>
  <si>
    <t xml:space="preserve">10-Q FQ2 FY26 (Dec-25 qtr), filed 2026-02-05; 10-Q FQ3 FY26 (Mar-26 qtr), filed 2026-05-07; 10-K FY26 (FYE 30-Jun-2026), filed 2026-08-27 | NOTE: Dec-25/Mar-26 are lower bounds (other signed-not-delivered contracts not quantified in filings).</t>
  </si>
  <si>
    <t xml:space="preserve">I16</t>
  </si>
  <si>
    <t xml:space="preserve">RPO % expected to be recognized within 24 months</t>
  </si>
  <si>
    <t xml:space="preserve">10-Q FQ1 FY26 (Sep-25 qtr), filed 2025-11-06; 10-Q FQ2 FY26 (Dec-25 qtr), filed 2026-02-05; 10-Q FQ3 FY26 (Mar-26 qtr), filed 2026-05-07; 10-K FY26 (FYE 30-Jun-2026), filed 2026-08-27</t>
  </si>
  <si>
    <t xml:space="preserve">I17</t>
  </si>
  <si>
    <t xml:space="preserve">Largest customer, % of quarter revenue</t>
  </si>
  <si>
    <t xml:space="preserve"> | NOTE: n/d for AI Cloud. Mining: 97%/98%/100% of FY25/FY24/FY23 revenue via 3/3/2 mining pool operators (FY25 10-K) - pools are not end-customers in the CRWV sense. Microsoft ($9.7B) and NVIDIA ($3.4B) are the 'substantial majority' of contracted value at Jun-26 (backlog, not revenue).</t>
  </si>
  <si>
    <t xml:space="preserve">I18</t>
  </si>
  <si>
    <t xml:space="preserve">I19</t>
  </si>
  <si>
    <t xml:space="preserve">3rd-largest customer %</t>
  </si>
  <si>
    <t xml:space="preserve">I20</t>
  </si>
  <si>
    <t xml:space="preserve">Customers &gt;=10% of revenue (count)</t>
  </si>
  <si>
    <t xml:space="preserve">I21</t>
  </si>
  <si>
    <t xml:space="preserve">Finance expense (P&amp;L; incl. issuance-cost amortization &amp; lease interest)</t>
  </si>
  <si>
    <t xml:space="preserve">10-Q FQ1 FY26 (Sep-25 qtr), filed 2025-11-06; 6-K FQ2 FY25 (Dec-24 qtr; IFRS) - interim FS / MD&amp;A Ex.99.4 / PR, filed 2025-02; 10-Q FQ3 FY26 (Mar-26 qtr), filed 2026-05-07; 10-K FY25 (FYE 30-Jun-2025; first US GAAP annual; incl. unaudited quarterly table), filed 2025-08-28; 10-K FY26 (FYE 30-Jun-2026), filed 2026-08-27 | NOTE: Not contractual coupon interest (IREN gives contractual interest only annually: FY26 $37.2M, FY25 $9.1M per 10-K debt note). Zero debt Mar-24-Sep-24.</t>
  </si>
  <si>
    <t xml:space="preserve">I22</t>
  </si>
  <si>
    <t xml:space="preserve">Capitalized interest</t>
  </si>
  <si>
    <t xml:space="preserve"> | NOTE: Not disclosed quarterly.</t>
  </si>
  <si>
    <t xml:space="preserve">I23</t>
  </si>
  <si>
    <t xml:space="preserve">Total debt principal (EoP; excl. finance leases)</t>
  </si>
  <si>
    <t xml:space="preserve">I24</t>
  </si>
  <si>
    <t xml:space="preserve">I25</t>
  </si>
  <si>
    <t xml:space="preserve">Company-definition capex</t>
  </si>
  <si>
    <t xml:space="preserve">I26</t>
  </si>
  <si>
    <t xml:space="preserve">Days in quarter</t>
  </si>
  <si>
    <t xml:space="preserve">days</t>
  </si>
  <si>
    <t xml:space="preserve">calendar</t>
  </si>
  <si>
    <t xml:space="preserve">I27</t>
  </si>
  <si>
    <t xml:space="preserve">Data center sites (operating)</t>
  </si>
  <si>
    <t xml:space="preserve">I28</t>
  </si>
  <si>
    <t xml:space="preserve">Useful life - HPC / GPU hardware</t>
  </si>
  <si>
    <t xml:space="preserve">Form 20-F FY24 (FYE 30-Jun-2024; IFRS), filed 2024-08-28; 10-K FY25 (FYE 30-Jun-2025; first US GAAP annual; incl. unaudited quarterly table), filed 2025-08-28; 10-K FY26 (FYE 30-Jun-2026), filed 2026-08-27 | NOTE: Mining hardware 4 yrs (S19j Pro/S19 Pro shortened to 2 yrs in FY24); buildings 20; other 3-10. No change to HPC life disclosed FY24-FY26.</t>
  </si>
  <si>
    <t xml:space="preserve">I29</t>
  </si>
  <si>
    <t xml:space="preserve">Company-reported GPU utilization</t>
  </si>
  <si>
    <t xml:space="preserve">I30</t>
  </si>
  <si>
    <t xml:space="preserve">RPO % expected to be recognized within 12 months</t>
  </si>
  <si>
    <t xml:space="preserve">I31</t>
  </si>
  <si>
    <t xml:space="preserve">GPU / HPC hardware, gross at cost (EoP; owned, excl. finance-lease ROU)</t>
  </si>
  <si>
    <t xml:space="preserve">6-K FQ3 FY24 (Mar-24 qtr; IFRS) - Ex.99.1 results PR / Ex.99.3 interim financial statements, filed 2024-05-15; Form 20-F FY24 (FYE 30-Jun-2024; IFRS), filed 2024-08-28; 6-K FQ1 FY25 (Sep-24 qtr; IFRS) - interim FS + results PR, filed 2024-11; 6-K FQ2 FY25 (Dec-24 qtr; IFRS) - interim FS / MD&amp;A Ex.99.4 / PR, filed 2025-02; 6-K FQ3 FY25 (Mar-25 qtr; IFRS) - interim FS / MD&amp;A Ex.99.4 / PR, filed 2025-05; 10-K FY25 (FYE 30-Jun-2025; first US GAAP annual; incl. unaudited quarterly table), filed 2025-08-28; 10-Q FQ1 FY26 (Sep-25 qtr), filed 2025-11-06; 10-Q FQ2 FY26 (Dec-25 qtr), filed 2026-02-05; 10-Q FQ3 FY26 (Mar-26 qtr), filed 2026-05-07; 10-K FY26 (FYE 30-Jun-2026), filed 2026-08-27 | NOTE: Excludes GPU finance-lease right-of-use assets (I49) and GPUs in CIP/prepayments. In-service AI hardware, so the cleanest AI-only asset base.</t>
  </si>
  <si>
    <t xml:space="preserve">I32</t>
  </si>
  <si>
    <t xml:space="preserve">AI Cloud segment cost of revenue (excl. D&amp;A)</t>
  </si>
  <si>
    <t xml:space="preserve">10-Q FQ1 FY26 (Sep-25 qtr), filed 2025-11-06; 10-Q FQ2 FY26 (Dec-25 qtr), filed 2026-02-05; 10-Q FQ3 FY26 (Mar-26 qtr), filed 2026-05-07; 10-K FY25 (FYE 30-Jun-2025; first US GAAP annual; incl. unaudited quarterly table), filed 2025-08-28; 10-K FY26 (FYE 30-Jun-2026), filed 2026-08-27 | NOTE: Mostly electricity. IFRS 2024 quarters: no segment cost split.</t>
  </si>
  <si>
    <t xml:space="preserve">I40</t>
  </si>
  <si>
    <t xml:space="preserve">Bitcoin mining revenue (segment)</t>
  </si>
  <si>
    <t xml:space="preserve">6-K FQ3 FY25 (Mar-25 qtr; IFRS) - interim FS / MD&amp;A Ex.99.4 / PR, filed 2025-05; 10-K FY26 (FYE 30-Jun-2026), filed 2026-08-27; 10-Q FQ1 FY26 (Sep-25 qtr), filed 2025-11-06; 10-Q FQ2 FY26 (Dec-25 qtr), filed 2026-02-05; 10-Q FQ3 FY26 (Mar-26 qtr), filed 2026-05-07; 10-K FY25 (FYE 30-Jun-2025; first US GAAP annual; incl. unaudited quarterly table), filed 2025-08-28</t>
  </si>
  <si>
    <t xml:space="preserve">I42</t>
  </si>
  <si>
    <t xml:space="preserve">Accumulated impairment of PP&amp;E (EoP)</t>
  </si>
  <si>
    <t xml:space="preserve">I43</t>
  </si>
  <si>
    <t xml:space="preserve">Total operating data-center capacity, company (all uses; gross MW)</t>
  </si>
  <si>
    <t xml:space="preserve">6-K FQ3 FY24 (Mar-24 qtr; IFRS) - Ex.99.1 results PR / Ex.99.3 interim financial statements, filed 2024-05-15; Form 20-F FY24 (FYE 30-Jun-2024; IFRS), filed 2024-08-28; FY24 results PR (6-K Ex.99.1, 2024-08-28); 6-K FQ2 FY25 (Dec-24 qtr; IFRS) - interim FS / MD&amp;A Ex.99.4 / PR, filed 2025-02; 6-K FQ3 FY25 (Mar-25 qtr; IFRS) - interim FS / MD&amp;A Ex.99.4 / PR, filed 2025-05; 10-K FY25 (FYE 30-Jun-2025; first US GAAP annual; incl. unaudited quarterly table), filed 2025-08-28; 10-Q FQ1 FY26 (Sep-25 qtr), filed 2025-11-06; 10-Q FQ2 FY26 (Dec-25 qtr), filed 2026-02-05; 10-K FY26 (FYE 30-Jun-2026), filed 2026-08-27 | NOTE: Several values are boilerplate 'as of PR date' (5-7 weeks after quarter-end). Gross/grid basis; AI 40MW basis unstated -&gt; sum is approximate.</t>
  </si>
  <si>
    <t xml:space="preserve">I44</t>
  </si>
  <si>
    <t xml:space="preserve">Bitcoin mining capacity (MW), reported</t>
  </si>
  <si>
    <t xml:space="preserve">10-K FY26 (FYE 30-Jun-2026), filed 2026-08-27</t>
  </si>
  <si>
    <t xml:space="preserve">I45</t>
  </si>
  <si>
    <t xml:space="preserve">Installed hashrate (EoP)</t>
  </si>
  <si>
    <t xml:space="preserve">I46</t>
  </si>
  <si>
    <t xml:space="preserve">Secured grid-connected power (company)</t>
  </si>
  <si>
    <t xml:space="preserve">6-K FQ3 FY24 (Mar-24 qtr; IFRS) - Ex.99.1 results PR / Ex.99.3 interim financial statements, filed 2024-05-15; FY24 results PR (6-K Ex.99.1, 2024-08-28); 6-K FQ1 FY25 (Sep-24 qtr; IFRS) - interim FS + results PR, filed 2024-11; 6-K FQ2 FY25 (Dec-24 qtr; IFRS) - interim FS / MD&amp;A Ex.99.4 / PR, filed 2025-02; 6-K FQ3 FY25 (Mar-25 qtr; IFRS) - interim FS / MD&amp;A Ex.99.4 / PR, filed 2025-05; 10-K FY25 (FYE 30-Jun-2025; first US GAAP annual; incl. unaudited quarterly table), filed 2025-08-28; Q1 FY26 results PR (8-K Ex.99.1, 2025-11-06); Q2 FY26 results PR (8-K Ex.99.1, 2026-02-05); Q3 FY26 results PR (8-K Ex.99.1, 2026-05-07); FY26 results PR (8-K Ex.99.1, 2026-08-27)</t>
  </si>
  <si>
    <t xml:space="preserve">I47</t>
  </si>
  <si>
    <t xml:space="preserve">Adj. EBITDA, company-wide (non-GAAP)</t>
  </si>
  <si>
    <t xml:space="preserve">6-K FQ3 FY25 (Mar-25 qtr; IFRS) - interim FS / MD&amp;A Ex.99.4 / PR, filed 2025-05; Form 20-F FY24 (FYE 30-Jun-2024; IFRS), filed 2024-08-28; Q1 FY26 results PR (8-K Ex.99.1, 2025-11-06); FY25 results PR (8-K Ex.99.1, 2025-08-28); Q2 FY26 results PR (8-K Ex.99.1, 2026-02-05); Q3 FY26 results PR (8-K Ex.99.1, 2026-05-07); FY26 results PR (8-K Ex.99.1, 2026-08-27) | NOTE: Company-wide incl. mining, SG&amp;A, unallocated. Not used in K05.</t>
  </si>
  <si>
    <t xml:space="preserve">I48</t>
  </si>
  <si>
    <t xml:space="preserve">Mining hardware, gross at cost (EoP)</t>
  </si>
  <si>
    <t xml:space="preserve">I49</t>
  </si>
  <si>
    <t xml:space="preserve">GPU finance-lease right-of-use assets, gross (EoP)</t>
  </si>
  <si>
    <t xml:space="preserve">10-Q FQ2 FY26 (Dec-25 qtr), filed 2026-02-05; 10-Q FQ3 FY26 (Mar-26 qtr), filed 2026-05-07; 10-K FY26 (FYE 30-Jun-2026), filed 2026-08-27</t>
  </si>
  <si>
    <t xml:space="preserve">Parameters (estimation assumptions)</t>
  </si>
  <si>
    <t xml:space="preserve">P01</t>
  </si>
  <si>
    <t xml:space="preserve">GB200 NVL72 GPUs per IT-MW (base)</t>
  </si>
  <si>
    <t xml:space="preserve">GPUs/MW</t>
  </si>
  <si>
    <t xml:space="preserve">Nebius workspace: /workspace/nebius/capacity/gpu_mw_capex.xlsx (GPUsPerMW base IT-MW rows) / gpu_mw_capex.md s.1 - GPUsPerMW base IT-MW row (487/538/571)</t>
  </si>
  <si>
    <t xml:space="preserve">P03</t>
  </si>
  <si>
    <t xml:space="preserve">Hopper HGX GPUs per IT-MW (base)</t>
  </si>
  <si>
    <t xml:space="preserve">Nebius workspace: /workspace/nebius/capacity/gpu_mw_capex.xlsx (GPUsPerMW base IT-MW rows) / gpu_mw_capex.md s.1 - GPUsPerMW base IT-MW row (665/713/813); IREN's own economics footnote assumes 1.25kW/GPU (= 800 GPUs/MW)</t>
  </si>
  <si>
    <t xml:space="preserve">Derived &amp; estimated input rows (formulas)</t>
  </si>
  <si>
    <t xml:space="preserve">I11E</t>
  </si>
  <si>
    <t xml:space="preserve">AI GPUs incl. estimates (EoP)</t>
  </si>
  <si>
    <t xml:space="preserve">Derived/Estimated</t>
  </si>
  <si>
    <t xml:space="preserve">Sep-24 ESTIMATED = Jun-24 816 (1,896 expansion went live ~Nov/Dec-24). Jun-26 ESTIMATED = 40 MW x GB200-class 538 GPUs/IT-MW (Nebius base) = ~21.5k; range 19.6k (GB300 491) to 32k (IREN 1.25kW/GPU). Dec-25/Mar-26 n/d.</t>
  </si>
  <si>
    <t xml:space="preserve">I11A</t>
  </si>
  <si>
    <t xml:space="preserve">Average AI GPUs in quarter</t>
  </si>
  <si>
    <t xml:space="preserve">Average of I11E.</t>
  </si>
  <si>
    <t xml:space="preserve">I09E</t>
  </si>
  <si>
    <t xml:space="preserve">AI MW incl. estimates (EoP)</t>
  </si>
  <si>
    <t xml:space="preserve">ESTIMATED to Sep-25 = operating GPUs / 713 Hopper GPUs per IT-MW (Nebius base); Jun-26 = reported 40MW. (IREN 1.25kW/GPU would give ~12% higher MW.)</t>
  </si>
  <si>
    <t xml:space="preserve">I09A</t>
  </si>
  <si>
    <t xml:space="preserve">Average AI MW in quarter</t>
  </si>
  <si>
    <t xml:space="preserve">I09T4</t>
  </si>
  <si>
    <t xml:space="preserve">AI MW added over trailing 4 quarters</t>
  </si>
  <si>
    <t xml:space="preserve">Jun-26: 40 (reported) - Jun-25 est. 2.7 = ~37.3 MW (Estimated).</t>
  </si>
  <si>
    <t xml:space="preserve">I12W</t>
  </si>
  <si>
    <t xml:space="preserve">Fleet-weighted price proxy</t>
  </si>
  <si>
    <t xml:space="preserve">calc: I12 (all Hopper fleet through Sep-25).</t>
  </si>
  <si>
    <t xml:space="preserve">I05S</t>
  </si>
  <si>
    <t xml:space="preserve">In-service gross PP&amp;E (gross - CIP - accumulated impairment, EoP)</t>
  </si>
  <si>
    <t xml:space="preserve">Company-wide. Impairment deducted because IREN carries impaired mining hardware gross.</t>
  </si>
  <si>
    <t xml:space="preserve">I23A</t>
  </si>
  <si>
    <t xml:space="preserve">Average debt principal</t>
  </si>
  <si>
    <t xml:space="preserve">I41</t>
  </si>
  <si>
    <t xml:space="preserve">Total revenue (AI + Bitcoin)</t>
  </si>
  <si>
    <t xml:space="preserve">Segment sum = consolidated revenue.</t>
  </si>
  <si>
    <t xml:space="preserve">I44E</t>
  </si>
  <si>
    <t xml:space="preserve">Bitcoin mining MW incl. estimates</t>
  </si>
  <si>
    <t xml:space="preserve">ESTIMATED = total operating DC MW - est. AI MW (mixes gross and IT bases; AI share was &lt;2% so error is small). Jun-26 reported 380MW.</t>
  </si>
  <si>
    <t xml:space="preserve">Debt by facility - IREN (IREN) - AI Cloud perimeter. Principal ($M) and effective interest rate (%) as printed in each period-end debt table. Excludes leases. Weighted rates exclude facilities without a disclosed rate from the denominator.</t>
  </si>
  <si>
    <t xml:space="preserve">Effective rates as printed in the FY26 10-K debt note (Note 23) and FY26 10-Qs; for the 2029/2030 converts the same instrument-level effective rate is applied to earlier snapshots (Dec-24-Sep-25). Converts were partly repurchased in Dec-25 (2030: 440-&gt;212.3; 2029: 550-&gt;233.4). 'Other debt' has no disclosed rate and is excluded from weighted-rate denominators. Mar-24-Sep-24: no debt outstanding (FY24 contractual interest nil).</t>
  </si>
  <si>
    <t xml:space="preserve">Facility</t>
  </si>
  <si>
    <t xml:space="preserve">Category</t>
  </si>
  <si>
    <t xml:space="preserve">Mar-24 principal</t>
  </si>
  <si>
    <t xml:space="preserve">Mar-24 eff. rate %</t>
  </si>
  <si>
    <t xml:space="preserve">Jun-24 principal</t>
  </si>
  <si>
    <t xml:space="preserve">Jun-24 eff. rate %</t>
  </si>
  <si>
    <t xml:space="preserve">Sep-24 principal</t>
  </si>
  <si>
    <t xml:space="preserve">Sep-24 eff. rate %</t>
  </si>
  <si>
    <t xml:space="preserve">Dec-24 principal</t>
  </si>
  <si>
    <t xml:space="preserve">Dec-24 eff. rate %</t>
  </si>
  <si>
    <t xml:space="preserve">Mar-25 principal</t>
  </si>
  <si>
    <t xml:space="preserve">Mar-25 eff. rate %</t>
  </si>
  <si>
    <t xml:space="preserve">Jun-25 principal</t>
  </si>
  <si>
    <t xml:space="preserve">Jun-25 eff. rate %</t>
  </si>
  <si>
    <t xml:space="preserve">Sep-25 principal</t>
  </si>
  <si>
    <t xml:space="preserve">Sep-25 eff. rate %</t>
  </si>
  <si>
    <t xml:space="preserve">Dec-25 principal</t>
  </si>
  <si>
    <t xml:space="preserve">Dec-25 eff. rate %</t>
  </si>
  <si>
    <t xml:space="preserve">Mar-26 principal</t>
  </si>
  <si>
    <t xml:space="preserve">Mar-26 eff. rate %</t>
  </si>
  <si>
    <t xml:space="preserve">Jun-26 principal</t>
  </si>
  <si>
    <t xml:space="preserve">Jun-26 eff. rate %</t>
  </si>
  <si>
    <t xml:space="preserve">3.25% convertible senior notes due 2030 (issued Dec-24)</t>
  </si>
  <si>
    <t xml:space="preserve">Converts</t>
  </si>
  <si>
    <t xml:space="preserve">3.50% convertible senior notes due 2029 (issued Jun-25)</t>
  </si>
  <si>
    <t xml:space="preserve">0.00% convertible senior notes due 2031 (issued Dec-25)</t>
  </si>
  <si>
    <t xml:space="preserve">0.25% convertible senior notes due 2032 (issued Dec-25)</t>
  </si>
  <si>
    <t xml:space="preserve">1.00% convertible senior notes due Jun-2033 (issued Dec-25)</t>
  </si>
  <si>
    <t xml:space="preserve">1.00% convertible senior notes due Dec-2033 (issued FY26 H2)</t>
  </si>
  <si>
    <t xml:space="preserve">GPU delayed-draw term loan (non-recourse, SOFR+2.25%; $1,545M facility)</t>
  </si>
  <si>
    <t xml:space="preserve">DDTL</t>
  </si>
  <si>
    <t xml:space="preserve">USPP senior secured notes (5.96% coupon; $2,100M programme)</t>
  </si>
  <si>
    <t xml:space="preserve">Senior notes</t>
  </si>
  <si>
    <t xml:space="preserve">Other debt (various)</t>
  </si>
  <si>
    <t xml:space="preserve">Other term loans</t>
  </si>
  <si>
    <t xml:space="preserve">Total principal</t>
  </si>
  <si>
    <t xml:space="preserve">Check vs Inputs I23 (total debt principal)</t>
  </si>
  <si>
    <t xml:space="preserve">WEIGHTED EFFECTIVE COST OF DEBT (principal-weighted, facilities with disclosed rate)</t>
  </si>
  <si>
    <t xml:space="preserve">  DDTL: principal / weighted eff. rate</t>
  </si>
  <si>
    <t xml:space="preserve">  Senior notes: principal / weighted eff. rate</t>
  </si>
  <si>
    <t xml:space="preserve">  Converts: principal / weighted eff. rate</t>
  </si>
  <si>
    <t xml:space="preserve">  OEM / vendor financing: principal / weighted eff. rate</t>
  </si>
  <si>
    <t xml:space="preserve">  Revolver: principal / weighted eff. rate</t>
  </si>
  <si>
    <t xml:space="preserve">  Other term loans: principal / weighted eff. rate</t>
  </si>
  <si>
    <t xml:space="preserve">  Share of principal: DDTL %</t>
  </si>
  <si>
    <t xml:space="preserve">POST-PERIOD (not in Jun-26): Aug-2026 $2.4B GPU financing (Blue Owl / PIMCO) at 9.0% fixed (FY26 PR / 8-K). Marginal secured GPU cost ~7-9% vs 1.9% blended (converts-heavy).</t>
  </si>
  <si>
    <t xml:space="preserve">Finance leases (GPU leases, liability $243.8M at Jun-26) excluded, consistent with CRWV/Nebius template.</t>
  </si>
  <si>
    <t xml:space="preserve">Input ID</t>
  </si>
  <si>
    <t xml:space="preserve">Period</t>
  </si>
  <si>
    <t xml:space="preserve">Value</t>
  </si>
  <si>
    <t xml:space="preserve">Tag</t>
  </si>
  <si>
    <t xml:space="preserve">Document</t>
  </si>
  <si>
    <t xml:space="preserve">Section / page / formula</t>
  </si>
  <si>
    <t xml:space="preserve">URL</t>
  </si>
  <si>
    <t xml:space="preserve">6-K FQ3 FY25 (Mar-25 qtr; IFRS) - interim FS / MD&amp;A Ex.99.4 / PR, filed 2025-05</t>
  </si>
  <si>
    <t xml:space="preserve">FQ3 FY25 6-K Ex.99.4 MD&amp;A table, 3m to 31-Mar-24 comparative 'AI cloud service revenue 567' (IFRS)</t>
  </si>
  <si>
    <t xml:space="preserve">https://www.sec.gov/Archives/edgar/data/1878848/000187884825000043/iren-20250331_d2.htm</t>
  </si>
  <si>
    <t xml:space="preserve">calc: FY24 3.105 (FY26 10-K segment note, US GAAP recast) - 9M FY24 0.567 (IFRS, FQ3 FY25 MD&amp;A) -&gt; mixed basis</t>
  </si>
  <si>
    <t xml:space="preserve">https://www.sec.gov/Archives/edgar/data/1878848/000187884826000052/iren-20260630.htm</t>
  </si>
  <si>
    <t xml:space="preserve">10-Q FQ1 FY26 (Sep-25 qtr), filed 2025-11-06</t>
  </si>
  <si>
    <t xml:space="preserve">Q1 FY26 10-Q segment note comparative (3m Sep-24)</t>
  </si>
  <si>
    <t xml:space="preserve">https://www.sec.gov/Archives/edgar/data/1878848/000187884825000081/iren-20250930.htm</t>
  </si>
  <si>
    <t xml:space="preserve">10-Q FQ2 FY26 (Dec-25 qtr), filed 2026-02-05</t>
  </si>
  <si>
    <t xml:space="preserve">Q2 FY26 10-Q comparative (3m Dec-24)</t>
  </si>
  <si>
    <t xml:space="preserve">https://www.sec.gov/Archives/edgar/data/1878848/000187884826000015/iren-20251231.htm</t>
  </si>
  <si>
    <t xml:space="preserve">10-Q FQ3 FY26 (Mar-26 qtr), filed 2026-05-07</t>
  </si>
  <si>
    <t xml:space="preserve">Q3 FY26 10-Q comparative (3m Mar-25)</t>
  </si>
  <si>
    <t xml:space="preserve">https://www.sec.gov/Archives/edgar/data/1878848/000187884826000026/iren-20260331.htm</t>
  </si>
  <si>
    <t xml:space="preserve">10-K FY25 (FYE 30-Jun-2025; first US GAAP annual; incl. unaudited quarterly table), filed 2025-08-28</t>
  </si>
  <si>
    <t xml:space="preserve">FY25 10-K unaudited quarterly table (Jun-25 qtr 6,963)</t>
  </si>
  <si>
    <t xml:space="preserve">https://www.sec.gov/Archives/edgar/data/1878848/000187884825000063/iren-20250630.htm</t>
  </si>
  <si>
    <t xml:space="preserve">Q1 FY26 10-Q segment note</t>
  </si>
  <si>
    <t xml:space="preserve">Q2 FY26 10-Q segment note</t>
  </si>
  <si>
    <t xml:space="preserve">Q3 FY26 10-Q segment note</t>
  </si>
  <si>
    <t xml:space="preserve">calc: FY26 128.795 (FY26 10-K segment note) - 9M 58.280 (Q3 FY26 10-Q)</t>
  </si>
  <si>
    <t xml:space="preserve">6-K FQ3 FY24 (Mar-24 qtr; IFRS) - Ex.99.1 results PR / Ex.99.3 interim financial statements, filed 2024-05-15</t>
  </si>
  <si>
    <t xml:space="preserve">FQ3 FY24 6-K Ex.99.3 P&amp;L 'Depreciation (8,692)' (IFRS)</t>
  </si>
  <si>
    <t xml:space="preserve">https://www.sec.gov/Archives/edgar/data/1878848/000114036124026268/ef20027345_ex99-3.htm</t>
  </si>
  <si>
    <t xml:space="preserve">Form 20-F FY24 (FYE 30-Jun-2024; IFRS), filed 2024-08-28</t>
  </si>
  <si>
    <t xml:space="preserve">calc: FY24 50.650 (20-F Note 6) - 9M 23.870 (6-K) (IFRS)</t>
  </si>
  <si>
    <t xml:space="preserve">https://www.sec.gov/Archives/edgar/data/1878848/000162828024038677/iren-20240630.htm</t>
  </si>
  <si>
    <t xml:space="preserve">Q1 FY26 10-Q PP&amp;E note comparative ($33,931,000)</t>
  </si>
  <si>
    <t xml:space="preserve">calc: 9M FY25 117.319 - Q3 47.311 - Q1 33.931 (Q3 FY26 10-Q comparatives)</t>
  </si>
  <si>
    <t xml:space="preserve">Q3 FY26 10-Q segment reconciliation comparative</t>
  </si>
  <si>
    <t xml:space="preserve">calc: FY25 181.136 - 9M 117.319</t>
  </si>
  <si>
    <t xml:space="preserve">Q1 FY26 10-Q</t>
  </si>
  <si>
    <t xml:space="preserve">calc: 9M FY26 305.647 - Q3 121.245 - Q1 85.226</t>
  </si>
  <si>
    <t xml:space="preserve">Q3 FY26 10-Q</t>
  </si>
  <si>
    <t xml:space="preserve">calc: FY26 417.729 - 9M 305.647</t>
  </si>
  <si>
    <t xml:space="preserve">calc: FY24 (141.855 + 338.054 mining-hardware prepayments) - 9M (112.664 + 70.638) (IFRS cash flows)</t>
  </si>
  <si>
    <t xml:space="preserve">Q1 FY26 10-Q CF comparative</t>
  </si>
  <si>
    <t xml:space="preserve">YTD difference (10-Q CF)</t>
  </si>
  <si>
    <t xml:space="preserve">YTD difference</t>
  </si>
  <si>
    <t xml:space="preserve">YTD difference (FY25 10-K CF)</t>
  </si>
  <si>
    <t xml:space="preserve">Q1 FY26 10-Q CF</t>
  </si>
  <si>
    <t xml:space="preserve">YTD difference (FY26 10-K CF)</t>
  </si>
  <si>
    <t xml:space="preserve">calc: sum of at-cost lines, IFRS Note 10 (land 1.911 + buildings 169.765 + P&amp;E 4.704 + mining hw 144.623 + HPC hw 29.603 + development assets 76.904)</t>
  </si>
  <si>
    <t xml:space="preserve">calc: sum of at-cost lines, 20-F Note 14</t>
  </si>
  <si>
    <t xml:space="preserve">6-K FQ1 FY25 (Sep-24 qtr; IFRS) - interim FS + results PR, filed 2024-11</t>
  </si>
  <si>
    <t xml:space="preserve">calc: sum of at-cost lines, Note 12</t>
  </si>
  <si>
    <t xml:space="preserve">https://www.sec.gov/Archives/edgar/data/1878848/000187884824000036/iren-20240930_d2.htm</t>
  </si>
  <si>
    <t xml:space="preserve">6-K FQ2 FY25 (Dec-24 qtr; IFRS) - interim FS / MD&amp;A Ex.99.4 / PR, filed 2025-02</t>
  </si>
  <si>
    <t xml:space="preserve">https://www.sec.gov/Archives/edgar/data/1878848/000187884825000009/iren-20241231_d2.htm</t>
  </si>
  <si>
    <t xml:space="preserve">calc: sum of at-cost lines, Note 13</t>
  </si>
  <si>
    <t xml:space="preserve">PP&amp;E note 'Property, plant and equipment, gross'</t>
  </si>
  <si>
    <t xml:space="preserve">PP&amp;E note</t>
  </si>
  <si>
    <t xml:space="preserve">IFRS 'Development assets - at cost'</t>
  </si>
  <si>
    <t xml:space="preserve">'Construction in progress'</t>
  </si>
  <si>
    <t xml:space="preserve">Balance sheet / PP&amp;E note</t>
  </si>
  <si>
    <t xml:space="preserve">10-K FY26 Item 1: 'As of June 30, 2026, our operating AI Cloud Services capacity represented approximately 40MW'</t>
  </si>
  <si>
    <t xml:space="preserve">FQ3 FY24 PR: '816 NVIDIA H100 GPUs'</t>
  </si>
  <si>
    <t xml:space="preserve">FY24 results PR (6-K Ex.99.1, 2024-08-28)</t>
  </si>
  <si>
    <t xml:space="preserve">FY24 PR (Aug-24): '816 NVIDIA H100 GPUs'</t>
  </si>
  <si>
    <t xml:space="preserve">https://www.sec.gov/Archives/edgar/data/1878848/000162828024038679/fy24resultspressreleasev.htm</t>
  </si>
  <si>
    <t xml:space="preserve">FQ3 FY25 MD&amp;A: GPUs increased 'from 816 as of March 31, 2024 to 1,896 as of March 31, 2025'; Q1 FY25 PR (Nov-24) already cites 1,896 H100 &amp; H200 -&gt; Dec-24 1,896</t>
  </si>
  <si>
    <t xml:space="preserve">FQ3 FY25 MD&amp;A (1,896 as of 31-Mar-25)</t>
  </si>
  <si>
    <t xml:space="preserve">10-K FY25: 'approximately 1,900 NVIDIA GPUs operating'</t>
  </si>
  <si>
    <t xml:space="preserve">10-Q Q1 FY26: 'As of September 30, 2025, we had approximately 2,100 GPUs operating'</t>
  </si>
  <si>
    <t xml:space="preserve">Q1 FY25 PR economics footnote: '$2.00 per GPU hour revenue assumption' (applied to all Hopper-era quarters)</t>
  </si>
  <si>
    <t xml:space="preserve">same</t>
  </si>
  <si>
    <t xml:space="preserve">10-Q Note: '$195,027,000 of unsatisfied RPO'</t>
  </si>
  <si>
    <t xml:space="preserve">'$289,411,000'</t>
  </si>
  <si>
    <t xml:space="preserve">'$710,272,000'</t>
  </si>
  <si>
    <t xml:space="preserve">10-K FY26 RPO note: $5.1B (XBRL RevenueRemainingPerformanceObligation)</t>
  </si>
  <si>
    <t xml:space="preserve">calc: RPO 0.289 + Microsoft TCV 9.7 (undelivered; 10-Q 'Strategic Customer Agreement')</t>
  </si>
  <si>
    <t xml:space="preserve">calc: RPO 0.710 + Microsoft 9.7</t>
  </si>
  <si>
    <t xml:space="preserve">10-K FY26: $5.1B RPO + $11.4B ASC 842 lease contract value = $16.6B</t>
  </si>
  <si>
    <t xml:space="preserve">calc: (93.363 + 93.410)/195.027</t>
  </si>
  <si>
    <t xml:space="preserve">calc: (150.072 + 135.580)/289.411</t>
  </si>
  <si>
    <t xml:space="preserve">calc: (307.950 + 265.198)/710.272</t>
  </si>
  <si>
    <t xml:space="preserve">calc: (0.9 + 1.3)/5.1 (10-K FY26 RPO maturity)</t>
  </si>
  <si>
    <t xml:space="preserve">Q1 FY26 10-Q comparative (GAAP)</t>
  </si>
  <si>
    <t xml:space="preserve">FQ2 FY25 6-K P&amp;L 'Finance expense (6,253)' (IFRS)</t>
  </si>
  <si>
    <t xml:space="preserve">Q3 FY26 10-Q comparative</t>
  </si>
  <si>
    <t xml:space="preserve">calc: FY25 11.045 - 9M 5.863</t>
  </si>
  <si>
    <t xml:space="preserve">calc: 9M 34.785 - Q1 9.280 - Q3 14.837</t>
  </si>
  <si>
    <t xml:space="preserve">calc: FY26 59.251 - 9M 34.785</t>
  </si>
  <si>
    <t xml:space="preserve">Debt note principal (see Debt_Facilities). Excludes GPU finance leases ($243.8M liability at Jun-26).</t>
  </si>
  <si>
    <t xml:space="preserve">20-F FY24: 'HPC hardware is depreciated over 5 years'</t>
  </si>
  <si>
    <t xml:space="preserve">10-K FY25 useful-life table 'HPC hardware 5'</t>
  </si>
  <si>
    <t xml:space="preserve">10-K FY26 table 'HPC hardware 5'</t>
  </si>
  <si>
    <t xml:space="preserve">calc: 93.363/195.027</t>
  </si>
  <si>
    <t xml:space="preserve">calc: 150.072/289.411</t>
  </si>
  <si>
    <t xml:space="preserve">calc: 307.950/710.272</t>
  </si>
  <si>
    <t xml:space="preserve">calc: 0.9/5.1</t>
  </si>
  <si>
    <t xml:space="preserve">IFRS Note 10 'HPC Hardware' at cost</t>
  </si>
  <si>
    <t xml:space="preserve">20-F Note 14 'HPC hardware - at cost'</t>
  </si>
  <si>
    <t xml:space="preserve">'HPC hardware - at cost'</t>
  </si>
  <si>
    <t xml:space="preserve">10-K FY25 'HPC Hardware'</t>
  </si>
  <si>
    <t xml:space="preserve">10-Q 'HPC hardware'</t>
  </si>
  <si>
    <t xml:space="preserve">10-Q 'GPU hardware'</t>
  </si>
  <si>
    <t xml:space="preserve">10-K FY26 'GPU Hardware'</t>
  </si>
  <si>
    <t xml:space="preserve">segment note comparative</t>
  </si>
  <si>
    <t xml:space="preserve">calc: FY25 1.319 - 9M 0.843</t>
  </si>
  <si>
    <t xml:space="preserve">segment note</t>
  </si>
  <si>
    <t xml:space="preserve">calc: FY26 16.932 - 9M 7.720</t>
  </si>
  <si>
    <t xml:space="preserve">FQ3 FY25 MD&amp;A comparative 3m Mar-24 (IFRS)</t>
  </si>
  <si>
    <t xml:space="preserve">calc: FY24 184.087 (FY26 10-K segment note) - 9M FY24 129.827 (IFRS)</t>
  </si>
  <si>
    <t xml:space="preserve">comparative</t>
  </si>
  <si>
    <t xml:space="preserve">FY25 10-K quarterly table</t>
  </si>
  <si>
    <t xml:space="preserve">calc: FY26 578.212 - 9M 511.502</t>
  </si>
  <si>
    <t xml:space="preserve">PP&amp;E note 'Less: accumulated impairment' (mining hardware)</t>
  </si>
  <si>
    <t xml:space="preserve">FQ3 FY24 PR: '260MW of operating data centers'</t>
  </si>
  <si>
    <t xml:space="preserve">20-F FY24 (260MW at 30-Jun-24; FY24 PR of Aug-24 says 300MW)</t>
  </si>
  <si>
    <t xml:space="preserve">Q1 FY25 PR (Nov-24): '360MW of operating data centers'</t>
  </si>
  <si>
    <t xml:space="preserve">FQ2 FY25 PR: '510MW'</t>
  </si>
  <si>
    <t xml:space="preserve">FQ3 FY25 PR: 660MW</t>
  </si>
  <si>
    <t xml:space="preserve">10-K FY25: 810MW</t>
  </si>
  <si>
    <t xml:space="preserve">Q1 FY26 10-Q/PR: 810MW</t>
  </si>
  <si>
    <t xml:space="preserve">Q2 FY26: 810MW</t>
  </si>
  <si>
    <t xml:space="preserve">calc: Bitcoin ~380MW (10-K FY26 'approximately 23.2 EH/s, representing approximately 380MW') + AI ~40MW</t>
  </si>
  <si>
    <t xml:space="preserve">10-K FY26: '23.2 EH/s, representing approximately 380MW'</t>
  </si>
  <si>
    <t xml:space="preserve">Results PR / 10-K operating highlights (installed EH/s)</t>
  </si>
  <si>
    <t xml:space="preserve">PR 'grid-connected power secured' (Q1 FY26 '3GW', Q2 FY26 '&gt;4.5GW', FY26 '~5GW' = rounded / lower bounds)</t>
  </si>
  <si>
    <t xml:space="preserve">Q1 FY26 results PR (8-K Ex.99.1, 2025-11-06)</t>
  </si>
  <si>
    <t xml:space="preserve">https://www.sec.gov/Archives/edgar/data/1878848/000187884825000079/q1fy26resultspressreleas.htm</t>
  </si>
  <si>
    <t xml:space="preserve">Q2 FY26 results PR (8-K Ex.99.1, 2026-02-05)</t>
  </si>
  <si>
    <t xml:space="preserve">https://www.sec.gov/Archives/edgar/data/1878848/000187884826000014/a991irenreportsq2fy26res.htm</t>
  </si>
  <si>
    <t xml:space="preserve">Q3 FY26 results PR (8-K Ex.99.1, 2026-05-07)</t>
  </si>
  <si>
    <t xml:space="preserve">https://www.sec.gov/Archives/edgar/data/1878848/000187884826000025/irenreportsq3fy26results.htm</t>
  </si>
  <si>
    <t xml:space="preserve">FY26 results PR (8-K Ex.99.1, 2026-08-27)</t>
  </si>
  <si>
    <t xml:space="preserve">https://www.sec.gov/Archives/edgar/data/1878848/000187884826000051/irenreportsfy26results.htm</t>
  </si>
  <si>
    <t xml:space="preserve">FQ3 FY25 MD&amp;A comparative (IFRS, 3m Mar-24 21.840)</t>
  </si>
  <si>
    <t xml:space="preserve">calc: FY24 54.7 (IFRS) - 9M 42.5 (IFRS)</t>
  </si>
  <si>
    <t xml:space="preserve">results PR</t>
  </si>
  <si>
    <t xml:space="preserve">FQ3 FY25 PR '($62.6 million in Q2 FY25)' (revised)</t>
  </si>
  <si>
    <t xml:space="preserve">FQ3 FY25 PR $83.3M</t>
  </si>
  <si>
    <t xml:space="preserve">FY25 results PR (8-K Ex.99.1, 2025-08-28)</t>
  </si>
  <si>
    <t xml:space="preserve">FY25 PR quarterly</t>
  </si>
  <si>
    <t xml:space="preserve">https://www.sec.gov/Archives/edgar/data/1878848/000187884825000062/ex991fy25pr.htm</t>
  </si>
  <si>
    <t xml:space="preserve">Q1 FY26 PR</t>
  </si>
  <si>
    <t xml:space="preserve">Q2 FY26 PR</t>
  </si>
  <si>
    <t xml:space="preserve">Q3 FY26 PR</t>
  </si>
  <si>
    <t xml:space="preserve">FY26 PR (Q4)</t>
  </si>
  <si>
    <t xml:space="preserve">PP&amp;E note 'Mining hardware'</t>
  </si>
  <si>
    <t xml:space="preserve">PP&amp;E note 'Right-of-use assets - Finance lease'</t>
  </si>
  <si>
    <t xml:space="preserve">param</t>
  </si>
  <si>
    <t xml:space="preserve">Nebius workspace: /workspace/nebius/capacity/gpu_mw_capex.xlsx (GPUsPerMW base IT-MW rows) / gpu_mw_capex.md s.1</t>
  </si>
  <si>
    <t xml:space="preserve">GPUsPerMW base IT-MW row (487/538/571)</t>
  </si>
  <si>
    <t xml:space="preserve">local</t>
  </si>
  <si>
    <t xml:space="preserve">GPUsPerMW base IT-MW row (665/713/813); IREN's own economics footnote assumes 1.25kW/GPU (= 800 GPUs/MW)</t>
  </si>
  <si>
    <t xml:space="preserve">DEBT</t>
  </si>
  <si>
    <t xml:space="preserve">3.25% convertible senior notes due 2030 (issued Dec-24) (principal / eff. rate)</t>
  </si>
  <si>
    <t xml:space="preserve">Dec-24</t>
  </si>
  <si>
    <t xml:space="preserve">440 / 3.87%</t>
  </si>
  <si>
    <t xml:space="preserve">Debt / convertible notes note (principal; effective interest rate)</t>
  </si>
  <si>
    <t xml:space="preserve">Mar-25</t>
  </si>
  <si>
    <t xml:space="preserve">Jun-25</t>
  </si>
  <si>
    <t xml:space="preserve">Sep-25</t>
  </si>
  <si>
    <t xml:space="preserve">Dec-25</t>
  </si>
  <si>
    <t xml:space="preserve">212.31 / 3.87%</t>
  </si>
  <si>
    <t xml:space="preserve">Mar-26</t>
  </si>
  <si>
    <t xml:space="preserve">Jun-26</t>
  </si>
  <si>
    <t xml:space="preserve">3.50% convertible senior notes due 2029 (issued Jun-25) (principal / eff. rate)</t>
  </si>
  <si>
    <t xml:space="preserve">550 / 4.22%</t>
  </si>
  <si>
    <t xml:space="preserve">233.389 / 4.22%</t>
  </si>
  <si>
    <t xml:space="preserve">0.00% convertible senior notes due 2031 (issued Dec-25) (principal / eff. rate)</t>
  </si>
  <si>
    <t xml:space="preserve">1000 / 0.37%</t>
  </si>
  <si>
    <t xml:space="preserve">0.25% convertible senior notes due 2032 (issued Dec-25) (principal / eff. rate)</t>
  </si>
  <si>
    <t xml:space="preserve">1150 / 0.45%</t>
  </si>
  <si>
    <t xml:space="preserve">1.00% convertible senior notes due Jun-2033 (issued Dec-25) (principal / eff. rate)</t>
  </si>
  <si>
    <t xml:space="preserve">1150 / 1.18%</t>
  </si>
  <si>
    <t xml:space="preserve">1.00% convertible senior notes due Dec-2033 (issued FY26 H2) (principal / eff. rate)</t>
  </si>
  <si>
    <t xml:space="preserve">3000 / 1.18%</t>
  </si>
  <si>
    <t xml:space="preserve">GPU delayed-draw term loan (non-recourse, SOFR+2.25%; $1,545M facility) (principal / eff. rate)</t>
  </si>
  <si>
    <t xml:space="preserve">413 / 7.12%</t>
  </si>
  <si>
    <t xml:space="preserve">USPP senior secured notes (5.96% coupon; $2,100M programme) (principal / eff. rate)</t>
  </si>
  <si>
    <t xml:space="preserve">525 / 7.05%</t>
  </si>
  <si>
    <t xml:space="preserve">Other debt (various) (principal / eff. rate)</t>
  </si>
  <si>
    <t xml:space="preserve">21.95 / n/d%</t>
  </si>
  <si>
    <t xml:space="preserve">Document register</t>
  </si>
  <si>
    <t xml:space="preserve">Q24Q3</t>
  </si>
  <si>
    <t xml:space="preserve">PR24</t>
  </si>
  <si>
    <t xml:space="preserve">Q25Q1</t>
  </si>
  <si>
    <t xml:space="preserve">Q25Q2</t>
  </si>
  <si>
    <t xml:space="preserve">Q25Q3</t>
  </si>
  <si>
    <t xml:space="preserve">PR25</t>
  </si>
  <si>
    <t xml:space="preserve">Q26Q1</t>
  </si>
  <si>
    <t xml:space="preserve">PR26Q1</t>
  </si>
  <si>
    <t xml:space="preserve">Q26Q2</t>
  </si>
  <si>
    <t xml:space="preserve">PR26Q2</t>
  </si>
  <si>
    <t xml:space="preserve">Q26Q3</t>
  </si>
  <si>
    <t xml:space="preserve">PR26Q3</t>
  </si>
  <si>
    <t xml:space="preserve">PR26</t>
  </si>
  <si>
    <t xml:space="preserve">XBRL</t>
  </si>
  <si>
    <t xml:space="preserve">SEC companyfacts XBRL CIK 0001878848 (local copy comps_raw/cf_0001878848.json)</t>
  </si>
  <si>
    <t xml:space="preserve">https://data.sec.gov/api/xbrl/companyfacts/CIK0001878848.json</t>
  </si>
  <si>
    <t xml:space="preserve">NBGPU</t>
  </si>
  <si>
    <t xml:space="preserve">CAL</t>
  </si>
  <si>
    <t xml:space="preserve">KPI group</t>
  </si>
  <si>
    <t xml:space="preserve">Definition used (formula, units)</t>
  </si>
  <si>
    <t xml:space="preserve">Mirrored from (Nebius workspace)</t>
  </si>
  <si>
    <t xml:space="preserve">IREN (IREN) - AI Cloud perimeter application / basis notes</t>
  </si>
  <si>
    <t xml:space="preserve">Revenue per MW</t>
  </si>
  <si>
    <t xml:space="preserve">Quarterly revenue x 4 / MW, $M per MW-year. Denominators: (a) active MW at period end; (b) average of opening/closing active MW; (c) contracted MW. EBITDA/MW same construction. K43 = YoY incremental revenue x4 / MW added in the same 4 quarters. K45 = segment cash gross margin.</t>
  </si>
  <si>
    <t xml:space="preserve">/workspace/nebius/model/nebius_model.xlsx KPIs rows 'Revenue per BILLING / contracted / energized MW' (=AIRev*4/MW); /workspace/nebius/parts/comps_rev_per_mw.csv; capacity/gpu_mw_capex.md s.4 MW basis.</t>
  </si>
  <si>
    <t xml:space="preserve">I01 = AI Cloud Services revenue. MW = 'operating AI Cloud Services capacity' (~40MW at Jun-26, only disclosure; basis unstated). Earlier AI MW ESTIMATED from operating GPUs / 713 Hopper GPUs per IT-MW. IREN quotes contract economics per MW (IT): '&gt;$20m revenue per MW' on recent 3-yr contracts (FY26 PR).</t>
  </si>
  <si>
    <t xml:space="preserve">Revenue per GPU</t>
  </si>
  <si>
    <t xml:space="preserve">Quarterly revenue x 4000 / average GPUs ($K per GPU-year); implied $/GPU-hr = revenue / (avg GPUs x days x 24).</t>
  </si>
  <si>
    <t xml:space="preserve">nebius_model.xlsx KPIs 'Revenue per GPU ($K per GPU-yr)' and 'Implied blended $/GPU-hr'.</t>
  </si>
  <si>
    <t xml:space="preserve">Operating GPUs disclosed to Sep-25 (816 -&gt; ~2,100); thereafter only installed/contracted targets. Jun-26 GPUs estimated from 40MW x 538.</t>
  </si>
  <si>
    <t xml:space="preserve">Implied utilization</t>
  </si>
  <si>
    <t xml:space="preserve">Implied blended $/GPU-hr / fleet-weighted on-demand list price. K41 = company-reported physical GPU utilization (new row).</t>
  </si>
  <si>
    <t xml:space="preserve">nebius_model.xlsx KPIs 'Fleet-weighted on-demand list price' / 'Implied utilization (blended $/hr / weighted list)'; prices /workspace/nebius/parts/price_history_quarterly.csv &amp; price_history_raw.csv.</t>
  </si>
  <si>
    <t xml:space="preserve">No public list price; IREN's own $2.00/GPU-hr revenue assumption used as price proxy (Estimated). No utilization disclosure.</t>
  </si>
  <si>
    <t xml:space="preserve">Capex per MW</t>
  </si>
  <si>
    <t xml:space="preserve">Cash purchases of PP&amp;E / new active MW in the quarter ($M per MW); in-service additions per new MW; trailing-4Q; stock checks net PP&amp;E / MW and in-service gross PP&amp;E / MW. K44 = annualized revenue / average gross compute hardware.</t>
  </si>
  <si>
    <t xml:space="preserve">nebius_model.xlsx KPIs 'Capex per new active MW'; Hist 'Capex (purchases of PP&amp;E + intangibles, cash)'; capacity/gpu_mw_capex.xlsx 'Nebius checks' and 'Peers'.</t>
  </si>
  <si>
    <t xml:space="preserve">Capex/PP&amp;E company-wide (mining+AI). AI-only asset base = 'HPC/GPU hardware' at cost (I31) -&gt; memo M06 and K44.</t>
  </si>
  <si>
    <t xml:space="preserve">D&amp;A useful lives</t>
  </si>
  <si>
    <t xml:space="preserve">Disclosed useful-life table and any change in estimate; depreciation yield = D&amp;A x 4 / average in-service gross PP&amp;E; implied life = 1/yield.</t>
  </si>
  <si>
    <t xml:space="preserve">/workspace/nebius/filings/nebius_filings.xlsx D&amp;A_Policy; nebius_model.xlsx Capex_DA 'Depreciation yield - REPORTED basis'.</t>
  </si>
  <si>
    <t xml:space="preserve">HPC hardware 5 yrs (unchanged FY24-FY26); mining 4 yrs (S19j Pro 2 yrs); buildings 20. Yield on company in-service PP&amp;E (net of impairment).</t>
  </si>
  <si>
    <t xml:space="preserve">Backlog / RPO</t>
  </si>
  <si>
    <t xml:space="preserve">RPO = ASC 606 remaining performance obligations ($B, EoP); % within 24 months (K22) and 12 months (K42); backlog incl. non-RPO contracted value shown separately; RPO / (quarterly revenue x 4).</t>
  </si>
  <si>
    <t xml:space="preserve">nebius_model.xlsx Hist 'Remaining performance obligations'; nebius_filings.xlsx Quarterly 'RPO'.</t>
  </si>
  <si>
    <t xml:space="preserve">RPO disclosed from Sep-25 (US GAAP 10-Qs). Microsoft $9.7B contract enters RPO tranche-by-tranche; Jun-26 lease (ASC 842) value $11.4B shown in K21.</t>
  </si>
  <si>
    <t xml:space="preserve">Customer concentration</t>
  </si>
  <si>
    <t xml:space="preserve">Each customer &gt;=10% of quarter revenue, top-N combined, count of &gt;=10% customers.</t>
  </si>
  <si>
    <t xml:space="preserve">nebius_filings.xlsx Quarterly 'Customer concentration (&gt;10% of revenue, quarter)'.</t>
  </si>
  <si>
    <t xml:space="preserve">No AI customer % disclosed. Mining revenue via 3 pools.</t>
  </si>
  <si>
    <t xml:space="preserve">Funding cost</t>
  </si>
  <si>
    <t xml:space="preserve">Weighted effective cost of debt = sum(principal x effective rate) / sum(principal with a disclosed rate), EoP, excl. leases; split by facility type; cross-checks: interest x4 / avg principal; company-reported rate.</t>
  </si>
  <si>
    <t xml:space="preserve">/workspace/nebius/parts/comps_sources.csv 'Wtd effective cost of debt (%)'; shared/findings_log.xlsx cost-of-debt row (Nebius 5.1%).</t>
  </si>
  <si>
    <t xml:space="preserve">Converts-heavy capital structure until FY26 Q4; first secured GPU debt (DDTL, USPP) at Jun-26. Finance expense used for K36 (no quarterly contractual interest).</t>
  </si>
  <si>
    <t xml:space="preserve">Template column</t>
  </si>
  <si>
    <t xml:space="preserve">Calendar quarter-end used</t>
  </si>
  <si>
    <t xml:space="preserve">Company fiscal quarter</t>
  </si>
  <si>
    <t xml:space="preserve">Fiscal period end</t>
  </si>
  <si>
    <t xml:space="preserve">Offset vs calendar</t>
  </si>
  <si>
    <t xml:space="preserve">Notes</t>
  </si>
  <si>
    <t xml:space="preserve">2023-12-31</t>
  </si>
  <si>
    <t xml:space="preserve">FQ2 FY24</t>
  </si>
  <si>
    <t xml:space="preserve">Dec-23</t>
  </si>
  <si>
    <t xml:space="preserve">0 (exact)</t>
  </si>
  <si>
    <t xml:space="preserve">FY ends 30-Jun; opening-balance column</t>
  </si>
  <si>
    <t xml:space="preserve">2024-03-31</t>
  </si>
  <si>
    <t xml:space="preserve">FQ3 FY24</t>
  </si>
  <si>
    <t xml:space="preserve">Mar-24</t>
  </si>
  <si>
    <t xml:space="preserve">FY ends 30-Jun</t>
  </si>
  <si>
    <t xml:space="preserve">2024-06-30</t>
  </si>
  <si>
    <t xml:space="preserve">FQ4 FY24</t>
  </si>
  <si>
    <t xml:space="preserve">Jun-24</t>
  </si>
  <si>
    <t xml:space="preserve">2024-09-30</t>
  </si>
  <si>
    <t xml:space="preserve">FQ1 FY25</t>
  </si>
  <si>
    <t xml:space="preserve">Sep-24</t>
  </si>
  <si>
    <t xml:space="preserve">2024-12-31</t>
  </si>
  <si>
    <t xml:space="preserve">FQ2 FY25</t>
  </si>
  <si>
    <t xml:space="preserve">2025-03-31</t>
  </si>
  <si>
    <t xml:space="preserve">FQ3 FY25</t>
  </si>
  <si>
    <t xml:space="preserve">2025-06-30</t>
  </si>
  <si>
    <t xml:space="preserve">FQ4 FY25</t>
  </si>
  <si>
    <t xml:space="preserve">2025-09-30</t>
  </si>
  <si>
    <t xml:space="preserve">FQ1 FY26</t>
  </si>
  <si>
    <t xml:space="preserve">2025-12-31</t>
  </si>
  <si>
    <t xml:space="preserve">FQ2 FY26</t>
  </si>
  <si>
    <t xml:space="preserve">2026-03-31</t>
  </si>
  <si>
    <t xml:space="preserve">FQ3 FY26</t>
  </si>
  <si>
    <t xml:space="preserve">2026-06-30</t>
  </si>
  <si>
    <t xml:space="preserve">FQ4 FY26</t>
  </si>
  <si>
    <t xml:space="preserve">Type</t>
  </si>
  <si>
    <t xml:space="preserve">Note / gap</t>
  </si>
  <si>
    <t xml:space="preserve">Impact</t>
  </si>
  <si>
    <t xml:space="preserve">Possible fix</t>
  </si>
  <si>
    <t xml:space="preserve">Gap</t>
  </si>
  <si>
    <t xml:space="preserve">AI MW disclosed only once (~40MW at Jun-26); operating GPU counts stop after Sep-25 (~2,100). Dec-25 and Mar-26 AI MW/GPUs n/d.</t>
  </si>
  <si>
    <t xml:space="preserve">K02, K06-K09 cannot be computed for Q4'25-Q2'26; K01/K43 rely on one MW datapoint.</t>
  </si>
  <si>
    <t xml:space="preserve">Earnings-call transcripts (Horizon commissioning MW), Microsoft tranche acceptance dates; IR request.</t>
  </si>
  <si>
    <t xml:space="preserve">No AI-vs-mining split of capex, D&amp;A, PP&amp;E (except GPU vs mining hardware at cost), or EBITDA.</t>
  </si>
  <si>
    <t xml:space="preserve">Capex/MW (K10-K15) and EBITDA/MW (K05) n/d on the AI perimeter.</t>
  </si>
  <si>
    <t xml:space="preserve">Use GPU hardware (I31) as AI asset proxy; segment note changes in FY27.</t>
  </si>
  <si>
    <t xml:space="preserve">No customer revenue concentration for AI Cloud; backlog concentration only derivable (Microsoft ~58%, NVIDIA ~20% of $16.6B).</t>
  </si>
  <si>
    <t xml:space="preserve">K24-K27 n/d.</t>
  </si>
  <si>
    <t xml:space="preserve">No public GPU list price; IREN's $2.00/GPU-hr revenue assumption used (Estimated).</t>
  </si>
  <si>
    <t xml:space="preserve">K08/K09 not comparable 1:1 with CRWV/Nebius list-based utilization.</t>
  </si>
  <si>
    <t xml:space="preserve">Contractual interest only annual; quarterly finance expense used.</t>
  </si>
  <si>
    <t xml:space="preserve">K36 includes issuance-cost amortization / lease interest.</t>
  </si>
  <si>
    <t xml:space="preserve">Caveat</t>
  </si>
  <si>
    <t xml:space="preserve">IFRS (to Mar-25) vs US GAAP (from Jun-25) basis break; Q2'24 values derived as FY (GAAP recast) - 9M (IFRS).</t>
  </si>
  <si>
    <t xml:space="preserve">Small (&lt;$0.1M on AI revenue; D&amp;A/capex may differ more).</t>
  </si>
  <si>
    <t xml:space="preserve">MW figures from PR boilerplate are 'as of PR date' (5-7 weeks after quarter end); total DC MW is gross basis while AI 40MW basis unstated.</t>
  </si>
  <si>
    <t xml:space="preserve">Mining MW estimates (I44E) approximate.</t>
  </si>
  <si>
    <t xml:space="preserve">Note</t>
  </si>
  <si>
    <t xml:space="preserve">Jun-26 transition: AI 51% of revenue; Bitcoin capacity 23.2 EH/s (~380MW) vs 50 EH/s peak; $16.6B contracted backlog; $4bn contracted ARR / $1bn operating ARR (FY26 PR).</t>
  </si>
  <si>
    <t xml:space="preserve">Post-period: Aug-2026 $2.4B GPU financing at 9.0% fixed (Blue Owl / PIMCO).</t>
  </si>
  <si>
    <t xml:space="preserve">Marginal secured cost far above the 1.9% blended rate.</t>
  </si>
  <si>
    <t xml:space="preserve">Per-peer stub. The multi-peer Comparison tab (Nebius, CoreWeave, IREN, Oracle OCI) lives in /workspace/nebius/peers/comparison.xlsx (built by peers/build_comparison.py from each peer workbook's KPIs tab).</t>
  </si>
  <si>
    <t xml:space="preserve">IREN (IREN) - AI Cloud perimeter Q4'25</t>
  </si>
  <si>
    <t xml:space="preserve">IREN (IREN) - AI Cloud perimeter Q1'26</t>
  </si>
  <si>
    <t xml:space="preserve">IREN (IREN) - AI Cloud perimeter Q2'26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</si>
</sst>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C65911"/>
      <name val="Cambria"/>
      <family val="0"/>
      <charset val="1"/>
    </font>
    <font>
      <sz val="11"/>
      <color rgb="FF0000CC"/>
      <name val="Cambria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0"/>
  </cols>
  <sheetData>
    <row r="1" customFormat="false" ht="28.3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1" t="s">
        <v>1</v>
      </c>
    </row>
    <row r="3" customFormat="false" ht="28.35" hidden="false" customHeight="false" outlineLevel="0" collapsed="false">
      <c r="A3" s="1" t="s">
        <v>2</v>
      </c>
    </row>
    <row r="4" customFormat="false" ht="28.3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15" min="5" style="0" width="10"/>
    <col collapsed="false" customWidth="true" hidden="false" outlineLevel="0" max="16" min="16" style="0" width="90"/>
  </cols>
  <sheetData>
    <row r="1" customFormat="false" ht="15" hidden="false" customHeight="false" outlineLevel="0" collapsed="false">
      <c r="A1" s="2" t="s">
        <v>8</v>
      </c>
    </row>
    <row r="2" customFormat="false" ht="15" hidden="false" customHeight="false" outlineLevel="0" collapsed="false"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</row>
    <row r="4" customFormat="false" ht="15" hidden="false" customHeight="false" outlineLevel="0" collapsed="false">
      <c r="A4" s="5" t="s">
        <v>36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41.75" hidden="false" customHeight="false" outlineLevel="0" collapsed="false">
      <c r="A5" s="0" t="s">
        <v>37</v>
      </c>
      <c r="B5" s="0" t="s">
        <v>38</v>
      </c>
      <c r="C5" s="0" t="s">
        <v>39</v>
      </c>
      <c r="D5" s="0" t="s">
        <v>40</v>
      </c>
      <c r="E5" s="7" t="s">
        <v>41</v>
      </c>
      <c r="F5" s="7" t="s">
        <v>41</v>
      </c>
      <c r="G5" s="7" t="s">
        <v>41</v>
      </c>
      <c r="H5" s="7" t="s">
        <v>41</v>
      </c>
      <c r="I5" s="7" t="s">
        <v>41</v>
      </c>
      <c r="J5" s="7" t="s">
        <v>41</v>
      </c>
      <c r="K5" s="7" t="s">
        <v>41</v>
      </c>
      <c r="L5" s="7" t="s">
        <v>41</v>
      </c>
      <c r="M5" s="7" t="s">
        <v>41</v>
      </c>
      <c r="N5" s="7" t="s">
        <v>41</v>
      </c>
      <c r="O5" s="8" t="n">
        <f aca="false">IFERROR(Inputs!O4*4/Inputs!O12,"n/d")</f>
        <v>7.0515</v>
      </c>
      <c r="P5" s="1" t="s">
        <v>42</v>
      </c>
    </row>
    <row r="6" customFormat="false" ht="15" hidden="false" customHeight="false" outlineLevel="0" collapsed="false">
      <c r="B6" s="3" t="s">
        <v>43</v>
      </c>
      <c r="E6" s="3" t="s">
        <v>41</v>
      </c>
      <c r="F6" s="3" t="s">
        <v>41</v>
      </c>
      <c r="G6" s="3" t="s">
        <v>41</v>
      </c>
      <c r="H6" s="3" t="s">
        <v>41</v>
      </c>
      <c r="I6" s="3" t="s">
        <v>41</v>
      </c>
      <c r="J6" s="3" t="s">
        <v>41</v>
      </c>
      <c r="K6" s="3" t="s">
        <v>41</v>
      </c>
      <c r="L6" s="3" t="s">
        <v>41</v>
      </c>
      <c r="M6" s="3" t="s">
        <v>41</v>
      </c>
      <c r="N6" s="3" t="s">
        <v>41</v>
      </c>
      <c r="O6" s="3" t="s">
        <v>44</v>
      </c>
    </row>
    <row r="7" customFormat="false" ht="28.35" hidden="false" customHeight="false" outlineLevel="0" collapsed="false">
      <c r="A7" s="0" t="s">
        <v>45</v>
      </c>
      <c r="B7" s="0" t="s">
        <v>46</v>
      </c>
      <c r="C7" s="0" t="s">
        <v>39</v>
      </c>
      <c r="D7" s="0" t="s">
        <v>40</v>
      </c>
      <c r="E7" s="7" t="s">
        <v>41</v>
      </c>
      <c r="F7" s="7" t="s">
        <v>41</v>
      </c>
      <c r="G7" s="9" t="n">
        <f aca="false">IFERROR(Inputs!G4*4/Inputs!G54,"n/d")</f>
        <v>8.87055882352941</v>
      </c>
      <c r="H7" s="9" t="n">
        <f aca="false">IFERROR(Inputs!H4*4/Inputs!H54,"n/d")</f>
        <v>11.1458676470588</v>
      </c>
      <c r="I7" s="9" t="n">
        <f aca="false">IFERROR(Inputs!I4*4/Inputs!I54,"n/d")</f>
        <v>5.59673451327434</v>
      </c>
      <c r="J7" s="9" t="n">
        <f aca="false">IFERROR(Inputs!J4*4/Inputs!J54,"n/d")</f>
        <v>5.38660970464135</v>
      </c>
      <c r="K7" s="9" t="n">
        <f aca="false">IFERROR(Inputs!K4*4/Inputs!K54,"n/d")</f>
        <v>10.4628429926238</v>
      </c>
      <c r="L7" s="9" t="n">
        <f aca="false">IFERROR(Inputs!L4*4/Inputs!L54,"n/d")</f>
        <v>10.476822</v>
      </c>
      <c r="M7" s="7" t="s">
        <v>41</v>
      </c>
      <c r="N7" s="7" t="s">
        <v>41</v>
      </c>
      <c r="O7" s="7" t="s">
        <v>41</v>
      </c>
      <c r="P7" s="1" t="s">
        <v>47</v>
      </c>
    </row>
    <row r="8" customFormat="false" ht="15" hidden="false" customHeight="false" outlineLevel="0" collapsed="false">
      <c r="B8" s="3" t="s">
        <v>43</v>
      </c>
      <c r="E8" s="3" t="s">
        <v>41</v>
      </c>
      <c r="F8" s="3" t="s">
        <v>41</v>
      </c>
      <c r="G8" s="3" t="s">
        <v>48</v>
      </c>
      <c r="H8" s="3" t="s">
        <v>48</v>
      </c>
      <c r="I8" s="3" t="s">
        <v>48</v>
      </c>
      <c r="J8" s="3" t="s">
        <v>48</v>
      </c>
      <c r="K8" s="3" t="s">
        <v>48</v>
      </c>
      <c r="L8" s="3" t="s">
        <v>48</v>
      </c>
      <c r="M8" s="3" t="s">
        <v>41</v>
      </c>
      <c r="N8" s="3" t="s">
        <v>41</v>
      </c>
      <c r="O8" s="3" t="s">
        <v>41</v>
      </c>
    </row>
    <row r="9" customFormat="false" ht="15" hidden="false" customHeight="false" outlineLevel="0" collapsed="false">
      <c r="A9" s="0" t="s">
        <v>49</v>
      </c>
      <c r="B9" s="0" t="s">
        <v>50</v>
      </c>
      <c r="C9" s="0" t="s">
        <v>39</v>
      </c>
      <c r="D9" s="0" t="s">
        <v>40</v>
      </c>
      <c r="E9" s="7" t="s">
        <v>41</v>
      </c>
      <c r="F9" s="7" t="s">
        <v>41</v>
      </c>
      <c r="G9" s="7" t="s">
        <v>41</v>
      </c>
      <c r="H9" s="7" t="s">
        <v>41</v>
      </c>
      <c r="I9" s="7" t="s">
        <v>41</v>
      </c>
      <c r="J9" s="7" t="s">
        <v>41</v>
      </c>
      <c r="K9" s="7" t="s">
        <v>41</v>
      </c>
      <c r="L9" s="7" t="s">
        <v>41</v>
      </c>
      <c r="M9" s="7" t="s">
        <v>41</v>
      </c>
      <c r="N9" s="7" t="s">
        <v>41</v>
      </c>
      <c r="O9" s="7" t="s">
        <v>41</v>
      </c>
      <c r="P9" s="1" t="s">
        <v>51</v>
      </c>
    </row>
    <row r="10" customFormat="false" ht="15" hidden="false" customHeight="false" outlineLevel="0" collapsed="false">
      <c r="B10" s="3" t="s">
        <v>43</v>
      </c>
      <c r="E10" s="3" t="s">
        <v>41</v>
      </c>
      <c r="F10" s="3" t="s">
        <v>41</v>
      </c>
      <c r="G10" s="3" t="s">
        <v>41</v>
      </c>
      <c r="H10" s="3" t="s">
        <v>41</v>
      </c>
      <c r="I10" s="3" t="s">
        <v>41</v>
      </c>
      <c r="J10" s="3" t="s">
        <v>41</v>
      </c>
      <c r="K10" s="3" t="s">
        <v>41</v>
      </c>
      <c r="L10" s="3" t="s">
        <v>41</v>
      </c>
      <c r="M10" s="3" t="s">
        <v>41</v>
      </c>
      <c r="N10" s="3" t="s">
        <v>41</v>
      </c>
      <c r="O10" s="3" t="s">
        <v>41</v>
      </c>
    </row>
    <row r="11" customFormat="false" ht="15" hidden="false" customHeight="false" outlineLevel="0" collapsed="false">
      <c r="A11" s="0" t="s">
        <v>52</v>
      </c>
      <c r="B11" s="0" t="s">
        <v>53</v>
      </c>
      <c r="C11" s="0" t="s">
        <v>54</v>
      </c>
      <c r="D11" s="0" t="s">
        <v>40</v>
      </c>
      <c r="E11" s="7" t="s">
        <v>41</v>
      </c>
      <c r="F11" s="7" t="s">
        <v>41</v>
      </c>
      <c r="G11" s="7" t="s">
        <v>41</v>
      </c>
      <c r="H11" s="7" t="s">
        <v>41</v>
      </c>
      <c r="I11" s="7" t="s">
        <v>41</v>
      </c>
      <c r="J11" s="7" t="s">
        <v>41</v>
      </c>
      <c r="K11" s="7" t="s">
        <v>41</v>
      </c>
      <c r="L11" s="7" t="s">
        <v>41</v>
      </c>
      <c r="M11" s="7" t="s">
        <v>41</v>
      </c>
      <c r="N11" s="7" t="s">
        <v>41</v>
      </c>
      <c r="O11" s="7" t="s">
        <v>41</v>
      </c>
      <c r="P11" s="1" t="s">
        <v>55</v>
      </c>
    </row>
    <row r="12" customFormat="false" ht="15" hidden="false" customHeight="false" outlineLevel="0" collapsed="false">
      <c r="B12" s="3" t="s">
        <v>43</v>
      </c>
      <c r="E12" s="3" t="s">
        <v>41</v>
      </c>
      <c r="F12" s="3" t="s">
        <v>41</v>
      </c>
      <c r="G12" s="3" t="s">
        <v>41</v>
      </c>
      <c r="H12" s="3" t="s">
        <v>41</v>
      </c>
      <c r="I12" s="3" t="s">
        <v>41</v>
      </c>
      <c r="J12" s="3" t="s">
        <v>41</v>
      </c>
      <c r="K12" s="3" t="s">
        <v>41</v>
      </c>
      <c r="L12" s="3" t="s">
        <v>41</v>
      </c>
      <c r="M12" s="3" t="s">
        <v>41</v>
      </c>
      <c r="N12" s="3" t="s">
        <v>41</v>
      </c>
      <c r="O12" s="3" t="s">
        <v>41</v>
      </c>
    </row>
    <row r="13" customFormat="false" ht="28.35" hidden="false" customHeight="false" outlineLevel="0" collapsed="false">
      <c r="A13" s="0" t="s">
        <v>56</v>
      </c>
      <c r="B13" s="0" t="s">
        <v>57</v>
      </c>
      <c r="C13" s="0" t="s">
        <v>39</v>
      </c>
      <c r="D13" s="0" t="s">
        <v>40</v>
      </c>
      <c r="E13" s="7" t="s">
        <v>41</v>
      </c>
      <c r="F13" s="7" t="s">
        <v>41</v>
      </c>
      <c r="G13" s="7" t="s">
        <v>41</v>
      </c>
      <c r="H13" s="7" t="s">
        <v>41</v>
      </c>
      <c r="I13" s="7" t="s">
        <v>41</v>
      </c>
      <c r="J13" s="7" t="s">
        <v>41</v>
      </c>
      <c r="K13" s="7" t="s">
        <v>41</v>
      </c>
      <c r="L13" s="7" t="s">
        <v>41</v>
      </c>
      <c r="M13" s="7" t="s">
        <v>41</v>
      </c>
      <c r="N13" s="7" t="s">
        <v>41</v>
      </c>
      <c r="O13" s="7" t="s">
        <v>41</v>
      </c>
      <c r="P13" s="1" t="s">
        <v>58</v>
      </c>
    </row>
    <row r="14" customFormat="false" ht="15" hidden="false" customHeight="false" outlineLevel="0" collapsed="false">
      <c r="B14" s="3" t="s">
        <v>43</v>
      </c>
      <c r="E14" s="3" t="s">
        <v>41</v>
      </c>
      <c r="F14" s="3" t="s">
        <v>41</v>
      </c>
      <c r="G14" s="3" t="s">
        <v>41</v>
      </c>
      <c r="H14" s="3" t="s">
        <v>41</v>
      </c>
      <c r="I14" s="3" t="s">
        <v>41</v>
      </c>
      <c r="J14" s="3" t="s">
        <v>41</v>
      </c>
      <c r="K14" s="3" t="s">
        <v>41</v>
      </c>
      <c r="L14" s="3" t="s">
        <v>41</v>
      </c>
      <c r="M14" s="3" t="s">
        <v>41</v>
      </c>
      <c r="N14" s="3" t="s">
        <v>41</v>
      </c>
      <c r="O14" s="3" t="s">
        <v>41</v>
      </c>
    </row>
    <row r="15" customFormat="false" ht="15" hidden="false" customHeight="false" outlineLevel="0" collapsed="false">
      <c r="A15" s="5" t="s">
        <v>59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customFormat="false" ht="28.35" hidden="false" customHeight="false" outlineLevel="0" collapsed="false">
      <c r="A16" s="0" t="s">
        <v>60</v>
      </c>
      <c r="B16" s="0" t="s">
        <v>61</v>
      </c>
      <c r="C16" s="0" t="s">
        <v>62</v>
      </c>
      <c r="D16" s="0" t="s">
        <v>63</v>
      </c>
      <c r="E16" s="10" t="s">
        <v>41</v>
      </c>
      <c r="F16" s="10" t="s">
        <v>41</v>
      </c>
      <c r="G16" s="11" t="n">
        <f aca="false">IFERROR(Inputs!G4*4000/Inputs!G52,"n/d")</f>
        <v>12.4411764705882</v>
      </c>
      <c r="H16" s="12" t="n">
        <f aca="false">IFERROR(Inputs!H4*4000/Inputs!H52,"n/d")</f>
        <v>15.6323529411765</v>
      </c>
      <c r="I16" s="12" t="n">
        <f aca="false">IFERROR(Inputs!I4*4000/Inputs!I52,"n/d")</f>
        <v>7.84955752212389</v>
      </c>
      <c r="J16" s="11" t="n">
        <f aca="false">IFERROR(Inputs!J4*4000/Inputs!J52,"n/d")</f>
        <v>7.55485232067511</v>
      </c>
      <c r="K16" s="11" t="n">
        <f aca="false">IFERROR(Inputs!K4*4000/Inputs!K52,"n/d")</f>
        <v>14.6743940990516</v>
      </c>
      <c r="L16" s="11" t="n">
        <f aca="false">IFERROR(Inputs!L4*4000/Inputs!L52,"n/d")</f>
        <v>14.694</v>
      </c>
      <c r="M16" s="10" t="s">
        <v>41</v>
      </c>
      <c r="N16" s="10" t="s">
        <v>41</v>
      </c>
      <c r="O16" s="10" t="s">
        <v>41</v>
      </c>
      <c r="P16" s="1" t="s">
        <v>64</v>
      </c>
    </row>
    <row r="17" customFormat="false" ht="15" hidden="false" customHeight="false" outlineLevel="0" collapsed="false">
      <c r="B17" s="3" t="s">
        <v>43</v>
      </c>
      <c r="E17" s="3" t="s">
        <v>41</v>
      </c>
      <c r="F17" s="3" t="s">
        <v>41</v>
      </c>
      <c r="G17" s="3" t="s">
        <v>44</v>
      </c>
      <c r="H17" s="3" t="s">
        <v>48</v>
      </c>
      <c r="I17" s="3" t="s">
        <v>48</v>
      </c>
      <c r="J17" s="3" t="s">
        <v>44</v>
      </c>
      <c r="K17" s="3" t="s">
        <v>44</v>
      </c>
      <c r="L17" s="3" t="s">
        <v>44</v>
      </c>
      <c r="M17" s="3" t="s">
        <v>41</v>
      </c>
      <c r="N17" s="3" t="s">
        <v>41</v>
      </c>
      <c r="O17" s="3" t="s">
        <v>41</v>
      </c>
    </row>
    <row r="18" customFormat="false" ht="28.35" hidden="false" customHeight="false" outlineLevel="0" collapsed="false">
      <c r="A18" s="0" t="s">
        <v>65</v>
      </c>
      <c r="B18" s="0" t="s">
        <v>66</v>
      </c>
      <c r="C18" s="0" t="s">
        <v>67</v>
      </c>
      <c r="D18" s="0" t="s">
        <v>63</v>
      </c>
      <c r="E18" s="7" t="s">
        <v>41</v>
      </c>
      <c r="F18" s="7" t="s">
        <v>41</v>
      </c>
      <c r="G18" s="8" t="n">
        <f aca="false">IFERROR(Inputs!G4*1000000/(Inputs!G52*Inputs!G29*24),"n/d")</f>
        <v>1.42412734324499</v>
      </c>
      <c r="H18" s="9" t="n">
        <f aca="false">IFERROR(Inputs!H4*1000000/(Inputs!H52*Inputs!H29*24),"n/d")</f>
        <v>1.76996749786871</v>
      </c>
      <c r="I18" s="9" t="n">
        <f aca="false">IFERROR(Inputs!I4*1000000/(Inputs!I52*Inputs!I29*24),"n/d")</f>
        <v>0.888763306399897</v>
      </c>
      <c r="J18" s="8" t="n">
        <f aca="false">IFERROR(Inputs!J4*1000000/(Inputs!J52*Inputs!J29*24),"n/d")</f>
        <v>0.874404203781841</v>
      </c>
      <c r="K18" s="8" t="n">
        <f aca="false">IFERROR(Inputs!K4*1000000/(Inputs!K52*Inputs!K29*24),"n/d")</f>
        <v>1.67976122928705</v>
      </c>
      <c r="L18" s="8" t="n">
        <f aca="false">IFERROR(Inputs!L4*1000000/(Inputs!L52*Inputs!L29*24),"n/d")</f>
        <v>1.66372282608696</v>
      </c>
      <c r="M18" s="7" t="s">
        <v>41</v>
      </c>
      <c r="N18" s="7" t="s">
        <v>41</v>
      </c>
      <c r="O18" s="7" t="s">
        <v>41</v>
      </c>
      <c r="P18" s="1" t="s">
        <v>68</v>
      </c>
    </row>
    <row r="19" customFormat="false" ht="15" hidden="false" customHeight="false" outlineLevel="0" collapsed="false">
      <c r="B19" s="3" t="s">
        <v>43</v>
      </c>
      <c r="E19" s="3" t="s">
        <v>41</v>
      </c>
      <c r="F19" s="3" t="s">
        <v>41</v>
      </c>
      <c r="G19" s="3" t="s">
        <v>44</v>
      </c>
      <c r="H19" s="3" t="s">
        <v>48</v>
      </c>
      <c r="I19" s="3" t="s">
        <v>48</v>
      </c>
      <c r="J19" s="3" t="s">
        <v>44</v>
      </c>
      <c r="K19" s="3" t="s">
        <v>44</v>
      </c>
      <c r="L19" s="3" t="s">
        <v>44</v>
      </c>
      <c r="M19" s="3" t="s">
        <v>41</v>
      </c>
      <c r="N19" s="3" t="s">
        <v>41</v>
      </c>
      <c r="O19" s="3" t="s">
        <v>41</v>
      </c>
    </row>
    <row r="20" customFormat="false" ht="28.35" hidden="false" customHeight="false" outlineLevel="0" collapsed="false">
      <c r="A20" s="0" t="s">
        <v>69</v>
      </c>
      <c r="B20" s="0" t="s">
        <v>70</v>
      </c>
      <c r="C20" s="0" t="s">
        <v>67</v>
      </c>
      <c r="D20" s="0" t="s">
        <v>71</v>
      </c>
      <c r="E20" s="7" t="s">
        <v>41</v>
      </c>
      <c r="F20" s="9" t="n">
        <f aca="false">IFERROR(Inputs!F56,"n/d")</f>
        <v>2</v>
      </c>
      <c r="G20" s="9" t="n">
        <f aca="false">IFERROR(Inputs!G56,"n/d")</f>
        <v>2</v>
      </c>
      <c r="H20" s="9" t="n">
        <f aca="false">IFERROR(Inputs!H56,"n/d")</f>
        <v>2</v>
      </c>
      <c r="I20" s="9" t="n">
        <f aca="false">IFERROR(Inputs!I56,"n/d")</f>
        <v>2</v>
      </c>
      <c r="J20" s="9" t="n">
        <f aca="false">IFERROR(Inputs!J56,"n/d")</f>
        <v>2</v>
      </c>
      <c r="K20" s="9" t="n">
        <f aca="false">IFERROR(Inputs!K56,"n/d")</f>
        <v>2</v>
      </c>
      <c r="L20" s="9" t="n">
        <f aca="false">IFERROR(Inputs!L56,"n/d")</f>
        <v>2</v>
      </c>
      <c r="M20" s="7" t="s">
        <v>41</v>
      </c>
      <c r="N20" s="7" t="s">
        <v>41</v>
      </c>
      <c r="O20" s="7" t="s">
        <v>41</v>
      </c>
      <c r="P20" s="1" t="s">
        <v>72</v>
      </c>
    </row>
    <row r="21" customFormat="false" ht="15" hidden="false" customHeight="false" outlineLevel="0" collapsed="false">
      <c r="B21" s="3" t="s">
        <v>43</v>
      </c>
      <c r="E21" s="3" t="s">
        <v>41</v>
      </c>
      <c r="F21" s="3" t="s">
        <v>48</v>
      </c>
      <c r="G21" s="3" t="s">
        <v>48</v>
      </c>
      <c r="H21" s="3" t="s">
        <v>48</v>
      </c>
      <c r="I21" s="3" t="s">
        <v>48</v>
      </c>
      <c r="J21" s="3" t="s">
        <v>48</v>
      </c>
      <c r="K21" s="3" t="s">
        <v>48</v>
      </c>
      <c r="L21" s="3" t="s">
        <v>48</v>
      </c>
      <c r="M21" s="3" t="s">
        <v>41</v>
      </c>
      <c r="N21" s="3" t="s">
        <v>41</v>
      </c>
      <c r="O21" s="3" t="s">
        <v>41</v>
      </c>
    </row>
    <row r="22" customFormat="false" ht="28.35" hidden="false" customHeight="false" outlineLevel="0" collapsed="false">
      <c r="A22" s="0" t="s">
        <v>73</v>
      </c>
      <c r="B22" s="0" t="s">
        <v>74</v>
      </c>
      <c r="C22" s="0" t="s">
        <v>75</v>
      </c>
      <c r="D22" s="0" t="s">
        <v>71</v>
      </c>
      <c r="E22" s="10" t="s">
        <v>41</v>
      </c>
      <c r="F22" s="10" t="s">
        <v>41</v>
      </c>
      <c r="G22" s="12" t="n">
        <f aca="false">IFERROR(Inputs!G4*1000000/(Inputs!G52*Inputs!G29*24)/Inputs!G56*100,"n/d")</f>
        <v>71.2063671622495</v>
      </c>
      <c r="H22" s="12" t="n">
        <f aca="false">IFERROR(Inputs!H4*1000000/(Inputs!H52*Inputs!H29*24)/Inputs!H56*100,"n/d")</f>
        <v>88.4983748934356</v>
      </c>
      <c r="I22" s="12" t="n">
        <f aca="false">IFERROR(Inputs!I4*1000000/(Inputs!I52*Inputs!I29*24)/Inputs!I56*100,"n/d")</f>
        <v>44.4381653199949</v>
      </c>
      <c r="J22" s="12" t="n">
        <f aca="false">IFERROR(Inputs!J4*1000000/(Inputs!J52*Inputs!J29*24)/Inputs!J56*100,"n/d")</f>
        <v>43.720210189092</v>
      </c>
      <c r="K22" s="12" t="n">
        <f aca="false">IFERROR(Inputs!K4*1000000/(Inputs!K52*Inputs!K29*24)/Inputs!K56*100,"n/d")</f>
        <v>83.9880614643523</v>
      </c>
      <c r="L22" s="12" t="n">
        <f aca="false">IFERROR(Inputs!L4*1000000/(Inputs!L52*Inputs!L29*24)/Inputs!L56*100,"n/d")</f>
        <v>83.1861413043478</v>
      </c>
      <c r="M22" s="10" t="s">
        <v>41</v>
      </c>
      <c r="N22" s="10" t="s">
        <v>41</v>
      </c>
      <c r="O22" s="10" t="s">
        <v>41</v>
      </c>
      <c r="P22" s="1" t="s">
        <v>76</v>
      </c>
    </row>
    <row r="23" customFormat="false" ht="15" hidden="false" customHeight="false" outlineLevel="0" collapsed="false">
      <c r="B23" s="3" t="s">
        <v>43</v>
      </c>
      <c r="E23" s="3" t="s">
        <v>41</v>
      </c>
      <c r="F23" s="3" t="s">
        <v>41</v>
      </c>
      <c r="G23" s="3" t="s">
        <v>48</v>
      </c>
      <c r="H23" s="3" t="s">
        <v>48</v>
      </c>
      <c r="I23" s="3" t="s">
        <v>48</v>
      </c>
      <c r="J23" s="3" t="s">
        <v>48</v>
      </c>
      <c r="K23" s="3" t="s">
        <v>48</v>
      </c>
      <c r="L23" s="3" t="s">
        <v>48</v>
      </c>
      <c r="M23" s="3" t="s">
        <v>41</v>
      </c>
      <c r="N23" s="3" t="s">
        <v>41</v>
      </c>
      <c r="O23" s="3" t="s">
        <v>41</v>
      </c>
    </row>
    <row r="24" customFormat="false" ht="15" hidden="false" customHeight="false" outlineLevel="0" collapsed="false">
      <c r="A24" s="5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41.75" hidden="false" customHeight="false" outlineLevel="0" collapsed="false">
      <c r="A25" s="0" t="s">
        <v>78</v>
      </c>
      <c r="B25" s="0" t="s">
        <v>79</v>
      </c>
      <c r="C25" s="0" t="s">
        <v>80</v>
      </c>
      <c r="D25" s="0" t="s">
        <v>81</v>
      </c>
      <c r="E25" s="10" t="s">
        <v>41</v>
      </c>
      <c r="F25" s="10" t="s">
        <v>41</v>
      </c>
      <c r="G25" s="10" t="s">
        <v>41</v>
      </c>
      <c r="H25" s="10" t="s">
        <v>41</v>
      </c>
      <c r="I25" s="10" t="s">
        <v>41</v>
      </c>
      <c r="J25" s="10" t="s">
        <v>41</v>
      </c>
      <c r="K25" s="10" t="s">
        <v>41</v>
      </c>
      <c r="L25" s="10" t="s">
        <v>41</v>
      </c>
      <c r="M25" s="10" t="s">
        <v>41</v>
      </c>
      <c r="N25" s="10" t="s">
        <v>41</v>
      </c>
      <c r="O25" s="10" t="s">
        <v>41</v>
      </c>
      <c r="P25" s="1" t="s">
        <v>82</v>
      </c>
    </row>
    <row r="26" customFormat="false" ht="15" hidden="false" customHeight="false" outlineLevel="0" collapsed="false">
      <c r="B26" s="3" t="s">
        <v>43</v>
      </c>
      <c r="E26" s="3" t="s">
        <v>41</v>
      </c>
      <c r="F26" s="3" t="s">
        <v>41</v>
      </c>
      <c r="G26" s="3" t="s">
        <v>41</v>
      </c>
      <c r="H26" s="3" t="s">
        <v>41</v>
      </c>
      <c r="I26" s="3" t="s">
        <v>41</v>
      </c>
      <c r="J26" s="3" t="s">
        <v>41</v>
      </c>
      <c r="K26" s="3" t="s">
        <v>41</v>
      </c>
      <c r="L26" s="3" t="s">
        <v>41</v>
      </c>
      <c r="M26" s="3" t="s">
        <v>41</v>
      </c>
      <c r="N26" s="3" t="s">
        <v>41</v>
      </c>
      <c r="O26" s="3" t="s">
        <v>41</v>
      </c>
    </row>
    <row r="27" customFormat="false" ht="15" hidden="false" customHeight="false" outlineLevel="0" collapsed="false">
      <c r="A27" s="0" t="s">
        <v>83</v>
      </c>
      <c r="B27" s="0" t="s">
        <v>84</v>
      </c>
      <c r="C27" s="0" t="s">
        <v>80</v>
      </c>
      <c r="D27" s="0" t="s">
        <v>81</v>
      </c>
      <c r="E27" s="10" t="s">
        <v>41</v>
      </c>
      <c r="F27" s="10" t="s">
        <v>41</v>
      </c>
      <c r="G27" s="10" t="s">
        <v>41</v>
      </c>
      <c r="H27" s="10" t="s">
        <v>41</v>
      </c>
      <c r="I27" s="10" t="s">
        <v>41</v>
      </c>
      <c r="J27" s="10" t="s">
        <v>41</v>
      </c>
      <c r="K27" s="10" t="s">
        <v>41</v>
      </c>
      <c r="L27" s="10" t="s">
        <v>41</v>
      </c>
      <c r="M27" s="10" t="s">
        <v>41</v>
      </c>
      <c r="N27" s="10" t="s">
        <v>41</v>
      </c>
      <c r="O27" s="10" t="s">
        <v>41</v>
      </c>
      <c r="P27" s="1" t="s">
        <v>85</v>
      </c>
    </row>
    <row r="28" customFormat="false" ht="15" hidden="false" customHeight="false" outlineLevel="0" collapsed="false">
      <c r="B28" s="3" t="s">
        <v>43</v>
      </c>
      <c r="E28" s="3" t="s">
        <v>41</v>
      </c>
      <c r="F28" s="3" t="s">
        <v>41</v>
      </c>
      <c r="G28" s="3" t="s">
        <v>41</v>
      </c>
      <c r="H28" s="3" t="s">
        <v>41</v>
      </c>
      <c r="I28" s="3" t="s">
        <v>41</v>
      </c>
      <c r="J28" s="3" t="s">
        <v>41</v>
      </c>
      <c r="K28" s="3" t="s">
        <v>41</v>
      </c>
      <c r="L28" s="3" t="s">
        <v>41</v>
      </c>
      <c r="M28" s="3" t="s">
        <v>41</v>
      </c>
      <c r="N28" s="3" t="s">
        <v>41</v>
      </c>
      <c r="O28" s="3" t="s">
        <v>41</v>
      </c>
    </row>
    <row r="29" customFormat="false" ht="15" hidden="false" customHeight="false" outlineLevel="0" collapsed="false">
      <c r="A29" s="0" t="s">
        <v>86</v>
      </c>
      <c r="B29" s="0" t="s">
        <v>87</v>
      </c>
      <c r="C29" s="0" t="s">
        <v>80</v>
      </c>
      <c r="D29" s="0" t="s">
        <v>81</v>
      </c>
      <c r="E29" s="10" t="s">
        <v>41</v>
      </c>
      <c r="F29" s="10" t="s">
        <v>41</v>
      </c>
      <c r="G29" s="10" t="s">
        <v>41</v>
      </c>
      <c r="H29" s="10" t="s">
        <v>41</v>
      </c>
      <c r="I29" s="10" t="s">
        <v>41</v>
      </c>
      <c r="J29" s="10" t="s">
        <v>41</v>
      </c>
      <c r="K29" s="10" t="s">
        <v>41</v>
      </c>
      <c r="L29" s="10" t="s">
        <v>41</v>
      </c>
      <c r="M29" s="10" t="s">
        <v>41</v>
      </c>
      <c r="N29" s="10" t="s">
        <v>41</v>
      </c>
      <c r="O29" s="10" t="s">
        <v>41</v>
      </c>
      <c r="P29" s="1" t="s">
        <v>88</v>
      </c>
    </row>
    <row r="30" customFormat="false" ht="15" hidden="false" customHeight="false" outlineLevel="0" collapsed="false">
      <c r="B30" s="3" t="s">
        <v>43</v>
      </c>
      <c r="E30" s="3" t="s">
        <v>41</v>
      </c>
      <c r="F30" s="3" t="s">
        <v>41</v>
      </c>
      <c r="G30" s="3" t="s">
        <v>41</v>
      </c>
      <c r="H30" s="3" t="s">
        <v>41</v>
      </c>
      <c r="I30" s="3" t="s">
        <v>41</v>
      </c>
      <c r="J30" s="3" t="s">
        <v>41</v>
      </c>
      <c r="K30" s="3" t="s">
        <v>41</v>
      </c>
      <c r="L30" s="3" t="s">
        <v>41</v>
      </c>
      <c r="M30" s="3" t="s">
        <v>41</v>
      </c>
      <c r="N30" s="3" t="s">
        <v>41</v>
      </c>
      <c r="O30" s="3" t="s">
        <v>41</v>
      </c>
    </row>
    <row r="31" customFormat="false" ht="28.35" hidden="false" customHeight="false" outlineLevel="0" collapsed="false">
      <c r="A31" s="0" t="s">
        <v>89</v>
      </c>
      <c r="B31" s="0" t="s">
        <v>90</v>
      </c>
      <c r="C31" s="0" t="s">
        <v>80</v>
      </c>
      <c r="D31" s="0" t="s">
        <v>81</v>
      </c>
      <c r="E31" s="10" t="s">
        <v>41</v>
      </c>
      <c r="F31" s="10" t="s">
        <v>41</v>
      </c>
      <c r="G31" s="10" t="s">
        <v>41</v>
      </c>
      <c r="H31" s="10" t="s">
        <v>41</v>
      </c>
      <c r="I31" s="10" t="s">
        <v>41</v>
      </c>
      <c r="J31" s="10" t="s">
        <v>41</v>
      </c>
      <c r="K31" s="10" t="s">
        <v>41</v>
      </c>
      <c r="L31" s="10" t="s">
        <v>41</v>
      </c>
      <c r="M31" s="10" t="s">
        <v>41</v>
      </c>
      <c r="N31" s="10" t="s">
        <v>41</v>
      </c>
      <c r="O31" s="10" t="s">
        <v>41</v>
      </c>
      <c r="P31" s="1" t="s">
        <v>91</v>
      </c>
    </row>
    <row r="32" customFormat="false" ht="15" hidden="false" customHeight="false" outlineLevel="0" collapsed="false">
      <c r="B32" s="3" t="s">
        <v>43</v>
      </c>
      <c r="E32" s="3" t="s">
        <v>41</v>
      </c>
      <c r="F32" s="3" t="s">
        <v>41</v>
      </c>
      <c r="G32" s="3" t="s">
        <v>41</v>
      </c>
      <c r="H32" s="3" t="s">
        <v>41</v>
      </c>
      <c r="I32" s="3" t="s">
        <v>41</v>
      </c>
      <c r="J32" s="3" t="s">
        <v>41</v>
      </c>
      <c r="K32" s="3" t="s">
        <v>41</v>
      </c>
      <c r="L32" s="3" t="s">
        <v>41</v>
      </c>
      <c r="M32" s="3" t="s">
        <v>41</v>
      </c>
      <c r="N32" s="3" t="s">
        <v>41</v>
      </c>
      <c r="O32" s="3" t="s">
        <v>41</v>
      </c>
    </row>
    <row r="33" customFormat="false" ht="28.35" hidden="false" customHeight="false" outlineLevel="0" collapsed="false">
      <c r="A33" s="0" t="s">
        <v>92</v>
      </c>
      <c r="B33" s="0" t="s">
        <v>93</v>
      </c>
      <c r="C33" s="0" t="s">
        <v>80</v>
      </c>
      <c r="D33" s="0" t="s">
        <v>81</v>
      </c>
      <c r="E33" s="10" t="s">
        <v>41</v>
      </c>
      <c r="F33" s="10" t="s">
        <v>41</v>
      </c>
      <c r="G33" s="10" t="s">
        <v>41</v>
      </c>
      <c r="H33" s="10" t="s">
        <v>41</v>
      </c>
      <c r="I33" s="10" t="s">
        <v>41</v>
      </c>
      <c r="J33" s="10" t="s">
        <v>41</v>
      </c>
      <c r="K33" s="10" t="s">
        <v>41</v>
      </c>
      <c r="L33" s="10" t="s">
        <v>41</v>
      </c>
      <c r="M33" s="10" t="s">
        <v>41</v>
      </c>
      <c r="N33" s="10" t="s">
        <v>41</v>
      </c>
      <c r="O33" s="10" t="s">
        <v>41</v>
      </c>
      <c r="P33" s="1" t="s">
        <v>94</v>
      </c>
    </row>
    <row r="34" customFormat="false" ht="15" hidden="false" customHeight="false" outlineLevel="0" collapsed="false">
      <c r="B34" s="3" t="s">
        <v>43</v>
      </c>
      <c r="E34" s="3" t="s">
        <v>41</v>
      </c>
      <c r="F34" s="3" t="s">
        <v>41</v>
      </c>
      <c r="G34" s="3" t="s">
        <v>41</v>
      </c>
      <c r="H34" s="3" t="s">
        <v>41</v>
      </c>
      <c r="I34" s="3" t="s">
        <v>41</v>
      </c>
      <c r="J34" s="3" t="s">
        <v>41</v>
      </c>
      <c r="K34" s="3" t="s">
        <v>41</v>
      </c>
      <c r="L34" s="3" t="s">
        <v>41</v>
      </c>
      <c r="M34" s="3" t="s">
        <v>41</v>
      </c>
      <c r="N34" s="3" t="s">
        <v>41</v>
      </c>
      <c r="O34" s="3" t="s">
        <v>41</v>
      </c>
    </row>
    <row r="35" customFormat="false" ht="15" hidden="false" customHeight="false" outlineLevel="0" collapsed="false">
      <c r="A35" s="0" t="s">
        <v>95</v>
      </c>
      <c r="B35" s="0" t="s">
        <v>96</v>
      </c>
      <c r="C35" s="0" t="s">
        <v>80</v>
      </c>
      <c r="D35" s="0" t="s">
        <v>81</v>
      </c>
      <c r="E35" s="10" t="s">
        <v>41</v>
      </c>
      <c r="F35" s="10" t="s">
        <v>41</v>
      </c>
      <c r="G35" s="10" t="s">
        <v>41</v>
      </c>
      <c r="H35" s="10" t="s">
        <v>41</v>
      </c>
      <c r="I35" s="10" t="s">
        <v>41</v>
      </c>
      <c r="J35" s="10" t="s">
        <v>41</v>
      </c>
      <c r="K35" s="10" t="s">
        <v>41</v>
      </c>
      <c r="L35" s="10" t="s">
        <v>41</v>
      </c>
      <c r="M35" s="10" t="s">
        <v>41</v>
      </c>
      <c r="N35" s="10" t="s">
        <v>41</v>
      </c>
      <c r="O35" s="10" t="s">
        <v>41</v>
      </c>
      <c r="P35" s="1" t="s">
        <v>97</v>
      </c>
    </row>
    <row r="36" customFormat="false" ht="15" hidden="false" customHeight="false" outlineLevel="0" collapsed="false">
      <c r="B36" s="3" t="s">
        <v>43</v>
      </c>
      <c r="E36" s="3" t="s">
        <v>41</v>
      </c>
      <c r="F36" s="3" t="s">
        <v>41</v>
      </c>
      <c r="G36" s="3" t="s">
        <v>41</v>
      </c>
      <c r="H36" s="3" t="s">
        <v>41</v>
      </c>
      <c r="I36" s="3" t="s">
        <v>41</v>
      </c>
      <c r="J36" s="3" t="s">
        <v>41</v>
      </c>
      <c r="K36" s="3" t="s">
        <v>41</v>
      </c>
      <c r="L36" s="3" t="s">
        <v>41</v>
      </c>
      <c r="M36" s="3" t="s">
        <v>41</v>
      </c>
      <c r="N36" s="3" t="s">
        <v>41</v>
      </c>
      <c r="O36" s="3" t="s">
        <v>41</v>
      </c>
    </row>
    <row r="37" customFormat="false" ht="15" hidden="false" customHeight="false" outlineLevel="0" collapsed="false">
      <c r="A37" s="5" t="s">
        <v>98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customFormat="false" ht="41.75" hidden="false" customHeight="false" outlineLevel="0" collapsed="false">
      <c r="A38" s="0" t="s">
        <v>99</v>
      </c>
      <c r="B38" s="0" t="s">
        <v>100</v>
      </c>
      <c r="C38" s="0" t="s">
        <v>101</v>
      </c>
      <c r="D38" s="0" t="s">
        <v>102</v>
      </c>
      <c r="E38" s="13" t="s">
        <v>41</v>
      </c>
      <c r="F38" s="14" t="n">
        <f aca="false">IFERROR(Inputs!F31,"n/d")</f>
        <v>5</v>
      </c>
      <c r="G38" s="14" t="n">
        <f aca="false">IFERROR(Inputs!G31,"n/d")</f>
        <v>5</v>
      </c>
      <c r="H38" s="14" t="n">
        <f aca="false">IFERROR(Inputs!H31,"n/d")</f>
        <v>5</v>
      </c>
      <c r="I38" s="14" t="n">
        <f aca="false">IFERROR(Inputs!I31,"n/d")</f>
        <v>5</v>
      </c>
      <c r="J38" s="14" t="n">
        <f aca="false">IFERROR(Inputs!J31,"n/d")</f>
        <v>5</v>
      </c>
      <c r="K38" s="14" t="n">
        <f aca="false">IFERROR(Inputs!K31,"n/d")</f>
        <v>5</v>
      </c>
      <c r="L38" s="14" t="n">
        <f aca="false">IFERROR(Inputs!L31,"n/d")</f>
        <v>5</v>
      </c>
      <c r="M38" s="14" t="n">
        <f aca="false">IFERROR(Inputs!M31,"n/d")</f>
        <v>5</v>
      </c>
      <c r="N38" s="14" t="n">
        <f aca="false">IFERROR(Inputs!N31,"n/d")</f>
        <v>5</v>
      </c>
      <c r="O38" s="14" t="n">
        <f aca="false">IFERROR(Inputs!O31,"n/d")</f>
        <v>5</v>
      </c>
      <c r="P38" s="1" t="s">
        <v>103</v>
      </c>
    </row>
    <row r="39" customFormat="false" ht="15" hidden="false" customHeight="false" outlineLevel="0" collapsed="false">
      <c r="B39" s="3" t="s">
        <v>43</v>
      </c>
      <c r="E39" s="3" t="s">
        <v>41</v>
      </c>
      <c r="F39" s="3" t="s">
        <v>104</v>
      </c>
      <c r="G39" s="3" t="s">
        <v>104</v>
      </c>
      <c r="H39" s="3" t="s">
        <v>104</v>
      </c>
      <c r="I39" s="3" t="s">
        <v>104</v>
      </c>
      <c r="J39" s="3" t="s">
        <v>104</v>
      </c>
      <c r="K39" s="3" t="s">
        <v>104</v>
      </c>
      <c r="L39" s="3" t="s">
        <v>104</v>
      </c>
      <c r="M39" s="3" t="s">
        <v>104</v>
      </c>
      <c r="N39" s="3" t="s">
        <v>104</v>
      </c>
      <c r="O39" s="3" t="s">
        <v>104</v>
      </c>
    </row>
    <row r="40" customFormat="false" ht="41.75" hidden="false" customHeight="false" outlineLevel="0" collapsed="false">
      <c r="A40" s="0" t="s">
        <v>105</v>
      </c>
      <c r="B40" s="0" t="s">
        <v>106</v>
      </c>
      <c r="C40" s="0" t="s">
        <v>75</v>
      </c>
      <c r="D40" s="0" t="s">
        <v>102</v>
      </c>
      <c r="E40" s="10" t="s">
        <v>41</v>
      </c>
      <c r="F40" s="10" t="s">
        <v>41</v>
      </c>
      <c r="G40" s="11" t="n">
        <f aca="false">IFERROR(Inputs!G6*4/((Inputs!F57+Inputs!G57)/2)*100,"n/d")</f>
        <v>29.173424187089</v>
      </c>
      <c r="H40" s="11" t="n">
        <f aca="false">IFERROR(Inputs!H6*4/((Inputs!G57+Inputs!H57)/2)*100,"n/d")</f>
        <v>21.5552961542432</v>
      </c>
      <c r="I40" s="11" t="n">
        <f aca="false">IFERROR(Inputs!I6*4/((Inputs!H57+Inputs!I57)/2)*100,"n/d")</f>
        <v>14.7749681070865</v>
      </c>
      <c r="J40" s="11" t="n">
        <f aca="false">IFERROR(Inputs!J6*4/((Inputs!I57+Inputs!J57)/2)*100,"n/d")</f>
        <v>14.6567160480059</v>
      </c>
      <c r="K40" s="11" t="n">
        <f aca="false">IFERROR(Inputs!K6*4/((Inputs!J57+Inputs!K57)/2)*100,"n/d")</f>
        <v>15.2268990973665</v>
      </c>
      <c r="L40" s="11" t="n">
        <f aca="false">IFERROR(Inputs!L6*4/((Inputs!K57+Inputs!L57)/2)*100,"n/d")</f>
        <v>17.9899845142299</v>
      </c>
      <c r="M40" s="11" t="n">
        <f aca="false">IFERROR(Inputs!M6*4/((Inputs!L57+Inputs!M57)/2)*100,"n/d")</f>
        <v>18.0528058587522</v>
      </c>
      <c r="N40" s="11" t="n">
        <f aca="false">IFERROR(Inputs!N6*4/((Inputs!M57+Inputs!N57)/2)*100,"n/d")</f>
        <v>18.634413840907</v>
      </c>
      <c r="O40" s="11" t="n">
        <f aca="false">IFERROR(Inputs!O6*4/((Inputs!N57+Inputs!O57)/2)*100,"n/d")</f>
        <v>14.3513593886696</v>
      </c>
      <c r="P40" s="1" t="s">
        <v>107</v>
      </c>
    </row>
    <row r="41" customFormat="false" ht="15" hidden="false" customHeight="false" outlineLevel="0" collapsed="false">
      <c r="B41" s="3" t="s">
        <v>43</v>
      </c>
      <c r="E41" s="3" t="s">
        <v>41</v>
      </c>
      <c r="F41" s="3" t="s">
        <v>41</v>
      </c>
      <c r="G41" s="3" t="s">
        <v>44</v>
      </c>
      <c r="H41" s="3" t="s">
        <v>44</v>
      </c>
      <c r="I41" s="3" t="s">
        <v>44</v>
      </c>
      <c r="J41" s="3" t="s">
        <v>44</v>
      </c>
      <c r="K41" s="3" t="s">
        <v>44</v>
      </c>
      <c r="L41" s="3" t="s">
        <v>44</v>
      </c>
      <c r="M41" s="3" t="s">
        <v>44</v>
      </c>
      <c r="N41" s="3" t="s">
        <v>44</v>
      </c>
      <c r="O41" s="3" t="s">
        <v>44</v>
      </c>
    </row>
    <row r="42" customFormat="false" ht="15" hidden="false" customHeight="false" outlineLevel="0" collapsed="false">
      <c r="A42" s="0" t="s">
        <v>108</v>
      </c>
      <c r="B42" s="0" t="s">
        <v>109</v>
      </c>
      <c r="C42" s="0" t="s">
        <v>101</v>
      </c>
      <c r="D42" s="0" t="s">
        <v>102</v>
      </c>
      <c r="E42" s="10" t="s">
        <v>41</v>
      </c>
      <c r="F42" s="10" t="s">
        <v>41</v>
      </c>
      <c r="G42" s="11" t="n">
        <f aca="false">IFERROR(100/G40,"n/d")</f>
        <v>3.42777725914862</v>
      </c>
      <c r="H42" s="11" t="n">
        <f aca="false">IFERROR(100/H40,"n/d")</f>
        <v>4.63923108661696</v>
      </c>
      <c r="I42" s="11" t="n">
        <f aca="false">IFERROR(100/I40,"n/d")</f>
        <v>6.76820411896776</v>
      </c>
      <c r="J42" s="11" t="n">
        <f aca="false">IFERROR(100/J40,"n/d")</f>
        <v>6.82281076282471</v>
      </c>
      <c r="K42" s="11" t="n">
        <f aca="false">IFERROR(100/K40,"n/d")</f>
        <v>6.56732532083928</v>
      </c>
      <c r="L42" s="11" t="n">
        <f aca="false">IFERROR(100/L40,"n/d")</f>
        <v>5.55864847581724</v>
      </c>
      <c r="M42" s="11" t="n">
        <f aca="false">IFERROR(100/M40,"n/d")</f>
        <v>5.5393051242236</v>
      </c>
      <c r="N42" s="11" t="n">
        <f aca="false">IFERROR(100/N40,"n/d")</f>
        <v>5.36641510990144</v>
      </c>
      <c r="O42" s="11" t="n">
        <f aca="false">IFERROR(100/O40,"n/d")</f>
        <v>6.96798103174462</v>
      </c>
      <c r="P42" s="1"/>
    </row>
    <row r="43" customFormat="false" ht="15" hidden="false" customHeight="false" outlineLevel="0" collapsed="false">
      <c r="B43" s="3" t="s">
        <v>43</v>
      </c>
      <c r="E43" s="3" t="s">
        <v>41</v>
      </c>
      <c r="F43" s="3" t="s">
        <v>41</v>
      </c>
      <c r="G43" s="3" t="s">
        <v>44</v>
      </c>
      <c r="H43" s="3" t="s">
        <v>44</v>
      </c>
      <c r="I43" s="3" t="s">
        <v>44</v>
      </c>
      <c r="J43" s="3" t="s">
        <v>44</v>
      </c>
      <c r="K43" s="3" t="s">
        <v>44</v>
      </c>
      <c r="L43" s="3" t="s">
        <v>44</v>
      </c>
      <c r="M43" s="3" t="s">
        <v>44</v>
      </c>
      <c r="N43" s="3" t="s">
        <v>44</v>
      </c>
      <c r="O43" s="3" t="s">
        <v>44</v>
      </c>
    </row>
    <row r="44" customFormat="false" ht="15" hidden="false" customHeight="false" outlineLevel="0" collapsed="false">
      <c r="A44" s="0" t="s">
        <v>110</v>
      </c>
      <c r="B44" s="0" t="s">
        <v>111</v>
      </c>
      <c r="C44" s="0" t="s">
        <v>75</v>
      </c>
      <c r="D44" s="0" t="s">
        <v>102</v>
      </c>
      <c r="E44" s="10" t="s">
        <v>41</v>
      </c>
      <c r="F44" s="11" t="n">
        <f aca="false">IFERROR(Inputs!F6/Inputs!F59*100,"n/d")</f>
        <v>16.1112140871177</v>
      </c>
      <c r="G44" s="11" t="n">
        <f aca="false">IFERROR(Inputs!G6/Inputs!G59*100,"n/d")</f>
        <v>47.1495475192789</v>
      </c>
      <c r="H44" s="11" t="n">
        <f aca="false">IFERROR(Inputs!H6/Inputs!H59*100,"n/d")</f>
        <v>64.3071033280267</v>
      </c>
      <c r="I44" s="11" t="n">
        <f aca="false">IFERROR(Inputs!I6/Inputs!I59*100,"n/d")</f>
        <v>31.0623019699683</v>
      </c>
      <c r="J44" s="11" t="n">
        <f aca="false">IFERROR(Inputs!J6/Inputs!J59*100,"n/d")</f>
        <v>32.6681535391478</v>
      </c>
      <c r="K44" s="11" t="n">
        <f aca="false">IFERROR(Inputs!K6/Inputs!K59*100,"n/d")</f>
        <v>34.0733503120779</v>
      </c>
      <c r="L44" s="11" t="n">
        <f aca="false">IFERROR(Inputs!L6/Inputs!L59*100,"n/d")</f>
        <v>35.4672381863959</v>
      </c>
      <c r="M44" s="11" t="n">
        <f aca="false">IFERROR(Inputs!M6/Inputs!M59*100,"n/d")</f>
        <v>53.6980486431464</v>
      </c>
      <c r="N44" s="11" t="n">
        <f aca="false">IFERROR(Inputs!N6/Inputs!N59*100,"n/d")</f>
        <v>83.7356262301875</v>
      </c>
      <c r="O44" s="11" t="n">
        <f aca="false">IFERROR(Inputs!O6/Inputs!O59*100,"n/d")</f>
        <v>81.6775368919658</v>
      </c>
      <c r="P44" s="1" t="s">
        <v>112</v>
      </c>
    </row>
    <row r="45" customFormat="false" ht="15" hidden="false" customHeight="false" outlineLevel="0" collapsed="false">
      <c r="B45" s="3" t="s">
        <v>43</v>
      </c>
      <c r="E45" s="3" t="s">
        <v>41</v>
      </c>
      <c r="F45" s="3" t="s">
        <v>44</v>
      </c>
      <c r="G45" s="3" t="s">
        <v>44</v>
      </c>
      <c r="H45" s="3" t="s">
        <v>44</v>
      </c>
      <c r="I45" s="3" t="s">
        <v>44</v>
      </c>
      <c r="J45" s="3" t="s">
        <v>44</v>
      </c>
      <c r="K45" s="3" t="s">
        <v>44</v>
      </c>
      <c r="L45" s="3" t="s">
        <v>44</v>
      </c>
      <c r="M45" s="3" t="s">
        <v>44</v>
      </c>
      <c r="N45" s="3" t="s">
        <v>44</v>
      </c>
      <c r="O45" s="3" t="s">
        <v>44</v>
      </c>
    </row>
    <row r="46" customFormat="false" ht="15" hidden="false" customHeight="false" outlineLevel="0" collapsed="false">
      <c r="A46" s="5" t="s">
        <v>113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customFormat="false" ht="28.35" hidden="false" customHeight="false" outlineLevel="0" collapsed="false">
      <c r="A47" s="0" t="s">
        <v>114</v>
      </c>
      <c r="B47" s="0" t="s">
        <v>115</v>
      </c>
      <c r="C47" s="0" t="s">
        <v>116</v>
      </c>
      <c r="D47" s="0" t="s">
        <v>117</v>
      </c>
      <c r="E47" s="10" t="s">
        <v>41</v>
      </c>
      <c r="F47" s="10" t="s">
        <v>41</v>
      </c>
      <c r="G47" s="10" t="s">
        <v>41</v>
      </c>
      <c r="H47" s="10" t="s">
        <v>41</v>
      </c>
      <c r="I47" s="10" t="s">
        <v>41</v>
      </c>
      <c r="J47" s="10" t="s">
        <v>41</v>
      </c>
      <c r="K47" s="10" t="s">
        <v>41</v>
      </c>
      <c r="L47" s="15" t="n">
        <f aca="false">IFERROR(Inputs!L17,"n/d")</f>
        <v>0.195027</v>
      </c>
      <c r="M47" s="15" t="n">
        <f aca="false">IFERROR(Inputs!M17,"n/d")</f>
        <v>0.289411</v>
      </c>
      <c r="N47" s="15" t="n">
        <f aca="false">IFERROR(Inputs!N17,"n/d")</f>
        <v>0.710272</v>
      </c>
      <c r="O47" s="15" t="n">
        <f aca="false">IFERROR(Inputs!O17,"n/d")</f>
        <v>5.1</v>
      </c>
      <c r="P47" s="1" t="s">
        <v>118</v>
      </c>
    </row>
    <row r="48" customFormat="false" ht="15" hidden="false" customHeight="false" outlineLevel="0" collapsed="false">
      <c r="B48" s="3" t="s">
        <v>43</v>
      </c>
      <c r="E48" s="3" t="s">
        <v>41</v>
      </c>
      <c r="F48" s="3" t="s">
        <v>41</v>
      </c>
      <c r="G48" s="3" t="s">
        <v>41</v>
      </c>
      <c r="H48" s="3" t="s">
        <v>41</v>
      </c>
      <c r="I48" s="3" t="s">
        <v>41</v>
      </c>
      <c r="J48" s="3" t="s">
        <v>41</v>
      </c>
      <c r="K48" s="3" t="s">
        <v>41</v>
      </c>
      <c r="L48" s="3" t="s">
        <v>104</v>
      </c>
      <c r="M48" s="3" t="s">
        <v>104</v>
      </c>
      <c r="N48" s="3" t="s">
        <v>104</v>
      </c>
      <c r="O48" s="3" t="s">
        <v>104</v>
      </c>
    </row>
    <row r="49" customFormat="false" ht="41.75" hidden="false" customHeight="false" outlineLevel="0" collapsed="false">
      <c r="A49" s="0" t="s">
        <v>119</v>
      </c>
      <c r="B49" s="0" t="s">
        <v>120</v>
      </c>
      <c r="C49" s="0" t="s">
        <v>116</v>
      </c>
      <c r="D49" s="0" t="s">
        <v>117</v>
      </c>
      <c r="E49" s="10" t="s">
        <v>41</v>
      </c>
      <c r="F49" s="10" t="s">
        <v>41</v>
      </c>
      <c r="G49" s="10" t="s">
        <v>41</v>
      </c>
      <c r="H49" s="10" t="s">
        <v>41</v>
      </c>
      <c r="I49" s="10" t="s">
        <v>41</v>
      </c>
      <c r="J49" s="10" t="s">
        <v>41</v>
      </c>
      <c r="K49" s="10" t="s">
        <v>41</v>
      </c>
      <c r="L49" s="10" t="s">
        <v>41</v>
      </c>
      <c r="M49" s="11" t="n">
        <f aca="false">IFERROR(Inputs!M18,"n/d")</f>
        <v>9.989</v>
      </c>
      <c r="N49" s="11" t="n">
        <f aca="false">IFERROR(Inputs!N18,"n/d")</f>
        <v>10.41</v>
      </c>
      <c r="O49" s="15" t="n">
        <f aca="false">IFERROR(Inputs!O18,"n/d")</f>
        <v>16.6</v>
      </c>
      <c r="P49" s="1" t="s">
        <v>121</v>
      </c>
    </row>
    <row r="50" customFormat="false" ht="15" hidden="false" customHeight="false" outlineLevel="0" collapsed="false">
      <c r="B50" s="3" t="s">
        <v>43</v>
      </c>
      <c r="E50" s="3" t="s">
        <v>41</v>
      </c>
      <c r="F50" s="3" t="s">
        <v>41</v>
      </c>
      <c r="G50" s="3" t="s">
        <v>41</v>
      </c>
      <c r="H50" s="3" t="s">
        <v>41</v>
      </c>
      <c r="I50" s="3" t="s">
        <v>41</v>
      </c>
      <c r="J50" s="3" t="s">
        <v>41</v>
      </c>
      <c r="K50" s="3" t="s">
        <v>41</v>
      </c>
      <c r="L50" s="3" t="s">
        <v>41</v>
      </c>
      <c r="M50" s="3" t="s">
        <v>44</v>
      </c>
      <c r="N50" s="3" t="s">
        <v>44</v>
      </c>
      <c r="O50" s="3" t="s">
        <v>104</v>
      </c>
    </row>
    <row r="51" customFormat="false" ht="15" hidden="false" customHeight="false" outlineLevel="0" collapsed="false">
      <c r="A51" s="0" t="s">
        <v>122</v>
      </c>
      <c r="B51" s="0" t="s">
        <v>123</v>
      </c>
      <c r="C51" s="0" t="s">
        <v>75</v>
      </c>
      <c r="D51" s="0" t="s">
        <v>117</v>
      </c>
      <c r="E51" s="13" t="s">
        <v>41</v>
      </c>
      <c r="F51" s="13" t="s">
        <v>41</v>
      </c>
      <c r="G51" s="13" t="s">
        <v>41</v>
      </c>
      <c r="H51" s="13" t="s">
        <v>41</v>
      </c>
      <c r="I51" s="13" t="s">
        <v>41</v>
      </c>
      <c r="J51" s="13" t="s">
        <v>41</v>
      </c>
      <c r="K51" s="13" t="s">
        <v>41</v>
      </c>
      <c r="L51" s="16" t="n">
        <f aca="false">IFERROR(Inputs!L19,"n/d")</f>
        <v>95.8</v>
      </c>
      <c r="M51" s="16" t="n">
        <f aca="false">IFERROR(Inputs!M19,"n/d")</f>
        <v>98.7</v>
      </c>
      <c r="N51" s="16" t="n">
        <f aca="false">IFERROR(Inputs!N19,"n/d")</f>
        <v>80.7</v>
      </c>
      <c r="O51" s="16" t="n">
        <f aca="false">IFERROR(Inputs!O19,"n/d")</f>
        <v>43.1</v>
      </c>
      <c r="P51" s="1" t="s">
        <v>124</v>
      </c>
    </row>
    <row r="52" customFormat="false" ht="15" hidden="false" customHeight="false" outlineLevel="0" collapsed="false">
      <c r="B52" s="3" t="s">
        <v>43</v>
      </c>
      <c r="E52" s="3" t="s">
        <v>41</v>
      </c>
      <c r="F52" s="3" t="s">
        <v>41</v>
      </c>
      <c r="G52" s="3" t="s">
        <v>41</v>
      </c>
      <c r="H52" s="3" t="s">
        <v>41</v>
      </c>
      <c r="I52" s="3" t="s">
        <v>41</v>
      </c>
      <c r="J52" s="3" t="s">
        <v>41</v>
      </c>
      <c r="K52" s="3" t="s">
        <v>41</v>
      </c>
      <c r="L52" s="3" t="s">
        <v>44</v>
      </c>
      <c r="M52" s="3" t="s">
        <v>44</v>
      </c>
      <c r="N52" s="3" t="s">
        <v>44</v>
      </c>
      <c r="O52" s="3" t="s">
        <v>44</v>
      </c>
    </row>
    <row r="53" customFormat="false" ht="15" hidden="false" customHeight="false" outlineLevel="0" collapsed="false">
      <c r="A53" s="0" t="s">
        <v>125</v>
      </c>
      <c r="B53" s="0" t="s">
        <v>126</v>
      </c>
      <c r="C53" s="0" t="s">
        <v>101</v>
      </c>
      <c r="D53" s="0" t="s">
        <v>117</v>
      </c>
      <c r="E53" s="10" t="s">
        <v>41</v>
      </c>
      <c r="F53" s="10" t="s">
        <v>41</v>
      </c>
      <c r="G53" s="10" t="s">
        <v>41</v>
      </c>
      <c r="H53" s="10" t="s">
        <v>41</v>
      </c>
      <c r="I53" s="10" t="s">
        <v>41</v>
      </c>
      <c r="J53" s="10" t="s">
        <v>41</v>
      </c>
      <c r="K53" s="10" t="s">
        <v>41</v>
      </c>
      <c r="L53" s="11" t="n">
        <f aca="false">IFERROR(Inputs!L17*1000/(Inputs!L4*4),"n/d")</f>
        <v>6.63628011433238</v>
      </c>
      <c r="M53" s="11" t="n">
        <f aca="false">IFERROR(Inputs!M17*1000/(Inputs!M4*4),"n/d")</f>
        <v>4.1827234362354</v>
      </c>
      <c r="N53" s="11" t="n">
        <f aca="false">IFERROR(Inputs!N17*1000/(Inputs!N4*4),"n/d")</f>
        <v>5.27926267281106</v>
      </c>
      <c r="O53" s="11" t="n">
        <f aca="false">IFERROR(Inputs!O17*1000/(Inputs!O4*4),"n/d")</f>
        <v>18.0812593065305</v>
      </c>
      <c r="P53" s="1" t="s">
        <v>127</v>
      </c>
    </row>
    <row r="54" customFormat="false" ht="15" hidden="false" customHeight="false" outlineLevel="0" collapsed="false">
      <c r="B54" s="3" t="s">
        <v>43</v>
      </c>
      <c r="E54" s="3" t="s">
        <v>41</v>
      </c>
      <c r="F54" s="3" t="s">
        <v>41</v>
      </c>
      <c r="G54" s="3" t="s">
        <v>41</v>
      </c>
      <c r="H54" s="3" t="s">
        <v>41</v>
      </c>
      <c r="I54" s="3" t="s">
        <v>41</v>
      </c>
      <c r="J54" s="3" t="s">
        <v>41</v>
      </c>
      <c r="K54" s="3" t="s">
        <v>41</v>
      </c>
      <c r="L54" s="3" t="s">
        <v>44</v>
      </c>
      <c r="M54" s="3" t="s">
        <v>44</v>
      </c>
      <c r="N54" s="3" t="s">
        <v>44</v>
      </c>
      <c r="O54" s="3" t="s">
        <v>44</v>
      </c>
    </row>
    <row r="55" customFormat="false" ht="15" hidden="false" customHeight="false" outlineLevel="0" collapsed="false">
      <c r="A55" s="5" t="s">
        <v>128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customFormat="false" ht="28.35" hidden="false" customHeight="false" outlineLevel="0" collapsed="false">
      <c r="A56" s="0" t="s">
        <v>129</v>
      </c>
      <c r="B56" s="0" t="s">
        <v>130</v>
      </c>
      <c r="C56" s="0" t="s">
        <v>75</v>
      </c>
      <c r="D56" s="0" t="s">
        <v>131</v>
      </c>
      <c r="E56" s="13" t="s">
        <v>41</v>
      </c>
      <c r="F56" s="13" t="s">
        <v>41</v>
      </c>
      <c r="G56" s="13" t="s">
        <v>41</v>
      </c>
      <c r="H56" s="13" t="s">
        <v>41</v>
      </c>
      <c r="I56" s="13" t="s">
        <v>41</v>
      </c>
      <c r="J56" s="13" t="s">
        <v>41</v>
      </c>
      <c r="K56" s="13" t="s">
        <v>41</v>
      </c>
      <c r="L56" s="13" t="s">
        <v>41</v>
      </c>
      <c r="M56" s="13" t="s">
        <v>41</v>
      </c>
      <c r="N56" s="13" t="s">
        <v>41</v>
      </c>
      <c r="O56" s="13" t="s">
        <v>41</v>
      </c>
      <c r="P56" s="1" t="s">
        <v>132</v>
      </c>
    </row>
    <row r="57" customFormat="false" ht="15" hidden="false" customHeight="false" outlineLevel="0" collapsed="false">
      <c r="B57" s="3" t="s">
        <v>43</v>
      </c>
      <c r="E57" s="3" t="s">
        <v>41</v>
      </c>
      <c r="F57" s="3" t="s">
        <v>41</v>
      </c>
      <c r="G57" s="3" t="s">
        <v>41</v>
      </c>
      <c r="H57" s="3" t="s">
        <v>41</v>
      </c>
      <c r="I57" s="3" t="s">
        <v>41</v>
      </c>
      <c r="J57" s="3" t="s">
        <v>41</v>
      </c>
      <c r="K57" s="3" t="s">
        <v>41</v>
      </c>
      <c r="L57" s="3" t="s">
        <v>41</v>
      </c>
      <c r="M57" s="3" t="s">
        <v>41</v>
      </c>
      <c r="N57" s="3" t="s">
        <v>41</v>
      </c>
      <c r="O57" s="3" t="s">
        <v>41</v>
      </c>
    </row>
    <row r="58" customFormat="false" ht="15" hidden="false" customHeight="false" outlineLevel="0" collapsed="false">
      <c r="A58" s="0" t="s">
        <v>133</v>
      </c>
      <c r="B58" s="0" t="s">
        <v>134</v>
      </c>
      <c r="C58" s="0" t="s">
        <v>75</v>
      </c>
      <c r="D58" s="0" t="s">
        <v>131</v>
      </c>
      <c r="E58" s="13" t="s">
        <v>41</v>
      </c>
      <c r="F58" s="13" t="s">
        <v>41</v>
      </c>
      <c r="G58" s="13" t="s">
        <v>41</v>
      </c>
      <c r="H58" s="13" t="s">
        <v>41</v>
      </c>
      <c r="I58" s="13" t="s">
        <v>41</v>
      </c>
      <c r="J58" s="13" t="s">
        <v>41</v>
      </c>
      <c r="K58" s="13" t="s">
        <v>41</v>
      </c>
      <c r="L58" s="13" t="s">
        <v>41</v>
      </c>
      <c r="M58" s="13" t="s">
        <v>41</v>
      </c>
      <c r="N58" s="13" t="s">
        <v>41</v>
      </c>
      <c r="O58" s="13" t="s">
        <v>41</v>
      </c>
      <c r="P58" s="1" t="s">
        <v>41</v>
      </c>
    </row>
    <row r="59" customFormat="false" ht="15" hidden="false" customHeight="false" outlineLevel="0" collapsed="false">
      <c r="B59" s="3" t="s">
        <v>43</v>
      </c>
      <c r="E59" s="3" t="s">
        <v>41</v>
      </c>
      <c r="F59" s="3" t="s">
        <v>41</v>
      </c>
      <c r="G59" s="3" t="s">
        <v>41</v>
      </c>
      <c r="H59" s="3" t="s">
        <v>41</v>
      </c>
      <c r="I59" s="3" t="s">
        <v>41</v>
      </c>
      <c r="J59" s="3" t="s">
        <v>41</v>
      </c>
      <c r="K59" s="3" t="s">
        <v>41</v>
      </c>
      <c r="L59" s="3" t="s">
        <v>41</v>
      </c>
      <c r="M59" s="3" t="s">
        <v>41</v>
      </c>
      <c r="N59" s="3" t="s">
        <v>41</v>
      </c>
      <c r="O59" s="3" t="s">
        <v>41</v>
      </c>
    </row>
    <row r="60" customFormat="false" ht="15" hidden="false" customHeight="false" outlineLevel="0" collapsed="false">
      <c r="A60" s="0" t="s">
        <v>135</v>
      </c>
      <c r="B60" s="0" t="s">
        <v>136</v>
      </c>
      <c r="C60" s="0" t="s">
        <v>75</v>
      </c>
      <c r="D60" s="0" t="s">
        <v>131</v>
      </c>
      <c r="E60" s="13" t="s">
        <v>41</v>
      </c>
      <c r="F60" s="13" t="s">
        <v>41</v>
      </c>
      <c r="G60" s="13" t="s">
        <v>41</v>
      </c>
      <c r="H60" s="13" t="s">
        <v>41</v>
      </c>
      <c r="I60" s="13" t="s">
        <v>41</v>
      </c>
      <c r="J60" s="13" t="s">
        <v>41</v>
      </c>
      <c r="K60" s="13" t="s">
        <v>41</v>
      </c>
      <c r="L60" s="13" t="s">
        <v>41</v>
      </c>
      <c r="M60" s="13" t="s">
        <v>41</v>
      </c>
      <c r="N60" s="13" t="s">
        <v>41</v>
      </c>
      <c r="O60" s="13" t="s">
        <v>41</v>
      </c>
      <c r="P60" s="1" t="s">
        <v>41</v>
      </c>
    </row>
    <row r="61" customFormat="false" ht="15" hidden="false" customHeight="false" outlineLevel="0" collapsed="false">
      <c r="B61" s="3" t="s">
        <v>43</v>
      </c>
      <c r="E61" s="3" t="s">
        <v>41</v>
      </c>
      <c r="F61" s="3" t="s">
        <v>41</v>
      </c>
      <c r="G61" s="3" t="s">
        <v>41</v>
      </c>
      <c r="H61" s="3" t="s">
        <v>41</v>
      </c>
      <c r="I61" s="3" t="s">
        <v>41</v>
      </c>
      <c r="J61" s="3" t="s">
        <v>41</v>
      </c>
      <c r="K61" s="3" t="s">
        <v>41</v>
      </c>
      <c r="L61" s="3" t="s">
        <v>41</v>
      </c>
      <c r="M61" s="3" t="s">
        <v>41</v>
      </c>
      <c r="N61" s="3" t="s">
        <v>41</v>
      </c>
      <c r="O61" s="3" t="s">
        <v>41</v>
      </c>
    </row>
    <row r="62" customFormat="false" ht="15" hidden="false" customHeight="false" outlineLevel="0" collapsed="false">
      <c r="A62" s="0" t="s">
        <v>137</v>
      </c>
      <c r="B62" s="0" t="s">
        <v>138</v>
      </c>
      <c r="C62" s="0" t="s">
        <v>139</v>
      </c>
      <c r="D62" s="0" t="s">
        <v>131</v>
      </c>
      <c r="E62" s="13" t="s">
        <v>41</v>
      </c>
      <c r="F62" s="13" t="s">
        <v>41</v>
      </c>
      <c r="G62" s="13" t="s">
        <v>41</v>
      </c>
      <c r="H62" s="13" t="s">
        <v>41</v>
      </c>
      <c r="I62" s="13" t="s">
        <v>41</v>
      </c>
      <c r="J62" s="13" t="s">
        <v>41</v>
      </c>
      <c r="K62" s="13" t="s">
        <v>41</v>
      </c>
      <c r="L62" s="13" t="s">
        <v>41</v>
      </c>
      <c r="M62" s="13" t="s">
        <v>41</v>
      </c>
      <c r="N62" s="13" t="s">
        <v>41</v>
      </c>
      <c r="O62" s="13" t="s">
        <v>41</v>
      </c>
      <c r="P62" s="1" t="s">
        <v>41</v>
      </c>
    </row>
    <row r="63" customFormat="false" ht="15" hidden="false" customHeight="false" outlineLevel="0" collapsed="false">
      <c r="B63" s="3" t="s">
        <v>43</v>
      </c>
      <c r="E63" s="3" t="s">
        <v>41</v>
      </c>
      <c r="F63" s="3" t="s">
        <v>41</v>
      </c>
      <c r="G63" s="3" t="s">
        <v>41</v>
      </c>
      <c r="H63" s="3" t="s">
        <v>41</v>
      </c>
      <c r="I63" s="3" t="s">
        <v>41</v>
      </c>
      <c r="J63" s="3" t="s">
        <v>41</v>
      </c>
      <c r="K63" s="3" t="s">
        <v>41</v>
      </c>
      <c r="L63" s="3" t="s">
        <v>41</v>
      </c>
      <c r="M63" s="3" t="s">
        <v>41</v>
      </c>
      <c r="N63" s="3" t="s">
        <v>41</v>
      </c>
      <c r="O63" s="3" t="s">
        <v>41</v>
      </c>
    </row>
    <row r="64" customFormat="false" ht="15" hidden="false" customHeight="false" outlineLevel="0" collapsed="false">
      <c r="A64" s="5" t="s">
        <v>140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customFormat="false" ht="28.35" hidden="false" customHeight="false" outlineLevel="0" collapsed="false">
      <c r="A65" s="0" t="s">
        <v>141</v>
      </c>
      <c r="B65" s="0" t="s">
        <v>142</v>
      </c>
      <c r="C65" s="0" t="s">
        <v>75</v>
      </c>
      <c r="D65" s="0" t="s">
        <v>143</v>
      </c>
      <c r="E65" s="7" t="s">
        <v>41</v>
      </c>
      <c r="F65" s="8" t="str">
        <f aca="false">IFERROR(Debt_Facilities!D17*1,"n/d")</f>
        <v>n/d</v>
      </c>
      <c r="G65" s="8" t="str">
        <f aca="false">IFERROR(Debt_Facilities!F17*1,"n/d")</f>
        <v>n/d</v>
      </c>
      <c r="H65" s="8" t="str">
        <f aca="false">IFERROR(Debt_Facilities!H17*1,"n/d")</f>
        <v>n/d</v>
      </c>
      <c r="I65" s="8" t="n">
        <f aca="false">IFERROR(Debt_Facilities!J17*1,"n/d")</f>
        <v>3.87</v>
      </c>
      <c r="J65" s="8" t="n">
        <f aca="false">IFERROR(Debt_Facilities!L17*1,"n/d")</f>
        <v>3.87</v>
      </c>
      <c r="K65" s="8" t="n">
        <f aca="false">IFERROR(Debt_Facilities!N17*1,"n/d")</f>
        <v>4.06444444444445</v>
      </c>
      <c r="L65" s="8" t="n">
        <f aca="false">IFERROR(Debt_Facilities!P17*1,"n/d")</f>
        <v>4.06444444444445</v>
      </c>
      <c r="M65" s="8" t="n">
        <f aca="false">IFERROR(Debt_Facilities!R17*1,"n/d")</f>
        <v>1.08151810383055</v>
      </c>
      <c r="N65" s="8" t="n">
        <f aca="false">IFERROR(Debt_Facilities!T17*1,"n/d")</f>
        <v>1.08151810383055</v>
      </c>
      <c r="O65" s="8" t="n">
        <f aca="false">IFERROR(Debt_Facilities!V17*1,"n/d")</f>
        <v>1.85234367978236</v>
      </c>
      <c r="P65" s="1" t="s">
        <v>144</v>
      </c>
    </row>
    <row r="66" customFormat="false" ht="15" hidden="false" customHeight="false" outlineLevel="0" collapsed="false">
      <c r="B66" s="3" t="s">
        <v>43</v>
      </c>
      <c r="E66" s="3" t="s">
        <v>41</v>
      </c>
      <c r="F66" s="3" t="s">
        <v>44</v>
      </c>
      <c r="G66" s="3" t="s">
        <v>44</v>
      </c>
      <c r="H66" s="3" t="s">
        <v>44</v>
      </c>
      <c r="I66" s="3" t="s">
        <v>44</v>
      </c>
      <c r="J66" s="3" t="s">
        <v>44</v>
      </c>
      <c r="K66" s="3" t="s">
        <v>44</v>
      </c>
      <c r="L66" s="3" t="s">
        <v>44</v>
      </c>
      <c r="M66" s="3" t="s">
        <v>44</v>
      </c>
      <c r="N66" s="3" t="s">
        <v>44</v>
      </c>
      <c r="O66" s="3" t="s">
        <v>44</v>
      </c>
    </row>
    <row r="67" customFormat="false" ht="15" hidden="false" customHeight="false" outlineLevel="0" collapsed="false">
      <c r="A67" s="0" t="s">
        <v>145</v>
      </c>
      <c r="B67" s="0" t="s">
        <v>146</v>
      </c>
      <c r="C67" s="0" t="s">
        <v>75</v>
      </c>
      <c r="D67" s="0" t="s">
        <v>143</v>
      </c>
      <c r="E67" s="7" t="s">
        <v>41</v>
      </c>
      <c r="F67" s="8" t="str">
        <f aca="false">Debt_Facilities!D18</f>
        <v>n/d</v>
      </c>
      <c r="G67" s="8" t="str">
        <f aca="false">Debt_Facilities!F18</f>
        <v>n/d</v>
      </c>
      <c r="H67" s="8" t="str">
        <f aca="false">Debt_Facilities!H18</f>
        <v>n/d</v>
      </c>
      <c r="I67" s="8" t="str">
        <f aca="false">Debt_Facilities!J18</f>
        <v>n/d</v>
      </c>
      <c r="J67" s="8" t="str">
        <f aca="false">Debt_Facilities!L18</f>
        <v>n/d</v>
      </c>
      <c r="K67" s="8" t="str">
        <f aca="false">Debt_Facilities!N18</f>
        <v>n/d</v>
      </c>
      <c r="L67" s="8" t="str">
        <f aca="false">Debt_Facilities!P18</f>
        <v>n/d</v>
      </c>
      <c r="M67" s="8" t="str">
        <f aca="false">Debt_Facilities!R18</f>
        <v>n/d</v>
      </c>
      <c r="N67" s="8" t="str">
        <f aca="false">Debt_Facilities!T18</f>
        <v>n/d</v>
      </c>
      <c r="O67" s="8" t="n">
        <f aca="false">Debt_Facilities!V18</f>
        <v>7.12</v>
      </c>
      <c r="P67" s="1" t="s">
        <v>147</v>
      </c>
    </row>
    <row r="68" customFormat="false" ht="15" hidden="false" customHeight="false" outlineLevel="0" collapsed="false">
      <c r="B68" s="3" t="s">
        <v>43</v>
      </c>
      <c r="E68" s="3" t="s">
        <v>41</v>
      </c>
      <c r="F68" s="3" t="s">
        <v>44</v>
      </c>
      <c r="G68" s="3" t="s">
        <v>44</v>
      </c>
      <c r="H68" s="3" t="s">
        <v>44</v>
      </c>
      <c r="I68" s="3" t="s">
        <v>44</v>
      </c>
      <c r="J68" s="3" t="s">
        <v>44</v>
      </c>
      <c r="K68" s="3" t="s">
        <v>44</v>
      </c>
      <c r="L68" s="3" t="s">
        <v>44</v>
      </c>
      <c r="M68" s="3" t="s">
        <v>44</v>
      </c>
      <c r="N68" s="3" t="s">
        <v>44</v>
      </c>
      <c r="O68" s="3" t="s">
        <v>44</v>
      </c>
    </row>
    <row r="69" customFormat="false" ht="15" hidden="false" customHeight="false" outlineLevel="0" collapsed="false">
      <c r="A69" s="0" t="s">
        <v>148</v>
      </c>
      <c r="B69" s="0" t="s">
        <v>149</v>
      </c>
      <c r="C69" s="0" t="s">
        <v>75</v>
      </c>
      <c r="D69" s="0" t="s">
        <v>143</v>
      </c>
      <c r="E69" s="7" t="s">
        <v>41</v>
      </c>
      <c r="F69" s="8" t="str">
        <f aca="false">Debt_Facilities!D19</f>
        <v>n/d</v>
      </c>
      <c r="G69" s="8" t="str">
        <f aca="false">Debt_Facilities!F19</f>
        <v>n/d</v>
      </c>
      <c r="H69" s="8" t="str">
        <f aca="false">Debt_Facilities!H19</f>
        <v>n/d</v>
      </c>
      <c r="I69" s="8" t="str">
        <f aca="false">Debt_Facilities!J19</f>
        <v>n/d</v>
      </c>
      <c r="J69" s="8" t="str">
        <f aca="false">Debt_Facilities!L19</f>
        <v>n/d</v>
      </c>
      <c r="K69" s="8" t="str">
        <f aca="false">Debt_Facilities!N19</f>
        <v>n/d</v>
      </c>
      <c r="L69" s="8" t="str">
        <f aca="false">Debt_Facilities!P19</f>
        <v>n/d</v>
      </c>
      <c r="M69" s="8" t="str">
        <f aca="false">Debt_Facilities!R19</f>
        <v>n/d</v>
      </c>
      <c r="N69" s="8" t="str">
        <f aca="false">Debt_Facilities!T19</f>
        <v>n/d</v>
      </c>
      <c r="O69" s="8" t="n">
        <f aca="false">Debt_Facilities!V19</f>
        <v>7.05</v>
      </c>
      <c r="P69" s="1" t="s">
        <v>150</v>
      </c>
    </row>
    <row r="70" customFormat="false" ht="15" hidden="false" customHeight="false" outlineLevel="0" collapsed="false">
      <c r="B70" s="3" t="s">
        <v>43</v>
      </c>
      <c r="E70" s="3" t="s">
        <v>41</v>
      </c>
      <c r="F70" s="3" t="s">
        <v>44</v>
      </c>
      <c r="G70" s="3" t="s">
        <v>44</v>
      </c>
      <c r="H70" s="3" t="s">
        <v>44</v>
      </c>
      <c r="I70" s="3" t="s">
        <v>44</v>
      </c>
      <c r="J70" s="3" t="s">
        <v>44</v>
      </c>
      <c r="K70" s="3" t="s">
        <v>44</v>
      </c>
      <c r="L70" s="3" t="s">
        <v>44</v>
      </c>
      <c r="M70" s="3" t="s">
        <v>44</v>
      </c>
      <c r="N70" s="3" t="s">
        <v>44</v>
      </c>
      <c r="O70" s="3" t="s">
        <v>44</v>
      </c>
    </row>
    <row r="71" customFormat="false" ht="15" hidden="false" customHeight="false" outlineLevel="0" collapsed="false">
      <c r="A71" s="0" t="s">
        <v>151</v>
      </c>
      <c r="B71" s="0" t="s">
        <v>152</v>
      </c>
      <c r="C71" s="0" t="s">
        <v>75</v>
      </c>
      <c r="D71" s="0" t="s">
        <v>143</v>
      </c>
      <c r="E71" s="7" t="s">
        <v>41</v>
      </c>
      <c r="F71" s="8" t="str">
        <f aca="false">Debt_Facilities!D20</f>
        <v>n/d</v>
      </c>
      <c r="G71" s="8" t="str">
        <f aca="false">Debt_Facilities!F20</f>
        <v>n/d</v>
      </c>
      <c r="H71" s="8" t="str">
        <f aca="false">Debt_Facilities!H20</f>
        <v>n/d</v>
      </c>
      <c r="I71" s="8" t="n">
        <f aca="false">Debt_Facilities!J20</f>
        <v>3.87</v>
      </c>
      <c r="J71" s="8" t="n">
        <f aca="false">Debt_Facilities!L20</f>
        <v>3.87</v>
      </c>
      <c r="K71" s="8" t="n">
        <f aca="false">Debt_Facilities!N20</f>
        <v>4.06444444444445</v>
      </c>
      <c r="L71" s="8" t="n">
        <f aca="false">Debt_Facilities!P20</f>
        <v>4.06444444444445</v>
      </c>
      <c r="M71" s="8" t="n">
        <f aca="false">Debt_Facilities!R20</f>
        <v>1.08151810383055</v>
      </c>
      <c r="N71" s="8" t="n">
        <f aca="false">Debt_Facilities!T20</f>
        <v>1.08151810383055</v>
      </c>
      <c r="O71" s="8" t="n">
        <f aca="false">Debt_Facilities!V20</f>
        <v>1.12531574266803</v>
      </c>
      <c r="P71" s="1" t="s">
        <v>153</v>
      </c>
    </row>
    <row r="72" customFormat="false" ht="15" hidden="false" customHeight="false" outlineLevel="0" collapsed="false">
      <c r="B72" s="3" t="s">
        <v>43</v>
      </c>
      <c r="E72" s="3" t="s">
        <v>41</v>
      </c>
      <c r="F72" s="3" t="s">
        <v>44</v>
      </c>
      <c r="G72" s="3" t="s">
        <v>44</v>
      </c>
      <c r="H72" s="3" t="s">
        <v>44</v>
      </c>
      <c r="I72" s="3" t="s">
        <v>44</v>
      </c>
      <c r="J72" s="3" t="s">
        <v>44</v>
      </c>
      <c r="K72" s="3" t="s">
        <v>44</v>
      </c>
      <c r="L72" s="3" t="s">
        <v>44</v>
      </c>
      <c r="M72" s="3" t="s">
        <v>44</v>
      </c>
      <c r="N72" s="3" t="s">
        <v>44</v>
      </c>
      <c r="O72" s="3" t="s">
        <v>44</v>
      </c>
    </row>
    <row r="73" customFormat="false" ht="15" hidden="false" customHeight="false" outlineLevel="0" collapsed="false">
      <c r="A73" s="0" t="s">
        <v>154</v>
      </c>
      <c r="B73" s="0" t="s">
        <v>155</v>
      </c>
      <c r="C73" s="0" t="s">
        <v>75</v>
      </c>
      <c r="D73" s="0" t="s">
        <v>143</v>
      </c>
      <c r="E73" s="7" t="s">
        <v>41</v>
      </c>
      <c r="F73" s="8" t="str">
        <f aca="false">Debt_Facilities!D21</f>
        <v>n/d</v>
      </c>
      <c r="G73" s="8" t="str">
        <f aca="false">Debt_Facilities!F21</f>
        <v>n/d</v>
      </c>
      <c r="H73" s="8" t="str">
        <f aca="false">Debt_Facilities!H21</f>
        <v>n/d</v>
      </c>
      <c r="I73" s="8" t="str">
        <f aca="false">Debt_Facilities!J21</f>
        <v>n/d</v>
      </c>
      <c r="J73" s="8" t="str">
        <f aca="false">Debt_Facilities!L21</f>
        <v>n/d</v>
      </c>
      <c r="K73" s="8" t="str">
        <f aca="false">Debt_Facilities!N21</f>
        <v>n/d</v>
      </c>
      <c r="L73" s="8" t="str">
        <f aca="false">Debt_Facilities!P21</f>
        <v>n/d</v>
      </c>
      <c r="M73" s="8" t="str">
        <f aca="false">Debt_Facilities!R21</f>
        <v>n/d</v>
      </c>
      <c r="N73" s="8" t="str">
        <f aca="false">Debt_Facilities!T21</f>
        <v>n/d</v>
      </c>
      <c r="O73" s="8" t="str">
        <f aca="false">Debt_Facilities!V21</f>
        <v>n/d</v>
      </c>
      <c r="P73" s="1" t="s">
        <v>156</v>
      </c>
    </row>
    <row r="74" customFormat="false" ht="15" hidden="false" customHeight="false" outlineLevel="0" collapsed="false">
      <c r="B74" s="3" t="s">
        <v>43</v>
      </c>
      <c r="E74" s="3" t="s">
        <v>41</v>
      </c>
      <c r="F74" s="3" t="s">
        <v>44</v>
      </c>
      <c r="G74" s="3" t="s">
        <v>44</v>
      </c>
      <c r="H74" s="3" t="s">
        <v>44</v>
      </c>
      <c r="I74" s="3" t="s">
        <v>44</v>
      </c>
      <c r="J74" s="3" t="s">
        <v>44</v>
      </c>
      <c r="K74" s="3" t="s">
        <v>44</v>
      </c>
      <c r="L74" s="3" t="s">
        <v>44</v>
      </c>
      <c r="M74" s="3" t="s">
        <v>44</v>
      </c>
      <c r="N74" s="3" t="s">
        <v>44</v>
      </c>
      <c r="O74" s="3" t="s">
        <v>44</v>
      </c>
    </row>
    <row r="75" customFormat="false" ht="15" hidden="false" customHeight="false" outlineLevel="0" collapsed="false">
      <c r="A75" s="0" t="s">
        <v>157</v>
      </c>
      <c r="B75" s="0" t="s">
        <v>158</v>
      </c>
      <c r="C75" s="0" t="s">
        <v>75</v>
      </c>
      <c r="D75" s="0" t="s">
        <v>143</v>
      </c>
      <c r="E75" s="7" t="s">
        <v>41</v>
      </c>
      <c r="F75" s="8" t="str">
        <f aca="false">Debt_Facilities!D22</f>
        <v>n/d</v>
      </c>
      <c r="G75" s="8" t="str">
        <f aca="false">Debt_Facilities!F22</f>
        <v>n/d</v>
      </c>
      <c r="H75" s="8" t="str">
        <f aca="false">Debt_Facilities!H22</f>
        <v>n/d</v>
      </c>
      <c r="I75" s="8" t="str">
        <f aca="false">Debt_Facilities!J22</f>
        <v>n/d</v>
      </c>
      <c r="J75" s="8" t="str">
        <f aca="false">Debt_Facilities!L22</f>
        <v>n/d</v>
      </c>
      <c r="K75" s="8" t="str">
        <f aca="false">Debt_Facilities!N22</f>
        <v>n/d</v>
      </c>
      <c r="L75" s="8" t="str">
        <f aca="false">Debt_Facilities!P22</f>
        <v>n/d</v>
      </c>
      <c r="M75" s="8" t="str">
        <f aca="false">Debt_Facilities!R22</f>
        <v>n/d</v>
      </c>
      <c r="N75" s="8" t="str">
        <f aca="false">Debt_Facilities!T22</f>
        <v>n/d</v>
      </c>
      <c r="O75" s="8" t="str">
        <f aca="false">Debt_Facilities!V22</f>
        <v>n/d</v>
      </c>
      <c r="P75" s="1" t="s">
        <v>156</v>
      </c>
    </row>
    <row r="76" customFormat="false" ht="15" hidden="false" customHeight="false" outlineLevel="0" collapsed="false">
      <c r="B76" s="3" t="s">
        <v>43</v>
      </c>
      <c r="E76" s="3" t="s">
        <v>41</v>
      </c>
      <c r="F76" s="3" t="s">
        <v>44</v>
      </c>
      <c r="G76" s="3" t="s">
        <v>44</v>
      </c>
      <c r="H76" s="3" t="s">
        <v>44</v>
      </c>
      <c r="I76" s="3" t="s">
        <v>44</v>
      </c>
      <c r="J76" s="3" t="s">
        <v>44</v>
      </c>
      <c r="K76" s="3" t="s">
        <v>44</v>
      </c>
      <c r="L76" s="3" t="s">
        <v>44</v>
      </c>
      <c r="M76" s="3" t="s">
        <v>44</v>
      </c>
      <c r="N76" s="3" t="s">
        <v>44</v>
      </c>
      <c r="O76" s="3" t="s">
        <v>44</v>
      </c>
    </row>
    <row r="77" customFormat="false" ht="15" hidden="false" customHeight="false" outlineLevel="0" collapsed="false">
      <c r="A77" s="0" t="s">
        <v>159</v>
      </c>
      <c r="B77" s="0" t="s">
        <v>160</v>
      </c>
      <c r="C77" s="0" t="s">
        <v>75</v>
      </c>
      <c r="D77" s="0" t="s">
        <v>143</v>
      </c>
      <c r="E77" s="7" t="s">
        <v>41</v>
      </c>
      <c r="F77" s="8" t="str">
        <f aca="false">Debt_Facilities!D23</f>
        <v>n/d</v>
      </c>
      <c r="G77" s="8" t="str">
        <f aca="false">Debt_Facilities!F23</f>
        <v>n/d</v>
      </c>
      <c r="H77" s="8" t="str">
        <f aca="false">Debt_Facilities!H23</f>
        <v>n/d</v>
      </c>
      <c r="I77" s="8" t="str">
        <f aca="false">Debt_Facilities!J23</f>
        <v>n/d</v>
      </c>
      <c r="J77" s="8" t="str">
        <f aca="false">Debt_Facilities!L23</f>
        <v>n/d</v>
      </c>
      <c r="K77" s="8" t="str">
        <f aca="false">Debt_Facilities!N23</f>
        <v>n/d</v>
      </c>
      <c r="L77" s="8" t="str">
        <f aca="false">Debt_Facilities!P23</f>
        <v>n/d</v>
      </c>
      <c r="M77" s="8" t="str">
        <f aca="false">Debt_Facilities!R23</f>
        <v>n/d</v>
      </c>
      <c r="N77" s="8" t="str">
        <f aca="false">Debt_Facilities!T23</f>
        <v>n/d</v>
      </c>
      <c r="O77" s="8" t="str">
        <f aca="false">Debt_Facilities!V23</f>
        <v>n/d</v>
      </c>
      <c r="P77" s="1" t="s">
        <v>156</v>
      </c>
    </row>
    <row r="78" customFormat="false" ht="15" hidden="false" customHeight="false" outlineLevel="0" collapsed="false">
      <c r="B78" s="3" t="s">
        <v>43</v>
      </c>
      <c r="E78" s="3" t="s">
        <v>41</v>
      </c>
      <c r="F78" s="3" t="s">
        <v>44</v>
      </c>
      <c r="G78" s="3" t="s">
        <v>44</v>
      </c>
      <c r="H78" s="3" t="s">
        <v>44</v>
      </c>
      <c r="I78" s="3" t="s">
        <v>44</v>
      </c>
      <c r="J78" s="3" t="s">
        <v>44</v>
      </c>
      <c r="K78" s="3" t="s">
        <v>44</v>
      </c>
      <c r="L78" s="3" t="s">
        <v>44</v>
      </c>
      <c r="M78" s="3" t="s">
        <v>44</v>
      </c>
      <c r="N78" s="3" t="s">
        <v>44</v>
      </c>
      <c r="O78" s="3" t="s">
        <v>44</v>
      </c>
    </row>
    <row r="79" customFormat="false" ht="15" hidden="false" customHeight="false" outlineLevel="0" collapsed="false">
      <c r="A79" s="0" t="s">
        <v>161</v>
      </c>
      <c r="B79" s="0" t="s">
        <v>162</v>
      </c>
      <c r="C79" s="0" t="s">
        <v>75</v>
      </c>
      <c r="D79" s="0" t="s">
        <v>143</v>
      </c>
      <c r="E79" s="13" t="s">
        <v>41</v>
      </c>
      <c r="F79" s="16" t="str">
        <f aca="false">Debt_Facilities!D24</f>
        <v>n/d</v>
      </c>
      <c r="G79" s="16" t="str">
        <f aca="false">Debt_Facilities!F24</f>
        <v>n/d</v>
      </c>
      <c r="H79" s="16" t="str">
        <f aca="false">Debt_Facilities!H24</f>
        <v>n/d</v>
      </c>
      <c r="I79" s="16" t="n">
        <f aca="false">Debt_Facilities!J24</f>
        <v>0</v>
      </c>
      <c r="J79" s="16" t="n">
        <f aca="false">Debt_Facilities!L24</f>
        <v>0</v>
      </c>
      <c r="K79" s="16" t="n">
        <f aca="false">Debt_Facilities!N24</f>
        <v>0</v>
      </c>
      <c r="L79" s="16" t="n">
        <f aca="false">Debt_Facilities!P24</f>
        <v>0</v>
      </c>
      <c r="M79" s="16" t="n">
        <f aca="false">Debt_Facilities!R24</f>
        <v>0</v>
      </c>
      <c r="N79" s="16" t="n">
        <f aca="false">Debt_Facilities!T24</f>
        <v>0</v>
      </c>
      <c r="O79" s="16" t="n">
        <f aca="false">Debt_Facilities!V24</f>
        <v>5.35970428967112</v>
      </c>
      <c r="P79" s="1"/>
    </row>
    <row r="80" customFormat="false" ht="15" hidden="false" customHeight="false" outlineLevel="0" collapsed="false">
      <c r="B80" s="3" t="s">
        <v>43</v>
      </c>
      <c r="E80" s="3" t="s">
        <v>41</v>
      </c>
      <c r="F80" s="3" t="s">
        <v>44</v>
      </c>
      <c r="G80" s="3" t="s">
        <v>44</v>
      </c>
      <c r="H80" s="3" t="s">
        <v>44</v>
      </c>
      <c r="I80" s="3" t="s">
        <v>44</v>
      </c>
      <c r="J80" s="3" t="s">
        <v>44</v>
      </c>
      <c r="K80" s="3" t="s">
        <v>44</v>
      </c>
      <c r="L80" s="3" t="s">
        <v>44</v>
      </c>
      <c r="M80" s="3" t="s">
        <v>44</v>
      </c>
      <c r="N80" s="3" t="s">
        <v>44</v>
      </c>
      <c r="O80" s="3" t="s">
        <v>44</v>
      </c>
    </row>
    <row r="81" customFormat="false" ht="28.35" hidden="false" customHeight="false" outlineLevel="0" collapsed="false">
      <c r="A81" s="0" t="s">
        <v>163</v>
      </c>
      <c r="B81" s="0" t="s">
        <v>164</v>
      </c>
      <c r="C81" s="0" t="s">
        <v>75</v>
      </c>
      <c r="D81" s="0" t="s">
        <v>143</v>
      </c>
      <c r="E81" s="7" t="s">
        <v>41</v>
      </c>
      <c r="F81" s="7" t="s">
        <v>41</v>
      </c>
      <c r="G81" s="7" t="s">
        <v>41</v>
      </c>
      <c r="H81" s="8" t="str">
        <f aca="false">IFERROR(Inputs!H24*4/Inputs!H58*100,"n/d")</f>
        <v>n/d</v>
      </c>
      <c r="I81" s="8" t="n">
        <f aca="false">IFERROR(Inputs!I24*4/Inputs!I58*100,"n/d")</f>
        <v>11.3690909090909</v>
      </c>
      <c r="J81" s="8" t="n">
        <f aca="false">IFERROR(Inputs!J24*4/Inputs!J58*100,"n/d")</f>
        <v>3.74454545454545</v>
      </c>
      <c r="K81" s="8" t="n">
        <f aca="false">IFERROR(Inputs!K24*4/Inputs!K58*100,"n/d")</f>
        <v>2.89902097902098</v>
      </c>
      <c r="L81" s="8" t="n">
        <f aca="false">IFERROR(Inputs!L24*4/Inputs!L58*100,"n/d")</f>
        <v>3.74949494949495</v>
      </c>
      <c r="M81" s="8" t="n">
        <f aca="false">IFERROR(Inputs!M24*4/Inputs!M58*100,"n/d")</f>
        <v>1.80214156347352</v>
      </c>
      <c r="N81" s="8" t="n">
        <f aca="false">IFERROR(Inputs!N24*4/Inputs!N58*100,"n/d")</f>
        <v>1.58443056956792</v>
      </c>
      <c r="O81" s="8" t="n">
        <f aca="false">IFERROR(Inputs!O24*4/Inputs!O58*100,"n/d")</f>
        <v>1.70921362271062</v>
      </c>
      <c r="P81" s="1" t="s">
        <v>165</v>
      </c>
    </row>
    <row r="82" customFormat="false" ht="15" hidden="false" customHeight="false" outlineLevel="0" collapsed="false">
      <c r="B82" s="3" t="s">
        <v>43</v>
      </c>
      <c r="E82" s="3" t="s">
        <v>41</v>
      </c>
      <c r="F82" s="3" t="s">
        <v>41</v>
      </c>
      <c r="G82" s="3" t="s">
        <v>41</v>
      </c>
      <c r="H82" s="3" t="s">
        <v>44</v>
      </c>
      <c r="I82" s="3" t="s">
        <v>44</v>
      </c>
      <c r="J82" s="3" t="s">
        <v>44</v>
      </c>
      <c r="K82" s="3" t="s">
        <v>44</v>
      </c>
      <c r="L82" s="3" t="s">
        <v>44</v>
      </c>
      <c r="M82" s="3" t="s">
        <v>44</v>
      </c>
      <c r="N82" s="3" t="s">
        <v>44</v>
      </c>
      <c r="O82" s="3" t="s">
        <v>44</v>
      </c>
    </row>
    <row r="83" customFormat="false" ht="15" hidden="false" customHeight="false" outlineLevel="0" collapsed="false">
      <c r="A83" s="0" t="s">
        <v>166</v>
      </c>
      <c r="B83" s="0" t="s">
        <v>167</v>
      </c>
      <c r="C83" s="0" t="s">
        <v>75</v>
      </c>
      <c r="D83" s="0" t="s">
        <v>143</v>
      </c>
      <c r="E83" s="10" t="s">
        <v>41</v>
      </c>
      <c r="F83" s="10" t="s">
        <v>41</v>
      </c>
      <c r="G83" s="10" t="s">
        <v>41</v>
      </c>
      <c r="H83" s="10" t="s">
        <v>41</v>
      </c>
      <c r="I83" s="10" t="s">
        <v>41</v>
      </c>
      <c r="J83" s="10" t="s">
        <v>41</v>
      </c>
      <c r="K83" s="10" t="s">
        <v>41</v>
      </c>
      <c r="L83" s="10" t="s">
        <v>41</v>
      </c>
      <c r="M83" s="10" t="s">
        <v>41</v>
      </c>
      <c r="N83" s="10" t="s">
        <v>41</v>
      </c>
      <c r="O83" s="10" t="s">
        <v>41</v>
      </c>
      <c r="P83" s="1" t="s">
        <v>41</v>
      </c>
    </row>
    <row r="84" customFormat="false" ht="15" hidden="false" customHeight="false" outlineLevel="0" collapsed="false">
      <c r="B84" s="3" t="s">
        <v>43</v>
      </c>
      <c r="E84" s="3" t="s">
        <v>41</v>
      </c>
      <c r="F84" s="3" t="s">
        <v>41</v>
      </c>
      <c r="G84" s="3" t="s">
        <v>41</v>
      </c>
      <c r="H84" s="3" t="s">
        <v>41</v>
      </c>
      <c r="I84" s="3" t="s">
        <v>41</v>
      </c>
      <c r="J84" s="3" t="s">
        <v>41</v>
      </c>
      <c r="K84" s="3" t="s">
        <v>41</v>
      </c>
      <c r="L84" s="3" t="s">
        <v>41</v>
      </c>
      <c r="M84" s="3" t="s">
        <v>41</v>
      </c>
      <c r="N84" s="3" t="s">
        <v>41</v>
      </c>
      <c r="O84" s="3" t="s">
        <v>41</v>
      </c>
    </row>
    <row r="85" customFormat="false" ht="15" hidden="false" customHeight="false" outlineLevel="0" collapsed="false">
      <c r="A85" s="0" t="s">
        <v>168</v>
      </c>
      <c r="B85" s="0" t="s">
        <v>169</v>
      </c>
      <c r="C85" s="0" t="s">
        <v>116</v>
      </c>
      <c r="D85" s="0" t="s">
        <v>143</v>
      </c>
      <c r="E85" s="10" t="s">
        <v>41</v>
      </c>
      <c r="F85" s="15" t="n">
        <f aca="false">IFERROR(Inputs!F26/1000,"n/d")</f>
        <v>0</v>
      </c>
      <c r="G85" s="15" t="n">
        <f aca="false">IFERROR(Inputs!G26/1000,"n/d")</f>
        <v>0</v>
      </c>
      <c r="H85" s="15" t="n">
        <f aca="false">IFERROR(Inputs!H26/1000,"n/d")</f>
        <v>0</v>
      </c>
      <c r="I85" s="15" t="n">
        <f aca="false">IFERROR(Inputs!I26/1000,"n/d")</f>
        <v>0.44</v>
      </c>
      <c r="J85" s="15" t="n">
        <f aca="false">IFERROR(Inputs!J26/1000,"n/d")</f>
        <v>0.44</v>
      </c>
      <c r="K85" s="15" t="n">
        <f aca="false">IFERROR(Inputs!K26/1000,"n/d")</f>
        <v>0.99</v>
      </c>
      <c r="L85" s="15" t="n">
        <f aca="false">IFERROR(Inputs!L26/1000,"n/d")</f>
        <v>0.99</v>
      </c>
      <c r="M85" s="15" t="n">
        <f aca="false">IFERROR(Inputs!M26/1000,"n/d")</f>
        <v>3.745699</v>
      </c>
      <c r="N85" s="15" t="n">
        <f aca="false">IFERROR(Inputs!N26/1000,"n/d")</f>
        <v>3.745699</v>
      </c>
      <c r="O85" s="15" t="n">
        <f aca="false">IFERROR(Inputs!O26/1000,"n/d")</f>
        <v>7.705649</v>
      </c>
      <c r="P85" s="1" t="s">
        <v>170</v>
      </c>
    </row>
    <row r="86" customFormat="false" ht="15" hidden="false" customHeight="false" outlineLevel="0" collapsed="false">
      <c r="B86" s="3" t="s">
        <v>43</v>
      </c>
      <c r="E86" s="3" t="s">
        <v>41</v>
      </c>
      <c r="F86" s="3" t="s">
        <v>104</v>
      </c>
      <c r="G86" s="3" t="s">
        <v>104</v>
      </c>
      <c r="H86" s="3" t="s">
        <v>104</v>
      </c>
      <c r="I86" s="3" t="s">
        <v>104</v>
      </c>
      <c r="J86" s="3" t="s">
        <v>104</v>
      </c>
      <c r="K86" s="3" t="s">
        <v>104</v>
      </c>
      <c r="L86" s="3" t="s">
        <v>104</v>
      </c>
      <c r="M86" s="3" t="s">
        <v>104</v>
      </c>
      <c r="N86" s="3" t="s">
        <v>104</v>
      </c>
      <c r="O86" s="3" t="s">
        <v>104</v>
      </c>
    </row>
    <row r="87" customFormat="false" ht="15" hidden="false" customHeight="false" outlineLevel="0" collapsed="false">
      <c r="A87" s="0" t="s">
        <v>171</v>
      </c>
      <c r="B87" s="0" t="s">
        <v>172</v>
      </c>
      <c r="C87" s="0" t="s">
        <v>54</v>
      </c>
      <c r="D87" s="0" t="s">
        <v>143</v>
      </c>
      <c r="E87" s="7" t="s">
        <v>41</v>
      </c>
      <c r="F87" s="7" t="s">
        <v>41</v>
      </c>
      <c r="G87" s="7" t="s">
        <v>41</v>
      </c>
      <c r="H87" s="7" t="s">
        <v>41</v>
      </c>
      <c r="I87" s="7" t="s">
        <v>41</v>
      </c>
      <c r="J87" s="7" t="s">
        <v>41</v>
      </c>
      <c r="K87" s="7" t="s">
        <v>41</v>
      </c>
      <c r="L87" s="8" t="n">
        <f aca="false">IFERROR(Inputs!L26/1000/Inputs!L17,"n/d")</f>
        <v>5.07622021566245</v>
      </c>
      <c r="M87" s="8" t="n">
        <f aca="false">IFERROR(Inputs!M26/1000/Inputs!M17,"n/d")</f>
        <v>12.9424900919454</v>
      </c>
      <c r="N87" s="8" t="n">
        <f aca="false">IFERROR(Inputs!N26/1000/Inputs!N17,"n/d")</f>
        <v>5.27361208100559</v>
      </c>
      <c r="O87" s="8" t="n">
        <f aca="false">IFERROR(Inputs!O26/1000/Inputs!O17,"n/d")</f>
        <v>1.51091156862745</v>
      </c>
      <c r="P87" s="1"/>
    </row>
    <row r="88" customFormat="false" ht="15" hidden="false" customHeight="false" outlineLevel="0" collapsed="false">
      <c r="B88" s="3" t="s">
        <v>43</v>
      </c>
      <c r="E88" s="3" t="s">
        <v>41</v>
      </c>
      <c r="F88" s="3" t="s">
        <v>41</v>
      </c>
      <c r="G88" s="3" t="s">
        <v>41</v>
      </c>
      <c r="H88" s="3" t="s">
        <v>41</v>
      </c>
      <c r="I88" s="3" t="s">
        <v>41</v>
      </c>
      <c r="J88" s="3" t="s">
        <v>41</v>
      </c>
      <c r="K88" s="3" t="s">
        <v>41</v>
      </c>
      <c r="L88" s="3" t="s">
        <v>44</v>
      </c>
      <c r="M88" s="3" t="s">
        <v>44</v>
      </c>
      <c r="N88" s="3" t="s">
        <v>44</v>
      </c>
      <c r="O88" s="3" t="s">
        <v>44</v>
      </c>
    </row>
    <row r="89" customFormat="false" ht="15" hidden="false" customHeight="false" outlineLevel="0" collapsed="false">
      <c r="A89" s="0" t="s">
        <v>173</v>
      </c>
      <c r="B89" s="0" t="s">
        <v>174</v>
      </c>
      <c r="C89" s="0" t="s">
        <v>75</v>
      </c>
      <c r="D89" s="0" t="s">
        <v>143</v>
      </c>
      <c r="E89" s="13" t="s">
        <v>41</v>
      </c>
      <c r="F89" s="13" t="s">
        <v>41</v>
      </c>
      <c r="G89" s="13" t="s">
        <v>41</v>
      </c>
      <c r="H89" s="13" t="s">
        <v>41</v>
      </c>
      <c r="I89" s="13" t="s">
        <v>41</v>
      </c>
      <c r="J89" s="13" t="s">
        <v>41</v>
      </c>
      <c r="K89" s="13" t="s">
        <v>41</v>
      </c>
      <c r="L89" s="13" t="s">
        <v>41</v>
      </c>
      <c r="M89" s="13" t="s">
        <v>41</v>
      </c>
      <c r="N89" s="13" t="s">
        <v>41</v>
      </c>
      <c r="O89" s="13" t="s">
        <v>41</v>
      </c>
      <c r="P89" s="1" t="s">
        <v>175</v>
      </c>
    </row>
    <row r="90" customFormat="false" ht="15" hidden="false" customHeight="false" outlineLevel="0" collapsed="false">
      <c r="B90" s="3" t="s">
        <v>43</v>
      </c>
      <c r="E90" s="3" t="s">
        <v>41</v>
      </c>
      <c r="F90" s="3" t="s">
        <v>41</v>
      </c>
      <c r="G90" s="3" t="s">
        <v>41</v>
      </c>
      <c r="H90" s="3" t="s">
        <v>41</v>
      </c>
      <c r="I90" s="3" t="s">
        <v>41</v>
      </c>
      <c r="J90" s="3" t="s">
        <v>41</v>
      </c>
      <c r="K90" s="3" t="s">
        <v>41</v>
      </c>
      <c r="L90" s="3" t="s">
        <v>41</v>
      </c>
      <c r="M90" s="3" t="s">
        <v>41</v>
      </c>
      <c r="N90" s="3" t="s">
        <v>41</v>
      </c>
      <c r="O90" s="3" t="s">
        <v>41</v>
      </c>
    </row>
    <row r="91" customFormat="false" ht="15" hidden="false" customHeight="false" outlineLevel="0" collapsed="false">
      <c r="A91" s="5" t="s">
        <v>176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customFormat="false" ht="15" hidden="false" customHeight="false" outlineLevel="0" collapsed="false">
      <c r="A92" s="0" t="s">
        <v>177</v>
      </c>
      <c r="B92" s="0" t="s">
        <v>178</v>
      </c>
      <c r="C92" s="0" t="s">
        <v>75</v>
      </c>
      <c r="D92" s="0" t="s">
        <v>71</v>
      </c>
      <c r="E92" s="10" t="s">
        <v>41</v>
      </c>
      <c r="F92" s="10" t="s">
        <v>41</v>
      </c>
      <c r="G92" s="10" t="s">
        <v>41</v>
      </c>
      <c r="H92" s="10" t="s">
        <v>41</v>
      </c>
      <c r="I92" s="10" t="s">
        <v>41</v>
      </c>
      <c r="J92" s="10" t="s">
        <v>41</v>
      </c>
      <c r="K92" s="10" t="s">
        <v>41</v>
      </c>
      <c r="L92" s="10" t="s">
        <v>41</v>
      </c>
      <c r="M92" s="10" t="s">
        <v>41</v>
      </c>
      <c r="N92" s="10" t="s">
        <v>41</v>
      </c>
      <c r="O92" s="10" t="s">
        <v>41</v>
      </c>
      <c r="P92" s="1" t="s">
        <v>179</v>
      </c>
    </row>
    <row r="93" customFormat="false" ht="15" hidden="false" customHeight="false" outlineLevel="0" collapsed="false">
      <c r="B93" s="3" t="s">
        <v>43</v>
      </c>
      <c r="E93" s="3" t="s">
        <v>41</v>
      </c>
      <c r="F93" s="3" t="s">
        <v>41</v>
      </c>
      <c r="G93" s="3" t="s">
        <v>41</v>
      </c>
      <c r="H93" s="3" t="s">
        <v>41</v>
      </c>
      <c r="I93" s="3" t="s">
        <v>41</v>
      </c>
      <c r="J93" s="3" t="s">
        <v>41</v>
      </c>
      <c r="K93" s="3" t="s">
        <v>41</v>
      </c>
      <c r="L93" s="3" t="s">
        <v>41</v>
      </c>
      <c r="M93" s="3" t="s">
        <v>41</v>
      </c>
      <c r="N93" s="3" t="s">
        <v>41</v>
      </c>
      <c r="O93" s="3" t="s">
        <v>41</v>
      </c>
    </row>
    <row r="94" customFormat="false" ht="15" hidden="false" customHeight="false" outlineLevel="0" collapsed="false">
      <c r="A94" s="0" t="s">
        <v>180</v>
      </c>
      <c r="B94" s="0" t="s">
        <v>181</v>
      </c>
      <c r="C94" s="0" t="s">
        <v>75</v>
      </c>
      <c r="D94" s="0" t="s">
        <v>117</v>
      </c>
      <c r="E94" s="13" t="s">
        <v>41</v>
      </c>
      <c r="F94" s="13" t="s">
        <v>41</v>
      </c>
      <c r="G94" s="13" t="s">
        <v>41</v>
      </c>
      <c r="H94" s="13" t="s">
        <v>41</v>
      </c>
      <c r="I94" s="13" t="s">
        <v>41</v>
      </c>
      <c r="J94" s="13" t="s">
        <v>41</v>
      </c>
      <c r="K94" s="13" t="s">
        <v>41</v>
      </c>
      <c r="L94" s="16" t="n">
        <f aca="false">IFERROR(Inputs!L33,"n/d")</f>
        <v>47.9</v>
      </c>
      <c r="M94" s="16" t="n">
        <f aca="false">IFERROR(Inputs!M33,"n/d")</f>
        <v>51.9</v>
      </c>
      <c r="N94" s="16" t="n">
        <f aca="false">IFERROR(Inputs!N33,"n/d")</f>
        <v>43.4</v>
      </c>
      <c r="O94" s="16" t="n">
        <f aca="false">IFERROR(Inputs!O33,"n/d")</f>
        <v>17.6</v>
      </c>
      <c r="P94" s="1" t="s">
        <v>182</v>
      </c>
    </row>
    <row r="95" customFormat="false" ht="15" hidden="false" customHeight="false" outlineLevel="0" collapsed="false">
      <c r="B95" s="3" t="s">
        <v>43</v>
      </c>
      <c r="E95" s="3" t="s">
        <v>41</v>
      </c>
      <c r="F95" s="3" t="s">
        <v>41</v>
      </c>
      <c r="G95" s="3" t="s">
        <v>41</v>
      </c>
      <c r="H95" s="3" t="s">
        <v>41</v>
      </c>
      <c r="I95" s="3" t="s">
        <v>41</v>
      </c>
      <c r="J95" s="3" t="s">
        <v>41</v>
      </c>
      <c r="K95" s="3" t="s">
        <v>41</v>
      </c>
      <c r="L95" s="3" t="s">
        <v>44</v>
      </c>
      <c r="M95" s="3" t="s">
        <v>44</v>
      </c>
      <c r="N95" s="3" t="s">
        <v>44</v>
      </c>
      <c r="O95" s="3" t="s">
        <v>44</v>
      </c>
    </row>
    <row r="96" customFormat="false" ht="28.35" hidden="false" customHeight="false" outlineLevel="0" collapsed="false">
      <c r="A96" s="0" t="s">
        <v>183</v>
      </c>
      <c r="B96" s="0" t="s">
        <v>184</v>
      </c>
      <c r="C96" s="0" t="s">
        <v>39</v>
      </c>
      <c r="D96" s="0" t="s">
        <v>40</v>
      </c>
      <c r="E96" s="10" t="s">
        <v>41</v>
      </c>
      <c r="F96" s="10" t="s">
        <v>41</v>
      </c>
      <c r="G96" s="10" t="s">
        <v>41</v>
      </c>
      <c r="H96" s="10" t="s">
        <v>41</v>
      </c>
      <c r="I96" s="10" t="s">
        <v>41</v>
      </c>
      <c r="J96" s="12" t="n">
        <f aca="false">IFERROR((Inputs!J4-Inputs!F4)*4/Inputs!J55,"n/d")</f>
        <v>7.95919259259259</v>
      </c>
      <c r="K96" s="12" t="n">
        <f aca="false">IFERROR((Inputs!K4-Inputs!G4)*4/Inputs!K55,"n/d")</f>
        <v>11.6421586715867</v>
      </c>
      <c r="L96" s="12" t="n">
        <f aca="false">IFERROR((Inputs!L4-Inputs!H4)*4/Inputs!L55,"n/d")</f>
        <v>9.23568224299065</v>
      </c>
      <c r="M96" s="10" t="s">
        <v>41</v>
      </c>
      <c r="N96" s="10" t="s">
        <v>41</v>
      </c>
      <c r="O96" s="12" t="n">
        <f aca="false">IFERROR((Inputs!O4-Inputs!K4)*4/Inputs!O55,"n/d")</f>
        <v>6.80880180315552</v>
      </c>
      <c r="P96" s="1" t="s">
        <v>185</v>
      </c>
    </row>
    <row r="97" customFormat="false" ht="15" hidden="false" customHeight="false" outlineLevel="0" collapsed="false">
      <c r="B97" s="3" t="s">
        <v>43</v>
      </c>
      <c r="E97" s="3" t="s">
        <v>41</v>
      </c>
      <c r="F97" s="3" t="s">
        <v>41</v>
      </c>
      <c r="G97" s="3" t="s">
        <v>41</v>
      </c>
      <c r="H97" s="3" t="s">
        <v>41</v>
      </c>
      <c r="I97" s="3" t="s">
        <v>41</v>
      </c>
      <c r="J97" s="3" t="s">
        <v>48</v>
      </c>
      <c r="K97" s="3" t="s">
        <v>48</v>
      </c>
      <c r="L97" s="3" t="s">
        <v>48</v>
      </c>
      <c r="M97" s="3" t="s">
        <v>41</v>
      </c>
      <c r="N97" s="3" t="s">
        <v>41</v>
      </c>
      <c r="O97" s="3" t="s">
        <v>48</v>
      </c>
    </row>
    <row r="98" customFormat="false" ht="28.35" hidden="false" customHeight="false" outlineLevel="0" collapsed="false">
      <c r="A98" s="0" t="s">
        <v>186</v>
      </c>
      <c r="B98" s="0" t="s">
        <v>187</v>
      </c>
      <c r="C98" s="0" t="s">
        <v>54</v>
      </c>
      <c r="D98" s="0" t="s">
        <v>81</v>
      </c>
      <c r="E98" s="7" t="s">
        <v>41</v>
      </c>
      <c r="F98" s="7" t="s">
        <v>41</v>
      </c>
      <c r="G98" s="8" t="n">
        <f aca="false">IFERROR(Inputs!G4*4/((Inputs!F34+Inputs!G34)/2),"n/d")</f>
        <v>0.322705743984233</v>
      </c>
      <c r="H98" s="8" t="n">
        <f aca="false">IFERROR(Inputs!H4*4/((Inputs!G34+Inputs!H34)/2),"n/d")</f>
        <v>0.380815906139447</v>
      </c>
      <c r="I98" s="8" t="n">
        <f aca="false">IFERROR(Inputs!I4*4/((Inputs!H34+Inputs!I34)/2),"n/d")</f>
        <v>0.208976322299446</v>
      </c>
      <c r="J98" s="8" t="n">
        <f aca="false">IFERROR(Inputs!J4*4/((Inputs!I34+Inputs!J34)/2),"n/d")</f>
        <v>0.208203726852525</v>
      </c>
      <c r="K98" s="8" t="n">
        <f aca="false">IFERROR(Inputs!K4*4/((Inputs!J34+Inputs!K34)/2),"n/d")</f>
        <v>0.383090222616518</v>
      </c>
      <c r="L98" s="8" t="n">
        <f aca="false">IFERROR(Inputs!L4*4/((Inputs!K34+Inputs!L34)/2),"n/d")</f>
        <v>0.322859905079979</v>
      </c>
      <c r="M98" s="8" t="n">
        <f aca="false">IFERROR(Inputs!M4*4/((Inputs!L34+Inputs!M34)/2),"n/d")</f>
        <v>0.210731814284822</v>
      </c>
      <c r="N98" s="8" t="n">
        <f aca="false">IFERROR(Inputs!N4*4/((Inputs!M34+Inputs!N34)/2),"n/d")</f>
        <v>0.197558636912952</v>
      </c>
      <c r="O98" s="8" t="n">
        <f aca="false">IFERROR(Inputs!O4*4/((Inputs!N34+Inputs!O34)/2),"n/d")</f>
        <v>0.198201040615192</v>
      </c>
      <c r="P98" s="1" t="s">
        <v>188</v>
      </c>
    </row>
    <row r="99" customFormat="false" ht="15" hidden="false" customHeight="false" outlineLevel="0" collapsed="false">
      <c r="B99" s="3" t="s">
        <v>43</v>
      </c>
      <c r="E99" s="3" t="s">
        <v>41</v>
      </c>
      <c r="F99" s="3" t="s">
        <v>41</v>
      </c>
      <c r="G99" s="3" t="s">
        <v>44</v>
      </c>
      <c r="H99" s="3" t="s">
        <v>44</v>
      </c>
      <c r="I99" s="3" t="s">
        <v>44</v>
      </c>
      <c r="J99" s="3" t="s">
        <v>44</v>
      </c>
      <c r="K99" s="3" t="s">
        <v>44</v>
      </c>
      <c r="L99" s="3" t="s">
        <v>44</v>
      </c>
      <c r="M99" s="3" t="s">
        <v>44</v>
      </c>
      <c r="N99" s="3" t="s">
        <v>44</v>
      </c>
      <c r="O99" s="3" t="s">
        <v>44</v>
      </c>
    </row>
    <row r="100" customFormat="false" ht="15" hidden="false" customHeight="false" outlineLevel="0" collapsed="false">
      <c r="A100" s="0" t="s">
        <v>189</v>
      </c>
      <c r="B100" s="0" t="s">
        <v>190</v>
      </c>
      <c r="C100" s="0" t="s">
        <v>75</v>
      </c>
      <c r="D100" s="0" t="s">
        <v>40</v>
      </c>
      <c r="E100" s="10" t="s">
        <v>41</v>
      </c>
      <c r="F100" s="10" t="s">
        <v>41</v>
      </c>
      <c r="G100" s="10" t="s">
        <v>41</v>
      </c>
      <c r="H100" s="11" t="n">
        <f aca="false">IFERROR((Inputs!H4-Inputs!H35)/Inputs!H4*100,"n/d")</f>
        <v>92.7249921605519</v>
      </c>
      <c r="I100" s="11" t="n">
        <f aca="false">IFERROR((Inputs!I4-Inputs!I35)/Inputs!I4*100,"n/d")</f>
        <v>89.6655392709508</v>
      </c>
      <c r="J100" s="11" t="n">
        <f aca="false">IFERROR((Inputs!J4-Inputs!J35)/Inputs!J4*100,"n/d")</f>
        <v>90.6171460485898</v>
      </c>
      <c r="K100" s="11" t="n">
        <f aca="false">IFERROR((Inputs!K4-Inputs!K35)/Inputs!K4*100,"n/d")</f>
        <v>93.1638661496481</v>
      </c>
      <c r="L100" s="11" t="n">
        <f aca="false">IFERROR((Inputs!L4-Inputs!L35)/Inputs!L4*100,"n/d")</f>
        <v>90.0911936844971</v>
      </c>
      <c r="M100" s="11" t="n">
        <f aca="false">IFERROR((Inputs!M4-Inputs!M35)/Inputs!M4*100,"n/d")</f>
        <v>86.1544687247081</v>
      </c>
      <c r="N100" s="11" t="n">
        <f aca="false">IFERROR((Inputs!N4-Inputs!N35)/Inputs!N4*100,"n/d")</f>
        <v>86.3326891630742</v>
      </c>
      <c r="O100" s="11" t="n">
        <f aca="false">IFERROR((Inputs!O4-Inputs!O35)/Inputs!O4*100,"n/d")</f>
        <v>86.9361128837836</v>
      </c>
      <c r="P100" s="1" t="s">
        <v>191</v>
      </c>
    </row>
    <row r="101" customFormat="false" ht="15" hidden="false" customHeight="false" outlineLevel="0" collapsed="false">
      <c r="B101" s="3" t="s">
        <v>43</v>
      </c>
      <c r="E101" s="3" t="s">
        <v>41</v>
      </c>
      <c r="F101" s="3" t="s">
        <v>41</v>
      </c>
      <c r="G101" s="3" t="s">
        <v>41</v>
      </c>
      <c r="H101" s="3" t="s">
        <v>44</v>
      </c>
      <c r="I101" s="3" t="s">
        <v>44</v>
      </c>
      <c r="J101" s="3" t="s">
        <v>44</v>
      </c>
      <c r="K101" s="3" t="s">
        <v>44</v>
      </c>
      <c r="L101" s="3" t="s">
        <v>44</v>
      </c>
      <c r="M101" s="3" t="s">
        <v>44</v>
      </c>
      <c r="N101" s="3" t="s">
        <v>44</v>
      </c>
      <c r="O101" s="3" t="s">
        <v>44</v>
      </c>
    </row>
    <row r="102" customFormat="false" ht="15" hidden="false" customHeight="false" outlineLevel="0" collapsed="false">
      <c r="A102" s="5" t="s">
        <v>192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customFormat="false" ht="15" hidden="false" customHeight="false" outlineLevel="0" collapsed="false">
      <c r="A103" s="0" t="s">
        <v>193</v>
      </c>
      <c r="B103" s="0" t="s">
        <v>194</v>
      </c>
      <c r="C103" s="0" t="s">
        <v>75</v>
      </c>
      <c r="E103" s="10" t="s">
        <v>41</v>
      </c>
      <c r="F103" s="11" t="n">
        <f aca="false">IFERROR(Inputs!F4/Inputs!F59*100,"n/d")</f>
        <v>1.05097312326228</v>
      </c>
      <c r="G103" s="11" t="n">
        <f aca="false">IFERROR(Inputs!G4/Inputs!G59*100,"n/d")</f>
        <v>4.46846719954928</v>
      </c>
      <c r="H103" s="11" t="n">
        <f aca="false">IFERROR(Inputs!H4/Inputs!H59*100,"n/d")</f>
        <v>6.0438935637935</v>
      </c>
      <c r="I103" s="11" t="n">
        <f aca="false">IFERROR(Inputs!I4/Inputs!I59*100,"n/d")</f>
        <v>2.29112136657942</v>
      </c>
      <c r="J103" s="11" t="n">
        <f aca="false">IFERROR(Inputs!J4/Inputs!J59*100,"n/d")</f>
        <v>2.47267353942399</v>
      </c>
      <c r="K103" s="11" t="n">
        <f aca="false">IFERROR(Inputs!K4/Inputs!K59*100,"n/d")</f>
        <v>3.71770434559754</v>
      </c>
      <c r="L103" s="11" t="n">
        <f aca="false">IFERROR(Inputs!L4/Inputs!L59*100,"n/d")</f>
        <v>3.05749183295533</v>
      </c>
      <c r="M103" s="11" t="n">
        <f aca="false">IFERROR(Inputs!M4/Inputs!M59*100,"n/d")</f>
        <v>9.36586316678578</v>
      </c>
      <c r="N103" s="11" t="n">
        <f aca="false">IFERROR(Inputs!N4/Inputs!N59*100,"n/d")</f>
        <v>23.2293932801547</v>
      </c>
      <c r="O103" s="11" t="n">
        <f aca="false">IFERROR(Inputs!O4/Inputs!O59*100,"n/d")</f>
        <v>51.3864091820004</v>
      </c>
      <c r="P103" s="1" t="s">
        <v>195</v>
      </c>
    </row>
    <row r="104" customFormat="false" ht="15" hidden="false" customHeight="false" outlineLevel="0" collapsed="false">
      <c r="B104" s="3" t="s">
        <v>43</v>
      </c>
      <c r="E104" s="3" t="s">
        <v>41</v>
      </c>
      <c r="F104" s="3" t="s">
        <v>44</v>
      </c>
      <c r="G104" s="3" t="s">
        <v>44</v>
      </c>
      <c r="H104" s="3" t="s">
        <v>44</v>
      </c>
      <c r="I104" s="3" t="s">
        <v>44</v>
      </c>
      <c r="J104" s="3" t="s">
        <v>44</v>
      </c>
      <c r="K104" s="3" t="s">
        <v>44</v>
      </c>
      <c r="L104" s="3" t="s">
        <v>44</v>
      </c>
      <c r="M104" s="3" t="s">
        <v>44</v>
      </c>
      <c r="N104" s="3" t="s">
        <v>44</v>
      </c>
      <c r="O104" s="3" t="s">
        <v>44</v>
      </c>
    </row>
    <row r="105" customFormat="false" ht="28.35" hidden="false" customHeight="false" outlineLevel="0" collapsed="false">
      <c r="A105" s="0" t="s">
        <v>196</v>
      </c>
      <c r="B105" s="0" t="s">
        <v>197</v>
      </c>
      <c r="C105" s="0" t="s">
        <v>39</v>
      </c>
      <c r="E105" s="7" t="s">
        <v>41</v>
      </c>
      <c r="F105" s="7" t="s">
        <v>41</v>
      </c>
      <c r="G105" s="9" t="n">
        <f aca="false">IFERROR(Inputs!G36*4/((Inputs!F60+Inputs!G60)/2),"n/d")</f>
        <v>0.838459938016081</v>
      </c>
      <c r="H105" s="9" t="n">
        <f aca="false">IFERROR(Inputs!H36*4/((Inputs!G60+Inputs!H60)/2),"n/d")</f>
        <v>0.642047735384671</v>
      </c>
      <c r="I105" s="9" t="n">
        <f aca="false">IFERROR(Inputs!I36*4/((Inputs!H60+Inputs!I60)/2),"n/d")</f>
        <v>1.04810415836839</v>
      </c>
      <c r="J105" s="9" t="n">
        <f aca="false">IFERROR(Inputs!J36*4/((Inputs!I60+Inputs!J60)/2),"n/d")</f>
        <v>0.97016727479414</v>
      </c>
      <c r="K105" s="9" t="n">
        <f aca="false">IFERROR(Inputs!K36*4/((Inputs!J60+Inputs!K60)/2),"n/d")</f>
        <v>0.984955023106077</v>
      </c>
      <c r="L105" s="9" t="n">
        <f aca="false">IFERROR(Inputs!L36*4/((Inputs!K60+Inputs!L60)/2),"n/d")</f>
        <v>1.1543580630028</v>
      </c>
      <c r="M105" s="7" t="s">
        <v>41</v>
      </c>
      <c r="N105" s="7" t="s">
        <v>41</v>
      </c>
      <c r="O105" s="7" t="s">
        <v>41</v>
      </c>
      <c r="P105" s="1" t="s">
        <v>198</v>
      </c>
    </row>
    <row r="106" customFormat="false" ht="15" hidden="false" customHeight="false" outlineLevel="0" collapsed="false">
      <c r="B106" s="3" t="s">
        <v>43</v>
      </c>
      <c r="E106" s="3" t="s">
        <v>41</v>
      </c>
      <c r="F106" s="3" t="s">
        <v>41</v>
      </c>
      <c r="G106" s="3" t="s">
        <v>48</v>
      </c>
      <c r="H106" s="3" t="s">
        <v>48</v>
      </c>
      <c r="I106" s="3" t="s">
        <v>48</v>
      </c>
      <c r="J106" s="3" t="s">
        <v>48</v>
      </c>
      <c r="K106" s="3" t="s">
        <v>48</v>
      </c>
      <c r="L106" s="3" t="s">
        <v>48</v>
      </c>
      <c r="M106" s="3" t="s">
        <v>41</v>
      </c>
      <c r="N106" s="3" t="s">
        <v>41</v>
      </c>
      <c r="O106" s="3" t="s">
        <v>41</v>
      </c>
    </row>
    <row r="107" customFormat="false" ht="15" hidden="false" customHeight="false" outlineLevel="0" collapsed="false">
      <c r="A107" s="0" t="s">
        <v>199</v>
      </c>
      <c r="B107" s="0" t="s">
        <v>200</v>
      </c>
      <c r="C107" s="0" t="s">
        <v>75</v>
      </c>
      <c r="E107" s="10" t="s">
        <v>41</v>
      </c>
      <c r="F107" s="12" t="n">
        <f aca="false">IFERROR(Inputs!F53/Inputs!F38*100,"n/d")</f>
        <v>0.440176933865573</v>
      </c>
      <c r="G107" s="12" t="n">
        <f aca="false">IFERROR(Inputs!G53/Inputs!G38*100,"n/d")</f>
        <v>0.440176933865573</v>
      </c>
      <c r="H107" s="12" t="n">
        <f aca="false">IFERROR(Inputs!H53/Inputs!H38*100,"n/d")</f>
        <v>0.317905563347359</v>
      </c>
      <c r="I107" s="12" t="n">
        <f aca="false">IFERROR(Inputs!I53/Inputs!I38*100,"n/d")</f>
        <v>0.521409124659682</v>
      </c>
      <c r="J107" s="12" t="n">
        <f aca="false">IFERROR(Inputs!J53/Inputs!J38*100,"n/d")</f>
        <v>0.40290705087339</v>
      </c>
      <c r="K107" s="12" t="n">
        <f aca="false">IFERROR(Inputs!K53/Inputs!K38*100,"n/d")</f>
        <v>0.32898723875816</v>
      </c>
      <c r="L107" s="12" t="n">
        <f aca="false">IFERROR(Inputs!L53/Inputs!L38*100,"n/d")</f>
        <v>0.363617474416913</v>
      </c>
      <c r="M107" s="10" t="s">
        <v>41</v>
      </c>
      <c r="N107" s="10" t="s">
        <v>41</v>
      </c>
      <c r="O107" s="11" t="n">
        <f aca="false">IFERROR(Inputs!O53/Inputs!O38*100,"n/d")</f>
        <v>9.52380952380952</v>
      </c>
      <c r="P107" s="1" t="s">
        <v>201</v>
      </c>
    </row>
    <row r="108" customFormat="false" ht="15" hidden="false" customHeight="false" outlineLevel="0" collapsed="false">
      <c r="B108" s="3" t="s">
        <v>43</v>
      </c>
      <c r="E108" s="3" t="s">
        <v>41</v>
      </c>
      <c r="F108" s="3" t="s">
        <v>48</v>
      </c>
      <c r="G108" s="3" t="s">
        <v>48</v>
      </c>
      <c r="H108" s="3" t="s">
        <v>48</v>
      </c>
      <c r="I108" s="3" t="s">
        <v>48</v>
      </c>
      <c r="J108" s="3" t="s">
        <v>48</v>
      </c>
      <c r="K108" s="3" t="s">
        <v>48</v>
      </c>
      <c r="L108" s="3" t="s">
        <v>48</v>
      </c>
      <c r="M108" s="3" t="s">
        <v>41</v>
      </c>
      <c r="N108" s="3" t="s">
        <v>41</v>
      </c>
      <c r="O108" s="3" t="s">
        <v>44</v>
      </c>
    </row>
    <row r="109" customFormat="false" ht="15" hidden="false" customHeight="false" outlineLevel="0" collapsed="false">
      <c r="A109" s="0" t="s">
        <v>202</v>
      </c>
      <c r="B109" s="0" t="s">
        <v>203</v>
      </c>
      <c r="C109" s="0" t="s">
        <v>204</v>
      </c>
      <c r="E109" s="10" t="s">
        <v>41</v>
      </c>
      <c r="F109" s="15" t="n">
        <f aca="false">IFERROR(Inputs!F40,"n/d")</f>
        <v>10</v>
      </c>
      <c r="G109" s="15" t="n">
        <f aca="false">IFERROR(Inputs!G40,"n/d")</f>
        <v>10</v>
      </c>
      <c r="H109" s="15" t="n">
        <f aca="false">IFERROR(Inputs!H40,"n/d")</f>
        <v>21</v>
      </c>
      <c r="I109" s="15" t="n">
        <f aca="false">IFERROR(Inputs!I40,"n/d")</f>
        <v>31</v>
      </c>
      <c r="J109" s="15" t="n">
        <f aca="false">IFERROR(Inputs!J40,"n/d")</f>
        <v>37</v>
      </c>
      <c r="K109" s="15" t="n">
        <f aca="false">IFERROR(Inputs!K40,"n/d")</f>
        <v>50</v>
      </c>
      <c r="L109" s="15" t="n">
        <f aca="false">IFERROR(Inputs!L40,"n/d")</f>
        <v>50</v>
      </c>
      <c r="M109" s="15" t="n">
        <f aca="false">IFERROR(Inputs!M40,"n/d")</f>
        <v>46</v>
      </c>
      <c r="N109" s="15" t="n">
        <f aca="false">IFERROR(Inputs!N40,"n/d")</f>
        <v>38</v>
      </c>
      <c r="O109" s="15" t="n">
        <f aca="false">IFERROR(Inputs!O40,"n/d")</f>
        <v>23.2</v>
      </c>
      <c r="P109" s="1" t="s">
        <v>205</v>
      </c>
    </row>
    <row r="110" customFormat="false" ht="15" hidden="false" customHeight="false" outlineLevel="0" collapsed="false">
      <c r="B110" s="3" t="s">
        <v>43</v>
      </c>
      <c r="E110" s="3" t="s">
        <v>41</v>
      </c>
      <c r="F110" s="3" t="s">
        <v>104</v>
      </c>
      <c r="G110" s="3" t="s">
        <v>104</v>
      </c>
      <c r="H110" s="3" t="s">
        <v>104</v>
      </c>
      <c r="I110" s="3" t="s">
        <v>104</v>
      </c>
      <c r="J110" s="3" t="s">
        <v>104</v>
      </c>
      <c r="K110" s="3" t="s">
        <v>104</v>
      </c>
      <c r="L110" s="3" t="s">
        <v>104</v>
      </c>
      <c r="M110" s="3" t="s">
        <v>104</v>
      </c>
      <c r="N110" s="3" t="s">
        <v>104</v>
      </c>
      <c r="O110" s="3" t="s">
        <v>104</v>
      </c>
    </row>
    <row r="111" customFormat="false" ht="15" hidden="false" customHeight="false" outlineLevel="0" collapsed="false">
      <c r="A111" s="0" t="s">
        <v>206</v>
      </c>
      <c r="B111" s="0" t="s">
        <v>207</v>
      </c>
      <c r="C111" s="0" t="s">
        <v>80</v>
      </c>
      <c r="E111" s="10" t="s">
        <v>41</v>
      </c>
      <c r="F111" s="11" t="n">
        <f aca="false">IFERROR(Inputs!F10/Inputs!F38,"n/d")</f>
        <v>1.37338846153846</v>
      </c>
      <c r="G111" s="11" t="n">
        <f aca="false">IFERROR(Inputs!G10/Inputs!G38,"n/d")</f>
        <v>1.69758076923077</v>
      </c>
      <c r="H111" s="11" t="n">
        <f aca="false">IFERROR(Inputs!H10/Inputs!H38,"n/d")</f>
        <v>2.68331666666667</v>
      </c>
      <c r="I111" s="11" t="n">
        <f aca="false">IFERROR(Inputs!I10/Inputs!I38,"n/d")</f>
        <v>2.37125294117647</v>
      </c>
      <c r="J111" s="11" t="n">
        <f aca="false">IFERROR(Inputs!J10/Inputs!J38,"n/d")</f>
        <v>2.38652575757576</v>
      </c>
      <c r="K111" s="11" t="n">
        <f aca="false">IFERROR(Inputs!K10/Inputs!K38,"n/d")</f>
        <v>2.38341604938272</v>
      </c>
      <c r="L111" s="11" t="n">
        <f aca="false">IFERROR(Inputs!L10/Inputs!L38,"n/d")</f>
        <v>2.61164938271605</v>
      </c>
      <c r="M111" s="11" t="n">
        <f aca="false">IFERROR(Inputs!M10/Inputs!M38,"n/d")</f>
        <v>3.9141975308642</v>
      </c>
      <c r="N111" s="10" t="s">
        <v>41</v>
      </c>
      <c r="O111" s="11" t="n">
        <f aca="false">IFERROR(Inputs!O10/Inputs!O38,"n/d")</f>
        <v>16.0790071428571</v>
      </c>
      <c r="P111" s="1" t="s">
        <v>208</v>
      </c>
    </row>
    <row r="112" customFormat="false" ht="15" hidden="false" customHeight="false" outlineLevel="0" collapsed="false">
      <c r="B112" s="3" t="s">
        <v>43</v>
      </c>
      <c r="E112" s="3" t="s">
        <v>41</v>
      </c>
      <c r="F112" s="3" t="s">
        <v>44</v>
      </c>
      <c r="G112" s="3" t="s">
        <v>44</v>
      </c>
      <c r="H112" s="3" t="s">
        <v>44</v>
      </c>
      <c r="I112" s="3" t="s">
        <v>44</v>
      </c>
      <c r="J112" s="3" t="s">
        <v>44</v>
      </c>
      <c r="K112" s="3" t="s">
        <v>44</v>
      </c>
      <c r="L112" s="3" t="s">
        <v>44</v>
      </c>
      <c r="M112" s="3" t="s">
        <v>44</v>
      </c>
      <c r="N112" s="3" t="s">
        <v>41</v>
      </c>
      <c r="O112" s="3" t="s">
        <v>44</v>
      </c>
    </row>
    <row r="113" customFormat="false" ht="28.35" hidden="false" customHeight="false" outlineLevel="0" collapsed="false">
      <c r="A113" s="0" t="s">
        <v>209</v>
      </c>
      <c r="B113" s="0" t="s">
        <v>210</v>
      </c>
      <c r="C113" s="0" t="s">
        <v>80</v>
      </c>
      <c r="E113" s="10" t="s">
        <v>41</v>
      </c>
      <c r="F113" s="12" t="n">
        <f aca="false">IFERROR(Inputs!F34/Inputs!F53,"n/d")</f>
        <v>25.8663468137255</v>
      </c>
      <c r="G113" s="12" t="n">
        <f aca="false">IFERROR(Inputs!G34/Inputs!G53,"n/d")</f>
        <v>29.1097977941176</v>
      </c>
      <c r="H113" s="12" t="n">
        <f aca="false">IFERROR(Inputs!H34/Inputs!H53,"n/d")</f>
        <v>29.4269779411765</v>
      </c>
      <c r="I113" s="12" t="n">
        <f aca="false">IFERROR(Inputs!I34/Inputs!I53,"n/d")</f>
        <v>25.6431803797468</v>
      </c>
      <c r="J113" s="12" t="n">
        <f aca="false">IFERROR(Inputs!J34/Inputs!J53,"n/d")</f>
        <v>26.1004630801688</v>
      </c>
      <c r="K113" s="12" t="n">
        <f aca="false">IFERROR(Inputs!K34/Inputs!K53,"n/d")</f>
        <v>28.5203752631579</v>
      </c>
      <c r="L113" s="12" t="n">
        <f aca="false">IFERROR(Inputs!L34/Inputs!L53,"n/d")</f>
        <v>36.0054814285714</v>
      </c>
      <c r="M113" s="10" t="s">
        <v>41</v>
      </c>
      <c r="N113" s="10" t="s">
        <v>41</v>
      </c>
      <c r="O113" s="11" t="n">
        <f aca="false">IFERROR(Inputs!O34/Inputs!O53,"n/d")</f>
        <v>50.870275</v>
      </c>
      <c r="P113" s="1" t="s">
        <v>211</v>
      </c>
    </row>
    <row r="114" customFormat="false" ht="15" hidden="false" customHeight="false" outlineLevel="0" collapsed="false">
      <c r="B114" s="3" t="s">
        <v>43</v>
      </c>
      <c r="E114" s="3" t="s">
        <v>41</v>
      </c>
      <c r="F114" s="3" t="s">
        <v>48</v>
      </c>
      <c r="G114" s="3" t="s">
        <v>48</v>
      </c>
      <c r="H114" s="3" t="s">
        <v>48</v>
      </c>
      <c r="I114" s="3" t="s">
        <v>48</v>
      </c>
      <c r="J114" s="3" t="s">
        <v>48</v>
      </c>
      <c r="K114" s="3" t="s">
        <v>48</v>
      </c>
      <c r="L114" s="3" t="s">
        <v>48</v>
      </c>
      <c r="M114" s="3" t="s">
        <v>41</v>
      </c>
      <c r="N114" s="3" t="s">
        <v>41</v>
      </c>
      <c r="O114" s="3" t="s">
        <v>44</v>
      </c>
    </row>
    <row r="115" customFormat="false" ht="15" hidden="false" customHeight="false" outlineLevel="0" collapsed="false">
      <c r="A115" s="0" t="s">
        <v>212</v>
      </c>
      <c r="B115" s="0" t="s">
        <v>213</v>
      </c>
      <c r="C115" s="0" t="s">
        <v>62</v>
      </c>
      <c r="E115" s="10" t="s">
        <v>41</v>
      </c>
      <c r="F115" s="10" t="s">
        <v>41</v>
      </c>
      <c r="G115" s="10" t="s">
        <v>41</v>
      </c>
      <c r="H115" s="10" t="s">
        <v>41</v>
      </c>
      <c r="I115" s="10" t="s">
        <v>41</v>
      </c>
      <c r="J115" s="10" t="s">
        <v>41</v>
      </c>
      <c r="K115" s="10" t="s">
        <v>41</v>
      </c>
      <c r="L115" s="10" t="s">
        <v>41</v>
      </c>
      <c r="M115" s="10" t="s">
        <v>41</v>
      </c>
      <c r="N115" s="10" t="s">
        <v>41</v>
      </c>
      <c r="O115" s="12" t="n">
        <f aca="false">IFERROR(Inputs!O4*4000/Inputs!O51,"n/d")</f>
        <v>13.1068773234201</v>
      </c>
      <c r="P115" s="1" t="s">
        <v>214</v>
      </c>
    </row>
    <row r="116" customFormat="false" ht="15" hidden="false" customHeight="false" outlineLevel="0" collapsed="false">
      <c r="B116" s="3" t="s">
        <v>43</v>
      </c>
      <c r="E116" s="3" t="s">
        <v>41</v>
      </c>
      <c r="F116" s="3" t="s">
        <v>41</v>
      </c>
      <c r="G116" s="3" t="s">
        <v>41</v>
      </c>
      <c r="H116" s="3" t="s">
        <v>41</v>
      </c>
      <c r="I116" s="3" t="s">
        <v>41</v>
      </c>
      <c r="J116" s="3" t="s">
        <v>41</v>
      </c>
      <c r="K116" s="3" t="s">
        <v>41</v>
      </c>
      <c r="L116" s="3" t="s">
        <v>41</v>
      </c>
      <c r="M116" s="3" t="s">
        <v>41</v>
      </c>
      <c r="N116" s="3" t="s">
        <v>41</v>
      </c>
      <c r="O116" s="3" t="s">
        <v>48</v>
      </c>
    </row>
    <row r="117" customFormat="false" ht="15" hidden="false" customHeight="false" outlineLevel="0" collapsed="false">
      <c r="A117" s="0" t="s">
        <v>215</v>
      </c>
      <c r="B117" s="0" t="s">
        <v>216</v>
      </c>
      <c r="C117" s="0" t="s">
        <v>75</v>
      </c>
      <c r="E117" s="10" t="s">
        <v>41</v>
      </c>
      <c r="F117" s="11" t="n">
        <f aca="false">IFERROR(Inputs!F42/Inputs!F59*100,"n/d")</f>
        <v>40.4077849860982</v>
      </c>
      <c r="G117" s="11" t="n">
        <f aca="false">IFERROR(Inputs!G42/Inputs!G59*100,"n/d")</f>
        <v>21.4796295644213</v>
      </c>
      <c r="H117" s="11" t="n">
        <f aca="false">IFERROR(Inputs!H42/Inputs!H59*100,"n/d")</f>
        <v>4.73807899325298</v>
      </c>
      <c r="I117" s="11" t="n">
        <f aca="false">IFERROR(Inputs!I42/Inputs!I59*100,"n/d")</f>
        <v>53.8986086237774</v>
      </c>
      <c r="J117" s="11" t="n">
        <f aca="false">IFERROR(Inputs!J42/Inputs!J59*100,"n/d")</f>
        <v>57.518488085456</v>
      </c>
      <c r="K117" s="11" t="n">
        <f aca="false">IFERROR(Inputs!K42/Inputs!K59*100,"n/d")</f>
        <v>65.0851873802011</v>
      </c>
      <c r="L117" s="11" t="n">
        <f aca="false">IFERROR(Inputs!L42/Inputs!L59*100,"n/d")</f>
        <v>38.161426579829</v>
      </c>
      <c r="M117" s="11" t="n">
        <f aca="false">IFERROR(Inputs!M42/Inputs!M59*100,"n/d")</f>
        <v>40.7705802092132</v>
      </c>
      <c r="N117" s="11" t="n">
        <f aca="false">IFERROR(Inputs!N42/Inputs!N59*100,"n/d")</f>
        <v>41.0925791636452</v>
      </c>
      <c r="O117" s="11" t="n">
        <f aca="false">IFERROR(Inputs!O42/Inputs!O59*100,"n/d")</f>
        <v>13.991619602842</v>
      </c>
      <c r="P117" s="1" t="s">
        <v>217</v>
      </c>
    </row>
    <row r="118" customFormat="false" ht="15" hidden="false" customHeight="false" outlineLevel="0" collapsed="false">
      <c r="B118" s="3" t="s">
        <v>43</v>
      </c>
      <c r="E118" s="3" t="s">
        <v>41</v>
      </c>
      <c r="F118" s="3" t="s">
        <v>44</v>
      </c>
      <c r="G118" s="3" t="s">
        <v>44</v>
      </c>
      <c r="H118" s="3" t="s">
        <v>44</v>
      </c>
      <c r="I118" s="3" t="s">
        <v>44</v>
      </c>
      <c r="J118" s="3" t="s">
        <v>44</v>
      </c>
      <c r="K118" s="3" t="s">
        <v>44</v>
      </c>
      <c r="L118" s="3" t="s">
        <v>44</v>
      </c>
      <c r="M118" s="3" t="s">
        <v>44</v>
      </c>
      <c r="N118" s="3" t="s">
        <v>44</v>
      </c>
      <c r="O118" s="3" t="s">
        <v>44</v>
      </c>
    </row>
    <row r="119" customFormat="false" ht="15" hidden="false" customHeight="false" outlineLevel="0" collapsed="false">
      <c r="A119" s="0" t="s">
        <v>218</v>
      </c>
      <c r="B119" s="0" t="s">
        <v>219</v>
      </c>
      <c r="C119" s="0" t="s">
        <v>54</v>
      </c>
      <c r="E119" s="10" t="s">
        <v>41</v>
      </c>
      <c r="F119" s="11" t="n">
        <f aca="false">IFERROR(Inputs!F41/Inputs!F38,"n/d")</f>
        <v>8.30769230769231</v>
      </c>
      <c r="G119" s="11" t="n">
        <f aca="false">IFERROR(Inputs!G41/Inputs!G38,"n/d")</f>
        <v>8.88461538461539</v>
      </c>
      <c r="H119" s="11" t="n">
        <f aca="false">IFERROR(Inputs!H41/Inputs!H38,"n/d")</f>
        <v>6.41666666666667</v>
      </c>
      <c r="I119" s="11" t="n">
        <f aca="false">IFERROR(Inputs!I41/Inputs!I38,"n/d")</f>
        <v>4.52941176470588</v>
      </c>
      <c r="J119" s="11" t="n">
        <f aca="false">IFERROR(Inputs!J41/Inputs!J38,"n/d")</f>
        <v>4.40909090909091</v>
      </c>
      <c r="K119" s="11" t="n">
        <f aca="false">IFERROR(Inputs!K41/Inputs!K38,"n/d")</f>
        <v>3.59259259259259</v>
      </c>
      <c r="L119" s="11" t="n">
        <f aca="false">IFERROR(Inputs!L41/Inputs!L38,"n/d")</f>
        <v>3.7037037037037</v>
      </c>
      <c r="M119" s="11" t="n">
        <f aca="false">IFERROR(Inputs!M41/Inputs!M38,"n/d")</f>
        <v>5.55555555555556</v>
      </c>
      <c r="N119" s="10" t="s">
        <v>41</v>
      </c>
      <c r="O119" s="11" t="n">
        <f aca="false">IFERROR(Inputs!O41/Inputs!O38,"n/d")</f>
        <v>11.9047619047619</v>
      </c>
      <c r="P119" s="1" t="s">
        <v>220</v>
      </c>
    </row>
    <row r="120" customFormat="false" ht="15" hidden="false" customHeight="false" outlineLevel="0" collapsed="false">
      <c r="B120" s="3" t="s">
        <v>43</v>
      </c>
      <c r="E120" s="3" t="s">
        <v>41</v>
      </c>
      <c r="F120" s="3" t="s">
        <v>44</v>
      </c>
      <c r="G120" s="3" t="s">
        <v>44</v>
      </c>
      <c r="H120" s="3" t="s">
        <v>44</v>
      </c>
      <c r="I120" s="3" t="s">
        <v>44</v>
      </c>
      <c r="J120" s="3" t="s">
        <v>44</v>
      </c>
      <c r="K120" s="3" t="s">
        <v>44</v>
      </c>
      <c r="L120" s="3" t="s">
        <v>44</v>
      </c>
      <c r="M120" s="3" t="s">
        <v>44</v>
      </c>
      <c r="N120" s="3" t="s">
        <v>41</v>
      </c>
      <c r="O120" s="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15" min="5" style="0" width="10"/>
    <col collapsed="false" customWidth="true" hidden="false" outlineLevel="0" max="16" min="16" style="0" width="90"/>
  </cols>
  <sheetData>
    <row r="1" customFormat="false" ht="15" hidden="false" customHeight="false" outlineLevel="0" collapsed="false">
      <c r="A1" s="2" t="s">
        <v>221</v>
      </c>
    </row>
    <row r="2" customFormat="false" ht="15" hidden="false" customHeight="false" outlineLevel="0" collapsed="false"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</row>
    <row r="3" customFormat="false" ht="15" hidden="false" customHeight="false" outlineLevel="0" collapsed="false">
      <c r="A3" s="4" t="s">
        <v>20</v>
      </c>
      <c r="B3" s="4" t="s">
        <v>222</v>
      </c>
      <c r="C3" s="4" t="s">
        <v>22</v>
      </c>
      <c r="D3" s="4" t="s">
        <v>223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224</v>
      </c>
    </row>
    <row r="4" customFormat="false" ht="82.05" hidden="false" customHeight="false" outlineLevel="0" collapsed="false">
      <c r="A4" s="0" t="s">
        <v>225</v>
      </c>
      <c r="B4" s="0" t="s">
        <v>226</v>
      </c>
      <c r="C4" s="0" t="s">
        <v>227</v>
      </c>
      <c r="D4" s="0" t="s">
        <v>228</v>
      </c>
      <c r="E4" s="3" t="s">
        <v>41</v>
      </c>
      <c r="F4" s="17" t="n">
        <v>0.567</v>
      </c>
      <c r="G4" s="18" t="n">
        <v>2.538</v>
      </c>
      <c r="H4" s="17" t="n">
        <v>3.189</v>
      </c>
      <c r="I4" s="17" t="n">
        <v>2.661</v>
      </c>
      <c r="J4" s="17" t="n">
        <v>3.581</v>
      </c>
      <c r="K4" s="17" t="n">
        <v>6.963</v>
      </c>
      <c r="L4" s="17" t="n">
        <v>7.347</v>
      </c>
      <c r="M4" s="17" t="n">
        <v>17.298</v>
      </c>
      <c r="N4" s="17" t="n">
        <v>33.635</v>
      </c>
      <c r="O4" s="18" t="n">
        <v>70.515</v>
      </c>
      <c r="P4" s="1" t="s">
        <v>229</v>
      </c>
    </row>
    <row r="5" customFormat="false" ht="28.35" hidden="false" customHeight="false" outlineLevel="0" collapsed="false">
      <c r="A5" s="0" t="s">
        <v>230</v>
      </c>
      <c r="B5" s="0" t="s">
        <v>231</v>
      </c>
      <c r="C5" s="0" t="s">
        <v>227</v>
      </c>
      <c r="D5" s="0" t="s">
        <v>41</v>
      </c>
      <c r="E5" s="3" t="s">
        <v>41</v>
      </c>
      <c r="F5" s="3" t="s">
        <v>41</v>
      </c>
      <c r="G5" s="3" t="s">
        <v>41</v>
      </c>
      <c r="H5" s="3" t="s">
        <v>41</v>
      </c>
      <c r="I5" s="3" t="s">
        <v>41</v>
      </c>
      <c r="J5" s="3" t="s">
        <v>41</v>
      </c>
      <c r="K5" s="3" t="s">
        <v>41</v>
      </c>
      <c r="L5" s="3" t="s">
        <v>41</v>
      </c>
      <c r="M5" s="3" t="s">
        <v>41</v>
      </c>
      <c r="N5" s="3" t="s">
        <v>41</v>
      </c>
      <c r="O5" s="3" t="s">
        <v>41</v>
      </c>
      <c r="P5" s="1" t="s">
        <v>232</v>
      </c>
    </row>
    <row r="6" customFormat="false" ht="68.65" hidden="false" customHeight="false" outlineLevel="0" collapsed="false">
      <c r="A6" s="0" t="s">
        <v>233</v>
      </c>
      <c r="B6" s="0" t="s">
        <v>234</v>
      </c>
      <c r="C6" s="0" t="s">
        <v>227</v>
      </c>
      <c r="D6" s="0" t="s">
        <v>228</v>
      </c>
      <c r="E6" s="3" t="s">
        <v>41</v>
      </c>
      <c r="F6" s="17" t="n">
        <v>8.692</v>
      </c>
      <c r="G6" s="18" t="n">
        <v>26.78</v>
      </c>
      <c r="H6" s="17" t="n">
        <v>33.931</v>
      </c>
      <c r="I6" s="18" t="n">
        <v>36.077</v>
      </c>
      <c r="J6" s="17" t="n">
        <v>47.311</v>
      </c>
      <c r="K6" s="18" t="n">
        <v>63.817</v>
      </c>
      <c r="L6" s="17" t="n">
        <v>85.226</v>
      </c>
      <c r="M6" s="18" t="n">
        <v>99.176</v>
      </c>
      <c r="N6" s="17" t="n">
        <v>121.245</v>
      </c>
      <c r="O6" s="18" t="n">
        <v>112.082</v>
      </c>
      <c r="P6" s="1" t="s">
        <v>235</v>
      </c>
    </row>
    <row r="7" customFormat="false" ht="68.65" hidden="false" customHeight="false" outlineLevel="0" collapsed="false">
      <c r="A7" s="0" t="s">
        <v>236</v>
      </c>
      <c r="B7" s="0" t="s">
        <v>237</v>
      </c>
      <c r="C7" s="0" t="s">
        <v>227</v>
      </c>
      <c r="D7" s="0" t="s">
        <v>228</v>
      </c>
      <c r="E7" s="3" t="s">
        <v>41</v>
      </c>
      <c r="F7" s="3" t="s">
        <v>41</v>
      </c>
      <c r="G7" s="18" t="n">
        <v>296.6</v>
      </c>
      <c r="H7" s="17" t="n">
        <v>383.4</v>
      </c>
      <c r="I7" s="18" t="n">
        <v>187.6</v>
      </c>
      <c r="J7" s="18" t="n">
        <v>443.8</v>
      </c>
      <c r="K7" s="18" t="n">
        <v>357.9</v>
      </c>
      <c r="L7" s="17" t="n">
        <v>280.6</v>
      </c>
      <c r="M7" s="18" t="n">
        <v>719.1</v>
      </c>
      <c r="N7" s="18" t="n">
        <v>1355.3</v>
      </c>
      <c r="O7" s="18" t="n">
        <v>1978.2</v>
      </c>
      <c r="P7" s="1" t="s">
        <v>238</v>
      </c>
    </row>
    <row r="8" customFormat="false" ht="122.35" hidden="false" customHeight="false" outlineLevel="0" collapsed="false">
      <c r="A8" s="0" t="s">
        <v>239</v>
      </c>
      <c r="B8" s="0" t="s">
        <v>240</v>
      </c>
      <c r="C8" s="0" t="s">
        <v>227</v>
      </c>
      <c r="D8" s="0" t="s">
        <v>228</v>
      </c>
      <c r="E8" s="3" t="s">
        <v>41</v>
      </c>
      <c r="F8" s="18" t="n">
        <v>427.51</v>
      </c>
      <c r="G8" s="18" t="n">
        <v>538.026</v>
      </c>
      <c r="H8" s="18" t="n">
        <v>1010.401</v>
      </c>
      <c r="I8" s="18" t="n">
        <v>1288.15</v>
      </c>
      <c r="J8" s="18" t="n">
        <v>1699.48</v>
      </c>
      <c r="K8" s="17" t="n">
        <v>2112.2</v>
      </c>
      <c r="L8" s="17" t="n">
        <v>2396.859</v>
      </c>
      <c r="M8" s="17" t="n">
        <v>3553.7</v>
      </c>
      <c r="N8" s="17" t="n">
        <v>4987</v>
      </c>
      <c r="O8" s="17" t="n">
        <v>7663.316</v>
      </c>
      <c r="P8" s="1" t="s">
        <v>241</v>
      </c>
    </row>
    <row r="9" customFormat="false" ht="95.5" hidden="false" customHeight="false" outlineLevel="0" collapsed="false">
      <c r="A9" s="0" t="s">
        <v>242</v>
      </c>
      <c r="B9" s="0" t="s">
        <v>243</v>
      </c>
      <c r="C9" s="0" t="s">
        <v>227</v>
      </c>
      <c r="D9" s="0" t="s">
        <v>104</v>
      </c>
      <c r="E9" s="3" t="s">
        <v>41</v>
      </c>
      <c r="F9" s="17" t="n">
        <v>76.904</v>
      </c>
      <c r="G9" s="17" t="n">
        <v>102.946</v>
      </c>
      <c r="H9" s="17" t="n">
        <v>153.625</v>
      </c>
      <c r="I9" s="17" t="n">
        <v>177.639</v>
      </c>
      <c r="J9" s="17" t="n">
        <v>213.763</v>
      </c>
      <c r="K9" s="17" t="n">
        <v>237.734</v>
      </c>
      <c r="L9" s="17" t="n">
        <v>464.832</v>
      </c>
      <c r="M9" s="17" t="n">
        <v>1038.321</v>
      </c>
      <c r="N9" s="17" t="n">
        <v>2089.371</v>
      </c>
      <c r="O9" s="17" t="n">
        <v>3657.072</v>
      </c>
      <c r="P9" s="1" t="s">
        <v>244</v>
      </c>
    </row>
    <row r="10" customFormat="false" ht="95.5" hidden="false" customHeight="false" outlineLevel="0" collapsed="false">
      <c r="A10" s="0" t="s">
        <v>245</v>
      </c>
      <c r="B10" s="0" t="s">
        <v>246</v>
      </c>
      <c r="C10" s="0" t="s">
        <v>227</v>
      </c>
      <c r="D10" s="0" t="s">
        <v>104</v>
      </c>
      <c r="E10" s="3" t="s">
        <v>41</v>
      </c>
      <c r="F10" s="17" t="n">
        <v>357.081</v>
      </c>
      <c r="G10" s="17" t="n">
        <v>441.371</v>
      </c>
      <c r="H10" s="17" t="n">
        <v>965.994</v>
      </c>
      <c r="I10" s="17" t="n">
        <v>1209.339</v>
      </c>
      <c r="J10" s="17" t="n">
        <v>1575.107</v>
      </c>
      <c r="K10" s="17" t="n">
        <v>1930.567</v>
      </c>
      <c r="L10" s="17" t="n">
        <v>2115.436</v>
      </c>
      <c r="M10" s="17" t="n">
        <v>3170.5</v>
      </c>
      <c r="N10" s="17" t="n">
        <v>4369.9</v>
      </c>
      <c r="O10" s="17" t="n">
        <v>6753.183</v>
      </c>
      <c r="P10" s="1" t="s">
        <v>244</v>
      </c>
    </row>
    <row r="11" customFormat="false" ht="15" hidden="false" customHeight="false" outlineLevel="0" collapsed="false">
      <c r="A11" s="0" t="s">
        <v>247</v>
      </c>
      <c r="B11" s="0" t="s">
        <v>248</v>
      </c>
      <c r="C11" s="0" t="s">
        <v>227</v>
      </c>
      <c r="D11" s="0" t="s">
        <v>41</v>
      </c>
      <c r="E11" s="3" t="s">
        <v>41</v>
      </c>
      <c r="F11" s="3" t="s">
        <v>41</v>
      </c>
      <c r="G11" s="3" t="s">
        <v>41</v>
      </c>
      <c r="H11" s="3" t="s">
        <v>41</v>
      </c>
      <c r="I11" s="3" t="s">
        <v>41</v>
      </c>
      <c r="J11" s="3" t="s">
        <v>41</v>
      </c>
      <c r="K11" s="3" t="s">
        <v>41</v>
      </c>
      <c r="L11" s="3" t="s">
        <v>41</v>
      </c>
      <c r="M11" s="3" t="s">
        <v>41</v>
      </c>
      <c r="N11" s="3" t="s">
        <v>41</v>
      </c>
      <c r="O11" s="3" t="s">
        <v>41</v>
      </c>
      <c r="P11" s="1"/>
    </row>
    <row r="12" customFormat="false" ht="41.75" hidden="false" customHeight="false" outlineLevel="0" collapsed="false">
      <c r="A12" s="0" t="s">
        <v>249</v>
      </c>
      <c r="B12" s="0" t="s">
        <v>250</v>
      </c>
      <c r="C12" s="0" t="s">
        <v>251</v>
      </c>
      <c r="D12" s="0" t="s">
        <v>104</v>
      </c>
      <c r="E12" s="3" t="s">
        <v>41</v>
      </c>
      <c r="F12" s="3" t="s">
        <v>41</v>
      </c>
      <c r="G12" s="3" t="s">
        <v>41</v>
      </c>
      <c r="H12" s="3" t="s">
        <v>41</v>
      </c>
      <c r="I12" s="3" t="s">
        <v>41</v>
      </c>
      <c r="J12" s="3" t="s">
        <v>41</v>
      </c>
      <c r="K12" s="3" t="s">
        <v>41</v>
      </c>
      <c r="L12" s="3" t="s">
        <v>41</v>
      </c>
      <c r="M12" s="3" t="s">
        <v>41</v>
      </c>
      <c r="N12" s="3" t="s">
        <v>41</v>
      </c>
      <c r="O12" s="17" t="n">
        <v>40</v>
      </c>
      <c r="P12" s="1" t="s">
        <v>252</v>
      </c>
    </row>
    <row r="13" customFormat="false" ht="28.35" hidden="false" customHeight="false" outlineLevel="0" collapsed="false">
      <c r="A13" s="0" t="s">
        <v>253</v>
      </c>
      <c r="B13" s="0" t="s">
        <v>254</v>
      </c>
      <c r="C13" s="0" t="s">
        <v>251</v>
      </c>
      <c r="D13" s="0" t="s">
        <v>41</v>
      </c>
      <c r="E13" s="3" t="s">
        <v>41</v>
      </c>
      <c r="F13" s="3" t="s">
        <v>41</v>
      </c>
      <c r="G13" s="3" t="s">
        <v>41</v>
      </c>
      <c r="H13" s="3" t="s">
        <v>41</v>
      </c>
      <c r="I13" s="3" t="s">
        <v>41</v>
      </c>
      <c r="J13" s="3" t="s">
        <v>41</v>
      </c>
      <c r="K13" s="3" t="s">
        <v>41</v>
      </c>
      <c r="L13" s="3" t="s">
        <v>41</v>
      </c>
      <c r="M13" s="3" t="s">
        <v>41</v>
      </c>
      <c r="N13" s="3" t="s">
        <v>41</v>
      </c>
      <c r="O13" s="3" t="s">
        <v>41</v>
      </c>
      <c r="P13" s="1" t="s">
        <v>255</v>
      </c>
    </row>
    <row r="14" customFormat="false" ht="82.05" hidden="false" customHeight="false" outlineLevel="0" collapsed="false">
      <c r="A14" s="0" t="s">
        <v>256</v>
      </c>
      <c r="B14" s="0" t="s">
        <v>257</v>
      </c>
      <c r="C14" s="0" t="s">
        <v>258</v>
      </c>
      <c r="D14" s="0" t="s">
        <v>104</v>
      </c>
      <c r="E14" s="3" t="s">
        <v>41</v>
      </c>
      <c r="F14" s="17" t="n">
        <v>816</v>
      </c>
      <c r="G14" s="17" t="n">
        <v>816</v>
      </c>
      <c r="H14" s="3" t="s">
        <v>41</v>
      </c>
      <c r="I14" s="17" t="n">
        <v>1896</v>
      </c>
      <c r="J14" s="17" t="n">
        <v>1896</v>
      </c>
      <c r="K14" s="17" t="n">
        <v>1900</v>
      </c>
      <c r="L14" s="17" t="n">
        <v>2100</v>
      </c>
      <c r="M14" s="3" t="s">
        <v>41</v>
      </c>
      <c r="N14" s="3" t="s">
        <v>41</v>
      </c>
      <c r="O14" s="3" t="s">
        <v>41</v>
      </c>
      <c r="P14" s="1" t="s">
        <v>259</v>
      </c>
    </row>
    <row r="15" customFormat="false" ht="41.75" hidden="false" customHeight="false" outlineLevel="0" collapsed="false">
      <c r="A15" s="0" t="s">
        <v>260</v>
      </c>
      <c r="B15" s="0" t="s">
        <v>261</v>
      </c>
      <c r="C15" s="0" t="s">
        <v>67</v>
      </c>
      <c r="D15" s="0" t="s">
        <v>48</v>
      </c>
      <c r="E15" s="3" t="s">
        <v>41</v>
      </c>
      <c r="F15" s="19" t="n">
        <v>2</v>
      </c>
      <c r="G15" s="19" t="n">
        <v>2</v>
      </c>
      <c r="H15" s="19" t="n">
        <v>2</v>
      </c>
      <c r="I15" s="19" t="n">
        <v>2</v>
      </c>
      <c r="J15" s="19" t="n">
        <v>2</v>
      </c>
      <c r="K15" s="19" t="n">
        <v>2</v>
      </c>
      <c r="L15" s="19" t="n">
        <v>2</v>
      </c>
      <c r="M15" s="3" t="s">
        <v>41</v>
      </c>
      <c r="N15" s="3" t="s">
        <v>41</v>
      </c>
      <c r="O15" s="3" t="s">
        <v>41</v>
      </c>
      <c r="P15" s="1" t="s">
        <v>262</v>
      </c>
    </row>
    <row r="16" customFormat="false" ht="15" hidden="false" customHeight="false" outlineLevel="0" collapsed="false">
      <c r="A16" s="0" t="s">
        <v>263</v>
      </c>
      <c r="B16" s="0" t="s">
        <v>264</v>
      </c>
      <c r="C16" s="0" t="s">
        <v>67</v>
      </c>
      <c r="D16" s="0" t="s">
        <v>41</v>
      </c>
      <c r="E16" s="3" t="s">
        <v>41</v>
      </c>
      <c r="F16" s="3" t="s">
        <v>41</v>
      </c>
      <c r="G16" s="3" t="s">
        <v>41</v>
      </c>
      <c r="H16" s="3" t="s">
        <v>41</v>
      </c>
      <c r="I16" s="3" t="s">
        <v>41</v>
      </c>
      <c r="J16" s="3" t="s">
        <v>41</v>
      </c>
      <c r="K16" s="3" t="s">
        <v>41</v>
      </c>
      <c r="L16" s="3" t="s">
        <v>41</v>
      </c>
      <c r="M16" s="3" t="s">
        <v>41</v>
      </c>
      <c r="N16" s="3" t="s">
        <v>41</v>
      </c>
      <c r="O16" s="3" t="s">
        <v>41</v>
      </c>
      <c r="P16" s="1" t="s">
        <v>265</v>
      </c>
    </row>
    <row r="17" customFormat="false" ht="55.2" hidden="false" customHeight="false" outlineLevel="0" collapsed="false">
      <c r="A17" s="0" t="s">
        <v>266</v>
      </c>
      <c r="B17" s="0" t="s">
        <v>115</v>
      </c>
      <c r="C17" s="0" t="s">
        <v>116</v>
      </c>
      <c r="D17" s="0" t="s">
        <v>104</v>
      </c>
      <c r="E17" s="3" t="s">
        <v>41</v>
      </c>
      <c r="F17" s="3" t="s">
        <v>41</v>
      </c>
      <c r="G17" s="3" t="s">
        <v>41</v>
      </c>
      <c r="H17" s="3" t="s">
        <v>41</v>
      </c>
      <c r="I17" s="3" t="s">
        <v>41</v>
      </c>
      <c r="J17" s="3" t="s">
        <v>41</v>
      </c>
      <c r="K17" s="3" t="s">
        <v>41</v>
      </c>
      <c r="L17" s="17" t="n">
        <v>0.195027</v>
      </c>
      <c r="M17" s="17" t="n">
        <v>0.289411</v>
      </c>
      <c r="N17" s="17" t="n">
        <v>0.710272</v>
      </c>
      <c r="O17" s="17" t="n">
        <v>5.1</v>
      </c>
      <c r="P17" s="1" t="s">
        <v>267</v>
      </c>
    </row>
    <row r="18" customFormat="false" ht="41.75" hidden="false" customHeight="false" outlineLevel="0" collapsed="false">
      <c r="A18" s="0" t="s">
        <v>268</v>
      </c>
      <c r="B18" s="0" t="s">
        <v>269</v>
      </c>
      <c r="C18" s="0" t="s">
        <v>116</v>
      </c>
      <c r="D18" s="0" t="s">
        <v>228</v>
      </c>
      <c r="E18" s="3" t="s">
        <v>41</v>
      </c>
      <c r="F18" s="3" t="s">
        <v>41</v>
      </c>
      <c r="G18" s="3" t="s">
        <v>41</v>
      </c>
      <c r="H18" s="3" t="s">
        <v>41</v>
      </c>
      <c r="I18" s="3" t="s">
        <v>41</v>
      </c>
      <c r="J18" s="3" t="s">
        <v>41</v>
      </c>
      <c r="K18" s="3" t="s">
        <v>41</v>
      </c>
      <c r="L18" s="3" t="s">
        <v>41</v>
      </c>
      <c r="M18" s="18" t="n">
        <v>9.989</v>
      </c>
      <c r="N18" s="18" t="n">
        <v>10.41</v>
      </c>
      <c r="O18" s="17" t="n">
        <v>16.6</v>
      </c>
      <c r="P18" s="1" t="s">
        <v>270</v>
      </c>
    </row>
    <row r="19" customFormat="false" ht="28.35" hidden="false" customHeight="false" outlineLevel="0" collapsed="false">
      <c r="A19" s="0" t="s">
        <v>271</v>
      </c>
      <c r="B19" s="0" t="s">
        <v>272</v>
      </c>
      <c r="C19" s="0" t="s">
        <v>75</v>
      </c>
      <c r="D19" s="0" t="s">
        <v>44</v>
      </c>
      <c r="E19" s="3" t="s">
        <v>41</v>
      </c>
      <c r="F19" s="3" t="s">
        <v>41</v>
      </c>
      <c r="G19" s="3" t="s">
        <v>41</v>
      </c>
      <c r="H19" s="3" t="s">
        <v>41</v>
      </c>
      <c r="I19" s="3" t="s">
        <v>41</v>
      </c>
      <c r="J19" s="3" t="s">
        <v>41</v>
      </c>
      <c r="K19" s="3" t="s">
        <v>41</v>
      </c>
      <c r="L19" s="18" t="n">
        <v>95.8</v>
      </c>
      <c r="M19" s="18" t="n">
        <v>98.7</v>
      </c>
      <c r="N19" s="18" t="n">
        <v>80.7</v>
      </c>
      <c r="O19" s="18" t="n">
        <v>43.1</v>
      </c>
      <c r="P19" s="1" t="s">
        <v>273</v>
      </c>
    </row>
    <row r="20" customFormat="false" ht="41.75" hidden="false" customHeight="false" outlineLevel="0" collapsed="false">
      <c r="A20" s="0" t="s">
        <v>274</v>
      </c>
      <c r="B20" s="0" t="s">
        <v>275</v>
      </c>
      <c r="C20" s="0" t="s">
        <v>75</v>
      </c>
      <c r="D20" s="0" t="s">
        <v>41</v>
      </c>
      <c r="E20" s="3" t="s">
        <v>41</v>
      </c>
      <c r="F20" s="3" t="s">
        <v>41</v>
      </c>
      <c r="G20" s="3" t="s">
        <v>41</v>
      </c>
      <c r="H20" s="3" t="s">
        <v>41</v>
      </c>
      <c r="I20" s="3" t="s">
        <v>41</v>
      </c>
      <c r="J20" s="3" t="s">
        <v>41</v>
      </c>
      <c r="K20" s="3" t="s">
        <v>41</v>
      </c>
      <c r="L20" s="3" t="s">
        <v>41</v>
      </c>
      <c r="M20" s="3" t="s">
        <v>41</v>
      </c>
      <c r="N20" s="3" t="s">
        <v>41</v>
      </c>
      <c r="O20" s="3" t="s">
        <v>41</v>
      </c>
      <c r="P20" s="1" t="s">
        <v>276</v>
      </c>
    </row>
    <row r="21" customFormat="false" ht="15" hidden="false" customHeight="false" outlineLevel="0" collapsed="false">
      <c r="A21" s="0" t="s">
        <v>277</v>
      </c>
      <c r="B21" s="0" t="s">
        <v>134</v>
      </c>
      <c r="C21" s="0" t="s">
        <v>75</v>
      </c>
      <c r="D21" s="0" t="s">
        <v>41</v>
      </c>
      <c r="E21" s="3" t="s">
        <v>41</v>
      </c>
      <c r="F21" s="3" t="s">
        <v>41</v>
      </c>
      <c r="G21" s="3" t="s">
        <v>41</v>
      </c>
      <c r="H21" s="3" t="s">
        <v>41</v>
      </c>
      <c r="I21" s="3" t="s">
        <v>41</v>
      </c>
      <c r="J21" s="3" t="s">
        <v>41</v>
      </c>
      <c r="K21" s="3" t="s">
        <v>41</v>
      </c>
      <c r="L21" s="3" t="s">
        <v>41</v>
      </c>
      <c r="M21" s="3" t="s">
        <v>41</v>
      </c>
      <c r="N21" s="3" t="s">
        <v>41</v>
      </c>
      <c r="O21" s="3" t="s">
        <v>41</v>
      </c>
      <c r="P21" s="1"/>
    </row>
    <row r="22" customFormat="false" ht="15" hidden="false" customHeight="false" outlineLevel="0" collapsed="false">
      <c r="A22" s="0" t="s">
        <v>278</v>
      </c>
      <c r="B22" s="0" t="s">
        <v>279</v>
      </c>
      <c r="C22" s="0" t="s">
        <v>75</v>
      </c>
      <c r="D22" s="0" t="s">
        <v>41</v>
      </c>
      <c r="E22" s="3" t="s">
        <v>41</v>
      </c>
      <c r="F22" s="3" t="s">
        <v>41</v>
      </c>
      <c r="G22" s="3" t="s">
        <v>41</v>
      </c>
      <c r="H22" s="3" t="s">
        <v>41</v>
      </c>
      <c r="I22" s="3" t="s">
        <v>41</v>
      </c>
      <c r="J22" s="3" t="s">
        <v>41</v>
      </c>
      <c r="K22" s="3" t="s">
        <v>41</v>
      </c>
      <c r="L22" s="3" t="s">
        <v>41</v>
      </c>
      <c r="M22" s="3" t="s">
        <v>41</v>
      </c>
      <c r="N22" s="3" t="s">
        <v>41</v>
      </c>
      <c r="O22" s="3" t="s">
        <v>41</v>
      </c>
      <c r="P22" s="1"/>
    </row>
    <row r="23" customFormat="false" ht="15" hidden="false" customHeight="false" outlineLevel="0" collapsed="false">
      <c r="A23" s="0" t="s">
        <v>280</v>
      </c>
      <c r="B23" s="0" t="s">
        <v>281</v>
      </c>
      <c r="C23" s="0" t="s">
        <v>139</v>
      </c>
      <c r="D23" s="0" t="s">
        <v>41</v>
      </c>
      <c r="E23" s="3" t="s">
        <v>41</v>
      </c>
      <c r="F23" s="3" t="s">
        <v>41</v>
      </c>
      <c r="G23" s="3" t="s">
        <v>41</v>
      </c>
      <c r="H23" s="3" t="s">
        <v>41</v>
      </c>
      <c r="I23" s="3" t="s">
        <v>41</v>
      </c>
      <c r="J23" s="3" t="s">
        <v>41</v>
      </c>
      <c r="K23" s="3" t="s">
        <v>41</v>
      </c>
      <c r="L23" s="3" t="s">
        <v>41</v>
      </c>
      <c r="M23" s="3" t="s">
        <v>41</v>
      </c>
      <c r="N23" s="3" t="s">
        <v>41</v>
      </c>
      <c r="O23" s="3" t="s">
        <v>41</v>
      </c>
      <c r="P23" s="1"/>
    </row>
    <row r="24" customFormat="false" ht="68.65" hidden="false" customHeight="false" outlineLevel="0" collapsed="false">
      <c r="A24" s="0" t="s">
        <v>282</v>
      </c>
      <c r="B24" s="0" t="s">
        <v>283</v>
      </c>
      <c r="C24" s="0" t="s">
        <v>227</v>
      </c>
      <c r="D24" s="0" t="s">
        <v>228</v>
      </c>
      <c r="E24" s="3" t="s">
        <v>41</v>
      </c>
      <c r="F24" s="3" t="s">
        <v>41</v>
      </c>
      <c r="G24" s="3" t="s">
        <v>41</v>
      </c>
      <c r="H24" s="17" t="n">
        <v>0.022</v>
      </c>
      <c r="I24" s="17" t="n">
        <v>6.253</v>
      </c>
      <c r="J24" s="17" t="n">
        <v>4.119</v>
      </c>
      <c r="K24" s="18" t="n">
        <v>5.182</v>
      </c>
      <c r="L24" s="17" t="n">
        <v>9.28</v>
      </c>
      <c r="M24" s="18" t="n">
        <v>10.668</v>
      </c>
      <c r="N24" s="17" t="n">
        <v>14.837</v>
      </c>
      <c r="O24" s="18" t="n">
        <v>24.466</v>
      </c>
      <c r="P24" s="1" t="s">
        <v>284</v>
      </c>
    </row>
    <row r="25" customFormat="false" ht="15" hidden="false" customHeight="false" outlineLevel="0" collapsed="false">
      <c r="A25" s="0" t="s">
        <v>285</v>
      </c>
      <c r="B25" s="0" t="s">
        <v>286</v>
      </c>
      <c r="C25" s="0" t="s">
        <v>227</v>
      </c>
      <c r="D25" s="0" t="s">
        <v>41</v>
      </c>
      <c r="E25" s="3" t="s">
        <v>41</v>
      </c>
      <c r="F25" s="3" t="s">
        <v>41</v>
      </c>
      <c r="G25" s="3" t="s">
        <v>41</v>
      </c>
      <c r="H25" s="3" t="s">
        <v>41</v>
      </c>
      <c r="I25" s="3" t="s">
        <v>41</v>
      </c>
      <c r="J25" s="3" t="s">
        <v>41</v>
      </c>
      <c r="K25" s="3" t="s">
        <v>41</v>
      </c>
      <c r="L25" s="3" t="s">
        <v>41</v>
      </c>
      <c r="M25" s="3" t="s">
        <v>41</v>
      </c>
      <c r="N25" s="3" t="s">
        <v>41</v>
      </c>
      <c r="O25" s="3" t="s">
        <v>41</v>
      </c>
      <c r="P25" s="1" t="s">
        <v>287</v>
      </c>
    </row>
    <row r="26" customFormat="false" ht="95.5" hidden="false" customHeight="false" outlineLevel="0" collapsed="false">
      <c r="A26" s="0" t="s">
        <v>288</v>
      </c>
      <c r="B26" s="0" t="s">
        <v>289</v>
      </c>
      <c r="C26" s="0" t="s">
        <v>227</v>
      </c>
      <c r="D26" s="0" t="s">
        <v>104</v>
      </c>
      <c r="E26" s="3" t="s">
        <v>41</v>
      </c>
      <c r="F26" s="17" t="n">
        <v>0</v>
      </c>
      <c r="G26" s="17" t="n">
        <v>0</v>
      </c>
      <c r="H26" s="17" t="n">
        <v>0</v>
      </c>
      <c r="I26" s="17" t="n">
        <v>440</v>
      </c>
      <c r="J26" s="17" t="n">
        <v>440</v>
      </c>
      <c r="K26" s="17" t="n">
        <v>990</v>
      </c>
      <c r="L26" s="17" t="n">
        <v>990</v>
      </c>
      <c r="M26" s="17" t="n">
        <v>3745.699</v>
      </c>
      <c r="N26" s="17" t="n">
        <v>3745.699</v>
      </c>
      <c r="O26" s="17" t="n">
        <v>7705.649</v>
      </c>
      <c r="P26" s="1" t="s">
        <v>244</v>
      </c>
    </row>
    <row r="27" customFormat="false" ht="15" hidden="false" customHeight="false" outlineLevel="0" collapsed="false">
      <c r="A27" s="0" t="s">
        <v>290</v>
      </c>
      <c r="B27" s="0" t="s">
        <v>167</v>
      </c>
      <c r="C27" s="0" t="s">
        <v>75</v>
      </c>
      <c r="D27" s="0" t="s">
        <v>41</v>
      </c>
      <c r="E27" s="3" t="s">
        <v>41</v>
      </c>
      <c r="F27" s="3" t="s">
        <v>41</v>
      </c>
      <c r="G27" s="3" t="s">
        <v>41</v>
      </c>
      <c r="H27" s="3" t="s">
        <v>41</v>
      </c>
      <c r="I27" s="3" t="s">
        <v>41</v>
      </c>
      <c r="J27" s="3" t="s">
        <v>41</v>
      </c>
      <c r="K27" s="3" t="s">
        <v>41</v>
      </c>
      <c r="L27" s="3" t="s">
        <v>41</v>
      </c>
      <c r="M27" s="3" t="s">
        <v>41</v>
      </c>
      <c r="N27" s="3" t="s">
        <v>41</v>
      </c>
      <c r="O27" s="3" t="s">
        <v>41</v>
      </c>
      <c r="P27" s="1"/>
    </row>
    <row r="28" customFormat="false" ht="15" hidden="false" customHeight="false" outlineLevel="0" collapsed="false">
      <c r="A28" s="0" t="s">
        <v>291</v>
      </c>
      <c r="B28" s="0" t="s">
        <v>292</v>
      </c>
      <c r="C28" s="0" t="s">
        <v>227</v>
      </c>
      <c r="D28" s="0" t="s">
        <v>41</v>
      </c>
      <c r="E28" s="3" t="s">
        <v>41</v>
      </c>
      <c r="F28" s="3" t="s">
        <v>41</v>
      </c>
      <c r="G28" s="3" t="s">
        <v>41</v>
      </c>
      <c r="H28" s="3" t="s">
        <v>41</v>
      </c>
      <c r="I28" s="3" t="s">
        <v>41</v>
      </c>
      <c r="J28" s="3" t="s">
        <v>41</v>
      </c>
      <c r="K28" s="3" t="s">
        <v>41</v>
      </c>
      <c r="L28" s="3" t="s">
        <v>41</v>
      </c>
      <c r="M28" s="3" t="s">
        <v>41</v>
      </c>
      <c r="N28" s="3" t="s">
        <v>41</v>
      </c>
      <c r="O28" s="3" t="s">
        <v>41</v>
      </c>
      <c r="P28" s="1"/>
    </row>
    <row r="29" customFormat="false" ht="15" hidden="false" customHeight="false" outlineLevel="0" collapsed="false">
      <c r="A29" s="0" t="s">
        <v>293</v>
      </c>
      <c r="B29" s="0" t="s">
        <v>294</v>
      </c>
      <c r="C29" s="0" t="s">
        <v>295</v>
      </c>
      <c r="D29" s="0" t="s">
        <v>104</v>
      </c>
      <c r="E29" s="3" t="s">
        <v>41</v>
      </c>
      <c r="F29" s="17" t="n">
        <v>91</v>
      </c>
      <c r="G29" s="17" t="n">
        <v>91</v>
      </c>
      <c r="H29" s="17" t="n">
        <v>92</v>
      </c>
      <c r="I29" s="17" t="n">
        <v>92</v>
      </c>
      <c r="J29" s="17" t="n">
        <v>90</v>
      </c>
      <c r="K29" s="17" t="n">
        <v>91</v>
      </c>
      <c r="L29" s="17" t="n">
        <v>92</v>
      </c>
      <c r="M29" s="17" t="n">
        <v>92</v>
      </c>
      <c r="N29" s="17" t="n">
        <v>90</v>
      </c>
      <c r="O29" s="17" t="n">
        <v>91</v>
      </c>
      <c r="P29" s="1" t="s">
        <v>296</v>
      </c>
    </row>
    <row r="30" customFormat="false" ht="15" hidden="false" customHeight="false" outlineLevel="0" collapsed="false">
      <c r="A30" s="0" t="s">
        <v>297</v>
      </c>
      <c r="B30" s="0" t="s">
        <v>298</v>
      </c>
      <c r="C30" s="0" t="s">
        <v>139</v>
      </c>
      <c r="D30" s="0" t="s">
        <v>41</v>
      </c>
      <c r="E30" s="3" t="s">
        <v>41</v>
      </c>
      <c r="F30" s="3" t="s">
        <v>41</v>
      </c>
      <c r="G30" s="3" t="s">
        <v>41</v>
      </c>
      <c r="H30" s="3" t="s">
        <v>41</v>
      </c>
      <c r="I30" s="3" t="s">
        <v>41</v>
      </c>
      <c r="J30" s="3" t="s">
        <v>41</v>
      </c>
      <c r="K30" s="3" t="s">
        <v>41</v>
      </c>
      <c r="L30" s="3" t="s">
        <v>41</v>
      </c>
      <c r="M30" s="3" t="s">
        <v>41</v>
      </c>
      <c r="N30" s="3" t="s">
        <v>41</v>
      </c>
      <c r="O30" s="3" t="s">
        <v>41</v>
      </c>
      <c r="P30" s="1"/>
    </row>
    <row r="31" customFormat="false" ht="55.2" hidden="false" customHeight="false" outlineLevel="0" collapsed="false">
      <c r="A31" s="0" t="s">
        <v>299</v>
      </c>
      <c r="B31" s="0" t="s">
        <v>300</v>
      </c>
      <c r="C31" s="0" t="s">
        <v>101</v>
      </c>
      <c r="D31" s="0" t="s">
        <v>104</v>
      </c>
      <c r="E31" s="3" t="s">
        <v>41</v>
      </c>
      <c r="F31" s="17" t="n">
        <v>5</v>
      </c>
      <c r="G31" s="17" t="n">
        <v>5</v>
      </c>
      <c r="H31" s="17" t="n">
        <v>5</v>
      </c>
      <c r="I31" s="17" t="n">
        <v>5</v>
      </c>
      <c r="J31" s="17" t="n">
        <v>5</v>
      </c>
      <c r="K31" s="17" t="n">
        <v>5</v>
      </c>
      <c r="L31" s="17" t="n">
        <v>5</v>
      </c>
      <c r="M31" s="17" t="n">
        <v>5</v>
      </c>
      <c r="N31" s="17" t="n">
        <v>5</v>
      </c>
      <c r="O31" s="17" t="n">
        <v>5</v>
      </c>
      <c r="P31" s="1" t="s">
        <v>301</v>
      </c>
    </row>
    <row r="32" customFormat="false" ht="15" hidden="false" customHeight="false" outlineLevel="0" collapsed="false">
      <c r="A32" s="0" t="s">
        <v>302</v>
      </c>
      <c r="B32" s="0" t="s">
        <v>303</v>
      </c>
      <c r="C32" s="0" t="s">
        <v>75</v>
      </c>
      <c r="D32" s="0" t="s">
        <v>41</v>
      </c>
      <c r="E32" s="3" t="s">
        <v>41</v>
      </c>
      <c r="F32" s="3" t="s">
        <v>41</v>
      </c>
      <c r="G32" s="3" t="s">
        <v>41</v>
      </c>
      <c r="H32" s="3" t="s">
        <v>41</v>
      </c>
      <c r="I32" s="3" t="s">
        <v>41</v>
      </c>
      <c r="J32" s="3" t="s">
        <v>41</v>
      </c>
      <c r="K32" s="3" t="s">
        <v>41</v>
      </c>
      <c r="L32" s="3" t="s">
        <v>41</v>
      </c>
      <c r="M32" s="3" t="s">
        <v>41</v>
      </c>
      <c r="N32" s="3" t="s">
        <v>41</v>
      </c>
      <c r="O32" s="3" t="s">
        <v>41</v>
      </c>
      <c r="P32" s="1"/>
    </row>
    <row r="33" customFormat="false" ht="28.35" hidden="false" customHeight="false" outlineLevel="0" collapsed="false">
      <c r="A33" s="0" t="s">
        <v>304</v>
      </c>
      <c r="B33" s="0" t="s">
        <v>305</v>
      </c>
      <c r="C33" s="0" t="s">
        <v>75</v>
      </c>
      <c r="D33" s="0" t="s">
        <v>44</v>
      </c>
      <c r="E33" s="3" t="s">
        <v>41</v>
      </c>
      <c r="F33" s="3" t="s">
        <v>41</v>
      </c>
      <c r="G33" s="3" t="s">
        <v>41</v>
      </c>
      <c r="H33" s="3" t="s">
        <v>41</v>
      </c>
      <c r="I33" s="3" t="s">
        <v>41</v>
      </c>
      <c r="J33" s="3" t="s">
        <v>41</v>
      </c>
      <c r="K33" s="3" t="s">
        <v>41</v>
      </c>
      <c r="L33" s="18" t="n">
        <v>47.9</v>
      </c>
      <c r="M33" s="18" t="n">
        <v>51.9</v>
      </c>
      <c r="N33" s="18" t="n">
        <v>43.4</v>
      </c>
      <c r="O33" s="18" t="n">
        <v>17.6</v>
      </c>
      <c r="P33" s="1" t="s">
        <v>273</v>
      </c>
    </row>
    <row r="34" customFormat="false" ht="108.95" hidden="false" customHeight="false" outlineLevel="0" collapsed="false">
      <c r="A34" s="0" t="s">
        <v>306</v>
      </c>
      <c r="B34" s="0" t="s">
        <v>307</v>
      </c>
      <c r="C34" s="0" t="s">
        <v>227</v>
      </c>
      <c r="D34" s="0" t="s">
        <v>104</v>
      </c>
      <c r="E34" s="3" t="s">
        <v>41</v>
      </c>
      <c r="F34" s="17" t="n">
        <v>29.603</v>
      </c>
      <c r="G34" s="17" t="n">
        <v>33.315</v>
      </c>
      <c r="H34" s="17" t="n">
        <v>33.678</v>
      </c>
      <c r="I34" s="17" t="n">
        <v>68.19</v>
      </c>
      <c r="J34" s="17" t="n">
        <v>69.406</v>
      </c>
      <c r="K34" s="17" t="n">
        <v>76.001</v>
      </c>
      <c r="L34" s="17" t="n">
        <v>106.047</v>
      </c>
      <c r="M34" s="17" t="n">
        <v>550.636</v>
      </c>
      <c r="N34" s="17" t="n">
        <v>811.39</v>
      </c>
      <c r="O34" s="17" t="n">
        <v>2034.811</v>
      </c>
      <c r="P34" s="1" t="s">
        <v>308</v>
      </c>
    </row>
    <row r="35" customFormat="false" ht="55.2" hidden="false" customHeight="false" outlineLevel="0" collapsed="false">
      <c r="A35" s="0" t="s">
        <v>309</v>
      </c>
      <c r="B35" s="0" t="s">
        <v>310</v>
      </c>
      <c r="C35" s="0" t="s">
        <v>227</v>
      </c>
      <c r="D35" s="0" t="s">
        <v>228</v>
      </c>
      <c r="E35" s="3" t="s">
        <v>41</v>
      </c>
      <c r="F35" s="3" t="s">
        <v>41</v>
      </c>
      <c r="G35" s="3" t="s">
        <v>41</v>
      </c>
      <c r="H35" s="17" t="n">
        <v>0.232</v>
      </c>
      <c r="I35" s="17" t="n">
        <v>0.275</v>
      </c>
      <c r="J35" s="17" t="n">
        <v>0.336</v>
      </c>
      <c r="K35" s="18" t="n">
        <v>0.476</v>
      </c>
      <c r="L35" s="17" t="n">
        <v>0.728</v>
      </c>
      <c r="M35" s="17" t="n">
        <v>2.395</v>
      </c>
      <c r="N35" s="17" t="n">
        <v>4.597</v>
      </c>
      <c r="O35" s="18" t="n">
        <v>9.212</v>
      </c>
      <c r="P35" s="1" t="s">
        <v>311</v>
      </c>
    </row>
    <row r="36" customFormat="false" ht="55.2" hidden="false" customHeight="false" outlineLevel="0" collapsed="false">
      <c r="A36" s="0" t="s">
        <v>312</v>
      </c>
      <c r="B36" s="0" t="s">
        <v>313</v>
      </c>
      <c r="C36" s="0" t="s">
        <v>227</v>
      </c>
      <c r="D36" s="0" t="s">
        <v>228</v>
      </c>
      <c r="E36" s="3" t="s">
        <v>41</v>
      </c>
      <c r="F36" s="17" t="n">
        <v>53.383</v>
      </c>
      <c r="G36" s="18" t="n">
        <v>54.26</v>
      </c>
      <c r="H36" s="17" t="n">
        <v>49.575</v>
      </c>
      <c r="I36" s="17" t="n">
        <v>113.483</v>
      </c>
      <c r="J36" s="17" t="n">
        <v>141.242</v>
      </c>
      <c r="K36" s="17" t="n">
        <v>180.33</v>
      </c>
      <c r="L36" s="17" t="n">
        <v>232.948</v>
      </c>
      <c r="M36" s="17" t="n">
        <v>167.394</v>
      </c>
      <c r="N36" s="17" t="n">
        <v>111.16</v>
      </c>
      <c r="O36" s="18" t="n">
        <v>66.71</v>
      </c>
      <c r="P36" s="1" t="s">
        <v>314</v>
      </c>
    </row>
    <row r="37" customFormat="false" ht="95.5" hidden="false" customHeight="false" outlineLevel="0" collapsed="false">
      <c r="A37" s="0" t="s">
        <v>315</v>
      </c>
      <c r="B37" s="0" t="s">
        <v>316</v>
      </c>
      <c r="C37" s="0" t="s">
        <v>227</v>
      </c>
      <c r="D37" s="0" t="s">
        <v>104</v>
      </c>
      <c r="E37" s="3" t="s">
        <v>41</v>
      </c>
      <c r="F37" s="17" t="n">
        <v>25.714</v>
      </c>
      <c r="G37" s="17" t="n">
        <v>25.605</v>
      </c>
      <c r="H37" s="17" t="n">
        <v>6.941</v>
      </c>
      <c r="I37" s="17" t="n">
        <v>6.934</v>
      </c>
      <c r="J37" s="17" t="n">
        <v>6.942</v>
      </c>
      <c r="K37" s="17" t="n">
        <v>0.385</v>
      </c>
      <c r="L37" s="17" t="n">
        <v>16.177</v>
      </c>
      <c r="M37" s="17" t="n">
        <v>36.3</v>
      </c>
      <c r="N37" s="17" t="n">
        <v>171.5</v>
      </c>
      <c r="O37" s="17" t="n">
        <v>484.491</v>
      </c>
      <c r="P37" s="1" t="s">
        <v>244</v>
      </c>
    </row>
    <row r="38" customFormat="false" ht="108.95" hidden="false" customHeight="false" outlineLevel="0" collapsed="false">
      <c r="A38" s="0" t="s">
        <v>317</v>
      </c>
      <c r="B38" s="0" t="s">
        <v>318</v>
      </c>
      <c r="C38" s="0" t="s">
        <v>251</v>
      </c>
      <c r="D38" s="0" t="s">
        <v>228</v>
      </c>
      <c r="E38" s="3" t="s">
        <v>41</v>
      </c>
      <c r="F38" s="17" t="n">
        <v>260</v>
      </c>
      <c r="G38" s="17" t="n">
        <v>260</v>
      </c>
      <c r="H38" s="17" t="n">
        <v>360</v>
      </c>
      <c r="I38" s="17" t="n">
        <v>510</v>
      </c>
      <c r="J38" s="17" t="n">
        <v>660</v>
      </c>
      <c r="K38" s="17" t="n">
        <v>810</v>
      </c>
      <c r="L38" s="17" t="n">
        <v>810</v>
      </c>
      <c r="M38" s="17" t="n">
        <v>810</v>
      </c>
      <c r="N38" s="3" t="s">
        <v>41</v>
      </c>
      <c r="O38" s="18" t="n">
        <v>420</v>
      </c>
      <c r="P38" s="1" t="s">
        <v>319</v>
      </c>
    </row>
    <row r="39" customFormat="false" ht="15" hidden="false" customHeight="false" outlineLevel="0" collapsed="false">
      <c r="A39" s="0" t="s">
        <v>320</v>
      </c>
      <c r="B39" s="0" t="s">
        <v>321</v>
      </c>
      <c r="C39" s="0" t="s">
        <v>251</v>
      </c>
      <c r="D39" s="0" t="s">
        <v>104</v>
      </c>
      <c r="E39" s="3" t="s">
        <v>41</v>
      </c>
      <c r="F39" s="3" t="s">
        <v>41</v>
      </c>
      <c r="G39" s="3" t="s">
        <v>41</v>
      </c>
      <c r="H39" s="3" t="s">
        <v>41</v>
      </c>
      <c r="I39" s="3" t="s">
        <v>41</v>
      </c>
      <c r="J39" s="3" t="s">
        <v>41</v>
      </c>
      <c r="K39" s="3" t="s">
        <v>41</v>
      </c>
      <c r="L39" s="3" t="s">
        <v>41</v>
      </c>
      <c r="M39" s="3" t="s">
        <v>41</v>
      </c>
      <c r="N39" s="3" t="s">
        <v>41</v>
      </c>
      <c r="O39" s="17" t="n">
        <v>380</v>
      </c>
      <c r="P39" s="1" t="s">
        <v>322</v>
      </c>
    </row>
    <row r="40" customFormat="false" ht="95.5" hidden="false" customHeight="false" outlineLevel="0" collapsed="false">
      <c r="A40" s="0" t="s">
        <v>323</v>
      </c>
      <c r="B40" s="0" t="s">
        <v>324</v>
      </c>
      <c r="C40" s="0" t="s">
        <v>204</v>
      </c>
      <c r="D40" s="0" t="s">
        <v>104</v>
      </c>
      <c r="E40" s="3" t="s">
        <v>41</v>
      </c>
      <c r="F40" s="17" t="n">
        <v>10</v>
      </c>
      <c r="G40" s="17" t="n">
        <v>10</v>
      </c>
      <c r="H40" s="17" t="n">
        <v>21</v>
      </c>
      <c r="I40" s="17" t="n">
        <v>31</v>
      </c>
      <c r="J40" s="17" t="n">
        <v>37</v>
      </c>
      <c r="K40" s="17" t="n">
        <v>50</v>
      </c>
      <c r="L40" s="17" t="n">
        <v>50</v>
      </c>
      <c r="M40" s="17" t="n">
        <v>46</v>
      </c>
      <c r="N40" s="17" t="n">
        <v>38</v>
      </c>
      <c r="O40" s="17" t="n">
        <v>23.2</v>
      </c>
      <c r="P40" s="1" t="s">
        <v>244</v>
      </c>
    </row>
    <row r="41" customFormat="false" ht="95.5" hidden="false" customHeight="false" outlineLevel="0" collapsed="false">
      <c r="A41" s="0" t="s">
        <v>325</v>
      </c>
      <c r="B41" s="0" t="s">
        <v>326</v>
      </c>
      <c r="C41" s="0" t="s">
        <v>251</v>
      </c>
      <c r="D41" s="0" t="s">
        <v>104</v>
      </c>
      <c r="E41" s="3" t="s">
        <v>41</v>
      </c>
      <c r="F41" s="17" t="n">
        <v>2160</v>
      </c>
      <c r="G41" s="17" t="n">
        <v>2310</v>
      </c>
      <c r="H41" s="17" t="n">
        <v>2310</v>
      </c>
      <c r="I41" s="17" t="n">
        <v>2310</v>
      </c>
      <c r="J41" s="17" t="n">
        <v>2910</v>
      </c>
      <c r="K41" s="17" t="n">
        <v>2910</v>
      </c>
      <c r="L41" s="17" t="n">
        <v>3000</v>
      </c>
      <c r="M41" s="17" t="n">
        <v>4500</v>
      </c>
      <c r="N41" s="17" t="n">
        <v>4510</v>
      </c>
      <c r="O41" s="17" t="n">
        <v>5000</v>
      </c>
      <c r="P41" s="1" t="s">
        <v>327</v>
      </c>
    </row>
    <row r="42" customFormat="false" ht="68.65" hidden="false" customHeight="false" outlineLevel="0" collapsed="false">
      <c r="A42" s="0" t="s">
        <v>328</v>
      </c>
      <c r="B42" s="0" t="s">
        <v>329</v>
      </c>
      <c r="C42" s="0" t="s">
        <v>227</v>
      </c>
      <c r="D42" s="0" t="s">
        <v>228</v>
      </c>
      <c r="E42" s="3" t="s">
        <v>41</v>
      </c>
      <c r="F42" s="17" t="n">
        <v>21.8</v>
      </c>
      <c r="G42" s="18" t="n">
        <v>12.2</v>
      </c>
      <c r="H42" s="17" t="n">
        <v>2.5</v>
      </c>
      <c r="I42" s="17" t="n">
        <v>62.6</v>
      </c>
      <c r="J42" s="17" t="n">
        <v>83.3</v>
      </c>
      <c r="K42" s="17" t="n">
        <v>121.9</v>
      </c>
      <c r="L42" s="17" t="n">
        <v>91.7</v>
      </c>
      <c r="M42" s="17" t="n">
        <v>75.3</v>
      </c>
      <c r="N42" s="17" t="n">
        <v>59.5</v>
      </c>
      <c r="O42" s="17" t="n">
        <v>19.2</v>
      </c>
      <c r="P42" s="1" t="s">
        <v>330</v>
      </c>
    </row>
    <row r="43" customFormat="false" ht="95.5" hidden="false" customHeight="false" outlineLevel="0" collapsed="false">
      <c r="A43" s="0" t="s">
        <v>331</v>
      </c>
      <c r="B43" s="0" t="s">
        <v>332</v>
      </c>
      <c r="C43" s="0" t="s">
        <v>227</v>
      </c>
      <c r="D43" s="0" t="s">
        <v>104</v>
      </c>
      <c r="E43" s="3" t="s">
        <v>41</v>
      </c>
      <c r="F43" s="17" t="n">
        <v>144.623</v>
      </c>
      <c r="G43" s="17" t="n">
        <v>177.766</v>
      </c>
      <c r="H43" s="17" t="n">
        <v>521.755</v>
      </c>
      <c r="I43" s="17" t="n">
        <v>643.475</v>
      </c>
      <c r="J43" s="17" t="n">
        <v>877.934</v>
      </c>
      <c r="K43" s="17" t="n">
        <v>1135.584</v>
      </c>
      <c r="L43" s="17" t="n">
        <v>1134.032</v>
      </c>
      <c r="M43" s="17" t="n">
        <v>1079.663</v>
      </c>
      <c r="N43" s="17" t="n">
        <v>1041.767</v>
      </c>
      <c r="O43" s="17" t="n">
        <v>596.988</v>
      </c>
      <c r="P43" s="1" t="s">
        <v>244</v>
      </c>
    </row>
    <row r="44" customFormat="false" ht="28.35" hidden="false" customHeight="false" outlineLevel="0" collapsed="false">
      <c r="A44" s="0" t="s">
        <v>333</v>
      </c>
      <c r="B44" s="0" t="s">
        <v>334</v>
      </c>
      <c r="C44" s="0" t="s">
        <v>227</v>
      </c>
      <c r="D44" s="0" t="s">
        <v>104</v>
      </c>
      <c r="E44" s="3" t="s">
        <v>41</v>
      </c>
      <c r="F44" s="3" t="s">
        <v>41</v>
      </c>
      <c r="G44" s="3" t="s">
        <v>41</v>
      </c>
      <c r="H44" s="3" t="s">
        <v>41</v>
      </c>
      <c r="I44" s="3" t="s">
        <v>41</v>
      </c>
      <c r="J44" s="3" t="s">
        <v>41</v>
      </c>
      <c r="K44" s="3" t="s">
        <v>41</v>
      </c>
      <c r="L44" s="3" t="s">
        <v>41</v>
      </c>
      <c r="M44" s="17" t="n">
        <v>160.042</v>
      </c>
      <c r="N44" s="17" t="n">
        <v>301.776</v>
      </c>
      <c r="O44" s="17" t="n">
        <v>301.848</v>
      </c>
      <c r="P44" s="1" t="s">
        <v>335</v>
      </c>
    </row>
    <row r="46" customFormat="false" ht="15" hidden="false" customHeight="false" outlineLevel="0" collapsed="false">
      <c r="A46" s="2" t="s">
        <v>336</v>
      </c>
    </row>
    <row r="47" customFormat="false" ht="28.35" hidden="false" customHeight="false" outlineLevel="0" collapsed="false">
      <c r="A47" s="0" t="s">
        <v>337</v>
      </c>
      <c r="B47" s="0" t="s">
        <v>338</v>
      </c>
      <c r="C47" s="0" t="s">
        <v>339</v>
      </c>
      <c r="D47" s="0" t="s">
        <v>48</v>
      </c>
      <c r="E47" s="19" t="n">
        <v>538</v>
      </c>
      <c r="P47" s="1" t="s">
        <v>340</v>
      </c>
    </row>
    <row r="48" customFormat="false" ht="41.75" hidden="false" customHeight="false" outlineLevel="0" collapsed="false">
      <c r="A48" s="0" t="s">
        <v>341</v>
      </c>
      <c r="B48" s="0" t="s">
        <v>342</v>
      </c>
      <c r="C48" s="0" t="s">
        <v>339</v>
      </c>
      <c r="D48" s="0" t="s">
        <v>48</v>
      </c>
      <c r="E48" s="19" t="n">
        <v>713</v>
      </c>
      <c r="P48" s="1" t="s">
        <v>343</v>
      </c>
    </row>
    <row r="50" customFormat="false" ht="15" hidden="false" customHeight="false" outlineLevel="0" collapsed="false">
      <c r="A50" s="2" t="s">
        <v>344</v>
      </c>
    </row>
    <row r="51" customFormat="false" ht="41.75" hidden="false" customHeight="false" outlineLevel="0" collapsed="false">
      <c r="A51" s="0" t="s">
        <v>345</v>
      </c>
      <c r="B51" s="0" t="s">
        <v>346</v>
      </c>
      <c r="C51" s="0" t="s">
        <v>258</v>
      </c>
      <c r="D51" s="0" t="s">
        <v>347</v>
      </c>
      <c r="E51" s="3" t="s">
        <v>41</v>
      </c>
      <c r="F51" s="18" t="n">
        <f aca="false">F14</f>
        <v>816</v>
      </c>
      <c r="G51" s="18" t="n">
        <f aca="false">G14</f>
        <v>816</v>
      </c>
      <c r="H51" s="19" t="n">
        <f aca="false">G14</f>
        <v>816</v>
      </c>
      <c r="I51" s="18" t="n">
        <f aca="false">I14</f>
        <v>1896</v>
      </c>
      <c r="J51" s="18" t="n">
        <f aca="false">J14</f>
        <v>1896</v>
      </c>
      <c r="K51" s="18" t="n">
        <f aca="false">K14</f>
        <v>1900</v>
      </c>
      <c r="L51" s="18" t="n">
        <f aca="false">L14</f>
        <v>2100</v>
      </c>
      <c r="M51" s="3" t="s">
        <v>41</v>
      </c>
      <c r="N51" s="3" t="s">
        <v>41</v>
      </c>
      <c r="O51" s="19" t="n">
        <f aca="false">O12*$E$47</f>
        <v>21520</v>
      </c>
      <c r="P51" s="1" t="s">
        <v>348</v>
      </c>
    </row>
    <row r="52" customFormat="false" ht="15" hidden="false" customHeight="false" outlineLevel="0" collapsed="false">
      <c r="A52" s="0" t="s">
        <v>349</v>
      </c>
      <c r="B52" s="0" t="s">
        <v>350</v>
      </c>
      <c r="C52" s="0" t="s">
        <v>258</v>
      </c>
      <c r="D52" s="0" t="s">
        <v>347</v>
      </c>
      <c r="E52" s="3" t="s">
        <v>41</v>
      </c>
      <c r="F52" s="3" t="s">
        <v>41</v>
      </c>
      <c r="G52" s="18" t="n">
        <f aca="false">(F51+G51)/2</f>
        <v>816</v>
      </c>
      <c r="H52" s="19" t="n">
        <f aca="false">(G51+H51)/2</f>
        <v>816</v>
      </c>
      <c r="I52" s="19" t="n">
        <f aca="false">(H51+I51)/2</f>
        <v>1356</v>
      </c>
      <c r="J52" s="18" t="n">
        <f aca="false">(I51+J51)/2</f>
        <v>1896</v>
      </c>
      <c r="K52" s="18" t="n">
        <f aca="false">(J51+K51)/2</f>
        <v>1898</v>
      </c>
      <c r="L52" s="18" t="n">
        <f aca="false">(K51+L51)/2</f>
        <v>2000</v>
      </c>
      <c r="M52" s="3" t="s">
        <v>41</v>
      </c>
      <c r="N52" s="3" t="s">
        <v>41</v>
      </c>
      <c r="O52" s="3" t="s">
        <v>41</v>
      </c>
      <c r="P52" s="1" t="s">
        <v>351</v>
      </c>
    </row>
    <row r="53" customFormat="false" ht="28.35" hidden="false" customHeight="false" outlineLevel="0" collapsed="false">
      <c r="A53" s="0" t="s">
        <v>352</v>
      </c>
      <c r="B53" s="0" t="s">
        <v>353</v>
      </c>
      <c r="C53" s="0" t="s">
        <v>251</v>
      </c>
      <c r="D53" s="0" t="s">
        <v>347</v>
      </c>
      <c r="E53" s="3" t="s">
        <v>41</v>
      </c>
      <c r="F53" s="19" t="n">
        <f aca="false">F51/$E$48</f>
        <v>1.14446002805049</v>
      </c>
      <c r="G53" s="19" t="n">
        <f aca="false">G51/$E$48</f>
        <v>1.14446002805049</v>
      </c>
      <c r="H53" s="19" t="n">
        <f aca="false">H51/$E$48</f>
        <v>1.14446002805049</v>
      </c>
      <c r="I53" s="19" t="n">
        <f aca="false">I51/$E$48</f>
        <v>2.65918653576438</v>
      </c>
      <c r="J53" s="19" t="n">
        <f aca="false">J51/$E$48</f>
        <v>2.65918653576438</v>
      </c>
      <c r="K53" s="19" t="n">
        <f aca="false">K51/$E$48</f>
        <v>2.66479663394109</v>
      </c>
      <c r="L53" s="19" t="n">
        <f aca="false">L51/$E$48</f>
        <v>2.945301542777</v>
      </c>
      <c r="M53" s="3" t="s">
        <v>41</v>
      </c>
      <c r="N53" s="3" t="s">
        <v>41</v>
      </c>
      <c r="O53" s="18" t="n">
        <f aca="false">O12</f>
        <v>40</v>
      </c>
      <c r="P53" s="1" t="s">
        <v>354</v>
      </c>
    </row>
    <row r="54" customFormat="false" ht="15" hidden="false" customHeight="false" outlineLevel="0" collapsed="false">
      <c r="A54" s="0" t="s">
        <v>355</v>
      </c>
      <c r="B54" s="0" t="s">
        <v>356</v>
      </c>
      <c r="C54" s="0" t="s">
        <v>251</v>
      </c>
      <c r="D54" s="0" t="s">
        <v>48</v>
      </c>
      <c r="E54" s="3" t="s">
        <v>41</v>
      </c>
      <c r="F54" s="3" t="s">
        <v>41</v>
      </c>
      <c r="G54" s="19" t="n">
        <f aca="false">(F53+G53)/2</f>
        <v>1.14446002805049</v>
      </c>
      <c r="H54" s="19" t="n">
        <f aca="false">(G53+H53)/2</f>
        <v>1.14446002805049</v>
      </c>
      <c r="I54" s="19" t="n">
        <f aca="false">(H53+I53)/2</f>
        <v>1.90182328190743</v>
      </c>
      <c r="J54" s="19" t="n">
        <f aca="false">(I53+J53)/2</f>
        <v>2.65918653576438</v>
      </c>
      <c r="K54" s="19" t="n">
        <f aca="false">(J53+K53)/2</f>
        <v>2.66199158485273</v>
      </c>
      <c r="L54" s="19" t="n">
        <f aca="false">(K53+L53)/2</f>
        <v>2.80504908835905</v>
      </c>
      <c r="M54" s="3" t="s">
        <v>41</v>
      </c>
      <c r="N54" s="3" t="s">
        <v>41</v>
      </c>
      <c r="O54" s="3" t="s">
        <v>41</v>
      </c>
      <c r="P54" s="1"/>
    </row>
    <row r="55" customFormat="false" ht="15" hidden="false" customHeight="false" outlineLevel="0" collapsed="false">
      <c r="A55" s="0" t="s">
        <v>357</v>
      </c>
      <c r="B55" s="0" t="s">
        <v>358</v>
      </c>
      <c r="C55" s="0" t="s">
        <v>251</v>
      </c>
      <c r="D55" s="0" t="s">
        <v>48</v>
      </c>
      <c r="E55" s="3" t="s">
        <v>41</v>
      </c>
      <c r="F55" s="3" t="s">
        <v>41</v>
      </c>
      <c r="G55" s="3" t="s">
        <v>41</v>
      </c>
      <c r="H55" s="3" t="s">
        <v>41</v>
      </c>
      <c r="I55" s="3" t="s">
        <v>41</v>
      </c>
      <c r="J55" s="19" t="n">
        <f aca="false">J53-F53</f>
        <v>1.51472650771389</v>
      </c>
      <c r="K55" s="19" t="n">
        <f aca="false">K53-G53</f>
        <v>1.5203366058906</v>
      </c>
      <c r="L55" s="19" t="n">
        <f aca="false">L53-H53</f>
        <v>1.80084151472651</v>
      </c>
      <c r="M55" s="3" t="s">
        <v>41</v>
      </c>
      <c r="N55" s="3" t="s">
        <v>41</v>
      </c>
      <c r="O55" s="19" t="n">
        <f aca="false">O53-K53</f>
        <v>37.3352033660589</v>
      </c>
      <c r="P55" s="1" t="s">
        <v>359</v>
      </c>
    </row>
    <row r="56" customFormat="false" ht="15" hidden="false" customHeight="false" outlineLevel="0" collapsed="false">
      <c r="A56" s="0" t="s">
        <v>360</v>
      </c>
      <c r="B56" s="0" t="s">
        <v>361</v>
      </c>
      <c r="C56" s="0" t="s">
        <v>67</v>
      </c>
      <c r="D56" s="0" t="s">
        <v>48</v>
      </c>
      <c r="E56" s="3" t="s">
        <v>41</v>
      </c>
      <c r="F56" s="19" t="n">
        <f aca="false">F15</f>
        <v>2</v>
      </c>
      <c r="G56" s="19" t="n">
        <f aca="false">G15</f>
        <v>2</v>
      </c>
      <c r="H56" s="19" t="n">
        <f aca="false">H15</f>
        <v>2</v>
      </c>
      <c r="I56" s="19" t="n">
        <f aca="false">I15</f>
        <v>2</v>
      </c>
      <c r="J56" s="19" t="n">
        <f aca="false">J15</f>
        <v>2</v>
      </c>
      <c r="K56" s="19" t="n">
        <f aca="false">K15</f>
        <v>2</v>
      </c>
      <c r="L56" s="19" t="n">
        <f aca="false">L15</f>
        <v>2</v>
      </c>
      <c r="M56" s="3" t="s">
        <v>41</v>
      </c>
      <c r="N56" s="3" t="s">
        <v>41</v>
      </c>
      <c r="O56" s="3" t="s">
        <v>41</v>
      </c>
      <c r="P56" s="1" t="s">
        <v>362</v>
      </c>
    </row>
    <row r="57" customFormat="false" ht="15" hidden="false" customHeight="false" outlineLevel="0" collapsed="false">
      <c r="A57" s="0" t="s">
        <v>363</v>
      </c>
      <c r="B57" s="0" t="s">
        <v>364</v>
      </c>
      <c r="C57" s="0" t="s">
        <v>227</v>
      </c>
      <c r="D57" s="0" t="s">
        <v>44</v>
      </c>
      <c r="E57" s="3" t="s">
        <v>41</v>
      </c>
      <c r="F57" s="18" t="n">
        <f aca="false">F8-F9-F37</f>
        <v>324.892</v>
      </c>
      <c r="G57" s="18" t="n">
        <f aca="false">G8-G9-G37</f>
        <v>409.475</v>
      </c>
      <c r="H57" s="18" t="n">
        <f aca="false">H8-H9-H37</f>
        <v>849.835</v>
      </c>
      <c r="I57" s="18" t="n">
        <f aca="false">I8-I9-I37</f>
        <v>1103.577</v>
      </c>
      <c r="J57" s="18" t="n">
        <f aca="false">J8-J9-J37</f>
        <v>1478.775</v>
      </c>
      <c r="K57" s="18" t="n">
        <f aca="false">K8-K9-K37</f>
        <v>1874.081</v>
      </c>
      <c r="L57" s="18" t="n">
        <f aca="false">L8-L9-L37</f>
        <v>1915.85</v>
      </c>
      <c r="M57" s="18" t="n">
        <f aca="false">M8-M9-M37</f>
        <v>2479.079</v>
      </c>
      <c r="N57" s="18" t="n">
        <f aca="false">N8-N9-N37</f>
        <v>2726.129</v>
      </c>
      <c r="O57" s="18" t="n">
        <f aca="false">O8-O9-O37</f>
        <v>3521.753</v>
      </c>
      <c r="P57" s="1" t="s">
        <v>365</v>
      </c>
    </row>
    <row r="58" customFormat="false" ht="15" hidden="false" customHeight="false" outlineLevel="0" collapsed="false">
      <c r="A58" s="0" t="s">
        <v>366</v>
      </c>
      <c r="B58" s="0" t="s">
        <v>367</v>
      </c>
      <c r="C58" s="0" t="s">
        <v>227</v>
      </c>
      <c r="D58" s="0" t="s">
        <v>44</v>
      </c>
      <c r="E58" s="3" t="s">
        <v>41</v>
      </c>
      <c r="F58" s="3" t="s">
        <v>41</v>
      </c>
      <c r="G58" s="18" t="n">
        <f aca="false">(F26+G26)/2</f>
        <v>0</v>
      </c>
      <c r="H58" s="18" t="n">
        <f aca="false">(G26+H26)/2</f>
        <v>0</v>
      </c>
      <c r="I58" s="18" t="n">
        <f aca="false">(H26+I26)/2</f>
        <v>220</v>
      </c>
      <c r="J58" s="18" t="n">
        <f aca="false">(I26+J26)/2</f>
        <v>440</v>
      </c>
      <c r="K58" s="18" t="n">
        <f aca="false">(J26+K26)/2</f>
        <v>715</v>
      </c>
      <c r="L58" s="18" t="n">
        <f aca="false">(K26+L26)/2</f>
        <v>990</v>
      </c>
      <c r="M58" s="18" t="n">
        <f aca="false">(L26+M26)/2</f>
        <v>2367.8495</v>
      </c>
      <c r="N58" s="18" t="n">
        <f aca="false">(M26+N26)/2</f>
        <v>3745.699</v>
      </c>
      <c r="O58" s="18" t="n">
        <f aca="false">(N26+O26)/2</f>
        <v>5725.674</v>
      </c>
      <c r="P58" s="1"/>
    </row>
    <row r="59" customFormat="false" ht="15" hidden="false" customHeight="false" outlineLevel="0" collapsed="false">
      <c r="A59" s="0" t="s">
        <v>368</v>
      </c>
      <c r="B59" s="0" t="s">
        <v>369</v>
      </c>
      <c r="C59" s="0" t="s">
        <v>227</v>
      </c>
      <c r="D59" s="0" t="s">
        <v>44</v>
      </c>
      <c r="E59" s="3" t="s">
        <v>41</v>
      </c>
      <c r="F59" s="18" t="n">
        <f aca="false">F4+F36</f>
        <v>53.95</v>
      </c>
      <c r="G59" s="18" t="n">
        <f aca="false">G4+G36</f>
        <v>56.798</v>
      </c>
      <c r="H59" s="18" t="n">
        <f aca="false">H4+H36</f>
        <v>52.764</v>
      </c>
      <c r="I59" s="18" t="n">
        <f aca="false">I4+I36</f>
        <v>116.144</v>
      </c>
      <c r="J59" s="18" t="n">
        <f aca="false">J4+J36</f>
        <v>144.823</v>
      </c>
      <c r="K59" s="18" t="n">
        <f aca="false">K4+K36</f>
        <v>187.293</v>
      </c>
      <c r="L59" s="18" t="n">
        <f aca="false">L4+L36</f>
        <v>240.295</v>
      </c>
      <c r="M59" s="18" t="n">
        <f aca="false">M4+M36</f>
        <v>184.692</v>
      </c>
      <c r="N59" s="18" t="n">
        <f aca="false">N4+N36</f>
        <v>144.795</v>
      </c>
      <c r="O59" s="18" t="n">
        <f aca="false">O4+O36</f>
        <v>137.225</v>
      </c>
      <c r="P59" s="1" t="s">
        <v>370</v>
      </c>
    </row>
    <row r="60" customFormat="false" ht="28.35" hidden="false" customHeight="false" outlineLevel="0" collapsed="false">
      <c r="A60" s="0" t="s">
        <v>371</v>
      </c>
      <c r="B60" s="0" t="s">
        <v>372</v>
      </c>
      <c r="C60" s="0" t="s">
        <v>251</v>
      </c>
      <c r="D60" s="0" t="s">
        <v>347</v>
      </c>
      <c r="E60" s="3" t="s">
        <v>41</v>
      </c>
      <c r="F60" s="19" t="n">
        <f aca="false">F38-F53</f>
        <v>258.85553997195</v>
      </c>
      <c r="G60" s="19" t="n">
        <f aca="false">G38-G53</f>
        <v>258.85553997195</v>
      </c>
      <c r="H60" s="19" t="n">
        <f aca="false">H38-H53</f>
        <v>358.85553997195</v>
      </c>
      <c r="I60" s="19" t="n">
        <f aca="false">I38-I53</f>
        <v>507.340813464236</v>
      </c>
      <c r="J60" s="19" t="n">
        <f aca="false">J38-J53</f>
        <v>657.340813464236</v>
      </c>
      <c r="K60" s="19" t="n">
        <f aca="false">K38-K53</f>
        <v>807.335203366059</v>
      </c>
      <c r="L60" s="19" t="n">
        <f aca="false">L38-L53</f>
        <v>807.054698457223</v>
      </c>
      <c r="M60" s="3" t="s">
        <v>41</v>
      </c>
      <c r="N60" s="3" t="s">
        <v>41</v>
      </c>
      <c r="O60" s="18" t="n">
        <f aca="false">O39</f>
        <v>380</v>
      </c>
      <c r="P60" s="1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22" min="3" style="0" width="11"/>
  </cols>
  <sheetData>
    <row r="1" customFormat="false" ht="15" hidden="false" customHeight="false" outlineLevel="0" collapsed="false">
      <c r="A1" s="2" t="s">
        <v>374</v>
      </c>
    </row>
    <row r="2" customFormat="false" ht="108.95" hidden="false" customHeight="false" outlineLevel="0" collapsed="false">
      <c r="A2" s="1" t="s">
        <v>375</v>
      </c>
    </row>
    <row r="4" customFormat="false" ht="28.35" hidden="false" customHeight="false" outlineLevel="0" collapsed="false">
      <c r="A4" s="4" t="s">
        <v>376</v>
      </c>
      <c r="B4" s="4" t="s">
        <v>377</v>
      </c>
      <c r="C4" s="4" t="s">
        <v>378</v>
      </c>
      <c r="D4" s="4" t="s">
        <v>379</v>
      </c>
      <c r="E4" s="4" t="s">
        <v>380</v>
      </c>
      <c r="F4" s="4" t="s">
        <v>381</v>
      </c>
      <c r="G4" s="4" t="s">
        <v>382</v>
      </c>
      <c r="H4" s="4" t="s">
        <v>383</v>
      </c>
      <c r="I4" s="4" t="s">
        <v>384</v>
      </c>
      <c r="J4" s="4" t="s">
        <v>385</v>
      </c>
      <c r="K4" s="4" t="s">
        <v>386</v>
      </c>
      <c r="L4" s="4" t="s">
        <v>387</v>
      </c>
      <c r="M4" s="4" t="s">
        <v>388</v>
      </c>
      <c r="N4" s="4" t="s">
        <v>389</v>
      </c>
      <c r="O4" s="4" t="s">
        <v>390</v>
      </c>
      <c r="P4" s="4" t="s">
        <v>391</v>
      </c>
      <c r="Q4" s="4" t="s">
        <v>392</v>
      </c>
      <c r="R4" s="4" t="s">
        <v>393</v>
      </c>
      <c r="S4" s="4" t="s">
        <v>394</v>
      </c>
      <c r="T4" s="4" t="s">
        <v>395</v>
      </c>
      <c r="U4" s="4" t="s">
        <v>396</v>
      </c>
      <c r="V4" s="4" t="s">
        <v>397</v>
      </c>
    </row>
    <row r="5" customFormat="false" ht="15" hidden="false" customHeight="false" outlineLevel="0" collapsed="false">
      <c r="A5" s="0" t="s">
        <v>398</v>
      </c>
      <c r="B5" s="0" t="s">
        <v>399</v>
      </c>
      <c r="I5" s="17" t="n">
        <v>440</v>
      </c>
      <c r="J5" s="17" t="n">
        <v>3.87</v>
      </c>
      <c r="K5" s="17" t="n">
        <v>440</v>
      </c>
      <c r="L5" s="17" t="n">
        <v>3.87</v>
      </c>
      <c r="M5" s="17" t="n">
        <v>440</v>
      </c>
      <c r="N5" s="17" t="n">
        <v>3.87</v>
      </c>
      <c r="O5" s="17" t="n">
        <v>440</v>
      </c>
      <c r="P5" s="17" t="n">
        <v>3.87</v>
      </c>
      <c r="Q5" s="17" t="n">
        <v>212.31</v>
      </c>
      <c r="R5" s="17" t="n">
        <v>3.87</v>
      </c>
      <c r="S5" s="17" t="n">
        <v>212.31</v>
      </c>
      <c r="T5" s="17" t="n">
        <v>3.87</v>
      </c>
      <c r="U5" s="17" t="n">
        <v>212.31</v>
      </c>
      <c r="V5" s="17" t="n">
        <v>3.87</v>
      </c>
    </row>
    <row r="6" customFormat="false" ht="15" hidden="false" customHeight="false" outlineLevel="0" collapsed="false">
      <c r="A6" s="0" t="s">
        <v>400</v>
      </c>
      <c r="B6" s="0" t="s">
        <v>399</v>
      </c>
      <c r="M6" s="17" t="n">
        <v>550</v>
      </c>
      <c r="N6" s="17" t="n">
        <v>4.22</v>
      </c>
      <c r="O6" s="17" t="n">
        <v>550</v>
      </c>
      <c r="P6" s="17" t="n">
        <v>4.22</v>
      </c>
      <c r="Q6" s="17" t="n">
        <v>233.389</v>
      </c>
      <c r="R6" s="17" t="n">
        <v>4.22</v>
      </c>
      <c r="S6" s="17" t="n">
        <v>233.389</v>
      </c>
      <c r="T6" s="17" t="n">
        <v>4.22</v>
      </c>
      <c r="U6" s="17" t="n">
        <v>233.389</v>
      </c>
      <c r="V6" s="17" t="n">
        <v>4.22</v>
      </c>
    </row>
    <row r="7" customFormat="false" ht="15" hidden="false" customHeight="false" outlineLevel="0" collapsed="false">
      <c r="A7" s="0" t="s">
        <v>401</v>
      </c>
      <c r="B7" s="0" t="s">
        <v>399</v>
      </c>
      <c r="Q7" s="17" t="n">
        <v>1000</v>
      </c>
      <c r="R7" s="17" t="n">
        <v>0.37</v>
      </c>
      <c r="S7" s="17" t="n">
        <v>1000</v>
      </c>
      <c r="T7" s="17" t="n">
        <v>0.37</v>
      </c>
      <c r="U7" s="17" t="n">
        <v>1000</v>
      </c>
      <c r="V7" s="17" t="n">
        <v>0.37</v>
      </c>
    </row>
    <row r="8" customFormat="false" ht="15" hidden="false" customHeight="false" outlineLevel="0" collapsed="false">
      <c r="A8" s="0" t="s">
        <v>402</v>
      </c>
      <c r="B8" s="0" t="s">
        <v>399</v>
      </c>
      <c r="Q8" s="17" t="n">
        <v>1150</v>
      </c>
      <c r="R8" s="17" t="n">
        <v>0.45</v>
      </c>
      <c r="S8" s="17" t="n">
        <v>1150</v>
      </c>
      <c r="T8" s="17" t="n">
        <v>0.45</v>
      </c>
      <c r="U8" s="17" t="n">
        <v>1150</v>
      </c>
      <c r="V8" s="17" t="n">
        <v>0.45</v>
      </c>
    </row>
    <row r="9" customFormat="false" ht="15" hidden="false" customHeight="false" outlineLevel="0" collapsed="false">
      <c r="A9" s="0" t="s">
        <v>403</v>
      </c>
      <c r="B9" s="0" t="s">
        <v>399</v>
      </c>
      <c r="Q9" s="17" t="n">
        <v>1150</v>
      </c>
      <c r="R9" s="17" t="n">
        <v>1.18</v>
      </c>
      <c r="S9" s="17" t="n">
        <v>1150</v>
      </c>
      <c r="T9" s="17" t="n">
        <v>1.18</v>
      </c>
      <c r="U9" s="17" t="n">
        <v>1150</v>
      </c>
      <c r="V9" s="17" t="n">
        <v>1.18</v>
      </c>
    </row>
    <row r="10" customFormat="false" ht="15" hidden="false" customHeight="false" outlineLevel="0" collapsed="false">
      <c r="A10" s="0" t="s">
        <v>404</v>
      </c>
      <c r="B10" s="0" t="s">
        <v>399</v>
      </c>
      <c r="U10" s="17" t="n">
        <v>3000</v>
      </c>
      <c r="V10" s="17" t="n">
        <v>1.18</v>
      </c>
    </row>
    <row r="11" customFormat="false" ht="15" hidden="false" customHeight="false" outlineLevel="0" collapsed="false">
      <c r="A11" s="0" t="s">
        <v>405</v>
      </c>
      <c r="B11" s="0" t="s">
        <v>406</v>
      </c>
      <c r="U11" s="17" t="n">
        <v>413</v>
      </c>
      <c r="V11" s="17" t="n">
        <v>7.12</v>
      </c>
    </row>
    <row r="12" customFormat="false" ht="15" hidden="false" customHeight="false" outlineLevel="0" collapsed="false">
      <c r="A12" s="0" t="s">
        <v>407</v>
      </c>
      <c r="B12" s="0" t="s">
        <v>408</v>
      </c>
      <c r="U12" s="17" t="n">
        <v>525</v>
      </c>
      <c r="V12" s="17" t="n">
        <v>7.05</v>
      </c>
    </row>
    <row r="13" customFormat="false" ht="15" hidden="false" customHeight="false" outlineLevel="0" collapsed="false">
      <c r="A13" s="0" t="s">
        <v>409</v>
      </c>
      <c r="B13" s="0" t="s">
        <v>410</v>
      </c>
      <c r="U13" s="17" t="n">
        <v>21.95</v>
      </c>
    </row>
    <row r="15" customFormat="false" ht="15" hidden="false" customHeight="false" outlineLevel="0" collapsed="false">
      <c r="A15" s="2" t="s">
        <v>411</v>
      </c>
      <c r="C15" s="0" t="n">
        <f aca="false">SUM(C5:C13)</f>
        <v>0</v>
      </c>
      <c r="E15" s="0" t="n">
        <f aca="false">SUM(E5:E13)</f>
        <v>0</v>
      </c>
      <c r="G15" s="0" t="n">
        <f aca="false">SUM(G5:G13)</f>
        <v>0</v>
      </c>
      <c r="I15" s="0" t="n">
        <f aca="false">SUM(I5:I13)</f>
        <v>440</v>
      </c>
      <c r="K15" s="0" t="n">
        <f aca="false">SUM(K5:K13)</f>
        <v>440</v>
      </c>
      <c r="M15" s="0" t="n">
        <f aca="false">SUM(M5:M13)</f>
        <v>990</v>
      </c>
      <c r="O15" s="0" t="n">
        <f aca="false">SUM(O5:O13)</f>
        <v>990</v>
      </c>
      <c r="Q15" s="0" t="n">
        <f aca="false">SUM(Q5:Q13)</f>
        <v>3745.699</v>
      </c>
      <c r="S15" s="0" t="n">
        <f aca="false">SUM(S5:S13)</f>
        <v>3745.699</v>
      </c>
      <c r="U15" s="0" t="n">
        <f aca="false">SUM(U5:U13)</f>
        <v>7705.649</v>
      </c>
    </row>
    <row r="16" customFormat="false" ht="15" hidden="false" customHeight="false" outlineLevel="0" collapsed="false">
      <c r="A16" s="0" t="s">
        <v>412</v>
      </c>
      <c r="C16" s="0" t="n">
        <f aca="false">C15-Inputs!F26</f>
        <v>0</v>
      </c>
      <c r="E16" s="0" t="n">
        <f aca="false">E15-Inputs!G26</f>
        <v>0</v>
      </c>
      <c r="G16" s="0" t="n">
        <f aca="false">G15-Inputs!H26</f>
        <v>0</v>
      </c>
      <c r="I16" s="0" t="n">
        <f aca="false">I15-Inputs!I26</f>
        <v>0</v>
      </c>
      <c r="K16" s="0" t="n">
        <f aca="false">K15-Inputs!J26</f>
        <v>0</v>
      </c>
      <c r="M16" s="0" t="n">
        <f aca="false">M15-Inputs!K26</f>
        <v>0</v>
      </c>
      <c r="O16" s="0" t="n">
        <f aca="false">O15-Inputs!L26</f>
        <v>0</v>
      </c>
      <c r="Q16" s="0" t="n">
        <f aca="false">Q15-Inputs!M26</f>
        <v>0</v>
      </c>
      <c r="S16" s="0" t="n">
        <f aca="false">S15-Inputs!N26</f>
        <v>0</v>
      </c>
      <c r="U16" s="0" t="n">
        <f aca="false">U15-Inputs!O26</f>
        <v>0</v>
      </c>
    </row>
    <row r="17" customFormat="false" ht="15" hidden="false" customHeight="false" outlineLevel="0" collapsed="false">
      <c r="A17" s="2" t="s">
        <v>413</v>
      </c>
      <c r="D17" s="0" t="str">
        <f aca="false">IFERROR(SUMPRODUCT(C5:C13,D5:D13)/SUMPRODUCT((D5:D13&lt;&gt;"")*C5:C13),"n/d")</f>
        <v>n/d</v>
      </c>
      <c r="F17" s="0" t="str">
        <f aca="false">IFERROR(SUMPRODUCT(E5:E13,F5:F13)/SUMPRODUCT((F5:F13&lt;&gt;"")*E5:E13),"n/d")</f>
        <v>n/d</v>
      </c>
      <c r="H17" s="0" t="str">
        <f aca="false">IFERROR(SUMPRODUCT(G5:G13,H5:H13)/SUMPRODUCT((H5:H13&lt;&gt;"")*G5:G13),"n/d")</f>
        <v>n/d</v>
      </c>
      <c r="J17" s="0" t="n">
        <f aca="false">IFERROR(SUMPRODUCT(I5:I13,J5:J13)/SUMPRODUCT((J5:J13&lt;&gt;"")*I5:I13),"n/d")</f>
        <v>3.87</v>
      </c>
      <c r="L17" s="0" t="n">
        <f aca="false">IFERROR(SUMPRODUCT(K5:K13,L5:L13)/SUMPRODUCT((L5:L13&lt;&gt;"")*K5:K13),"n/d")</f>
        <v>3.87</v>
      </c>
      <c r="N17" s="0" t="n">
        <f aca="false">IFERROR(SUMPRODUCT(M5:M13,N5:N13)/SUMPRODUCT((N5:N13&lt;&gt;"")*M5:M13),"n/d")</f>
        <v>4.06444444444445</v>
      </c>
      <c r="P17" s="0" t="n">
        <f aca="false">IFERROR(SUMPRODUCT(O5:O13,P5:P13)/SUMPRODUCT((P5:P13&lt;&gt;"")*O5:O13),"n/d")</f>
        <v>4.06444444444445</v>
      </c>
      <c r="R17" s="0" t="n">
        <f aca="false">IFERROR(SUMPRODUCT(Q5:Q13,R5:R13)/SUMPRODUCT((R5:R13&lt;&gt;"")*Q5:Q13),"n/d")</f>
        <v>1.08151810383055</v>
      </c>
      <c r="T17" s="0" t="n">
        <f aca="false">IFERROR(SUMPRODUCT(S5:S13,T5:T13)/SUMPRODUCT((T5:T13&lt;&gt;"")*S5:S13),"n/d")</f>
        <v>1.08151810383055</v>
      </c>
      <c r="V17" s="0" t="n">
        <f aca="false">IFERROR(SUMPRODUCT(U5:U13,V5:V13)/SUMPRODUCT((V5:V13&lt;&gt;"")*U5:U13),"n/d")</f>
        <v>1.85234367978236</v>
      </c>
    </row>
    <row r="18" customFormat="false" ht="15" hidden="false" customHeight="false" outlineLevel="0" collapsed="false">
      <c r="A18" s="0" t="s">
        <v>414</v>
      </c>
      <c r="C18" s="0" t="n">
        <f aca="false">SUMIF($B$5:$B$13,"DDTL",C5:C13)</f>
        <v>0</v>
      </c>
      <c r="D18" s="0" t="str">
        <f aca="false">IFERROR(SUMPRODUCT(($B$5:$B$13="DDTL")*C5:C13*D5:D13)/SUMPRODUCT(($B$5:$B$13="DDTL")*(D5:D13&lt;&gt;"")*C5:C13),"n/d")</f>
        <v>n/d</v>
      </c>
      <c r="E18" s="0" t="n">
        <f aca="false">SUMIF($B$5:$B$13,"DDTL",E5:E13)</f>
        <v>0</v>
      </c>
      <c r="F18" s="0" t="str">
        <f aca="false">IFERROR(SUMPRODUCT(($B$5:$B$13="DDTL")*E5:E13*F5:F13)/SUMPRODUCT(($B$5:$B$13="DDTL")*(F5:F13&lt;&gt;"")*E5:E13),"n/d")</f>
        <v>n/d</v>
      </c>
      <c r="G18" s="0" t="n">
        <f aca="false">SUMIF($B$5:$B$13,"DDTL",G5:G13)</f>
        <v>0</v>
      </c>
      <c r="H18" s="0" t="str">
        <f aca="false">IFERROR(SUMPRODUCT(($B$5:$B$13="DDTL")*G5:G13*H5:H13)/SUMPRODUCT(($B$5:$B$13="DDTL")*(H5:H13&lt;&gt;"")*G5:G13),"n/d")</f>
        <v>n/d</v>
      </c>
      <c r="I18" s="0" t="n">
        <f aca="false">SUMIF($B$5:$B$13,"DDTL",I5:I13)</f>
        <v>0</v>
      </c>
      <c r="J18" s="0" t="str">
        <f aca="false">IFERROR(SUMPRODUCT(($B$5:$B$13="DDTL")*I5:I13*J5:J13)/SUMPRODUCT(($B$5:$B$13="DDTL")*(J5:J13&lt;&gt;"")*I5:I13),"n/d")</f>
        <v>n/d</v>
      </c>
      <c r="K18" s="0" t="n">
        <f aca="false">SUMIF($B$5:$B$13,"DDTL",K5:K13)</f>
        <v>0</v>
      </c>
      <c r="L18" s="0" t="str">
        <f aca="false">IFERROR(SUMPRODUCT(($B$5:$B$13="DDTL")*K5:K13*L5:L13)/SUMPRODUCT(($B$5:$B$13="DDTL")*(L5:L13&lt;&gt;"")*K5:K13),"n/d")</f>
        <v>n/d</v>
      </c>
      <c r="M18" s="0" t="n">
        <f aca="false">SUMIF($B$5:$B$13,"DDTL",M5:M13)</f>
        <v>0</v>
      </c>
      <c r="N18" s="0" t="str">
        <f aca="false">IFERROR(SUMPRODUCT(($B$5:$B$13="DDTL")*M5:M13*N5:N13)/SUMPRODUCT(($B$5:$B$13="DDTL")*(N5:N13&lt;&gt;"")*M5:M13),"n/d")</f>
        <v>n/d</v>
      </c>
      <c r="O18" s="0" t="n">
        <f aca="false">SUMIF($B$5:$B$13,"DDTL",O5:O13)</f>
        <v>0</v>
      </c>
      <c r="P18" s="0" t="str">
        <f aca="false">IFERROR(SUMPRODUCT(($B$5:$B$13="DDTL")*O5:O13*P5:P13)/SUMPRODUCT(($B$5:$B$13="DDTL")*(P5:P13&lt;&gt;"")*O5:O13),"n/d")</f>
        <v>n/d</v>
      </c>
      <c r="Q18" s="0" t="n">
        <f aca="false">SUMIF($B$5:$B$13,"DDTL",Q5:Q13)</f>
        <v>0</v>
      </c>
      <c r="R18" s="0" t="str">
        <f aca="false">IFERROR(SUMPRODUCT(($B$5:$B$13="DDTL")*Q5:Q13*R5:R13)/SUMPRODUCT(($B$5:$B$13="DDTL")*(R5:R13&lt;&gt;"")*Q5:Q13),"n/d")</f>
        <v>n/d</v>
      </c>
      <c r="S18" s="0" t="n">
        <f aca="false">SUMIF($B$5:$B$13,"DDTL",S5:S13)</f>
        <v>0</v>
      </c>
      <c r="T18" s="0" t="str">
        <f aca="false">IFERROR(SUMPRODUCT(($B$5:$B$13="DDTL")*S5:S13*T5:T13)/SUMPRODUCT(($B$5:$B$13="DDTL")*(T5:T13&lt;&gt;"")*S5:S13),"n/d")</f>
        <v>n/d</v>
      </c>
      <c r="U18" s="0" t="n">
        <f aca="false">SUMIF($B$5:$B$13,"DDTL",U5:U13)</f>
        <v>413</v>
      </c>
      <c r="V18" s="0" t="n">
        <f aca="false">IFERROR(SUMPRODUCT(($B$5:$B$13="DDTL")*U5:U13*V5:V13)/SUMPRODUCT(($B$5:$B$13="DDTL")*(V5:V13&lt;&gt;"")*U5:U13),"n/d")</f>
        <v>7.12</v>
      </c>
    </row>
    <row r="19" customFormat="false" ht="15" hidden="false" customHeight="false" outlineLevel="0" collapsed="false">
      <c r="A19" s="0" t="s">
        <v>415</v>
      </c>
      <c r="C19" s="0" t="n">
        <f aca="false">SUMIF($B$5:$B$13,"Senior notes",C5:C13)</f>
        <v>0</v>
      </c>
      <c r="D19" s="0" t="str">
        <f aca="false">IFERROR(SUMPRODUCT(($B$5:$B$13="Senior notes")*C5:C13*D5:D13)/SUMPRODUCT(($B$5:$B$13="Senior notes")*(D5:D13&lt;&gt;"")*C5:C13),"n/d")</f>
        <v>n/d</v>
      </c>
      <c r="E19" s="0" t="n">
        <f aca="false">SUMIF($B$5:$B$13,"Senior notes",E5:E13)</f>
        <v>0</v>
      </c>
      <c r="F19" s="0" t="str">
        <f aca="false">IFERROR(SUMPRODUCT(($B$5:$B$13="Senior notes")*E5:E13*F5:F13)/SUMPRODUCT(($B$5:$B$13="Senior notes")*(F5:F13&lt;&gt;"")*E5:E13),"n/d")</f>
        <v>n/d</v>
      </c>
      <c r="G19" s="0" t="n">
        <f aca="false">SUMIF($B$5:$B$13,"Senior notes",G5:G13)</f>
        <v>0</v>
      </c>
      <c r="H19" s="0" t="str">
        <f aca="false">IFERROR(SUMPRODUCT(($B$5:$B$13="Senior notes")*G5:G13*H5:H13)/SUMPRODUCT(($B$5:$B$13="Senior notes")*(H5:H13&lt;&gt;"")*G5:G13),"n/d")</f>
        <v>n/d</v>
      </c>
      <c r="I19" s="0" t="n">
        <f aca="false">SUMIF($B$5:$B$13,"Senior notes",I5:I13)</f>
        <v>0</v>
      </c>
      <c r="J19" s="0" t="str">
        <f aca="false">IFERROR(SUMPRODUCT(($B$5:$B$13="Senior notes")*I5:I13*J5:J13)/SUMPRODUCT(($B$5:$B$13="Senior notes")*(J5:J13&lt;&gt;"")*I5:I13),"n/d")</f>
        <v>n/d</v>
      </c>
      <c r="K19" s="0" t="n">
        <f aca="false">SUMIF($B$5:$B$13,"Senior notes",K5:K13)</f>
        <v>0</v>
      </c>
      <c r="L19" s="0" t="str">
        <f aca="false">IFERROR(SUMPRODUCT(($B$5:$B$13="Senior notes")*K5:K13*L5:L13)/SUMPRODUCT(($B$5:$B$13="Senior notes")*(L5:L13&lt;&gt;"")*K5:K13),"n/d")</f>
        <v>n/d</v>
      </c>
      <c r="M19" s="0" t="n">
        <f aca="false">SUMIF($B$5:$B$13,"Senior notes",M5:M13)</f>
        <v>0</v>
      </c>
      <c r="N19" s="0" t="str">
        <f aca="false">IFERROR(SUMPRODUCT(($B$5:$B$13="Senior notes")*M5:M13*N5:N13)/SUMPRODUCT(($B$5:$B$13="Senior notes")*(N5:N13&lt;&gt;"")*M5:M13),"n/d")</f>
        <v>n/d</v>
      </c>
      <c r="O19" s="0" t="n">
        <f aca="false">SUMIF($B$5:$B$13,"Senior notes",O5:O13)</f>
        <v>0</v>
      </c>
      <c r="P19" s="0" t="str">
        <f aca="false">IFERROR(SUMPRODUCT(($B$5:$B$13="Senior notes")*O5:O13*P5:P13)/SUMPRODUCT(($B$5:$B$13="Senior notes")*(P5:P13&lt;&gt;"")*O5:O13),"n/d")</f>
        <v>n/d</v>
      </c>
      <c r="Q19" s="0" t="n">
        <f aca="false">SUMIF($B$5:$B$13,"Senior notes",Q5:Q13)</f>
        <v>0</v>
      </c>
      <c r="R19" s="0" t="str">
        <f aca="false">IFERROR(SUMPRODUCT(($B$5:$B$13="Senior notes")*Q5:Q13*R5:R13)/SUMPRODUCT(($B$5:$B$13="Senior notes")*(R5:R13&lt;&gt;"")*Q5:Q13),"n/d")</f>
        <v>n/d</v>
      </c>
      <c r="S19" s="0" t="n">
        <f aca="false">SUMIF($B$5:$B$13,"Senior notes",S5:S13)</f>
        <v>0</v>
      </c>
      <c r="T19" s="0" t="str">
        <f aca="false">IFERROR(SUMPRODUCT(($B$5:$B$13="Senior notes")*S5:S13*T5:T13)/SUMPRODUCT(($B$5:$B$13="Senior notes")*(T5:T13&lt;&gt;"")*S5:S13),"n/d")</f>
        <v>n/d</v>
      </c>
      <c r="U19" s="0" t="n">
        <f aca="false">SUMIF($B$5:$B$13,"Senior notes",U5:U13)</f>
        <v>525</v>
      </c>
      <c r="V19" s="0" t="n">
        <f aca="false">IFERROR(SUMPRODUCT(($B$5:$B$13="Senior notes")*U5:U13*V5:V13)/SUMPRODUCT(($B$5:$B$13="Senior notes")*(V5:V13&lt;&gt;"")*U5:U13),"n/d")</f>
        <v>7.05</v>
      </c>
    </row>
    <row r="20" customFormat="false" ht="15" hidden="false" customHeight="false" outlineLevel="0" collapsed="false">
      <c r="A20" s="0" t="s">
        <v>416</v>
      </c>
      <c r="C20" s="0" t="n">
        <f aca="false">SUMIF($B$5:$B$13,"Converts",C5:C13)</f>
        <v>0</v>
      </c>
      <c r="D20" s="0" t="str">
        <f aca="false">IFERROR(SUMPRODUCT(($B$5:$B$13="Converts")*C5:C13*D5:D13)/SUMPRODUCT(($B$5:$B$13="Converts")*(D5:D13&lt;&gt;"")*C5:C13),"n/d")</f>
        <v>n/d</v>
      </c>
      <c r="E20" s="0" t="n">
        <f aca="false">SUMIF($B$5:$B$13,"Converts",E5:E13)</f>
        <v>0</v>
      </c>
      <c r="F20" s="0" t="str">
        <f aca="false">IFERROR(SUMPRODUCT(($B$5:$B$13="Converts")*E5:E13*F5:F13)/SUMPRODUCT(($B$5:$B$13="Converts")*(F5:F13&lt;&gt;"")*E5:E13),"n/d")</f>
        <v>n/d</v>
      </c>
      <c r="G20" s="0" t="n">
        <f aca="false">SUMIF($B$5:$B$13,"Converts",G5:G13)</f>
        <v>0</v>
      </c>
      <c r="H20" s="0" t="str">
        <f aca="false">IFERROR(SUMPRODUCT(($B$5:$B$13="Converts")*G5:G13*H5:H13)/SUMPRODUCT(($B$5:$B$13="Converts")*(H5:H13&lt;&gt;"")*G5:G13),"n/d")</f>
        <v>n/d</v>
      </c>
      <c r="I20" s="0" t="n">
        <f aca="false">SUMIF($B$5:$B$13,"Converts",I5:I13)</f>
        <v>440</v>
      </c>
      <c r="J20" s="0" t="n">
        <f aca="false">IFERROR(SUMPRODUCT(($B$5:$B$13="Converts")*I5:I13*J5:J13)/SUMPRODUCT(($B$5:$B$13="Converts")*(J5:J13&lt;&gt;"")*I5:I13),"n/d")</f>
        <v>3.87</v>
      </c>
      <c r="K20" s="0" t="n">
        <f aca="false">SUMIF($B$5:$B$13,"Converts",K5:K13)</f>
        <v>440</v>
      </c>
      <c r="L20" s="0" t="n">
        <f aca="false">IFERROR(SUMPRODUCT(($B$5:$B$13="Converts")*K5:K13*L5:L13)/SUMPRODUCT(($B$5:$B$13="Converts")*(L5:L13&lt;&gt;"")*K5:K13),"n/d")</f>
        <v>3.87</v>
      </c>
      <c r="M20" s="0" t="n">
        <f aca="false">SUMIF($B$5:$B$13,"Converts",M5:M13)</f>
        <v>990</v>
      </c>
      <c r="N20" s="0" t="n">
        <f aca="false">IFERROR(SUMPRODUCT(($B$5:$B$13="Converts")*M5:M13*N5:N13)/SUMPRODUCT(($B$5:$B$13="Converts")*(N5:N13&lt;&gt;"")*M5:M13),"n/d")</f>
        <v>4.06444444444445</v>
      </c>
      <c r="O20" s="0" t="n">
        <f aca="false">SUMIF($B$5:$B$13,"Converts",O5:O13)</f>
        <v>990</v>
      </c>
      <c r="P20" s="0" t="n">
        <f aca="false">IFERROR(SUMPRODUCT(($B$5:$B$13="Converts")*O5:O13*P5:P13)/SUMPRODUCT(($B$5:$B$13="Converts")*(P5:P13&lt;&gt;"")*O5:O13),"n/d")</f>
        <v>4.06444444444445</v>
      </c>
      <c r="Q20" s="0" t="n">
        <f aca="false">SUMIF($B$5:$B$13,"Converts",Q5:Q13)</f>
        <v>3745.699</v>
      </c>
      <c r="R20" s="0" t="n">
        <f aca="false">IFERROR(SUMPRODUCT(($B$5:$B$13="Converts")*Q5:Q13*R5:R13)/SUMPRODUCT(($B$5:$B$13="Converts")*(R5:R13&lt;&gt;"")*Q5:Q13),"n/d")</f>
        <v>1.08151810383055</v>
      </c>
      <c r="S20" s="0" t="n">
        <f aca="false">SUMIF($B$5:$B$13,"Converts",S5:S13)</f>
        <v>3745.699</v>
      </c>
      <c r="T20" s="0" t="n">
        <f aca="false">IFERROR(SUMPRODUCT(($B$5:$B$13="Converts")*S5:S13*T5:T13)/SUMPRODUCT(($B$5:$B$13="Converts")*(T5:T13&lt;&gt;"")*S5:S13),"n/d")</f>
        <v>1.08151810383055</v>
      </c>
      <c r="U20" s="0" t="n">
        <f aca="false">SUMIF($B$5:$B$13,"Converts",U5:U13)</f>
        <v>6745.699</v>
      </c>
      <c r="V20" s="0" t="n">
        <f aca="false">IFERROR(SUMPRODUCT(($B$5:$B$13="Converts")*U5:U13*V5:V13)/SUMPRODUCT(($B$5:$B$13="Converts")*(V5:V13&lt;&gt;"")*U5:U13),"n/d")</f>
        <v>1.12531574266803</v>
      </c>
    </row>
    <row r="21" customFormat="false" ht="15" hidden="false" customHeight="false" outlineLevel="0" collapsed="false">
      <c r="A21" s="0" t="s">
        <v>417</v>
      </c>
      <c r="C21" s="0" t="n">
        <f aca="false">SUMIF($B$5:$B$13,"OEM / vendor financing",C5:C13)</f>
        <v>0</v>
      </c>
      <c r="D21" s="0" t="str">
        <f aca="false">IFERROR(SUMPRODUCT(($B$5:$B$13="OEM / vendor financing")*C5:C13*D5:D13)/SUMPRODUCT(($B$5:$B$13="OEM / vendor financing")*(D5:D13&lt;&gt;"")*C5:C13),"n/d")</f>
        <v>n/d</v>
      </c>
      <c r="E21" s="0" t="n">
        <f aca="false">SUMIF($B$5:$B$13,"OEM / vendor financing",E5:E13)</f>
        <v>0</v>
      </c>
      <c r="F21" s="0" t="str">
        <f aca="false">IFERROR(SUMPRODUCT(($B$5:$B$13="OEM / vendor financing")*E5:E13*F5:F13)/SUMPRODUCT(($B$5:$B$13="OEM / vendor financing")*(F5:F13&lt;&gt;"")*E5:E13),"n/d")</f>
        <v>n/d</v>
      </c>
      <c r="G21" s="0" t="n">
        <f aca="false">SUMIF($B$5:$B$13,"OEM / vendor financing",G5:G13)</f>
        <v>0</v>
      </c>
      <c r="H21" s="0" t="str">
        <f aca="false">IFERROR(SUMPRODUCT(($B$5:$B$13="OEM / vendor financing")*G5:G13*H5:H13)/SUMPRODUCT(($B$5:$B$13="OEM / vendor financing")*(H5:H13&lt;&gt;"")*G5:G13),"n/d")</f>
        <v>n/d</v>
      </c>
      <c r="I21" s="0" t="n">
        <f aca="false">SUMIF($B$5:$B$13,"OEM / vendor financing",I5:I13)</f>
        <v>0</v>
      </c>
      <c r="J21" s="0" t="str">
        <f aca="false">IFERROR(SUMPRODUCT(($B$5:$B$13="OEM / vendor financing")*I5:I13*J5:J13)/SUMPRODUCT(($B$5:$B$13="OEM / vendor financing")*(J5:J13&lt;&gt;"")*I5:I13),"n/d")</f>
        <v>n/d</v>
      </c>
      <c r="K21" s="0" t="n">
        <f aca="false">SUMIF($B$5:$B$13,"OEM / vendor financing",K5:K13)</f>
        <v>0</v>
      </c>
      <c r="L21" s="0" t="str">
        <f aca="false">IFERROR(SUMPRODUCT(($B$5:$B$13="OEM / vendor financing")*K5:K13*L5:L13)/SUMPRODUCT(($B$5:$B$13="OEM / vendor financing")*(L5:L13&lt;&gt;"")*K5:K13),"n/d")</f>
        <v>n/d</v>
      </c>
      <c r="M21" s="0" t="n">
        <f aca="false">SUMIF($B$5:$B$13,"OEM / vendor financing",M5:M13)</f>
        <v>0</v>
      </c>
      <c r="N21" s="0" t="str">
        <f aca="false">IFERROR(SUMPRODUCT(($B$5:$B$13="OEM / vendor financing")*M5:M13*N5:N13)/SUMPRODUCT(($B$5:$B$13="OEM / vendor financing")*(N5:N13&lt;&gt;"")*M5:M13),"n/d")</f>
        <v>n/d</v>
      </c>
      <c r="O21" s="0" t="n">
        <f aca="false">SUMIF($B$5:$B$13,"OEM / vendor financing",O5:O13)</f>
        <v>0</v>
      </c>
      <c r="P21" s="0" t="str">
        <f aca="false">IFERROR(SUMPRODUCT(($B$5:$B$13="OEM / vendor financing")*O5:O13*P5:P13)/SUMPRODUCT(($B$5:$B$13="OEM / vendor financing")*(P5:P13&lt;&gt;"")*O5:O13),"n/d")</f>
        <v>n/d</v>
      </c>
      <c r="Q21" s="0" t="n">
        <f aca="false">SUMIF($B$5:$B$13,"OEM / vendor financing",Q5:Q13)</f>
        <v>0</v>
      </c>
      <c r="R21" s="0" t="str">
        <f aca="false">IFERROR(SUMPRODUCT(($B$5:$B$13="OEM / vendor financing")*Q5:Q13*R5:R13)/SUMPRODUCT(($B$5:$B$13="OEM / vendor financing")*(R5:R13&lt;&gt;"")*Q5:Q13),"n/d")</f>
        <v>n/d</v>
      </c>
      <c r="S21" s="0" t="n">
        <f aca="false">SUMIF($B$5:$B$13,"OEM / vendor financing",S5:S13)</f>
        <v>0</v>
      </c>
      <c r="T21" s="0" t="str">
        <f aca="false">IFERROR(SUMPRODUCT(($B$5:$B$13="OEM / vendor financing")*S5:S13*T5:T13)/SUMPRODUCT(($B$5:$B$13="OEM / vendor financing")*(T5:T13&lt;&gt;"")*S5:S13),"n/d")</f>
        <v>n/d</v>
      </c>
      <c r="U21" s="0" t="n">
        <f aca="false">SUMIF($B$5:$B$13,"OEM / vendor financing",U5:U13)</f>
        <v>0</v>
      </c>
      <c r="V21" s="0" t="str">
        <f aca="false">IFERROR(SUMPRODUCT(($B$5:$B$13="OEM / vendor financing")*U5:U13*V5:V13)/SUMPRODUCT(($B$5:$B$13="OEM / vendor financing")*(V5:V13&lt;&gt;"")*U5:U13),"n/d")</f>
        <v>n/d</v>
      </c>
    </row>
    <row r="22" customFormat="false" ht="15" hidden="false" customHeight="false" outlineLevel="0" collapsed="false">
      <c r="A22" s="0" t="s">
        <v>418</v>
      </c>
      <c r="C22" s="0" t="n">
        <f aca="false">SUMIF($B$5:$B$13,"Revolver",C5:C13)</f>
        <v>0</v>
      </c>
      <c r="D22" s="0" t="str">
        <f aca="false">IFERROR(SUMPRODUCT(($B$5:$B$13="Revolver")*C5:C13*D5:D13)/SUMPRODUCT(($B$5:$B$13="Revolver")*(D5:D13&lt;&gt;"")*C5:C13),"n/d")</f>
        <v>n/d</v>
      </c>
      <c r="E22" s="0" t="n">
        <f aca="false">SUMIF($B$5:$B$13,"Revolver",E5:E13)</f>
        <v>0</v>
      </c>
      <c r="F22" s="0" t="str">
        <f aca="false">IFERROR(SUMPRODUCT(($B$5:$B$13="Revolver")*E5:E13*F5:F13)/SUMPRODUCT(($B$5:$B$13="Revolver")*(F5:F13&lt;&gt;"")*E5:E13),"n/d")</f>
        <v>n/d</v>
      </c>
      <c r="G22" s="0" t="n">
        <f aca="false">SUMIF($B$5:$B$13,"Revolver",G5:G13)</f>
        <v>0</v>
      </c>
      <c r="H22" s="0" t="str">
        <f aca="false">IFERROR(SUMPRODUCT(($B$5:$B$13="Revolver")*G5:G13*H5:H13)/SUMPRODUCT(($B$5:$B$13="Revolver")*(H5:H13&lt;&gt;"")*G5:G13),"n/d")</f>
        <v>n/d</v>
      </c>
      <c r="I22" s="0" t="n">
        <f aca="false">SUMIF($B$5:$B$13,"Revolver",I5:I13)</f>
        <v>0</v>
      </c>
      <c r="J22" s="0" t="str">
        <f aca="false">IFERROR(SUMPRODUCT(($B$5:$B$13="Revolver")*I5:I13*J5:J13)/SUMPRODUCT(($B$5:$B$13="Revolver")*(J5:J13&lt;&gt;"")*I5:I13),"n/d")</f>
        <v>n/d</v>
      </c>
      <c r="K22" s="0" t="n">
        <f aca="false">SUMIF($B$5:$B$13,"Revolver",K5:K13)</f>
        <v>0</v>
      </c>
      <c r="L22" s="0" t="str">
        <f aca="false">IFERROR(SUMPRODUCT(($B$5:$B$13="Revolver")*K5:K13*L5:L13)/SUMPRODUCT(($B$5:$B$13="Revolver")*(L5:L13&lt;&gt;"")*K5:K13),"n/d")</f>
        <v>n/d</v>
      </c>
      <c r="M22" s="0" t="n">
        <f aca="false">SUMIF($B$5:$B$13,"Revolver",M5:M13)</f>
        <v>0</v>
      </c>
      <c r="N22" s="0" t="str">
        <f aca="false">IFERROR(SUMPRODUCT(($B$5:$B$13="Revolver")*M5:M13*N5:N13)/SUMPRODUCT(($B$5:$B$13="Revolver")*(N5:N13&lt;&gt;"")*M5:M13),"n/d")</f>
        <v>n/d</v>
      </c>
      <c r="O22" s="0" t="n">
        <f aca="false">SUMIF($B$5:$B$13,"Revolver",O5:O13)</f>
        <v>0</v>
      </c>
      <c r="P22" s="0" t="str">
        <f aca="false">IFERROR(SUMPRODUCT(($B$5:$B$13="Revolver")*O5:O13*P5:P13)/SUMPRODUCT(($B$5:$B$13="Revolver")*(P5:P13&lt;&gt;"")*O5:O13),"n/d")</f>
        <v>n/d</v>
      </c>
      <c r="Q22" s="0" t="n">
        <f aca="false">SUMIF($B$5:$B$13,"Revolver",Q5:Q13)</f>
        <v>0</v>
      </c>
      <c r="R22" s="0" t="str">
        <f aca="false">IFERROR(SUMPRODUCT(($B$5:$B$13="Revolver")*Q5:Q13*R5:R13)/SUMPRODUCT(($B$5:$B$13="Revolver")*(R5:R13&lt;&gt;"")*Q5:Q13),"n/d")</f>
        <v>n/d</v>
      </c>
      <c r="S22" s="0" t="n">
        <f aca="false">SUMIF($B$5:$B$13,"Revolver",S5:S13)</f>
        <v>0</v>
      </c>
      <c r="T22" s="0" t="str">
        <f aca="false">IFERROR(SUMPRODUCT(($B$5:$B$13="Revolver")*S5:S13*T5:T13)/SUMPRODUCT(($B$5:$B$13="Revolver")*(T5:T13&lt;&gt;"")*S5:S13),"n/d")</f>
        <v>n/d</v>
      </c>
      <c r="U22" s="0" t="n">
        <f aca="false">SUMIF($B$5:$B$13,"Revolver",U5:U13)</f>
        <v>0</v>
      </c>
      <c r="V22" s="0" t="str">
        <f aca="false">IFERROR(SUMPRODUCT(($B$5:$B$13="Revolver")*U5:U13*V5:V13)/SUMPRODUCT(($B$5:$B$13="Revolver")*(V5:V13&lt;&gt;"")*U5:U13),"n/d")</f>
        <v>n/d</v>
      </c>
    </row>
    <row r="23" customFormat="false" ht="15" hidden="false" customHeight="false" outlineLevel="0" collapsed="false">
      <c r="A23" s="0" t="s">
        <v>419</v>
      </c>
      <c r="C23" s="0" t="n">
        <f aca="false">SUMIF($B$5:$B$13,"Other term loans",C5:C13)</f>
        <v>0</v>
      </c>
      <c r="D23" s="0" t="str">
        <f aca="false">IFERROR(SUMPRODUCT(($B$5:$B$13="Other term loans")*C5:C13*D5:D13)/SUMPRODUCT(($B$5:$B$13="Other term loans")*(D5:D13&lt;&gt;"")*C5:C13),"n/d")</f>
        <v>n/d</v>
      </c>
      <c r="E23" s="0" t="n">
        <f aca="false">SUMIF($B$5:$B$13,"Other term loans",E5:E13)</f>
        <v>0</v>
      </c>
      <c r="F23" s="0" t="str">
        <f aca="false">IFERROR(SUMPRODUCT(($B$5:$B$13="Other term loans")*E5:E13*F5:F13)/SUMPRODUCT(($B$5:$B$13="Other term loans")*(F5:F13&lt;&gt;"")*E5:E13),"n/d")</f>
        <v>n/d</v>
      </c>
      <c r="G23" s="0" t="n">
        <f aca="false">SUMIF($B$5:$B$13,"Other term loans",G5:G13)</f>
        <v>0</v>
      </c>
      <c r="H23" s="0" t="str">
        <f aca="false">IFERROR(SUMPRODUCT(($B$5:$B$13="Other term loans")*G5:G13*H5:H13)/SUMPRODUCT(($B$5:$B$13="Other term loans")*(H5:H13&lt;&gt;"")*G5:G13),"n/d")</f>
        <v>n/d</v>
      </c>
      <c r="I23" s="0" t="n">
        <f aca="false">SUMIF($B$5:$B$13,"Other term loans",I5:I13)</f>
        <v>0</v>
      </c>
      <c r="J23" s="0" t="str">
        <f aca="false">IFERROR(SUMPRODUCT(($B$5:$B$13="Other term loans")*I5:I13*J5:J13)/SUMPRODUCT(($B$5:$B$13="Other term loans")*(J5:J13&lt;&gt;"")*I5:I13),"n/d")</f>
        <v>n/d</v>
      </c>
      <c r="K23" s="0" t="n">
        <f aca="false">SUMIF($B$5:$B$13,"Other term loans",K5:K13)</f>
        <v>0</v>
      </c>
      <c r="L23" s="0" t="str">
        <f aca="false">IFERROR(SUMPRODUCT(($B$5:$B$13="Other term loans")*K5:K13*L5:L13)/SUMPRODUCT(($B$5:$B$13="Other term loans")*(L5:L13&lt;&gt;"")*K5:K13),"n/d")</f>
        <v>n/d</v>
      </c>
      <c r="M23" s="0" t="n">
        <f aca="false">SUMIF($B$5:$B$13,"Other term loans",M5:M13)</f>
        <v>0</v>
      </c>
      <c r="N23" s="0" t="str">
        <f aca="false">IFERROR(SUMPRODUCT(($B$5:$B$13="Other term loans")*M5:M13*N5:N13)/SUMPRODUCT(($B$5:$B$13="Other term loans")*(N5:N13&lt;&gt;"")*M5:M13),"n/d")</f>
        <v>n/d</v>
      </c>
      <c r="O23" s="0" t="n">
        <f aca="false">SUMIF($B$5:$B$13,"Other term loans",O5:O13)</f>
        <v>0</v>
      </c>
      <c r="P23" s="0" t="str">
        <f aca="false">IFERROR(SUMPRODUCT(($B$5:$B$13="Other term loans")*O5:O13*P5:P13)/SUMPRODUCT(($B$5:$B$13="Other term loans")*(P5:P13&lt;&gt;"")*O5:O13),"n/d")</f>
        <v>n/d</v>
      </c>
      <c r="Q23" s="0" t="n">
        <f aca="false">SUMIF($B$5:$B$13,"Other term loans",Q5:Q13)</f>
        <v>0</v>
      </c>
      <c r="R23" s="0" t="str">
        <f aca="false">IFERROR(SUMPRODUCT(($B$5:$B$13="Other term loans")*Q5:Q13*R5:R13)/SUMPRODUCT(($B$5:$B$13="Other term loans")*(R5:R13&lt;&gt;"")*Q5:Q13),"n/d")</f>
        <v>n/d</v>
      </c>
      <c r="S23" s="0" t="n">
        <f aca="false">SUMIF($B$5:$B$13,"Other term loans",S5:S13)</f>
        <v>0</v>
      </c>
      <c r="T23" s="0" t="str">
        <f aca="false">IFERROR(SUMPRODUCT(($B$5:$B$13="Other term loans")*S5:S13*T5:T13)/SUMPRODUCT(($B$5:$B$13="Other term loans")*(T5:T13&lt;&gt;"")*S5:S13),"n/d")</f>
        <v>n/d</v>
      </c>
      <c r="U23" s="0" t="n">
        <f aca="false">SUMIF($B$5:$B$13,"Other term loans",U5:U13)</f>
        <v>21.95</v>
      </c>
      <c r="V23" s="0" t="str">
        <f aca="false">IFERROR(SUMPRODUCT(($B$5:$B$13="Other term loans")*U5:U13*V5:V13)/SUMPRODUCT(($B$5:$B$13="Other term loans")*(V5:V13&lt;&gt;"")*U5:U13),"n/d")</f>
        <v>n/d</v>
      </c>
    </row>
    <row r="24" customFormat="false" ht="15" hidden="false" customHeight="false" outlineLevel="0" collapsed="false">
      <c r="A24" s="0" t="s">
        <v>420</v>
      </c>
      <c r="D24" s="0" t="str">
        <f aca="false">IFERROR(C18/C15*100,"n/d")</f>
        <v>n/d</v>
      </c>
      <c r="F24" s="0" t="str">
        <f aca="false">IFERROR(E18/E15*100,"n/d")</f>
        <v>n/d</v>
      </c>
      <c r="H24" s="0" t="str">
        <f aca="false">IFERROR(G18/G15*100,"n/d")</f>
        <v>n/d</v>
      </c>
      <c r="J24" s="0" t="n">
        <f aca="false">IFERROR(I18/I15*100,"n/d")</f>
        <v>0</v>
      </c>
      <c r="L24" s="0" t="n">
        <f aca="false">IFERROR(K18/K15*100,"n/d")</f>
        <v>0</v>
      </c>
      <c r="N24" s="0" t="n">
        <f aca="false">IFERROR(M18/M15*100,"n/d")</f>
        <v>0</v>
      </c>
      <c r="P24" s="0" t="n">
        <f aca="false">IFERROR(O18/O15*100,"n/d")</f>
        <v>0</v>
      </c>
      <c r="R24" s="0" t="n">
        <f aca="false">IFERROR(Q18/Q15*100,"n/d")</f>
        <v>0</v>
      </c>
      <c r="T24" s="0" t="n">
        <f aca="false">IFERROR(S18/S15*100,"n/d")</f>
        <v>0</v>
      </c>
      <c r="V24" s="0" t="n">
        <f aca="false">IFERROR(U18/U15*100,"n/d")</f>
        <v>5.35970428967112</v>
      </c>
    </row>
    <row r="26" customFormat="false" ht="55.2" hidden="false" customHeight="false" outlineLevel="0" collapsed="false">
      <c r="A26" s="1" t="s">
        <v>421</v>
      </c>
    </row>
    <row r="27" customFormat="false" ht="28.35" hidden="false" customHeight="false" outlineLevel="0" collapsed="false">
      <c r="A27" s="1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52"/>
    <col collapsed="false" customWidth="true" hidden="false" outlineLevel="0" max="7" min="7" style="0" width="80"/>
    <col collapsed="false" customWidth="true" hidden="false" outlineLevel="0" max="8" min="8" style="0" width="90"/>
  </cols>
  <sheetData>
    <row r="1" customFormat="false" ht="15" hidden="false" customHeight="false" outlineLevel="0" collapsed="false">
      <c r="A1" s="4" t="s">
        <v>423</v>
      </c>
      <c r="B1" s="4" t="s">
        <v>222</v>
      </c>
      <c r="C1" s="4" t="s">
        <v>424</v>
      </c>
      <c r="D1" s="4" t="s">
        <v>425</v>
      </c>
      <c r="E1" s="4" t="s">
        <v>426</v>
      </c>
      <c r="F1" s="4" t="s">
        <v>427</v>
      </c>
      <c r="G1" s="4" t="s">
        <v>428</v>
      </c>
      <c r="H1" s="4" t="s">
        <v>429</v>
      </c>
    </row>
    <row r="2" customFormat="false" ht="15" hidden="false" customHeight="false" outlineLevel="0" collapsed="false">
      <c r="A2" s="0" t="s">
        <v>225</v>
      </c>
      <c r="B2" s="0" t="s">
        <v>226</v>
      </c>
      <c r="C2" s="0" t="s">
        <v>25</v>
      </c>
      <c r="D2" s="0" t="n">
        <v>0.567</v>
      </c>
      <c r="E2" s="0" t="s">
        <v>104</v>
      </c>
      <c r="F2" s="0" t="s">
        <v>430</v>
      </c>
      <c r="G2" s="0" t="s">
        <v>431</v>
      </c>
      <c r="H2" s="0" t="s">
        <v>432</v>
      </c>
    </row>
    <row r="3" customFormat="false" ht="15" hidden="false" customHeight="false" outlineLevel="0" collapsed="false">
      <c r="A3" s="0" t="s">
        <v>225</v>
      </c>
      <c r="B3" s="0" t="s">
        <v>226</v>
      </c>
      <c r="C3" s="0" t="s">
        <v>26</v>
      </c>
      <c r="D3" s="0" t="n">
        <v>2.538</v>
      </c>
      <c r="E3" s="0" t="s">
        <v>44</v>
      </c>
      <c r="F3" s="0" t="s">
        <v>322</v>
      </c>
      <c r="G3" s="0" t="s">
        <v>433</v>
      </c>
      <c r="H3" s="0" t="s">
        <v>434</v>
      </c>
    </row>
    <row r="4" customFormat="false" ht="15" hidden="false" customHeight="false" outlineLevel="0" collapsed="false">
      <c r="A4" s="0" t="s">
        <v>225</v>
      </c>
      <c r="B4" s="0" t="s">
        <v>226</v>
      </c>
      <c r="C4" s="0" t="s">
        <v>27</v>
      </c>
      <c r="D4" s="0" t="n">
        <v>3.189</v>
      </c>
      <c r="E4" s="0" t="s">
        <v>104</v>
      </c>
      <c r="F4" s="0" t="s">
        <v>435</v>
      </c>
      <c r="G4" s="0" t="s">
        <v>436</v>
      </c>
      <c r="H4" s="0" t="s">
        <v>437</v>
      </c>
    </row>
    <row r="5" customFormat="false" ht="15" hidden="false" customHeight="false" outlineLevel="0" collapsed="false">
      <c r="A5" s="0" t="s">
        <v>225</v>
      </c>
      <c r="B5" s="0" t="s">
        <v>226</v>
      </c>
      <c r="C5" s="0" t="s">
        <v>28</v>
      </c>
      <c r="D5" s="0" t="n">
        <v>2.661</v>
      </c>
      <c r="E5" s="0" t="s">
        <v>104</v>
      </c>
      <c r="F5" s="0" t="s">
        <v>438</v>
      </c>
      <c r="G5" s="0" t="s">
        <v>439</v>
      </c>
      <c r="H5" s="0" t="s">
        <v>440</v>
      </c>
    </row>
    <row r="6" customFormat="false" ht="15" hidden="false" customHeight="false" outlineLevel="0" collapsed="false">
      <c r="A6" s="0" t="s">
        <v>225</v>
      </c>
      <c r="B6" s="0" t="s">
        <v>226</v>
      </c>
      <c r="C6" s="0" t="s">
        <v>29</v>
      </c>
      <c r="D6" s="0" t="n">
        <v>3.581</v>
      </c>
      <c r="E6" s="0" t="s">
        <v>104</v>
      </c>
      <c r="F6" s="0" t="s">
        <v>441</v>
      </c>
      <c r="G6" s="0" t="s">
        <v>442</v>
      </c>
      <c r="H6" s="0" t="s">
        <v>443</v>
      </c>
    </row>
    <row r="7" customFormat="false" ht="15" hidden="false" customHeight="false" outlineLevel="0" collapsed="false">
      <c r="A7" s="0" t="s">
        <v>225</v>
      </c>
      <c r="B7" s="0" t="s">
        <v>226</v>
      </c>
      <c r="C7" s="0" t="s">
        <v>30</v>
      </c>
      <c r="D7" s="0" t="n">
        <v>6.963</v>
      </c>
      <c r="E7" s="0" t="s">
        <v>104</v>
      </c>
      <c r="F7" s="0" t="s">
        <v>444</v>
      </c>
      <c r="G7" s="0" t="s">
        <v>445</v>
      </c>
      <c r="H7" s="0" t="s">
        <v>446</v>
      </c>
    </row>
    <row r="8" customFormat="false" ht="15" hidden="false" customHeight="false" outlineLevel="0" collapsed="false">
      <c r="A8" s="0" t="s">
        <v>225</v>
      </c>
      <c r="B8" s="0" t="s">
        <v>226</v>
      </c>
      <c r="C8" s="0" t="s">
        <v>31</v>
      </c>
      <c r="D8" s="0" t="n">
        <v>7.347</v>
      </c>
      <c r="E8" s="0" t="s">
        <v>104</v>
      </c>
      <c r="F8" s="0" t="s">
        <v>435</v>
      </c>
      <c r="G8" s="0" t="s">
        <v>447</v>
      </c>
      <c r="H8" s="0" t="s">
        <v>437</v>
      </c>
    </row>
    <row r="9" customFormat="false" ht="15" hidden="false" customHeight="false" outlineLevel="0" collapsed="false">
      <c r="A9" s="0" t="s">
        <v>225</v>
      </c>
      <c r="B9" s="0" t="s">
        <v>226</v>
      </c>
      <c r="C9" s="0" t="s">
        <v>32</v>
      </c>
      <c r="D9" s="0" t="n">
        <v>17.298</v>
      </c>
      <c r="E9" s="0" t="s">
        <v>104</v>
      </c>
      <c r="F9" s="0" t="s">
        <v>438</v>
      </c>
      <c r="G9" s="0" t="s">
        <v>448</v>
      </c>
      <c r="H9" s="0" t="s">
        <v>440</v>
      </c>
    </row>
    <row r="10" customFormat="false" ht="15" hidden="false" customHeight="false" outlineLevel="0" collapsed="false">
      <c r="A10" s="0" t="s">
        <v>225</v>
      </c>
      <c r="B10" s="0" t="s">
        <v>226</v>
      </c>
      <c r="C10" s="0" t="s">
        <v>33</v>
      </c>
      <c r="D10" s="0" t="n">
        <v>33.635</v>
      </c>
      <c r="E10" s="0" t="s">
        <v>104</v>
      </c>
      <c r="F10" s="0" t="s">
        <v>441</v>
      </c>
      <c r="G10" s="0" t="s">
        <v>449</v>
      </c>
      <c r="H10" s="0" t="s">
        <v>443</v>
      </c>
    </row>
    <row r="11" customFormat="false" ht="15" hidden="false" customHeight="false" outlineLevel="0" collapsed="false">
      <c r="A11" s="0" t="s">
        <v>225</v>
      </c>
      <c r="B11" s="0" t="s">
        <v>226</v>
      </c>
      <c r="C11" s="0" t="s">
        <v>34</v>
      </c>
      <c r="D11" s="0" t="n">
        <v>70.515</v>
      </c>
      <c r="E11" s="0" t="s">
        <v>44</v>
      </c>
      <c r="F11" s="0" t="s">
        <v>322</v>
      </c>
      <c r="G11" s="0" t="s">
        <v>450</v>
      </c>
      <c r="H11" s="0" t="s">
        <v>434</v>
      </c>
    </row>
    <row r="12" customFormat="false" ht="15" hidden="false" customHeight="false" outlineLevel="0" collapsed="false">
      <c r="A12" s="0" t="s">
        <v>233</v>
      </c>
      <c r="B12" s="0" t="s">
        <v>234</v>
      </c>
      <c r="C12" s="0" t="s">
        <v>25</v>
      </c>
      <c r="D12" s="0" t="n">
        <v>8.692</v>
      </c>
      <c r="E12" s="0" t="s">
        <v>104</v>
      </c>
      <c r="F12" s="0" t="s">
        <v>451</v>
      </c>
      <c r="G12" s="0" t="s">
        <v>452</v>
      </c>
      <c r="H12" s="0" t="s">
        <v>453</v>
      </c>
    </row>
    <row r="13" customFormat="false" ht="15" hidden="false" customHeight="false" outlineLevel="0" collapsed="false">
      <c r="A13" s="0" t="s">
        <v>233</v>
      </c>
      <c r="B13" s="0" t="s">
        <v>234</v>
      </c>
      <c r="C13" s="0" t="s">
        <v>26</v>
      </c>
      <c r="D13" s="0" t="n">
        <v>26.78</v>
      </c>
      <c r="E13" s="0" t="s">
        <v>44</v>
      </c>
      <c r="F13" s="0" t="s">
        <v>454</v>
      </c>
      <c r="G13" s="0" t="s">
        <v>455</v>
      </c>
      <c r="H13" s="0" t="s">
        <v>456</v>
      </c>
    </row>
    <row r="14" customFormat="false" ht="15" hidden="false" customHeight="false" outlineLevel="0" collapsed="false">
      <c r="A14" s="0" t="s">
        <v>233</v>
      </c>
      <c r="B14" s="0" t="s">
        <v>234</v>
      </c>
      <c r="C14" s="0" t="s">
        <v>27</v>
      </c>
      <c r="D14" s="0" t="n">
        <v>33.931</v>
      </c>
      <c r="E14" s="0" t="s">
        <v>104</v>
      </c>
      <c r="F14" s="0" t="s">
        <v>435</v>
      </c>
      <c r="G14" s="0" t="s">
        <v>457</v>
      </c>
      <c r="H14" s="0" t="s">
        <v>437</v>
      </c>
    </row>
    <row r="15" customFormat="false" ht="15" hidden="false" customHeight="false" outlineLevel="0" collapsed="false">
      <c r="A15" s="0" t="s">
        <v>233</v>
      </c>
      <c r="B15" s="0" t="s">
        <v>234</v>
      </c>
      <c r="C15" s="0" t="s">
        <v>28</v>
      </c>
      <c r="D15" s="0" t="n">
        <v>36.077</v>
      </c>
      <c r="E15" s="0" t="s">
        <v>44</v>
      </c>
      <c r="F15" s="0" t="s">
        <v>441</v>
      </c>
      <c r="G15" s="0" t="s">
        <v>458</v>
      </c>
      <c r="H15" s="0" t="s">
        <v>443</v>
      </c>
    </row>
    <row r="16" customFormat="false" ht="15" hidden="false" customHeight="false" outlineLevel="0" collapsed="false">
      <c r="A16" s="0" t="s">
        <v>233</v>
      </c>
      <c r="B16" s="0" t="s">
        <v>234</v>
      </c>
      <c r="C16" s="0" t="s">
        <v>29</v>
      </c>
      <c r="D16" s="0" t="n">
        <v>47.311</v>
      </c>
      <c r="E16" s="0" t="s">
        <v>104</v>
      </c>
      <c r="F16" s="0" t="s">
        <v>441</v>
      </c>
      <c r="G16" s="0" t="s">
        <v>459</v>
      </c>
      <c r="H16" s="0" t="s">
        <v>443</v>
      </c>
    </row>
    <row r="17" customFormat="false" ht="15" hidden="false" customHeight="false" outlineLevel="0" collapsed="false">
      <c r="A17" s="0" t="s">
        <v>233</v>
      </c>
      <c r="B17" s="0" t="s">
        <v>234</v>
      </c>
      <c r="C17" s="0" t="s">
        <v>30</v>
      </c>
      <c r="D17" s="0" t="n">
        <v>63.817</v>
      </c>
      <c r="E17" s="0" t="s">
        <v>44</v>
      </c>
      <c r="F17" s="0" t="s">
        <v>444</v>
      </c>
      <c r="G17" s="0" t="s">
        <v>460</v>
      </c>
      <c r="H17" s="0" t="s">
        <v>446</v>
      </c>
    </row>
    <row r="18" customFormat="false" ht="15" hidden="false" customHeight="false" outlineLevel="0" collapsed="false">
      <c r="A18" s="0" t="s">
        <v>233</v>
      </c>
      <c r="B18" s="0" t="s">
        <v>234</v>
      </c>
      <c r="C18" s="0" t="s">
        <v>31</v>
      </c>
      <c r="D18" s="0" t="n">
        <v>85.226</v>
      </c>
      <c r="E18" s="0" t="s">
        <v>104</v>
      </c>
      <c r="F18" s="0" t="s">
        <v>435</v>
      </c>
      <c r="G18" s="0" t="s">
        <v>461</v>
      </c>
      <c r="H18" s="0" t="s">
        <v>437</v>
      </c>
    </row>
    <row r="19" customFormat="false" ht="15" hidden="false" customHeight="false" outlineLevel="0" collapsed="false">
      <c r="A19" s="0" t="s">
        <v>233</v>
      </c>
      <c r="B19" s="0" t="s">
        <v>234</v>
      </c>
      <c r="C19" s="0" t="s">
        <v>32</v>
      </c>
      <c r="D19" s="0" t="n">
        <v>99.176</v>
      </c>
      <c r="E19" s="0" t="s">
        <v>44</v>
      </c>
      <c r="F19" s="0" t="s">
        <v>441</v>
      </c>
      <c r="G19" s="0" t="s">
        <v>462</v>
      </c>
      <c r="H19" s="0" t="s">
        <v>443</v>
      </c>
    </row>
    <row r="20" customFormat="false" ht="15" hidden="false" customHeight="false" outlineLevel="0" collapsed="false">
      <c r="A20" s="0" t="s">
        <v>233</v>
      </c>
      <c r="B20" s="0" t="s">
        <v>234</v>
      </c>
      <c r="C20" s="0" t="s">
        <v>33</v>
      </c>
      <c r="D20" s="0" t="n">
        <v>121.245</v>
      </c>
      <c r="E20" s="0" t="s">
        <v>104</v>
      </c>
      <c r="F20" s="0" t="s">
        <v>441</v>
      </c>
      <c r="G20" s="0" t="s">
        <v>463</v>
      </c>
      <c r="H20" s="0" t="s">
        <v>443</v>
      </c>
    </row>
    <row r="21" customFormat="false" ht="15" hidden="false" customHeight="false" outlineLevel="0" collapsed="false">
      <c r="A21" s="0" t="s">
        <v>233</v>
      </c>
      <c r="B21" s="0" t="s">
        <v>234</v>
      </c>
      <c r="C21" s="0" t="s">
        <v>34</v>
      </c>
      <c r="D21" s="0" t="n">
        <v>112.082</v>
      </c>
      <c r="E21" s="0" t="s">
        <v>44</v>
      </c>
      <c r="F21" s="0" t="s">
        <v>322</v>
      </c>
      <c r="G21" s="0" t="s">
        <v>464</v>
      </c>
      <c r="H21" s="0" t="s">
        <v>434</v>
      </c>
    </row>
    <row r="22" customFormat="false" ht="15" hidden="false" customHeight="false" outlineLevel="0" collapsed="false">
      <c r="A22" s="0" t="s">
        <v>236</v>
      </c>
      <c r="B22" s="0" t="s">
        <v>237</v>
      </c>
      <c r="C22" s="0" t="s">
        <v>26</v>
      </c>
      <c r="D22" s="0" t="n">
        <v>296.6</v>
      </c>
      <c r="E22" s="0" t="s">
        <v>44</v>
      </c>
      <c r="F22" s="0" t="s">
        <v>454</v>
      </c>
      <c r="G22" s="0" t="s">
        <v>465</v>
      </c>
      <c r="H22" s="0" t="s">
        <v>456</v>
      </c>
    </row>
    <row r="23" customFormat="false" ht="15" hidden="false" customHeight="false" outlineLevel="0" collapsed="false">
      <c r="A23" s="0" t="s">
        <v>236</v>
      </c>
      <c r="B23" s="0" t="s">
        <v>237</v>
      </c>
      <c r="C23" s="0" t="s">
        <v>27</v>
      </c>
      <c r="D23" s="0" t="n">
        <v>383.4</v>
      </c>
      <c r="E23" s="0" t="s">
        <v>104</v>
      </c>
      <c r="F23" s="0" t="s">
        <v>435</v>
      </c>
      <c r="G23" s="0" t="s">
        <v>466</v>
      </c>
      <c r="H23" s="0" t="s">
        <v>437</v>
      </c>
    </row>
    <row r="24" customFormat="false" ht="15" hidden="false" customHeight="false" outlineLevel="0" collapsed="false">
      <c r="A24" s="0" t="s">
        <v>236</v>
      </c>
      <c r="B24" s="0" t="s">
        <v>237</v>
      </c>
      <c r="C24" s="0" t="s">
        <v>28</v>
      </c>
      <c r="D24" s="0" t="n">
        <v>187.6</v>
      </c>
      <c r="E24" s="0" t="s">
        <v>44</v>
      </c>
      <c r="F24" s="0" t="s">
        <v>438</v>
      </c>
      <c r="G24" s="0" t="s">
        <v>467</v>
      </c>
      <c r="H24" s="0" t="s">
        <v>440</v>
      </c>
    </row>
    <row r="25" customFormat="false" ht="15" hidden="false" customHeight="false" outlineLevel="0" collapsed="false">
      <c r="A25" s="0" t="s">
        <v>236</v>
      </c>
      <c r="B25" s="0" t="s">
        <v>237</v>
      </c>
      <c r="C25" s="0" t="s">
        <v>29</v>
      </c>
      <c r="D25" s="0" t="n">
        <v>443.8</v>
      </c>
      <c r="E25" s="0" t="s">
        <v>44</v>
      </c>
      <c r="F25" s="0" t="s">
        <v>441</v>
      </c>
      <c r="G25" s="0" t="s">
        <v>468</v>
      </c>
      <c r="H25" s="0" t="s">
        <v>443</v>
      </c>
    </row>
    <row r="26" customFormat="false" ht="15" hidden="false" customHeight="false" outlineLevel="0" collapsed="false">
      <c r="A26" s="0" t="s">
        <v>236</v>
      </c>
      <c r="B26" s="0" t="s">
        <v>237</v>
      </c>
      <c r="C26" s="0" t="s">
        <v>30</v>
      </c>
      <c r="D26" s="0" t="n">
        <v>357.9</v>
      </c>
      <c r="E26" s="0" t="s">
        <v>44</v>
      </c>
      <c r="F26" s="0" t="s">
        <v>444</v>
      </c>
      <c r="G26" s="0" t="s">
        <v>469</v>
      </c>
      <c r="H26" s="0" t="s">
        <v>446</v>
      </c>
    </row>
    <row r="27" customFormat="false" ht="15" hidden="false" customHeight="false" outlineLevel="0" collapsed="false">
      <c r="A27" s="0" t="s">
        <v>236</v>
      </c>
      <c r="B27" s="0" t="s">
        <v>237</v>
      </c>
      <c r="C27" s="0" t="s">
        <v>31</v>
      </c>
      <c r="D27" s="0" t="n">
        <v>280.6</v>
      </c>
      <c r="E27" s="0" t="s">
        <v>104</v>
      </c>
      <c r="F27" s="0" t="s">
        <v>435</v>
      </c>
      <c r="G27" s="0" t="s">
        <v>470</v>
      </c>
      <c r="H27" s="0" t="s">
        <v>437</v>
      </c>
    </row>
    <row r="28" customFormat="false" ht="15" hidden="false" customHeight="false" outlineLevel="0" collapsed="false">
      <c r="A28" s="0" t="s">
        <v>236</v>
      </c>
      <c r="B28" s="0" t="s">
        <v>237</v>
      </c>
      <c r="C28" s="0" t="s">
        <v>32</v>
      </c>
      <c r="D28" s="0" t="n">
        <v>719.1</v>
      </c>
      <c r="E28" s="0" t="s">
        <v>44</v>
      </c>
      <c r="F28" s="0" t="s">
        <v>438</v>
      </c>
      <c r="G28" s="0" t="s">
        <v>468</v>
      </c>
      <c r="H28" s="0" t="s">
        <v>440</v>
      </c>
    </row>
    <row r="29" customFormat="false" ht="15" hidden="false" customHeight="false" outlineLevel="0" collapsed="false">
      <c r="A29" s="0" t="s">
        <v>236</v>
      </c>
      <c r="B29" s="0" t="s">
        <v>237</v>
      </c>
      <c r="C29" s="0" t="s">
        <v>33</v>
      </c>
      <c r="D29" s="0" t="n">
        <v>1355.3</v>
      </c>
      <c r="E29" s="0" t="s">
        <v>44</v>
      </c>
      <c r="F29" s="0" t="s">
        <v>441</v>
      </c>
      <c r="G29" s="0" t="s">
        <v>468</v>
      </c>
      <c r="H29" s="0" t="s">
        <v>443</v>
      </c>
    </row>
    <row r="30" customFormat="false" ht="15" hidden="false" customHeight="false" outlineLevel="0" collapsed="false">
      <c r="A30" s="0" t="s">
        <v>236</v>
      </c>
      <c r="B30" s="0" t="s">
        <v>237</v>
      </c>
      <c r="C30" s="0" t="s">
        <v>34</v>
      </c>
      <c r="D30" s="0" t="n">
        <v>1978.2</v>
      </c>
      <c r="E30" s="0" t="s">
        <v>44</v>
      </c>
      <c r="F30" s="0" t="s">
        <v>322</v>
      </c>
      <c r="G30" s="0" t="s">
        <v>471</v>
      </c>
      <c r="H30" s="0" t="s">
        <v>434</v>
      </c>
    </row>
    <row r="31" customFormat="false" ht="15" hidden="false" customHeight="false" outlineLevel="0" collapsed="false">
      <c r="A31" s="0" t="s">
        <v>239</v>
      </c>
      <c r="B31" s="0" t="s">
        <v>240</v>
      </c>
      <c r="C31" s="0" t="s">
        <v>25</v>
      </c>
      <c r="D31" s="0" t="n">
        <v>427.51</v>
      </c>
      <c r="E31" s="0" t="s">
        <v>44</v>
      </c>
      <c r="F31" s="0" t="s">
        <v>451</v>
      </c>
      <c r="G31" s="0" t="s">
        <v>472</v>
      </c>
      <c r="H31" s="0" t="s">
        <v>453</v>
      </c>
    </row>
    <row r="32" customFormat="false" ht="15" hidden="false" customHeight="false" outlineLevel="0" collapsed="false">
      <c r="A32" s="0" t="s">
        <v>239</v>
      </c>
      <c r="B32" s="0" t="s">
        <v>240</v>
      </c>
      <c r="C32" s="0" t="s">
        <v>26</v>
      </c>
      <c r="D32" s="0" t="n">
        <v>538.026</v>
      </c>
      <c r="E32" s="0" t="s">
        <v>44</v>
      </c>
      <c r="F32" s="0" t="s">
        <v>454</v>
      </c>
      <c r="G32" s="0" t="s">
        <v>473</v>
      </c>
      <c r="H32" s="0" t="s">
        <v>456</v>
      </c>
    </row>
    <row r="33" customFormat="false" ht="15" hidden="false" customHeight="false" outlineLevel="0" collapsed="false">
      <c r="A33" s="0" t="s">
        <v>239</v>
      </c>
      <c r="B33" s="0" t="s">
        <v>240</v>
      </c>
      <c r="C33" s="0" t="s">
        <v>27</v>
      </c>
      <c r="D33" s="0" t="n">
        <v>1010.401</v>
      </c>
      <c r="E33" s="0" t="s">
        <v>44</v>
      </c>
      <c r="F33" s="0" t="s">
        <v>474</v>
      </c>
      <c r="G33" s="0" t="s">
        <v>475</v>
      </c>
      <c r="H33" s="0" t="s">
        <v>476</v>
      </c>
    </row>
    <row r="34" customFormat="false" ht="15" hidden="false" customHeight="false" outlineLevel="0" collapsed="false">
      <c r="A34" s="0" t="s">
        <v>239</v>
      </c>
      <c r="B34" s="0" t="s">
        <v>240</v>
      </c>
      <c r="C34" s="0" t="s">
        <v>28</v>
      </c>
      <c r="D34" s="0" t="n">
        <v>1288.15</v>
      </c>
      <c r="E34" s="0" t="s">
        <v>44</v>
      </c>
      <c r="F34" s="0" t="s">
        <v>477</v>
      </c>
      <c r="G34" s="0" t="s">
        <v>475</v>
      </c>
      <c r="H34" s="0" t="s">
        <v>478</v>
      </c>
    </row>
    <row r="35" customFormat="false" ht="15" hidden="false" customHeight="false" outlineLevel="0" collapsed="false">
      <c r="A35" s="0" t="s">
        <v>239</v>
      </c>
      <c r="B35" s="0" t="s">
        <v>240</v>
      </c>
      <c r="C35" s="0" t="s">
        <v>29</v>
      </c>
      <c r="D35" s="0" t="n">
        <v>1699.48</v>
      </c>
      <c r="E35" s="0" t="s">
        <v>44</v>
      </c>
      <c r="F35" s="0" t="s">
        <v>430</v>
      </c>
      <c r="G35" s="0" t="s">
        <v>479</v>
      </c>
      <c r="H35" s="0" t="s">
        <v>432</v>
      </c>
    </row>
    <row r="36" customFormat="false" ht="15" hidden="false" customHeight="false" outlineLevel="0" collapsed="false">
      <c r="A36" s="0" t="s">
        <v>239</v>
      </c>
      <c r="B36" s="0" t="s">
        <v>240</v>
      </c>
      <c r="C36" s="0" t="s">
        <v>30</v>
      </c>
      <c r="D36" s="0" t="n">
        <v>2112.2</v>
      </c>
      <c r="E36" s="0" t="s">
        <v>104</v>
      </c>
      <c r="F36" s="0" t="s">
        <v>444</v>
      </c>
      <c r="G36" s="0" t="s">
        <v>480</v>
      </c>
      <c r="H36" s="0" t="s">
        <v>446</v>
      </c>
    </row>
    <row r="37" customFormat="false" ht="15" hidden="false" customHeight="false" outlineLevel="0" collapsed="false">
      <c r="A37" s="0" t="s">
        <v>239</v>
      </c>
      <c r="B37" s="0" t="s">
        <v>240</v>
      </c>
      <c r="C37" s="0" t="s">
        <v>31</v>
      </c>
      <c r="D37" s="0" t="n">
        <v>2396.859</v>
      </c>
      <c r="E37" s="0" t="s">
        <v>104</v>
      </c>
      <c r="F37" s="0" t="s">
        <v>435</v>
      </c>
      <c r="G37" s="0" t="s">
        <v>481</v>
      </c>
      <c r="H37" s="0" t="s">
        <v>437</v>
      </c>
    </row>
    <row r="38" customFormat="false" ht="15" hidden="false" customHeight="false" outlineLevel="0" collapsed="false">
      <c r="A38" s="0" t="s">
        <v>239</v>
      </c>
      <c r="B38" s="0" t="s">
        <v>240</v>
      </c>
      <c r="C38" s="0" t="s">
        <v>32</v>
      </c>
      <c r="D38" s="0" t="n">
        <v>3553.7</v>
      </c>
      <c r="E38" s="0" t="s">
        <v>104</v>
      </c>
      <c r="F38" s="0" t="s">
        <v>438</v>
      </c>
      <c r="G38" s="0" t="s">
        <v>481</v>
      </c>
      <c r="H38" s="0" t="s">
        <v>440</v>
      </c>
    </row>
    <row r="39" customFormat="false" ht="15" hidden="false" customHeight="false" outlineLevel="0" collapsed="false">
      <c r="A39" s="0" t="s">
        <v>239</v>
      </c>
      <c r="B39" s="0" t="s">
        <v>240</v>
      </c>
      <c r="C39" s="0" t="s">
        <v>33</v>
      </c>
      <c r="D39" s="0" t="n">
        <v>4987</v>
      </c>
      <c r="E39" s="0" t="s">
        <v>104</v>
      </c>
      <c r="F39" s="0" t="s">
        <v>441</v>
      </c>
      <c r="G39" s="0" t="s">
        <v>481</v>
      </c>
      <c r="H39" s="0" t="s">
        <v>443</v>
      </c>
    </row>
    <row r="40" customFormat="false" ht="15" hidden="false" customHeight="false" outlineLevel="0" collapsed="false">
      <c r="A40" s="0" t="s">
        <v>239</v>
      </c>
      <c r="B40" s="0" t="s">
        <v>240</v>
      </c>
      <c r="C40" s="0" t="s">
        <v>34</v>
      </c>
      <c r="D40" s="0" t="n">
        <v>7663.316</v>
      </c>
      <c r="E40" s="0" t="s">
        <v>104</v>
      </c>
      <c r="F40" s="0" t="s">
        <v>322</v>
      </c>
      <c r="G40" s="0" t="s">
        <v>481</v>
      </c>
      <c r="H40" s="0" t="s">
        <v>434</v>
      </c>
    </row>
    <row r="41" customFormat="false" ht="15" hidden="false" customHeight="false" outlineLevel="0" collapsed="false">
      <c r="A41" s="0" t="s">
        <v>242</v>
      </c>
      <c r="B41" s="0" t="s">
        <v>243</v>
      </c>
      <c r="C41" s="0" t="s">
        <v>25</v>
      </c>
      <c r="D41" s="0" t="n">
        <v>76.904</v>
      </c>
      <c r="E41" s="0" t="s">
        <v>104</v>
      </c>
      <c r="F41" s="0" t="s">
        <v>451</v>
      </c>
      <c r="G41" s="0" t="s">
        <v>482</v>
      </c>
      <c r="H41" s="0" t="s">
        <v>453</v>
      </c>
    </row>
    <row r="42" customFormat="false" ht="15" hidden="false" customHeight="false" outlineLevel="0" collapsed="false">
      <c r="A42" s="0" t="s">
        <v>242</v>
      </c>
      <c r="B42" s="0" t="s">
        <v>243</v>
      </c>
      <c r="C42" s="0" t="s">
        <v>26</v>
      </c>
      <c r="D42" s="0" t="n">
        <v>102.946</v>
      </c>
      <c r="E42" s="0" t="s">
        <v>104</v>
      </c>
      <c r="F42" s="0" t="s">
        <v>454</v>
      </c>
      <c r="G42" s="0" t="s">
        <v>482</v>
      </c>
      <c r="H42" s="0" t="s">
        <v>456</v>
      </c>
    </row>
    <row r="43" customFormat="false" ht="15" hidden="false" customHeight="false" outlineLevel="0" collapsed="false">
      <c r="A43" s="0" t="s">
        <v>242</v>
      </c>
      <c r="B43" s="0" t="s">
        <v>243</v>
      </c>
      <c r="C43" s="0" t="s">
        <v>27</v>
      </c>
      <c r="D43" s="0" t="n">
        <v>153.625</v>
      </c>
      <c r="E43" s="0" t="s">
        <v>104</v>
      </c>
      <c r="F43" s="0" t="s">
        <v>474</v>
      </c>
      <c r="G43" s="0" t="s">
        <v>482</v>
      </c>
      <c r="H43" s="0" t="s">
        <v>476</v>
      </c>
    </row>
    <row r="44" customFormat="false" ht="15" hidden="false" customHeight="false" outlineLevel="0" collapsed="false">
      <c r="A44" s="0" t="s">
        <v>242</v>
      </c>
      <c r="B44" s="0" t="s">
        <v>243</v>
      </c>
      <c r="C44" s="0" t="s">
        <v>28</v>
      </c>
      <c r="D44" s="0" t="n">
        <v>177.639</v>
      </c>
      <c r="E44" s="0" t="s">
        <v>104</v>
      </c>
      <c r="F44" s="0" t="s">
        <v>477</v>
      </c>
      <c r="G44" s="0" t="s">
        <v>482</v>
      </c>
      <c r="H44" s="0" t="s">
        <v>478</v>
      </c>
    </row>
    <row r="45" customFormat="false" ht="15" hidden="false" customHeight="false" outlineLevel="0" collapsed="false">
      <c r="A45" s="0" t="s">
        <v>242</v>
      </c>
      <c r="B45" s="0" t="s">
        <v>243</v>
      </c>
      <c r="C45" s="0" t="s">
        <v>29</v>
      </c>
      <c r="D45" s="0" t="n">
        <v>213.763</v>
      </c>
      <c r="E45" s="0" t="s">
        <v>104</v>
      </c>
      <c r="F45" s="0" t="s">
        <v>430</v>
      </c>
      <c r="G45" s="0" t="s">
        <v>482</v>
      </c>
      <c r="H45" s="0" t="s">
        <v>432</v>
      </c>
    </row>
    <row r="46" customFormat="false" ht="15" hidden="false" customHeight="false" outlineLevel="0" collapsed="false">
      <c r="A46" s="0" t="s">
        <v>242</v>
      </c>
      <c r="B46" s="0" t="s">
        <v>243</v>
      </c>
      <c r="C46" s="0" t="s">
        <v>30</v>
      </c>
      <c r="D46" s="0" t="n">
        <v>237.734</v>
      </c>
      <c r="E46" s="0" t="s">
        <v>104</v>
      </c>
      <c r="F46" s="0" t="s">
        <v>444</v>
      </c>
      <c r="G46" s="0" t="s">
        <v>483</v>
      </c>
      <c r="H46" s="0" t="s">
        <v>446</v>
      </c>
    </row>
    <row r="47" customFormat="false" ht="15" hidden="false" customHeight="false" outlineLevel="0" collapsed="false">
      <c r="A47" s="0" t="s">
        <v>242</v>
      </c>
      <c r="B47" s="0" t="s">
        <v>243</v>
      </c>
      <c r="C47" s="0" t="s">
        <v>31</v>
      </c>
      <c r="D47" s="0" t="n">
        <v>464.832</v>
      </c>
      <c r="E47" s="0" t="s">
        <v>104</v>
      </c>
      <c r="F47" s="0" t="s">
        <v>435</v>
      </c>
      <c r="G47" s="0" t="s">
        <v>483</v>
      </c>
      <c r="H47" s="0" t="s">
        <v>437</v>
      </c>
    </row>
    <row r="48" customFormat="false" ht="15" hidden="false" customHeight="false" outlineLevel="0" collapsed="false">
      <c r="A48" s="0" t="s">
        <v>242</v>
      </c>
      <c r="B48" s="0" t="s">
        <v>243</v>
      </c>
      <c r="C48" s="0" t="s">
        <v>32</v>
      </c>
      <c r="D48" s="0" t="n">
        <v>1038.321</v>
      </c>
      <c r="E48" s="0" t="s">
        <v>104</v>
      </c>
      <c r="F48" s="0" t="s">
        <v>438</v>
      </c>
      <c r="G48" s="0" t="s">
        <v>483</v>
      </c>
      <c r="H48" s="0" t="s">
        <v>440</v>
      </c>
    </row>
    <row r="49" customFormat="false" ht="15" hidden="false" customHeight="false" outlineLevel="0" collapsed="false">
      <c r="A49" s="0" t="s">
        <v>242</v>
      </c>
      <c r="B49" s="0" t="s">
        <v>243</v>
      </c>
      <c r="C49" s="0" t="s">
        <v>33</v>
      </c>
      <c r="D49" s="0" t="n">
        <v>2089.371</v>
      </c>
      <c r="E49" s="0" t="s">
        <v>104</v>
      </c>
      <c r="F49" s="0" t="s">
        <v>441</v>
      </c>
      <c r="G49" s="0" t="s">
        <v>483</v>
      </c>
      <c r="H49" s="0" t="s">
        <v>443</v>
      </c>
    </row>
    <row r="50" customFormat="false" ht="15" hidden="false" customHeight="false" outlineLevel="0" collapsed="false">
      <c r="A50" s="0" t="s">
        <v>242</v>
      </c>
      <c r="B50" s="0" t="s">
        <v>243</v>
      </c>
      <c r="C50" s="0" t="s">
        <v>34</v>
      </c>
      <c r="D50" s="0" t="n">
        <v>3657.072</v>
      </c>
      <c r="E50" s="0" t="s">
        <v>104</v>
      </c>
      <c r="F50" s="0" t="s">
        <v>322</v>
      </c>
      <c r="G50" s="0" t="s">
        <v>483</v>
      </c>
      <c r="H50" s="0" t="s">
        <v>434</v>
      </c>
    </row>
    <row r="51" customFormat="false" ht="15" hidden="false" customHeight="false" outlineLevel="0" collapsed="false">
      <c r="A51" s="0" t="s">
        <v>245</v>
      </c>
      <c r="B51" s="0" t="s">
        <v>246</v>
      </c>
      <c r="C51" s="0" t="s">
        <v>25</v>
      </c>
      <c r="D51" s="0" t="n">
        <v>357.081</v>
      </c>
      <c r="E51" s="0" t="s">
        <v>104</v>
      </c>
      <c r="F51" s="0" t="s">
        <v>451</v>
      </c>
      <c r="G51" s="0" t="s">
        <v>484</v>
      </c>
      <c r="H51" s="0" t="s">
        <v>453</v>
      </c>
    </row>
    <row r="52" customFormat="false" ht="15" hidden="false" customHeight="false" outlineLevel="0" collapsed="false">
      <c r="A52" s="0" t="s">
        <v>245</v>
      </c>
      <c r="B52" s="0" t="s">
        <v>246</v>
      </c>
      <c r="C52" s="0" t="s">
        <v>26</v>
      </c>
      <c r="D52" s="0" t="n">
        <v>441.371</v>
      </c>
      <c r="E52" s="0" t="s">
        <v>104</v>
      </c>
      <c r="F52" s="0" t="s">
        <v>454</v>
      </c>
      <c r="G52" s="0" t="s">
        <v>484</v>
      </c>
      <c r="H52" s="0" t="s">
        <v>456</v>
      </c>
    </row>
    <row r="53" customFormat="false" ht="15" hidden="false" customHeight="false" outlineLevel="0" collapsed="false">
      <c r="A53" s="0" t="s">
        <v>245</v>
      </c>
      <c r="B53" s="0" t="s">
        <v>246</v>
      </c>
      <c r="C53" s="0" t="s">
        <v>27</v>
      </c>
      <c r="D53" s="0" t="n">
        <v>965.994</v>
      </c>
      <c r="E53" s="0" t="s">
        <v>104</v>
      </c>
      <c r="F53" s="0" t="s">
        <v>474</v>
      </c>
      <c r="G53" s="0" t="s">
        <v>484</v>
      </c>
      <c r="H53" s="0" t="s">
        <v>476</v>
      </c>
    </row>
    <row r="54" customFormat="false" ht="15" hidden="false" customHeight="false" outlineLevel="0" collapsed="false">
      <c r="A54" s="0" t="s">
        <v>245</v>
      </c>
      <c r="B54" s="0" t="s">
        <v>246</v>
      </c>
      <c r="C54" s="0" t="s">
        <v>28</v>
      </c>
      <c r="D54" s="0" t="n">
        <v>1209.339</v>
      </c>
      <c r="E54" s="0" t="s">
        <v>104</v>
      </c>
      <c r="F54" s="0" t="s">
        <v>477</v>
      </c>
      <c r="G54" s="0" t="s">
        <v>484</v>
      </c>
      <c r="H54" s="0" t="s">
        <v>478</v>
      </c>
    </row>
    <row r="55" customFormat="false" ht="15" hidden="false" customHeight="false" outlineLevel="0" collapsed="false">
      <c r="A55" s="0" t="s">
        <v>245</v>
      </c>
      <c r="B55" s="0" t="s">
        <v>246</v>
      </c>
      <c r="C55" s="0" t="s">
        <v>29</v>
      </c>
      <c r="D55" s="0" t="n">
        <v>1575.107</v>
      </c>
      <c r="E55" s="0" t="s">
        <v>104</v>
      </c>
      <c r="F55" s="0" t="s">
        <v>430</v>
      </c>
      <c r="G55" s="0" t="s">
        <v>484</v>
      </c>
      <c r="H55" s="0" t="s">
        <v>432</v>
      </c>
    </row>
    <row r="56" customFormat="false" ht="15" hidden="false" customHeight="false" outlineLevel="0" collapsed="false">
      <c r="A56" s="0" t="s">
        <v>245</v>
      </c>
      <c r="B56" s="0" t="s">
        <v>246</v>
      </c>
      <c r="C56" s="0" t="s">
        <v>30</v>
      </c>
      <c r="D56" s="0" t="n">
        <v>1930.567</v>
      </c>
      <c r="E56" s="0" t="s">
        <v>104</v>
      </c>
      <c r="F56" s="0" t="s">
        <v>444</v>
      </c>
      <c r="G56" s="0" t="s">
        <v>484</v>
      </c>
      <c r="H56" s="0" t="s">
        <v>446</v>
      </c>
    </row>
    <row r="57" customFormat="false" ht="15" hidden="false" customHeight="false" outlineLevel="0" collapsed="false">
      <c r="A57" s="0" t="s">
        <v>245</v>
      </c>
      <c r="B57" s="0" t="s">
        <v>246</v>
      </c>
      <c r="C57" s="0" t="s">
        <v>31</v>
      </c>
      <c r="D57" s="0" t="n">
        <v>2115.436</v>
      </c>
      <c r="E57" s="0" t="s">
        <v>104</v>
      </c>
      <c r="F57" s="0" t="s">
        <v>435</v>
      </c>
      <c r="G57" s="0" t="s">
        <v>484</v>
      </c>
      <c r="H57" s="0" t="s">
        <v>437</v>
      </c>
    </row>
    <row r="58" customFormat="false" ht="15" hidden="false" customHeight="false" outlineLevel="0" collapsed="false">
      <c r="A58" s="0" t="s">
        <v>245</v>
      </c>
      <c r="B58" s="0" t="s">
        <v>246</v>
      </c>
      <c r="C58" s="0" t="s">
        <v>32</v>
      </c>
      <c r="D58" s="0" t="n">
        <v>3170.5</v>
      </c>
      <c r="E58" s="0" t="s">
        <v>104</v>
      </c>
      <c r="F58" s="0" t="s">
        <v>438</v>
      </c>
      <c r="G58" s="0" t="s">
        <v>484</v>
      </c>
      <c r="H58" s="0" t="s">
        <v>440</v>
      </c>
    </row>
    <row r="59" customFormat="false" ht="15" hidden="false" customHeight="false" outlineLevel="0" collapsed="false">
      <c r="A59" s="0" t="s">
        <v>245</v>
      </c>
      <c r="B59" s="0" t="s">
        <v>246</v>
      </c>
      <c r="C59" s="0" t="s">
        <v>33</v>
      </c>
      <c r="D59" s="0" t="n">
        <v>4369.9</v>
      </c>
      <c r="E59" s="0" t="s">
        <v>104</v>
      </c>
      <c r="F59" s="0" t="s">
        <v>441</v>
      </c>
      <c r="G59" s="0" t="s">
        <v>484</v>
      </c>
      <c r="H59" s="0" t="s">
        <v>443</v>
      </c>
    </row>
    <row r="60" customFormat="false" ht="15" hidden="false" customHeight="false" outlineLevel="0" collapsed="false">
      <c r="A60" s="0" t="s">
        <v>245</v>
      </c>
      <c r="B60" s="0" t="s">
        <v>246</v>
      </c>
      <c r="C60" s="0" t="s">
        <v>34</v>
      </c>
      <c r="D60" s="0" t="n">
        <v>6753.183</v>
      </c>
      <c r="E60" s="0" t="s">
        <v>104</v>
      </c>
      <c r="F60" s="0" t="s">
        <v>322</v>
      </c>
      <c r="G60" s="0" t="s">
        <v>484</v>
      </c>
      <c r="H60" s="0" t="s">
        <v>434</v>
      </c>
    </row>
    <row r="61" customFormat="false" ht="15" hidden="false" customHeight="false" outlineLevel="0" collapsed="false">
      <c r="A61" s="0" t="s">
        <v>249</v>
      </c>
      <c r="B61" s="0" t="s">
        <v>250</v>
      </c>
      <c r="C61" s="0" t="s">
        <v>34</v>
      </c>
      <c r="D61" s="0" t="n">
        <v>40</v>
      </c>
      <c r="E61" s="0" t="s">
        <v>104</v>
      </c>
      <c r="F61" s="0" t="s">
        <v>322</v>
      </c>
      <c r="G61" s="0" t="s">
        <v>485</v>
      </c>
      <c r="H61" s="0" t="s">
        <v>434</v>
      </c>
    </row>
    <row r="62" customFormat="false" ht="15" hidden="false" customHeight="false" outlineLevel="0" collapsed="false">
      <c r="A62" s="0" t="s">
        <v>256</v>
      </c>
      <c r="B62" s="0" t="s">
        <v>257</v>
      </c>
      <c r="C62" s="0" t="s">
        <v>25</v>
      </c>
      <c r="D62" s="0" t="n">
        <v>816</v>
      </c>
      <c r="E62" s="0" t="s">
        <v>104</v>
      </c>
      <c r="F62" s="0" t="s">
        <v>451</v>
      </c>
      <c r="G62" s="0" t="s">
        <v>486</v>
      </c>
      <c r="H62" s="0" t="s">
        <v>453</v>
      </c>
    </row>
    <row r="63" customFormat="false" ht="15" hidden="false" customHeight="false" outlineLevel="0" collapsed="false">
      <c r="A63" s="0" t="s">
        <v>256</v>
      </c>
      <c r="B63" s="0" t="s">
        <v>257</v>
      </c>
      <c r="C63" s="0" t="s">
        <v>26</v>
      </c>
      <c r="D63" s="0" t="n">
        <v>816</v>
      </c>
      <c r="E63" s="0" t="s">
        <v>104</v>
      </c>
      <c r="F63" s="0" t="s">
        <v>487</v>
      </c>
      <c r="G63" s="0" t="s">
        <v>488</v>
      </c>
      <c r="H63" s="0" t="s">
        <v>489</v>
      </c>
    </row>
    <row r="64" customFormat="false" ht="15" hidden="false" customHeight="false" outlineLevel="0" collapsed="false">
      <c r="A64" s="0" t="s">
        <v>256</v>
      </c>
      <c r="B64" s="0" t="s">
        <v>257</v>
      </c>
      <c r="C64" s="0" t="s">
        <v>28</v>
      </c>
      <c r="D64" s="0" t="n">
        <v>1896</v>
      </c>
      <c r="E64" s="0" t="s">
        <v>104</v>
      </c>
      <c r="F64" s="0" t="s">
        <v>430</v>
      </c>
      <c r="G64" s="0" t="s">
        <v>490</v>
      </c>
      <c r="H64" s="0" t="s">
        <v>432</v>
      </c>
    </row>
    <row r="65" customFormat="false" ht="15" hidden="false" customHeight="false" outlineLevel="0" collapsed="false">
      <c r="A65" s="0" t="s">
        <v>256</v>
      </c>
      <c r="B65" s="0" t="s">
        <v>257</v>
      </c>
      <c r="C65" s="0" t="s">
        <v>29</v>
      </c>
      <c r="D65" s="0" t="n">
        <v>1896</v>
      </c>
      <c r="E65" s="0" t="s">
        <v>104</v>
      </c>
      <c r="F65" s="0" t="s">
        <v>430</v>
      </c>
      <c r="G65" s="0" t="s">
        <v>491</v>
      </c>
      <c r="H65" s="0" t="s">
        <v>432</v>
      </c>
    </row>
    <row r="66" customFormat="false" ht="15" hidden="false" customHeight="false" outlineLevel="0" collapsed="false">
      <c r="A66" s="0" t="s">
        <v>256</v>
      </c>
      <c r="B66" s="0" t="s">
        <v>257</v>
      </c>
      <c r="C66" s="0" t="s">
        <v>30</v>
      </c>
      <c r="D66" s="0" t="n">
        <v>1900</v>
      </c>
      <c r="E66" s="0" t="s">
        <v>104</v>
      </c>
      <c r="F66" s="0" t="s">
        <v>444</v>
      </c>
      <c r="G66" s="0" t="s">
        <v>492</v>
      </c>
      <c r="H66" s="0" t="s">
        <v>446</v>
      </c>
    </row>
    <row r="67" customFormat="false" ht="15" hidden="false" customHeight="false" outlineLevel="0" collapsed="false">
      <c r="A67" s="0" t="s">
        <v>256</v>
      </c>
      <c r="B67" s="0" t="s">
        <v>257</v>
      </c>
      <c r="C67" s="0" t="s">
        <v>31</v>
      </c>
      <c r="D67" s="0" t="n">
        <v>2100</v>
      </c>
      <c r="E67" s="0" t="s">
        <v>104</v>
      </c>
      <c r="F67" s="0" t="s">
        <v>435</v>
      </c>
      <c r="G67" s="0" t="s">
        <v>493</v>
      </c>
      <c r="H67" s="0" t="s">
        <v>437</v>
      </c>
    </row>
    <row r="68" customFormat="false" ht="15" hidden="false" customHeight="false" outlineLevel="0" collapsed="false">
      <c r="A68" s="0" t="s">
        <v>260</v>
      </c>
      <c r="B68" s="0" t="s">
        <v>261</v>
      </c>
      <c r="C68" s="0" t="s">
        <v>25</v>
      </c>
      <c r="D68" s="0" t="n">
        <v>2</v>
      </c>
      <c r="E68" s="0" t="s">
        <v>48</v>
      </c>
      <c r="F68" s="0" t="s">
        <v>474</v>
      </c>
      <c r="G68" s="0" t="s">
        <v>494</v>
      </c>
      <c r="H68" s="0" t="s">
        <v>476</v>
      </c>
    </row>
    <row r="69" customFormat="false" ht="15" hidden="false" customHeight="false" outlineLevel="0" collapsed="false">
      <c r="A69" s="0" t="s">
        <v>260</v>
      </c>
      <c r="B69" s="0" t="s">
        <v>261</v>
      </c>
      <c r="C69" s="0" t="s">
        <v>26</v>
      </c>
      <c r="D69" s="0" t="n">
        <v>2</v>
      </c>
      <c r="E69" s="0" t="s">
        <v>48</v>
      </c>
      <c r="F69" s="0" t="s">
        <v>474</v>
      </c>
      <c r="G69" s="0" t="s">
        <v>495</v>
      </c>
      <c r="H69" s="0" t="s">
        <v>476</v>
      </c>
    </row>
    <row r="70" customFormat="false" ht="15" hidden="false" customHeight="false" outlineLevel="0" collapsed="false">
      <c r="A70" s="0" t="s">
        <v>260</v>
      </c>
      <c r="B70" s="0" t="s">
        <v>261</v>
      </c>
      <c r="C70" s="0" t="s">
        <v>27</v>
      </c>
      <c r="D70" s="0" t="n">
        <v>2</v>
      </c>
      <c r="E70" s="0" t="s">
        <v>48</v>
      </c>
      <c r="F70" s="0" t="s">
        <v>474</v>
      </c>
      <c r="G70" s="0" t="s">
        <v>495</v>
      </c>
      <c r="H70" s="0" t="s">
        <v>476</v>
      </c>
    </row>
    <row r="71" customFormat="false" ht="15" hidden="false" customHeight="false" outlineLevel="0" collapsed="false">
      <c r="A71" s="0" t="s">
        <v>260</v>
      </c>
      <c r="B71" s="0" t="s">
        <v>261</v>
      </c>
      <c r="C71" s="0" t="s">
        <v>28</v>
      </c>
      <c r="D71" s="0" t="n">
        <v>2</v>
      </c>
      <c r="E71" s="0" t="s">
        <v>48</v>
      </c>
      <c r="F71" s="0" t="s">
        <v>474</v>
      </c>
      <c r="G71" s="0" t="s">
        <v>495</v>
      </c>
      <c r="H71" s="0" t="s">
        <v>476</v>
      </c>
    </row>
    <row r="72" customFormat="false" ht="15" hidden="false" customHeight="false" outlineLevel="0" collapsed="false">
      <c r="A72" s="0" t="s">
        <v>260</v>
      </c>
      <c r="B72" s="0" t="s">
        <v>261</v>
      </c>
      <c r="C72" s="0" t="s">
        <v>29</v>
      </c>
      <c r="D72" s="0" t="n">
        <v>2</v>
      </c>
      <c r="E72" s="0" t="s">
        <v>48</v>
      </c>
      <c r="F72" s="0" t="s">
        <v>474</v>
      </c>
      <c r="G72" s="0" t="s">
        <v>495</v>
      </c>
      <c r="H72" s="0" t="s">
        <v>476</v>
      </c>
    </row>
    <row r="73" customFormat="false" ht="15" hidden="false" customHeight="false" outlineLevel="0" collapsed="false">
      <c r="A73" s="0" t="s">
        <v>260</v>
      </c>
      <c r="B73" s="0" t="s">
        <v>261</v>
      </c>
      <c r="C73" s="0" t="s">
        <v>30</v>
      </c>
      <c r="D73" s="0" t="n">
        <v>2</v>
      </c>
      <c r="E73" s="0" t="s">
        <v>48</v>
      </c>
      <c r="F73" s="0" t="s">
        <v>474</v>
      </c>
      <c r="G73" s="0" t="s">
        <v>495</v>
      </c>
      <c r="H73" s="0" t="s">
        <v>476</v>
      </c>
    </row>
    <row r="74" customFormat="false" ht="15" hidden="false" customHeight="false" outlineLevel="0" collapsed="false">
      <c r="A74" s="0" t="s">
        <v>260</v>
      </c>
      <c r="B74" s="0" t="s">
        <v>261</v>
      </c>
      <c r="C74" s="0" t="s">
        <v>31</v>
      </c>
      <c r="D74" s="0" t="n">
        <v>2</v>
      </c>
      <c r="E74" s="0" t="s">
        <v>48</v>
      </c>
      <c r="F74" s="0" t="s">
        <v>474</v>
      </c>
      <c r="G74" s="0" t="s">
        <v>495</v>
      </c>
      <c r="H74" s="0" t="s">
        <v>476</v>
      </c>
    </row>
    <row r="75" customFormat="false" ht="15" hidden="false" customHeight="false" outlineLevel="0" collapsed="false">
      <c r="A75" s="0" t="s">
        <v>266</v>
      </c>
      <c r="B75" s="0" t="s">
        <v>115</v>
      </c>
      <c r="C75" s="0" t="s">
        <v>31</v>
      </c>
      <c r="D75" s="0" t="n">
        <v>0.195027</v>
      </c>
      <c r="E75" s="0" t="s">
        <v>104</v>
      </c>
      <c r="F75" s="0" t="s">
        <v>435</v>
      </c>
      <c r="G75" s="0" t="s">
        <v>496</v>
      </c>
      <c r="H75" s="0" t="s">
        <v>437</v>
      </c>
    </row>
    <row r="76" customFormat="false" ht="15" hidden="false" customHeight="false" outlineLevel="0" collapsed="false">
      <c r="A76" s="0" t="s">
        <v>266</v>
      </c>
      <c r="B76" s="0" t="s">
        <v>115</v>
      </c>
      <c r="C76" s="0" t="s">
        <v>32</v>
      </c>
      <c r="D76" s="0" t="n">
        <v>0.289411</v>
      </c>
      <c r="E76" s="0" t="s">
        <v>104</v>
      </c>
      <c r="F76" s="0" t="s">
        <v>438</v>
      </c>
      <c r="G76" s="0" t="s">
        <v>497</v>
      </c>
      <c r="H76" s="0" t="s">
        <v>440</v>
      </c>
    </row>
    <row r="77" customFormat="false" ht="15" hidden="false" customHeight="false" outlineLevel="0" collapsed="false">
      <c r="A77" s="0" t="s">
        <v>266</v>
      </c>
      <c r="B77" s="0" t="s">
        <v>115</v>
      </c>
      <c r="C77" s="0" t="s">
        <v>33</v>
      </c>
      <c r="D77" s="0" t="n">
        <v>0.710272</v>
      </c>
      <c r="E77" s="0" t="s">
        <v>104</v>
      </c>
      <c r="F77" s="0" t="s">
        <v>441</v>
      </c>
      <c r="G77" s="0" t="s">
        <v>498</v>
      </c>
      <c r="H77" s="0" t="s">
        <v>443</v>
      </c>
    </row>
    <row r="78" customFormat="false" ht="15" hidden="false" customHeight="false" outlineLevel="0" collapsed="false">
      <c r="A78" s="0" t="s">
        <v>266</v>
      </c>
      <c r="B78" s="0" t="s">
        <v>115</v>
      </c>
      <c r="C78" s="0" t="s">
        <v>34</v>
      </c>
      <c r="D78" s="0" t="n">
        <v>5.1</v>
      </c>
      <c r="E78" s="0" t="s">
        <v>104</v>
      </c>
      <c r="F78" s="0" t="s">
        <v>322</v>
      </c>
      <c r="G78" s="0" t="s">
        <v>499</v>
      </c>
      <c r="H78" s="0" t="s">
        <v>434</v>
      </c>
    </row>
    <row r="79" customFormat="false" ht="15" hidden="false" customHeight="false" outlineLevel="0" collapsed="false">
      <c r="A79" s="0" t="s">
        <v>268</v>
      </c>
      <c r="B79" s="0" t="s">
        <v>269</v>
      </c>
      <c r="C79" s="0" t="s">
        <v>32</v>
      </c>
      <c r="D79" s="0" t="n">
        <v>9.989</v>
      </c>
      <c r="E79" s="0" t="s">
        <v>44</v>
      </c>
      <c r="F79" s="0" t="s">
        <v>438</v>
      </c>
      <c r="G79" s="0" t="s">
        <v>500</v>
      </c>
      <c r="H79" s="0" t="s">
        <v>440</v>
      </c>
    </row>
    <row r="80" customFormat="false" ht="15" hidden="false" customHeight="false" outlineLevel="0" collapsed="false">
      <c r="A80" s="0" t="s">
        <v>268</v>
      </c>
      <c r="B80" s="0" t="s">
        <v>269</v>
      </c>
      <c r="C80" s="0" t="s">
        <v>33</v>
      </c>
      <c r="D80" s="0" t="n">
        <v>10.41</v>
      </c>
      <c r="E80" s="0" t="s">
        <v>44</v>
      </c>
      <c r="F80" s="0" t="s">
        <v>441</v>
      </c>
      <c r="G80" s="0" t="s">
        <v>501</v>
      </c>
      <c r="H80" s="0" t="s">
        <v>443</v>
      </c>
    </row>
    <row r="81" customFormat="false" ht="15" hidden="false" customHeight="false" outlineLevel="0" collapsed="false">
      <c r="A81" s="0" t="s">
        <v>268</v>
      </c>
      <c r="B81" s="0" t="s">
        <v>269</v>
      </c>
      <c r="C81" s="0" t="s">
        <v>34</v>
      </c>
      <c r="D81" s="0" t="n">
        <v>16.6</v>
      </c>
      <c r="E81" s="0" t="s">
        <v>104</v>
      </c>
      <c r="F81" s="0" t="s">
        <v>322</v>
      </c>
      <c r="G81" s="0" t="s">
        <v>502</v>
      </c>
      <c r="H81" s="0" t="s">
        <v>434</v>
      </c>
    </row>
    <row r="82" customFormat="false" ht="15" hidden="false" customHeight="false" outlineLevel="0" collapsed="false">
      <c r="A82" s="0" t="s">
        <v>271</v>
      </c>
      <c r="B82" s="0" t="s">
        <v>272</v>
      </c>
      <c r="C82" s="0" t="s">
        <v>31</v>
      </c>
      <c r="D82" s="0" t="n">
        <v>95.8</v>
      </c>
      <c r="E82" s="0" t="s">
        <v>44</v>
      </c>
      <c r="F82" s="0" t="s">
        <v>435</v>
      </c>
      <c r="G82" s="0" t="s">
        <v>503</v>
      </c>
      <c r="H82" s="0" t="s">
        <v>437</v>
      </c>
    </row>
    <row r="83" customFormat="false" ht="15" hidden="false" customHeight="false" outlineLevel="0" collapsed="false">
      <c r="A83" s="0" t="s">
        <v>271</v>
      </c>
      <c r="B83" s="0" t="s">
        <v>272</v>
      </c>
      <c r="C83" s="0" t="s">
        <v>32</v>
      </c>
      <c r="D83" s="0" t="n">
        <v>98.7</v>
      </c>
      <c r="E83" s="0" t="s">
        <v>44</v>
      </c>
      <c r="F83" s="0" t="s">
        <v>438</v>
      </c>
      <c r="G83" s="0" t="s">
        <v>504</v>
      </c>
      <c r="H83" s="0" t="s">
        <v>440</v>
      </c>
    </row>
    <row r="84" customFormat="false" ht="15" hidden="false" customHeight="false" outlineLevel="0" collapsed="false">
      <c r="A84" s="0" t="s">
        <v>271</v>
      </c>
      <c r="B84" s="0" t="s">
        <v>272</v>
      </c>
      <c r="C84" s="0" t="s">
        <v>33</v>
      </c>
      <c r="D84" s="0" t="n">
        <v>80.7</v>
      </c>
      <c r="E84" s="0" t="s">
        <v>44</v>
      </c>
      <c r="F84" s="0" t="s">
        <v>441</v>
      </c>
      <c r="G84" s="0" t="s">
        <v>505</v>
      </c>
      <c r="H84" s="0" t="s">
        <v>443</v>
      </c>
    </row>
    <row r="85" customFormat="false" ht="15" hidden="false" customHeight="false" outlineLevel="0" collapsed="false">
      <c r="A85" s="0" t="s">
        <v>271</v>
      </c>
      <c r="B85" s="0" t="s">
        <v>272</v>
      </c>
      <c r="C85" s="0" t="s">
        <v>34</v>
      </c>
      <c r="D85" s="0" t="n">
        <v>43.1</v>
      </c>
      <c r="E85" s="0" t="s">
        <v>44</v>
      </c>
      <c r="F85" s="0" t="s">
        <v>322</v>
      </c>
      <c r="G85" s="0" t="s">
        <v>506</v>
      </c>
      <c r="H85" s="0" t="s">
        <v>434</v>
      </c>
    </row>
    <row r="86" customFormat="false" ht="15" hidden="false" customHeight="false" outlineLevel="0" collapsed="false">
      <c r="A86" s="0" t="s">
        <v>282</v>
      </c>
      <c r="B86" s="0" t="s">
        <v>283</v>
      </c>
      <c r="C86" s="0" t="s">
        <v>27</v>
      </c>
      <c r="D86" s="0" t="n">
        <v>0.022</v>
      </c>
      <c r="E86" s="0" t="s">
        <v>104</v>
      </c>
      <c r="F86" s="0" t="s">
        <v>435</v>
      </c>
      <c r="G86" s="0" t="s">
        <v>507</v>
      </c>
      <c r="H86" s="0" t="s">
        <v>437</v>
      </c>
    </row>
    <row r="87" customFormat="false" ht="15" hidden="false" customHeight="false" outlineLevel="0" collapsed="false">
      <c r="A87" s="0" t="s">
        <v>282</v>
      </c>
      <c r="B87" s="0" t="s">
        <v>283</v>
      </c>
      <c r="C87" s="0" t="s">
        <v>28</v>
      </c>
      <c r="D87" s="0" t="n">
        <v>6.253</v>
      </c>
      <c r="E87" s="0" t="s">
        <v>104</v>
      </c>
      <c r="F87" s="0" t="s">
        <v>477</v>
      </c>
      <c r="G87" s="0" t="s">
        <v>508</v>
      </c>
      <c r="H87" s="0" t="s">
        <v>478</v>
      </c>
    </row>
    <row r="88" customFormat="false" ht="15" hidden="false" customHeight="false" outlineLevel="0" collapsed="false">
      <c r="A88" s="0" t="s">
        <v>282</v>
      </c>
      <c r="B88" s="0" t="s">
        <v>283</v>
      </c>
      <c r="C88" s="0" t="s">
        <v>29</v>
      </c>
      <c r="D88" s="0" t="n">
        <v>4.119</v>
      </c>
      <c r="E88" s="0" t="s">
        <v>104</v>
      </c>
      <c r="F88" s="0" t="s">
        <v>441</v>
      </c>
      <c r="G88" s="0" t="s">
        <v>509</v>
      </c>
      <c r="H88" s="0" t="s">
        <v>443</v>
      </c>
    </row>
    <row r="89" customFormat="false" ht="15" hidden="false" customHeight="false" outlineLevel="0" collapsed="false">
      <c r="A89" s="0" t="s">
        <v>282</v>
      </c>
      <c r="B89" s="0" t="s">
        <v>283</v>
      </c>
      <c r="C89" s="0" t="s">
        <v>30</v>
      </c>
      <c r="D89" s="0" t="n">
        <v>5.182</v>
      </c>
      <c r="E89" s="0" t="s">
        <v>44</v>
      </c>
      <c r="F89" s="0" t="s">
        <v>444</v>
      </c>
      <c r="G89" s="0" t="s">
        <v>510</v>
      </c>
      <c r="H89" s="0" t="s">
        <v>446</v>
      </c>
    </row>
    <row r="90" customFormat="false" ht="15" hidden="false" customHeight="false" outlineLevel="0" collapsed="false">
      <c r="A90" s="0" t="s">
        <v>282</v>
      </c>
      <c r="B90" s="0" t="s">
        <v>283</v>
      </c>
      <c r="C90" s="0" t="s">
        <v>31</v>
      </c>
      <c r="D90" s="0" t="n">
        <v>9.28</v>
      </c>
      <c r="E90" s="0" t="s">
        <v>104</v>
      </c>
      <c r="F90" s="0" t="s">
        <v>435</v>
      </c>
      <c r="G90" s="0" t="s">
        <v>461</v>
      </c>
      <c r="H90" s="0" t="s">
        <v>437</v>
      </c>
    </row>
    <row r="91" customFormat="false" ht="15" hidden="false" customHeight="false" outlineLevel="0" collapsed="false">
      <c r="A91" s="0" t="s">
        <v>282</v>
      </c>
      <c r="B91" s="0" t="s">
        <v>283</v>
      </c>
      <c r="C91" s="0" t="s">
        <v>32</v>
      </c>
      <c r="D91" s="0" t="n">
        <v>10.668</v>
      </c>
      <c r="E91" s="0" t="s">
        <v>44</v>
      </c>
      <c r="F91" s="0" t="s">
        <v>441</v>
      </c>
      <c r="G91" s="0" t="s">
        <v>511</v>
      </c>
      <c r="H91" s="0" t="s">
        <v>443</v>
      </c>
    </row>
    <row r="92" customFormat="false" ht="15" hidden="false" customHeight="false" outlineLevel="0" collapsed="false">
      <c r="A92" s="0" t="s">
        <v>282</v>
      </c>
      <c r="B92" s="0" t="s">
        <v>283</v>
      </c>
      <c r="C92" s="0" t="s">
        <v>33</v>
      </c>
      <c r="D92" s="0" t="n">
        <v>14.837</v>
      </c>
      <c r="E92" s="0" t="s">
        <v>104</v>
      </c>
      <c r="F92" s="0" t="s">
        <v>441</v>
      </c>
      <c r="G92" s="0" t="s">
        <v>463</v>
      </c>
      <c r="H92" s="0" t="s">
        <v>443</v>
      </c>
    </row>
    <row r="93" customFormat="false" ht="15" hidden="false" customHeight="false" outlineLevel="0" collapsed="false">
      <c r="A93" s="0" t="s">
        <v>282</v>
      </c>
      <c r="B93" s="0" t="s">
        <v>283</v>
      </c>
      <c r="C93" s="0" t="s">
        <v>34</v>
      </c>
      <c r="D93" s="0" t="n">
        <v>24.466</v>
      </c>
      <c r="E93" s="0" t="s">
        <v>44</v>
      </c>
      <c r="F93" s="0" t="s">
        <v>322</v>
      </c>
      <c r="G93" s="0" t="s">
        <v>512</v>
      </c>
      <c r="H93" s="0" t="s">
        <v>434</v>
      </c>
    </row>
    <row r="94" customFormat="false" ht="15" hidden="false" customHeight="false" outlineLevel="0" collapsed="false">
      <c r="A94" s="0" t="s">
        <v>288</v>
      </c>
      <c r="B94" s="0" t="s">
        <v>289</v>
      </c>
      <c r="C94" s="0" t="s">
        <v>25</v>
      </c>
      <c r="D94" s="0" t="n">
        <v>0</v>
      </c>
      <c r="E94" s="0" t="s">
        <v>104</v>
      </c>
      <c r="F94" s="0" t="s">
        <v>451</v>
      </c>
      <c r="G94" s="0" t="s">
        <v>513</v>
      </c>
      <c r="H94" s="0" t="s">
        <v>453</v>
      </c>
    </row>
    <row r="95" customFormat="false" ht="15" hidden="false" customHeight="false" outlineLevel="0" collapsed="false">
      <c r="A95" s="0" t="s">
        <v>288</v>
      </c>
      <c r="B95" s="0" t="s">
        <v>289</v>
      </c>
      <c r="C95" s="0" t="s">
        <v>26</v>
      </c>
      <c r="D95" s="0" t="n">
        <v>0</v>
      </c>
      <c r="E95" s="0" t="s">
        <v>104</v>
      </c>
      <c r="F95" s="0" t="s">
        <v>454</v>
      </c>
      <c r="G95" s="0" t="s">
        <v>513</v>
      </c>
      <c r="H95" s="0" t="s">
        <v>456</v>
      </c>
    </row>
    <row r="96" customFormat="false" ht="15" hidden="false" customHeight="false" outlineLevel="0" collapsed="false">
      <c r="A96" s="0" t="s">
        <v>288</v>
      </c>
      <c r="B96" s="0" t="s">
        <v>289</v>
      </c>
      <c r="C96" s="0" t="s">
        <v>27</v>
      </c>
      <c r="D96" s="0" t="n">
        <v>0</v>
      </c>
      <c r="E96" s="0" t="s">
        <v>104</v>
      </c>
      <c r="F96" s="0" t="s">
        <v>474</v>
      </c>
      <c r="G96" s="0" t="s">
        <v>513</v>
      </c>
      <c r="H96" s="0" t="s">
        <v>476</v>
      </c>
    </row>
    <row r="97" customFormat="false" ht="15" hidden="false" customHeight="false" outlineLevel="0" collapsed="false">
      <c r="A97" s="0" t="s">
        <v>288</v>
      </c>
      <c r="B97" s="0" t="s">
        <v>289</v>
      </c>
      <c r="C97" s="0" t="s">
        <v>28</v>
      </c>
      <c r="D97" s="0" t="n">
        <v>440</v>
      </c>
      <c r="E97" s="0" t="s">
        <v>104</v>
      </c>
      <c r="F97" s="0" t="s">
        <v>477</v>
      </c>
      <c r="G97" s="0" t="s">
        <v>513</v>
      </c>
      <c r="H97" s="0" t="s">
        <v>478</v>
      </c>
    </row>
    <row r="98" customFormat="false" ht="15" hidden="false" customHeight="false" outlineLevel="0" collapsed="false">
      <c r="A98" s="0" t="s">
        <v>288</v>
      </c>
      <c r="B98" s="0" t="s">
        <v>289</v>
      </c>
      <c r="C98" s="0" t="s">
        <v>29</v>
      </c>
      <c r="D98" s="0" t="n">
        <v>440</v>
      </c>
      <c r="E98" s="0" t="s">
        <v>104</v>
      </c>
      <c r="F98" s="0" t="s">
        <v>430</v>
      </c>
      <c r="G98" s="0" t="s">
        <v>513</v>
      </c>
      <c r="H98" s="0" t="s">
        <v>432</v>
      </c>
    </row>
    <row r="99" customFormat="false" ht="15" hidden="false" customHeight="false" outlineLevel="0" collapsed="false">
      <c r="A99" s="0" t="s">
        <v>288</v>
      </c>
      <c r="B99" s="0" t="s">
        <v>289</v>
      </c>
      <c r="C99" s="0" t="s">
        <v>30</v>
      </c>
      <c r="D99" s="0" t="n">
        <v>990</v>
      </c>
      <c r="E99" s="0" t="s">
        <v>104</v>
      </c>
      <c r="F99" s="0" t="s">
        <v>444</v>
      </c>
      <c r="G99" s="0" t="s">
        <v>513</v>
      </c>
      <c r="H99" s="0" t="s">
        <v>446</v>
      </c>
    </row>
    <row r="100" customFormat="false" ht="15" hidden="false" customHeight="false" outlineLevel="0" collapsed="false">
      <c r="A100" s="0" t="s">
        <v>288</v>
      </c>
      <c r="B100" s="0" t="s">
        <v>289</v>
      </c>
      <c r="C100" s="0" t="s">
        <v>31</v>
      </c>
      <c r="D100" s="0" t="n">
        <v>990</v>
      </c>
      <c r="E100" s="0" t="s">
        <v>104</v>
      </c>
      <c r="F100" s="0" t="s">
        <v>435</v>
      </c>
      <c r="G100" s="0" t="s">
        <v>513</v>
      </c>
      <c r="H100" s="0" t="s">
        <v>437</v>
      </c>
    </row>
    <row r="101" customFormat="false" ht="15" hidden="false" customHeight="false" outlineLevel="0" collapsed="false">
      <c r="A101" s="0" t="s">
        <v>288</v>
      </c>
      <c r="B101" s="0" t="s">
        <v>289</v>
      </c>
      <c r="C101" s="0" t="s">
        <v>32</v>
      </c>
      <c r="D101" s="0" t="n">
        <v>3745.699</v>
      </c>
      <c r="E101" s="0" t="s">
        <v>104</v>
      </c>
      <c r="F101" s="0" t="s">
        <v>438</v>
      </c>
      <c r="G101" s="0" t="s">
        <v>513</v>
      </c>
      <c r="H101" s="0" t="s">
        <v>440</v>
      </c>
    </row>
    <row r="102" customFormat="false" ht="15" hidden="false" customHeight="false" outlineLevel="0" collapsed="false">
      <c r="A102" s="0" t="s">
        <v>288</v>
      </c>
      <c r="B102" s="0" t="s">
        <v>289</v>
      </c>
      <c r="C102" s="0" t="s">
        <v>33</v>
      </c>
      <c r="D102" s="0" t="n">
        <v>3745.699</v>
      </c>
      <c r="E102" s="0" t="s">
        <v>104</v>
      </c>
      <c r="F102" s="0" t="s">
        <v>441</v>
      </c>
      <c r="G102" s="0" t="s">
        <v>513</v>
      </c>
      <c r="H102" s="0" t="s">
        <v>443</v>
      </c>
    </row>
    <row r="103" customFormat="false" ht="15" hidden="false" customHeight="false" outlineLevel="0" collapsed="false">
      <c r="A103" s="0" t="s">
        <v>288</v>
      </c>
      <c r="B103" s="0" t="s">
        <v>289</v>
      </c>
      <c r="C103" s="0" t="s">
        <v>34</v>
      </c>
      <c r="D103" s="0" t="n">
        <v>7705.649</v>
      </c>
      <c r="E103" s="0" t="s">
        <v>104</v>
      </c>
      <c r="F103" s="0" t="s">
        <v>322</v>
      </c>
      <c r="G103" s="0" t="s">
        <v>513</v>
      </c>
      <c r="H103" s="0" t="s">
        <v>434</v>
      </c>
    </row>
    <row r="104" customFormat="false" ht="15" hidden="false" customHeight="false" outlineLevel="0" collapsed="false">
      <c r="A104" s="0" t="s">
        <v>293</v>
      </c>
      <c r="B104" s="0" t="s">
        <v>294</v>
      </c>
      <c r="C104" s="0" t="s">
        <v>25</v>
      </c>
      <c r="D104" s="0" t="n">
        <v>91</v>
      </c>
      <c r="E104" s="0" t="s">
        <v>104</v>
      </c>
      <c r="F104" s="0" t="s">
        <v>296</v>
      </c>
      <c r="G104" s="0" t="s">
        <v>296</v>
      </c>
    </row>
    <row r="105" customFormat="false" ht="15" hidden="false" customHeight="false" outlineLevel="0" collapsed="false">
      <c r="A105" s="0" t="s">
        <v>293</v>
      </c>
      <c r="B105" s="0" t="s">
        <v>294</v>
      </c>
      <c r="C105" s="0" t="s">
        <v>26</v>
      </c>
      <c r="D105" s="0" t="n">
        <v>91</v>
      </c>
      <c r="E105" s="0" t="s">
        <v>104</v>
      </c>
      <c r="F105" s="0" t="s">
        <v>296</v>
      </c>
      <c r="G105" s="0" t="s">
        <v>296</v>
      </c>
    </row>
    <row r="106" customFormat="false" ht="15" hidden="false" customHeight="false" outlineLevel="0" collapsed="false">
      <c r="A106" s="0" t="s">
        <v>293</v>
      </c>
      <c r="B106" s="0" t="s">
        <v>294</v>
      </c>
      <c r="C106" s="0" t="s">
        <v>27</v>
      </c>
      <c r="D106" s="0" t="n">
        <v>92</v>
      </c>
      <c r="E106" s="0" t="s">
        <v>104</v>
      </c>
      <c r="F106" s="0" t="s">
        <v>296</v>
      </c>
      <c r="G106" s="0" t="s">
        <v>296</v>
      </c>
    </row>
    <row r="107" customFormat="false" ht="15" hidden="false" customHeight="false" outlineLevel="0" collapsed="false">
      <c r="A107" s="0" t="s">
        <v>293</v>
      </c>
      <c r="B107" s="0" t="s">
        <v>294</v>
      </c>
      <c r="C107" s="0" t="s">
        <v>28</v>
      </c>
      <c r="D107" s="0" t="n">
        <v>92</v>
      </c>
      <c r="E107" s="0" t="s">
        <v>104</v>
      </c>
      <c r="F107" s="0" t="s">
        <v>296</v>
      </c>
      <c r="G107" s="0" t="s">
        <v>296</v>
      </c>
    </row>
    <row r="108" customFormat="false" ht="15" hidden="false" customHeight="false" outlineLevel="0" collapsed="false">
      <c r="A108" s="0" t="s">
        <v>293</v>
      </c>
      <c r="B108" s="0" t="s">
        <v>294</v>
      </c>
      <c r="C108" s="0" t="s">
        <v>29</v>
      </c>
      <c r="D108" s="0" t="n">
        <v>90</v>
      </c>
      <c r="E108" s="0" t="s">
        <v>104</v>
      </c>
      <c r="F108" s="0" t="s">
        <v>296</v>
      </c>
      <c r="G108" s="0" t="s">
        <v>296</v>
      </c>
    </row>
    <row r="109" customFormat="false" ht="15" hidden="false" customHeight="false" outlineLevel="0" collapsed="false">
      <c r="A109" s="0" t="s">
        <v>293</v>
      </c>
      <c r="B109" s="0" t="s">
        <v>294</v>
      </c>
      <c r="C109" s="0" t="s">
        <v>30</v>
      </c>
      <c r="D109" s="0" t="n">
        <v>91</v>
      </c>
      <c r="E109" s="0" t="s">
        <v>104</v>
      </c>
      <c r="F109" s="0" t="s">
        <v>296</v>
      </c>
      <c r="G109" s="0" t="s">
        <v>296</v>
      </c>
    </row>
    <row r="110" customFormat="false" ht="15" hidden="false" customHeight="false" outlineLevel="0" collapsed="false">
      <c r="A110" s="0" t="s">
        <v>293</v>
      </c>
      <c r="B110" s="0" t="s">
        <v>294</v>
      </c>
      <c r="C110" s="0" t="s">
        <v>31</v>
      </c>
      <c r="D110" s="0" t="n">
        <v>92</v>
      </c>
      <c r="E110" s="0" t="s">
        <v>104</v>
      </c>
      <c r="F110" s="0" t="s">
        <v>296</v>
      </c>
      <c r="G110" s="0" t="s">
        <v>296</v>
      </c>
    </row>
    <row r="111" customFormat="false" ht="15" hidden="false" customHeight="false" outlineLevel="0" collapsed="false">
      <c r="A111" s="0" t="s">
        <v>293</v>
      </c>
      <c r="B111" s="0" t="s">
        <v>294</v>
      </c>
      <c r="C111" s="0" t="s">
        <v>32</v>
      </c>
      <c r="D111" s="0" t="n">
        <v>92</v>
      </c>
      <c r="E111" s="0" t="s">
        <v>104</v>
      </c>
      <c r="F111" s="0" t="s">
        <v>296</v>
      </c>
      <c r="G111" s="0" t="s">
        <v>296</v>
      </c>
    </row>
    <row r="112" customFormat="false" ht="15" hidden="false" customHeight="false" outlineLevel="0" collapsed="false">
      <c r="A112" s="0" t="s">
        <v>293</v>
      </c>
      <c r="B112" s="0" t="s">
        <v>294</v>
      </c>
      <c r="C112" s="0" t="s">
        <v>33</v>
      </c>
      <c r="D112" s="0" t="n">
        <v>90</v>
      </c>
      <c r="E112" s="0" t="s">
        <v>104</v>
      </c>
      <c r="F112" s="0" t="s">
        <v>296</v>
      </c>
      <c r="G112" s="0" t="s">
        <v>296</v>
      </c>
    </row>
    <row r="113" customFormat="false" ht="15" hidden="false" customHeight="false" outlineLevel="0" collapsed="false">
      <c r="A113" s="0" t="s">
        <v>293</v>
      </c>
      <c r="B113" s="0" t="s">
        <v>294</v>
      </c>
      <c r="C113" s="0" t="s">
        <v>34</v>
      </c>
      <c r="D113" s="0" t="n">
        <v>91</v>
      </c>
      <c r="E113" s="0" t="s">
        <v>104</v>
      </c>
      <c r="F113" s="0" t="s">
        <v>296</v>
      </c>
      <c r="G113" s="0" t="s">
        <v>296</v>
      </c>
    </row>
    <row r="114" customFormat="false" ht="15" hidden="false" customHeight="false" outlineLevel="0" collapsed="false">
      <c r="A114" s="0" t="s">
        <v>299</v>
      </c>
      <c r="B114" s="0" t="s">
        <v>300</v>
      </c>
      <c r="C114" s="0" t="s">
        <v>25</v>
      </c>
      <c r="D114" s="0" t="n">
        <v>5</v>
      </c>
      <c r="E114" s="0" t="s">
        <v>104</v>
      </c>
      <c r="F114" s="0" t="s">
        <v>454</v>
      </c>
      <c r="G114" s="0" t="s">
        <v>514</v>
      </c>
      <c r="H114" s="0" t="s">
        <v>456</v>
      </c>
    </row>
    <row r="115" customFormat="false" ht="15" hidden="false" customHeight="false" outlineLevel="0" collapsed="false">
      <c r="A115" s="0" t="s">
        <v>299</v>
      </c>
      <c r="B115" s="0" t="s">
        <v>300</v>
      </c>
      <c r="C115" s="0" t="s">
        <v>26</v>
      </c>
      <c r="D115" s="0" t="n">
        <v>5</v>
      </c>
      <c r="E115" s="0" t="s">
        <v>104</v>
      </c>
      <c r="F115" s="0" t="s">
        <v>454</v>
      </c>
      <c r="G115" s="0" t="s">
        <v>495</v>
      </c>
      <c r="H115" s="0" t="s">
        <v>456</v>
      </c>
    </row>
    <row r="116" customFormat="false" ht="15" hidden="false" customHeight="false" outlineLevel="0" collapsed="false">
      <c r="A116" s="0" t="s">
        <v>299</v>
      </c>
      <c r="B116" s="0" t="s">
        <v>300</v>
      </c>
      <c r="C116" s="0" t="s">
        <v>27</v>
      </c>
      <c r="D116" s="0" t="n">
        <v>5</v>
      </c>
      <c r="E116" s="0" t="s">
        <v>104</v>
      </c>
      <c r="F116" s="0" t="s">
        <v>444</v>
      </c>
      <c r="G116" s="0" t="s">
        <v>515</v>
      </c>
      <c r="H116" s="0" t="s">
        <v>446</v>
      </c>
    </row>
    <row r="117" customFormat="false" ht="15" hidden="false" customHeight="false" outlineLevel="0" collapsed="false">
      <c r="A117" s="0" t="s">
        <v>299</v>
      </c>
      <c r="B117" s="0" t="s">
        <v>300</v>
      </c>
      <c r="C117" s="0" t="s">
        <v>28</v>
      </c>
      <c r="D117" s="0" t="n">
        <v>5</v>
      </c>
      <c r="E117" s="0" t="s">
        <v>104</v>
      </c>
      <c r="F117" s="0" t="s">
        <v>444</v>
      </c>
      <c r="G117" s="0" t="s">
        <v>515</v>
      </c>
      <c r="H117" s="0" t="s">
        <v>446</v>
      </c>
    </row>
    <row r="118" customFormat="false" ht="15" hidden="false" customHeight="false" outlineLevel="0" collapsed="false">
      <c r="A118" s="0" t="s">
        <v>299</v>
      </c>
      <c r="B118" s="0" t="s">
        <v>300</v>
      </c>
      <c r="C118" s="0" t="s">
        <v>29</v>
      </c>
      <c r="D118" s="0" t="n">
        <v>5</v>
      </c>
      <c r="E118" s="0" t="s">
        <v>104</v>
      </c>
      <c r="F118" s="0" t="s">
        <v>444</v>
      </c>
      <c r="G118" s="0" t="s">
        <v>515</v>
      </c>
      <c r="H118" s="0" t="s">
        <v>446</v>
      </c>
    </row>
    <row r="119" customFormat="false" ht="15" hidden="false" customHeight="false" outlineLevel="0" collapsed="false">
      <c r="A119" s="0" t="s">
        <v>299</v>
      </c>
      <c r="B119" s="0" t="s">
        <v>300</v>
      </c>
      <c r="C119" s="0" t="s">
        <v>30</v>
      </c>
      <c r="D119" s="0" t="n">
        <v>5</v>
      </c>
      <c r="E119" s="0" t="s">
        <v>104</v>
      </c>
      <c r="F119" s="0" t="s">
        <v>444</v>
      </c>
      <c r="G119" s="0" t="s">
        <v>515</v>
      </c>
      <c r="H119" s="0" t="s">
        <v>446</v>
      </c>
    </row>
    <row r="120" customFormat="false" ht="15" hidden="false" customHeight="false" outlineLevel="0" collapsed="false">
      <c r="A120" s="0" t="s">
        <v>299</v>
      </c>
      <c r="B120" s="0" t="s">
        <v>300</v>
      </c>
      <c r="C120" s="0" t="s">
        <v>31</v>
      </c>
      <c r="D120" s="0" t="n">
        <v>5</v>
      </c>
      <c r="E120" s="0" t="s">
        <v>104</v>
      </c>
      <c r="F120" s="0" t="s">
        <v>322</v>
      </c>
      <c r="G120" s="0" t="s">
        <v>516</v>
      </c>
      <c r="H120" s="0" t="s">
        <v>434</v>
      </c>
    </row>
    <row r="121" customFormat="false" ht="15" hidden="false" customHeight="false" outlineLevel="0" collapsed="false">
      <c r="A121" s="0" t="s">
        <v>299</v>
      </c>
      <c r="B121" s="0" t="s">
        <v>300</v>
      </c>
      <c r="C121" s="0" t="s">
        <v>32</v>
      </c>
      <c r="D121" s="0" t="n">
        <v>5</v>
      </c>
      <c r="E121" s="0" t="s">
        <v>104</v>
      </c>
      <c r="F121" s="0" t="s">
        <v>322</v>
      </c>
      <c r="G121" s="0" t="s">
        <v>516</v>
      </c>
      <c r="H121" s="0" t="s">
        <v>434</v>
      </c>
    </row>
    <row r="122" customFormat="false" ht="15" hidden="false" customHeight="false" outlineLevel="0" collapsed="false">
      <c r="A122" s="0" t="s">
        <v>299</v>
      </c>
      <c r="B122" s="0" t="s">
        <v>300</v>
      </c>
      <c r="C122" s="0" t="s">
        <v>33</v>
      </c>
      <c r="D122" s="0" t="n">
        <v>5</v>
      </c>
      <c r="E122" s="0" t="s">
        <v>104</v>
      </c>
      <c r="F122" s="0" t="s">
        <v>322</v>
      </c>
      <c r="G122" s="0" t="s">
        <v>516</v>
      </c>
      <c r="H122" s="0" t="s">
        <v>434</v>
      </c>
    </row>
    <row r="123" customFormat="false" ht="15" hidden="false" customHeight="false" outlineLevel="0" collapsed="false">
      <c r="A123" s="0" t="s">
        <v>299</v>
      </c>
      <c r="B123" s="0" t="s">
        <v>300</v>
      </c>
      <c r="C123" s="0" t="s">
        <v>34</v>
      </c>
      <c r="D123" s="0" t="n">
        <v>5</v>
      </c>
      <c r="E123" s="0" t="s">
        <v>104</v>
      </c>
      <c r="F123" s="0" t="s">
        <v>322</v>
      </c>
      <c r="G123" s="0" t="s">
        <v>516</v>
      </c>
      <c r="H123" s="0" t="s">
        <v>434</v>
      </c>
    </row>
    <row r="124" customFormat="false" ht="15" hidden="false" customHeight="false" outlineLevel="0" collapsed="false">
      <c r="A124" s="0" t="s">
        <v>304</v>
      </c>
      <c r="B124" s="0" t="s">
        <v>305</v>
      </c>
      <c r="C124" s="0" t="s">
        <v>31</v>
      </c>
      <c r="D124" s="0" t="n">
        <v>47.9</v>
      </c>
      <c r="E124" s="0" t="s">
        <v>44</v>
      </c>
      <c r="F124" s="0" t="s">
        <v>435</v>
      </c>
      <c r="G124" s="0" t="s">
        <v>517</v>
      </c>
      <c r="H124" s="0" t="s">
        <v>437</v>
      </c>
    </row>
    <row r="125" customFormat="false" ht="15" hidden="false" customHeight="false" outlineLevel="0" collapsed="false">
      <c r="A125" s="0" t="s">
        <v>304</v>
      </c>
      <c r="B125" s="0" t="s">
        <v>305</v>
      </c>
      <c r="C125" s="0" t="s">
        <v>32</v>
      </c>
      <c r="D125" s="0" t="n">
        <v>51.9</v>
      </c>
      <c r="E125" s="0" t="s">
        <v>44</v>
      </c>
      <c r="F125" s="0" t="s">
        <v>438</v>
      </c>
      <c r="G125" s="0" t="s">
        <v>518</v>
      </c>
      <c r="H125" s="0" t="s">
        <v>440</v>
      </c>
    </row>
    <row r="126" customFormat="false" ht="15" hidden="false" customHeight="false" outlineLevel="0" collapsed="false">
      <c r="A126" s="0" t="s">
        <v>304</v>
      </c>
      <c r="B126" s="0" t="s">
        <v>305</v>
      </c>
      <c r="C126" s="0" t="s">
        <v>33</v>
      </c>
      <c r="D126" s="0" t="n">
        <v>43.4</v>
      </c>
      <c r="E126" s="0" t="s">
        <v>44</v>
      </c>
      <c r="F126" s="0" t="s">
        <v>441</v>
      </c>
      <c r="G126" s="0" t="s">
        <v>519</v>
      </c>
      <c r="H126" s="0" t="s">
        <v>443</v>
      </c>
    </row>
    <row r="127" customFormat="false" ht="15" hidden="false" customHeight="false" outlineLevel="0" collapsed="false">
      <c r="A127" s="0" t="s">
        <v>304</v>
      </c>
      <c r="B127" s="0" t="s">
        <v>305</v>
      </c>
      <c r="C127" s="0" t="s">
        <v>34</v>
      </c>
      <c r="D127" s="0" t="n">
        <v>17.6</v>
      </c>
      <c r="E127" s="0" t="s">
        <v>44</v>
      </c>
      <c r="F127" s="0" t="s">
        <v>322</v>
      </c>
      <c r="G127" s="0" t="s">
        <v>520</v>
      </c>
      <c r="H127" s="0" t="s">
        <v>434</v>
      </c>
    </row>
    <row r="128" customFormat="false" ht="15" hidden="false" customHeight="false" outlineLevel="0" collapsed="false">
      <c r="A128" s="0" t="s">
        <v>306</v>
      </c>
      <c r="B128" s="0" t="s">
        <v>307</v>
      </c>
      <c r="C128" s="0" t="s">
        <v>25</v>
      </c>
      <c r="D128" s="0" t="n">
        <v>29.603</v>
      </c>
      <c r="E128" s="0" t="s">
        <v>104</v>
      </c>
      <c r="F128" s="0" t="s">
        <v>451</v>
      </c>
      <c r="G128" s="0" t="s">
        <v>521</v>
      </c>
      <c r="H128" s="0" t="s">
        <v>453</v>
      </c>
    </row>
    <row r="129" customFormat="false" ht="15" hidden="false" customHeight="false" outlineLevel="0" collapsed="false">
      <c r="A129" s="0" t="s">
        <v>306</v>
      </c>
      <c r="B129" s="0" t="s">
        <v>307</v>
      </c>
      <c r="C129" s="0" t="s">
        <v>26</v>
      </c>
      <c r="D129" s="0" t="n">
        <v>33.315</v>
      </c>
      <c r="E129" s="0" t="s">
        <v>104</v>
      </c>
      <c r="F129" s="0" t="s">
        <v>454</v>
      </c>
      <c r="G129" s="0" t="s">
        <v>522</v>
      </c>
      <c r="H129" s="0" t="s">
        <v>456</v>
      </c>
    </row>
    <row r="130" customFormat="false" ht="15" hidden="false" customHeight="false" outlineLevel="0" collapsed="false">
      <c r="A130" s="0" t="s">
        <v>306</v>
      </c>
      <c r="B130" s="0" t="s">
        <v>307</v>
      </c>
      <c r="C130" s="0" t="s">
        <v>27</v>
      </c>
      <c r="D130" s="0" t="n">
        <v>33.678</v>
      </c>
      <c r="E130" s="0" t="s">
        <v>104</v>
      </c>
      <c r="F130" s="0" t="s">
        <v>474</v>
      </c>
      <c r="G130" s="0" t="s">
        <v>523</v>
      </c>
      <c r="H130" s="0" t="s">
        <v>476</v>
      </c>
    </row>
    <row r="131" customFormat="false" ht="15" hidden="false" customHeight="false" outlineLevel="0" collapsed="false">
      <c r="A131" s="0" t="s">
        <v>306</v>
      </c>
      <c r="B131" s="0" t="s">
        <v>307</v>
      </c>
      <c r="C131" s="0" t="s">
        <v>28</v>
      </c>
      <c r="D131" s="0" t="n">
        <v>68.19</v>
      </c>
      <c r="E131" s="0" t="s">
        <v>104</v>
      </c>
      <c r="F131" s="0" t="s">
        <v>477</v>
      </c>
      <c r="G131" s="0" t="s">
        <v>495</v>
      </c>
      <c r="H131" s="0" t="s">
        <v>478</v>
      </c>
    </row>
    <row r="132" customFormat="false" ht="15" hidden="false" customHeight="false" outlineLevel="0" collapsed="false">
      <c r="A132" s="0" t="s">
        <v>306</v>
      </c>
      <c r="B132" s="0" t="s">
        <v>307</v>
      </c>
      <c r="C132" s="0" t="s">
        <v>29</v>
      </c>
      <c r="D132" s="0" t="n">
        <v>69.406</v>
      </c>
      <c r="E132" s="0" t="s">
        <v>104</v>
      </c>
      <c r="F132" s="0" t="s">
        <v>430</v>
      </c>
      <c r="G132" s="0" t="s">
        <v>495</v>
      </c>
      <c r="H132" s="0" t="s">
        <v>432</v>
      </c>
    </row>
    <row r="133" customFormat="false" ht="15" hidden="false" customHeight="false" outlineLevel="0" collapsed="false">
      <c r="A133" s="0" t="s">
        <v>306</v>
      </c>
      <c r="B133" s="0" t="s">
        <v>307</v>
      </c>
      <c r="C133" s="0" t="s">
        <v>30</v>
      </c>
      <c r="D133" s="0" t="n">
        <v>76.001</v>
      </c>
      <c r="E133" s="0" t="s">
        <v>104</v>
      </c>
      <c r="F133" s="0" t="s">
        <v>444</v>
      </c>
      <c r="G133" s="0" t="s">
        <v>524</v>
      </c>
      <c r="H133" s="0" t="s">
        <v>446</v>
      </c>
    </row>
    <row r="134" customFormat="false" ht="15" hidden="false" customHeight="false" outlineLevel="0" collapsed="false">
      <c r="A134" s="0" t="s">
        <v>306</v>
      </c>
      <c r="B134" s="0" t="s">
        <v>307</v>
      </c>
      <c r="C134" s="0" t="s">
        <v>31</v>
      </c>
      <c r="D134" s="0" t="n">
        <v>106.047</v>
      </c>
      <c r="E134" s="0" t="s">
        <v>104</v>
      </c>
      <c r="F134" s="0" t="s">
        <v>435</v>
      </c>
      <c r="G134" s="0" t="s">
        <v>525</v>
      </c>
      <c r="H134" s="0" t="s">
        <v>437</v>
      </c>
    </row>
    <row r="135" customFormat="false" ht="15" hidden="false" customHeight="false" outlineLevel="0" collapsed="false">
      <c r="A135" s="0" t="s">
        <v>306</v>
      </c>
      <c r="B135" s="0" t="s">
        <v>307</v>
      </c>
      <c r="C135" s="0" t="s">
        <v>32</v>
      </c>
      <c r="D135" s="0" t="n">
        <v>550.636</v>
      </c>
      <c r="E135" s="0" t="s">
        <v>104</v>
      </c>
      <c r="F135" s="0" t="s">
        <v>438</v>
      </c>
      <c r="G135" s="0" t="s">
        <v>526</v>
      </c>
      <c r="H135" s="0" t="s">
        <v>440</v>
      </c>
    </row>
    <row r="136" customFormat="false" ht="15" hidden="false" customHeight="false" outlineLevel="0" collapsed="false">
      <c r="A136" s="0" t="s">
        <v>306</v>
      </c>
      <c r="B136" s="0" t="s">
        <v>307</v>
      </c>
      <c r="C136" s="0" t="s">
        <v>33</v>
      </c>
      <c r="D136" s="0" t="n">
        <v>811.39</v>
      </c>
      <c r="E136" s="0" t="s">
        <v>104</v>
      </c>
      <c r="F136" s="0" t="s">
        <v>441</v>
      </c>
      <c r="G136" s="0" t="s">
        <v>526</v>
      </c>
      <c r="H136" s="0" t="s">
        <v>443</v>
      </c>
    </row>
    <row r="137" customFormat="false" ht="15" hidden="false" customHeight="false" outlineLevel="0" collapsed="false">
      <c r="A137" s="0" t="s">
        <v>306</v>
      </c>
      <c r="B137" s="0" t="s">
        <v>307</v>
      </c>
      <c r="C137" s="0" t="s">
        <v>34</v>
      </c>
      <c r="D137" s="0" t="n">
        <v>2034.811</v>
      </c>
      <c r="E137" s="0" t="s">
        <v>104</v>
      </c>
      <c r="F137" s="0" t="s">
        <v>322</v>
      </c>
      <c r="G137" s="0" t="s">
        <v>527</v>
      </c>
      <c r="H137" s="0" t="s">
        <v>434</v>
      </c>
    </row>
    <row r="138" customFormat="false" ht="15" hidden="false" customHeight="false" outlineLevel="0" collapsed="false">
      <c r="A138" s="0" t="s">
        <v>309</v>
      </c>
      <c r="B138" s="0" t="s">
        <v>310</v>
      </c>
      <c r="C138" s="0" t="s">
        <v>27</v>
      </c>
      <c r="D138" s="0" t="n">
        <v>0.232</v>
      </c>
      <c r="E138" s="0" t="s">
        <v>104</v>
      </c>
      <c r="F138" s="0" t="s">
        <v>435</v>
      </c>
      <c r="G138" s="0" t="s">
        <v>528</v>
      </c>
      <c r="H138" s="0" t="s">
        <v>437</v>
      </c>
    </row>
    <row r="139" customFormat="false" ht="15" hidden="false" customHeight="false" outlineLevel="0" collapsed="false">
      <c r="A139" s="0" t="s">
        <v>309</v>
      </c>
      <c r="B139" s="0" t="s">
        <v>310</v>
      </c>
      <c r="C139" s="0" t="s">
        <v>28</v>
      </c>
      <c r="D139" s="0" t="n">
        <v>0.275</v>
      </c>
      <c r="E139" s="0" t="s">
        <v>104</v>
      </c>
      <c r="F139" s="0" t="s">
        <v>438</v>
      </c>
      <c r="G139" s="0" t="s">
        <v>528</v>
      </c>
      <c r="H139" s="0" t="s">
        <v>440</v>
      </c>
    </row>
    <row r="140" customFormat="false" ht="15" hidden="false" customHeight="false" outlineLevel="0" collapsed="false">
      <c r="A140" s="0" t="s">
        <v>309</v>
      </c>
      <c r="B140" s="0" t="s">
        <v>310</v>
      </c>
      <c r="C140" s="0" t="s">
        <v>29</v>
      </c>
      <c r="D140" s="0" t="n">
        <v>0.336</v>
      </c>
      <c r="E140" s="0" t="s">
        <v>104</v>
      </c>
      <c r="F140" s="0" t="s">
        <v>441</v>
      </c>
      <c r="G140" s="0" t="s">
        <v>528</v>
      </c>
      <c r="H140" s="0" t="s">
        <v>443</v>
      </c>
    </row>
    <row r="141" customFormat="false" ht="15" hidden="false" customHeight="false" outlineLevel="0" collapsed="false">
      <c r="A141" s="0" t="s">
        <v>309</v>
      </c>
      <c r="B141" s="0" t="s">
        <v>310</v>
      </c>
      <c r="C141" s="0" t="s">
        <v>30</v>
      </c>
      <c r="D141" s="0" t="n">
        <v>0.476</v>
      </c>
      <c r="E141" s="0" t="s">
        <v>44</v>
      </c>
      <c r="F141" s="0" t="s">
        <v>444</v>
      </c>
      <c r="G141" s="0" t="s">
        <v>529</v>
      </c>
      <c r="H141" s="0" t="s">
        <v>446</v>
      </c>
    </row>
    <row r="142" customFormat="false" ht="15" hidden="false" customHeight="false" outlineLevel="0" collapsed="false">
      <c r="A142" s="0" t="s">
        <v>309</v>
      </c>
      <c r="B142" s="0" t="s">
        <v>310</v>
      </c>
      <c r="C142" s="0" t="s">
        <v>31</v>
      </c>
      <c r="D142" s="0" t="n">
        <v>0.728</v>
      </c>
      <c r="E142" s="0" t="s">
        <v>104</v>
      </c>
      <c r="F142" s="0" t="s">
        <v>435</v>
      </c>
      <c r="G142" s="0" t="s">
        <v>530</v>
      </c>
      <c r="H142" s="0" t="s">
        <v>437</v>
      </c>
    </row>
    <row r="143" customFormat="false" ht="15" hidden="false" customHeight="false" outlineLevel="0" collapsed="false">
      <c r="A143" s="0" t="s">
        <v>309</v>
      </c>
      <c r="B143" s="0" t="s">
        <v>310</v>
      </c>
      <c r="C143" s="0" t="s">
        <v>32</v>
      </c>
      <c r="D143" s="0" t="n">
        <v>2.395</v>
      </c>
      <c r="E143" s="0" t="s">
        <v>104</v>
      </c>
      <c r="F143" s="0" t="s">
        <v>438</v>
      </c>
      <c r="G143" s="0" t="s">
        <v>530</v>
      </c>
      <c r="H143" s="0" t="s">
        <v>440</v>
      </c>
    </row>
    <row r="144" customFormat="false" ht="15" hidden="false" customHeight="false" outlineLevel="0" collapsed="false">
      <c r="A144" s="0" t="s">
        <v>309</v>
      </c>
      <c r="B144" s="0" t="s">
        <v>310</v>
      </c>
      <c r="C144" s="0" t="s">
        <v>33</v>
      </c>
      <c r="D144" s="0" t="n">
        <v>4.597</v>
      </c>
      <c r="E144" s="0" t="s">
        <v>104</v>
      </c>
      <c r="F144" s="0" t="s">
        <v>441</v>
      </c>
      <c r="G144" s="0" t="s">
        <v>530</v>
      </c>
      <c r="H144" s="0" t="s">
        <v>443</v>
      </c>
    </row>
    <row r="145" customFormat="false" ht="15" hidden="false" customHeight="false" outlineLevel="0" collapsed="false">
      <c r="A145" s="0" t="s">
        <v>309</v>
      </c>
      <c r="B145" s="0" t="s">
        <v>310</v>
      </c>
      <c r="C145" s="0" t="s">
        <v>34</v>
      </c>
      <c r="D145" s="0" t="n">
        <v>9.212</v>
      </c>
      <c r="E145" s="0" t="s">
        <v>44</v>
      </c>
      <c r="F145" s="0" t="s">
        <v>322</v>
      </c>
      <c r="G145" s="0" t="s">
        <v>531</v>
      </c>
      <c r="H145" s="0" t="s">
        <v>434</v>
      </c>
    </row>
    <row r="146" customFormat="false" ht="15" hidden="false" customHeight="false" outlineLevel="0" collapsed="false">
      <c r="A146" s="0" t="s">
        <v>312</v>
      </c>
      <c r="B146" s="0" t="s">
        <v>313</v>
      </c>
      <c r="C146" s="0" t="s">
        <v>25</v>
      </c>
      <c r="D146" s="0" t="n">
        <v>53.383</v>
      </c>
      <c r="E146" s="0" t="s">
        <v>104</v>
      </c>
      <c r="F146" s="0" t="s">
        <v>430</v>
      </c>
      <c r="G146" s="0" t="s">
        <v>532</v>
      </c>
      <c r="H146" s="0" t="s">
        <v>432</v>
      </c>
    </row>
    <row r="147" customFormat="false" ht="15" hidden="false" customHeight="false" outlineLevel="0" collapsed="false">
      <c r="A147" s="0" t="s">
        <v>312</v>
      </c>
      <c r="B147" s="0" t="s">
        <v>313</v>
      </c>
      <c r="C147" s="0" t="s">
        <v>26</v>
      </c>
      <c r="D147" s="0" t="n">
        <v>54.26</v>
      </c>
      <c r="E147" s="0" t="s">
        <v>44</v>
      </c>
      <c r="F147" s="0" t="s">
        <v>322</v>
      </c>
      <c r="G147" s="0" t="s">
        <v>533</v>
      </c>
      <c r="H147" s="0" t="s">
        <v>434</v>
      </c>
    </row>
    <row r="148" customFormat="false" ht="15" hidden="false" customHeight="false" outlineLevel="0" collapsed="false">
      <c r="A148" s="0" t="s">
        <v>312</v>
      </c>
      <c r="B148" s="0" t="s">
        <v>313</v>
      </c>
      <c r="C148" s="0" t="s">
        <v>27</v>
      </c>
      <c r="D148" s="0" t="n">
        <v>49.575</v>
      </c>
      <c r="E148" s="0" t="s">
        <v>104</v>
      </c>
      <c r="F148" s="0" t="s">
        <v>435</v>
      </c>
      <c r="G148" s="0" t="s">
        <v>528</v>
      </c>
      <c r="H148" s="0" t="s">
        <v>437</v>
      </c>
    </row>
    <row r="149" customFormat="false" ht="15" hidden="false" customHeight="false" outlineLevel="0" collapsed="false">
      <c r="A149" s="0" t="s">
        <v>312</v>
      </c>
      <c r="B149" s="0" t="s">
        <v>313</v>
      </c>
      <c r="C149" s="0" t="s">
        <v>28</v>
      </c>
      <c r="D149" s="0" t="n">
        <v>113.483</v>
      </c>
      <c r="E149" s="0" t="s">
        <v>104</v>
      </c>
      <c r="F149" s="0" t="s">
        <v>438</v>
      </c>
      <c r="G149" s="0" t="s">
        <v>534</v>
      </c>
      <c r="H149" s="0" t="s">
        <v>440</v>
      </c>
    </row>
    <row r="150" customFormat="false" ht="15" hidden="false" customHeight="false" outlineLevel="0" collapsed="false">
      <c r="A150" s="0" t="s">
        <v>312</v>
      </c>
      <c r="B150" s="0" t="s">
        <v>313</v>
      </c>
      <c r="C150" s="0" t="s">
        <v>29</v>
      </c>
      <c r="D150" s="0" t="n">
        <v>141.242</v>
      </c>
      <c r="E150" s="0" t="s">
        <v>104</v>
      </c>
      <c r="F150" s="0" t="s">
        <v>441</v>
      </c>
      <c r="G150" s="0" t="s">
        <v>534</v>
      </c>
      <c r="H150" s="0" t="s">
        <v>443</v>
      </c>
    </row>
    <row r="151" customFormat="false" ht="15" hidden="false" customHeight="false" outlineLevel="0" collapsed="false">
      <c r="A151" s="0" t="s">
        <v>312</v>
      </c>
      <c r="B151" s="0" t="s">
        <v>313</v>
      </c>
      <c r="C151" s="0" t="s">
        <v>30</v>
      </c>
      <c r="D151" s="0" t="n">
        <v>180.33</v>
      </c>
      <c r="E151" s="0" t="s">
        <v>104</v>
      </c>
      <c r="F151" s="0" t="s">
        <v>444</v>
      </c>
      <c r="G151" s="0" t="s">
        <v>535</v>
      </c>
      <c r="H151" s="0" t="s">
        <v>446</v>
      </c>
    </row>
    <row r="152" customFormat="false" ht="15" hidden="false" customHeight="false" outlineLevel="0" collapsed="false">
      <c r="A152" s="0" t="s">
        <v>312</v>
      </c>
      <c r="B152" s="0" t="s">
        <v>313</v>
      </c>
      <c r="C152" s="0" t="s">
        <v>31</v>
      </c>
      <c r="D152" s="0" t="n">
        <v>232.948</v>
      </c>
      <c r="E152" s="0" t="s">
        <v>104</v>
      </c>
      <c r="F152" s="0" t="s">
        <v>435</v>
      </c>
      <c r="G152" s="0" t="s">
        <v>530</v>
      </c>
      <c r="H152" s="0" t="s">
        <v>437</v>
      </c>
    </row>
    <row r="153" customFormat="false" ht="15" hidden="false" customHeight="false" outlineLevel="0" collapsed="false">
      <c r="A153" s="0" t="s">
        <v>312</v>
      </c>
      <c r="B153" s="0" t="s">
        <v>313</v>
      </c>
      <c r="C153" s="0" t="s">
        <v>32</v>
      </c>
      <c r="D153" s="0" t="n">
        <v>167.394</v>
      </c>
      <c r="E153" s="0" t="s">
        <v>104</v>
      </c>
      <c r="F153" s="0" t="s">
        <v>438</v>
      </c>
      <c r="G153" s="0" t="s">
        <v>530</v>
      </c>
      <c r="H153" s="0" t="s">
        <v>440</v>
      </c>
    </row>
    <row r="154" customFormat="false" ht="15" hidden="false" customHeight="false" outlineLevel="0" collapsed="false">
      <c r="A154" s="0" t="s">
        <v>312</v>
      </c>
      <c r="B154" s="0" t="s">
        <v>313</v>
      </c>
      <c r="C154" s="0" t="s">
        <v>33</v>
      </c>
      <c r="D154" s="0" t="n">
        <v>111.16</v>
      </c>
      <c r="E154" s="0" t="s">
        <v>104</v>
      </c>
      <c r="F154" s="0" t="s">
        <v>441</v>
      </c>
      <c r="G154" s="0" t="s">
        <v>530</v>
      </c>
      <c r="H154" s="0" t="s">
        <v>443</v>
      </c>
    </row>
    <row r="155" customFormat="false" ht="15" hidden="false" customHeight="false" outlineLevel="0" collapsed="false">
      <c r="A155" s="0" t="s">
        <v>312</v>
      </c>
      <c r="B155" s="0" t="s">
        <v>313</v>
      </c>
      <c r="C155" s="0" t="s">
        <v>34</v>
      </c>
      <c r="D155" s="0" t="n">
        <v>66.71</v>
      </c>
      <c r="E155" s="0" t="s">
        <v>44</v>
      </c>
      <c r="F155" s="0" t="s">
        <v>322</v>
      </c>
      <c r="G155" s="0" t="s">
        <v>536</v>
      </c>
      <c r="H155" s="0" t="s">
        <v>434</v>
      </c>
    </row>
    <row r="156" customFormat="false" ht="15" hidden="false" customHeight="false" outlineLevel="0" collapsed="false">
      <c r="A156" s="0" t="s">
        <v>315</v>
      </c>
      <c r="B156" s="0" t="s">
        <v>316</v>
      </c>
      <c r="C156" s="0" t="s">
        <v>25</v>
      </c>
      <c r="D156" s="0" t="n">
        <v>25.714</v>
      </c>
      <c r="E156" s="0" t="s">
        <v>104</v>
      </c>
      <c r="F156" s="0" t="s">
        <v>451</v>
      </c>
      <c r="G156" s="0" t="s">
        <v>537</v>
      </c>
      <c r="H156" s="0" t="s">
        <v>453</v>
      </c>
    </row>
    <row r="157" customFormat="false" ht="15" hidden="false" customHeight="false" outlineLevel="0" collapsed="false">
      <c r="A157" s="0" t="s">
        <v>315</v>
      </c>
      <c r="B157" s="0" t="s">
        <v>316</v>
      </c>
      <c r="C157" s="0" t="s">
        <v>26</v>
      </c>
      <c r="D157" s="0" t="n">
        <v>25.605</v>
      </c>
      <c r="E157" s="0" t="s">
        <v>104</v>
      </c>
      <c r="F157" s="0" t="s">
        <v>454</v>
      </c>
      <c r="G157" s="0" t="s">
        <v>537</v>
      </c>
      <c r="H157" s="0" t="s">
        <v>456</v>
      </c>
    </row>
    <row r="158" customFormat="false" ht="15" hidden="false" customHeight="false" outlineLevel="0" collapsed="false">
      <c r="A158" s="0" t="s">
        <v>315</v>
      </c>
      <c r="B158" s="0" t="s">
        <v>316</v>
      </c>
      <c r="C158" s="0" t="s">
        <v>27</v>
      </c>
      <c r="D158" s="0" t="n">
        <v>6.941</v>
      </c>
      <c r="E158" s="0" t="s">
        <v>104</v>
      </c>
      <c r="F158" s="0" t="s">
        <v>474</v>
      </c>
      <c r="G158" s="0" t="s">
        <v>537</v>
      </c>
      <c r="H158" s="0" t="s">
        <v>476</v>
      </c>
    </row>
    <row r="159" customFormat="false" ht="15" hidden="false" customHeight="false" outlineLevel="0" collapsed="false">
      <c r="A159" s="0" t="s">
        <v>315</v>
      </c>
      <c r="B159" s="0" t="s">
        <v>316</v>
      </c>
      <c r="C159" s="0" t="s">
        <v>28</v>
      </c>
      <c r="D159" s="0" t="n">
        <v>6.934</v>
      </c>
      <c r="E159" s="0" t="s">
        <v>104</v>
      </c>
      <c r="F159" s="0" t="s">
        <v>477</v>
      </c>
      <c r="G159" s="0" t="s">
        <v>537</v>
      </c>
      <c r="H159" s="0" t="s">
        <v>478</v>
      </c>
    </row>
    <row r="160" customFormat="false" ht="15" hidden="false" customHeight="false" outlineLevel="0" collapsed="false">
      <c r="A160" s="0" t="s">
        <v>315</v>
      </c>
      <c r="B160" s="0" t="s">
        <v>316</v>
      </c>
      <c r="C160" s="0" t="s">
        <v>29</v>
      </c>
      <c r="D160" s="0" t="n">
        <v>6.942</v>
      </c>
      <c r="E160" s="0" t="s">
        <v>104</v>
      </c>
      <c r="F160" s="0" t="s">
        <v>430</v>
      </c>
      <c r="G160" s="0" t="s">
        <v>537</v>
      </c>
      <c r="H160" s="0" t="s">
        <v>432</v>
      </c>
    </row>
    <row r="161" customFormat="false" ht="15" hidden="false" customHeight="false" outlineLevel="0" collapsed="false">
      <c r="A161" s="0" t="s">
        <v>315</v>
      </c>
      <c r="B161" s="0" t="s">
        <v>316</v>
      </c>
      <c r="C161" s="0" t="s">
        <v>30</v>
      </c>
      <c r="D161" s="0" t="n">
        <v>0.385</v>
      </c>
      <c r="E161" s="0" t="s">
        <v>104</v>
      </c>
      <c r="F161" s="0" t="s">
        <v>444</v>
      </c>
      <c r="G161" s="0" t="s">
        <v>537</v>
      </c>
      <c r="H161" s="0" t="s">
        <v>446</v>
      </c>
    </row>
    <row r="162" customFormat="false" ht="15" hidden="false" customHeight="false" outlineLevel="0" collapsed="false">
      <c r="A162" s="0" t="s">
        <v>315</v>
      </c>
      <c r="B162" s="0" t="s">
        <v>316</v>
      </c>
      <c r="C162" s="0" t="s">
        <v>31</v>
      </c>
      <c r="D162" s="0" t="n">
        <v>16.177</v>
      </c>
      <c r="E162" s="0" t="s">
        <v>104</v>
      </c>
      <c r="F162" s="0" t="s">
        <v>435</v>
      </c>
      <c r="G162" s="0" t="s">
        <v>537</v>
      </c>
      <c r="H162" s="0" t="s">
        <v>437</v>
      </c>
    </row>
    <row r="163" customFormat="false" ht="15" hidden="false" customHeight="false" outlineLevel="0" collapsed="false">
      <c r="A163" s="0" t="s">
        <v>315</v>
      </c>
      <c r="B163" s="0" t="s">
        <v>316</v>
      </c>
      <c r="C163" s="0" t="s">
        <v>32</v>
      </c>
      <c r="D163" s="0" t="n">
        <v>36.3</v>
      </c>
      <c r="E163" s="0" t="s">
        <v>104</v>
      </c>
      <c r="F163" s="0" t="s">
        <v>438</v>
      </c>
      <c r="G163" s="0" t="s">
        <v>537</v>
      </c>
      <c r="H163" s="0" t="s">
        <v>440</v>
      </c>
    </row>
    <row r="164" customFormat="false" ht="15" hidden="false" customHeight="false" outlineLevel="0" collapsed="false">
      <c r="A164" s="0" t="s">
        <v>315</v>
      </c>
      <c r="B164" s="0" t="s">
        <v>316</v>
      </c>
      <c r="C164" s="0" t="s">
        <v>33</v>
      </c>
      <c r="D164" s="0" t="n">
        <v>171.5</v>
      </c>
      <c r="E164" s="0" t="s">
        <v>104</v>
      </c>
      <c r="F164" s="0" t="s">
        <v>441</v>
      </c>
      <c r="G164" s="0" t="s">
        <v>537</v>
      </c>
      <c r="H164" s="0" t="s">
        <v>443</v>
      </c>
    </row>
    <row r="165" customFormat="false" ht="15" hidden="false" customHeight="false" outlineLevel="0" collapsed="false">
      <c r="A165" s="0" t="s">
        <v>315</v>
      </c>
      <c r="B165" s="0" t="s">
        <v>316</v>
      </c>
      <c r="C165" s="0" t="s">
        <v>34</v>
      </c>
      <c r="D165" s="0" t="n">
        <v>484.491</v>
      </c>
      <c r="E165" s="0" t="s">
        <v>104</v>
      </c>
      <c r="F165" s="0" t="s">
        <v>322</v>
      </c>
      <c r="G165" s="0" t="s">
        <v>537</v>
      </c>
      <c r="H165" s="0" t="s">
        <v>434</v>
      </c>
    </row>
    <row r="166" customFormat="false" ht="15" hidden="false" customHeight="false" outlineLevel="0" collapsed="false">
      <c r="A166" s="0" t="s">
        <v>317</v>
      </c>
      <c r="B166" s="0" t="s">
        <v>318</v>
      </c>
      <c r="C166" s="0" t="s">
        <v>25</v>
      </c>
      <c r="D166" s="0" t="n">
        <v>260</v>
      </c>
      <c r="E166" s="0" t="s">
        <v>104</v>
      </c>
      <c r="F166" s="0" t="s">
        <v>451</v>
      </c>
      <c r="G166" s="0" t="s">
        <v>538</v>
      </c>
      <c r="H166" s="0" t="s">
        <v>453</v>
      </c>
    </row>
    <row r="167" customFormat="false" ht="15" hidden="false" customHeight="false" outlineLevel="0" collapsed="false">
      <c r="A167" s="0" t="s">
        <v>317</v>
      </c>
      <c r="B167" s="0" t="s">
        <v>318</v>
      </c>
      <c r="C167" s="0" t="s">
        <v>26</v>
      </c>
      <c r="D167" s="0" t="n">
        <v>260</v>
      </c>
      <c r="E167" s="0" t="s">
        <v>104</v>
      </c>
      <c r="F167" s="0" t="s">
        <v>454</v>
      </c>
      <c r="G167" s="0" t="s">
        <v>539</v>
      </c>
      <c r="H167" s="0" t="s">
        <v>456</v>
      </c>
    </row>
    <row r="168" customFormat="false" ht="15" hidden="false" customHeight="false" outlineLevel="0" collapsed="false">
      <c r="A168" s="0" t="s">
        <v>317</v>
      </c>
      <c r="B168" s="0" t="s">
        <v>318</v>
      </c>
      <c r="C168" s="0" t="s">
        <v>27</v>
      </c>
      <c r="D168" s="0" t="n">
        <v>360</v>
      </c>
      <c r="E168" s="0" t="s">
        <v>104</v>
      </c>
      <c r="F168" s="0" t="s">
        <v>487</v>
      </c>
      <c r="G168" s="0" t="s">
        <v>540</v>
      </c>
      <c r="H168" s="0" t="s">
        <v>489</v>
      </c>
    </row>
    <row r="169" customFormat="false" ht="15" hidden="false" customHeight="false" outlineLevel="0" collapsed="false">
      <c r="A169" s="0" t="s">
        <v>317</v>
      </c>
      <c r="B169" s="0" t="s">
        <v>318</v>
      </c>
      <c r="C169" s="0" t="s">
        <v>28</v>
      </c>
      <c r="D169" s="0" t="n">
        <v>510</v>
      </c>
      <c r="E169" s="0" t="s">
        <v>104</v>
      </c>
      <c r="F169" s="0" t="s">
        <v>477</v>
      </c>
      <c r="G169" s="0" t="s">
        <v>541</v>
      </c>
      <c r="H169" s="0" t="s">
        <v>478</v>
      </c>
    </row>
    <row r="170" customFormat="false" ht="15" hidden="false" customHeight="false" outlineLevel="0" collapsed="false">
      <c r="A170" s="0" t="s">
        <v>317</v>
      </c>
      <c r="B170" s="0" t="s">
        <v>318</v>
      </c>
      <c r="C170" s="0" t="s">
        <v>29</v>
      </c>
      <c r="D170" s="0" t="n">
        <v>660</v>
      </c>
      <c r="E170" s="0" t="s">
        <v>104</v>
      </c>
      <c r="F170" s="0" t="s">
        <v>430</v>
      </c>
      <c r="G170" s="0" t="s">
        <v>542</v>
      </c>
      <c r="H170" s="0" t="s">
        <v>432</v>
      </c>
    </row>
    <row r="171" customFormat="false" ht="15" hidden="false" customHeight="false" outlineLevel="0" collapsed="false">
      <c r="A171" s="0" t="s">
        <v>317</v>
      </c>
      <c r="B171" s="0" t="s">
        <v>318</v>
      </c>
      <c r="C171" s="0" t="s">
        <v>30</v>
      </c>
      <c r="D171" s="0" t="n">
        <v>810</v>
      </c>
      <c r="E171" s="0" t="s">
        <v>104</v>
      </c>
      <c r="F171" s="0" t="s">
        <v>444</v>
      </c>
      <c r="G171" s="0" t="s">
        <v>543</v>
      </c>
      <c r="H171" s="0" t="s">
        <v>446</v>
      </c>
    </row>
    <row r="172" customFormat="false" ht="15" hidden="false" customHeight="false" outlineLevel="0" collapsed="false">
      <c r="A172" s="0" t="s">
        <v>317</v>
      </c>
      <c r="B172" s="0" t="s">
        <v>318</v>
      </c>
      <c r="C172" s="0" t="s">
        <v>31</v>
      </c>
      <c r="D172" s="0" t="n">
        <v>810</v>
      </c>
      <c r="E172" s="0" t="s">
        <v>104</v>
      </c>
      <c r="F172" s="0" t="s">
        <v>435</v>
      </c>
      <c r="G172" s="0" t="s">
        <v>544</v>
      </c>
      <c r="H172" s="0" t="s">
        <v>437</v>
      </c>
    </row>
    <row r="173" customFormat="false" ht="15" hidden="false" customHeight="false" outlineLevel="0" collapsed="false">
      <c r="A173" s="0" t="s">
        <v>317</v>
      </c>
      <c r="B173" s="0" t="s">
        <v>318</v>
      </c>
      <c r="C173" s="0" t="s">
        <v>32</v>
      </c>
      <c r="D173" s="0" t="n">
        <v>810</v>
      </c>
      <c r="E173" s="0" t="s">
        <v>104</v>
      </c>
      <c r="F173" s="0" t="s">
        <v>438</v>
      </c>
      <c r="G173" s="0" t="s">
        <v>545</v>
      </c>
      <c r="H173" s="0" t="s">
        <v>440</v>
      </c>
    </row>
    <row r="174" customFormat="false" ht="15" hidden="false" customHeight="false" outlineLevel="0" collapsed="false">
      <c r="A174" s="0" t="s">
        <v>317</v>
      </c>
      <c r="B174" s="0" t="s">
        <v>318</v>
      </c>
      <c r="C174" s="0" t="s">
        <v>34</v>
      </c>
      <c r="D174" s="0" t="n">
        <v>420</v>
      </c>
      <c r="E174" s="0" t="s">
        <v>44</v>
      </c>
      <c r="F174" s="0" t="s">
        <v>322</v>
      </c>
      <c r="G174" s="0" t="s">
        <v>546</v>
      </c>
      <c r="H174" s="0" t="s">
        <v>434</v>
      </c>
    </row>
    <row r="175" customFormat="false" ht="15" hidden="false" customHeight="false" outlineLevel="0" collapsed="false">
      <c r="A175" s="0" t="s">
        <v>320</v>
      </c>
      <c r="B175" s="0" t="s">
        <v>321</v>
      </c>
      <c r="C175" s="0" t="s">
        <v>34</v>
      </c>
      <c r="D175" s="0" t="n">
        <v>380</v>
      </c>
      <c r="E175" s="0" t="s">
        <v>104</v>
      </c>
      <c r="F175" s="0" t="s">
        <v>322</v>
      </c>
      <c r="G175" s="0" t="s">
        <v>547</v>
      </c>
      <c r="H175" s="0" t="s">
        <v>434</v>
      </c>
    </row>
    <row r="176" customFormat="false" ht="15" hidden="false" customHeight="false" outlineLevel="0" collapsed="false">
      <c r="A176" s="0" t="s">
        <v>323</v>
      </c>
      <c r="B176" s="0" t="s">
        <v>324</v>
      </c>
      <c r="C176" s="0" t="s">
        <v>25</v>
      </c>
      <c r="D176" s="0" t="n">
        <v>10</v>
      </c>
      <c r="E176" s="0" t="s">
        <v>104</v>
      </c>
      <c r="F176" s="0" t="s">
        <v>451</v>
      </c>
      <c r="G176" s="0" t="s">
        <v>548</v>
      </c>
      <c r="H176" s="0" t="s">
        <v>453</v>
      </c>
    </row>
    <row r="177" customFormat="false" ht="15" hidden="false" customHeight="false" outlineLevel="0" collapsed="false">
      <c r="A177" s="0" t="s">
        <v>323</v>
      </c>
      <c r="B177" s="0" t="s">
        <v>324</v>
      </c>
      <c r="C177" s="0" t="s">
        <v>26</v>
      </c>
      <c r="D177" s="0" t="n">
        <v>10</v>
      </c>
      <c r="E177" s="0" t="s">
        <v>104</v>
      </c>
      <c r="F177" s="0" t="s">
        <v>454</v>
      </c>
      <c r="G177" s="0" t="s">
        <v>548</v>
      </c>
      <c r="H177" s="0" t="s">
        <v>456</v>
      </c>
    </row>
    <row r="178" customFormat="false" ht="15" hidden="false" customHeight="false" outlineLevel="0" collapsed="false">
      <c r="A178" s="0" t="s">
        <v>323</v>
      </c>
      <c r="B178" s="0" t="s">
        <v>324</v>
      </c>
      <c r="C178" s="0" t="s">
        <v>27</v>
      </c>
      <c r="D178" s="0" t="n">
        <v>21</v>
      </c>
      <c r="E178" s="0" t="s">
        <v>104</v>
      </c>
      <c r="F178" s="0" t="s">
        <v>474</v>
      </c>
      <c r="G178" s="0" t="s">
        <v>548</v>
      </c>
      <c r="H178" s="0" t="s">
        <v>476</v>
      </c>
    </row>
    <row r="179" customFormat="false" ht="15" hidden="false" customHeight="false" outlineLevel="0" collapsed="false">
      <c r="A179" s="0" t="s">
        <v>323</v>
      </c>
      <c r="B179" s="0" t="s">
        <v>324</v>
      </c>
      <c r="C179" s="0" t="s">
        <v>28</v>
      </c>
      <c r="D179" s="0" t="n">
        <v>31</v>
      </c>
      <c r="E179" s="0" t="s">
        <v>104</v>
      </c>
      <c r="F179" s="0" t="s">
        <v>477</v>
      </c>
      <c r="G179" s="0" t="s">
        <v>548</v>
      </c>
      <c r="H179" s="0" t="s">
        <v>478</v>
      </c>
    </row>
    <row r="180" customFormat="false" ht="15" hidden="false" customHeight="false" outlineLevel="0" collapsed="false">
      <c r="A180" s="0" t="s">
        <v>323</v>
      </c>
      <c r="B180" s="0" t="s">
        <v>324</v>
      </c>
      <c r="C180" s="0" t="s">
        <v>29</v>
      </c>
      <c r="D180" s="0" t="n">
        <v>37</v>
      </c>
      <c r="E180" s="0" t="s">
        <v>104</v>
      </c>
      <c r="F180" s="0" t="s">
        <v>430</v>
      </c>
      <c r="G180" s="0" t="s">
        <v>548</v>
      </c>
      <c r="H180" s="0" t="s">
        <v>432</v>
      </c>
    </row>
    <row r="181" customFormat="false" ht="15" hidden="false" customHeight="false" outlineLevel="0" collapsed="false">
      <c r="A181" s="0" t="s">
        <v>323</v>
      </c>
      <c r="B181" s="0" t="s">
        <v>324</v>
      </c>
      <c r="C181" s="0" t="s">
        <v>30</v>
      </c>
      <c r="D181" s="0" t="n">
        <v>50</v>
      </c>
      <c r="E181" s="0" t="s">
        <v>104</v>
      </c>
      <c r="F181" s="0" t="s">
        <v>444</v>
      </c>
      <c r="G181" s="0" t="s">
        <v>548</v>
      </c>
      <c r="H181" s="0" t="s">
        <v>446</v>
      </c>
    </row>
    <row r="182" customFormat="false" ht="15" hidden="false" customHeight="false" outlineLevel="0" collapsed="false">
      <c r="A182" s="0" t="s">
        <v>323</v>
      </c>
      <c r="B182" s="0" t="s">
        <v>324</v>
      </c>
      <c r="C182" s="0" t="s">
        <v>31</v>
      </c>
      <c r="D182" s="0" t="n">
        <v>50</v>
      </c>
      <c r="E182" s="0" t="s">
        <v>104</v>
      </c>
      <c r="F182" s="0" t="s">
        <v>435</v>
      </c>
      <c r="G182" s="0" t="s">
        <v>548</v>
      </c>
      <c r="H182" s="0" t="s">
        <v>437</v>
      </c>
    </row>
    <row r="183" customFormat="false" ht="15" hidden="false" customHeight="false" outlineLevel="0" collapsed="false">
      <c r="A183" s="0" t="s">
        <v>323</v>
      </c>
      <c r="B183" s="0" t="s">
        <v>324</v>
      </c>
      <c r="C183" s="0" t="s">
        <v>32</v>
      </c>
      <c r="D183" s="0" t="n">
        <v>46</v>
      </c>
      <c r="E183" s="0" t="s">
        <v>104</v>
      </c>
      <c r="F183" s="0" t="s">
        <v>438</v>
      </c>
      <c r="G183" s="0" t="s">
        <v>548</v>
      </c>
      <c r="H183" s="0" t="s">
        <v>440</v>
      </c>
    </row>
    <row r="184" customFormat="false" ht="15" hidden="false" customHeight="false" outlineLevel="0" collapsed="false">
      <c r="A184" s="0" t="s">
        <v>323</v>
      </c>
      <c r="B184" s="0" t="s">
        <v>324</v>
      </c>
      <c r="C184" s="0" t="s">
        <v>33</v>
      </c>
      <c r="D184" s="0" t="n">
        <v>38</v>
      </c>
      <c r="E184" s="0" t="s">
        <v>104</v>
      </c>
      <c r="F184" s="0" t="s">
        <v>441</v>
      </c>
      <c r="G184" s="0" t="s">
        <v>548</v>
      </c>
      <c r="H184" s="0" t="s">
        <v>443</v>
      </c>
    </row>
    <row r="185" customFormat="false" ht="15" hidden="false" customHeight="false" outlineLevel="0" collapsed="false">
      <c r="A185" s="0" t="s">
        <v>323</v>
      </c>
      <c r="B185" s="0" t="s">
        <v>324</v>
      </c>
      <c r="C185" s="0" t="s">
        <v>34</v>
      </c>
      <c r="D185" s="0" t="n">
        <v>23.2</v>
      </c>
      <c r="E185" s="0" t="s">
        <v>104</v>
      </c>
      <c r="F185" s="0" t="s">
        <v>322</v>
      </c>
      <c r="G185" s="0" t="s">
        <v>548</v>
      </c>
      <c r="H185" s="0" t="s">
        <v>434</v>
      </c>
    </row>
    <row r="186" customFormat="false" ht="15" hidden="false" customHeight="false" outlineLevel="0" collapsed="false">
      <c r="A186" s="0" t="s">
        <v>325</v>
      </c>
      <c r="B186" s="0" t="s">
        <v>326</v>
      </c>
      <c r="C186" s="0" t="s">
        <v>25</v>
      </c>
      <c r="D186" s="0" t="n">
        <v>2160</v>
      </c>
      <c r="E186" s="0" t="s">
        <v>104</v>
      </c>
      <c r="F186" s="0" t="s">
        <v>451</v>
      </c>
      <c r="G186" s="0" t="s">
        <v>549</v>
      </c>
      <c r="H186" s="0" t="s">
        <v>453</v>
      </c>
    </row>
    <row r="187" customFormat="false" ht="15" hidden="false" customHeight="false" outlineLevel="0" collapsed="false">
      <c r="A187" s="0" t="s">
        <v>325</v>
      </c>
      <c r="B187" s="0" t="s">
        <v>326</v>
      </c>
      <c r="C187" s="0" t="s">
        <v>26</v>
      </c>
      <c r="D187" s="0" t="n">
        <v>2310</v>
      </c>
      <c r="E187" s="0" t="s">
        <v>104</v>
      </c>
      <c r="F187" s="0" t="s">
        <v>487</v>
      </c>
      <c r="G187" s="0" t="s">
        <v>549</v>
      </c>
      <c r="H187" s="0" t="s">
        <v>489</v>
      </c>
    </row>
    <row r="188" customFormat="false" ht="15" hidden="false" customHeight="false" outlineLevel="0" collapsed="false">
      <c r="A188" s="0" t="s">
        <v>325</v>
      </c>
      <c r="B188" s="0" t="s">
        <v>326</v>
      </c>
      <c r="C188" s="0" t="s">
        <v>27</v>
      </c>
      <c r="D188" s="0" t="n">
        <v>2310</v>
      </c>
      <c r="E188" s="0" t="s">
        <v>104</v>
      </c>
      <c r="F188" s="0" t="s">
        <v>474</v>
      </c>
      <c r="G188" s="0" t="s">
        <v>549</v>
      </c>
      <c r="H188" s="0" t="s">
        <v>476</v>
      </c>
    </row>
    <row r="189" customFormat="false" ht="15" hidden="false" customHeight="false" outlineLevel="0" collapsed="false">
      <c r="A189" s="0" t="s">
        <v>325</v>
      </c>
      <c r="B189" s="0" t="s">
        <v>326</v>
      </c>
      <c r="C189" s="0" t="s">
        <v>28</v>
      </c>
      <c r="D189" s="0" t="n">
        <v>2310</v>
      </c>
      <c r="E189" s="0" t="s">
        <v>104</v>
      </c>
      <c r="F189" s="0" t="s">
        <v>477</v>
      </c>
      <c r="G189" s="0" t="s">
        <v>549</v>
      </c>
      <c r="H189" s="0" t="s">
        <v>478</v>
      </c>
    </row>
    <row r="190" customFormat="false" ht="15" hidden="false" customHeight="false" outlineLevel="0" collapsed="false">
      <c r="A190" s="0" t="s">
        <v>325</v>
      </c>
      <c r="B190" s="0" t="s">
        <v>326</v>
      </c>
      <c r="C190" s="0" t="s">
        <v>29</v>
      </c>
      <c r="D190" s="0" t="n">
        <v>2910</v>
      </c>
      <c r="E190" s="0" t="s">
        <v>104</v>
      </c>
      <c r="F190" s="0" t="s">
        <v>430</v>
      </c>
      <c r="G190" s="0" t="s">
        <v>549</v>
      </c>
      <c r="H190" s="0" t="s">
        <v>432</v>
      </c>
    </row>
    <row r="191" customFormat="false" ht="15" hidden="false" customHeight="false" outlineLevel="0" collapsed="false">
      <c r="A191" s="0" t="s">
        <v>325</v>
      </c>
      <c r="B191" s="0" t="s">
        <v>326</v>
      </c>
      <c r="C191" s="0" t="s">
        <v>30</v>
      </c>
      <c r="D191" s="0" t="n">
        <v>2910</v>
      </c>
      <c r="E191" s="0" t="s">
        <v>104</v>
      </c>
      <c r="F191" s="0" t="s">
        <v>444</v>
      </c>
      <c r="G191" s="0" t="s">
        <v>549</v>
      </c>
      <c r="H191" s="0" t="s">
        <v>446</v>
      </c>
    </row>
    <row r="192" customFormat="false" ht="15" hidden="false" customHeight="false" outlineLevel="0" collapsed="false">
      <c r="A192" s="0" t="s">
        <v>325</v>
      </c>
      <c r="B192" s="0" t="s">
        <v>326</v>
      </c>
      <c r="C192" s="0" t="s">
        <v>31</v>
      </c>
      <c r="D192" s="0" t="n">
        <v>3000</v>
      </c>
      <c r="E192" s="0" t="s">
        <v>104</v>
      </c>
      <c r="F192" s="0" t="s">
        <v>550</v>
      </c>
      <c r="G192" s="0" t="s">
        <v>549</v>
      </c>
      <c r="H192" s="0" t="s">
        <v>551</v>
      </c>
    </row>
    <row r="193" customFormat="false" ht="15" hidden="false" customHeight="false" outlineLevel="0" collapsed="false">
      <c r="A193" s="0" t="s">
        <v>325</v>
      </c>
      <c r="B193" s="0" t="s">
        <v>326</v>
      </c>
      <c r="C193" s="0" t="s">
        <v>32</v>
      </c>
      <c r="D193" s="0" t="n">
        <v>4500</v>
      </c>
      <c r="E193" s="0" t="s">
        <v>104</v>
      </c>
      <c r="F193" s="0" t="s">
        <v>552</v>
      </c>
      <c r="G193" s="0" t="s">
        <v>549</v>
      </c>
      <c r="H193" s="0" t="s">
        <v>553</v>
      </c>
    </row>
    <row r="194" customFormat="false" ht="15" hidden="false" customHeight="false" outlineLevel="0" collapsed="false">
      <c r="A194" s="0" t="s">
        <v>325</v>
      </c>
      <c r="B194" s="0" t="s">
        <v>326</v>
      </c>
      <c r="C194" s="0" t="s">
        <v>33</v>
      </c>
      <c r="D194" s="0" t="n">
        <v>4510</v>
      </c>
      <c r="E194" s="0" t="s">
        <v>104</v>
      </c>
      <c r="F194" s="0" t="s">
        <v>554</v>
      </c>
      <c r="G194" s="0" t="s">
        <v>549</v>
      </c>
      <c r="H194" s="0" t="s">
        <v>555</v>
      </c>
    </row>
    <row r="195" customFormat="false" ht="15" hidden="false" customHeight="false" outlineLevel="0" collapsed="false">
      <c r="A195" s="0" t="s">
        <v>325</v>
      </c>
      <c r="B195" s="0" t="s">
        <v>326</v>
      </c>
      <c r="C195" s="0" t="s">
        <v>34</v>
      </c>
      <c r="D195" s="0" t="n">
        <v>5000</v>
      </c>
      <c r="E195" s="0" t="s">
        <v>104</v>
      </c>
      <c r="F195" s="0" t="s">
        <v>556</v>
      </c>
      <c r="G195" s="0" t="s">
        <v>549</v>
      </c>
      <c r="H195" s="0" t="s">
        <v>557</v>
      </c>
    </row>
    <row r="196" customFormat="false" ht="15" hidden="false" customHeight="false" outlineLevel="0" collapsed="false">
      <c r="A196" s="0" t="s">
        <v>328</v>
      </c>
      <c r="B196" s="0" t="s">
        <v>329</v>
      </c>
      <c r="C196" s="0" t="s">
        <v>25</v>
      </c>
      <c r="D196" s="0" t="n">
        <v>21.8</v>
      </c>
      <c r="E196" s="0" t="s">
        <v>104</v>
      </c>
      <c r="F196" s="0" t="s">
        <v>430</v>
      </c>
      <c r="G196" s="0" t="s">
        <v>558</v>
      </c>
      <c r="H196" s="0" t="s">
        <v>432</v>
      </c>
    </row>
    <row r="197" customFormat="false" ht="15" hidden="false" customHeight="false" outlineLevel="0" collapsed="false">
      <c r="A197" s="0" t="s">
        <v>328</v>
      </c>
      <c r="B197" s="0" t="s">
        <v>329</v>
      </c>
      <c r="C197" s="0" t="s">
        <v>26</v>
      </c>
      <c r="D197" s="0" t="n">
        <v>12.2</v>
      </c>
      <c r="E197" s="0" t="s">
        <v>44</v>
      </c>
      <c r="F197" s="0" t="s">
        <v>454</v>
      </c>
      <c r="G197" s="0" t="s">
        <v>559</v>
      </c>
      <c r="H197" s="0" t="s">
        <v>456</v>
      </c>
    </row>
    <row r="198" customFormat="false" ht="15" hidden="false" customHeight="false" outlineLevel="0" collapsed="false">
      <c r="A198" s="0" t="s">
        <v>328</v>
      </c>
      <c r="B198" s="0" t="s">
        <v>329</v>
      </c>
      <c r="C198" s="0" t="s">
        <v>27</v>
      </c>
      <c r="D198" s="0" t="n">
        <v>2.5</v>
      </c>
      <c r="E198" s="0" t="s">
        <v>104</v>
      </c>
      <c r="F198" s="0" t="s">
        <v>550</v>
      </c>
      <c r="G198" s="0" t="s">
        <v>560</v>
      </c>
      <c r="H198" s="0" t="s">
        <v>551</v>
      </c>
    </row>
    <row r="199" customFormat="false" ht="15" hidden="false" customHeight="false" outlineLevel="0" collapsed="false">
      <c r="A199" s="0" t="s">
        <v>328</v>
      </c>
      <c r="B199" s="0" t="s">
        <v>329</v>
      </c>
      <c r="C199" s="0" t="s">
        <v>28</v>
      </c>
      <c r="D199" s="0" t="n">
        <v>62.6</v>
      </c>
      <c r="E199" s="0" t="s">
        <v>104</v>
      </c>
      <c r="F199" s="0" t="s">
        <v>430</v>
      </c>
      <c r="G199" s="0" t="s">
        <v>561</v>
      </c>
      <c r="H199" s="0" t="s">
        <v>432</v>
      </c>
    </row>
    <row r="200" customFormat="false" ht="15" hidden="false" customHeight="false" outlineLevel="0" collapsed="false">
      <c r="A200" s="0" t="s">
        <v>328</v>
      </c>
      <c r="B200" s="0" t="s">
        <v>329</v>
      </c>
      <c r="C200" s="0" t="s">
        <v>29</v>
      </c>
      <c r="D200" s="0" t="n">
        <v>83.3</v>
      </c>
      <c r="E200" s="0" t="s">
        <v>104</v>
      </c>
      <c r="F200" s="0" t="s">
        <v>430</v>
      </c>
      <c r="G200" s="0" t="s">
        <v>562</v>
      </c>
      <c r="H200" s="0" t="s">
        <v>432</v>
      </c>
    </row>
    <row r="201" customFormat="false" ht="15" hidden="false" customHeight="false" outlineLevel="0" collapsed="false">
      <c r="A201" s="0" t="s">
        <v>328</v>
      </c>
      <c r="B201" s="0" t="s">
        <v>329</v>
      </c>
      <c r="C201" s="0" t="s">
        <v>30</v>
      </c>
      <c r="D201" s="0" t="n">
        <v>121.9</v>
      </c>
      <c r="E201" s="0" t="s">
        <v>104</v>
      </c>
      <c r="F201" s="0" t="s">
        <v>563</v>
      </c>
      <c r="G201" s="0" t="s">
        <v>564</v>
      </c>
      <c r="H201" s="0" t="s">
        <v>565</v>
      </c>
    </row>
    <row r="202" customFormat="false" ht="15" hidden="false" customHeight="false" outlineLevel="0" collapsed="false">
      <c r="A202" s="0" t="s">
        <v>328</v>
      </c>
      <c r="B202" s="0" t="s">
        <v>329</v>
      </c>
      <c r="C202" s="0" t="s">
        <v>31</v>
      </c>
      <c r="D202" s="0" t="n">
        <v>91.7</v>
      </c>
      <c r="E202" s="0" t="s">
        <v>104</v>
      </c>
      <c r="F202" s="0" t="s">
        <v>550</v>
      </c>
      <c r="G202" s="0" t="s">
        <v>566</v>
      </c>
      <c r="H202" s="0" t="s">
        <v>551</v>
      </c>
    </row>
    <row r="203" customFormat="false" ht="15" hidden="false" customHeight="false" outlineLevel="0" collapsed="false">
      <c r="A203" s="0" t="s">
        <v>328</v>
      </c>
      <c r="B203" s="0" t="s">
        <v>329</v>
      </c>
      <c r="C203" s="0" t="s">
        <v>32</v>
      </c>
      <c r="D203" s="0" t="n">
        <v>75.3</v>
      </c>
      <c r="E203" s="0" t="s">
        <v>104</v>
      </c>
      <c r="F203" s="0" t="s">
        <v>552</v>
      </c>
      <c r="G203" s="0" t="s">
        <v>567</v>
      </c>
      <c r="H203" s="0" t="s">
        <v>553</v>
      </c>
    </row>
    <row r="204" customFormat="false" ht="15" hidden="false" customHeight="false" outlineLevel="0" collapsed="false">
      <c r="A204" s="0" t="s">
        <v>328</v>
      </c>
      <c r="B204" s="0" t="s">
        <v>329</v>
      </c>
      <c r="C204" s="0" t="s">
        <v>33</v>
      </c>
      <c r="D204" s="0" t="n">
        <v>59.5</v>
      </c>
      <c r="E204" s="0" t="s">
        <v>104</v>
      </c>
      <c r="F204" s="0" t="s">
        <v>554</v>
      </c>
      <c r="G204" s="0" t="s">
        <v>568</v>
      </c>
      <c r="H204" s="0" t="s">
        <v>555</v>
      </c>
    </row>
    <row r="205" customFormat="false" ht="15" hidden="false" customHeight="false" outlineLevel="0" collapsed="false">
      <c r="A205" s="0" t="s">
        <v>328</v>
      </c>
      <c r="B205" s="0" t="s">
        <v>329</v>
      </c>
      <c r="C205" s="0" t="s">
        <v>34</v>
      </c>
      <c r="D205" s="0" t="n">
        <v>19.2</v>
      </c>
      <c r="E205" s="0" t="s">
        <v>104</v>
      </c>
      <c r="F205" s="0" t="s">
        <v>556</v>
      </c>
      <c r="G205" s="0" t="s">
        <v>569</v>
      </c>
      <c r="H205" s="0" t="s">
        <v>557</v>
      </c>
    </row>
    <row r="206" customFormat="false" ht="15" hidden="false" customHeight="false" outlineLevel="0" collapsed="false">
      <c r="A206" s="0" t="s">
        <v>331</v>
      </c>
      <c r="B206" s="0" t="s">
        <v>332</v>
      </c>
      <c r="C206" s="0" t="s">
        <v>25</v>
      </c>
      <c r="D206" s="0" t="n">
        <v>144.623</v>
      </c>
      <c r="E206" s="0" t="s">
        <v>104</v>
      </c>
      <c r="F206" s="0" t="s">
        <v>451</v>
      </c>
      <c r="G206" s="0" t="s">
        <v>570</v>
      </c>
      <c r="H206" s="0" t="s">
        <v>453</v>
      </c>
    </row>
    <row r="207" customFormat="false" ht="15" hidden="false" customHeight="false" outlineLevel="0" collapsed="false">
      <c r="A207" s="0" t="s">
        <v>331</v>
      </c>
      <c r="B207" s="0" t="s">
        <v>332</v>
      </c>
      <c r="C207" s="0" t="s">
        <v>26</v>
      </c>
      <c r="D207" s="0" t="n">
        <v>177.766</v>
      </c>
      <c r="E207" s="0" t="s">
        <v>104</v>
      </c>
      <c r="F207" s="0" t="s">
        <v>454</v>
      </c>
      <c r="G207" s="0" t="s">
        <v>570</v>
      </c>
      <c r="H207" s="0" t="s">
        <v>456</v>
      </c>
    </row>
    <row r="208" customFormat="false" ht="15" hidden="false" customHeight="false" outlineLevel="0" collapsed="false">
      <c r="A208" s="0" t="s">
        <v>331</v>
      </c>
      <c r="B208" s="0" t="s">
        <v>332</v>
      </c>
      <c r="C208" s="0" t="s">
        <v>27</v>
      </c>
      <c r="D208" s="0" t="n">
        <v>521.755</v>
      </c>
      <c r="E208" s="0" t="s">
        <v>104</v>
      </c>
      <c r="F208" s="0" t="s">
        <v>474</v>
      </c>
      <c r="G208" s="0" t="s">
        <v>570</v>
      </c>
      <c r="H208" s="0" t="s">
        <v>476</v>
      </c>
    </row>
    <row r="209" customFormat="false" ht="15" hidden="false" customHeight="false" outlineLevel="0" collapsed="false">
      <c r="A209" s="0" t="s">
        <v>331</v>
      </c>
      <c r="B209" s="0" t="s">
        <v>332</v>
      </c>
      <c r="C209" s="0" t="s">
        <v>28</v>
      </c>
      <c r="D209" s="0" t="n">
        <v>643.475</v>
      </c>
      <c r="E209" s="0" t="s">
        <v>104</v>
      </c>
      <c r="F209" s="0" t="s">
        <v>477</v>
      </c>
      <c r="G209" s="0" t="s">
        <v>570</v>
      </c>
      <c r="H209" s="0" t="s">
        <v>478</v>
      </c>
    </row>
    <row r="210" customFormat="false" ht="15" hidden="false" customHeight="false" outlineLevel="0" collapsed="false">
      <c r="A210" s="0" t="s">
        <v>331</v>
      </c>
      <c r="B210" s="0" t="s">
        <v>332</v>
      </c>
      <c r="C210" s="0" t="s">
        <v>29</v>
      </c>
      <c r="D210" s="0" t="n">
        <v>877.934</v>
      </c>
      <c r="E210" s="0" t="s">
        <v>104</v>
      </c>
      <c r="F210" s="0" t="s">
        <v>430</v>
      </c>
      <c r="G210" s="0" t="s">
        <v>570</v>
      </c>
      <c r="H210" s="0" t="s">
        <v>432</v>
      </c>
    </row>
    <row r="211" customFormat="false" ht="15" hidden="false" customHeight="false" outlineLevel="0" collapsed="false">
      <c r="A211" s="0" t="s">
        <v>331</v>
      </c>
      <c r="B211" s="0" t="s">
        <v>332</v>
      </c>
      <c r="C211" s="0" t="s">
        <v>30</v>
      </c>
      <c r="D211" s="0" t="n">
        <v>1135.584</v>
      </c>
      <c r="E211" s="0" t="s">
        <v>104</v>
      </c>
      <c r="F211" s="0" t="s">
        <v>444</v>
      </c>
      <c r="G211" s="0" t="s">
        <v>570</v>
      </c>
      <c r="H211" s="0" t="s">
        <v>446</v>
      </c>
    </row>
    <row r="212" customFormat="false" ht="15" hidden="false" customHeight="false" outlineLevel="0" collapsed="false">
      <c r="A212" s="0" t="s">
        <v>331</v>
      </c>
      <c r="B212" s="0" t="s">
        <v>332</v>
      </c>
      <c r="C212" s="0" t="s">
        <v>31</v>
      </c>
      <c r="D212" s="0" t="n">
        <v>1134.032</v>
      </c>
      <c r="E212" s="0" t="s">
        <v>104</v>
      </c>
      <c r="F212" s="0" t="s">
        <v>435</v>
      </c>
      <c r="G212" s="0" t="s">
        <v>570</v>
      </c>
      <c r="H212" s="0" t="s">
        <v>437</v>
      </c>
    </row>
    <row r="213" customFormat="false" ht="15" hidden="false" customHeight="false" outlineLevel="0" collapsed="false">
      <c r="A213" s="0" t="s">
        <v>331</v>
      </c>
      <c r="B213" s="0" t="s">
        <v>332</v>
      </c>
      <c r="C213" s="0" t="s">
        <v>32</v>
      </c>
      <c r="D213" s="0" t="n">
        <v>1079.663</v>
      </c>
      <c r="E213" s="0" t="s">
        <v>104</v>
      </c>
      <c r="F213" s="0" t="s">
        <v>438</v>
      </c>
      <c r="G213" s="0" t="s">
        <v>570</v>
      </c>
      <c r="H213" s="0" t="s">
        <v>440</v>
      </c>
    </row>
    <row r="214" customFormat="false" ht="15" hidden="false" customHeight="false" outlineLevel="0" collapsed="false">
      <c r="A214" s="0" t="s">
        <v>331</v>
      </c>
      <c r="B214" s="0" t="s">
        <v>332</v>
      </c>
      <c r="C214" s="0" t="s">
        <v>33</v>
      </c>
      <c r="D214" s="0" t="n">
        <v>1041.767</v>
      </c>
      <c r="E214" s="0" t="s">
        <v>104</v>
      </c>
      <c r="F214" s="0" t="s">
        <v>441</v>
      </c>
      <c r="G214" s="0" t="s">
        <v>570</v>
      </c>
      <c r="H214" s="0" t="s">
        <v>443</v>
      </c>
    </row>
    <row r="215" customFormat="false" ht="15" hidden="false" customHeight="false" outlineLevel="0" collapsed="false">
      <c r="A215" s="0" t="s">
        <v>331</v>
      </c>
      <c r="B215" s="0" t="s">
        <v>332</v>
      </c>
      <c r="C215" s="0" t="s">
        <v>34</v>
      </c>
      <c r="D215" s="0" t="n">
        <v>596.988</v>
      </c>
      <c r="E215" s="0" t="s">
        <v>104</v>
      </c>
      <c r="F215" s="0" t="s">
        <v>322</v>
      </c>
      <c r="G215" s="0" t="s">
        <v>570</v>
      </c>
      <c r="H215" s="0" t="s">
        <v>434</v>
      </c>
    </row>
    <row r="216" customFormat="false" ht="15" hidden="false" customHeight="false" outlineLevel="0" collapsed="false">
      <c r="A216" s="0" t="s">
        <v>333</v>
      </c>
      <c r="B216" s="0" t="s">
        <v>334</v>
      </c>
      <c r="C216" s="0" t="s">
        <v>32</v>
      </c>
      <c r="D216" s="0" t="n">
        <v>160.042</v>
      </c>
      <c r="E216" s="0" t="s">
        <v>104</v>
      </c>
      <c r="F216" s="0" t="s">
        <v>438</v>
      </c>
      <c r="G216" s="0" t="s">
        <v>571</v>
      </c>
      <c r="H216" s="0" t="s">
        <v>440</v>
      </c>
    </row>
    <row r="217" customFormat="false" ht="15" hidden="false" customHeight="false" outlineLevel="0" collapsed="false">
      <c r="A217" s="0" t="s">
        <v>333</v>
      </c>
      <c r="B217" s="0" t="s">
        <v>334</v>
      </c>
      <c r="C217" s="0" t="s">
        <v>33</v>
      </c>
      <c r="D217" s="0" t="n">
        <v>301.776</v>
      </c>
      <c r="E217" s="0" t="s">
        <v>104</v>
      </c>
      <c r="F217" s="0" t="s">
        <v>441</v>
      </c>
      <c r="G217" s="0" t="s">
        <v>571</v>
      </c>
      <c r="H217" s="0" t="s">
        <v>443</v>
      </c>
    </row>
    <row r="218" customFormat="false" ht="15" hidden="false" customHeight="false" outlineLevel="0" collapsed="false">
      <c r="A218" s="0" t="s">
        <v>333</v>
      </c>
      <c r="B218" s="0" t="s">
        <v>334</v>
      </c>
      <c r="C218" s="0" t="s">
        <v>34</v>
      </c>
      <c r="D218" s="0" t="n">
        <v>301.848</v>
      </c>
      <c r="E218" s="0" t="s">
        <v>104</v>
      </c>
      <c r="F218" s="0" t="s">
        <v>322</v>
      </c>
      <c r="G218" s="0" t="s">
        <v>571</v>
      </c>
      <c r="H218" s="0" t="s">
        <v>434</v>
      </c>
    </row>
    <row r="219" customFormat="false" ht="15" hidden="false" customHeight="false" outlineLevel="0" collapsed="false">
      <c r="A219" s="0" t="s">
        <v>337</v>
      </c>
      <c r="B219" s="0" t="s">
        <v>338</v>
      </c>
      <c r="C219" s="0" t="s">
        <v>572</v>
      </c>
      <c r="D219" s="0" t="n">
        <v>538</v>
      </c>
      <c r="E219" s="0" t="s">
        <v>48</v>
      </c>
      <c r="F219" s="0" t="s">
        <v>573</v>
      </c>
      <c r="G219" s="0" t="s">
        <v>574</v>
      </c>
      <c r="H219" s="0" t="s">
        <v>575</v>
      </c>
    </row>
    <row r="220" customFormat="false" ht="15" hidden="false" customHeight="false" outlineLevel="0" collapsed="false">
      <c r="A220" s="0" t="s">
        <v>341</v>
      </c>
      <c r="B220" s="0" t="s">
        <v>342</v>
      </c>
      <c r="C220" s="0" t="s">
        <v>572</v>
      </c>
      <c r="D220" s="0" t="n">
        <v>713</v>
      </c>
      <c r="E220" s="0" t="s">
        <v>48</v>
      </c>
      <c r="F220" s="0" t="s">
        <v>573</v>
      </c>
      <c r="G220" s="0" t="s">
        <v>576</v>
      </c>
      <c r="H220" s="0" t="s">
        <v>575</v>
      </c>
    </row>
    <row r="221" customFormat="false" ht="15" hidden="false" customHeight="false" outlineLevel="0" collapsed="false">
      <c r="A221" s="0" t="s">
        <v>577</v>
      </c>
      <c r="B221" s="0" t="s">
        <v>578</v>
      </c>
      <c r="C221" s="0" t="s">
        <v>579</v>
      </c>
      <c r="D221" s="0" t="s">
        <v>580</v>
      </c>
      <c r="E221" s="0" t="s">
        <v>104</v>
      </c>
      <c r="F221" s="0" t="s">
        <v>477</v>
      </c>
      <c r="G221" s="0" t="s">
        <v>581</v>
      </c>
      <c r="H221" s="0" t="s">
        <v>478</v>
      </c>
    </row>
    <row r="222" customFormat="false" ht="15" hidden="false" customHeight="false" outlineLevel="0" collapsed="false">
      <c r="A222" s="0" t="s">
        <v>577</v>
      </c>
      <c r="B222" s="0" t="s">
        <v>578</v>
      </c>
      <c r="C222" s="0" t="s">
        <v>582</v>
      </c>
      <c r="D222" s="0" t="s">
        <v>580</v>
      </c>
      <c r="E222" s="0" t="s">
        <v>104</v>
      </c>
      <c r="F222" s="0" t="s">
        <v>430</v>
      </c>
      <c r="G222" s="0" t="s">
        <v>581</v>
      </c>
      <c r="H222" s="0" t="s">
        <v>432</v>
      </c>
    </row>
    <row r="223" customFormat="false" ht="15" hidden="false" customHeight="false" outlineLevel="0" collapsed="false">
      <c r="A223" s="0" t="s">
        <v>577</v>
      </c>
      <c r="B223" s="0" t="s">
        <v>578</v>
      </c>
      <c r="C223" s="0" t="s">
        <v>583</v>
      </c>
      <c r="D223" s="0" t="s">
        <v>580</v>
      </c>
      <c r="E223" s="0" t="s">
        <v>104</v>
      </c>
      <c r="F223" s="0" t="s">
        <v>444</v>
      </c>
      <c r="G223" s="0" t="s">
        <v>581</v>
      </c>
      <c r="H223" s="0" t="s">
        <v>446</v>
      </c>
    </row>
    <row r="224" customFormat="false" ht="15" hidden="false" customHeight="false" outlineLevel="0" collapsed="false">
      <c r="A224" s="0" t="s">
        <v>577</v>
      </c>
      <c r="B224" s="0" t="s">
        <v>578</v>
      </c>
      <c r="C224" s="0" t="s">
        <v>584</v>
      </c>
      <c r="D224" s="0" t="s">
        <v>580</v>
      </c>
      <c r="E224" s="0" t="s">
        <v>104</v>
      </c>
      <c r="F224" s="0" t="s">
        <v>435</v>
      </c>
      <c r="G224" s="0" t="s">
        <v>581</v>
      </c>
      <c r="H224" s="0" t="s">
        <v>437</v>
      </c>
    </row>
    <row r="225" customFormat="false" ht="15" hidden="false" customHeight="false" outlineLevel="0" collapsed="false">
      <c r="A225" s="0" t="s">
        <v>577</v>
      </c>
      <c r="B225" s="0" t="s">
        <v>578</v>
      </c>
      <c r="C225" s="0" t="s">
        <v>585</v>
      </c>
      <c r="D225" s="0" t="s">
        <v>586</v>
      </c>
      <c r="E225" s="0" t="s">
        <v>104</v>
      </c>
      <c r="F225" s="0" t="s">
        <v>438</v>
      </c>
      <c r="G225" s="0" t="s">
        <v>581</v>
      </c>
      <c r="H225" s="0" t="s">
        <v>440</v>
      </c>
    </row>
    <row r="226" customFormat="false" ht="15" hidden="false" customHeight="false" outlineLevel="0" collapsed="false">
      <c r="A226" s="0" t="s">
        <v>577</v>
      </c>
      <c r="B226" s="0" t="s">
        <v>578</v>
      </c>
      <c r="C226" s="0" t="s">
        <v>587</v>
      </c>
      <c r="D226" s="0" t="s">
        <v>586</v>
      </c>
      <c r="E226" s="0" t="s">
        <v>104</v>
      </c>
      <c r="F226" s="0" t="s">
        <v>441</v>
      </c>
      <c r="G226" s="0" t="s">
        <v>581</v>
      </c>
      <c r="H226" s="0" t="s">
        <v>443</v>
      </c>
    </row>
    <row r="227" customFormat="false" ht="15" hidden="false" customHeight="false" outlineLevel="0" collapsed="false">
      <c r="A227" s="0" t="s">
        <v>577</v>
      </c>
      <c r="B227" s="0" t="s">
        <v>578</v>
      </c>
      <c r="C227" s="0" t="s">
        <v>588</v>
      </c>
      <c r="D227" s="0" t="s">
        <v>586</v>
      </c>
      <c r="E227" s="0" t="s">
        <v>104</v>
      </c>
      <c r="F227" s="0" t="s">
        <v>322</v>
      </c>
      <c r="G227" s="0" t="s">
        <v>581</v>
      </c>
      <c r="H227" s="0" t="s">
        <v>434</v>
      </c>
    </row>
    <row r="228" customFormat="false" ht="15" hidden="false" customHeight="false" outlineLevel="0" collapsed="false">
      <c r="A228" s="0" t="s">
        <v>577</v>
      </c>
      <c r="B228" s="0" t="s">
        <v>589</v>
      </c>
      <c r="C228" s="0" t="s">
        <v>583</v>
      </c>
      <c r="D228" s="0" t="s">
        <v>590</v>
      </c>
      <c r="E228" s="0" t="s">
        <v>104</v>
      </c>
      <c r="F228" s="0" t="s">
        <v>444</v>
      </c>
      <c r="G228" s="0" t="s">
        <v>581</v>
      </c>
      <c r="H228" s="0" t="s">
        <v>446</v>
      </c>
    </row>
    <row r="229" customFormat="false" ht="15" hidden="false" customHeight="false" outlineLevel="0" collapsed="false">
      <c r="A229" s="0" t="s">
        <v>577</v>
      </c>
      <c r="B229" s="0" t="s">
        <v>589</v>
      </c>
      <c r="C229" s="0" t="s">
        <v>584</v>
      </c>
      <c r="D229" s="0" t="s">
        <v>590</v>
      </c>
      <c r="E229" s="0" t="s">
        <v>104</v>
      </c>
      <c r="F229" s="0" t="s">
        <v>435</v>
      </c>
      <c r="G229" s="0" t="s">
        <v>581</v>
      </c>
      <c r="H229" s="0" t="s">
        <v>437</v>
      </c>
    </row>
    <row r="230" customFormat="false" ht="15" hidden="false" customHeight="false" outlineLevel="0" collapsed="false">
      <c r="A230" s="0" t="s">
        <v>577</v>
      </c>
      <c r="B230" s="0" t="s">
        <v>589</v>
      </c>
      <c r="C230" s="0" t="s">
        <v>585</v>
      </c>
      <c r="D230" s="0" t="s">
        <v>591</v>
      </c>
      <c r="E230" s="0" t="s">
        <v>104</v>
      </c>
      <c r="F230" s="0" t="s">
        <v>438</v>
      </c>
      <c r="G230" s="0" t="s">
        <v>581</v>
      </c>
      <c r="H230" s="0" t="s">
        <v>440</v>
      </c>
    </row>
    <row r="231" customFormat="false" ht="15" hidden="false" customHeight="false" outlineLevel="0" collapsed="false">
      <c r="A231" s="0" t="s">
        <v>577</v>
      </c>
      <c r="B231" s="0" t="s">
        <v>589</v>
      </c>
      <c r="C231" s="0" t="s">
        <v>587</v>
      </c>
      <c r="D231" s="0" t="s">
        <v>591</v>
      </c>
      <c r="E231" s="0" t="s">
        <v>104</v>
      </c>
      <c r="F231" s="0" t="s">
        <v>441</v>
      </c>
      <c r="G231" s="0" t="s">
        <v>581</v>
      </c>
      <c r="H231" s="0" t="s">
        <v>443</v>
      </c>
    </row>
    <row r="232" customFormat="false" ht="15" hidden="false" customHeight="false" outlineLevel="0" collapsed="false">
      <c r="A232" s="0" t="s">
        <v>577</v>
      </c>
      <c r="B232" s="0" t="s">
        <v>589</v>
      </c>
      <c r="C232" s="0" t="s">
        <v>588</v>
      </c>
      <c r="D232" s="0" t="s">
        <v>591</v>
      </c>
      <c r="E232" s="0" t="s">
        <v>104</v>
      </c>
      <c r="F232" s="0" t="s">
        <v>322</v>
      </c>
      <c r="G232" s="0" t="s">
        <v>581</v>
      </c>
      <c r="H232" s="0" t="s">
        <v>434</v>
      </c>
    </row>
    <row r="233" customFormat="false" ht="15" hidden="false" customHeight="false" outlineLevel="0" collapsed="false">
      <c r="A233" s="0" t="s">
        <v>577</v>
      </c>
      <c r="B233" s="0" t="s">
        <v>592</v>
      </c>
      <c r="C233" s="0" t="s">
        <v>585</v>
      </c>
      <c r="D233" s="0" t="s">
        <v>593</v>
      </c>
      <c r="E233" s="0" t="s">
        <v>104</v>
      </c>
      <c r="F233" s="0" t="s">
        <v>438</v>
      </c>
      <c r="G233" s="0" t="s">
        <v>581</v>
      </c>
      <c r="H233" s="0" t="s">
        <v>440</v>
      </c>
    </row>
    <row r="234" customFormat="false" ht="15" hidden="false" customHeight="false" outlineLevel="0" collapsed="false">
      <c r="A234" s="0" t="s">
        <v>577</v>
      </c>
      <c r="B234" s="0" t="s">
        <v>592</v>
      </c>
      <c r="C234" s="0" t="s">
        <v>587</v>
      </c>
      <c r="D234" s="0" t="s">
        <v>593</v>
      </c>
      <c r="E234" s="0" t="s">
        <v>104</v>
      </c>
      <c r="F234" s="0" t="s">
        <v>441</v>
      </c>
      <c r="G234" s="0" t="s">
        <v>581</v>
      </c>
      <c r="H234" s="0" t="s">
        <v>443</v>
      </c>
    </row>
    <row r="235" customFormat="false" ht="15" hidden="false" customHeight="false" outlineLevel="0" collapsed="false">
      <c r="A235" s="0" t="s">
        <v>577</v>
      </c>
      <c r="B235" s="0" t="s">
        <v>592</v>
      </c>
      <c r="C235" s="0" t="s">
        <v>588</v>
      </c>
      <c r="D235" s="0" t="s">
        <v>593</v>
      </c>
      <c r="E235" s="0" t="s">
        <v>104</v>
      </c>
      <c r="F235" s="0" t="s">
        <v>322</v>
      </c>
      <c r="G235" s="0" t="s">
        <v>581</v>
      </c>
      <c r="H235" s="0" t="s">
        <v>434</v>
      </c>
    </row>
    <row r="236" customFormat="false" ht="15" hidden="false" customHeight="false" outlineLevel="0" collapsed="false">
      <c r="A236" s="0" t="s">
        <v>577</v>
      </c>
      <c r="B236" s="0" t="s">
        <v>594</v>
      </c>
      <c r="C236" s="0" t="s">
        <v>585</v>
      </c>
      <c r="D236" s="0" t="s">
        <v>595</v>
      </c>
      <c r="E236" s="0" t="s">
        <v>104</v>
      </c>
      <c r="F236" s="0" t="s">
        <v>438</v>
      </c>
      <c r="G236" s="0" t="s">
        <v>581</v>
      </c>
      <c r="H236" s="0" t="s">
        <v>440</v>
      </c>
    </row>
    <row r="237" customFormat="false" ht="15" hidden="false" customHeight="false" outlineLevel="0" collapsed="false">
      <c r="A237" s="0" t="s">
        <v>577</v>
      </c>
      <c r="B237" s="0" t="s">
        <v>594</v>
      </c>
      <c r="C237" s="0" t="s">
        <v>587</v>
      </c>
      <c r="D237" s="0" t="s">
        <v>595</v>
      </c>
      <c r="E237" s="0" t="s">
        <v>104</v>
      </c>
      <c r="F237" s="0" t="s">
        <v>441</v>
      </c>
      <c r="G237" s="0" t="s">
        <v>581</v>
      </c>
      <c r="H237" s="0" t="s">
        <v>443</v>
      </c>
    </row>
    <row r="238" customFormat="false" ht="15" hidden="false" customHeight="false" outlineLevel="0" collapsed="false">
      <c r="A238" s="0" t="s">
        <v>577</v>
      </c>
      <c r="B238" s="0" t="s">
        <v>594</v>
      </c>
      <c r="C238" s="0" t="s">
        <v>588</v>
      </c>
      <c r="D238" s="0" t="s">
        <v>595</v>
      </c>
      <c r="E238" s="0" t="s">
        <v>104</v>
      </c>
      <c r="F238" s="0" t="s">
        <v>322</v>
      </c>
      <c r="G238" s="0" t="s">
        <v>581</v>
      </c>
      <c r="H238" s="0" t="s">
        <v>434</v>
      </c>
    </row>
    <row r="239" customFormat="false" ht="15" hidden="false" customHeight="false" outlineLevel="0" collapsed="false">
      <c r="A239" s="0" t="s">
        <v>577</v>
      </c>
      <c r="B239" s="0" t="s">
        <v>596</v>
      </c>
      <c r="C239" s="0" t="s">
        <v>585</v>
      </c>
      <c r="D239" s="0" t="s">
        <v>597</v>
      </c>
      <c r="E239" s="0" t="s">
        <v>104</v>
      </c>
      <c r="F239" s="0" t="s">
        <v>438</v>
      </c>
      <c r="G239" s="0" t="s">
        <v>581</v>
      </c>
      <c r="H239" s="0" t="s">
        <v>440</v>
      </c>
    </row>
    <row r="240" customFormat="false" ht="15" hidden="false" customHeight="false" outlineLevel="0" collapsed="false">
      <c r="A240" s="0" t="s">
        <v>577</v>
      </c>
      <c r="B240" s="0" t="s">
        <v>596</v>
      </c>
      <c r="C240" s="0" t="s">
        <v>587</v>
      </c>
      <c r="D240" s="0" t="s">
        <v>597</v>
      </c>
      <c r="E240" s="0" t="s">
        <v>104</v>
      </c>
      <c r="F240" s="0" t="s">
        <v>441</v>
      </c>
      <c r="G240" s="0" t="s">
        <v>581</v>
      </c>
      <c r="H240" s="0" t="s">
        <v>443</v>
      </c>
    </row>
    <row r="241" customFormat="false" ht="15" hidden="false" customHeight="false" outlineLevel="0" collapsed="false">
      <c r="A241" s="0" t="s">
        <v>577</v>
      </c>
      <c r="B241" s="0" t="s">
        <v>596</v>
      </c>
      <c r="C241" s="0" t="s">
        <v>588</v>
      </c>
      <c r="D241" s="0" t="s">
        <v>597</v>
      </c>
      <c r="E241" s="0" t="s">
        <v>104</v>
      </c>
      <c r="F241" s="0" t="s">
        <v>322</v>
      </c>
      <c r="G241" s="0" t="s">
        <v>581</v>
      </c>
      <c r="H241" s="0" t="s">
        <v>434</v>
      </c>
    </row>
    <row r="242" customFormat="false" ht="15" hidden="false" customHeight="false" outlineLevel="0" collapsed="false">
      <c r="A242" s="0" t="s">
        <v>577</v>
      </c>
      <c r="B242" s="0" t="s">
        <v>598</v>
      </c>
      <c r="C242" s="0" t="s">
        <v>588</v>
      </c>
      <c r="D242" s="0" t="s">
        <v>599</v>
      </c>
      <c r="E242" s="0" t="s">
        <v>104</v>
      </c>
      <c r="F242" s="0" t="s">
        <v>322</v>
      </c>
      <c r="G242" s="0" t="s">
        <v>581</v>
      </c>
      <c r="H242" s="0" t="s">
        <v>434</v>
      </c>
    </row>
    <row r="243" customFormat="false" ht="15" hidden="false" customHeight="false" outlineLevel="0" collapsed="false">
      <c r="A243" s="0" t="s">
        <v>577</v>
      </c>
      <c r="B243" s="0" t="s">
        <v>600</v>
      </c>
      <c r="C243" s="0" t="s">
        <v>588</v>
      </c>
      <c r="D243" s="0" t="s">
        <v>601</v>
      </c>
      <c r="E243" s="0" t="s">
        <v>104</v>
      </c>
      <c r="F243" s="0" t="s">
        <v>322</v>
      </c>
      <c r="G243" s="0" t="s">
        <v>581</v>
      </c>
      <c r="H243" s="0" t="s">
        <v>434</v>
      </c>
    </row>
    <row r="244" customFormat="false" ht="15" hidden="false" customHeight="false" outlineLevel="0" collapsed="false">
      <c r="A244" s="0" t="s">
        <v>577</v>
      </c>
      <c r="B244" s="0" t="s">
        <v>602</v>
      </c>
      <c r="C244" s="0" t="s">
        <v>588</v>
      </c>
      <c r="D244" s="0" t="s">
        <v>603</v>
      </c>
      <c r="E244" s="0" t="s">
        <v>104</v>
      </c>
      <c r="F244" s="0" t="s">
        <v>322</v>
      </c>
      <c r="G244" s="0" t="s">
        <v>581</v>
      </c>
      <c r="H244" s="0" t="s">
        <v>434</v>
      </c>
    </row>
    <row r="245" customFormat="false" ht="15" hidden="false" customHeight="false" outlineLevel="0" collapsed="false">
      <c r="A245" s="0" t="s">
        <v>577</v>
      </c>
      <c r="B245" s="0" t="s">
        <v>604</v>
      </c>
      <c r="C245" s="0" t="s">
        <v>588</v>
      </c>
      <c r="D245" s="0" t="s">
        <v>605</v>
      </c>
      <c r="E245" s="0" t="s">
        <v>104</v>
      </c>
      <c r="F245" s="0" t="s">
        <v>322</v>
      </c>
      <c r="G245" s="0" t="s">
        <v>581</v>
      </c>
      <c r="H245" s="0" t="s">
        <v>434</v>
      </c>
    </row>
    <row r="247" customFormat="false" ht="15" hidden="false" customHeight="false" outlineLevel="0" collapsed="false">
      <c r="A247" s="2" t="s">
        <v>606</v>
      </c>
    </row>
    <row r="248" customFormat="false" ht="15" hidden="false" customHeight="false" outlineLevel="0" collapsed="false">
      <c r="A248" s="0" t="s">
        <v>607</v>
      </c>
      <c r="F248" s="0" t="s">
        <v>451</v>
      </c>
      <c r="H248" s="0" t="s">
        <v>453</v>
      </c>
    </row>
    <row r="249" customFormat="false" ht="15" hidden="false" customHeight="false" outlineLevel="0" collapsed="false">
      <c r="A249" s="0" t="s">
        <v>129</v>
      </c>
      <c r="F249" s="0" t="s">
        <v>454</v>
      </c>
      <c r="H249" s="0" t="s">
        <v>456</v>
      </c>
    </row>
    <row r="250" customFormat="false" ht="15" hidden="false" customHeight="false" outlineLevel="0" collapsed="false">
      <c r="A250" s="0" t="s">
        <v>608</v>
      </c>
      <c r="F250" s="0" t="s">
        <v>487</v>
      </c>
      <c r="H250" s="0" t="s">
        <v>489</v>
      </c>
    </row>
    <row r="251" customFormat="false" ht="15" hidden="false" customHeight="false" outlineLevel="0" collapsed="false">
      <c r="A251" s="0" t="s">
        <v>609</v>
      </c>
      <c r="F251" s="0" t="s">
        <v>474</v>
      </c>
      <c r="H251" s="0" t="s">
        <v>476</v>
      </c>
    </row>
    <row r="252" customFormat="false" ht="15" hidden="false" customHeight="false" outlineLevel="0" collapsed="false">
      <c r="A252" s="0" t="s">
        <v>610</v>
      </c>
      <c r="F252" s="0" t="s">
        <v>477</v>
      </c>
      <c r="H252" s="0" t="s">
        <v>478</v>
      </c>
    </row>
    <row r="253" customFormat="false" ht="15" hidden="false" customHeight="false" outlineLevel="0" collapsed="false">
      <c r="A253" s="0" t="s">
        <v>611</v>
      </c>
      <c r="F253" s="0" t="s">
        <v>430</v>
      </c>
      <c r="H253" s="0" t="s">
        <v>432</v>
      </c>
    </row>
    <row r="254" customFormat="false" ht="15" hidden="false" customHeight="false" outlineLevel="0" collapsed="false">
      <c r="A254" s="0" t="s">
        <v>133</v>
      </c>
      <c r="F254" s="0" t="s">
        <v>444</v>
      </c>
      <c r="H254" s="0" t="s">
        <v>446</v>
      </c>
    </row>
    <row r="255" customFormat="false" ht="15" hidden="false" customHeight="false" outlineLevel="0" collapsed="false">
      <c r="A255" s="0" t="s">
        <v>612</v>
      </c>
      <c r="F255" s="0" t="s">
        <v>563</v>
      </c>
      <c r="H255" s="0" t="s">
        <v>565</v>
      </c>
    </row>
    <row r="256" customFormat="false" ht="15" hidden="false" customHeight="false" outlineLevel="0" collapsed="false">
      <c r="A256" s="0" t="s">
        <v>613</v>
      </c>
      <c r="F256" s="0" t="s">
        <v>435</v>
      </c>
      <c r="H256" s="0" t="s">
        <v>437</v>
      </c>
    </row>
    <row r="257" customFormat="false" ht="15" hidden="false" customHeight="false" outlineLevel="0" collapsed="false">
      <c r="A257" s="0" t="s">
        <v>614</v>
      </c>
      <c r="F257" s="0" t="s">
        <v>550</v>
      </c>
      <c r="H257" s="0" t="s">
        <v>551</v>
      </c>
    </row>
    <row r="258" customFormat="false" ht="15" hidden="false" customHeight="false" outlineLevel="0" collapsed="false">
      <c r="A258" s="0" t="s">
        <v>615</v>
      </c>
      <c r="F258" s="0" t="s">
        <v>438</v>
      </c>
      <c r="H258" s="0" t="s">
        <v>440</v>
      </c>
    </row>
    <row r="259" customFormat="false" ht="15" hidden="false" customHeight="false" outlineLevel="0" collapsed="false">
      <c r="A259" s="0" t="s">
        <v>616</v>
      </c>
      <c r="F259" s="0" t="s">
        <v>552</v>
      </c>
      <c r="H259" s="0" t="s">
        <v>553</v>
      </c>
    </row>
    <row r="260" customFormat="false" ht="15" hidden="false" customHeight="false" outlineLevel="0" collapsed="false">
      <c r="A260" s="0" t="s">
        <v>617</v>
      </c>
      <c r="F260" s="0" t="s">
        <v>441</v>
      </c>
      <c r="H260" s="0" t="s">
        <v>443</v>
      </c>
    </row>
    <row r="261" customFormat="false" ht="15" hidden="false" customHeight="false" outlineLevel="0" collapsed="false">
      <c r="A261" s="0" t="s">
        <v>618</v>
      </c>
      <c r="F261" s="0" t="s">
        <v>554</v>
      </c>
      <c r="H261" s="0" t="s">
        <v>555</v>
      </c>
    </row>
    <row r="262" customFormat="false" ht="15" hidden="false" customHeight="false" outlineLevel="0" collapsed="false">
      <c r="A262" s="0" t="s">
        <v>135</v>
      </c>
      <c r="F262" s="0" t="s">
        <v>322</v>
      </c>
      <c r="H262" s="0" t="s">
        <v>434</v>
      </c>
    </row>
    <row r="263" customFormat="false" ht="15" hidden="false" customHeight="false" outlineLevel="0" collapsed="false">
      <c r="A263" s="0" t="s">
        <v>619</v>
      </c>
      <c r="F263" s="0" t="s">
        <v>556</v>
      </c>
      <c r="H263" s="0" t="s">
        <v>557</v>
      </c>
    </row>
    <row r="264" customFormat="false" ht="15" hidden="false" customHeight="false" outlineLevel="0" collapsed="false">
      <c r="A264" s="0" t="s">
        <v>620</v>
      </c>
      <c r="F264" s="0" t="s">
        <v>621</v>
      </c>
      <c r="H264" s="0" t="s">
        <v>622</v>
      </c>
    </row>
    <row r="265" customFormat="false" ht="15" hidden="false" customHeight="false" outlineLevel="0" collapsed="false">
      <c r="A265" s="0" t="s">
        <v>623</v>
      </c>
      <c r="F265" s="0" t="s">
        <v>573</v>
      </c>
      <c r="H265" s="0" t="s">
        <v>575</v>
      </c>
    </row>
    <row r="266" customFormat="false" ht="15" hidden="false" customHeight="false" outlineLevel="0" collapsed="false">
      <c r="A266" s="0" t="s">
        <v>624</v>
      </c>
      <c r="F266" s="0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4" min="3" style="0" width="7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4" t="s">
        <v>23</v>
      </c>
      <c r="B1" s="4" t="s">
        <v>625</v>
      </c>
      <c r="C1" s="4" t="s">
        <v>626</v>
      </c>
      <c r="D1" s="4" t="s">
        <v>627</v>
      </c>
      <c r="E1" s="4" t="s">
        <v>628</v>
      </c>
    </row>
    <row r="2" customFormat="false" ht="55.2" hidden="false" customHeight="false" outlineLevel="0" collapsed="false">
      <c r="A2" s="1" t="s">
        <v>40</v>
      </c>
      <c r="B2" s="1" t="s">
        <v>629</v>
      </c>
      <c r="C2" s="1" t="s">
        <v>630</v>
      </c>
      <c r="D2" s="1" t="s">
        <v>631</v>
      </c>
      <c r="E2" s="1" t="s">
        <v>632</v>
      </c>
    </row>
    <row r="3" customFormat="false" ht="28.35" hidden="false" customHeight="false" outlineLevel="0" collapsed="false">
      <c r="A3" s="1" t="s">
        <v>63</v>
      </c>
      <c r="B3" s="1" t="s">
        <v>633</v>
      </c>
      <c r="C3" s="1" t="s">
        <v>634</v>
      </c>
      <c r="D3" s="1" t="s">
        <v>635</v>
      </c>
      <c r="E3" s="1" t="s">
        <v>636</v>
      </c>
    </row>
    <row r="4" customFormat="false" ht="41.75" hidden="false" customHeight="false" outlineLevel="0" collapsed="false">
      <c r="A4" s="1" t="s">
        <v>71</v>
      </c>
      <c r="B4" s="1" t="s">
        <v>637</v>
      </c>
      <c r="C4" s="1" t="s">
        <v>638</v>
      </c>
      <c r="D4" s="1" t="s">
        <v>639</v>
      </c>
      <c r="E4" s="1" t="s">
        <v>640</v>
      </c>
    </row>
    <row r="5" customFormat="false" ht="41.75" hidden="false" customHeight="false" outlineLevel="0" collapsed="false">
      <c r="A5" s="1" t="s">
        <v>81</v>
      </c>
      <c r="B5" s="1" t="s">
        <v>641</v>
      </c>
      <c r="C5" s="1" t="s">
        <v>642</v>
      </c>
      <c r="D5" s="1" t="s">
        <v>643</v>
      </c>
      <c r="E5" s="1" t="s">
        <v>644</v>
      </c>
    </row>
    <row r="6" customFormat="false" ht="28.35" hidden="false" customHeight="false" outlineLevel="0" collapsed="false">
      <c r="A6" s="1" t="s">
        <v>102</v>
      </c>
      <c r="B6" s="1" t="s">
        <v>645</v>
      </c>
      <c r="C6" s="1" t="s">
        <v>646</v>
      </c>
      <c r="D6" s="1" t="s">
        <v>647</v>
      </c>
      <c r="E6" s="1" t="s">
        <v>648</v>
      </c>
    </row>
    <row r="7" customFormat="false" ht="41.75" hidden="false" customHeight="false" outlineLevel="0" collapsed="false">
      <c r="A7" s="1" t="s">
        <v>117</v>
      </c>
      <c r="B7" s="1" t="s">
        <v>649</v>
      </c>
      <c r="C7" s="1" t="s">
        <v>650</v>
      </c>
      <c r="D7" s="1" t="s">
        <v>651</v>
      </c>
      <c r="E7" s="1" t="s">
        <v>652</v>
      </c>
    </row>
    <row r="8" customFormat="false" ht="28.35" hidden="false" customHeight="false" outlineLevel="0" collapsed="false">
      <c r="A8" s="1" t="s">
        <v>131</v>
      </c>
      <c r="B8" s="1" t="s">
        <v>653</v>
      </c>
      <c r="C8" s="1" t="s">
        <v>654</v>
      </c>
      <c r="D8" s="1" t="s">
        <v>655</v>
      </c>
      <c r="E8" s="1" t="s">
        <v>656</v>
      </c>
    </row>
    <row r="9" customFormat="false" ht="41.75" hidden="false" customHeight="false" outlineLevel="0" collapsed="false">
      <c r="A9" s="1" t="s">
        <v>143</v>
      </c>
      <c r="B9" s="1" t="s">
        <v>657</v>
      </c>
      <c r="C9" s="1" t="s">
        <v>658</v>
      </c>
      <c r="D9" s="1" t="s">
        <v>659</v>
      </c>
      <c r="E9" s="1" t="s"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90"/>
  </cols>
  <sheetData>
    <row r="1" customFormat="false" ht="28.35" hidden="false" customHeight="false" outlineLevel="0" collapsed="false">
      <c r="A1" s="4" t="s">
        <v>661</v>
      </c>
      <c r="B1" s="4" t="s">
        <v>662</v>
      </c>
      <c r="C1" s="4" t="s">
        <v>663</v>
      </c>
      <c r="D1" s="4" t="s">
        <v>664</v>
      </c>
      <c r="E1" s="4" t="s">
        <v>665</v>
      </c>
      <c r="F1" s="4" t="s">
        <v>666</v>
      </c>
    </row>
    <row r="2" customFormat="false" ht="15" hidden="false" customHeight="false" outlineLevel="0" collapsed="false">
      <c r="A2" s="1" t="s">
        <v>24</v>
      </c>
      <c r="B2" s="1" t="s">
        <v>667</v>
      </c>
      <c r="C2" s="1" t="s">
        <v>668</v>
      </c>
      <c r="D2" s="1" t="s">
        <v>669</v>
      </c>
      <c r="E2" s="1" t="s">
        <v>670</v>
      </c>
      <c r="F2" s="1" t="s">
        <v>671</v>
      </c>
    </row>
    <row r="3" customFormat="false" ht="15" hidden="false" customHeight="false" outlineLevel="0" collapsed="false">
      <c r="A3" s="1" t="s">
        <v>25</v>
      </c>
      <c r="B3" s="1" t="s">
        <v>672</v>
      </c>
      <c r="C3" s="1" t="s">
        <v>673</v>
      </c>
      <c r="D3" s="1" t="s">
        <v>674</v>
      </c>
      <c r="E3" s="1" t="s">
        <v>670</v>
      </c>
      <c r="F3" s="1" t="s">
        <v>675</v>
      </c>
    </row>
    <row r="4" customFormat="false" ht="15" hidden="false" customHeight="false" outlineLevel="0" collapsed="false">
      <c r="A4" s="1" t="s">
        <v>26</v>
      </c>
      <c r="B4" s="1" t="s">
        <v>676</v>
      </c>
      <c r="C4" s="1" t="s">
        <v>677</v>
      </c>
      <c r="D4" s="1" t="s">
        <v>678</v>
      </c>
      <c r="E4" s="1" t="s">
        <v>670</v>
      </c>
      <c r="F4" s="1" t="s">
        <v>675</v>
      </c>
    </row>
    <row r="5" customFormat="false" ht="15" hidden="false" customHeight="false" outlineLevel="0" collapsed="false">
      <c r="A5" s="1" t="s">
        <v>27</v>
      </c>
      <c r="B5" s="1" t="s">
        <v>679</v>
      </c>
      <c r="C5" s="1" t="s">
        <v>680</v>
      </c>
      <c r="D5" s="1" t="s">
        <v>681</v>
      </c>
      <c r="E5" s="1" t="s">
        <v>670</v>
      </c>
      <c r="F5" s="1" t="s">
        <v>675</v>
      </c>
    </row>
    <row r="6" customFormat="false" ht="15" hidden="false" customHeight="false" outlineLevel="0" collapsed="false">
      <c r="A6" s="1" t="s">
        <v>28</v>
      </c>
      <c r="B6" s="1" t="s">
        <v>682</v>
      </c>
      <c r="C6" s="1" t="s">
        <v>683</v>
      </c>
      <c r="D6" s="1" t="s">
        <v>579</v>
      </c>
      <c r="E6" s="1" t="s">
        <v>670</v>
      </c>
      <c r="F6" s="1" t="s">
        <v>675</v>
      </c>
    </row>
    <row r="7" customFormat="false" ht="15" hidden="false" customHeight="false" outlineLevel="0" collapsed="false">
      <c r="A7" s="1" t="s">
        <v>29</v>
      </c>
      <c r="B7" s="1" t="s">
        <v>684</v>
      </c>
      <c r="C7" s="1" t="s">
        <v>685</v>
      </c>
      <c r="D7" s="1" t="s">
        <v>582</v>
      </c>
      <c r="E7" s="1" t="s">
        <v>670</v>
      </c>
      <c r="F7" s="1" t="s">
        <v>675</v>
      </c>
    </row>
    <row r="8" customFormat="false" ht="15" hidden="false" customHeight="false" outlineLevel="0" collapsed="false">
      <c r="A8" s="1" t="s">
        <v>30</v>
      </c>
      <c r="B8" s="1" t="s">
        <v>686</v>
      </c>
      <c r="C8" s="1" t="s">
        <v>687</v>
      </c>
      <c r="D8" s="1" t="s">
        <v>583</v>
      </c>
      <c r="E8" s="1" t="s">
        <v>670</v>
      </c>
      <c r="F8" s="1" t="s">
        <v>675</v>
      </c>
    </row>
    <row r="9" customFormat="false" ht="15" hidden="false" customHeight="false" outlineLevel="0" collapsed="false">
      <c r="A9" s="1" t="s">
        <v>31</v>
      </c>
      <c r="B9" s="1" t="s">
        <v>688</v>
      </c>
      <c r="C9" s="1" t="s">
        <v>689</v>
      </c>
      <c r="D9" s="1" t="s">
        <v>584</v>
      </c>
      <c r="E9" s="1" t="s">
        <v>670</v>
      </c>
      <c r="F9" s="1" t="s">
        <v>675</v>
      </c>
    </row>
    <row r="10" customFormat="false" ht="15" hidden="false" customHeight="false" outlineLevel="0" collapsed="false">
      <c r="A10" s="1" t="s">
        <v>32</v>
      </c>
      <c r="B10" s="1" t="s">
        <v>690</v>
      </c>
      <c r="C10" s="1" t="s">
        <v>691</v>
      </c>
      <c r="D10" s="1" t="s">
        <v>585</v>
      </c>
      <c r="E10" s="1" t="s">
        <v>670</v>
      </c>
      <c r="F10" s="1" t="s">
        <v>675</v>
      </c>
    </row>
    <row r="11" customFormat="false" ht="15" hidden="false" customHeight="false" outlineLevel="0" collapsed="false">
      <c r="A11" s="1" t="s">
        <v>33</v>
      </c>
      <c r="B11" s="1" t="s">
        <v>692</v>
      </c>
      <c r="C11" s="1" t="s">
        <v>693</v>
      </c>
      <c r="D11" s="1" t="s">
        <v>587</v>
      </c>
      <c r="E11" s="1" t="s">
        <v>670</v>
      </c>
      <c r="F11" s="1" t="s">
        <v>675</v>
      </c>
    </row>
    <row r="12" customFormat="false" ht="15" hidden="false" customHeight="false" outlineLevel="0" collapsed="false">
      <c r="A12" s="1" t="s">
        <v>34</v>
      </c>
      <c r="B12" s="1" t="s">
        <v>694</v>
      </c>
      <c r="C12" s="1" t="s">
        <v>695</v>
      </c>
      <c r="D12" s="1" t="s">
        <v>588</v>
      </c>
      <c r="E12" s="1" t="s">
        <v>670</v>
      </c>
      <c r="F12" s="1" t="s">
        <v>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90"/>
    <col collapsed="false" customWidth="true" hidden="false" outlineLevel="0" max="5" min="4" style="0" width="50"/>
  </cols>
  <sheetData>
    <row r="1" customFormat="false" ht="15" hidden="false" customHeight="false" outlineLevel="0" collapsed="false">
      <c r="A1" s="4" t="s">
        <v>139</v>
      </c>
      <c r="B1" s="4" t="s">
        <v>696</v>
      </c>
      <c r="C1" s="4" t="s">
        <v>697</v>
      </c>
      <c r="D1" s="4" t="s">
        <v>698</v>
      </c>
      <c r="E1" s="4" t="s">
        <v>699</v>
      </c>
    </row>
    <row r="2" customFormat="false" ht="28.35" hidden="false" customHeight="false" outlineLevel="0" collapsed="false">
      <c r="A2" s="0" t="n">
        <v>1</v>
      </c>
      <c r="B2" s="1" t="s">
        <v>700</v>
      </c>
      <c r="C2" s="1" t="s">
        <v>701</v>
      </c>
      <c r="D2" s="1" t="s">
        <v>702</v>
      </c>
      <c r="E2" s="1" t="s">
        <v>703</v>
      </c>
    </row>
    <row r="3" customFormat="false" ht="28.35" hidden="false" customHeight="false" outlineLevel="0" collapsed="false">
      <c r="A3" s="0" t="n">
        <v>2</v>
      </c>
      <c r="B3" s="1" t="s">
        <v>700</v>
      </c>
      <c r="C3" s="1" t="s">
        <v>704</v>
      </c>
      <c r="D3" s="1" t="s">
        <v>705</v>
      </c>
      <c r="E3" s="1" t="s">
        <v>706</v>
      </c>
    </row>
    <row r="4" customFormat="false" ht="28.35" hidden="false" customHeight="false" outlineLevel="0" collapsed="false">
      <c r="A4" s="0" t="n">
        <v>3</v>
      </c>
      <c r="B4" s="1" t="s">
        <v>700</v>
      </c>
      <c r="C4" s="1" t="s">
        <v>707</v>
      </c>
      <c r="D4" s="1" t="s">
        <v>708</v>
      </c>
      <c r="E4" s="1"/>
    </row>
    <row r="5" customFormat="false" ht="28.35" hidden="false" customHeight="false" outlineLevel="0" collapsed="false">
      <c r="A5" s="0" t="n">
        <v>4</v>
      </c>
      <c r="B5" s="1" t="s">
        <v>700</v>
      </c>
      <c r="C5" s="1" t="s">
        <v>709</v>
      </c>
      <c r="D5" s="1" t="s">
        <v>710</v>
      </c>
      <c r="E5" s="1"/>
    </row>
    <row r="6" customFormat="false" ht="15" hidden="false" customHeight="false" outlineLevel="0" collapsed="false">
      <c r="A6" s="0" t="n">
        <v>5</v>
      </c>
      <c r="B6" s="1" t="s">
        <v>700</v>
      </c>
      <c r="C6" s="1" t="s">
        <v>711</v>
      </c>
      <c r="D6" s="1" t="s">
        <v>712</v>
      </c>
      <c r="E6" s="1"/>
    </row>
    <row r="7" customFormat="false" ht="28.35" hidden="false" customHeight="false" outlineLevel="0" collapsed="false">
      <c r="A7" s="0" t="n">
        <v>6</v>
      </c>
      <c r="B7" s="1" t="s">
        <v>713</v>
      </c>
      <c r="C7" s="1" t="s">
        <v>714</v>
      </c>
      <c r="D7" s="1" t="s">
        <v>715</v>
      </c>
      <c r="E7" s="1"/>
    </row>
    <row r="8" customFormat="false" ht="28.35" hidden="false" customHeight="false" outlineLevel="0" collapsed="false">
      <c r="A8" s="0" t="n">
        <v>7</v>
      </c>
      <c r="B8" s="1" t="s">
        <v>713</v>
      </c>
      <c r="C8" s="1" t="s">
        <v>716</v>
      </c>
      <c r="D8" s="1" t="s">
        <v>717</v>
      </c>
      <c r="E8" s="1"/>
    </row>
    <row r="9" customFormat="false" ht="28.35" hidden="false" customHeight="false" outlineLevel="0" collapsed="false">
      <c r="A9" s="0" t="n">
        <v>8</v>
      </c>
      <c r="B9" s="1" t="s">
        <v>718</v>
      </c>
      <c r="C9" s="1" t="s">
        <v>719</v>
      </c>
      <c r="D9" s="1"/>
      <c r="E9" s="1"/>
    </row>
    <row r="10" customFormat="false" ht="15" hidden="false" customHeight="false" outlineLevel="0" collapsed="false">
      <c r="A10" s="0" t="n">
        <v>9</v>
      </c>
      <c r="B10" s="1" t="s">
        <v>718</v>
      </c>
      <c r="C10" s="1" t="s">
        <v>720</v>
      </c>
      <c r="D10" s="1" t="s">
        <v>721</v>
      </c>
      <c r="E1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6" min="4" style="0" width="16"/>
  </cols>
  <sheetData>
    <row r="1" customFormat="false" ht="15" hidden="false" customHeight="false" outlineLevel="0" collapsed="false">
      <c r="A1" s="2" t="s">
        <v>722</v>
      </c>
    </row>
    <row r="3" customFormat="false" ht="41.7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723</v>
      </c>
      <c r="E3" s="4" t="s">
        <v>724</v>
      </c>
      <c r="F3" s="4" t="s">
        <v>725</v>
      </c>
    </row>
    <row r="4" customFormat="false" ht="15" hidden="false" customHeight="false" outlineLevel="0" collapsed="false">
      <c r="A4" s="0" t="s">
        <v>37</v>
      </c>
      <c r="B4" s="0" t="str">
        <f aca="false">KPIs!B5</f>
        <v>Revenue per active MW - period-end MW</v>
      </c>
      <c r="C4" s="0" t="str">
        <f aca="false">KPIs!C5</f>
        <v>$M/MW-yr</v>
      </c>
      <c r="D4" s="20" t="str">
        <f aca="false">KPIs!M5</f>
        <v>n/d</v>
      </c>
      <c r="E4" s="20" t="str">
        <f aca="false">KPIs!N5</f>
        <v>n/d</v>
      </c>
      <c r="F4" s="20" t="n">
        <f aca="false">KPIs!O5</f>
        <v>7.0515</v>
      </c>
    </row>
    <row r="5" customFormat="false" ht="15" hidden="false" customHeight="false" outlineLevel="0" collapsed="false">
      <c r="A5" s="0" t="s">
        <v>45</v>
      </c>
      <c r="B5" s="0" t="str">
        <f aca="false">KPIs!B7</f>
        <v>Revenue per active MW - average MW</v>
      </c>
      <c r="C5" s="0" t="str">
        <f aca="false">KPIs!C7</f>
        <v>$M/MW-yr</v>
      </c>
      <c r="D5" s="20" t="str">
        <f aca="false">KPIs!M7</f>
        <v>n/d</v>
      </c>
      <c r="E5" s="20" t="str">
        <f aca="false">KPIs!N7</f>
        <v>n/d</v>
      </c>
      <c r="F5" s="20" t="str">
        <f aca="false">KPIs!O7</f>
        <v>n/d</v>
      </c>
    </row>
    <row r="6" customFormat="false" ht="15" hidden="false" customHeight="false" outlineLevel="0" collapsed="false">
      <c r="A6" s="0" t="s">
        <v>49</v>
      </c>
      <c r="B6" s="0" t="str">
        <f aca="false">KPIs!B9</f>
        <v>Revenue per contracted MW</v>
      </c>
      <c r="C6" s="0" t="str">
        <f aca="false">KPIs!C9</f>
        <v>$M/MW-yr</v>
      </c>
      <c r="D6" s="20" t="str">
        <f aca="false">KPIs!M9</f>
        <v>n/d</v>
      </c>
      <c r="E6" s="20" t="str">
        <f aca="false">KPIs!N9</f>
        <v>n/d</v>
      </c>
      <c r="F6" s="20" t="str">
        <f aca="false">KPIs!O9</f>
        <v>n/d</v>
      </c>
    </row>
    <row r="7" customFormat="false" ht="15" hidden="false" customHeight="false" outlineLevel="0" collapsed="false">
      <c r="A7" s="0" t="s">
        <v>56</v>
      </c>
      <c r="B7" s="0" t="str">
        <f aca="false">KPIs!B13</f>
        <v>Adj. EBITDA per active MW (average MW)</v>
      </c>
      <c r="C7" s="0" t="str">
        <f aca="false">KPIs!C13</f>
        <v>$M/MW-yr</v>
      </c>
      <c r="D7" s="20" t="str">
        <f aca="false">KPIs!M13</f>
        <v>n/d</v>
      </c>
      <c r="E7" s="20" t="str">
        <f aca="false">KPIs!N13</f>
        <v>n/d</v>
      </c>
      <c r="F7" s="20" t="str">
        <f aca="false">KPIs!O13</f>
        <v>n/d</v>
      </c>
    </row>
    <row r="8" customFormat="false" ht="15" hidden="false" customHeight="false" outlineLevel="0" collapsed="false">
      <c r="A8" s="0" t="s">
        <v>60</v>
      </c>
      <c r="B8" s="0" t="str">
        <f aca="false">KPIs!B16</f>
        <v>Revenue per GPU ($K per GPU-year, avg GPUs)</v>
      </c>
      <c r="C8" s="0" t="str">
        <f aca="false">KPIs!C16</f>
        <v>$K/GPU-yr</v>
      </c>
      <c r="D8" s="20" t="str">
        <f aca="false">KPIs!M16</f>
        <v>n/d</v>
      </c>
      <c r="E8" s="20" t="str">
        <f aca="false">KPIs!N16</f>
        <v>n/d</v>
      </c>
      <c r="F8" s="20" t="str">
        <f aca="false">KPIs!O16</f>
        <v>n/d</v>
      </c>
    </row>
    <row r="9" customFormat="false" ht="15" hidden="false" customHeight="false" outlineLevel="0" collapsed="false">
      <c r="A9" s="0" t="s">
        <v>65</v>
      </c>
      <c r="B9" s="0" t="str">
        <f aca="false">KPIs!B18</f>
        <v>Implied blended realized price ($/GPU-hr)</v>
      </c>
      <c r="C9" s="0" t="str">
        <f aca="false">KPIs!C18</f>
        <v>$/GPU-hr</v>
      </c>
      <c r="D9" s="20" t="str">
        <f aca="false">KPIs!M18</f>
        <v>n/d</v>
      </c>
      <c r="E9" s="20" t="str">
        <f aca="false">KPIs!N18</f>
        <v>n/d</v>
      </c>
      <c r="F9" s="20" t="str">
        <f aca="false">KPIs!O18</f>
        <v>n/d</v>
      </c>
    </row>
    <row r="10" customFormat="false" ht="15" hidden="false" customHeight="false" outlineLevel="0" collapsed="false">
      <c r="A10" s="0" t="s">
        <v>73</v>
      </c>
      <c r="B10" s="0" t="str">
        <f aca="false">KPIs!B22</f>
        <v>Implied utilization (realized $/GPU-hr / weighted list)</v>
      </c>
      <c r="C10" s="0" t="str">
        <f aca="false">KPIs!C22</f>
        <v>%</v>
      </c>
      <c r="D10" s="20" t="str">
        <f aca="false">KPIs!M22</f>
        <v>n/d</v>
      </c>
      <c r="E10" s="20" t="str">
        <f aca="false">KPIs!N22</f>
        <v>n/d</v>
      </c>
      <c r="F10" s="20" t="str">
        <f aca="false">KPIs!O22</f>
        <v>n/d</v>
      </c>
    </row>
    <row r="11" customFormat="false" ht="15" hidden="false" customHeight="false" outlineLevel="0" collapsed="false">
      <c r="A11" s="0" t="s">
        <v>78</v>
      </c>
      <c r="B11" s="0" t="str">
        <f aca="false">KPIs!B25</f>
        <v>Cash capex per new active MW</v>
      </c>
      <c r="C11" s="0" t="str">
        <f aca="false">KPIs!C25</f>
        <v>$M/MW</v>
      </c>
      <c r="D11" s="20" t="str">
        <f aca="false">KPIs!M25</f>
        <v>n/d</v>
      </c>
      <c r="E11" s="20" t="str">
        <f aca="false">KPIs!N25</f>
        <v>n/d</v>
      </c>
      <c r="F11" s="20" t="str">
        <f aca="false">KPIs!O25</f>
        <v>n/d</v>
      </c>
    </row>
    <row r="12" customFormat="false" ht="15" hidden="false" customHeight="false" outlineLevel="0" collapsed="false">
      <c r="A12" s="0" t="s">
        <v>86</v>
      </c>
      <c r="B12" s="0" t="str">
        <f aca="false">KPIs!B29</f>
        <v>In-service additions per new active MW</v>
      </c>
      <c r="C12" s="0" t="str">
        <f aca="false">KPIs!C29</f>
        <v>$M/MW</v>
      </c>
      <c r="D12" s="20" t="str">
        <f aca="false">KPIs!M29</f>
        <v>n/d</v>
      </c>
      <c r="E12" s="20" t="str">
        <f aca="false">KPIs!N29</f>
        <v>n/d</v>
      </c>
      <c r="F12" s="20" t="str">
        <f aca="false">KPIs!O29</f>
        <v>n/d</v>
      </c>
    </row>
    <row r="13" customFormat="false" ht="15" hidden="false" customHeight="false" outlineLevel="0" collapsed="false">
      <c r="A13" s="0" t="s">
        <v>89</v>
      </c>
      <c r="B13" s="0" t="str">
        <f aca="false">KPIs!B31</f>
        <v>Trailing-4Q cash capex per trailing-4Q new active MW</v>
      </c>
      <c r="C13" s="0" t="str">
        <f aca="false">KPIs!C31</f>
        <v>$M/MW</v>
      </c>
      <c r="D13" s="20" t="str">
        <f aca="false">KPIs!M31</f>
        <v>n/d</v>
      </c>
      <c r="E13" s="20" t="str">
        <f aca="false">KPIs!N31</f>
        <v>n/d</v>
      </c>
      <c r="F13" s="20" t="str">
        <f aca="false">KPIs!O31</f>
        <v>n/d</v>
      </c>
    </row>
    <row r="14" customFormat="false" ht="15" hidden="false" customHeight="false" outlineLevel="0" collapsed="false">
      <c r="A14" s="0" t="s">
        <v>92</v>
      </c>
      <c r="B14" s="0" t="str">
        <f aca="false">KPIs!B33</f>
        <v>Net PP&amp;E per active MW (EoP)</v>
      </c>
      <c r="C14" s="0" t="str">
        <f aca="false">KPIs!C33</f>
        <v>$M/MW</v>
      </c>
      <c r="D14" s="20" t="str">
        <f aca="false">KPIs!M33</f>
        <v>n/d</v>
      </c>
      <c r="E14" s="20" t="str">
        <f aca="false">KPIs!N33</f>
        <v>n/d</v>
      </c>
      <c r="F14" s="20" t="str">
        <f aca="false">KPIs!O33</f>
        <v>n/d</v>
      </c>
    </row>
    <row r="15" customFormat="false" ht="15" hidden="false" customHeight="false" outlineLevel="0" collapsed="false">
      <c r="A15" s="0" t="s">
        <v>95</v>
      </c>
      <c r="B15" s="0" t="str">
        <f aca="false">KPIs!B35</f>
        <v>Gross in-service PP&amp;E per active MW (EoP)</v>
      </c>
      <c r="C15" s="0" t="str">
        <f aca="false">KPIs!C35</f>
        <v>$M/MW</v>
      </c>
      <c r="D15" s="20" t="str">
        <f aca="false">KPIs!M35</f>
        <v>n/d</v>
      </c>
      <c r="E15" s="20" t="str">
        <f aca="false">KPIs!N35</f>
        <v>n/d</v>
      </c>
      <c r="F15" s="20" t="str">
        <f aca="false">KPIs!O35</f>
        <v>n/d</v>
      </c>
    </row>
    <row r="16" customFormat="false" ht="15" hidden="false" customHeight="false" outlineLevel="0" collapsed="false">
      <c r="A16" s="0" t="s">
        <v>99</v>
      </c>
      <c r="B16" s="0" t="str">
        <f aca="false">KPIs!B38</f>
        <v>Useful life - GPU / server equipment</v>
      </c>
      <c r="C16" s="0" t="str">
        <f aca="false">KPIs!C38</f>
        <v>years</v>
      </c>
      <c r="D16" s="20" t="n">
        <f aca="false">KPIs!M38</f>
        <v>5</v>
      </c>
      <c r="E16" s="20" t="n">
        <f aca="false">KPIs!N38</f>
        <v>5</v>
      </c>
      <c r="F16" s="20" t="n">
        <f aca="false">KPIs!O38</f>
        <v>5</v>
      </c>
    </row>
    <row r="17" customFormat="false" ht="15" hidden="false" customHeight="false" outlineLevel="0" collapsed="false">
      <c r="A17" s="0" t="s">
        <v>105</v>
      </c>
      <c r="B17" s="0" t="str">
        <f aca="false">KPIs!B40</f>
        <v>Depreciation yield (D&amp;A x4 / avg in-service gross PP&amp;E)</v>
      </c>
      <c r="C17" s="0" t="str">
        <f aca="false">KPIs!C40</f>
        <v>%</v>
      </c>
      <c r="D17" s="20" t="n">
        <f aca="false">KPIs!M40</f>
        <v>18.0528058587522</v>
      </c>
      <c r="E17" s="20" t="n">
        <f aca="false">KPIs!N40</f>
        <v>18.634413840907</v>
      </c>
      <c r="F17" s="20" t="n">
        <f aca="false">KPIs!O40</f>
        <v>14.3513593886696</v>
      </c>
    </row>
    <row r="18" customFormat="false" ht="15" hidden="false" customHeight="false" outlineLevel="0" collapsed="false">
      <c r="A18" s="0" t="s">
        <v>114</v>
      </c>
      <c r="B18" s="0" t="str">
        <f aca="false">KPIs!B47</f>
        <v>RPO (ASC 606, EoP)</v>
      </c>
      <c r="C18" s="0" t="str">
        <f aca="false">KPIs!C47</f>
        <v>$B</v>
      </c>
      <c r="D18" s="20" t="n">
        <f aca="false">KPIs!M47</f>
        <v>0.289411</v>
      </c>
      <c r="E18" s="20" t="n">
        <f aca="false">KPIs!N47</f>
        <v>0.710272</v>
      </c>
      <c r="F18" s="20" t="n">
        <f aca="false">KPIs!O47</f>
        <v>5.1</v>
      </c>
    </row>
    <row r="19" customFormat="false" ht="15" hidden="false" customHeight="false" outlineLevel="0" collapsed="false">
      <c r="A19" s="0" t="s">
        <v>119</v>
      </c>
      <c r="B19" s="0" t="str">
        <f aca="false">KPIs!B49</f>
        <v>Revenue backlog (company metric / incl. contracted non-RPO, EoP)</v>
      </c>
      <c r="C19" s="0" t="str">
        <f aca="false">KPIs!C49</f>
        <v>$B</v>
      </c>
      <c r="D19" s="20" t="n">
        <f aca="false">KPIs!M49</f>
        <v>9.989</v>
      </c>
      <c r="E19" s="20" t="n">
        <f aca="false">KPIs!N49</f>
        <v>10.41</v>
      </c>
      <c r="F19" s="20" t="n">
        <f aca="false">KPIs!O49</f>
        <v>16.6</v>
      </c>
    </row>
    <row r="20" customFormat="false" ht="15" hidden="false" customHeight="false" outlineLevel="0" collapsed="false">
      <c r="A20" s="0" t="s">
        <v>122</v>
      </c>
      <c r="B20" s="0" t="str">
        <f aca="false">KPIs!B51</f>
        <v>RPO % recognized within 24 months</v>
      </c>
      <c r="C20" s="0" t="str">
        <f aca="false">KPIs!C51</f>
        <v>%</v>
      </c>
      <c r="D20" s="20" t="n">
        <f aca="false">KPIs!M51</f>
        <v>98.7</v>
      </c>
      <c r="E20" s="20" t="n">
        <f aca="false">KPIs!N51</f>
        <v>80.7</v>
      </c>
      <c r="F20" s="20" t="n">
        <f aca="false">KPIs!O51</f>
        <v>43.1</v>
      </c>
    </row>
    <row r="21" customFormat="false" ht="15" hidden="false" customHeight="false" outlineLevel="0" collapsed="false">
      <c r="A21" s="0" t="s">
        <v>129</v>
      </c>
      <c r="B21" s="0" t="str">
        <f aca="false">KPIs!B56</f>
        <v>Largest customer % of revenue</v>
      </c>
      <c r="C21" s="0" t="str">
        <f aca="false">KPIs!C56</f>
        <v>%</v>
      </c>
      <c r="D21" s="20" t="str">
        <f aca="false">KPIs!M56</f>
        <v>n/d</v>
      </c>
      <c r="E21" s="20" t="str">
        <f aca="false">KPIs!N56</f>
        <v>n/d</v>
      </c>
      <c r="F21" s="20" t="str">
        <f aca="false">KPIs!O56</f>
        <v>n/d</v>
      </c>
    </row>
    <row r="22" customFormat="false" ht="15" hidden="false" customHeight="false" outlineLevel="0" collapsed="false">
      <c r="A22" s="0" t="s">
        <v>135</v>
      </c>
      <c r="B22" s="0" t="str">
        <f aca="false">KPIs!B60</f>
        <v>Top-N &gt;=10% customers combined %</v>
      </c>
      <c r="C22" s="0" t="str">
        <f aca="false">KPIs!C60</f>
        <v>%</v>
      </c>
      <c r="D22" s="20" t="str">
        <f aca="false">KPIs!M60</f>
        <v>n/d</v>
      </c>
      <c r="E22" s="20" t="str">
        <f aca="false">KPIs!N60</f>
        <v>n/d</v>
      </c>
      <c r="F22" s="20" t="str">
        <f aca="false">KPIs!O60</f>
        <v>n/d</v>
      </c>
    </row>
    <row r="23" customFormat="false" ht="15" hidden="false" customHeight="false" outlineLevel="0" collapsed="false">
      <c r="A23" s="0" t="s">
        <v>137</v>
      </c>
      <c r="B23" s="0" t="str">
        <f aca="false">KPIs!B62</f>
        <v>Number of customers &gt;=10% of revenue</v>
      </c>
      <c r="C23" s="0" t="str">
        <f aca="false">KPIs!C62</f>
        <v>#</v>
      </c>
      <c r="D23" s="20" t="str">
        <f aca="false">KPIs!M62</f>
        <v>n/d</v>
      </c>
      <c r="E23" s="20" t="str">
        <f aca="false">KPIs!N62</f>
        <v>n/d</v>
      </c>
      <c r="F23" s="20" t="str">
        <f aca="false">KPIs!O62</f>
        <v>n/d</v>
      </c>
    </row>
    <row r="24" customFormat="false" ht="15" hidden="false" customHeight="false" outlineLevel="0" collapsed="false">
      <c r="A24" s="0" t="s">
        <v>141</v>
      </c>
      <c r="B24" s="0" t="str">
        <f aca="false">KPIs!B65</f>
        <v>Weighted effective cost of debt (principal-weighted, EoP) - all facilities</v>
      </c>
      <c r="C24" s="0" t="str">
        <f aca="false">KPIs!C65</f>
        <v>%</v>
      </c>
      <c r="D24" s="20" t="n">
        <f aca="false">KPIs!M65</f>
        <v>1.08151810383055</v>
      </c>
      <c r="E24" s="20" t="n">
        <f aca="false">KPIs!N65</f>
        <v>1.08151810383055</v>
      </c>
      <c r="F24" s="20" t="n">
        <f aca="false">KPIs!O65</f>
        <v>1.85234367978236</v>
      </c>
    </row>
    <row r="25" customFormat="false" ht="15" hidden="false" customHeight="false" outlineLevel="0" collapsed="false">
      <c r="A25" s="0" t="s">
        <v>148</v>
      </c>
      <c r="B25" s="0" t="str">
        <f aca="false">KPIs!B69</f>
        <v>  of which Senior notes - weighted eff. rate</v>
      </c>
      <c r="C25" s="0" t="str">
        <f aca="false">KPIs!C69</f>
        <v>%</v>
      </c>
      <c r="D25" s="20" t="str">
        <f aca="false">KPIs!M69</f>
        <v>n/d</v>
      </c>
      <c r="E25" s="20" t="str">
        <f aca="false">KPIs!N69</f>
        <v>n/d</v>
      </c>
      <c r="F25" s="20" t="n">
        <f aca="false">KPIs!O69</f>
        <v>7.05</v>
      </c>
    </row>
    <row r="26" customFormat="false" ht="15" hidden="false" customHeight="false" outlineLevel="0" collapsed="false">
      <c r="A26" s="0" t="s">
        <v>151</v>
      </c>
      <c r="B26" s="0" t="str">
        <f aca="false">KPIs!B71</f>
        <v>  of which Converts - weighted eff. rate</v>
      </c>
      <c r="C26" s="0" t="str">
        <f aca="false">KPIs!C71</f>
        <v>%</v>
      </c>
      <c r="D26" s="20" t="n">
        <f aca="false">KPIs!M71</f>
        <v>1.08151810383055</v>
      </c>
      <c r="E26" s="20" t="n">
        <f aca="false">KPIs!N71</f>
        <v>1.08151810383055</v>
      </c>
      <c r="F26" s="20" t="n">
        <f aca="false">KPIs!O71</f>
        <v>1.12531574266803</v>
      </c>
    </row>
    <row r="27" customFormat="false" ht="15" hidden="false" customHeight="false" outlineLevel="0" collapsed="false">
      <c r="A27" s="0" t="s">
        <v>163</v>
      </c>
      <c r="B27" s="0" t="str">
        <f aca="false">KPIs!B81</f>
        <v>Implied cash cost: interest x4 / avg principal</v>
      </c>
      <c r="C27" s="0" t="str">
        <f aca="false">KPIs!C81</f>
        <v>%</v>
      </c>
      <c r="D27" s="20" t="n">
        <f aca="false">KPIs!M81</f>
        <v>1.80214156347352</v>
      </c>
      <c r="E27" s="20" t="n">
        <f aca="false">KPIs!N81</f>
        <v>1.58443056956792</v>
      </c>
      <c r="F27" s="20" t="n">
        <f aca="false">KPIs!O81</f>
        <v>1.70921362271062</v>
      </c>
    </row>
    <row r="28" customFormat="false" ht="15" hidden="false" customHeight="false" outlineLevel="0" collapsed="false">
      <c r="A28" s="0" t="s">
        <v>177</v>
      </c>
      <c r="B28" s="0" t="str">
        <f aca="false">KPIs!B92</f>
        <v>Company-reported GPU utilization (physical)</v>
      </c>
      <c r="C28" s="0" t="str">
        <f aca="false">KPIs!C92</f>
        <v>%</v>
      </c>
      <c r="D28" s="20" t="str">
        <f aca="false">KPIs!M92</f>
        <v>n/d</v>
      </c>
      <c r="E28" s="20" t="str">
        <f aca="false">KPIs!N92</f>
        <v>n/d</v>
      </c>
      <c r="F28" s="20" t="str">
        <f aca="false">KPIs!O92</f>
        <v>n/d</v>
      </c>
    </row>
    <row r="29" customFormat="false" ht="15" hidden="false" customHeight="false" outlineLevel="0" collapsed="false">
      <c r="A29" s="0" t="s">
        <v>180</v>
      </c>
      <c r="B29" s="0" t="str">
        <f aca="false">KPIs!B94</f>
        <v>RPO % recognized within 12 months</v>
      </c>
      <c r="C29" s="0" t="str">
        <f aca="false">KPIs!C94</f>
        <v>%</v>
      </c>
      <c r="D29" s="20" t="n">
        <f aca="false">KPIs!M94</f>
        <v>51.9</v>
      </c>
      <c r="E29" s="20" t="n">
        <f aca="false">KPIs!N94</f>
        <v>43.4</v>
      </c>
      <c r="F29" s="20" t="n">
        <f aca="false">KPIs!O94</f>
        <v>17.6</v>
      </c>
    </row>
    <row r="30" customFormat="false" ht="15" hidden="false" customHeight="false" outlineLevel="0" collapsed="false">
      <c r="A30" s="0" t="s">
        <v>183</v>
      </c>
      <c r="B30" s="0" t="str">
        <f aca="false">KPIs!B96</f>
        <v>Incremental annualized revenue per incremental MW (YoY)</v>
      </c>
      <c r="C30" s="0" t="str">
        <f aca="false">KPIs!C96</f>
        <v>$M/MW-yr</v>
      </c>
      <c r="D30" s="20" t="str">
        <f aca="false">KPIs!M96</f>
        <v>n/d</v>
      </c>
      <c r="E30" s="20" t="str">
        <f aca="false">KPIs!N96</f>
        <v>n/d</v>
      </c>
      <c r="F30" s="20" t="n">
        <f aca="false">KPIs!O96</f>
        <v>6.80880180315552</v>
      </c>
    </row>
    <row r="31" customFormat="false" ht="15" hidden="false" customHeight="false" outlineLevel="0" collapsed="false">
      <c r="A31" s="0" t="s">
        <v>186</v>
      </c>
      <c r="B31" s="0" t="str">
        <f aca="false">KPIs!B98</f>
        <v>Annualized revenue / avg gross GPU-compute hardware in service</v>
      </c>
      <c r="C31" s="0" t="str">
        <f aca="false">KPIs!C98</f>
        <v>x</v>
      </c>
      <c r="D31" s="20" t="n">
        <f aca="false">KPIs!M98</f>
        <v>0.210731814284822</v>
      </c>
      <c r="E31" s="20" t="n">
        <f aca="false">KPIs!N98</f>
        <v>0.197558636912952</v>
      </c>
      <c r="F31" s="20" t="n">
        <f aca="false">KPIs!O98</f>
        <v>0.198201040615192</v>
      </c>
    </row>
    <row r="32" customFormat="false" ht="15" hidden="false" customHeight="false" outlineLevel="0" collapsed="false">
      <c r="A32" s="0" t="s">
        <v>189</v>
      </c>
      <c r="B32" s="0" t="str">
        <f aca="false">KPIs!B100</f>
        <v>Segment gross margin (revenue - cost of revenue excl. D&amp;A) / revenue</v>
      </c>
      <c r="C32" s="0" t="str">
        <f aca="false">KPIs!C100</f>
        <v>%</v>
      </c>
      <c r="D32" s="20" t="n">
        <f aca="false">KPIs!M100</f>
        <v>86.1544687247081</v>
      </c>
      <c r="E32" s="20" t="n">
        <f aca="false">KPIs!N100</f>
        <v>86.3326891630742</v>
      </c>
      <c r="F32" s="20" t="n">
        <f aca="false">KPIs!O100</f>
        <v>86.9361128837836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2026-10-05T01:10:39Z</dcterms:created>
  <dc:creator>openpyxl</dc:creator>
  <dc:description/>
  <dc:language>en-US</dc:language>
  <cp:lastModifiedBy/>
  <dcterms:modified xsi:type="dcterms:W3CDTF">2026-10-05T01:10:39Z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