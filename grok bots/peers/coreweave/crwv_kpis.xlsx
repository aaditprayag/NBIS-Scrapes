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KPIs" sheetId="2" state="visible" r:id="rId4"/>
    <sheet name="Inputs" sheetId="3" state="visible" r:id="rId5"/>
    <sheet name="Debt_Facilities" sheetId="4" state="visible" r:id="rId6"/>
    <sheet name="Sources" sheetId="5" state="visible" r:id="rId7"/>
    <sheet name="Definitions" sheetId="6" state="visible" r:id="rId8"/>
    <sheet name="Notes_Gaps" sheetId="7" state="visible" r:id="rId9"/>
    <sheet name="Comparis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GrokBot</author>
  </authors>
  <commentList>
    <comment ref="F15" authorId="0">
      <text>
        <r>
          <rPr>
            <sz val="10"/>
            <rFont val="Arial"/>
            <family val="2"/>
          </rPr>
          <t xml:space="preserve">carried back from first observation Q3'24 (no instance-price snapshot)</t>
        </r>
      </text>
    </comment>
    <comment ref="G7" authorId="0">
      <text>
        <r>
          <rPr>
            <sz val="10"/>
            <rFont val="Arial"/>
            <family val="2"/>
          </rPr>
          <t xml:space="preserve">= H1'24 3,989.1 - Q1 1,741.9</t>
        </r>
      </text>
    </comment>
    <comment ref="G15" authorId="0">
      <text>
        <r>
          <rPr>
            <sz val="10"/>
            <rFont val="Arial"/>
            <family val="2"/>
          </rPr>
          <t xml:space="preserve">carried back</t>
        </r>
      </text>
    </comment>
    <comment ref="H7" authorId="0">
      <text>
        <r>
          <rPr>
            <sz val="10"/>
            <rFont val="Arial"/>
            <family val="2"/>
          </rPr>
          <t xml:space="preserve">= 9M'24 5,204.3 - H1 3,989.1</t>
        </r>
      </text>
    </comment>
    <comment ref="H15" authorId="0">
      <text>
        <r>
          <rPr>
            <sz val="10"/>
            <rFont val="Arial"/>
            <family val="2"/>
          </rPr>
          <t xml:space="preserve">$49.24/8 (Wayback snapshot)</t>
        </r>
      </text>
    </comment>
    <comment ref="I7" authorId="0">
      <text>
        <r>
          <rPr>
            <sz val="10"/>
            <rFont val="Arial"/>
            <family val="2"/>
          </rPr>
          <t xml:space="preserve">= FY24 8,702 - 9M 5,204.3</t>
        </r>
      </text>
    </comment>
    <comment ref="I15" authorId="0">
      <text>
        <r>
          <rPr>
            <sz val="10"/>
            <rFont val="Arial"/>
            <family val="2"/>
          </rPr>
          <t xml:space="preserve">$49.24/8 per GPU Market csv</t>
        </r>
      </text>
    </comment>
    <comment ref="I20" authorId="0">
      <text>
        <r>
          <rPr>
            <sz val="10"/>
            <rFont val="Arial"/>
            <family val="2"/>
          </rPr>
          <t xml:space="preserve">= (FY24 62% x 1,915.0 - 9M'24 58% x 1,168.0) / Q4 747.4; +/-~2pp from rounding of disclosed %</t>
        </r>
      </text>
    </comment>
    <comment ref="I21" authorId="0">
      <text>
        <r>
          <rPr>
            <sz val="10"/>
            <rFont val="Arial"/>
            <family val="2"/>
          </rPr>
          <t xml:space="preserve">= (FY24 15% x 1,915 - 9M 18% x 1,168)/747.4; +/-2pp -&gt; ~10% (ambiguous)</t>
        </r>
      </text>
    </comment>
    <comment ref="I23" authorId="0">
      <text>
        <r>
          <rPr>
            <sz val="10"/>
            <rFont val="Arial"/>
            <family val="2"/>
          </rPr>
          <t xml:space="preserve">derived (B ~10% borderline)</t>
        </r>
      </text>
    </comment>
    <comment ref="I24" authorId="0">
      <text>
        <r>
          <rPr>
            <sz val="10"/>
            <rFont val="Arial"/>
            <family val="2"/>
          </rPr>
          <t xml:space="preserve">= FY24 474.844 - 9M 294.862</t>
        </r>
      </text>
    </comment>
    <comment ref="I25" authorId="0">
      <text>
        <r>
          <rPr>
            <sz val="10"/>
            <rFont val="Arial"/>
            <family val="2"/>
          </rPr>
          <t xml:space="preserve">= FY24 159.017 - 9M 107.936</t>
        </r>
      </text>
    </comment>
    <comment ref="J15" authorId="0">
      <text>
        <r>
          <rPr>
            <sz val="10"/>
            <rFont val="Arial"/>
            <family val="2"/>
          </rPr>
          <t xml:space="preserve">$49.24/8 per GPU Market csv</t>
        </r>
      </text>
    </comment>
    <comment ref="J16" authorId="0">
      <text>
        <r>
          <rPr>
            <sz val="10"/>
            <rFont val="Arial"/>
            <family val="2"/>
          </rPr>
          <t xml:space="preserve">$42.00/4 (first listed 2025)</t>
        </r>
      </text>
    </comment>
    <comment ref="K6" authorId="0">
      <text>
        <r>
          <rPr>
            <sz val="10"/>
            <rFont val="Arial"/>
            <family val="2"/>
          </rPr>
          <t xml:space="preserve">= H1'25 1,003.0 - Q1 443.5 (YTD diff)</t>
        </r>
      </text>
    </comment>
    <comment ref="K7" authorId="0">
      <text>
        <r>
          <rPr>
            <sz val="10"/>
            <rFont val="Arial"/>
            <family val="2"/>
          </rPr>
          <t xml:space="preserve">= H1 3,860.4 - Q1 1,407.4</t>
        </r>
      </text>
    </comment>
    <comment ref="K15" authorId="0">
      <text>
        <r>
          <rPr>
            <sz val="10"/>
            <rFont val="Arial"/>
            <family val="2"/>
          </rPr>
          <t xml:space="preserve">$49.24/8 per GPU Market csv</t>
        </r>
      </text>
    </comment>
    <comment ref="K16" authorId="0">
      <text>
        <r>
          <rPr>
            <sz val="10"/>
            <rFont val="Arial"/>
            <family val="2"/>
          </rPr>
          <t xml:space="preserve">$42.00/4</t>
        </r>
      </text>
    </comment>
    <comment ref="L6" authorId="0">
      <text>
        <r>
          <rPr>
            <sz val="10"/>
            <rFont val="Arial"/>
            <family val="2"/>
          </rPr>
          <t xml:space="preserve">= 9M 1,633.5 - H1 1,003.0</t>
        </r>
      </text>
    </comment>
    <comment ref="L7" authorId="0">
      <text>
        <r>
          <rPr>
            <sz val="10"/>
            <rFont val="Arial"/>
            <family val="2"/>
          </rPr>
          <t xml:space="preserve">= 9M 6,249.2 - H1 3,860.4</t>
        </r>
      </text>
    </comment>
    <comment ref="L15" authorId="0">
      <text>
        <r>
          <rPr>
            <sz val="10"/>
            <rFont val="Arial"/>
            <family val="2"/>
          </rPr>
          <t xml:space="preserve">$49.24/8 per GPU Market csv</t>
        </r>
      </text>
    </comment>
    <comment ref="L16" authorId="0">
      <text>
        <r>
          <rPr>
            <sz val="10"/>
            <rFont val="Arial"/>
            <family val="2"/>
          </rPr>
          <t xml:space="preserve">$42.00/4</t>
        </r>
      </text>
    </comment>
    <comment ref="M6" authorId="0">
      <text>
        <r>
          <rPr>
            <sz val="10"/>
            <rFont val="Arial"/>
            <family val="2"/>
          </rPr>
          <t xml:space="preserve">= FY 2,454 - 9M 1,633.5</t>
        </r>
      </text>
    </comment>
    <comment ref="M7" authorId="0">
      <text>
        <r>
          <rPr>
            <sz val="10"/>
            <rFont val="Arial"/>
            <family val="2"/>
          </rPr>
          <t xml:space="preserve">= FY 10,309 - 9M 6,249.2</t>
        </r>
      </text>
    </comment>
    <comment ref="M15" authorId="0">
      <text>
        <r>
          <rPr>
            <sz val="10"/>
            <rFont val="Arial"/>
            <family val="2"/>
          </rPr>
          <t xml:space="preserve">$49.24/8 per GPU Market csv</t>
        </r>
      </text>
    </comment>
    <comment ref="M16" authorId="0">
      <text>
        <r>
          <rPr>
            <sz val="10"/>
            <rFont val="Arial"/>
            <family val="2"/>
          </rPr>
          <t xml:space="preserve">$42.00/4</t>
        </r>
      </text>
    </comment>
    <comment ref="M20" authorId="0">
      <text>
        <r>
          <rPr>
            <sz val="10"/>
            <rFont val="Arial"/>
            <family val="2"/>
          </rPr>
          <t xml:space="preserve">= (FY25 67% x 5,131 - 9M'25 70% x 3,559.1) / Q4 1,571.9; +/-~2pp</t>
        </r>
      </text>
    </comment>
    <comment ref="M23" authorId="0">
      <text>
        <r>
          <rPr>
            <sz val="10"/>
            <rFont val="Arial"/>
            <family val="2"/>
          </rPr>
          <t xml:space="preserve">FY25 10-K: only Microsoft &gt;=10% for FY</t>
        </r>
      </text>
    </comment>
    <comment ref="M24" authorId="0">
      <text>
        <r>
          <rPr>
            <sz val="10"/>
            <rFont val="Arial"/>
            <family val="2"/>
          </rPr>
          <t xml:space="preserve">= FY25 1,220 - 9M 807.215</t>
        </r>
      </text>
    </comment>
    <comment ref="M25" authorId="0">
      <text>
        <r>
          <rPr>
            <sz val="10"/>
            <rFont val="Arial"/>
            <family val="2"/>
          </rPr>
          <t xml:space="preserve">= FY25 182 - 9M 98.042</t>
        </r>
      </text>
    </comment>
    <comment ref="N15" authorId="0">
      <text>
        <r>
          <rPr>
            <sz val="10"/>
            <rFont val="Arial"/>
            <family val="2"/>
          </rPr>
          <t xml:space="preserve">$49.24/8 per GPU Market csv</t>
        </r>
      </text>
    </comment>
    <comment ref="N16" authorId="0">
      <text>
        <r>
          <rPr>
            <sz val="10"/>
            <rFont val="Arial"/>
            <family val="2"/>
          </rPr>
          <t xml:space="preserve">$42.00/4</t>
        </r>
      </text>
    </comment>
    <comment ref="O6" authorId="0">
      <text>
        <r>
          <rPr>
            <sz val="10"/>
            <rFont val="Arial"/>
            <family val="2"/>
          </rPr>
          <t xml:space="preserve">= H1'26 2,540 - Q1 1,147</t>
        </r>
      </text>
    </comment>
    <comment ref="O7" authorId="0">
      <text>
        <r>
          <rPr>
            <sz val="10"/>
            <rFont val="Arial"/>
            <family val="2"/>
          </rPr>
          <t xml:space="preserve">= H1'26 14,117 - Q1 7,695</t>
        </r>
      </text>
    </comment>
    <comment ref="O15" authorId="0">
      <text>
        <r>
          <rPr>
            <sz val="10"/>
            <rFont val="Arial"/>
            <family val="2"/>
          </rPr>
          <t xml:space="preserve">$49.24/8 per GPU Market csv</t>
        </r>
      </text>
    </comment>
    <comment ref="O16" authorId="0">
      <text>
        <r>
          <rPr>
            <sz val="10"/>
            <rFont val="Arial"/>
            <family val="2"/>
          </rPr>
          <t xml:space="preserve">$42.00/4</t>
        </r>
      </text>
    </comment>
  </commentList>
</comments>
</file>

<file path=xl/sharedStrings.xml><?xml version="1.0" encoding="utf-8"?>
<sst xmlns="http://schemas.openxmlformats.org/spreadsheetml/2006/main" count="3541" uniqueCount="765">
  <si>
    <t xml:space="preserve">Peer KPI comps - CoreWeave (CRWV) - quarterly Q1'24 to Q2'26. Built 2026-10-04 (ET); polished 2026-10-05 (ET) — Notes_Gaps reorganized, K02b≡K02 alignment, EDGAR scan (no new ops data). File: /workspace/nebius/peers/coreweave/crwv_kpis.xlsx; builder: build_crwv_kpis.py.</t>
  </si>
  <si>
    <t xml:space="preserve">PURPOSE: CoreWeave KPI history on the SAME definitions as the Nebius work (see Definitions tab: every KPI cites the Nebius file/row it mirrors).</t>
  </si>
  <si>
    <t xml:space="preserve">TABS: KPIs (quarterly, live formulas off Inputs/Debt_Facilities; each KPI = value row + tag row) | Inputs (raw figures, colour-coded by tag) | Debt_Facilities (facility-level principal x effective rate per quarter-end) | Sources (one row per input cell: document, section, URL, formula for derived cells) | Definitions | Notes_Gaps | Comparison (template vs Nebius; CRWV linked live).</t>
  </si>
  <si>
    <t xml:space="preserve">TAGS / COLOURS: blue = Reported (as disclosed); black = Derived (arithmetic on reported figures; formula in Sources/KPIs); orange = Estimated (uses an assumption, e.g. interpolated MW, GPUs from MW x density); grey 'n/d' = not disclosed. KPI cells inherit the WEAKEST tag of their inputs (shown on the tag row under each KPI).</t>
  </si>
  <si>
    <t xml:space="preserve">COLUMN E (Q4'23*) is an opening-balance column for stock items (MW, PP&amp;E, debt, GPUs) used for averages/deltas in Q1'24; flow KPIs start in column F (Q1'24).</t>
  </si>
  <si>
    <t xml:space="preserve">TEMPLATE USE (IREN, Oracle OCI, private peers): copy this workbook, keep every row ID (I01..I27, P01..P03, K01..K40) and column layout, overwrite Inputs values/tags/sources and the Debt_Facilities rows for the new peer. KPI formulas reference fixed Inputs rows, so they recompute unchanged. Leave unavailable inputs blank or 'n/d' - KPIs return 'n/d'. Then link the peer's latest-quarter KPI column into the Comparison tab.</t>
  </si>
  <si>
    <t xml:space="preserve">UNITS: $M unless stated; $/MW KPIs are annualized ($M per MW-year = quarterly revenue x 4 / MW); $/GPU in $K per GPU-year; rates in % p.a.</t>
  </si>
  <si>
    <t xml:space="preserve">Caveat summary: CoreWeave does not state IT vs gross MW, has not disclosed GPU counts since the S-1, and did not publish 2024 interim balance sheets or MW (pre-IPO). See Notes_Gaps.</t>
  </si>
  <si>
    <t xml:space="preserve">POLISH 2026-10-05: (1) Notes_Gaps rebuilt as A=n/d inventory / B=caveats / C=post-quarter+cross-pack. (2) K02b added (=K02); I09B alias = I09E. (3) EDGAR through Oct 5: latest ops still Q2'26 10-Q; Oct 2–3 = Form 4 only. No quarterly number changes vs Oct-4 pack.</t>
  </si>
  <si>
    <t xml:space="preserve">FIX 2026-10-08 (ET): KPI K18 'Implied average depreciable life' now = 100 / K17 (depreciation yield) in every quarter (Q2'26 ~6.47 yrs). Previously 100 / K16 (6-yr useful-life row) = 16.67 for all quarters after the in-place K02b row insert; polish merged into build_crwv_kpis.py.</t>
  </si>
  <si>
    <t xml:space="preserve">KPIs - CoreWeave (CRWV) - quarterly, Nebius definitions (Definitions tab). Value row = live formula; row below = tag (R/D/E/n/d = weakest input). Annualized where $/MW or $/GPU.</t>
  </si>
  <si>
    <t xml:space="preserve">2023-12-31</t>
  </si>
  <si>
    <t xml:space="preserve">2024-03-31</t>
  </si>
  <si>
    <t xml:space="preserve">2024-06-30</t>
  </si>
  <si>
    <t xml:space="preserve">2024-09-30</t>
  </si>
  <si>
    <t xml:space="preserve">2024-12-31</t>
  </si>
  <si>
    <t xml:space="preserve">2025-03-31</t>
  </si>
  <si>
    <t xml:space="preserve">2025-06-30</t>
  </si>
  <si>
    <t xml:space="preserve">2025-09-30</t>
  </si>
  <si>
    <t xml:space="preserve">2025-12-31</t>
  </si>
  <si>
    <t xml:space="preserve">2026-03-31</t>
  </si>
  <si>
    <t xml:space="preserve">2026-06-30</t>
  </si>
  <si>
    <t xml:space="preserve">ID</t>
  </si>
  <si>
    <t xml:space="preserve">KPI</t>
  </si>
  <si>
    <t xml:space="preserve">Unit</t>
  </si>
  <si>
    <t xml:space="preserve">Def</t>
  </si>
  <si>
    <t xml:space="preserve">Q4'23*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</si>
  <si>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</si>
  <si>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</si>
  <si>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</si>
  <si>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</si>
  <si>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</si>
  <si>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</si>
  <si>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</si>
  <si>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</si>
  <si>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Q1'26</t>
  </si>
  <si>
    <t xml:space="preserve">Q2'26</t>
  </si>
  <si>
    <t xml:space="preserve">Method / caveat</t>
  </si>
  <si>
    <t xml:space="preserve">A. Revenue per MW ($M per MW-year, annualized: quarterly revenue x 4 / MW)</t>
  </si>
  <si>
    <t xml:space="preserve">K01</t>
  </si>
  <si>
    <t xml:space="preserve">Revenue per active MW - period-end reported MW</t>
  </si>
  <si>
    <t xml:space="preserve">$M/MW-yr</t>
  </si>
  <si>
    <t xml:space="preserve">D1</t>
  </si>
  <si>
    <t xml:space="preserve">n/d</t>
  </si>
  <si>
    <t xml:space="preserve">Nebius KPIs!F17 'Revenue per energized/active MW' (= AI rev x4 / MW) and parts/comps_rev_per_mw.csv (CRWV Q2'26 6.87 on period-end MW). Understates when MW ramps late in quarter.</t>
  </si>
  <si>
    <t xml:space="preserve">   tag</t>
  </si>
  <si>
    <t xml:space="preserve">Derived</t>
  </si>
  <si>
    <t xml:space="preserve">K02</t>
  </si>
  <si>
    <t xml:space="preserve">Revenue per active MW - average MW (2024 uses interpolated MW)</t>
  </si>
  <si>
    <t xml:space="preserve">Same numerator on (open+close)/2 MW - the comps file's 'avg Q2 MW est.' variant (8.24 on 1,250 MW). Preferred trend line.</t>
  </si>
  <si>
    <t xml:space="preserve">Estimated</t>
  </si>
  <si>
    <t xml:space="preserve">K02b</t>
  </si>
  <si>
    <t xml:space="preserve">Revenue per BILLING IT MW - average MW (= K02; CRWV has no separate billed series)</t>
  </si>
  <si>
    <t xml:space="preserve">ALIGN: K02b ≡ K02. CRWV discloses active power only (≈ billed/revenue-generating). No Capacity-style billing MW path. See Notes_Gaps B1 / Definitions D1. Cross-pack: comparison.xlsx K02b CRWV = K02; price_or_mw treats active≈billed.</t>
  </si>
  <si>
    <t xml:space="preserve">K03</t>
  </si>
  <si>
    <t xml:space="preserve">Revenue per contracted MW</t>
  </si>
  <si>
    <t xml:space="preserve">Nebius KPIs 'Revenue per contracted MW'. Contracted = power under contract incl. not yet built.</t>
  </si>
  <si>
    <t xml:space="preserve">K04</t>
  </si>
  <si>
    <t xml:space="preserve">Contracted / active MW (build-out multiple)</t>
  </si>
  <si>
    <t xml:space="preserve">x</t>
  </si>
  <si>
    <t xml:space="preserve">Pipeline still to be energized relative to the live base.</t>
  </si>
  <si>
    <t xml:space="preserve">K05</t>
  </si>
  <si>
    <t xml:space="preserve">Adj. EBITDA per active MW (average MW)</t>
  </si>
  <si>
    <t xml:space="preserve">Nebius KPIs 'Adj. EBITDA per energized MW'. CRWV leases all DCs, so EBITDA is after DC rent (Nebius 'leased cohort' analogue).</t>
  </si>
  <si>
    <t xml:space="preserve">B. Revenue per GPU and implied utilization (GPU counts ESTIMATED after YE24)</t>
  </si>
  <si>
    <t xml:space="preserve">K06</t>
  </si>
  <si>
    <t xml:space="preserve">Revenue per GPU ($K per GPU-year, avg GPUs)</t>
  </si>
  <si>
    <t xml:space="preserve">$K/GPU-yr</t>
  </si>
  <si>
    <t xml:space="preserve">D2</t>
  </si>
  <si>
    <t xml:space="preserve">Nebius KPIs 'Revenue per GPU' = AI rev x 4000 / GPU_Avg. GPUs estimated (I11E). FY24 on reported counts: 1,915 / ((53k+250k)/2) = $12.6K/GPU-yr (Derived, lower-bound counts).</t>
  </si>
  <si>
    <t xml:space="preserve">K07</t>
  </si>
  <si>
    <t xml:space="preserve">Implied blended realized price ($/GPU-hr)</t>
  </si>
  <si>
    <t xml:space="preserve">$/GPU-hr</t>
  </si>
  <si>
    <t xml:space="preserve">Nebius KPIs 'Implied blended $/GPU-hr' = revenue / (avg GPUs x hours). Revenue includes storage/networking/software, so this is all-in revenue per GPU-hour.</t>
  </si>
  <si>
    <t xml:space="preserve">K08</t>
  </si>
  <si>
    <t xml:space="preserve">Fleet-weighted on-demand list price ($/GPU-hr)</t>
  </si>
  <si>
    <t xml:space="preserve">D3</t>
  </si>
  <si>
    <t xml:space="preserve">Nebius KPIs 'Fleet-weighted on-demand list price'. CRWV list from GPU Market agent's Wayback series (H100 $6.155, GB200 $10.50; flat over the period).</t>
  </si>
  <si>
    <t xml:space="preserve">K09</t>
  </si>
  <si>
    <t xml:space="preserve">Implied utilization (realized $/GPU-hr / weighted list)</t>
  </si>
  <si>
    <t xml:space="preserve">%</t>
  </si>
  <si>
    <t xml:space="preserve">Nebius KPIs row 'Implied utilization (blended $/hr / weighted list)' - 'mixes realized-price discount with utilization'. CRWV discloses contract discounts up to ~60% vs on-demand, so a low % is mainly discount, not idle GPUs. NOT a physical utilization rate.</t>
  </si>
  <si>
    <t xml:space="preserve">C. Capex per MW ($M per MW)</t>
  </si>
  <si>
    <t xml:space="preserve">K10</t>
  </si>
  <si>
    <t xml:space="preserve">Cash capex per new active MW (reported MW)</t>
  </si>
  <si>
    <t xml:space="preserve">$M/MW</t>
  </si>
  <si>
    <t xml:space="preserve">D4</t>
  </si>
  <si>
    <t xml:space="preserve">Nebius KPIs 'Capex per new active MW' = Capex / MW_New. Timing mismatch: capex leads energization by 1-3 qtrs, so single quarters are noisy; see K12 (in-service basis) and K13 (trailing 4Q).</t>
  </si>
  <si>
    <t xml:space="preserve">K11</t>
  </si>
  <si>
    <t xml:space="preserve">Cash capex per new active MW (incl. estimated 2024 MW)</t>
  </si>
  <si>
    <t xml:space="preserve">2024 quarters use interpolated MW (+72.5 MW/qtr) -&gt; Estimated. FY24 total: 8,702 / 290 MW = $30.0M/MW (Derived).</t>
  </si>
  <si>
    <t xml:space="preserve">K12</t>
  </si>
  <si>
    <t xml:space="preserve">In-service additions per new active MW (CRWV capex definition)</t>
  </si>
  <si>
    <t xml:space="preserve">calc: delta(gross PP&amp;E - CIP) / delta active MW. Better matched in time (assets placed in service vs MW going live). FY24: (9,679-1,344)/290 = $28.7M/MW.</t>
  </si>
  <si>
    <t xml:space="preserve">K13</t>
  </si>
  <si>
    <t xml:space="preserve">Trailing-4Q cash capex per trailing-4Q new active MW</t>
  </si>
  <si>
    <t xml:space="preserve">Smooths timing. Uses reported MW only (needs MW 4 quarters back).</t>
  </si>
  <si>
    <t xml:space="preserve">K14</t>
  </si>
  <si>
    <t xml:space="preserve">Net PP&amp;E per active MW (EoP)</t>
  </si>
  <si>
    <t xml:space="preserve">Cross-check used in Nebius capacity/gpu_mw_capex.xlsx Peers tab (CRWV $36M YE25, $31M Q2'26). Includes CIP for not-yet-live capacity -&gt; overstates.</t>
  </si>
  <si>
    <t xml:space="preserve">K15</t>
  </si>
  <si>
    <t xml:space="preserve">Gross in-service PP&amp;E per active MW (EoP)</t>
  </si>
  <si>
    <t xml:space="preserve">Nebius 'Nebius checks' row 'in-service servers+network per active MW' analogue (Nebius YE25 $18.4M/MW). CRWV leases DCs, so mostly GPU/network + DC fit-out.</t>
  </si>
  <si>
    <t xml:space="preserve">D. D&amp;A useful lives and depreciation yield</t>
  </si>
  <si>
    <t xml:space="preserve">K16</t>
  </si>
  <si>
    <t xml:space="preserve">Useful life - technology equipment (GPUs/servers/network)</t>
  </si>
  <si>
    <t xml:space="preserve">years</t>
  </si>
  <si>
    <t xml:space="preserve">D5</t>
  </si>
  <si>
    <t xml:space="preserve">S-1 &amp; 10-K FY25 Note 1: 'Technology equipment 6 years'. Last change: effective 1-Jan-2023 computing equipment 5 -&gt; 6 yrs (FY23 expense -$20M). No change disclosed in any 10-Q through Q2'26. Nebius: 4 -&gt; 5 yrs from 1-Jan-2026.</t>
  </si>
  <si>
    <t xml:space="preserve">Reported</t>
  </si>
  <si>
    <t xml:space="preserve">K17</t>
  </si>
  <si>
    <t xml:space="preserve">Depreciation yield (D&amp;A x4 / avg in-service gross PP&amp;E)</t>
  </si>
  <si>
    <t xml:space="preserve">Mirrors Nebius Capex_DA 'Depreciation yield - reported basis' (D&amp;A / avg in-service gross PP&amp;E). A 6-yr straight-line fleet would yield ~16.7% on tech equipment; lower values = lives &gt;6 yrs on DC equipment (up to 12 yrs) and new assets placed in service late in quarter.</t>
  </si>
  <si>
    <t xml:space="preserve">K18</t>
  </si>
  <si>
    <t xml:space="preserve">Implied average depreciable life (1 / yield)</t>
  </si>
  <si>
    <t xml:space="preserve">Blended across tech equipment (6y), software (3-6y), DC equipment/leaseholds (up to 12y).</t>
  </si>
  <si>
    <t xml:space="preserve">K19</t>
  </si>
  <si>
    <t xml:space="preserve">D&amp;A as % of revenue</t>
  </si>
  <si>
    <t xml:space="preserve">Context row.</t>
  </si>
  <si>
    <t xml:space="preserve">E. Backlog / RPO</t>
  </si>
  <si>
    <t xml:space="preserve">K20</t>
  </si>
  <si>
    <t xml:space="preserve">RPO (ASC 606, EoP)</t>
  </si>
  <si>
    <t xml:space="preserve">$B</t>
  </si>
  <si>
    <t xml:space="preserve">D6</t>
  </si>
  <si>
    <t xml:space="preserve">Nebius Hist 'Remaining performance obligations' (same ASC 606 basis).</t>
  </si>
  <si>
    <t xml:space="preserve">K21</t>
  </si>
  <si>
    <t xml:space="preserve">Revenue backlog (company metric, EoP)</t>
  </si>
  <si>
    <t xml:space="preserve">calc: RPO + other committed amounts subject to delivery (e.g., Q1'25 OpenAI $11.2B before contract effectiveness). Not GAAP.</t>
  </si>
  <si>
    <t xml:space="preserve">K22</t>
  </si>
  <si>
    <t xml:space="preserve">RPO % recognized within 24 months</t>
  </si>
  <si>
    <t xml:space="preserve">Nebius tracks the same split (36% &lt;24m at 6/30/26).</t>
  </si>
  <si>
    <t xml:space="preserve">K23</t>
  </si>
  <si>
    <t xml:space="preserve">RPO / annualized quarterly revenue</t>
  </si>
  <si>
    <t xml:space="preserve">Coverage of current run-rate.</t>
  </si>
  <si>
    <t xml:space="preserve">F. Customer concentration (% of quarter revenue; customers &lt;10% not disclosed)</t>
  </si>
  <si>
    <t xml:space="preserve">K24</t>
  </si>
  <si>
    <t xml:space="preserve">Largest customer % of revenue</t>
  </si>
  <si>
    <t xml:space="preserve">D7</t>
  </si>
  <si>
    <t xml:space="preserve">Note 2 'customers &gt;=10% of revenue'. Q4 = FY less 9M (Derived, +/-2pp rounding).</t>
  </si>
  <si>
    <t xml:space="preserve">K25</t>
  </si>
  <si>
    <t xml:space="preserve">2nd-largest customer %</t>
  </si>
  <si>
    <t xml:space="preserve">n/d = below 10% threshold (not disclosed).</t>
  </si>
  <si>
    <t xml:space="preserve">K26</t>
  </si>
  <si>
    <t xml:space="preserve">Top-N &gt;=10% customers combined %</t>
  </si>
  <si>
    <t xml:space="preserve">Sum of disclosed &gt;=10% customers (Q1'24 top-3, Q2'26 top-3). FY24 top-2 = 77% (10-K FY25).</t>
  </si>
  <si>
    <t xml:space="preserve">K27</t>
  </si>
  <si>
    <t xml:space="preserve">Number of customers &gt;=10% of revenue</t>
  </si>
  <si>
    <t xml:space="preserve">#</t>
  </si>
  <si>
    <t xml:space="preserve">G. Funding cost (% p.a.)</t>
  </si>
  <si>
    <t xml:space="preserve">K28</t>
  </si>
  <si>
    <t xml:space="preserve">Weighted effective cost of debt (principal-weighted, EoP) - all facilities</t>
  </si>
  <si>
    <t xml:space="preserve">D8</t>
  </si>
  <si>
    <t xml:space="preserve">Mirrors comps.csv 'Wtd effective cost of debt (%) = principal-weighted effective rates, Note 10 debt table' (CRWV 8.41 at 6/30/26). Rates rounded to whole % in filings -&gt; +/-0.5pp.</t>
  </si>
  <si>
    <t xml:space="preserve">K29</t>
  </si>
  <si>
    <t xml:space="preserve">  of which DDTL - weighted eff. rate</t>
  </si>
  <si>
    <t xml:space="preserve">n/d where facility type not outstanding.</t>
  </si>
  <si>
    <t xml:space="preserve">K30</t>
  </si>
  <si>
    <t xml:space="preserve">  of which Senior notes - weighted eff. rate</t>
  </si>
  <si>
    <t xml:space="preserve">K31</t>
  </si>
  <si>
    <t xml:space="preserve">  of which Converts - weighted eff. rate</t>
  </si>
  <si>
    <t xml:space="preserve">K32</t>
  </si>
  <si>
    <t xml:space="preserve">  of which OEM / vendor financing - weighted eff. rate</t>
  </si>
  <si>
    <t xml:space="preserve">K33</t>
  </si>
  <si>
    <t xml:space="preserve">  of which Revolver - weighted eff. rate</t>
  </si>
  <si>
    <t xml:space="preserve">K34</t>
  </si>
  <si>
    <t xml:space="preserve">  of which Other term loans - weighted eff. rate</t>
  </si>
  <si>
    <t xml:space="preserve">K35</t>
  </si>
  <si>
    <t xml:space="preserve">DDTL (secured asset-level) share of principal</t>
  </si>
  <si>
    <t xml:space="preserve">K36</t>
  </si>
  <si>
    <t xml:space="preserve">Implied cash cost: contractual interest x4 / avg principal</t>
  </si>
  <si>
    <t xml:space="preserve">Before capitalization; excludes discount amortization. FY24: 474.8 / avg(1,555; 8,033) = 9.9% (Derived; average understates mid-year balances).</t>
  </si>
  <si>
    <t xml:space="preserve">K37</t>
  </si>
  <si>
    <t xml:space="preserve">Company-reported weighted average interest rate</t>
  </si>
  <si>
    <t xml:space="preserve">Sep-26 convert deck slide 27 (OEM assumed 10%). Q2'26 PF 7.8%.</t>
  </si>
  <si>
    <t xml:space="preserve">K38</t>
  </si>
  <si>
    <t xml:space="preserve">Total debt principal (EoP)</t>
  </si>
  <si>
    <t xml:space="preserve">Excl. leases (operating lease liabilities $10.1B at 3/31/26 per Q1'26 10-Q risk factors).</t>
  </si>
  <si>
    <t xml:space="preserve">K39</t>
  </si>
  <si>
    <t xml:space="preserve">Debt principal / RPO</t>
  </si>
  <si>
    <t xml:space="preserve">Company shows debt / backlog 0.2x-0.5x.</t>
  </si>
  <si>
    <t xml:space="preserve">K40</t>
  </si>
  <si>
    <t xml:space="preserve">Capitalized interest % of contractual interest</t>
  </si>
  <si>
    <t xml:space="preserve">Context: share of interest deferred into PP&amp;E (later depreciated).</t>
  </si>
  <si>
    <t xml:space="preserve">Inputs - CoreWeave (CRWV). Raw reported figures (blue), derived (black), estimated (orange), n/d (grey). Per-cell source detail on Sources tab.</t>
  </si>
  <si>
    <t xml:space="preserve">Item</t>
  </si>
  <si>
    <t xml:space="preserve">Tag mix</t>
  </si>
  <si>
    <t xml:space="preserve">Source summary / notes</t>
  </si>
  <si>
    <t xml:space="preserve">I01</t>
  </si>
  <si>
    <t xml:space="preserve">Revenue</t>
  </si>
  <si>
    <t xml:space="preserve">$M</t>
  </si>
  <si>
    <t xml:space="preserve">424B4 prospectus (IPO), filed 2025-03-31; Q1'25 earnings PR (8-K Ex.99.1, 2025-05-14); Q2'25 earnings PR (8-K Ex.99.1, 2025-08-12); Q3'25 earnings PR (8-K Ex.99.1, 2025-11-10); Q4'25 earnings PR (8-K Ex.99.1, 2026-02-26); Q1'26 earnings PR (8-K Ex.99.1, 2026-05-07); Q2'26 earnings PR (8-K Ex.99.1, 2026-08-11)</t>
  </si>
  <si>
    <t xml:space="preserve">I02</t>
  </si>
  <si>
    <t xml:space="preserve">Adjusted EBITDA (company non-GAAP)</t>
  </si>
  <si>
    <t xml:space="preserve">I03</t>
  </si>
  <si>
    <t xml:space="preserve">Depreciation &amp; amortization (total, cash-flow basis)</t>
  </si>
  <si>
    <t xml:space="preserve">Derived/Reported</t>
  </si>
  <si>
    <t xml:space="preserve">424B4 prospectus (IPO), filed 2025-03-31; SEC companyfacts XBRL, CIK 0001769628 (local copy comps_raw/cf_0001769628.json) | NOTE: Nebius depreciation-yield uses PP&amp;E depreciation; CRWV PP&amp;E depreciation is disclosed rounded to $0.1B in 2026, so total D&amp;A (incl. small intangible amortization) is used.</t>
  </si>
  <si>
    <t xml:space="preserve">I04</t>
  </si>
  <si>
    <t xml:space="preserve">Cash capex (purchases of property &amp; equipment)</t>
  </si>
  <si>
    <t xml:space="preserve">SEC companyfacts XBRL, CIK 0001769628 (local copy comps_raw/cf_0001769628.json) | NOTE: Mirrors Nebius Hist 'Capex (purchases of PP&amp;E + intangibles, cash)'. CRWV also finances GPUs via OEM/vendor financing, so cash capex understates economic capex in some quarters.</t>
  </si>
  <si>
    <t xml:space="preserve">I05</t>
  </si>
  <si>
    <t xml:space="preserve">Gross property &amp; equipment (EoP)</t>
  </si>
  <si>
    <t xml:space="preserve">424B4 prospectus (IPO), filed 2025-03-31; 10-Q Q1'25, filed 2025-05-15; 10-Q Q2'25, filed 2025-08-13; 10-Q Q3'25, filed 2025-11-13; 10-K FY25, filed 2026-03-02; 10-Q Q1'26, filed 2026-05-08; 10-Q Q2'26, filed 2026-08-12</t>
  </si>
  <si>
    <t xml:space="preserve">I06</t>
  </si>
  <si>
    <t xml:space="preserve">Construction in progress (EoP; not yet in service)</t>
  </si>
  <si>
    <t xml:space="preserve">I07</t>
  </si>
  <si>
    <t xml:space="preserve">Property &amp; equipment, net (EoP)</t>
  </si>
  <si>
    <t xml:space="preserve">I08</t>
  </si>
  <si>
    <t xml:space="preserve">Technology equipment, gross (EoP)</t>
  </si>
  <si>
    <t xml:space="preserve">I09</t>
  </si>
  <si>
    <t xml:space="preserve">Active power, reported (EoP)</t>
  </si>
  <si>
    <t xml:space="preserve">MW</t>
  </si>
  <si>
    <t xml:space="preserve">424B4 prospectus (IPO), filed 2025-03-31; Q1'25 earnings PR (8-K Ex.99.1, 2025-05-14); Q2'25 earnings PR (8-K Ex.99.1, 2025-08-12); Q3'25 earnings PR (8-K Ex.99.1, 2025-11-10); Q4'25 earnings PR (8-K Ex.99.1, 2026-02-26); Q1'26 earnings PR (8-K Ex.99.1, 2026-05-07); Q2'26 earnings PR (8-K Ex.99.1, 2026-08-11) | NOTE: MW basis (IT vs gross) never stated by CRWV. YE24 cross-check: &gt;250k GPUs / ~360 MW = ~694 GPUs/MW, close to Nebius Hopper base 713/IT-MW (vs 548/gross-MW) -&gt; CRWV 'active power' most consistent with IT (critical) load. Several values are 'more than'/'approximately' -&gt; treat as lower bounds/rounded. | POLISH: active power ≈ billed/revenue-generating for K02b≡K02 (no separate billing MW).</t>
  </si>
  <si>
    <t xml:space="preserve">I10</t>
  </si>
  <si>
    <t xml:space="preserve">Contracted power, reported (EoP)</t>
  </si>
  <si>
    <t xml:space="preserve">I11</t>
  </si>
  <si>
    <t xml:space="preserve">GPUs deployed, reported (EoP)</t>
  </si>
  <si>
    <t xml:space="preserve">GPUs</t>
  </si>
  <si>
    <t xml:space="preserve">424B4 prospectus (IPO), filed 2025-03-31 | NOTE: CRWV has not disclosed a fleet GPU count since the S-1 (checked 10-Qs Q1'25-Q2'26, 10-K FY25, all earnings PRs, Sep-26 convert deck).</t>
  </si>
  <si>
    <t xml:space="preserve">I12</t>
  </si>
  <si>
    <t xml:space="preserve">Hopper-class on-demand list price (H100 SXM 8-GPU instance / 8)</t>
  </si>
  <si>
    <t xml:space="preserve">Derived/Estimated</t>
  </si>
  <si>
    <t xml:space="preserve">Nebius workspace: /workspace/nebius/parts/price_history_quarterly.csv (CoreWeave on-demand list, GPU Market agent; Wayback snapshots) | NOTE: H200 list $6.305 is ~2% higher; A100 ($2.70) and older GPUs are cheaper, so using H100 for all pre-Blackwell GPUs overstates fleet list price.</t>
  </si>
  <si>
    <t xml:space="preserve">I13</t>
  </si>
  <si>
    <t xml:space="preserve">Blackwell on-demand list price (GB200 NVL72 4-GPU instance / 4)</t>
  </si>
  <si>
    <t xml:space="preserve">Nebius workspace: /workspace/nebius/parts/price_history_quarterly.csv (CoreWeave on-demand list, GPU Market agent; Wayback snapshots) | NOTE: B200 lists at $8.60 (2026); GB300 is contact-sales (no public list). GB200 used for all Blackwell-era additions.</t>
  </si>
  <si>
    <t xml:space="preserve">I14</t>
  </si>
  <si>
    <t xml:space="preserve">RPO (ASC 606 remaining performance obligations, EoP)</t>
  </si>
  <si>
    <t xml:space="preserve">I15</t>
  </si>
  <si>
    <t xml:space="preserve">Revenue backlog (company metric: RPO + other committed amounts)</t>
  </si>
  <si>
    <t xml:space="preserve">Convertible-notes investor presentation (8-K Ex., 2026-09-17); Q1'25 earnings PR (8-K Ex.99.1, 2025-05-14); Q2'25 earnings PR (8-K Ex.99.1, 2025-08-12); Q3'25 earnings PR (8-K Ex.99.1, 2025-11-10); Q4'25 earnings PR (8-K Ex.99.1, 2026-02-26); Q1'26 earnings PR (8-K Ex.99.1, 2026-05-07); Q2'26 earnings PR (8-K Ex.99.1, 2026-08-11)</t>
  </si>
  <si>
    <t xml:space="preserve">I16</t>
  </si>
  <si>
    <t xml:space="preserve">RPO % expected to be recognized within 24 months</t>
  </si>
  <si>
    <t xml:space="preserve">I17</t>
  </si>
  <si>
    <t xml:space="preserve">Largest customer, % of quarter revenue</t>
  </si>
  <si>
    <t xml:space="preserve">10-Q Q1'25, filed 2025-05-15; 10-Q Q2'25, filed 2025-08-13; 10-Q Q3'25, filed 2025-11-13; 424B4 prospectus (IPO), filed 2025-03-31; 10-K FY25, filed 2026-03-02; 10-Q Q1'26, filed 2026-05-08; 10-Q Q2'26, filed 2026-08-12 | NOTE: Customer letters are per-filing labels; Customer A is historically Microsoft (S-1/10-K name Microsoft as FY23-FY25 top customer). Q1'24: A 33% vs C 32%.</t>
  </si>
  <si>
    <t xml:space="preserve">I18</t>
  </si>
  <si>
    <t xml:space="preserve">2nd-largest customer, % of quarter revenue (&lt;10% = not disclosed)</t>
  </si>
  <si>
    <t xml:space="preserve">10-Q Q1'25, filed 2025-05-15; 10-Q Q2'25, filed 2025-08-13; 10-Q Q3'25, filed 2025-11-13; 424B4 prospectus (IPO), filed 2025-03-31; 10-K FY25, filed 2026-03-02; 10-Q Q1'26, filed 2026-05-08; 10-Q Q2'26, filed 2026-08-12</t>
  </si>
  <si>
    <t xml:space="preserve">I19</t>
  </si>
  <si>
    <t xml:space="preserve">3rd-largest customer, % of quarter revenue (&lt;10% = not disclosed)</t>
  </si>
  <si>
    <t xml:space="preserve">10-Q Q1'25, filed 2025-05-15; 10-Q Q2'26, filed 2026-08-12</t>
  </si>
  <si>
    <t xml:space="preserve">I20</t>
  </si>
  <si>
    <t xml:space="preserve">Customers &gt;=10% of quarter revenue (count)</t>
  </si>
  <si>
    <t xml:space="preserve">I21</t>
  </si>
  <si>
    <t xml:space="preserve">Contractual interest expense (before capitalization)</t>
  </si>
  <si>
    <t xml:space="preserve">I22</t>
  </si>
  <si>
    <t xml:space="preserve">Capitalized interest</t>
  </si>
  <si>
    <t xml:space="preserve">I23</t>
  </si>
  <si>
    <t xml:space="preserve">Total debt principal (EoP; excl. leases)</t>
  </si>
  <si>
    <t xml:space="preserve">I24</t>
  </si>
  <si>
    <t xml:space="preserve">Company-reported weighted average interest rate on debt</t>
  </si>
  <si>
    <t xml:space="preserve">Convertible-notes investor presentation (8-K Ex., 2026-09-17) | NOTE: Company method: effective rates x EoP principal, OEM/software financing assumed 10%.</t>
  </si>
  <si>
    <t xml:space="preserve">I25</t>
  </si>
  <si>
    <t xml:space="preserve">Company-definition capex (additions to PP&amp;E + finance-lease assets - change in CIP), reported</t>
  </si>
  <si>
    <t xml:space="preserve">Q1'26 earnings presentation (IR site PDF); Convertible-notes investor presentation (8-K Ex., 2026-09-17)</t>
  </si>
  <si>
    <t xml:space="preserve">I26</t>
  </si>
  <si>
    <t xml:space="preserve">Days in quarter</t>
  </si>
  <si>
    <t xml:space="preserve">days</t>
  </si>
  <si>
    <t xml:space="preserve">I27</t>
  </si>
  <si>
    <t xml:space="preserve">Active data centers (EoP)</t>
  </si>
  <si>
    <t xml:space="preserve">424B4 prospectus (IPO), filed 2025-03-31; 10-K FY25, filed 2026-03-02; Q1'26 earnings presentation (IR site PDF); Convertible-notes investor presentation (8-K Ex., 2026-09-17)</t>
  </si>
  <si>
    <t xml:space="preserve">Derived &amp; estimated input rows (formulas)</t>
  </si>
  <si>
    <t xml:space="preserve">P01</t>
  </si>
  <si>
    <t xml:space="preserve">GB200 NVL72 GPUs per IT-MW (base)</t>
  </si>
  <si>
    <t xml:space="preserve">GPUs/MW</t>
  </si>
  <si>
    <t xml:space="preserve">Nebius workspace: /workspace/nebius/capacity/gpu_mw_capex.xlsx (GPUsPerMW base IT-MW rows) / gpu_mw_capex.md s.1 - GPUsPerMW base IT-MW row (gpu_mw_capex.md s.1: 487/538/571)</t>
  </si>
  <si>
    <t xml:space="preserve">P02</t>
  </si>
  <si>
    <t xml:space="preserve">GB300 NVL72 GPUs per IT-MW (base)</t>
  </si>
  <si>
    <t xml:space="preserve">Nebius workspace: /workspace/nebius/capacity/gpu_mw_capex.xlsx (GPUsPerMW base IT-MW rows) / gpu_mw_capex.md s.1 - GPUsPerMW base IT-MW row (453/491/519)</t>
  </si>
  <si>
    <t xml:space="preserve">P03</t>
  </si>
  <si>
    <t xml:space="preserve">Hopper HGX GPUs per IT-MW (base; cross-check only)</t>
  </si>
  <si>
    <t xml:space="preserve">Nebius workspace: /workspace/nebius/capacity/gpu_mw_capex.xlsx (GPUsPerMW base IT-MW rows) / gpu_mw_capex.md s.1 - GPUsPerMW base IT-MW row (665/713/813)</t>
  </si>
  <si>
    <t xml:space="preserve">I09E</t>
  </si>
  <si>
    <t xml:space="preserve">Active power incl. estimates (EoP) - 2024 interim interpolated</t>
  </si>
  <si>
    <t xml:space="preserve">Reported/Estimated</t>
  </si>
  <si>
    <t xml:space="preserve">ESTIMATED for Q1-Q3'24: straight-line between ~70 MW (YE23) and ~360 MW (YE24). CRWV did not disclose interim 2024 MW. Other quarters = reported.</t>
  </si>
  <si>
    <t xml:space="preserve">I09A</t>
  </si>
  <si>
    <t xml:space="preserve">Average active power in quarter ((open+close)/2)</t>
  </si>
  <si>
    <t xml:space="preserve">Average of opening/closing active MW (I09E). Q1'24-Q4'24 use the interpolated estimates -&gt; Estimated.</t>
  </si>
  <si>
    <t xml:space="preserve">I09N</t>
  </si>
  <si>
    <t xml:space="preserve">New active MW added in quarter (reported MW only)</t>
  </si>
  <si>
    <t xml:space="preserve">calc: closing - opening reported active MW. Q4'24 n/d (Q3'24 MW not disclosed). Lower-bound wording ('more than') makes single-quarter deltas noisy (+/-10-50 MW).</t>
  </si>
  <si>
    <t xml:space="preserve">I09NE</t>
  </si>
  <si>
    <t xml:space="preserve">New active MW added in quarter (incl. estimated 2024 MW)</t>
  </si>
  <si>
    <t xml:space="preserve">Uses I09E; 2024 quarters each +72.5 MW by construction (Estimated).</t>
  </si>
  <si>
    <t xml:space="preserve">I11E</t>
  </si>
  <si>
    <t xml:space="preserve">GPUs incl. estimates (EoP)</t>
  </si>
  <si>
    <t xml:space="preserve">ESTIMATED except YE23/YE24 (reported lower bounds). 2024 interim: linear 53k-&gt;250k. 2025: 250k + (active MW - 360) x GB200 base 538 GPUs/IT-MW. 2026: YE25 est + (MW - 850) x GB300 base 491. Mirrors Nebius capacity method 'GPUs = MW x GPUs/MW (gpu_mw_capex.xlsx base rows)'. Assumes no retirements and all post-YE24 MW is Blackwell.</t>
  </si>
  <si>
    <t xml:space="preserve">I11A</t>
  </si>
  <si>
    <t xml:space="preserve">Average GPUs in quarter ((open+close)/2)</t>
  </si>
  <si>
    <t xml:space="preserve">Average of I11E.</t>
  </si>
  <si>
    <t xml:space="preserve">I12W</t>
  </si>
  <si>
    <t xml:space="preserve">Fleet-weighted on-demand list price (EoP GPU weights)</t>
  </si>
  <si>
    <t xml:space="preserve">Mirrors Nebius KPIs row 'Fleet-weighted on-demand list price' (GPU_End_H x P_OD_H + GPU_End_B x P_OD_B ...)/GPUs. Legacy 250k GPUs (YE24) priced at Hopper H100 list; all later GPUs at GB200 list.</t>
  </si>
  <si>
    <t xml:space="preserve">I05S</t>
  </si>
  <si>
    <t xml:space="preserve">In-service gross PP&amp;E (gross - CIP, EoP)</t>
  </si>
  <si>
    <t xml:space="preserve">Mirrors Nebius Capex_DA 'In-service gross PP&amp;E' = gross PP&amp;E - assets not yet in use.</t>
  </si>
  <si>
    <t xml:space="preserve">I25D</t>
  </si>
  <si>
    <t xml:space="preserve">Company-definition capex, derived = change in in-service gross PP&amp;E</t>
  </si>
  <si>
    <t xml:space="preserve">calc: delta(gross PP&amp;E) - delta(CIP). Matches CRWV's own capex definition (Q1'26 deck: 'Increase in total gross P&amp;E less change in CIP'): Q1'25 1,858 / Q1'26 6,786 / Q2'26 ~9.4B reported. Also = Nebius 'Transfer into service'.</t>
  </si>
  <si>
    <t xml:space="preserve">I23A</t>
  </si>
  <si>
    <t xml:space="preserve">Average debt principal ((open+close)/2)</t>
  </si>
  <si>
    <t xml:space="preserve">Q1'24-Q4'24 n/d (no 2024 interim debt tables).</t>
  </si>
  <si>
    <t xml:space="preserve">I09B</t>
  </si>
  <si>
    <t xml:space="preserve">Billed / billing MW alias — EQUALS I09E (documentation only; CRWV has no separate billed series)</t>
  </si>
  <si>
    <t xml:space="preserve">Align</t>
  </si>
  <si>
    <t xml:space="preserve">POLISH 2026-10-05: alias for cross-pack K02b alignment. Do not treat as a new estimate. Notes_Gaps B1.</t>
  </si>
  <si>
    <t xml:space="preserve">Debt by facility - CoreWeave (CRWV). Principal ($M) and effective interest rate (%) as printed in each quarter-end debt table (Note 10 / S-1 Note 10). Excludes operating/finance leases.</t>
  </si>
  <si>
    <t xml:space="preserve">Effective rates are as printed in each filing's Note 10 debt table (rounded to whole %). Ranges are entered at midpoint: OEM 'Mar-25/Jun-25 9-10%' -&gt; 9.5; 'Sep-25 8-10%' -&gt; 9; S-1 Dec-24 OEM '9%-11%' -&gt; 10. Dec-25 OEM recourse/non-recourse combined (10-K shows a single 10% line of $4,165M).</t>
  </si>
  <si>
    <t xml:space="preserve">Facility</t>
  </si>
  <si>
    <t xml:space="preserve">Category</t>
  </si>
  <si>
    <t xml:space="preserve">Dec-23 principal</t>
  </si>
  <si>
    <t xml:space="preserve">Dec-23 eff. rate %</t>
  </si>
  <si>
    <t xml:space="preserve">Dec-24 principal</t>
  </si>
  <si>
    <t xml:space="preserve">Dec-24 eff. rate %</t>
  </si>
  <si>
    <t xml:space="preserve">Mar-25 principal</t>
  </si>
  <si>
    <t xml:space="preserve">Mar-25 eff. rate %</t>
  </si>
  <si>
    <t xml:space="preserve">Jun-25 principal</t>
  </si>
  <si>
    <t xml:space="preserve">Jun-25 eff. rate %</t>
  </si>
  <si>
    <t xml:space="preserve">Sep-25 principal</t>
  </si>
  <si>
    <t xml:space="preserve">Sep-25 eff. rate %</t>
  </si>
  <si>
    <t xml:space="preserve">Dec-25 principal</t>
  </si>
  <si>
    <t xml:space="preserve">Dec-25 eff. rate %</t>
  </si>
  <si>
    <t xml:space="preserve">Mar-26 principal</t>
  </si>
  <si>
    <t xml:space="preserve">Mar-26 eff. rate %</t>
  </si>
  <si>
    <t xml:space="preserve">Jun-26 principal</t>
  </si>
  <si>
    <t xml:space="preserve">Jun-26 eff. rate %</t>
  </si>
  <si>
    <t xml:space="preserve">2021 Convertible Senior Secured Notes</t>
  </si>
  <si>
    <t xml:space="preserve">Converts</t>
  </si>
  <si>
    <t xml:space="preserve">2022 Senior Secured Notes</t>
  </si>
  <si>
    <t xml:space="preserve">Senior notes</t>
  </si>
  <si>
    <t xml:space="preserve">DDTL 1.0 Facility</t>
  </si>
  <si>
    <t xml:space="preserve">DDTL</t>
  </si>
  <si>
    <t xml:space="preserve">DDTL 2.0 Facility</t>
  </si>
  <si>
    <t xml:space="preserve">DDTL 2.1 Facility</t>
  </si>
  <si>
    <t xml:space="preserve">DDTL 3.0 Facility</t>
  </si>
  <si>
    <t xml:space="preserve">DDTL 4.0 Facility (non-recourse; IG)</t>
  </si>
  <si>
    <t xml:space="preserve">DDTL 5.0 Facility</t>
  </si>
  <si>
    <t xml:space="preserve">2024 Term Loan Facility</t>
  </si>
  <si>
    <t xml:space="preserve">Other term loans</t>
  </si>
  <si>
    <t xml:space="preserve">Magnetar Loan</t>
  </si>
  <si>
    <t xml:space="preserve">2030 Senior Notes (9.25%)</t>
  </si>
  <si>
    <t xml:space="preserve">2031 9.00% Senior Notes</t>
  </si>
  <si>
    <t xml:space="preserve">2031 9.75% Senior Notes</t>
  </si>
  <si>
    <t xml:space="preserve">2032 9.625% Senior Notes</t>
  </si>
  <si>
    <t xml:space="preserve">2032 EUR Senior Notes (8.50%)</t>
  </si>
  <si>
    <t xml:space="preserve">2031 Convertible Senior Notes (1.75%)</t>
  </si>
  <si>
    <t xml:space="preserve">2032 Convertible Senior Notes (1.75%)</t>
  </si>
  <si>
    <t xml:space="preserve">Convertible Promissory Notes</t>
  </si>
  <si>
    <t xml:space="preserve">Revolving Credit Facility</t>
  </si>
  <si>
    <t xml:space="preserve">Revolver</t>
  </si>
  <si>
    <t xml:space="preserve">OEM &amp; software-license financing (recourse)</t>
  </si>
  <si>
    <t xml:space="preserve">OEM / vendor financing</t>
  </si>
  <si>
    <t xml:space="preserve">OEM &amp; software-license financing (non-recourse)</t>
  </si>
  <si>
    <t xml:space="preserve">Total principal</t>
  </si>
  <si>
    <t xml:space="preserve">Check vs reported total principal (Inputs I23)</t>
  </si>
  <si>
    <t xml:space="preserve">WEIGHTED EFFECTIVE COST OF DEBT (principal-weighted, all facilities)</t>
  </si>
  <si>
    <t xml:space="preserve">  DDTL: principal / weighted eff. rate</t>
  </si>
  <si>
    <t xml:space="preserve">  Senior notes: principal / weighted eff. rate</t>
  </si>
  <si>
    <t xml:space="preserve">  Converts: principal / weighted eff. rate</t>
  </si>
  <si>
    <t xml:space="preserve">  OEM / vendor financing: principal / weighted eff. rate</t>
  </si>
  <si>
    <t xml:space="preserve">  Revolver: principal / weighted eff. rate</t>
  </si>
  <si>
    <t xml:space="preserve">  Other term loans: principal / weighted eff. rate</t>
  </si>
  <si>
    <t xml:space="preserve">  Share of principal: secured asset-level (DDTL) %</t>
  </si>
  <si>
    <t xml:space="preserve">POST-QUARTER (not in Q2'26 figures): Aug-10-2026 DDTL 5.5 $2.6B delayed-draw at SOFR+5.50% (Ba2/BB+), undrawn fee 0.50% [8-K 2026-08-10]. Sep-22-2026 2.875% convertible senior notes due 2033, $4.2B incl. $0.5B option [8-K 2026-09-22]. Company Q2'26 PF weighted rate 7.8% (incl. $3.5B convert at 2.625% illustrative, excl. DDTL 5.5) [Sep-26 deck slide 27].</t>
  </si>
  <si>
    <t xml:space="preserve">Q1'26 PR: DDTL 4.0 $8.5B non-recourse IG facility, floating tranche SOFR+2.25%, fixed tranche ~5.9% (as of initial draw).</t>
  </si>
  <si>
    <t xml:space="preserve">Input ID</t>
  </si>
  <si>
    <t xml:space="preserve">Period</t>
  </si>
  <si>
    <t xml:space="preserve">Value</t>
  </si>
  <si>
    <t xml:space="preserve">Tag</t>
  </si>
  <si>
    <t xml:space="preserve">Document</t>
  </si>
  <si>
    <t xml:space="preserve">Section / page / formula</t>
  </si>
  <si>
    <t xml:space="preserve">URL</t>
  </si>
  <si>
    <t xml:space="preserve">424B4 prospectus (IPO), filed 2025-03-31</t>
  </si>
  <si>
    <t xml:space="preserve">S-1 Quarterly Results of Operations p.117</t>
  </si>
  <si>
    <t xml:space="preserve">https://www.sec.gov/Archives/edgar/data/1769628/000119312525067651/d899798d424b4.htm</t>
  </si>
  <si>
    <t xml:space="preserve">p.117</t>
  </si>
  <si>
    <t xml:space="preserve">Q1'25 earnings PR (8-K Ex.99.1, 2025-05-14)</t>
  </si>
  <si>
    <t xml:space="preserve">PR financial highlights</t>
  </si>
  <si>
    <t xml:space="preserve">https://www.sec.gov/Archives/edgar/data/1769628/000176962825000010/coreweave1q25earningspress.htm</t>
  </si>
  <si>
    <t xml:space="preserve">Q2'25 earnings PR (8-K Ex.99.1, 2025-08-12)</t>
  </si>
  <si>
    <t xml:space="preserve">PR highlights</t>
  </si>
  <si>
    <t xml:space="preserve">https://www.sec.gov/Archives/edgar/data/1769628/000176962825000039/coreweave2q25earningspress.htm</t>
  </si>
  <si>
    <t xml:space="preserve">Q3'25 earnings PR (8-K Ex.99.1, 2025-11-10)</t>
  </si>
  <si>
    <t xml:space="preserve">https://www.sec.gov/Archives/edgar/data/1769628/000176962825000059/coreweave3q25earningspress.htm</t>
  </si>
  <si>
    <t xml:space="preserve">Q4'25 earnings PR (8-K Ex.99.1, 2026-02-26)</t>
  </si>
  <si>
    <t xml:space="preserve">PR highlights ($M)</t>
  </si>
  <si>
    <t xml:space="preserve">https://www.sec.gov/Archives/edgar/data/1769628/000176962826000094/coreweave4q25earningspress.htm</t>
  </si>
  <si>
    <t xml:space="preserve">Q1'26 earnings PR (8-K Ex.99.1, 2026-05-07)</t>
  </si>
  <si>
    <t xml:space="preserve">https://www.sec.gov/Archives/edgar/data/1769628/000176962826000220/coreweave1q26earningspress.htm</t>
  </si>
  <si>
    <t xml:space="preserve">Q2'26 earnings PR (8-K Ex.99.1, 2026-08-11)</t>
  </si>
  <si>
    <t xml:space="preserve">https://www.sec.gov/Archives/edgar/data/1769628/000176962826000362/coreweave2q26earningspress.htm</t>
  </si>
  <si>
    <t xml:space="preserve">S-1 Quarterly Adj. EBITDA reconciliation p.120</t>
  </si>
  <si>
    <t xml:space="preserve">p.120</t>
  </si>
  <si>
    <t xml:space="preserve">PR non-GAAP table</t>
  </si>
  <si>
    <t xml:space="preserve">S-1 Adj. EBITDA reconciliation p.120</t>
  </si>
  <si>
    <t xml:space="preserve">SEC companyfacts XBRL, CIK 0001769628 (local copy comps_raw/cf_0001769628.json)</t>
  </si>
  <si>
    <t xml:space="preserve">Q1'25 10-Q CF stmt (XBRL DepreciationDepletionAndAmortization)</t>
  </si>
  <si>
    <t xml:space="preserve">https://data.sec.gov/api/xbrl/companyfacts/CIK0001769628.json</t>
  </si>
  <si>
    <t xml:space="preserve">calc: H1'25 1,003.0 - Q1 443.5 (YTD diff)</t>
  </si>
  <si>
    <t xml:space="preserve">calc: 9M 1,633.5 - H1 1,003.0</t>
  </si>
  <si>
    <t xml:space="preserve">calc: FY 2,454 - 9M 1,633.5</t>
  </si>
  <si>
    <t xml:space="preserve">Q1'26 10-Q CF stmt</t>
  </si>
  <si>
    <t xml:space="preserve">calc: H1'26 2,540 - Q1 1,147</t>
  </si>
  <si>
    <t xml:space="preserve">Q1'25 10-Q comparative (YTD Q1'24)</t>
  </si>
  <si>
    <t xml:space="preserve">calc: H1'24 3,989.1 - Q1 1,741.9</t>
  </si>
  <si>
    <t xml:space="preserve">calc: 9M'24 5,204.3 - H1 3,989.1</t>
  </si>
  <si>
    <t xml:space="preserve">calc: FY24 8,702 - 9M 5,204.3</t>
  </si>
  <si>
    <t xml:space="preserve">Q1'25 10-Q CF</t>
  </si>
  <si>
    <t xml:space="preserve">calc: H1 3,860.4 - Q1 1,407.4</t>
  </si>
  <si>
    <t xml:space="preserve">calc: 9M 6,249.2 - H1 3,860.4</t>
  </si>
  <si>
    <t xml:space="preserve">calc: FY 10,309 - 9M 6,249.2</t>
  </si>
  <si>
    <t xml:space="preserve">Q1'26 10-Q CF</t>
  </si>
  <si>
    <t xml:space="preserve">calc: H1'26 14,117 - Q1 7,695</t>
  </si>
  <si>
    <t xml:space="preserve">Note 5 Property and Equipment, Net</t>
  </si>
  <si>
    <t xml:space="preserve">10-Q Q1'25, filed 2025-05-15</t>
  </si>
  <si>
    <t xml:space="preserve">https://www.sec.gov/Archives/edgar/data/1769628/000176962825000014/crwv-20250331.htm</t>
  </si>
  <si>
    <t xml:space="preserve">10-Q Q2'25, filed 2025-08-13</t>
  </si>
  <si>
    <t xml:space="preserve">https://www.sec.gov/Archives/edgar/data/1769628/000176962825000041/crwv-20250630.htm</t>
  </si>
  <si>
    <t xml:space="preserve">10-Q Q3'25, filed 2025-11-13</t>
  </si>
  <si>
    <t xml:space="preserve">https://www.sec.gov/Archives/edgar/data/1769628/000176962825000062/crwv-20250930.htm</t>
  </si>
  <si>
    <t xml:space="preserve">10-K FY25, filed 2026-03-02</t>
  </si>
  <si>
    <t xml:space="preserve">https://www.sec.gov/Archives/edgar/data/1769628/000176962826000104/crwv-20251231.htm</t>
  </si>
  <si>
    <t xml:space="preserve">10-Q Q1'26, filed 2026-05-08</t>
  </si>
  <si>
    <t xml:space="preserve">https://www.sec.gov/Archives/edgar/data/1769628/000176962826000222/crwv-20260331.htm</t>
  </si>
  <si>
    <t xml:space="preserve">10-Q Q2'26, filed 2026-08-12</t>
  </si>
  <si>
    <t xml:space="preserve">https://www.sec.gov/Archives/edgar/data/1769628/000176962826000366/crwv-20260630.htm</t>
  </si>
  <si>
    <t xml:space="preserve">Note 5</t>
  </si>
  <si>
    <t xml:space="preserve">S-1 Business ('more than 70 MW'; 10-K FY25 says 'approximately 70 MW')</t>
  </si>
  <si>
    <t xml:space="preserve">S-1 ('more than 360 MW'); 10-K FY25 'approximately 360 MW'</t>
  </si>
  <si>
    <t xml:space="preserve">'approximately 420 MW of active power'</t>
  </si>
  <si>
    <t xml:space="preserve">'approximately 470 MW of active power'</t>
  </si>
  <si>
    <t xml:space="preserve">'bringing the total to approximately 590 MW'</t>
  </si>
  <si>
    <t xml:space="preserve">'more than 850 MW' (lower bound)</t>
  </si>
  <si>
    <t xml:space="preserve">'Surpassed 1 GW' (lower bound; Q2 PR '+nearly 500 MW to reach 1.5 GW' implies ~1.0 GW)</t>
  </si>
  <si>
    <t xml:space="preserve">'Expanded active power by nearly 500 MWs to reach 1.5 GW'</t>
  </si>
  <si>
    <t xml:space="preserve">S-1 'approximately 1.3 GW'</t>
  </si>
  <si>
    <t xml:space="preserve">~1.6 GW</t>
  </si>
  <si>
    <t xml:space="preserve">2.2 GW</t>
  </si>
  <si>
    <t xml:space="preserve">~2.9 GW</t>
  </si>
  <si>
    <t xml:space="preserve">~3.1 GW</t>
  </si>
  <si>
    <t xml:space="preserve">'over 3.5 GW'</t>
  </si>
  <si>
    <t xml:space="preserve">~3.7 GW (deck: ~4.2 GW as of Aug-11-2026, post-quarter)</t>
  </si>
  <si>
    <t xml:space="preserve">S-1 'more than 53,000 GPUs' (lower bound)</t>
  </si>
  <si>
    <t xml:space="preserve">S-1 'more than 250,000 GPUs' across 32 DCs (lower bound)</t>
  </si>
  <si>
    <t xml:space="preserve">Nebius workspace: /workspace/nebius/parts/price_history_quarterly.csv (CoreWeave on-demand list, GPU Market agent; Wayback snapshots)</t>
  </si>
  <si>
    <t xml:space="preserve">carried back from first observation Q3'24 (no instance-price snapshot)</t>
  </si>
  <si>
    <t xml:space="preserve">local</t>
  </si>
  <si>
    <t xml:space="preserve">carried back</t>
  </si>
  <si>
    <t xml:space="preserve">$49.24/8 (Wayback snapshot)</t>
  </si>
  <si>
    <t xml:space="preserve">$49.24/8 per GPU Market csv</t>
  </si>
  <si>
    <t xml:space="preserve">$42.00/4 (first listed 2025)</t>
  </si>
  <si>
    <t xml:space="preserve">$42.00/4</t>
  </si>
  <si>
    <t xml:space="preserve">Note 2 Revenue - RPO paragraph (also XBRL RevenueRemainingPerformanceObligation)</t>
  </si>
  <si>
    <t xml:space="preserve">Convertible-notes investor presentation (8-K Ex., 2026-09-17)</t>
  </si>
  <si>
    <t xml:space="preserve">Sep-26 deck slide 27 note 5 ($9.9B YE23)</t>
  </si>
  <si>
    <t xml:space="preserve">https://www.sec.gov/Archives/edgar/data/1769628/000176962826000429/crwv2026convertpresentat.htm</t>
  </si>
  <si>
    <t xml:space="preserve">deck slide 27 ($15.1B YE24)</t>
  </si>
  <si>
    <t xml:space="preserve">PR ($14.7B RPO + $11.2B other)</t>
  </si>
  <si>
    <t xml:space="preserve">PR</t>
  </si>
  <si>
    <t xml:space="preserve">PR '~$104B' / deck $104.2B; excludes &gt;$25B signed early Q3</t>
  </si>
  <si>
    <t xml:space="preserve">Note 2 Revenue - RPO paragraph</t>
  </si>
  <si>
    <t xml:space="preserve">Q1'25 10-Q Note 2 (Q1'24 comparative, Customer A)</t>
  </si>
  <si>
    <t xml:space="preserve">Q2'25 10-Q Note 2 (Q2'24 comparative)</t>
  </si>
  <si>
    <t xml:space="preserve">Q3'25 10-Q Note 2 (Q3'24 comparative)</t>
  </si>
  <si>
    <t xml:space="preserve">calc: (FY24 62% x 1,915.0 - 9M'24 58% x 1,168.0) / Q4 747.4; +/-~2pp from rounding of disclosed %</t>
  </si>
  <si>
    <t xml:space="preserve">Q1'25 10-Q Note 2</t>
  </si>
  <si>
    <t xml:space="preserve">Q2'25 10-Q Note 2</t>
  </si>
  <si>
    <t xml:space="preserve">Q3'25 10-Q Note 2</t>
  </si>
  <si>
    <t xml:space="preserve">calc: (FY25 67% x 5,131 - 9M'25 70% x 3,559.1) / Q4 1,571.9; +/-~2pp</t>
  </si>
  <si>
    <t xml:space="preserve">Q1'26 10-Q Note 2</t>
  </si>
  <si>
    <t xml:space="preserve">Q2'26 10-Q Note 2</t>
  </si>
  <si>
    <t xml:space="preserve">Customer C 32%</t>
  </si>
  <si>
    <t xml:space="preserve">Customer B 20%</t>
  </si>
  <si>
    <t xml:space="preserve">Customer B 12%</t>
  </si>
  <si>
    <t xml:space="preserve">calc: (FY24 15% x 1,915 - 9M 18% x 1,168)/747.4; +/-2pp -&gt; ~10% (ambiguous)</t>
  </si>
  <si>
    <t xml:space="preserve">Customer B 26%</t>
  </si>
  <si>
    <t xml:space="preserve">Customer B 18%</t>
  </si>
  <si>
    <t xml:space="preserve">Customer C 10%</t>
  </si>
  <si>
    <t xml:space="preserve">Note 2</t>
  </si>
  <si>
    <t xml:space="preserve">derived (B ~10% borderline)</t>
  </si>
  <si>
    <t xml:space="preserve">FY25 10-K: only Microsoft &gt;=10% for FY</t>
  </si>
  <si>
    <t xml:space="preserve">Note 10 interest table (2024 comparative)</t>
  </si>
  <si>
    <t xml:space="preserve">Note 10</t>
  </si>
  <si>
    <t xml:space="preserve">calc: FY24 474.844 - 9M 294.862</t>
  </si>
  <si>
    <t xml:space="preserve">calc: FY25 1,220 - 9M 807.215</t>
  </si>
  <si>
    <t xml:space="preserve">calc: FY24 159.017 - 9M 107.936</t>
  </si>
  <si>
    <t xml:space="preserve">calc: FY25 182 - 9M 98.042</t>
  </si>
  <si>
    <t xml:space="preserve">Note 10 Debt table / maturity table</t>
  </si>
  <si>
    <t xml:space="preserve">deck slide 27 'FY-23' (uses FY-24 eff. rates on FY-23 principal)</t>
  </si>
  <si>
    <t xml:space="preserve">slide 27 FY-24</t>
  </si>
  <si>
    <t xml:space="preserve">slide 27 FY-25</t>
  </si>
  <si>
    <t xml:space="preserve">slide 27 Q2-26 (PF incl. $3.5B convert @2.625%: 7.8%)</t>
  </si>
  <si>
    <t xml:space="preserve">Q1'26 earnings presentation (IR site PDF)</t>
  </si>
  <si>
    <t xml:space="preserve">Q1'26 deck capex reconciliation (Q1'25 comparative)</t>
  </si>
  <si>
    <t xml:space="preserve">https://s205.q4cdn.com/133937190/files/doc_financials/2026/q1/CoreWeave-1Q26-Earnings-Presentation.pdf</t>
  </si>
  <si>
    <t xml:space="preserve">Q1'26 deck: $6,991 gross PP&amp;E increase - $205 CIP change</t>
  </si>
  <si>
    <t xml:space="preserve">Sep-26 deck slide 26 '$9.4B'</t>
  </si>
  <si>
    <t xml:space="preserve">calendar</t>
  </si>
  <si>
    <t xml:space="preserve">Business / deck 'Active Data Centers'</t>
  </si>
  <si>
    <t xml:space="preserve">param</t>
  </si>
  <si>
    <t xml:space="preserve">Nebius workspace: /workspace/nebius/capacity/gpu_mw_capex.xlsx (GPUsPerMW base IT-MW rows) / gpu_mw_capex.md s.1</t>
  </si>
  <si>
    <t xml:space="preserve">GPUsPerMW base IT-MW row (gpu_mw_capex.md s.1: 487/538/571)</t>
  </si>
  <si>
    <t xml:space="preserve">GPUsPerMW base IT-MW row (453/491/519)</t>
  </si>
  <si>
    <t xml:space="preserve">GPUsPerMW base IT-MW row (665/713/813)</t>
  </si>
  <si>
    <t xml:space="preserve">DEBT</t>
  </si>
  <si>
    <t xml:space="preserve">2021 Convertible Senior Secured Notes (principal / eff. rate)</t>
  </si>
  <si>
    <t xml:space="preserve">Dec-23</t>
  </si>
  <si>
    <t xml:space="preserve">55.125 / 17%</t>
  </si>
  <si>
    <t xml:space="preserve">Note 10 Debt table</t>
  </si>
  <si>
    <t xml:space="preserve">2022 Senior Secured Notes (principal / eff. rate)</t>
  </si>
  <si>
    <t xml:space="preserve">125.0 / 10%</t>
  </si>
  <si>
    <t xml:space="preserve">DDTL 1.0 Facility (principal / eff. rate)</t>
  </si>
  <si>
    <t xml:space="preserve">1374.924 / 15%</t>
  </si>
  <si>
    <t xml:space="preserve">Dec-24</t>
  </si>
  <si>
    <t xml:space="preserve">2012.5 / 15%</t>
  </si>
  <si>
    <t xml:space="preserve">Mar-25</t>
  </si>
  <si>
    <t xml:space="preserve">1897.5 / 15%</t>
  </si>
  <si>
    <t xml:space="preserve">Jun-25</t>
  </si>
  <si>
    <t xml:space="preserve">1782.5 / 15%</t>
  </si>
  <si>
    <t xml:space="preserve">Sep-25</t>
  </si>
  <si>
    <t xml:space="preserve">1667.5 / 15%</t>
  </si>
  <si>
    <t xml:space="preserve">Dec-25</t>
  </si>
  <si>
    <t xml:space="preserve">1553 / 15%</t>
  </si>
  <si>
    <t xml:space="preserve">Mar-26</t>
  </si>
  <si>
    <t xml:space="preserve">1438 / 15%</t>
  </si>
  <si>
    <t xml:space="preserve">Jun-26</t>
  </si>
  <si>
    <t xml:space="preserve">1300 / 15%</t>
  </si>
  <si>
    <t xml:space="preserve">DDTL 2.0 Facility (principal / eff. rate)</t>
  </si>
  <si>
    <t xml:space="preserve">3843.819 / 11%</t>
  </si>
  <si>
    <t xml:space="preserve">4386.303 / 11%</t>
  </si>
  <si>
    <t xml:space="preserve">4953.967 / 11%</t>
  </si>
  <si>
    <t xml:space="preserve">5037.372 / 10%</t>
  </si>
  <si>
    <t xml:space="preserve">5037 / 10%</t>
  </si>
  <si>
    <t xml:space="preserve">4425 / 11%</t>
  </si>
  <si>
    <t xml:space="preserve">3190 / 11%</t>
  </si>
  <si>
    <t xml:space="preserve">DDTL 2.1 Facility (principal / eff. rate)</t>
  </si>
  <si>
    <t xml:space="preserve">1241.325 / 9%</t>
  </si>
  <si>
    <t xml:space="preserve">2741 / 9%</t>
  </si>
  <si>
    <t xml:space="preserve">3000 / 9%</t>
  </si>
  <si>
    <t xml:space="preserve">DDTL 3.0 Facility (principal / eff. rate)</t>
  </si>
  <si>
    <t xml:space="preserve">358.696 / 9%</t>
  </si>
  <si>
    <t xml:space="preserve">340 / 9%</t>
  </si>
  <si>
    <t xml:space="preserve">1700 / 9%</t>
  </si>
  <si>
    <t xml:space="preserve">2215 / 9%</t>
  </si>
  <si>
    <t xml:space="preserve">DDTL 4.0 Facility (non-recourse; IG) (principal / eff. rate)</t>
  </si>
  <si>
    <t xml:space="preserve">1260 / 7%</t>
  </si>
  <si>
    <t xml:space="preserve">2837 / 7%</t>
  </si>
  <si>
    <t xml:space="preserve">DDTL 5.0 Facility (principal / eff. rate)</t>
  </si>
  <si>
    <t xml:space="preserve">1101 / 9%</t>
  </si>
  <si>
    <t xml:space="preserve">2024 Term Loan Facility (principal / eff. rate)</t>
  </si>
  <si>
    <t xml:space="preserve">1000 / 12%</t>
  </si>
  <si>
    <t xml:space="preserve">Magnetar Loan (principal / eff. rate)</t>
  </si>
  <si>
    <t xml:space="preserve">248.917 / 12%</t>
  </si>
  <si>
    <t xml:space="preserve">256.63 / 12%</t>
  </si>
  <si>
    <t xml:space="preserve">264.666 / 12%</t>
  </si>
  <si>
    <t xml:space="preserve">273 / 12%</t>
  </si>
  <si>
    <t xml:space="preserve">281 / 12%</t>
  </si>
  <si>
    <t xml:space="preserve">189 / 12%</t>
  </si>
  <si>
    <t xml:space="preserve">2030 Senior Notes (9.25%) (principal / eff. rate)</t>
  </si>
  <si>
    <t xml:space="preserve">2000 / 10%</t>
  </si>
  <si>
    <t xml:space="preserve">2031 9.00% Senior Notes (principal / eff. rate)</t>
  </si>
  <si>
    <t xml:space="preserve">1750 / 10%</t>
  </si>
  <si>
    <t xml:space="preserve">2031 9.75% Senior Notes (principal / eff. rate)</t>
  </si>
  <si>
    <t xml:space="preserve">2750 / 10%</t>
  </si>
  <si>
    <t xml:space="preserve">2032 9.625% Senior Notes (principal / eff. rate)</t>
  </si>
  <si>
    <t xml:space="preserve">1250 / 10%</t>
  </si>
  <si>
    <t xml:space="preserve">2032 EUR Senior Notes (8.50%) (principal / eff. rate)</t>
  </si>
  <si>
    <t xml:space="preserve">2279 / 9%</t>
  </si>
  <si>
    <t xml:space="preserve">2031 Convertible Senior Notes (1.75%) (principal / eff. rate)</t>
  </si>
  <si>
    <t xml:space="preserve">2588 / 2%</t>
  </si>
  <si>
    <t xml:space="preserve">2032 Convertible Senior Notes (1.75%) (principal / eff. rate)</t>
  </si>
  <si>
    <t xml:space="preserve">4000 / 2%</t>
  </si>
  <si>
    <t xml:space="preserve">Convertible Promissory Notes (principal / eff. rate)</t>
  </si>
  <si>
    <t xml:space="preserve">168 / 7%</t>
  </si>
  <si>
    <t xml:space="preserve">171 / 7%</t>
  </si>
  <si>
    <t xml:space="preserve">Revolving Credit Facility (principal / eff. rate)</t>
  </si>
  <si>
    <t xml:space="preserve">50 / 6%</t>
  </si>
  <si>
    <t xml:space="preserve">450 / 7%</t>
  </si>
  <si>
    <t xml:space="preserve">700 / 7%</t>
  </si>
  <si>
    <t xml:space="preserve">1000 / 6%</t>
  </si>
  <si>
    <t xml:space="preserve">1500 / 6%</t>
  </si>
  <si>
    <t xml:space="preserve">0 / 7%</t>
  </si>
  <si>
    <t xml:space="preserve">OEM &amp; software-license financing (recourse) (principal / eff. rate)</t>
  </si>
  <si>
    <t xml:space="preserve">1177.158 / 10%</t>
  </si>
  <si>
    <t xml:space="preserve">1225.201 / 9.5%</t>
  </si>
  <si>
    <t xml:space="preserve">1728.388 / 9.5%</t>
  </si>
  <si>
    <t xml:space="preserve">1185.709 / 9%</t>
  </si>
  <si>
    <t xml:space="preserve">4165 / 10%</t>
  </si>
  <si>
    <t xml:space="preserve">5036 / 10%</t>
  </si>
  <si>
    <t xml:space="preserve">4220 / 11%</t>
  </si>
  <si>
    <t xml:space="preserve">OEM &amp; software-license financing (non-recourse) (principal / eff. rate)</t>
  </si>
  <si>
    <t xml:space="preserve">882 / 9%</t>
  </si>
  <si>
    <t xml:space="preserve">Document register</t>
  </si>
  <si>
    <t xml:space="preserve">S1</t>
  </si>
  <si>
    <t xml:space="preserve">Q125</t>
  </si>
  <si>
    <t xml:space="preserve">Q225</t>
  </si>
  <si>
    <t xml:space="preserve">Q325</t>
  </si>
  <si>
    <t xml:space="preserve">Q126</t>
  </si>
  <si>
    <t xml:space="preserve">Q226</t>
  </si>
  <si>
    <t xml:space="preserve">PR125</t>
  </si>
  <si>
    <t xml:space="preserve">PR225</t>
  </si>
  <si>
    <t xml:space="preserve">PR325</t>
  </si>
  <si>
    <t xml:space="preserve">PR425</t>
  </si>
  <si>
    <t xml:space="preserve">PR126</t>
  </si>
  <si>
    <t xml:space="preserve">PR226</t>
  </si>
  <si>
    <t xml:space="preserve">DECK0917</t>
  </si>
  <si>
    <t xml:space="preserve">DECK126</t>
  </si>
  <si>
    <t xml:space="preserve">XBRL</t>
  </si>
  <si>
    <t xml:space="preserve">DDTL55</t>
  </si>
  <si>
    <t xml:space="preserve">8-K 2026-08-10 DDTL 5.5 (Item 1.01 + Ex.99.1)</t>
  </si>
  <si>
    <t xml:space="preserve">https://www.sec.gov/Archives/edgar/data/1769628/000176962826000357/ex991pr.htm</t>
  </si>
  <si>
    <t xml:space="preserve">CV33</t>
  </si>
  <si>
    <t xml:space="preserve">8-K 2026-09-22 2.875% converts due 2033 (Item 1.01) + pricing PR</t>
  </si>
  <si>
    <t xml:space="preserve">https://www.sec.gov/Archives/edgar/data/1769628/000176962826000432/crwv-20260917.htm</t>
  </si>
  <si>
    <t xml:space="preserve">NBGPU</t>
  </si>
  <si>
    <t xml:space="preserve">NBPX</t>
  </si>
  <si>
    <t xml:space="preserve">Local copies: /workspace/nebius/peers/coreweave/raw/ (S-1, 10-Qs Q1-Q3'25 &amp; Q1'26, 10-K FY25, earnings PRs, .txt extracts) and /workspace/nebius/comps_raw/ (Q2'26 10-Q, Q2'26/Q4'25 PRs, Aug/Sep-26 8-Ks, convert deck, XBRL).</t>
  </si>
  <si>
    <t xml:space="preserve">POLISH</t>
  </si>
  <si>
    <t xml:space="preserve">EDGAR scan 2026-10-05</t>
  </si>
  <si>
    <t xml:space="preserve">No new operating filing after Q2'26 10-Q (acc 0001769628-26-000366, filed 2026-08-12). Oct 2–3 2026 Form 4 / Form 144 RSU sell-to-cover only. Convert package Sep 17–22 already in pack (C1).</t>
  </si>
  <si>
    <t xml:space="preserve">https://www.stocktitan.net/sec-filings/CRWV/ ; comps_raw/cf_0001769628.json</t>
  </si>
  <si>
    <t xml:space="preserve">KPI group</t>
  </si>
  <si>
    <t xml:space="preserve">Definition used (formula, units)</t>
  </si>
  <si>
    <t xml:space="preserve">Mirrored from (Nebius workspace)</t>
  </si>
  <si>
    <t xml:space="preserve">CoreWeave application / basis notes</t>
  </si>
  <si>
    <t xml:space="preserve">Revenue per MW</t>
  </si>
  <si>
    <t xml:space="preserve">Quarterly revenue x 4 / MW, $M per MW-year. Denominators: (a) active MW at period end; (b) average of opening/closing active MW; (c) contracted MW. EBITDA/MW same construction.</t>
  </si>
  <si>
    <t xml:space="preserve">/workspace/nebius/model/nebius_model.xlsx KPIs rows 'Revenue per BILLING / contracted / energized MW' (=AIRev*4/MW); /workspace/nebius/parts/comps_rev_per_mw.csv (period-end and avg-MW variants); capacity/gpu_mw_capex.md s.4 MW basis.</t>
  </si>
  <si>
    <t xml:space="preserve">CRWV 'active power' = power supporting live DCs ('data centers... for which we are receiving active power', S-1 glossary). IT vs gross never stated; YE24 GPU density (~694/MW vs Nebius Hopper 713/IT-MW, 548/gross-MW) suggests IT basis - same reading as Nebius 'active' (IT). CRWV has no 'billing MW' or 'connected MW' disclosure, so Nebius's billing-MW variant is n/d. Whole-company revenue used (CRWV is ~100% AI cloud). POLISH 2026-10-05: K02b ≡ K02 for CRWV — no separate billed-IT MW series; active power ≈ billed (S-1 glossary). Nebius billing-MW variant remains n/d on CRWV.</t>
  </si>
  <si>
    <t xml:space="preserve">Revenue per GPU</t>
  </si>
  <si>
    <t xml:space="preserve">Quarterly revenue x 4000 / average GPUs ($K per GPU-year); implied $/GPU-hr = revenue / (avg GPUs x days x 24).</t>
  </si>
  <si>
    <t xml:space="preserve">nebius_model.xlsx KPIs 'Revenue per GPU ($K per GPU-yr)' (=AIRev*4000/GPU_Avg) and 'Implied blended $/GPU-hr' (=AIRev*1e6/(GPU_Avg*Hours)); Timeline Hours = days x 24.</t>
  </si>
  <si>
    <t xml:space="preserve">GPU counts reported only at YE22/YE23/YE24 (S-1, 'more than'). Post-YE24 GPUs ESTIMATED as MW x GPUs/MW using Nebius gpu_mw_capex.xlsx base IT-MW densities (GB200 538 for 2025 adds, GB300 491 for 2026 adds) - the Nebius capacity workbook's own method ('GPUs: energized base MW x GPUs/MW'). Nebius found its own GPU counts include delivered-not-powered GPUs; CRWV's S-1 count is 'running' GPUs.</t>
  </si>
  <si>
    <t xml:space="preserve">Implied utilization</t>
  </si>
  <si>
    <t xml:space="preserve">Implied blended $/GPU-hr / fleet-weighted on-demand list price (period-end GPU mix weights).</t>
  </si>
  <si>
    <t xml:space="preserve">nebius_model.xlsx KPIs 'Fleet-weighted on-demand list price' and 'Implied utilization (blended $/hr / weighted list)' - flagged there as 'Mixes realized-price discount with utilization'. Prices: /workspace/nebius/parts/price_history_quarterly.csv.</t>
  </si>
  <si>
    <t xml:space="preserve">List prices: H100 SXM $49.24/8 = $6.155 (Hopper proxy), GB200 NVL72 $42/4 = $10.50 (Blackwell proxy). Committed contracts (the vast majority of CRWV revenue) are priced below list (CRWV advertises up to ~60% discounts), so the ratio is a price-realization x utilization index, not physical utilization. CRWV discloses no utilization metric.</t>
  </si>
  <si>
    <t xml:space="preserve">Capex per MW</t>
  </si>
  <si>
    <t xml:space="preserve">Capex / new active MW in the quarter ($M per MW). Primary numerator = cash purchases of PP&amp;E (Nebius Hist definition). Variants: in-service additions (delta gross PP&amp;E - delta CIP = CRWV's own capex definition) per new MW; trailing-4Q; stock cross-checks net PP&amp;E / active MW and in-service gross PP&amp;E / active MW.</t>
  </si>
  <si>
    <t xml:space="preserve">nebius_model.xlsx KPIs 'Capex per new active MW ($M/MW)' (=Capex/MW_New); Hist 'Capex (purchases of PP&amp;E + intangibles, cash)'; Capex_DA 'Transfer into service'; capacity/gpu_mw_capex.xlsx 'Nebius checks' (servers+network per active MW) and 'Peers' (CRWV net PP&amp;E per active MW).</t>
  </si>
  <si>
    <t xml:space="preserve">CRWV leases all data centers, so capex/MW is mostly GPU + network + DC fit-out (compare to Nebius 'leased/colo' case, not owned-shell case). OEM/vendor-financed equipment can appear in PP&amp;E without cash capex (cash basis understates).</t>
  </si>
  <si>
    <t xml:space="preserve">D&amp;A useful lives</t>
  </si>
  <si>
    <t xml:space="preserve">Disclosed useful-life table and any change in estimate; depreciation yield = D&amp;A x 4 / average in-service gross PP&amp;E; implied life = 1/yield.</t>
  </si>
  <si>
    <t xml:space="preserve">/workspace/nebius/filings/nebius_filings.xlsx D&amp;A_Policy tab; nebius_model.xlsx Capex_DA 'Depreciation yield - REPORTED basis' and 'In-service gross PP&amp;E'.</t>
  </si>
  <si>
    <t xml:space="preserve">CRWV: technology equipment 6 yrs; software 3-6; DC equipment &amp; leaseholds up to 12 (shorter of lease); last change 1-Jan-2023 (5-&gt;6). Total D&amp;A used (PP&amp;E-only depreciation is rounded to $0.1B in 2026 filings).</t>
  </si>
  <si>
    <t xml:space="preserve">Backlog / RPO</t>
  </si>
  <si>
    <t xml:space="preserve">RPO = ASC 606 remaining performance obligations at period end ($B); % within 24 months; company 'revenue backlog' shown separately; RPO / (quarterly revenue x 4).</t>
  </si>
  <si>
    <t xml:space="preserve">nebius_model.xlsx Hist 'Remaining performance obligations'; nebius_filings.xlsx Quarterly 'RPO (end of period, $M)'.</t>
  </si>
  <si>
    <t xml:space="preserve">RPO is the like-for-like metric vs Nebius. CRWV 'revenue backlog' adds committed amounts not yet in RPO (e.g., $11.2B OpenAI at Q1'25).</t>
  </si>
  <si>
    <t xml:space="preserve">Customer concentration</t>
  </si>
  <si>
    <t xml:space="preserve">Each customer &gt;=10% of quarter revenue (% of revenue), top-N combined, count of &gt;=10% customers.</t>
  </si>
  <si>
    <t xml:space="preserve">nebius_filings.xlsx Quarterly 'Customer concentration (&gt;10% of revenue, quarter)'; shared/findings_log.xlsx concentration row.</t>
  </si>
  <si>
    <t xml:space="preserve">Q4 values derived as FY less 9M (rounded % -&gt; +/-2pp).</t>
  </si>
  <si>
    <t xml:space="preserve">Funding cost</t>
  </si>
  <si>
    <t xml:space="preserve">Weighted effective cost of debt = sum(principal x effective interest rate) / sum(principal) at period end, all debt facilities excl. leases; split by facility type (DDTL, senior notes, converts, OEM/vendor, revolver, other). Cross-checks: contractual interest x4 / avg principal; company-reported weighted rate.</t>
  </si>
  <si>
    <t xml:space="preserve">/workspace/nebius/parts/comps_sources.csv row 'Wtd effective cost of debt (%) - Principal-weighted effective rates, Note 10 debt table' (CRWV 8.41%) and findings_log cost-of-debt row (Nebius 5.1%).</t>
  </si>
  <si>
    <t xml:space="preserve">Effective rates as printed in Note 10 (whole %). Converts carry low effective rates (2%) -&gt; blended rate falls as converts grow, while secured DDTL/HY costs stay ~9-11%.</t>
  </si>
  <si>
    <t xml:space="preserve">Notes &amp; Gaps — CoreWeave KPI pack (polished 2026-10-05 ET). Section A = remaining n/d (do not fill with guesses). Section B = caveats on Derived/Estimated cells. Section C = post-quarter / cross-pack notes.</t>
  </si>
  <si>
    <t xml:space="preserve">Type</t>
  </si>
  <si>
    <t xml:space="preserve">Item (keep tagged; do not invent)</t>
  </si>
  <si>
    <t xml:space="preserve">Impact on KPIs</t>
  </si>
  <si>
    <t xml:space="preserve">Where it shows / possible fix</t>
  </si>
  <si>
    <t xml:space="preserve">A. REMAINING n/d (as of polish date; last operating filing = Q2'26 10-Q filed 2026-08-12; EDGAR scan through 2026-10-05 found only Form 4/144 sell-to-cover on Oct 2-3 — no new MW/revenue/GPU data)</t>
  </si>
  <si>
    <t xml:space="preserve">A1</t>
  </si>
  <si>
    <t xml:space="preserve">Q1–Q3'24 active MW, contracted MW, balance sheet, and debt tables (pre-IPO; S-1 gives YE23 &amp; YE24 only).</t>
  </si>
  <si>
    <t xml:space="preserve">K01/K03/K04/K10–K15/K28–K36 n/d or Estimated for those quarters. I09E interpolates MW YE23→YE24 (E) so K02/K05 exist but are Estimated.</t>
  </si>
  <si>
    <t xml:space="preserve">Inputs I09/I10/I05–I08/Debt_Facilities cols F–H = n/d. Unlikely to appear in primary filings.</t>
  </si>
  <si>
    <t xml:space="preserve">A2</t>
  </si>
  <si>
    <t xml:space="preserve">GPU counts after YE24. S-1: '&gt;250,000' at YE24; no subsequent disclosure in 10-Q/10-K/PR through Q2'26.</t>
  </si>
  <si>
    <t xml:space="preserve">K06–K09 Estimated from MW × density (P01/P02). Density choice alone ≈ ±15–20%.</t>
  </si>
  <si>
    <t xml:space="preserve">Inputs I11 = n/d after col I; I11E = Estimated. Fix only if company discloses fleet GPUs.</t>
  </si>
  <si>
    <t xml:space="preserve">A3</t>
  </si>
  <si>
    <t xml:space="preserve">MW basis (IT vs gross / critical IT load). Never stated. Several MW figures are 'more than' / 'approximately' (lower-bound wording).</t>
  </si>
  <si>
    <t xml:space="preserve">All $/MW ratios carry PUE ambiguity (~1.2–1.4×) and possible lower-bound bias on MW (→ higher $/MW). Single-quarter ΔMW noisy (±10–50).</t>
  </si>
  <si>
    <t xml:space="preserve">Definitions D1; Inputs I09 note. YE24 density ~694 GPUs/MW ≈ Nebius Hopper 713/IT-MW → lean IT (E), not proven. Ask IR / site-level leases.</t>
  </si>
  <si>
    <t xml:space="preserve">A4</t>
  </si>
  <si>
    <t xml:space="preserve">Company-reported physical GPU utilization. Not disclosed.</t>
  </si>
  <si>
    <t xml:space="preserve">K09 is NOT physical utilization — it is realized $/GPU-hr ÷ list (price-realization index).</t>
  </si>
  <si>
    <t xml:space="preserve">Definitions D3; KPI K09 caveat. Do not compare K09 to peers' physical util %.</t>
  </si>
  <si>
    <t xml:space="preserve">A5</t>
  </si>
  <si>
    <t xml:space="preserve">Billed / billing MW as a separate metric. CRWV discloses only 'active power' and 'contracted power' — no billing-MW or connected-MW series.</t>
  </si>
  <si>
    <t xml:space="preserve">Nebius K02b (billed IT) has no CRWV twin series. Pack sets K02b = K02 (see B1 / KPI K02b).</t>
  </si>
  <si>
    <t xml:space="preserve">price_or_mw.xlsx MW_Paths: 'active power ≈ billed'. comparison.xlsx K02b CRWV cell = K02.</t>
  </si>
  <si>
    <t xml:space="preserve">A6</t>
  </si>
  <si>
    <t xml:space="preserve">Q1–Q3'24 interim RPO / revenue backlog / customer concentration (pre-IPO).</t>
  </si>
  <si>
    <t xml:space="preserve">K20–K27 n/d for those quarters.</t>
  </si>
  <si>
    <t xml:space="preserve">Inputs I14–I20 cols F–H.</t>
  </si>
  <si>
    <t xml:space="preserve">A7</t>
  </si>
  <si>
    <t xml:space="preserve">Adj. EBITDA bridge detail / segment EBITDA (CRWV is ~100% AI cloud; company Adj. EBITDA is the perimeter).</t>
  </si>
  <si>
    <t xml:space="preserve">None for K05 (uses company Adj. EBITDA). Not a gap for perimeter choice.</t>
  </si>
  <si>
    <t xml:space="preserve">—</t>
  </si>
  <si>
    <t xml:space="preserve">B. CAVEATS on Derived / Estimated cells (values exist but read carefully)</t>
  </si>
  <si>
    <t xml:space="preserve">B1</t>
  </si>
  <si>
    <t xml:space="preserve">K02b = K02 for CoreWeave. Reason: no separate billed-IT MW path. Company 'active power' = power at live DCs receiving power (S-1 glossary) ≈ revenue-generating / billed capacity. price_or_mw and comparison treat CRWV active = billed.</t>
  </si>
  <si>
    <t xml:space="preserve">K02b is a documentation/alignment row (same formula as K02 on I09A). Not a second estimate.</t>
  </si>
  <si>
    <t xml:space="preserve">KPI K02b; Definitions D1; Inputs I09 note; peers/price_or_mw.xlsx; peers/comparison.xlsx K02b.</t>
  </si>
  <si>
    <t xml:space="preserve">B2</t>
  </si>
  <si>
    <t xml:space="preserve">Caveat</t>
  </si>
  <si>
    <t xml:space="preserve">Implied utilization (K09) mixes contract discounts with idle capacity (Nebius-defined caveat).</t>
  </si>
  <si>
    <t xml:space="preserve">Read K09 as price-realization, not physical utilization (see A4).</t>
  </si>
  <si>
    <t xml:space="preserve">KPI K09 tag row + Definitions D3.</t>
  </si>
  <si>
    <t xml:space="preserve">B3</t>
  </si>
  <si>
    <t xml:space="preserve">Quarterly capex/MW is timing-distorted (GPUs bought ahead of energization; e.g. Q1'26 cash capex $7.7B).</t>
  </si>
  <si>
    <t xml:space="preserve">Prefer K12 (in-service additions / new MW) and K13 (trailing-4Q) over single-quarter K10.</t>
  </si>
  <si>
    <t xml:space="preserve">KPI K10–K13.</t>
  </si>
  <si>
    <t xml:space="preserve">B4</t>
  </si>
  <si>
    <t xml:space="preserve">Customer letters (A/B/C) re-assigned per filing; Q4 concentration = FY − 9M (±2pp rounding).</t>
  </si>
  <si>
    <t xml:space="preserve">K24–K27 Q4 values Derived with rounding noise.</t>
  </si>
  <si>
    <t xml:space="preserve">Inputs I17–I20 notes.</t>
  </si>
  <si>
    <t xml:space="preserve">B5</t>
  </si>
  <si>
    <t xml:space="preserve">Note 10 effective rates rounded to whole %; ranges entered at midpoint.</t>
  </si>
  <si>
    <t xml:space="preserve">±0.5pp on K28–K34.</t>
  </si>
  <si>
    <t xml:space="preserve">Debt_Facilities.</t>
  </si>
  <si>
    <t xml:space="preserve">B6</t>
  </si>
  <si>
    <t xml:space="preserve">2024 interim MW (I09E) = straight-line YE23~70 → YE24~360. Capex/BS still n/d for those quarters.</t>
  </si>
  <si>
    <t xml:space="preserve">K02/K05 for Q1–Q3'24 are Estimated on interpolated MW only.</t>
  </si>
  <si>
    <t xml:space="preserve">Inputs I09E tag = Reported/Estimated.</t>
  </si>
  <si>
    <t xml:space="preserve">C. POST-QUARTER / CROSS-PACK notes (not in Q2'26 columns; do not backfill into quarterly grid)</t>
  </si>
  <si>
    <t xml:space="preserve">C1</t>
  </si>
  <si>
    <t xml:space="preserve">Note</t>
  </si>
  <si>
    <t xml:space="preserve">Post-Q2 financing (already in Debt_Facilities memo / Notes): DDTL 5.5 $2.6B SOFR+5.50% (Aug-26); $4.2B 2.875% converts due 2031 (Sep-26). Not in Q2'26 EoP debt stock.</t>
  </si>
  <si>
    <t xml:space="preserve">Blended cost keeps falling via converts; marginal secured still ~9–10%.</t>
  </si>
  <si>
    <t xml:space="preserve">Debt_Facilities; comps_raw/crwv_0917_*; crwv_0922_*.</t>
  </si>
  <si>
    <t xml:space="preserve">C2</t>
  </si>
  <si>
    <t xml:space="preserve">Sep-26 convert deck: ~70% price increase across SKUs Jul-26; ~$40M/MW marginal short-term contracts (slide 7).</t>
  </si>
  <si>
    <t xml:space="preserve">Supports rising rev/MW into H2'26; $40M/MW is marginal, not fleet average (fleet K02 = $8.24 Q2'26).</t>
  </si>
  <si>
    <t xml:space="preserve">comps_raw/crwv_0917__crwv2026convertpresentat.htm.txt.</t>
  </si>
  <si>
    <t xml:space="preserve">C3</t>
  </si>
  <si>
    <t xml:space="preserve">Q2'26 PR backlog ~$104B excludes &gt;$25B net new commitments early Q3'26; contracted power ~4.2 GW as of Aug-11-2026 (vs 3.7 GW at Jun-30).</t>
  </si>
  <si>
    <t xml:space="preserve">K10/K21 as-of Jun-30 understate post-quarter book.</t>
  </si>
  <si>
    <t xml:space="preserve">Q2 PR; convert deck.</t>
  </si>
  <si>
    <t xml:space="preserve">C4</t>
  </si>
  <si>
    <t xml:space="preserve">Cross-pack: peers/price_or_mw.xlsx uses CRWV active MW path for FY27 $/billed test (active≈billed). peers/payback_dilution.xlsx uses CRWV K02 series for dilution fit. peers/comparison.xlsx K02b CRWV = K02.</t>
  </si>
  <si>
    <t xml:space="preserve">Keep I09/I09A as the single MW series; do not invent a parallel billed path.</t>
  </si>
  <si>
    <t xml:space="preserve">Those workbooks — do not edit from this polish.</t>
  </si>
  <si>
    <t xml:space="preserve">C5</t>
  </si>
  <si>
    <t xml:space="preserve">Scan</t>
  </si>
  <si>
    <t xml:space="preserve">EDGAR / comps_raw scan 2026-10-05: no Q3'26 10-Q or earnings PR yet. Latest ops data still Q2'26 (10-Q acc 0001769628-26-000366). Oct 2–3 filings = Form 4 / Form 144 RSU sell-to-cover only — no KPI updates.</t>
  </si>
  <si>
    <t xml:space="preserve">Quarterly grid unchanged vs Oct-4 pack on numbers.</t>
  </si>
  <si>
    <t xml:space="preserve">stocktitan CRWV filings; comps_raw/cf_0001769628.json latest ends 2026-06-30.</t>
  </si>
  <si>
    <t xml:space="preserve">Comparison (template) - latest quarter, same KPI IDs. CoreWeave column is LIVE-linked to KPIs!O (Q2'26). Nebius column = values from existing Nebius workspace files (cited); blanks = to fill. Add peers by linking their KPIs latest column.</t>
  </si>
  <si>
    <t xml:space="preserve">Nebius (NBIS) Q2'26</t>
  </si>
  <si>
    <t xml:space="preserve">Nebius source / basis</t>
  </si>
  <si>
    <t xml:space="preserve">CoreWeave Q2'26</t>
  </si>
  <si>
    <t xml:space="preserve">IREN</t>
  </si>
  <si>
    <t xml:space="preserve">Oracle OCI</t>
  </si>
  <si>
    <t xml:space="preserve">Private peer 1</t>
  </si>
  <si>
    <t xml:space="preserve">Private peer 2</t>
  </si>
  <si>
    <t xml:space="preserve">Comment</t>
  </si>
  <si>
    <t xml:space="preserve">parts/comps_rev_per_mw.csv: Q2'26 rev x4 / ~170 MW YE25 active (stale MW -&gt; overstated; Q2 active MW n/d)</t>
  </si>
  <si>
    <t xml:space="preserve">to fill</t>
  </si>
  <si>
    <t xml:space="preserve">see peers/comparison.xlsx K02b (13.06 E)</t>
  </si>
  <si>
    <t xml:space="preserve">Capacity billing path</t>
  </si>
  <si>
    <t xml:space="preserve">ALIGN K02b≡K02</t>
  </si>
  <si>
    <t xml:space="preserve">ALIGN: K02b≡K02 (active≈billed). See Notes_Gaps B1. Canonical peer table: peers/comparison.xlsx</t>
  </si>
  <si>
    <t xml:space="preserve">filings D&amp;A_Policy: servers &amp; network 4 -&gt; 5 yrs from 1-Jan-2026</t>
  </si>
  <si>
    <t xml:space="preserve">filings/nebius_filings.xlsx Quarterly: RPO $37,490.6M at 6/30/26</t>
  </si>
  <si>
    <t xml:space="preserve">model Hist RPO note: 36% &lt;24 months at 6/30/26</t>
  </si>
  <si>
    <t xml:space="preserve">filings/nebius_filings.xlsx Quarterly: Customer C 24% (Q2'26)</t>
  </si>
  <si>
    <t xml:space="preserve">C 24% + D 21% + E 14% (Q2'26)</t>
  </si>
  <si>
    <t xml:space="preserve">Q2'26 Quarterly tab</t>
  </si>
  <si>
    <t xml:space="preserve">shared/findings_log.xlsx (GPU Market &amp; Comps): wtd effective 5.1% on converts + secured</t>
  </si>
  <si>
    <t xml:space="preserve">Basis warnings: Nebius rev/MW uses stale YE25 MW; Nebius MW 'active' is IT basis per its own definition, CRWV basis unstated (likely IT). Nebius capex/MW not on same quarterly basis (2026 guide implies $20.5-34.5M per connected MW, capacity/gpu_mw_capex.md s.3).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</si>
</sst>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C65911"/>
      <name val="Cambria"/>
      <family val="0"/>
      <charset val="1"/>
    </font>
    <font>
      <sz val="11"/>
      <color rgb="FF0000CC"/>
      <name val="Cambria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0"/>
  </cols>
  <sheetData>
    <row r="1" customFormat="false" ht="28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28.35" hidden="false" customHeight="false" outlineLevel="0" collapsed="false">
      <c r="A3" s="1" t="s">
        <v>2</v>
      </c>
    </row>
    <row r="4" customFormat="false" ht="28.3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41.7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28.35" hidden="false" customHeight="false" outlineLevel="0" collapsed="false">
      <c r="A8" s="1" t="s">
        <v>7</v>
      </c>
    </row>
    <row r="9" customFormat="false" ht="28.35" hidden="false" customHeight="false" outlineLevel="0" collapsed="false">
      <c r="A9" s="1" t="s">
        <v>8</v>
      </c>
    </row>
    <row r="10" customFormat="false" ht="28.35" hidden="false" customHeight="false" outlineLevel="0" collapsed="false">
      <c r="A10" s="1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6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15" min="5" style="0" width="10"/>
    <col collapsed="false" customWidth="true" hidden="false" outlineLevel="0" max="16" min="16" style="0" width="80"/>
  </cols>
  <sheetData>
    <row r="1" customFormat="false" ht="15" hidden="false" customHeight="false" outlineLevel="0" collapsed="false">
      <c r="A1" s="2" t="s">
        <v>10</v>
      </c>
    </row>
    <row r="2" customFormat="false" ht="15" hidden="false" customHeight="false" outlineLevel="0" collapsed="false"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</row>
    <row r="3" customFormat="false" ht="15" hidden="false" customHeight="fals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37</v>
      </c>
    </row>
    <row r="4" customFormat="false" ht="15" hidden="false" customHeight="false" outlineLevel="0" collapsed="false">
      <c r="A4" s="5" t="s">
        <v>38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41.75" hidden="false" customHeight="false" outlineLevel="0" collapsed="false">
      <c r="A5" s="0" t="s">
        <v>39</v>
      </c>
      <c r="B5" s="0" t="s">
        <v>40</v>
      </c>
      <c r="C5" s="0" t="s">
        <v>41</v>
      </c>
      <c r="D5" s="0" t="s">
        <v>42</v>
      </c>
      <c r="E5" s="7" t="s">
        <v>43</v>
      </c>
      <c r="F5" s="7" t="s">
        <v>43</v>
      </c>
      <c r="G5" s="7" t="s">
        <v>43</v>
      </c>
      <c r="H5" s="7" t="s">
        <v>43</v>
      </c>
      <c r="I5" s="8" t="n">
        <f aca="false">IFERROR(Inputs!I4*4/Inputs!I12,"n/d")</f>
        <v>8.30477777777778</v>
      </c>
      <c r="J5" s="8" t="n">
        <f aca="false">IFERROR(Inputs!J4*4/Inputs!J12,"n/d")</f>
        <v>9.34887619047619</v>
      </c>
      <c r="K5" s="8" t="n">
        <f aca="false">IFERROR(Inputs!K4*4/Inputs!K12,"n/d")</f>
        <v>10.3216</v>
      </c>
      <c r="L5" s="8" t="n">
        <f aca="false">IFERROR(Inputs!L4*4/Inputs!L12,"n/d")</f>
        <v>9.2520406779661</v>
      </c>
      <c r="M5" s="8" t="n">
        <f aca="false">IFERROR(Inputs!M4*4/Inputs!M12,"n/d")</f>
        <v>7.39764705882353</v>
      </c>
      <c r="N5" s="8" t="n">
        <f aca="false">IFERROR(Inputs!N4*4/Inputs!N12,"n/d")</f>
        <v>8.312</v>
      </c>
      <c r="O5" s="8" t="n">
        <f aca="false">IFERROR(Inputs!O4*4/Inputs!O12,"n/d")</f>
        <v>6.86666666666667</v>
      </c>
      <c r="P5" s="1" t="s">
        <v>44</v>
      </c>
    </row>
    <row r="6" customFormat="false" ht="15" hidden="false" customHeight="false" outlineLevel="0" collapsed="false">
      <c r="B6" s="3" t="s">
        <v>45</v>
      </c>
      <c r="E6" s="3" t="s">
        <v>43</v>
      </c>
      <c r="F6" s="3" t="s">
        <v>43</v>
      </c>
      <c r="G6" s="3" t="s">
        <v>43</v>
      </c>
      <c r="H6" s="3" t="s">
        <v>43</v>
      </c>
      <c r="I6" s="3" t="s">
        <v>46</v>
      </c>
      <c r="J6" s="3" t="s">
        <v>46</v>
      </c>
      <c r="K6" s="3" t="s">
        <v>46</v>
      </c>
      <c r="L6" s="3" t="s">
        <v>46</v>
      </c>
      <c r="M6" s="3" t="s">
        <v>46</v>
      </c>
      <c r="N6" s="3" t="s">
        <v>46</v>
      </c>
      <c r="O6" s="3" t="s">
        <v>46</v>
      </c>
    </row>
    <row r="7" customFormat="false" ht="28.35" hidden="false" customHeight="false" outlineLevel="0" collapsed="false">
      <c r="A7" s="0" t="s">
        <v>47</v>
      </c>
      <c r="B7" s="0" t="s">
        <v>48</v>
      </c>
      <c r="C7" s="0" t="s">
        <v>41</v>
      </c>
      <c r="D7" s="0" t="s">
        <v>42</v>
      </c>
      <c r="E7" s="7" t="s">
        <v>43</v>
      </c>
      <c r="F7" s="9" t="n">
        <f aca="false">IFERROR(Inputs!F4*4/Inputs!F37,"n/d")</f>
        <v>7.10339764705882</v>
      </c>
      <c r="G7" s="9" t="n">
        <f aca="false">IFERROR(Inputs!G4*4/Inputs!G37,"n/d")</f>
        <v>8.84746293706294</v>
      </c>
      <c r="H7" s="9" t="n">
        <f aca="false">IFERROR(Inputs!H4*4/Inputs!H37,"n/d")</f>
        <v>9.29657313432836</v>
      </c>
      <c r="I7" s="9" t="n">
        <f aca="false">IFERROR(Inputs!I4*4/Inputs!I37,"n/d")</f>
        <v>9.23465637065637</v>
      </c>
      <c r="J7" s="8" t="n">
        <f aca="false">IFERROR(Inputs!J4*4/Inputs!J37,"n/d")</f>
        <v>10.0680205128205</v>
      </c>
      <c r="K7" s="8" t="n">
        <f aca="false">IFERROR(Inputs!K4*4/Inputs!K37,"n/d")</f>
        <v>10.9014651685393</v>
      </c>
      <c r="L7" s="8" t="n">
        <f aca="false">IFERROR(Inputs!L4*4/Inputs!L37,"n/d")</f>
        <v>10.299441509434</v>
      </c>
      <c r="M7" s="8" t="n">
        <f aca="false">IFERROR(Inputs!M4*4/Inputs!M37,"n/d")</f>
        <v>8.73333333333333</v>
      </c>
      <c r="N7" s="8" t="n">
        <f aca="false">IFERROR(Inputs!N4*4/Inputs!N37,"n/d")</f>
        <v>8.98594594594595</v>
      </c>
      <c r="O7" s="8" t="n">
        <f aca="false">IFERROR(Inputs!O4*4/Inputs!O37,"n/d")</f>
        <v>8.24</v>
      </c>
      <c r="P7" s="1" t="s">
        <v>49</v>
      </c>
    </row>
    <row r="8" customFormat="false" ht="15" hidden="false" customHeight="false" outlineLevel="0" collapsed="false">
      <c r="B8" s="3" t="s">
        <v>45</v>
      </c>
      <c r="E8" s="3" t="s">
        <v>43</v>
      </c>
      <c r="F8" s="3" t="s">
        <v>50</v>
      </c>
      <c r="G8" s="3" t="s">
        <v>50</v>
      </c>
      <c r="H8" s="3" t="s">
        <v>50</v>
      </c>
      <c r="I8" s="3" t="s">
        <v>50</v>
      </c>
      <c r="J8" s="3" t="s">
        <v>46</v>
      </c>
      <c r="K8" s="3" t="s">
        <v>46</v>
      </c>
      <c r="L8" s="3" t="s">
        <v>46</v>
      </c>
      <c r="M8" s="3" t="s">
        <v>46</v>
      </c>
      <c r="N8" s="3" t="s">
        <v>46</v>
      </c>
      <c r="O8" s="3" t="s">
        <v>46</v>
      </c>
    </row>
    <row r="9" customFormat="false" ht="41.75" hidden="false" customHeight="false" outlineLevel="0" collapsed="false">
      <c r="A9" s="0" t="s">
        <v>51</v>
      </c>
      <c r="B9" s="0" t="s">
        <v>52</v>
      </c>
      <c r="C9" s="0" t="s">
        <v>41</v>
      </c>
      <c r="D9" s="0" t="s">
        <v>42</v>
      </c>
      <c r="E9" s="7" t="s">
        <v>43</v>
      </c>
      <c r="F9" s="9" t="n">
        <f aca="false">IFERROR(Inputs!F4*4/Inputs!F37,"n/d")</f>
        <v>7.10339764705882</v>
      </c>
      <c r="G9" s="9" t="n">
        <f aca="false">IFERROR(Inputs!G4*4/Inputs!G37,"n/d")</f>
        <v>8.84746293706294</v>
      </c>
      <c r="H9" s="9" t="n">
        <f aca="false">IFERROR(Inputs!H4*4/Inputs!H37,"n/d")</f>
        <v>9.29657313432836</v>
      </c>
      <c r="I9" s="9" t="n">
        <f aca="false">IFERROR(Inputs!I4*4/Inputs!I37,"n/d")</f>
        <v>9.23465637065637</v>
      </c>
      <c r="J9" s="8" t="n">
        <f aca="false">IFERROR(Inputs!J4*4/Inputs!J37,"n/d")</f>
        <v>10.0680205128205</v>
      </c>
      <c r="K9" s="8" t="n">
        <f aca="false">IFERROR(Inputs!K4*4/Inputs!K37,"n/d")</f>
        <v>10.9014651685393</v>
      </c>
      <c r="L9" s="8" t="n">
        <f aca="false">IFERROR(Inputs!L4*4/Inputs!L37,"n/d")</f>
        <v>10.299441509434</v>
      </c>
      <c r="M9" s="8" t="n">
        <f aca="false">IFERROR(Inputs!M4*4/Inputs!M37,"n/d")</f>
        <v>8.73333333333333</v>
      </c>
      <c r="N9" s="8" t="n">
        <f aca="false">IFERROR(Inputs!N4*4/Inputs!N37,"n/d")</f>
        <v>8.98594594594595</v>
      </c>
      <c r="O9" s="8" t="n">
        <f aca="false">IFERROR(Inputs!O4*4/Inputs!O37,"n/d")</f>
        <v>8.24</v>
      </c>
      <c r="P9" s="1" t="s">
        <v>53</v>
      </c>
    </row>
    <row r="10" customFormat="false" ht="15" hidden="false" customHeight="false" outlineLevel="0" collapsed="false">
      <c r="B10" s="3" t="s">
        <v>45</v>
      </c>
      <c r="E10" s="3" t="s">
        <v>43</v>
      </c>
      <c r="F10" s="3" t="s">
        <v>50</v>
      </c>
      <c r="G10" s="3" t="s">
        <v>50</v>
      </c>
      <c r="H10" s="3" t="s">
        <v>50</v>
      </c>
      <c r="I10" s="3" t="s">
        <v>50</v>
      </c>
      <c r="J10" s="3" t="s">
        <v>46</v>
      </c>
      <c r="K10" s="3" t="s">
        <v>46</v>
      </c>
      <c r="L10" s="3" t="s">
        <v>46</v>
      </c>
      <c r="M10" s="3" t="s">
        <v>46</v>
      </c>
      <c r="N10" s="3" t="s">
        <v>46</v>
      </c>
      <c r="O10" s="3" t="s">
        <v>46</v>
      </c>
    </row>
    <row r="11" customFormat="false" ht="28.35" hidden="false" customHeight="false" outlineLevel="0" collapsed="false">
      <c r="A11" s="0" t="s">
        <v>54</v>
      </c>
      <c r="B11" s="0" t="s">
        <v>55</v>
      </c>
      <c r="C11" s="0" t="s">
        <v>41</v>
      </c>
      <c r="D11" s="0" t="s">
        <v>42</v>
      </c>
      <c r="E11" s="7" t="s">
        <v>43</v>
      </c>
      <c r="F11" s="7" t="s">
        <v>43</v>
      </c>
      <c r="G11" s="7" t="s">
        <v>43</v>
      </c>
      <c r="H11" s="7" t="s">
        <v>43</v>
      </c>
      <c r="I11" s="8" t="n">
        <f aca="false">IFERROR(Inputs!I4*4/Inputs!I13,"n/d")</f>
        <v>2.29978461538462</v>
      </c>
      <c r="J11" s="8" t="n">
        <f aca="false">IFERROR(Inputs!J4*4/Inputs!J13,"n/d")</f>
        <v>2.45408</v>
      </c>
      <c r="K11" s="8" t="n">
        <f aca="false">IFERROR(Inputs!K4*4/Inputs!K13,"n/d")</f>
        <v>2.20506909090909</v>
      </c>
      <c r="L11" s="8" t="n">
        <f aca="false">IFERROR(Inputs!L4*4/Inputs!L13,"n/d")</f>
        <v>1.88231172413793</v>
      </c>
      <c r="M11" s="8" t="n">
        <f aca="false">IFERROR(Inputs!M4*4/Inputs!M13,"n/d")</f>
        <v>2.02838709677419</v>
      </c>
      <c r="N11" s="8" t="n">
        <f aca="false">IFERROR(Inputs!N4*4/Inputs!N13,"n/d")</f>
        <v>2.37485714285714</v>
      </c>
      <c r="O11" s="8" t="n">
        <f aca="false">IFERROR(Inputs!O4*4/Inputs!O13,"n/d")</f>
        <v>2.78378378378378</v>
      </c>
      <c r="P11" s="1" t="s">
        <v>56</v>
      </c>
    </row>
    <row r="12" customFormat="false" ht="15" hidden="false" customHeight="false" outlineLevel="0" collapsed="false">
      <c r="B12" s="3" t="s">
        <v>45</v>
      </c>
      <c r="E12" s="3" t="s">
        <v>43</v>
      </c>
      <c r="F12" s="3" t="s">
        <v>43</v>
      </c>
      <c r="G12" s="3" t="s">
        <v>43</v>
      </c>
      <c r="H12" s="3" t="s">
        <v>43</v>
      </c>
      <c r="I12" s="3" t="s">
        <v>46</v>
      </c>
      <c r="J12" s="3" t="s">
        <v>46</v>
      </c>
      <c r="K12" s="3" t="s">
        <v>46</v>
      </c>
      <c r="L12" s="3" t="s">
        <v>46</v>
      </c>
      <c r="M12" s="3" t="s">
        <v>46</v>
      </c>
      <c r="N12" s="3" t="s">
        <v>46</v>
      </c>
      <c r="O12" s="3" t="s">
        <v>46</v>
      </c>
    </row>
    <row r="13" customFormat="false" ht="15" hidden="false" customHeight="false" outlineLevel="0" collapsed="false">
      <c r="A13" s="0" t="s">
        <v>57</v>
      </c>
      <c r="B13" s="0" t="s">
        <v>58</v>
      </c>
      <c r="C13" s="0" t="s">
        <v>59</v>
      </c>
      <c r="D13" s="0" t="s">
        <v>42</v>
      </c>
      <c r="E13" s="7" t="s">
        <v>43</v>
      </c>
      <c r="F13" s="7" t="s">
        <v>43</v>
      </c>
      <c r="G13" s="7" t="s">
        <v>43</v>
      </c>
      <c r="H13" s="7" t="s">
        <v>43</v>
      </c>
      <c r="I13" s="8" t="n">
        <f aca="false">IFERROR(Inputs!I13/Inputs!I12,"n/d")</f>
        <v>3.61111111111111</v>
      </c>
      <c r="J13" s="8" t="n">
        <f aca="false">IFERROR(Inputs!J13/Inputs!J12,"n/d")</f>
        <v>3.80952380952381</v>
      </c>
      <c r="K13" s="8" t="n">
        <f aca="false">IFERROR(Inputs!K13/Inputs!K12,"n/d")</f>
        <v>4.68085106382979</v>
      </c>
      <c r="L13" s="8" t="n">
        <f aca="false">IFERROR(Inputs!L13/Inputs!L12,"n/d")</f>
        <v>4.91525423728814</v>
      </c>
      <c r="M13" s="8" t="n">
        <f aca="false">IFERROR(Inputs!M13/Inputs!M12,"n/d")</f>
        <v>3.64705882352941</v>
      </c>
      <c r="N13" s="8" t="n">
        <f aca="false">IFERROR(Inputs!N13/Inputs!N12,"n/d")</f>
        <v>3.5</v>
      </c>
      <c r="O13" s="8" t="n">
        <f aca="false">IFERROR(Inputs!O13/Inputs!O12,"n/d")</f>
        <v>2.46666666666667</v>
      </c>
      <c r="P13" s="1" t="s">
        <v>60</v>
      </c>
    </row>
    <row r="14" customFormat="false" ht="15" hidden="false" customHeight="false" outlineLevel="0" collapsed="false">
      <c r="B14" s="3" t="s">
        <v>45</v>
      </c>
      <c r="E14" s="3" t="s">
        <v>43</v>
      </c>
      <c r="F14" s="3" t="s">
        <v>43</v>
      </c>
      <c r="G14" s="3" t="s">
        <v>43</v>
      </c>
      <c r="H14" s="3" t="s">
        <v>43</v>
      </c>
      <c r="I14" s="3" t="s">
        <v>46</v>
      </c>
      <c r="J14" s="3" t="s">
        <v>46</v>
      </c>
      <c r="K14" s="3" t="s">
        <v>46</v>
      </c>
      <c r="L14" s="3" t="s">
        <v>46</v>
      </c>
      <c r="M14" s="3" t="s">
        <v>46</v>
      </c>
      <c r="N14" s="3" t="s">
        <v>46</v>
      </c>
      <c r="O14" s="3" t="s">
        <v>46</v>
      </c>
    </row>
    <row r="15" customFormat="false" ht="28.35" hidden="false" customHeight="false" outlineLevel="0" collapsed="false">
      <c r="A15" s="0" t="s">
        <v>61</v>
      </c>
      <c r="B15" s="0" t="s">
        <v>62</v>
      </c>
      <c r="C15" s="0" t="s">
        <v>41</v>
      </c>
      <c r="D15" s="0" t="s">
        <v>42</v>
      </c>
      <c r="E15" s="7" t="s">
        <v>43</v>
      </c>
      <c r="F15" s="9" t="n">
        <f aca="false">IFERROR(Inputs!F5*4/Inputs!F37,"n/d")</f>
        <v>3.93584941176471</v>
      </c>
      <c r="G15" s="9" t="n">
        <f aca="false">IFERROR(Inputs!G5*4/Inputs!G37,"n/d")</f>
        <v>5.59084755244755</v>
      </c>
      <c r="H15" s="9" t="n">
        <f aca="false">IFERROR(Inputs!H5*4/Inputs!H37,"n/d")</f>
        <v>6.02996218905473</v>
      </c>
      <c r="I15" s="9" t="n">
        <f aca="false">IFERROR(Inputs!I5*4/Inputs!I37,"n/d")</f>
        <v>6.0060416988417</v>
      </c>
      <c r="J15" s="8" t="n">
        <f aca="false">IFERROR(Inputs!J5*4/Inputs!J37,"n/d")</f>
        <v>6.21672820512821</v>
      </c>
      <c r="K15" s="8" t="n">
        <f aca="false">IFERROR(Inputs!K5*4/Inputs!K37,"n/d")</f>
        <v>6.77005842696629</v>
      </c>
      <c r="L15" s="8" t="n">
        <f aca="false">IFERROR(Inputs!L5*4/Inputs!L37,"n/d")</f>
        <v>6.3254641509434</v>
      </c>
      <c r="M15" s="8" t="n">
        <f aca="false">IFERROR(Inputs!M5*4/Inputs!M37,"n/d")</f>
        <v>4.98888888888889</v>
      </c>
      <c r="N15" s="8" t="n">
        <f aca="false">IFERROR(Inputs!N5*4/Inputs!N37,"n/d")</f>
        <v>5.00324324324324</v>
      </c>
      <c r="O15" s="8" t="n">
        <f aca="false">IFERROR(Inputs!O5*4/Inputs!O37,"n/d")</f>
        <v>4.832</v>
      </c>
      <c r="P15" s="1" t="s">
        <v>63</v>
      </c>
    </row>
    <row r="16" customFormat="false" ht="15" hidden="false" customHeight="false" outlineLevel="0" collapsed="false">
      <c r="B16" s="3" t="s">
        <v>45</v>
      </c>
      <c r="E16" s="3" t="s">
        <v>43</v>
      </c>
      <c r="F16" s="3" t="s">
        <v>50</v>
      </c>
      <c r="G16" s="3" t="s">
        <v>50</v>
      </c>
      <c r="H16" s="3" t="s">
        <v>50</v>
      </c>
      <c r="I16" s="3" t="s">
        <v>50</v>
      </c>
      <c r="J16" s="3" t="s">
        <v>46</v>
      </c>
      <c r="K16" s="3" t="s">
        <v>46</v>
      </c>
      <c r="L16" s="3" t="s">
        <v>46</v>
      </c>
      <c r="M16" s="3" t="s">
        <v>46</v>
      </c>
      <c r="N16" s="3" t="s">
        <v>46</v>
      </c>
      <c r="O16" s="3" t="s">
        <v>46</v>
      </c>
    </row>
    <row r="17" customFormat="false" ht="15" hidden="false" customHeight="false" outlineLevel="0" collapsed="false">
      <c r="A17" s="5" t="s">
        <v>64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customFormat="false" ht="28.35" hidden="false" customHeight="false" outlineLevel="0" collapsed="false">
      <c r="A18" s="0" t="s">
        <v>65</v>
      </c>
      <c r="B18" s="0" t="s">
        <v>66</v>
      </c>
      <c r="C18" s="0" t="s">
        <v>67</v>
      </c>
      <c r="D18" s="0" t="s">
        <v>68</v>
      </c>
      <c r="E18" s="10" t="s">
        <v>43</v>
      </c>
      <c r="F18" s="11" t="n">
        <f aca="false">IFERROR(Inputs!F4*4000/Inputs!F41,"n/d")</f>
        <v>9.72284702093398</v>
      </c>
      <c r="G18" s="11" t="n">
        <f aca="false">IFERROR(Inputs!G4*4000/Inputs!G41,"n/d")</f>
        <v>12.4648985221675</v>
      </c>
      <c r="H18" s="11" t="n">
        <f aca="false">IFERROR(Inputs!H4*4000/Inputs!H41,"n/d")</f>
        <v>13.2619673527324</v>
      </c>
      <c r="I18" s="11" t="n">
        <f aca="false">IFERROR(Inputs!I4*4000/Inputs!I41,"n/d")</f>
        <v>13.2655352190793</v>
      </c>
      <c r="J18" s="11" t="n">
        <f aca="false">IFERROR(Inputs!J4*4000/Inputs!J41,"n/d")</f>
        <v>14.7536183963328</v>
      </c>
      <c r="K18" s="11" t="n">
        <f aca="false">IFERROR(Inputs!K4*4000/Inputs!K41,"n/d")</f>
        <v>16.4039901261286</v>
      </c>
      <c r="L18" s="11" t="n">
        <f aca="false">IFERROR(Inputs!L4*4000/Inputs!L41,"n/d")</f>
        <v>15.9863644350729</v>
      </c>
      <c r="M18" s="11" t="n">
        <f aca="false">IFERROR(Inputs!M4*4000/Inputs!M41,"n/d")</f>
        <v>14.1723764875586</v>
      </c>
      <c r="N18" s="11" t="n">
        <f aca="false">IFERROR(Inputs!N4*4000/Inputs!N41,"n/d")</f>
        <v>15.1005095876972</v>
      </c>
      <c r="O18" s="11" t="n">
        <f aca="false">IFERROR(Inputs!O4*4000/Inputs!O41,"n/d")</f>
        <v>14.5066336159545</v>
      </c>
      <c r="P18" s="1" t="s">
        <v>69</v>
      </c>
    </row>
    <row r="19" customFormat="false" ht="15" hidden="false" customHeight="false" outlineLevel="0" collapsed="false">
      <c r="B19" s="3" t="s">
        <v>45</v>
      </c>
      <c r="E19" s="3" t="s">
        <v>43</v>
      </c>
      <c r="F19" s="3" t="s">
        <v>50</v>
      </c>
      <c r="G19" s="3" t="s">
        <v>50</v>
      </c>
      <c r="H19" s="3" t="s">
        <v>50</v>
      </c>
      <c r="I19" s="3" t="s">
        <v>50</v>
      </c>
      <c r="J19" s="3" t="s">
        <v>50</v>
      </c>
      <c r="K19" s="3" t="s">
        <v>50</v>
      </c>
      <c r="L19" s="3" t="s">
        <v>50</v>
      </c>
      <c r="M19" s="3" t="s">
        <v>50</v>
      </c>
      <c r="N19" s="3" t="s">
        <v>50</v>
      </c>
      <c r="O19" s="3" t="s">
        <v>50</v>
      </c>
    </row>
    <row r="20" customFormat="false" ht="28.35" hidden="false" customHeight="false" outlineLevel="0" collapsed="false">
      <c r="A20" s="0" t="s">
        <v>70</v>
      </c>
      <c r="B20" s="0" t="s">
        <v>71</v>
      </c>
      <c r="C20" s="0" t="s">
        <v>72</v>
      </c>
      <c r="D20" s="0" t="s">
        <v>68</v>
      </c>
      <c r="E20" s="7" t="s">
        <v>43</v>
      </c>
      <c r="F20" s="9" t="n">
        <f aca="false">IFERROR(Inputs!F4*1000000/(Inputs!F41*Inputs!F29*24),"n/d")</f>
        <v>1.11296325789079</v>
      </c>
      <c r="G20" s="9" t="n">
        <f aca="false">IFERROR(Inputs!G4*1000000/(Inputs!G41*Inputs!G29*24),"n/d")</f>
        <v>1.42684277955214</v>
      </c>
      <c r="H20" s="9" t="n">
        <f aca="false">IFERROR(Inputs!H4*1000000/(Inputs!H41*Inputs!H29*24),"n/d")</f>
        <v>1.50158144845249</v>
      </c>
      <c r="I20" s="9" t="n">
        <f aca="false">IFERROR(Inputs!I4*1000000/(Inputs!I41*Inputs!I29*24),"n/d")</f>
        <v>1.50198541882691</v>
      </c>
      <c r="J20" s="9" t="n">
        <f aca="false">IFERROR(Inputs!J4*1000000/(Inputs!J41*Inputs!J29*24),"n/d")</f>
        <v>1.70759472179777</v>
      </c>
      <c r="K20" s="9" t="n">
        <f aca="false">IFERROR(Inputs!K4*1000000/(Inputs!K41*Inputs!K29*24),"n/d")</f>
        <v>1.8777461224964</v>
      </c>
      <c r="L20" s="9" t="n">
        <f aca="false">IFERROR(Inputs!L4*1000000/(Inputs!L41*Inputs!L29*24),"n/d")</f>
        <v>1.8100503210001</v>
      </c>
      <c r="M20" s="9" t="n">
        <f aca="false">IFERROR(Inputs!M4*1000000/(Inputs!M41*Inputs!M29*24),"n/d")</f>
        <v>1.60466219288481</v>
      </c>
      <c r="N20" s="9" t="n">
        <f aca="false">IFERROR(Inputs!N4*1000000/(Inputs!N41*Inputs!N29*24),"n/d")</f>
        <v>1.74774416524273</v>
      </c>
      <c r="O20" s="9" t="n">
        <f aca="false">IFERROR(Inputs!O4*1000000/(Inputs!O41*Inputs!O29*24),"n/d")</f>
        <v>1.66055787728417</v>
      </c>
      <c r="P20" s="1" t="s">
        <v>73</v>
      </c>
    </row>
    <row r="21" customFormat="false" ht="15" hidden="false" customHeight="false" outlineLevel="0" collapsed="false">
      <c r="B21" s="3" t="s">
        <v>45</v>
      </c>
      <c r="E21" s="3" t="s">
        <v>43</v>
      </c>
      <c r="F21" s="3" t="s">
        <v>50</v>
      </c>
      <c r="G21" s="3" t="s">
        <v>50</v>
      </c>
      <c r="H21" s="3" t="s">
        <v>50</v>
      </c>
      <c r="I21" s="3" t="s">
        <v>50</v>
      </c>
      <c r="J21" s="3" t="s">
        <v>50</v>
      </c>
      <c r="K21" s="3" t="s">
        <v>50</v>
      </c>
      <c r="L21" s="3" t="s">
        <v>50</v>
      </c>
      <c r="M21" s="3" t="s">
        <v>50</v>
      </c>
      <c r="N21" s="3" t="s">
        <v>50</v>
      </c>
      <c r="O21" s="3" t="s">
        <v>50</v>
      </c>
    </row>
    <row r="22" customFormat="false" ht="28.35" hidden="false" customHeight="false" outlineLevel="0" collapsed="false">
      <c r="A22" s="0" t="s">
        <v>74</v>
      </c>
      <c r="B22" s="0" t="s">
        <v>75</v>
      </c>
      <c r="C22" s="0" t="s">
        <v>72</v>
      </c>
      <c r="D22" s="0" t="s">
        <v>76</v>
      </c>
      <c r="E22" s="7" t="s">
        <v>43</v>
      </c>
      <c r="F22" s="9" t="n">
        <f aca="false">Inputs!F42</f>
        <v>6.155</v>
      </c>
      <c r="G22" s="9" t="n">
        <f aca="false">Inputs!G42</f>
        <v>6.155</v>
      </c>
      <c r="H22" s="9" t="n">
        <f aca="false">Inputs!H42</f>
        <v>6.155</v>
      </c>
      <c r="I22" s="9" t="n">
        <f aca="false">Inputs!I42</f>
        <v>6.155</v>
      </c>
      <c r="J22" s="9" t="n">
        <f aca="false">Inputs!J42</f>
        <v>6.65187048320816</v>
      </c>
      <c r="K22" s="9" t="n">
        <f aca="false">Inputs!K42</f>
        <v>6.98667442913513</v>
      </c>
      <c r="L22" s="9" t="n">
        <f aca="false">Inputs!L42</f>
        <v>7.59356772087548</v>
      </c>
      <c r="M22" s="9" t="n">
        <f aca="false">Inputs!M42</f>
        <v>8.3851096141116</v>
      </c>
      <c r="N22" s="9" t="n">
        <f aca="false">Inputs!N42</f>
        <v>8.65033970745994</v>
      </c>
      <c r="O22" s="9" t="n">
        <f aca="false">Inputs!O42</f>
        <v>9.19561823792884</v>
      </c>
      <c r="P22" s="1" t="s">
        <v>77</v>
      </c>
    </row>
    <row r="23" customFormat="false" ht="15" hidden="false" customHeight="false" outlineLevel="0" collapsed="false">
      <c r="B23" s="3" t="s">
        <v>45</v>
      </c>
      <c r="E23" s="3" t="s">
        <v>43</v>
      </c>
      <c r="F23" s="3" t="s">
        <v>50</v>
      </c>
      <c r="G23" s="3" t="s">
        <v>50</v>
      </c>
      <c r="H23" s="3" t="s">
        <v>50</v>
      </c>
      <c r="I23" s="3" t="s">
        <v>50</v>
      </c>
      <c r="J23" s="3" t="s">
        <v>50</v>
      </c>
      <c r="K23" s="3" t="s">
        <v>50</v>
      </c>
      <c r="L23" s="3" t="s">
        <v>50</v>
      </c>
      <c r="M23" s="3" t="s">
        <v>50</v>
      </c>
      <c r="N23" s="3" t="s">
        <v>50</v>
      </c>
      <c r="O23" s="3" t="s">
        <v>50</v>
      </c>
    </row>
    <row r="24" customFormat="false" ht="41.75" hidden="false" customHeight="false" outlineLevel="0" collapsed="false">
      <c r="A24" s="0" t="s">
        <v>78</v>
      </c>
      <c r="B24" s="0" t="s">
        <v>79</v>
      </c>
      <c r="C24" s="0" t="s">
        <v>80</v>
      </c>
      <c r="D24" s="0" t="s">
        <v>76</v>
      </c>
      <c r="E24" s="10" t="s">
        <v>43</v>
      </c>
      <c r="F24" s="11" t="n">
        <f aca="false">IFERROR(Inputs!F4*1000000/(Inputs!F41*Inputs!F29*24)/Inputs!F42*100,"n/d")</f>
        <v>18.0822625165036</v>
      </c>
      <c r="G24" s="11" t="n">
        <f aca="false">IFERROR(Inputs!G4*1000000/(Inputs!G41*Inputs!G29*24)/Inputs!G42*100,"n/d")</f>
        <v>23.1818485711152</v>
      </c>
      <c r="H24" s="11" t="n">
        <f aca="false">IFERROR(Inputs!H4*1000000/(Inputs!H41*Inputs!H29*24)/Inputs!H42*100,"n/d")</f>
        <v>24.3961242640535</v>
      </c>
      <c r="I24" s="11" t="n">
        <f aca="false">IFERROR(Inputs!I4*1000000/(Inputs!I41*Inputs!I29*24)/Inputs!I42*100,"n/d")</f>
        <v>24.4026875520214</v>
      </c>
      <c r="J24" s="11" t="n">
        <f aca="false">IFERROR(Inputs!J4*1000000/(Inputs!J41*Inputs!J29*24)/Inputs!J42*100,"n/d")</f>
        <v>25.6708955189129</v>
      </c>
      <c r="K24" s="11" t="n">
        <f aca="false">IFERROR(Inputs!K4*1000000/(Inputs!K41*Inputs!K29*24)/Inputs!K42*100,"n/d")</f>
        <v>26.8761073890321</v>
      </c>
      <c r="L24" s="11" t="n">
        <f aca="false">IFERROR(Inputs!L4*1000000/(Inputs!L41*Inputs!L29*24)/Inputs!L42*100,"n/d")</f>
        <v>23.8366257803179</v>
      </c>
      <c r="M24" s="11" t="n">
        <f aca="false">IFERROR(Inputs!M4*1000000/(Inputs!M41*Inputs!M29*24)/Inputs!M42*100,"n/d")</f>
        <v>19.1370449133338</v>
      </c>
      <c r="N24" s="11" t="n">
        <f aca="false">IFERROR(Inputs!N4*1000000/(Inputs!N41*Inputs!N29*24)/Inputs!N42*100,"n/d")</f>
        <v>20.2043413825182</v>
      </c>
      <c r="O24" s="11" t="n">
        <f aca="false">IFERROR(Inputs!O4*1000000/(Inputs!O41*Inputs!O29*24)/Inputs!O42*100,"n/d")</f>
        <v>18.0581428493293</v>
      </c>
      <c r="P24" s="1" t="s">
        <v>81</v>
      </c>
    </row>
    <row r="25" customFormat="false" ht="15" hidden="false" customHeight="false" outlineLevel="0" collapsed="false">
      <c r="B25" s="3" t="s">
        <v>45</v>
      </c>
      <c r="E25" s="3" t="s">
        <v>43</v>
      </c>
      <c r="F25" s="3" t="s">
        <v>50</v>
      </c>
      <c r="G25" s="3" t="s">
        <v>50</v>
      </c>
      <c r="H25" s="3" t="s">
        <v>50</v>
      </c>
      <c r="I25" s="3" t="s">
        <v>50</v>
      </c>
      <c r="J25" s="3" t="s">
        <v>50</v>
      </c>
      <c r="K25" s="3" t="s">
        <v>50</v>
      </c>
      <c r="L25" s="3" t="s">
        <v>50</v>
      </c>
      <c r="M25" s="3" t="s">
        <v>50</v>
      </c>
      <c r="N25" s="3" t="s">
        <v>50</v>
      </c>
      <c r="O25" s="3" t="s">
        <v>50</v>
      </c>
    </row>
    <row r="26" customFormat="false" ht="15" hidden="false" customHeight="false" outlineLevel="0" collapsed="false">
      <c r="A26" s="5" t="s">
        <v>82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customFormat="false" ht="41.75" hidden="false" customHeight="false" outlineLevel="0" collapsed="false">
      <c r="A27" s="0" t="s">
        <v>83</v>
      </c>
      <c r="B27" s="0" t="s">
        <v>84</v>
      </c>
      <c r="C27" s="0" t="s">
        <v>85</v>
      </c>
      <c r="D27" s="0" t="s">
        <v>86</v>
      </c>
      <c r="E27" s="10" t="s">
        <v>43</v>
      </c>
      <c r="F27" s="10" t="s">
        <v>43</v>
      </c>
      <c r="G27" s="10" t="s">
        <v>43</v>
      </c>
      <c r="H27" s="10" t="s">
        <v>43</v>
      </c>
      <c r="I27" s="10" t="s">
        <v>43</v>
      </c>
      <c r="J27" s="12" t="n">
        <f aca="false">IFERROR(Inputs!J7/Inputs!J38,"n/d")</f>
        <v>23.4566666666667</v>
      </c>
      <c r="K27" s="12" t="n">
        <f aca="false">IFERROR(Inputs!K7/Inputs!K38,"n/d")</f>
        <v>49.06</v>
      </c>
      <c r="L27" s="12" t="n">
        <f aca="false">IFERROR(Inputs!L7/Inputs!L38,"n/d")</f>
        <v>19.9066666666667</v>
      </c>
      <c r="M27" s="12" t="n">
        <f aca="false">IFERROR(Inputs!M7/Inputs!M38,"n/d")</f>
        <v>15.6146153846154</v>
      </c>
      <c r="N27" s="12" t="n">
        <f aca="false">IFERROR(Inputs!N7/Inputs!N38,"n/d")</f>
        <v>51.3</v>
      </c>
      <c r="O27" s="12" t="n">
        <f aca="false">IFERROR(Inputs!O7/Inputs!O38,"n/d")</f>
        <v>12.844</v>
      </c>
      <c r="P27" s="1" t="s">
        <v>87</v>
      </c>
    </row>
    <row r="28" customFormat="false" ht="15" hidden="false" customHeight="false" outlineLevel="0" collapsed="false">
      <c r="B28" s="3" t="s">
        <v>45</v>
      </c>
      <c r="E28" s="3" t="s">
        <v>43</v>
      </c>
      <c r="F28" s="3" t="s">
        <v>43</v>
      </c>
      <c r="G28" s="3" t="s">
        <v>43</v>
      </c>
      <c r="H28" s="3" t="s">
        <v>43</v>
      </c>
      <c r="I28" s="3" t="s">
        <v>43</v>
      </c>
      <c r="J28" s="3" t="s">
        <v>46</v>
      </c>
      <c r="K28" s="3" t="s">
        <v>46</v>
      </c>
      <c r="L28" s="3" t="s">
        <v>46</v>
      </c>
      <c r="M28" s="3" t="s">
        <v>46</v>
      </c>
      <c r="N28" s="3" t="s">
        <v>46</v>
      </c>
      <c r="O28" s="3" t="s">
        <v>46</v>
      </c>
    </row>
    <row r="29" customFormat="false" ht="28.35" hidden="false" customHeight="false" outlineLevel="0" collapsed="false">
      <c r="A29" s="0" t="s">
        <v>88</v>
      </c>
      <c r="B29" s="0" t="s">
        <v>89</v>
      </c>
      <c r="C29" s="0" t="s">
        <v>85</v>
      </c>
      <c r="D29" s="0" t="s">
        <v>86</v>
      </c>
      <c r="E29" s="10" t="s">
        <v>43</v>
      </c>
      <c r="F29" s="11" t="n">
        <f aca="false">IFERROR(Inputs!F7/Inputs!F39,"n/d")</f>
        <v>24.0262068965517</v>
      </c>
      <c r="G29" s="11" t="n">
        <f aca="false">IFERROR(Inputs!G7/Inputs!G39,"n/d")</f>
        <v>30.9958620689655</v>
      </c>
      <c r="H29" s="11" t="n">
        <f aca="false">IFERROR(Inputs!H7/Inputs!H39,"n/d")</f>
        <v>16.7613793103448</v>
      </c>
      <c r="I29" s="11" t="n">
        <f aca="false">IFERROR(Inputs!I7/Inputs!I39,"n/d")</f>
        <v>48.2441379310345</v>
      </c>
      <c r="J29" s="12" t="n">
        <f aca="false">IFERROR(Inputs!J7/Inputs!J39,"n/d")</f>
        <v>23.4566666666667</v>
      </c>
      <c r="K29" s="12" t="n">
        <f aca="false">IFERROR(Inputs!K7/Inputs!K39,"n/d")</f>
        <v>49.06</v>
      </c>
      <c r="L29" s="12" t="n">
        <f aca="false">IFERROR(Inputs!L7/Inputs!L39,"n/d")</f>
        <v>19.9066666666667</v>
      </c>
      <c r="M29" s="12" t="n">
        <f aca="false">IFERROR(Inputs!M7/Inputs!M39,"n/d")</f>
        <v>15.6146153846154</v>
      </c>
      <c r="N29" s="12" t="n">
        <f aca="false">IFERROR(Inputs!N7/Inputs!N39,"n/d")</f>
        <v>51.3</v>
      </c>
      <c r="O29" s="12" t="n">
        <f aca="false">IFERROR(Inputs!O7/Inputs!O39,"n/d")</f>
        <v>12.844</v>
      </c>
      <c r="P29" s="1" t="s">
        <v>90</v>
      </c>
    </row>
    <row r="30" customFormat="false" ht="15" hidden="false" customHeight="false" outlineLevel="0" collapsed="false">
      <c r="B30" s="3" t="s">
        <v>45</v>
      </c>
      <c r="E30" s="3" t="s">
        <v>43</v>
      </c>
      <c r="F30" s="3" t="s">
        <v>50</v>
      </c>
      <c r="G30" s="3" t="s">
        <v>50</v>
      </c>
      <c r="H30" s="3" t="s">
        <v>50</v>
      </c>
      <c r="I30" s="3" t="s">
        <v>50</v>
      </c>
      <c r="J30" s="3" t="s">
        <v>46</v>
      </c>
      <c r="K30" s="3" t="s">
        <v>46</v>
      </c>
      <c r="L30" s="3" t="s">
        <v>46</v>
      </c>
      <c r="M30" s="3" t="s">
        <v>46</v>
      </c>
      <c r="N30" s="3" t="s">
        <v>46</v>
      </c>
      <c r="O30" s="3" t="s">
        <v>46</v>
      </c>
    </row>
    <row r="31" customFormat="false" ht="28.35" hidden="false" customHeight="false" outlineLevel="0" collapsed="false">
      <c r="A31" s="0" t="s">
        <v>91</v>
      </c>
      <c r="B31" s="0" t="s">
        <v>92</v>
      </c>
      <c r="C31" s="0" t="s">
        <v>85</v>
      </c>
      <c r="D31" s="0" t="s">
        <v>86</v>
      </c>
      <c r="E31" s="10" t="s">
        <v>43</v>
      </c>
      <c r="F31" s="10" t="s">
        <v>43</v>
      </c>
      <c r="G31" s="10" t="s">
        <v>43</v>
      </c>
      <c r="H31" s="10" t="s">
        <v>43</v>
      </c>
      <c r="I31" s="10" t="s">
        <v>43</v>
      </c>
      <c r="J31" s="12" t="n">
        <f aca="false">IFERROR(Inputs!J44/Inputs!J38,"n/d")</f>
        <v>30.96</v>
      </c>
      <c r="K31" s="12" t="n">
        <f aca="false">IFERROR(Inputs!K44/Inputs!K38,"n/d")</f>
        <v>58.7424399999999</v>
      </c>
      <c r="L31" s="12" t="n">
        <f aca="false">IFERROR(Inputs!L44/Inputs!L38,"n/d")</f>
        <v>15.4152666666667</v>
      </c>
      <c r="M31" s="12" t="n">
        <f aca="false">IFERROR(Inputs!M44/Inputs!M38,"n/d")</f>
        <v>31.6973346153846</v>
      </c>
      <c r="N31" s="12" t="n">
        <f aca="false">IFERROR(Inputs!N44/Inputs!N38,"n/d")</f>
        <v>45.2466666666667</v>
      </c>
      <c r="O31" s="12" t="n">
        <f aca="false">IFERROR(Inputs!O44/Inputs!O38,"n/d")</f>
        <v>18.704</v>
      </c>
      <c r="P31" s="1" t="s">
        <v>93</v>
      </c>
    </row>
    <row r="32" customFormat="false" ht="15" hidden="false" customHeight="false" outlineLevel="0" collapsed="false">
      <c r="B32" s="3" t="s">
        <v>45</v>
      </c>
      <c r="E32" s="3" t="s">
        <v>43</v>
      </c>
      <c r="F32" s="3" t="s">
        <v>43</v>
      </c>
      <c r="G32" s="3" t="s">
        <v>43</v>
      </c>
      <c r="H32" s="3" t="s">
        <v>43</v>
      </c>
      <c r="I32" s="3" t="s">
        <v>43</v>
      </c>
      <c r="J32" s="3" t="s">
        <v>46</v>
      </c>
      <c r="K32" s="3" t="s">
        <v>46</v>
      </c>
      <c r="L32" s="3" t="s">
        <v>46</v>
      </c>
      <c r="M32" s="3" t="s">
        <v>46</v>
      </c>
      <c r="N32" s="3" t="s">
        <v>46</v>
      </c>
      <c r="O32" s="3" t="s">
        <v>46</v>
      </c>
    </row>
    <row r="33" customFormat="false" ht="15" hidden="false" customHeight="false" outlineLevel="0" collapsed="false">
      <c r="A33" s="0" t="s">
        <v>94</v>
      </c>
      <c r="B33" s="0" t="s">
        <v>95</v>
      </c>
      <c r="C33" s="0" t="s">
        <v>85</v>
      </c>
      <c r="D33" s="0" t="s">
        <v>86</v>
      </c>
      <c r="E33" s="10" t="s">
        <v>43</v>
      </c>
      <c r="F33" s="10" t="s">
        <v>43</v>
      </c>
      <c r="G33" s="10" t="s">
        <v>43</v>
      </c>
      <c r="H33" s="10" t="s">
        <v>43</v>
      </c>
      <c r="I33" s="10" t="s">
        <v>43</v>
      </c>
      <c r="J33" s="10" t="s">
        <v>43</v>
      </c>
      <c r="K33" s="10" t="s">
        <v>43</v>
      </c>
      <c r="L33" s="10" t="s">
        <v>43</v>
      </c>
      <c r="M33" s="12" t="n">
        <f aca="false">IFERROR(SUM(Inputs!J7:M7)/(Inputs!M12-Inputs!I12),"n/d")</f>
        <v>21.0387755102041</v>
      </c>
      <c r="N33" s="12" t="n">
        <f aca="false">IFERROR(SUM(Inputs!K7:N7)/(Inputs!N12-Inputs!J12),"n/d")</f>
        <v>28.6148275862069</v>
      </c>
      <c r="O33" s="12" t="n">
        <f aca="false">IFERROR(SUM(Inputs!L7:O7)/(Inputs!O12-Inputs!K12),"n/d")</f>
        <v>19.9666019417476</v>
      </c>
      <c r="P33" s="1" t="s">
        <v>96</v>
      </c>
    </row>
    <row r="34" customFormat="false" ht="15" hidden="false" customHeight="false" outlineLevel="0" collapsed="false">
      <c r="B34" s="3" t="s">
        <v>45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43</v>
      </c>
      <c r="J34" s="3" t="s">
        <v>43</v>
      </c>
      <c r="K34" s="3" t="s">
        <v>43</v>
      </c>
      <c r="L34" s="3" t="s">
        <v>43</v>
      </c>
      <c r="M34" s="3" t="s">
        <v>46</v>
      </c>
      <c r="N34" s="3" t="s">
        <v>46</v>
      </c>
      <c r="O34" s="3" t="s">
        <v>46</v>
      </c>
    </row>
    <row r="35" customFormat="false" ht="28.35" hidden="false" customHeight="false" outlineLevel="0" collapsed="false">
      <c r="A35" s="0" t="s">
        <v>97</v>
      </c>
      <c r="B35" s="0" t="s">
        <v>98</v>
      </c>
      <c r="C35" s="0" t="s">
        <v>85</v>
      </c>
      <c r="D35" s="0" t="s">
        <v>86</v>
      </c>
      <c r="E35" s="12" t="n">
        <f aca="false">IFERROR(Inputs!E10/Inputs!E12,"n/d")</f>
        <v>49.7712857142857</v>
      </c>
      <c r="F35" s="10" t="s">
        <v>43</v>
      </c>
      <c r="G35" s="10" t="s">
        <v>43</v>
      </c>
      <c r="H35" s="10" t="s">
        <v>43</v>
      </c>
      <c r="I35" s="12" t="n">
        <f aca="false">IFERROR(Inputs!I10/Inputs!I12,"n/d")</f>
        <v>33.0965944444444</v>
      </c>
      <c r="J35" s="12" t="n">
        <f aca="false">IFERROR(Inputs!J10/Inputs!J12,"n/d")</f>
        <v>33.8356952380952</v>
      </c>
      <c r="K35" s="12" t="n">
        <f aca="false">IFERROR(Inputs!K10/Inputs!K12,"n/d")</f>
        <v>35.3861914893617</v>
      </c>
      <c r="L35" s="12" t="n">
        <f aca="false">IFERROR(Inputs!L10/Inputs!L12,"n/d")</f>
        <v>35.0155610169492</v>
      </c>
      <c r="M35" s="12" t="n">
        <f aca="false">IFERROR(Inputs!M10/Inputs!M12,"n/d")</f>
        <v>35.9494117647059</v>
      </c>
      <c r="N35" s="12" t="n">
        <f aca="false">IFERROR(Inputs!N10/Inputs!N12,"n/d")</f>
        <v>36.424</v>
      </c>
      <c r="O35" s="12" t="n">
        <f aca="false">IFERROR(Inputs!O10/Inputs!O12,"n/d")</f>
        <v>31.1573333333333</v>
      </c>
      <c r="P35" s="1" t="s">
        <v>99</v>
      </c>
    </row>
    <row r="36" customFormat="false" ht="15" hidden="false" customHeight="false" outlineLevel="0" collapsed="false">
      <c r="B36" s="3" t="s">
        <v>45</v>
      </c>
      <c r="E36" s="3" t="s">
        <v>46</v>
      </c>
      <c r="F36" s="3" t="s">
        <v>43</v>
      </c>
      <c r="G36" s="3" t="s">
        <v>43</v>
      </c>
      <c r="H36" s="3" t="s">
        <v>43</v>
      </c>
      <c r="I36" s="3" t="s">
        <v>46</v>
      </c>
      <c r="J36" s="3" t="s">
        <v>46</v>
      </c>
      <c r="K36" s="3" t="s">
        <v>46</v>
      </c>
      <c r="L36" s="3" t="s">
        <v>46</v>
      </c>
      <c r="M36" s="3" t="s">
        <v>46</v>
      </c>
      <c r="N36" s="3" t="s">
        <v>46</v>
      </c>
      <c r="O36" s="3" t="s">
        <v>46</v>
      </c>
    </row>
    <row r="37" customFormat="false" ht="28.35" hidden="false" customHeight="false" outlineLevel="0" collapsed="false">
      <c r="A37" s="0" t="s">
        <v>100</v>
      </c>
      <c r="B37" s="0" t="s">
        <v>101</v>
      </c>
      <c r="C37" s="0" t="s">
        <v>85</v>
      </c>
      <c r="D37" s="0" t="s">
        <v>86</v>
      </c>
      <c r="E37" s="12" t="n">
        <f aca="false">IFERROR(Inputs!E43/Inputs!E12,"n/d")</f>
        <v>19.2016142857143</v>
      </c>
      <c r="F37" s="10" t="s">
        <v>43</v>
      </c>
      <c r="G37" s="10" t="s">
        <v>43</v>
      </c>
      <c r="H37" s="10" t="s">
        <v>43</v>
      </c>
      <c r="I37" s="12" t="n">
        <f aca="false">IFERROR(Inputs!I43/Inputs!I12,"n/d")</f>
        <v>26.8864972222222</v>
      </c>
      <c r="J37" s="12" t="n">
        <f aca="false">IFERROR(Inputs!J43/Inputs!J12,"n/d")</f>
        <v>27.4684261904762</v>
      </c>
      <c r="K37" s="12" t="n">
        <f aca="false">IFERROR(Inputs!K43/Inputs!K12,"n/d")</f>
        <v>30.7954489361702</v>
      </c>
      <c r="L37" s="12" t="n">
        <f aca="false">IFERROR(Inputs!L43/Inputs!L12,"n/d")</f>
        <v>27.6672762711864</v>
      </c>
      <c r="M37" s="12" t="n">
        <f aca="false">IFERROR(Inputs!M43/Inputs!M12,"n/d")</f>
        <v>28.9</v>
      </c>
      <c r="N37" s="12" t="n">
        <f aca="false">IFERROR(Inputs!N43/Inputs!N12,"n/d")</f>
        <v>31.352</v>
      </c>
      <c r="O37" s="12" t="n">
        <f aca="false">IFERROR(Inputs!O43/Inputs!O12,"n/d")</f>
        <v>27.136</v>
      </c>
      <c r="P37" s="1" t="s">
        <v>102</v>
      </c>
    </row>
    <row r="38" customFormat="false" ht="15" hidden="false" customHeight="false" outlineLevel="0" collapsed="false">
      <c r="B38" s="3" t="s">
        <v>45</v>
      </c>
      <c r="E38" s="3" t="s">
        <v>46</v>
      </c>
      <c r="F38" s="3" t="s">
        <v>43</v>
      </c>
      <c r="G38" s="3" t="s">
        <v>43</v>
      </c>
      <c r="H38" s="3" t="s">
        <v>43</v>
      </c>
      <c r="I38" s="3" t="s">
        <v>46</v>
      </c>
      <c r="J38" s="3" t="s">
        <v>46</v>
      </c>
      <c r="K38" s="3" t="s">
        <v>46</v>
      </c>
      <c r="L38" s="3" t="s">
        <v>46</v>
      </c>
      <c r="M38" s="3" t="s">
        <v>46</v>
      </c>
      <c r="N38" s="3" t="s">
        <v>46</v>
      </c>
      <c r="O38" s="3" t="s">
        <v>46</v>
      </c>
    </row>
    <row r="39" customFormat="false" ht="15" hidden="false" customHeight="false" outlineLevel="0" collapsed="false">
      <c r="A39" s="5" t="s">
        <v>103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customFormat="false" ht="41.75" hidden="false" customHeight="false" outlineLevel="0" collapsed="false">
      <c r="A40" s="0" t="s">
        <v>104</v>
      </c>
      <c r="B40" s="0" t="s">
        <v>105</v>
      </c>
      <c r="C40" s="0" t="s">
        <v>106</v>
      </c>
      <c r="D40" s="0" t="s">
        <v>107</v>
      </c>
      <c r="E40" s="13" t="s">
        <v>43</v>
      </c>
      <c r="F40" s="14" t="n">
        <f aca="false">6</f>
        <v>6</v>
      </c>
      <c r="G40" s="14" t="n">
        <f aca="false">6</f>
        <v>6</v>
      </c>
      <c r="H40" s="14" t="n">
        <f aca="false">6</f>
        <v>6</v>
      </c>
      <c r="I40" s="14" t="n">
        <f aca="false">6</f>
        <v>6</v>
      </c>
      <c r="J40" s="14" t="n">
        <f aca="false">6</f>
        <v>6</v>
      </c>
      <c r="K40" s="14" t="n">
        <f aca="false">6</f>
        <v>6</v>
      </c>
      <c r="L40" s="14" t="n">
        <f aca="false">6</f>
        <v>6</v>
      </c>
      <c r="M40" s="14" t="n">
        <f aca="false">6</f>
        <v>6</v>
      </c>
      <c r="N40" s="14" t="n">
        <f aca="false">6</f>
        <v>6</v>
      </c>
      <c r="O40" s="14" t="n">
        <f aca="false">6</f>
        <v>6</v>
      </c>
      <c r="P40" s="1" t="s">
        <v>108</v>
      </c>
    </row>
    <row r="41" customFormat="false" ht="15" hidden="false" customHeight="false" outlineLevel="0" collapsed="false">
      <c r="B41" s="3" t="s">
        <v>45</v>
      </c>
      <c r="E41" s="3" t="s">
        <v>43</v>
      </c>
      <c r="F41" s="3" t="s">
        <v>109</v>
      </c>
      <c r="G41" s="3" t="s">
        <v>109</v>
      </c>
      <c r="H41" s="3" t="s">
        <v>109</v>
      </c>
      <c r="I41" s="3" t="s">
        <v>109</v>
      </c>
      <c r="J41" s="3" t="s">
        <v>109</v>
      </c>
      <c r="K41" s="3" t="s">
        <v>109</v>
      </c>
      <c r="L41" s="3" t="s">
        <v>109</v>
      </c>
      <c r="M41" s="3" t="s">
        <v>109</v>
      </c>
      <c r="N41" s="3" t="s">
        <v>109</v>
      </c>
      <c r="O41" s="3" t="s">
        <v>109</v>
      </c>
    </row>
    <row r="42" customFormat="false" ht="41.75" hidden="false" customHeight="false" outlineLevel="0" collapsed="false">
      <c r="A42" s="0" t="s">
        <v>110</v>
      </c>
      <c r="B42" s="0" t="s">
        <v>111</v>
      </c>
      <c r="C42" s="0" t="s">
        <v>80</v>
      </c>
      <c r="D42" s="0" t="s">
        <v>107</v>
      </c>
      <c r="E42" s="10" t="s">
        <v>43</v>
      </c>
      <c r="F42" s="10" t="s">
        <v>43</v>
      </c>
      <c r="G42" s="10" t="s">
        <v>43</v>
      </c>
      <c r="H42" s="10" t="s">
        <v>43</v>
      </c>
      <c r="I42" s="10" t="s">
        <v>43</v>
      </c>
      <c r="J42" s="12" t="n">
        <f aca="false">IFERROR(Inputs!J6*4/((Inputs!I43+Inputs!J43)/2)*100,"n/d")</f>
        <v>16.723323918058</v>
      </c>
      <c r="K42" s="12" t="n">
        <f aca="false">IFERROR(Inputs!K6*4/((Inputs!J43+Inputs!K43)/2)*100,"n/d")</f>
        <v>17.2083688957579</v>
      </c>
      <c r="L42" s="12" t="n">
        <f aca="false">IFERROR(Inputs!L6*4/((Inputs!K43+Inputs!L43)/2)*100,"n/d")</f>
        <v>16.3779240390325</v>
      </c>
      <c r="M42" s="12" t="n">
        <f aca="false">IFERROR(Inputs!M6*4/((Inputs!L43+Inputs!M43)/2)*100,"n/d")</f>
        <v>16.0533377772677</v>
      </c>
      <c r="N42" s="12" t="n">
        <f aca="false">IFERROR(Inputs!N6*4/((Inputs!M43+Inputs!N43)/2)*100,"n/d")</f>
        <v>16.4100363038074</v>
      </c>
      <c r="O42" s="12" t="n">
        <f aca="false">IFERROR(Inputs!O6*4/((Inputs!N43+Inputs!O43)/2)*100,"n/d")</f>
        <v>15.4657488619962</v>
      </c>
      <c r="P42" s="1" t="s">
        <v>112</v>
      </c>
    </row>
    <row r="43" customFormat="false" ht="15" hidden="false" customHeight="false" outlineLevel="0" collapsed="false">
      <c r="B43" s="3" t="s">
        <v>45</v>
      </c>
      <c r="E43" s="3" t="s">
        <v>43</v>
      </c>
      <c r="F43" s="3" t="s">
        <v>43</v>
      </c>
      <c r="G43" s="3" t="s">
        <v>43</v>
      </c>
      <c r="H43" s="3" t="s">
        <v>43</v>
      </c>
      <c r="I43" s="3" t="s">
        <v>43</v>
      </c>
      <c r="J43" s="3" t="s">
        <v>46</v>
      </c>
      <c r="K43" s="3" t="s">
        <v>46</v>
      </c>
      <c r="L43" s="3" t="s">
        <v>46</v>
      </c>
      <c r="M43" s="3" t="s">
        <v>46</v>
      </c>
      <c r="N43" s="3" t="s">
        <v>46</v>
      </c>
      <c r="O43" s="3" t="s">
        <v>46</v>
      </c>
    </row>
    <row r="44" customFormat="false" ht="15" hidden="false" customHeight="false" outlineLevel="0" collapsed="false">
      <c r="A44" s="0" t="s">
        <v>113</v>
      </c>
      <c r="B44" s="0" t="s">
        <v>114</v>
      </c>
      <c r="C44" s="0" t="s">
        <v>106</v>
      </c>
      <c r="D44" s="0" t="s">
        <v>107</v>
      </c>
      <c r="E44" s="10" t="s">
        <v>43</v>
      </c>
      <c r="F44" s="10" t="s">
        <v>43</v>
      </c>
      <c r="G44" s="10" t="s">
        <v>43</v>
      </c>
      <c r="H44" s="10" t="s">
        <v>43</v>
      </c>
      <c r="I44" s="10" t="s">
        <v>43</v>
      </c>
      <c r="J44" s="12" t="n">
        <f aca="false">IFERROR(100/J42,"n/d")</f>
        <v>5.97967249154453</v>
      </c>
      <c r="K44" s="12" t="n">
        <f aca="false">IFERROR(100/K42,"n/d")</f>
        <v>5.81112600536193</v>
      </c>
      <c r="L44" s="12" t="n">
        <f aca="false">IFERROR(100/L42,"n/d")</f>
        <v>6.10577993655829</v>
      </c>
      <c r="M44" s="12" t="n">
        <f aca="false">IFERROR(100/M42,"n/d")</f>
        <v>6.22923415600244</v>
      </c>
      <c r="N44" s="12" t="n">
        <f aca="false">IFERROR(100/N42,"n/d")</f>
        <v>6.09383173496077</v>
      </c>
      <c r="O44" s="12" t="n">
        <f aca="false">IFERROR(100/O42,"n/d")</f>
        <v>6.46590093323762</v>
      </c>
      <c r="P44" s="1" t="s">
        <v>115</v>
      </c>
    </row>
    <row r="45" customFormat="false" ht="15" hidden="false" customHeight="false" outlineLevel="0" collapsed="false">
      <c r="B45" s="3" t="s">
        <v>45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43</v>
      </c>
      <c r="J45" s="3" t="s">
        <v>46</v>
      </c>
      <c r="K45" s="3" t="s">
        <v>46</v>
      </c>
      <c r="L45" s="3" t="s">
        <v>46</v>
      </c>
      <c r="M45" s="3" t="s">
        <v>46</v>
      </c>
      <c r="N45" s="3" t="s">
        <v>46</v>
      </c>
      <c r="O45" s="3" t="s">
        <v>46</v>
      </c>
    </row>
    <row r="46" customFormat="false" ht="15" hidden="false" customHeight="false" outlineLevel="0" collapsed="false">
      <c r="A46" s="0" t="s">
        <v>116</v>
      </c>
      <c r="B46" s="0" t="s">
        <v>117</v>
      </c>
      <c r="C46" s="0" t="s">
        <v>80</v>
      </c>
      <c r="D46" s="0" t="s">
        <v>107</v>
      </c>
      <c r="E46" s="10" t="s">
        <v>43</v>
      </c>
      <c r="F46" s="12" t="n">
        <f aca="false">IFERROR(Inputs!F6/Inputs!F4*100,"n/d")</f>
        <v>42.1392380912001</v>
      </c>
      <c r="G46" s="12" t="n">
        <f aca="false">IFERROR(Inputs!G6/Inputs!G4*100,"n/d")</f>
        <v>41.5963740385613</v>
      </c>
      <c r="H46" s="12" t="n">
        <f aca="false">IFERROR(Inputs!H6/Inputs!H4*100,"n/d")</f>
        <v>43.5016551329672</v>
      </c>
      <c r="I46" s="12" t="n">
        <f aca="false">IFERROR(Inputs!I6/Inputs!I4*100,"n/d")</f>
        <v>48.8900632835182</v>
      </c>
      <c r="J46" s="12" t="n">
        <f aca="false">IFERROR(Inputs!J6/Inputs!J4*100,"n/d")</f>
        <v>45.1798637371235</v>
      </c>
      <c r="K46" s="12" t="n">
        <f aca="false">IFERROR(Inputs!K6/Inputs!K4*100,"n/d")</f>
        <v>46.1333720320452</v>
      </c>
      <c r="L46" s="12" t="n">
        <f aca="false">IFERROR(Inputs!L6/Inputs!L4*100,"n/d")</f>
        <v>46.2014426867623</v>
      </c>
      <c r="M46" s="12" t="n">
        <f aca="false">IFERROR(Inputs!M6/Inputs!M4*100,"n/d")</f>
        <v>52.1946564885496</v>
      </c>
      <c r="N46" s="12" t="n">
        <f aca="false">IFERROR(Inputs!N6/Inputs!N4*100,"n/d")</f>
        <v>55.1973051010587</v>
      </c>
      <c r="O46" s="12" t="n">
        <f aca="false">IFERROR(Inputs!O6/Inputs!O4*100,"n/d")</f>
        <v>54.0970873786408</v>
      </c>
      <c r="P46" s="1" t="s">
        <v>118</v>
      </c>
    </row>
    <row r="47" customFormat="false" ht="15" hidden="false" customHeight="false" outlineLevel="0" collapsed="false">
      <c r="B47" s="3" t="s">
        <v>45</v>
      </c>
      <c r="E47" s="3" t="s">
        <v>43</v>
      </c>
      <c r="F47" s="3" t="s">
        <v>46</v>
      </c>
      <c r="G47" s="3" t="s">
        <v>46</v>
      </c>
      <c r="H47" s="3" t="s">
        <v>46</v>
      </c>
      <c r="I47" s="3" t="s">
        <v>46</v>
      </c>
      <c r="J47" s="3" t="s">
        <v>46</v>
      </c>
      <c r="K47" s="3" t="s">
        <v>46</v>
      </c>
      <c r="L47" s="3" t="s">
        <v>46</v>
      </c>
      <c r="M47" s="3" t="s">
        <v>46</v>
      </c>
      <c r="N47" s="3" t="s">
        <v>46</v>
      </c>
      <c r="O47" s="3" t="s">
        <v>46</v>
      </c>
    </row>
    <row r="48" customFormat="false" ht="15" hidden="false" customHeight="false" outlineLevel="0" collapsed="false">
      <c r="A48" s="5" t="s">
        <v>119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customFormat="false" ht="15" hidden="false" customHeight="false" outlineLevel="0" collapsed="false">
      <c r="A49" s="0" t="s">
        <v>120</v>
      </c>
      <c r="B49" s="0" t="s">
        <v>121</v>
      </c>
      <c r="C49" s="0" t="s">
        <v>122</v>
      </c>
      <c r="D49" s="0" t="s">
        <v>123</v>
      </c>
      <c r="E49" s="15" t="n">
        <f aca="false">Inputs!E17</f>
        <v>9.9</v>
      </c>
      <c r="F49" s="10" t="s">
        <v>43</v>
      </c>
      <c r="G49" s="10" t="s">
        <v>43</v>
      </c>
      <c r="H49" s="10" t="s">
        <v>43</v>
      </c>
      <c r="I49" s="15" t="n">
        <f aca="false">Inputs!I17</f>
        <v>15.1</v>
      </c>
      <c r="J49" s="15" t="n">
        <f aca="false">Inputs!J17</f>
        <v>14.7</v>
      </c>
      <c r="K49" s="15" t="n">
        <f aca="false">Inputs!K17</f>
        <v>30.1</v>
      </c>
      <c r="L49" s="15" t="n">
        <f aca="false">Inputs!L17</f>
        <v>50</v>
      </c>
      <c r="M49" s="15" t="n">
        <f aca="false">Inputs!M17</f>
        <v>60.7</v>
      </c>
      <c r="N49" s="15" t="n">
        <f aca="false">Inputs!N17</f>
        <v>98.8</v>
      </c>
      <c r="O49" s="15" t="n">
        <f aca="false">Inputs!O17</f>
        <v>103.7</v>
      </c>
      <c r="P49" s="1" t="s">
        <v>124</v>
      </c>
    </row>
    <row r="50" customFormat="false" ht="15" hidden="false" customHeight="false" outlineLevel="0" collapsed="false">
      <c r="B50" s="3" t="s">
        <v>45</v>
      </c>
      <c r="E50" s="3" t="s">
        <v>109</v>
      </c>
      <c r="F50" s="3" t="s">
        <v>43</v>
      </c>
      <c r="G50" s="3" t="s">
        <v>43</v>
      </c>
      <c r="H50" s="3" t="s">
        <v>43</v>
      </c>
      <c r="I50" s="3" t="s">
        <v>109</v>
      </c>
      <c r="J50" s="3" t="s">
        <v>109</v>
      </c>
      <c r="K50" s="3" t="s">
        <v>109</v>
      </c>
      <c r="L50" s="3" t="s">
        <v>109</v>
      </c>
      <c r="M50" s="3" t="s">
        <v>109</v>
      </c>
      <c r="N50" s="3" t="s">
        <v>109</v>
      </c>
      <c r="O50" s="3" t="s">
        <v>109</v>
      </c>
    </row>
    <row r="51" customFormat="false" ht="28.35" hidden="false" customHeight="false" outlineLevel="0" collapsed="false">
      <c r="A51" s="0" t="s">
        <v>125</v>
      </c>
      <c r="B51" s="0" t="s">
        <v>126</v>
      </c>
      <c r="C51" s="0" t="s">
        <v>122</v>
      </c>
      <c r="D51" s="0" t="s">
        <v>123</v>
      </c>
      <c r="E51" s="15" t="n">
        <f aca="false">Inputs!E18</f>
        <v>9.9</v>
      </c>
      <c r="F51" s="10" t="s">
        <v>43</v>
      </c>
      <c r="G51" s="10" t="s">
        <v>43</v>
      </c>
      <c r="H51" s="10" t="s">
        <v>43</v>
      </c>
      <c r="I51" s="15" t="n">
        <f aca="false">Inputs!I18</f>
        <v>15.1</v>
      </c>
      <c r="J51" s="15" t="n">
        <f aca="false">Inputs!J18</f>
        <v>25.9</v>
      </c>
      <c r="K51" s="15" t="n">
        <f aca="false">Inputs!K18</f>
        <v>30.1</v>
      </c>
      <c r="L51" s="15" t="n">
        <f aca="false">Inputs!L18</f>
        <v>55.6</v>
      </c>
      <c r="M51" s="15" t="n">
        <f aca="false">Inputs!M18</f>
        <v>66.8</v>
      </c>
      <c r="N51" s="15" t="n">
        <f aca="false">Inputs!N18</f>
        <v>99.4</v>
      </c>
      <c r="O51" s="15" t="n">
        <f aca="false">Inputs!O18</f>
        <v>104.2</v>
      </c>
      <c r="P51" s="1" t="s">
        <v>127</v>
      </c>
    </row>
    <row r="52" customFormat="false" ht="15" hidden="false" customHeight="false" outlineLevel="0" collapsed="false">
      <c r="B52" s="3" t="s">
        <v>45</v>
      </c>
      <c r="E52" s="3" t="s">
        <v>109</v>
      </c>
      <c r="F52" s="3" t="s">
        <v>43</v>
      </c>
      <c r="G52" s="3" t="s">
        <v>43</v>
      </c>
      <c r="H52" s="3" t="s">
        <v>43</v>
      </c>
      <c r="I52" s="3" t="s">
        <v>109</v>
      </c>
      <c r="J52" s="3" t="s">
        <v>109</v>
      </c>
      <c r="K52" s="3" t="s">
        <v>109</v>
      </c>
      <c r="L52" s="3" t="s">
        <v>109</v>
      </c>
      <c r="M52" s="3" t="s">
        <v>109</v>
      </c>
      <c r="N52" s="3" t="s">
        <v>109</v>
      </c>
      <c r="O52" s="3" t="s">
        <v>109</v>
      </c>
    </row>
    <row r="53" customFormat="false" ht="15" hidden="false" customHeight="false" outlineLevel="0" collapsed="false">
      <c r="A53" s="0" t="s">
        <v>128</v>
      </c>
      <c r="B53" s="0" t="s">
        <v>129</v>
      </c>
      <c r="C53" s="0" t="s">
        <v>80</v>
      </c>
      <c r="D53" s="0" t="s">
        <v>123</v>
      </c>
      <c r="E53" s="13" t="s">
        <v>43</v>
      </c>
      <c r="F53" s="13" t="s">
        <v>43</v>
      </c>
      <c r="G53" s="13" t="s">
        <v>43</v>
      </c>
      <c r="H53" s="13" t="s">
        <v>43</v>
      </c>
      <c r="I53" s="14" t="n">
        <f aca="false">Inputs!I19</f>
        <v>54</v>
      </c>
      <c r="J53" s="14" t="n">
        <f aca="false">Inputs!J19</f>
        <v>58</v>
      </c>
      <c r="K53" s="14" t="n">
        <f aca="false">Inputs!K19</f>
        <v>50</v>
      </c>
      <c r="L53" s="14" t="n">
        <f aca="false">Inputs!L19</f>
        <v>42</v>
      </c>
      <c r="M53" s="14" t="n">
        <f aca="false">Inputs!M19</f>
        <v>43</v>
      </c>
      <c r="N53" s="14" t="n">
        <f aca="false">Inputs!N19</f>
        <v>36</v>
      </c>
      <c r="O53" s="14" t="n">
        <f aca="false">Inputs!O19</f>
        <v>41</v>
      </c>
      <c r="P53" s="1" t="s">
        <v>130</v>
      </c>
    </row>
    <row r="54" customFormat="false" ht="15" hidden="false" customHeight="false" outlineLevel="0" collapsed="false">
      <c r="B54" s="3" t="s">
        <v>45</v>
      </c>
      <c r="E54" s="3" t="s">
        <v>43</v>
      </c>
      <c r="F54" s="3" t="s">
        <v>43</v>
      </c>
      <c r="G54" s="3" t="s">
        <v>43</v>
      </c>
      <c r="H54" s="3" t="s">
        <v>43</v>
      </c>
      <c r="I54" s="3" t="s">
        <v>109</v>
      </c>
      <c r="J54" s="3" t="s">
        <v>109</v>
      </c>
      <c r="K54" s="3" t="s">
        <v>109</v>
      </c>
      <c r="L54" s="3" t="s">
        <v>109</v>
      </c>
      <c r="M54" s="3" t="s">
        <v>109</v>
      </c>
      <c r="N54" s="3" t="s">
        <v>109</v>
      </c>
      <c r="O54" s="3" t="s">
        <v>109</v>
      </c>
    </row>
    <row r="55" customFormat="false" ht="15" hidden="false" customHeight="false" outlineLevel="0" collapsed="false">
      <c r="A55" s="0" t="s">
        <v>131</v>
      </c>
      <c r="B55" s="0" t="s">
        <v>132</v>
      </c>
      <c r="C55" s="0" t="s">
        <v>106</v>
      </c>
      <c r="D55" s="0" t="s">
        <v>123</v>
      </c>
      <c r="E55" s="10" t="s">
        <v>43</v>
      </c>
      <c r="F55" s="10" t="s">
        <v>43</v>
      </c>
      <c r="G55" s="10" t="s">
        <v>43</v>
      </c>
      <c r="H55" s="10" t="s">
        <v>43</v>
      </c>
      <c r="I55" s="12" t="n">
        <f aca="false">IFERROR(Inputs!I17*1000/(Inputs!I4*4),"n/d")</f>
        <v>5.05064019373052</v>
      </c>
      <c r="J55" s="12" t="n">
        <f aca="false">IFERROR(Inputs!J17*1000/(Inputs!J4*4),"n/d")</f>
        <v>3.74376548441779</v>
      </c>
      <c r="K55" s="12" t="n">
        <f aca="false">IFERROR(Inputs!K17*1000/(Inputs!K4*4),"n/d")</f>
        <v>6.2047117880454</v>
      </c>
      <c r="L55" s="12" t="n">
        <f aca="false">IFERROR(Inputs!L17*1000/(Inputs!L4*4),"n/d")</f>
        <v>9.15968332410037</v>
      </c>
      <c r="M55" s="12" t="n">
        <f aca="false">IFERROR(Inputs!M17*1000/(Inputs!M4*4),"n/d")</f>
        <v>9.65330788804071</v>
      </c>
      <c r="N55" s="12" t="n">
        <f aca="false">IFERROR(Inputs!N17*1000/(Inputs!N4*4),"n/d")</f>
        <v>11.8864292589028</v>
      </c>
      <c r="O55" s="12" t="n">
        <f aca="false">IFERROR(Inputs!O17*1000/(Inputs!O4*4),"n/d")</f>
        <v>10.0679611650485</v>
      </c>
      <c r="P55" s="1" t="s">
        <v>133</v>
      </c>
    </row>
    <row r="56" customFormat="false" ht="15" hidden="false" customHeight="false" outlineLevel="0" collapsed="false">
      <c r="B56" s="3" t="s">
        <v>45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46</v>
      </c>
      <c r="J56" s="3" t="s">
        <v>46</v>
      </c>
      <c r="K56" s="3" t="s">
        <v>46</v>
      </c>
      <c r="L56" s="3" t="s">
        <v>46</v>
      </c>
      <c r="M56" s="3" t="s">
        <v>46</v>
      </c>
      <c r="N56" s="3" t="s">
        <v>46</v>
      </c>
      <c r="O56" s="3" t="s">
        <v>46</v>
      </c>
    </row>
    <row r="57" customFormat="false" ht="15" hidden="false" customHeight="false" outlineLevel="0" collapsed="false">
      <c r="A57" s="5" t="s">
        <v>134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customFormat="false" ht="15" hidden="false" customHeight="false" outlineLevel="0" collapsed="false">
      <c r="A58" s="0" t="s">
        <v>135</v>
      </c>
      <c r="B58" s="0" t="s">
        <v>136</v>
      </c>
      <c r="C58" s="0" t="s">
        <v>80</v>
      </c>
      <c r="D58" s="0" t="s">
        <v>137</v>
      </c>
      <c r="E58" s="13" t="s">
        <v>43</v>
      </c>
      <c r="F58" s="14" t="n">
        <f aca="false">Inputs!F20</f>
        <v>33</v>
      </c>
      <c r="G58" s="14" t="n">
        <f aca="false">Inputs!G20</f>
        <v>59</v>
      </c>
      <c r="H58" s="14" t="n">
        <f aca="false">Inputs!H20</f>
        <v>65</v>
      </c>
      <c r="I58" s="16" t="n">
        <f aca="false">Inputs!I20</f>
        <v>68.2</v>
      </c>
      <c r="J58" s="14" t="n">
        <f aca="false">Inputs!J20</f>
        <v>72</v>
      </c>
      <c r="K58" s="14" t="n">
        <f aca="false">Inputs!K20</f>
        <v>71</v>
      </c>
      <c r="L58" s="14" t="n">
        <f aca="false">Inputs!L20</f>
        <v>67</v>
      </c>
      <c r="M58" s="16" t="n">
        <f aca="false">Inputs!M20</f>
        <v>60.2</v>
      </c>
      <c r="N58" s="14" t="n">
        <f aca="false">Inputs!N20</f>
        <v>45</v>
      </c>
      <c r="O58" s="14" t="n">
        <f aca="false">Inputs!O20</f>
        <v>36</v>
      </c>
      <c r="P58" s="1" t="s">
        <v>138</v>
      </c>
    </row>
    <row r="59" customFormat="false" ht="15" hidden="false" customHeight="false" outlineLevel="0" collapsed="false">
      <c r="B59" s="3" t="s">
        <v>45</v>
      </c>
      <c r="E59" s="3" t="s">
        <v>43</v>
      </c>
      <c r="F59" s="3" t="s">
        <v>109</v>
      </c>
      <c r="G59" s="3" t="s">
        <v>109</v>
      </c>
      <c r="H59" s="3" t="s">
        <v>109</v>
      </c>
      <c r="I59" s="3" t="s">
        <v>46</v>
      </c>
      <c r="J59" s="3" t="s">
        <v>109</v>
      </c>
      <c r="K59" s="3" t="s">
        <v>109</v>
      </c>
      <c r="L59" s="3" t="s">
        <v>109</v>
      </c>
      <c r="M59" s="3" t="s">
        <v>46</v>
      </c>
      <c r="N59" s="3" t="s">
        <v>109</v>
      </c>
      <c r="O59" s="3" t="s">
        <v>109</v>
      </c>
    </row>
    <row r="60" customFormat="false" ht="15" hidden="false" customHeight="false" outlineLevel="0" collapsed="false">
      <c r="A60" s="0" t="s">
        <v>139</v>
      </c>
      <c r="B60" s="0" t="s">
        <v>140</v>
      </c>
      <c r="C60" s="0" t="s">
        <v>80</v>
      </c>
      <c r="D60" s="0" t="s">
        <v>137</v>
      </c>
      <c r="E60" s="13" t="s">
        <v>43</v>
      </c>
      <c r="F60" s="14" t="n">
        <f aca="false">Inputs!F21</f>
        <v>32</v>
      </c>
      <c r="G60" s="14" t="n">
        <f aca="false">Inputs!G21</f>
        <v>20</v>
      </c>
      <c r="H60" s="14" t="n">
        <f aca="false">Inputs!H21</f>
        <v>12</v>
      </c>
      <c r="I60" s="16" t="n">
        <f aca="false">Inputs!I21</f>
        <v>10.3</v>
      </c>
      <c r="J60" s="13" t="s">
        <v>43</v>
      </c>
      <c r="K60" s="13" t="s">
        <v>43</v>
      </c>
      <c r="L60" s="13" t="s">
        <v>43</v>
      </c>
      <c r="M60" s="13" t="s">
        <v>43</v>
      </c>
      <c r="N60" s="14" t="n">
        <f aca="false">Inputs!N21</f>
        <v>20</v>
      </c>
      <c r="O60" s="14" t="n">
        <f aca="false">Inputs!O21</f>
        <v>26</v>
      </c>
      <c r="P60" s="1" t="s">
        <v>141</v>
      </c>
    </row>
    <row r="61" customFormat="false" ht="15" hidden="false" customHeight="false" outlineLevel="0" collapsed="false">
      <c r="B61" s="3" t="s">
        <v>45</v>
      </c>
      <c r="E61" s="3" t="s">
        <v>43</v>
      </c>
      <c r="F61" s="3" t="s">
        <v>109</v>
      </c>
      <c r="G61" s="3" t="s">
        <v>109</v>
      </c>
      <c r="H61" s="3" t="s">
        <v>109</v>
      </c>
      <c r="I61" s="3" t="s">
        <v>46</v>
      </c>
      <c r="J61" s="3" t="s">
        <v>43</v>
      </c>
      <c r="K61" s="3" t="s">
        <v>43</v>
      </c>
      <c r="L61" s="3" t="s">
        <v>43</v>
      </c>
      <c r="M61" s="3" t="s">
        <v>43</v>
      </c>
      <c r="N61" s="3" t="s">
        <v>109</v>
      </c>
      <c r="O61" s="3" t="s">
        <v>109</v>
      </c>
    </row>
    <row r="62" customFormat="false" ht="15" hidden="false" customHeight="false" outlineLevel="0" collapsed="false">
      <c r="A62" s="0" t="s">
        <v>142</v>
      </c>
      <c r="B62" s="0" t="s">
        <v>143</v>
      </c>
      <c r="C62" s="0" t="s">
        <v>80</v>
      </c>
      <c r="D62" s="0" t="s">
        <v>137</v>
      </c>
      <c r="E62" s="13" t="s">
        <v>43</v>
      </c>
      <c r="F62" s="14" t="n">
        <f aca="false">SUM(Inputs!F20,Inputs!F21,Inputs!F22)</f>
        <v>83</v>
      </c>
      <c r="G62" s="14" t="n">
        <f aca="false">SUM(Inputs!G20,Inputs!G21,Inputs!G22)</f>
        <v>79</v>
      </c>
      <c r="H62" s="14" t="n">
        <f aca="false">SUM(Inputs!H20,Inputs!H21,Inputs!H22)</f>
        <v>77</v>
      </c>
      <c r="I62" s="16" t="n">
        <f aca="false">SUM(Inputs!I20,Inputs!I21,Inputs!I22)</f>
        <v>78.5</v>
      </c>
      <c r="J62" s="14" t="n">
        <f aca="false">SUM(Inputs!J20,Inputs!J21,Inputs!J22)</f>
        <v>72</v>
      </c>
      <c r="K62" s="14" t="n">
        <f aca="false">SUM(Inputs!K20,Inputs!K21,Inputs!K22)</f>
        <v>71</v>
      </c>
      <c r="L62" s="14" t="n">
        <f aca="false">SUM(Inputs!L20,Inputs!L21,Inputs!L22)</f>
        <v>67</v>
      </c>
      <c r="M62" s="16" t="n">
        <f aca="false">SUM(Inputs!M20,Inputs!M21,Inputs!M22)</f>
        <v>60.2</v>
      </c>
      <c r="N62" s="14" t="n">
        <f aca="false">SUM(Inputs!N20,Inputs!N21,Inputs!N22)</f>
        <v>65</v>
      </c>
      <c r="O62" s="14" t="n">
        <f aca="false">SUM(Inputs!O20,Inputs!O21,Inputs!O22)</f>
        <v>72</v>
      </c>
      <c r="P62" s="1" t="s">
        <v>144</v>
      </c>
    </row>
    <row r="63" customFormat="false" ht="15" hidden="false" customHeight="false" outlineLevel="0" collapsed="false">
      <c r="B63" s="3" t="s">
        <v>45</v>
      </c>
      <c r="E63" s="3" t="s">
        <v>43</v>
      </c>
      <c r="F63" s="3" t="s">
        <v>109</v>
      </c>
      <c r="G63" s="3" t="s">
        <v>109</v>
      </c>
      <c r="H63" s="3" t="s">
        <v>109</v>
      </c>
      <c r="I63" s="3" t="s">
        <v>46</v>
      </c>
      <c r="J63" s="3" t="s">
        <v>109</v>
      </c>
      <c r="K63" s="3" t="s">
        <v>109</v>
      </c>
      <c r="L63" s="3" t="s">
        <v>109</v>
      </c>
      <c r="M63" s="3" t="s">
        <v>46</v>
      </c>
      <c r="N63" s="3" t="s">
        <v>109</v>
      </c>
      <c r="O63" s="3" t="s">
        <v>109</v>
      </c>
    </row>
    <row r="64" customFormat="false" ht="15" hidden="false" customHeight="false" outlineLevel="0" collapsed="false">
      <c r="A64" s="0" t="s">
        <v>145</v>
      </c>
      <c r="B64" s="0" t="s">
        <v>146</v>
      </c>
      <c r="C64" s="0" t="s">
        <v>147</v>
      </c>
      <c r="D64" s="0" t="s">
        <v>137</v>
      </c>
      <c r="E64" s="13" t="s">
        <v>43</v>
      </c>
      <c r="F64" s="14" t="n">
        <f aca="false">Inputs!F23</f>
        <v>3</v>
      </c>
      <c r="G64" s="14" t="n">
        <f aca="false">Inputs!G23</f>
        <v>2</v>
      </c>
      <c r="H64" s="14" t="n">
        <f aca="false">Inputs!H23</f>
        <v>2</v>
      </c>
      <c r="I64" s="16" t="n">
        <f aca="false">Inputs!I23</f>
        <v>2</v>
      </c>
      <c r="J64" s="14" t="n">
        <f aca="false">Inputs!J23</f>
        <v>1</v>
      </c>
      <c r="K64" s="14" t="n">
        <f aca="false">Inputs!K23</f>
        <v>1</v>
      </c>
      <c r="L64" s="14" t="n">
        <f aca="false">Inputs!L23</f>
        <v>1</v>
      </c>
      <c r="M64" s="16" t="n">
        <f aca="false">Inputs!M23</f>
        <v>1</v>
      </c>
      <c r="N64" s="14" t="n">
        <f aca="false">Inputs!N23</f>
        <v>2</v>
      </c>
      <c r="O64" s="14" t="n">
        <f aca="false">Inputs!O23</f>
        <v>3</v>
      </c>
      <c r="P64" s="1"/>
    </row>
    <row r="65" customFormat="false" ht="15" hidden="false" customHeight="false" outlineLevel="0" collapsed="false">
      <c r="B65" s="3" t="s">
        <v>45</v>
      </c>
      <c r="E65" s="3" t="s">
        <v>43</v>
      </c>
      <c r="F65" s="3" t="s">
        <v>109</v>
      </c>
      <c r="G65" s="3" t="s">
        <v>109</v>
      </c>
      <c r="H65" s="3" t="s">
        <v>109</v>
      </c>
      <c r="I65" s="3" t="s">
        <v>46</v>
      </c>
      <c r="J65" s="3" t="s">
        <v>109</v>
      </c>
      <c r="K65" s="3" t="s">
        <v>109</v>
      </c>
      <c r="L65" s="3" t="s">
        <v>109</v>
      </c>
      <c r="M65" s="3" t="s">
        <v>46</v>
      </c>
      <c r="N65" s="3" t="s">
        <v>109</v>
      </c>
      <c r="O65" s="3" t="s">
        <v>109</v>
      </c>
    </row>
    <row r="66" customFormat="false" ht="15" hidden="false" customHeight="false" outlineLevel="0" collapsed="false">
      <c r="A66" s="5" t="s">
        <v>148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customFormat="false" ht="28.35" hidden="false" customHeight="false" outlineLevel="0" collapsed="false">
      <c r="A67" s="0" t="s">
        <v>149</v>
      </c>
      <c r="B67" s="0" t="s">
        <v>150</v>
      </c>
      <c r="C67" s="0" t="s">
        <v>80</v>
      </c>
      <c r="D67" s="0" t="s">
        <v>151</v>
      </c>
      <c r="E67" s="8" t="n">
        <f aca="false">Debt_Facilities!D29</f>
        <v>14.6689814919015</v>
      </c>
      <c r="F67" s="7" t="s">
        <v>43</v>
      </c>
      <c r="G67" s="7" t="s">
        <v>43</v>
      </c>
      <c r="H67" s="7" t="s">
        <v>43</v>
      </c>
      <c r="I67" s="8" t="n">
        <f aca="false">Debt_Facilities!F29</f>
        <v>11.9800042995082</v>
      </c>
      <c r="J67" s="8" t="n">
        <f aca="false">Debt_Facilities!H29</f>
        <v>11.7664822947436</v>
      </c>
      <c r="K67" s="8" t="n">
        <f aca="false">Debt_Facilities!J29</f>
        <v>11.0889808293168</v>
      </c>
      <c r="L67" s="8" t="n">
        <f aca="false">Debt_Facilities!L29</f>
        <v>10.2802553249963</v>
      </c>
      <c r="M67" s="8" t="n">
        <f aca="false">Debt_Facilities!N29</f>
        <v>9.07573444367337</v>
      </c>
      <c r="N67" s="8" t="n">
        <f aca="false">Debt_Facilities!P29</f>
        <v>9.06477394727425</v>
      </c>
      <c r="O67" s="8" t="n">
        <f aca="false">Debt_Facilities!R29</f>
        <v>8.4134342212596</v>
      </c>
      <c r="P67" s="1" t="s">
        <v>152</v>
      </c>
    </row>
    <row r="68" customFormat="false" ht="15" hidden="false" customHeight="false" outlineLevel="0" collapsed="false">
      <c r="B68" s="3" t="s">
        <v>45</v>
      </c>
      <c r="E68" s="3" t="s">
        <v>46</v>
      </c>
      <c r="F68" s="3" t="s">
        <v>43</v>
      </c>
      <c r="G68" s="3" t="s">
        <v>43</v>
      </c>
      <c r="H68" s="3" t="s">
        <v>43</v>
      </c>
      <c r="I68" s="3" t="s">
        <v>46</v>
      </c>
      <c r="J68" s="3" t="s">
        <v>46</v>
      </c>
      <c r="K68" s="3" t="s">
        <v>46</v>
      </c>
      <c r="L68" s="3" t="s">
        <v>46</v>
      </c>
      <c r="M68" s="3" t="s">
        <v>46</v>
      </c>
      <c r="N68" s="3" t="s">
        <v>46</v>
      </c>
      <c r="O68" s="3" t="s">
        <v>46</v>
      </c>
    </row>
    <row r="69" customFormat="false" ht="15" hidden="false" customHeight="false" outlineLevel="0" collapsed="false">
      <c r="A69" s="0" t="s">
        <v>153</v>
      </c>
      <c r="B69" s="0" t="s">
        <v>154</v>
      </c>
      <c r="C69" s="0" t="s">
        <v>80</v>
      </c>
      <c r="D69" s="0" t="s">
        <v>151</v>
      </c>
      <c r="E69" s="8" t="n">
        <f aca="false">Debt_Facilities!D30</f>
        <v>15</v>
      </c>
      <c r="F69" s="7" t="s">
        <v>43</v>
      </c>
      <c r="G69" s="7" t="s">
        <v>43</v>
      </c>
      <c r="H69" s="7" t="s">
        <v>43</v>
      </c>
      <c r="I69" s="8" t="n">
        <f aca="false">Debt_Facilities!F30</f>
        <v>12.3745835908187</v>
      </c>
      <c r="J69" s="8" t="n">
        <f aca="false">Debt_Facilities!H30</f>
        <v>12.2078672740059</v>
      </c>
      <c r="K69" s="8" t="n">
        <f aca="false">Debt_Facilities!J30</f>
        <v>12.0584183074006</v>
      </c>
      <c r="L69" s="8" t="n">
        <f aca="false">Debt_Facilities!L30</f>
        <v>10.811266201744</v>
      </c>
      <c r="M69" s="8" t="n">
        <f aca="false">Debt_Facilities!N30</f>
        <v>10.4843346086237</v>
      </c>
      <c r="N69" s="8" t="n">
        <f aca="false">Debt_Facilities!P30</f>
        <v>10.2651611266176</v>
      </c>
      <c r="O69" s="8" t="n">
        <f aca="false">Debt_Facilities!R30</f>
        <v>9.62346991130983</v>
      </c>
      <c r="P69" s="1" t="s">
        <v>155</v>
      </c>
    </row>
    <row r="70" customFormat="false" ht="15" hidden="false" customHeight="false" outlineLevel="0" collapsed="false">
      <c r="B70" s="3" t="s">
        <v>45</v>
      </c>
      <c r="E70" s="3" t="s">
        <v>46</v>
      </c>
      <c r="F70" s="3" t="s">
        <v>43</v>
      </c>
      <c r="G70" s="3" t="s">
        <v>43</v>
      </c>
      <c r="H70" s="3" t="s">
        <v>43</v>
      </c>
      <c r="I70" s="3" t="s">
        <v>46</v>
      </c>
      <c r="J70" s="3" t="s">
        <v>46</v>
      </c>
      <c r="K70" s="3" t="s">
        <v>46</v>
      </c>
      <c r="L70" s="3" t="s">
        <v>46</v>
      </c>
      <c r="M70" s="3" t="s">
        <v>46</v>
      </c>
      <c r="N70" s="3" t="s">
        <v>46</v>
      </c>
      <c r="O70" s="3" t="s">
        <v>46</v>
      </c>
    </row>
    <row r="71" customFormat="false" ht="15" hidden="false" customHeight="false" outlineLevel="0" collapsed="false">
      <c r="A71" s="0" t="s">
        <v>156</v>
      </c>
      <c r="B71" s="0" t="s">
        <v>157</v>
      </c>
      <c r="C71" s="0" t="s">
        <v>80</v>
      </c>
      <c r="D71" s="0" t="s">
        <v>151</v>
      </c>
      <c r="E71" s="8" t="n">
        <f aca="false">Debt_Facilities!D31</f>
        <v>10</v>
      </c>
      <c r="F71" s="7" t="s">
        <v>43</v>
      </c>
      <c r="G71" s="7" t="s">
        <v>43</v>
      </c>
      <c r="H71" s="7" t="s">
        <v>43</v>
      </c>
      <c r="I71" s="8" t="str">
        <f aca="false">Debt_Facilities!F31</f>
        <v>n/d</v>
      </c>
      <c r="J71" s="8" t="str">
        <f aca="false">Debt_Facilities!H31</f>
        <v>n/d</v>
      </c>
      <c r="K71" s="8" t="n">
        <f aca="false">Debt_Facilities!J31</f>
        <v>10</v>
      </c>
      <c r="L71" s="8" t="n">
        <f aca="false">Debt_Facilities!L31</f>
        <v>10</v>
      </c>
      <c r="M71" s="8" t="n">
        <f aca="false">Debt_Facilities!N31</f>
        <v>10</v>
      </c>
      <c r="N71" s="8" t="n">
        <f aca="false">Debt_Facilities!P31</f>
        <v>10</v>
      </c>
      <c r="O71" s="8" t="n">
        <f aca="false">Debt_Facilities!R31</f>
        <v>9.77275899890318</v>
      </c>
      <c r="P71" s="1" t="s">
        <v>155</v>
      </c>
    </row>
    <row r="72" customFormat="false" ht="15" hidden="false" customHeight="false" outlineLevel="0" collapsed="false">
      <c r="B72" s="3" t="s">
        <v>45</v>
      </c>
      <c r="E72" s="3" t="s">
        <v>46</v>
      </c>
      <c r="F72" s="3" t="s">
        <v>43</v>
      </c>
      <c r="G72" s="3" t="s">
        <v>43</v>
      </c>
      <c r="H72" s="3" t="s">
        <v>43</v>
      </c>
      <c r="I72" s="3" t="s">
        <v>46</v>
      </c>
      <c r="J72" s="3" t="s">
        <v>46</v>
      </c>
      <c r="K72" s="3" t="s">
        <v>46</v>
      </c>
      <c r="L72" s="3" t="s">
        <v>46</v>
      </c>
      <c r="M72" s="3" t="s">
        <v>46</v>
      </c>
      <c r="N72" s="3" t="s">
        <v>46</v>
      </c>
      <c r="O72" s="3" t="s">
        <v>46</v>
      </c>
    </row>
    <row r="73" customFormat="false" ht="15" hidden="false" customHeight="false" outlineLevel="0" collapsed="false">
      <c r="A73" s="0" t="s">
        <v>158</v>
      </c>
      <c r="B73" s="0" t="s">
        <v>159</v>
      </c>
      <c r="C73" s="0" t="s">
        <v>80</v>
      </c>
      <c r="D73" s="0" t="s">
        <v>151</v>
      </c>
      <c r="E73" s="8" t="n">
        <f aca="false">Debt_Facilities!D32</f>
        <v>17</v>
      </c>
      <c r="F73" s="7" t="s">
        <v>43</v>
      </c>
      <c r="G73" s="7" t="s">
        <v>43</v>
      </c>
      <c r="H73" s="7" t="s">
        <v>43</v>
      </c>
      <c r="I73" s="8" t="str">
        <f aca="false">Debt_Facilities!F32</f>
        <v>n/d</v>
      </c>
      <c r="J73" s="8" t="str">
        <f aca="false">Debt_Facilities!H32</f>
        <v>n/d</v>
      </c>
      <c r="K73" s="8" t="str">
        <f aca="false">Debt_Facilities!J32</f>
        <v>n/d</v>
      </c>
      <c r="L73" s="8" t="str">
        <f aca="false">Debt_Facilities!L32</f>
        <v>n/d</v>
      </c>
      <c r="M73" s="8" t="n">
        <f aca="false">Debt_Facilities!N32</f>
        <v>2.30478955007257</v>
      </c>
      <c r="N73" s="8" t="n">
        <f aca="false">Debt_Facilities!P32</f>
        <v>2.3098948894527</v>
      </c>
      <c r="O73" s="8" t="n">
        <f aca="false">Debt_Facilities!R32</f>
        <v>2</v>
      </c>
      <c r="P73" s="1" t="s">
        <v>155</v>
      </c>
    </row>
    <row r="74" customFormat="false" ht="15" hidden="false" customHeight="false" outlineLevel="0" collapsed="false">
      <c r="B74" s="3" t="s">
        <v>45</v>
      </c>
      <c r="E74" s="3" t="s">
        <v>46</v>
      </c>
      <c r="F74" s="3" t="s">
        <v>43</v>
      </c>
      <c r="G74" s="3" t="s">
        <v>43</v>
      </c>
      <c r="H74" s="3" t="s">
        <v>43</v>
      </c>
      <c r="I74" s="3" t="s">
        <v>46</v>
      </c>
      <c r="J74" s="3" t="s">
        <v>46</v>
      </c>
      <c r="K74" s="3" t="s">
        <v>46</v>
      </c>
      <c r="L74" s="3" t="s">
        <v>46</v>
      </c>
      <c r="M74" s="3" t="s">
        <v>46</v>
      </c>
      <c r="N74" s="3" t="s">
        <v>46</v>
      </c>
      <c r="O74" s="3" t="s">
        <v>46</v>
      </c>
    </row>
    <row r="75" customFormat="false" ht="15" hidden="false" customHeight="false" outlineLevel="0" collapsed="false">
      <c r="A75" s="0" t="s">
        <v>160</v>
      </c>
      <c r="B75" s="0" t="s">
        <v>161</v>
      </c>
      <c r="C75" s="0" t="s">
        <v>80</v>
      </c>
      <c r="D75" s="0" t="s">
        <v>151</v>
      </c>
      <c r="E75" s="8" t="str">
        <f aca="false">Debt_Facilities!D33</f>
        <v>n/d</v>
      </c>
      <c r="F75" s="7" t="s">
        <v>43</v>
      </c>
      <c r="G75" s="7" t="s">
        <v>43</v>
      </c>
      <c r="H75" s="7" t="s">
        <v>43</v>
      </c>
      <c r="I75" s="8" t="n">
        <f aca="false">Debt_Facilities!F33</f>
        <v>10</v>
      </c>
      <c r="J75" s="8" t="n">
        <f aca="false">Debt_Facilities!H33</f>
        <v>9.5</v>
      </c>
      <c r="K75" s="8" t="n">
        <f aca="false">Debt_Facilities!J33</f>
        <v>9.5</v>
      </c>
      <c r="L75" s="8" t="n">
        <f aca="false">Debt_Facilities!L33</f>
        <v>9</v>
      </c>
      <c r="M75" s="8" t="n">
        <f aca="false">Debt_Facilities!N33</f>
        <v>10</v>
      </c>
      <c r="N75" s="8" t="n">
        <f aca="false">Debt_Facilities!P33</f>
        <v>10</v>
      </c>
      <c r="O75" s="8" t="n">
        <f aca="false">Debt_Facilities!R33</f>
        <v>10.6542532340259</v>
      </c>
      <c r="P75" s="1" t="s">
        <v>155</v>
      </c>
    </row>
    <row r="76" customFormat="false" ht="15" hidden="false" customHeight="false" outlineLevel="0" collapsed="false">
      <c r="B76" s="3" t="s">
        <v>45</v>
      </c>
      <c r="E76" s="3" t="s">
        <v>46</v>
      </c>
      <c r="F76" s="3" t="s">
        <v>43</v>
      </c>
      <c r="G76" s="3" t="s">
        <v>43</v>
      </c>
      <c r="H76" s="3" t="s">
        <v>43</v>
      </c>
      <c r="I76" s="3" t="s">
        <v>46</v>
      </c>
      <c r="J76" s="3" t="s">
        <v>46</v>
      </c>
      <c r="K76" s="3" t="s">
        <v>46</v>
      </c>
      <c r="L76" s="3" t="s">
        <v>46</v>
      </c>
      <c r="M76" s="3" t="s">
        <v>46</v>
      </c>
      <c r="N76" s="3" t="s">
        <v>46</v>
      </c>
      <c r="O76" s="3" t="s">
        <v>46</v>
      </c>
    </row>
    <row r="77" customFormat="false" ht="15" hidden="false" customHeight="false" outlineLevel="0" collapsed="false">
      <c r="A77" s="0" t="s">
        <v>162</v>
      </c>
      <c r="B77" s="0" t="s">
        <v>163</v>
      </c>
      <c r="C77" s="0" t="s">
        <v>80</v>
      </c>
      <c r="D77" s="0" t="s">
        <v>151</v>
      </c>
      <c r="E77" s="8" t="str">
        <f aca="false">Debt_Facilities!D34</f>
        <v>n/d</v>
      </c>
      <c r="F77" s="7" t="s">
        <v>43</v>
      </c>
      <c r="G77" s="7" t="s">
        <v>43</v>
      </c>
      <c r="H77" s="7" t="s">
        <v>43</v>
      </c>
      <c r="I77" s="8" t="str">
        <f aca="false">Debt_Facilities!F34</f>
        <v>n/d</v>
      </c>
      <c r="J77" s="8" t="n">
        <f aca="false">Debt_Facilities!H34</f>
        <v>6</v>
      </c>
      <c r="K77" s="8" t="n">
        <f aca="false">Debt_Facilities!J34</f>
        <v>7</v>
      </c>
      <c r="L77" s="8" t="n">
        <f aca="false">Debt_Facilities!L34</f>
        <v>7</v>
      </c>
      <c r="M77" s="8" t="n">
        <f aca="false">Debt_Facilities!N34</f>
        <v>6</v>
      </c>
      <c r="N77" s="8" t="n">
        <f aca="false">Debt_Facilities!P34</f>
        <v>6</v>
      </c>
      <c r="O77" s="8" t="str">
        <f aca="false">Debt_Facilities!R34</f>
        <v>n/d</v>
      </c>
      <c r="P77" s="1" t="s">
        <v>155</v>
      </c>
    </row>
    <row r="78" customFormat="false" ht="15" hidden="false" customHeight="false" outlineLevel="0" collapsed="false">
      <c r="B78" s="3" t="s">
        <v>45</v>
      </c>
      <c r="E78" s="3" t="s">
        <v>46</v>
      </c>
      <c r="F78" s="3" t="s">
        <v>43</v>
      </c>
      <c r="G78" s="3" t="s">
        <v>43</v>
      </c>
      <c r="H78" s="3" t="s">
        <v>43</v>
      </c>
      <c r="I78" s="3" t="s">
        <v>46</v>
      </c>
      <c r="J78" s="3" t="s">
        <v>46</v>
      </c>
      <c r="K78" s="3" t="s">
        <v>46</v>
      </c>
      <c r="L78" s="3" t="s">
        <v>46</v>
      </c>
      <c r="M78" s="3" t="s">
        <v>46</v>
      </c>
      <c r="N78" s="3" t="s">
        <v>46</v>
      </c>
      <c r="O78" s="3" t="s">
        <v>46</v>
      </c>
    </row>
    <row r="79" customFormat="false" ht="15" hidden="false" customHeight="false" outlineLevel="0" collapsed="false">
      <c r="A79" s="0" t="s">
        <v>164</v>
      </c>
      <c r="B79" s="0" t="s">
        <v>165</v>
      </c>
      <c r="C79" s="0" t="s">
        <v>80</v>
      </c>
      <c r="D79" s="0" t="s">
        <v>151</v>
      </c>
      <c r="E79" s="8" t="str">
        <f aca="false">Debt_Facilities!D35</f>
        <v>n/d</v>
      </c>
      <c r="F79" s="7" t="s">
        <v>43</v>
      </c>
      <c r="G79" s="7" t="s">
        <v>43</v>
      </c>
      <c r="H79" s="7" t="s">
        <v>43</v>
      </c>
      <c r="I79" s="8" t="n">
        <f aca="false">Debt_Facilities!F35</f>
        <v>12</v>
      </c>
      <c r="J79" s="8" t="n">
        <f aca="false">Debt_Facilities!H35</f>
        <v>12</v>
      </c>
      <c r="K79" s="8" t="n">
        <f aca="false">Debt_Facilities!J35</f>
        <v>12</v>
      </c>
      <c r="L79" s="8" t="n">
        <f aca="false">Debt_Facilities!L35</f>
        <v>12</v>
      </c>
      <c r="M79" s="8" t="n">
        <f aca="false">Debt_Facilities!N35</f>
        <v>12</v>
      </c>
      <c r="N79" s="8" t="n">
        <f aca="false">Debt_Facilities!P35</f>
        <v>12</v>
      </c>
      <c r="O79" s="8" t="n">
        <f aca="false">Debt_Facilities!R35</f>
        <v>12</v>
      </c>
      <c r="P79" s="1" t="s">
        <v>155</v>
      </c>
    </row>
    <row r="80" customFormat="false" ht="15" hidden="false" customHeight="false" outlineLevel="0" collapsed="false">
      <c r="B80" s="3" t="s">
        <v>45</v>
      </c>
      <c r="E80" s="3" t="s">
        <v>46</v>
      </c>
      <c r="F80" s="3" t="s">
        <v>43</v>
      </c>
      <c r="G80" s="3" t="s">
        <v>43</v>
      </c>
      <c r="H80" s="3" t="s">
        <v>43</v>
      </c>
      <c r="I80" s="3" t="s">
        <v>46</v>
      </c>
      <c r="J80" s="3" t="s">
        <v>46</v>
      </c>
      <c r="K80" s="3" t="s">
        <v>46</v>
      </c>
      <c r="L80" s="3" t="s">
        <v>46</v>
      </c>
      <c r="M80" s="3" t="s">
        <v>46</v>
      </c>
      <c r="N80" s="3" t="s">
        <v>46</v>
      </c>
      <c r="O80" s="3" t="s">
        <v>46</v>
      </c>
    </row>
    <row r="81" customFormat="false" ht="15" hidden="false" customHeight="false" outlineLevel="0" collapsed="false">
      <c r="A81" s="0" t="s">
        <v>166</v>
      </c>
      <c r="B81" s="0" t="s">
        <v>167</v>
      </c>
      <c r="C81" s="0" t="s">
        <v>80</v>
      </c>
      <c r="D81" s="0" t="s">
        <v>151</v>
      </c>
      <c r="E81" s="16" t="n">
        <f aca="false">Debt_Facilities!D36</f>
        <v>88.4167637161273</v>
      </c>
      <c r="F81" s="13" t="s">
        <v>43</v>
      </c>
      <c r="G81" s="13" t="s">
        <v>43</v>
      </c>
      <c r="H81" s="13" t="s">
        <v>43</v>
      </c>
      <c r="I81" s="16" t="n">
        <f aca="false">Debt_Facilities!F36</f>
        <v>72.8989328033179</v>
      </c>
      <c r="J81" s="16" t="n">
        <f aca="false">Debt_Facilities!H36</f>
        <v>71.3426357933955</v>
      </c>
      <c r="K81" s="16" t="n">
        <f aca="false">Debt_Facilities!J36</f>
        <v>60.3005509115395</v>
      </c>
      <c r="L81" s="16" t="n">
        <f aca="false">Debt_Facilities!L36</f>
        <v>58.463472846834</v>
      </c>
      <c r="M81" s="16" t="n">
        <f aca="false">Debt_Facilities!N36</f>
        <v>44.7420772611612</v>
      </c>
      <c r="N81" s="16" t="n">
        <f aca="false">Debt_Facilities!P36</f>
        <v>47.0118096146964</v>
      </c>
      <c r="O81" s="16" t="n">
        <f aca="false">Debt_Facilities!R36</f>
        <v>38.3758544063458</v>
      </c>
      <c r="P81" s="1"/>
    </row>
    <row r="82" customFormat="false" ht="15" hidden="false" customHeight="false" outlineLevel="0" collapsed="false">
      <c r="B82" s="3" t="s">
        <v>45</v>
      </c>
      <c r="E82" s="3" t="s">
        <v>46</v>
      </c>
      <c r="F82" s="3" t="s">
        <v>43</v>
      </c>
      <c r="G82" s="3" t="s">
        <v>43</v>
      </c>
      <c r="H82" s="3" t="s">
        <v>43</v>
      </c>
      <c r="I82" s="3" t="s">
        <v>46</v>
      </c>
      <c r="J82" s="3" t="s">
        <v>46</v>
      </c>
      <c r="K82" s="3" t="s">
        <v>46</v>
      </c>
      <c r="L82" s="3" t="s">
        <v>46</v>
      </c>
      <c r="M82" s="3" t="s">
        <v>46</v>
      </c>
      <c r="N82" s="3" t="s">
        <v>46</v>
      </c>
      <c r="O82" s="3" t="s">
        <v>46</v>
      </c>
    </row>
    <row r="83" customFormat="false" ht="28.35" hidden="false" customHeight="false" outlineLevel="0" collapsed="false">
      <c r="A83" s="0" t="s">
        <v>168</v>
      </c>
      <c r="B83" s="0" t="s">
        <v>169</v>
      </c>
      <c r="C83" s="0" t="s">
        <v>80</v>
      </c>
      <c r="D83" s="0" t="s">
        <v>151</v>
      </c>
      <c r="E83" s="7" t="s">
        <v>43</v>
      </c>
      <c r="F83" s="7" t="s">
        <v>43</v>
      </c>
      <c r="G83" s="7" t="s">
        <v>43</v>
      </c>
      <c r="H83" s="7" t="s">
        <v>43</v>
      </c>
      <c r="I83" s="7" t="s">
        <v>43</v>
      </c>
      <c r="J83" s="8" t="n">
        <f aca="false">IFERROR(Inputs!J24*4/Inputs!J45*100,"n/d")</f>
        <v>11.0571343305348</v>
      </c>
      <c r="K83" s="8" t="n">
        <f aca="false">IFERROR(Inputs!K24*4/Inputs!K45*100,"n/d")</f>
        <v>10.0228004776518</v>
      </c>
      <c r="L83" s="8" t="n">
        <f aca="false">IFERROR(Inputs!L24*4/Inputs!L45*100,"n/d")</f>
        <v>10.2182024627028</v>
      </c>
      <c r="M83" s="8" t="n">
        <f aca="false">IFERROR(Inputs!M24*4/Inputs!M45*100,"n/d")</f>
        <v>9.21902650197927</v>
      </c>
      <c r="N83" s="8" t="n">
        <f aca="false">IFERROR(Inputs!N24*4/Inputs!N45*100,"n/d")</f>
        <v>8.26276623043367</v>
      </c>
      <c r="O83" s="8" t="n">
        <f aca="false">IFERROR(Inputs!O24*4/Inputs!O45*100,"n/d")</f>
        <v>7.80230642504119</v>
      </c>
      <c r="P83" s="1" t="s">
        <v>170</v>
      </c>
    </row>
    <row r="84" customFormat="false" ht="15" hidden="false" customHeight="false" outlineLevel="0" collapsed="false">
      <c r="B84" s="3" t="s">
        <v>45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43</v>
      </c>
      <c r="J84" s="3" t="s">
        <v>46</v>
      </c>
      <c r="K84" s="3" t="s">
        <v>46</v>
      </c>
      <c r="L84" s="3" t="s">
        <v>46</v>
      </c>
      <c r="M84" s="3" t="s">
        <v>46</v>
      </c>
      <c r="N84" s="3" t="s">
        <v>46</v>
      </c>
      <c r="O84" s="3" t="s">
        <v>46</v>
      </c>
    </row>
    <row r="85" customFormat="false" ht="15" hidden="false" customHeight="false" outlineLevel="0" collapsed="false">
      <c r="A85" s="0" t="s">
        <v>171</v>
      </c>
      <c r="B85" s="0" t="s">
        <v>172</v>
      </c>
      <c r="C85" s="0" t="s">
        <v>80</v>
      </c>
      <c r="D85" s="0" t="s">
        <v>151</v>
      </c>
      <c r="E85" s="15" t="n">
        <f aca="false">Inputs!E27</f>
        <v>14.9</v>
      </c>
      <c r="F85" s="10" t="s">
        <v>43</v>
      </c>
      <c r="G85" s="10" t="s">
        <v>43</v>
      </c>
      <c r="H85" s="10" t="s">
        <v>43</v>
      </c>
      <c r="I85" s="15" t="n">
        <f aca="false">Inputs!I27</f>
        <v>12.2</v>
      </c>
      <c r="J85" s="10" t="s">
        <v>43</v>
      </c>
      <c r="K85" s="10" t="s">
        <v>43</v>
      </c>
      <c r="L85" s="10" t="s">
        <v>43</v>
      </c>
      <c r="M85" s="15" t="n">
        <f aca="false">Inputs!M27</f>
        <v>9</v>
      </c>
      <c r="N85" s="10" t="s">
        <v>43</v>
      </c>
      <c r="O85" s="15" t="n">
        <f aca="false">Inputs!O27</f>
        <v>8.3</v>
      </c>
      <c r="P85" s="1" t="s">
        <v>173</v>
      </c>
    </row>
    <row r="86" customFormat="false" ht="15" hidden="false" customHeight="false" outlineLevel="0" collapsed="false">
      <c r="B86" s="3" t="s">
        <v>45</v>
      </c>
      <c r="E86" s="3" t="s">
        <v>109</v>
      </c>
      <c r="F86" s="3" t="s">
        <v>43</v>
      </c>
      <c r="G86" s="3" t="s">
        <v>43</v>
      </c>
      <c r="H86" s="3" t="s">
        <v>43</v>
      </c>
      <c r="I86" s="3" t="s">
        <v>109</v>
      </c>
      <c r="J86" s="3" t="s">
        <v>43</v>
      </c>
      <c r="K86" s="3" t="s">
        <v>43</v>
      </c>
      <c r="L86" s="3" t="s">
        <v>43</v>
      </c>
      <c r="M86" s="3" t="s">
        <v>109</v>
      </c>
      <c r="N86" s="3" t="s">
        <v>43</v>
      </c>
      <c r="O86" s="3" t="s">
        <v>109</v>
      </c>
    </row>
    <row r="87" customFormat="false" ht="15" hidden="false" customHeight="false" outlineLevel="0" collapsed="false">
      <c r="A87" s="0" t="s">
        <v>174</v>
      </c>
      <c r="B87" s="0" t="s">
        <v>175</v>
      </c>
      <c r="C87" s="0" t="s">
        <v>122</v>
      </c>
      <c r="D87" s="0" t="s">
        <v>151</v>
      </c>
      <c r="E87" s="15" t="n">
        <f aca="false">IFERROR(Inputs!E26/1000,"n/d")</f>
        <v>1.555049</v>
      </c>
      <c r="F87" s="10" t="s">
        <v>43</v>
      </c>
      <c r="G87" s="10" t="s">
        <v>43</v>
      </c>
      <c r="H87" s="10" t="s">
        <v>43</v>
      </c>
      <c r="I87" s="15" t="n">
        <f aca="false">IFERROR(Inputs!I26/1000,"n/d")</f>
        <v>8.033477</v>
      </c>
      <c r="J87" s="15" t="n">
        <f aca="false">IFERROR(Inputs!J26/1000,"n/d")</f>
        <v>8.807921</v>
      </c>
      <c r="K87" s="15" t="n">
        <f aca="false">IFERROR(Inputs!K26/1000,"n/d")</f>
        <v>11.171485</v>
      </c>
      <c r="L87" s="15" t="n">
        <f aca="false">IFERROR(Inputs!L26/1000,"n/d")</f>
        <v>14.205268</v>
      </c>
      <c r="M87" s="15" t="n">
        <f aca="false">IFERROR(Inputs!M26/1000,"n/d")</f>
        <v>21.615</v>
      </c>
      <c r="N87" s="15" t="n">
        <f aca="false">IFERROR(Inputs!N26/1000,"n/d")</f>
        <v>25.149</v>
      </c>
      <c r="O87" s="15" t="n">
        <f aca="false">IFERROR(Inputs!O26/1000,"n/d")</f>
        <v>35.551</v>
      </c>
      <c r="P87" s="1" t="s">
        <v>176</v>
      </c>
    </row>
    <row r="88" customFormat="false" ht="15" hidden="false" customHeight="false" outlineLevel="0" collapsed="false">
      <c r="B88" s="3" t="s">
        <v>45</v>
      </c>
      <c r="E88" s="3" t="s">
        <v>109</v>
      </c>
      <c r="F88" s="3" t="s">
        <v>43</v>
      </c>
      <c r="G88" s="3" t="s">
        <v>43</v>
      </c>
      <c r="H88" s="3" t="s">
        <v>43</v>
      </c>
      <c r="I88" s="3" t="s">
        <v>109</v>
      </c>
      <c r="J88" s="3" t="s">
        <v>109</v>
      </c>
      <c r="K88" s="3" t="s">
        <v>109</v>
      </c>
      <c r="L88" s="3" t="s">
        <v>109</v>
      </c>
      <c r="M88" s="3" t="s">
        <v>109</v>
      </c>
      <c r="N88" s="3" t="s">
        <v>109</v>
      </c>
      <c r="O88" s="3" t="s">
        <v>109</v>
      </c>
    </row>
    <row r="89" customFormat="false" ht="15" hidden="false" customHeight="false" outlineLevel="0" collapsed="false">
      <c r="A89" s="0" t="s">
        <v>177</v>
      </c>
      <c r="B89" s="0" t="s">
        <v>178</v>
      </c>
      <c r="C89" s="0" t="s">
        <v>59</v>
      </c>
      <c r="D89" s="0" t="s">
        <v>151</v>
      </c>
      <c r="E89" s="8" t="n">
        <f aca="false">IFERROR(Inputs!E26/1000/Inputs!E17,"n/d")</f>
        <v>0.157075656565657</v>
      </c>
      <c r="F89" s="7" t="s">
        <v>43</v>
      </c>
      <c r="G89" s="7" t="s">
        <v>43</v>
      </c>
      <c r="H89" s="7" t="s">
        <v>43</v>
      </c>
      <c r="I89" s="8" t="n">
        <f aca="false">IFERROR(Inputs!I26/1000/Inputs!I17,"n/d")</f>
        <v>0.532018344370861</v>
      </c>
      <c r="J89" s="8" t="n">
        <f aca="false">IFERROR(Inputs!J26/1000/Inputs!J17,"n/d")</f>
        <v>0.599178299319728</v>
      </c>
      <c r="K89" s="8" t="n">
        <f aca="false">IFERROR(Inputs!K26/1000/Inputs!K17,"n/d")</f>
        <v>0.371145681063123</v>
      </c>
      <c r="L89" s="8" t="n">
        <f aca="false">IFERROR(Inputs!L26/1000/Inputs!L17,"n/d")</f>
        <v>0.28410536</v>
      </c>
      <c r="M89" s="8" t="n">
        <f aca="false">IFERROR(Inputs!M26/1000/Inputs!M17,"n/d")</f>
        <v>0.356095551894563</v>
      </c>
      <c r="N89" s="8" t="n">
        <f aca="false">IFERROR(Inputs!N26/1000/Inputs!N17,"n/d")</f>
        <v>0.254544534412956</v>
      </c>
      <c r="O89" s="8" t="n">
        <f aca="false">IFERROR(Inputs!O26/1000/Inputs!O17,"n/d")</f>
        <v>0.342825458052073</v>
      </c>
      <c r="P89" s="1" t="s">
        <v>179</v>
      </c>
    </row>
    <row r="90" customFormat="false" ht="15" hidden="false" customHeight="false" outlineLevel="0" collapsed="false">
      <c r="B90" s="3" t="s">
        <v>45</v>
      </c>
      <c r="E90" s="3" t="s">
        <v>46</v>
      </c>
      <c r="F90" s="3" t="s">
        <v>43</v>
      </c>
      <c r="G90" s="3" t="s">
        <v>43</v>
      </c>
      <c r="H90" s="3" t="s">
        <v>43</v>
      </c>
      <c r="I90" s="3" t="s">
        <v>46</v>
      </c>
      <c r="J90" s="3" t="s">
        <v>46</v>
      </c>
      <c r="K90" s="3" t="s">
        <v>46</v>
      </c>
      <c r="L90" s="3" t="s">
        <v>46</v>
      </c>
      <c r="M90" s="3" t="s">
        <v>46</v>
      </c>
      <c r="N90" s="3" t="s">
        <v>46</v>
      </c>
      <c r="O90" s="3" t="s">
        <v>46</v>
      </c>
    </row>
    <row r="91" customFormat="false" ht="15" hidden="false" customHeight="false" outlineLevel="0" collapsed="false">
      <c r="A91" s="0" t="s">
        <v>180</v>
      </c>
      <c r="B91" s="0" t="s">
        <v>181</v>
      </c>
      <c r="C91" s="0" t="s">
        <v>80</v>
      </c>
      <c r="D91" s="0" t="s">
        <v>151</v>
      </c>
      <c r="E91" s="13" t="s">
        <v>43</v>
      </c>
      <c r="F91" s="14" t="n">
        <f aca="false">IFERROR(Inputs!F25/Inputs!F24*100,"n/d")</f>
        <v>49.792640277305</v>
      </c>
      <c r="G91" s="14" t="n">
        <f aca="false">IFERROR(Inputs!G25/Inputs!G24*100,"n/d")</f>
        <v>40.5907998044634</v>
      </c>
      <c r="H91" s="14" t="n">
        <f aca="false">IFERROR(Inputs!H25/Inputs!H24*100,"n/d")</f>
        <v>26.9778389729468</v>
      </c>
      <c r="I91" s="16" t="n">
        <f aca="false">IFERROR(Inputs!I25/Inputs!I24*100,"n/d")</f>
        <v>28.3811714504784</v>
      </c>
      <c r="J91" s="14" t="n">
        <f aca="false">IFERROR(Inputs!J25/Inputs!J24*100,"n/d")</f>
        <v>5.6243878129672</v>
      </c>
      <c r="K91" s="14" t="n">
        <f aca="false">IFERROR(Inputs!K25/Inputs!K24*100,"n/d")</f>
        <v>9.26283997571031</v>
      </c>
      <c r="L91" s="14" t="n">
        <f aca="false">IFERROR(Inputs!L25/Inputs!L24*100,"n/d")</f>
        <v>19.0552585220173</v>
      </c>
      <c r="M91" s="16" t="n">
        <f aca="false">IFERROR(Inputs!M25/Inputs!M24*100,"n/d")</f>
        <v>20.3394018678004</v>
      </c>
      <c r="N91" s="14" t="n">
        <f aca="false">IFERROR(Inputs!N25/Inputs!N24*100,"n/d")</f>
        <v>20.0828157349896</v>
      </c>
      <c r="O91" s="14" t="n">
        <f aca="false">IFERROR(Inputs!O25/Inputs!O24*100,"n/d")</f>
        <v>13.3445945945946</v>
      </c>
      <c r="P91" s="1" t="s">
        <v>182</v>
      </c>
    </row>
    <row r="92" customFormat="false" ht="15" hidden="false" customHeight="false" outlineLevel="0" collapsed="false">
      <c r="B92" s="3" t="s">
        <v>45</v>
      </c>
      <c r="E92" s="3" t="s">
        <v>43</v>
      </c>
      <c r="F92" s="3" t="s">
        <v>109</v>
      </c>
      <c r="G92" s="3" t="s">
        <v>109</v>
      </c>
      <c r="H92" s="3" t="s">
        <v>109</v>
      </c>
      <c r="I92" s="3" t="s">
        <v>46</v>
      </c>
      <c r="J92" s="3" t="s">
        <v>109</v>
      </c>
      <c r="K92" s="3" t="s">
        <v>109</v>
      </c>
      <c r="L92" s="3" t="s">
        <v>109</v>
      </c>
      <c r="M92" s="3" t="s">
        <v>46</v>
      </c>
      <c r="N92" s="3" t="s">
        <v>109</v>
      </c>
      <c r="O92" s="3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15" min="5" style="0" width="10"/>
    <col collapsed="false" customWidth="true" hidden="false" outlineLevel="0" max="16" min="16" style="0" width="90"/>
  </cols>
  <sheetData>
    <row r="1" customFormat="false" ht="15" hidden="false" customHeight="false" outlineLevel="0" collapsed="false">
      <c r="A1" s="2" t="s">
        <v>183</v>
      </c>
    </row>
    <row r="3" customFormat="false" ht="15" hidden="false" customHeight="false" outlineLevel="0" collapsed="false">
      <c r="A3" s="4" t="s">
        <v>22</v>
      </c>
      <c r="B3" s="4" t="s">
        <v>184</v>
      </c>
      <c r="C3" s="4" t="s">
        <v>24</v>
      </c>
      <c r="D3" s="4" t="s">
        <v>185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4" t="s">
        <v>31</v>
      </c>
      <c r="K3" s="4" t="s">
        <v>32</v>
      </c>
      <c r="L3" s="4" t="s">
        <v>33</v>
      </c>
      <c r="M3" s="4" t="s">
        <v>34</v>
      </c>
      <c r="N3" s="4" t="s">
        <v>35</v>
      </c>
      <c r="O3" s="4" t="s">
        <v>36</v>
      </c>
      <c r="P3" s="4" t="s">
        <v>186</v>
      </c>
    </row>
    <row r="4" customFormat="false" ht="55.2" hidden="false" customHeight="false" outlineLevel="0" collapsed="false">
      <c r="A4" s="0" t="s">
        <v>187</v>
      </c>
      <c r="B4" s="0" t="s">
        <v>188</v>
      </c>
      <c r="C4" s="0" t="s">
        <v>189</v>
      </c>
      <c r="D4" s="0" t="s">
        <v>109</v>
      </c>
      <c r="E4" s="3" t="s">
        <v>43</v>
      </c>
      <c r="F4" s="17" t="n">
        <v>188.684</v>
      </c>
      <c r="G4" s="17" t="n">
        <v>395.371</v>
      </c>
      <c r="H4" s="17" t="n">
        <v>583.941</v>
      </c>
      <c r="I4" s="17" t="n">
        <v>747.43</v>
      </c>
      <c r="J4" s="17" t="n">
        <v>981.632</v>
      </c>
      <c r="K4" s="17" t="n">
        <v>1212.788</v>
      </c>
      <c r="L4" s="17" t="n">
        <v>1364.676</v>
      </c>
      <c r="M4" s="17" t="n">
        <v>1572</v>
      </c>
      <c r="N4" s="17" t="n">
        <v>2078</v>
      </c>
      <c r="O4" s="17" t="n">
        <v>2575</v>
      </c>
      <c r="P4" s="1" t="s">
        <v>190</v>
      </c>
    </row>
    <row r="5" customFormat="false" ht="55.2" hidden="false" customHeight="false" outlineLevel="0" collapsed="false">
      <c r="A5" s="0" t="s">
        <v>191</v>
      </c>
      <c r="B5" s="0" t="s">
        <v>192</v>
      </c>
      <c r="C5" s="0" t="s">
        <v>189</v>
      </c>
      <c r="D5" s="0" t="s">
        <v>109</v>
      </c>
      <c r="E5" s="3" t="s">
        <v>43</v>
      </c>
      <c r="F5" s="17" t="n">
        <v>104.546</v>
      </c>
      <c r="G5" s="17" t="n">
        <v>249.841</v>
      </c>
      <c r="H5" s="17" t="n">
        <v>378.757</v>
      </c>
      <c r="I5" s="17" t="n">
        <v>486.114</v>
      </c>
      <c r="J5" s="17" t="n">
        <v>606.131</v>
      </c>
      <c r="K5" s="17" t="n">
        <v>753.169</v>
      </c>
      <c r="L5" s="17" t="n">
        <v>838.124</v>
      </c>
      <c r="M5" s="17" t="n">
        <v>898</v>
      </c>
      <c r="N5" s="17" t="n">
        <v>1157</v>
      </c>
      <c r="O5" s="17" t="n">
        <v>1510</v>
      </c>
      <c r="P5" s="1" t="s">
        <v>190</v>
      </c>
    </row>
    <row r="6" customFormat="false" ht="55.2" hidden="false" customHeight="false" outlineLevel="0" collapsed="false">
      <c r="A6" s="0" t="s">
        <v>193</v>
      </c>
      <c r="B6" s="0" t="s">
        <v>194</v>
      </c>
      <c r="C6" s="0" t="s">
        <v>189</v>
      </c>
      <c r="D6" s="0" t="s">
        <v>195</v>
      </c>
      <c r="E6" s="3" t="s">
        <v>43</v>
      </c>
      <c r="F6" s="17" t="n">
        <v>79.51</v>
      </c>
      <c r="G6" s="17" t="n">
        <v>164.46</v>
      </c>
      <c r="H6" s="17" t="n">
        <v>254.024</v>
      </c>
      <c r="I6" s="17" t="n">
        <v>365.419</v>
      </c>
      <c r="J6" s="17" t="n">
        <v>443.5</v>
      </c>
      <c r="K6" s="18" t="n">
        <v>559.5</v>
      </c>
      <c r="L6" s="18" t="n">
        <v>630.5</v>
      </c>
      <c r="M6" s="18" t="n">
        <v>820.5</v>
      </c>
      <c r="N6" s="17" t="n">
        <v>1147</v>
      </c>
      <c r="O6" s="18" t="n">
        <v>1393</v>
      </c>
      <c r="P6" s="1" t="s">
        <v>196</v>
      </c>
    </row>
    <row r="7" customFormat="false" ht="41.75" hidden="false" customHeight="false" outlineLevel="0" collapsed="false">
      <c r="A7" s="0" t="s">
        <v>197</v>
      </c>
      <c r="B7" s="0" t="s">
        <v>198</v>
      </c>
      <c r="C7" s="0" t="s">
        <v>189</v>
      </c>
      <c r="D7" s="0" t="s">
        <v>195</v>
      </c>
      <c r="E7" s="3" t="s">
        <v>43</v>
      </c>
      <c r="F7" s="17" t="n">
        <v>1741.9</v>
      </c>
      <c r="G7" s="18" t="n">
        <v>2247.2</v>
      </c>
      <c r="H7" s="18" t="n">
        <v>1215.2</v>
      </c>
      <c r="I7" s="18" t="n">
        <v>3497.7</v>
      </c>
      <c r="J7" s="17" t="n">
        <v>1407.4</v>
      </c>
      <c r="K7" s="18" t="n">
        <v>2453</v>
      </c>
      <c r="L7" s="18" t="n">
        <v>2388.8</v>
      </c>
      <c r="M7" s="18" t="n">
        <v>4059.8</v>
      </c>
      <c r="N7" s="17" t="n">
        <v>7695</v>
      </c>
      <c r="O7" s="18" t="n">
        <v>6422</v>
      </c>
      <c r="P7" s="1" t="s">
        <v>199</v>
      </c>
    </row>
    <row r="8" customFormat="false" ht="41.75" hidden="false" customHeight="false" outlineLevel="0" collapsed="false">
      <c r="A8" s="0" t="s">
        <v>200</v>
      </c>
      <c r="B8" s="0" t="s">
        <v>201</v>
      </c>
      <c r="C8" s="0" t="s">
        <v>189</v>
      </c>
      <c r="D8" s="0" t="s">
        <v>109</v>
      </c>
      <c r="E8" s="17" t="n">
        <v>3600.786</v>
      </c>
      <c r="F8" s="3" t="s">
        <v>43</v>
      </c>
      <c r="G8" s="3" t="s">
        <v>43</v>
      </c>
      <c r="H8" s="3" t="s">
        <v>43</v>
      </c>
      <c r="I8" s="17" t="n">
        <v>12880.005</v>
      </c>
      <c r="J8" s="17" t="n">
        <v>15610.549</v>
      </c>
      <c r="K8" s="17" t="n">
        <v>18585.117</v>
      </c>
      <c r="L8" s="17" t="n">
        <v>23233.759</v>
      </c>
      <c r="M8" s="17" t="n">
        <v>33941</v>
      </c>
      <c r="N8" s="17" t="n">
        <v>40933</v>
      </c>
      <c r="O8" s="17" t="n">
        <v>52622</v>
      </c>
      <c r="P8" s="1" t="s">
        <v>202</v>
      </c>
    </row>
    <row r="9" customFormat="false" ht="41.75" hidden="false" customHeight="false" outlineLevel="0" collapsed="false">
      <c r="A9" s="0" t="s">
        <v>203</v>
      </c>
      <c r="B9" s="0" t="s">
        <v>204</v>
      </c>
      <c r="C9" s="0" t="s">
        <v>189</v>
      </c>
      <c r="D9" s="0" t="s">
        <v>109</v>
      </c>
      <c r="E9" s="17" t="n">
        <v>2256.673</v>
      </c>
      <c r="F9" s="3" t="s">
        <v>43</v>
      </c>
      <c r="G9" s="3" t="s">
        <v>43</v>
      </c>
      <c r="H9" s="3" t="s">
        <v>43</v>
      </c>
      <c r="I9" s="17" t="n">
        <v>3200.866</v>
      </c>
      <c r="J9" s="17" t="n">
        <v>4073.81</v>
      </c>
      <c r="K9" s="17" t="n">
        <v>4111.256</v>
      </c>
      <c r="L9" s="17" t="n">
        <v>6910.066</v>
      </c>
      <c r="M9" s="17" t="n">
        <v>9376</v>
      </c>
      <c r="N9" s="17" t="n">
        <v>9581</v>
      </c>
      <c r="O9" s="17" t="n">
        <v>11918</v>
      </c>
      <c r="P9" s="1" t="s">
        <v>202</v>
      </c>
    </row>
    <row r="10" customFormat="false" ht="41.75" hidden="false" customHeight="false" outlineLevel="0" collapsed="false">
      <c r="A10" s="0" t="s">
        <v>205</v>
      </c>
      <c r="B10" s="0" t="s">
        <v>206</v>
      </c>
      <c r="C10" s="0" t="s">
        <v>189</v>
      </c>
      <c r="D10" s="0" t="s">
        <v>109</v>
      </c>
      <c r="E10" s="17" t="n">
        <v>3483.99</v>
      </c>
      <c r="F10" s="3" t="s">
        <v>43</v>
      </c>
      <c r="G10" s="3" t="s">
        <v>43</v>
      </c>
      <c r="H10" s="3" t="s">
        <v>43</v>
      </c>
      <c r="I10" s="17" t="n">
        <v>11914.774</v>
      </c>
      <c r="J10" s="17" t="n">
        <v>14210.992</v>
      </c>
      <c r="K10" s="17" t="n">
        <v>16631.51</v>
      </c>
      <c r="L10" s="17" t="n">
        <v>20659.181</v>
      </c>
      <c r="M10" s="17" t="n">
        <v>30557</v>
      </c>
      <c r="N10" s="17" t="n">
        <v>36424</v>
      </c>
      <c r="O10" s="17" t="n">
        <v>46736</v>
      </c>
      <c r="P10" s="1" t="s">
        <v>202</v>
      </c>
    </row>
    <row r="11" customFormat="false" ht="41.75" hidden="false" customHeight="false" outlineLevel="0" collapsed="false">
      <c r="A11" s="0" t="s">
        <v>207</v>
      </c>
      <c r="B11" s="0" t="s">
        <v>208</v>
      </c>
      <c r="C11" s="0" t="s">
        <v>189</v>
      </c>
      <c r="D11" s="0" t="s">
        <v>109</v>
      </c>
      <c r="E11" s="17" t="n">
        <v>1298.127</v>
      </c>
      <c r="F11" s="3" t="s">
        <v>43</v>
      </c>
      <c r="G11" s="3" t="s">
        <v>43</v>
      </c>
      <c r="H11" s="3" t="s">
        <v>43</v>
      </c>
      <c r="I11" s="17" t="n">
        <v>9146.575</v>
      </c>
      <c r="J11" s="17" t="n">
        <v>10746.445</v>
      </c>
      <c r="K11" s="17" t="n">
        <v>13170.295</v>
      </c>
      <c r="L11" s="17" t="n">
        <v>14628.79</v>
      </c>
      <c r="M11" s="17" t="n">
        <v>20903</v>
      </c>
      <c r="N11" s="17" t="n">
        <v>26627</v>
      </c>
      <c r="O11" s="17" t="n">
        <v>33823</v>
      </c>
      <c r="P11" s="1" t="s">
        <v>202</v>
      </c>
    </row>
    <row r="12" customFormat="false" ht="108.95" hidden="false" customHeight="false" outlineLevel="0" collapsed="false">
      <c r="A12" s="0" t="s">
        <v>209</v>
      </c>
      <c r="B12" s="0" t="s">
        <v>210</v>
      </c>
      <c r="C12" s="0" t="s">
        <v>211</v>
      </c>
      <c r="D12" s="0" t="s">
        <v>109</v>
      </c>
      <c r="E12" s="17" t="n">
        <v>70</v>
      </c>
      <c r="F12" s="3" t="s">
        <v>43</v>
      </c>
      <c r="G12" s="3" t="s">
        <v>43</v>
      </c>
      <c r="H12" s="3" t="s">
        <v>43</v>
      </c>
      <c r="I12" s="17" t="n">
        <v>360</v>
      </c>
      <c r="J12" s="17" t="n">
        <v>420</v>
      </c>
      <c r="K12" s="17" t="n">
        <v>470</v>
      </c>
      <c r="L12" s="17" t="n">
        <v>590</v>
      </c>
      <c r="M12" s="17" t="n">
        <v>850</v>
      </c>
      <c r="N12" s="17" t="n">
        <v>1000</v>
      </c>
      <c r="O12" s="17" t="n">
        <v>1500</v>
      </c>
      <c r="P12" s="1" t="s">
        <v>212</v>
      </c>
    </row>
    <row r="13" customFormat="false" ht="55.2" hidden="false" customHeight="false" outlineLevel="0" collapsed="false">
      <c r="A13" s="0" t="s">
        <v>213</v>
      </c>
      <c r="B13" s="0" t="s">
        <v>214</v>
      </c>
      <c r="C13" s="0" t="s">
        <v>211</v>
      </c>
      <c r="D13" s="0" t="s">
        <v>109</v>
      </c>
      <c r="E13" s="3" t="s">
        <v>43</v>
      </c>
      <c r="F13" s="3" t="s">
        <v>43</v>
      </c>
      <c r="G13" s="3" t="s">
        <v>43</v>
      </c>
      <c r="H13" s="3" t="s">
        <v>43</v>
      </c>
      <c r="I13" s="17" t="n">
        <v>1300</v>
      </c>
      <c r="J13" s="17" t="n">
        <v>1600</v>
      </c>
      <c r="K13" s="17" t="n">
        <v>2200</v>
      </c>
      <c r="L13" s="17" t="n">
        <v>2900</v>
      </c>
      <c r="M13" s="17" t="n">
        <v>3100</v>
      </c>
      <c r="N13" s="17" t="n">
        <v>3500</v>
      </c>
      <c r="O13" s="17" t="n">
        <v>3700</v>
      </c>
      <c r="P13" s="1" t="s">
        <v>190</v>
      </c>
    </row>
    <row r="14" customFormat="false" ht="28.35" hidden="false" customHeight="false" outlineLevel="0" collapsed="false">
      <c r="A14" s="0" t="s">
        <v>215</v>
      </c>
      <c r="B14" s="0" t="s">
        <v>216</v>
      </c>
      <c r="C14" s="0" t="s">
        <v>217</v>
      </c>
      <c r="D14" s="0" t="s">
        <v>109</v>
      </c>
      <c r="E14" s="17" t="n">
        <v>53000</v>
      </c>
      <c r="F14" s="3" t="s">
        <v>43</v>
      </c>
      <c r="G14" s="3" t="s">
        <v>43</v>
      </c>
      <c r="H14" s="3" t="s">
        <v>43</v>
      </c>
      <c r="I14" s="17" t="n">
        <v>250000</v>
      </c>
      <c r="J14" s="3" t="s">
        <v>43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1" t="s">
        <v>218</v>
      </c>
    </row>
    <row r="15" customFormat="false" ht="41.75" hidden="false" customHeight="false" outlineLevel="0" collapsed="false">
      <c r="A15" s="0" t="s">
        <v>219</v>
      </c>
      <c r="B15" s="0" t="s">
        <v>220</v>
      </c>
      <c r="C15" s="0" t="s">
        <v>72</v>
      </c>
      <c r="D15" s="0" t="s">
        <v>221</v>
      </c>
      <c r="E15" s="3" t="s">
        <v>43</v>
      </c>
      <c r="F15" s="19" t="n">
        <v>6.155</v>
      </c>
      <c r="G15" s="19" t="n">
        <v>6.155</v>
      </c>
      <c r="H15" s="18" t="n">
        <v>6.155</v>
      </c>
      <c r="I15" s="18" t="n">
        <v>6.155</v>
      </c>
      <c r="J15" s="18" t="n">
        <v>6.155</v>
      </c>
      <c r="K15" s="18" t="n">
        <v>6.155</v>
      </c>
      <c r="L15" s="18" t="n">
        <v>6.155</v>
      </c>
      <c r="M15" s="18" t="n">
        <v>6.155</v>
      </c>
      <c r="N15" s="18" t="n">
        <v>6.155</v>
      </c>
      <c r="O15" s="18" t="n">
        <v>6.155</v>
      </c>
      <c r="P15" s="1" t="s">
        <v>222</v>
      </c>
    </row>
    <row r="16" customFormat="false" ht="41.75" hidden="false" customHeight="false" outlineLevel="0" collapsed="false">
      <c r="A16" s="0" t="s">
        <v>223</v>
      </c>
      <c r="B16" s="0" t="s">
        <v>224</v>
      </c>
      <c r="C16" s="0" t="s">
        <v>72</v>
      </c>
      <c r="D16" s="0" t="s">
        <v>46</v>
      </c>
      <c r="E16" s="3" t="s">
        <v>43</v>
      </c>
      <c r="F16" s="3" t="s">
        <v>43</v>
      </c>
      <c r="G16" s="3" t="s">
        <v>43</v>
      </c>
      <c r="H16" s="3" t="s">
        <v>43</v>
      </c>
      <c r="I16" s="3" t="s">
        <v>43</v>
      </c>
      <c r="J16" s="18" t="n">
        <v>10.5</v>
      </c>
      <c r="K16" s="18" t="n">
        <v>10.5</v>
      </c>
      <c r="L16" s="18" t="n">
        <v>10.5</v>
      </c>
      <c r="M16" s="18" t="n">
        <v>10.5</v>
      </c>
      <c r="N16" s="18" t="n">
        <v>10.5</v>
      </c>
      <c r="O16" s="18" t="n">
        <v>10.5</v>
      </c>
      <c r="P16" s="1" t="s">
        <v>225</v>
      </c>
    </row>
    <row r="17" customFormat="false" ht="41.75" hidden="false" customHeight="false" outlineLevel="0" collapsed="false">
      <c r="A17" s="0" t="s">
        <v>226</v>
      </c>
      <c r="B17" s="0" t="s">
        <v>227</v>
      </c>
      <c r="C17" s="0" t="s">
        <v>122</v>
      </c>
      <c r="D17" s="0" t="s">
        <v>109</v>
      </c>
      <c r="E17" s="17" t="n">
        <v>9.9</v>
      </c>
      <c r="F17" s="3" t="s">
        <v>43</v>
      </c>
      <c r="G17" s="3" t="s">
        <v>43</v>
      </c>
      <c r="H17" s="3" t="s">
        <v>43</v>
      </c>
      <c r="I17" s="17" t="n">
        <v>15.1</v>
      </c>
      <c r="J17" s="17" t="n">
        <v>14.7</v>
      </c>
      <c r="K17" s="17" t="n">
        <v>30.1</v>
      </c>
      <c r="L17" s="17" t="n">
        <v>50</v>
      </c>
      <c r="M17" s="17" t="n">
        <v>60.7</v>
      </c>
      <c r="N17" s="17" t="n">
        <v>98.8</v>
      </c>
      <c r="O17" s="17" t="n">
        <v>103.7</v>
      </c>
      <c r="P17" s="1" t="s">
        <v>202</v>
      </c>
    </row>
    <row r="18" customFormat="false" ht="55.2" hidden="false" customHeight="false" outlineLevel="0" collapsed="false">
      <c r="A18" s="0" t="s">
        <v>228</v>
      </c>
      <c r="B18" s="0" t="s">
        <v>229</v>
      </c>
      <c r="C18" s="0" t="s">
        <v>122</v>
      </c>
      <c r="D18" s="0" t="s">
        <v>109</v>
      </c>
      <c r="E18" s="17" t="n">
        <v>9.9</v>
      </c>
      <c r="F18" s="3" t="s">
        <v>43</v>
      </c>
      <c r="G18" s="3" t="s">
        <v>43</v>
      </c>
      <c r="H18" s="3" t="s">
        <v>43</v>
      </c>
      <c r="I18" s="17" t="n">
        <v>15.1</v>
      </c>
      <c r="J18" s="17" t="n">
        <v>25.9</v>
      </c>
      <c r="K18" s="17" t="n">
        <v>30.1</v>
      </c>
      <c r="L18" s="17" t="n">
        <v>55.6</v>
      </c>
      <c r="M18" s="17" t="n">
        <v>66.8</v>
      </c>
      <c r="N18" s="17" t="n">
        <v>99.4</v>
      </c>
      <c r="O18" s="17" t="n">
        <v>104.2</v>
      </c>
      <c r="P18" s="1" t="s">
        <v>230</v>
      </c>
    </row>
    <row r="19" customFormat="false" ht="41.75" hidden="false" customHeight="false" outlineLevel="0" collapsed="false">
      <c r="A19" s="0" t="s">
        <v>231</v>
      </c>
      <c r="B19" s="0" t="s">
        <v>232</v>
      </c>
      <c r="C19" s="0" t="s">
        <v>80</v>
      </c>
      <c r="D19" s="0" t="s">
        <v>109</v>
      </c>
      <c r="E19" s="3" t="s">
        <v>43</v>
      </c>
      <c r="F19" s="3" t="s">
        <v>43</v>
      </c>
      <c r="G19" s="3" t="s">
        <v>43</v>
      </c>
      <c r="H19" s="3" t="s">
        <v>43</v>
      </c>
      <c r="I19" s="17" t="n">
        <v>54</v>
      </c>
      <c r="J19" s="17" t="n">
        <v>58</v>
      </c>
      <c r="K19" s="17" t="n">
        <v>50</v>
      </c>
      <c r="L19" s="17" t="n">
        <v>42</v>
      </c>
      <c r="M19" s="17" t="n">
        <v>43</v>
      </c>
      <c r="N19" s="17" t="n">
        <v>36</v>
      </c>
      <c r="O19" s="17" t="n">
        <v>41</v>
      </c>
      <c r="P19" s="1" t="s">
        <v>202</v>
      </c>
    </row>
    <row r="20" customFormat="false" ht="55.2" hidden="false" customHeight="false" outlineLevel="0" collapsed="false">
      <c r="A20" s="0" t="s">
        <v>233</v>
      </c>
      <c r="B20" s="0" t="s">
        <v>234</v>
      </c>
      <c r="C20" s="0" t="s">
        <v>80</v>
      </c>
      <c r="D20" s="0" t="s">
        <v>195</v>
      </c>
      <c r="E20" s="3" t="s">
        <v>43</v>
      </c>
      <c r="F20" s="17" t="n">
        <v>33</v>
      </c>
      <c r="G20" s="17" t="n">
        <v>59</v>
      </c>
      <c r="H20" s="17" t="n">
        <v>65</v>
      </c>
      <c r="I20" s="18" t="n">
        <v>68.2</v>
      </c>
      <c r="J20" s="17" t="n">
        <v>72</v>
      </c>
      <c r="K20" s="17" t="n">
        <v>71</v>
      </c>
      <c r="L20" s="17" t="n">
        <v>67</v>
      </c>
      <c r="M20" s="18" t="n">
        <v>60.2</v>
      </c>
      <c r="N20" s="17" t="n">
        <v>45</v>
      </c>
      <c r="O20" s="17" t="n">
        <v>36</v>
      </c>
      <c r="P20" s="1" t="s">
        <v>235</v>
      </c>
    </row>
    <row r="21" customFormat="false" ht="41.75" hidden="false" customHeight="false" outlineLevel="0" collapsed="false">
      <c r="A21" s="0" t="s">
        <v>236</v>
      </c>
      <c r="B21" s="0" t="s">
        <v>237</v>
      </c>
      <c r="C21" s="0" t="s">
        <v>80</v>
      </c>
      <c r="D21" s="0" t="s">
        <v>195</v>
      </c>
      <c r="E21" s="3" t="s">
        <v>43</v>
      </c>
      <c r="F21" s="17" t="n">
        <v>32</v>
      </c>
      <c r="G21" s="17" t="n">
        <v>20</v>
      </c>
      <c r="H21" s="17" t="n">
        <v>12</v>
      </c>
      <c r="I21" s="18" t="n">
        <v>10.3</v>
      </c>
      <c r="J21" s="3" t="s">
        <v>43</v>
      </c>
      <c r="K21" s="3" t="s">
        <v>43</v>
      </c>
      <c r="L21" s="3" t="s">
        <v>43</v>
      </c>
      <c r="M21" s="3" t="s">
        <v>43</v>
      </c>
      <c r="N21" s="17" t="n">
        <v>20</v>
      </c>
      <c r="O21" s="17" t="n">
        <v>26</v>
      </c>
      <c r="P21" s="1" t="s">
        <v>238</v>
      </c>
    </row>
    <row r="22" customFormat="false" ht="15" hidden="false" customHeight="false" outlineLevel="0" collapsed="false">
      <c r="A22" s="0" t="s">
        <v>239</v>
      </c>
      <c r="B22" s="0" t="s">
        <v>240</v>
      </c>
      <c r="C22" s="0" t="s">
        <v>80</v>
      </c>
      <c r="D22" s="0" t="s">
        <v>109</v>
      </c>
      <c r="E22" s="3" t="s">
        <v>43</v>
      </c>
      <c r="F22" s="17" t="n">
        <v>18</v>
      </c>
      <c r="G22" s="3" t="s">
        <v>43</v>
      </c>
      <c r="H22" s="3" t="s">
        <v>43</v>
      </c>
      <c r="I22" s="3" t="s">
        <v>43</v>
      </c>
      <c r="J22" s="3" t="s">
        <v>43</v>
      </c>
      <c r="K22" s="3" t="s">
        <v>43</v>
      </c>
      <c r="L22" s="3" t="s">
        <v>43</v>
      </c>
      <c r="M22" s="3" t="s">
        <v>43</v>
      </c>
      <c r="N22" s="3" t="s">
        <v>43</v>
      </c>
      <c r="O22" s="17" t="n">
        <v>10</v>
      </c>
      <c r="P22" s="1" t="s">
        <v>241</v>
      </c>
    </row>
    <row r="23" customFormat="false" ht="41.75" hidden="false" customHeight="false" outlineLevel="0" collapsed="false">
      <c r="A23" s="0" t="s">
        <v>242</v>
      </c>
      <c r="B23" s="0" t="s">
        <v>243</v>
      </c>
      <c r="C23" s="0" t="s">
        <v>147</v>
      </c>
      <c r="D23" s="0" t="s">
        <v>195</v>
      </c>
      <c r="E23" s="3" t="s">
        <v>43</v>
      </c>
      <c r="F23" s="17" t="n">
        <v>3</v>
      </c>
      <c r="G23" s="17" t="n">
        <v>2</v>
      </c>
      <c r="H23" s="17" t="n">
        <v>2</v>
      </c>
      <c r="I23" s="18" t="n">
        <v>2</v>
      </c>
      <c r="J23" s="17" t="n">
        <v>1</v>
      </c>
      <c r="K23" s="17" t="n">
        <v>1</v>
      </c>
      <c r="L23" s="17" t="n">
        <v>1</v>
      </c>
      <c r="M23" s="18" t="n">
        <v>1</v>
      </c>
      <c r="N23" s="17" t="n">
        <v>2</v>
      </c>
      <c r="O23" s="17" t="n">
        <v>3</v>
      </c>
      <c r="P23" s="1" t="s">
        <v>238</v>
      </c>
    </row>
    <row r="24" customFormat="false" ht="41.75" hidden="false" customHeight="false" outlineLevel="0" collapsed="false">
      <c r="A24" s="0" t="s">
        <v>244</v>
      </c>
      <c r="B24" s="0" t="s">
        <v>245</v>
      </c>
      <c r="C24" s="0" t="s">
        <v>189</v>
      </c>
      <c r="D24" s="0" t="s">
        <v>195</v>
      </c>
      <c r="E24" s="3" t="s">
        <v>43</v>
      </c>
      <c r="F24" s="17" t="n">
        <v>64.622</v>
      </c>
      <c r="G24" s="17" t="n">
        <v>100.237</v>
      </c>
      <c r="H24" s="17" t="n">
        <v>130.003</v>
      </c>
      <c r="I24" s="18" t="n">
        <v>179.982</v>
      </c>
      <c r="J24" s="17" t="n">
        <v>232.772</v>
      </c>
      <c r="K24" s="17" t="n">
        <v>250.312</v>
      </c>
      <c r="L24" s="17" t="n">
        <v>324.131</v>
      </c>
      <c r="M24" s="18" t="n">
        <v>412.785</v>
      </c>
      <c r="N24" s="17" t="n">
        <v>483</v>
      </c>
      <c r="O24" s="17" t="n">
        <v>592</v>
      </c>
      <c r="P24" s="1" t="s">
        <v>238</v>
      </c>
    </row>
    <row r="25" customFormat="false" ht="41.75" hidden="false" customHeight="false" outlineLevel="0" collapsed="false">
      <c r="A25" s="0" t="s">
        <v>246</v>
      </c>
      <c r="B25" s="0" t="s">
        <v>247</v>
      </c>
      <c r="C25" s="0" t="s">
        <v>189</v>
      </c>
      <c r="D25" s="0" t="s">
        <v>195</v>
      </c>
      <c r="E25" s="3" t="s">
        <v>43</v>
      </c>
      <c r="F25" s="17" t="n">
        <v>32.177</v>
      </c>
      <c r="G25" s="17" t="n">
        <v>40.687</v>
      </c>
      <c r="H25" s="17" t="n">
        <v>35.072</v>
      </c>
      <c r="I25" s="18" t="n">
        <v>51.081</v>
      </c>
      <c r="J25" s="17" t="n">
        <v>13.092</v>
      </c>
      <c r="K25" s="17" t="n">
        <v>23.186</v>
      </c>
      <c r="L25" s="17" t="n">
        <v>61.764</v>
      </c>
      <c r="M25" s="18" t="n">
        <v>83.958</v>
      </c>
      <c r="N25" s="17" t="n">
        <v>97</v>
      </c>
      <c r="O25" s="17" t="n">
        <v>79</v>
      </c>
      <c r="P25" s="1" t="s">
        <v>238</v>
      </c>
    </row>
    <row r="26" customFormat="false" ht="41.75" hidden="false" customHeight="false" outlineLevel="0" collapsed="false">
      <c r="A26" s="0" t="s">
        <v>248</v>
      </c>
      <c r="B26" s="0" t="s">
        <v>249</v>
      </c>
      <c r="C26" s="0" t="s">
        <v>189</v>
      </c>
      <c r="D26" s="0" t="s">
        <v>109</v>
      </c>
      <c r="E26" s="17" t="n">
        <v>1555.049</v>
      </c>
      <c r="F26" s="3" t="s">
        <v>43</v>
      </c>
      <c r="G26" s="3" t="s">
        <v>43</v>
      </c>
      <c r="H26" s="3" t="s">
        <v>43</v>
      </c>
      <c r="I26" s="17" t="n">
        <v>8033.477</v>
      </c>
      <c r="J26" s="17" t="n">
        <v>8807.921</v>
      </c>
      <c r="K26" s="17" t="n">
        <v>11171.485</v>
      </c>
      <c r="L26" s="17" t="n">
        <v>14205.268</v>
      </c>
      <c r="M26" s="17" t="n">
        <v>21615</v>
      </c>
      <c r="N26" s="17" t="n">
        <v>25149</v>
      </c>
      <c r="O26" s="17" t="n">
        <v>35551</v>
      </c>
      <c r="P26" s="1" t="s">
        <v>202</v>
      </c>
    </row>
    <row r="27" customFormat="false" ht="28.35" hidden="false" customHeight="false" outlineLevel="0" collapsed="false">
      <c r="A27" s="0" t="s">
        <v>250</v>
      </c>
      <c r="B27" s="0" t="s">
        <v>251</v>
      </c>
      <c r="C27" s="0" t="s">
        <v>80</v>
      </c>
      <c r="D27" s="0" t="s">
        <v>109</v>
      </c>
      <c r="E27" s="17" t="n">
        <v>14.9</v>
      </c>
      <c r="F27" s="3" t="s">
        <v>43</v>
      </c>
      <c r="G27" s="3" t="s">
        <v>43</v>
      </c>
      <c r="H27" s="3" t="s">
        <v>43</v>
      </c>
      <c r="I27" s="17" t="n">
        <v>12.2</v>
      </c>
      <c r="J27" s="3" t="s">
        <v>43</v>
      </c>
      <c r="K27" s="3" t="s">
        <v>43</v>
      </c>
      <c r="L27" s="3" t="s">
        <v>43</v>
      </c>
      <c r="M27" s="17" t="n">
        <v>9</v>
      </c>
      <c r="N27" s="3" t="s">
        <v>43</v>
      </c>
      <c r="O27" s="17" t="n">
        <v>8.3</v>
      </c>
      <c r="P27" s="1" t="s">
        <v>252</v>
      </c>
    </row>
    <row r="28" customFormat="false" ht="15" hidden="false" customHeight="false" outlineLevel="0" collapsed="false">
      <c r="A28" s="0" t="s">
        <v>253</v>
      </c>
      <c r="B28" s="0" t="s">
        <v>254</v>
      </c>
      <c r="C28" s="0" t="s">
        <v>189</v>
      </c>
      <c r="D28" s="0" t="s">
        <v>109</v>
      </c>
      <c r="E28" s="3" t="s">
        <v>43</v>
      </c>
      <c r="F28" s="3" t="s">
        <v>43</v>
      </c>
      <c r="G28" s="3" t="s">
        <v>43</v>
      </c>
      <c r="H28" s="3" t="s">
        <v>43</v>
      </c>
      <c r="I28" s="3" t="s">
        <v>43</v>
      </c>
      <c r="J28" s="17" t="n">
        <v>1858</v>
      </c>
      <c r="K28" s="3" t="s">
        <v>43</v>
      </c>
      <c r="L28" s="3" t="s">
        <v>43</v>
      </c>
      <c r="M28" s="3" t="s">
        <v>43</v>
      </c>
      <c r="N28" s="17" t="n">
        <v>6786</v>
      </c>
      <c r="O28" s="17" t="n">
        <v>9400</v>
      </c>
      <c r="P28" s="1" t="s">
        <v>255</v>
      </c>
    </row>
    <row r="29" customFormat="false" ht="15" hidden="false" customHeight="false" outlineLevel="0" collapsed="false">
      <c r="A29" s="0" t="s">
        <v>256</v>
      </c>
      <c r="B29" s="0" t="s">
        <v>257</v>
      </c>
      <c r="C29" s="0" t="s">
        <v>258</v>
      </c>
      <c r="D29" s="0" t="s">
        <v>109</v>
      </c>
      <c r="E29" s="3" t="s">
        <v>43</v>
      </c>
      <c r="F29" s="17" t="n">
        <v>91</v>
      </c>
      <c r="G29" s="17" t="n">
        <v>91</v>
      </c>
      <c r="H29" s="17" t="n">
        <v>92</v>
      </c>
      <c r="I29" s="17" t="n">
        <v>92</v>
      </c>
      <c r="J29" s="17" t="n">
        <v>90</v>
      </c>
      <c r="K29" s="17" t="n">
        <v>91</v>
      </c>
      <c r="L29" s="17" t="n">
        <v>92</v>
      </c>
      <c r="M29" s="17" t="n">
        <v>92</v>
      </c>
      <c r="N29" s="17" t="n">
        <v>90</v>
      </c>
      <c r="O29" s="17" t="n">
        <v>91</v>
      </c>
      <c r="P29" s="1"/>
    </row>
    <row r="30" customFormat="false" ht="28.35" hidden="false" customHeight="false" outlineLevel="0" collapsed="false">
      <c r="A30" s="0" t="s">
        <v>259</v>
      </c>
      <c r="B30" s="0" t="s">
        <v>260</v>
      </c>
      <c r="C30" s="0" t="s">
        <v>147</v>
      </c>
      <c r="D30" s="0" t="s">
        <v>109</v>
      </c>
      <c r="E30" s="17" t="n">
        <v>10</v>
      </c>
      <c r="F30" s="3" t="s">
        <v>43</v>
      </c>
      <c r="G30" s="3" t="s">
        <v>43</v>
      </c>
      <c r="H30" s="3" t="s">
        <v>43</v>
      </c>
      <c r="I30" s="17" t="n">
        <v>32</v>
      </c>
      <c r="J30" s="3" t="s">
        <v>43</v>
      </c>
      <c r="K30" s="3" t="s">
        <v>43</v>
      </c>
      <c r="L30" s="3" t="s">
        <v>43</v>
      </c>
      <c r="M30" s="17" t="n">
        <v>43</v>
      </c>
      <c r="N30" s="17" t="n">
        <v>49</v>
      </c>
      <c r="O30" s="17" t="n">
        <v>51</v>
      </c>
      <c r="P30" s="1" t="s">
        <v>261</v>
      </c>
    </row>
    <row r="32" customFormat="false" ht="15" hidden="false" customHeight="false" outlineLevel="0" collapsed="false">
      <c r="A32" s="2" t="s">
        <v>262</v>
      </c>
    </row>
    <row r="33" customFormat="false" ht="28.35" hidden="false" customHeight="false" outlineLevel="0" collapsed="false">
      <c r="A33" s="0" t="s">
        <v>263</v>
      </c>
      <c r="B33" s="0" t="s">
        <v>264</v>
      </c>
      <c r="C33" s="0" t="s">
        <v>265</v>
      </c>
      <c r="D33" s="0" t="s">
        <v>50</v>
      </c>
      <c r="E33" s="19" t="n">
        <v>538</v>
      </c>
      <c r="P33" s="1" t="s">
        <v>266</v>
      </c>
    </row>
    <row r="34" customFormat="false" ht="28.35" hidden="false" customHeight="false" outlineLevel="0" collapsed="false">
      <c r="A34" s="0" t="s">
        <v>267</v>
      </c>
      <c r="B34" s="0" t="s">
        <v>268</v>
      </c>
      <c r="C34" s="0" t="s">
        <v>265</v>
      </c>
      <c r="D34" s="0" t="s">
        <v>50</v>
      </c>
      <c r="E34" s="19" t="n">
        <v>491</v>
      </c>
      <c r="P34" s="1" t="s">
        <v>269</v>
      </c>
    </row>
    <row r="35" customFormat="false" ht="28.35" hidden="false" customHeight="false" outlineLevel="0" collapsed="false">
      <c r="A35" s="0" t="s">
        <v>270</v>
      </c>
      <c r="B35" s="0" t="s">
        <v>271</v>
      </c>
      <c r="C35" s="0" t="s">
        <v>265</v>
      </c>
      <c r="D35" s="0" t="s">
        <v>50</v>
      </c>
      <c r="E35" s="19" t="n">
        <v>713</v>
      </c>
      <c r="P35" s="1" t="s">
        <v>272</v>
      </c>
    </row>
    <row r="36" customFormat="false" ht="28.35" hidden="false" customHeight="false" outlineLevel="0" collapsed="false">
      <c r="A36" s="0" t="s">
        <v>273</v>
      </c>
      <c r="B36" s="0" t="s">
        <v>274</v>
      </c>
      <c r="C36" s="0" t="s">
        <v>211</v>
      </c>
      <c r="D36" s="0" t="s">
        <v>275</v>
      </c>
      <c r="E36" s="17" t="n">
        <f aca="false">E12</f>
        <v>70</v>
      </c>
      <c r="F36" s="19" t="n">
        <f aca="false">$E$12+($I$12-$E$12)*1/4</f>
        <v>142.5</v>
      </c>
      <c r="G36" s="19" t="n">
        <f aca="false">$E$12+($I$12-$E$12)*2/4</f>
        <v>215</v>
      </c>
      <c r="H36" s="19" t="n">
        <f aca="false">$E$12+($I$12-$E$12)*3/4</f>
        <v>287.5</v>
      </c>
      <c r="I36" s="17" t="n">
        <f aca="false">I12</f>
        <v>360</v>
      </c>
      <c r="J36" s="17" t="n">
        <f aca="false">J12</f>
        <v>420</v>
      </c>
      <c r="K36" s="17" t="n">
        <f aca="false">K12</f>
        <v>470</v>
      </c>
      <c r="L36" s="17" t="n">
        <f aca="false">L12</f>
        <v>590</v>
      </c>
      <c r="M36" s="17" t="n">
        <f aca="false">M12</f>
        <v>850</v>
      </c>
      <c r="N36" s="17" t="n">
        <f aca="false">N12</f>
        <v>1000</v>
      </c>
      <c r="O36" s="17" t="n">
        <f aca="false">O12</f>
        <v>1500</v>
      </c>
      <c r="P36" s="1" t="s">
        <v>276</v>
      </c>
    </row>
    <row r="37" customFormat="false" ht="15" hidden="false" customHeight="false" outlineLevel="0" collapsed="false">
      <c r="A37" s="0" t="s">
        <v>277</v>
      </c>
      <c r="B37" s="0" t="s">
        <v>278</v>
      </c>
      <c r="C37" s="0" t="s">
        <v>211</v>
      </c>
      <c r="D37" s="0" t="s">
        <v>221</v>
      </c>
      <c r="E37" s="3" t="s">
        <v>43</v>
      </c>
      <c r="F37" s="19" t="n">
        <f aca="false">(E36+F36)/2</f>
        <v>106.25</v>
      </c>
      <c r="G37" s="19" t="n">
        <f aca="false">(F36+G36)/2</f>
        <v>178.75</v>
      </c>
      <c r="H37" s="19" t="n">
        <f aca="false">(G36+H36)/2</f>
        <v>251.25</v>
      </c>
      <c r="I37" s="19" t="n">
        <f aca="false">(H36+I36)/2</f>
        <v>323.75</v>
      </c>
      <c r="J37" s="18" t="n">
        <f aca="false">(I36+J36)/2</f>
        <v>390</v>
      </c>
      <c r="K37" s="18" t="n">
        <f aca="false">(J36+K36)/2</f>
        <v>445</v>
      </c>
      <c r="L37" s="18" t="n">
        <f aca="false">(K36+L36)/2</f>
        <v>530</v>
      </c>
      <c r="M37" s="18" t="n">
        <f aca="false">(L36+M36)/2</f>
        <v>720</v>
      </c>
      <c r="N37" s="18" t="n">
        <f aca="false">(M36+N36)/2</f>
        <v>925</v>
      </c>
      <c r="O37" s="18" t="n">
        <f aca="false">(N36+O36)/2</f>
        <v>1250</v>
      </c>
      <c r="P37" s="1" t="s">
        <v>279</v>
      </c>
    </row>
    <row r="38" customFormat="false" ht="28.35" hidden="false" customHeight="false" outlineLevel="0" collapsed="false">
      <c r="A38" s="0" t="s">
        <v>280</v>
      </c>
      <c r="B38" s="0" t="s">
        <v>281</v>
      </c>
      <c r="C38" s="0" t="s">
        <v>211</v>
      </c>
      <c r="D38" s="0" t="s">
        <v>46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43</v>
      </c>
      <c r="J38" s="18" t="n">
        <f aca="false">J12-I12</f>
        <v>60</v>
      </c>
      <c r="K38" s="18" t="n">
        <f aca="false">K12-J12</f>
        <v>50</v>
      </c>
      <c r="L38" s="18" t="n">
        <f aca="false">L12-K12</f>
        <v>120</v>
      </c>
      <c r="M38" s="18" t="n">
        <f aca="false">M12-L12</f>
        <v>260</v>
      </c>
      <c r="N38" s="18" t="n">
        <f aca="false">N12-M12</f>
        <v>150</v>
      </c>
      <c r="O38" s="18" t="n">
        <f aca="false">O12-N12</f>
        <v>500</v>
      </c>
      <c r="P38" s="1" t="s">
        <v>282</v>
      </c>
    </row>
    <row r="39" customFormat="false" ht="15" hidden="false" customHeight="false" outlineLevel="0" collapsed="false">
      <c r="A39" s="0" t="s">
        <v>283</v>
      </c>
      <c r="B39" s="0" t="s">
        <v>284</v>
      </c>
      <c r="C39" s="0" t="s">
        <v>211</v>
      </c>
      <c r="D39" s="0" t="s">
        <v>221</v>
      </c>
      <c r="E39" s="3" t="s">
        <v>43</v>
      </c>
      <c r="F39" s="19" t="n">
        <f aca="false">F36-E36</f>
        <v>72.5</v>
      </c>
      <c r="G39" s="19" t="n">
        <f aca="false">G36-F36</f>
        <v>72.5</v>
      </c>
      <c r="H39" s="19" t="n">
        <f aca="false">H36-G36</f>
        <v>72.5</v>
      </c>
      <c r="I39" s="19" t="n">
        <f aca="false">I36-H36</f>
        <v>72.5</v>
      </c>
      <c r="J39" s="18" t="n">
        <f aca="false">J36-I36</f>
        <v>60</v>
      </c>
      <c r="K39" s="18" t="n">
        <f aca="false">K36-J36</f>
        <v>50</v>
      </c>
      <c r="L39" s="18" t="n">
        <f aca="false">L36-K36</f>
        <v>120</v>
      </c>
      <c r="M39" s="18" t="n">
        <f aca="false">M36-L36</f>
        <v>260</v>
      </c>
      <c r="N39" s="18" t="n">
        <f aca="false">N36-M36</f>
        <v>150</v>
      </c>
      <c r="O39" s="18" t="n">
        <f aca="false">O36-N36</f>
        <v>500</v>
      </c>
      <c r="P39" s="1" t="s">
        <v>285</v>
      </c>
    </row>
    <row r="40" customFormat="false" ht="55.2" hidden="false" customHeight="false" outlineLevel="0" collapsed="false">
      <c r="A40" s="0" t="s">
        <v>286</v>
      </c>
      <c r="B40" s="0" t="s">
        <v>287</v>
      </c>
      <c r="C40" s="0" t="s">
        <v>217</v>
      </c>
      <c r="D40" s="0" t="s">
        <v>275</v>
      </c>
      <c r="E40" s="17" t="n">
        <f aca="false">E14</f>
        <v>53000</v>
      </c>
      <c r="F40" s="19" t="n">
        <f aca="false">$E$14+($I$14-$E$14)*1/4</f>
        <v>102250</v>
      </c>
      <c r="G40" s="19" t="n">
        <f aca="false">$E$14+($I$14-$E$14)*2/4</f>
        <v>151500</v>
      </c>
      <c r="H40" s="19" t="n">
        <f aca="false">$E$14+($I$14-$E$14)*3/4</f>
        <v>200750</v>
      </c>
      <c r="I40" s="17" t="n">
        <f aca="false">I14</f>
        <v>250000</v>
      </c>
      <c r="J40" s="19" t="n">
        <f aca="false">$I$14+(J12-$I$12)*$E$33</f>
        <v>282280</v>
      </c>
      <c r="K40" s="19" t="n">
        <f aca="false">$I$14+(K12-$I$12)*$E$33</f>
        <v>309180</v>
      </c>
      <c r="L40" s="19" t="n">
        <f aca="false">$I$14+(L12-$I$12)*$E$33</f>
        <v>373740</v>
      </c>
      <c r="M40" s="19" t="n">
        <f aca="false">$I$14+(M12-$I$12)*$E$33</f>
        <v>513620</v>
      </c>
      <c r="N40" s="19" t="n">
        <f aca="false">$M$40+(N12-$M$12)*$E$34</f>
        <v>587270</v>
      </c>
      <c r="O40" s="19" t="n">
        <f aca="false">$M$40+(O12-$M$12)*$E$34</f>
        <v>832770</v>
      </c>
      <c r="P40" s="1" t="s">
        <v>288</v>
      </c>
    </row>
    <row r="41" customFormat="false" ht="15" hidden="false" customHeight="false" outlineLevel="0" collapsed="false">
      <c r="A41" s="0" t="s">
        <v>289</v>
      </c>
      <c r="B41" s="0" t="s">
        <v>290</v>
      </c>
      <c r="C41" s="0" t="s">
        <v>217</v>
      </c>
      <c r="D41" s="0" t="s">
        <v>50</v>
      </c>
      <c r="E41" s="3" t="s">
        <v>43</v>
      </c>
      <c r="F41" s="19" t="n">
        <f aca="false">(E40+F40)/2</f>
        <v>77625</v>
      </c>
      <c r="G41" s="19" t="n">
        <f aca="false">(F40+G40)/2</f>
        <v>126875</v>
      </c>
      <c r="H41" s="19" t="n">
        <f aca="false">(G40+H40)/2</f>
        <v>176125</v>
      </c>
      <c r="I41" s="19" t="n">
        <f aca="false">(H40+I40)/2</f>
        <v>225375</v>
      </c>
      <c r="J41" s="19" t="n">
        <f aca="false">(I40+J40)/2</f>
        <v>266140</v>
      </c>
      <c r="K41" s="19" t="n">
        <f aca="false">(J40+K40)/2</f>
        <v>295730</v>
      </c>
      <c r="L41" s="19" t="n">
        <f aca="false">(K40+L40)/2</f>
        <v>341460</v>
      </c>
      <c r="M41" s="19" t="n">
        <f aca="false">(L40+M40)/2</f>
        <v>443680</v>
      </c>
      <c r="N41" s="19" t="n">
        <f aca="false">(M40+N40)/2</f>
        <v>550445</v>
      </c>
      <c r="O41" s="19" t="n">
        <f aca="false">(N40+O40)/2</f>
        <v>710020</v>
      </c>
      <c r="P41" s="1" t="s">
        <v>291</v>
      </c>
    </row>
    <row r="42" customFormat="false" ht="28.35" hidden="false" customHeight="false" outlineLevel="0" collapsed="false">
      <c r="A42" s="0" t="s">
        <v>292</v>
      </c>
      <c r="B42" s="0" t="s">
        <v>293</v>
      </c>
      <c r="C42" s="0" t="s">
        <v>72</v>
      </c>
      <c r="D42" s="0" t="s">
        <v>50</v>
      </c>
      <c r="E42" s="3" t="s">
        <v>43</v>
      </c>
      <c r="F42" s="19" t="n">
        <f aca="false">F15</f>
        <v>6.155</v>
      </c>
      <c r="G42" s="19" t="n">
        <f aca="false">G15</f>
        <v>6.155</v>
      </c>
      <c r="H42" s="19" t="n">
        <f aca="false">H15</f>
        <v>6.155</v>
      </c>
      <c r="I42" s="19" t="n">
        <f aca="false">I15</f>
        <v>6.155</v>
      </c>
      <c r="J42" s="19" t="n">
        <f aca="false">(J15*$I$14+J16*(J40-$I$14))/J40</f>
        <v>6.65187048320816</v>
      </c>
      <c r="K42" s="19" t="n">
        <f aca="false">(K15*$I$14+K16*(K40-$I$14))/K40</f>
        <v>6.98667442913513</v>
      </c>
      <c r="L42" s="19" t="n">
        <f aca="false">(L15*$I$14+L16*(L40-$I$14))/L40</f>
        <v>7.59356772087548</v>
      </c>
      <c r="M42" s="19" t="n">
        <f aca="false">(M15*$I$14+M16*(M40-$I$14))/M40</f>
        <v>8.3851096141116</v>
      </c>
      <c r="N42" s="19" t="n">
        <f aca="false">(N15*$I$14+N16*(N40-$I$14))/N40</f>
        <v>8.65033970745994</v>
      </c>
      <c r="O42" s="19" t="n">
        <f aca="false">(O15*$I$14+O16*(O40-$I$14))/O40</f>
        <v>9.19561823792884</v>
      </c>
      <c r="P42" s="1" t="s">
        <v>294</v>
      </c>
    </row>
    <row r="43" customFormat="false" ht="15" hidden="false" customHeight="false" outlineLevel="0" collapsed="false">
      <c r="A43" s="0" t="s">
        <v>295</v>
      </c>
      <c r="B43" s="0" t="s">
        <v>296</v>
      </c>
      <c r="C43" s="0" t="s">
        <v>189</v>
      </c>
      <c r="D43" s="0" t="s">
        <v>46</v>
      </c>
      <c r="E43" s="18" t="n">
        <f aca="false">E8-E9</f>
        <v>1344.113</v>
      </c>
      <c r="F43" s="3" t="s">
        <v>43</v>
      </c>
      <c r="G43" s="3" t="s">
        <v>43</v>
      </c>
      <c r="H43" s="3" t="s">
        <v>43</v>
      </c>
      <c r="I43" s="18" t="n">
        <f aca="false">I8-I9</f>
        <v>9679.139</v>
      </c>
      <c r="J43" s="18" t="n">
        <f aca="false">J8-J9</f>
        <v>11536.739</v>
      </c>
      <c r="K43" s="18" t="n">
        <f aca="false">K8-K9</f>
        <v>14473.861</v>
      </c>
      <c r="L43" s="18" t="n">
        <f aca="false">L8-L9</f>
        <v>16323.693</v>
      </c>
      <c r="M43" s="18" t="n">
        <f aca="false">M8-M9</f>
        <v>24565</v>
      </c>
      <c r="N43" s="18" t="n">
        <f aca="false">N8-N9</f>
        <v>31352</v>
      </c>
      <c r="O43" s="18" t="n">
        <f aca="false">O8-O9</f>
        <v>40704</v>
      </c>
      <c r="P43" s="1" t="s">
        <v>297</v>
      </c>
    </row>
    <row r="44" customFormat="false" ht="41.75" hidden="false" customHeight="false" outlineLevel="0" collapsed="false">
      <c r="A44" s="0" t="s">
        <v>298</v>
      </c>
      <c r="B44" s="0" t="s">
        <v>299</v>
      </c>
      <c r="C44" s="0" t="s">
        <v>189</v>
      </c>
      <c r="D44" s="0" t="s">
        <v>46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43</v>
      </c>
      <c r="J44" s="18" t="n">
        <f aca="false">J43-I43</f>
        <v>1857.6</v>
      </c>
      <c r="K44" s="18" t="n">
        <f aca="false">K43-J43</f>
        <v>2937.122</v>
      </c>
      <c r="L44" s="18" t="n">
        <f aca="false">L43-K43</f>
        <v>1849.832</v>
      </c>
      <c r="M44" s="18" t="n">
        <f aca="false">M43-L43</f>
        <v>8241.307</v>
      </c>
      <c r="N44" s="18" t="n">
        <f aca="false">N43-M43</f>
        <v>6787</v>
      </c>
      <c r="O44" s="18" t="n">
        <f aca="false">O43-N43</f>
        <v>9352</v>
      </c>
      <c r="P44" s="1" t="s">
        <v>300</v>
      </c>
    </row>
    <row r="45" customFormat="false" ht="15" hidden="false" customHeight="false" outlineLevel="0" collapsed="false">
      <c r="A45" s="0" t="s">
        <v>301</v>
      </c>
      <c r="B45" s="0" t="s">
        <v>302</v>
      </c>
      <c r="C45" s="0" t="s">
        <v>189</v>
      </c>
      <c r="D45" s="0" t="s">
        <v>46</v>
      </c>
      <c r="E45" s="3" t="s">
        <v>43</v>
      </c>
      <c r="F45" s="3" t="s">
        <v>43</v>
      </c>
      <c r="G45" s="3" t="s">
        <v>43</v>
      </c>
      <c r="H45" s="3" t="s">
        <v>43</v>
      </c>
      <c r="I45" s="3" t="s">
        <v>43</v>
      </c>
      <c r="J45" s="18" t="n">
        <f aca="false">(I26+J26)/2</f>
        <v>8420.699</v>
      </c>
      <c r="K45" s="18" t="n">
        <f aca="false">(J26+K26)/2</f>
        <v>9989.703</v>
      </c>
      <c r="L45" s="18" t="n">
        <f aca="false">(K26+L26)/2</f>
        <v>12688.3765</v>
      </c>
      <c r="M45" s="18" t="n">
        <f aca="false">(L26+M26)/2</f>
        <v>17910.134</v>
      </c>
      <c r="N45" s="18" t="n">
        <f aca="false">(M26+N26)/2</f>
        <v>23382</v>
      </c>
      <c r="O45" s="18" t="n">
        <f aca="false">(N26+O26)/2</f>
        <v>30350</v>
      </c>
      <c r="P45" s="1" t="s">
        <v>303</v>
      </c>
    </row>
    <row r="46" customFormat="false" ht="15" hidden="false" customHeight="false" outlineLevel="0" collapsed="false">
      <c r="A46" s="0" t="s">
        <v>304</v>
      </c>
      <c r="B46" s="0" t="s">
        <v>305</v>
      </c>
      <c r="C46" s="0" t="s">
        <v>211</v>
      </c>
      <c r="D46" s="0" t="s">
        <v>306</v>
      </c>
      <c r="E46" s="17" t="n">
        <f aca="false">E36</f>
        <v>70</v>
      </c>
      <c r="F46" s="19" t="n">
        <f aca="false">F36</f>
        <v>142.5</v>
      </c>
      <c r="G46" s="19" t="n">
        <f aca="false">G36</f>
        <v>215</v>
      </c>
      <c r="H46" s="19" t="n">
        <f aca="false">H36</f>
        <v>287.5</v>
      </c>
      <c r="I46" s="17" t="n">
        <f aca="false">I36</f>
        <v>360</v>
      </c>
      <c r="J46" s="17" t="n">
        <f aca="false">J36</f>
        <v>420</v>
      </c>
      <c r="K46" s="17" t="n">
        <f aca="false">K36</f>
        <v>470</v>
      </c>
      <c r="L46" s="17" t="n">
        <f aca="false">L36</f>
        <v>590</v>
      </c>
      <c r="M46" s="17" t="n">
        <f aca="false">M36</f>
        <v>850</v>
      </c>
      <c r="N46" s="17" t="n">
        <f aca="false">N36</f>
        <v>1000</v>
      </c>
      <c r="O46" s="17" t="n">
        <f aca="false">O36</f>
        <v>1500</v>
      </c>
      <c r="P46" s="1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18" min="3" style="0" width="11"/>
  </cols>
  <sheetData>
    <row r="1" customFormat="false" ht="15" hidden="false" customHeight="false" outlineLevel="0" collapsed="false">
      <c r="A1" s="2" t="s">
        <v>308</v>
      </c>
    </row>
    <row r="2" customFormat="false" ht="95.5" hidden="false" customHeight="false" outlineLevel="0" collapsed="false">
      <c r="A2" s="1" t="s">
        <v>309</v>
      </c>
    </row>
    <row r="4" customFormat="false" ht="28.35" hidden="false" customHeight="false" outlineLevel="0" collapsed="false">
      <c r="A4" s="4" t="s">
        <v>310</v>
      </c>
      <c r="B4" s="4" t="s">
        <v>311</v>
      </c>
      <c r="C4" s="4" t="s">
        <v>312</v>
      </c>
      <c r="D4" s="4" t="s">
        <v>313</v>
      </c>
      <c r="E4" s="4" t="s">
        <v>314</v>
      </c>
      <c r="F4" s="4" t="s">
        <v>315</v>
      </c>
      <c r="G4" s="4" t="s">
        <v>316</v>
      </c>
      <c r="H4" s="4" t="s">
        <v>317</v>
      </c>
      <c r="I4" s="4" t="s">
        <v>318</v>
      </c>
      <c r="J4" s="4" t="s">
        <v>319</v>
      </c>
      <c r="K4" s="4" t="s">
        <v>320</v>
      </c>
      <c r="L4" s="4" t="s">
        <v>321</v>
      </c>
      <c r="M4" s="4" t="s">
        <v>322</v>
      </c>
      <c r="N4" s="4" t="s">
        <v>323</v>
      </c>
      <c r="O4" s="4" t="s">
        <v>324</v>
      </c>
      <c r="P4" s="4" t="s">
        <v>325</v>
      </c>
      <c r="Q4" s="4" t="s">
        <v>326</v>
      </c>
      <c r="R4" s="4" t="s">
        <v>327</v>
      </c>
    </row>
    <row r="5" customFormat="false" ht="15" hidden="false" customHeight="false" outlineLevel="0" collapsed="false">
      <c r="A5" s="0" t="s">
        <v>328</v>
      </c>
      <c r="B5" s="0" t="s">
        <v>329</v>
      </c>
      <c r="C5" s="17" t="n">
        <v>55.125</v>
      </c>
      <c r="D5" s="17" t="n">
        <v>17</v>
      </c>
    </row>
    <row r="6" customFormat="false" ht="15" hidden="false" customHeight="false" outlineLevel="0" collapsed="false">
      <c r="A6" s="0" t="s">
        <v>330</v>
      </c>
      <c r="B6" s="0" t="s">
        <v>331</v>
      </c>
      <c r="C6" s="17" t="n">
        <v>125</v>
      </c>
      <c r="D6" s="17" t="n">
        <v>10</v>
      </c>
    </row>
    <row r="7" customFormat="false" ht="15" hidden="false" customHeight="false" outlineLevel="0" collapsed="false">
      <c r="A7" s="0" t="s">
        <v>332</v>
      </c>
      <c r="B7" s="0" t="s">
        <v>333</v>
      </c>
      <c r="C7" s="17" t="n">
        <v>1374.924</v>
      </c>
      <c r="D7" s="17" t="n">
        <v>15</v>
      </c>
      <c r="E7" s="17" t="n">
        <v>2012.5</v>
      </c>
      <c r="F7" s="17" t="n">
        <v>15</v>
      </c>
      <c r="G7" s="17" t="n">
        <v>1897.5</v>
      </c>
      <c r="H7" s="17" t="n">
        <v>15</v>
      </c>
      <c r="I7" s="17" t="n">
        <v>1782.5</v>
      </c>
      <c r="J7" s="17" t="n">
        <v>15</v>
      </c>
      <c r="K7" s="17" t="n">
        <v>1667.5</v>
      </c>
      <c r="L7" s="17" t="n">
        <v>15</v>
      </c>
      <c r="M7" s="17" t="n">
        <v>1553</v>
      </c>
      <c r="N7" s="17" t="n">
        <v>15</v>
      </c>
      <c r="O7" s="17" t="n">
        <v>1438</v>
      </c>
      <c r="P7" s="17" t="n">
        <v>15</v>
      </c>
      <c r="Q7" s="17" t="n">
        <v>1300</v>
      </c>
      <c r="R7" s="17" t="n">
        <v>15</v>
      </c>
    </row>
    <row r="8" customFormat="false" ht="15" hidden="false" customHeight="false" outlineLevel="0" collapsed="false">
      <c r="A8" s="0" t="s">
        <v>334</v>
      </c>
      <c r="B8" s="0" t="s">
        <v>333</v>
      </c>
      <c r="E8" s="17" t="n">
        <v>3843.819</v>
      </c>
      <c r="F8" s="17" t="n">
        <v>11</v>
      </c>
      <c r="G8" s="17" t="n">
        <v>4386.303</v>
      </c>
      <c r="H8" s="17" t="n">
        <v>11</v>
      </c>
      <c r="I8" s="17" t="n">
        <v>4953.967</v>
      </c>
      <c r="J8" s="17" t="n">
        <v>11</v>
      </c>
      <c r="K8" s="17" t="n">
        <v>5037.372</v>
      </c>
      <c r="L8" s="17" t="n">
        <v>10</v>
      </c>
      <c r="M8" s="17" t="n">
        <v>5037</v>
      </c>
      <c r="N8" s="17" t="n">
        <v>10</v>
      </c>
      <c r="O8" s="17" t="n">
        <v>4425</v>
      </c>
      <c r="P8" s="17" t="n">
        <v>11</v>
      </c>
      <c r="Q8" s="17" t="n">
        <v>3190</v>
      </c>
      <c r="R8" s="17" t="n">
        <v>11</v>
      </c>
    </row>
    <row r="9" customFormat="false" ht="15" hidden="false" customHeight="false" outlineLevel="0" collapsed="false">
      <c r="A9" s="0" t="s">
        <v>335</v>
      </c>
      <c r="B9" s="0" t="s">
        <v>333</v>
      </c>
      <c r="K9" s="17" t="n">
        <v>1241.325</v>
      </c>
      <c r="L9" s="17" t="n">
        <v>9</v>
      </c>
      <c r="M9" s="17" t="n">
        <v>2741</v>
      </c>
      <c r="N9" s="17" t="n">
        <v>9</v>
      </c>
      <c r="O9" s="17" t="n">
        <v>3000</v>
      </c>
      <c r="P9" s="17" t="n">
        <v>9</v>
      </c>
      <c r="Q9" s="17" t="n">
        <v>3000</v>
      </c>
      <c r="R9" s="17" t="n">
        <v>9</v>
      </c>
    </row>
    <row r="10" customFormat="false" ht="15" hidden="false" customHeight="false" outlineLevel="0" collapsed="false">
      <c r="A10" s="0" t="s">
        <v>336</v>
      </c>
      <c r="B10" s="0" t="s">
        <v>333</v>
      </c>
      <c r="K10" s="17" t="n">
        <v>358.696</v>
      </c>
      <c r="L10" s="17" t="n">
        <v>9</v>
      </c>
      <c r="M10" s="17" t="n">
        <v>340</v>
      </c>
      <c r="N10" s="17" t="n">
        <v>9</v>
      </c>
      <c r="O10" s="17" t="n">
        <v>1700</v>
      </c>
      <c r="P10" s="17" t="n">
        <v>9</v>
      </c>
      <c r="Q10" s="17" t="n">
        <v>2215</v>
      </c>
      <c r="R10" s="17" t="n">
        <v>9</v>
      </c>
    </row>
    <row r="11" customFormat="false" ht="15" hidden="false" customHeight="false" outlineLevel="0" collapsed="false">
      <c r="A11" s="0" t="s">
        <v>337</v>
      </c>
      <c r="B11" s="0" t="s">
        <v>333</v>
      </c>
      <c r="O11" s="17" t="n">
        <v>1260</v>
      </c>
      <c r="P11" s="17" t="n">
        <v>7</v>
      </c>
      <c r="Q11" s="17" t="n">
        <v>2837</v>
      </c>
      <c r="R11" s="17" t="n">
        <v>7</v>
      </c>
    </row>
    <row r="12" customFormat="false" ht="15" hidden="false" customHeight="false" outlineLevel="0" collapsed="false">
      <c r="A12" s="0" t="s">
        <v>338</v>
      </c>
      <c r="B12" s="0" t="s">
        <v>333</v>
      </c>
      <c r="Q12" s="17" t="n">
        <v>1101</v>
      </c>
      <c r="R12" s="17" t="n">
        <v>9</v>
      </c>
    </row>
    <row r="13" customFormat="false" ht="15" hidden="false" customHeight="false" outlineLevel="0" collapsed="false">
      <c r="A13" s="0" t="s">
        <v>339</v>
      </c>
      <c r="B13" s="0" t="s">
        <v>340</v>
      </c>
      <c r="E13" s="17" t="n">
        <v>1000</v>
      </c>
      <c r="F13" s="17" t="n">
        <v>12</v>
      </c>
      <c r="G13" s="17" t="n">
        <v>1000</v>
      </c>
      <c r="H13" s="17" t="n">
        <v>12</v>
      </c>
    </row>
    <row r="14" customFormat="false" ht="15" hidden="false" customHeight="false" outlineLevel="0" collapsed="false">
      <c r="A14" s="0" t="s">
        <v>341</v>
      </c>
      <c r="B14" s="0" t="s">
        <v>340</v>
      </c>
      <c r="G14" s="17" t="n">
        <v>248.917</v>
      </c>
      <c r="H14" s="17" t="n">
        <v>12</v>
      </c>
      <c r="I14" s="17" t="n">
        <v>256.63</v>
      </c>
      <c r="J14" s="17" t="n">
        <v>12</v>
      </c>
      <c r="K14" s="17" t="n">
        <v>264.666</v>
      </c>
      <c r="L14" s="17" t="n">
        <v>12</v>
      </c>
      <c r="M14" s="17" t="n">
        <v>273</v>
      </c>
      <c r="N14" s="17" t="n">
        <v>12</v>
      </c>
      <c r="O14" s="17" t="n">
        <v>281</v>
      </c>
      <c r="P14" s="17" t="n">
        <v>12</v>
      </c>
      <c r="Q14" s="17" t="n">
        <v>189</v>
      </c>
      <c r="R14" s="17" t="n">
        <v>12</v>
      </c>
    </row>
    <row r="15" customFormat="false" ht="15" hidden="false" customHeight="false" outlineLevel="0" collapsed="false">
      <c r="A15" s="0" t="s">
        <v>342</v>
      </c>
      <c r="B15" s="0" t="s">
        <v>331</v>
      </c>
      <c r="I15" s="17" t="n">
        <v>2000</v>
      </c>
      <c r="J15" s="17" t="n">
        <v>10</v>
      </c>
      <c r="K15" s="17" t="n">
        <v>2000</v>
      </c>
      <c r="L15" s="17" t="n">
        <v>10</v>
      </c>
      <c r="M15" s="17" t="n">
        <v>2000</v>
      </c>
      <c r="N15" s="17" t="n">
        <v>10</v>
      </c>
      <c r="O15" s="17" t="n">
        <v>2000</v>
      </c>
      <c r="P15" s="17" t="n">
        <v>10</v>
      </c>
      <c r="Q15" s="17" t="n">
        <v>2000</v>
      </c>
      <c r="R15" s="17" t="n">
        <v>10</v>
      </c>
    </row>
    <row r="16" customFormat="false" ht="15" hidden="false" customHeight="false" outlineLevel="0" collapsed="false">
      <c r="A16" s="0" t="s">
        <v>343</v>
      </c>
      <c r="B16" s="0" t="s">
        <v>331</v>
      </c>
      <c r="K16" s="17" t="n">
        <v>1750</v>
      </c>
      <c r="L16" s="17" t="n">
        <v>10</v>
      </c>
      <c r="M16" s="17" t="n">
        <v>1750</v>
      </c>
      <c r="N16" s="17" t="n">
        <v>10</v>
      </c>
      <c r="O16" s="17" t="n">
        <v>1750</v>
      </c>
      <c r="P16" s="17" t="n">
        <v>10</v>
      </c>
      <c r="Q16" s="17" t="n">
        <v>1750</v>
      </c>
      <c r="R16" s="17" t="n">
        <v>10</v>
      </c>
    </row>
    <row r="17" customFormat="false" ht="15" hidden="false" customHeight="false" outlineLevel="0" collapsed="false">
      <c r="A17" s="0" t="s">
        <v>344</v>
      </c>
      <c r="B17" s="0" t="s">
        <v>331</v>
      </c>
      <c r="Q17" s="17" t="n">
        <v>2750</v>
      </c>
      <c r="R17" s="17" t="n">
        <v>10</v>
      </c>
    </row>
    <row r="18" customFormat="false" ht="15" hidden="false" customHeight="false" outlineLevel="0" collapsed="false">
      <c r="A18" s="0" t="s">
        <v>345</v>
      </c>
      <c r="B18" s="0" t="s">
        <v>331</v>
      </c>
      <c r="Q18" s="17" t="n">
        <v>1250</v>
      </c>
      <c r="R18" s="17" t="n">
        <v>10</v>
      </c>
    </row>
    <row r="19" customFormat="false" ht="15" hidden="false" customHeight="false" outlineLevel="0" collapsed="false">
      <c r="A19" s="0" t="s">
        <v>346</v>
      </c>
      <c r="B19" s="0" t="s">
        <v>331</v>
      </c>
      <c r="Q19" s="17" t="n">
        <v>2279</v>
      </c>
      <c r="R19" s="17" t="n">
        <v>9</v>
      </c>
    </row>
    <row r="20" customFormat="false" ht="15" hidden="false" customHeight="false" outlineLevel="0" collapsed="false">
      <c r="A20" s="0" t="s">
        <v>347</v>
      </c>
      <c r="B20" s="0" t="s">
        <v>329</v>
      </c>
      <c r="M20" s="17" t="n">
        <v>2588</v>
      </c>
      <c r="N20" s="17" t="n">
        <v>2</v>
      </c>
      <c r="O20" s="17" t="n">
        <v>2588</v>
      </c>
      <c r="P20" s="17" t="n">
        <v>2</v>
      </c>
      <c r="Q20" s="17" t="n">
        <v>2588</v>
      </c>
      <c r="R20" s="17" t="n">
        <v>2</v>
      </c>
    </row>
    <row r="21" customFormat="false" ht="15" hidden="false" customHeight="false" outlineLevel="0" collapsed="false">
      <c r="A21" s="0" t="s">
        <v>348</v>
      </c>
      <c r="B21" s="0" t="s">
        <v>329</v>
      </c>
      <c r="Q21" s="17" t="n">
        <v>4000</v>
      </c>
      <c r="R21" s="17" t="n">
        <v>2</v>
      </c>
    </row>
    <row r="22" customFormat="false" ht="15" hidden="false" customHeight="false" outlineLevel="0" collapsed="false">
      <c r="A22" s="0" t="s">
        <v>349</v>
      </c>
      <c r="B22" s="0" t="s">
        <v>329</v>
      </c>
      <c r="M22" s="17" t="n">
        <v>168</v>
      </c>
      <c r="N22" s="17" t="n">
        <v>7</v>
      </c>
      <c r="O22" s="17" t="n">
        <v>171</v>
      </c>
      <c r="P22" s="17" t="n">
        <v>7</v>
      </c>
    </row>
    <row r="23" customFormat="false" ht="15" hidden="false" customHeight="false" outlineLevel="0" collapsed="false">
      <c r="A23" s="0" t="s">
        <v>350</v>
      </c>
      <c r="B23" s="0" t="s">
        <v>351</v>
      </c>
      <c r="G23" s="17" t="n">
        <v>50</v>
      </c>
      <c r="H23" s="17" t="n">
        <v>6</v>
      </c>
      <c r="I23" s="17" t="n">
        <v>450</v>
      </c>
      <c r="J23" s="17" t="n">
        <v>7</v>
      </c>
      <c r="K23" s="17" t="n">
        <v>700</v>
      </c>
      <c r="L23" s="17" t="n">
        <v>7</v>
      </c>
      <c r="M23" s="17" t="n">
        <v>1000</v>
      </c>
      <c r="N23" s="17" t="n">
        <v>6</v>
      </c>
      <c r="O23" s="17" t="n">
        <v>1500</v>
      </c>
      <c r="P23" s="17" t="n">
        <v>6</v>
      </c>
      <c r="Q23" s="17" t="n">
        <v>0</v>
      </c>
      <c r="R23" s="17" t="n">
        <v>7</v>
      </c>
    </row>
    <row r="24" customFormat="false" ht="15" hidden="false" customHeight="false" outlineLevel="0" collapsed="false">
      <c r="A24" s="0" t="s">
        <v>352</v>
      </c>
      <c r="B24" s="0" t="s">
        <v>353</v>
      </c>
      <c r="E24" s="17" t="n">
        <v>1177.158</v>
      </c>
      <c r="F24" s="17" t="n">
        <v>10</v>
      </c>
      <c r="G24" s="17" t="n">
        <v>1225.201</v>
      </c>
      <c r="H24" s="17" t="n">
        <v>9.5</v>
      </c>
      <c r="I24" s="17" t="n">
        <v>1728.388</v>
      </c>
      <c r="J24" s="17" t="n">
        <v>9.5</v>
      </c>
      <c r="K24" s="17" t="n">
        <v>1185.709</v>
      </c>
      <c r="L24" s="17" t="n">
        <v>9</v>
      </c>
      <c r="M24" s="17" t="n">
        <v>4165</v>
      </c>
      <c r="N24" s="17" t="n">
        <v>10</v>
      </c>
      <c r="O24" s="17" t="n">
        <v>5036</v>
      </c>
      <c r="P24" s="17" t="n">
        <v>10</v>
      </c>
      <c r="Q24" s="17" t="n">
        <v>4220</v>
      </c>
      <c r="R24" s="17" t="n">
        <v>11</v>
      </c>
    </row>
    <row r="25" customFormat="false" ht="15" hidden="false" customHeight="false" outlineLevel="0" collapsed="false">
      <c r="A25" s="0" t="s">
        <v>354</v>
      </c>
      <c r="B25" s="0" t="s">
        <v>353</v>
      </c>
      <c r="Q25" s="17" t="n">
        <v>882</v>
      </c>
      <c r="R25" s="17" t="n">
        <v>9</v>
      </c>
    </row>
    <row r="27" customFormat="false" ht="15" hidden="false" customHeight="false" outlineLevel="0" collapsed="false">
      <c r="A27" s="2" t="s">
        <v>355</v>
      </c>
      <c r="C27" s="0" t="n">
        <f aca="false">SUM(C5:C25)</f>
        <v>1555.049</v>
      </c>
      <c r="E27" s="0" t="n">
        <f aca="false">SUM(E5:E25)</f>
        <v>8033.477</v>
      </c>
      <c r="G27" s="0" t="n">
        <f aca="false">SUM(G5:G25)</f>
        <v>8807.921</v>
      </c>
      <c r="I27" s="0" t="n">
        <f aca="false">SUM(I5:I25)</f>
        <v>11171.485</v>
      </c>
      <c r="K27" s="0" t="n">
        <f aca="false">SUM(K5:K25)</f>
        <v>14205.268</v>
      </c>
      <c r="M27" s="0" t="n">
        <f aca="false">SUM(M5:M25)</f>
        <v>21615</v>
      </c>
      <c r="O27" s="0" t="n">
        <f aca="false">SUM(O5:O25)</f>
        <v>25149</v>
      </c>
      <c r="Q27" s="0" t="n">
        <f aca="false">SUM(Q5:Q25)</f>
        <v>35551</v>
      </c>
    </row>
    <row r="28" customFormat="false" ht="15" hidden="false" customHeight="false" outlineLevel="0" collapsed="false">
      <c r="A28" s="0" t="s">
        <v>356</v>
      </c>
      <c r="C28" s="0" t="n">
        <f aca="false">C27-Inputs!E26</f>
        <v>0</v>
      </c>
      <c r="E28" s="0" t="n">
        <f aca="false">E27-Inputs!I26</f>
        <v>0</v>
      </c>
      <c r="G28" s="0" t="n">
        <f aca="false">G27-Inputs!J26</f>
        <v>0</v>
      </c>
      <c r="I28" s="0" t="n">
        <f aca="false">I27-Inputs!K26</f>
        <v>0</v>
      </c>
      <c r="K28" s="0" t="n">
        <f aca="false">K27-Inputs!L26</f>
        <v>0</v>
      </c>
      <c r="M28" s="0" t="n">
        <f aca="false">M27-Inputs!M26</f>
        <v>0</v>
      </c>
      <c r="O28" s="0" t="n">
        <f aca="false">O27-Inputs!N26</f>
        <v>0</v>
      </c>
      <c r="Q28" s="0" t="n">
        <f aca="false">Q27-Inputs!O26</f>
        <v>0</v>
      </c>
    </row>
    <row r="29" customFormat="false" ht="15" hidden="false" customHeight="false" outlineLevel="0" collapsed="false">
      <c r="A29" s="2" t="s">
        <v>357</v>
      </c>
      <c r="D29" s="0" t="n">
        <f aca="false">IFERROR(SUMPRODUCT(C5:C25,D5:D25)/SUM(C5:C25),"n/d")</f>
        <v>14.6689814919015</v>
      </c>
      <c r="F29" s="0" t="n">
        <f aca="false">IFERROR(SUMPRODUCT(E5:E25,F5:F25)/SUM(E5:E25),"n/d")</f>
        <v>11.9800042995082</v>
      </c>
      <c r="H29" s="0" t="n">
        <f aca="false">IFERROR(SUMPRODUCT(G5:G25,H5:H25)/SUM(G5:G25),"n/d")</f>
        <v>11.7664822947436</v>
      </c>
      <c r="J29" s="0" t="n">
        <f aca="false">IFERROR(SUMPRODUCT(I5:I25,J5:J25)/SUM(I5:I25),"n/d")</f>
        <v>11.0889808293168</v>
      </c>
      <c r="L29" s="0" t="n">
        <f aca="false">IFERROR(SUMPRODUCT(K5:K25,L5:L25)/SUM(K5:K25),"n/d")</f>
        <v>10.2802553249963</v>
      </c>
      <c r="N29" s="0" t="n">
        <f aca="false">IFERROR(SUMPRODUCT(M5:M25,N5:N25)/SUM(M5:M25),"n/d")</f>
        <v>9.07573444367337</v>
      </c>
      <c r="P29" s="0" t="n">
        <f aca="false">IFERROR(SUMPRODUCT(O5:O25,P5:P25)/SUM(O5:O25),"n/d")</f>
        <v>9.06477394727425</v>
      </c>
      <c r="R29" s="0" t="n">
        <f aca="false">IFERROR(SUMPRODUCT(Q5:Q25,R5:R25)/SUM(Q5:Q25),"n/d")</f>
        <v>8.4134342212596</v>
      </c>
    </row>
    <row r="30" customFormat="false" ht="15" hidden="false" customHeight="false" outlineLevel="0" collapsed="false">
      <c r="A30" s="0" t="s">
        <v>358</v>
      </c>
      <c r="C30" s="0" t="n">
        <f aca="false">SUMIF($B$5:$B$25,"DDTL",C5:C25)</f>
        <v>1374.924</v>
      </c>
      <c r="D30" s="0" t="n">
        <f aca="false">IFERROR(SUMPRODUCT(($B$5:$B$25="DDTL")*C5:C25*D5:D25)/C30,"n/d")</f>
        <v>15</v>
      </c>
      <c r="E30" s="0" t="n">
        <f aca="false">SUMIF($B$5:$B$25,"DDTL",E5:E25)</f>
        <v>5856.319</v>
      </c>
      <c r="F30" s="0" t="n">
        <f aca="false">IFERROR(SUMPRODUCT(($B$5:$B$25="DDTL")*E5:E25*F5:F25)/E30,"n/d")</f>
        <v>12.3745835908187</v>
      </c>
      <c r="G30" s="0" t="n">
        <f aca="false">SUMIF($B$5:$B$25,"DDTL",G5:G25)</f>
        <v>6283.803</v>
      </c>
      <c r="H30" s="0" t="n">
        <f aca="false">IFERROR(SUMPRODUCT(($B$5:$B$25="DDTL")*G5:G25*H5:H25)/G30,"n/d")</f>
        <v>12.2078672740059</v>
      </c>
      <c r="I30" s="0" t="n">
        <f aca="false">SUMIF($B$5:$B$25,"DDTL",I5:I25)</f>
        <v>6736.467</v>
      </c>
      <c r="J30" s="0" t="n">
        <f aca="false">IFERROR(SUMPRODUCT(($B$5:$B$25="DDTL")*I5:I25*J5:J25)/I30,"n/d")</f>
        <v>12.0584183074006</v>
      </c>
      <c r="K30" s="0" t="n">
        <f aca="false">SUMIF($B$5:$B$25,"DDTL",K5:K25)</f>
        <v>8304.893</v>
      </c>
      <c r="L30" s="0" t="n">
        <f aca="false">IFERROR(SUMPRODUCT(($B$5:$B$25="DDTL")*K5:K25*L5:L25)/K30,"n/d")</f>
        <v>10.811266201744</v>
      </c>
      <c r="M30" s="0" t="n">
        <f aca="false">SUMIF($B$5:$B$25,"DDTL",M5:M25)</f>
        <v>9671</v>
      </c>
      <c r="N30" s="0" t="n">
        <f aca="false">IFERROR(SUMPRODUCT(($B$5:$B$25="DDTL")*M5:M25*N5:N25)/M30,"n/d")</f>
        <v>10.4843346086237</v>
      </c>
      <c r="O30" s="0" t="n">
        <f aca="false">SUMIF($B$5:$B$25,"DDTL",O5:O25)</f>
        <v>11823</v>
      </c>
      <c r="P30" s="0" t="n">
        <f aca="false">IFERROR(SUMPRODUCT(($B$5:$B$25="DDTL")*O5:O25*P5:P25)/O30,"n/d")</f>
        <v>10.2651611266176</v>
      </c>
      <c r="Q30" s="0" t="n">
        <f aca="false">SUMIF($B$5:$B$25,"DDTL",Q5:Q25)</f>
        <v>13643</v>
      </c>
      <c r="R30" s="0" t="n">
        <f aca="false">IFERROR(SUMPRODUCT(($B$5:$B$25="DDTL")*Q5:Q25*R5:R25)/Q30,"n/d")</f>
        <v>9.62346991130983</v>
      </c>
    </row>
    <row r="31" customFormat="false" ht="15" hidden="false" customHeight="false" outlineLevel="0" collapsed="false">
      <c r="A31" s="0" t="s">
        <v>359</v>
      </c>
      <c r="C31" s="0" t="n">
        <f aca="false">SUMIF($B$5:$B$25,"Senior notes",C5:C25)</f>
        <v>125</v>
      </c>
      <c r="D31" s="0" t="n">
        <f aca="false">IFERROR(SUMPRODUCT(($B$5:$B$25="Senior notes")*C5:C25*D5:D25)/C31,"n/d")</f>
        <v>10</v>
      </c>
      <c r="E31" s="0" t="n">
        <f aca="false">SUMIF($B$5:$B$25,"Senior notes",E5:E25)</f>
        <v>0</v>
      </c>
      <c r="F31" s="0" t="str">
        <f aca="false">IFERROR(SUMPRODUCT(($B$5:$B$25="Senior notes")*E5:E25*F5:F25)/E31,"n/d")</f>
        <v>n/d</v>
      </c>
      <c r="G31" s="0" t="n">
        <f aca="false">SUMIF($B$5:$B$25,"Senior notes",G5:G25)</f>
        <v>0</v>
      </c>
      <c r="H31" s="0" t="str">
        <f aca="false">IFERROR(SUMPRODUCT(($B$5:$B$25="Senior notes")*G5:G25*H5:H25)/G31,"n/d")</f>
        <v>n/d</v>
      </c>
      <c r="I31" s="0" t="n">
        <f aca="false">SUMIF($B$5:$B$25,"Senior notes",I5:I25)</f>
        <v>2000</v>
      </c>
      <c r="J31" s="0" t="n">
        <f aca="false">IFERROR(SUMPRODUCT(($B$5:$B$25="Senior notes")*I5:I25*J5:J25)/I31,"n/d")</f>
        <v>10</v>
      </c>
      <c r="K31" s="0" t="n">
        <f aca="false">SUMIF($B$5:$B$25,"Senior notes",K5:K25)</f>
        <v>3750</v>
      </c>
      <c r="L31" s="0" t="n">
        <f aca="false">IFERROR(SUMPRODUCT(($B$5:$B$25="Senior notes")*K5:K25*L5:L25)/K31,"n/d")</f>
        <v>10</v>
      </c>
      <c r="M31" s="0" t="n">
        <f aca="false">SUMIF($B$5:$B$25,"Senior notes",M5:M25)</f>
        <v>3750</v>
      </c>
      <c r="N31" s="0" t="n">
        <f aca="false">IFERROR(SUMPRODUCT(($B$5:$B$25="Senior notes")*M5:M25*N5:N25)/M31,"n/d")</f>
        <v>10</v>
      </c>
      <c r="O31" s="0" t="n">
        <f aca="false">SUMIF($B$5:$B$25,"Senior notes",O5:O25)</f>
        <v>3750</v>
      </c>
      <c r="P31" s="0" t="n">
        <f aca="false">IFERROR(SUMPRODUCT(($B$5:$B$25="Senior notes")*O5:O25*P5:P25)/O31,"n/d")</f>
        <v>10</v>
      </c>
      <c r="Q31" s="0" t="n">
        <f aca="false">SUMIF($B$5:$B$25,"Senior notes",Q5:Q25)</f>
        <v>10029</v>
      </c>
      <c r="R31" s="0" t="n">
        <f aca="false">IFERROR(SUMPRODUCT(($B$5:$B$25="Senior notes")*Q5:Q25*R5:R25)/Q31,"n/d")</f>
        <v>9.77275899890318</v>
      </c>
    </row>
    <row r="32" customFormat="false" ht="15" hidden="false" customHeight="false" outlineLevel="0" collapsed="false">
      <c r="A32" s="0" t="s">
        <v>360</v>
      </c>
      <c r="C32" s="0" t="n">
        <f aca="false">SUMIF($B$5:$B$25,"Converts",C5:C25)</f>
        <v>55.125</v>
      </c>
      <c r="D32" s="0" t="n">
        <f aca="false">IFERROR(SUMPRODUCT(($B$5:$B$25="Converts")*C5:C25*D5:D25)/C32,"n/d")</f>
        <v>17</v>
      </c>
      <c r="E32" s="0" t="n">
        <f aca="false">SUMIF($B$5:$B$25,"Converts",E5:E25)</f>
        <v>0</v>
      </c>
      <c r="F32" s="0" t="str">
        <f aca="false">IFERROR(SUMPRODUCT(($B$5:$B$25="Converts")*E5:E25*F5:F25)/E32,"n/d")</f>
        <v>n/d</v>
      </c>
      <c r="G32" s="0" t="n">
        <f aca="false">SUMIF($B$5:$B$25,"Converts",G5:G25)</f>
        <v>0</v>
      </c>
      <c r="H32" s="0" t="str">
        <f aca="false">IFERROR(SUMPRODUCT(($B$5:$B$25="Converts")*G5:G25*H5:H25)/G32,"n/d")</f>
        <v>n/d</v>
      </c>
      <c r="I32" s="0" t="n">
        <f aca="false">SUMIF($B$5:$B$25,"Converts",I5:I25)</f>
        <v>0</v>
      </c>
      <c r="J32" s="0" t="str">
        <f aca="false">IFERROR(SUMPRODUCT(($B$5:$B$25="Converts")*I5:I25*J5:J25)/I32,"n/d")</f>
        <v>n/d</v>
      </c>
      <c r="K32" s="0" t="n">
        <f aca="false">SUMIF($B$5:$B$25,"Converts",K5:K25)</f>
        <v>0</v>
      </c>
      <c r="L32" s="0" t="str">
        <f aca="false">IFERROR(SUMPRODUCT(($B$5:$B$25="Converts")*K5:K25*L5:L25)/K32,"n/d")</f>
        <v>n/d</v>
      </c>
      <c r="M32" s="0" t="n">
        <f aca="false">SUMIF($B$5:$B$25,"Converts",M5:M25)</f>
        <v>2756</v>
      </c>
      <c r="N32" s="0" t="n">
        <f aca="false">IFERROR(SUMPRODUCT(($B$5:$B$25="Converts")*M5:M25*N5:N25)/M32,"n/d")</f>
        <v>2.30478955007257</v>
      </c>
      <c r="O32" s="0" t="n">
        <f aca="false">SUMIF($B$5:$B$25,"Converts",O5:O25)</f>
        <v>2759</v>
      </c>
      <c r="P32" s="0" t="n">
        <f aca="false">IFERROR(SUMPRODUCT(($B$5:$B$25="Converts")*O5:O25*P5:P25)/O32,"n/d")</f>
        <v>2.3098948894527</v>
      </c>
      <c r="Q32" s="0" t="n">
        <f aca="false">SUMIF($B$5:$B$25,"Converts",Q5:Q25)</f>
        <v>6588</v>
      </c>
      <c r="R32" s="0" t="n">
        <f aca="false">IFERROR(SUMPRODUCT(($B$5:$B$25="Converts")*Q5:Q25*R5:R25)/Q32,"n/d")</f>
        <v>2</v>
      </c>
    </row>
    <row r="33" customFormat="false" ht="15" hidden="false" customHeight="false" outlineLevel="0" collapsed="false">
      <c r="A33" s="0" t="s">
        <v>361</v>
      </c>
      <c r="C33" s="0" t="n">
        <f aca="false">SUMIF($B$5:$B$25,"OEM / vendor financing",C5:C25)</f>
        <v>0</v>
      </c>
      <c r="D33" s="0" t="str">
        <f aca="false">IFERROR(SUMPRODUCT(($B$5:$B$25="OEM / vendor financing")*C5:C25*D5:D25)/C33,"n/d")</f>
        <v>n/d</v>
      </c>
      <c r="E33" s="0" t="n">
        <f aca="false">SUMIF($B$5:$B$25,"OEM / vendor financing",E5:E25)</f>
        <v>1177.158</v>
      </c>
      <c r="F33" s="0" t="n">
        <f aca="false">IFERROR(SUMPRODUCT(($B$5:$B$25="OEM / vendor financing")*E5:E25*F5:F25)/E33,"n/d")</f>
        <v>10</v>
      </c>
      <c r="G33" s="0" t="n">
        <f aca="false">SUMIF($B$5:$B$25,"OEM / vendor financing",G5:G25)</f>
        <v>1225.201</v>
      </c>
      <c r="H33" s="0" t="n">
        <f aca="false">IFERROR(SUMPRODUCT(($B$5:$B$25="OEM / vendor financing")*G5:G25*H5:H25)/G33,"n/d")</f>
        <v>9.5</v>
      </c>
      <c r="I33" s="0" t="n">
        <f aca="false">SUMIF($B$5:$B$25,"OEM / vendor financing",I5:I25)</f>
        <v>1728.388</v>
      </c>
      <c r="J33" s="0" t="n">
        <f aca="false">IFERROR(SUMPRODUCT(($B$5:$B$25="OEM / vendor financing")*I5:I25*J5:J25)/I33,"n/d")</f>
        <v>9.5</v>
      </c>
      <c r="K33" s="0" t="n">
        <f aca="false">SUMIF($B$5:$B$25,"OEM / vendor financing",K5:K25)</f>
        <v>1185.709</v>
      </c>
      <c r="L33" s="0" t="n">
        <f aca="false">IFERROR(SUMPRODUCT(($B$5:$B$25="OEM / vendor financing")*K5:K25*L5:L25)/K33,"n/d")</f>
        <v>9</v>
      </c>
      <c r="M33" s="0" t="n">
        <f aca="false">SUMIF($B$5:$B$25,"OEM / vendor financing",M5:M25)</f>
        <v>4165</v>
      </c>
      <c r="N33" s="0" t="n">
        <f aca="false">IFERROR(SUMPRODUCT(($B$5:$B$25="OEM / vendor financing")*M5:M25*N5:N25)/M33,"n/d")</f>
        <v>10</v>
      </c>
      <c r="O33" s="0" t="n">
        <f aca="false">SUMIF($B$5:$B$25,"OEM / vendor financing",O5:O25)</f>
        <v>5036</v>
      </c>
      <c r="P33" s="0" t="n">
        <f aca="false">IFERROR(SUMPRODUCT(($B$5:$B$25="OEM / vendor financing")*O5:O25*P5:P25)/O33,"n/d")</f>
        <v>10</v>
      </c>
      <c r="Q33" s="0" t="n">
        <f aca="false">SUMIF($B$5:$B$25,"OEM / vendor financing",Q5:Q25)</f>
        <v>5102</v>
      </c>
      <c r="R33" s="0" t="n">
        <f aca="false">IFERROR(SUMPRODUCT(($B$5:$B$25="OEM / vendor financing")*Q5:Q25*R5:R25)/Q33,"n/d")</f>
        <v>10.6542532340259</v>
      </c>
    </row>
    <row r="34" customFormat="false" ht="15" hidden="false" customHeight="false" outlineLevel="0" collapsed="false">
      <c r="A34" s="0" t="s">
        <v>362</v>
      </c>
      <c r="C34" s="0" t="n">
        <f aca="false">SUMIF($B$5:$B$25,"Revolver",C5:C25)</f>
        <v>0</v>
      </c>
      <c r="D34" s="0" t="str">
        <f aca="false">IFERROR(SUMPRODUCT(($B$5:$B$25="Revolver")*C5:C25*D5:D25)/C34,"n/d")</f>
        <v>n/d</v>
      </c>
      <c r="E34" s="0" t="n">
        <f aca="false">SUMIF($B$5:$B$25,"Revolver",E5:E25)</f>
        <v>0</v>
      </c>
      <c r="F34" s="0" t="str">
        <f aca="false">IFERROR(SUMPRODUCT(($B$5:$B$25="Revolver")*E5:E25*F5:F25)/E34,"n/d")</f>
        <v>n/d</v>
      </c>
      <c r="G34" s="0" t="n">
        <f aca="false">SUMIF($B$5:$B$25,"Revolver",G5:G25)</f>
        <v>50</v>
      </c>
      <c r="H34" s="0" t="n">
        <f aca="false">IFERROR(SUMPRODUCT(($B$5:$B$25="Revolver")*G5:G25*H5:H25)/G34,"n/d")</f>
        <v>6</v>
      </c>
      <c r="I34" s="0" t="n">
        <f aca="false">SUMIF($B$5:$B$25,"Revolver",I5:I25)</f>
        <v>450</v>
      </c>
      <c r="J34" s="0" t="n">
        <f aca="false">IFERROR(SUMPRODUCT(($B$5:$B$25="Revolver")*I5:I25*J5:J25)/I34,"n/d")</f>
        <v>7</v>
      </c>
      <c r="K34" s="0" t="n">
        <f aca="false">SUMIF($B$5:$B$25,"Revolver",K5:K25)</f>
        <v>700</v>
      </c>
      <c r="L34" s="0" t="n">
        <f aca="false">IFERROR(SUMPRODUCT(($B$5:$B$25="Revolver")*K5:K25*L5:L25)/K34,"n/d")</f>
        <v>7</v>
      </c>
      <c r="M34" s="0" t="n">
        <f aca="false">SUMIF($B$5:$B$25,"Revolver",M5:M25)</f>
        <v>1000</v>
      </c>
      <c r="N34" s="0" t="n">
        <f aca="false">IFERROR(SUMPRODUCT(($B$5:$B$25="Revolver")*M5:M25*N5:N25)/M34,"n/d")</f>
        <v>6</v>
      </c>
      <c r="O34" s="0" t="n">
        <f aca="false">SUMIF($B$5:$B$25,"Revolver",O5:O25)</f>
        <v>1500</v>
      </c>
      <c r="P34" s="0" t="n">
        <f aca="false">IFERROR(SUMPRODUCT(($B$5:$B$25="Revolver")*O5:O25*P5:P25)/O34,"n/d")</f>
        <v>6</v>
      </c>
      <c r="Q34" s="0" t="n">
        <f aca="false">SUMIF($B$5:$B$25,"Revolver",Q5:Q25)</f>
        <v>0</v>
      </c>
      <c r="R34" s="0" t="str">
        <f aca="false">IFERROR(SUMPRODUCT(($B$5:$B$25="Revolver")*Q5:Q25*R5:R25)/Q34,"n/d")</f>
        <v>n/d</v>
      </c>
    </row>
    <row r="35" customFormat="false" ht="15" hidden="false" customHeight="false" outlineLevel="0" collapsed="false">
      <c r="A35" s="0" t="s">
        <v>363</v>
      </c>
      <c r="C35" s="0" t="n">
        <f aca="false">SUMIF($B$5:$B$25,"Other term loans",C5:C25)</f>
        <v>0</v>
      </c>
      <c r="D35" s="0" t="str">
        <f aca="false">IFERROR(SUMPRODUCT(($B$5:$B$25="Other term loans")*C5:C25*D5:D25)/C35,"n/d")</f>
        <v>n/d</v>
      </c>
      <c r="E35" s="0" t="n">
        <f aca="false">SUMIF($B$5:$B$25,"Other term loans",E5:E25)</f>
        <v>1000</v>
      </c>
      <c r="F35" s="0" t="n">
        <f aca="false">IFERROR(SUMPRODUCT(($B$5:$B$25="Other term loans")*E5:E25*F5:F25)/E35,"n/d")</f>
        <v>12</v>
      </c>
      <c r="G35" s="0" t="n">
        <f aca="false">SUMIF($B$5:$B$25,"Other term loans",G5:G25)</f>
        <v>1248.917</v>
      </c>
      <c r="H35" s="0" t="n">
        <f aca="false">IFERROR(SUMPRODUCT(($B$5:$B$25="Other term loans")*G5:G25*H5:H25)/G35,"n/d")</f>
        <v>12</v>
      </c>
      <c r="I35" s="0" t="n">
        <f aca="false">SUMIF($B$5:$B$25,"Other term loans",I5:I25)</f>
        <v>256.63</v>
      </c>
      <c r="J35" s="0" t="n">
        <f aca="false">IFERROR(SUMPRODUCT(($B$5:$B$25="Other term loans")*I5:I25*J5:J25)/I35,"n/d")</f>
        <v>12</v>
      </c>
      <c r="K35" s="0" t="n">
        <f aca="false">SUMIF($B$5:$B$25,"Other term loans",K5:K25)</f>
        <v>264.666</v>
      </c>
      <c r="L35" s="0" t="n">
        <f aca="false">IFERROR(SUMPRODUCT(($B$5:$B$25="Other term loans")*K5:K25*L5:L25)/K35,"n/d")</f>
        <v>12</v>
      </c>
      <c r="M35" s="0" t="n">
        <f aca="false">SUMIF($B$5:$B$25,"Other term loans",M5:M25)</f>
        <v>273</v>
      </c>
      <c r="N35" s="0" t="n">
        <f aca="false">IFERROR(SUMPRODUCT(($B$5:$B$25="Other term loans")*M5:M25*N5:N25)/M35,"n/d")</f>
        <v>12</v>
      </c>
      <c r="O35" s="0" t="n">
        <f aca="false">SUMIF($B$5:$B$25,"Other term loans",O5:O25)</f>
        <v>281</v>
      </c>
      <c r="P35" s="0" t="n">
        <f aca="false">IFERROR(SUMPRODUCT(($B$5:$B$25="Other term loans")*O5:O25*P5:P25)/O35,"n/d")</f>
        <v>12</v>
      </c>
      <c r="Q35" s="0" t="n">
        <f aca="false">SUMIF($B$5:$B$25,"Other term loans",Q5:Q25)</f>
        <v>189</v>
      </c>
      <c r="R35" s="0" t="n">
        <f aca="false">IFERROR(SUMPRODUCT(($B$5:$B$25="Other term loans")*Q5:Q25*R5:R25)/Q35,"n/d")</f>
        <v>12</v>
      </c>
    </row>
    <row r="36" customFormat="false" ht="15" hidden="false" customHeight="false" outlineLevel="0" collapsed="false">
      <c r="A36" s="0" t="s">
        <v>364</v>
      </c>
      <c r="D36" s="0" t="n">
        <f aca="false">IFERROR(C30/C27*100,"n/d")</f>
        <v>88.4167637161273</v>
      </c>
      <c r="F36" s="0" t="n">
        <f aca="false">IFERROR(E30/E27*100,"n/d")</f>
        <v>72.8989328033179</v>
      </c>
      <c r="H36" s="0" t="n">
        <f aca="false">IFERROR(G30/G27*100,"n/d")</f>
        <v>71.3426357933955</v>
      </c>
      <c r="J36" s="0" t="n">
        <f aca="false">IFERROR(I30/I27*100,"n/d")</f>
        <v>60.3005509115395</v>
      </c>
      <c r="L36" s="0" t="n">
        <f aca="false">IFERROR(K30/K27*100,"n/d")</f>
        <v>58.463472846834</v>
      </c>
      <c r="N36" s="0" t="n">
        <f aca="false">IFERROR(M30/M27*100,"n/d")</f>
        <v>44.7420772611612</v>
      </c>
      <c r="P36" s="0" t="n">
        <f aca="false">IFERROR(O30/O27*100,"n/d")</f>
        <v>47.0118096146964</v>
      </c>
      <c r="R36" s="0" t="n">
        <f aca="false">IFERROR(Q30/Q27*100,"n/d")</f>
        <v>38.3758544063458</v>
      </c>
    </row>
    <row r="38" customFormat="false" ht="108.95" hidden="false" customHeight="false" outlineLevel="0" collapsed="false">
      <c r="A38" s="1" t="s">
        <v>365</v>
      </c>
    </row>
    <row r="39" customFormat="false" ht="41.75" hidden="false" customHeight="false" outlineLevel="0" collapsed="false">
      <c r="A39" s="1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8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52"/>
    <col collapsed="false" customWidth="true" hidden="false" outlineLevel="0" max="7" min="7" style="0" width="70"/>
    <col collapsed="false" customWidth="true" hidden="false" outlineLevel="0" max="8" min="8" style="0" width="90"/>
  </cols>
  <sheetData>
    <row r="1" customFormat="false" ht="15" hidden="false" customHeight="false" outlineLevel="0" collapsed="false">
      <c r="A1" s="4" t="s">
        <v>367</v>
      </c>
      <c r="B1" s="4" t="s">
        <v>184</v>
      </c>
      <c r="C1" s="4" t="s">
        <v>368</v>
      </c>
      <c r="D1" s="4" t="s">
        <v>369</v>
      </c>
      <c r="E1" s="4" t="s">
        <v>370</v>
      </c>
      <c r="F1" s="4" t="s">
        <v>371</v>
      </c>
      <c r="G1" s="4" t="s">
        <v>372</v>
      </c>
      <c r="H1" s="4" t="s">
        <v>373</v>
      </c>
    </row>
    <row r="2" customFormat="false" ht="15" hidden="false" customHeight="false" outlineLevel="0" collapsed="false">
      <c r="A2" s="0" t="s">
        <v>187</v>
      </c>
      <c r="B2" s="0" t="s">
        <v>188</v>
      </c>
      <c r="C2" s="0" t="s">
        <v>27</v>
      </c>
      <c r="D2" s="0" t="n">
        <v>188.684</v>
      </c>
      <c r="E2" s="0" t="s">
        <v>109</v>
      </c>
      <c r="F2" s="0" t="s">
        <v>374</v>
      </c>
      <c r="G2" s="0" t="s">
        <v>375</v>
      </c>
      <c r="H2" s="0" t="s">
        <v>376</v>
      </c>
    </row>
    <row r="3" customFormat="false" ht="15" hidden="false" customHeight="false" outlineLevel="0" collapsed="false">
      <c r="A3" s="0" t="s">
        <v>187</v>
      </c>
      <c r="B3" s="0" t="s">
        <v>188</v>
      </c>
      <c r="C3" s="0" t="s">
        <v>28</v>
      </c>
      <c r="D3" s="0" t="n">
        <v>395.371</v>
      </c>
      <c r="E3" s="0" t="s">
        <v>109</v>
      </c>
      <c r="F3" s="0" t="s">
        <v>374</v>
      </c>
      <c r="G3" s="0" t="s">
        <v>377</v>
      </c>
      <c r="H3" s="0" t="s">
        <v>376</v>
      </c>
    </row>
    <row r="4" customFormat="false" ht="15" hidden="false" customHeight="false" outlineLevel="0" collapsed="false">
      <c r="A4" s="0" t="s">
        <v>187</v>
      </c>
      <c r="B4" s="0" t="s">
        <v>188</v>
      </c>
      <c r="C4" s="0" t="s">
        <v>29</v>
      </c>
      <c r="D4" s="0" t="n">
        <v>583.941</v>
      </c>
      <c r="E4" s="0" t="s">
        <v>109</v>
      </c>
      <c r="F4" s="0" t="s">
        <v>374</v>
      </c>
      <c r="G4" s="0" t="s">
        <v>377</v>
      </c>
      <c r="H4" s="0" t="s">
        <v>376</v>
      </c>
    </row>
    <row r="5" customFormat="false" ht="15" hidden="false" customHeight="false" outlineLevel="0" collapsed="false">
      <c r="A5" s="0" t="s">
        <v>187</v>
      </c>
      <c r="B5" s="0" t="s">
        <v>188</v>
      </c>
      <c r="C5" s="0" t="s">
        <v>30</v>
      </c>
      <c r="D5" s="0" t="n">
        <v>747.43</v>
      </c>
      <c r="E5" s="0" t="s">
        <v>109</v>
      </c>
      <c r="F5" s="0" t="s">
        <v>374</v>
      </c>
      <c r="G5" s="0" t="s">
        <v>377</v>
      </c>
      <c r="H5" s="0" t="s">
        <v>376</v>
      </c>
    </row>
    <row r="6" customFormat="false" ht="15" hidden="false" customHeight="false" outlineLevel="0" collapsed="false">
      <c r="A6" s="0" t="s">
        <v>187</v>
      </c>
      <c r="B6" s="0" t="s">
        <v>188</v>
      </c>
      <c r="C6" s="0" t="s">
        <v>31</v>
      </c>
      <c r="D6" s="0" t="n">
        <v>981.632</v>
      </c>
      <c r="E6" s="0" t="s">
        <v>109</v>
      </c>
      <c r="F6" s="0" t="s">
        <v>378</v>
      </c>
      <c r="G6" s="0" t="s">
        <v>379</v>
      </c>
      <c r="H6" s="0" t="s">
        <v>380</v>
      </c>
    </row>
    <row r="7" customFormat="false" ht="15" hidden="false" customHeight="false" outlineLevel="0" collapsed="false">
      <c r="A7" s="0" t="s">
        <v>187</v>
      </c>
      <c r="B7" s="0" t="s">
        <v>188</v>
      </c>
      <c r="C7" s="0" t="s">
        <v>32</v>
      </c>
      <c r="D7" s="0" t="n">
        <v>1212.788</v>
      </c>
      <c r="E7" s="0" t="s">
        <v>109</v>
      </c>
      <c r="F7" s="0" t="s">
        <v>381</v>
      </c>
      <c r="G7" s="0" t="s">
        <v>382</v>
      </c>
      <c r="H7" s="0" t="s">
        <v>383</v>
      </c>
    </row>
    <row r="8" customFormat="false" ht="15" hidden="false" customHeight="false" outlineLevel="0" collapsed="false">
      <c r="A8" s="0" t="s">
        <v>187</v>
      </c>
      <c r="B8" s="0" t="s">
        <v>188</v>
      </c>
      <c r="C8" s="0" t="s">
        <v>33</v>
      </c>
      <c r="D8" s="0" t="n">
        <v>1364.676</v>
      </c>
      <c r="E8" s="0" t="s">
        <v>109</v>
      </c>
      <c r="F8" s="0" t="s">
        <v>384</v>
      </c>
      <c r="G8" s="0" t="s">
        <v>382</v>
      </c>
      <c r="H8" s="0" t="s">
        <v>385</v>
      </c>
    </row>
    <row r="9" customFormat="false" ht="15" hidden="false" customHeight="false" outlineLevel="0" collapsed="false">
      <c r="A9" s="0" t="s">
        <v>187</v>
      </c>
      <c r="B9" s="0" t="s">
        <v>188</v>
      </c>
      <c r="C9" s="0" t="s">
        <v>34</v>
      </c>
      <c r="D9" s="0" t="n">
        <v>1572</v>
      </c>
      <c r="E9" s="0" t="s">
        <v>109</v>
      </c>
      <c r="F9" s="0" t="s">
        <v>386</v>
      </c>
      <c r="G9" s="0" t="s">
        <v>387</v>
      </c>
      <c r="H9" s="0" t="s">
        <v>388</v>
      </c>
    </row>
    <row r="10" customFormat="false" ht="15" hidden="false" customHeight="false" outlineLevel="0" collapsed="false">
      <c r="A10" s="0" t="s">
        <v>187</v>
      </c>
      <c r="B10" s="0" t="s">
        <v>188</v>
      </c>
      <c r="C10" s="0" t="s">
        <v>35</v>
      </c>
      <c r="D10" s="0" t="n">
        <v>2078</v>
      </c>
      <c r="E10" s="0" t="s">
        <v>109</v>
      </c>
      <c r="F10" s="0" t="s">
        <v>389</v>
      </c>
      <c r="G10" s="0" t="s">
        <v>387</v>
      </c>
      <c r="H10" s="0" t="s">
        <v>390</v>
      </c>
    </row>
    <row r="11" customFormat="false" ht="15" hidden="false" customHeight="false" outlineLevel="0" collapsed="false">
      <c r="A11" s="0" t="s">
        <v>187</v>
      </c>
      <c r="B11" s="0" t="s">
        <v>188</v>
      </c>
      <c r="C11" s="0" t="s">
        <v>36</v>
      </c>
      <c r="D11" s="0" t="n">
        <v>2575</v>
      </c>
      <c r="E11" s="0" t="s">
        <v>109</v>
      </c>
      <c r="F11" s="0" t="s">
        <v>391</v>
      </c>
      <c r="G11" s="0" t="s">
        <v>387</v>
      </c>
      <c r="H11" s="0" t="s">
        <v>392</v>
      </c>
    </row>
    <row r="12" customFormat="false" ht="15" hidden="false" customHeight="false" outlineLevel="0" collapsed="false">
      <c r="A12" s="0" t="s">
        <v>191</v>
      </c>
      <c r="B12" s="0" t="s">
        <v>192</v>
      </c>
      <c r="C12" s="0" t="s">
        <v>27</v>
      </c>
      <c r="D12" s="0" t="n">
        <v>104.546</v>
      </c>
      <c r="E12" s="0" t="s">
        <v>109</v>
      </c>
      <c r="F12" s="0" t="s">
        <v>374</v>
      </c>
      <c r="G12" s="0" t="s">
        <v>393</v>
      </c>
      <c r="H12" s="0" t="s">
        <v>376</v>
      </c>
    </row>
    <row r="13" customFormat="false" ht="15" hidden="false" customHeight="false" outlineLevel="0" collapsed="false">
      <c r="A13" s="0" t="s">
        <v>191</v>
      </c>
      <c r="B13" s="0" t="s">
        <v>192</v>
      </c>
      <c r="C13" s="0" t="s">
        <v>28</v>
      </c>
      <c r="D13" s="0" t="n">
        <v>249.841</v>
      </c>
      <c r="E13" s="0" t="s">
        <v>109</v>
      </c>
      <c r="F13" s="0" t="s">
        <v>374</v>
      </c>
      <c r="G13" s="0" t="s">
        <v>394</v>
      </c>
      <c r="H13" s="0" t="s">
        <v>376</v>
      </c>
    </row>
    <row r="14" customFormat="false" ht="15" hidden="false" customHeight="false" outlineLevel="0" collapsed="false">
      <c r="A14" s="0" t="s">
        <v>191</v>
      </c>
      <c r="B14" s="0" t="s">
        <v>192</v>
      </c>
      <c r="C14" s="0" t="s">
        <v>29</v>
      </c>
      <c r="D14" s="0" t="n">
        <v>378.757</v>
      </c>
      <c r="E14" s="0" t="s">
        <v>109</v>
      </c>
      <c r="F14" s="0" t="s">
        <v>374</v>
      </c>
      <c r="G14" s="0" t="s">
        <v>394</v>
      </c>
      <c r="H14" s="0" t="s">
        <v>376</v>
      </c>
    </row>
    <row r="15" customFormat="false" ht="15" hidden="false" customHeight="false" outlineLevel="0" collapsed="false">
      <c r="A15" s="0" t="s">
        <v>191</v>
      </c>
      <c r="B15" s="0" t="s">
        <v>192</v>
      </c>
      <c r="C15" s="0" t="s">
        <v>30</v>
      </c>
      <c r="D15" s="0" t="n">
        <v>486.114</v>
      </c>
      <c r="E15" s="0" t="s">
        <v>109</v>
      </c>
      <c r="F15" s="0" t="s">
        <v>374</v>
      </c>
      <c r="G15" s="0" t="s">
        <v>394</v>
      </c>
      <c r="H15" s="0" t="s">
        <v>376</v>
      </c>
    </row>
    <row r="16" customFormat="false" ht="15" hidden="false" customHeight="false" outlineLevel="0" collapsed="false">
      <c r="A16" s="0" t="s">
        <v>191</v>
      </c>
      <c r="B16" s="0" t="s">
        <v>192</v>
      </c>
      <c r="C16" s="0" t="s">
        <v>31</v>
      </c>
      <c r="D16" s="0" t="n">
        <v>606.131</v>
      </c>
      <c r="E16" s="0" t="s">
        <v>109</v>
      </c>
      <c r="F16" s="0" t="s">
        <v>378</v>
      </c>
      <c r="G16" s="0" t="s">
        <v>395</v>
      </c>
      <c r="H16" s="0" t="s">
        <v>380</v>
      </c>
    </row>
    <row r="17" customFormat="false" ht="15" hidden="false" customHeight="false" outlineLevel="0" collapsed="false">
      <c r="A17" s="0" t="s">
        <v>191</v>
      </c>
      <c r="B17" s="0" t="s">
        <v>192</v>
      </c>
      <c r="C17" s="0" t="s">
        <v>32</v>
      </c>
      <c r="D17" s="0" t="n">
        <v>753.169</v>
      </c>
      <c r="E17" s="0" t="s">
        <v>109</v>
      </c>
      <c r="F17" s="0" t="s">
        <v>381</v>
      </c>
      <c r="G17" s="0" t="s">
        <v>395</v>
      </c>
      <c r="H17" s="0" t="s">
        <v>383</v>
      </c>
    </row>
    <row r="18" customFormat="false" ht="15" hidden="false" customHeight="false" outlineLevel="0" collapsed="false">
      <c r="A18" s="0" t="s">
        <v>191</v>
      </c>
      <c r="B18" s="0" t="s">
        <v>192</v>
      </c>
      <c r="C18" s="0" t="s">
        <v>33</v>
      </c>
      <c r="D18" s="0" t="n">
        <v>838.124</v>
      </c>
      <c r="E18" s="0" t="s">
        <v>109</v>
      </c>
      <c r="F18" s="0" t="s">
        <v>384</v>
      </c>
      <c r="G18" s="0" t="s">
        <v>395</v>
      </c>
      <c r="H18" s="0" t="s">
        <v>385</v>
      </c>
    </row>
    <row r="19" customFormat="false" ht="15" hidden="false" customHeight="false" outlineLevel="0" collapsed="false">
      <c r="A19" s="0" t="s">
        <v>191</v>
      </c>
      <c r="B19" s="0" t="s">
        <v>192</v>
      </c>
      <c r="C19" s="0" t="s">
        <v>34</v>
      </c>
      <c r="D19" s="0" t="n">
        <v>898</v>
      </c>
      <c r="E19" s="0" t="s">
        <v>109</v>
      </c>
      <c r="F19" s="0" t="s">
        <v>386</v>
      </c>
      <c r="G19" s="0" t="s">
        <v>395</v>
      </c>
      <c r="H19" s="0" t="s">
        <v>388</v>
      </c>
    </row>
    <row r="20" customFormat="false" ht="15" hidden="false" customHeight="false" outlineLevel="0" collapsed="false">
      <c r="A20" s="0" t="s">
        <v>191</v>
      </c>
      <c r="B20" s="0" t="s">
        <v>192</v>
      </c>
      <c r="C20" s="0" t="s">
        <v>35</v>
      </c>
      <c r="D20" s="0" t="n">
        <v>1157</v>
      </c>
      <c r="E20" s="0" t="s">
        <v>109</v>
      </c>
      <c r="F20" s="0" t="s">
        <v>389</v>
      </c>
      <c r="G20" s="0" t="s">
        <v>395</v>
      </c>
      <c r="H20" s="0" t="s">
        <v>390</v>
      </c>
    </row>
    <row r="21" customFormat="false" ht="15" hidden="false" customHeight="false" outlineLevel="0" collapsed="false">
      <c r="A21" s="0" t="s">
        <v>191</v>
      </c>
      <c r="B21" s="0" t="s">
        <v>192</v>
      </c>
      <c r="C21" s="0" t="s">
        <v>36</v>
      </c>
      <c r="D21" s="0" t="n">
        <v>1510</v>
      </c>
      <c r="E21" s="0" t="s">
        <v>109</v>
      </c>
      <c r="F21" s="0" t="s">
        <v>391</v>
      </c>
      <c r="G21" s="0" t="s">
        <v>395</v>
      </c>
      <c r="H21" s="0" t="s">
        <v>392</v>
      </c>
    </row>
    <row r="22" customFormat="false" ht="15" hidden="false" customHeight="false" outlineLevel="0" collapsed="false">
      <c r="A22" s="0" t="s">
        <v>193</v>
      </c>
      <c r="B22" s="0" t="s">
        <v>194</v>
      </c>
      <c r="C22" s="0" t="s">
        <v>27</v>
      </c>
      <c r="D22" s="0" t="n">
        <v>79.51</v>
      </c>
      <c r="E22" s="0" t="s">
        <v>109</v>
      </c>
      <c r="F22" s="0" t="s">
        <v>374</v>
      </c>
      <c r="G22" s="0" t="s">
        <v>396</v>
      </c>
      <c r="H22" s="0" t="s">
        <v>376</v>
      </c>
    </row>
    <row r="23" customFormat="false" ht="15" hidden="false" customHeight="false" outlineLevel="0" collapsed="false">
      <c r="A23" s="0" t="s">
        <v>193</v>
      </c>
      <c r="B23" s="0" t="s">
        <v>194</v>
      </c>
      <c r="C23" s="0" t="s">
        <v>28</v>
      </c>
      <c r="D23" s="0" t="n">
        <v>164.46</v>
      </c>
      <c r="E23" s="0" t="s">
        <v>109</v>
      </c>
      <c r="F23" s="0" t="s">
        <v>374</v>
      </c>
      <c r="G23" s="0" t="s">
        <v>394</v>
      </c>
      <c r="H23" s="0" t="s">
        <v>376</v>
      </c>
    </row>
    <row r="24" customFormat="false" ht="15" hidden="false" customHeight="false" outlineLevel="0" collapsed="false">
      <c r="A24" s="0" t="s">
        <v>193</v>
      </c>
      <c r="B24" s="0" t="s">
        <v>194</v>
      </c>
      <c r="C24" s="0" t="s">
        <v>29</v>
      </c>
      <c r="D24" s="0" t="n">
        <v>254.024</v>
      </c>
      <c r="E24" s="0" t="s">
        <v>109</v>
      </c>
      <c r="F24" s="0" t="s">
        <v>374</v>
      </c>
      <c r="G24" s="0" t="s">
        <v>394</v>
      </c>
      <c r="H24" s="0" t="s">
        <v>376</v>
      </c>
    </row>
    <row r="25" customFormat="false" ht="15" hidden="false" customHeight="false" outlineLevel="0" collapsed="false">
      <c r="A25" s="0" t="s">
        <v>193</v>
      </c>
      <c r="B25" s="0" t="s">
        <v>194</v>
      </c>
      <c r="C25" s="0" t="s">
        <v>30</v>
      </c>
      <c r="D25" s="0" t="n">
        <v>365.419</v>
      </c>
      <c r="E25" s="0" t="s">
        <v>109</v>
      </c>
      <c r="F25" s="0" t="s">
        <v>374</v>
      </c>
      <c r="G25" s="0" t="s">
        <v>394</v>
      </c>
      <c r="H25" s="0" t="s">
        <v>376</v>
      </c>
    </row>
    <row r="26" customFormat="false" ht="15" hidden="false" customHeight="false" outlineLevel="0" collapsed="false">
      <c r="A26" s="0" t="s">
        <v>193</v>
      </c>
      <c r="B26" s="0" t="s">
        <v>194</v>
      </c>
      <c r="C26" s="0" t="s">
        <v>31</v>
      </c>
      <c r="D26" s="0" t="n">
        <v>443.5</v>
      </c>
      <c r="E26" s="0" t="s">
        <v>109</v>
      </c>
      <c r="F26" s="0" t="s">
        <v>397</v>
      </c>
      <c r="G26" s="0" t="s">
        <v>398</v>
      </c>
      <c r="H26" s="0" t="s">
        <v>399</v>
      </c>
    </row>
    <row r="27" customFormat="false" ht="15" hidden="false" customHeight="false" outlineLevel="0" collapsed="false">
      <c r="A27" s="0" t="s">
        <v>193</v>
      </c>
      <c r="B27" s="0" t="s">
        <v>194</v>
      </c>
      <c r="C27" s="0" t="s">
        <v>32</v>
      </c>
      <c r="D27" s="0" t="n">
        <v>559.5</v>
      </c>
      <c r="E27" s="0" t="s">
        <v>46</v>
      </c>
      <c r="F27" s="0" t="s">
        <v>397</v>
      </c>
      <c r="G27" s="0" t="s">
        <v>400</v>
      </c>
      <c r="H27" s="0" t="s">
        <v>399</v>
      </c>
    </row>
    <row r="28" customFormat="false" ht="15" hidden="false" customHeight="false" outlineLevel="0" collapsed="false">
      <c r="A28" s="0" t="s">
        <v>193</v>
      </c>
      <c r="B28" s="0" t="s">
        <v>194</v>
      </c>
      <c r="C28" s="0" t="s">
        <v>33</v>
      </c>
      <c r="D28" s="0" t="n">
        <v>630.5</v>
      </c>
      <c r="E28" s="0" t="s">
        <v>46</v>
      </c>
      <c r="F28" s="0" t="s">
        <v>397</v>
      </c>
      <c r="G28" s="0" t="s">
        <v>401</v>
      </c>
      <c r="H28" s="0" t="s">
        <v>399</v>
      </c>
    </row>
    <row r="29" customFormat="false" ht="15" hidden="false" customHeight="false" outlineLevel="0" collapsed="false">
      <c r="A29" s="0" t="s">
        <v>193</v>
      </c>
      <c r="B29" s="0" t="s">
        <v>194</v>
      </c>
      <c r="C29" s="0" t="s">
        <v>34</v>
      </c>
      <c r="D29" s="0" t="n">
        <v>820.5</v>
      </c>
      <c r="E29" s="0" t="s">
        <v>46</v>
      </c>
      <c r="F29" s="0" t="s">
        <v>397</v>
      </c>
      <c r="G29" s="0" t="s">
        <v>402</v>
      </c>
      <c r="H29" s="0" t="s">
        <v>399</v>
      </c>
    </row>
    <row r="30" customFormat="false" ht="15" hidden="false" customHeight="false" outlineLevel="0" collapsed="false">
      <c r="A30" s="0" t="s">
        <v>193</v>
      </c>
      <c r="B30" s="0" t="s">
        <v>194</v>
      </c>
      <c r="C30" s="0" t="s">
        <v>35</v>
      </c>
      <c r="D30" s="0" t="n">
        <v>1147</v>
      </c>
      <c r="E30" s="0" t="s">
        <v>109</v>
      </c>
      <c r="F30" s="0" t="s">
        <v>397</v>
      </c>
      <c r="G30" s="0" t="s">
        <v>403</v>
      </c>
      <c r="H30" s="0" t="s">
        <v>399</v>
      </c>
    </row>
    <row r="31" customFormat="false" ht="15" hidden="false" customHeight="false" outlineLevel="0" collapsed="false">
      <c r="A31" s="0" t="s">
        <v>193</v>
      </c>
      <c r="B31" s="0" t="s">
        <v>194</v>
      </c>
      <c r="C31" s="0" t="s">
        <v>36</v>
      </c>
      <c r="D31" s="0" t="n">
        <v>1393</v>
      </c>
      <c r="E31" s="0" t="s">
        <v>46</v>
      </c>
      <c r="F31" s="0" t="s">
        <v>397</v>
      </c>
      <c r="G31" s="0" t="s">
        <v>404</v>
      </c>
      <c r="H31" s="0" t="s">
        <v>399</v>
      </c>
    </row>
    <row r="32" customFormat="false" ht="15" hidden="false" customHeight="false" outlineLevel="0" collapsed="false">
      <c r="A32" s="0" t="s">
        <v>197</v>
      </c>
      <c r="B32" s="0" t="s">
        <v>198</v>
      </c>
      <c r="C32" s="0" t="s">
        <v>27</v>
      </c>
      <c r="D32" s="0" t="n">
        <v>1741.9</v>
      </c>
      <c r="E32" s="0" t="s">
        <v>109</v>
      </c>
      <c r="F32" s="0" t="s">
        <v>397</v>
      </c>
      <c r="G32" s="0" t="s">
        <v>405</v>
      </c>
      <c r="H32" s="0" t="s">
        <v>399</v>
      </c>
    </row>
    <row r="33" customFormat="false" ht="15" hidden="false" customHeight="false" outlineLevel="0" collapsed="false">
      <c r="A33" s="0" t="s">
        <v>197</v>
      </c>
      <c r="B33" s="0" t="s">
        <v>198</v>
      </c>
      <c r="C33" s="0" t="s">
        <v>28</v>
      </c>
      <c r="D33" s="0" t="n">
        <v>2247.2</v>
      </c>
      <c r="E33" s="0" t="s">
        <v>46</v>
      </c>
      <c r="F33" s="0" t="s">
        <v>397</v>
      </c>
      <c r="G33" s="0" t="s">
        <v>406</v>
      </c>
      <c r="H33" s="0" t="s">
        <v>399</v>
      </c>
    </row>
    <row r="34" customFormat="false" ht="15" hidden="false" customHeight="false" outlineLevel="0" collapsed="false">
      <c r="A34" s="0" t="s">
        <v>197</v>
      </c>
      <c r="B34" s="0" t="s">
        <v>198</v>
      </c>
      <c r="C34" s="0" t="s">
        <v>29</v>
      </c>
      <c r="D34" s="0" t="n">
        <v>1215.2</v>
      </c>
      <c r="E34" s="0" t="s">
        <v>46</v>
      </c>
      <c r="F34" s="0" t="s">
        <v>397</v>
      </c>
      <c r="G34" s="0" t="s">
        <v>407</v>
      </c>
      <c r="H34" s="0" t="s">
        <v>399</v>
      </c>
    </row>
    <row r="35" customFormat="false" ht="15" hidden="false" customHeight="false" outlineLevel="0" collapsed="false">
      <c r="A35" s="0" t="s">
        <v>197</v>
      </c>
      <c r="B35" s="0" t="s">
        <v>198</v>
      </c>
      <c r="C35" s="0" t="s">
        <v>30</v>
      </c>
      <c r="D35" s="0" t="n">
        <v>3497.7</v>
      </c>
      <c r="E35" s="0" t="s">
        <v>46</v>
      </c>
      <c r="F35" s="0" t="s">
        <v>397</v>
      </c>
      <c r="G35" s="0" t="s">
        <v>408</v>
      </c>
      <c r="H35" s="0" t="s">
        <v>399</v>
      </c>
    </row>
    <row r="36" customFormat="false" ht="15" hidden="false" customHeight="false" outlineLevel="0" collapsed="false">
      <c r="A36" s="0" t="s">
        <v>197</v>
      </c>
      <c r="B36" s="0" t="s">
        <v>198</v>
      </c>
      <c r="C36" s="0" t="s">
        <v>31</v>
      </c>
      <c r="D36" s="0" t="n">
        <v>1407.4</v>
      </c>
      <c r="E36" s="0" t="s">
        <v>109</v>
      </c>
      <c r="F36" s="0" t="s">
        <v>397</v>
      </c>
      <c r="G36" s="0" t="s">
        <v>409</v>
      </c>
      <c r="H36" s="0" t="s">
        <v>399</v>
      </c>
    </row>
    <row r="37" customFormat="false" ht="15" hidden="false" customHeight="false" outlineLevel="0" collapsed="false">
      <c r="A37" s="0" t="s">
        <v>197</v>
      </c>
      <c r="B37" s="0" t="s">
        <v>198</v>
      </c>
      <c r="C37" s="0" t="s">
        <v>32</v>
      </c>
      <c r="D37" s="0" t="n">
        <v>2453</v>
      </c>
      <c r="E37" s="0" t="s">
        <v>46</v>
      </c>
      <c r="F37" s="0" t="s">
        <v>397</v>
      </c>
      <c r="G37" s="0" t="s">
        <v>410</v>
      </c>
      <c r="H37" s="0" t="s">
        <v>399</v>
      </c>
    </row>
    <row r="38" customFormat="false" ht="15" hidden="false" customHeight="false" outlineLevel="0" collapsed="false">
      <c r="A38" s="0" t="s">
        <v>197</v>
      </c>
      <c r="B38" s="0" t="s">
        <v>198</v>
      </c>
      <c r="C38" s="0" t="s">
        <v>33</v>
      </c>
      <c r="D38" s="0" t="n">
        <v>2388.8</v>
      </c>
      <c r="E38" s="0" t="s">
        <v>46</v>
      </c>
      <c r="F38" s="0" t="s">
        <v>397</v>
      </c>
      <c r="G38" s="0" t="s">
        <v>411</v>
      </c>
      <c r="H38" s="0" t="s">
        <v>399</v>
      </c>
    </row>
    <row r="39" customFormat="false" ht="15" hidden="false" customHeight="false" outlineLevel="0" collapsed="false">
      <c r="A39" s="0" t="s">
        <v>197</v>
      </c>
      <c r="B39" s="0" t="s">
        <v>198</v>
      </c>
      <c r="C39" s="0" t="s">
        <v>34</v>
      </c>
      <c r="D39" s="0" t="n">
        <v>4059.8</v>
      </c>
      <c r="E39" s="0" t="s">
        <v>46</v>
      </c>
      <c r="F39" s="0" t="s">
        <v>397</v>
      </c>
      <c r="G39" s="0" t="s">
        <v>412</v>
      </c>
      <c r="H39" s="0" t="s">
        <v>399</v>
      </c>
    </row>
    <row r="40" customFormat="false" ht="15" hidden="false" customHeight="false" outlineLevel="0" collapsed="false">
      <c r="A40" s="0" t="s">
        <v>197</v>
      </c>
      <c r="B40" s="0" t="s">
        <v>198</v>
      </c>
      <c r="C40" s="0" t="s">
        <v>35</v>
      </c>
      <c r="D40" s="0" t="n">
        <v>7695</v>
      </c>
      <c r="E40" s="0" t="s">
        <v>109</v>
      </c>
      <c r="F40" s="0" t="s">
        <v>397</v>
      </c>
      <c r="G40" s="0" t="s">
        <v>413</v>
      </c>
      <c r="H40" s="0" t="s">
        <v>399</v>
      </c>
    </row>
    <row r="41" customFormat="false" ht="15" hidden="false" customHeight="false" outlineLevel="0" collapsed="false">
      <c r="A41" s="0" t="s">
        <v>197</v>
      </c>
      <c r="B41" s="0" t="s">
        <v>198</v>
      </c>
      <c r="C41" s="0" t="s">
        <v>36</v>
      </c>
      <c r="D41" s="0" t="n">
        <v>6422</v>
      </c>
      <c r="E41" s="0" t="s">
        <v>46</v>
      </c>
      <c r="F41" s="0" t="s">
        <v>397</v>
      </c>
      <c r="G41" s="0" t="s">
        <v>414</v>
      </c>
      <c r="H41" s="0" t="s">
        <v>399</v>
      </c>
    </row>
    <row r="42" customFormat="false" ht="15" hidden="false" customHeight="false" outlineLevel="0" collapsed="false">
      <c r="A42" s="0" t="s">
        <v>200</v>
      </c>
      <c r="B42" s="0" t="s">
        <v>201</v>
      </c>
      <c r="C42" s="0" t="s">
        <v>26</v>
      </c>
      <c r="D42" s="0" t="n">
        <v>3600.786</v>
      </c>
      <c r="E42" s="0" t="s">
        <v>109</v>
      </c>
      <c r="F42" s="0" t="s">
        <v>374</v>
      </c>
      <c r="G42" s="0" t="s">
        <v>415</v>
      </c>
      <c r="H42" s="0" t="s">
        <v>376</v>
      </c>
    </row>
    <row r="43" customFormat="false" ht="15" hidden="false" customHeight="false" outlineLevel="0" collapsed="false">
      <c r="A43" s="0" t="s">
        <v>200</v>
      </c>
      <c r="B43" s="0" t="s">
        <v>201</v>
      </c>
      <c r="C43" s="0" t="s">
        <v>30</v>
      </c>
      <c r="D43" s="0" t="n">
        <v>12880.005</v>
      </c>
      <c r="E43" s="0" t="s">
        <v>109</v>
      </c>
      <c r="F43" s="0" t="s">
        <v>374</v>
      </c>
      <c r="G43" s="0" t="s">
        <v>415</v>
      </c>
      <c r="H43" s="0" t="s">
        <v>376</v>
      </c>
    </row>
    <row r="44" customFormat="false" ht="15" hidden="false" customHeight="false" outlineLevel="0" collapsed="false">
      <c r="A44" s="0" t="s">
        <v>200</v>
      </c>
      <c r="B44" s="0" t="s">
        <v>201</v>
      </c>
      <c r="C44" s="0" t="s">
        <v>31</v>
      </c>
      <c r="D44" s="0" t="n">
        <v>15610.549</v>
      </c>
      <c r="E44" s="0" t="s">
        <v>109</v>
      </c>
      <c r="F44" s="0" t="s">
        <v>416</v>
      </c>
      <c r="G44" s="0" t="s">
        <v>415</v>
      </c>
      <c r="H44" s="0" t="s">
        <v>417</v>
      </c>
    </row>
    <row r="45" customFormat="false" ht="15" hidden="false" customHeight="false" outlineLevel="0" collapsed="false">
      <c r="A45" s="0" t="s">
        <v>200</v>
      </c>
      <c r="B45" s="0" t="s">
        <v>201</v>
      </c>
      <c r="C45" s="0" t="s">
        <v>32</v>
      </c>
      <c r="D45" s="0" t="n">
        <v>18585.117</v>
      </c>
      <c r="E45" s="0" t="s">
        <v>109</v>
      </c>
      <c r="F45" s="0" t="s">
        <v>418</v>
      </c>
      <c r="G45" s="0" t="s">
        <v>415</v>
      </c>
      <c r="H45" s="0" t="s">
        <v>419</v>
      </c>
    </row>
    <row r="46" customFormat="false" ht="15" hidden="false" customHeight="false" outlineLevel="0" collapsed="false">
      <c r="A46" s="0" t="s">
        <v>200</v>
      </c>
      <c r="B46" s="0" t="s">
        <v>201</v>
      </c>
      <c r="C46" s="0" t="s">
        <v>33</v>
      </c>
      <c r="D46" s="0" t="n">
        <v>23233.759</v>
      </c>
      <c r="E46" s="0" t="s">
        <v>109</v>
      </c>
      <c r="F46" s="0" t="s">
        <v>420</v>
      </c>
      <c r="G46" s="0" t="s">
        <v>415</v>
      </c>
      <c r="H46" s="0" t="s">
        <v>421</v>
      </c>
    </row>
    <row r="47" customFormat="false" ht="15" hidden="false" customHeight="false" outlineLevel="0" collapsed="false">
      <c r="A47" s="0" t="s">
        <v>200</v>
      </c>
      <c r="B47" s="0" t="s">
        <v>201</v>
      </c>
      <c r="C47" s="0" t="s">
        <v>34</v>
      </c>
      <c r="D47" s="0" t="n">
        <v>33941</v>
      </c>
      <c r="E47" s="0" t="s">
        <v>109</v>
      </c>
      <c r="F47" s="0" t="s">
        <v>422</v>
      </c>
      <c r="G47" s="0" t="s">
        <v>415</v>
      </c>
      <c r="H47" s="0" t="s">
        <v>423</v>
      </c>
    </row>
    <row r="48" customFormat="false" ht="15" hidden="false" customHeight="false" outlineLevel="0" collapsed="false">
      <c r="A48" s="0" t="s">
        <v>200</v>
      </c>
      <c r="B48" s="0" t="s">
        <v>201</v>
      </c>
      <c r="C48" s="0" t="s">
        <v>35</v>
      </c>
      <c r="D48" s="0" t="n">
        <v>40933</v>
      </c>
      <c r="E48" s="0" t="s">
        <v>109</v>
      </c>
      <c r="F48" s="0" t="s">
        <v>424</v>
      </c>
      <c r="G48" s="0" t="s">
        <v>415</v>
      </c>
      <c r="H48" s="0" t="s">
        <v>425</v>
      </c>
    </row>
    <row r="49" customFormat="false" ht="15" hidden="false" customHeight="false" outlineLevel="0" collapsed="false">
      <c r="A49" s="0" t="s">
        <v>200</v>
      </c>
      <c r="B49" s="0" t="s">
        <v>201</v>
      </c>
      <c r="C49" s="0" t="s">
        <v>36</v>
      </c>
      <c r="D49" s="0" t="n">
        <v>52622</v>
      </c>
      <c r="E49" s="0" t="s">
        <v>109</v>
      </c>
      <c r="F49" s="0" t="s">
        <v>426</v>
      </c>
      <c r="G49" s="0" t="s">
        <v>415</v>
      </c>
      <c r="H49" s="0" t="s">
        <v>427</v>
      </c>
    </row>
    <row r="50" customFormat="false" ht="15" hidden="false" customHeight="false" outlineLevel="0" collapsed="false">
      <c r="A50" s="0" t="s">
        <v>203</v>
      </c>
      <c r="B50" s="0" t="s">
        <v>204</v>
      </c>
      <c r="C50" s="0" t="s">
        <v>26</v>
      </c>
      <c r="D50" s="0" t="n">
        <v>2256.673</v>
      </c>
      <c r="E50" s="0" t="s">
        <v>109</v>
      </c>
      <c r="F50" s="0" t="s">
        <v>374</v>
      </c>
      <c r="G50" s="0" t="s">
        <v>428</v>
      </c>
      <c r="H50" s="0" t="s">
        <v>376</v>
      </c>
    </row>
    <row r="51" customFormat="false" ht="15" hidden="false" customHeight="false" outlineLevel="0" collapsed="false">
      <c r="A51" s="0" t="s">
        <v>203</v>
      </c>
      <c r="B51" s="0" t="s">
        <v>204</v>
      </c>
      <c r="C51" s="0" t="s">
        <v>30</v>
      </c>
      <c r="D51" s="0" t="n">
        <v>3200.866</v>
      </c>
      <c r="E51" s="0" t="s">
        <v>109</v>
      </c>
      <c r="F51" s="0" t="s">
        <v>374</v>
      </c>
      <c r="G51" s="0" t="s">
        <v>428</v>
      </c>
      <c r="H51" s="0" t="s">
        <v>376</v>
      </c>
    </row>
    <row r="52" customFormat="false" ht="15" hidden="false" customHeight="false" outlineLevel="0" collapsed="false">
      <c r="A52" s="0" t="s">
        <v>203</v>
      </c>
      <c r="B52" s="0" t="s">
        <v>204</v>
      </c>
      <c r="C52" s="0" t="s">
        <v>31</v>
      </c>
      <c r="D52" s="0" t="n">
        <v>4073.81</v>
      </c>
      <c r="E52" s="0" t="s">
        <v>109</v>
      </c>
      <c r="F52" s="0" t="s">
        <v>416</v>
      </c>
      <c r="G52" s="0" t="s">
        <v>428</v>
      </c>
      <c r="H52" s="0" t="s">
        <v>417</v>
      </c>
    </row>
    <row r="53" customFormat="false" ht="15" hidden="false" customHeight="false" outlineLevel="0" collapsed="false">
      <c r="A53" s="0" t="s">
        <v>203</v>
      </c>
      <c r="B53" s="0" t="s">
        <v>204</v>
      </c>
      <c r="C53" s="0" t="s">
        <v>32</v>
      </c>
      <c r="D53" s="0" t="n">
        <v>4111.256</v>
      </c>
      <c r="E53" s="0" t="s">
        <v>109</v>
      </c>
      <c r="F53" s="0" t="s">
        <v>418</v>
      </c>
      <c r="G53" s="0" t="s">
        <v>428</v>
      </c>
      <c r="H53" s="0" t="s">
        <v>419</v>
      </c>
    </row>
    <row r="54" customFormat="false" ht="15" hidden="false" customHeight="false" outlineLevel="0" collapsed="false">
      <c r="A54" s="0" t="s">
        <v>203</v>
      </c>
      <c r="B54" s="0" t="s">
        <v>204</v>
      </c>
      <c r="C54" s="0" t="s">
        <v>33</v>
      </c>
      <c r="D54" s="0" t="n">
        <v>6910.066</v>
      </c>
      <c r="E54" s="0" t="s">
        <v>109</v>
      </c>
      <c r="F54" s="0" t="s">
        <v>420</v>
      </c>
      <c r="G54" s="0" t="s">
        <v>428</v>
      </c>
      <c r="H54" s="0" t="s">
        <v>421</v>
      </c>
    </row>
    <row r="55" customFormat="false" ht="15" hidden="false" customHeight="false" outlineLevel="0" collapsed="false">
      <c r="A55" s="0" t="s">
        <v>203</v>
      </c>
      <c r="B55" s="0" t="s">
        <v>204</v>
      </c>
      <c r="C55" s="0" t="s">
        <v>34</v>
      </c>
      <c r="D55" s="0" t="n">
        <v>9376</v>
      </c>
      <c r="E55" s="0" t="s">
        <v>109</v>
      </c>
      <c r="F55" s="0" t="s">
        <v>422</v>
      </c>
      <c r="G55" s="0" t="s">
        <v>428</v>
      </c>
      <c r="H55" s="0" t="s">
        <v>423</v>
      </c>
    </row>
    <row r="56" customFormat="false" ht="15" hidden="false" customHeight="false" outlineLevel="0" collapsed="false">
      <c r="A56" s="0" t="s">
        <v>203</v>
      </c>
      <c r="B56" s="0" t="s">
        <v>204</v>
      </c>
      <c r="C56" s="0" t="s">
        <v>35</v>
      </c>
      <c r="D56" s="0" t="n">
        <v>9581</v>
      </c>
      <c r="E56" s="0" t="s">
        <v>109</v>
      </c>
      <c r="F56" s="0" t="s">
        <v>424</v>
      </c>
      <c r="G56" s="0" t="s">
        <v>428</v>
      </c>
      <c r="H56" s="0" t="s">
        <v>425</v>
      </c>
    </row>
    <row r="57" customFormat="false" ht="15" hidden="false" customHeight="false" outlineLevel="0" collapsed="false">
      <c r="A57" s="0" t="s">
        <v>203</v>
      </c>
      <c r="B57" s="0" t="s">
        <v>204</v>
      </c>
      <c r="C57" s="0" t="s">
        <v>36</v>
      </c>
      <c r="D57" s="0" t="n">
        <v>11918</v>
      </c>
      <c r="E57" s="0" t="s">
        <v>109</v>
      </c>
      <c r="F57" s="0" t="s">
        <v>426</v>
      </c>
      <c r="G57" s="0" t="s">
        <v>428</v>
      </c>
      <c r="H57" s="0" t="s">
        <v>427</v>
      </c>
    </row>
    <row r="58" customFormat="false" ht="15" hidden="false" customHeight="false" outlineLevel="0" collapsed="false">
      <c r="A58" s="0" t="s">
        <v>205</v>
      </c>
      <c r="B58" s="0" t="s">
        <v>206</v>
      </c>
      <c r="C58" s="0" t="s">
        <v>26</v>
      </c>
      <c r="D58" s="0" t="n">
        <v>3483.99</v>
      </c>
      <c r="E58" s="0" t="s">
        <v>109</v>
      </c>
      <c r="F58" s="0" t="s">
        <v>374</v>
      </c>
      <c r="G58" s="0" t="s">
        <v>428</v>
      </c>
      <c r="H58" s="0" t="s">
        <v>376</v>
      </c>
    </row>
    <row r="59" customFormat="false" ht="15" hidden="false" customHeight="false" outlineLevel="0" collapsed="false">
      <c r="A59" s="0" t="s">
        <v>205</v>
      </c>
      <c r="B59" s="0" t="s">
        <v>206</v>
      </c>
      <c r="C59" s="0" t="s">
        <v>30</v>
      </c>
      <c r="D59" s="0" t="n">
        <v>11914.774</v>
      </c>
      <c r="E59" s="0" t="s">
        <v>109</v>
      </c>
      <c r="F59" s="0" t="s">
        <v>374</v>
      </c>
      <c r="G59" s="0" t="s">
        <v>428</v>
      </c>
      <c r="H59" s="0" t="s">
        <v>376</v>
      </c>
    </row>
    <row r="60" customFormat="false" ht="15" hidden="false" customHeight="false" outlineLevel="0" collapsed="false">
      <c r="A60" s="0" t="s">
        <v>205</v>
      </c>
      <c r="B60" s="0" t="s">
        <v>206</v>
      </c>
      <c r="C60" s="0" t="s">
        <v>31</v>
      </c>
      <c r="D60" s="0" t="n">
        <v>14210.992</v>
      </c>
      <c r="E60" s="0" t="s">
        <v>109</v>
      </c>
      <c r="F60" s="0" t="s">
        <v>416</v>
      </c>
      <c r="G60" s="0" t="s">
        <v>428</v>
      </c>
      <c r="H60" s="0" t="s">
        <v>417</v>
      </c>
    </row>
    <row r="61" customFormat="false" ht="15" hidden="false" customHeight="false" outlineLevel="0" collapsed="false">
      <c r="A61" s="0" t="s">
        <v>205</v>
      </c>
      <c r="B61" s="0" t="s">
        <v>206</v>
      </c>
      <c r="C61" s="0" t="s">
        <v>32</v>
      </c>
      <c r="D61" s="0" t="n">
        <v>16631.51</v>
      </c>
      <c r="E61" s="0" t="s">
        <v>109</v>
      </c>
      <c r="F61" s="0" t="s">
        <v>418</v>
      </c>
      <c r="G61" s="0" t="s">
        <v>428</v>
      </c>
      <c r="H61" s="0" t="s">
        <v>419</v>
      </c>
    </row>
    <row r="62" customFormat="false" ht="15" hidden="false" customHeight="false" outlineLevel="0" collapsed="false">
      <c r="A62" s="0" t="s">
        <v>205</v>
      </c>
      <c r="B62" s="0" t="s">
        <v>206</v>
      </c>
      <c r="C62" s="0" t="s">
        <v>33</v>
      </c>
      <c r="D62" s="0" t="n">
        <v>20659.181</v>
      </c>
      <c r="E62" s="0" t="s">
        <v>109</v>
      </c>
      <c r="F62" s="0" t="s">
        <v>420</v>
      </c>
      <c r="G62" s="0" t="s">
        <v>428</v>
      </c>
      <c r="H62" s="0" t="s">
        <v>421</v>
      </c>
    </row>
    <row r="63" customFormat="false" ht="15" hidden="false" customHeight="false" outlineLevel="0" collapsed="false">
      <c r="A63" s="0" t="s">
        <v>205</v>
      </c>
      <c r="B63" s="0" t="s">
        <v>206</v>
      </c>
      <c r="C63" s="0" t="s">
        <v>34</v>
      </c>
      <c r="D63" s="0" t="n">
        <v>30557</v>
      </c>
      <c r="E63" s="0" t="s">
        <v>109</v>
      </c>
      <c r="F63" s="0" t="s">
        <v>422</v>
      </c>
      <c r="G63" s="0" t="s">
        <v>428</v>
      </c>
      <c r="H63" s="0" t="s">
        <v>423</v>
      </c>
    </row>
    <row r="64" customFormat="false" ht="15" hidden="false" customHeight="false" outlineLevel="0" collapsed="false">
      <c r="A64" s="0" t="s">
        <v>205</v>
      </c>
      <c r="B64" s="0" t="s">
        <v>206</v>
      </c>
      <c r="C64" s="0" t="s">
        <v>35</v>
      </c>
      <c r="D64" s="0" t="n">
        <v>36424</v>
      </c>
      <c r="E64" s="0" t="s">
        <v>109</v>
      </c>
      <c r="F64" s="0" t="s">
        <v>424</v>
      </c>
      <c r="G64" s="0" t="s">
        <v>428</v>
      </c>
      <c r="H64" s="0" t="s">
        <v>425</v>
      </c>
    </row>
    <row r="65" customFormat="false" ht="15" hidden="false" customHeight="false" outlineLevel="0" collapsed="false">
      <c r="A65" s="0" t="s">
        <v>205</v>
      </c>
      <c r="B65" s="0" t="s">
        <v>206</v>
      </c>
      <c r="C65" s="0" t="s">
        <v>36</v>
      </c>
      <c r="D65" s="0" t="n">
        <v>46736</v>
      </c>
      <c r="E65" s="0" t="s">
        <v>109</v>
      </c>
      <c r="F65" s="0" t="s">
        <v>426</v>
      </c>
      <c r="G65" s="0" t="s">
        <v>428</v>
      </c>
      <c r="H65" s="0" t="s">
        <v>427</v>
      </c>
    </row>
    <row r="66" customFormat="false" ht="15" hidden="false" customHeight="false" outlineLevel="0" collapsed="false">
      <c r="A66" s="0" t="s">
        <v>207</v>
      </c>
      <c r="B66" s="0" t="s">
        <v>208</v>
      </c>
      <c r="C66" s="0" t="s">
        <v>26</v>
      </c>
      <c r="D66" s="0" t="n">
        <v>1298.127</v>
      </c>
      <c r="E66" s="0" t="s">
        <v>109</v>
      </c>
      <c r="F66" s="0" t="s">
        <v>374</v>
      </c>
      <c r="G66" s="0" t="s">
        <v>428</v>
      </c>
      <c r="H66" s="0" t="s">
        <v>376</v>
      </c>
    </row>
    <row r="67" customFormat="false" ht="15" hidden="false" customHeight="false" outlineLevel="0" collapsed="false">
      <c r="A67" s="0" t="s">
        <v>207</v>
      </c>
      <c r="B67" s="0" t="s">
        <v>208</v>
      </c>
      <c r="C67" s="0" t="s">
        <v>30</v>
      </c>
      <c r="D67" s="0" t="n">
        <v>9146.575</v>
      </c>
      <c r="E67" s="0" t="s">
        <v>109</v>
      </c>
      <c r="F67" s="0" t="s">
        <v>374</v>
      </c>
      <c r="G67" s="0" t="s">
        <v>428</v>
      </c>
      <c r="H67" s="0" t="s">
        <v>376</v>
      </c>
    </row>
    <row r="68" customFormat="false" ht="15" hidden="false" customHeight="false" outlineLevel="0" collapsed="false">
      <c r="A68" s="0" t="s">
        <v>207</v>
      </c>
      <c r="B68" s="0" t="s">
        <v>208</v>
      </c>
      <c r="C68" s="0" t="s">
        <v>31</v>
      </c>
      <c r="D68" s="0" t="n">
        <v>10746.445</v>
      </c>
      <c r="E68" s="0" t="s">
        <v>109</v>
      </c>
      <c r="F68" s="0" t="s">
        <v>416</v>
      </c>
      <c r="G68" s="0" t="s">
        <v>428</v>
      </c>
      <c r="H68" s="0" t="s">
        <v>417</v>
      </c>
    </row>
    <row r="69" customFormat="false" ht="15" hidden="false" customHeight="false" outlineLevel="0" collapsed="false">
      <c r="A69" s="0" t="s">
        <v>207</v>
      </c>
      <c r="B69" s="0" t="s">
        <v>208</v>
      </c>
      <c r="C69" s="0" t="s">
        <v>32</v>
      </c>
      <c r="D69" s="0" t="n">
        <v>13170.295</v>
      </c>
      <c r="E69" s="0" t="s">
        <v>109</v>
      </c>
      <c r="F69" s="0" t="s">
        <v>418</v>
      </c>
      <c r="G69" s="0" t="s">
        <v>428</v>
      </c>
      <c r="H69" s="0" t="s">
        <v>419</v>
      </c>
    </row>
    <row r="70" customFormat="false" ht="15" hidden="false" customHeight="false" outlineLevel="0" collapsed="false">
      <c r="A70" s="0" t="s">
        <v>207</v>
      </c>
      <c r="B70" s="0" t="s">
        <v>208</v>
      </c>
      <c r="C70" s="0" t="s">
        <v>33</v>
      </c>
      <c r="D70" s="0" t="n">
        <v>14628.79</v>
      </c>
      <c r="E70" s="0" t="s">
        <v>109</v>
      </c>
      <c r="F70" s="0" t="s">
        <v>420</v>
      </c>
      <c r="G70" s="0" t="s">
        <v>428</v>
      </c>
      <c r="H70" s="0" t="s">
        <v>421</v>
      </c>
    </row>
    <row r="71" customFormat="false" ht="15" hidden="false" customHeight="false" outlineLevel="0" collapsed="false">
      <c r="A71" s="0" t="s">
        <v>207</v>
      </c>
      <c r="B71" s="0" t="s">
        <v>208</v>
      </c>
      <c r="C71" s="0" t="s">
        <v>34</v>
      </c>
      <c r="D71" s="0" t="n">
        <v>20903</v>
      </c>
      <c r="E71" s="0" t="s">
        <v>109</v>
      </c>
      <c r="F71" s="0" t="s">
        <v>422</v>
      </c>
      <c r="G71" s="0" t="s">
        <v>428</v>
      </c>
      <c r="H71" s="0" t="s">
        <v>423</v>
      </c>
    </row>
    <row r="72" customFormat="false" ht="15" hidden="false" customHeight="false" outlineLevel="0" collapsed="false">
      <c r="A72" s="0" t="s">
        <v>207</v>
      </c>
      <c r="B72" s="0" t="s">
        <v>208</v>
      </c>
      <c r="C72" s="0" t="s">
        <v>35</v>
      </c>
      <c r="D72" s="0" t="n">
        <v>26627</v>
      </c>
      <c r="E72" s="0" t="s">
        <v>109</v>
      </c>
      <c r="F72" s="0" t="s">
        <v>424</v>
      </c>
      <c r="G72" s="0" t="s">
        <v>428</v>
      </c>
      <c r="H72" s="0" t="s">
        <v>425</v>
      </c>
    </row>
    <row r="73" customFormat="false" ht="15" hidden="false" customHeight="false" outlineLevel="0" collapsed="false">
      <c r="A73" s="0" t="s">
        <v>207</v>
      </c>
      <c r="B73" s="0" t="s">
        <v>208</v>
      </c>
      <c r="C73" s="0" t="s">
        <v>36</v>
      </c>
      <c r="D73" s="0" t="n">
        <v>33823</v>
      </c>
      <c r="E73" s="0" t="s">
        <v>109</v>
      </c>
      <c r="F73" s="0" t="s">
        <v>426</v>
      </c>
      <c r="G73" s="0" t="s">
        <v>428</v>
      </c>
      <c r="H73" s="0" t="s">
        <v>427</v>
      </c>
    </row>
    <row r="74" customFormat="false" ht="15" hidden="false" customHeight="false" outlineLevel="0" collapsed="false">
      <c r="A74" s="0" t="s">
        <v>209</v>
      </c>
      <c r="B74" s="0" t="s">
        <v>210</v>
      </c>
      <c r="C74" s="0" t="s">
        <v>26</v>
      </c>
      <c r="D74" s="0" t="n">
        <v>70</v>
      </c>
      <c r="E74" s="0" t="s">
        <v>109</v>
      </c>
      <c r="F74" s="0" t="s">
        <v>374</v>
      </c>
      <c r="G74" s="0" t="s">
        <v>429</v>
      </c>
      <c r="H74" s="0" t="s">
        <v>376</v>
      </c>
    </row>
    <row r="75" customFormat="false" ht="15" hidden="false" customHeight="false" outlineLevel="0" collapsed="false">
      <c r="A75" s="0" t="s">
        <v>209</v>
      </c>
      <c r="B75" s="0" t="s">
        <v>210</v>
      </c>
      <c r="C75" s="0" t="s">
        <v>30</v>
      </c>
      <c r="D75" s="0" t="n">
        <v>360</v>
      </c>
      <c r="E75" s="0" t="s">
        <v>109</v>
      </c>
      <c r="F75" s="0" t="s">
        <v>374</v>
      </c>
      <c r="G75" s="0" t="s">
        <v>430</v>
      </c>
      <c r="H75" s="0" t="s">
        <v>376</v>
      </c>
    </row>
    <row r="76" customFormat="false" ht="15" hidden="false" customHeight="false" outlineLevel="0" collapsed="false">
      <c r="A76" s="0" t="s">
        <v>209</v>
      </c>
      <c r="B76" s="0" t="s">
        <v>210</v>
      </c>
      <c r="C76" s="0" t="s">
        <v>31</v>
      </c>
      <c r="D76" s="0" t="n">
        <v>420</v>
      </c>
      <c r="E76" s="0" t="s">
        <v>109</v>
      </c>
      <c r="F76" s="0" t="s">
        <v>378</v>
      </c>
      <c r="G76" s="0" t="s">
        <v>431</v>
      </c>
      <c r="H76" s="0" t="s">
        <v>380</v>
      </c>
    </row>
    <row r="77" customFormat="false" ht="15" hidden="false" customHeight="false" outlineLevel="0" collapsed="false">
      <c r="A77" s="0" t="s">
        <v>209</v>
      </c>
      <c r="B77" s="0" t="s">
        <v>210</v>
      </c>
      <c r="C77" s="0" t="s">
        <v>32</v>
      </c>
      <c r="D77" s="0" t="n">
        <v>470</v>
      </c>
      <c r="E77" s="0" t="s">
        <v>109</v>
      </c>
      <c r="F77" s="0" t="s">
        <v>381</v>
      </c>
      <c r="G77" s="0" t="s">
        <v>432</v>
      </c>
      <c r="H77" s="0" t="s">
        <v>383</v>
      </c>
    </row>
    <row r="78" customFormat="false" ht="15" hidden="false" customHeight="false" outlineLevel="0" collapsed="false">
      <c r="A78" s="0" t="s">
        <v>209</v>
      </c>
      <c r="B78" s="0" t="s">
        <v>210</v>
      </c>
      <c r="C78" s="0" t="s">
        <v>33</v>
      </c>
      <c r="D78" s="0" t="n">
        <v>590</v>
      </c>
      <c r="E78" s="0" t="s">
        <v>109</v>
      </c>
      <c r="F78" s="0" t="s">
        <v>384</v>
      </c>
      <c r="G78" s="0" t="s">
        <v>433</v>
      </c>
      <c r="H78" s="0" t="s">
        <v>385</v>
      </c>
    </row>
    <row r="79" customFormat="false" ht="15" hidden="false" customHeight="false" outlineLevel="0" collapsed="false">
      <c r="A79" s="0" t="s">
        <v>209</v>
      </c>
      <c r="B79" s="0" t="s">
        <v>210</v>
      </c>
      <c r="C79" s="0" t="s">
        <v>34</v>
      </c>
      <c r="D79" s="0" t="n">
        <v>850</v>
      </c>
      <c r="E79" s="0" t="s">
        <v>109</v>
      </c>
      <c r="F79" s="0" t="s">
        <v>386</v>
      </c>
      <c r="G79" s="0" t="s">
        <v>434</v>
      </c>
      <c r="H79" s="0" t="s">
        <v>388</v>
      </c>
    </row>
    <row r="80" customFormat="false" ht="15" hidden="false" customHeight="false" outlineLevel="0" collapsed="false">
      <c r="A80" s="0" t="s">
        <v>209</v>
      </c>
      <c r="B80" s="0" t="s">
        <v>210</v>
      </c>
      <c r="C80" s="0" t="s">
        <v>35</v>
      </c>
      <c r="D80" s="0" t="n">
        <v>1000</v>
      </c>
      <c r="E80" s="0" t="s">
        <v>109</v>
      </c>
      <c r="F80" s="0" t="s">
        <v>389</v>
      </c>
      <c r="G80" s="0" t="s">
        <v>435</v>
      </c>
      <c r="H80" s="0" t="s">
        <v>390</v>
      </c>
    </row>
    <row r="81" customFormat="false" ht="15" hidden="false" customHeight="false" outlineLevel="0" collapsed="false">
      <c r="A81" s="0" t="s">
        <v>209</v>
      </c>
      <c r="B81" s="0" t="s">
        <v>210</v>
      </c>
      <c r="C81" s="0" t="s">
        <v>36</v>
      </c>
      <c r="D81" s="0" t="n">
        <v>1500</v>
      </c>
      <c r="E81" s="0" t="s">
        <v>109</v>
      </c>
      <c r="F81" s="0" t="s">
        <v>391</v>
      </c>
      <c r="G81" s="0" t="s">
        <v>436</v>
      </c>
      <c r="H81" s="0" t="s">
        <v>392</v>
      </c>
    </row>
    <row r="82" customFormat="false" ht="15" hidden="false" customHeight="false" outlineLevel="0" collapsed="false">
      <c r="A82" s="0" t="s">
        <v>213</v>
      </c>
      <c r="B82" s="0" t="s">
        <v>214</v>
      </c>
      <c r="C82" s="0" t="s">
        <v>30</v>
      </c>
      <c r="D82" s="0" t="n">
        <v>1300</v>
      </c>
      <c r="E82" s="0" t="s">
        <v>109</v>
      </c>
      <c r="F82" s="0" t="s">
        <v>374</v>
      </c>
      <c r="G82" s="0" t="s">
        <v>437</v>
      </c>
      <c r="H82" s="0" t="s">
        <v>376</v>
      </c>
    </row>
    <row r="83" customFormat="false" ht="15" hidden="false" customHeight="false" outlineLevel="0" collapsed="false">
      <c r="A83" s="0" t="s">
        <v>213</v>
      </c>
      <c r="B83" s="0" t="s">
        <v>214</v>
      </c>
      <c r="C83" s="0" t="s">
        <v>31</v>
      </c>
      <c r="D83" s="0" t="n">
        <v>1600</v>
      </c>
      <c r="E83" s="0" t="s">
        <v>109</v>
      </c>
      <c r="F83" s="0" t="s">
        <v>378</v>
      </c>
      <c r="G83" s="0" t="s">
        <v>438</v>
      </c>
      <c r="H83" s="0" t="s">
        <v>380</v>
      </c>
    </row>
    <row r="84" customFormat="false" ht="15" hidden="false" customHeight="false" outlineLevel="0" collapsed="false">
      <c r="A84" s="0" t="s">
        <v>213</v>
      </c>
      <c r="B84" s="0" t="s">
        <v>214</v>
      </c>
      <c r="C84" s="0" t="s">
        <v>32</v>
      </c>
      <c r="D84" s="0" t="n">
        <v>2200</v>
      </c>
      <c r="E84" s="0" t="s">
        <v>109</v>
      </c>
      <c r="F84" s="0" t="s">
        <v>381</v>
      </c>
      <c r="G84" s="0" t="s">
        <v>439</v>
      </c>
      <c r="H84" s="0" t="s">
        <v>383</v>
      </c>
    </row>
    <row r="85" customFormat="false" ht="15" hidden="false" customHeight="false" outlineLevel="0" collapsed="false">
      <c r="A85" s="0" t="s">
        <v>213</v>
      </c>
      <c r="B85" s="0" t="s">
        <v>214</v>
      </c>
      <c r="C85" s="0" t="s">
        <v>33</v>
      </c>
      <c r="D85" s="0" t="n">
        <v>2900</v>
      </c>
      <c r="E85" s="0" t="s">
        <v>109</v>
      </c>
      <c r="F85" s="0" t="s">
        <v>384</v>
      </c>
      <c r="G85" s="0" t="s">
        <v>440</v>
      </c>
      <c r="H85" s="0" t="s">
        <v>385</v>
      </c>
    </row>
    <row r="86" customFormat="false" ht="15" hidden="false" customHeight="false" outlineLevel="0" collapsed="false">
      <c r="A86" s="0" t="s">
        <v>213</v>
      </c>
      <c r="B86" s="0" t="s">
        <v>214</v>
      </c>
      <c r="C86" s="0" t="s">
        <v>34</v>
      </c>
      <c r="D86" s="0" t="n">
        <v>3100</v>
      </c>
      <c r="E86" s="0" t="s">
        <v>109</v>
      </c>
      <c r="F86" s="0" t="s">
        <v>386</v>
      </c>
      <c r="G86" s="0" t="s">
        <v>441</v>
      </c>
      <c r="H86" s="0" t="s">
        <v>388</v>
      </c>
    </row>
    <row r="87" customFormat="false" ht="15" hidden="false" customHeight="false" outlineLevel="0" collapsed="false">
      <c r="A87" s="0" t="s">
        <v>213</v>
      </c>
      <c r="B87" s="0" t="s">
        <v>214</v>
      </c>
      <c r="C87" s="0" t="s">
        <v>35</v>
      </c>
      <c r="D87" s="0" t="n">
        <v>3500</v>
      </c>
      <c r="E87" s="0" t="s">
        <v>109</v>
      </c>
      <c r="F87" s="0" t="s">
        <v>389</v>
      </c>
      <c r="G87" s="0" t="s">
        <v>442</v>
      </c>
      <c r="H87" s="0" t="s">
        <v>390</v>
      </c>
    </row>
    <row r="88" customFormat="false" ht="15" hidden="false" customHeight="false" outlineLevel="0" collapsed="false">
      <c r="A88" s="0" t="s">
        <v>213</v>
      </c>
      <c r="B88" s="0" t="s">
        <v>214</v>
      </c>
      <c r="C88" s="0" t="s">
        <v>36</v>
      </c>
      <c r="D88" s="0" t="n">
        <v>3700</v>
      </c>
      <c r="E88" s="0" t="s">
        <v>109</v>
      </c>
      <c r="F88" s="0" t="s">
        <v>391</v>
      </c>
      <c r="G88" s="0" t="s">
        <v>443</v>
      </c>
      <c r="H88" s="0" t="s">
        <v>392</v>
      </c>
    </row>
    <row r="89" customFormat="false" ht="15" hidden="false" customHeight="false" outlineLevel="0" collapsed="false">
      <c r="A89" s="0" t="s">
        <v>215</v>
      </c>
      <c r="B89" s="0" t="s">
        <v>216</v>
      </c>
      <c r="C89" s="0" t="s">
        <v>26</v>
      </c>
      <c r="D89" s="0" t="n">
        <v>53000</v>
      </c>
      <c r="E89" s="0" t="s">
        <v>109</v>
      </c>
      <c r="F89" s="0" t="s">
        <v>374</v>
      </c>
      <c r="G89" s="0" t="s">
        <v>444</v>
      </c>
      <c r="H89" s="0" t="s">
        <v>376</v>
      </c>
    </row>
    <row r="90" customFormat="false" ht="15" hidden="false" customHeight="false" outlineLevel="0" collapsed="false">
      <c r="A90" s="0" t="s">
        <v>215</v>
      </c>
      <c r="B90" s="0" t="s">
        <v>216</v>
      </c>
      <c r="C90" s="0" t="s">
        <v>30</v>
      </c>
      <c r="D90" s="0" t="n">
        <v>250000</v>
      </c>
      <c r="E90" s="0" t="s">
        <v>109</v>
      </c>
      <c r="F90" s="0" t="s">
        <v>374</v>
      </c>
      <c r="G90" s="0" t="s">
        <v>445</v>
      </c>
      <c r="H90" s="0" t="s">
        <v>376</v>
      </c>
    </row>
    <row r="91" customFormat="false" ht="15" hidden="false" customHeight="false" outlineLevel="0" collapsed="false">
      <c r="A91" s="0" t="s">
        <v>219</v>
      </c>
      <c r="B91" s="0" t="s">
        <v>220</v>
      </c>
      <c r="C91" s="0" t="s">
        <v>27</v>
      </c>
      <c r="D91" s="0" t="n">
        <v>6.155</v>
      </c>
      <c r="E91" s="0" t="s">
        <v>50</v>
      </c>
      <c r="F91" s="0" t="s">
        <v>446</v>
      </c>
      <c r="G91" s="0" t="s">
        <v>447</v>
      </c>
      <c r="H91" s="0" t="s">
        <v>448</v>
      </c>
    </row>
    <row r="92" customFormat="false" ht="15" hidden="false" customHeight="false" outlineLevel="0" collapsed="false">
      <c r="A92" s="0" t="s">
        <v>219</v>
      </c>
      <c r="B92" s="0" t="s">
        <v>220</v>
      </c>
      <c r="C92" s="0" t="s">
        <v>28</v>
      </c>
      <c r="D92" s="0" t="n">
        <v>6.155</v>
      </c>
      <c r="E92" s="0" t="s">
        <v>50</v>
      </c>
      <c r="F92" s="0" t="s">
        <v>446</v>
      </c>
      <c r="G92" s="0" t="s">
        <v>449</v>
      </c>
      <c r="H92" s="0" t="s">
        <v>448</v>
      </c>
    </row>
    <row r="93" customFormat="false" ht="15" hidden="false" customHeight="false" outlineLevel="0" collapsed="false">
      <c r="A93" s="0" t="s">
        <v>219</v>
      </c>
      <c r="B93" s="0" t="s">
        <v>220</v>
      </c>
      <c r="C93" s="0" t="s">
        <v>29</v>
      </c>
      <c r="D93" s="0" t="n">
        <v>6.155</v>
      </c>
      <c r="E93" s="0" t="s">
        <v>46</v>
      </c>
      <c r="F93" s="0" t="s">
        <v>446</v>
      </c>
      <c r="G93" s="0" t="s">
        <v>450</v>
      </c>
      <c r="H93" s="0" t="s">
        <v>448</v>
      </c>
    </row>
    <row r="94" customFormat="false" ht="15" hidden="false" customHeight="false" outlineLevel="0" collapsed="false">
      <c r="A94" s="0" t="s">
        <v>219</v>
      </c>
      <c r="B94" s="0" t="s">
        <v>220</v>
      </c>
      <c r="C94" s="0" t="s">
        <v>30</v>
      </c>
      <c r="D94" s="0" t="n">
        <v>6.155</v>
      </c>
      <c r="E94" s="0" t="s">
        <v>46</v>
      </c>
      <c r="F94" s="0" t="s">
        <v>446</v>
      </c>
      <c r="G94" s="0" t="s">
        <v>451</v>
      </c>
      <c r="H94" s="0" t="s">
        <v>448</v>
      </c>
    </row>
    <row r="95" customFormat="false" ht="15" hidden="false" customHeight="false" outlineLevel="0" collapsed="false">
      <c r="A95" s="0" t="s">
        <v>219</v>
      </c>
      <c r="B95" s="0" t="s">
        <v>220</v>
      </c>
      <c r="C95" s="0" t="s">
        <v>31</v>
      </c>
      <c r="D95" s="0" t="n">
        <v>6.155</v>
      </c>
      <c r="E95" s="0" t="s">
        <v>46</v>
      </c>
      <c r="F95" s="0" t="s">
        <v>446</v>
      </c>
      <c r="G95" s="0" t="s">
        <v>451</v>
      </c>
      <c r="H95" s="0" t="s">
        <v>448</v>
      </c>
    </row>
    <row r="96" customFormat="false" ht="15" hidden="false" customHeight="false" outlineLevel="0" collapsed="false">
      <c r="A96" s="0" t="s">
        <v>219</v>
      </c>
      <c r="B96" s="0" t="s">
        <v>220</v>
      </c>
      <c r="C96" s="0" t="s">
        <v>32</v>
      </c>
      <c r="D96" s="0" t="n">
        <v>6.155</v>
      </c>
      <c r="E96" s="0" t="s">
        <v>46</v>
      </c>
      <c r="F96" s="0" t="s">
        <v>446</v>
      </c>
      <c r="G96" s="0" t="s">
        <v>451</v>
      </c>
      <c r="H96" s="0" t="s">
        <v>448</v>
      </c>
    </row>
    <row r="97" customFormat="false" ht="15" hidden="false" customHeight="false" outlineLevel="0" collapsed="false">
      <c r="A97" s="0" t="s">
        <v>219</v>
      </c>
      <c r="B97" s="0" t="s">
        <v>220</v>
      </c>
      <c r="C97" s="0" t="s">
        <v>33</v>
      </c>
      <c r="D97" s="0" t="n">
        <v>6.155</v>
      </c>
      <c r="E97" s="0" t="s">
        <v>46</v>
      </c>
      <c r="F97" s="0" t="s">
        <v>446</v>
      </c>
      <c r="G97" s="0" t="s">
        <v>451</v>
      </c>
      <c r="H97" s="0" t="s">
        <v>448</v>
      </c>
    </row>
    <row r="98" customFormat="false" ht="15" hidden="false" customHeight="false" outlineLevel="0" collapsed="false">
      <c r="A98" s="0" t="s">
        <v>219</v>
      </c>
      <c r="B98" s="0" t="s">
        <v>220</v>
      </c>
      <c r="C98" s="0" t="s">
        <v>34</v>
      </c>
      <c r="D98" s="0" t="n">
        <v>6.155</v>
      </c>
      <c r="E98" s="0" t="s">
        <v>46</v>
      </c>
      <c r="F98" s="0" t="s">
        <v>446</v>
      </c>
      <c r="G98" s="0" t="s">
        <v>451</v>
      </c>
      <c r="H98" s="0" t="s">
        <v>448</v>
      </c>
    </row>
    <row r="99" customFormat="false" ht="15" hidden="false" customHeight="false" outlineLevel="0" collapsed="false">
      <c r="A99" s="0" t="s">
        <v>219</v>
      </c>
      <c r="B99" s="0" t="s">
        <v>220</v>
      </c>
      <c r="C99" s="0" t="s">
        <v>35</v>
      </c>
      <c r="D99" s="0" t="n">
        <v>6.155</v>
      </c>
      <c r="E99" s="0" t="s">
        <v>46</v>
      </c>
      <c r="F99" s="0" t="s">
        <v>446</v>
      </c>
      <c r="G99" s="0" t="s">
        <v>451</v>
      </c>
      <c r="H99" s="0" t="s">
        <v>448</v>
      </c>
    </row>
    <row r="100" customFormat="false" ht="15" hidden="false" customHeight="false" outlineLevel="0" collapsed="false">
      <c r="A100" s="0" t="s">
        <v>219</v>
      </c>
      <c r="B100" s="0" t="s">
        <v>220</v>
      </c>
      <c r="C100" s="0" t="s">
        <v>36</v>
      </c>
      <c r="D100" s="0" t="n">
        <v>6.155</v>
      </c>
      <c r="E100" s="0" t="s">
        <v>46</v>
      </c>
      <c r="F100" s="0" t="s">
        <v>446</v>
      </c>
      <c r="G100" s="0" t="s">
        <v>451</v>
      </c>
      <c r="H100" s="0" t="s">
        <v>448</v>
      </c>
    </row>
    <row r="101" customFormat="false" ht="15" hidden="false" customHeight="false" outlineLevel="0" collapsed="false">
      <c r="A101" s="0" t="s">
        <v>223</v>
      </c>
      <c r="B101" s="0" t="s">
        <v>224</v>
      </c>
      <c r="C101" s="0" t="s">
        <v>31</v>
      </c>
      <c r="D101" s="0" t="n">
        <v>10.5</v>
      </c>
      <c r="E101" s="0" t="s">
        <v>46</v>
      </c>
      <c r="F101" s="0" t="s">
        <v>446</v>
      </c>
      <c r="G101" s="0" t="s">
        <v>452</v>
      </c>
      <c r="H101" s="0" t="s">
        <v>448</v>
      </c>
    </row>
    <row r="102" customFormat="false" ht="15" hidden="false" customHeight="false" outlineLevel="0" collapsed="false">
      <c r="A102" s="0" t="s">
        <v>223</v>
      </c>
      <c r="B102" s="0" t="s">
        <v>224</v>
      </c>
      <c r="C102" s="0" t="s">
        <v>32</v>
      </c>
      <c r="D102" s="0" t="n">
        <v>10.5</v>
      </c>
      <c r="E102" s="0" t="s">
        <v>46</v>
      </c>
      <c r="F102" s="0" t="s">
        <v>446</v>
      </c>
      <c r="G102" s="0" t="s">
        <v>453</v>
      </c>
      <c r="H102" s="0" t="s">
        <v>448</v>
      </c>
    </row>
    <row r="103" customFormat="false" ht="15" hidden="false" customHeight="false" outlineLevel="0" collapsed="false">
      <c r="A103" s="0" t="s">
        <v>223</v>
      </c>
      <c r="B103" s="0" t="s">
        <v>224</v>
      </c>
      <c r="C103" s="0" t="s">
        <v>33</v>
      </c>
      <c r="D103" s="0" t="n">
        <v>10.5</v>
      </c>
      <c r="E103" s="0" t="s">
        <v>46</v>
      </c>
      <c r="F103" s="0" t="s">
        <v>446</v>
      </c>
      <c r="G103" s="0" t="s">
        <v>453</v>
      </c>
      <c r="H103" s="0" t="s">
        <v>448</v>
      </c>
    </row>
    <row r="104" customFormat="false" ht="15" hidden="false" customHeight="false" outlineLevel="0" collapsed="false">
      <c r="A104" s="0" t="s">
        <v>223</v>
      </c>
      <c r="B104" s="0" t="s">
        <v>224</v>
      </c>
      <c r="C104" s="0" t="s">
        <v>34</v>
      </c>
      <c r="D104" s="0" t="n">
        <v>10.5</v>
      </c>
      <c r="E104" s="0" t="s">
        <v>46</v>
      </c>
      <c r="F104" s="0" t="s">
        <v>446</v>
      </c>
      <c r="G104" s="0" t="s">
        <v>453</v>
      </c>
      <c r="H104" s="0" t="s">
        <v>448</v>
      </c>
    </row>
    <row r="105" customFormat="false" ht="15" hidden="false" customHeight="false" outlineLevel="0" collapsed="false">
      <c r="A105" s="0" t="s">
        <v>223</v>
      </c>
      <c r="B105" s="0" t="s">
        <v>224</v>
      </c>
      <c r="C105" s="0" t="s">
        <v>35</v>
      </c>
      <c r="D105" s="0" t="n">
        <v>10.5</v>
      </c>
      <c r="E105" s="0" t="s">
        <v>46</v>
      </c>
      <c r="F105" s="0" t="s">
        <v>446</v>
      </c>
      <c r="G105" s="0" t="s">
        <v>453</v>
      </c>
      <c r="H105" s="0" t="s">
        <v>448</v>
      </c>
    </row>
    <row r="106" customFormat="false" ht="15" hidden="false" customHeight="false" outlineLevel="0" collapsed="false">
      <c r="A106" s="0" t="s">
        <v>223</v>
      </c>
      <c r="B106" s="0" t="s">
        <v>224</v>
      </c>
      <c r="C106" s="0" t="s">
        <v>36</v>
      </c>
      <c r="D106" s="0" t="n">
        <v>10.5</v>
      </c>
      <c r="E106" s="0" t="s">
        <v>46</v>
      </c>
      <c r="F106" s="0" t="s">
        <v>446</v>
      </c>
      <c r="G106" s="0" t="s">
        <v>453</v>
      </c>
      <c r="H106" s="0" t="s">
        <v>448</v>
      </c>
    </row>
    <row r="107" customFormat="false" ht="15" hidden="false" customHeight="false" outlineLevel="0" collapsed="false">
      <c r="A107" s="0" t="s">
        <v>226</v>
      </c>
      <c r="B107" s="0" t="s">
        <v>227</v>
      </c>
      <c r="C107" s="0" t="s">
        <v>26</v>
      </c>
      <c r="D107" s="0" t="n">
        <v>9.9</v>
      </c>
      <c r="E107" s="0" t="s">
        <v>109</v>
      </c>
      <c r="F107" s="0" t="s">
        <v>374</v>
      </c>
      <c r="G107" s="0" t="s">
        <v>454</v>
      </c>
      <c r="H107" s="0" t="s">
        <v>376</v>
      </c>
    </row>
    <row r="108" customFormat="false" ht="15" hidden="false" customHeight="false" outlineLevel="0" collapsed="false">
      <c r="A108" s="0" t="s">
        <v>226</v>
      </c>
      <c r="B108" s="0" t="s">
        <v>227</v>
      </c>
      <c r="C108" s="0" t="s">
        <v>30</v>
      </c>
      <c r="D108" s="0" t="n">
        <v>15.1</v>
      </c>
      <c r="E108" s="0" t="s">
        <v>109</v>
      </c>
      <c r="F108" s="0" t="s">
        <v>374</v>
      </c>
      <c r="G108" s="0" t="s">
        <v>454</v>
      </c>
      <c r="H108" s="0" t="s">
        <v>376</v>
      </c>
    </row>
    <row r="109" customFormat="false" ht="15" hidden="false" customHeight="false" outlineLevel="0" collapsed="false">
      <c r="A109" s="0" t="s">
        <v>226</v>
      </c>
      <c r="B109" s="0" t="s">
        <v>227</v>
      </c>
      <c r="C109" s="0" t="s">
        <v>31</v>
      </c>
      <c r="D109" s="0" t="n">
        <v>14.7</v>
      </c>
      <c r="E109" s="0" t="s">
        <v>109</v>
      </c>
      <c r="F109" s="0" t="s">
        <v>416</v>
      </c>
      <c r="G109" s="0" t="s">
        <v>454</v>
      </c>
      <c r="H109" s="0" t="s">
        <v>417</v>
      </c>
    </row>
    <row r="110" customFormat="false" ht="15" hidden="false" customHeight="false" outlineLevel="0" collapsed="false">
      <c r="A110" s="0" t="s">
        <v>226</v>
      </c>
      <c r="B110" s="0" t="s">
        <v>227</v>
      </c>
      <c r="C110" s="0" t="s">
        <v>32</v>
      </c>
      <c r="D110" s="0" t="n">
        <v>30.1</v>
      </c>
      <c r="E110" s="0" t="s">
        <v>109</v>
      </c>
      <c r="F110" s="0" t="s">
        <v>418</v>
      </c>
      <c r="G110" s="0" t="s">
        <v>454</v>
      </c>
      <c r="H110" s="0" t="s">
        <v>419</v>
      </c>
    </row>
    <row r="111" customFormat="false" ht="15" hidden="false" customHeight="false" outlineLevel="0" collapsed="false">
      <c r="A111" s="0" t="s">
        <v>226</v>
      </c>
      <c r="B111" s="0" t="s">
        <v>227</v>
      </c>
      <c r="C111" s="0" t="s">
        <v>33</v>
      </c>
      <c r="D111" s="0" t="n">
        <v>50</v>
      </c>
      <c r="E111" s="0" t="s">
        <v>109</v>
      </c>
      <c r="F111" s="0" t="s">
        <v>420</v>
      </c>
      <c r="G111" s="0" t="s">
        <v>454</v>
      </c>
      <c r="H111" s="0" t="s">
        <v>421</v>
      </c>
    </row>
    <row r="112" customFormat="false" ht="15" hidden="false" customHeight="false" outlineLevel="0" collapsed="false">
      <c r="A112" s="0" t="s">
        <v>226</v>
      </c>
      <c r="B112" s="0" t="s">
        <v>227</v>
      </c>
      <c r="C112" s="0" t="s">
        <v>34</v>
      </c>
      <c r="D112" s="0" t="n">
        <v>60.7</v>
      </c>
      <c r="E112" s="0" t="s">
        <v>109</v>
      </c>
      <c r="F112" s="0" t="s">
        <v>422</v>
      </c>
      <c r="G112" s="0" t="s">
        <v>454</v>
      </c>
      <c r="H112" s="0" t="s">
        <v>423</v>
      </c>
    </row>
    <row r="113" customFormat="false" ht="15" hidden="false" customHeight="false" outlineLevel="0" collapsed="false">
      <c r="A113" s="0" t="s">
        <v>226</v>
      </c>
      <c r="B113" s="0" t="s">
        <v>227</v>
      </c>
      <c r="C113" s="0" t="s">
        <v>35</v>
      </c>
      <c r="D113" s="0" t="n">
        <v>98.8</v>
      </c>
      <c r="E113" s="0" t="s">
        <v>109</v>
      </c>
      <c r="F113" s="0" t="s">
        <v>424</v>
      </c>
      <c r="G113" s="0" t="s">
        <v>454</v>
      </c>
      <c r="H113" s="0" t="s">
        <v>425</v>
      </c>
    </row>
    <row r="114" customFormat="false" ht="15" hidden="false" customHeight="false" outlineLevel="0" collapsed="false">
      <c r="A114" s="0" t="s">
        <v>226</v>
      </c>
      <c r="B114" s="0" t="s">
        <v>227</v>
      </c>
      <c r="C114" s="0" t="s">
        <v>36</v>
      </c>
      <c r="D114" s="0" t="n">
        <v>103.7</v>
      </c>
      <c r="E114" s="0" t="s">
        <v>109</v>
      </c>
      <c r="F114" s="0" t="s">
        <v>426</v>
      </c>
      <c r="G114" s="0" t="s">
        <v>454</v>
      </c>
      <c r="H114" s="0" t="s">
        <v>427</v>
      </c>
    </row>
    <row r="115" customFormat="false" ht="15" hidden="false" customHeight="false" outlineLevel="0" collapsed="false">
      <c r="A115" s="0" t="s">
        <v>228</v>
      </c>
      <c r="B115" s="0" t="s">
        <v>229</v>
      </c>
      <c r="C115" s="0" t="s">
        <v>26</v>
      </c>
      <c r="D115" s="0" t="n">
        <v>9.9</v>
      </c>
      <c r="E115" s="0" t="s">
        <v>109</v>
      </c>
      <c r="F115" s="0" t="s">
        <v>455</v>
      </c>
      <c r="G115" s="0" t="s">
        <v>456</v>
      </c>
      <c r="H115" s="0" t="s">
        <v>457</v>
      </c>
    </row>
    <row r="116" customFormat="false" ht="15" hidden="false" customHeight="false" outlineLevel="0" collapsed="false">
      <c r="A116" s="0" t="s">
        <v>228</v>
      </c>
      <c r="B116" s="0" t="s">
        <v>229</v>
      </c>
      <c r="C116" s="0" t="s">
        <v>30</v>
      </c>
      <c r="D116" s="0" t="n">
        <v>15.1</v>
      </c>
      <c r="E116" s="0" t="s">
        <v>109</v>
      </c>
      <c r="F116" s="0" t="s">
        <v>455</v>
      </c>
      <c r="G116" s="0" t="s">
        <v>458</v>
      </c>
      <c r="H116" s="0" t="s">
        <v>457</v>
      </c>
    </row>
    <row r="117" customFormat="false" ht="15" hidden="false" customHeight="false" outlineLevel="0" collapsed="false">
      <c r="A117" s="0" t="s">
        <v>228</v>
      </c>
      <c r="B117" s="0" t="s">
        <v>229</v>
      </c>
      <c r="C117" s="0" t="s">
        <v>31</v>
      </c>
      <c r="D117" s="0" t="n">
        <v>25.9</v>
      </c>
      <c r="E117" s="0" t="s">
        <v>109</v>
      </c>
      <c r="F117" s="0" t="s">
        <v>378</v>
      </c>
      <c r="G117" s="0" t="s">
        <v>459</v>
      </c>
      <c r="H117" s="0" t="s">
        <v>380</v>
      </c>
    </row>
    <row r="118" customFormat="false" ht="15" hidden="false" customHeight="false" outlineLevel="0" collapsed="false">
      <c r="A118" s="0" t="s">
        <v>228</v>
      </c>
      <c r="B118" s="0" t="s">
        <v>229</v>
      </c>
      <c r="C118" s="0" t="s">
        <v>32</v>
      </c>
      <c r="D118" s="0" t="n">
        <v>30.1</v>
      </c>
      <c r="E118" s="0" t="s">
        <v>109</v>
      </c>
      <c r="F118" s="0" t="s">
        <v>381</v>
      </c>
      <c r="G118" s="0" t="s">
        <v>460</v>
      </c>
      <c r="H118" s="0" t="s">
        <v>383</v>
      </c>
    </row>
    <row r="119" customFormat="false" ht="15" hidden="false" customHeight="false" outlineLevel="0" collapsed="false">
      <c r="A119" s="0" t="s">
        <v>228</v>
      </c>
      <c r="B119" s="0" t="s">
        <v>229</v>
      </c>
      <c r="C119" s="0" t="s">
        <v>33</v>
      </c>
      <c r="D119" s="0" t="n">
        <v>55.6</v>
      </c>
      <c r="E119" s="0" t="s">
        <v>109</v>
      </c>
      <c r="F119" s="0" t="s">
        <v>384</v>
      </c>
      <c r="G119" s="0" t="s">
        <v>460</v>
      </c>
      <c r="H119" s="0" t="s">
        <v>385</v>
      </c>
    </row>
    <row r="120" customFormat="false" ht="15" hidden="false" customHeight="false" outlineLevel="0" collapsed="false">
      <c r="A120" s="0" t="s">
        <v>228</v>
      </c>
      <c r="B120" s="0" t="s">
        <v>229</v>
      </c>
      <c r="C120" s="0" t="s">
        <v>34</v>
      </c>
      <c r="D120" s="0" t="n">
        <v>66.8</v>
      </c>
      <c r="E120" s="0" t="s">
        <v>109</v>
      </c>
      <c r="F120" s="0" t="s">
        <v>386</v>
      </c>
      <c r="G120" s="0" t="s">
        <v>460</v>
      </c>
      <c r="H120" s="0" t="s">
        <v>388</v>
      </c>
    </row>
    <row r="121" customFormat="false" ht="15" hidden="false" customHeight="false" outlineLevel="0" collapsed="false">
      <c r="A121" s="0" t="s">
        <v>228</v>
      </c>
      <c r="B121" s="0" t="s">
        <v>229</v>
      </c>
      <c r="C121" s="0" t="s">
        <v>35</v>
      </c>
      <c r="D121" s="0" t="n">
        <v>99.4</v>
      </c>
      <c r="E121" s="0" t="s">
        <v>109</v>
      </c>
      <c r="F121" s="0" t="s">
        <v>389</v>
      </c>
      <c r="G121" s="0" t="s">
        <v>460</v>
      </c>
      <c r="H121" s="0" t="s">
        <v>390</v>
      </c>
    </row>
    <row r="122" customFormat="false" ht="15" hidden="false" customHeight="false" outlineLevel="0" collapsed="false">
      <c r="A122" s="0" t="s">
        <v>228</v>
      </c>
      <c r="B122" s="0" t="s">
        <v>229</v>
      </c>
      <c r="C122" s="0" t="s">
        <v>36</v>
      </c>
      <c r="D122" s="0" t="n">
        <v>104.2</v>
      </c>
      <c r="E122" s="0" t="s">
        <v>109</v>
      </c>
      <c r="F122" s="0" t="s">
        <v>391</v>
      </c>
      <c r="G122" s="0" t="s">
        <v>461</v>
      </c>
      <c r="H122" s="0" t="s">
        <v>392</v>
      </c>
    </row>
    <row r="123" customFormat="false" ht="15" hidden="false" customHeight="false" outlineLevel="0" collapsed="false">
      <c r="A123" s="0" t="s">
        <v>231</v>
      </c>
      <c r="B123" s="0" t="s">
        <v>232</v>
      </c>
      <c r="C123" s="0" t="s">
        <v>30</v>
      </c>
      <c r="D123" s="0" t="n">
        <v>54</v>
      </c>
      <c r="E123" s="0" t="s">
        <v>109</v>
      </c>
      <c r="F123" s="0" t="s">
        <v>374</v>
      </c>
      <c r="G123" s="0" t="s">
        <v>462</v>
      </c>
      <c r="H123" s="0" t="s">
        <v>376</v>
      </c>
    </row>
    <row r="124" customFormat="false" ht="15" hidden="false" customHeight="false" outlineLevel="0" collapsed="false">
      <c r="A124" s="0" t="s">
        <v>231</v>
      </c>
      <c r="B124" s="0" t="s">
        <v>232</v>
      </c>
      <c r="C124" s="0" t="s">
        <v>31</v>
      </c>
      <c r="D124" s="0" t="n">
        <v>58</v>
      </c>
      <c r="E124" s="0" t="s">
        <v>109</v>
      </c>
      <c r="F124" s="0" t="s">
        <v>416</v>
      </c>
      <c r="G124" s="0" t="s">
        <v>462</v>
      </c>
      <c r="H124" s="0" t="s">
        <v>417</v>
      </c>
    </row>
    <row r="125" customFormat="false" ht="15" hidden="false" customHeight="false" outlineLevel="0" collapsed="false">
      <c r="A125" s="0" t="s">
        <v>231</v>
      </c>
      <c r="B125" s="0" t="s">
        <v>232</v>
      </c>
      <c r="C125" s="0" t="s">
        <v>32</v>
      </c>
      <c r="D125" s="0" t="n">
        <v>50</v>
      </c>
      <c r="E125" s="0" t="s">
        <v>109</v>
      </c>
      <c r="F125" s="0" t="s">
        <v>418</v>
      </c>
      <c r="G125" s="0" t="s">
        <v>462</v>
      </c>
      <c r="H125" s="0" t="s">
        <v>419</v>
      </c>
    </row>
    <row r="126" customFormat="false" ht="15" hidden="false" customHeight="false" outlineLevel="0" collapsed="false">
      <c r="A126" s="0" t="s">
        <v>231</v>
      </c>
      <c r="B126" s="0" t="s">
        <v>232</v>
      </c>
      <c r="C126" s="0" t="s">
        <v>33</v>
      </c>
      <c r="D126" s="0" t="n">
        <v>42</v>
      </c>
      <c r="E126" s="0" t="s">
        <v>109</v>
      </c>
      <c r="F126" s="0" t="s">
        <v>420</v>
      </c>
      <c r="G126" s="0" t="s">
        <v>462</v>
      </c>
      <c r="H126" s="0" t="s">
        <v>421</v>
      </c>
    </row>
    <row r="127" customFormat="false" ht="15" hidden="false" customHeight="false" outlineLevel="0" collapsed="false">
      <c r="A127" s="0" t="s">
        <v>231</v>
      </c>
      <c r="B127" s="0" t="s">
        <v>232</v>
      </c>
      <c r="C127" s="0" t="s">
        <v>34</v>
      </c>
      <c r="D127" s="0" t="n">
        <v>43</v>
      </c>
      <c r="E127" s="0" t="s">
        <v>109</v>
      </c>
      <c r="F127" s="0" t="s">
        <v>422</v>
      </c>
      <c r="G127" s="0" t="s">
        <v>462</v>
      </c>
      <c r="H127" s="0" t="s">
        <v>423</v>
      </c>
    </row>
    <row r="128" customFormat="false" ht="15" hidden="false" customHeight="false" outlineLevel="0" collapsed="false">
      <c r="A128" s="0" t="s">
        <v>231</v>
      </c>
      <c r="B128" s="0" t="s">
        <v>232</v>
      </c>
      <c r="C128" s="0" t="s">
        <v>35</v>
      </c>
      <c r="D128" s="0" t="n">
        <v>36</v>
      </c>
      <c r="E128" s="0" t="s">
        <v>109</v>
      </c>
      <c r="F128" s="0" t="s">
        <v>424</v>
      </c>
      <c r="G128" s="0" t="s">
        <v>462</v>
      </c>
      <c r="H128" s="0" t="s">
        <v>425</v>
      </c>
    </row>
    <row r="129" customFormat="false" ht="15" hidden="false" customHeight="false" outlineLevel="0" collapsed="false">
      <c r="A129" s="0" t="s">
        <v>231</v>
      </c>
      <c r="B129" s="0" t="s">
        <v>232</v>
      </c>
      <c r="C129" s="0" t="s">
        <v>36</v>
      </c>
      <c r="D129" s="0" t="n">
        <v>41</v>
      </c>
      <c r="E129" s="0" t="s">
        <v>109</v>
      </c>
      <c r="F129" s="0" t="s">
        <v>426</v>
      </c>
      <c r="G129" s="0" t="s">
        <v>462</v>
      </c>
      <c r="H129" s="0" t="s">
        <v>427</v>
      </c>
    </row>
    <row r="130" customFormat="false" ht="15" hidden="false" customHeight="false" outlineLevel="0" collapsed="false">
      <c r="A130" s="0" t="s">
        <v>233</v>
      </c>
      <c r="B130" s="0" t="s">
        <v>234</v>
      </c>
      <c r="C130" s="0" t="s">
        <v>27</v>
      </c>
      <c r="D130" s="0" t="n">
        <v>33</v>
      </c>
      <c r="E130" s="0" t="s">
        <v>109</v>
      </c>
      <c r="F130" s="0" t="s">
        <v>416</v>
      </c>
      <c r="G130" s="0" t="s">
        <v>463</v>
      </c>
      <c r="H130" s="0" t="s">
        <v>417</v>
      </c>
    </row>
    <row r="131" customFormat="false" ht="15" hidden="false" customHeight="false" outlineLevel="0" collapsed="false">
      <c r="A131" s="0" t="s">
        <v>233</v>
      </c>
      <c r="B131" s="0" t="s">
        <v>234</v>
      </c>
      <c r="C131" s="0" t="s">
        <v>28</v>
      </c>
      <c r="D131" s="0" t="n">
        <v>59</v>
      </c>
      <c r="E131" s="0" t="s">
        <v>109</v>
      </c>
      <c r="F131" s="0" t="s">
        <v>418</v>
      </c>
      <c r="G131" s="0" t="s">
        <v>464</v>
      </c>
      <c r="H131" s="0" t="s">
        <v>419</v>
      </c>
    </row>
    <row r="132" customFormat="false" ht="15" hidden="false" customHeight="false" outlineLevel="0" collapsed="false">
      <c r="A132" s="0" t="s">
        <v>233</v>
      </c>
      <c r="B132" s="0" t="s">
        <v>234</v>
      </c>
      <c r="C132" s="0" t="s">
        <v>29</v>
      </c>
      <c r="D132" s="0" t="n">
        <v>65</v>
      </c>
      <c r="E132" s="0" t="s">
        <v>109</v>
      </c>
      <c r="F132" s="0" t="s">
        <v>420</v>
      </c>
      <c r="G132" s="0" t="s">
        <v>465</v>
      </c>
      <c r="H132" s="0" t="s">
        <v>421</v>
      </c>
    </row>
    <row r="133" customFormat="false" ht="15" hidden="false" customHeight="false" outlineLevel="0" collapsed="false">
      <c r="A133" s="0" t="s">
        <v>233</v>
      </c>
      <c r="B133" s="0" t="s">
        <v>234</v>
      </c>
      <c r="C133" s="0" t="s">
        <v>30</v>
      </c>
      <c r="D133" s="0" t="n">
        <v>68.2</v>
      </c>
      <c r="E133" s="0" t="s">
        <v>46</v>
      </c>
      <c r="F133" s="0" t="s">
        <v>374</v>
      </c>
      <c r="G133" s="0" t="s">
        <v>466</v>
      </c>
      <c r="H133" s="0" t="s">
        <v>376</v>
      </c>
    </row>
    <row r="134" customFormat="false" ht="15" hidden="false" customHeight="false" outlineLevel="0" collapsed="false">
      <c r="A134" s="0" t="s">
        <v>233</v>
      </c>
      <c r="B134" s="0" t="s">
        <v>234</v>
      </c>
      <c r="C134" s="0" t="s">
        <v>31</v>
      </c>
      <c r="D134" s="0" t="n">
        <v>72</v>
      </c>
      <c r="E134" s="0" t="s">
        <v>109</v>
      </c>
      <c r="F134" s="0" t="s">
        <v>416</v>
      </c>
      <c r="G134" s="0" t="s">
        <v>467</v>
      </c>
      <c r="H134" s="0" t="s">
        <v>417</v>
      </c>
    </row>
    <row r="135" customFormat="false" ht="15" hidden="false" customHeight="false" outlineLevel="0" collapsed="false">
      <c r="A135" s="0" t="s">
        <v>233</v>
      </c>
      <c r="B135" s="0" t="s">
        <v>234</v>
      </c>
      <c r="C135" s="0" t="s">
        <v>32</v>
      </c>
      <c r="D135" s="0" t="n">
        <v>71</v>
      </c>
      <c r="E135" s="0" t="s">
        <v>109</v>
      </c>
      <c r="F135" s="0" t="s">
        <v>418</v>
      </c>
      <c r="G135" s="0" t="s">
        <v>468</v>
      </c>
      <c r="H135" s="0" t="s">
        <v>419</v>
      </c>
    </row>
    <row r="136" customFormat="false" ht="15" hidden="false" customHeight="false" outlineLevel="0" collapsed="false">
      <c r="A136" s="0" t="s">
        <v>233</v>
      </c>
      <c r="B136" s="0" t="s">
        <v>234</v>
      </c>
      <c r="C136" s="0" t="s">
        <v>33</v>
      </c>
      <c r="D136" s="0" t="n">
        <v>67</v>
      </c>
      <c r="E136" s="0" t="s">
        <v>109</v>
      </c>
      <c r="F136" s="0" t="s">
        <v>420</v>
      </c>
      <c r="G136" s="0" t="s">
        <v>469</v>
      </c>
      <c r="H136" s="0" t="s">
        <v>421</v>
      </c>
    </row>
    <row r="137" customFormat="false" ht="15" hidden="false" customHeight="false" outlineLevel="0" collapsed="false">
      <c r="A137" s="0" t="s">
        <v>233</v>
      </c>
      <c r="B137" s="0" t="s">
        <v>234</v>
      </c>
      <c r="C137" s="0" t="s">
        <v>34</v>
      </c>
      <c r="D137" s="0" t="n">
        <v>60.2</v>
      </c>
      <c r="E137" s="0" t="s">
        <v>46</v>
      </c>
      <c r="F137" s="0" t="s">
        <v>422</v>
      </c>
      <c r="G137" s="0" t="s">
        <v>470</v>
      </c>
      <c r="H137" s="0" t="s">
        <v>423</v>
      </c>
    </row>
    <row r="138" customFormat="false" ht="15" hidden="false" customHeight="false" outlineLevel="0" collapsed="false">
      <c r="A138" s="0" t="s">
        <v>233</v>
      </c>
      <c r="B138" s="0" t="s">
        <v>234</v>
      </c>
      <c r="C138" s="0" t="s">
        <v>35</v>
      </c>
      <c r="D138" s="0" t="n">
        <v>45</v>
      </c>
      <c r="E138" s="0" t="s">
        <v>109</v>
      </c>
      <c r="F138" s="0" t="s">
        <v>424</v>
      </c>
      <c r="G138" s="0" t="s">
        <v>471</v>
      </c>
      <c r="H138" s="0" t="s">
        <v>425</v>
      </c>
    </row>
    <row r="139" customFormat="false" ht="15" hidden="false" customHeight="false" outlineLevel="0" collapsed="false">
      <c r="A139" s="0" t="s">
        <v>233</v>
      </c>
      <c r="B139" s="0" t="s">
        <v>234</v>
      </c>
      <c r="C139" s="0" t="s">
        <v>36</v>
      </c>
      <c r="D139" s="0" t="n">
        <v>36</v>
      </c>
      <c r="E139" s="0" t="s">
        <v>109</v>
      </c>
      <c r="F139" s="0" t="s">
        <v>426</v>
      </c>
      <c r="G139" s="0" t="s">
        <v>472</v>
      </c>
      <c r="H139" s="0" t="s">
        <v>427</v>
      </c>
    </row>
    <row r="140" customFormat="false" ht="15" hidden="false" customHeight="false" outlineLevel="0" collapsed="false">
      <c r="A140" s="0" t="s">
        <v>236</v>
      </c>
      <c r="B140" s="0" t="s">
        <v>237</v>
      </c>
      <c r="C140" s="0" t="s">
        <v>27</v>
      </c>
      <c r="D140" s="0" t="n">
        <v>32</v>
      </c>
      <c r="E140" s="0" t="s">
        <v>109</v>
      </c>
      <c r="F140" s="0" t="s">
        <v>416</v>
      </c>
      <c r="G140" s="0" t="s">
        <v>473</v>
      </c>
      <c r="H140" s="0" t="s">
        <v>417</v>
      </c>
    </row>
    <row r="141" customFormat="false" ht="15" hidden="false" customHeight="false" outlineLevel="0" collapsed="false">
      <c r="A141" s="0" t="s">
        <v>236</v>
      </c>
      <c r="B141" s="0" t="s">
        <v>237</v>
      </c>
      <c r="C141" s="0" t="s">
        <v>28</v>
      </c>
      <c r="D141" s="0" t="n">
        <v>20</v>
      </c>
      <c r="E141" s="0" t="s">
        <v>109</v>
      </c>
      <c r="F141" s="0" t="s">
        <v>418</v>
      </c>
      <c r="G141" s="0" t="s">
        <v>474</v>
      </c>
      <c r="H141" s="0" t="s">
        <v>419</v>
      </c>
    </row>
    <row r="142" customFormat="false" ht="15" hidden="false" customHeight="false" outlineLevel="0" collapsed="false">
      <c r="A142" s="0" t="s">
        <v>236</v>
      </c>
      <c r="B142" s="0" t="s">
        <v>237</v>
      </c>
      <c r="C142" s="0" t="s">
        <v>29</v>
      </c>
      <c r="D142" s="0" t="n">
        <v>12</v>
      </c>
      <c r="E142" s="0" t="s">
        <v>109</v>
      </c>
      <c r="F142" s="0" t="s">
        <v>420</v>
      </c>
      <c r="G142" s="0" t="s">
        <v>475</v>
      </c>
      <c r="H142" s="0" t="s">
        <v>421</v>
      </c>
    </row>
    <row r="143" customFormat="false" ht="15" hidden="false" customHeight="false" outlineLevel="0" collapsed="false">
      <c r="A143" s="0" t="s">
        <v>236</v>
      </c>
      <c r="B143" s="0" t="s">
        <v>237</v>
      </c>
      <c r="C143" s="0" t="s">
        <v>30</v>
      </c>
      <c r="D143" s="0" t="n">
        <v>10.3</v>
      </c>
      <c r="E143" s="0" t="s">
        <v>46</v>
      </c>
      <c r="F143" s="0" t="s">
        <v>374</v>
      </c>
      <c r="G143" s="0" t="s">
        <v>476</v>
      </c>
      <c r="H143" s="0" t="s">
        <v>376</v>
      </c>
    </row>
    <row r="144" customFormat="false" ht="15" hidden="false" customHeight="false" outlineLevel="0" collapsed="false">
      <c r="A144" s="0" t="s">
        <v>236</v>
      </c>
      <c r="B144" s="0" t="s">
        <v>237</v>
      </c>
      <c r="C144" s="0" t="s">
        <v>35</v>
      </c>
      <c r="D144" s="0" t="n">
        <v>20</v>
      </c>
      <c r="E144" s="0" t="s">
        <v>109</v>
      </c>
      <c r="F144" s="0" t="s">
        <v>424</v>
      </c>
      <c r="G144" s="0" t="s">
        <v>474</v>
      </c>
      <c r="H144" s="0" t="s">
        <v>425</v>
      </c>
    </row>
    <row r="145" customFormat="false" ht="15" hidden="false" customHeight="false" outlineLevel="0" collapsed="false">
      <c r="A145" s="0" t="s">
        <v>236</v>
      </c>
      <c r="B145" s="0" t="s">
        <v>237</v>
      </c>
      <c r="C145" s="0" t="s">
        <v>36</v>
      </c>
      <c r="D145" s="0" t="n">
        <v>26</v>
      </c>
      <c r="E145" s="0" t="s">
        <v>109</v>
      </c>
      <c r="F145" s="0" t="s">
        <v>426</v>
      </c>
      <c r="G145" s="0" t="s">
        <v>477</v>
      </c>
      <c r="H145" s="0" t="s">
        <v>427</v>
      </c>
    </row>
    <row r="146" customFormat="false" ht="15" hidden="false" customHeight="false" outlineLevel="0" collapsed="false">
      <c r="A146" s="0" t="s">
        <v>239</v>
      </c>
      <c r="B146" s="0" t="s">
        <v>240</v>
      </c>
      <c r="C146" s="0" t="s">
        <v>27</v>
      </c>
      <c r="D146" s="0" t="n">
        <v>18</v>
      </c>
      <c r="E146" s="0" t="s">
        <v>109</v>
      </c>
      <c r="F146" s="0" t="s">
        <v>416</v>
      </c>
      <c r="G146" s="0" t="s">
        <v>478</v>
      </c>
      <c r="H146" s="0" t="s">
        <v>417</v>
      </c>
    </row>
    <row r="147" customFormat="false" ht="15" hidden="false" customHeight="false" outlineLevel="0" collapsed="false">
      <c r="A147" s="0" t="s">
        <v>239</v>
      </c>
      <c r="B147" s="0" t="s">
        <v>240</v>
      </c>
      <c r="C147" s="0" t="s">
        <v>36</v>
      </c>
      <c r="D147" s="0" t="n">
        <v>10</v>
      </c>
      <c r="E147" s="0" t="s">
        <v>109</v>
      </c>
      <c r="F147" s="0" t="s">
        <v>426</v>
      </c>
      <c r="G147" s="0" t="s">
        <v>479</v>
      </c>
      <c r="H147" s="0" t="s">
        <v>427</v>
      </c>
    </row>
    <row r="148" customFormat="false" ht="15" hidden="false" customHeight="false" outlineLevel="0" collapsed="false">
      <c r="A148" s="0" t="s">
        <v>242</v>
      </c>
      <c r="B148" s="0" t="s">
        <v>243</v>
      </c>
      <c r="C148" s="0" t="s">
        <v>27</v>
      </c>
      <c r="D148" s="0" t="n">
        <v>3</v>
      </c>
      <c r="E148" s="0" t="s">
        <v>109</v>
      </c>
      <c r="F148" s="0" t="s">
        <v>416</v>
      </c>
      <c r="G148" s="0" t="s">
        <v>480</v>
      </c>
      <c r="H148" s="0" t="s">
        <v>417</v>
      </c>
    </row>
    <row r="149" customFormat="false" ht="15" hidden="false" customHeight="false" outlineLevel="0" collapsed="false">
      <c r="A149" s="0" t="s">
        <v>242</v>
      </c>
      <c r="B149" s="0" t="s">
        <v>243</v>
      </c>
      <c r="C149" s="0" t="s">
        <v>28</v>
      </c>
      <c r="D149" s="0" t="n">
        <v>2</v>
      </c>
      <c r="E149" s="0" t="s">
        <v>109</v>
      </c>
      <c r="F149" s="0" t="s">
        <v>418</v>
      </c>
      <c r="G149" s="0" t="s">
        <v>480</v>
      </c>
      <c r="H149" s="0" t="s">
        <v>419</v>
      </c>
    </row>
    <row r="150" customFormat="false" ht="15" hidden="false" customHeight="false" outlineLevel="0" collapsed="false">
      <c r="A150" s="0" t="s">
        <v>242</v>
      </c>
      <c r="B150" s="0" t="s">
        <v>243</v>
      </c>
      <c r="C150" s="0" t="s">
        <v>29</v>
      </c>
      <c r="D150" s="0" t="n">
        <v>2</v>
      </c>
      <c r="E150" s="0" t="s">
        <v>109</v>
      </c>
      <c r="F150" s="0" t="s">
        <v>420</v>
      </c>
      <c r="G150" s="0" t="s">
        <v>480</v>
      </c>
      <c r="H150" s="0" t="s">
        <v>421</v>
      </c>
    </row>
    <row r="151" customFormat="false" ht="15" hidden="false" customHeight="false" outlineLevel="0" collapsed="false">
      <c r="A151" s="0" t="s">
        <v>242</v>
      </c>
      <c r="B151" s="0" t="s">
        <v>243</v>
      </c>
      <c r="C151" s="0" t="s">
        <v>30</v>
      </c>
      <c r="D151" s="0" t="n">
        <v>2</v>
      </c>
      <c r="E151" s="0" t="s">
        <v>46</v>
      </c>
      <c r="F151" s="0" t="s">
        <v>374</v>
      </c>
      <c r="G151" s="0" t="s">
        <v>481</v>
      </c>
      <c r="H151" s="0" t="s">
        <v>376</v>
      </c>
    </row>
    <row r="152" customFormat="false" ht="15" hidden="false" customHeight="false" outlineLevel="0" collapsed="false">
      <c r="A152" s="0" t="s">
        <v>242</v>
      </c>
      <c r="B152" s="0" t="s">
        <v>243</v>
      </c>
      <c r="C152" s="0" t="s">
        <v>31</v>
      </c>
      <c r="D152" s="0" t="n">
        <v>1</v>
      </c>
      <c r="E152" s="0" t="s">
        <v>109</v>
      </c>
      <c r="F152" s="0" t="s">
        <v>416</v>
      </c>
      <c r="G152" s="0" t="s">
        <v>480</v>
      </c>
      <c r="H152" s="0" t="s">
        <v>417</v>
      </c>
    </row>
    <row r="153" customFormat="false" ht="15" hidden="false" customHeight="false" outlineLevel="0" collapsed="false">
      <c r="A153" s="0" t="s">
        <v>242</v>
      </c>
      <c r="B153" s="0" t="s">
        <v>243</v>
      </c>
      <c r="C153" s="0" t="s">
        <v>32</v>
      </c>
      <c r="D153" s="0" t="n">
        <v>1</v>
      </c>
      <c r="E153" s="0" t="s">
        <v>109</v>
      </c>
      <c r="F153" s="0" t="s">
        <v>418</v>
      </c>
      <c r="G153" s="0" t="s">
        <v>480</v>
      </c>
      <c r="H153" s="0" t="s">
        <v>419</v>
      </c>
    </row>
    <row r="154" customFormat="false" ht="15" hidden="false" customHeight="false" outlineLevel="0" collapsed="false">
      <c r="A154" s="0" t="s">
        <v>242</v>
      </c>
      <c r="B154" s="0" t="s">
        <v>243</v>
      </c>
      <c r="C154" s="0" t="s">
        <v>33</v>
      </c>
      <c r="D154" s="0" t="n">
        <v>1</v>
      </c>
      <c r="E154" s="0" t="s">
        <v>109</v>
      </c>
      <c r="F154" s="0" t="s">
        <v>420</v>
      </c>
      <c r="G154" s="0" t="s">
        <v>480</v>
      </c>
      <c r="H154" s="0" t="s">
        <v>421</v>
      </c>
    </row>
    <row r="155" customFormat="false" ht="15" hidden="false" customHeight="false" outlineLevel="0" collapsed="false">
      <c r="A155" s="0" t="s">
        <v>242</v>
      </c>
      <c r="B155" s="0" t="s">
        <v>243</v>
      </c>
      <c r="C155" s="0" t="s">
        <v>34</v>
      </c>
      <c r="D155" s="0" t="n">
        <v>1</v>
      </c>
      <c r="E155" s="0" t="s">
        <v>46</v>
      </c>
      <c r="F155" s="0" t="s">
        <v>422</v>
      </c>
      <c r="G155" s="0" t="s">
        <v>482</v>
      </c>
      <c r="H155" s="0" t="s">
        <v>423</v>
      </c>
    </row>
    <row r="156" customFormat="false" ht="15" hidden="false" customHeight="false" outlineLevel="0" collapsed="false">
      <c r="A156" s="0" t="s">
        <v>242</v>
      </c>
      <c r="B156" s="0" t="s">
        <v>243</v>
      </c>
      <c r="C156" s="0" t="s">
        <v>35</v>
      </c>
      <c r="D156" s="0" t="n">
        <v>2</v>
      </c>
      <c r="E156" s="0" t="s">
        <v>109</v>
      </c>
      <c r="F156" s="0" t="s">
        <v>424</v>
      </c>
      <c r="G156" s="0" t="s">
        <v>480</v>
      </c>
      <c r="H156" s="0" t="s">
        <v>425</v>
      </c>
    </row>
    <row r="157" customFormat="false" ht="15" hidden="false" customHeight="false" outlineLevel="0" collapsed="false">
      <c r="A157" s="0" t="s">
        <v>242</v>
      </c>
      <c r="B157" s="0" t="s">
        <v>243</v>
      </c>
      <c r="C157" s="0" t="s">
        <v>36</v>
      </c>
      <c r="D157" s="0" t="n">
        <v>3</v>
      </c>
      <c r="E157" s="0" t="s">
        <v>109</v>
      </c>
      <c r="F157" s="0" t="s">
        <v>426</v>
      </c>
      <c r="G157" s="0" t="s">
        <v>480</v>
      </c>
      <c r="H157" s="0" t="s">
        <v>427</v>
      </c>
    </row>
    <row r="158" customFormat="false" ht="15" hidden="false" customHeight="false" outlineLevel="0" collapsed="false">
      <c r="A158" s="0" t="s">
        <v>244</v>
      </c>
      <c r="B158" s="0" t="s">
        <v>245</v>
      </c>
      <c r="C158" s="0" t="s">
        <v>27</v>
      </c>
      <c r="D158" s="0" t="n">
        <v>64.622</v>
      </c>
      <c r="E158" s="0" t="s">
        <v>109</v>
      </c>
      <c r="F158" s="0" t="s">
        <v>416</v>
      </c>
      <c r="G158" s="0" t="s">
        <v>483</v>
      </c>
      <c r="H158" s="0" t="s">
        <v>417</v>
      </c>
    </row>
    <row r="159" customFormat="false" ht="15" hidden="false" customHeight="false" outlineLevel="0" collapsed="false">
      <c r="A159" s="0" t="s">
        <v>244</v>
      </c>
      <c r="B159" s="0" t="s">
        <v>245</v>
      </c>
      <c r="C159" s="0" t="s">
        <v>28</v>
      </c>
      <c r="D159" s="0" t="n">
        <v>100.237</v>
      </c>
      <c r="E159" s="0" t="s">
        <v>109</v>
      </c>
      <c r="F159" s="0" t="s">
        <v>418</v>
      </c>
      <c r="G159" s="0" t="s">
        <v>484</v>
      </c>
      <c r="H159" s="0" t="s">
        <v>419</v>
      </c>
    </row>
    <row r="160" customFormat="false" ht="15" hidden="false" customHeight="false" outlineLevel="0" collapsed="false">
      <c r="A160" s="0" t="s">
        <v>244</v>
      </c>
      <c r="B160" s="0" t="s">
        <v>245</v>
      </c>
      <c r="C160" s="0" t="s">
        <v>29</v>
      </c>
      <c r="D160" s="0" t="n">
        <v>130.003</v>
      </c>
      <c r="E160" s="0" t="s">
        <v>109</v>
      </c>
      <c r="F160" s="0" t="s">
        <v>420</v>
      </c>
      <c r="G160" s="0" t="s">
        <v>484</v>
      </c>
      <c r="H160" s="0" t="s">
        <v>421</v>
      </c>
    </row>
    <row r="161" customFormat="false" ht="15" hidden="false" customHeight="false" outlineLevel="0" collapsed="false">
      <c r="A161" s="0" t="s">
        <v>244</v>
      </c>
      <c r="B161" s="0" t="s">
        <v>245</v>
      </c>
      <c r="C161" s="0" t="s">
        <v>30</v>
      </c>
      <c r="D161" s="0" t="n">
        <v>179.982</v>
      </c>
      <c r="E161" s="0" t="s">
        <v>46</v>
      </c>
      <c r="F161" s="0" t="s">
        <v>374</v>
      </c>
      <c r="G161" s="0" t="s">
        <v>485</v>
      </c>
      <c r="H161" s="0" t="s">
        <v>376</v>
      </c>
    </row>
    <row r="162" customFormat="false" ht="15" hidden="false" customHeight="false" outlineLevel="0" collapsed="false">
      <c r="A162" s="0" t="s">
        <v>244</v>
      </c>
      <c r="B162" s="0" t="s">
        <v>245</v>
      </c>
      <c r="C162" s="0" t="s">
        <v>31</v>
      </c>
      <c r="D162" s="0" t="n">
        <v>232.772</v>
      </c>
      <c r="E162" s="0" t="s">
        <v>109</v>
      </c>
      <c r="F162" s="0" t="s">
        <v>416</v>
      </c>
      <c r="G162" s="0" t="s">
        <v>484</v>
      </c>
      <c r="H162" s="0" t="s">
        <v>417</v>
      </c>
    </row>
    <row r="163" customFormat="false" ht="15" hidden="false" customHeight="false" outlineLevel="0" collapsed="false">
      <c r="A163" s="0" t="s">
        <v>244</v>
      </c>
      <c r="B163" s="0" t="s">
        <v>245</v>
      </c>
      <c r="C163" s="0" t="s">
        <v>32</v>
      </c>
      <c r="D163" s="0" t="n">
        <v>250.312</v>
      </c>
      <c r="E163" s="0" t="s">
        <v>109</v>
      </c>
      <c r="F163" s="0" t="s">
        <v>418</v>
      </c>
      <c r="G163" s="0" t="s">
        <v>484</v>
      </c>
      <c r="H163" s="0" t="s">
        <v>419</v>
      </c>
    </row>
    <row r="164" customFormat="false" ht="15" hidden="false" customHeight="false" outlineLevel="0" collapsed="false">
      <c r="A164" s="0" t="s">
        <v>244</v>
      </c>
      <c r="B164" s="0" t="s">
        <v>245</v>
      </c>
      <c r="C164" s="0" t="s">
        <v>33</v>
      </c>
      <c r="D164" s="0" t="n">
        <v>324.131</v>
      </c>
      <c r="E164" s="0" t="s">
        <v>109</v>
      </c>
      <c r="F164" s="0" t="s">
        <v>420</v>
      </c>
      <c r="G164" s="0" t="s">
        <v>484</v>
      </c>
      <c r="H164" s="0" t="s">
        <v>421</v>
      </c>
    </row>
    <row r="165" customFormat="false" ht="15" hidden="false" customHeight="false" outlineLevel="0" collapsed="false">
      <c r="A165" s="0" t="s">
        <v>244</v>
      </c>
      <c r="B165" s="0" t="s">
        <v>245</v>
      </c>
      <c r="C165" s="0" t="s">
        <v>34</v>
      </c>
      <c r="D165" s="0" t="n">
        <v>412.785</v>
      </c>
      <c r="E165" s="0" t="s">
        <v>46</v>
      </c>
      <c r="F165" s="0" t="s">
        <v>422</v>
      </c>
      <c r="G165" s="0" t="s">
        <v>486</v>
      </c>
      <c r="H165" s="0" t="s">
        <v>423</v>
      </c>
    </row>
    <row r="166" customFormat="false" ht="15" hidden="false" customHeight="false" outlineLevel="0" collapsed="false">
      <c r="A166" s="0" t="s">
        <v>244</v>
      </c>
      <c r="B166" s="0" t="s">
        <v>245</v>
      </c>
      <c r="C166" s="0" t="s">
        <v>35</v>
      </c>
      <c r="D166" s="0" t="n">
        <v>483</v>
      </c>
      <c r="E166" s="0" t="s">
        <v>109</v>
      </c>
      <c r="F166" s="0" t="s">
        <v>424</v>
      </c>
      <c r="G166" s="0" t="s">
        <v>484</v>
      </c>
      <c r="H166" s="0" t="s">
        <v>425</v>
      </c>
    </row>
    <row r="167" customFormat="false" ht="15" hidden="false" customHeight="false" outlineLevel="0" collapsed="false">
      <c r="A167" s="0" t="s">
        <v>244</v>
      </c>
      <c r="B167" s="0" t="s">
        <v>245</v>
      </c>
      <c r="C167" s="0" t="s">
        <v>36</v>
      </c>
      <c r="D167" s="0" t="n">
        <v>592</v>
      </c>
      <c r="E167" s="0" t="s">
        <v>109</v>
      </c>
      <c r="F167" s="0" t="s">
        <v>426</v>
      </c>
      <c r="G167" s="0" t="s">
        <v>484</v>
      </c>
      <c r="H167" s="0" t="s">
        <v>427</v>
      </c>
    </row>
    <row r="168" customFormat="false" ht="15" hidden="false" customHeight="false" outlineLevel="0" collapsed="false">
      <c r="A168" s="0" t="s">
        <v>246</v>
      </c>
      <c r="B168" s="0" t="s">
        <v>247</v>
      </c>
      <c r="C168" s="0" t="s">
        <v>27</v>
      </c>
      <c r="D168" s="0" t="n">
        <v>32.177</v>
      </c>
      <c r="E168" s="0" t="s">
        <v>109</v>
      </c>
      <c r="F168" s="0" t="s">
        <v>416</v>
      </c>
      <c r="G168" s="0" t="s">
        <v>484</v>
      </c>
      <c r="H168" s="0" t="s">
        <v>417</v>
      </c>
    </row>
    <row r="169" customFormat="false" ht="15" hidden="false" customHeight="false" outlineLevel="0" collapsed="false">
      <c r="A169" s="0" t="s">
        <v>246</v>
      </c>
      <c r="B169" s="0" t="s">
        <v>247</v>
      </c>
      <c r="C169" s="0" t="s">
        <v>28</v>
      </c>
      <c r="D169" s="0" t="n">
        <v>40.687</v>
      </c>
      <c r="E169" s="0" t="s">
        <v>109</v>
      </c>
      <c r="F169" s="0" t="s">
        <v>418</v>
      </c>
      <c r="G169" s="0" t="s">
        <v>484</v>
      </c>
      <c r="H169" s="0" t="s">
        <v>419</v>
      </c>
    </row>
    <row r="170" customFormat="false" ht="15" hidden="false" customHeight="false" outlineLevel="0" collapsed="false">
      <c r="A170" s="0" t="s">
        <v>246</v>
      </c>
      <c r="B170" s="0" t="s">
        <v>247</v>
      </c>
      <c r="C170" s="0" t="s">
        <v>29</v>
      </c>
      <c r="D170" s="0" t="n">
        <v>35.072</v>
      </c>
      <c r="E170" s="0" t="s">
        <v>109</v>
      </c>
      <c r="F170" s="0" t="s">
        <v>420</v>
      </c>
      <c r="G170" s="0" t="s">
        <v>484</v>
      </c>
      <c r="H170" s="0" t="s">
        <v>421</v>
      </c>
    </row>
    <row r="171" customFormat="false" ht="15" hidden="false" customHeight="false" outlineLevel="0" collapsed="false">
      <c r="A171" s="0" t="s">
        <v>246</v>
      </c>
      <c r="B171" s="0" t="s">
        <v>247</v>
      </c>
      <c r="C171" s="0" t="s">
        <v>30</v>
      </c>
      <c r="D171" s="0" t="n">
        <v>51.081</v>
      </c>
      <c r="E171" s="0" t="s">
        <v>46</v>
      </c>
      <c r="F171" s="0" t="s">
        <v>374</v>
      </c>
      <c r="G171" s="0" t="s">
        <v>487</v>
      </c>
      <c r="H171" s="0" t="s">
        <v>376</v>
      </c>
    </row>
    <row r="172" customFormat="false" ht="15" hidden="false" customHeight="false" outlineLevel="0" collapsed="false">
      <c r="A172" s="0" t="s">
        <v>246</v>
      </c>
      <c r="B172" s="0" t="s">
        <v>247</v>
      </c>
      <c r="C172" s="0" t="s">
        <v>31</v>
      </c>
      <c r="D172" s="0" t="n">
        <v>13.092</v>
      </c>
      <c r="E172" s="0" t="s">
        <v>109</v>
      </c>
      <c r="F172" s="0" t="s">
        <v>416</v>
      </c>
      <c r="G172" s="0" t="s">
        <v>484</v>
      </c>
      <c r="H172" s="0" t="s">
        <v>417</v>
      </c>
    </row>
    <row r="173" customFormat="false" ht="15" hidden="false" customHeight="false" outlineLevel="0" collapsed="false">
      <c r="A173" s="0" t="s">
        <v>246</v>
      </c>
      <c r="B173" s="0" t="s">
        <v>247</v>
      </c>
      <c r="C173" s="0" t="s">
        <v>32</v>
      </c>
      <c r="D173" s="0" t="n">
        <v>23.186</v>
      </c>
      <c r="E173" s="0" t="s">
        <v>109</v>
      </c>
      <c r="F173" s="0" t="s">
        <v>418</v>
      </c>
      <c r="G173" s="0" t="s">
        <v>484</v>
      </c>
      <c r="H173" s="0" t="s">
        <v>419</v>
      </c>
    </row>
    <row r="174" customFormat="false" ht="15" hidden="false" customHeight="false" outlineLevel="0" collapsed="false">
      <c r="A174" s="0" t="s">
        <v>246</v>
      </c>
      <c r="B174" s="0" t="s">
        <v>247</v>
      </c>
      <c r="C174" s="0" t="s">
        <v>33</v>
      </c>
      <c r="D174" s="0" t="n">
        <v>61.764</v>
      </c>
      <c r="E174" s="0" t="s">
        <v>109</v>
      </c>
      <c r="F174" s="0" t="s">
        <v>420</v>
      </c>
      <c r="G174" s="0" t="s">
        <v>484</v>
      </c>
      <c r="H174" s="0" t="s">
        <v>421</v>
      </c>
    </row>
    <row r="175" customFormat="false" ht="15" hidden="false" customHeight="false" outlineLevel="0" collapsed="false">
      <c r="A175" s="0" t="s">
        <v>246</v>
      </c>
      <c r="B175" s="0" t="s">
        <v>247</v>
      </c>
      <c r="C175" s="0" t="s">
        <v>34</v>
      </c>
      <c r="D175" s="0" t="n">
        <v>83.958</v>
      </c>
      <c r="E175" s="0" t="s">
        <v>46</v>
      </c>
      <c r="F175" s="0" t="s">
        <v>422</v>
      </c>
      <c r="G175" s="0" t="s">
        <v>488</v>
      </c>
      <c r="H175" s="0" t="s">
        <v>423</v>
      </c>
    </row>
    <row r="176" customFormat="false" ht="15" hidden="false" customHeight="false" outlineLevel="0" collapsed="false">
      <c r="A176" s="0" t="s">
        <v>246</v>
      </c>
      <c r="B176" s="0" t="s">
        <v>247</v>
      </c>
      <c r="C176" s="0" t="s">
        <v>35</v>
      </c>
      <c r="D176" s="0" t="n">
        <v>97</v>
      </c>
      <c r="E176" s="0" t="s">
        <v>109</v>
      </c>
      <c r="F176" s="0" t="s">
        <v>424</v>
      </c>
      <c r="G176" s="0" t="s">
        <v>484</v>
      </c>
      <c r="H176" s="0" t="s">
        <v>425</v>
      </c>
    </row>
    <row r="177" customFormat="false" ht="15" hidden="false" customHeight="false" outlineLevel="0" collapsed="false">
      <c r="A177" s="0" t="s">
        <v>246</v>
      </c>
      <c r="B177" s="0" t="s">
        <v>247</v>
      </c>
      <c r="C177" s="0" t="s">
        <v>36</v>
      </c>
      <c r="D177" s="0" t="n">
        <v>79</v>
      </c>
      <c r="E177" s="0" t="s">
        <v>109</v>
      </c>
      <c r="F177" s="0" t="s">
        <v>426</v>
      </c>
      <c r="G177" s="0" t="s">
        <v>484</v>
      </c>
      <c r="H177" s="0" t="s">
        <v>427</v>
      </c>
    </row>
    <row r="178" customFormat="false" ht="15" hidden="false" customHeight="false" outlineLevel="0" collapsed="false">
      <c r="A178" s="0" t="s">
        <v>248</v>
      </c>
      <c r="B178" s="0" t="s">
        <v>249</v>
      </c>
      <c r="C178" s="0" t="s">
        <v>26</v>
      </c>
      <c r="D178" s="0" t="n">
        <v>1555.049</v>
      </c>
      <c r="E178" s="0" t="s">
        <v>109</v>
      </c>
      <c r="F178" s="0" t="s">
        <v>374</v>
      </c>
      <c r="G178" s="0" t="s">
        <v>489</v>
      </c>
      <c r="H178" s="0" t="s">
        <v>376</v>
      </c>
    </row>
    <row r="179" customFormat="false" ht="15" hidden="false" customHeight="false" outlineLevel="0" collapsed="false">
      <c r="A179" s="0" t="s">
        <v>248</v>
      </c>
      <c r="B179" s="0" t="s">
        <v>249</v>
      </c>
      <c r="C179" s="0" t="s">
        <v>30</v>
      </c>
      <c r="D179" s="0" t="n">
        <v>8033.477</v>
      </c>
      <c r="E179" s="0" t="s">
        <v>109</v>
      </c>
      <c r="F179" s="0" t="s">
        <v>374</v>
      </c>
      <c r="G179" s="0" t="s">
        <v>489</v>
      </c>
      <c r="H179" s="0" t="s">
        <v>376</v>
      </c>
    </row>
    <row r="180" customFormat="false" ht="15" hidden="false" customHeight="false" outlineLevel="0" collapsed="false">
      <c r="A180" s="0" t="s">
        <v>248</v>
      </c>
      <c r="B180" s="0" t="s">
        <v>249</v>
      </c>
      <c r="C180" s="0" t="s">
        <v>31</v>
      </c>
      <c r="D180" s="0" t="n">
        <v>8807.921</v>
      </c>
      <c r="E180" s="0" t="s">
        <v>109</v>
      </c>
      <c r="F180" s="0" t="s">
        <v>416</v>
      </c>
      <c r="G180" s="0" t="s">
        <v>489</v>
      </c>
      <c r="H180" s="0" t="s">
        <v>417</v>
      </c>
    </row>
    <row r="181" customFormat="false" ht="15" hidden="false" customHeight="false" outlineLevel="0" collapsed="false">
      <c r="A181" s="0" t="s">
        <v>248</v>
      </c>
      <c r="B181" s="0" t="s">
        <v>249</v>
      </c>
      <c r="C181" s="0" t="s">
        <v>32</v>
      </c>
      <c r="D181" s="0" t="n">
        <v>11171.485</v>
      </c>
      <c r="E181" s="0" t="s">
        <v>109</v>
      </c>
      <c r="F181" s="0" t="s">
        <v>418</v>
      </c>
      <c r="G181" s="0" t="s">
        <v>489</v>
      </c>
      <c r="H181" s="0" t="s">
        <v>419</v>
      </c>
    </row>
    <row r="182" customFormat="false" ht="15" hidden="false" customHeight="false" outlineLevel="0" collapsed="false">
      <c r="A182" s="0" t="s">
        <v>248</v>
      </c>
      <c r="B182" s="0" t="s">
        <v>249</v>
      </c>
      <c r="C182" s="0" t="s">
        <v>33</v>
      </c>
      <c r="D182" s="0" t="n">
        <v>14205.268</v>
      </c>
      <c r="E182" s="0" t="s">
        <v>109</v>
      </c>
      <c r="F182" s="0" t="s">
        <v>420</v>
      </c>
      <c r="G182" s="0" t="s">
        <v>489</v>
      </c>
      <c r="H182" s="0" t="s">
        <v>421</v>
      </c>
    </row>
    <row r="183" customFormat="false" ht="15" hidden="false" customHeight="false" outlineLevel="0" collapsed="false">
      <c r="A183" s="0" t="s">
        <v>248</v>
      </c>
      <c r="B183" s="0" t="s">
        <v>249</v>
      </c>
      <c r="C183" s="0" t="s">
        <v>34</v>
      </c>
      <c r="D183" s="0" t="n">
        <v>21615</v>
      </c>
      <c r="E183" s="0" t="s">
        <v>109</v>
      </c>
      <c r="F183" s="0" t="s">
        <v>422</v>
      </c>
      <c r="G183" s="0" t="s">
        <v>489</v>
      </c>
      <c r="H183" s="0" t="s">
        <v>423</v>
      </c>
    </row>
    <row r="184" customFormat="false" ht="15" hidden="false" customHeight="false" outlineLevel="0" collapsed="false">
      <c r="A184" s="0" t="s">
        <v>248</v>
      </c>
      <c r="B184" s="0" t="s">
        <v>249</v>
      </c>
      <c r="C184" s="0" t="s">
        <v>35</v>
      </c>
      <c r="D184" s="0" t="n">
        <v>25149</v>
      </c>
      <c r="E184" s="0" t="s">
        <v>109</v>
      </c>
      <c r="F184" s="0" t="s">
        <v>424</v>
      </c>
      <c r="G184" s="0" t="s">
        <v>489</v>
      </c>
      <c r="H184" s="0" t="s">
        <v>425</v>
      </c>
    </row>
    <row r="185" customFormat="false" ht="15" hidden="false" customHeight="false" outlineLevel="0" collapsed="false">
      <c r="A185" s="0" t="s">
        <v>248</v>
      </c>
      <c r="B185" s="0" t="s">
        <v>249</v>
      </c>
      <c r="C185" s="0" t="s">
        <v>36</v>
      </c>
      <c r="D185" s="0" t="n">
        <v>35551</v>
      </c>
      <c r="E185" s="0" t="s">
        <v>109</v>
      </c>
      <c r="F185" s="0" t="s">
        <v>426</v>
      </c>
      <c r="G185" s="0" t="s">
        <v>489</v>
      </c>
      <c r="H185" s="0" t="s">
        <v>427</v>
      </c>
    </row>
    <row r="186" customFormat="false" ht="15" hidden="false" customHeight="false" outlineLevel="0" collapsed="false">
      <c r="A186" s="0" t="s">
        <v>250</v>
      </c>
      <c r="B186" s="0" t="s">
        <v>251</v>
      </c>
      <c r="C186" s="0" t="s">
        <v>26</v>
      </c>
      <c r="D186" s="0" t="n">
        <v>14.9</v>
      </c>
      <c r="E186" s="0" t="s">
        <v>109</v>
      </c>
      <c r="F186" s="0" t="s">
        <v>455</v>
      </c>
      <c r="G186" s="0" t="s">
        <v>490</v>
      </c>
      <c r="H186" s="0" t="s">
        <v>457</v>
      </c>
    </row>
    <row r="187" customFormat="false" ht="15" hidden="false" customHeight="false" outlineLevel="0" collapsed="false">
      <c r="A187" s="0" t="s">
        <v>250</v>
      </c>
      <c r="B187" s="0" t="s">
        <v>251</v>
      </c>
      <c r="C187" s="0" t="s">
        <v>30</v>
      </c>
      <c r="D187" s="0" t="n">
        <v>12.2</v>
      </c>
      <c r="E187" s="0" t="s">
        <v>109</v>
      </c>
      <c r="F187" s="0" t="s">
        <v>455</v>
      </c>
      <c r="G187" s="0" t="s">
        <v>491</v>
      </c>
      <c r="H187" s="0" t="s">
        <v>457</v>
      </c>
    </row>
    <row r="188" customFormat="false" ht="15" hidden="false" customHeight="false" outlineLevel="0" collapsed="false">
      <c r="A188" s="0" t="s">
        <v>250</v>
      </c>
      <c r="B188" s="0" t="s">
        <v>251</v>
      </c>
      <c r="C188" s="0" t="s">
        <v>34</v>
      </c>
      <c r="D188" s="0" t="n">
        <v>9</v>
      </c>
      <c r="E188" s="0" t="s">
        <v>109</v>
      </c>
      <c r="F188" s="0" t="s">
        <v>455</v>
      </c>
      <c r="G188" s="0" t="s">
        <v>492</v>
      </c>
      <c r="H188" s="0" t="s">
        <v>457</v>
      </c>
    </row>
    <row r="189" customFormat="false" ht="15" hidden="false" customHeight="false" outlineLevel="0" collapsed="false">
      <c r="A189" s="0" t="s">
        <v>250</v>
      </c>
      <c r="B189" s="0" t="s">
        <v>251</v>
      </c>
      <c r="C189" s="0" t="s">
        <v>36</v>
      </c>
      <c r="D189" s="0" t="n">
        <v>8.3</v>
      </c>
      <c r="E189" s="0" t="s">
        <v>109</v>
      </c>
      <c r="F189" s="0" t="s">
        <v>455</v>
      </c>
      <c r="G189" s="0" t="s">
        <v>493</v>
      </c>
      <c r="H189" s="0" t="s">
        <v>457</v>
      </c>
    </row>
    <row r="190" customFormat="false" ht="15" hidden="false" customHeight="false" outlineLevel="0" collapsed="false">
      <c r="A190" s="0" t="s">
        <v>253</v>
      </c>
      <c r="B190" s="0" t="s">
        <v>254</v>
      </c>
      <c r="C190" s="0" t="s">
        <v>31</v>
      </c>
      <c r="D190" s="0" t="n">
        <v>1858</v>
      </c>
      <c r="E190" s="0" t="s">
        <v>109</v>
      </c>
      <c r="F190" s="0" t="s">
        <v>494</v>
      </c>
      <c r="G190" s="0" t="s">
        <v>495</v>
      </c>
      <c r="H190" s="0" t="s">
        <v>496</v>
      </c>
    </row>
    <row r="191" customFormat="false" ht="15" hidden="false" customHeight="false" outlineLevel="0" collapsed="false">
      <c r="A191" s="0" t="s">
        <v>253</v>
      </c>
      <c r="B191" s="0" t="s">
        <v>254</v>
      </c>
      <c r="C191" s="0" t="s">
        <v>35</v>
      </c>
      <c r="D191" s="0" t="n">
        <v>6786</v>
      </c>
      <c r="E191" s="0" t="s">
        <v>109</v>
      </c>
      <c r="F191" s="0" t="s">
        <v>494</v>
      </c>
      <c r="G191" s="0" t="s">
        <v>497</v>
      </c>
      <c r="H191" s="0" t="s">
        <v>496</v>
      </c>
    </row>
    <row r="192" customFormat="false" ht="15" hidden="false" customHeight="false" outlineLevel="0" collapsed="false">
      <c r="A192" s="0" t="s">
        <v>253</v>
      </c>
      <c r="B192" s="0" t="s">
        <v>254</v>
      </c>
      <c r="C192" s="0" t="s">
        <v>36</v>
      </c>
      <c r="D192" s="0" t="n">
        <v>9400</v>
      </c>
      <c r="E192" s="0" t="s">
        <v>109</v>
      </c>
      <c r="F192" s="0" t="s">
        <v>455</v>
      </c>
      <c r="G192" s="0" t="s">
        <v>498</v>
      </c>
      <c r="H192" s="0" t="s">
        <v>457</v>
      </c>
    </row>
    <row r="193" customFormat="false" ht="15" hidden="false" customHeight="false" outlineLevel="0" collapsed="false">
      <c r="A193" s="0" t="s">
        <v>256</v>
      </c>
      <c r="B193" s="0" t="s">
        <v>257</v>
      </c>
      <c r="C193" s="0" t="s">
        <v>27</v>
      </c>
      <c r="D193" s="0" t="n">
        <v>91</v>
      </c>
      <c r="E193" s="0" t="s">
        <v>109</v>
      </c>
      <c r="G193" s="0" t="s">
        <v>499</v>
      </c>
    </row>
    <row r="194" customFormat="false" ht="15" hidden="false" customHeight="false" outlineLevel="0" collapsed="false">
      <c r="A194" s="0" t="s">
        <v>256</v>
      </c>
      <c r="B194" s="0" t="s">
        <v>257</v>
      </c>
      <c r="C194" s="0" t="s">
        <v>28</v>
      </c>
      <c r="D194" s="0" t="n">
        <v>91</v>
      </c>
      <c r="E194" s="0" t="s">
        <v>109</v>
      </c>
      <c r="G194" s="0" t="s">
        <v>499</v>
      </c>
    </row>
    <row r="195" customFormat="false" ht="15" hidden="false" customHeight="false" outlineLevel="0" collapsed="false">
      <c r="A195" s="0" t="s">
        <v>256</v>
      </c>
      <c r="B195" s="0" t="s">
        <v>257</v>
      </c>
      <c r="C195" s="0" t="s">
        <v>29</v>
      </c>
      <c r="D195" s="0" t="n">
        <v>92</v>
      </c>
      <c r="E195" s="0" t="s">
        <v>109</v>
      </c>
      <c r="G195" s="0" t="s">
        <v>499</v>
      </c>
    </row>
    <row r="196" customFormat="false" ht="15" hidden="false" customHeight="false" outlineLevel="0" collapsed="false">
      <c r="A196" s="0" t="s">
        <v>256</v>
      </c>
      <c r="B196" s="0" t="s">
        <v>257</v>
      </c>
      <c r="C196" s="0" t="s">
        <v>30</v>
      </c>
      <c r="D196" s="0" t="n">
        <v>92</v>
      </c>
      <c r="E196" s="0" t="s">
        <v>109</v>
      </c>
      <c r="G196" s="0" t="s">
        <v>499</v>
      </c>
    </row>
    <row r="197" customFormat="false" ht="15" hidden="false" customHeight="false" outlineLevel="0" collapsed="false">
      <c r="A197" s="0" t="s">
        <v>256</v>
      </c>
      <c r="B197" s="0" t="s">
        <v>257</v>
      </c>
      <c r="C197" s="0" t="s">
        <v>31</v>
      </c>
      <c r="D197" s="0" t="n">
        <v>90</v>
      </c>
      <c r="E197" s="0" t="s">
        <v>109</v>
      </c>
      <c r="G197" s="0" t="s">
        <v>499</v>
      </c>
    </row>
    <row r="198" customFormat="false" ht="15" hidden="false" customHeight="false" outlineLevel="0" collapsed="false">
      <c r="A198" s="0" t="s">
        <v>256</v>
      </c>
      <c r="B198" s="0" t="s">
        <v>257</v>
      </c>
      <c r="C198" s="0" t="s">
        <v>32</v>
      </c>
      <c r="D198" s="0" t="n">
        <v>91</v>
      </c>
      <c r="E198" s="0" t="s">
        <v>109</v>
      </c>
      <c r="G198" s="0" t="s">
        <v>499</v>
      </c>
    </row>
    <row r="199" customFormat="false" ht="15" hidden="false" customHeight="false" outlineLevel="0" collapsed="false">
      <c r="A199" s="0" t="s">
        <v>256</v>
      </c>
      <c r="B199" s="0" t="s">
        <v>257</v>
      </c>
      <c r="C199" s="0" t="s">
        <v>33</v>
      </c>
      <c r="D199" s="0" t="n">
        <v>92</v>
      </c>
      <c r="E199" s="0" t="s">
        <v>109</v>
      </c>
      <c r="G199" s="0" t="s">
        <v>499</v>
      </c>
    </row>
    <row r="200" customFormat="false" ht="15" hidden="false" customHeight="false" outlineLevel="0" collapsed="false">
      <c r="A200" s="0" t="s">
        <v>256</v>
      </c>
      <c r="B200" s="0" t="s">
        <v>257</v>
      </c>
      <c r="C200" s="0" t="s">
        <v>34</v>
      </c>
      <c r="D200" s="0" t="n">
        <v>92</v>
      </c>
      <c r="E200" s="0" t="s">
        <v>109</v>
      </c>
      <c r="G200" s="0" t="s">
        <v>499</v>
      </c>
    </row>
    <row r="201" customFormat="false" ht="15" hidden="false" customHeight="false" outlineLevel="0" collapsed="false">
      <c r="A201" s="0" t="s">
        <v>256</v>
      </c>
      <c r="B201" s="0" t="s">
        <v>257</v>
      </c>
      <c r="C201" s="0" t="s">
        <v>35</v>
      </c>
      <c r="D201" s="0" t="n">
        <v>90</v>
      </c>
      <c r="E201" s="0" t="s">
        <v>109</v>
      </c>
      <c r="G201" s="0" t="s">
        <v>499</v>
      </c>
    </row>
    <row r="202" customFormat="false" ht="15" hidden="false" customHeight="false" outlineLevel="0" collapsed="false">
      <c r="A202" s="0" t="s">
        <v>256</v>
      </c>
      <c r="B202" s="0" t="s">
        <v>257</v>
      </c>
      <c r="C202" s="0" t="s">
        <v>36</v>
      </c>
      <c r="D202" s="0" t="n">
        <v>91</v>
      </c>
      <c r="E202" s="0" t="s">
        <v>109</v>
      </c>
      <c r="G202" s="0" t="s">
        <v>499</v>
      </c>
    </row>
    <row r="203" customFormat="false" ht="15" hidden="false" customHeight="false" outlineLevel="0" collapsed="false">
      <c r="A203" s="0" t="s">
        <v>259</v>
      </c>
      <c r="B203" s="0" t="s">
        <v>260</v>
      </c>
      <c r="C203" s="0" t="s">
        <v>26</v>
      </c>
      <c r="D203" s="0" t="n">
        <v>10</v>
      </c>
      <c r="E203" s="0" t="s">
        <v>109</v>
      </c>
      <c r="F203" s="0" t="s">
        <v>374</v>
      </c>
      <c r="G203" s="0" t="s">
        <v>500</v>
      </c>
      <c r="H203" s="0" t="s">
        <v>376</v>
      </c>
    </row>
    <row r="204" customFormat="false" ht="15" hidden="false" customHeight="false" outlineLevel="0" collapsed="false">
      <c r="A204" s="0" t="s">
        <v>259</v>
      </c>
      <c r="B204" s="0" t="s">
        <v>260</v>
      </c>
      <c r="C204" s="0" t="s">
        <v>30</v>
      </c>
      <c r="D204" s="0" t="n">
        <v>32</v>
      </c>
      <c r="E204" s="0" t="s">
        <v>109</v>
      </c>
      <c r="F204" s="0" t="s">
        <v>374</v>
      </c>
      <c r="G204" s="0" t="s">
        <v>500</v>
      </c>
      <c r="H204" s="0" t="s">
        <v>376</v>
      </c>
    </row>
    <row r="205" customFormat="false" ht="15" hidden="false" customHeight="false" outlineLevel="0" collapsed="false">
      <c r="A205" s="0" t="s">
        <v>259</v>
      </c>
      <c r="B205" s="0" t="s">
        <v>260</v>
      </c>
      <c r="C205" s="0" t="s">
        <v>34</v>
      </c>
      <c r="D205" s="0" t="n">
        <v>43</v>
      </c>
      <c r="E205" s="0" t="s">
        <v>109</v>
      </c>
      <c r="F205" s="0" t="s">
        <v>422</v>
      </c>
      <c r="G205" s="0" t="s">
        <v>500</v>
      </c>
      <c r="H205" s="0" t="s">
        <v>423</v>
      </c>
    </row>
    <row r="206" customFormat="false" ht="15" hidden="false" customHeight="false" outlineLevel="0" collapsed="false">
      <c r="A206" s="0" t="s">
        <v>259</v>
      </c>
      <c r="B206" s="0" t="s">
        <v>260</v>
      </c>
      <c r="C206" s="0" t="s">
        <v>35</v>
      </c>
      <c r="D206" s="0" t="n">
        <v>49</v>
      </c>
      <c r="E206" s="0" t="s">
        <v>109</v>
      </c>
      <c r="F206" s="0" t="s">
        <v>494</v>
      </c>
      <c r="G206" s="0" t="s">
        <v>500</v>
      </c>
      <c r="H206" s="0" t="s">
        <v>496</v>
      </c>
    </row>
    <row r="207" customFormat="false" ht="15" hidden="false" customHeight="false" outlineLevel="0" collapsed="false">
      <c r="A207" s="0" t="s">
        <v>259</v>
      </c>
      <c r="B207" s="0" t="s">
        <v>260</v>
      </c>
      <c r="C207" s="0" t="s">
        <v>36</v>
      </c>
      <c r="D207" s="0" t="n">
        <v>51</v>
      </c>
      <c r="E207" s="0" t="s">
        <v>109</v>
      </c>
      <c r="F207" s="0" t="s">
        <v>455</v>
      </c>
      <c r="G207" s="0" t="s">
        <v>500</v>
      </c>
      <c r="H207" s="0" t="s">
        <v>457</v>
      </c>
    </row>
    <row r="208" customFormat="false" ht="15" hidden="false" customHeight="false" outlineLevel="0" collapsed="false">
      <c r="A208" s="0" t="s">
        <v>263</v>
      </c>
      <c r="B208" s="0" t="s">
        <v>264</v>
      </c>
      <c r="C208" s="0" t="s">
        <v>501</v>
      </c>
      <c r="D208" s="0" t="n">
        <v>538</v>
      </c>
      <c r="E208" s="0" t="s">
        <v>50</v>
      </c>
      <c r="F208" s="0" t="s">
        <v>502</v>
      </c>
      <c r="G208" s="0" t="s">
        <v>503</v>
      </c>
      <c r="H208" s="0" t="s">
        <v>448</v>
      </c>
    </row>
    <row r="209" customFormat="false" ht="15" hidden="false" customHeight="false" outlineLevel="0" collapsed="false">
      <c r="A209" s="0" t="s">
        <v>267</v>
      </c>
      <c r="B209" s="0" t="s">
        <v>268</v>
      </c>
      <c r="C209" s="0" t="s">
        <v>501</v>
      </c>
      <c r="D209" s="0" t="n">
        <v>491</v>
      </c>
      <c r="E209" s="0" t="s">
        <v>50</v>
      </c>
      <c r="F209" s="0" t="s">
        <v>502</v>
      </c>
      <c r="G209" s="0" t="s">
        <v>504</v>
      </c>
      <c r="H209" s="0" t="s">
        <v>448</v>
      </c>
    </row>
    <row r="210" customFormat="false" ht="15" hidden="false" customHeight="false" outlineLevel="0" collapsed="false">
      <c r="A210" s="0" t="s">
        <v>270</v>
      </c>
      <c r="B210" s="0" t="s">
        <v>271</v>
      </c>
      <c r="C210" s="0" t="s">
        <v>501</v>
      </c>
      <c r="D210" s="0" t="n">
        <v>713</v>
      </c>
      <c r="E210" s="0" t="s">
        <v>50</v>
      </c>
      <c r="F210" s="0" t="s">
        <v>502</v>
      </c>
      <c r="G210" s="0" t="s">
        <v>505</v>
      </c>
      <c r="H210" s="0" t="s">
        <v>448</v>
      </c>
    </row>
    <row r="211" customFormat="false" ht="15" hidden="false" customHeight="false" outlineLevel="0" collapsed="false">
      <c r="A211" s="0" t="s">
        <v>506</v>
      </c>
      <c r="B211" s="0" t="s">
        <v>507</v>
      </c>
      <c r="C211" s="0" t="s">
        <v>508</v>
      </c>
      <c r="D211" s="0" t="s">
        <v>509</v>
      </c>
      <c r="E211" s="0" t="s">
        <v>109</v>
      </c>
      <c r="F211" s="0" t="s">
        <v>374</v>
      </c>
      <c r="G211" s="0" t="s">
        <v>510</v>
      </c>
      <c r="H211" s="0" t="s">
        <v>376</v>
      </c>
    </row>
    <row r="212" customFormat="false" ht="15" hidden="false" customHeight="false" outlineLevel="0" collapsed="false">
      <c r="A212" s="0" t="s">
        <v>506</v>
      </c>
      <c r="B212" s="0" t="s">
        <v>511</v>
      </c>
      <c r="C212" s="0" t="s">
        <v>508</v>
      </c>
      <c r="D212" s="0" t="s">
        <v>512</v>
      </c>
      <c r="E212" s="0" t="s">
        <v>109</v>
      </c>
      <c r="F212" s="0" t="s">
        <v>374</v>
      </c>
      <c r="G212" s="0" t="s">
        <v>510</v>
      </c>
      <c r="H212" s="0" t="s">
        <v>376</v>
      </c>
    </row>
    <row r="213" customFormat="false" ht="15" hidden="false" customHeight="false" outlineLevel="0" collapsed="false">
      <c r="A213" s="0" t="s">
        <v>506</v>
      </c>
      <c r="B213" s="0" t="s">
        <v>513</v>
      </c>
      <c r="C213" s="0" t="s">
        <v>508</v>
      </c>
      <c r="D213" s="0" t="s">
        <v>514</v>
      </c>
      <c r="E213" s="0" t="s">
        <v>109</v>
      </c>
      <c r="F213" s="0" t="s">
        <v>374</v>
      </c>
      <c r="G213" s="0" t="s">
        <v>510</v>
      </c>
      <c r="H213" s="0" t="s">
        <v>376</v>
      </c>
    </row>
    <row r="214" customFormat="false" ht="15" hidden="false" customHeight="false" outlineLevel="0" collapsed="false">
      <c r="A214" s="0" t="s">
        <v>506</v>
      </c>
      <c r="B214" s="0" t="s">
        <v>513</v>
      </c>
      <c r="C214" s="0" t="s">
        <v>515</v>
      </c>
      <c r="D214" s="0" t="s">
        <v>516</v>
      </c>
      <c r="E214" s="0" t="s">
        <v>109</v>
      </c>
      <c r="F214" s="0" t="s">
        <v>374</v>
      </c>
      <c r="G214" s="0" t="s">
        <v>510</v>
      </c>
      <c r="H214" s="0" t="s">
        <v>376</v>
      </c>
    </row>
    <row r="215" customFormat="false" ht="15" hidden="false" customHeight="false" outlineLevel="0" collapsed="false">
      <c r="A215" s="0" t="s">
        <v>506</v>
      </c>
      <c r="B215" s="0" t="s">
        <v>513</v>
      </c>
      <c r="C215" s="0" t="s">
        <v>517</v>
      </c>
      <c r="D215" s="0" t="s">
        <v>518</v>
      </c>
      <c r="E215" s="0" t="s">
        <v>109</v>
      </c>
      <c r="F215" s="0" t="s">
        <v>416</v>
      </c>
      <c r="G215" s="0" t="s">
        <v>510</v>
      </c>
      <c r="H215" s="0" t="s">
        <v>417</v>
      </c>
    </row>
    <row r="216" customFormat="false" ht="15" hidden="false" customHeight="false" outlineLevel="0" collapsed="false">
      <c r="A216" s="0" t="s">
        <v>506</v>
      </c>
      <c r="B216" s="0" t="s">
        <v>513</v>
      </c>
      <c r="C216" s="0" t="s">
        <v>519</v>
      </c>
      <c r="D216" s="0" t="s">
        <v>520</v>
      </c>
      <c r="E216" s="0" t="s">
        <v>109</v>
      </c>
      <c r="F216" s="0" t="s">
        <v>418</v>
      </c>
      <c r="G216" s="0" t="s">
        <v>510</v>
      </c>
      <c r="H216" s="0" t="s">
        <v>419</v>
      </c>
    </row>
    <row r="217" customFormat="false" ht="15" hidden="false" customHeight="false" outlineLevel="0" collapsed="false">
      <c r="A217" s="0" t="s">
        <v>506</v>
      </c>
      <c r="B217" s="0" t="s">
        <v>513</v>
      </c>
      <c r="C217" s="0" t="s">
        <v>521</v>
      </c>
      <c r="D217" s="0" t="s">
        <v>522</v>
      </c>
      <c r="E217" s="0" t="s">
        <v>109</v>
      </c>
      <c r="F217" s="0" t="s">
        <v>420</v>
      </c>
      <c r="G217" s="0" t="s">
        <v>510</v>
      </c>
      <c r="H217" s="0" t="s">
        <v>421</v>
      </c>
    </row>
    <row r="218" customFormat="false" ht="15" hidden="false" customHeight="false" outlineLevel="0" collapsed="false">
      <c r="A218" s="0" t="s">
        <v>506</v>
      </c>
      <c r="B218" s="0" t="s">
        <v>513</v>
      </c>
      <c r="C218" s="0" t="s">
        <v>523</v>
      </c>
      <c r="D218" s="0" t="s">
        <v>524</v>
      </c>
      <c r="E218" s="0" t="s">
        <v>109</v>
      </c>
      <c r="F218" s="0" t="s">
        <v>422</v>
      </c>
      <c r="G218" s="0" t="s">
        <v>510</v>
      </c>
      <c r="H218" s="0" t="s">
        <v>423</v>
      </c>
    </row>
    <row r="219" customFormat="false" ht="15" hidden="false" customHeight="false" outlineLevel="0" collapsed="false">
      <c r="A219" s="0" t="s">
        <v>506</v>
      </c>
      <c r="B219" s="0" t="s">
        <v>513</v>
      </c>
      <c r="C219" s="0" t="s">
        <v>525</v>
      </c>
      <c r="D219" s="0" t="s">
        <v>526</v>
      </c>
      <c r="E219" s="0" t="s">
        <v>109</v>
      </c>
      <c r="F219" s="0" t="s">
        <v>424</v>
      </c>
      <c r="G219" s="0" t="s">
        <v>510</v>
      </c>
      <c r="H219" s="0" t="s">
        <v>425</v>
      </c>
    </row>
    <row r="220" customFormat="false" ht="15" hidden="false" customHeight="false" outlineLevel="0" collapsed="false">
      <c r="A220" s="0" t="s">
        <v>506</v>
      </c>
      <c r="B220" s="0" t="s">
        <v>513</v>
      </c>
      <c r="C220" s="0" t="s">
        <v>527</v>
      </c>
      <c r="D220" s="0" t="s">
        <v>528</v>
      </c>
      <c r="E220" s="0" t="s">
        <v>109</v>
      </c>
      <c r="F220" s="0" t="s">
        <v>426</v>
      </c>
      <c r="G220" s="0" t="s">
        <v>510</v>
      </c>
      <c r="H220" s="0" t="s">
        <v>427</v>
      </c>
    </row>
    <row r="221" customFormat="false" ht="15" hidden="false" customHeight="false" outlineLevel="0" collapsed="false">
      <c r="A221" s="0" t="s">
        <v>506</v>
      </c>
      <c r="B221" s="0" t="s">
        <v>529</v>
      </c>
      <c r="C221" s="0" t="s">
        <v>515</v>
      </c>
      <c r="D221" s="0" t="s">
        <v>530</v>
      </c>
      <c r="E221" s="0" t="s">
        <v>109</v>
      </c>
      <c r="F221" s="0" t="s">
        <v>374</v>
      </c>
      <c r="G221" s="0" t="s">
        <v>510</v>
      </c>
      <c r="H221" s="0" t="s">
        <v>376</v>
      </c>
    </row>
    <row r="222" customFormat="false" ht="15" hidden="false" customHeight="false" outlineLevel="0" collapsed="false">
      <c r="A222" s="0" t="s">
        <v>506</v>
      </c>
      <c r="B222" s="0" t="s">
        <v>529</v>
      </c>
      <c r="C222" s="0" t="s">
        <v>517</v>
      </c>
      <c r="D222" s="0" t="s">
        <v>531</v>
      </c>
      <c r="E222" s="0" t="s">
        <v>109</v>
      </c>
      <c r="F222" s="0" t="s">
        <v>416</v>
      </c>
      <c r="G222" s="0" t="s">
        <v>510</v>
      </c>
      <c r="H222" s="0" t="s">
        <v>417</v>
      </c>
    </row>
    <row r="223" customFormat="false" ht="15" hidden="false" customHeight="false" outlineLevel="0" collapsed="false">
      <c r="A223" s="0" t="s">
        <v>506</v>
      </c>
      <c r="B223" s="0" t="s">
        <v>529</v>
      </c>
      <c r="C223" s="0" t="s">
        <v>519</v>
      </c>
      <c r="D223" s="0" t="s">
        <v>532</v>
      </c>
      <c r="E223" s="0" t="s">
        <v>109</v>
      </c>
      <c r="F223" s="0" t="s">
        <v>418</v>
      </c>
      <c r="G223" s="0" t="s">
        <v>510</v>
      </c>
      <c r="H223" s="0" t="s">
        <v>419</v>
      </c>
    </row>
    <row r="224" customFormat="false" ht="15" hidden="false" customHeight="false" outlineLevel="0" collapsed="false">
      <c r="A224" s="0" t="s">
        <v>506</v>
      </c>
      <c r="B224" s="0" t="s">
        <v>529</v>
      </c>
      <c r="C224" s="0" t="s">
        <v>521</v>
      </c>
      <c r="D224" s="0" t="s">
        <v>533</v>
      </c>
      <c r="E224" s="0" t="s">
        <v>109</v>
      </c>
      <c r="F224" s="0" t="s">
        <v>420</v>
      </c>
      <c r="G224" s="0" t="s">
        <v>510</v>
      </c>
      <c r="H224" s="0" t="s">
        <v>421</v>
      </c>
    </row>
    <row r="225" customFormat="false" ht="15" hidden="false" customHeight="false" outlineLevel="0" collapsed="false">
      <c r="A225" s="0" t="s">
        <v>506</v>
      </c>
      <c r="B225" s="0" t="s">
        <v>529</v>
      </c>
      <c r="C225" s="0" t="s">
        <v>523</v>
      </c>
      <c r="D225" s="0" t="s">
        <v>534</v>
      </c>
      <c r="E225" s="0" t="s">
        <v>109</v>
      </c>
      <c r="F225" s="0" t="s">
        <v>422</v>
      </c>
      <c r="G225" s="0" t="s">
        <v>510</v>
      </c>
      <c r="H225" s="0" t="s">
        <v>423</v>
      </c>
    </row>
    <row r="226" customFormat="false" ht="15" hidden="false" customHeight="false" outlineLevel="0" collapsed="false">
      <c r="A226" s="0" t="s">
        <v>506</v>
      </c>
      <c r="B226" s="0" t="s">
        <v>529</v>
      </c>
      <c r="C226" s="0" t="s">
        <v>525</v>
      </c>
      <c r="D226" s="0" t="s">
        <v>535</v>
      </c>
      <c r="E226" s="0" t="s">
        <v>109</v>
      </c>
      <c r="F226" s="0" t="s">
        <v>424</v>
      </c>
      <c r="G226" s="0" t="s">
        <v>510</v>
      </c>
      <c r="H226" s="0" t="s">
        <v>425</v>
      </c>
    </row>
    <row r="227" customFormat="false" ht="15" hidden="false" customHeight="false" outlineLevel="0" collapsed="false">
      <c r="A227" s="0" t="s">
        <v>506</v>
      </c>
      <c r="B227" s="0" t="s">
        <v>529</v>
      </c>
      <c r="C227" s="0" t="s">
        <v>527</v>
      </c>
      <c r="D227" s="0" t="s">
        <v>536</v>
      </c>
      <c r="E227" s="0" t="s">
        <v>109</v>
      </c>
      <c r="F227" s="0" t="s">
        <v>426</v>
      </c>
      <c r="G227" s="0" t="s">
        <v>510</v>
      </c>
      <c r="H227" s="0" t="s">
        <v>427</v>
      </c>
    </row>
    <row r="228" customFormat="false" ht="15" hidden="false" customHeight="false" outlineLevel="0" collapsed="false">
      <c r="A228" s="0" t="s">
        <v>506</v>
      </c>
      <c r="B228" s="0" t="s">
        <v>537</v>
      </c>
      <c r="C228" s="0" t="s">
        <v>521</v>
      </c>
      <c r="D228" s="0" t="s">
        <v>538</v>
      </c>
      <c r="E228" s="0" t="s">
        <v>109</v>
      </c>
      <c r="F228" s="0" t="s">
        <v>420</v>
      </c>
      <c r="G228" s="0" t="s">
        <v>510</v>
      </c>
      <c r="H228" s="0" t="s">
        <v>421</v>
      </c>
    </row>
    <row r="229" customFormat="false" ht="15" hidden="false" customHeight="false" outlineLevel="0" collapsed="false">
      <c r="A229" s="0" t="s">
        <v>506</v>
      </c>
      <c r="B229" s="0" t="s">
        <v>537</v>
      </c>
      <c r="C229" s="0" t="s">
        <v>523</v>
      </c>
      <c r="D229" s="0" t="s">
        <v>539</v>
      </c>
      <c r="E229" s="0" t="s">
        <v>109</v>
      </c>
      <c r="F229" s="0" t="s">
        <v>422</v>
      </c>
      <c r="G229" s="0" t="s">
        <v>510</v>
      </c>
      <c r="H229" s="0" t="s">
        <v>423</v>
      </c>
    </row>
    <row r="230" customFormat="false" ht="15" hidden="false" customHeight="false" outlineLevel="0" collapsed="false">
      <c r="A230" s="0" t="s">
        <v>506</v>
      </c>
      <c r="B230" s="0" t="s">
        <v>537</v>
      </c>
      <c r="C230" s="0" t="s">
        <v>525</v>
      </c>
      <c r="D230" s="0" t="s">
        <v>540</v>
      </c>
      <c r="E230" s="0" t="s">
        <v>109</v>
      </c>
      <c r="F230" s="0" t="s">
        <v>424</v>
      </c>
      <c r="G230" s="0" t="s">
        <v>510</v>
      </c>
      <c r="H230" s="0" t="s">
        <v>425</v>
      </c>
    </row>
    <row r="231" customFormat="false" ht="15" hidden="false" customHeight="false" outlineLevel="0" collapsed="false">
      <c r="A231" s="0" t="s">
        <v>506</v>
      </c>
      <c r="B231" s="0" t="s">
        <v>537</v>
      </c>
      <c r="C231" s="0" t="s">
        <v>527</v>
      </c>
      <c r="D231" s="0" t="s">
        <v>540</v>
      </c>
      <c r="E231" s="0" t="s">
        <v>109</v>
      </c>
      <c r="F231" s="0" t="s">
        <v>426</v>
      </c>
      <c r="G231" s="0" t="s">
        <v>510</v>
      </c>
      <c r="H231" s="0" t="s">
        <v>427</v>
      </c>
    </row>
    <row r="232" customFormat="false" ht="15" hidden="false" customHeight="false" outlineLevel="0" collapsed="false">
      <c r="A232" s="0" t="s">
        <v>506</v>
      </c>
      <c r="B232" s="0" t="s">
        <v>541</v>
      </c>
      <c r="C232" s="0" t="s">
        <v>521</v>
      </c>
      <c r="D232" s="0" t="s">
        <v>542</v>
      </c>
      <c r="E232" s="0" t="s">
        <v>109</v>
      </c>
      <c r="F232" s="0" t="s">
        <v>420</v>
      </c>
      <c r="G232" s="0" t="s">
        <v>510</v>
      </c>
      <c r="H232" s="0" t="s">
        <v>421</v>
      </c>
    </row>
    <row r="233" customFormat="false" ht="15" hidden="false" customHeight="false" outlineLevel="0" collapsed="false">
      <c r="A233" s="0" t="s">
        <v>506</v>
      </c>
      <c r="B233" s="0" t="s">
        <v>541</v>
      </c>
      <c r="C233" s="0" t="s">
        <v>523</v>
      </c>
      <c r="D233" s="0" t="s">
        <v>543</v>
      </c>
      <c r="E233" s="0" t="s">
        <v>109</v>
      </c>
      <c r="F233" s="0" t="s">
        <v>422</v>
      </c>
      <c r="G233" s="0" t="s">
        <v>510</v>
      </c>
      <c r="H233" s="0" t="s">
        <v>423</v>
      </c>
    </row>
    <row r="234" customFormat="false" ht="15" hidden="false" customHeight="false" outlineLevel="0" collapsed="false">
      <c r="A234" s="0" t="s">
        <v>506</v>
      </c>
      <c r="B234" s="0" t="s">
        <v>541</v>
      </c>
      <c r="C234" s="0" t="s">
        <v>525</v>
      </c>
      <c r="D234" s="0" t="s">
        <v>544</v>
      </c>
      <c r="E234" s="0" t="s">
        <v>109</v>
      </c>
      <c r="F234" s="0" t="s">
        <v>424</v>
      </c>
      <c r="G234" s="0" t="s">
        <v>510</v>
      </c>
      <c r="H234" s="0" t="s">
        <v>425</v>
      </c>
    </row>
    <row r="235" customFormat="false" ht="15" hidden="false" customHeight="false" outlineLevel="0" collapsed="false">
      <c r="A235" s="0" t="s">
        <v>506</v>
      </c>
      <c r="B235" s="0" t="s">
        <v>541</v>
      </c>
      <c r="C235" s="0" t="s">
        <v>527</v>
      </c>
      <c r="D235" s="0" t="s">
        <v>545</v>
      </c>
      <c r="E235" s="0" t="s">
        <v>109</v>
      </c>
      <c r="F235" s="0" t="s">
        <v>426</v>
      </c>
      <c r="G235" s="0" t="s">
        <v>510</v>
      </c>
      <c r="H235" s="0" t="s">
        <v>427</v>
      </c>
    </row>
    <row r="236" customFormat="false" ht="15" hidden="false" customHeight="false" outlineLevel="0" collapsed="false">
      <c r="A236" s="0" t="s">
        <v>506</v>
      </c>
      <c r="B236" s="0" t="s">
        <v>546</v>
      </c>
      <c r="C236" s="0" t="s">
        <v>525</v>
      </c>
      <c r="D236" s="0" t="s">
        <v>547</v>
      </c>
      <c r="E236" s="0" t="s">
        <v>109</v>
      </c>
      <c r="F236" s="0" t="s">
        <v>424</v>
      </c>
      <c r="G236" s="0" t="s">
        <v>510</v>
      </c>
      <c r="H236" s="0" t="s">
        <v>425</v>
      </c>
    </row>
    <row r="237" customFormat="false" ht="15" hidden="false" customHeight="false" outlineLevel="0" collapsed="false">
      <c r="A237" s="0" t="s">
        <v>506</v>
      </c>
      <c r="B237" s="0" t="s">
        <v>546</v>
      </c>
      <c r="C237" s="0" t="s">
        <v>527</v>
      </c>
      <c r="D237" s="0" t="s">
        <v>548</v>
      </c>
      <c r="E237" s="0" t="s">
        <v>109</v>
      </c>
      <c r="F237" s="0" t="s">
        <v>426</v>
      </c>
      <c r="G237" s="0" t="s">
        <v>510</v>
      </c>
      <c r="H237" s="0" t="s">
        <v>427</v>
      </c>
    </row>
    <row r="238" customFormat="false" ht="15" hidden="false" customHeight="false" outlineLevel="0" collapsed="false">
      <c r="A238" s="0" t="s">
        <v>506</v>
      </c>
      <c r="B238" s="0" t="s">
        <v>549</v>
      </c>
      <c r="C238" s="0" t="s">
        <v>527</v>
      </c>
      <c r="D238" s="0" t="s">
        <v>550</v>
      </c>
      <c r="E238" s="0" t="s">
        <v>109</v>
      </c>
      <c r="F238" s="0" t="s">
        <v>426</v>
      </c>
      <c r="G238" s="0" t="s">
        <v>510</v>
      </c>
      <c r="H238" s="0" t="s">
        <v>427</v>
      </c>
    </row>
    <row r="239" customFormat="false" ht="15" hidden="false" customHeight="false" outlineLevel="0" collapsed="false">
      <c r="A239" s="0" t="s">
        <v>506</v>
      </c>
      <c r="B239" s="0" t="s">
        <v>551</v>
      </c>
      <c r="C239" s="0" t="s">
        <v>515</v>
      </c>
      <c r="D239" s="0" t="s">
        <v>552</v>
      </c>
      <c r="E239" s="0" t="s">
        <v>109</v>
      </c>
      <c r="F239" s="0" t="s">
        <v>374</v>
      </c>
      <c r="G239" s="0" t="s">
        <v>510</v>
      </c>
      <c r="H239" s="0" t="s">
        <v>376</v>
      </c>
    </row>
    <row r="240" customFormat="false" ht="15" hidden="false" customHeight="false" outlineLevel="0" collapsed="false">
      <c r="A240" s="0" t="s">
        <v>506</v>
      </c>
      <c r="B240" s="0" t="s">
        <v>551</v>
      </c>
      <c r="C240" s="0" t="s">
        <v>517</v>
      </c>
      <c r="D240" s="0" t="s">
        <v>552</v>
      </c>
      <c r="E240" s="0" t="s">
        <v>109</v>
      </c>
      <c r="F240" s="0" t="s">
        <v>416</v>
      </c>
      <c r="G240" s="0" t="s">
        <v>510</v>
      </c>
      <c r="H240" s="0" t="s">
        <v>417</v>
      </c>
    </row>
    <row r="241" customFormat="false" ht="15" hidden="false" customHeight="false" outlineLevel="0" collapsed="false">
      <c r="A241" s="0" t="s">
        <v>506</v>
      </c>
      <c r="B241" s="0" t="s">
        <v>553</v>
      </c>
      <c r="C241" s="0" t="s">
        <v>517</v>
      </c>
      <c r="D241" s="0" t="s">
        <v>554</v>
      </c>
      <c r="E241" s="0" t="s">
        <v>109</v>
      </c>
      <c r="F241" s="0" t="s">
        <v>416</v>
      </c>
      <c r="G241" s="0" t="s">
        <v>510</v>
      </c>
      <c r="H241" s="0" t="s">
        <v>417</v>
      </c>
    </row>
    <row r="242" customFormat="false" ht="15" hidden="false" customHeight="false" outlineLevel="0" collapsed="false">
      <c r="A242" s="0" t="s">
        <v>506</v>
      </c>
      <c r="B242" s="0" t="s">
        <v>553</v>
      </c>
      <c r="C242" s="0" t="s">
        <v>519</v>
      </c>
      <c r="D242" s="0" t="s">
        <v>555</v>
      </c>
      <c r="E242" s="0" t="s">
        <v>109</v>
      </c>
      <c r="F242" s="0" t="s">
        <v>418</v>
      </c>
      <c r="G242" s="0" t="s">
        <v>510</v>
      </c>
      <c r="H242" s="0" t="s">
        <v>419</v>
      </c>
    </row>
    <row r="243" customFormat="false" ht="15" hidden="false" customHeight="false" outlineLevel="0" collapsed="false">
      <c r="A243" s="0" t="s">
        <v>506</v>
      </c>
      <c r="B243" s="0" t="s">
        <v>553</v>
      </c>
      <c r="C243" s="0" t="s">
        <v>521</v>
      </c>
      <c r="D243" s="0" t="s">
        <v>556</v>
      </c>
      <c r="E243" s="0" t="s">
        <v>109</v>
      </c>
      <c r="F243" s="0" t="s">
        <v>420</v>
      </c>
      <c r="G243" s="0" t="s">
        <v>510</v>
      </c>
      <c r="H243" s="0" t="s">
        <v>421</v>
      </c>
    </row>
    <row r="244" customFormat="false" ht="15" hidden="false" customHeight="false" outlineLevel="0" collapsed="false">
      <c r="A244" s="0" t="s">
        <v>506</v>
      </c>
      <c r="B244" s="0" t="s">
        <v>553</v>
      </c>
      <c r="C244" s="0" t="s">
        <v>523</v>
      </c>
      <c r="D244" s="0" t="s">
        <v>557</v>
      </c>
      <c r="E244" s="0" t="s">
        <v>109</v>
      </c>
      <c r="F244" s="0" t="s">
        <v>422</v>
      </c>
      <c r="G244" s="0" t="s">
        <v>510</v>
      </c>
      <c r="H244" s="0" t="s">
        <v>423</v>
      </c>
    </row>
    <row r="245" customFormat="false" ht="15" hidden="false" customHeight="false" outlineLevel="0" collapsed="false">
      <c r="A245" s="0" t="s">
        <v>506</v>
      </c>
      <c r="B245" s="0" t="s">
        <v>553</v>
      </c>
      <c r="C245" s="0" t="s">
        <v>525</v>
      </c>
      <c r="D245" s="0" t="s">
        <v>558</v>
      </c>
      <c r="E245" s="0" t="s">
        <v>109</v>
      </c>
      <c r="F245" s="0" t="s">
        <v>424</v>
      </c>
      <c r="G245" s="0" t="s">
        <v>510</v>
      </c>
      <c r="H245" s="0" t="s">
        <v>425</v>
      </c>
    </row>
    <row r="246" customFormat="false" ht="15" hidden="false" customHeight="false" outlineLevel="0" collapsed="false">
      <c r="A246" s="0" t="s">
        <v>506</v>
      </c>
      <c r="B246" s="0" t="s">
        <v>553</v>
      </c>
      <c r="C246" s="0" t="s">
        <v>527</v>
      </c>
      <c r="D246" s="0" t="s">
        <v>559</v>
      </c>
      <c r="E246" s="0" t="s">
        <v>109</v>
      </c>
      <c r="F246" s="0" t="s">
        <v>426</v>
      </c>
      <c r="G246" s="0" t="s">
        <v>510</v>
      </c>
      <c r="H246" s="0" t="s">
        <v>427</v>
      </c>
    </row>
    <row r="247" customFormat="false" ht="15" hidden="false" customHeight="false" outlineLevel="0" collapsed="false">
      <c r="A247" s="0" t="s">
        <v>506</v>
      </c>
      <c r="B247" s="0" t="s">
        <v>560</v>
      </c>
      <c r="C247" s="0" t="s">
        <v>519</v>
      </c>
      <c r="D247" s="0" t="s">
        <v>561</v>
      </c>
      <c r="E247" s="0" t="s">
        <v>109</v>
      </c>
      <c r="F247" s="0" t="s">
        <v>418</v>
      </c>
      <c r="G247" s="0" t="s">
        <v>510</v>
      </c>
      <c r="H247" s="0" t="s">
        <v>419</v>
      </c>
    </row>
    <row r="248" customFormat="false" ht="15" hidden="false" customHeight="false" outlineLevel="0" collapsed="false">
      <c r="A248" s="0" t="s">
        <v>506</v>
      </c>
      <c r="B248" s="0" t="s">
        <v>560</v>
      </c>
      <c r="C248" s="0" t="s">
        <v>521</v>
      </c>
      <c r="D248" s="0" t="s">
        <v>561</v>
      </c>
      <c r="E248" s="0" t="s">
        <v>109</v>
      </c>
      <c r="F248" s="0" t="s">
        <v>420</v>
      </c>
      <c r="G248" s="0" t="s">
        <v>510</v>
      </c>
      <c r="H248" s="0" t="s">
        <v>421</v>
      </c>
    </row>
    <row r="249" customFormat="false" ht="15" hidden="false" customHeight="false" outlineLevel="0" collapsed="false">
      <c r="A249" s="0" t="s">
        <v>506</v>
      </c>
      <c r="B249" s="0" t="s">
        <v>560</v>
      </c>
      <c r="C249" s="0" t="s">
        <v>523</v>
      </c>
      <c r="D249" s="0" t="s">
        <v>561</v>
      </c>
      <c r="E249" s="0" t="s">
        <v>109</v>
      </c>
      <c r="F249" s="0" t="s">
        <v>422</v>
      </c>
      <c r="G249" s="0" t="s">
        <v>510</v>
      </c>
      <c r="H249" s="0" t="s">
        <v>423</v>
      </c>
    </row>
    <row r="250" customFormat="false" ht="15" hidden="false" customHeight="false" outlineLevel="0" collapsed="false">
      <c r="A250" s="0" t="s">
        <v>506</v>
      </c>
      <c r="B250" s="0" t="s">
        <v>560</v>
      </c>
      <c r="C250" s="0" t="s">
        <v>525</v>
      </c>
      <c r="D250" s="0" t="s">
        <v>561</v>
      </c>
      <c r="E250" s="0" t="s">
        <v>109</v>
      </c>
      <c r="F250" s="0" t="s">
        <v>424</v>
      </c>
      <c r="G250" s="0" t="s">
        <v>510</v>
      </c>
      <c r="H250" s="0" t="s">
        <v>425</v>
      </c>
    </row>
    <row r="251" customFormat="false" ht="15" hidden="false" customHeight="false" outlineLevel="0" collapsed="false">
      <c r="A251" s="0" t="s">
        <v>506</v>
      </c>
      <c r="B251" s="0" t="s">
        <v>560</v>
      </c>
      <c r="C251" s="0" t="s">
        <v>527</v>
      </c>
      <c r="D251" s="0" t="s">
        <v>561</v>
      </c>
      <c r="E251" s="0" t="s">
        <v>109</v>
      </c>
      <c r="F251" s="0" t="s">
        <v>426</v>
      </c>
      <c r="G251" s="0" t="s">
        <v>510</v>
      </c>
      <c r="H251" s="0" t="s">
        <v>427</v>
      </c>
    </row>
    <row r="252" customFormat="false" ht="15" hidden="false" customHeight="false" outlineLevel="0" collapsed="false">
      <c r="A252" s="0" t="s">
        <v>506</v>
      </c>
      <c r="B252" s="0" t="s">
        <v>562</v>
      </c>
      <c r="C252" s="0" t="s">
        <v>521</v>
      </c>
      <c r="D252" s="0" t="s">
        <v>563</v>
      </c>
      <c r="E252" s="0" t="s">
        <v>109</v>
      </c>
      <c r="F252" s="0" t="s">
        <v>420</v>
      </c>
      <c r="G252" s="0" t="s">
        <v>510</v>
      </c>
      <c r="H252" s="0" t="s">
        <v>421</v>
      </c>
    </row>
    <row r="253" customFormat="false" ht="15" hidden="false" customHeight="false" outlineLevel="0" collapsed="false">
      <c r="A253" s="0" t="s">
        <v>506</v>
      </c>
      <c r="B253" s="0" t="s">
        <v>562</v>
      </c>
      <c r="C253" s="0" t="s">
        <v>523</v>
      </c>
      <c r="D253" s="0" t="s">
        <v>563</v>
      </c>
      <c r="E253" s="0" t="s">
        <v>109</v>
      </c>
      <c r="F253" s="0" t="s">
        <v>422</v>
      </c>
      <c r="G253" s="0" t="s">
        <v>510</v>
      </c>
      <c r="H253" s="0" t="s">
        <v>423</v>
      </c>
    </row>
    <row r="254" customFormat="false" ht="15" hidden="false" customHeight="false" outlineLevel="0" collapsed="false">
      <c r="A254" s="0" t="s">
        <v>506</v>
      </c>
      <c r="B254" s="0" t="s">
        <v>562</v>
      </c>
      <c r="C254" s="0" t="s">
        <v>525</v>
      </c>
      <c r="D254" s="0" t="s">
        <v>563</v>
      </c>
      <c r="E254" s="0" t="s">
        <v>109</v>
      </c>
      <c r="F254" s="0" t="s">
        <v>424</v>
      </c>
      <c r="G254" s="0" t="s">
        <v>510</v>
      </c>
      <c r="H254" s="0" t="s">
        <v>425</v>
      </c>
    </row>
    <row r="255" customFormat="false" ht="15" hidden="false" customHeight="false" outlineLevel="0" collapsed="false">
      <c r="A255" s="0" t="s">
        <v>506</v>
      </c>
      <c r="B255" s="0" t="s">
        <v>562</v>
      </c>
      <c r="C255" s="0" t="s">
        <v>527</v>
      </c>
      <c r="D255" s="0" t="s">
        <v>563</v>
      </c>
      <c r="E255" s="0" t="s">
        <v>109</v>
      </c>
      <c r="F255" s="0" t="s">
        <v>426</v>
      </c>
      <c r="G255" s="0" t="s">
        <v>510</v>
      </c>
      <c r="H255" s="0" t="s">
        <v>427</v>
      </c>
    </row>
    <row r="256" customFormat="false" ht="15" hidden="false" customHeight="false" outlineLevel="0" collapsed="false">
      <c r="A256" s="0" t="s">
        <v>506</v>
      </c>
      <c r="B256" s="0" t="s">
        <v>564</v>
      </c>
      <c r="C256" s="0" t="s">
        <v>527</v>
      </c>
      <c r="D256" s="0" t="s">
        <v>565</v>
      </c>
      <c r="E256" s="0" t="s">
        <v>109</v>
      </c>
      <c r="F256" s="0" t="s">
        <v>426</v>
      </c>
      <c r="G256" s="0" t="s">
        <v>510</v>
      </c>
      <c r="H256" s="0" t="s">
        <v>427</v>
      </c>
    </row>
    <row r="257" customFormat="false" ht="15" hidden="false" customHeight="false" outlineLevel="0" collapsed="false">
      <c r="A257" s="0" t="s">
        <v>506</v>
      </c>
      <c r="B257" s="0" t="s">
        <v>566</v>
      </c>
      <c r="C257" s="0" t="s">
        <v>527</v>
      </c>
      <c r="D257" s="0" t="s">
        <v>567</v>
      </c>
      <c r="E257" s="0" t="s">
        <v>109</v>
      </c>
      <c r="F257" s="0" t="s">
        <v>426</v>
      </c>
      <c r="G257" s="0" t="s">
        <v>510</v>
      </c>
      <c r="H257" s="0" t="s">
        <v>427</v>
      </c>
    </row>
    <row r="258" customFormat="false" ht="15" hidden="false" customHeight="false" outlineLevel="0" collapsed="false">
      <c r="A258" s="0" t="s">
        <v>506</v>
      </c>
      <c r="B258" s="0" t="s">
        <v>568</v>
      </c>
      <c r="C258" s="0" t="s">
        <v>527</v>
      </c>
      <c r="D258" s="0" t="s">
        <v>569</v>
      </c>
      <c r="E258" s="0" t="s">
        <v>109</v>
      </c>
      <c r="F258" s="0" t="s">
        <v>426</v>
      </c>
      <c r="G258" s="0" t="s">
        <v>510</v>
      </c>
      <c r="H258" s="0" t="s">
        <v>427</v>
      </c>
    </row>
    <row r="259" customFormat="false" ht="15" hidden="false" customHeight="false" outlineLevel="0" collapsed="false">
      <c r="A259" s="0" t="s">
        <v>506</v>
      </c>
      <c r="B259" s="0" t="s">
        <v>570</v>
      </c>
      <c r="C259" s="0" t="s">
        <v>523</v>
      </c>
      <c r="D259" s="0" t="s">
        <v>571</v>
      </c>
      <c r="E259" s="0" t="s">
        <v>109</v>
      </c>
      <c r="F259" s="0" t="s">
        <v>422</v>
      </c>
      <c r="G259" s="0" t="s">
        <v>510</v>
      </c>
      <c r="H259" s="0" t="s">
        <v>423</v>
      </c>
    </row>
    <row r="260" customFormat="false" ht="15" hidden="false" customHeight="false" outlineLevel="0" collapsed="false">
      <c r="A260" s="0" t="s">
        <v>506</v>
      </c>
      <c r="B260" s="0" t="s">
        <v>570</v>
      </c>
      <c r="C260" s="0" t="s">
        <v>525</v>
      </c>
      <c r="D260" s="0" t="s">
        <v>571</v>
      </c>
      <c r="E260" s="0" t="s">
        <v>109</v>
      </c>
      <c r="F260" s="0" t="s">
        <v>424</v>
      </c>
      <c r="G260" s="0" t="s">
        <v>510</v>
      </c>
      <c r="H260" s="0" t="s">
        <v>425</v>
      </c>
    </row>
    <row r="261" customFormat="false" ht="15" hidden="false" customHeight="false" outlineLevel="0" collapsed="false">
      <c r="A261" s="0" t="s">
        <v>506</v>
      </c>
      <c r="B261" s="0" t="s">
        <v>570</v>
      </c>
      <c r="C261" s="0" t="s">
        <v>527</v>
      </c>
      <c r="D261" s="0" t="s">
        <v>571</v>
      </c>
      <c r="E261" s="0" t="s">
        <v>109</v>
      </c>
      <c r="F261" s="0" t="s">
        <v>426</v>
      </c>
      <c r="G261" s="0" t="s">
        <v>510</v>
      </c>
      <c r="H261" s="0" t="s">
        <v>427</v>
      </c>
    </row>
    <row r="262" customFormat="false" ht="15" hidden="false" customHeight="false" outlineLevel="0" collapsed="false">
      <c r="A262" s="0" t="s">
        <v>506</v>
      </c>
      <c r="B262" s="0" t="s">
        <v>572</v>
      </c>
      <c r="C262" s="0" t="s">
        <v>527</v>
      </c>
      <c r="D262" s="0" t="s">
        <v>573</v>
      </c>
      <c r="E262" s="0" t="s">
        <v>109</v>
      </c>
      <c r="F262" s="0" t="s">
        <v>426</v>
      </c>
      <c r="G262" s="0" t="s">
        <v>510</v>
      </c>
      <c r="H262" s="0" t="s">
        <v>427</v>
      </c>
    </row>
    <row r="263" customFormat="false" ht="15" hidden="false" customHeight="false" outlineLevel="0" collapsed="false">
      <c r="A263" s="0" t="s">
        <v>506</v>
      </c>
      <c r="B263" s="0" t="s">
        <v>574</v>
      </c>
      <c r="C263" s="0" t="s">
        <v>523</v>
      </c>
      <c r="D263" s="0" t="s">
        <v>575</v>
      </c>
      <c r="E263" s="0" t="s">
        <v>109</v>
      </c>
      <c r="F263" s="0" t="s">
        <v>422</v>
      </c>
      <c r="G263" s="0" t="s">
        <v>510</v>
      </c>
      <c r="H263" s="0" t="s">
        <v>423</v>
      </c>
    </row>
    <row r="264" customFormat="false" ht="15" hidden="false" customHeight="false" outlineLevel="0" collapsed="false">
      <c r="A264" s="0" t="s">
        <v>506</v>
      </c>
      <c r="B264" s="0" t="s">
        <v>574</v>
      </c>
      <c r="C264" s="0" t="s">
        <v>525</v>
      </c>
      <c r="D264" s="0" t="s">
        <v>576</v>
      </c>
      <c r="E264" s="0" t="s">
        <v>109</v>
      </c>
      <c r="F264" s="0" t="s">
        <v>424</v>
      </c>
      <c r="G264" s="0" t="s">
        <v>510</v>
      </c>
      <c r="H264" s="0" t="s">
        <v>425</v>
      </c>
    </row>
    <row r="265" customFormat="false" ht="15" hidden="false" customHeight="false" outlineLevel="0" collapsed="false">
      <c r="A265" s="0" t="s">
        <v>506</v>
      </c>
      <c r="B265" s="0" t="s">
        <v>577</v>
      </c>
      <c r="C265" s="0" t="s">
        <v>517</v>
      </c>
      <c r="D265" s="0" t="s">
        <v>578</v>
      </c>
      <c r="E265" s="0" t="s">
        <v>109</v>
      </c>
      <c r="F265" s="0" t="s">
        <v>416</v>
      </c>
      <c r="G265" s="0" t="s">
        <v>510</v>
      </c>
      <c r="H265" s="0" t="s">
        <v>417</v>
      </c>
    </row>
    <row r="266" customFormat="false" ht="15" hidden="false" customHeight="false" outlineLevel="0" collapsed="false">
      <c r="A266" s="0" t="s">
        <v>506</v>
      </c>
      <c r="B266" s="0" t="s">
        <v>577</v>
      </c>
      <c r="C266" s="0" t="s">
        <v>519</v>
      </c>
      <c r="D266" s="0" t="s">
        <v>579</v>
      </c>
      <c r="E266" s="0" t="s">
        <v>109</v>
      </c>
      <c r="F266" s="0" t="s">
        <v>418</v>
      </c>
      <c r="G266" s="0" t="s">
        <v>510</v>
      </c>
      <c r="H266" s="0" t="s">
        <v>419</v>
      </c>
    </row>
    <row r="267" customFormat="false" ht="15" hidden="false" customHeight="false" outlineLevel="0" collapsed="false">
      <c r="A267" s="0" t="s">
        <v>506</v>
      </c>
      <c r="B267" s="0" t="s">
        <v>577</v>
      </c>
      <c r="C267" s="0" t="s">
        <v>521</v>
      </c>
      <c r="D267" s="0" t="s">
        <v>580</v>
      </c>
      <c r="E267" s="0" t="s">
        <v>109</v>
      </c>
      <c r="F267" s="0" t="s">
        <v>420</v>
      </c>
      <c r="G267" s="0" t="s">
        <v>510</v>
      </c>
      <c r="H267" s="0" t="s">
        <v>421</v>
      </c>
    </row>
    <row r="268" customFormat="false" ht="15" hidden="false" customHeight="false" outlineLevel="0" collapsed="false">
      <c r="A268" s="0" t="s">
        <v>506</v>
      </c>
      <c r="B268" s="0" t="s">
        <v>577</v>
      </c>
      <c r="C268" s="0" t="s">
        <v>523</v>
      </c>
      <c r="D268" s="0" t="s">
        <v>581</v>
      </c>
      <c r="E268" s="0" t="s">
        <v>109</v>
      </c>
      <c r="F268" s="0" t="s">
        <v>422</v>
      </c>
      <c r="G268" s="0" t="s">
        <v>510</v>
      </c>
      <c r="H268" s="0" t="s">
        <v>423</v>
      </c>
    </row>
    <row r="269" customFormat="false" ht="15" hidden="false" customHeight="false" outlineLevel="0" collapsed="false">
      <c r="A269" s="0" t="s">
        <v>506</v>
      </c>
      <c r="B269" s="0" t="s">
        <v>577</v>
      </c>
      <c r="C269" s="0" t="s">
        <v>525</v>
      </c>
      <c r="D269" s="0" t="s">
        <v>582</v>
      </c>
      <c r="E269" s="0" t="s">
        <v>109</v>
      </c>
      <c r="F269" s="0" t="s">
        <v>424</v>
      </c>
      <c r="G269" s="0" t="s">
        <v>510</v>
      </c>
      <c r="H269" s="0" t="s">
        <v>425</v>
      </c>
    </row>
    <row r="270" customFormat="false" ht="15" hidden="false" customHeight="false" outlineLevel="0" collapsed="false">
      <c r="A270" s="0" t="s">
        <v>506</v>
      </c>
      <c r="B270" s="0" t="s">
        <v>577</v>
      </c>
      <c r="C270" s="0" t="s">
        <v>527</v>
      </c>
      <c r="D270" s="0" t="s">
        <v>583</v>
      </c>
      <c r="E270" s="0" t="s">
        <v>109</v>
      </c>
      <c r="F270" s="0" t="s">
        <v>426</v>
      </c>
      <c r="G270" s="0" t="s">
        <v>510</v>
      </c>
      <c r="H270" s="0" t="s">
        <v>427</v>
      </c>
    </row>
    <row r="271" customFormat="false" ht="15" hidden="false" customHeight="false" outlineLevel="0" collapsed="false">
      <c r="A271" s="0" t="s">
        <v>506</v>
      </c>
      <c r="B271" s="0" t="s">
        <v>584</v>
      </c>
      <c r="C271" s="0" t="s">
        <v>515</v>
      </c>
      <c r="D271" s="0" t="s">
        <v>585</v>
      </c>
      <c r="E271" s="0" t="s">
        <v>109</v>
      </c>
      <c r="F271" s="0" t="s">
        <v>374</v>
      </c>
      <c r="G271" s="0" t="s">
        <v>510</v>
      </c>
      <c r="H271" s="0" t="s">
        <v>376</v>
      </c>
    </row>
    <row r="272" customFormat="false" ht="15" hidden="false" customHeight="false" outlineLevel="0" collapsed="false">
      <c r="A272" s="0" t="s">
        <v>506</v>
      </c>
      <c r="B272" s="0" t="s">
        <v>584</v>
      </c>
      <c r="C272" s="0" t="s">
        <v>517</v>
      </c>
      <c r="D272" s="0" t="s">
        <v>586</v>
      </c>
      <c r="E272" s="0" t="s">
        <v>109</v>
      </c>
      <c r="F272" s="0" t="s">
        <v>416</v>
      </c>
      <c r="G272" s="0" t="s">
        <v>510</v>
      </c>
      <c r="H272" s="0" t="s">
        <v>417</v>
      </c>
    </row>
    <row r="273" customFormat="false" ht="15" hidden="false" customHeight="false" outlineLevel="0" collapsed="false">
      <c r="A273" s="0" t="s">
        <v>506</v>
      </c>
      <c r="B273" s="0" t="s">
        <v>584</v>
      </c>
      <c r="C273" s="0" t="s">
        <v>519</v>
      </c>
      <c r="D273" s="0" t="s">
        <v>587</v>
      </c>
      <c r="E273" s="0" t="s">
        <v>109</v>
      </c>
      <c r="F273" s="0" t="s">
        <v>418</v>
      </c>
      <c r="G273" s="0" t="s">
        <v>510</v>
      </c>
      <c r="H273" s="0" t="s">
        <v>419</v>
      </c>
    </row>
    <row r="274" customFormat="false" ht="15" hidden="false" customHeight="false" outlineLevel="0" collapsed="false">
      <c r="A274" s="0" t="s">
        <v>506</v>
      </c>
      <c r="B274" s="0" t="s">
        <v>584</v>
      </c>
      <c r="C274" s="0" t="s">
        <v>521</v>
      </c>
      <c r="D274" s="0" t="s">
        <v>588</v>
      </c>
      <c r="E274" s="0" t="s">
        <v>109</v>
      </c>
      <c r="F274" s="0" t="s">
        <v>420</v>
      </c>
      <c r="G274" s="0" t="s">
        <v>510</v>
      </c>
      <c r="H274" s="0" t="s">
        <v>421</v>
      </c>
    </row>
    <row r="275" customFormat="false" ht="15" hidden="false" customHeight="false" outlineLevel="0" collapsed="false">
      <c r="A275" s="0" t="s">
        <v>506</v>
      </c>
      <c r="B275" s="0" t="s">
        <v>584</v>
      </c>
      <c r="C275" s="0" t="s">
        <v>523</v>
      </c>
      <c r="D275" s="0" t="s">
        <v>589</v>
      </c>
      <c r="E275" s="0" t="s">
        <v>109</v>
      </c>
      <c r="F275" s="0" t="s">
        <v>422</v>
      </c>
      <c r="G275" s="0" t="s">
        <v>510</v>
      </c>
      <c r="H275" s="0" t="s">
        <v>423</v>
      </c>
    </row>
    <row r="276" customFormat="false" ht="15" hidden="false" customHeight="false" outlineLevel="0" collapsed="false">
      <c r="A276" s="0" t="s">
        <v>506</v>
      </c>
      <c r="B276" s="0" t="s">
        <v>584</v>
      </c>
      <c r="C276" s="0" t="s">
        <v>525</v>
      </c>
      <c r="D276" s="0" t="s">
        <v>590</v>
      </c>
      <c r="E276" s="0" t="s">
        <v>109</v>
      </c>
      <c r="F276" s="0" t="s">
        <v>424</v>
      </c>
      <c r="G276" s="0" t="s">
        <v>510</v>
      </c>
      <c r="H276" s="0" t="s">
        <v>425</v>
      </c>
    </row>
    <row r="277" customFormat="false" ht="15" hidden="false" customHeight="false" outlineLevel="0" collapsed="false">
      <c r="A277" s="0" t="s">
        <v>506</v>
      </c>
      <c r="B277" s="0" t="s">
        <v>584</v>
      </c>
      <c r="C277" s="0" t="s">
        <v>527</v>
      </c>
      <c r="D277" s="0" t="s">
        <v>591</v>
      </c>
      <c r="E277" s="0" t="s">
        <v>109</v>
      </c>
      <c r="F277" s="0" t="s">
        <v>426</v>
      </c>
      <c r="G277" s="0" t="s">
        <v>510</v>
      </c>
      <c r="H277" s="0" t="s">
        <v>427</v>
      </c>
    </row>
    <row r="278" customFormat="false" ht="15" hidden="false" customHeight="false" outlineLevel="0" collapsed="false">
      <c r="A278" s="0" t="s">
        <v>506</v>
      </c>
      <c r="B278" s="0" t="s">
        <v>592</v>
      </c>
      <c r="C278" s="0" t="s">
        <v>527</v>
      </c>
      <c r="D278" s="0" t="s">
        <v>593</v>
      </c>
      <c r="E278" s="0" t="s">
        <v>109</v>
      </c>
      <c r="F278" s="0" t="s">
        <v>426</v>
      </c>
      <c r="G278" s="0" t="s">
        <v>510</v>
      </c>
      <c r="H278" s="0" t="s">
        <v>427</v>
      </c>
    </row>
    <row r="280" customFormat="false" ht="15" hidden="false" customHeight="false" outlineLevel="0" collapsed="false">
      <c r="A280" s="2" t="s">
        <v>594</v>
      </c>
    </row>
    <row r="281" customFormat="false" ht="15" hidden="false" customHeight="false" outlineLevel="0" collapsed="false">
      <c r="A281" s="0" t="s">
        <v>595</v>
      </c>
      <c r="F281" s="0" t="s">
        <v>374</v>
      </c>
      <c r="H281" s="0" t="s">
        <v>376</v>
      </c>
    </row>
    <row r="282" customFormat="false" ht="15" hidden="false" customHeight="false" outlineLevel="0" collapsed="false">
      <c r="A282" s="0" t="s">
        <v>596</v>
      </c>
      <c r="F282" s="0" t="s">
        <v>416</v>
      </c>
      <c r="H282" s="0" t="s">
        <v>417</v>
      </c>
    </row>
    <row r="283" customFormat="false" ht="15" hidden="false" customHeight="false" outlineLevel="0" collapsed="false">
      <c r="A283" s="0" t="s">
        <v>597</v>
      </c>
      <c r="F283" s="0" t="s">
        <v>418</v>
      </c>
      <c r="H283" s="0" t="s">
        <v>419</v>
      </c>
    </row>
    <row r="284" customFormat="false" ht="15" hidden="false" customHeight="false" outlineLevel="0" collapsed="false">
      <c r="A284" s="0" t="s">
        <v>598</v>
      </c>
      <c r="F284" s="0" t="s">
        <v>420</v>
      </c>
      <c r="H284" s="0" t="s">
        <v>421</v>
      </c>
    </row>
    <row r="285" customFormat="false" ht="15" hidden="false" customHeight="false" outlineLevel="0" collapsed="false">
      <c r="A285" s="0" t="s">
        <v>139</v>
      </c>
      <c r="F285" s="0" t="s">
        <v>422</v>
      </c>
      <c r="H285" s="0" t="s">
        <v>423</v>
      </c>
    </row>
    <row r="286" customFormat="false" ht="15" hidden="false" customHeight="false" outlineLevel="0" collapsed="false">
      <c r="A286" s="0" t="s">
        <v>599</v>
      </c>
      <c r="F286" s="0" t="s">
        <v>424</v>
      </c>
      <c r="H286" s="0" t="s">
        <v>425</v>
      </c>
    </row>
    <row r="287" customFormat="false" ht="15" hidden="false" customHeight="false" outlineLevel="0" collapsed="false">
      <c r="A287" s="0" t="s">
        <v>600</v>
      </c>
      <c r="F287" s="0" t="s">
        <v>426</v>
      </c>
      <c r="H287" s="0" t="s">
        <v>427</v>
      </c>
    </row>
    <row r="288" customFormat="false" ht="15" hidden="false" customHeight="false" outlineLevel="0" collapsed="false">
      <c r="A288" s="0" t="s">
        <v>601</v>
      </c>
      <c r="F288" s="0" t="s">
        <v>378</v>
      </c>
      <c r="H288" s="0" t="s">
        <v>380</v>
      </c>
    </row>
    <row r="289" customFormat="false" ht="15" hidden="false" customHeight="false" outlineLevel="0" collapsed="false">
      <c r="A289" s="0" t="s">
        <v>602</v>
      </c>
      <c r="F289" s="0" t="s">
        <v>381</v>
      </c>
      <c r="H289" s="0" t="s">
        <v>383</v>
      </c>
    </row>
    <row r="290" customFormat="false" ht="15" hidden="false" customHeight="false" outlineLevel="0" collapsed="false">
      <c r="A290" s="0" t="s">
        <v>603</v>
      </c>
      <c r="F290" s="0" t="s">
        <v>384</v>
      </c>
      <c r="H290" s="0" t="s">
        <v>385</v>
      </c>
    </row>
    <row r="291" customFormat="false" ht="15" hidden="false" customHeight="false" outlineLevel="0" collapsed="false">
      <c r="A291" s="0" t="s">
        <v>604</v>
      </c>
      <c r="F291" s="0" t="s">
        <v>386</v>
      </c>
      <c r="H291" s="0" t="s">
        <v>388</v>
      </c>
    </row>
    <row r="292" customFormat="false" ht="15" hidden="false" customHeight="false" outlineLevel="0" collapsed="false">
      <c r="A292" s="0" t="s">
        <v>605</v>
      </c>
      <c r="F292" s="0" t="s">
        <v>389</v>
      </c>
      <c r="H292" s="0" t="s">
        <v>390</v>
      </c>
    </row>
    <row r="293" customFormat="false" ht="15" hidden="false" customHeight="false" outlineLevel="0" collapsed="false">
      <c r="A293" s="0" t="s">
        <v>606</v>
      </c>
      <c r="F293" s="0" t="s">
        <v>391</v>
      </c>
      <c r="H293" s="0" t="s">
        <v>392</v>
      </c>
    </row>
    <row r="294" customFormat="false" ht="15" hidden="false" customHeight="false" outlineLevel="0" collapsed="false">
      <c r="A294" s="0" t="s">
        <v>607</v>
      </c>
      <c r="F294" s="0" t="s">
        <v>455</v>
      </c>
      <c r="H294" s="0" t="s">
        <v>457</v>
      </c>
    </row>
    <row r="295" customFormat="false" ht="15" hidden="false" customHeight="false" outlineLevel="0" collapsed="false">
      <c r="A295" s="0" t="s">
        <v>608</v>
      </c>
      <c r="F295" s="0" t="s">
        <v>494</v>
      </c>
      <c r="H295" s="0" t="s">
        <v>496</v>
      </c>
    </row>
    <row r="296" customFormat="false" ht="15" hidden="false" customHeight="false" outlineLevel="0" collapsed="false">
      <c r="A296" s="0" t="s">
        <v>609</v>
      </c>
      <c r="F296" s="0" t="s">
        <v>397</v>
      </c>
      <c r="H296" s="0" t="s">
        <v>399</v>
      </c>
    </row>
    <row r="297" customFormat="false" ht="15" hidden="false" customHeight="false" outlineLevel="0" collapsed="false">
      <c r="A297" s="0" t="s">
        <v>610</v>
      </c>
      <c r="F297" s="0" t="s">
        <v>611</v>
      </c>
      <c r="H297" s="0" t="s">
        <v>612</v>
      </c>
    </row>
    <row r="298" customFormat="false" ht="15" hidden="false" customHeight="false" outlineLevel="0" collapsed="false">
      <c r="A298" s="0" t="s">
        <v>613</v>
      </c>
      <c r="F298" s="0" t="s">
        <v>614</v>
      </c>
      <c r="H298" s="0" t="s">
        <v>615</v>
      </c>
    </row>
    <row r="299" customFormat="false" ht="15" hidden="false" customHeight="false" outlineLevel="0" collapsed="false">
      <c r="A299" s="0" t="s">
        <v>616</v>
      </c>
      <c r="F299" s="0" t="s">
        <v>502</v>
      </c>
      <c r="H299" s="0" t="s">
        <v>448</v>
      </c>
    </row>
    <row r="300" customFormat="false" ht="15" hidden="false" customHeight="false" outlineLevel="0" collapsed="false">
      <c r="A300" s="0" t="s">
        <v>617</v>
      </c>
      <c r="F300" s="0" t="s">
        <v>446</v>
      </c>
      <c r="H300" s="0" t="s">
        <v>448</v>
      </c>
    </row>
    <row r="302" customFormat="false" ht="15" hidden="false" customHeight="false" outlineLevel="0" collapsed="false">
      <c r="A302" s="0" t="s">
        <v>618</v>
      </c>
    </row>
    <row r="304" customFormat="false" ht="15" hidden="false" customHeight="false" outlineLevel="0" collapsed="false">
      <c r="A304" s="0" t="s">
        <v>619</v>
      </c>
      <c r="B304" s="0" t="s">
        <v>620</v>
      </c>
      <c r="C304" s="0" t="s">
        <v>621</v>
      </c>
      <c r="G304" s="0" t="s">
        <v>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4" min="3" style="0" width="70"/>
    <col collapsed="false" customWidth="true" hidden="false" outlineLevel="0" max="5" min="5" style="0" width="80"/>
  </cols>
  <sheetData>
    <row r="1" customFormat="false" ht="15" hidden="false" customHeight="false" outlineLevel="0" collapsed="false">
      <c r="A1" s="4" t="s">
        <v>25</v>
      </c>
      <c r="B1" s="4" t="s">
        <v>623</v>
      </c>
      <c r="C1" s="4" t="s">
        <v>624</v>
      </c>
      <c r="D1" s="4" t="s">
        <v>625</v>
      </c>
      <c r="E1" s="4" t="s">
        <v>626</v>
      </c>
    </row>
    <row r="2" customFormat="false" ht="95.5" hidden="false" customHeight="false" outlineLevel="0" collapsed="false">
      <c r="A2" s="1" t="s">
        <v>42</v>
      </c>
      <c r="B2" s="1" t="s">
        <v>627</v>
      </c>
      <c r="C2" s="1" t="s">
        <v>628</v>
      </c>
      <c r="D2" s="1" t="s">
        <v>629</v>
      </c>
      <c r="E2" s="1" t="s">
        <v>630</v>
      </c>
    </row>
    <row r="3" customFormat="false" ht="68.65" hidden="false" customHeight="false" outlineLevel="0" collapsed="false">
      <c r="A3" s="1" t="s">
        <v>68</v>
      </c>
      <c r="B3" s="1" t="s">
        <v>631</v>
      </c>
      <c r="C3" s="1" t="s">
        <v>632</v>
      </c>
      <c r="D3" s="1" t="s">
        <v>633</v>
      </c>
      <c r="E3" s="1" t="s">
        <v>634</v>
      </c>
    </row>
    <row r="4" customFormat="false" ht="55.2" hidden="false" customHeight="false" outlineLevel="0" collapsed="false">
      <c r="A4" s="1" t="s">
        <v>76</v>
      </c>
      <c r="B4" s="1" t="s">
        <v>635</v>
      </c>
      <c r="C4" s="1" t="s">
        <v>636</v>
      </c>
      <c r="D4" s="1" t="s">
        <v>637</v>
      </c>
      <c r="E4" s="1" t="s">
        <v>638</v>
      </c>
    </row>
    <row r="5" customFormat="false" ht="55.2" hidden="false" customHeight="false" outlineLevel="0" collapsed="false">
      <c r="A5" s="1" t="s">
        <v>86</v>
      </c>
      <c r="B5" s="1" t="s">
        <v>639</v>
      </c>
      <c r="C5" s="1" t="s">
        <v>640</v>
      </c>
      <c r="D5" s="1" t="s">
        <v>641</v>
      </c>
      <c r="E5" s="1" t="s">
        <v>642</v>
      </c>
    </row>
    <row r="6" customFormat="false" ht="41.75" hidden="false" customHeight="false" outlineLevel="0" collapsed="false">
      <c r="A6" s="1" t="s">
        <v>107</v>
      </c>
      <c r="B6" s="1" t="s">
        <v>643</v>
      </c>
      <c r="C6" s="1" t="s">
        <v>644</v>
      </c>
      <c r="D6" s="1" t="s">
        <v>645</v>
      </c>
      <c r="E6" s="1" t="s">
        <v>646</v>
      </c>
    </row>
    <row r="7" customFormat="false" ht="41.75" hidden="false" customHeight="false" outlineLevel="0" collapsed="false">
      <c r="A7" s="1" t="s">
        <v>123</v>
      </c>
      <c r="B7" s="1" t="s">
        <v>647</v>
      </c>
      <c r="C7" s="1" t="s">
        <v>648</v>
      </c>
      <c r="D7" s="1" t="s">
        <v>649</v>
      </c>
      <c r="E7" s="1" t="s">
        <v>650</v>
      </c>
    </row>
    <row r="8" customFormat="false" ht="28.35" hidden="false" customHeight="false" outlineLevel="0" collapsed="false">
      <c r="A8" s="1" t="s">
        <v>137</v>
      </c>
      <c r="B8" s="1" t="s">
        <v>651</v>
      </c>
      <c r="C8" s="1" t="s">
        <v>652</v>
      </c>
      <c r="D8" s="1" t="s">
        <v>653</v>
      </c>
      <c r="E8" s="1" t="s">
        <v>654</v>
      </c>
    </row>
    <row r="9" customFormat="false" ht="55.2" hidden="false" customHeight="false" outlineLevel="0" collapsed="false">
      <c r="A9" s="1" t="s">
        <v>151</v>
      </c>
      <c r="B9" s="1" t="s">
        <v>655</v>
      </c>
      <c r="C9" s="1" t="s">
        <v>656</v>
      </c>
      <c r="D9" s="1" t="s">
        <v>657</v>
      </c>
      <c r="E9" s="1" t="s">
        <v>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95"/>
    <col collapsed="false" customWidth="true" hidden="false" outlineLevel="0" max="5" min="4" style="0" width="55"/>
  </cols>
  <sheetData>
    <row r="1" customFormat="false" ht="15" hidden="false" customHeight="true" outlineLevel="0" collapsed="false">
      <c r="A1" s="20" t="s">
        <v>659</v>
      </c>
      <c r="B1" s="20"/>
      <c r="C1" s="20"/>
      <c r="D1" s="20"/>
      <c r="E1" s="20"/>
    </row>
    <row r="3" customFormat="false" ht="15" hidden="false" customHeight="false" outlineLevel="0" collapsed="false">
      <c r="A3" s="21" t="s">
        <v>147</v>
      </c>
      <c r="B3" s="21" t="s">
        <v>660</v>
      </c>
      <c r="C3" s="21" t="s">
        <v>661</v>
      </c>
      <c r="D3" s="21" t="s">
        <v>662</v>
      </c>
      <c r="E3" s="21" t="s">
        <v>663</v>
      </c>
    </row>
    <row r="4" customFormat="false" ht="15" hidden="false" customHeight="false" outlineLevel="0" collapsed="false">
      <c r="A4" s="22" t="s">
        <v>664</v>
      </c>
      <c r="B4" s="22"/>
      <c r="C4" s="22"/>
      <c r="D4" s="22"/>
      <c r="E4" s="22"/>
    </row>
    <row r="5" customFormat="false" ht="41.75" hidden="false" customHeight="false" outlineLevel="0" collapsed="false">
      <c r="A5" s="1" t="s">
        <v>665</v>
      </c>
      <c r="B5" s="23" t="s">
        <v>43</v>
      </c>
      <c r="C5" s="1" t="s">
        <v>666</v>
      </c>
      <c r="D5" s="1" t="s">
        <v>667</v>
      </c>
      <c r="E5" s="1" t="s">
        <v>668</v>
      </c>
    </row>
    <row r="6" customFormat="false" ht="28.35" hidden="false" customHeight="false" outlineLevel="0" collapsed="false">
      <c r="A6" s="1" t="s">
        <v>669</v>
      </c>
      <c r="B6" s="23" t="s">
        <v>43</v>
      </c>
      <c r="C6" s="1" t="s">
        <v>670</v>
      </c>
      <c r="D6" s="1" t="s">
        <v>671</v>
      </c>
      <c r="E6" s="1" t="s">
        <v>672</v>
      </c>
    </row>
    <row r="7" customFormat="false" ht="41.75" hidden="false" customHeight="false" outlineLevel="0" collapsed="false">
      <c r="A7" s="1" t="s">
        <v>673</v>
      </c>
      <c r="B7" s="23" t="s">
        <v>43</v>
      </c>
      <c r="C7" s="1" t="s">
        <v>674</v>
      </c>
      <c r="D7" s="1" t="s">
        <v>675</v>
      </c>
      <c r="E7" s="1" t="s">
        <v>676</v>
      </c>
    </row>
    <row r="8" customFormat="false" ht="28.35" hidden="false" customHeight="false" outlineLevel="0" collapsed="false">
      <c r="A8" s="1" t="s">
        <v>677</v>
      </c>
      <c r="B8" s="23" t="s">
        <v>43</v>
      </c>
      <c r="C8" s="1" t="s">
        <v>678</v>
      </c>
      <c r="D8" s="1" t="s">
        <v>679</v>
      </c>
      <c r="E8" s="1" t="s">
        <v>680</v>
      </c>
    </row>
    <row r="9" customFormat="false" ht="28.35" hidden="false" customHeight="false" outlineLevel="0" collapsed="false">
      <c r="A9" s="1" t="s">
        <v>681</v>
      </c>
      <c r="B9" s="23" t="s">
        <v>43</v>
      </c>
      <c r="C9" s="1" t="s">
        <v>682</v>
      </c>
      <c r="D9" s="1" t="s">
        <v>683</v>
      </c>
      <c r="E9" s="1" t="s">
        <v>684</v>
      </c>
    </row>
    <row r="10" customFormat="false" ht="15" hidden="false" customHeight="false" outlineLevel="0" collapsed="false">
      <c r="A10" s="1" t="s">
        <v>685</v>
      </c>
      <c r="B10" s="23" t="s">
        <v>43</v>
      </c>
      <c r="C10" s="1" t="s">
        <v>686</v>
      </c>
      <c r="D10" s="1" t="s">
        <v>687</v>
      </c>
      <c r="E10" s="1" t="s">
        <v>688</v>
      </c>
    </row>
    <row r="11" customFormat="false" ht="28.35" hidden="false" customHeight="false" outlineLevel="0" collapsed="false">
      <c r="A11" s="1" t="s">
        <v>689</v>
      </c>
      <c r="B11" s="23" t="s">
        <v>43</v>
      </c>
      <c r="C11" s="1" t="s">
        <v>690</v>
      </c>
      <c r="D11" s="1" t="s">
        <v>691</v>
      </c>
      <c r="E11" s="1" t="s">
        <v>692</v>
      </c>
    </row>
    <row r="12" customFormat="false" ht="15" hidden="false" customHeight="false" outlineLevel="0" collapsed="false">
      <c r="A12" s="24" t="s">
        <v>693</v>
      </c>
      <c r="B12" s="24"/>
      <c r="C12" s="24"/>
      <c r="D12" s="24"/>
      <c r="E12" s="24"/>
    </row>
    <row r="13" customFormat="false" ht="41.75" hidden="false" customHeight="false" outlineLevel="0" collapsed="false">
      <c r="A13" s="1" t="s">
        <v>694</v>
      </c>
      <c r="B13" s="1" t="s">
        <v>306</v>
      </c>
      <c r="C13" s="1" t="s">
        <v>695</v>
      </c>
      <c r="D13" s="1" t="s">
        <v>696</v>
      </c>
      <c r="E13" s="1" t="s">
        <v>697</v>
      </c>
    </row>
    <row r="14" customFormat="false" ht="15" hidden="false" customHeight="false" outlineLevel="0" collapsed="false">
      <c r="A14" s="1" t="s">
        <v>698</v>
      </c>
      <c r="B14" s="1" t="s">
        <v>699</v>
      </c>
      <c r="C14" s="1" t="s">
        <v>700</v>
      </c>
      <c r="D14" s="1" t="s">
        <v>701</v>
      </c>
      <c r="E14" s="1" t="s">
        <v>702</v>
      </c>
    </row>
    <row r="15" customFormat="false" ht="28.35" hidden="false" customHeight="false" outlineLevel="0" collapsed="false">
      <c r="A15" s="1" t="s">
        <v>703</v>
      </c>
      <c r="B15" s="1" t="s">
        <v>699</v>
      </c>
      <c r="C15" s="1" t="s">
        <v>704</v>
      </c>
      <c r="D15" s="1" t="s">
        <v>705</v>
      </c>
      <c r="E15" s="1" t="s">
        <v>706</v>
      </c>
    </row>
    <row r="16" customFormat="false" ht="15" hidden="false" customHeight="false" outlineLevel="0" collapsed="false">
      <c r="A16" s="1" t="s">
        <v>707</v>
      </c>
      <c r="B16" s="1" t="s">
        <v>699</v>
      </c>
      <c r="C16" s="1" t="s">
        <v>708</v>
      </c>
      <c r="D16" s="1" t="s">
        <v>709</v>
      </c>
      <c r="E16" s="1" t="s">
        <v>710</v>
      </c>
    </row>
    <row r="17" customFormat="false" ht="15" hidden="false" customHeight="false" outlineLevel="0" collapsed="false">
      <c r="A17" s="1" t="s">
        <v>711</v>
      </c>
      <c r="B17" s="1" t="s">
        <v>699</v>
      </c>
      <c r="C17" s="1" t="s">
        <v>712</v>
      </c>
      <c r="D17" s="1" t="s">
        <v>713</v>
      </c>
      <c r="E17" s="1" t="s">
        <v>714</v>
      </c>
    </row>
    <row r="18" customFormat="false" ht="15" hidden="false" customHeight="false" outlineLevel="0" collapsed="false">
      <c r="A18" s="1" t="s">
        <v>715</v>
      </c>
      <c r="B18" s="1" t="s">
        <v>699</v>
      </c>
      <c r="C18" s="1" t="s">
        <v>716</v>
      </c>
      <c r="D18" s="1" t="s">
        <v>717</v>
      </c>
      <c r="E18" s="1" t="s">
        <v>718</v>
      </c>
    </row>
    <row r="19" customFormat="false" ht="15" hidden="false" customHeight="false" outlineLevel="0" collapsed="false">
      <c r="A19" s="24" t="s">
        <v>719</v>
      </c>
      <c r="B19" s="24"/>
      <c r="C19" s="24"/>
      <c r="D19" s="24"/>
      <c r="E19" s="24"/>
    </row>
    <row r="20" customFormat="false" ht="28.35" hidden="false" customHeight="false" outlineLevel="0" collapsed="false">
      <c r="A20" s="1" t="s">
        <v>720</v>
      </c>
      <c r="B20" s="1" t="s">
        <v>721</v>
      </c>
      <c r="C20" s="1" t="s">
        <v>722</v>
      </c>
      <c r="D20" s="1" t="s">
        <v>723</v>
      </c>
      <c r="E20" s="1" t="s">
        <v>724</v>
      </c>
    </row>
    <row r="21" customFormat="false" ht="28.35" hidden="false" customHeight="false" outlineLevel="0" collapsed="false">
      <c r="A21" s="1" t="s">
        <v>725</v>
      </c>
      <c r="B21" s="1" t="s">
        <v>721</v>
      </c>
      <c r="C21" s="1" t="s">
        <v>726</v>
      </c>
      <c r="D21" s="1" t="s">
        <v>727</v>
      </c>
      <c r="E21" s="1" t="s">
        <v>728</v>
      </c>
    </row>
    <row r="22" customFormat="false" ht="28.35" hidden="false" customHeight="false" outlineLevel="0" collapsed="false">
      <c r="A22" s="1" t="s">
        <v>729</v>
      </c>
      <c r="B22" s="1" t="s">
        <v>721</v>
      </c>
      <c r="C22" s="1" t="s">
        <v>730</v>
      </c>
      <c r="D22" s="1" t="s">
        <v>731</v>
      </c>
      <c r="E22" s="1" t="s">
        <v>732</v>
      </c>
    </row>
    <row r="23" customFormat="false" ht="28.35" hidden="false" customHeight="false" outlineLevel="0" collapsed="false">
      <c r="A23" s="1" t="s">
        <v>733</v>
      </c>
      <c r="B23" s="1" t="s">
        <v>721</v>
      </c>
      <c r="C23" s="1" t="s">
        <v>734</v>
      </c>
      <c r="D23" s="1" t="s">
        <v>735</v>
      </c>
      <c r="E23" s="1" t="s">
        <v>736</v>
      </c>
    </row>
    <row r="24" customFormat="false" ht="28.35" hidden="false" customHeight="false" outlineLevel="0" collapsed="false">
      <c r="A24" s="1" t="s">
        <v>737</v>
      </c>
      <c r="B24" s="1" t="s">
        <v>738</v>
      </c>
      <c r="C24" s="1" t="s">
        <v>739</v>
      </c>
      <c r="D24" s="1" t="s">
        <v>740</v>
      </c>
      <c r="E24" s="1" t="s">
        <v>741</v>
      </c>
    </row>
  </sheetData>
  <mergeCells count="4">
    <mergeCell ref="A1:E1"/>
    <mergeCell ref="A4:E4"/>
    <mergeCell ref="A12:E12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60"/>
    <col collapsed="false" customWidth="true" hidden="false" outlineLevel="0" max="6" min="6" style="0" width="14"/>
    <col collapsed="false" customWidth="true" hidden="false" outlineLevel="0" max="8" min="7" style="0" width="10"/>
    <col collapsed="false" customWidth="true" hidden="false" outlineLevel="0" max="10" min="9" style="0" width="12"/>
    <col collapsed="false" customWidth="true" hidden="false" outlineLevel="0" max="11" min="11" style="0" width="50"/>
  </cols>
  <sheetData>
    <row r="1" customFormat="false" ht="15" hidden="false" customHeight="false" outlineLevel="0" collapsed="false">
      <c r="A1" s="2" t="s">
        <v>742</v>
      </c>
    </row>
    <row r="3" customFormat="false" ht="28.35" hidden="false" customHeight="false" outlineLevel="0" collapsed="false">
      <c r="A3" s="4" t="s">
        <v>22</v>
      </c>
      <c r="B3" s="4" t="s">
        <v>23</v>
      </c>
      <c r="C3" s="4" t="s">
        <v>24</v>
      </c>
      <c r="D3" s="4" t="s">
        <v>743</v>
      </c>
      <c r="E3" s="4" t="s">
        <v>744</v>
      </c>
      <c r="F3" s="4" t="s">
        <v>745</v>
      </c>
      <c r="G3" s="4" t="s">
        <v>746</v>
      </c>
      <c r="H3" s="4" t="s">
        <v>747</v>
      </c>
      <c r="I3" s="4" t="s">
        <v>748</v>
      </c>
      <c r="J3" s="4" t="s">
        <v>749</v>
      </c>
      <c r="K3" s="4" t="s">
        <v>750</v>
      </c>
    </row>
    <row r="4" customFormat="false" ht="28.35" hidden="false" customHeight="false" outlineLevel="0" collapsed="false">
      <c r="A4" s="0" t="s">
        <v>39</v>
      </c>
      <c r="B4" s="0" t="str">
        <f aca="false">KPIs!B5</f>
        <v>Revenue per active MW - period-end reported MW</v>
      </c>
      <c r="C4" s="0" t="str">
        <f aca="false">KPIs!C5</f>
        <v>$M/MW-yr</v>
      </c>
      <c r="D4" s="17" t="n">
        <v>13.7</v>
      </c>
      <c r="E4" s="1" t="s">
        <v>751</v>
      </c>
      <c r="F4" s="25" t="n">
        <f aca="false">KPIs!O5</f>
        <v>6.86666666666667</v>
      </c>
    </row>
    <row r="5" customFormat="false" ht="15" hidden="false" customHeight="false" outlineLevel="0" collapsed="false">
      <c r="A5" s="0" t="s">
        <v>47</v>
      </c>
      <c r="B5" s="0" t="str">
        <f aca="false">KPIs!B7</f>
        <v>Revenue per active MW - average MW (2024 uses interpolated MW)</v>
      </c>
      <c r="C5" s="0" t="str">
        <f aca="false">KPIs!C7</f>
        <v>$M/MW-yr</v>
      </c>
      <c r="D5" s="3" t="s">
        <v>752</v>
      </c>
      <c r="F5" s="25" t="n">
        <f aca="false">KPIs!O7</f>
        <v>8.24</v>
      </c>
    </row>
    <row r="6" customFormat="false" ht="28.35" hidden="false" customHeight="false" outlineLevel="0" collapsed="false">
      <c r="A6" s="0" t="s">
        <v>51</v>
      </c>
      <c r="B6" s="0" t="str">
        <f aca="false">KPIs!B9</f>
        <v>Revenue per BILLING IT MW - average MW (= K02; CRWV has no separate billed series)</v>
      </c>
      <c r="C6" s="0" t="str">
        <f aca="false">KPIs!C9</f>
        <v>$M/MW-yr</v>
      </c>
      <c r="D6" s="3" t="s">
        <v>753</v>
      </c>
      <c r="E6" s="1" t="s">
        <v>754</v>
      </c>
      <c r="F6" s="25" t="n">
        <f aca="false">KPIs!O9</f>
        <v>8.24</v>
      </c>
      <c r="H6" s="0" t="s">
        <v>755</v>
      </c>
      <c r="K6" s="1" t="s">
        <v>756</v>
      </c>
    </row>
    <row r="7" customFormat="false" ht="15" hidden="false" customHeight="false" outlineLevel="0" collapsed="false">
      <c r="A7" s="0" t="s">
        <v>54</v>
      </c>
      <c r="B7" s="0" t="str">
        <f aca="false">KPIs!B11</f>
        <v>Revenue per contracted MW</v>
      </c>
      <c r="C7" s="0" t="str">
        <f aca="false">KPIs!C11</f>
        <v>$M/MW-yr</v>
      </c>
      <c r="D7" s="3" t="s">
        <v>752</v>
      </c>
      <c r="F7" s="25" t="n">
        <f aca="false">KPIs!O11</f>
        <v>2.78378378378378</v>
      </c>
    </row>
    <row r="8" customFormat="false" ht="15" hidden="false" customHeight="false" outlineLevel="0" collapsed="false">
      <c r="A8" s="0" t="s">
        <v>61</v>
      </c>
      <c r="B8" s="0" t="str">
        <f aca="false">KPIs!B15</f>
        <v>Adj. EBITDA per active MW (average MW)</v>
      </c>
      <c r="C8" s="0" t="str">
        <f aca="false">KPIs!C15</f>
        <v>$M/MW-yr</v>
      </c>
      <c r="D8" s="3" t="s">
        <v>752</v>
      </c>
      <c r="F8" s="25" t="n">
        <f aca="false">KPIs!O15</f>
        <v>4.832</v>
      </c>
    </row>
    <row r="9" customFormat="false" ht="15" hidden="false" customHeight="false" outlineLevel="0" collapsed="false">
      <c r="A9" s="0" t="s">
        <v>65</v>
      </c>
      <c r="B9" s="0" t="str">
        <f aca="false">KPIs!B18</f>
        <v>Revenue per GPU ($K per GPU-year, avg GPUs)</v>
      </c>
      <c r="C9" s="0" t="str">
        <f aca="false">KPIs!C18</f>
        <v>$K/GPU-yr</v>
      </c>
      <c r="D9" s="3" t="s">
        <v>752</v>
      </c>
      <c r="F9" s="25" t="n">
        <f aca="false">KPIs!O18</f>
        <v>14.5066336159545</v>
      </c>
    </row>
    <row r="10" customFormat="false" ht="15" hidden="false" customHeight="false" outlineLevel="0" collapsed="false">
      <c r="A10" s="0" t="s">
        <v>70</v>
      </c>
      <c r="B10" s="0" t="str">
        <f aca="false">KPIs!B20</f>
        <v>Implied blended realized price ($/GPU-hr)</v>
      </c>
      <c r="C10" s="0" t="str">
        <f aca="false">KPIs!C20</f>
        <v>$/GPU-hr</v>
      </c>
      <c r="D10" s="3" t="s">
        <v>752</v>
      </c>
      <c r="F10" s="25" t="n">
        <f aca="false">KPIs!O20</f>
        <v>1.66055787728417</v>
      </c>
    </row>
    <row r="11" customFormat="false" ht="15" hidden="false" customHeight="false" outlineLevel="0" collapsed="false">
      <c r="A11" s="0" t="s">
        <v>78</v>
      </c>
      <c r="B11" s="0" t="str">
        <f aca="false">KPIs!B24</f>
        <v>Implied utilization (realized $/GPU-hr / weighted list)</v>
      </c>
      <c r="C11" s="0" t="str">
        <f aca="false">KPIs!C24</f>
        <v>%</v>
      </c>
      <c r="D11" s="3" t="s">
        <v>752</v>
      </c>
      <c r="F11" s="25" t="n">
        <f aca="false">KPIs!O24</f>
        <v>18.0581428493293</v>
      </c>
    </row>
    <row r="12" customFormat="false" ht="15" hidden="false" customHeight="false" outlineLevel="0" collapsed="false">
      <c r="A12" s="0" t="s">
        <v>83</v>
      </c>
      <c r="B12" s="0" t="str">
        <f aca="false">KPIs!B27</f>
        <v>Cash capex per new active MW (reported MW)</v>
      </c>
      <c r="C12" s="0" t="str">
        <f aca="false">KPIs!C27</f>
        <v>$M/MW</v>
      </c>
      <c r="D12" s="3" t="s">
        <v>752</v>
      </c>
      <c r="F12" s="25" t="n">
        <f aca="false">KPIs!O27</f>
        <v>12.844</v>
      </c>
    </row>
    <row r="13" customFormat="false" ht="15" hidden="false" customHeight="false" outlineLevel="0" collapsed="false">
      <c r="A13" s="0" t="s">
        <v>91</v>
      </c>
      <c r="B13" s="0" t="str">
        <f aca="false">KPIs!B31</f>
        <v>In-service additions per new active MW (CRWV capex definition)</v>
      </c>
      <c r="C13" s="0" t="str">
        <f aca="false">KPIs!C31</f>
        <v>$M/MW</v>
      </c>
      <c r="D13" s="3" t="s">
        <v>752</v>
      </c>
      <c r="F13" s="25" t="n">
        <f aca="false">KPIs!O31</f>
        <v>18.704</v>
      </c>
    </row>
    <row r="14" customFormat="false" ht="15" hidden="false" customHeight="false" outlineLevel="0" collapsed="false">
      <c r="A14" s="0" t="s">
        <v>94</v>
      </c>
      <c r="B14" s="0" t="str">
        <f aca="false">KPIs!B33</f>
        <v>Trailing-4Q cash capex per trailing-4Q new active MW</v>
      </c>
      <c r="C14" s="0" t="str">
        <f aca="false">KPIs!C33</f>
        <v>$M/MW</v>
      </c>
      <c r="D14" s="3" t="s">
        <v>752</v>
      </c>
      <c r="F14" s="25" t="n">
        <f aca="false">KPIs!O33</f>
        <v>19.9666019417476</v>
      </c>
    </row>
    <row r="15" customFormat="false" ht="15" hidden="false" customHeight="false" outlineLevel="0" collapsed="false">
      <c r="A15" s="0" t="s">
        <v>97</v>
      </c>
      <c r="B15" s="0" t="str">
        <f aca="false">KPIs!B35</f>
        <v>Net PP&amp;E per active MW (EoP)</v>
      </c>
      <c r="C15" s="0" t="str">
        <f aca="false">KPIs!C35</f>
        <v>$M/MW</v>
      </c>
      <c r="D15" s="3" t="s">
        <v>752</v>
      </c>
      <c r="F15" s="25" t="n">
        <f aca="false">KPIs!O35</f>
        <v>31.1573333333333</v>
      </c>
    </row>
    <row r="16" customFormat="false" ht="15" hidden="false" customHeight="false" outlineLevel="0" collapsed="false">
      <c r="A16" s="0" t="s">
        <v>100</v>
      </c>
      <c r="B16" s="0" t="str">
        <f aca="false">KPIs!B37</f>
        <v>Gross in-service PP&amp;E per active MW (EoP)</v>
      </c>
      <c r="C16" s="0" t="str">
        <f aca="false">KPIs!C37</f>
        <v>$M/MW</v>
      </c>
      <c r="D16" s="3" t="s">
        <v>752</v>
      </c>
      <c r="F16" s="25" t="n">
        <f aca="false">KPIs!O37</f>
        <v>27.136</v>
      </c>
    </row>
    <row r="17" customFormat="false" ht="15" hidden="false" customHeight="false" outlineLevel="0" collapsed="false">
      <c r="A17" s="0" t="s">
        <v>104</v>
      </c>
      <c r="B17" s="0" t="str">
        <f aca="false">KPIs!B40</f>
        <v>Useful life - technology equipment (GPUs/servers/network)</v>
      </c>
      <c r="C17" s="0" t="str">
        <f aca="false">KPIs!C40</f>
        <v>years</v>
      </c>
      <c r="D17" s="17" t="n">
        <v>5</v>
      </c>
      <c r="E17" s="1" t="s">
        <v>757</v>
      </c>
      <c r="F17" s="25" t="n">
        <f aca="false">KPIs!O40</f>
        <v>6</v>
      </c>
    </row>
    <row r="18" customFormat="false" ht="15" hidden="false" customHeight="false" outlineLevel="0" collapsed="false">
      <c r="A18" s="0" t="s">
        <v>110</v>
      </c>
      <c r="B18" s="0" t="str">
        <f aca="false">KPIs!B42</f>
        <v>Depreciation yield (D&amp;A x4 / avg in-service gross PP&amp;E)</v>
      </c>
      <c r="C18" s="0" t="str">
        <f aca="false">KPIs!C42</f>
        <v>%</v>
      </c>
      <c r="D18" s="3" t="s">
        <v>752</v>
      </c>
      <c r="F18" s="25" t="n">
        <f aca="false">KPIs!O42</f>
        <v>15.4657488619962</v>
      </c>
    </row>
    <row r="19" customFormat="false" ht="15" hidden="false" customHeight="false" outlineLevel="0" collapsed="false">
      <c r="A19" s="0" t="s">
        <v>120</v>
      </c>
      <c r="B19" s="0" t="str">
        <f aca="false">KPIs!B49</f>
        <v>RPO (ASC 606, EoP)</v>
      </c>
      <c r="C19" s="0" t="str">
        <f aca="false">KPIs!C49</f>
        <v>$B</v>
      </c>
      <c r="D19" s="17" t="n">
        <v>37.4906</v>
      </c>
      <c r="E19" s="1" t="s">
        <v>758</v>
      </c>
      <c r="F19" s="25" t="n">
        <f aca="false">KPIs!O49</f>
        <v>103.7</v>
      </c>
    </row>
    <row r="20" customFormat="false" ht="15" hidden="false" customHeight="false" outlineLevel="0" collapsed="false">
      <c r="A20" s="0" t="s">
        <v>125</v>
      </c>
      <c r="B20" s="0" t="str">
        <f aca="false">KPIs!B51</f>
        <v>Revenue backlog (company metric, EoP)</v>
      </c>
      <c r="C20" s="0" t="str">
        <f aca="false">KPIs!C51</f>
        <v>$B</v>
      </c>
      <c r="D20" s="3" t="s">
        <v>752</v>
      </c>
      <c r="F20" s="25" t="n">
        <f aca="false">KPIs!O51</f>
        <v>104.2</v>
      </c>
    </row>
    <row r="21" customFormat="false" ht="15" hidden="false" customHeight="false" outlineLevel="0" collapsed="false">
      <c r="A21" s="0" t="s">
        <v>128</v>
      </c>
      <c r="B21" s="0" t="str">
        <f aca="false">KPIs!B53</f>
        <v>RPO % recognized within 24 months</v>
      </c>
      <c r="C21" s="0" t="str">
        <f aca="false">KPIs!C53</f>
        <v>%</v>
      </c>
      <c r="D21" s="17" t="n">
        <v>36</v>
      </c>
      <c r="E21" s="1" t="s">
        <v>759</v>
      </c>
      <c r="F21" s="25" t="n">
        <f aca="false">KPIs!O53</f>
        <v>41</v>
      </c>
    </row>
    <row r="22" customFormat="false" ht="15" hidden="false" customHeight="false" outlineLevel="0" collapsed="false">
      <c r="A22" s="0" t="s">
        <v>135</v>
      </c>
      <c r="B22" s="0" t="str">
        <f aca="false">KPIs!B58</f>
        <v>Largest customer % of revenue</v>
      </c>
      <c r="C22" s="0" t="str">
        <f aca="false">KPIs!C58</f>
        <v>%</v>
      </c>
      <c r="D22" s="17" t="n">
        <v>24</v>
      </c>
      <c r="E22" s="1" t="s">
        <v>760</v>
      </c>
      <c r="F22" s="25" t="n">
        <f aca="false">KPIs!O58</f>
        <v>36</v>
      </c>
    </row>
    <row r="23" customFormat="false" ht="15" hidden="false" customHeight="false" outlineLevel="0" collapsed="false">
      <c r="A23" s="0" t="s">
        <v>142</v>
      </c>
      <c r="B23" s="0" t="str">
        <f aca="false">KPIs!B62</f>
        <v>Top-N &gt;=10% customers combined %</v>
      </c>
      <c r="C23" s="0" t="str">
        <f aca="false">KPIs!C62</f>
        <v>%</v>
      </c>
      <c r="D23" s="17" t="n">
        <v>59</v>
      </c>
      <c r="E23" s="1" t="s">
        <v>761</v>
      </c>
      <c r="F23" s="25" t="n">
        <f aca="false">KPIs!O62</f>
        <v>72</v>
      </c>
    </row>
    <row r="24" customFormat="false" ht="15" hidden="false" customHeight="false" outlineLevel="0" collapsed="false">
      <c r="A24" s="0" t="s">
        <v>145</v>
      </c>
      <c r="B24" s="0" t="str">
        <f aca="false">KPIs!B64</f>
        <v>Number of customers &gt;=10% of revenue</v>
      </c>
      <c r="C24" s="0" t="str">
        <f aca="false">KPIs!C64</f>
        <v>#</v>
      </c>
      <c r="D24" s="17" t="n">
        <v>3</v>
      </c>
      <c r="E24" s="1" t="s">
        <v>762</v>
      </c>
      <c r="F24" s="25" t="n">
        <f aca="false">KPIs!O64</f>
        <v>3</v>
      </c>
    </row>
    <row r="25" customFormat="false" ht="28.35" hidden="false" customHeight="false" outlineLevel="0" collapsed="false">
      <c r="A25" s="0" t="s">
        <v>149</v>
      </c>
      <c r="B25" s="0" t="str">
        <f aca="false">KPIs!B67</f>
        <v>Weighted effective cost of debt (principal-weighted, EoP) - all facilities</v>
      </c>
      <c r="C25" s="0" t="str">
        <f aca="false">KPIs!C67</f>
        <v>%</v>
      </c>
      <c r="D25" s="17" t="n">
        <v>5.1</v>
      </c>
      <c r="E25" s="1" t="s">
        <v>763</v>
      </c>
      <c r="F25" s="25" t="n">
        <f aca="false">KPIs!O67</f>
        <v>8.4134342212596</v>
      </c>
    </row>
    <row r="26" customFormat="false" ht="15" hidden="false" customHeight="false" outlineLevel="0" collapsed="false">
      <c r="A26" s="0" t="s">
        <v>156</v>
      </c>
      <c r="B26" s="0" t="str">
        <f aca="false">KPIs!B71</f>
        <v>  of which Senior notes - weighted eff. rate</v>
      </c>
      <c r="C26" s="0" t="str">
        <f aca="false">KPIs!C71</f>
        <v>%</v>
      </c>
      <c r="D26" s="3" t="s">
        <v>752</v>
      </c>
      <c r="F26" s="25" t="n">
        <f aca="false">KPIs!O71</f>
        <v>9.77275899890318</v>
      </c>
    </row>
    <row r="27" customFormat="false" ht="15" hidden="false" customHeight="false" outlineLevel="0" collapsed="false">
      <c r="A27" s="0" t="s">
        <v>158</v>
      </c>
      <c r="B27" s="0" t="str">
        <f aca="false">KPIs!B73</f>
        <v>  of which Converts - weighted eff. rate</v>
      </c>
      <c r="C27" s="0" t="str">
        <f aca="false">KPIs!C73</f>
        <v>%</v>
      </c>
      <c r="D27" s="3" t="s">
        <v>752</v>
      </c>
      <c r="F27" s="25" t="n">
        <f aca="false">KPIs!O73</f>
        <v>2</v>
      </c>
    </row>
    <row r="28" customFormat="false" ht="15" hidden="false" customHeight="false" outlineLevel="0" collapsed="false">
      <c r="A28" s="0" t="s">
        <v>168</v>
      </c>
      <c r="B28" s="0" t="str">
        <f aca="false">KPIs!B83</f>
        <v>Implied cash cost: contractual interest x4 / avg principal</v>
      </c>
      <c r="C28" s="0" t="str">
        <f aca="false">KPIs!C83</f>
        <v>%</v>
      </c>
      <c r="D28" s="3" t="s">
        <v>752</v>
      </c>
      <c r="F28" s="25" t="n">
        <f aca="false">KPIs!O83</f>
        <v>7.80230642504119</v>
      </c>
    </row>
    <row r="30" customFormat="false" ht="605.95" hidden="false" customHeight="false" outlineLevel="0" collapsed="false">
      <c r="A30" s="1" t="s">
        <v>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2026-10-08T12:32:12Z</dcterms:created>
  <dc:creator>openpyxl</dc:creator>
  <dc:description/>
  <dc:language>en-US</dc:language>
  <cp:lastModifiedBy/>
  <dcterms:modified xsi:type="dcterms:W3CDTF">2026-10-08T12:32:12Z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